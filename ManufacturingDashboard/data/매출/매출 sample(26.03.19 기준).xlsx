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workAnti\ManufacturingDashboard\data\매출\"/>
    </mc:Choice>
  </mc:AlternateContent>
  <xr:revisionPtr revIDLastSave="0" documentId="13_ncr:1_{C879D11A-4CD4-4B1B-9D21-6894E6DD481A}" xr6:coauthVersionLast="47" xr6:coauthVersionMax="47" xr10:uidLastSave="{00000000-0000-0000-0000-000000000000}"/>
  <bookViews>
    <workbookView xWindow="-108" yWindow="-108" windowWidth="23256" windowHeight="12456" xr2:uid="{600F3EA9-BD2E-4A60-83AF-B08287A32BD2}"/>
  </bookViews>
  <sheets>
    <sheet name="상세 자료 작성" sheetId="1" r:id="rId1"/>
  </sheets>
  <externalReferences>
    <externalReference r:id="rId2"/>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hidden="1">{#N/A,#N/A,FALSE,"단축1";#N/A,#N/A,FALSE,"단축2";#N/A,#N/A,FALSE,"단축3";#N/A,#N/A,FALSE,"장축";#N/A,#N/A,FALSE,"4WD"}</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hidden="1">{#N/A,#N/A,FALSE,"단축1";#N/A,#N/A,FALSE,"단축2";#N/A,#N/A,FALSE,"단축3";#N/A,#N/A,FALSE,"장축";#N/A,#N/A,FALSE,"4WD"}</definedName>
    <definedName name="____________SUM25">#REF!</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hidden="1">{#N/A,#N/A,FALSE,"단축1";#N/A,#N/A,FALSE,"단축2";#N/A,#N/A,FALSE,"단축3";#N/A,#N/A,FALSE,"장축";#N/A,#N/A,FALSE,"4WD"}</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hidden="1">{#N/A,#N/A,FALSE,"단축1";#N/A,#N/A,FALSE,"단축2";#N/A,#N/A,FALSE,"단축3";#N/A,#N/A,FALSE,"장축";#N/A,#N/A,FALSE,"4WD"}</definedName>
    <definedName name="__________SUM25">#REF!</definedName>
    <definedName name="__________wpl2" hidden="1">{#N/A,#N/A,FALSE,"Aging Summary";#N/A,#N/A,FALSE,"Ratio Analysis";#N/A,#N/A,FALSE,"Test 120 Day Accts";#N/A,#N/A,FALSE,"Tickmarks"}</definedName>
    <definedName name="_________A3" hidden="1">{#N/A,#N/A,FALSE,"단축1";#N/A,#N/A,FALSE,"단축2";#N/A,#N/A,FALSE,"단축3";#N/A,#N/A,FALSE,"장축";#N/A,#N/A,FALSE,"4WD"}</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hidden="1">{#N/A,#N/A,FALSE,"단축1";#N/A,#N/A,FALSE,"단축2";#N/A,#N/A,FALSE,"단축3";#N/A,#N/A,FALSE,"장축";#N/A,#N/A,FALSE,"4WD"}</definedName>
    <definedName name="_________SUM25">#REF!</definedName>
    <definedName name="________A3" hidden="1">{#N/A,#N/A,FALSE,"단축1";#N/A,#N/A,FALSE,"단축2";#N/A,#N/A,FALSE,"단축3";#N/A,#N/A,FALSE,"장축";#N/A,#N/A,FALSE,"4WD"}</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hidden="1">{#N/A,#N/A,FALSE,"UNIT";#N/A,#N/A,FALSE,"UNIT";#N/A,#N/A,FALSE,"계정"}</definedName>
    <definedName name="________s10" hidden="1">{#N/A,#N/A,FALSE,"UNIT";#N/A,#N/A,FALSE,"UNIT";#N/A,#N/A,FALSE,"계정"}</definedName>
    <definedName name="________s11" hidden="1">{#N/A,#N/A,FALSE,"UNIT";#N/A,#N/A,FALSE,"UNIT";#N/A,#N/A,FALSE,"계정"}</definedName>
    <definedName name="________s12" hidden="1">{#N/A,#N/A,FALSE,"UNIT";#N/A,#N/A,FALSE,"UNIT";#N/A,#N/A,FALSE,"계정"}</definedName>
    <definedName name="________s13" hidden="1">{#N/A,#N/A,FALSE,"UNIT";#N/A,#N/A,FALSE,"UNIT";#N/A,#N/A,FALSE,"계정"}</definedName>
    <definedName name="________s14" hidden="1">{#N/A,#N/A,FALSE,"UNIT";#N/A,#N/A,FALSE,"UNIT";#N/A,#N/A,FALSE,"계정"}</definedName>
    <definedName name="________s16" hidden="1">{#N/A,#N/A,FALSE,"UNIT";#N/A,#N/A,FALSE,"UNIT";#N/A,#N/A,FALSE,"계정"}</definedName>
    <definedName name="________s17" hidden="1">{#N/A,#N/A,FALSE,"UNIT";#N/A,#N/A,FALSE,"UNIT";#N/A,#N/A,FALSE,"계정"}</definedName>
    <definedName name="________s2" hidden="1">{#N/A,#N/A,FALSE,"UNIT";#N/A,#N/A,FALSE,"UNIT";#N/A,#N/A,FALSE,"계정"}</definedName>
    <definedName name="________s3" hidden="1">{#N/A,#N/A,FALSE,"UNIT";#N/A,#N/A,FALSE,"UNIT";#N/A,#N/A,FALSE,"계정"}</definedName>
    <definedName name="________s4" hidden="1">{#N/A,#N/A,FALSE,"UNIT";#N/A,#N/A,FALSE,"UNIT";#N/A,#N/A,FALSE,"계정"}</definedName>
    <definedName name="________s5" hidden="1">{#N/A,#N/A,FALSE,"UNIT";#N/A,#N/A,FALSE,"UNIT";#N/A,#N/A,FALSE,"계정"}</definedName>
    <definedName name="________s6" hidden="1">{#N/A,#N/A,FALSE,"UNIT";#N/A,#N/A,FALSE,"UNIT";#N/A,#N/A,FALSE,"계정"}</definedName>
    <definedName name="________s9" hidden="1">{#N/A,#N/A,FALSE,"UNIT";#N/A,#N/A,FALSE,"UNIT";#N/A,#N/A,FALSE,"계정"}</definedName>
    <definedName name="________SUM1" hidden="1">{#N/A,#N/A,FALSE,"단축1";#N/A,#N/A,FALSE,"단축2";#N/A,#N/A,FALSE,"단축3";#N/A,#N/A,FALSE,"장축";#N/A,#N/A,FALSE,"4WD"}</definedName>
    <definedName name="________SUM25">#REF!</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hidden="1">{#N/A,#N/A,FALSE,"단축1";#N/A,#N/A,FALSE,"단축2";#N/A,#N/A,FALSE,"단축3";#N/A,#N/A,FALSE,"장축";#N/A,#N/A,FALSE,"4WD"}</definedName>
    <definedName name="_______SUM25">#REF!</definedName>
    <definedName name="______a1">#REF!</definedName>
    <definedName name="______A3" hidden="1">{#N/A,#N/A,FALSE,"단축1";#N/A,#N/A,FALSE,"단축2";#N/A,#N/A,FALSE,"단축3";#N/A,#N/A,FALSE,"장축";#N/A,#N/A,FALSE,"4WD"}</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hidden="1">{#N/A,#N/A,FALSE,"UNIT";#N/A,#N/A,FALSE,"UNIT";#N/A,#N/A,FALSE,"계정"}</definedName>
    <definedName name="______s10" hidden="1">{#N/A,#N/A,FALSE,"UNIT";#N/A,#N/A,FALSE,"UNIT";#N/A,#N/A,FALSE,"계정"}</definedName>
    <definedName name="______s11" hidden="1">{#N/A,#N/A,FALSE,"UNIT";#N/A,#N/A,FALSE,"UNIT";#N/A,#N/A,FALSE,"계정"}</definedName>
    <definedName name="______s12" hidden="1">{#N/A,#N/A,FALSE,"UNIT";#N/A,#N/A,FALSE,"UNIT";#N/A,#N/A,FALSE,"계정"}</definedName>
    <definedName name="______s13" hidden="1">{#N/A,#N/A,FALSE,"UNIT";#N/A,#N/A,FALSE,"UNIT";#N/A,#N/A,FALSE,"계정"}</definedName>
    <definedName name="______s14" hidden="1">{#N/A,#N/A,FALSE,"UNIT";#N/A,#N/A,FALSE,"UNIT";#N/A,#N/A,FALSE,"계정"}</definedName>
    <definedName name="______s16" hidden="1">{#N/A,#N/A,FALSE,"UNIT";#N/A,#N/A,FALSE,"UNIT";#N/A,#N/A,FALSE,"계정"}</definedName>
    <definedName name="______s17" hidden="1">{#N/A,#N/A,FALSE,"UNIT";#N/A,#N/A,FALSE,"UNIT";#N/A,#N/A,FALSE,"계정"}</definedName>
    <definedName name="______s2" hidden="1">{#N/A,#N/A,FALSE,"UNIT";#N/A,#N/A,FALSE,"UNIT";#N/A,#N/A,FALSE,"계정"}</definedName>
    <definedName name="______s3" hidden="1">{#N/A,#N/A,FALSE,"UNIT";#N/A,#N/A,FALSE,"UNIT";#N/A,#N/A,FALSE,"계정"}</definedName>
    <definedName name="______s4" hidden="1">{#N/A,#N/A,FALSE,"UNIT";#N/A,#N/A,FALSE,"UNIT";#N/A,#N/A,FALSE,"계정"}</definedName>
    <definedName name="______s5" hidden="1">{#N/A,#N/A,FALSE,"UNIT";#N/A,#N/A,FALSE,"UNIT";#N/A,#N/A,FALSE,"계정"}</definedName>
    <definedName name="______s6" hidden="1">{#N/A,#N/A,FALSE,"UNIT";#N/A,#N/A,FALSE,"UNIT";#N/A,#N/A,FALSE,"계정"}</definedName>
    <definedName name="______s9" hidden="1">{#N/A,#N/A,FALSE,"UNIT";#N/A,#N/A,FALSE,"UNIT";#N/A,#N/A,FALSE,"계정"}</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hidden="1">{#N/A,#N/A,FALSE,"단축1";#N/A,#N/A,FALSE,"단축2";#N/A,#N/A,FALSE,"단축3";#N/A,#N/A,FALSE,"장축";#N/A,#N/A,FALSE,"4WD"}</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hidden="1">{#N/A,#N/A,FALSE,"단축1";#N/A,#N/A,FALSE,"단축2";#N/A,#N/A,FALSE,"단축3";#N/A,#N/A,FALSE,"장축";#N/A,#N/A,FALSE,"4WD"}</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hidden="1">{#N/A,#N/A,FALSE,"단축1";#N/A,#N/A,FALSE,"단축2";#N/A,#N/A,FALSE,"단축3";#N/A,#N/A,FALSE,"장축";#N/A,#N/A,FALSE,"4WD"}</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hidden="1">{#N/A,#N/A,FALSE,"UNIT";#N/A,#N/A,FALSE,"UNIT";#N/A,#N/A,FALSE,"계정"}</definedName>
    <definedName name="___s10" hidden="1">{#N/A,#N/A,FALSE,"UNIT";#N/A,#N/A,FALSE,"UNIT";#N/A,#N/A,FALSE,"계정"}</definedName>
    <definedName name="___s11" hidden="1">{#N/A,#N/A,FALSE,"UNIT";#N/A,#N/A,FALSE,"UNIT";#N/A,#N/A,FALSE,"계정"}</definedName>
    <definedName name="___s12" hidden="1">{#N/A,#N/A,FALSE,"UNIT";#N/A,#N/A,FALSE,"UNIT";#N/A,#N/A,FALSE,"계정"}</definedName>
    <definedName name="___s13" hidden="1">{#N/A,#N/A,FALSE,"UNIT";#N/A,#N/A,FALSE,"UNIT";#N/A,#N/A,FALSE,"계정"}</definedName>
    <definedName name="___s14" hidden="1">{#N/A,#N/A,FALSE,"UNIT";#N/A,#N/A,FALSE,"UNIT";#N/A,#N/A,FALSE,"계정"}</definedName>
    <definedName name="___s16" hidden="1">{#N/A,#N/A,FALSE,"UNIT";#N/A,#N/A,FALSE,"UNIT";#N/A,#N/A,FALSE,"계정"}</definedName>
    <definedName name="___s17" hidden="1">{#N/A,#N/A,FALSE,"UNIT";#N/A,#N/A,FALSE,"UNIT";#N/A,#N/A,FALSE,"계정"}</definedName>
    <definedName name="___s2" hidden="1">{#N/A,#N/A,FALSE,"UNIT";#N/A,#N/A,FALSE,"UNIT";#N/A,#N/A,FALSE,"계정"}</definedName>
    <definedName name="___s3" hidden="1">{#N/A,#N/A,FALSE,"UNIT";#N/A,#N/A,FALSE,"UNIT";#N/A,#N/A,FALSE,"계정"}</definedName>
    <definedName name="___s4" hidden="1">{#N/A,#N/A,FALSE,"UNIT";#N/A,#N/A,FALSE,"UNIT";#N/A,#N/A,FALSE,"계정"}</definedName>
    <definedName name="___s5" hidden="1">{#N/A,#N/A,FALSE,"UNIT";#N/A,#N/A,FALSE,"UNIT";#N/A,#N/A,FALSE,"계정"}</definedName>
    <definedName name="___s6" hidden="1">{#N/A,#N/A,FALSE,"UNIT";#N/A,#N/A,FALSE,"UNIT";#N/A,#N/A,FALSE,"계정"}</definedName>
    <definedName name="___s9" hidden="1">{#N/A,#N/A,FALSE,"UNIT";#N/A,#N/A,FALSE,"UNIT";#N/A,#N/A,FALSE,"계정"}</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hidden="1">{#N/A,#N/A,FALSE,"단축1";#N/A,#N/A,FALSE,"단축2";#N/A,#N/A,FALSE,"단축3";#N/A,#N/A,FALSE,"장축";#N/A,#N/A,FALSE,"4WD"}</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hidden="1">{#N/A,#N/A,TRUE,"경전'96(1)";#N/A,#N/A,TRUE,"경전'96 (2)"}</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 hidden="1">{#N/A,#N/A,FALSE,"UNIT";#N/A,#N/A,FALSE,"UNIT";#N/A,#N/A,FALSE,"계정"}</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_0_0" hidden="1">#REF!</definedName>
    <definedName name="_108s13_"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hidden="1">{#N/A,#N/A,FALSE,"UNIT";#N/A,#N/A,FALSE,"UNIT";#N/A,#N/A,FALSE,"계정"}</definedName>
    <definedName name="_111" hidden="1">#REF!</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564" hidden="1">#REF!</definedName>
    <definedName name="_114s4_" hidden="1">{#N/A,#N/A,FALSE,"UNIT";#N/A,#N/A,FALSE,"UNIT";#N/A,#N/A,FALSE,"계정"}</definedName>
    <definedName name="_115s5_" hidden="1">{#N/A,#N/A,FALSE,"UNIT";#N/A,#N/A,FALSE,"UNIT";#N/A,#N/A,FALSE,"계정"}</definedName>
    <definedName name="_116A1_" hidden="1">{#N/A,#N/A,FALSE,"신규dep";#N/A,#N/A,FALSE,"신규dep-금형상각후";#N/A,#N/A,FALSE,"신규dep-연구비상각후";#N/A,#N/A,FALSE,"신규dep-기계,공구상각후"}</definedName>
    <definedName name="_116s6_"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hidden="1">{#N/A,#N/A,FALSE,"단축1";#N/A,#N/A,FALSE,"단축2";#N/A,#N/A,FALSE,"단축3";#N/A,#N/A,FALSE,"장축";#N/A,#N/A,FALSE,"4WD"}</definedName>
    <definedName name="_123GRAPH_LBL_B1" hidden="1">#REF!</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hidden="1">{#N/A,#N/A,FALSE,"UNIT";#N/A,#N/A,FALSE,"UNIT";#N/A,#N/A,FALSE,"계정"}</definedName>
    <definedName name="_12월">#REF!</definedName>
    <definedName name="_13">#N/A</definedName>
    <definedName name="_13__123Graph_BCHART_1" hidden="1">#REF!</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hidden="1">{#N/A,#N/A,FALSE,"UNIT";#N/A,#N/A,FALSE,"UNIT";#N/A,#N/A,FALSE,"계정"}</definedName>
    <definedName name="_15">#N/A</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hidden="1">{#N/A,#N/A,FALSE,"단축1";#N/A,#N/A,FALSE,"단축2";#N/A,#N/A,FALSE,"단축3";#N/A,#N/A,FALSE,"장축";#N/A,#N/A,FALSE,"4WD"}</definedName>
    <definedName name="_151e2_" hidden="1">{#N/A,#N/A,FALSE,"단축1";#N/A,#N/A,FALSE,"단축2";#N/A,#N/A,FALSE,"단축3";#N/A,#N/A,FALSE,"장축";#N/A,#N/A,FALSE,"4WD"}</definedName>
    <definedName name="_152e3_" hidden="1">{#N/A,#N/A,FALSE,"단축1";#N/A,#N/A,FALSE,"단축2";#N/A,#N/A,FALSE,"단축3";#N/A,#N/A,FALSE,"장축";#N/A,#N/A,FALSE,"4WD"}</definedName>
    <definedName name="_153e4_" hidden="1">{#N/A,#N/A,FALSE,"단축1";#N/A,#N/A,FALSE,"단축2";#N/A,#N/A,FALSE,"단축3";#N/A,#N/A,FALSE,"장축";#N/A,#N/A,FALSE,"4WD"}</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hidden="1">{#N/A,#N/A,FALSE,"단축1";#N/A,#N/A,FALSE,"단축2";#N/A,#N/A,FALSE,"단축3";#N/A,#N/A,FALSE,"장축";#N/A,#N/A,FALSE,"4WD"}</definedName>
    <definedName name="_155e6_" hidden="1">{#N/A,#N/A,FALSE,"단축1";#N/A,#N/A,FALSE,"단축2";#N/A,#N/A,FALSE,"단축3";#N/A,#N/A,FALSE,"장축";#N/A,#N/A,FALSE,"4WD"}</definedName>
    <definedName name="_156e7_"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hidden="1">{#N/A,#N/A,FALSE,"UNIT";#N/A,#N/A,FALSE,"UNIT";#N/A,#N/A,FALSE,"계정"}</definedName>
    <definedName name="_17">#N/A</definedName>
    <definedName name="_17__123Graph_CCHART_1" hidden="1">#REF!</definedName>
    <definedName name="_17_7_0__123Graph_LB" hidden="1">#REF!</definedName>
    <definedName name="_174q1_" hidden="1">{#N/A,#N/A,FALSE,"단축1";#N/A,#N/A,FALSE,"단축2";#N/A,#N/A,FALSE,"단축3";#N/A,#N/A,FALSE,"장축";#N/A,#N/A,FALSE,"4WD"}</definedName>
    <definedName name="_175q3_" hidden="1">{#N/A,#N/A,FALSE,"단축1";#N/A,#N/A,FALSE,"단축2";#N/A,#N/A,FALSE,"단축3";#N/A,#N/A,FALSE,"장축";#N/A,#N/A,FALSE,"4WD"}</definedName>
    <definedName name="_176q5_"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hidden="1">{#N/A,#N/A,FALSE,"단축1";#N/A,#N/A,FALSE,"단축2";#N/A,#N/A,FALSE,"단축3";#N/A,#N/A,FALSE,"장축";#N/A,#N/A,FALSE,"4WD"}</definedName>
    <definedName name="_186s4_" hidden="1">{#N/A,#N/A,FALSE,"단축1";#N/A,#N/A,FALSE,"단축2";#N/A,#N/A,FALSE,"단축3";#N/A,#N/A,FALSE,"장축";#N/A,#N/A,FALSE,"4WD"}</definedName>
    <definedName name="_187s5_"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hidden="1">{#N/A,#N/A,FALSE,"UNIT";#N/A,#N/A,FALSE,"UNIT";#N/A,#N/A,FALSE,"계정"}</definedName>
    <definedName name="_19">#N/A</definedName>
    <definedName name="_19_0All.Colu">#REF!</definedName>
    <definedName name="_19_7_0__123Grap" hidden="1">#REF!</definedName>
    <definedName name="_190s8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T3_" hidden="1">{#N/A,#N/A,FALSE,"단축1";#N/A,#N/A,FALSE,"단축2";#N/A,#N/A,FALSE,"단축3";#N/A,#N/A,FALSE,"장축";#N/A,#N/A,FALSE,"4WD"}</definedName>
    <definedName name="_193U1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hidden="1">{#N/A,#N/A,FALSE,"단축1";#N/A,#N/A,FALSE,"단축2";#N/A,#N/A,FALSE,"단축3";#N/A,#N/A,FALSE,"장축";#N/A,#N/A,FALSE,"4WD"}</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hidden="1">{#N/A,#N/A,FALSE,"신규dep";#N/A,#N/A,FALSE,"신규dep-금형상각후";#N/A,#N/A,FALSE,"신규dep-연구비상각후";#N/A,#N/A,FALSE,"신규dep-기계,공구상각후"}</definedName>
    <definedName name="_201x1_" hidden="1">{#N/A,#N/A,FALSE,"단축1";#N/A,#N/A,FALSE,"단축2";#N/A,#N/A,FALSE,"단축3";#N/A,#N/A,FALSE,"장축";#N/A,#N/A,FALSE,"4WD"}</definedName>
    <definedName name="_202x2_" hidden="1">{#N/A,#N/A,FALSE,"단축1";#N/A,#N/A,FALSE,"단축2";#N/A,#N/A,FALSE,"단축3";#N/A,#N/A,FALSE,"장축";#N/A,#N/A,FALSE,"4WD"}</definedName>
    <definedName name="_203z1_" hidden="1">{#N/A,#N/A,FALSE,"단축1";#N/A,#N/A,FALSE,"단축2";#N/A,#N/A,FALSE,"단축3";#N/A,#N/A,FALSE,"장축";#N/A,#N/A,FALSE,"4WD"}</definedName>
    <definedName name="_204z2_"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hidden="1">{#N/A,#N/A,FALSE,"UNIT";#N/A,#N/A,FALSE,"UNIT";#N/A,#N/A,FALSE,"계정"}</definedName>
    <definedName name="_20T1">#REF!</definedName>
    <definedName name="_20T2">#REF!</definedName>
    <definedName name="_21">#N/A</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hidden="1">{#N/A,#N/A,FALSE,"단축1";#N/A,#N/A,FALSE,"단축2";#N/A,#N/A,FALSE,"단축3";#N/A,#N/A,FALSE,"장축";#N/A,#N/A,FALSE,"4WD"}</definedName>
    <definedName name="_22s4_" hidden="1">{#N/A,#N/A,FALSE,"UNIT";#N/A,#N/A,FALSE,"UNIT";#N/A,#N/A,FALSE,"계정"}</definedName>
    <definedName name="_23">#N/A</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hidden="1">{#N/A,#N/A,FALSE,"UNIT";#N/A,#N/A,FALSE,"UNIT";#N/A,#N/A,FALSE,"계정"}</definedName>
    <definedName name="_25">#N/A</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hidden="1">{#N/A,#N/A,FALSE,"UNIT";#N/A,#N/A,FALSE,"UNIT";#N/A,#N/A,FALSE,"계정"}</definedName>
    <definedName name="_27">#N/A</definedName>
    <definedName name="_27_" hidden="1">#REF!</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hidden="1">{#N/A,#N/A,FALSE,"UNIT";#N/A,#N/A,FALSE,"UNIT";#N/A,#N/A,FALSE,"계정"}</definedName>
    <definedName name="_29">#N/A</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hidden="1">{#N/A,#N/A,FALSE,"단축1";#N/A,#N/A,FALSE,"단축2";#N/A,#N/A,FALSE,"단축3";#N/A,#N/A,FALSE,"장축";#N/A,#N/A,FALSE,"4WD"}</definedName>
    <definedName name="_A501798">#REF!</definedName>
    <definedName name="_a80000">#REF!</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hidden="1">{#N/A,#N/A,TRUE,"경전'96(1)";#N/A,#N/A,TRUE,"경전'96 (2)"}</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hidden="1">{#N/A,#N/A,FALSE,"UNIT";#N/A,#N/A,FALSE,"UNIT";#N/A,#N/A,FALSE,"계정"}</definedName>
    <definedName name="_s11" hidden="1">{#N/A,#N/A,FALSE,"UNIT";#N/A,#N/A,FALSE,"UNIT";#N/A,#N/A,FALSE,"계정"}</definedName>
    <definedName name="_s12" hidden="1">{#N/A,#N/A,FALSE,"UNIT";#N/A,#N/A,FALSE,"UNIT";#N/A,#N/A,FALSE,"계정"}</definedName>
    <definedName name="_s13" hidden="1">{#N/A,#N/A,FALSE,"UNIT";#N/A,#N/A,FALSE,"UNIT";#N/A,#N/A,FALSE,"계정"}</definedName>
    <definedName name="_s14" hidden="1">{#N/A,#N/A,FALSE,"UNIT";#N/A,#N/A,FALSE,"UNIT";#N/A,#N/A,FALSE,"계정"}</definedName>
    <definedName name="_s16" hidden="1">{#N/A,#N/A,FALSE,"UNIT";#N/A,#N/A,FALSE,"UNIT";#N/A,#N/A,FALSE,"계정"}</definedName>
    <definedName name="_s17" hidden="1">{#N/A,#N/A,FALSE,"UNIT";#N/A,#N/A,FALSE,"UNIT";#N/A,#N/A,FALSE,"계정"}</definedName>
    <definedName name="_s2" hidden="1">#REF!</definedName>
    <definedName name="_s3" hidden="1">{#N/A,#N/A,FALSE,"UNIT";#N/A,#N/A,FALSE,"UNIT";#N/A,#N/A,FALSE,"계정"}</definedName>
    <definedName name="_s4" hidden="1">{#N/A,#N/A,FALSE,"UNIT";#N/A,#N/A,FALSE,"UNIT";#N/A,#N/A,FALSE,"계정"}</definedName>
    <definedName name="_s5" hidden="1">{#N/A,#N/A,FALSE,"UNIT";#N/A,#N/A,FALSE,"UNIT";#N/A,#N/A,FALSE,"계정"}</definedName>
    <definedName name="_s6" hidden="1">{#N/A,#N/A,FALSE,"UNIT";#N/A,#N/A,FALSE,"UNIT";#N/A,#N/A,FALSE,"계정"}</definedName>
    <definedName name="_s9" hidden="1">{#N/A,#N/A,FALSE,"UNIT";#N/A,#N/A,FALSE,"UNIT";#N/A,#N/A,FALSE,"계정"}</definedName>
    <definedName name="_SAF2" hidden="1">{#N/A,#N/A,FALSE,"Aging Summary";#N/A,#N/A,FALSE,"Ratio Analysis";#N/A,#N/A,FALSE,"Test 120 Day Accts";#N/A,#N/A,FALSE,"Tickmarks"}</definedName>
    <definedName name="_sd" hidden="1">#REF!</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hidden="1">{#N/A,#N/A,FALSE,"Aging Summary";#N/A,#N/A,FALSE,"Ratio Analysis";#N/A,#N/A,FALSE,"Test 120 Day Accts";#N/A,#N/A,FALSE,"Tickmarks"}</definedName>
    <definedName name="_WRN2" hidden="1">{#N/A,#N/A,FALSE,"단축1";#N/A,#N/A,FALSE,"단축2";#N/A,#N/A,FALSE,"단축3";#N/A,#N/A,FALSE,"장축";#N/A,#N/A,FALSE,"4WD"}</definedName>
    <definedName name="_wsb5">#REF!</definedName>
    <definedName name="_wuie" hidden="1">#REF!</definedName>
    <definedName name="_X">#REF!</definedName>
    <definedName name="_XG2" hidden="1">{#N/A,#N/A,FALSE,"단축1";#N/A,#N/A,FALSE,"단축2";#N/A,#N/A,FALSE,"단축3";#N/A,#N/A,FALSE,"장축";#N/A,#N/A,FALSE,"4WD"}</definedName>
    <definedName name="_xkd" hidden="1">#REF!</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hidden="1">{#N/A,#N/A,FALSE,"BS";#N/A,#N/A,FALSE,"PL";#N/A,#N/A,FALSE,"처분";#N/A,#N/A,FALSE,"현금";#N/A,#N/A,FALSE,"매출";#N/A,#N/A,FALSE,"원가";#N/A,#N/A,FALSE,"경영"}</definedName>
    <definedName name="☞">#N/A</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hidden="1">#REF!</definedName>
    <definedName name="aaaaa" hidden="1">#REF!</definedName>
    <definedName name="AAAAAA">#REF!</definedName>
    <definedName name="aaaaaaa" hidden="1">{#N/A,#N/A,FALSE,"type1";#N/A,#N/A,FALSE,"지지력";#N/A,#N/A,FALSE,"PILE계산";#N/A,#N/A,FALSE,"PILE ";#N/A,#N/A,FALSE,"철근량";#N/A,#N/A,FALSE,"균열검토";#N/A,#N/A,FALSE,"날개벽";#N/A,#N/A,FALSE,"주철근조립도";#N/A,#N/A,FALSE,"교좌"}</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hidden="1">{#N/A,#N/A,FALSE,"정공"}</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hidden="1">{#N/A,#N/A,FALSE,"단축1";#N/A,#N/A,FALSE,"단축2";#N/A,#N/A,FALSE,"단축3";#N/A,#N/A,FALSE,"장축";#N/A,#N/A,FALSE,"4WD"}</definedName>
    <definedName name="Aas" hidden="1">{#N/A,#N/A,FALSE,"을지 (4)";#N/A,#N/A,FALSE,"을지 (5)";#N/A,#N/A,FALSE,"을지 (6)"}</definedName>
    <definedName name="aasdfa" hidden="1">{"rtn",#N/A,FALSE,"RTN";"tables",#N/A,FALSE,"RTN";"cf",#N/A,FALSE,"CF";"stats",#N/A,FALSE,"Stats";"prop",#N/A,FALSE,"Prop"}</definedName>
    <definedName name="AAZZ">#N/A</definedName>
    <definedName name="AB">#REF!</definedName>
    <definedName name="ABAP">#REF!</definedName>
    <definedName name="ABC" hidden="1">{#N/A,#N/A,FALSE,"초도품";#N/A,#N/A,FALSE,"초도품 (2)";#N/A,#N/A,FALSE,"초도품 (3)";#N/A,#N/A,FALSE,"초도품 (4)";#N/A,#N/A,FALSE,"초도품 (5)";#N/A,#N/A,FALSE,"초도품 (6)"}</definedName>
    <definedName name="abcd">#N/A</definedName>
    <definedName name="abcde">#N/A</definedName>
    <definedName name="ABCDEF" hidden="1">{#N/A,#N/A,FALSE,"정공"}</definedName>
    <definedName name="ABCD관리" hidden="1">{#N/A,#N/A,FALSE,"정공"}</definedName>
    <definedName name="ABDD" hidden="1">{#N/A,#N/A,FALSE,"단축1";#N/A,#N/A,FALSE,"단축2";#N/A,#N/A,FALSE,"단축3";#N/A,#N/A,FALSE,"장축";#N/A,#N/A,FALSE,"4WD"}</definedName>
    <definedName name="ABS_원부_수납">#REF!</definedName>
    <definedName name="ABS_원부_약정">#REF!</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hidden="1">{#N/A,#N/A,FALSE,"을지 (4)";#N/A,#N/A,FALSE,"을지 (5)";#N/A,#N/A,FALSE,"을지 (6)"}</definedName>
    <definedName name="ADA">#REF!</definedName>
    <definedName name="ADC" hidden="1">#REF!</definedName>
    <definedName name="Adcetris">#REF!</definedName>
    <definedName name="add" hidden="1">{#N/A,#N/A,FALSE,"Aging Summary";#N/A,#N/A,FALSE,"Ratio Analysis";#N/A,#N/A,FALSE,"Test 120 Day Accts";#N/A,#N/A,FALSE,"Tickmarks"}</definedName>
    <definedName name="adf" hidden="1">#REF!</definedName>
    <definedName name="adfasdfdafadf">BlankMacro1</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{"'Sheet1'!$A$1:$C$75"}</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DSF"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hidden="1">{#N/A,#N/A,FALSE,"Sheet1"}</definedName>
    <definedName name="ADSFAEG">#N/A</definedName>
    <definedName name="ADSGHJHGJ" hidden="1">{#N/A,#N/A,FALSE,"단축1";#N/A,#N/A,FALSE,"단축2";#N/A,#N/A,FALSE,"단축3";#N/A,#N/A,FALSE,"장축";#N/A,#N/A,FALSE,"4WD"}</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BlankMacro1</definedName>
    <definedName name="afdasgh" hidden="1">{#N/A,#N/A,FALSE,"CCTV"}</definedName>
    <definedName name="afdd" hidden="1">#REF!</definedName>
    <definedName name="afds">#REF!</definedName>
    <definedName name="afdsfdg" hidden="1">{#N/A,#N/A,FALSE,"CCTV"}</definedName>
    <definedName name="aff" hidden="1">{#N/A,#N/A,FALSE,"단축1";#N/A,#N/A,FALSE,"단축2";#N/A,#N/A,FALSE,"단축3";#N/A,#N/A,FALSE,"장축";#N/A,#N/A,FALSE,"4WD"}</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BLCH</definedName>
    <definedName name="AIRCON" hidden="1">{#N/A,#N/A,FALSE,"단축1";#N/A,#N/A,FALSE,"단축2";#N/A,#N/A,FALSE,"단축3";#N/A,#N/A,FALSE,"장축";#N/A,#N/A,FALSE,"4WD"}</definedName>
    <definedName name="AI상">#REF!</definedName>
    <definedName name="AKS" hidden="1">{#N/A,#N/A,FALSE,"BS";#N/A,#N/A,FALSE,"PL";#N/A,#N/A,FALSE,"처분";#N/A,#N/A,FALSE,"현금";#N/A,#N/A,FALSE,"매출";#N/A,#N/A,FALSE,"원가";#N/A,#N/A,FALSE,"경영"}</definedName>
    <definedName name="AL">#REF!</definedName>
    <definedName name="AL_ANODE">#N/A</definedName>
    <definedName name="alf" hidden="1">{#N/A,#N/A,TRUE,"경전'96(1)";#N/A,#N/A,TRUE,"경전'96 (2)"}</definedName>
    <definedName name="Align">#REF!</definedName>
    <definedName name="alk" hidden="1">#REF!</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hidden="1">{#N/A,#N/A,FALSE,"UNIT";#N/A,#N/A,FALSE,"UNIT";#N/A,#N/A,FALSE,"계정"}</definedName>
    <definedName name="amaryl">#REF!</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hidden="1">{#N/A,#N/A,FALSE,"채권채무";#N/A,#N/A,FALSE,"control sheet"}</definedName>
    <definedName name="AOCNFTHSDLR" hidden="1">{#N/A,#N/A,FALSE,"정공"}</definedName>
    <definedName name="aolin1"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hidden="1">{#N/A,#N/A,FALSE,"단축1";#N/A,#N/A,FALSE,"단축2";#N/A,#N/A,FALSE,"단축3";#N/A,#N/A,FALSE,"장축";#N/A,#N/A,FALSE,"4WD"}</definedName>
    <definedName name="ASAMT">#N/A</definedName>
    <definedName name="asas" hidden="1">{#N/A,#N/A,TRUE,"변동비고정비분류(5단계)";#N/A,#N/A,TRUE,"변동비고정비분류(5단계)"}</definedName>
    <definedName name="asasas" hidden="1">{#N/A,#N/A,FALSE,"Aging Summary";#N/A,#N/A,FALSE,"Ratio Analysis";#N/A,#N/A,FALSE,"Test 120 Day Accts";#N/A,#N/A,FALSE,"Tickmarks"}</definedName>
    <definedName name="asasasws" hidden="1">{#N/A,#N/A,FALSE,"단축1";#N/A,#N/A,FALSE,"단축2";#N/A,#N/A,FALSE,"단축3";#N/A,#N/A,FALSE,"장축";#N/A,#N/A,FALSE,"4WD"}</definedName>
    <definedName name="asd">#REF!</definedName>
    <definedName name="asdas" hidden="1">{#N/A,#N/A,FALSE,"Performance Flash Report"}</definedName>
    <definedName name="asdas_1" hidden="1">{#N/A,#N/A,FALSE,"Performance Flash Report"}</definedName>
    <definedName name="asdas_1_1" hidden="1">{#N/A,#N/A,FALSE,"Performance Flash Report"}</definedName>
    <definedName name="asdas_1_2" hidden="1">{#N/A,#N/A,FALSE,"Performance Flash Report"}</definedName>
    <definedName name="asdas_1_3" hidden="1">{#N/A,#N/A,FALSE,"Performance Flash Report"}</definedName>
    <definedName name="asdas_1_4" hidden="1">{#N/A,#N/A,FALSE,"Performance Flash Report"}</definedName>
    <definedName name="asdas_2" hidden="1">{#N/A,#N/A,FALSE,"Performance Flash Report"}</definedName>
    <definedName name="asdas_2_1" hidden="1">{#N/A,#N/A,FALSE,"Performance Flash Report"}</definedName>
    <definedName name="asdas_2_2" hidden="1">{#N/A,#N/A,FALSE,"Performance Flash Report"}</definedName>
    <definedName name="asdas_2_3" hidden="1">{#N/A,#N/A,FALSE,"Performance Flash Report"}</definedName>
    <definedName name="asdas_2_4" hidden="1">{#N/A,#N/A,FALSE,"Performance Flash Report"}</definedName>
    <definedName name="asdas_3" hidden="1">{#N/A,#N/A,FALSE,"Performance Flash Report"}</definedName>
    <definedName name="asdas_3_1" hidden="1">{#N/A,#N/A,FALSE,"Performance Flash Report"}</definedName>
    <definedName name="asdas_3_2" hidden="1">{#N/A,#N/A,FALSE,"Performance Flash Report"}</definedName>
    <definedName name="asdas_3_3" hidden="1">{#N/A,#N/A,FALSE,"Performance Flash Report"}</definedName>
    <definedName name="asdas_3_4" hidden="1">{#N/A,#N/A,FALSE,"Performance Flash Report"}</definedName>
    <definedName name="asdas_4" hidden="1">{#N/A,#N/A,FALSE,"Performance Flash Report"}</definedName>
    <definedName name="asdas_4_1" hidden="1">{#N/A,#N/A,FALSE,"Performance Flash Report"}</definedName>
    <definedName name="asdas_4_2" hidden="1">{#N/A,#N/A,FALSE,"Performance Flash Report"}</definedName>
    <definedName name="asdas_4_3" hidden="1">{#N/A,#N/A,FALSE,"Performance Flash Report"}</definedName>
    <definedName name="asdas_4_4" hidden="1">{#N/A,#N/A,FALSE,"Performance Flash Report"}</definedName>
    <definedName name="asdas_5" hidden="1">{#N/A,#N/A,FALSE,"Performance Flash Report"}</definedName>
    <definedName name="asdas_5_1" hidden="1">{#N/A,#N/A,FALSE,"Performance Flash Report"}</definedName>
    <definedName name="asdas_5_2" hidden="1">{#N/A,#N/A,FALSE,"Performance Flash Report"}</definedName>
    <definedName name="asdas_5_3" hidden="1">{#N/A,#N/A,FALSE,"Performance Flash Report"}</definedName>
    <definedName name="asdas_5_4" hidden="1">{#N/A,#N/A,FALSE,"Performance Flash Report"}</definedName>
    <definedName name="asdasxfdasfasgadsrts" hidden="1">{#N/A,#N/A,FALSE,"CCTV"}</definedName>
    <definedName name="asdf" hidden="1">#REF!</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hidden="1">{"print 1.6",#N/A,FALSE,"Sheet1";"print 2.6",#N/A,FALSE,"Sheet1";"print 3.6",#N/A,FALSE,"Sheet1";"print 4.6",#N/A,FALSE,"Sheet1";"print 5.6",#N/A,FALSE,"Sheet1";"print 6.6",#N/A,FALSE,"Sheet1"}</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{"Book1"}</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hidden="1">{#N/A,#N/A,FALSE,"단축1";#N/A,#N/A,FALSE,"단축2";#N/A,#N/A,FALSE,"단축3";#N/A,#N/A,FALSE,"장축";#N/A,#N/A,FALSE,"4WD"}</definedName>
    <definedName name="ASE" hidden="1">{#N/A,#N/A,FALSE,"초도품";#N/A,#N/A,FALSE,"초도품 (2)";#N/A,#N/A,FALSE,"초도품 (3)";#N/A,#N/A,FALSE,"초도품 (4)";#N/A,#N/A,FALSE,"초도품 (5)";#N/A,#N/A,FALSE,"초도품 (6)"}</definedName>
    <definedName name="asf">#REF!</definedName>
    <definedName name="asfasdfasdf">BlankMacro1</definedName>
    <definedName name="asfd" hidden="1">#REF!</definedName>
    <definedName name="asfdsfas">BlankMacro1</definedName>
    <definedName name="asfg">#REF!</definedName>
    <definedName name="ASS" hidden="1">{#N/A,#N/A,FALSE,"을지 (4)";#N/A,#N/A,FALSE,"을지 (5)";#N/A,#N/A,FALSE,"을지 (6)"}</definedName>
    <definedName name="ASSA"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hidden="1">{#N/A,#N/A,FALSE,"채권채무";#N/A,#N/A,FALSE,"control sheet"}</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hidden="1">{#N/A,#N/A,FALSE,"단축1";#N/A,#N/A,FALSE,"단축2";#N/A,#N/A,FALSE,"단축3";#N/A,#N/A,FALSE,"장축";#N/A,#N/A,FALSE,"4WD"}</definedName>
    <definedName name="asxz">#N/A</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hidden="1">{#N/A,#N/A,FALSE,"초도품";#N/A,#N/A,FALSE,"초도품 (2)";#N/A,#N/A,FALSE,"초도품 (3)";#N/A,#N/A,FALSE,"초도품 (4)";#N/A,#N/A,FALSE,"초도품 (5)";#N/A,#N/A,FALSE,"초도품 (6)"}</definedName>
    <definedName name="awear">#REF!</definedName>
    <definedName name="awefrqwr" hidden="1">{#N/A,#N/A,FALSE,"Pharm";#N/A,#N/A,FALSE,"WWCM"}</definedName>
    <definedName name="awsd">#REF!</definedName>
    <definedName name="Ax">#REF!</definedName>
    <definedName name="axcdf" hidden="1">{#N/A,#N/A,FALSE,"정공"}</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hidden="1">{#N/A,#N/A,FALSE,"P.C.B"}</definedName>
    <definedName name="BankKey">#REF!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BlankMacro1</definedName>
    <definedName name="bbase">#REF!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hidden="1">{"Outflow 1",#N/A,FALSE,"Outflows-Inflows";"Outflow 2",#N/A,FALSE,"Outflows-Inflows";"Inflow 1",#N/A,FALSE,"Outflows-Inflows";"Inflow 2",#N/A,FALSE,"Outflows-Inflows"}</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hidden="1">{#N/A,#N/A,FALSE,"Sheet1"}</definedName>
    <definedName name="bdtgr">#REF!</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hidden="1">{"income statement",#N/A,FALSE,"ATLAS-A"}</definedName>
    <definedName name="BF">#REF!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hidden="1">{#N/A,#N/A,FALSE,"Sheet6"}</definedName>
    <definedName name="BHU">#REF!</definedName>
    <definedName name="BI" hidden="1">{#N/A,#N/A,FALSE,"이태원철근"}</definedName>
    <definedName name="BIDO" hidden="1">#REF!</definedName>
    <definedName name="BIGO">#N/A</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hidden="1">{#N/A,#N/A,FALSE,"Performance Flash Report"}</definedName>
    <definedName name="blah2_1" hidden="1">{#N/A,#N/A,FALSE,"Performance Flash Report"}</definedName>
    <definedName name="blah2_1_1" hidden="1">{#N/A,#N/A,FALSE,"Performance Flash Report"}</definedName>
    <definedName name="blah2_1_2" hidden="1">{#N/A,#N/A,FALSE,"Performance Flash Report"}</definedName>
    <definedName name="blah2_1_3" hidden="1">{#N/A,#N/A,FALSE,"Performance Flash Report"}</definedName>
    <definedName name="blah2_1_4" hidden="1">{#N/A,#N/A,FALSE,"Performance Flash Report"}</definedName>
    <definedName name="blah2_2" hidden="1">{#N/A,#N/A,FALSE,"Performance Flash Report"}</definedName>
    <definedName name="blah2_2_1" hidden="1">{#N/A,#N/A,FALSE,"Performance Flash Report"}</definedName>
    <definedName name="blah2_2_2" hidden="1">{#N/A,#N/A,FALSE,"Performance Flash Report"}</definedName>
    <definedName name="blah2_2_3" hidden="1">{#N/A,#N/A,FALSE,"Performance Flash Report"}</definedName>
    <definedName name="blah2_2_4" hidden="1">{#N/A,#N/A,FALSE,"Performance Flash Report"}</definedName>
    <definedName name="blah2_3" hidden="1">{#N/A,#N/A,FALSE,"Performance Flash Report"}</definedName>
    <definedName name="blah2_3_1" hidden="1">{#N/A,#N/A,FALSE,"Performance Flash Report"}</definedName>
    <definedName name="blah2_3_2" hidden="1">{#N/A,#N/A,FALSE,"Performance Flash Report"}</definedName>
    <definedName name="blah2_3_3" hidden="1">{#N/A,#N/A,FALSE,"Performance Flash Report"}</definedName>
    <definedName name="blah2_3_4" hidden="1">{#N/A,#N/A,FALSE,"Performance Flash Report"}</definedName>
    <definedName name="blah2_4" hidden="1">{#N/A,#N/A,FALSE,"Performance Flash Report"}</definedName>
    <definedName name="blah2_4_1" hidden="1">{#N/A,#N/A,FALSE,"Performance Flash Report"}</definedName>
    <definedName name="blah2_4_2" hidden="1">{#N/A,#N/A,FALSE,"Performance Flash Report"}</definedName>
    <definedName name="blah2_4_3" hidden="1">{#N/A,#N/A,FALSE,"Performance Flash Report"}</definedName>
    <definedName name="blah2_4_4" hidden="1">{#N/A,#N/A,FALSE,"Performance Flash Report"}</definedName>
    <definedName name="blah2_5" hidden="1">{#N/A,#N/A,FALSE,"Performance Flash Report"}</definedName>
    <definedName name="blah2_5_1" hidden="1">{#N/A,#N/A,FALSE,"Performance Flash Report"}</definedName>
    <definedName name="blah2_5_2" hidden="1">{#N/A,#N/A,FALSE,"Performance Flash Report"}</definedName>
    <definedName name="blah2_5_3"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hidden="1">{#N/A,#N/A,FALSE,"CCTV"}</definedName>
    <definedName name="BN">BlankMacro1</definedName>
    <definedName name="BNE_MESSAGES_HIDDEN" hidden="1">#REF!</definedName>
    <definedName name="bnumber">#REF!</definedName>
    <definedName name="bnwgr">#REF!</definedName>
    <definedName name="Bo">#REF!</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hidden="1">{#N/A,#N/A,FALSE,"단축1";#N/A,#N/A,FALSE,"단축2";#N/A,#N/A,FALSE,"단축3";#N/A,#N/A,FALSE,"장축";#N/A,#N/A,FALSE,"4WD"}</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hidden="1">{#N/A,#N/A,FALSE,"지침";#N/A,#N/A,FALSE,"환경분석";#N/A,#N/A,FALSE,"Sheet16"}</definedName>
    <definedName name="BS_후">#REF!,#REF!,#REF!,#REF!,#REF!,#REF!</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hidden="1">{"Outflow 1",#N/A,FALSE,"Outflows-Inflows";"Outflow 2",#N/A,FALSE,"Outflows-Inflows";"Inflow 1",#N/A,FALSE,"Outflows-Inflows";"Inflow 2",#N/A,FALSE,"Outflows-Inflows"}</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hidden="1">{#N/A,#N/A,FALSE,"단축1";#N/A,#N/A,FALSE,"단축2";#N/A,#N/A,FALSE,"단축3";#N/A,#N/A,FALSE,"장축";#N/A,#N/A,FALSE,"4WD"}</definedName>
    <definedName name="calculations">#REF!</definedName>
    <definedName name="CALENDAR" hidden="1">{#N/A,#N/A,TRUE,"Y생산";#N/A,#N/A,TRUE,"Y판매";#N/A,#N/A,TRUE,"Y총물량";#N/A,#N/A,TRUE,"Y능력";#N/A,#N/A,TRUE,"YKD"}</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PA9798" hidden="1">{#N/A,#N/A,FALSE,"P.C.B"}</definedName>
    <definedName name="CAPBOH">#N/A</definedName>
    <definedName name="CAPCOST">#REF!</definedName>
    <definedName name="CAPEOH">#N/A</definedName>
    <definedName name="Capex2">#REF!</definedName>
    <definedName name="capital">#REF!</definedName>
    <definedName name="CARRIER"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hidden="1">{"'5국공정'!$A$1:$E$128"}</definedName>
    <definedName name="CCC" hidden="1">#REF!</definedName>
    <definedName name="cccccccccccccccccccccc">#N/A</definedName>
    <definedName name="cccddd" hidden="1">{#N/A,#N/A,FALSE,"단축1";#N/A,#N/A,FALSE,"단축2";#N/A,#N/A,FALSE,"단축3";#N/A,#N/A,FALSE,"장축";#N/A,#N/A,FALSE,"4WD"}</definedName>
    <definedName name="CCR" hidden="1">{#N/A,#N/A,FALSE,"CCTV"}</definedName>
    <definedName name="CCR빈양식" hidden="1">{#N/A,#N/A,FALSE,"CCTV"}</definedName>
    <definedName name="cd">BlankMacro1</definedName>
    <definedName name="cDATA1">#REF!</definedName>
    <definedName name="CDB">CommonDB.xls</definedName>
    <definedName name="cdf">BlankMacro1</definedName>
    <definedName name="CENTA">#REF!</definedName>
    <definedName name="CENTA1">#REF!</definedName>
    <definedName name="CF">#N/A</definedName>
    <definedName name="CF_Eng">#REF!</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FICode_Datapage">#REF!</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hidden="1">{"'용역비'!$A$4:$C$8"}</definedName>
    <definedName name="ch_BS">#REF!</definedName>
    <definedName name="ch_PL">#REF!</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BlankMacro1</definedName>
    <definedName name="CIE">BlankMacro1</definedName>
    <definedName name="CIG">BlankMacro1</definedName>
    <definedName name="CIGH">BlankMacro1</definedName>
    <definedName name="CIGJL">BlankMacro1</definedName>
    <definedName name="CIHG">BlankMacro1</definedName>
    <definedName name="ciperiod">#REF!</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BlankMacro1</definedName>
    <definedName name="CK">#REF!</definedName>
    <definedName name="CKEI">BlankMacro1</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hidden="1">{"'Price List '!$A$1:$R$156"}</definedName>
    <definedName name="CONSUM">#REF!</definedName>
    <definedName name="ContentsHelp" hidden="1">#REF!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hidden="1">{#N/A,#N/A,FALSE,"단축1";#N/A,#N/A,FALSE,"단축2";#N/A,#N/A,FALSE,"단축3";#N/A,#N/A,FALSE,"장축";#N/A,#N/A,FALSE,"4WD"}</definedName>
    <definedName name="cox" hidden="1">{#N/A,#N/A,FALSE,"Time Warner";#N/A,#N/A,FALSE,"Entertainment Group";#N/A,#N/A,FALSE,"EBITDA";#N/A,#N/A,FALSE,"Notes"}</definedName>
    <definedName name="CO상">#REF!</definedName>
    <definedName name="cp">#REF!</definedName>
    <definedName name="CPAD" hidden="1">{#N/A,#N/A,FALSE,"단축1";#N/A,#N/A,FALSE,"단축2";#N/A,#N/A,FALSE,"단축3";#N/A,#N/A,FALSE,"장축";#N/A,#N/A,FALSE,"4WD"}</definedName>
    <definedName name="CPIU00">3%</definedName>
    <definedName name="CPIU01">4%</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hidden="1">{"'Jibu9811 (3)'!$B$1:$J$433"}</definedName>
    <definedName name="cvcv" hidden="1">{#N/A,#N/A,FALSE,"Aging Summary";#N/A,#N/A,FALSE,"Ratio Analysis";#N/A,#N/A,FALSE,"Test 120 Day Accts";#N/A,#N/A,FALSE,"Tickmarks"}</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hidden="1">{#N/A,"Base Case",FALSE,"Revenue";#N/A,"£6.25 Fee",FALSE,"Revenue"}</definedName>
    <definedName name="dasdsa">#REF!</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#REF!</definedName>
    <definedName name="DDDDA">BlankMacro1</definedName>
    <definedName name="ddddd" hidden="1">#REF!</definedName>
    <definedName name="dddddd">#N/A</definedName>
    <definedName name="dddddddd" hidden="1">{"'5국공정'!$A$1:$E$128"}</definedName>
    <definedName name="ddddddddd">#REF!</definedName>
    <definedName name="dddddf" hidden="1">{#N/A,#N/A,FALSE,"단축1";#N/A,#N/A,FALSE,"단축2";#N/A,#N/A,FALSE,"단축3";#N/A,#N/A,FALSE,"장축";#N/A,#N/A,FALSE,"4WD"}</definedName>
    <definedName name="dddfg" hidden="1">{#N/A,#N/A,FALSE,"정공"}</definedName>
    <definedName name="dDFA" hidden="1">{#N/A,#N/A,FALSE,"단축1";#N/A,#N/A,FALSE,"단축2";#N/A,#N/A,FALSE,"단축3";#N/A,#N/A,FALSE,"장축";#N/A,#N/A,FALSE,"4WD"}</definedName>
    <definedName name="DDFD" hidden="1">{#N/A,#N/A,FALSE,"CCTV"}</definedName>
    <definedName name="DDQ">BlankMacro1</definedName>
    <definedName name="DDS" hidden="1">{#N/A,#N/A,FALSE,"을지 (4)";#N/A,#N/A,FALSE,"을지 (5)";#N/A,#N/A,FALSE,"을지 (6)"}</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hidden="1">{#N/A,#N/A,TRUE,"Julio";#N/A,#N/A,TRUE,"Agosto";#N/A,#N/A,TRUE,"BHCo";#N/A,#N/A,TRUE,"Abril";#N/A,#N/A,TRUE,"Pro Forma"}</definedName>
    <definedName name="DEFERRED">#REF!</definedName>
    <definedName name="DEFERRED2">#REF!</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hidden="1">{#N/A,#N/A,FALSE,"Aging Summary";#N/A,#N/A,FALSE,"Ratio Analysis";#N/A,#N/A,FALSE,"Test 120 Day Accts";#N/A,#N/A,FALSE,"Tickmarks"}</definedName>
    <definedName name="DFA"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hidden="1">{#N/A,#N/A,FALSE,"Sheet6"}</definedName>
    <definedName name="DFDF" hidden="1">{#N/A,#N/A,FALSE,"Aging Summary";#N/A,#N/A,FALSE,"Ratio Analysis";#N/A,#N/A,FALSE,"Test 120 Day Accts";#N/A,#N/A,FALSE,"Tickmarks"}</definedName>
    <definedName name="dfds">#REF!</definedName>
    <definedName name="dfdsfaf">BlankMacro1</definedName>
    <definedName name="dfdsfdfdfd">#REF!</definedName>
    <definedName name="Dff">#REF!</definedName>
    <definedName name="dffd">#REF!</definedName>
    <definedName name="DFFF" hidden="1">#REF!</definedName>
    <definedName name="dfgdfg">#REF!</definedName>
    <definedName name="DFHGHF" hidden="1">{"'Jibu9811 (3)'!$B$1:$J$433"}</definedName>
    <definedName name="dfhkhfkjsg" hidden="1">{"'Sheet1'!$A$1:$H$36"}</definedName>
    <definedName name="DFJDFJFJFJF" hidden="1">{#N/A,#N/A,TRUE,"Y생산";#N/A,#N/A,TRUE,"Y판매";#N/A,#N/A,TRUE,"Y총물량";#N/A,#N/A,TRUE,"Y능력";#N/A,#N/A,TRUE,"YKD"}</definedName>
    <definedName name="DFJHD" hidden="1">{#N/A,#N/A,FALSE,"단축1";#N/A,#N/A,FALSE,"단축2";#N/A,#N/A,FALSE,"단축3";#N/A,#N/A,FALSE,"장축";#N/A,#N/A,FALSE,"4WD"}</definedName>
    <definedName name="dfjkdhf" hidden="1">{"'Sheet1'!$A$1:$H$36"}</definedName>
    <definedName name="dflhsdpif" hidden="1">{"'Jibu9811 (3)'!$B$1:$J$433"}</definedName>
    <definedName name="dfs" hidden="1">{#N/A,#N/A,FALSE,"Sheet1"}</definedName>
    <definedName name="dfsad" hidden="1">#REF!</definedName>
    <definedName name="DFSD" hidden="1">{#N/A,#N/A,FALSE,"Sheet6"}</definedName>
    <definedName name="dfsdf">#REF!</definedName>
    <definedName name="dfsdsfsfdsfd"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BlankMacro1</definedName>
    <definedName name="DGF" hidden="1">{#N/A,#N/A,FALSE,"단축1";#N/A,#N/A,FALSE,"단축2";#N/A,#N/A,FALSE,"단축3";#N/A,#N/A,FALSE,"장축";#N/A,#N/A,FALSE,"4WD"}</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o">#REF!</definedName>
    <definedName name="dgs" hidden="1">#REF!</definedName>
    <definedName name="dgsg">BLCH</definedName>
    <definedName name="Dgx">#REF!</definedName>
    <definedName name="Dgz">#REF!</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hidden="1">{"'Sheet1'!$A$1:$H$36"}</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hidden="1">{"'용역비'!$A$4:$C$8"}</definedName>
    <definedName name="dhjkfhdjkhslhjkls" hidden="1">{"'Sheet1'!$A$1:$H$36"}</definedName>
    <definedName name="dhksie"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hidden="1">{#N/A,#N/A,TRUE,"경전'96(1)";#N/A,#N/A,TRUE,"경전'96 (2)"}</definedName>
    <definedName name="DJDJ" hidden="1">{#N/A,#N/A,FALSE,"9612"}</definedName>
    <definedName name="djfljdlf">#N/A</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hidden="1">{"'Sheet1'!$A$1:$H$36"}</definedName>
    <definedName name="dk" hidden="1">#REF!</definedName>
    <definedName name="DKD" hidden="1">{#N/A,#N/A,FALSE,"기안지";#N/A,#N/A,FALSE,"통신지"}</definedName>
    <definedName name="dkdk" hidden="1">{#N/A,#N/A,FALSE,"BS";#N/A,#N/A,FALSE,"PL";#N/A,#N/A,FALSE,"처분";#N/A,#N/A,FALSE,"현금";#N/A,#N/A,FALSE,"매출";#N/A,#N/A,FALSE,"원가";#N/A,#N/A,FALSE,"경영"}</definedName>
    <definedName name="dkdkd" hidden="1">{#N/A,#N/A,FALSE,"UNIT";#N/A,#N/A,FALSE,"UNIT";#N/A,#N/A,FALSE,"계정"}</definedName>
    <definedName name="dkdkdk" hidden="1">{"'Sheet1'!$A$1:$H$36"}</definedName>
    <definedName name="dkdlrh" hidden="1">{"'Sheet1'!$A$1:$D$15"}</definedName>
    <definedName name="DKE">BlankMacro1</definedName>
    <definedName name="dkf" hidden="1">{#N/A,#N/A,FALSE,"단축1";#N/A,#N/A,FALSE,"단축2";#N/A,#N/A,FALSE,"단축3";#N/A,#N/A,FALSE,"장축";#N/A,#N/A,FALSE,"4WD"}</definedName>
    <definedName name="DKHG">BlankMacro1</definedName>
    <definedName name="dkiw">BlankMacro1</definedName>
    <definedName name="dkjiqw">#N/A</definedName>
    <definedName name="dkslke" hidden="1">{"'Sheet1'!$A$1:$H$36"}</definedName>
    <definedName name="dl">#REF!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fma" hidden="1">#REF!</definedName>
    <definedName name="dljg" hidden="1">{#N/A,#N/A,FALSE,"기안지";#N/A,#N/A,FALSE,"통신지"}</definedName>
    <definedName name="dltmdwo">#N/A</definedName>
    <definedName name="DLWJS">#REF!</definedName>
    <definedName name="dma" hidden="1">{#N/A,#N/A,FALSE,"BS";#N/A,#N/A,FALSE,"PL";#N/A,#N/A,FALSE,"처분";#N/A,#N/A,FALSE,"현금";#N/A,#N/A,FALSE,"매출";#N/A,#N/A,FALSE,"원가";#N/A,#N/A,FALSE,"경영"}</definedName>
    <definedName name="dmf">#REF!</definedName>
    <definedName name="dnfl">BlankMacro1</definedName>
    <definedName name="dnlksnlkslk" hidden="1">{"'Sheet1'!$A$1:$H$36"}</definedName>
    <definedName name="DNTL" hidden="1">{#N/A,#N/A,FALSE,"단축1";#N/A,#N/A,FALSE,"단축2";#N/A,#N/A,FALSE,"단축3";#N/A,#N/A,FALSE,"장축";#N/A,#N/A,FALSE,"4WD"}</definedName>
    <definedName name="DOC">#REF!</definedName>
    <definedName name="DOCK" hidden="1">#REF!</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hidden="1">{#N/A,#N/A,FALSE,"표지";#N/A,#N/A,FALSE,"전제";#N/A,#N/A,FALSE,"손익-자 (2)";#N/A,#N/A,FALSE,"손익-자";#N/A,#N/A,FALSE,"손익-마 (2)";#N/A,#N/A,FALSE,"손익-마";#N/A,#N/A,FALSE,"총손최종"}</definedName>
    <definedName name="DR" hidden="1">#REF!</definedName>
    <definedName name="dre" hidden="1">{"comp1",#N/A,FALSE,"COMPS";"footnotes",#N/A,FALSE,"COMPS"}</definedName>
    <definedName name="drg" hidden="1">#REF!</definedName>
    <definedName name="DRIVEABILITY" hidden="1">{#N/A,#N/A,FALSE,"단축1";#N/A,#N/A,FALSE,"단축2";#N/A,#N/A,FALSE,"단축3";#N/A,#N/A,FALSE,"장축";#N/A,#N/A,FALSE,"4WD"}</definedName>
    <definedName name="DropdownPerformedby">#REF!</definedName>
    <definedName name="drsg">#REF!</definedName>
    <definedName name="ds">BlankMacro1</definedName>
    <definedName name="DSA" hidden="1">{#N/A,#N/A,FALSE,"을지 (4)";#N/A,#N/A,FALSE,"을지 (5)";#N/A,#N/A,FALSE,"을지 (6)"}</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hidden="1">{"Monthly 1999 Stats",#N/A,FALSE,"Months";"Monthly 1999 IS",#N/A,FALSE,"Months"}</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hidden="1">{#N/A,#N/A,FALSE,"Aging Summary";#N/A,#N/A,FALSE,"Ratio Analysis";#N/A,#N/A,FALSE,"Test 120 Day Accts";#N/A,#N/A,FALSE,"Tickmarks"}</definedName>
    <definedName name="dsdf" hidden="1">{#N/A,#N/A,TRUE,"Summary";#N/A,#N/A,TRUE,"IS";#N/A,#N/A,TRUE,"Adj";#N/A,#N/A,TRUE,"BS";#N/A,#N/A,TRUE,"CF";#N/A,#N/A,TRUE,"Debt";#N/A,#N/A,TRUE,"IRR"}</definedName>
    <definedName name="DSDS" hidden="1">{#N/A,#N/A,FALSE,"단축1";#N/A,#N/A,FALSE,"단축2";#N/A,#N/A,FALSE,"단축3";#N/A,#N/A,FALSE,"장축";#N/A,#N/A,FALSE,"4WD"}</definedName>
    <definedName name="DSDSD" hidden="1">{#N/A,#N/A,FALSE,"단축1";#N/A,#N/A,FALSE,"단축2";#N/A,#N/A,FALSE,"단축3";#N/A,#N/A,FALSE,"장축";#N/A,#N/A,FALSE,"4WD"}</definedName>
    <definedName name="DSDSLKJFJ" hidden="1">{#N/A,#N/A,FALSE,"Aging Summary";#N/A,#N/A,FALSE,"Ratio Analysis";#N/A,#N/A,FALSE,"Test 120 Day Accts";#N/A,#N/A,FALSE,"Tickmarks"}</definedName>
    <definedName name="DSFDSF">#N/A</definedName>
    <definedName name="DSFS">#N/A</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BlankMacro1</definedName>
    <definedName name="EADAF" hidden="1">{#N/A,#N/A,FALSE,"단축1";#N/A,#N/A,FALSE,"단축2";#N/A,#N/A,FALSE,"단축3";#N/A,#N/A,FALSE,"장축";#N/A,#N/A,FALSE,"4WD"}</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hidden="1">{#N/A,#N/A,FALSE,"운반시간"}</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hidden="1">{#N/A,#N/A,TRUE,"Y생산";#N/A,#N/A,TRUE,"Y판매";#N/A,#N/A,TRUE,"Y총물량";#N/A,#N/A,TRUE,"Y능력";#N/A,#N/A,TRUE,"YKD"}</definedName>
    <definedName name="eeojfkjks" hidden="1">{"'Sheet1'!$A$1:$H$36"}</definedName>
    <definedName name="EF">#REF!</definedName>
    <definedName name="efbar" hidden="1">{#N/A,#N/A,FALSE,"Performance Flash Report"}</definedName>
    <definedName name="efbar_1" hidden="1">{#N/A,#N/A,FALSE,"Performance Flash Report"}</definedName>
    <definedName name="efbar_1_1" hidden="1">{#N/A,#N/A,FALSE,"Performance Flash Report"}</definedName>
    <definedName name="efbar_1_2" hidden="1">{#N/A,#N/A,FALSE,"Performance Flash Report"}</definedName>
    <definedName name="efbar_1_3" hidden="1">{#N/A,#N/A,FALSE,"Performance Flash Report"}</definedName>
    <definedName name="efbar_1_4" hidden="1">{#N/A,#N/A,FALSE,"Performance Flash Report"}</definedName>
    <definedName name="efbar_2" hidden="1">{#N/A,#N/A,FALSE,"Performance Flash Report"}</definedName>
    <definedName name="efbar_2_1" hidden="1">{#N/A,#N/A,FALSE,"Performance Flash Report"}</definedName>
    <definedName name="efbar_2_2" hidden="1">{#N/A,#N/A,FALSE,"Performance Flash Report"}</definedName>
    <definedName name="efbar_2_3" hidden="1">{#N/A,#N/A,FALSE,"Performance Flash Report"}</definedName>
    <definedName name="efbar_2_4" hidden="1">{#N/A,#N/A,FALSE,"Performance Flash Report"}</definedName>
    <definedName name="efbar_3" hidden="1">{#N/A,#N/A,FALSE,"Performance Flash Report"}</definedName>
    <definedName name="efbar_3_1" hidden="1">{#N/A,#N/A,FALSE,"Performance Flash Report"}</definedName>
    <definedName name="efbar_3_2" hidden="1">{#N/A,#N/A,FALSE,"Performance Flash Report"}</definedName>
    <definedName name="efbar_3_3" hidden="1">{#N/A,#N/A,FALSE,"Performance Flash Report"}</definedName>
    <definedName name="efbar_3_4" hidden="1">{#N/A,#N/A,FALSE,"Performance Flash Report"}</definedName>
    <definedName name="efbar_4" hidden="1">{#N/A,#N/A,FALSE,"Performance Flash Report"}</definedName>
    <definedName name="efbar_4_1" hidden="1">{#N/A,#N/A,FALSE,"Performance Flash Report"}</definedName>
    <definedName name="efbar_4_2" hidden="1">{#N/A,#N/A,FALSE,"Performance Flash Report"}</definedName>
    <definedName name="efbar_4_3" hidden="1">{#N/A,#N/A,FALSE,"Performance Flash Report"}</definedName>
    <definedName name="efbar_4_4" hidden="1">{#N/A,#N/A,FALSE,"Performance Flash Report"}</definedName>
    <definedName name="efbar_5" hidden="1">{#N/A,#N/A,FALSE,"Performance Flash Report"}</definedName>
    <definedName name="efbar_5_1" hidden="1">{#N/A,#N/A,FALSE,"Performance Flash Report"}</definedName>
    <definedName name="efbar_5_2" hidden="1">{#N/A,#N/A,FALSE,"Performance Flash Report"}</definedName>
    <definedName name="efbar_5_3" hidden="1">{#N/A,#N/A,FALSE,"Performance Flash Report"}</definedName>
    <definedName name="efbar_5_4" hidden="1">{#N/A,#N/A,FALSE,"Performance Flash Report"}</definedName>
    <definedName name="Effective_Tax_Rate">#REF!</definedName>
    <definedName name="EFFOG" hidden="1">{#N/A,#N/A,FALSE,"단축1";#N/A,#N/A,FALSE,"단축2";#N/A,#N/A,FALSE,"단축3";#N/A,#N/A,FALSE,"장축";#N/A,#N/A,FALSE,"4WD"}</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hidden="1">{#N/A,#N/A,FALSE,"단축1";#N/A,#N/A,FALSE,"단축2";#N/A,#N/A,FALSE,"단축3";#N/A,#N/A,FALSE,"장축";#N/A,#N/A,FALSE,"4WD"}</definedName>
    <definedName name="ej" hidden="1">{"'용역비'!$A$4:$C$8"}</definedName>
    <definedName name="ejklejle" hidden="1">{"'Sheet1'!$A$1:$H$36"}</definedName>
    <definedName name="EK" hidden="1">#REF!</definedName>
    <definedName name="EKCI">BlankMacro1</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hidden="1">{#N/A,#N/A,FALSE,"BS";#N/A,#N/A,FALSE,"PL";#N/A,#N/A,FALSE,"처분";#N/A,#N/A,FALSE,"현금";#N/A,#N/A,FALSE,"매출";#N/A,#N/A,FALSE,"원가";#N/A,#N/A,FALSE,"경영"}</definedName>
    <definedName name="EOCK">#REF!</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hidden="1">{#N/A,#N/A,FALSE,"단축1";#N/A,#N/A,FALSE,"단축2";#N/A,#N/A,FALSE,"단축3";#N/A,#N/A,FALSE,"장축";#N/A,#N/A,FALSE,"4WD"}</definedName>
    <definedName name="ers">#N/A</definedName>
    <definedName name="ertyertye" hidden="1">{"'용역비'!$A$4:$C$8"}</definedName>
    <definedName name="erwr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hidden="1">{#N/A,#N/A,FALSE,"Sheet6"}</definedName>
    <definedName name="ETWEGF" hidden="1">{#N/A,#N/A,FALSE,"Sheet6"}</definedName>
    <definedName name="etyj"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hidden="1">{#N/A,#N/A,FALSE,"초도품";#N/A,#N/A,FALSE,"초도품 (2)";#N/A,#N/A,FALSE,"초도품 (3)";#N/A,#N/A,FALSE,"초도품 (4)";#N/A,#N/A,FALSE,"초도품 (5)";#N/A,#N/A,FALSE,"초도품 (6)"}</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hidden="1">{#N/A,#N/A,FALSE,"Aging Summary";#N/A,#N/A,FALSE,"Ratio Analysis";#N/A,#N/A,FALSE,"Test 120 Day Accts";#N/A,#N/A,FALSE,"Tickmarks"}</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hidden="1">{#N/A,#N/A,TRUE,"일정"}</definedName>
    <definedName name="_xlnm.Extract">#REF!</definedName>
    <definedName name="Extract_MI">#REF!</definedName>
    <definedName name="EXTT" hidden="1">{#N/A,#N/A,TRUE,"일정"}</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BlankMacro1</definedName>
    <definedName name="fall" hidden="1">#REF!</definedName>
    <definedName name="fasdf"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hidden="1">{"'Jibu9811 (3)'!$B$1:$J$433"}</definedName>
    <definedName name="FC" hidden="1">{#N/A,#N/A,FALSE,"단축1";#N/A,#N/A,FALSE,"단축2";#N/A,#N/A,FALSE,"단축3";#N/A,#N/A,FALSE,"장축";#N/A,#N/A,FALSE,"4WD"}</definedName>
    <definedName name="FC." hidden="1">{#N/A,#N/A,FALSE,"단축1";#N/A,#N/A,FALSE,"단축2";#N/A,#N/A,FALSE,"단축3";#N/A,#N/A,FALSE,"장축";#N/A,#N/A,FALSE,"4WD"}</definedName>
    <definedName name="fck">#REF!</definedName>
    <definedName name="FCLINE2" hidden="1">{#N/A,#N/A,FALSE,"단축1";#N/A,#N/A,FALSE,"단축2";#N/A,#N/A,FALSE,"단축3";#N/A,#N/A,FALSE,"장축";#N/A,#N/A,FALSE,"4WD"}</definedName>
    <definedName name="FCode" hidden="1">#REF!</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BlankMacro1</definedName>
    <definedName name="fdfd" hidden="1">{#N/A,#N/A,FALSE,"Aging Summary";#N/A,#N/A,FALSE,"Ratio Analysis";#N/A,#N/A,FALSE,"Test 120 Day Accts";#N/A,#N/A,FALSE,"Tickmarks"}</definedName>
    <definedName name="FDFDF" hidden="1">{#N/A,#N/A,FALSE,"CCTV"}</definedName>
    <definedName name="FDG" hidden="1">{"'Jibu9811 (3)'!$B$1:$J$433"}</definedName>
    <definedName name="FDGHDFG" hidden="1">{#N/A,#N/A,FALSE,"단축1";#N/A,#N/A,FALSE,"단축2";#N/A,#N/A,FALSE,"단축3";#N/A,#N/A,FALSE,"장축";#N/A,#N/A,FALSE,"4WD"}</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hidden="1">{#N/A,#N/A,FALSE,"단축1";#N/A,#N/A,FALSE,"단축2";#N/A,#N/A,FALSE,"단축3";#N/A,#N/A,FALSE,"장축";#N/A,#N/A,FALSE,"4WD"}</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hidden="1">{"'買掛金'!$J$6"}</definedName>
    <definedName name="FEEL">#REF!</definedName>
    <definedName name="fefw">#REF!</definedName>
    <definedName name="Fex">#REF!</definedName>
    <definedName name="Fez">#REF!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hidden="1">{#N/A,#N/A,FALSE,"단축1";#N/A,#N/A,FALSE,"단축2";#N/A,#N/A,FALSE,"단축3";#N/A,#N/A,FALSE,"장축";#N/A,#N/A,FALSE,"4WD"}</definedName>
    <definedName name="FFDF" hidden="1">{#N/A,#N/A,FALSE,"단축1";#N/A,#N/A,FALSE,"단축2";#N/A,#N/A,FALSE,"단축3";#N/A,#N/A,FALSE,"장축";#N/A,#N/A,FALSE,"4WD"}</definedName>
    <definedName name="ffee" hidden="1">{"'買掛金'!$J$6"}</definedName>
    <definedName name="FFF">#REF!</definedName>
    <definedName name="FFFFF" hidden="1">{#N/A,#N/A,FALSE,"단축1";#N/A,#N/A,FALSE,"단축2";#N/A,#N/A,FALSE,"단축3";#N/A,#N/A,FALSE,"장축";#N/A,#N/A,FALSE,"4WD"}</definedName>
    <definedName name="ffffff" hidden="1">{#N/A,#N/A,FALSE,"CCTV"}</definedName>
    <definedName name="fffgfg" hidden="1">{#N/A,#N/A,FALSE,"단축1";#N/A,#N/A,FALSE,"단축2";#N/A,#N/A,FALSE,"단축3";#N/A,#N/A,FALSE,"장축";#N/A,#N/A,FALSE,"4WD"}</definedName>
    <definedName name="ffwefrhj2ljw" hidden="1">{"'Jibu9811 (3)'!$B$1:$J$433"}</definedName>
    <definedName name="FG">#REF!</definedName>
    <definedName name="FG46TBTB4RTDKDK">#REF!</definedName>
    <definedName name="FGF" hidden="1">{#N/A,#N/A,FALSE,"CCTV"}</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hidden="1">{#N/A,#N/A,FALSE,"단축1";#N/A,#N/A,FALSE,"단축2";#N/A,#N/A,FALSE,"단축3";#N/A,#N/A,FALSE,"장축";#N/A,#N/A,FALSE,"4WD"}</definedName>
    <definedName name="FGJ">#N/A</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hidden="1">{#N/A,#N/A,FALSE,"CCTV"}</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hidden="1">{#N/A,#N/A,TRUE,"경전'96(1)";#N/A,#N/A,TRUE,"경전'96 (2)"}</definedName>
    <definedName name="fila"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hidden="1">{#N/A,#N/A,FALSE,"을지 (4)";#N/A,#N/A,FALSE,"을지 (5)";#N/A,#N/A,FALSE,"을지 (6)"}</definedName>
    <definedName name="FJD" hidden="1">{#N/A,#N/A,FALSE,"단축1";#N/A,#N/A,FALSE,"단축2";#N/A,#N/A,FALSE,"단축3";#N/A,#N/A,FALSE,"장축";#N/A,#N/A,FALSE,"4WD"}</definedName>
    <definedName name="fjdi0s" hidden="1">#N/A</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hidden="1">{"'Sheet1'!$A$1:$H$36"}</definedName>
    <definedName name="FK" hidden="1">{"'용역비'!$A$4:$C$8"}</definedName>
    <definedName name="FKFK" hidden="1">{#N/A,#N/A,FALSE,"단축1";#N/A,#N/A,FALSE,"단축2";#N/A,#N/A,FALSE,"단축3";#N/A,#N/A,FALSE,"장축";#N/A,#N/A,FALSE,"4WD"}</definedName>
    <definedName name="FLEXIBLE.T.L" hidden="1">{#N/A,#N/A,FALSE,"단축1";#N/A,#N/A,FALSE,"단축2";#N/A,#N/A,FALSE,"단축3";#N/A,#N/A,FALSE,"장축";#N/A,#N/A,FALSE,"4WD"}</definedName>
    <definedName name="flow">#REF!</definedName>
    <definedName name="flsklhdjhjd" hidden="1">{"'Sheet1'!$A$1:$H$36"}</definedName>
    <definedName name="FN">#REF!</definedName>
    <definedName name="fno">#REF!</definedName>
    <definedName name="fnx">#REF!</definedName>
    <definedName name="fnz">#REF!</definedName>
    <definedName name="fo">#REF!</definedName>
    <definedName name="FOB가" hidden="1">{#N/A,#N/A,FALSE,"단축1";#N/A,#N/A,FALSE,"단축2";#N/A,#N/A,FALSE,"단축3";#N/A,#N/A,FALSE,"장축";#N/A,#N/A,FALSE,"4WD"}</definedName>
    <definedName name="footing">#REF!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hidden="1">{#N/A,#N/A,FALSE,"단축1";#N/A,#N/A,FALSE,"단축2";#N/A,#N/A,FALSE,"단축3";#N/A,#N/A,FALSE,"장축";#N/A,#N/A,FALSE,"4WD"}</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hidden="1">{"comp1",#N/A,FALSE,"COMPS";"footnotes",#N/A,FALSE,"COMPS"}</definedName>
    <definedName name="fsf">BlankMacro1</definedName>
    <definedName name="FSform">#REF!</definedName>
    <definedName name="fsg" hidden="1">{#N/A,#N/A,TRUE,"Cover His T";#N/A,#N/A,TRUE,"P&amp;L";#N/A,#N/A,TRUE,"BS";#N/A,#N/A,TRUE,"Depreciation";#N/A,#N/A,TRUE,"GRAPHS";#N/A,#N/A,TRUE,"DCF EBITDA Multiple";#N/A,#N/A,TRUE,"DCF Perpetual Growth"}</definedName>
    <definedName name="FSoPacific" hidden="1">{"BS",#N/A,FALSE,"USA"}</definedName>
    <definedName name="fsq">BlankMacro1</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hidden="1">{#N/A,#N/A,FALSE,"단축1";#N/A,#N/A,FALSE,"단축2";#N/A,#N/A,FALSE,"단축3";#N/A,#N/A,FALSE,"장축";#N/A,#N/A,FALSE,"4WD"}</definedName>
    <definedName name="Ftx">#REF!</definedName>
    <definedName name="FTYGHJKL" hidden="1">{#N/A,#N/A,TRUE,"경전'96(1)";#N/A,#N/A,TRUE,"경전'96 (2)"}</definedName>
    <definedName name="Ftz">#REF!</definedName>
    <definedName name="fuckyou">#N/A</definedName>
    <definedName name="FUIEA">#N/A</definedName>
    <definedName name="FUYU" hidden="1">{#N/A,#N/A,FALSE,"단축1";#N/A,#N/A,FALSE,"단축2";#N/A,#N/A,FALSE,"단축3";#N/A,#N/A,FALSE,"장축";#N/A,#N/A,FALSE,"4WD"}</definedName>
    <definedName name="Fwd">#REF!</definedName>
    <definedName name="Fx">#REF!</definedName>
    <definedName name="fy">#REF!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BlankMacro1</definedName>
    <definedName name="GCJK">#REF!</definedName>
    <definedName name="GCODE">#N/A</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hidden="1">{#N/A,#N/A,FALSE,"Aging Summary";#N/A,#N/A,FALSE,"Ratio Analysis";#N/A,#N/A,FALSE,"Test 120 Day Accts";#N/A,#N/A,FALSE,"Tickmarks"}</definedName>
    <definedName name="GE">BlankMacro1</definedName>
    <definedName name="GEMCO" hidden="1">#REF!</definedName>
    <definedName name="gf">#REF!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e">#REF!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hidden="1">{#N/A,#N/A,FALSE,"단축1";#N/A,#N/A,FALSE,"단축2";#N/A,#N/A,FALSE,"단축3";#N/A,#N/A,FALSE,"장축";#N/A,#N/A,FALSE,"4WD"}</definedName>
    <definedName name="gfggfr">#REF!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hidden="1">{#N/A,#N/A,FALSE,"Sheet6"}</definedName>
    <definedName name="gfjgfh" hidden="1">{#N/A,#N/A,FALSE,"CCTV"}</definedName>
    <definedName name="gfjgfhfg" hidden="1">{#N/A,#N/A,FALSE,"CCTV"}</definedName>
    <definedName name="gg" hidden="1">{#N/A,#N/A,TRUE,"Summary";#N/A,#N/A,TRUE,"IS";#N/A,#N/A,TRUE,"Adj";#N/A,#N/A,TRUE,"BS";#N/A,#N/A,TRUE,"CF";#N/A,#N/A,TRUE,"Debt";#N/A,#N/A,TRUE,"IRR"}</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BlankMacro1</definedName>
    <definedName name="GHD">BlankMacro1</definedName>
    <definedName name="GHDJDG" hidden="1">{#N/A,#N/A,FALSE,"단축1";#N/A,#N/A,FALSE,"단축2";#N/A,#N/A,FALSE,"단축3";#N/A,#N/A,FALSE,"장축";#N/A,#N/A,FALSE,"4WD"}</definedName>
    <definedName name="GHE" hidden="1">{#N/A,#N/A,FALSE,"이정표"}</definedName>
    <definedName name="ghfj" hidden="1">{#N/A,#N/A,FALSE,"Sheet6"}</definedName>
    <definedName name="GHG">BlankMacro1</definedName>
    <definedName name="GHGF" hidden="1">{#N/A,#N/A,FALSE,"Sheet6"}</definedName>
    <definedName name="GHGHGH" hidden="1">{"'미착금액'!$A$4:$G$14"}</definedName>
    <definedName name="GHJ">#N/A</definedName>
    <definedName name="GHJ9IQA">BlankMacro1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hidden="1">{#N/A,#N/A,FALSE,"Sheet6"}</definedName>
    <definedName name="GHUTGHF" hidden="1">{#N/A,#N/A,FALSE,"96 3월물량표";#N/A,#N/A,FALSE,"96 4월물량표";#N/A,#N/A,FALSE,"96 5월물량표"}</definedName>
    <definedName name="GI">BlankMacro1</definedName>
    <definedName name="GID">BlankMacro1</definedName>
    <definedName name="GIE">BlankMacro1</definedName>
    <definedName name="GIGIGIGIGIGIG" hidden="1">{#N/A,#N/A,FALSE,"단축1";#N/A,#N/A,FALSE,"단축2";#N/A,#N/A,FALSE,"단축3";#N/A,#N/A,FALSE,"장축";#N/A,#N/A,FALSE,"4WD"}</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hidden="1">{#N/A,#N/A,FALSE,"표지";#N/A,#N/A,FALSE,"전제";#N/A,#N/A,FALSE,"손익-자 (2)";#N/A,#N/A,FALSE,"손익-자";#N/A,#N/A,FALSE,"손익-마 (2)";#N/A,#N/A,FALSE,"손익-마";#N/A,#N/A,FALSE,"총손최종"}</definedName>
    <definedName name="GJIE">BlankMacro1</definedName>
    <definedName name="GJIEQ" hidden="1">{#N/A,#N/A,FALSE,"기안지";#N/A,#N/A,FALSE,"통신지"}</definedName>
    <definedName name="gjiwe">#N/A</definedName>
    <definedName name="GJJR89">BlankMacro1</definedName>
    <definedName name="gkduvhsjkf" hidden="1">{"'Jibu9811 (3)'!$B$1:$J$433"}</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BlankMacro1</definedName>
    <definedName name="GPRIC">#N/A</definedName>
    <definedName name="gr">#REF!</definedName>
    <definedName name="Grade">#REF!</definedName>
    <definedName name="grafici" hidden="1">{#N/A,#N/A,FALSE,"SAFILOR"}</definedName>
    <definedName name="GRMRGN_">#REF!</definedName>
    <definedName name="gross">#REF!</definedName>
    <definedName name="grout_type">#REF!</definedName>
    <definedName name="GSETGS" hidden="1">{#N/A,#N/A,FALSE,"Sheet6"}</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hidden="1">{#N/A,#N/A,FALSE,"단축1";#N/A,#N/A,FALSE,"단축2";#N/A,#N/A,FALSE,"단축3";#N/A,#N/A,FALSE,"장축";#N/A,#N/A,FALSE,"4WD"}</definedName>
    <definedName name="guo" hidden="1">{#N/A,#N/A,FALSE,"Sheet6"}</definedName>
    <definedName name="gusg" hidden="1">{#N/A,#N/A,TRUE,"Summary";#N/A,#N/A,TRUE,"IS";#N/A,#N/A,TRUE,"Adj";#N/A,#N/A,TRUE,"BS";#N/A,#N/A,TRUE,"CF";#N/A,#N/A,TRUE,"Debt";#N/A,#N/A,TRUE,"IRR"}</definedName>
    <definedName name="gv">#REF!</definedName>
    <definedName name="gve">#REF!</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BlankMacro1</definedName>
    <definedName name="Headcount_2005">#REF!</definedName>
    <definedName name="HEADER">#REF!</definedName>
    <definedName name="HeaderData">#REF!</definedName>
    <definedName name="Heb">#REF!</definedName>
    <definedName name="height">#REF!</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hidden="1">{#N/A,#N/A,FALSE,"CCTV"}</definedName>
    <definedName name="HFG" hidden="1">{#N/A,#N/A,TRUE,"Y생산";#N/A,#N/A,TRUE,"Y판매";#N/A,#N/A,TRUE,"Y총물량";#N/A,#N/A,TRUE,"Y능력";#N/A,#N/A,TRUE,"YKD"}</definedName>
    <definedName name="hfjhhjj" hidden="1">{#N/A,#N/A,FALSE,"CCTV"}</definedName>
    <definedName name="HFLDFHIODGHIONB" hidden="1">{#N/A,#N/A,TRUE,"경전'96(1)";#N/A,#N/A,TRUE,"경전'96 (2)"}</definedName>
    <definedName name="HFS">#REF!</definedName>
    <definedName name="hg">#REF!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hidden="1">{#N/A,#N/A,FALSE,"Sheet6"}</definedName>
    <definedName name="hgjfgh" hidden="1">{#N/A,#N/A,FALSE,"CCTV"}</definedName>
    <definedName name="hgjgfhgh" hidden="1">{#N/A,#N/A,FALSE,"CCTV"}</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hidden="1">{#N/A,#N/A,FALSE,"BS";#N/A,#N/A,FALSE,"PL";#N/A,#N/A,FALSE,"처분";#N/A,#N/A,FALSE,"현금";#N/A,#N/A,FALSE,"매출";#N/A,#N/A,FALSE,"원가";#N/A,#N/A,FALSE,"경영"}</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hidden="1">{#N/A,#N/A,FALSE,"단축1";#N/A,#N/A,FALSE,"단축2";#N/A,#N/A,FALSE,"단축3";#N/A,#N/A,FALSE,"장축";#N/A,#N/A,FALSE,"4WD"}</definedName>
    <definedName name="hjj">#REF!</definedName>
    <definedName name="HJK" hidden="1">{#N/A,#N/A,FALSE,"이태원철근"}</definedName>
    <definedName name="HJKLL" hidden="1">{#N/A,#N/A,TRUE,"Y생산";#N/A,#N/A,TRUE,"Y판매";#N/A,#N/A,TRUE,"Y총물량";#N/A,#N/A,TRUE,"Y능력";#N/A,#N/A,TRUE,"YKD"}</definedName>
    <definedName name="HJKOL" hidden="1">#N/A</definedName>
    <definedName name="hkhf">#REF!</definedName>
    <definedName name="HKJJB">#REF!</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hidden="1">{"'손익현황'!$A$1:$J$29"}</definedName>
    <definedName name="HTML_Control_1" hidden="1">{"'보고양식'!$A$58:$K$111"}</definedName>
    <definedName name="HTML_Control_1_1" hidden="1">{"'보고양식'!$A$58:$K$111"}</definedName>
    <definedName name="HTML_Control_1_1_1" hidden="1">{"'보고양식'!$A$58:$K$111"}</definedName>
    <definedName name="HTML_Control_1_2" hidden="1">{"'보고양식'!$A$58:$K$111"}</definedName>
    <definedName name="HTML_Control_1_3" hidden="1">{"'보고양식'!$A$58:$K$111"}</definedName>
    <definedName name="HTML_Control_1_4" hidden="1">{"'보고양식'!$A$58:$K$111"}</definedName>
    <definedName name="HTML_Control_2" hidden="1">{"'보고양식'!$A$58:$K$111"}</definedName>
    <definedName name="HTML_Control_2_1" hidden="1">{"'보고양식'!$A$58:$K$111"}</definedName>
    <definedName name="HTML_Control_2_2" hidden="1">{"'보고양식'!$A$58:$K$111"}</definedName>
    <definedName name="HTML_Control_2_3" hidden="1">{"'보고양식'!$A$58:$K$111"}</definedName>
    <definedName name="HTML_Control_2_4" hidden="1">{"'보고양식'!$A$58:$K$111"}</definedName>
    <definedName name="HTML_Control_3" hidden="1">{"'보고양식'!$A$58:$K$111"}</definedName>
    <definedName name="HTML_Control_3_1" hidden="1">{"'보고양식'!$A$58:$K$111"}</definedName>
    <definedName name="HTML_Control_3_2" hidden="1">{"'보고양식'!$A$58:$K$111"}</definedName>
    <definedName name="HTML_Control_3_3" hidden="1">{"'보고양식'!$A$58:$K$111"}</definedName>
    <definedName name="HTML_Control_3_4" hidden="1">{"'보고양식'!$A$58:$K$111"}</definedName>
    <definedName name="HTML_Control_4" hidden="1">{"'보고양식'!$A$58:$K$111"}</definedName>
    <definedName name="HTML_Control_4_1" hidden="1">{"'보고양식'!$A$58:$K$111"}</definedName>
    <definedName name="HTML_Control_4_2" hidden="1">{"'보고양식'!$A$58:$K$111"}</definedName>
    <definedName name="HTML_Control_4_3" hidden="1">{"'보고양식'!$A$58:$K$111"}</definedName>
    <definedName name="HTML_Control_4_4" hidden="1">{"'보고양식'!$A$58:$K$111"}</definedName>
    <definedName name="HTML_Control_5" hidden="1">{"'보고양식'!$A$58:$K$111"}</definedName>
    <definedName name="HTML_Control_5_1" hidden="1">{"'보고양식'!$A$58:$K$111"}</definedName>
    <definedName name="HTML_Control_5_2" hidden="1">{"'보고양식'!$A$58:$K$111"}</definedName>
    <definedName name="HTML_Control_5_3"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hidden="1">#N/A</definedName>
    <definedName name="HTS">#REF!</definedName>
    <definedName name="Htwt">#REF!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hidden="1">{#N/A,#N/A,FALSE,"UNIT";#N/A,#N/A,FALSE,"UNIT";#N/A,#N/A,FALSE,"계정"}</definedName>
    <definedName name="III" hidden="1">{#N/A,#N/A,FALSE,"Sheet6"}</definedName>
    <definedName name="iiouolkll" hidden="1">{#N/A,#N/A,FALSE,"CCTV"}</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hidden="1">{#N/A,#N/A,TRUE,"Cover Repl";#N/A,#N/A,TRUE,"P&amp;L";#N/A,#N/A,TRUE,"P&amp;L (2)";#N/A,#N/A,TRUE,"BS";#N/A,#N/A,TRUE,"Depreciation";#N/A,#N/A,TRUE,"GRAPHS";#N/A,#N/A,TRUE,"DCF EBITDA Multiple";#N/A,#N/A,TRUE,"DCF Perpetual Growth"}</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BlankMacro1</definedName>
    <definedName name="Jan" hidden="1">{"'Euro Conversion rates'!$A$1:$E$21"}</definedName>
    <definedName name="Jan.DM">#REF!</definedName>
    <definedName name="Jan_1" hidden="1">{"'Euro Conversion rates'!$A$1:$E$21"}</definedName>
    <definedName name="Januar">#REF!</definedName>
    <definedName name="jeklklw" hidden="1">{"'Sheet1'!$A$1:$H$36"}</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BlankMacro1</definedName>
    <definedName name="jhbjkhkj" hidden="1">{#N/A,#N/A,TRUE,"Summary";#N/A,#N/A,TRUE,"IS";#N/A,#N/A,TRUE,"Adj";#N/A,#N/A,TRUE,"BS";#N/A,#N/A,TRUE,"CF";#N/A,#N/A,TRUE,"Debt";#N/A,#N/A,TRUE,"IRR"}</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hidden="1">{#N/A,#N/A,FALSE,"CCTV"}</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hidden="1">{"'Directory'!$A$72:$E$91"}</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hidden="1">#N/A</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hidden="1">{"'Sheet1'!$A$1:$H$36"}</definedName>
    <definedName name="jkljlkjl" hidden="1">{#N/A,#N/A,FALSE,"UNIT";#N/A,#N/A,FALSE,"UNIT";#N/A,#N/A,FALSE,"계정"}</definedName>
    <definedName name="JL" hidden="1">{#N/A,#N/A,FALSE,"단축1";#N/A,#N/A,FALSE,"단축2";#N/A,#N/A,FALSE,"단축3";#N/A,#N/A,FALSE,"장축";#N/A,#N/A,FALSE,"4WD"}</definedName>
    <definedName name="job_run">#REF!</definedName>
    <definedName name="JOBNUM">#REF!</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hidden="1">#N/A</definedName>
    <definedName name="JV">#REF!</definedName>
    <definedName name="jwd">#N/A</definedName>
    <definedName name="JWG" hidden="1">{#N/A,#N/A,FALSE,"단축1";#N/A,#N/A,FALSE,"단축2";#N/A,#N/A,FALSE,"단축3";#N/A,#N/A,FALSE,"장축";#N/A,#N/A,FALSE,"4WD"}</definedName>
    <definedName name="JY" hidden="1">{#N/A,#N/A,FALSE,"포장2"}</definedName>
    <definedName name="JYE" hidden="1">{#N/A,#N/A,FALSE,"부대1"}</definedName>
    <definedName name="k" hidden="1">#REF!</definedName>
    <definedName name="k0">#REF!</definedName>
    <definedName name="K2_WBEVMODE" hidden="1">-1</definedName>
    <definedName name="ka" hidden="1">{#N/A,#N/A,FALSE,"단축1";#N/A,#N/A,FALSE,"단축2";#N/A,#N/A,FALSE,"단축3";#N/A,#N/A,FALSE,"장축";#N/A,#N/A,FALSE,"4WD"}</definedName>
    <definedName name="KC" hidden="1">{#N/A,#N/A,FALSE,"을지 (4)";#N/A,#N/A,FALSE,"을지 (5)";#N/A,#N/A,FALSE,"을지 (6)"}</definedName>
    <definedName name="kcja">BlankMacro1</definedName>
    <definedName name="KDJ">BlankMacro1</definedName>
    <definedName name="KDJHSKDSKH">BLCH</definedName>
    <definedName name="keiso_data">#REF!</definedName>
    <definedName name="KEPNET">#REF!</definedName>
    <definedName name="ket" hidden="1">#REF!</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hidden="1">{#N/A,#N/A,FALSE,"CCTV"}</definedName>
    <definedName name="kh">#REF!</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BlankMacro1</definedName>
    <definedName name="KI">#REF!</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hidden="1">{#N/A,#N/A,FALSE,"단축1";#N/A,#N/A,FALSE,"단축2";#N/A,#N/A,FALSE,"단축3";#N/A,#N/A,FALSE,"장축";#N/A,#N/A,FALSE,"4WD"}</definedName>
    <definedName name="KIT">#N/A</definedName>
    <definedName name="kiulil" hidden="1">{#N/A,#N/A,FALSE,"CCTV"}</definedName>
    <definedName name="kj" hidden="1">#REF!</definedName>
    <definedName name="kjh">#N/A</definedName>
    <definedName name="kjhlh" hidden="1">{#N/A,#N/A,FALSE,"CCTV"}</definedName>
    <definedName name="kjhljhk" hidden="1">{#N/A,#N/A,FALSE,"CCTV"}</definedName>
    <definedName name="KJNK">BLCH</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hidden="1">{#N/A,#N/A,FALSE,"BS";#N/A,#N/A,FALSE,"PL";#N/A,#N/A,FALSE,"처분";#N/A,#N/A,FALSE,"현금";#N/A,#N/A,FALSE,"매출";#N/A,#N/A,FALSE,"원가";#N/A,#N/A,FALSE,"경영"}</definedName>
    <definedName name="kkkk" hidden="1">{#N/A,#N/A,FALSE,"BS";#N/A,#N/A,FALSE,"PL";#N/A,#N/A,FALSE,"처분";#N/A,#N/A,FALSE,"현금";#N/A,#N/A,FALSE,"매출";#N/A,#N/A,FALSE,"원가";#N/A,#N/A,FALSE,"경영"}</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hidden="1">{#N/A,#N/A,FALSE,"을지 (4)";#N/A,#N/A,FALSE,"을지 (5)";#N/A,#N/A,FALSE,"을지 (6)"}</definedName>
    <definedName name="KO">#REF!</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BlankMacro1</definedName>
    <definedName name="krw">#REF!</definedName>
    <definedName name="ks_awg">#REF!</definedName>
    <definedName name="KSJHGFD" hidden="1">{#N/A,#N/A,FALSE,"단축1";#N/A,#N/A,FALSE,"단축2";#N/A,#N/A,FALSE,"단축3";#N/A,#N/A,FALSE,"장축";#N/A,#N/A,FALSE,"4WD"}</definedName>
    <definedName name="KTB">#REF!</definedName>
    <definedName name="KTB_YTM">#REF!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urskol">#REF!</definedName>
    <definedName name="Kx">#REF!</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hidden="1">{#N/A,#N/A,TRUE,"Y생산";#N/A,#N/A,TRUE,"Y판매";#N/A,#N/A,TRUE,"Y총물량";#N/A,#N/A,TRUE,"Y능력";#N/A,#N/A,TRUE,"YKD"}</definedName>
    <definedName name="lkiolki9olkiol">#N/A</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hidden="1">{#N/A,#N/A,FALSE,"CCTV"}</definedName>
    <definedName name="lklklklk">#N/A</definedName>
    <definedName name="lkll" hidden="1">{"'2 혼례가구(1)'!$C$10"}</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#REF!</definedName>
    <definedName name="LPS가동계획">#REF!</definedName>
    <definedName name="LP능력검토" hidden="1">{#N/A,#N/A,FALSE,"단축1";#N/A,#N/A,FALSE,"단축2";#N/A,#N/A,FALSE,"단축3";#N/A,#N/A,FALSE,"장축";#N/A,#N/A,FALSE,"4WD"}</definedName>
    <definedName name="LP투자비" hidden="1">{#N/A,#N/A,FALSE,"단축1";#N/A,#N/A,FALSE,"단축2";#N/A,#N/A,FALSE,"단축3";#N/A,#N/A,FALSE,"장축";#N/A,#N/A,FALSE,"4WD"}</definedName>
    <definedName name="LT">#REF!</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#REF!</definedName>
    <definedName name="Mecaanical">#REF!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hidden="1">{#N/A,"Base Case",FALSE,"Revenue";#N/A,"£6.25 Fee",FALSE,"Revenue"}</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hidden="1">{"income statement",#N/A,TRUE,"Model";"rig build up",#N/A,TRUE,"Model";"rig status and expenses",#N/A,TRUE,"Model"}</definedName>
    <definedName name="MICON">#N/A</definedName>
    <definedName name="mii">#REF!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kkl" hidden="1">{"'Sheet1'!$A$1:$H$36"}</definedName>
    <definedName name="mlkcoe" hidden="1">{"'Sheet1'!$A$1:$H$36"}</definedName>
    <definedName name="MM">10^6</definedName>
    <definedName name="MMA">#REF!</definedName>
    <definedName name="mmm">#REF!</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hidden="1">{#N/A,#N/A,FALSE,"UNIT";#N/A,#N/A,FALSE,"UNIT";#N/A,#N/A,FALSE,"계정"}</definedName>
    <definedName name="Mz">#REF!</definedName>
    <definedName name="m記" hidden="1">{"'買掛金'!$J$6"}</definedName>
    <definedName name="M행">#REF!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#REF!</definedName>
    <definedName name="NAME01">#REF!</definedName>
    <definedName name="namekb" hidden="1">#REF!</definedName>
    <definedName name="namekc" hidden="1">#REF!</definedName>
    <definedName name="namekg" hidden="1">{#VALUE!,0,FALSE,0;#N/A,0,FALSE,0;#N/A,0,FALSE,0;#N/A,0,FALSE,0;#N/A,0,FALSE,0;#N/A,0,FALSE,0}</definedName>
    <definedName name="NAV" hidden="1">{#N/A,#N/A,FALSE,"SAFILOR"}</definedName>
    <definedName name="Nave">#REF!</definedName>
    <definedName name="NE">#N/A</definedName>
    <definedName name="NetSales">#REF!</definedName>
    <definedName name="NEW" hidden="1">#REF!</definedName>
    <definedName name="NEWNAME" hidden="1">{#N/A,#N/A,FALSE,"CCTV"}</definedName>
    <definedName name="NewRange" hidden="1">#REF!</definedName>
    <definedName name="Ninlaro">#REF!</definedName>
    <definedName name="nkknk"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BlankMacro1</definedName>
    <definedName name="nnvk">BlankMacro1</definedName>
    <definedName name="No">#REF!</definedName>
    <definedName name="No._of_Derived_Datasets">#REF!</definedName>
    <definedName name="No_Dry_Runs">#REF!</definedName>
    <definedName name="No_InterimAnalysis">#REF!</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hidden="1">{"'용역비'!$A$4:$C$8"}</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hidden="1">#REF!</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hidden="1">{#N/A,#N/A,FALSE,"표지";#N/A,#N/A,FALSE,"전제";#N/A,#N/A,FALSE,"대당";#N/A,#N/A,FALSE,"가공비";#N/A,#N/A,FALSE,"재료비";#N/A,#N/A,FALSE,"손익"}</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hidden="1">{#N/A,#N/A,FALSE,"1.CRITERIA";#N/A,#N/A,FALSE,"2.IS";#N/A,#N/A,FALSE,"3.BS";#N/A,#N/A,FALSE,"4.PER PL";#N/A,#N/A,FALSE,"5.INVESTMENT";#N/A,#N/A,FALSE,"6.공문";#N/A,#N/A,FALSE,"7.netinvest"}</definedName>
    <definedName name="ow">#REF!</definedName>
    <definedName name="ownership"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BlankMacro1</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hidden="1">{#N/A,#N/A,FALSE,"Sheet9"}</definedName>
    <definedName name="PGZ">#N/A</definedName>
    <definedName name="PH">#REF!</definedName>
    <definedName name="PHZ">#N/A</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hidden="1">{#N/A,#N/A,FALSE,"Performance Flash Report"}</definedName>
    <definedName name="placeholder_1" hidden="1">{#N/A,#N/A,FALSE,"Performance Flash Report"}</definedName>
    <definedName name="placeholder_1_1" hidden="1">{#N/A,#N/A,FALSE,"Performance Flash Report"}</definedName>
    <definedName name="placeholder_1_2" hidden="1">{#N/A,#N/A,FALSE,"Performance Flash Report"}</definedName>
    <definedName name="placeholder_1_3" hidden="1">{#N/A,#N/A,FALSE,"Performance Flash Report"}</definedName>
    <definedName name="placeholder_1_4" hidden="1">{#N/A,#N/A,FALSE,"Performance Flash Report"}</definedName>
    <definedName name="placeholder_2" hidden="1">{#N/A,#N/A,FALSE,"Performance Flash Report"}</definedName>
    <definedName name="placeholder_2_1" hidden="1">{#N/A,#N/A,FALSE,"Performance Flash Report"}</definedName>
    <definedName name="placeholder_2_2" hidden="1">{#N/A,#N/A,FALSE,"Performance Flash Report"}</definedName>
    <definedName name="placeholder_2_3" hidden="1">{#N/A,#N/A,FALSE,"Performance Flash Report"}</definedName>
    <definedName name="placeholder_2_4" hidden="1">{#N/A,#N/A,FALSE,"Performance Flash Report"}</definedName>
    <definedName name="placeholder_3" hidden="1">{#N/A,#N/A,FALSE,"Performance Flash Report"}</definedName>
    <definedName name="placeholder_3_1" hidden="1">{#N/A,#N/A,FALSE,"Performance Flash Report"}</definedName>
    <definedName name="placeholder_3_2" hidden="1">{#N/A,#N/A,FALSE,"Performance Flash Report"}</definedName>
    <definedName name="placeholder_3_3" hidden="1">{#N/A,#N/A,FALSE,"Performance Flash Report"}</definedName>
    <definedName name="placeholder_3_4" hidden="1">{#N/A,#N/A,FALSE,"Performance Flash Report"}</definedName>
    <definedName name="placeholder_4" hidden="1">{#N/A,#N/A,FALSE,"Performance Flash Report"}</definedName>
    <definedName name="placeholder_4_1" hidden="1">{#N/A,#N/A,FALSE,"Performance Flash Report"}</definedName>
    <definedName name="placeholder_4_2" hidden="1">{#N/A,#N/A,FALSE,"Performance Flash Report"}</definedName>
    <definedName name="placeholder_4_3" hidden="1">{#N/A,#N/A,FALSE,"Performance Flash Report"}</definedName>
    <definedName name="placeholder_4_4" hidden="1">{#N/A,#N/A,FALSE,"Performance Flash Report"}</definedName>
    <definedName name="placeholder_5" hidden="1">{#N/A,#N/A,FALSE,"Performance Flash Report"}</definedName>
    <definedName name="placeholder_5_1" hidden="1">{#N/A,#N/A,FALSE,"Performance Flash Report"}</definedName>
    <definedName name="placeholder_5_2" hidden="1">{#N/A,#N/A,FALSE,"Performance Flash Report"}</definedName>
    <definedName name="placeholder_5_3"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hidden="1">{#N/A,#N/A,FALSE,"96 3월물량표";#N/A,#N/A,FALSE,"96 4월물량표";#N/A,#N/A,FALSE,"96 5월물량표"}</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0">'상세 자료 작성'!$C$1:$O$173</definedName>
    <definedName name="_xlnm.Print_Area">#REF!</definedName>
    <definedName name="PRINT_AREA_MI">#REF!</definedName>
    <definedName name="PRINT_AREA_MI1">#REF!</definedName>
    <definedName name="Print_Area\C">#REF!</definedName>
    <definedName name="PRINT_PAGE_6">#REF!</definedName>
    <definedName name="_xlnm.Print_Titles">#REF!</definedName>
    <definedName name="PRINT_TITLES_MI">#REF!</definedName>
    <definedName name="PRINT_TITLS">#REF!</definedName>
    <definedName name="printarea">#REF!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hidden="1">{#N/A,#N/A,FALSE,"Aging Summary";#N/A,#N/A,FALSE,"Ratio Analysis";#N/A,#N/A,FALSE,"Test 120 Day Accts";#N/A,#N/A,FALSE,"Tickmarks"}</definedName>
    <definedName name="q1u">#REF!</definedName>
    <definedName name="q234562456" hidden="1">{"'용역비'!$A$4:$C$8"}</definedName>
    <definedName name="Q2777x2c">#REF!</definedName>
    <definedName name="Qa">#REF!</definedName>
    <definedName name="QAMT86106">#N/A</definedName>
    <definedName name="QAW" hidden="1">{#N/A,#N/A,FALSE,"을지 (4)";#N/A,#N/A,FALSE,"을지 (5)";#N/A,#N/A,FALSE,"을지 (6)"}</definedName>
    <definedName name="QBPL">#REF!</definedName>
    <definedName name="QBPLdates">#REF!</definedName>
    <definedName name="QBPLnames">#REF!</definedName>
    <definedName name="QC">BlankMacro1</definedName>
    <definedName name="QC_1">BlankMacro1</definedName>
    <definedName name="QC_2" hidden="1">{#N/A,#N/A,FALSE,"Pharm";#N/A,#N/A,FALSE,"WWCM"}</definedName>
    <definedName name="qd">#REF!</definedName>
    <definedName name="QE" hidden="1">{#N/A,#N/A,FALSE,"초도품";#N/A,#N/A,FALSE,"초도품 (2)";#N/A,#N/A,FALSE,"초도품 (3)";#N/A,#N/A,FALSE,"초도품 (4)";#N/A,#N/A,FALSE,"초도품 (5)";#N/A,#N/A,FALSE,"초도품 (6)"}</definedName>
    <definedName name="qeqeqe" hidden="1">{#N/A,#N/A,FALSE,"Aging Summary";#N/A,#N/A,FALSE,"Ratio Analysis";#N/A,#N/A,FALSE,"Test 120 Day Accts";#N/A,#N/A,FALSE,"Tickmarks"}</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BlankMacro1</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hidden="1">{#N/A,#N/A,FALSE,"BS";#N/A,#N/A,FALSE,"PL";#N/A,#N/A,FALSE,"처분";#N/A,#N/A,FALSE,"현금";#N/A,#N/A,FALSE,"매출";#N/A,#N/A,FALSE,"원가";#N/A,#N/A,FALSE,"경영"}</definedName>
    <definedName name="QQQAAASSS" hidden="1">{#N/A,#N/A,TRUE,"Y생산";#N/A,#N/A,TRUE,"Y판매";#N/A,#N/A,TRUE,"Y총물량";#N/A,#N/A,TRUE,"Y능력";#N/A,#N/A,TRUE,"YKD"}</definedName>
    <definedName name="QQQQ" hidden="1">{#N/A,#N/A,FALSE,"단축1";#N/A,#N/A,FALSE,"단축2";#N/A,#N/A,FALSE,"단축3";#N/A,#N/A,FALSE,"장축";#N/A,#N/A,FALSE,"4WD"}</definedName>
    <definedName name="QQQQQ" hidden="1">{#N/A,#N/A,FALSE,"UNIT";#N/A,#N/A,FALSE,"UNIT";#N/A,#N/A,FALSE,"계정"}</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hidden="1">{#N/A,#N/A,TRUE,"Y생산";#N/A,#N/A,TRUE,"Y판매";#N/A,#N/A,TRUE,"Y총물량";#N/A,#N/A,TRUE,"Y능력";#N/A,#N/A,TRUE,"YKD"}</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hidden="1">{#N/A,#N/A,FALSE,"단축1";#N/A,#N/A,FALSE,"단축2";#N/A,#N/A,FALSE,"단축3";#N/A,#N/A,FALSE,"장축";#N/A,#N/A,FALSE,"4WD"}</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hidden="1">{#N/A,#N/A,FALSE,"을지 (4)";#N/A,#N/A,FALSE,"을지 (5)";#N/A,#N/A,FALSE,"을지 (6)"}</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hidden="1">{#N/A,#N/A,FALSE,"단가표지"}</definedName>
    <definedName name="QWA" hidden="1">{#N/A,#N/A,FALSE,"을지 (4)";#N/A,#N/A,FALSE,"을지 (5)";#N/A,#N/A,FALSE,"을지 (6)"}</definedName>
    <definedName name="qwe"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hidden="1">{#N/A,#N/A,FALSE,"Aging Summary";#N/A,#N/A,FALSE,"Ratio Analysis";#N/A,#N/A,FALSE,"Test 120 Day Accts";#N/A,#N/A,FALSE,"Tickmarks"}</definedName>
    <definedName name="QWRF">#N/A</definedName>
    <definedName name="qwwq" hidden="1">{#N/A,#N/A,FALSE,"Aging Summary";#N/A,#N/A,FALSE,"Ratio Analysis";#N/A,#N/A,FALSE,"Test 120 Day Accts";#N/A,#N/A,FALSE,"Tickmarks"}</definedName>
    <definedName name="QWWWWW" hidden="1">{#N/A,#N/A,FALSE,"단축1";#N/A,#N/A,FALSE,"단축2";#N/A,#N/A,FALSE,"단축3";#N/A,#N/A,FALSE,"장축";#N/A,#N/A,FALSE,"4WD"}</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hidden="1">{#N/A,#N/A,FALSE,"CCTV"}</definedName>
    <definedName name="Rate">#REF!</definedName>
    <definedName name="rates">#REF!</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hidden="1">{#N/A,#N/A,FALSE,"단축1";#N/A,#N/A,FALSE,"단축2";#N/A,#N/A,FALSE,"단축3";#N/A,#N/A,FALSE,"장축";#N/A,#N/A,FALSE,"4WD"}</definedName>
    <definedName name="RDU">#REF!,#REF!,#REF!,#REF!,#REF!,#REF!</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hidden="1">{"'7-2지역별'!$A$1:$R$44"}</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hidden="1">#N/A</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BLCH</definedName>
    <definedName name="RGSDG" hidden="1">{#N/A,#N/A,FALSE,"단축1";#N/A,#N/A,FALSE,"단축2";#N/A,#N/A,FALSE,"단축3";#N/A,#N/A,FALSE,"장축";#N/A,#N/A,FALSE,"4WD"}</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hidden="1">{#N/A,#N/A,FALSE,"UNIT";#N/A,#N/A,FALSE,"UNIT";#N/A,#N/A,FALSE,"계정"}</definedName>
    <definedName name="rk" hidden="1">{#N/A,#N/A,FALSE,"BS";#N/A,#N/A,FALSE,"PL";#N/A,#N/A,FALSE,"처분";#N/A,#N/A,FALSE,"현금";#N/A,#N/A,FALSE,"매출";#N/A,#N/A,FALSE,"원가";#N/A,#N/A,FALSE,"경영"}</definedName>
    <definedName name="rkdd">#REF!</definedName>
    <definedName name="rkq">#REF!</definedName>
    <definedName name="RKRKR" hidden="1">{#N/A,#N/A,FALSE,"초도품";#N/A,#N/A,FALSE,"초도품 (2)";#N/A,#N/A,FALSE,"초도품 (3)";#N/A,#N/A,FALSE,"초도품 (4)";#N/A,#N/A,FALSE,"초도품 (5)";#N/A,#N/A,FALSE,"초도품 (6)"}</definedName>
    <definedName name="RKSK" hidden="1">#REF!</definedName>
    <definedName name="RL">#REF!</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hidden="1">{"comp1",#N/A,FALSE,"COMPS";"footnotes",#N/A,FALSE,"COMPS"}</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hidden="1">{#N/A,#N/A,FALSE,"단축1";#N/A,#N/A,FALSE,"단축2";#N/A,#N/A,FALSE,"단축3";#N/A,#N/A,FALSE,"장축";#N/A,#N/A,FALSE,"4WD"}</definedName>
    <definedName name="RR.BRK" hidden="1">{#N/A,#N/A,FALSE,"단축1";#N/A,#N/A,FALSE,"단축2";#N/A,#N/A,FALSE,"단축3";#N/A,#N/A,FALSE,"장축";#N/A,#N/A,FALSE,"4WD"}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BlankMacro1</definedName>
    <definedName name="RRR" hidden="1">#REF!</definedName>
    <definedName name="rrrr">#REF!</definedName>
    <definedName name="RRRRR">#REF!</definedName>
    <definedName name="RRRRRRR">#REF!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hidden="1">{#N/A,#N/A,FALSE,"견적대비-2"}</definedName>
    <definedName name="RT" hidden="1">{#N/A,#N/A,FALSE,"이태원철근"}</definedName>
    <definedName name="RTDOSING">#REF!</definedName>
    <definedName name="rtfg">#REF!</definedName>
    <definedName name="rth" hidden="1">{"'용역비'!$A$4:$C$8"}</definedName>
    <definedName name="RTIN">#N/A</definedName>
    <definedName name="rtre">#REF!</definedName>
    <definedName name="RTSALES">#REF!</definedName>
    <definedName name="rtugf">#REF!</definedName>
    <definedName name="rty" hidden="1">{"'용역비'!$A$4:$C$8"}</definedName>
    <definedName name="RTYG" hidden="1">{#N/A,#N/A,FALSE,"단축1";#N/A,#N/A,FALSE,"단축2";#N/A,#N/A,FALSE,"단축3";#N/A,#N/A,FALSE,"장축";#N/A,#N/A,FALSE,"4WD"}</definedName>
    <definedName name="Ru">#REF!</definedName>
    <definedName name="rud" hidden="1">{#N/A,#N/A,TRUE,"경전'96(1)";#N/A,#N/A,TRUE,"경전'96 (2)"}</definedName>
    <definedName name="rv">#REF!</definedName>
    <definedName name="rwerw"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hidden="1">{#N/A,#N/A,FALSE,"Aging Summary";#N/A,#N/A,FALSE,"Ratio Analysis";#N/A,#N/A,FALSE,"Test 120 Day Accts";#N/A,#N/A,FALSE,"Tickmarks"}</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hidden="1">{"'용역비'!$A$4:$C$8"}</definedName>
    <definedName name="Rz">#REF!</definedName>
    <definedName name="rzr">#REF!</definedName>
    <definedName name="R행">#REF!</definedName>
    <definedName name="s"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hidden="1">{"rtn",#N/A,FALSE,"RTN";"tables",#N/A,FALSE,"RTN";"cf",#N/A,FALSE,"CF";"stats",#N/A,FALSE,"Stats";"prop",#N/A,FALSE,"Prop"}</definedName>
    <definedName name="SABEXrevision2" hidden="1">231</definedName>
    <definedName name="SAD" hidden="1">{#N/A,#N/A,FALSE,"단축1";#N/A,#N/A,FALSE,"단축2";#N/A,#N/A,FALSE,"단축3";#N/A,#N/A,FALSE,"장축";#N/A,#N/A,FALSE,"4WD"}</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hidden="1">Main.SAPF4Help()</definedName>
    <definedName name="SAPsysID" hidden="1">"708C5W7SBKP804JT78WJ0JNKI"</definedName>
    <definedName name="SAPwbID" hidden="1">"ARS"</definedName>
    <definedName name="SAR">#REF!</definedName>
    <definedName name="sas" hidden="1">{"Outflow 1",#N/A,FALSE,"Outflows-Inflows";"Outflow 2",#N/A,FALSE,"Outflows-Inflows";"Inflow 1",#N/A,FALSE,"Outflows-Inflows";"Inflow 2",#N/A,FALSE,"Outflows-Inflows"}</definedName>
    <definedName name="SASA" hidden="1">{#N/A,#N/A,FALSE,"단축1";#N/A,#N/A,FALSE,"단축2";#N/A,#N/A,FALSE,"단축3";#N/A,#N/A,FALSE,"장축";#N/A,#N/A,FALSE,"4WD"}</definedName>
    <definedName name="SAUPJA">#N/A</definedName>
    <definedName name="sawrhbAZ"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ds">#N/A</definedName>
    <definedName name="sdewq">#REF!</definedName>
    <definedName name="sdf" hidden="1">{#N/A,#N/A,FALSE,"BS";#N/A,#N/A,FALSE,"PL";#N/A,#N/A,FALSE,"처분";#N/A,#N/A,FALSE,"현금";#N/A,#N/A,FALSE,"매출";#N/A,#N/A,FALSE,"원가";#N/A,#N/A,FALSE,"경영"}</definedName>
    <definedName name="sdf_1" hidden="1">{#N/A,#N/A,FALSE,"BS";#N/A,#N/A,FALSE,"PL";#N/A,#N/A,FALSE,"처분";#N/A,#N/A,FALSE,"현금";#N/A,#N/A,FALSE,"매출";#N/A,#N/A,FALSE,"원가";#N/A,#N/A,FALSE,"경영"}</definedName>
    <definedName name="sdfass" hidden="1">{"Outflow 1",#N/A,FALSE,"Outflows-Inflows";"Outflow 2",#N/A,FALSE,"Outflows-Inflows";"Inflow 1",#N/A,FALSE,"Outflows-Inflows";"Inflow 2",#N/A,FALSE,"Outflows-Inflows"}</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hidden="1">{"'Jibu9811 (3)'!$B$1:$J$433"}</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hidden="1">{"'Jibu9811 (3)'!$B$1:$J$433"}</definedName>
    <definedName name="sdjkddjk" hidden="1">{"'Sheet1'!$A$1:$H$36"}</definedName>
    <definedName name="sdryhj" hidden="1">{"'용역비'!$A$4:$C$8"}</definedName>
    <definedName name="sds" hidden="1">#REF!</definedName>
    <definedName name="sdsa">#REF!</definedName>
    <definedName name="sdsd" hidden="1">{#N/A,#N/A,FALSE,"Aging Summary";#N/A,#N/A,FALSE,"Ratio Analysis";#N/A,#N/A,FALSE,"Test 120 Day Accts";#N/A,#N/A,FALSE,"Tickmarks"}</definedName>
    <definedName name="sdsdsd" hidden="1">{#N/A,#N/A,FALSE,"Aging Summary";#N/A,#N/A,FALSE,"Ratio Analysis";#N/A,#N/A,FALSE,"Test 120 Day Accts";#N/A,#N/A,FALSE,"Tickmarks"}</definedName>
    <definedName name="SDV_Perc">#REF!</definedName>
    <definedName name="SE" hidden="1">{"'용역비'!$A$4:$C$8"}</definedName>
    <definedName name="Season_factor">#REF!</definedName>
    <definedName name="Season_factor1">#REF!</definedName>
    <definedName name="segvx" hidden="1">{"'買掛金'!$J$6"}</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hidden="1">{"'Jibu9811 (3)'!$B$1:$J$433"}</definedName>
    <definedName name="seth" hidden="1">{#N/A,#N/A,TRUE,"Cover Repl";#N/A,#N/A,TRUE,"P&amp;L";#N/A,#N/A,TRUE,"P&amp;L (2)";#N/A,#N/A,TRUE,"BS";#N/A,#N/A,TRUE,"Depreciation";#N/A,#N/A,TRUE,"GRAPHS";#N/A,#N/A,TRUE,"DCF EBITDA Multiple";#N/A,#N/A,TRUE,"DCF Perpetual Growth"}</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hidden="1">{#N/A,#N/A,FALSE,"단축1";#N/A,#N/A,FALSE,"단축2";#N/A,#N/A,FALSE,"단축3";#N/A,#N/A,FALSE,"장축";#N/A,#N/A,FALSE,"4WD"}</definedName>
    <definedName name="sgfsd">#N/A</definedName>
    <definedName name="shareholder_v">#REF!</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hidden="1">{#N/A,#N/A,FALSE,"UNIT";#N/A,#N/A,FALSE,"UNIT";#N/A,#N/A,FALSE,"계정"}</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hidden="1">{"'Jibu9811 (3)'!$B$1:$J$433"}</definedName>
    <definedName name="Sheet9">#REF!</definedName>
    <definedName name="sheets_name">#REF!:_RjC2</definedName>
    <definedName name="SHHHH">#REF!</definedName>
    <definedName name="shi" hidden="1">{#N/A,#N/A,FALSE,"단축1";#N/A,#N/A,FALSE,"단축2";#N/A,#N/A,FALSE,"단축3";#N/A,#N/A,FALSE,"장축";#N/A,#N/A,FALSE,"4WD"}</definedName>
    <definedName name="SHIN" hidden="1">{#N/A,#N/A,FALSE,"P.C.B"}</definedName>
    <definedName name="shpe">#REF!</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gy">#REF!</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hidden="1">{#N/A,#N/A,FALSE,"단축1";#N/A,#N/A,FALSE,"단축2";#N/A,#N/A,FALSE,"단축3";#N/A,#N/A,FALSE,"장축";#N/A,#N/A,FALSE,"4WD"}</definedName>
    <definedName name="sjk" hidden="1">{#N/A,#N/A,FALSE,"단축1";#N/A,#N/A,FALSE,"단축2";#N/A,#N/A,FALSE,"단축3";#N/A,#N/A,FALSE,"장축";#N/A,#N/A,FALSE,"4WD"}</definedName>
    <definedName name="SK" hidden="1">#REF!</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hidden="1">{#N/A,#N/A,FALSE,"변경관리예산";#N/A,#N/A,FALSE,"변경장비예산";#N/A,#N/A,FALSE,"변경준설예산";#N/A,#N/A,FALSE,"변경철구예산"}</definedName>
    <definedName name="Social">#REF!</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hidden="1">{#N/A,#N/A,FALSE,"BS";#N/A,#N/A,FALSE,"PL";#N/A,#N/A,FALSE,"처분";#N/A,#N/A,FALSE,"현금";#N/A,#N/A,FALSE,"매출";#N/A,#N/A,FALSE,"원가";#N/A,#N/A,FALSE,"경영"}</definedName>
    <definedName name="srf_1" hidden="1">{#N/A,#N/A,FALSE,"BS";#N/A,#N/A,FALSE,"PL";#N/A,#N/A,FALSE,"처분";#N/A,#N/A,FALSE,"현금";#N/A,#N/A,FALSE,"매출";#N/A,#N/A,FALSE,"원가";#N/A,#N/A,FALSE,"경영"}</definedName>
    <definedName name="srth" hidden="1">{"'용역비'!$A$4:$C$8"}</definedName>
    <definedName name="ss" hidden="1">#REF!</definedName>
    <definedName name="ssasd" hidden="1">{"'분양원가'!$B$1:$F$113"}</definedName>
    <definedName name="ssavecenterfooter">#REF!</definedName>
    <definedName name="ssaveheader">#REF!</definedName>
    <definedName name="SSD" hidden="1">{#N/A,#N/A,FALSE,"을지 (4)";#N/A,#N/A,FALSE,"을지 (5)";#N/A,#N/A,FALSE,"을지 (6)"}</definedName>
    <definedName name="ssklsl" hidden="1">{"'Sheet1'!$A$1:$H$36"}</definedName>
    <definedName name="SSS" hidden="1">#REF!</definedName>
    <definedName name="sssa">BlankMacro1</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{#N/A,#N/A,TRUE,"매출진척-1";#N/A,#N/A,TRUE,"매출진척-2";#N/A,#N/A,TRUE,"제품실적";#N/A,#N/A,TRUE,"RAC";#N/A,#N/A,TRUE,"PAC ";#N/A,#N/A,TRUE,"재고현황";#N/A,#N/A,TRUE,"공지사항"}</definedName>
    <definedName name="ssssss">BlankMacro1</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hidden="1">{#N/A,#N/A,FALSE,"단축1";#N/A,#N/A,FALSE,"단축2";#N/A,#N/A,FALSE,"단축3";#N/A,#N/A,FALSE,"장축";#N/A,#N/A,FALSE,"4WD"}</definedName>
    <definedName name="Strategy">#REF!</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 hidden="1">{#N/A,#N/A,FALSE,"기안지";#N/A,#N/A,FALSE,"통신지"}</definedName>
    <definedName name="telehpone">#REF!</definedName>
    <definedName name="temp">#REF!</definedName>
    <definedName name="TEMPLATE">#REF!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hidden="1">{#N/A,#N/A,FALSE,"Performance Flash Report"}</definedName>
    <definedName name="test2_1" hidden="1">{#N/A,#N/A,FALSE,"Performance Flash Report"}</definedName>
    <definedName name="test2_1_1" hidden="1">{#N/A,#N/A,FALSE,"Performance Flash Report"}</definedName>
    <definedName name="test2_1_2" hidden="1">{#N/A,#N/A,FALSE,"Performance Flash Report"}</definedName>
    <definedName name="test2_1_3" hidden="1">{#N/A,#N/A,FALSE,"Performance Flash Report"}</definedName>
    <definedName name="test2_1_4" hidden="1">{#N/A,#N/A,FALSE,"Performance Flash Report"}</definedName>
    <definedName name="test2_2" hidden="1">{#N/A,#N/A,FALSE,"Performance Flash Report"}</definedName>
    <definedName name="test2_2_1" hidden="1">{#N/A,#N/A,FALSE,"Performance Flash Report"}</definedName>
    <definedName name="test2_2_2" hidden="1">{#N/A,#N/A,FALSE,"Performance Flash Report"}</definedName>
    <definedName name="test2_2_3" hidden="1">{#N/A,#N/A,FALSE,"Performance Flash Report"}</definedName>
    <definedName name="test2_2_4" hidden="1">{#N/A,#N/A,FALSE,"Performance Flash Report"}</definedName>
    <definedName name="test2_3" hidden="1">{#N/A,#N/A,FALSE,"Performance Flash Report"}</definedName>
    <definedName name="test2_3_1" hidden="1">{#N/A,#N/A,FALSE,"Performance Flash Report"}</definedName>
    <definedName name="test2_3_2" hidden="1">{#N/A,#N/A,FALSE,"Performance Flash Report"}</definedName>
    <definedName name="test2_3_3" hidden="1">{#N/A,#N/A,FALSE,"Performance Flash Report"}</definedName>
    <definedName name="test2_3_4" hidden="1">{#N/A,#N/A,FALSE,"Performance Flash Report"}</definedName>
    <definedName name="test2_4" hidden="1">{#N/A,#N/A,FALSE,"Performance Flash Report"}</definedName>
    <definedName name="test2_4_1" hidden="1">{#N/A,#N/A,FALSE,"Performance Flash Report"}</definedName>
    <definedName name="test2_4_2" hidden="1">{#N/A,#N/A,FALSE,"Performance Flash Report"}</definedName>
    <definedName name="test2_4_3" hidden="1">{#N/A,#N/A,FALSE,"Performance Flash Report"}</definedName>
    <definedName name="test2_4_4" hidden="1">{#N/A,#N/A,FALSE,"Performance Flash Report"}</definedName>
    <definedName name="test2_5" hidden="1">{#N/A,#N/A,FALSE,"Performance Flash Report"}</definedName>
    <definedName name="test2_5_1" hidden="1">{#N/A,#N/A,FALSE,"Performance Flash Report"}</definedName>
    <definedName name="test2_5_2" hidden="1">{#N/A,#N/A,FALSE,"Performance Flash Report"}</definedName>
    <definedName name="test2_5_3" hidden="1">{#N/A,#N/A,FALSE,"Performance Flash Report"}</definedName>
    <definedName name="test2_5_4" hidden="1">{#N/A,#N/A,FALSE,"Performance Flash Report"}</definedName>
    <definedName name="test3" hidden="1">{#N/A,#N/A,FALSE,"Performance Flash Report"}</definedName>
    <definedName name="test3_1" hidden="1">{#N/A,#N/A,FALSE,"Performance Flash Report"}</definedName>
    <definedName name="test3_1_1" hidden="1">{#N/A,#N/A,FALSE,"Performance Flash Report"}</definedName>
    <definedName name="test3_1_2" hidden="1">{#N/A,#N/A,FALSE,"Performance Flash Report"}</definedName>
    <definedName name="test3_1_3" hidden="1">{#N/A,#N/A,FALSE,"Performance Flash Report"}</definedName>
    <definedName name="test3_1_4" hidden="1">{#N/A,#N/A,FALSE,"Performance Flash Report"}</definedName>
    <definedName name="test3_2" hidden="1">{#N/A,#N/A,FALSE,"Performance Flash Report"}</definedName>
    <definedName name="test3_2_1" hidden="1">{#N/A,#N/A,FALSE,"Performance Flash Report"}</definedName>
    <definedName name="test3_2_2" hidden="1">{#N/A,#N/A,FALSE,"Performance Flash Report"}</definedName>
    <definedName name="test3_2_3" hidden="1">{#N/A,#N/A,FALSE,"Performance Flash Report"}</definedName>
    <definedName name="test3_2_4" hidden="1">{#N/A,#N/A,FALSE,"Performance Flash Report"}</definedName>
    <definedName name="test3_3" hidden="1">{#N/A,#N/A,FALSE,"Performance Flash Report"}</definedName>
    <definedName name="test3_3_1" hidden="1">{#N/A,#N/A,FALSE,"Performance Flash Report"}</definedName>
    <definedName name="test3_3_2" hidden="1">{#N/A,#N/A,FALSE,"Performance Flash Report"}</definedName>
    <definedName name="test3_3_3" hidden="1">{#N/A,#N/A,FALSE,"Performance Flash Report"}</definedName>
    <definedName name="test3_3_4" hidden="1">{#N/A,#N/A,FALSE,"Performance Flash Report"}</definedName>
    <definedName name="test3_4" hidden="1">{#N/A,#N/A,FALSE,"Performance Flash Report"}</definedName>
    <definedName name="test3_4_1" hidden="1">{#N/A,#N/A,FALSE,"Performance Flash Report"}</definedName>
    <definedName name="test3_4_2" hidden="1">{#N/A,#N/A,FALSE,"Performance Flash Report"}</definedName>
    <definedName name="test3_4_3" hidden="1">{#N/A,#N/A,FALSE,"Performance Flash Report"}</definedName>
    <definedName name="test3_4_4" hidden="1">{#N/A,#N/A,FALSE,"Performance Flash Report"}</definedName>
    <definedName name="test3_5" hidden="1">{#N/A,#N/A,FALSE,"Performance Flash Report"}</definedName>
    <definedName name="test3_5_1" hidden="1">{#N/A,#N/A,FALSE,"Performance Flash Report"}</definedName>
    <definedName name="test3_5_2" hidden="1">{#N/A,#N/A,FALSE,"Performance Flash Report"}</definedName>
    <definedName name="test3_5_3" hidden="1">{#N/A,#N/A,FALSE,"Performance Flash Report"}</definedName>
    <definedName name="test3_5_4" hidden="1">{#N/A,#N/A,FALSE,"Performance Flash Report"}</definedName>
    <definedName name="TESTHKEY">#REF!</definedName>
    <definedName name="TESTKEYS">#REF!</definedName>
    <definedName name="TESTVKEY">#REF!</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hidden="1">{"'용역비'!$A$4:$C$8"}</definedName>
    <definedName name="tggf" hidden="1">#N/A</definedName>
    <definedName name="tgp">#REF!</definedName>
    <definedName name="TGR">#REF!</definedName>
    <definedName name="th">10^3</definedName>
    <definedName name="THEME2" hidden="1">{#N/A,#N/A,FALSE,"96 3월물량표";#N/A,#N/A,FALSE,"96 4월물량표";#N/A,#N/A,FALSE,"96 5월물량표"}</definedName>
    <definedName name="there">#REF!</definedName>
    <definedName name="THK">#REF!</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hidden="1">{#N/A,#N/A,TRUE,"Y생산";#N/A,#N/A,TRUE,"Y판매";#N/A,#N/A,TRUE,"Y총물량";#N/A,#N/A,TRUE,"Y능력";#N/A,#N/A,TRUE,"YKD"}</definedName>
    <definedName name="tk" hidden="1">{"'Jibu9811 (3)'!$B$1:$J$433"}</definedName>
    <definedName name="tkdl">#N/A</definedName>
    <definedName name="TKTKTK" hidden="1">{"'미착금액'!$A$4:$G$14"}</definedName>
    <definedName name="TLF">{"'10_03일자별'!$A$2:$H$31"}</definedName>
    <definedName name="tlsdmsdk" hidden="1">{#N/A,#N/A,FALSE,"Pharm";#N/A,#N/A,FALSE,"WWCM"}</definedName>
    <definedName name="TM1REBUILDOPTION">1</definedName>
    <definedName name="TMqkf" hidden="1">{"'통신지'!$A$1:$J$41"}</definedName>
    <definedName name="TOD">#REF!</definedName>
    <definedName name="todd">#REF!</definedName>
    <definedName name="TODLFMA" hidden="1">#REF!</definedName>
    <definedName name="tog">#REF!</definedName>
    <definedName name="TOO">#N/A</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BlankMacro1</definedName>
    <definedName name="Transfer">#REF!</definedName>
    <definedName name="TRAY">#REF!</definedName>
    <definedName name="TRAY_D">#REF!</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hidden="1">{#N/A,#N/A,FALSE,"Sheet6"}</definedName>
    <definedName name="trhr" hidden="1">{#N/A,#N/A,FALSE,"Sheet6"}</definedName>
    <definedName name="TrialBalance2">#REF!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hidden="1">{#N/A,#N/A,FALSE,"UNIT";#N/A,#N/A,FALSE,"UNIT";#N/A,#N/A,FALSE,"계정"}</definedName>
    <definedName name="tthh" hidden="1">#N/A</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hidden="1">{#N/A,#N/A,FALSE,"Sheet6"}</definedName>
    <definedName name="TTSALE">#N/A</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hidden="1">{#N/A,#N/A,FALSE,"지침";#N/A,#N/A,FALSE,"환경분석";#N/A,#N/A,FALSE,"Sheet16"}</definedName>
    <definedName name="TTTTTTT">#REF!</definedName>
    <definedName name="ttttttttt" hidden="1">{"'Set-Out'!$A$1:$H$30"}</definedName>
    <definedName name="tu"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hidden="1">{#N/A,#N/A,FALSE,"Sheet6"}</definedName>
    <definedName name="TYJ" hidden="1">{"'용역비'!$A$4:$C$8"}</definedName>
    <definedName name="tyje" hidden="1">{"'용역비'!$A$4:$C$8"}</definedName>
    <definedName name="tyjet" hidden="1">{"'용역비'!$A$4:$C$8"}</definedName>
    <definedName name="TYPE">#REF!</definedName>
    <definedName name="type_dropdown">#REF!</definedName>
    <definedName name="TYTYTYTYTYT"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hidden="1">{#N/A,#N/A,FALSE,"CCTV"}</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hidden="1">{#N/A,#N/A,FALSE,"단축1";#N/A,#N/A,FALSE,"단축2";#N/A,#N/A,FALSE,"단축3";#N/A,#N/A,FALSE,"장축";#N/A,#N/A,FALSE,"4WD"}</definedName>
    <definedName name="uyteyj" hidden="1">#REF!</definedName>
    <definedName name="UYTRC" hidden="1">{#N/A,#N/A,FALSE,"단축1";#N/A,#N/A,FALSE,"단축2";#N/A,#N/A,FALSE,"단축3";#N/A,#N/A,FALSE,"장축";#N/A,#N/A,FALSE,"4WD"}</definedName>
    <definedName name="U행">#REF!</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hidden="1">{#N/A,#N/A,FALSE,"이태원철근"}</definedName>
    <definedName name="VBN" hidden="1">{#N/A,#N/A,FALSE,"이태원철근"}</definedName>
    <definedName name="vbnhj" hidden="1">{#N/A,#N/A,FALSE,"Sheet6"}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hidden="1">{#N/A,#N/A,TRUE,"경전'96(1)";#N/A,#N/A,TRUE,"경전'96 (2)"}</definedName>
    <definedName name="Vtwt">#REF!</definedName>
    <definedName name="vv">Main.SAPF4Help()</definedName>
    <definedName name="vvv" hidden="1">{"'買掛金'!$J$6"}</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hidden="1">{#N/A,#N/A,FALSE,"기안지";#N/A,#N/A,FALSE,"통신지"}</definedName>
    <definedName name="vxccx" hidden="1">{"'買掛金'!$J$6"}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hidden="1">{#N/A,#N/A,FALSE,"단축1";#N/A,#N/A,FALSE,"단축2";#N/A,#N/A,FALSE,"단축3";#N/A,#N/A,FALSE,"장축";#N/A,#N/A,FALSE,"4WD"}</definedName>
    <definedName name="V행">#REF!</definedName>
    <definedName name="w" hidden="1">#REF!</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hidden="1">{#N/A,#N/A,FALSE,"UNIT";#N/A,#N/A,FALSE,"UNIT";#N/A,#N/A,FALSE,"계정"}</definedName>
    <definedName name="wdj">#N/A</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hidden="1">{#N/A,#N/A,FALSE,"Performance Flash Report"}</definedName>
    <definedName name="wef_1" hidden="1">{#N/A,#N/A,FALSE,"Performance Flash Report"}</definedName>
    <definedName name="wef_1_1" hidden="1">{#N/A,#N/A,FALSE,"Performance Flash Report"}</definedName>
    <definedName name="wef_1_2" hidden="1">{#N/A,#N/A,FALSE,"Performance Flash Report"}</definedName>
    <definedName name="wef_1_3" hidden="1">{#N/A,#N/A,FALSE,"Performance Flash Report"}</definedName>
    <definedName name="wef_1_4" hidden="1">{#N/A,#N/A,FALSE,"Performance Flash Report"}</definedName>
    <definedName name="wef_2" hidden="1">{#N/A,#N/A,FALSE,"Performance Flash Report"}</definedName>
    <definedName name="wef_2_1" hidden="1">{#N/A,#N/A,FALSE,"Performance Flash Report"}</definedName>
    <definedName name="wef_2_2" hidden="1">{#N/A,#N/A,FALSE,"Performance Flash Report"}</definedName>
    <definedName name="wef_2_3" hidden="1">{#N/A,#N/A,FALSE,"Performance Flash Report"}</definedName>
    <definedName name="wef_2_4" hidden="1">{#N/A,#N/A,FALSE,"Performance Flash Report"}</definedName>
    <definedName name="wef_3" hidden="1">{#N/A,#N/A,FALSE,"Performance Flash Report"}</definedName>
    <definedName name="wef_3_1" hidden="1">{#N/A,#N/A,FALSE,"Performance Flash Report"}</definedName>
    <definedName name="wef_3_2" hidden="1">{#N/A,#N/A,FALSE,"Performance Flash Report"}</definedName>
    <definedName name="wef_3_3" hidden="1">{#N/A,#N/A,FALSE,"Performance Flash Report"}</definedName>
    <definedName name="wef_3_4" hidden="1">{#N/A,#N/A,FALSE,"Performance Flash Report"}</definedName>
    <definedName name="wef_4" hidden="1">{#N/A,#N/A,FALSE,"Performance Flash Report"}</definedName>
    <definedName name="wef_4_1" hidden="1">{#N/A,#N/A,FALSE,"Performance Flash Report"}</definedName>
    <definedName name="wef_4_2" hidden="1">{#N/A,#N/A,FALSE,"Performance Flash Report"}</definedName>
    <definedName name="wef_4_3" hidden="1">{#N/A,#N/A,FALSE,"Performance Flash Report"}</definedName>
    <definedName name="wef_4_4" hidden="1">{#N/A,#N/A,FALSE,"Performance Flash Report"}</definedName>
    <definedName name="wef_5" hidden="1">{#N/A,#N/A,FALSE,"Performance Flash Report"}</definedName>
    <definedName name="wef_5_1" hidden="1">{#N/A,#N/A,FALSE,"Performance Flash Report"}</definedName>
    <definedName name="wef_5_2" hidden="1">{#N/A,#N/A,FALSE,"Performance Flash Report"}</definedName>
    <definedName name="wef_5_3" hidden="1">{#N/A,#N/A,FALSE,"Performance Flash Report"}</definedName>
    <definedName name="wef_5_4" hidden="1">{#N/A,#N/A,FALSE,"Performance Flash Report"}</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hidden="1">{#N/A,#N/A,FALSE,"단축1";#N/A,#N/A,FALSE,"단축2";#N/A,#N/A,FALSE,"단축3";#N/A,#N/A,FALSE,"장축";#N/A,#N/A,FALSE,"4WD"}</definedName>
    <definedName name="weqew" hidden="1">{#N/A,#N/A,FALSE,"Aging Summary";#N/A,#N/A,FALSE,"Ratio Analysis";#N/A,#N/A,FALSE,"Test 120 Day Accts";#N/A,#N/A,FALSE,"Tickmarks"}</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hidden="1">{"INCSTMT1",#N/A,FALSE,"COR";"INCSTMT2",#N/A,FALSE,"COR"}</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hidden="1">{#N/A,#N/A,TRUE,"경전'96(1)";#N/A,#N/A,TRUE,"경전'96 (2)"}</definedName>
    <definedName name="WJWJWJW" hidden="1">{#N/A,#N/A,FALSE,"단축1";#N/A,#N/A,FALSE,"단축2";#N/A,#N/A,FALSE,"단축3";#N/A,#N/A,FALSE,"장축";#N/A,#N/A,FALSE,"4WD"}</definedName>
    <definedName name="wkf" hidden="1">{#N/A,#N/A,FALSE,"단축1";#N/A,#N/A,FALSE,"단축2";#N/A,#N/A,FALSE,"단축3";#N/A,#N/A,FALSE,"장축";#N/A,#N/A,FALSE,"4WD"}</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l">#REF!</definedName>
    <definedName name="WLRMA" hidden="1">{#N/A,#N/A,FALSE,"Aging Summary";#N/A,#N/A,FALSE,"Ratio Analysis";#N/A,#N/A,FALSE,"Test 120 Day Accts";#N/A,#N/A,FALSE,"Tickmarks"}</definedName>
    <definedName name="Wm">#REF!</definedName>
    <definedName name="wm.조골재1" hidden="1">{#N/A,#N/A,FALSE,"조골재"}</definedName>
    <definedName name="WND" hidden="1">{#N/A,#N/A,FALSE,"단축1";#N/A,#N/A,FALSE,"단축2";#N/A,#N/A,FALSE,"단축3";#N/A,#N/A,FALSE,"장축";#N/A,#N/A,FALSE,"4WD"}</definedName>
    <definedName name="wnkllwk" hidden="1">{"'Sheet1'!$A$1:$H$36"}</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hidden="1">{#N/A,#N/A,FALSE,"BS";#N/A,#N/A,FALSE,"PL";#N/A,#N/A,FALSE,"처분";#N/A,#N/A,FALSE,"현금";#N/A,#N/A,FALSE,"매출";#N/A,#N/A,FALSE,"원가";#N/A,#N/A,FALSE,"경영"}</definedName>
    <definedName name="WQ" hidden="1">{#N/A,#N/A,FALSE,"을지 (4)";#N/A,#N/A,FALSE,"을지 (5)";#N/A,#N/A,FALSE,"을지 (6)"}</definedName>
    <definedName name="wqe" hidden="1">{#N/A,#N/A,FALSE,"견적대비-2"}</definedName>
    <definedName name="wqwqw" hidden="1">{#N/A,#N/A,FALSE,"단축1";#N/A,#N/A,FALSE,"단축2";#N/A,#N/A,FALSE,"단축3";#N/A,#N/A,FALSE,"장축";#N/A,#N/A,FALSE,"4WD"}</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hidden="1">{#N/A,#N/A,FALSE,"CCTV"}</definedName>
    <definedName name="wrn" hidden="1">{"cap_structure",#N/A,FALSE,"Graph-Mkt Cap";"price",#N/A,FALSE,"Graph-Price";"ebit",#N/A,FALSE,"Graph-EBITDA";"ebitda",#N/A,FALSE,"Graph-EBITDA"}</definedName>
    <definedName name="wrn.2._.pagers." hidden="1">{"Cover",#N/A,FALSE,"Cover";"Summary",#N/A,FALSE,"Summarpage"}</definedName>
    <definedName name="wrn.2번." hidden="1">{#N/A,#N/A,FALSE,"2~8번"}</definedName>
    <definedName name="wrn.345." hidden="1">{#N/A,#N/A,FALSE,"96 3월물량표";#N/A,#N/A,FALSE,"96 4월물량표";#N/A,#N/A,FALSE,"96 5월물량표"}</definedName>
    <definedName name="wrn.3cases." hidden="1">{#N/A,"Base",FALSE,"Dividend";#N/A,"Conservative",FALSE,"Dividend";#N/A,"Downside",FALSE,"Dividend"}</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hidden="1">{#N/A,#N/A,FALSE,"지침";#N/A,#N/A,FALSE,"환경분석";#N/A,#N/A,FALSE,"Sheet16"}</definedName>
    <definedName name="wrn.97년._.투자계획." hidden="1">{#N/A,#N/A,FALSE,"97년 투자계획 세부내역 "}</definedName>
    <definedName name="wrn.A." hidden="1">{#N/A,#N/A,TRUE,"매출";#N/A,#N/A,TRUE,"손익-재무";#N/A,#N/A,TRUE,"Cash Flow(4)";#N/A,#N/A,TRUE,"Sheet1"}</definedName>
    <definedName name="wrn.aa." hidden="1">{#N/A,#N/A,FALSE,"UNIT";#N/A,#N/A,FALSE,"UNIT";#N/A,#N/A,FALSE,"계정"}</definedName>
    <definedName name="wrn.abt." hidden="1">{"ww",#N/A,FALSE,"Hospital Products";"us",#N/A,FALSE,"Hospital Products";"in",#N/A,FALSE,"Hospital Products"}</definedName>
    <definedName name="wrn.Accounts." hidden="1">{"turnover",#N/A,FALSE;"profits",#N/A,FALSE;"cash",#N/A,FALSE}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ex." hidden="1">{#N/A,#N/A,FALSE,"TradeSumm";#N/A,#N/A,FALSE,"StatsSumm"}</definedName>
    <definedName name="wrn.all." hidden="1">{#N/A,#N/A,FALSE,"assumptions";#N/A,#N/A,FALSE,"v_projcy";#N/A,#N/A,FALSE,"tar_proj";#N/A,#N/A,FALSE,"contrib_annual";#N/A,#N/A,FALSE,"Proforma";#N/A,#N/A,FALSE,"purc_97";#N/A,#N/A,FALSE,"syn_purc_97";#N/A,#N/A,FALSE,"pool_97";#N/A,#N/A,FALSE,"syn_pool_97";#N/A,#N/A,FALSE,"pool1_FY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hidden="1">{"revenue",#N/A,FALSE,"Revenue";"Qearn1",#N/A,FALSE,"Qearn";"Qearn2",#N/A,FALSE,"Qearn";"Qmargin",#N/A,FALSE,"Qmargin";"Cashflow",#N/A,FALSE,"Cashflow"}</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to._.Comp." hidden="1">{#N/A,#N/A,FALSE,"Sheet1"}</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hidden="1">{"financials",#N/A,FALSE,"BASIC";"interest",#N/A,FALSE,"BASIC";"leasing and financing",#N/A,FALSE,"BASIC";"returns back up",#N/A,FALSE,"BASIC"}</definedName>
    <definedName name="wrn.bank._.model." hidden="1">{"banks",#N/A,FALSE,"BASIC"}</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MC._.FTEAOB._.90." hidden="1">{"FTEAOB 90",#N/A,FALSE,"FTEAOB - 5.0 Format - Input"}</definedName>
    <definedName name="wrn.BMC._.FTEAOB._.91." hidden="1">{"FTEAOB 91",#N/A,FALSE,"FTEAOB - 5.0 Format - Input"}</definedName>
    <definedName name="wrn.BMC._.FTEAOB._.92." hidden="1">{"FTEAOB 92",#N/A,FALSE,"FTEAOB - 5.0 Format - Input"}</definedName>
    <definedName name="wrn.BMC._.FTEAOB._.93." hidden="1">{"FTEAOB 93",#N/A,FALSE,"FTEAOB - 5.0 Format - Input"}</definedName>
    <definedName name="wrn.BMC._.FTEAOB._.94." hidden="1">{"FTEAOB 94",#N/A,FALSE,"FTEAOB - 5.0 Format - Input"}</definedName>
    <definedName name="wrn.BMC._.FTEAOB._.95." hidden="1">{"FTEAOB 95",#N/A,FALSE,"FTEAOB - 5.0 Format - Input"}</definedName>
    <definedName name="wrn.BMC._.FTEAOB._.96." hidden="1">{"FTEAOB 96",#N/A,FALSE,"FTEAOB - 5.0 Format - Input"}</definedName>
    <definedName name="wrn.BMC._.FTEAOB._.ALL." hidden="1">{"FTEAOB ALL",#N/A,FALSE,"FTEAOB - 5.0 Format - Input"}</definedName>
    <definedName name="wrn.BMC._.FTEAOB._.YEARLY." hidden="1">{"FTEAOB YEARLY",#N/A,FALSE,"FTEAOB - 5.0 Format - Input"}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hidden="1">{#N/A,#N/A,TRUE,"Chris Beard";#N/A,#N/A,TRUE,"P&amp;L - Regent Street";#N/A,#N/A,TRUE,"P&amp;L - Covent Garden";#N/A,#N/A,TRUE,"P&amp;L - Seven Dials"}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hidden="1">{"client cfbs",#N/A,FALSE,"Client"}</definedName>
    <definedName name="wrn.Client._.is." hidden="1">{"Client is",#N/A,FALSE,"Client"}</definedName>
    <definedName name="wrn.Client._.stats." hidden="1">{"Client stats",#N/A,FALSE,"Client"}</definedName>
    <definedName name="wrn.CMI._.Actuals." hidden="1">{"CMI ACT Cover Page",#N/A,FALSE,"Cover Page";"CMI Leadsheet",#N/A,FALSE,"Cover Page";"CMI ACT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hidden="1">{#N/A,#N/A,FALSE,"INPUTS";#N/A,#N/A,FALSE,"PROFORMA BSHEET";#N/A,#N/A,FALSE,"COMBINED";#N/A,#N/A,FALSE,"HIGH YIELD";#N/A,#N/A,FALSE,"COMB_GRAPHS"}</definedName>
    <definedName name="wrn.COMMISSION." hidden="1">{"FORM17",#N/A,FALSE,"Commission1";"FORM17.1",#N/A,FALSE,"Commission2"}</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hidden="1">{#N/A,#N/A,TRUE,"summary";#N/A,#N/A,TRUE,"model"}</definedName>
    <definedName name="wrn.Consolidated._.Statements." hidden="1">{"view1",#N/A,FALSE,"EARN (US$)";"view1",#N/A,FALSE,"DASTBS (US$)";"view1",#N/A,FALSE,"DASTCF (US$)"}</definedName>
    <definedName name="wrn.CONSOLIDATION." hidden="1">{"PAGE1",#N/A,FALSE,"Consolidation";"PAGE2",#N/A,FALSE,"Consolidation";"PAGE3",#N/A,FALSE,"Consolidation";"PAGE4",#N/A,FALSE,"Consolidation";"PAGE5",#N/A,FALSE,"Consolidation";"PAGE6",#N/A,FALSE,"Consolidation";"PAGE7",#N/A,FALSE,"Consolidation"}</definedName>
    <definedName name="wrn.CORR." hidden="1">{"INCSTMT1",#N/A,FALSE,"COR";"INCSTMT2",#N/A,FALSE,"COR"}</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CS._.Flash._.Test." hidden="1">{#N/A,#N/A,FALSE,"Performance Flash Report"}</definedName>
    <definedName name="wrn.CS._.Flash._.Test._1" hidden="1">{#N/A,#N/A,FALSE,"Performance Flash Report"}</definedName>
    <definedName name="wrn.CS._.Flash._.Test._1_1" hidden="1">{#N/A,#N/A,FALSE,"Performance Flash Report"}</definedName>
    <definedName name="wrn.CS._.Flash._.Test._1_2" hidden="1">{#N/A,#N/A,FALSE,"Performance Flash Report"}</definedName>
    <definedName name="wrn.CS._.Flash._.Test._1_3" hidden="1">{#N/A,#N/A,FALSE,"Performance Flash Report"}</definedName>
    <definedName name="wrn.CS._.Flash._.Test._1_4" hidden="1">{#N/A,#N/A,FALSE,"Performance Flash Report"}</definedName>
    <definedName name="wrn.CS._.Flash._.Test._2" hidden="1">{#N/A,#N/A,FALSE,"Performance Flash Report"}</definedName>
    <definedName name="wrn.CS._.Flash._.Test._2_1" hidden="1">{#N/A,#N/A,FALSE,"Performance Flash Report"}</definedName>
    <definedName name="wrn.CS._.Flash._.Test._2_2" hidden="1">{#N/A,#N/A,FALSE,"Performance Flash Report"}</definedName>
    <definedName name="wrn.CS._.Flash._.Test._2_3" hidden="1">{#N/A,#N/A,FALSE,"Performance Flash Report"}</definedName>
    <definedName name="wrn.CS._.Flash._.Test._2_4" hidden="1">{#N/A,#N/A,FALSE,"Performance Flash Report"}</definedName>
    <definedName name="wrn.CS._.Flash._.Test._3" hidden="1">{#N/A,#N/A,FALSE,"Performance Flash Report"}</definedName>
    <definedName name="wrn.CS._.Flash._.Test._3_1" hidden="1">{#N/A,#N/A,FALSE,"Performance Flash Report"}</definedName>
    <definedName name="wrn.CS._.Flash._.Test._3_2" hidden="1">{#N/A,#N/A,FALSE,"Performance Flash Report"}</definedName>
    <definedName name="wrn.CS._.Flash._.Test._3_3" hidden="1">{#N/A,#N/A,FALSE,"Performance Flash Report"}</definedName>
    <definedName name="wrn.CS._.Flash._.Test._3_4" hidden="1">{#N/A,#N/A,FALSE,"Performance Flash Report"}</definedName>
    <definedName name="wrn.CS._.Flash._.Test._4" hidden="1">{#N/A,#N/A,FALSE,"Performance Flash Report"}</definedName>
    <definedName name="wrn.CS._.Flash._.Test._4_1" hidden="1">{#N/A,#N/A,FALSE,"Performance Flash Report"}</definedName>
    <definedName name="wrn.CS._.Flash._.Test._4_2" hidden="1">{#N/A,#N/A,FALSE,"Performance Flash Report"}</definedName>
    <definedName name="wrn.CS._.Flash._.Test._4_3" hidden="1">{#N/A,#N/A,FALSE,"Performance Flash Report"}</definedName>
    <definedName name="wrn.CS._.Flash._.Test._4_4" hidden="1">{#N/A,#N/A,FALSE,"Performance Flash Report"}</definedName>
    <definedName name="wrn.CS._.Flash._.Test._5" hidden="1">{#N/A,#N/A,FALSE,"Performance Flash Report"}</definedName>
    <definedName name="wrn.CS._.Flash._.Test._5_1" hidden="1">{#N/A,#N/A,FALSE,"Performance Flash Report"}</definedName>
    <definedName name="wrn.CS._.Flash._.Test._5_2" hidden="1">{#N/A,#N/A,FALSE,"Performance Flash Report"}</definedName>
    <definedName name="wrn.CS._.Flash._.Test._5_3" hidden="1">{#N/A,#N/A,FALSE,"Performance Flash Report"}</definedName>
    <definedName name="wrn.CS._.Flash._.Test._5_4" hidden="1">{#N/A,#N/A,FALSE,"Performance Flash Report"}</definedName>
    <definedName name="wrn.daily." hidden="1">{#N/A,#N/A,FALSE,"Major v. River";#N/A,#N/A,FALSE,"Large Operators";#N/A,#N/A,FALSE,"Smaller Operators";#N/A,#N/A,FALSE,"Equip. Supply";#N/A,#N/A,FALSE,"EBITDA"}</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hidden="1">{"mgmt forecast",#N/A,FALSE,"Mgmt Forecast";"dcf table",#N/A,FALSE,"Mgmt Forecast";"sensitivity",#N/A,FALSE,"Mgmt Forecast";"table inputs",#N/A,FALSE,"Mgmt Forecast";"calculations",#N/A,FALSE,"Mgmt Forecast"}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hidden="1">{#N/A,#N/A,TRUE,"P&amp;L - Main Summary";#N/A,#N/A,TRUE,"P&amp;L-Main Detail";#N/A,#N/A,TRUE,"Overhead Analysis";#N/A,#N/A,TRUE,"BalanceSheet"}</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hidden="1">{#N/A,#N/A,FALSE,"전제";#N/A,#N/A,FALSE,"표지";#N/A,#N/A,FALSE,"6D16";#N/A,#N/A,FALSE,"6D22";#N/A,#N/A,FALSE,"6D22-T";#N/A,#N/A,FALSE,"Q-DEG";#N/A,#N/A,FALSE,"총손";#N/A,#N/A,FALSE,"대당";#N/A,#N/A,FALSE,"가공비"}</definedName>
    <definedName name="wrn.Entire._.Model." hidden="1">{#N/A,#N/A,TRUE,"summary";#N/A,#N/A,TRUE,"model";#N/A,#N/A,TRUE,"Consolidated P&amp;L Summary";#N/A,#N/A,TRUE,"Schwinn";#N/A,#N/A,TRUE,"G.T.";#N/A,#N/A,TRUE,"Hebb"}</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hidden="1">{"FCB_ALL",#N/A,FALSE,"FCB"}</definedName>
    <definedName name="wrn.FCB._1" hidden="1">{"FCB_ALL",#N/A,FALSE,"FCB"}</definedName>
    <definedName name="wrn.FCB._1_1" hidden="1">{"FCB_ALL",#N/A,FALSE,"FCB"}</definedName>
    <definedName name="wrn.FCB._1_2" hidden="1">{"FCB_ALL",#N/A,FALSE,"FCB"}</definedName>
    <definedName name="wrn.FCB._1_3" hidden="1">{"FCB_ALL",#N/A,FALSE,"FCB"}</definedName>
    <definedName name="wrn.FCB._1_4" hidden="1">{"FCB_ALL",#N/A,FALSE,"FCB"}</definedName>
    <definedName name="wrn.FCB._2" hidden="1">{"FCB_ALL",#N/A,FALSE,"FCB"}</definedName>
    <definedName name="wrn.FCB._2_1" hidden="1">{"FCB_ALL",#N/A,FALSE,"FCB"}</definedName>
    <definedName name="wrn.FCB._2_2" hidden="1">{"FCB_ALL",#N/A,FALSE,"FCB"}</definedName>
    <definedName name="wrn.FCB._2_3" hidden="1">{"FCB_ALL",#N/A,FALSE,"FCB"}</definedName>
    <definedName name="wrn.FCB._2_4" hidden="1">{"FCB_ALL",#N/A,FALSE,"FCB"}</definedName>
    <definedName name="wrn.FCB._3" hidden="1">{"FCB_ALL",#N/A,FALSE,"FCB"}</definedName>
    <definedName name="wrn.FCB._3_1" hidden="1">{"FCB_ALL",#N/A,FALSE,"FCB"}</definedName>
    <definedName name="wrn.FCB._3_2" hidden="1">{"FCB_ALL",#N/A,FALSE,"FCB"}</definedName>
    <definedName name="wrn.FCB._3_3" hidden="1">{"FCB_ALL",#N/A,FALSE,"FCB"}</definedName>
    <definedName name="wrn.FCB._3_4" hidden="1">{"FCB_ALL",#N/A,FALSE,"FCB"}</definedName>
    <definedName name="wrn.FCB._4" hidden="1">{"FCB_ALL",#N/A,FALSE,"FCB"}</definedName>
    <definedName name="wrn.FCB._4_1" hidden="1">{"FCB_ALL",#N/A,FALSE,"FCB"}</definedName>
    <definedName name="wrn.FCB._4_2" hidden="1">{"FCB_ALL",#N/A,FALSE,"FCB"}</definedName>
    <definedName name="wrn.FCB._4_3" hidden="1">{"FCB_ALL",#N/A,FALSE,"FCB"}</definedName>
    <definedName name="wrn.FCB._4_4" hidden="1">{"FCB_ALL",#N/A,FALSE,"FCB"}</definedName>
    <definedName name="wrn.FCB._5" hidden="1">{"FCB_ALL",#N/A,FALSE,"FCB"}</definedName>
    <definedName name="wrn.FCB._5_1" hidden="1">{"FCB_ALL",#N/A,FALSE,"FCB"}</definedName>
    <definedName name="wrn.FCB._5_2" hidden="1">{"FCB_ALL",#N/A,FALSE,"FCB"}</definedName>
    <definedName name="wrn.FCB._5_3" hidden="1">{"FCB_ALL",#N/A,FALSE,"FCB"}</definedName>
    <definedName name="wrn.FCB._5_4" hidden="1">{"FCB_ALL",#N/A,FALSE,"FCB"}</definedName>
    <definedName name="wrn.fcb2" hidden="1">{"FCB_ALL",#N/A,FALSE,"FCB"}</definedName>
    <definedName name="wrn.fcb2_1" hidden="1">{"FCB_ALL",#N/A,FALSE,"FCB"}</definedName>
    <definedName name="wrn.fcb2_1_1" hidden="1">{"FCB_ALL",#N/A,FALSE,"FCB"}</definedName>
    <definedName name="wrn.fcb2_1_2" hidden="1">{"FCB_ALL",#N/A,FALSE,"FCB"}</definedName>
    <definedName name="wrn.fcb2_1_3" hidden="1">{"FCB_ALL",#N/A,FALSE,"FCB"}</definedName>
    <definedName name="wrn.fcb2_1_4" hidden="1">{"FCB_ALL",#N/A,FALSE,"FCB"}</definedName>
    <definedName name="wrn.fcb2_2" hidden="1">{"FCB_ALL",#N/A,FALSE,"FCB"}</definedName>
    <definedName name="wrn.fcb2_2_1" hidden="1">{"FCB_ALL",#N/A,FALSE,"FCB"}</definedName>
    <definedName name="wrn.fcb2_2_2" hidden="1">{"FCB_ALL",#N/A,FALSE,"FCB"}</definedName>
    <definedName name="wrn.fcb2_2_3" hidden="1">{"FCB_ALL",#N/A,FALSE,"FCB"}</definedName>
    <definedName name="wrn.fcb2_2_4" hidden="1">{"FCB_ALL",#N/A,FALSE,"FCB"}</definedName>
    <definedName name="wrn.fcb2_3" hidden="1">{"FCB_ALL",#N/A,FALSE,"FCB"}</definedName>
    <definedName name="wrn.fcb2_3_1" hidden="1">{"FCB_ALL",#N/A,FALSE,"FCB"}</definedName>
    <definedName name="wrn.fcb2_3_2" hidden="1">{"FCB_ALL",#N/A,FALSE,"FCB"}</definedName>
    <definedName name="wrn.fcb2_3_3" hidden="1">{"FCB_ALL",#N/A,FALSE,"FCB"}</definedName>
    <definedName name="wrn.fcb2_3_4" hidden="1">{"FCB_ALL",#N/A,FALSE,"FCB"}</definedName>
    <definedName name="wrn.fcb2_4" hidden="1">{"FCB_ALL",#N/A,FALSE,"FCB"}</definedName>
    <definedName name="wrn.fcb2_4_1" hidden="1">{"FCB_ALL",#N/A,FALSE,"FCB"}</definedName>
    <definedName name="wrn.fcb2_4_2" hidden="1">{"FCB_ALL",#N/A,FALSE,"FCB"}</definedName>
    <definedName name="wrn.fcb2_4_3" hidden="1">{"FCB_ALL",#N/A,FALSE,"FCB"}</definedName>
    <definedName name="wrn.fcb2_4_4" hidden="1">{"FCB_ALL",#N/A,FALSE,"FCB"}</definedName>
    <definedName name="wrn.fcb2_5" hidden="1">{"FCB_ALL",#N/A,FALSE,"FCB"}</definedName>
    <definedName name="wrn.fcb2_5_1" hidden="1">{"FCB_ALL",#N/A,FALSE,"FCB"}</definedName>
    <definedName name="wrn.fcb2_5_2" hidden="1">{"FCB_ALL",#N/A,FALSE,"FCB"}</definedName>
    <definedName name="wrn.fcb2_5_3" hidden="1">{"FCB_ALL",#N/A,FALSE,"FCB"}</definedName>
    <definedName name="wrn.fcb2_5_4" hidden="1">{"FCB_ALL",#N/A,FALSE,"FCB"}</definedName>
    <definedName name="wrn.Final._.Payable._.By._.Country." hidden="1">{"Final Payable By Country",#N/A,FALSE,"Final Payable"}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hidden="1">{#N/A,#N/A,TRUE,"Julio";#N/A,#N/A,TRUE,"Agosto";#N/A,#N/A,TRUE,"BHCo";#N/A,#N/A,TRUE,"Abril";#N/A,#N/A,TRUE,"Pro Forma"}</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hidden="1">{"Annual",#N/A,FALSE,"Long Run";"SelectUSQtr_AnnlChg",#N/A,FALSE,"Long Run";"SelCalQtr_AnlChg",#N/A,FALSE,"Long Run";"PerIncQtr_AnlChg",#N/A,FALSE,"Long Run";"OthrCalQtr_AnlChg",#N/A,FALSE,"Long Run"}</definedName>
    <definedName name="wrn.FY97SBP." hidden="1">{#N/A,#N/A,FALSE,"FY97";#N/A,#N/A,FALSE,"FY98";#N/A,#N/A,FALSE,"FY99";#N/A,#N/A,FALSE,"FY00";#N/A,#N/A,FALSE,"FY01"}</definedName>
    <definedName name="wrn.FY97SBP._1" hidden="1">{#N/A,#N/A,FALSE,"FY97";#N/A,#N/A,FALSE,"FY98";#N/A,#N/A,FALSE,"FY99";#N/A,#N/A,FALSE,"FY00";#N/A,#N/A,FALSE,"FY01"}</definedName>
    <definedName name="wrn.FY97SBP._1_1" hidden="1">{#N/A,#N/A,FALSE,"FY97";#N/A,#N/A,FALSE,"FY98";#N/A,#N/A,FALSE,"FY99";#N/A,#N/A,FALSE,"FY00";#N/A,#N/A,FALSE,"FY01"}</definedName>
    <definedName name="wrn.FY97SBP._1_2" hidden="1">{#N/A,#N/A,FALSE,"FY97";#N/A,#N/A,FALSE,"FY98";#N/A,#N/A,FALSE,"FY99";#N/A,#N/A,FALSE,"FY00";#N/A,#N/A,FALSE,"FY01"}</definedName>
    <definedName name="wrn.FY97SBP._1_3" hidden="1">{#N/A,#N/A,FALSE,"FY97";#N/A,#N/A,FALSE,"FY98";#N/A,#N/A,FALSE,"FY99";#N/A,#N/A,FALSE,"FY00";#N/A,#N/A,FALSE,"FY01"}</definedName>
    <definedName name="wrn.FY97SBP._1_4" hidden="1">{#N/A,#N/A,FALSE,"FY97";#N/A,#N/A,FALSE,"FY98";#N/A,#N/A,FALSE,"FY99";#N/A,#N/A,FALSE,"FY00";#N/A,#N/A,FALSE,"FY01"}</definedName>
    <definedName name="wrn.FY97SBP._2" hidden="1">{#N/A,#N/A,FALSE,"FY97";#N/A,#N/A,FALSE,"FY98";#N/A,#N/A,FALSE,"FY99";#N/A,#N/A,FALSE,"FY00";#N/A,#N/A,FALSE,"FY01"}</definedName>
    <definedName name="wrn.FY97SBP._2_1" hidden="1">{#N/A,#N/A,FALSE,"FY97";#N/A,#N/A,FALSE,"FY98";#N/A,#N/A,FALSE,"FY99";#N/A,#N/A,FALSE,"FY00";#N/A,#N/A,FALSE,"FY01"}</definedName>
    <definedName name="wrn.FY97SBP._2_2" hidden="1">{#N/A,#N/A,FALSE,"FY97";#N/A,#N/A,FALSE,"FY98";#N/A,#N/A,FALSE,"FY99";#N/A,#N/A,FALSE,"FY00";#N/A,#N/A,FALSE,"FY01"}</definedName>
    <definedName name="wrn.FY97SBP._2_3" hidden="1">{#N/A,#N/A,FALSE,"FY97";#N/A,#N/A,FALSE,"FY98";#N/A,#N/A,FALSE,"FY99";#N/A,#N/A,FALSE,"FY00";#N/A,#N/A,FALSE,"FY01"}</definedName>
    <definedName name="wrn.FY97SBP._2_4" hidden="1">{#N/A,#N/A,FALSE,"FY97";#N/A,#N/A,FALSE,"FY98";#N/A,#N/A,FALSE,"FY99";#N/A,#N/A,FALSE,"FY00";#N/A,#N/A,FALSE,"FY01"}</definedName>
    <definedName name="wrn.FY97SBP._3" hidden="1">{#N/A,#N/A,FALSE,"FY97";#N/A,#N/A,FALSE,"FY98";#N/A,#N/A,FALSE,"FY99";#N/A,#N/A,FALSE,"FY00";#N/A,#N/A,FALSE,"FY01"}</definedName>
    <definedName name="wrn.FY97SBP._3_1" hidden="1">{#N/A,#N/A,FALSE,"FY97";#N/A,#N/A,FALSE,"FY98";#N/A,#N/A,FALSE,"FY99";#N/A,#N/A,FALSE,"FY00";#N/A,#N/A,FALSE,"FY01"}</definedName>
    <definedName name="wrn.FY97SBP._3_2" hidden="1">{#N/A,#N/A,FALSE,"FY97";#N/A,#N/A,FALSE,"FY98";#N/A,#N/A,FALSE,"FY99";#N/A,#N/A,FALSE,"FY00";#N/A,#N/A,FALSE,"FY01"}</definedName>
    <definedName name="wrn.FY97SBP._3_3" hidden="1">{#N/A,#N/A,FALSE,"FY97";#N/A,#N/A,FALSE,"FY98";#N/A,#N/A,FALSE,"FY99";#N/A,#N/A,FALSE,"FY00";#N/A,#N/A,FALSE,"FY01"}</definedName>
    <definedName name="wrn.FY97SBP._3_4" hidden="1">{#N/A,#N/A,FALSE,"FY97";#N/A,#N/A,FALSE,"FY98";#N/A,#N/A,FALSE,"FY99";#N/A,#N/A,FALSE,"FY00";#N/A,#N/A,FALSE,"FY01"}</definedName>
    <definedName name="wrn.FY97SBP._4" hidden="1">{#N/A,#N/A,FALSE,"FY97";#N/A,#N/A,FALSE,"FY98";#N/A,#N/A,FALSE,"FY99";#N/A,#N/A,FALSE,"FY00";#N/A,#N/A,FALSE,"FY01"}</definedName>
    <definedName name="wrn.FY97SBP._4_1" hidden="1">{#N/A,#N/A,FALSE,"FY97";#N/A,#N/A,FALSE,"FY98";#N/A,#N/A,FALSE,"FY99";#N/A,#N/A,FALSE,"FY00";#N/A,#N/A,FALSE,"FY01"}</definedName>
    <definedName name="wrn.FY97SBP._4_2" hidden="1">{#N/A,#N/A,FALSE,"FY97";#N/A,#N/A,FALSE,"FY98";#N/A,#N/A,FALSE,"FY99";#N/A,#N/A,FALSE,"FY00";#N/A,#N/A,FALSE,"FY01"}</definedName>
    <definedName name="wrn.FY97SBP._4_3" hidden="1">{#N/A,#N/A,FALSE,"FY97";#N/A,#N/A,FALSE,"FY98";#N/A,#N/A,FALSE,"FY99";#N/A,#N/A,FALSE,"FY00";#N/A,#N/A,FALSE,"FY01"}</definedName>
    <definedName name="wrn.FY97SBP._4_4" hidden="1">{#N/A,#N/A,FALSE,"FY97";#N/A,#N/A,FALSE,"FY98";#N/A,#N/A,FALSE,"FY99";#N/A,#N/A,FALSE,"FY00";#N/A,#N/A,FALSE,"FY01"}</definedName>
    <definedName name="wrn.FY97SBP._5" hidden="1">{#N/A,#N/A,FALSE,"FY97";#N/A,#N/A,FALSE,"FY98";#N/A,#N/A,FALSE,"FY99";#N/A,#N/A,FALSE,"FY00";#N/A,#N/A,FALSE,"FY01"}</definedName>
    <definedName name="wrn.FY97SBP._5_1" hidden="1">{#N/A,#N/A,FALSE,"FY97";#N/A,#N/A,FALSE,"FY98";#N/A,#N/A,FALSE,"FY99";#N/A,#N/A,FALSE,"FY00";#N/A,#N/A,FALSE,"FY01"}</definedName>
    <definedName name="wrn.FY97SBP._5_2" hidden="1">{#N/A,#N/A,FALSE,"FY97";#N/A,#N/A,FALSE,"FY98";#N/A,#N/A,FALSE,"FY99";#N/A,#N/A,FALSE,"FY00";#N/A,#N/A,FALSE,"FY01"}</definedName>
    <definedName name="wrn.FY97SBP._5_3" hidden="1">{#N/A,#N/A,FALSE,"FY97";#N/A,#N/A,FALSE,"FY98";#N/A,#N/A,FALSE,"FY99";#N/A,#N/A,FALSE,"FY00";#N/A,#N/A,FALSE,"FY01"}</definedName>
    <definedName name="wrn.FY97SBP._5_4" hidden="1">{#N/A,#N/A,FALSE,"FY97";#N/A,#N/A,FALSE,"FY98";#N/A,#N/A,FALSE,"FY99";#N/A,#N/A,FALSE,"FY00";#N/A,#N/A,FALSE,"FY01"}</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hidden="1">{#N/A,#N/A,FALSE,"Giles Potter";#N/A,#N/A,FALSE,"P&amp;L - Heathrow";#N/A,#N/A,FALSE,"P&amp;L - Tottenham Court Road";#N/A,#N/A,FALSE,"P&amp;L - Brewer Street";#N/A,#N/A,FALSE,"P&amp;L - Strand";#N/A,#N/A,FALSE,"P&amp;L - Lancaster Place";#N/A,#N/A,FALSE,"P&amp;L - Soho"}</definedName>
    <definedName name="wrn.GRAPHS." hidden="1">{#N/A,#N/A,FALSE,"ACQ_GRAPHS";#N/A,#N/A,FALSE,"T_1 GRAPHS";#N/A,#N/A,FALSE,"T_2 GRAPHS";#N/A,#N/A,FALSE,"COMB_GRAPHS"}</definedName>
    <definedName name="wrn.Historical._.Cost._.PWC."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hidden="1">{"Income statement",#N/A,TRUE,"P&amp;L";"Cash flow and Bal sheet",#N/A,TRUE,"P&amp;L";"intl",#N/A,TRUE,"Int'l";"Local and other telecom",#N/A,TRUE,"P&amp;L";"FAs cash and staff",#N/A,TRUE,"P&amp;L";"Loss of revenue",#N/A,TRUE,"Int'l"}</definedName>
    <definedName name="wrn.Hutchison._.Max." hidden="1">{#N/A,#N/A,FALSE,"Cellular"}</definedName>
    <definedName name="wrn.HWITEM." hidden="1">{#N/A,#N/A,FALSE,"삼진정공";#N/A,#N/A,FALSE,"영신금속";#N/A,#N/A,FALSE,"태양금속";#N/A,#N/A,FALSE,"진합정공";#N/A,#N/A,FALSE,"코리아";#N/A,#N/A,FALSE,"풍강금속";#N/A,#N/A,FALSE,"선일기계"}</definedName>
    <definedName name="wrn.Hyg._.Acq." hidden="1">{#N/A,#N/A,FALSE,"main";#N/A,#N/A,FALSE,"100% Cash";#N/A,#N/A,FALSE,"100% Stock"}</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hidden="1">{#N/A,#N/A,TRUE,"IGT";#N/A,#N/A,TRUE,"IGTSLOT"}</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hidden="1">{#N/A,#N/A,TRUE,"COFTOT"}</definedName>
    <definedName name="wrn.Income._.Statement." hidden="1">{#N/A,#N/A,FALSE,"Report Print"}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hidden="1">{"Internal is",#N/A,FALSE,"Model"}</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hidden="1">{#N/A,#N/A,FALSE,"John Taffe";#N/A,#N/A,FALSE,"P&amp;L - Ashford";#N/A,#N/A,FALSE,"P&amp;L - Bristol";#N/A,#N/A,FALSE,"P&amp;L - Clapham Junction";#N/A,#N/A,FALSE,"P&amp;L - Clapham High Street"}</definedName>
    <definedName name="wrn.JV." hidden="1">{#N/A,#N/A,FALSE,"JV"}</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hidden="1">{#N/A,#N/A,FALSE,"Initial Year";#N/A,#N/A,FALSE,"Historical";#N/A,#N/A,FALSE,"balsheet";#N/A,#N/A,FALSE,"incstate";#N/A,#N/A,FALSE,"Fleet"}</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hidden="1">{#N/A,#N/A,FALSE,"MIR";#N/A,#N/A,FALSE,"NYNY"}</definedName>
    <definedName name="wrn.model." hidden="1">{"basic",#N/A,FALSE,"BASIC"}</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hidden="1">{"Month End Performance",#N/A,FALSE,"Report";"Site Talk Times",#N/A,FALSE,"Report"}</definedName>
    <definedName name="wrn.Monthly._.Financials." hidden="1">{#N/A,#N/A,FALSE,"mfg - consol";#N/A,#N/A,FALSE,"mfg - flo";#N/A,#N/A,FALSE,"mfg - lindsay"}</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hidden="1">{#N/A,#N/A,FALSE,"P.C.B"}</definedName>
    <definedName name="wrn.pc보유현황." hidden="1">{#N/A,#N/A,FALSE,"초중조사서식 "}</definedName>
    <definedName name="wrn.PERSONNEL." hidden="1">{"FORM16",#N/A,TRUE,"Personnel1";"FORM16.2",#N/A,TRUE,"Personnel2";"FORM16.2",#N/A,TRUE,"Personnel3";"FORM16.3",#N/A,TRUE,"Personnel4";"FORM16.4",#N/A,TRUE,"Personnel5"}</definedName>
    <definedName name="wrn.pl." hidden="1">{#N/A,#N/A,FALSE,"9612";#N/A,#N/A,FALSE,"9612"}</definedName>
    <definedName name="wrn.Planilhas." hidden="1">{"Presentation","Presentation",FALSE,"3 COT"}</definedName>
    <definedName name="wrn.Portrait._.IS." hidden="1">{"Portrait letter is",#N/A,FALSE,"Model"}</definedName>
    <definedName name="wrn.Portrait._.letter._.is." hidden="1">{"Portrait letter is",#N/A,FALSE,"Model"}</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hidden="1">{#N/A,#N/A,FALSE,"Plan Summary";#N/A,#N/A,FALSE,"Monthly Goals";#N/A,#N/A,FALSE,"Profit Detail";#N/A,#N/A,FALSE,"Output Comparison";#N/A,#N/A,FALSE,"Production Goals"}</definedName>
    <definedName name="wrn.Print." hidden="1">{"vi1",#N/A,FALSE,"Financial Statements";"vi2",#N/A,FALSE,"Financial Statements";#N/A,#N/A,FALSE,"DCF"}</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{#N/A,#N/A,FALSE,"Pharm";#N/A,#N/A,FALSE,"WWCM"}</definedName>
    <definedName name="wrn.PRINT._.ALL._1" hidden="1">{#N/A,#N/A,FALSE,"Pharm";#N/A,#N/A,FALSE,"WWCM"}</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hidden="1">{"inputs raw data",#N/A,TRUE,"INPUT"}</definedName>
    <definedName name="wrn.print._.raw._.data._.entry._1" hidden="1">{"inputs raw data",#N/A,TRUE,"INPUT"}</definedName>
    <definedName name="wrn.print._.raw._.data._.entry._1_1" hidden="1">{"inputs raw data",#N/A,TRUE,"INPUT"}</definedName>
    <definedName name="wrn.print._.raw._.data._.entry._1_2" hidden="1">{"inputs raw data",#N/A,TRUE,"INPUT"}</definedName>
    <definedName name="wrn.print._.raw._.data._.entry._1_3" hidden="1">{"inputs raw data",#N/A,TRUE,"INPUT"}</definedName>
    <definedName name="wrn.print._.raw._.data._.entry._1_4" hidden="1">{"inputs raw data",#N/A,TRUE,"INPUT"}</definedName>
    <definedName name="wrn.print._.raw._.data._.entry._2" hidden="1">{"inputs raw data",#N/A,TRUE,"INPUT"}</definedName>
    <definedName name="wrn.print._.raw._.data._.entry._2_1" hidden="1">{"inputs raw data",#N/A,TRUE,"INPUT"}</definedName>
    <definedName name="wrn.print._.raw._.data._.entry._2_2" hidden="1">{"inputs raw data",#N/A,TRUE,"INPUT"}</definedName>
    <definedName name="wrn.print._.raw._.data._.entry._2_3" hidden="1">{"inputs raw data",#N/A,TRUE,"INPUT"}</definedName>
    <definedName name="wrn.print._.raw._.data._.entry._2_4" hidden="1">{"inputs raw data",#N/A,TRUE,"INPUT"}</definedName>
    <definedName name="wrn.print._.raw._.data._.entry._3" hidden="1">{"inputs raw data",#N/A,TRUE,"INPUT"}</definedName>
    <definedName name="wrn.print._.raw._.data._.entry._3_1" hidden="1">{"inputs raw data",#N/A,TRUE,"INPUT"}</definedName>
    <definedName name="wrn.print._.raw._.data._.entry._3_2" hidden="1">{"inputs raw data",#N/A,TRUE,"INPUT"}</definedName>
    <definedName name="wrn.print._.raw._.data._.entry._3_3" hidden="1">{"inputs raw data",#N/A,TRUE,"INPUT"}</definedName>
    <definedName name="wrn.print._.raw._.data._.entry._3_4" hidden="1">{"inputs raw data",#N/A,TRUE,"INPUT"}</definedName>
    <definedName name="wrn.print._.raw._.data._.entry._4" hidden="1">{"inputs raw data",#N/A,TRUE,"INPUT"}</definedName>
    <definedName name="wrn.print._.raw._.data._.entry._4_1" hidden="1">{"inputs raw data",#N/A,TRUE,"INPUT"}</definedName>
    <definedName name="wrn.print._.raw._.data._.entry._4_2" hidden="1">{"inputs raw data",#N/A,TRUE,"INPUT"}</definedName>
    <definedName name="wrn.print._.raw._.data._.entry._4_3" hidden="1">{"inputs raw data",#N/A,TRUE,"INPUT"}</definedName>
    <definedName name="wrn.print._.raw._.data._.entry._4_4" hidden="1">{"inputs raw data",#N/A,TRUE,"INPUT"}</definedName>
    <definedName name="wrn.print._.raw._.data._.entry._5" hidden="1">{"inputs raw data",#N/A,TRUE,"INPUT"}</definedName>
    <definedName name="wrn.print._.raw._.data._.entry._5_1" hidden="1">{"inputs raw data",#N/A,TRUE,"INPUT"}</definedName>
    <definedName name="wrn.print._.raw._.data._.entry._5_2" hidden="1">{"inputs raw data",#N/A,TRUE,"INPUT"}</definedName>
    <definedName name="wrn.print._.raw._.data._.entry._5_3" hidden="1">{"inputs raw data",#N/A,TRUE,"INPUT"}</definedName>
    <definedName name="wrn.print._.raw._.data._.entry._5_4"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_1_1" hidden="1">{"summary1",#N/A,TRUE,"Comps";"summary2",#N/A,TRUE,"Comps";"summary3",#N/A,TRUE,"Comps"}</definedName>
    <definedName name="wrn.print._.summary._.sheets._1_2" hidden="1">{"summary1",#N/A,TRUE,"Comps";"summary2",#N/A,TRUE,"Comps";"summary3",#N/A,TRUE,"Comps"}</definedName>
    <definedName name="wrn.print._.summary._.sheets._1_3" hidden="1">{"summary1",#N/A,TRUE,"Comps";"summary2",#N/A,TRUE,"Comps";"summary3",#N/A,TRUE,"Comps"}</definedName>
    <definedName name="wrn.print._.summary._.sheets._1_4" hidden="1">{"summary1",#N/A,TRUE,"Comps";"summary2",#N/A,TRUE,"Comps";"summary3",#N/A,TRUE,"Comps"}</definedName>
    <definedName name="wrn.print._.summary._.sheets._2" hidden="1">{"summary1",#N/A,TRUE,"Comps";"summary2",#N/A,TRUE,"Comps";"summary3",#N/A,TRUE,"Comps"}</definedName>
    <definedName name="wrn.print._.summary._.sheets._2_1" hidden="1">{"summary1",#N/A,TRUE,"Comps";"summary2",#N/A,TRUE,"Comps";"summary3",#N/A,TRUE,"Comps"}</definedName>
    <definedName name="wrn.print._.summary._.sheets._2_2" hidden="1">{"summary1",#N/A,TRUE,"Comps";"summary2",#N/A,TRUE,"Comps";"summary3",#N/A,TRUE,"Comps"}</definedName>
    <definedName name="wrn.print._.summary._.sheets._2_3" hidden="1">{"summary1",#N/A,TRUE,"Comps";"summary2",#N/A,TRUE,"Comps";"summary3",#N/A,TRUE,"Comps"}</definedName>
    <definedName name="wrn.print._.summary._.sheets._2_4" hidden="1">{"summary1",#N/A,TRUE,"Comps";"summary2",#N/A,TRUE,"Comps";"summary3",#N/A,TRUE,"Comps"}</definedName>
    <definedName name="wrn.print._.summary._.sheets._3" hidden="1">{"summary1",#N/A,TRUE,"Comps";"summary2",#N/A,TRUE,"Comps";"summary3",#N/A,TRUE,"Comps"}</definedName>
    <definedName name="wrn.print._.summary._.sheets._3_1" hidden="1">{"summary1",#N/A,TRUE,"Comps";"summary2",#N/A,TRUE,"Comps";"summary3",#N/A,TRUE,"Comps"}</definedName>
    <definedName name="wrn.print._.summary._.sheets._3_2" hidden="1">{"summary1",#N/A,TRUE,"Comps";"summary2",#N/A,TRUE,"Comps";"summary3",#N/A,TRUE,"Comps"}</definedName>
    <definedName name="wrn.print._.summary._.sheets._3_3" hidden="1">{"summary1",#N/A,TRUE,"Comps";"summary2",#N/A,TRUE,"Comps";"summary3",#N/A,TRUE,"Comps"}</definedName>
    <definedName name="wrn.print._.summary._.sheets._3_4" hidden="1">{"summary1",#N/A,TRUE,"Comps";"summary2",#N/A,TRUE,"Comps";"summary3",#N/A,TRUE,"Comps"}</definedName>
    <definedName name="wrn.print._.summary._.sheets._4" hidden="1">{"summary1",#N/A,TRUE,"Comps";"summary2",#N/A,TRUE,"Comps";"summary3",#N/A,TRUE,"Comps"}</definedName>
    <definedName name="wrn.print._.summary._.sheets._4_1" hidden="1">{"summary1",#N/A,TRUE,"Comps";"summary2",#N/A,TRUE,"Comps";"summary3",#N/A,TRUE,"Comps"}</definedName>
    <definedName name="wrn.print._.summary._.sheets._4_2" hidden="1">{"summary1",#N/A,TRUE,"Comps";"summary2",#N/A,TRUE,"Comps";"summary3",#N/A,TRUE,"Comps"}</definedName>
    <definedName name="wrn.print._.summary._.sheets._4_3" hidden="1">{"summary1",#N/A,TRUE,"Comps";"summary2",#N/A,TRUE,"Comps";"summary3",#N/A,TRUE,"Comps"}</definedName>
    <definedName name="wrn.print._.summary._.sheets._4_4" hidden="1">{"summary1",#N/A,TRUE,"Comps";"summary2",#N/A,TRUE,"Comps";"summary3",#N/A,TRUE,"Comps"}</definedName>
    <definedName name="wrn.print._.summary._.sheets._5" hidden="1">{"summary1",#N/A,TRUE,"Comps";"summary2",#N/A,TRUE,"Comps";"summary3",#N/A,TRUE,"Comps"}</definedName>
    <definedName name="wrn.print._.summary._.sheets._5_1" hidden="1">{"summary1",#N/A,TRUE,"Comps";"summary2",#N/A,TRUE,"Comps";"summary3",#N/A,TRUE,"Comps"}</definedName>
    <definedName name="wrn.print._.summary._.sheets._5_2" hidden="1">{"summary1",#N/A,TRUE,"Comps";"summary2",#N/A,TRUE,"Comps";"summary3",#N/A,TRUE,"Comps"}</definedName>
    <definedName name="wrn.print._.summary._.sheets._5_3" hidden="1">{"summary1",#N/A,TRUE,"Comps";"summary2",#N/A,TRUE,"Comps";"summary3",#N/A,TRUE,"Comps"}</definedName>
    <definedName name="wrn.print._.summary._.sheets._5_4" hidden="1">{"summary1",#N/A,TRUE,"Comps";"summary2",#N/A,TRUE,"Comps";"summary3",#N/A,TRUE,"Comps"}</definedName>
    <definedName name="wrn.Print_Buyer."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hidden="1">{#N/A,#N/A,TRUE,"Summary";#N/A,#N/A,TRUE,"IS";#N/A,#N/A,TRUE,"Adj";#N/A,#N/A,TRUE,"BS";#N/A,#N/A,TRUE,"CF";#N/A,#N/A,TRUE,"Debt";#N/A,#N/A,TRUE,"IRR"}</definedName>
    <definedName name="wrn.Program." hidden="1">{#N/A,#N/A,FALSE,"RPR Grid";#N/A,#N/A,FALSE,"Budget"}</definedName>
    <definedName name="wrn.Pulp." hidden="1">{"Pulp Production",#N/A,FALSE,"Pulp";"Pulp Earnings",#N/A,FALSE,"Pulp"}</definedName>
    <definedName name="wrn.qrt95." hidden="1">{"qrt95",#N/A,FALSE,"BAIRNUMB"}</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erly." hidden="1">{"quarterly",#N/A,FALSE,"BAIRNUMB"}</definedName>
    <definedName name="wrn.Raff._.Di._.Landro." hidden="1">{#N/A,#N/A,FALSE,"Raff di Landro";#N/A,#N/A,FALSE,"P&amp;L - Brighton";#N/A,#N/A,FALSE,"P&amp;L - Guildford"}</definedName>
    <definedName name="wrn.rep1." hidden="1">{"add",#N/A,FALSE,"code"}</definedName>
    <definedName name="wrn.Replacement._.Cost."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hidden="1">{#N/A,#N/A,FALSE,"COVER";#N/A,#N/A,FALSE,"FORECAST";#N/A,#N/A,FALSE,"VALUATION";#N/A,#N/A,FALSE,"FY ANALYSIS ";#N/A,#N/A,FALSE," HY ANALYSIS"}</definedName>
    <definedName name="wrn.Report1." hidden="1">{#N/A,#N/A,FALSE,"IS";#N/A,#N/A,FALSE,"BS";#N/A,#N/A,FALSE,"CF";#N/A,#N/A,FALSE,"CE";#N/A,#N/A,FALSE,"Depr";#N/A,#N/A,FALSE,"APAL"}</definedName>
    <definedName name="wrn.Report1._1" hidden="1">{#N/A,#N/A,FALSE,"IS";#N/A,#N/A,FALSE,"BS";#N/A,#N/A,FALSE,"CF";#N/A,#N/A,FALSE,"CE";#N/A,#N/A,FALSE,"Depr";#N/A,#N/A,FALSE,"APAL"}</definedName>
    <definedName name="wrn.Report1._1_1" hidden="1">{#N/A,#N/A,FALSE,"IS";#N/A,#N/A,FALSE,"BS";#N/A,#N/A,FALSE,"CF";#N/A,#N/A,FALSE,"CE";#N/A,#N/A,FALSE,"Depr";#N/A,#N/A,FALSE,"APAL"}</definedName>
    <definedName name="wrn.Report1._1_2" hidden="1">{#N/A,#N/A,FALSE,"IS";#N/A,#N/A,FALSE,"BS";#N/A,#N/A,FALSE,"CF";#N/A,#N/A,FALSE,"CE";#N/A,#N/A,FALSE,"Depr";#N/A,#N/A,FALSE,"APAL"}</definedName>
    <definedName name="wrn.Report1._1_3" hidden="1">{#N/A,#N/A,FALSE,"IS";#N/A,#N/A,FALSE,"BS";#N/A,#N/A,FALSE,"CF";#N/A,#N/A,FALSE,"CE";#N/A,#N/A,FALSE,"Depr";#N/A,#N/A,FALSE,"APAL"}</definedName>
    <definedName name="wrn.Report1._1_4" hidden="1">{#N/A,#N/A,FALSE,"IS";#N/A,#N/A,FALSE,"BS";#N/A,#N/A,FALSE,"CF";#N/A,#N/A,FALSE,"CE";#N/A,#N/A,FALSE,"Depr";#N/A,#N/A,FALSE,"APAL"}</definedName>
    <definedName name="wrn.Report1._2" hidden="1">{#N/A,#N/A,FALSE,"IS";#N/A,#N/A,FALSE,"BS";#N/A,#N/A,FALSE,"CF";#N/A,#N/A,FALSE,"CE";#N/A,#N/A,FALSE,"Depr";#N/A,#N/A,FALSE,"APAL"}</definedName>
    <definedName name="wrn.Report1._2_1" hidden="1">{#N/A,#N/A,FALSE,"IS";#N/A,#N/A,FALSE,"BS";#N/A,#N/A,FALSE,"CF";#N/A,#N/A,FALSE,"CE";#N/A,#N/A,FALSE,"Depr";#N/A,#N/A,FALSE,"APAL"}</definedName>
    <definedName name="wrn.Report1._2_2" hidden="1">{#N/A,#N/A,FALSE,"IS";#N/A,#N/A,FALSE,"BS";#N/A,#N/A,FALSE,"CF";#N/A,#N/A,FALSE,"CE";#N/A,#N/A,FALSE,"Depr";#N/A,#N/A,FALSE,"APAL"}</definedName>
    <definedName name="wrn.Report1._2_3" hidden="1">{#N/A,#N/A,FALSE,"IS";#N/A,#N/A,FALSE,"BS";#N/A,#N/A,FALSE,"CF";#N/A,#N/A,FALSE,"CE";#N/A,#N/A,FALSE,"Depr";#N/A,#N/A,FALSE,"APAL"}</definedName>
    <definedName name="wrn.Report1._2_4" hidden="1">{#N/A,#N/A,FALSE,"IS";#N/A,#N/A,FALSE,"BS";#N/A,#N/A,FALSE,"CF";#N/A,#N/A,FALSE,"CE";#N/A,#N/A,FALSE,"Depr";#N/A,#N/A,FALSE,"APAL"}</definedName>
    <definedName name="wrn.Report1._3" hidden="1">{#N/A,#N/A,FALSE,"IS";#N/A,#N/A,FALSE,"BS";#N/A,#N/A,FALSE,"CF";#N/A,#N/A,FALSE,"CE";#N/A,#N/A,FALSE,"Depr";#N/A,#N/A,FALSE,"APAL"}</definedName>
    <definedName name="wrn.Report1._3_1" hidden="1">{#N/A,#N/A,FALSE,"IS";#N/A,#N/A,FALSE,"BS";#N/A,#N/A,FALSE,"CF";#N/A,#N/A,FALSE,"CE";#N/A,#N/A,FALSE,"Depr";#N/A,#N/A,FALSE,"APAL"}</definedName>
    <definedName name="wrn.Report1._3_2" hidden="1">{#N/A,#N/A,FALSE,"IS";#N/A,#N/A,FALSE,"BS";#N/A,#N/A,FALSE,"CF";#N/A,#N/A,FALSE,"CE";#N/A,#N/A,FALSE,"Depr";#N/A,#N/A,FALSE,"APAL"}</definedName>
    <definedName name="wrn.Report1._3_3" hidden="1">{#N/A,#N/A,FALSE,"IS";#N/A,#N/A,FALSE,"BS";#N/A,#N/A,FALSE,"CF";#N/A,#N/A,FALSE,"CE";#N/A,#N/A,FALSE,"Depr";#N/A,#N/A,FALSE,"APAL"}</definedName>
    <definedName name="wrn.Report1._3_4" hidden="1">{#N/A,#N/A,FALSE,"IS";#N/A,#N/A,FALSE,"BS";#N/A,#N/A,FALSE,"CF";#N/A,#N/A,FALSE,"CE";#N/A,#N/A,FALSE,"Depr";#N/A,#N/A,FALSE,"APAL"}</definedName>
    <definedName name="wrn.Report1._4" hidden="1">{#N/A,#N/A,FALSE,"IS";#N/A,#N/A,FALSE,"BS";#N/A,#N/A,FALSE,"CF";#N/A,#N/A,FALSE,"CE";#N/A,#N/A,FALSE,"Depr";#N/A,#N/A,FALSE,"APAL"}</definedName>
    <definedName name="wrn.Report1._4_1" hidden="1">{#N/A,#N/A,FALSE,"IS";#N/A,#N/A,FALSE,"BS";#N/A,#N/A,FALSE,"CF";#N/A,#N/A,FALSE,"CE";#N/A,#N/A,FALSE,"Depr";#N/A,#N/A,FALSE,"APAL"}</definedName>
    <definedName name="wrn.Report1._4_2" hidden="1">{#N/A,#N/A,FALSE,"IS";#N/A,#N/A,FALSE,"BS";#N/A,#N/A,FALSE,"CF";#N/A,#N/A,FALSE,"CE";#N/A,#N/A,FALSE,"Depr";#N/A,#N/A,FALSE,"APAL"}</definedName>
    <definedName name="wrn.Report1._4_3" hidden="1">{#N/A,#N/A,FALSE,"IS";#N/A,#N/A,FALSE,"BS";#N/A,#N/A,FALSE,"CF";#N/A,#N/A,FALSE,"CE";#N/A,#N/A,FALSE,"Depr";#N/A,#N/A,FALSE,"APAL"}</definedName>
    <definedName name="wrn.Report1._4_4" hidden="1">{#N/A,#N/A,FALSE,"IS";#N/A,#N/A,FALSE,"BS";#N/A,#N/A,FALSE,"CF";#N/A,#N/A,FALSE,"CE";#N/A,#N/A,FALSE,"Depr";#N/A,#N/A,FALSE,"APAL"}</definedName>
    <definedName name="wrn.Report1._5" hidden="1">{#N/A,#N/A,FALSE,"IS";#N/A,#N/A,FALSE,"BS";#N/A,#N/A,FALSE,"CF";#N/A,#N/A,FALSE,"CE";#N/A,#N/A,FALSE,"Depr";#N/A,#N/A,FALSE,"APAL"}</definedName>
    <definedName name="wrn.Report1._5_1" hidden="1">{#N/A,#N/A,FALSE,"IS";#N/A,#N/A,FALSE,"BS";#N/A,#N/A,FALSE,"CF";#N/A,#N/A,FALSE,"CE";#N/A,#N/A,FALSE,"Depr";#N/A,#N/A,FALSE,"APAL"}</definedName>
    <definedName name="wrn.Report1._5_2" hidden="1">{#N/A,#N/A,FALSE,"IS";#N/A,#N/A,FALSE,"BS";#N/A,#N/A,FALSE,"CF";#N/A,#N/A,FALSE,"CE";#N/A,#N/A,FALSE,"Depr";#N/A,#N/A,FALSE,"APAL"}</definedName>
    <definedName name="wrn.Report1._5_3" hidden="1">{#N/A,#N/A,FALSE,"IS";#N/A,#N/A,FALSE,"BS";#N/A,#N/A,FALSE,"CF";#N/A,#N/A,FALSE,"CE";#N/A,#N/A,FALSE,"Depr";#N/A,#N/A,FALSE,"APAL"}</definedName>
    <definedName name="wrn.Report1._5_4" hidden="1">{#N/A,#N/A,FALSE,"IS";#N/A,#N/A,FALSE,"BS";#N/A,#N/A,FALSE,"CF";#N/A,#N/A,FALSE,"CE";#N/A,#N/A,FALSE,"Depr";#N/A,#N/A,FALSE,"APAL"}</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hidden="1">{#N/A,#N/A,FALSE,"HMF";#N/A,#N/A,FALSE,"FACIL";#N/A,#N/A,FALSE,"HMFINANCE";#N/A,#N/A,FALSE,"HMEUROPE";#N/A,#N/A,FALSE,"HHAB CONSO";#N/A,#N/A,FALSE,"PAB";#N/A,#N/A,FALSE,"MMC";#N/A,#N/A,FALSE,"THAI";#N/A,#N/A,FALSE,"SINPA";#N/A,#N/A,FALSE,"POLAND"}</definedName>
    <definedName name="wrn.REV1." hidden="1">{"FORM1",#N/A,FALSE,"Revenue";"FORMTR",#N/A,FALSE,"Revenue";"FORM3.1",#N/A,FALSE,"Revenue"}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hidden="1">{#N/A,#N/A,FALSE,"Che-Ga";#N/A,#N/A,FALSE,"Iv-Sm";#N/A,#N/A,FALSE,"So-We";#N/A,#N/A,FALSE,"Me-Po";#N/A,#N/A,FALSE,"Be-Bo";#N/A,#N/A,FALSE,"Cha-Ki";#N/A,#N/A,FALSE,"In";#N/A,#N/A,FALSE,"Schedule 23";#N/A,#N/A,FALSE,"Schedule 22";#N/A,#N/A,FALSE,"WACC"}</definedName>
    <definedName name="wrn.RPT." hidden="1">{#N/A,#N/A,FALSE,"인원";#N/A,#N/A,FALSE,"비용2";#N/A,#N/A,FALSE,"비용1";#N/A,#N/A,FALSE,"비용";#N/A,#N/A,FALSE,"보증2";#N/A,#N/A,FALSE,"보증1";#N/A,#N/A,FALSE,"보증";#N/A,#N/A,FALSE,"손익1";#N/A,#N/A,FALSE,"손익";#N/A,#N/A,FALSE,"부서별매출";#N/A,#N/A,FALSE,"매출"}</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cenario._.Analysis." hidden="1">{#N/A,"Base Case",FALSE,"Revenue";#N/A,"£6.25 Fee",FALSE,"Revenue"}</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hidden="1">{#N/A,#N/A,FALSE,"Share the Wealth";#N/A,#N/A,FALSE,"Shareholders vs Employees";#N/A,#N/A,FALSE,"Share vs Emp Summary"}</definedName>
    <definedName name="wrn.SHIN." hidden="1">{#N/A,#N/A,FALSE,"LANOS표면현황";#N/A,#N/A,FALSE,"표면처리업체별";#N/A,#N/A,FALSE,"사양별";#N/A,#N/A,FALSE,"제작업체별";#N/A,#N/A,FALSE,"장착부위";#N/A,#N/A,FALSE,"업체주소";#N/A,#N/A,FALSE,"불량현황"}</definedName>
    <definedName name="wrn.SKSCS1." hidden="1">{#N/A,#N/A,FALSE,"Antony Financials";#N/A,#N/A,FALSE,"Cowboy Financials";#N/A,#N/A,FALSE,"Combined";#N/A,#N/A,FALSE,"Valuematrix";#N/A,#N/A,FALSE,"DCFAntony";#N/A,#N/A,FALSE,"DCFCowboy";#N/A,#N/A,FALSE,"DCFCombined"}</definedName>
    <definedName name="wrn.SmarTone." hidden="1">{#N/A,#N/A,FALSE,"Financial data";#N/A,#N/A,FALSE,"Cellular analysis";#N/A,#N/A,FALSE,"Accounts detail";#N/A,#N/A,FALSE,"Valn's";#N/A,#N/A,FALSE,"Share price statistics"}</definedName>
    <definedName name="wrn.STAND_ALONE_BOTH." hidden="1">{"FCB_ALL",#N/A,FALSE,"FCB";"GREY_ALL",#N/A,FALSE,"GREY"}</definedName>
    <definedName name="wrn.STAND_ALONE_BOTH._1" hidden="1">{"FCB_ALL",#N/A,FALSE,"FCB";"GREY_ALL",#N/A,FALSE,"GREY"}</definedName>
    <definedName name="wrn.STAND_ALONE_BOTH._1_1" hidden="1">{"FCB_ALL",#N/A,FALSE,"FCB";"GREY_ALL",#N/A,FALSE,"GREY"}</definedName>
    <definedName name="wrn.STAND_ALONE_BOTH._1_2" hidden="1">{"FCB_ALL",#N/A,FALSE,"FCB";"GREY_ALL",#N/A,FALSE,"GREY"}</definedName>
    <definedName name="wrn.STAND_ALONE_BOTH._1_3" hidden="1">{"FCB_ALL",#N/A,FALSE,"FCB";"GREY_ALL",#N/A,FALSE,"GREY"}</definedName>
    <definedName name="wrn.STAND_ALONE_BOTH._1_4" hidden="1">{"FCB_ALL",#N/A,FALSE,"FCB";"GREY_ALL",#N/A,FALSE,"GREY"}</definedName>
    <definedName name="wrn.STAND_ALONE_BOTH._2" hidden="1">{"FCB_ALL",#N/A,FALSE,"FCB";"GREY_ALL",#N/A,FALSE,"GREY"}</definedName>
    <definedName name="wrn.STAND_ALONE_BOTH._2_1" hidden="1">{"FCB_ALL",#N/A,FALSE,"FCB";"GREY_ALL",#N/A,FALSE,"GREY"}</definedName>
    <definedName name="wrn.STAND_ALONE_BOTH._2_2" hidden="1">{"FCB_ALL",#N/A,FALSE,"FCB";"GREY_ALL",#N/A,FALSE,"GREY"}</definedName>
    <definedName name="wrn.STAND_ALONE_BOTH._2_3" hidden="1">{"FCB_ALL",#N/A,FALSE,"FCB";"GREY_ALL",#N/A,FALSE,"GREY"}</definedName>
    <definedName name="wrn.STAND_ALONE_BOTH._2_4" hidden="1">{"FCB_ALL",#N/A,FALSE,"FCB";"GREY_ALL",#N/A,FALSE,"GREY"}</definedName>
    <definedName name="wrn.STAND_ALONE_BOTH._3" hidden="1">{"FCB_ALL",#N/A,FALSE,"FCB";"GREY_ALL",#N/A,FALSE,"GREY"}</definedName>
    <definedName name="wrn.STAND_ALONE_BOTH._3_1" hidden="1">{"FCB_ALL",#N/A,FALSE,"FCB";"GREY_ALL",#N/A,FALSE,"GREY"}</definedName>
    <definedName name="wrn.STAND_ALONE_BOTH._3_2" hidden="1">{"FCB_ALL",#N/A,FALSE,"FCB";"GREY_ALL",#N/A,FALSE,"GREY"}</definedName>
    <definedName name="wrn.STAND_ALONE_BOTH._3_3" hidden="1">{"FCB_ALL",#N/A,FALSE,"FCB";"GREY_ALL",#N/A,FALSE,"GREY"}</definedName>
    <definedName name="wrn.STAND_ALONE_BOTH._3_4" hidden="1">{"FCB_ALL",#N/A,FALSE,"FCB";"GREY_ALL",#N/A,FALSE,"GREY"}</definedName>
    <definedName name="wrn.STAND_ALONE_BOTH._4" hidden="1">{"FCB_ALL",#N/A,FALSE,"FCB";"GREY_ALL",#N/A,FALSE,"GREY"}</definedName>
    <definedName name="wrn.STAND_ALONE_BOTH._4_1" hidden="1">{"FCB_ALL",#N/A,FALSE,"FCB";"GREY_ALL",#N/A,FALSE,"GREY"}</definedName>
    <definedName name="wrn.STAND_ALONE_BOTH._4_2" hidden="1">{"FCB_ALL",#N/A,FALSE,"FCB";"GREY_ALL",#N/A,FALSE,"GREY"}</definedName>
    <definedName name="wrn.STAND_ALONE_BOTH._4_3" hidden="1">{"FCB_ALL",#N/A,FALSE,"FCB";"GREY_ALL",#N/A,FALSE,"GREY"}</definedName>
    <definedName name="wrn.STAND_ALONE_BOTH._4_4" hidden="1">{"FCB_ALL",#N/A,FALSE,"FCB";"GREY_ALL",#N/A,FALSE,"GREY"}</definedName>
    <definedName name="wrn.STAND_ALONE_BOTH._5" hidden="1">{"FCB_ALL",#N/A,FALSE,"FCB";"GREY_ALL",#N/A,FALSE,"GREY"}</definedName>
    <definedName name="wrn.STAND_ALONE_BOTH._5_1" hidden="1">{"FCB_ALL",#N/A,FALSE,"FCB";"GREY_ALL",#N/A,FALSE,"GREY"}</definedName>
    <definedName name="wrn.STAND_ALONE_BOTH._5_2" hidden="1">{"FCB_ALL",#N/A,FALSE,"FCB";"GREY_ALL",#N/A,FALSE,"GREY"}</definedName>
    <definedName name="wrn.STAND_ALONE_BOTH._5_3" hidden="1">{"FCB_ALL",#N/A,FALSE,"FCB";"GREY_ALL",#N/A,FALSE,"GREY"}</definedName>
    <definedName name="wrn.STAND_ALONE_BOTH._5_4" hidden="1">{"FCB_ALL",#N/A,FALSE,"FCB";"GREY_ALL",#N/A,FALSE,"GREY"}</definedName>
    <definedName name="wrn.su." hidden="1">{#N/A,#N/A,FALSE,"표지";#N/A,#N/A,FALSE,"전제";#N/A,#N/A,FALSE,"손익-자 (2)";#N/A,#N/A,FALSE,"손익-자";#N/A,#N/A,FALSE,"손익-마 (2)";#N/A,#N/A,FALSE,"손익-마";#N/A,#N/A,FALSE,"총손최종"}</definedName>
    <definedName name="wrn.SUMMARY." hidden="1">{"BS",#N/A,FALSE,"USA"}</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hidden="1">{#N/A,#N/A,FALSE,"CreditStat";#N/A,#N/A,FALSE,"SPbrkup";#N/A,#N/A,FALSE,"MerSPsyn";#N/A,#N/A,FALSE,"MerSPwKCsyn";#N/A,#N/A,FALSE,"MerSPwKCsyn (2)";#N/A,#N/A,FALSE,"CreditStat (2)"}</definedName>
    <definedName name="wrn.SunModel." hidden="1">{#N/A,#N/A,FALSE,"summary";#N/A,#N/A,FALSE,"SIH";#N/A,#N/A,FALSE,"SIH Value";#N/A,#N/A,FALSE,"tax est.";#N/A,#N/A,FALSE,"Mohegan";#N/A,#N/A,FALSE,"Resorts";#N/A,#N/A,FALSE,"Win Per Day";#N/A,#N/A,FALSE,"CapStr"}</definedName>
    <definedName name="wrn.T._.and._.E._.Report." hidden="1">{#N/A,#N/A,TRUE,"T&amp;E";#N/A,#N/A,TRUE,"BUS. ENT. DET."}</definedName>
    <definedName name="wrn.Tables." hidden="1">{"view1",#N/A,FALSE,"Tables";"view2",#N/A,FALSE,"Tables";"view3",#N/A,FALSE,"Tables"}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hidden="1">{"comp1",#N/A,FALSE,"COMPS";"footnotes",#N/A,FALSE,"COMPS"}</definedName>
    <definedName name="wrn.tou구매." hidden="1">{#N/A,#N/A,FALSE,"견적대비-2"}</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Ü." hidden="1">{#N/A,#N/A,FALSE,"ITHALAT";#N/A,#N/A,FALSE,"ÜRETİM"}</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hidden="1">{"inc.ann",#N/A,FALSE,"WAG";"inc.quart",#N/A,FALSE,"WAG"}</definedName>
    <definedName name="wrn.weekly." hidden="1">{#N/A,#N/A,FALSE,"Large Operators";#N/A,#N/A,FALSE,"Smaller Operators";#N/A,#N/A,FALSE,"Equip. Supply";#N/A,#N/A,FALSE,"EBITDA";#N/A,#N/A,FALSE,"perform"}</definedName>
    <definedName name="wrn.WLAVARIANCEANALYSIS." hidden="1">{"INCOME STATEMENT",#N/A,FALSE,"IS";"WWSALES",#N/A,FALSE,"WWSALES";"USSALES",#N/A,FALSE,"USSALES";"INTLSALES",#N/A,FALSE,"INTLSALES"}</definedName>
    <definedName name="wrn.Yahoo." hidden="1">{#N/A,#N/A,FALSE,"Inc. St.";#N/A,#N/A,FALSE,"FYear";#N/A,#N/A,FALSE,"Revs.";#N/A,#N/A,FALSE,"RevsYear";#N/A,#N/A,FALSE,"Balance";#N/A,#N/A,FALSE,"CompVal";#N/A,#N/A,FALSE,"Val.";#N/A,#N/A,FALSE,"DCFval"}</definedName>
    <definedName name="wrn.YUH33400." hidden="1">{#N/A,#N/A,FALSE,"2000";#N/A,#N/A,FALSE,"1999_1998"}</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결산서."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hidden="1">{#N/A,#N/A,TRUE,"경전'96(1)";#N/A,#N/A,TRUE,"경전'96 (2)"}</definedName>
    <definedName name="wrn.골재소요량." hidden="1">{#N/A,#N/A,FALSE,"골재소요량";#N/A,#N/A,FALSE,"골재소요량"}</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소민." hidden="1">{#N/A,#N/A,TRUE,"변동비고정비분류(5단계)";#N/A,#N/A,TRUE,"변동비고정비분류(5단계)"}</definedName>
    <definedName name="wrn.구조2." hidden="1">{#N/A,#N/A,FALSE,"구조2"}</definedName>
    <definedName name="wrn.급여인상안." hidden="1">{#N/A,#N/A,FALSE,"계약직(여)"}</definedName>
    <definedName name="wrn.기술료._.비교." hidden="1">{#N/A,#N/A,FALSE,"기술료 비교"}</definedName>
    <definedName name="wrn.단가표지." hidden="1">{#N/A,#N/A,FALSE,"단가표지"}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{#N/A,#N/A,FALSE,"Sheet1";#N/A,#N/A,FALSE,"기평9607"}</definedName>
    <definedName name="wrn.보고서._1" hidden="1">{#N/A,#N/A,FALSE,"Sheet1";#N/A,#N/A,FALSE,"기평9607"}</definedName>
    <definedName name="wrn.부대1." hidden="1">{#N/A,#N/A,FALSE,"부대1"}</definedName>
    <definedName name="wrn.부대2." hidden="1">{#N/A,#N/A,FALSE,"부대2"}</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hidden="1">{#N/A,#N/A,FALSE,"9612"}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심창규" hidden="1">{#N/A,#N/A,FALSE,"범우구미";#N/A,#N/A,FALSE,"세한케미칼";#N/A,#N/A,FALSE,"세명화학";#N/A,#N/A,FALSE,"신영케미칼";#N/A,#N/A,FALSE,"일석상사"}</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운반시간." hidden="1">{#N/A,#N/A,FALSE,"운반시간"}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hidden="1">{#N/A,#N/A,FALSE,"월추정감가상각비";#N/A,#N/A,FALSE,"main_prog"}</definedName>
    <definedName name="wrn.유형자산." hidden="1">{#N/A,#N/A,FALSE,"Sheet1"}</definedName>
    <definedName name="wrn.이정표." hidden="1">{#N/A,#N/A,FALSE,"이정표"}</definedName>
    <definedName name="wrn.이태원._.철근." hidden="1">{#N/A,#N/A,FALSE,"이태원철근"}</definedName>
    <definedName name="wrn.자재코드집." hidden="1">{#N/A,#N/A,FALSE,"Sheet1"}</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재무제표._1" hidden="1">{#N/A,#N/A,FALSE,"BS";#N/A,#N/A,FALSE,"IS";#N/A,#N/A,FALSE,"결손금처리";#N/A,#N/A,FALSE,"cashflow"}</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hidden="1">{#N/A,#N/A,FALSE,"단축1";#N/A,#N/A,FALSE,"단축2";#N/A,#N/A,FALSE,"단축3";#N/A,#N/A,FALSE,"장축";#N/A,#N/A,FALSE,"4WD"}</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hidden="1">{#N/A,#N/A,FALSE,"생산성";#N/A,#N/A,FALSE,"인력1";#N/A,#N/A,FALSE,"인력2";#N/A,#N/A,FALSE,"인력3";#N/A,#N/A,FALSE,"인건1";#N/A,#N/A,FALSE,"인건2";#N/A,#N/A,FALSE,"인건3";#N/A,#N/A,FALSE,"인원증감";#N/A,#N/A,FALSE,"인건증감";#N/A,#N/A,FALSE,"표지등"}</definedName>
    <definedName name="wrn.제조원가." hidden="1">{#N/A,#N/A,FALSE,"9612"}</definedName>
    <definedName name="wrn.제품수불." hidden="1">{#N/A,#N/A,FALSE,"9612"}</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hidden="1">{#N/A,#N/A,TRUE,"일정"}</definedName>
    <definedName name="wrn.중장기계획." hidden="1">{#N/A,#N/A,TRUE,"경영목표 및 방침";#N/A,#N/A,TRUE,"매출";#N/A,#N/A,TRUE,"시설-인원";#N/A,#N/A,TRUE,"손익-재무"}</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채권채무조회서." hidden="1">{#N/A,#N/A,FALSE,"채권채무";#N/A,#N/A,FALSE,"control sheet"}</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hidden="1">{#N/A,#N/A,FALSE,"포장1";#N/A,#N/A,FALSE,"포장1"}</definedName>
    <definedName name="wrn.포장2." hidden="1">{#N/A,#N/A,FALSE,"포장2"}</definedName>
    <definedName name="wrn.포항강판." hidden="1">{"현수",#N/A,FALSE,"월추정감가상각비"}</definedName>
    <definedName name="wrn.표면처리._.현황." hidden="1">{#N/A,#N/A,FALSE,"불량현황";#N/A,#N/A,FALSE,"표면처리업체별";#N/A,#N/A,FALSE,"사양별";#N/A,#N/A,FALSE,"제작업체별";#N/A,#N/A,FALSE,"업체주소";#N/A,#N/A,FALSE,"장착부위";#N/A,#N/A,FALSE,"V-100표면현황 (2)"}</definedName>
    <definedName name="wrn.표지목차." hidden="1">{#N/A,#N/A,FALSE,"표지목차"}</definedName>
    <definedName name="wrn.함영민." hidden="1">{#N/A,#N/A,FALSE,"범우구미";#N/A,#N/A,FALSE,"세한케미칼";#N/A,#N/A,FALSE,"세명화학";#N/A,#N/A,FALSE,"신영케미칼";#N/A,#N/A,FALSE,"일석상사"}</definedName>
    <definedName name="wrn.현대정공구매현황." hidden="1">{#N/A,#N/A,FALSE,"정공"}</definedName>
    <definedName name="wrn.현장._.NCR._.분석." hidden="1">{#N/A,#N/A,FALSE,"현장 NCR 분석";#N/A,#N/A,FALSE,"현장품질감사";#N/A,#N/A,FALSE,"현장품질감사"}</definedName>
    <definedName name="wrn.현장._.NCR._.분석._1" hidden="1">{#N/A,#N/A,FALSE,"현장 NCR 분석";#N/A,#N/A,FALSE,"현장품질감사";#N/A,#N/A,FALSE,"현장품질감사"}</definedName>
    <definedName name="wrn.호." hidden="1">{#N/A,#N/A,FALSE,"Sheet9"}</definedName>
    <definedName name="wrn.혼합골재." hidden="1">{#N/A,#N/A,FALSE,"혼합골재"}</definedName>
    <definedName name="wrn.회선임차현황." hidden="1">{#N/A,#N/A,FALSE,"회선임차현황"}</definedName>
    <definedName name="wrn.회선임차현황._1" hidden="1">{#N/A,#N/A,FALSE,"회선임차현황"}</definedName>
    <definedName name="wrn.회선임차현황._1_1" hidden="1">{#N/A,#N/A,FALSE,"회선임차현황"}</definedName>
    <definedName name="wrn.회선임차현황._1_2" hidden="1">{#N/A,#N/A,FALSE,"회선임차현황"}</definedName>
    <definedName name="wrn.회선임차현황._1_3" hidden="1">{#N/A,#N/A,FALSE,"회선임차현황"}</definedName>
    <definedName name="wrn.회선임차현황._1_4" hidden="1">{#N/A,#N/A,FALSE,"회선임차현황"}</definedName>
    <definedName name="wrn.회선임차현황._2" hidden="1">{#N/A,#N/A,FALSE,"회선임차현황"}</definedName>
    <definedName name="wrn.회선임차현황._2_1" hidden="1">{#N/A,#N/A,FALSE,"회선임차현황"}</definedName>
    <definedName name="wrn.회선임차현황._2_2" hidden="1">{#N/A,#N/A,FALSE,"회선임차현황"}</definedName>
    <definedName name="wrn.회선임차현황._2_3" hidden="1">{#N/A,#N/A,FALSE,"회선임차현황"}</definedName>
    <definedName name="wrn.회선임차현황._2_4" hidden="1">{#N/A,#N/A,FALSE,"회선임차현황"}</definedName>
    <definedName name="wrn.회선임차현황._3" hidden="1">{#N/A,#N/A,FALSE,"회선임차현황"}</definedName>
    <definedName name="wrn.회선임차현황._3_1" hidden="1">{#N/A,#N/A,FALSE,"회선임차현황"}</definedName>
    <definedName name="wrn.회선임차현황._3_2" hidden="1">{#N/A,#N/A,FALSE,"회선임차현황"}</definedName>
    <definedName name="wrn.회선임차현황._3_3" hidden="1">{#N/A,#N/A,FALSE,"회선임차현황"}</definedName>
    <definedName name="wrn.회선임차현황._3_4" hidden="1">{#N/A,#N/A,FALSE,"회선임차현황"}</definedName>
    <definedName name="wrn.회선임차현황._4" hidden="1">{#N/A,#N/A,FALSE,"회선임차현황"}</definedName>
    <definedName name="wrn.회선임차현황._4_1" hidden="1">{#N/A,#N/A,FALSE,"회선임차현황"}</definedName>
    <definedName name="wrn.회선임차현황._4_2" hidden="1">{#N/A,#N/A,FALSE,"회선임차현황"}</definedName>
    <definedName name="wrn.회선임차현황._4_3" hidden="1">{#N/A,#N/A,FALSE,"회선임차현황"}</definedName>
    <definedName name="wrn.회선임차현황._4_4" hidden="1">{#N/A,#N/A,FALSE,"회선임차현황"}</definedName>
    <definedName name="wrn.회선임차현황._5" hidden="1">{#N/A,#N/A,FALSE,"회선임차현황"}</definedName>
    <definedName name="wrn.회선임차현황._5_1" hidden="1">{#N/A,#N/A,FALSE,"회선임차현황"}</definedName>
    <definedName name="wrn.회선임차현황._5_2" hidden="1">{#N/A,#N/A,FALSE,"회선임차현황"}</definedName>
    <definedName name="wrn.회선임차현황._5_3" hidden="1">{#N/A,#N/A,FALSE,"회선임차현황"}</definedName>
    <definedName name="wrn.회선임차현황._5_4" hidden="1">{#N/A,#N/A,FALSE,"회선임차현황"}</definedName>
    <definedName name="wrn.회의0104.XLS."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hidden="1">{#VALUE!,#N/A,FALSE,0;#N/A,#N/A,FALSE,0;#N/A,#N/A,FALSE,0;#N/A,#N/A,FALSE,0}</definedName>
    <definedName name="wrty" hidden="1">{"'용역비'!$A$4:$C$8"}</definedName>
    <definedName name="wrtyrtyrt"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hidden="1">{#N/A,#N/A,FALSE,"단축1";#N/A,#N/A,FALSE,"단축2";#N/A,#N/A,FALSE,"단축3";#N/A,#N/A,FALSE,"장축";#N/A,#N/A,FALSE,"4WD"}</definedName>
    <definedName name="wwererwrwersf" hidden="1">{#N/A,#N/A,FALSE,"Che-Ga";#N/A,#N/A,FALSE,"Iv-Sm";#N/A,#N/A,FALSE,"So-We";#N/A,#N/A,FALSE,"Me-Po";#N/A,#N/A,FALSE,"Be-Bo";#N/A,#N/A,FALSE,"Cha-Ki";#N/A,#N/A,FALSE,"In";#N/A,#N/A,FALSE,"Schedule 23";#N/A,#N/A,FALSE,"Schedule 22";#N/A,#N/A,FALSE,"WACC"}</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hidden="1">{#N/A,#N/A,FALSE,"CCTV"}</definedName>
    <definedName name="wwww" hidden="1">{#N/A,#N/A,FALSE,"Aging Summary";#N/A,#N/A,FALSE,"Ratio Analysis";#N/A,#N/A,FALSE,"Test 120 Day Accts";#N/A,#N/A,FALSE,"Tickmarks"}</definedName>
    <definedName name="WWWWWPPPPPPP">#N/A</definedName>
    <definedName name="WZ">#REF!</definedName>
    <definedName name="W행">#REF!</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hidden="1">{#N/A,#N/A,FALSE,"Sheet6"}</definedName>
    <definedName name="xcv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 hidden="1">{#N/A,#N/A,FALSE,"Sheet6"}</definedName>
    <definedName name="XG개"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hidden="1">{"FTEAOB 90",#N/A,FALSE,"FTEAOB - 5.0 Format - Input"}</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hidden="1">{#N/A,#N/A,FALSE,"Inc. St.";#N/A,#N/A,FALSE,"FYear";#N/A,#N/A,FALSE,"Revs.";#N/A,#N/A,FALSE,"RevsYear";#N/A,#N/A,FALSE,"Balance";#N/A,#N/A,FALSE,"CompVal";#N/A,#N/A,FALSE,"Val.";#N/A,#N/A,FALSE,"DCFval"}</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hidden="1">{"'용역비'!$A$4:$C$8"}</definedName>
    <definedName name="yhg" hidden="1">2</definedName>
    <definedName name="Yield">#REF!</definedName>
    <definedName name="YJN">BlankMacro1</definedName>
    <definedName name="yjyg">#REF!</definedName>
    <definedName name="YMMA">#REF!</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hidden="1">{#N/A,#N/A,FALSE,"단축1";#N/A,#N/A,FALSE,"단축2";#N/A,#N/A,FALSE,"단축3";#N/A,#N/A,FALSE,"장축";#N/A,#N/A,FALSE,"4WD"}</definedName>
    <definedName name="ytutyu">#REF!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hidden="1">{"'용역비'!$A$4:$C$8"}</definedName>
    <definedName name="YUTY" hidden="1">{#N/A,#N/A,FALSE,"Sheet6"}</definedName>
    <definedName name="yy" hidden="1">{#N/A,#N/A,FALSE,"Hip.Bas";#N/A,#N/A,FALSE,"ventas";#N/A,#N/A,FALSE,"ingre-Año";#N/A,#N/A,FALSE,"ventas-Año";#N/A,#N/A,FALSE,"Costepro";#N/A,#N/A,FALSE,"inversion";#N/A,#N/A,FALSE,"personal";#N/A,#N/A,FALSE,"Gastos-V";#N/A,#N/A,FALSE,"Circulante";#N/A,#N/A,FALSE,"CONSOLI";#N/A,#N/A,FALSE,"Es-Fin";#N/A,#N/A,FALSE,"Margen-P"}</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hidden="1">{"'Jibu9811 (3)'!$B$1:$J$433"}</definedName>
    <definedName name="zip">{"Book1"}</definedName>
    <definedName name="ZNZN">#N/A</definedName>
    <definedName name="ZP">#REF!</definedName>
    <definedName name="Zpp">#REF!</definedName>
    <definedName name="ZPPX">#REF!</definedName>
    <definedName name="ZPPY">#REF!</definedName>
    <definedName name="ZX" hidden="1">{#N/A,#N/A,FALSE,"초도품";#N/A,#N/A,FALSE,"초도품 (2)";#N/A,#N/A,FALSE,"초도품 (3)";#N/A,#N/A,FALSE,"초도품 (4)";#N/A,#N/A,FALSE,"초도품 (5)";#N/A,#N/A,FALSE,"초도품 (6)"}</definedName>
    <definedName name="ZXC" hidden="1">{#N/A,#N/A,FALSE,"이태원철근"}</definedName>
    <definedName name="zxcv">#N/A</definedName>
    <definedName name="Zy">#REF!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hidden="1">#N/A</definedName>
    <definedName name="あああ" hidden="1">{"'買掛金'!$J$6"}</definedName>
    <definedName name="その他の投資" hidden="1">{"'買掛金'!$J$6"}</definedName>
    <definedName name="っっｂ" hidden="1">{"'買掛金'!$J$6"}</definedName>
    <definedName name="テスト" hidden="1">{"'買掛金'!$J$6"}</definedName>
    <definedName name="ㄱ" hidden="1">{#N/A,#N/A,FALSE,"BS";#N/A,#N/A,FALSE,"PL";#N/A,#N/A,FALSE,"처분";#N/A,#N/A,FALSE,"현금";#N/A,#N/A,FALSE,"매출";#N/A,#N/A,FALSE,"원가";#N/A,#N/A,FALSE,"경영"}</definedName>
    <definedName name="ㄱㄱ" hidden="1">{#N/A,#N/A,FALSE,"UNIT";#N/A,#N/A,FALSE,"UNIT";#N/A,#N/A,FALSE,"계정"}</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{#N/A,#N/A,FALSE,"1.CRITERIA";#N/A,#N/A,FALSE,"2.IS";#N/A,#N/A,FALSE,"3.BS";#N/A,#N/A,FALSE,"4.PER PL";#N/A,#N/A,FALSE,"5.INVESTMENT";#N/A,#N/A,FALSE,"6.공문";#N/A,#N/A,FALSE,"7.netinvest"}</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hidden="1">{"'Jibu9811 (3)'!$B$1:$J$433"}</definedName>
    <definedName name="ㄱㄴㄷㅎ" hidden="1">{"'Jibu9811 (3)'!$B$1:$J$433"}</definedName>
    <definedName name="ㄱ노">#N/A</definedName>
    <definedName name="ㄱ녹ㄴ소">#N/A</definedName>
    <definedName name="ㄱㄷㄱ" hidden="1">{#N/A,#N/A,FALSE,"Sheet6"}</definedName>
    <definedName name="ㄱㄷㅅ" hidden="1">{#N/A,#N/A,FALSE,"Sheet6"}</definedName>
    <definedName name="ㄱㄷㅈ">BlankMacro1</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hidden="1">{"'Jibu9811 (3)'!$B$1:$J$433"}</definedName>
    <definedName name="ㄱㄷㅎㄷㄱㅎㄱㅎㄱ" hidden="1">{"'Jibu9811 (3)'!$B$1:$J$433"}</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BlankMacro1</definedName>
    <definedName name="ㄱㄹ홍ㄱ호" hidden="1">{#N/A,#N/A,FALSE,"Sheet6"}</definedName>
    <definedName name="ㄱ리">BlankMacro1</definedName>
    <definedName name="ㄱㄿ" hidden="1">{#N/A,#N/A,FALSE,"Sheet1"}</definedName>
    <definedName name="ㄱㅁㅇ리허ㅏㅣ" hidden="1">{"'Jibu9811 (3)'!$B$1:$J$433"}</definedName>
    <definedName name="ㄱㅂㅊ">BlankMacro1</definedName>
    <definedName name="ㄱ보">BlankMacro1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hidden="1">{#N/A,#N/A,FALSE,"Sheet6"}</definedName>
    <definedName name="ㄱ슈곡ㄴ">#N/A</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hidden="1">{#N/A,#N/A,FALSE,"기안지";#N/A,#N/A,FALSE,"통신지"}</definedName>
    <definedName name="ㄱㅈ새새ㅐ재파ㅣㅍㄹ" hidden="1">{"'Jibu9811 (3)'!$B$1:$J$433"}</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hidden="1">{"'Jibu9811 (3)'!$B$1:$J$433"}</definedName>
    <definedName name="ㄱㅎㄳ" hidden="1">#REF!</definedName>
    <definedName name="ㄱㅎㄷㄱㅎㄱㄷ" hidden="1">#REF!</definedName>
    <definedName name="ㄱ호ㅗㄱㄱㄱ" hidden="1">{#N/A,#N/A,TRUE,"경전'96(1)";#N/A,#N/A,TRUE,"경전'96 (2)"}</definedName>
    <definedName name="ㄱ히망ㅎ" hidden="1">{#N/A,#N/A,FALSE,"1.CRITERIA";#N/A,#N/A,FALSE,"2.IS";#N/A,#N/A,FALSE,"3.BS";#N/A,#N/A,FALSE,"4.PER PL";#N/A,#N/A,FALSE,"5.INVESTMENT";#N/A,#N/A,FALSE,"6.공문";#N/A,#N/A,FALSE,"7.netinvest"}</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hidden="1">{#N/A,#N/A,TRUE,"Y생산";#N/A,#N/A,TRUE,"Y판매";#N/A,#N/A,TRUE,"Y총물량";#N/A,#N/A,TRUE,"Y능력";#N/A,#N/A,TRUE,"YKD"}</definedName>
    <definedName name="가가" hidden="1">{#N/A,#N/A,FALSE,"UNIT";#N/A,#N/A,FALSE,"UNIT";#N/A,#N/A,FALSE,"계정"}</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hidden="1">{"'미착금액'!$A$4:$G$14"}</definedName>
    <definedName name="가나" hidden="1">{#N/A,#N/A,FALSE,"1.CRITERIA";#N/A,#N/A,FALSE,"2.IS";#N/A,#N/A,FALSE,"3.BS";#N/A,#N/A,FALSE,"4.PER PL";#N/A,#N/A,FALSE,"5.INVESTMENT";#N/A,#N/A,FALSE,"6.공문";#N/A,#N/A,FALSE,"7.netinvest"}</definedName>
    <definedName name="가나다" hidden="1">{"'Jibu9811 (3)'!$B$1:$J$433"}</definedName>
    <definedName name="가나다11">#REF!</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hidden="1">{#N/A,#N/A,FALSE,"정공"}</definedName>
    <definedName name="가나라" hidden="1">{#N/A,#N/A,FALSE,"1.CRITERIA";#N/A,#N/A,FALSE,"2.IS";#N/A,#N/A,FALSE,"3.BS";#N/A,#N/A,FALSE,"4.PER PL";#N/A,#N/A,FALSE,"5.INVESTMENT";#N/A,#N/A,FALSE,"6.공문";#N/A,#N/A,FALSE,"7.netinvest"}</definedName>
    <definedName name="가나ㅏ">#REF!</definedName>
    <definedName name="가다" hidden="1">{#N/A,#N/A,FALSE,"1.CRITERIA";#N/A,#N/A,FALSE,"2.IS";#N/A,#N/A,FALSE,"3.BS";#N/A,#N/A,FALSE,"4.PER PL";#N/A,#N/A,FALSE,"5.INVESTMENT";#N/A,#N/A,FALSE,"6.공문";#N/A,#N/A,FALSE,"7.netinvest"}</definedName>
    <definedName name="가대">BlankMacro1</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hidden="1">{#N/A,#N/A,FALSE,"1.CRITERIA";#N/A,#N/A,FALSE,"2.IS";#N/A,#N/A,FALSE,"3.BS";#N/A,#N/A,FALSE,"4.PER PL";#N/A,#N/A,FALSE,"5.INVESTMENT";#N/A,#N/A,FALSE,"6.공문";#N/A,#N/A,FALSE,"7.netinvest"}</definedName>
    <definedName name="가아나" hidden="1">{#N/A,#N/A,TRUE,"Y생산";#N/A,#N/A,TRUE,"Y판매";#N/A,#N/A,TRUE,"Y총물량";#N/A,#N/A,TRUE,"Y능력";#N/A,#N/A,TRUE,"YKD"}</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hidden="1">{#N/A,#N/A,FALSE,"초도품";#N/A,#N/A,FALSE,"초도품 (2)";#N/A,#N/A,FALSE,"초도품 (3)";#N/A,#N/A,FALSE,"초도품 (4)";#N/A,#N/A,FALSE,"초도품 (5)";#N/A,#N/A,FALSE,"초도품 (6)"}</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hidden="1">{"'Jibu9811 (3)'!$B$1:$J$433"}</definedName>
    <definedName name="가짜2" hidden="1">{"'Jibu9811 (3)'!$B$1:$J$433"}</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hidden="1">{"'매출이익'!$A$24:$K$45"}</definedName>
    <definedName name="가ㅏㅏㅏㅓ갸">#N/A</definedName>
    <definedName name="각방안" hidden="1">{#N/A,#N/A,FALSE,"단축1";#N/A,#N/A,FALSE,"단축2";#N/A,#N/A,FALSE,"단축3";#N/A,#N/A,FALSE,"장축";#N/A,#N/A,FALSE,"4WD"}</definedName>
    <definedName name="간" hidden="1">{#N/A,#N/A,FALSE,"UNIT";#N/A,#N/A,FALSE,"UNIT";#N/A,#N/A,FALSE,"계정"}</definedName>
    <definedName name="간공">#REF!</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hidden="1">{"'Jibu9811 (3)'!$B$1:$J$433"}</definedName>
    <definedName name="간접공사비">#REF!</definedName>
    <definedName name="간접노무비">#REF!</definedName>
    <definedName name="간접노무비율">#REF!</definedName>
    <definedName name="간지">#REF!</definedName>
    <definedName name="갇">BlankMacro1</definedName>
    <definedName name="갈" hidden="1">{#N/A,#N/A,FALSE,"1.CRITERIA";#N/A,#N/A,FALSE,"2.IS";#N/A,#N/A,FALSE,"3.BS";#N/A,#N/A,FALSE,"4.PER PL";#N/A,#N/A,FALSE,"5.INVESTMENT";#N/A,#N/A,FALSE,"6.공문";#N/A,#N/A,FALSE,"7.netinvest"}</definedName>
    <definedName name="갈레닉" hidden="1">{"'Jibu9811 (3)'!$B$1:$J$433"}</definedName>
    <definedName name="갈레닉2" hidden="1">{"'Jibu9811 (3)'!$B$1:$J$433"}</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hidden="1">{#N/A,#N/A,FALSE,"9612"}</definedName>
    <definedName name="감가상각2003" hidden="1">{"FORM17",#N/A,FALSE,"Commission1";"FORM17.1",#N/A,FALSE,"Commission2"}</definedName>
    <definedName name="감가상각비" hidden="1">{#N/A,#N/A,FALSE,"1.CRITERIA";#N/A,#N/A,FALSE,"2.IS";#N/A,#N/A,FALSE,"3.BS";#N/A,#N/A,FALSE,"4.PER PL";#N/A,#N/A,FALSE,"5.INVESTMENT";#N/A,#N/A,FALSE,"6.공문";#N/A,#N/A,FALSE,"7.netinvest"}</definedName>
    <definedName name="감가상각표" hidden="1">{#N/A,#N/A,FALSE,"BS";#N/A,#N/A,FALSE,"PL";#N/A,#N/A,FALSE,"처분";#N/A,#N/A,FALSE,"현금";#N/A,#N/A,FALSE,"매출";#N/A,#N/A,FALSE,"원가";#N/A,#N/A,FALSE,"경영"}</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hidden="1">{"'Jibu9811 (3)'!$B$1:$J$433"}</definedName>
    <definedName name="갑">#REF!</definedName>
    <definedName name="갑근세">#REF!</definedName>
    <definedName name="갑지">#REF!</definedName>
    <definedName name="갑지2" hidden="1">{#N/A,#N/A,FALSE,"CCTV"}</definedName>
    <definedName name="값">#REF!</definedName>
    <definedName name="값2">#REF!</definedName>
    <definedName name="강" hidden="1">{#N/A,#N/A,FALSE,"1.CRITERIA";#N/A,#N/A,FALSE,"2.IS";#N/A,#N/A,FALSE,"3.BS";#N/A,#N/A,FALSE,"4.PER PL";#N/A,#N/A,FALSE,"5.INVESTMENT";#N/A,#N/A,FALSE,"6.공문";#N/A,#N/A,FALSE,"7.netinvest"}</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hidden="1">{#N/A,#N/A,FALSE,"변경관리예산";#N/A,#N/A,FALSE,"변경장비예산";#N/A,#N/A,FALSE,"변경준설예산";#N/A,#N/A,FALSE,"변경철구예산"}</definedName>
    <definedName name="강종옥" hidden="1">{#N/A,#N/A,FALSE,"단축1";#N/A,#N/A,FALSE,"단축2";#N/A,#N/A,FALSE,"단축3";#N/A,#N/A,FALSE,"장축";#N/A,#N/A,FALSE,"4WD"}</definedName>
    <definedName name="개가ㅠㅡ" hidden="1">{#N/A,#N/A,FALSE,"부대2"}</definedName>
    <definedName name="개나리">#REF!</definedName>
    <definedName name="개덯">BlankMacro1</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hidden="1">{#N/A,#N/A,FALSE,"단축1";#N/A,#N/A,FALSE,"단축2";#N/A,#N/A,FALSE,"단축3";#N/A,#N/A,FALSE,"장축";#N/A,#N/A,FALSE,"4WD"}</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hidden="1">{#N/A,#N/A,FALSE,"정공"}</definedName>
    <definedName name="갸허">BlankMacro1</definedName>
    <definedName name="갸ㅑㅐㅗㅡ" hidden="1">{#N/A,#N/A,FALSE,"기안지";#N/A,#N/A,FALSE,"통신지"}</definedName>
    <definedName name="갸ㅗㅓ허ㅏ" hidden="1">{#N/A,#N/A,FALSE,"토공2"}</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hidden="1">{#N/A,#N/A,FALSE,"BS";#N/A,#N/A,FALSE,"PL";#N/A,#N/A,FALSE,"처분";#N/A,#N/A,FALSE,"현금";#N/A,#N/A,FALSE,"매출";#N/A,#N/A,FALSE,"원가";#N/A,#N/A,FALSE,"경영"}</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hidden="1">{#N/A,#N/A,FALSE,"1.CRITERIA";#N/A,#N/A,FALSE,"2.IS";#N/A,#N/A,FALSE,"3.BS";#N/A,#N/A,FALSE,"4.PER PL";#N/A,#N/A,FALSE,"5.INVESTMENT";#N/A,#N/A,FALSE,"6.공문";#N/A,#N/A,FALSE,"7.netinvest"}</definedName>
    <definedName name="거ㅓㄷㅂ">BlankMacro1</definedName>
    <definedName name="건">#REF!</definedName>
    <definedName name="건강보험료">#REF!</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{"'손익현황'!$A$1:$J$29"}</definedName>
    <definedName name="건물관리비" hidden="1">#REF!</definedName>
    <definedName name="건물시부인">#REF!</definedName>
    <definedName name="건물임." hidden="1">{"'손익현황'!$A$1:$J$29"}</definedName>
    <definedName name="건물임._1" hidden="1">{"'손익현황'!$A$1:$J$29"}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설중인자산1">BlankMacro1</definedName>
    <definedName name="건설중인자산2">BlankMacro1</definedName>
    <definedName name="건설중자산3">BlankMacro1</definedName>
    <definedName name="건설팀" hidden="1">{#N/A,#N/A,TRUE,"Y생산";#N/A,#N/A,TRUE,"Y판매";#N/A,#N/A,TRUE,"Y총물량";#N/A,#N/A,TRUE,"Y능력";#N/A,#N/A,TRUE,"YKD"}</definedName>
    <definedName name="건원가">BlankMacro1</definedName>
    <definedName name="건축">BlankMacro1</definedName>
    <definedName name="건축내역1">BlankMacro1</definedName>
    <definedName name="건축내역2">BlankMacro1</definedName>
    <definedName name="건축도급">BlankMacro1</definedName>
    <definedName name="건축목공">#REF!</definedName>
    <definedName name="건축원가" hidden="1">{#N/A,#N/A,FALSE,"토공2"}</definedName>
    <definedName name="건축집계분임">#REF!</definedName>
    <definedName name="건축토공" hidden="1">{#N/A,#N/A,FALSE,"기안지";#N/A,#N/A,FALSE,"통신지"}</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Dlog_Show</definedName>
    <definedName name="견적list3" hidden="1">{#N/A,#N/A,FALSE,"단축1";#N/A,#N/A,FALSE,"단축2";#N/A,#N/A,FALSE,"단축3";#N/A,#N/A,FALSE,"장축";#N/A,#N/A,FALSE,"4WD"}</definedName>
    <definedName name="견적비교">#REF!</definedName>
    <definedName name="견적서">#REF!</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hidden="1">{#N/A,#N/A,FALSE,"Aging Summary";#N/A,#N/A,FALSE,"Ratio Analysis";#N/A,#N/A,FALSE,"Test 120 Day Accts";#N/A,#N/A,FALSE,"Tickmarks"}</definedName>
    <definedName name="결영" hidden="1">{#N/A,#N/A,FALSE,"P.C.B"}</definedName>
    <definedName name="결정세액03">#REF!</definedName>
    <definedName name="결정세액04">#REF!</definedName>
    <definedName name="결품" hidden="1">{#N/A,#N/A,FALSE,"단축1";#N/A,#N/A,FALSE,"단축2";#N/A,#N/A,FALSE,"단축3";#N/A,#N/A,FALSE,"장축";#N/A,#N/A,FALSE,"4WD"}</definedName>
    <definedName name="경" hidden="1">{#N/A,#N/A,TRUE,"경전'96(1)";#N/A,#N/A,TRUE,"경전'96 (2)"}</definedName>
    <definedName name="경001" hidden="1">{#N/A,#N/A,TRUE,"경전'96(1)";#N/A,#N/A,TRUE,"경전'96 (2)"}</definedName>
    <definedName name="경1" hidden="1">{#N/A,#N/A,TRUE,"경전'96(1)";#N/A,#N/A,TRUE,"경전'96 (2)"}</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hidden="1">{#N/A,#N/A,FALSE,"P.C.B"}</definedName>
    <definedName name="경리손익" hidden="1">{#N/A,#N/A,FALSE,"정공"}</definedName>
    <definedName name="경리일보_지출예정_List">#REF!</definedName>
    <definedName name="경비">#REF!</definedName>
    <definedName name="경비1" hidden="1">#REF!</definedName>
    <definedName name="경비실적" hidden="1">{#N/A,#N/A,FALSE,"정공"}</definedName>
    <definedName name="경비예산">#REF!,#REF!</definedName>
    <definedName name="경비율">#REF!</definedName>
    <definedName name="경상비8월" hidden="1">{#N/A,#N/A,FALSE,"단축1";#N/A,#N/A,FALSE,"단축2";#N/A,#N/A,FALSE,"단축3";#N/A,#N/A,FALSE,"장축";#N/A,#N/A,FALSE,"4WD"}</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BlankMacro1</definedName>
    <definedName name="경영" hidden="1">{#N/A,#N/A,FALSE,"P.C.B"}</definedName>
    <definedName name="경영2" hidden="1">#REF!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hidden="1">{#N/A,#N/A,FALSE,"BS";#N/A,#N/A,FALSE,"PL";#N/A,#N/A,FALSE,"처분";#N/A,#N/A,FALSE,"현금";#N/A,#N/A,FALSE,"매출";#N/A,#N/A,FALSE,"원가";#N/A,#N/A,FALSE,"경영"}</definedName>
    <definedName name="경영지표2" hidden="1">#REF!</definedName>
    <definedName name="경영진보고" hidden="1">{"'Sheet1'!$A$1:$H$36"}</definedName>
    <definedName name="경인" hidden="1">{"'Jibu9811 (3)'!$B$1:$J$433"}</definedName>
    <definedName name="경자" hidden="1">#REF!</definedName>
    <definedName name="경쟁사동향" hidden="1">{#N/A,#N/A,FALSE,"97년 투자계획 세부내역 "}</definedName>
    <definedName name="경전요약" hidden="1">{#N/A,#N/A,TRUE,"경전'96(1)";#N/A,#N/A,TRUE,"경전'96 (2)"}</definedName>
    <definedName name="경주">#REF!</definedName>
    <definedName name="경합금2과운연계획" hidden="1">{#N/A,#N/A,TRUE,"Y생산";#N/A,#N/A,TRUE,"Y판매";#N/A,#N/A,TRUE,"Y총물량";#N/A,#N/A,TRUE,"Y능력";#N/A,#N/A,TRUE,"YKD"}</definedName>
    <definedName name="계">#REF!</definedName>
    <definedName name="계량기재료비분석" hidden="1">{#N/A,#N/A,FALSE,"UNIT";#N/A,#N/A,FALSE,"UNIT";#N/A,#N/A,FALSE,"계정"}</definedName>
    <definedName name="계산" hidden="1">{#N/A,#N/A,FALSE,"1.CRITERIA";#N/A,#N/A,FALSE,"2.IS";#N/A,#N/A,FALSE,"3.BS";#N/A,#N/A,FALSE,"4.PER PL";#N/A,#N/A,FALSE,"5.INVESTMENT";#N/A,#N/A,FALSE,"6.공문";#N/A,#N/A,FALSE,"7.netinvest"}</definedName>
    <definedName name="계수" hidden="1">{#N/A,#N/A,FALSE,"지침";#N/A,#N/A,FALSE,"환경분석";#N/A,#N/A,FALSE,"Sheet16"}</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hidden="1">{#N/A,#N/A,FALSE,"UNIT";#N/A,#N/A,FALSE,"UNIT";#N/A,#N/A,FALSE,"계정"}</definedName>
    <definedName name="계획.1" hidden="1">{#N/A,#N/A,FALSE,"단축1";#N/A,#N/A,FALSE,"단축2";#N/A,#N/A,FALSE,"단축3";#N/A,#N/A,FALSE,"장축";#N/A,#N/A,FALSE,"4WD"}</definedName>
    <definedName name="계획1" hidden="1">{#N/A,#N/A,FALSE,"UNIT";#N/A,#N/A,FALSE,"UNIT";#N/A,#N/A,FALSE,"계정"}</definedName>
    <definedName name="계획2" hidden="1">{#N/A,#N/A,FALSE,"정공"}</definedName>
    <definedName name="계획표">#REF!</definedName>
    <definedName name="계획표지" hidden="1">{#N/A,#N/A,FALSE,"단축1";#N/A,#N/A,FALSE,"단축2";#N/A,#N/A,FALSE,"단축3";#N/A,#N/A,FALSE,"장축";#N/A,#N/A,FALSE,"4WD"}</definedName>
    <definedName name="고" hidden="1">#REF!</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hidden="1">{"FORM1",#N/A,FALSE,"Revenue";"FORMTR",#N/A,FALSE,"Revenue";"FORM3.1",#N/A,FALSE,"Revenue"}</definedName>
    <definedName name="고재">#REF!</definedName>
    <definedName name="고정">#REF!</definedName>
    <definedName name="고정부채">#REF!</definedName>
    <definedName name="고정자산" hidden="1">{"FORM17",#N/A,FALSE,"Commission1";"FORM17.1",#N/A,FALSE,"Commission2"}</definedName>
    <definedName name="고정자산2" hidden="1">{"FORM1",#N/A,TRUE,"Revenue";"FORM1.1",#N/A,TRUE,"Revenue";"FORM1.2",#N/A,TRUE,"Revenue";"FORM2",#N/A,TRUE,"Revenue";"FORM2.1",#N/A,TRUE,"Revenue"}</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hidden="1">{#N/A,#N/A,FALSE,"Sheet6"}</definedName>
    <definedName name="골" hidden="1">{#N/A,#N/A,FALSE,"단축1";#N/A,#N/A,FALSE,"단축2";#N/A,#N/A,FALSE,"단축3";#N/A,#N/A,FALSE,"장축";#N/A,#N/A,FALSE,"4WD"}</definedName>
    <definedName name="골라인쇄">#REF!</definedName>
    <definedName name="공" hidden="1">{"'손익현황'!$A$1:$J$29"}</definedName>
    <definedName name="공___종">#REF!</definedName>
    <definedName name="공_1"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hidden="1">{"'손익현황'!$A$1:$J$29"}</definedName>
    <definedName name="공구_1" hidden="1">{"'손익현황'!$A$1:$J$29"}</definedName>
    <definedName name="공구기구"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hidden="1">{#N/A,#N/A,FALSE,"기안지";#N/A,#N/A,FALSE,"통신지"}</definedName>
    <definedName name="공모23" hidden="1">{#N/A,#N/A,FALSE,"현장 NCR 분석";#N/A,#N/A,FALSE,"현장품질감사";#N/A,#N/A,FALSE,"현장품질감사"}</definedName>
    <definedName name="공모23_1" hidden="1">{#N/A,#N/A,FALSE,"현장 NCR 분석";#N/A,#N/A,FALSE,"현장품질감사";#N/A,#N/A,FALSE,"현장품질감사"}</definedName>
    <definedName name="공모24"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hidden="1">{#N/A,#N/A,TRUE,"토적및재료집계";#N/A,#N/A,TRUE,"토적및재료집계";#N/A,#N/A,TRUE,"단위량"}</definedName>
    <definedName name="공사위치">#REF!</definedName>
    <definedName name="공사합계">#REF!</definedName>
    <definedName name="공성환" hidden="1">{#N/A,#N/A,FALSE,"단축1";#N/A,#N/A,FALSE,"단축2";#N/A,#N/A,FALSE,"단축3";#N/A,#N/A,FALSE,"장축";#N/A,#N/A,FALSE,"4WD"}</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hidden="1">{#N/A,#N/A,TRUE,"Y생산";#N/A,#N/A,TRUE,"Y판매";#N/A,#N/A,TRUE,"Y총물량";#N/A,#N/A,TRUE,"Y능력";#N/A,#N/A,TRUE,"YKD"}</definedName>
    <definedName name="공정" hidden="1">#REF!</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hidden="1">{#N/A,#N/A,FALSE,"단축1";#N/A,#N/A,FALSE,"단축2";#N/A,#N/A,FALSE,"단축3";#N/A,#N/A,FALSE,"장축";#N/A,#N/A,FALSE,"4WD"}</definedName>
    <definedName name="과학">#REF!</definedName>
    <definedName name="과학실">#REF!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CommonDB.xls</definedName>
    <definedName name="관할세무서지">#REF!</definedName>
    <definedName name="광">#REF!</definedName>
    <definedName name="광명">#REF!</definedName>
    <definedName name="광주" hidden="1">{"'Jibu9811 (3)'!$B$1:$J$433"}</definedName>
    <definedName name="광주2" hidden="1">{"'Jibu9811 (3)'!$B$1:$J$433"}</definedName>
    <definedName name="광주3" hidden="1">{"'Jibu9811 (3)'!$B$1:$J$433"}</definedName>
    <definedName name="광주공장" hidden="1">#REF!</definedName>
    <definedName name="광주지역미수현황.xlx"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hidden="1">{#N/A,#N/A,FALSE,"이태원철근"}</definedName>
    <definedName name="교목계">#REF!</definedName>
    <definedName name="교무">#REF!</definedName>
    <definedName name="교사">#REF!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hidden="1">{#N/A,#N/A,FALSE,"Sheet6"}</definedName>
    <definedName name="구" hidden="1">{"'손익현황'!$A$1:$J$29"}</definedName>
    <definedName name="구_1" hidden="1">{"'손익현황'!$A$1:$J$29"}</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hidden="1">{#N/A,#N/A,TRUE,"Y생산";#N/A,#N/A,TRUE,"Y판매";#N/A,#N/A,TRUE,"Y총물량";#N/A,#N/A,TRUE,"Y능력";#N/A,#N/A,TRUE,"YKD"}</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hidden="1">{#N/A,#N/A,FALSE,"이정표"}</definedName>
    <definedName name="구조물공사" hidden="1">{#N/A,#N/A,TRUE,"토적및재료집계";#N/A,#N/A,TRUE,"토적및재료집계";#N/A,#N/A,TRUE,"단위량"}</definedName>
    <definedName name="구축물" hidden="1">{#N/A,#N/A,FALSE,"9612"}</definedName>
    <definedName name="구축물시부인">#REF!</definedName>
    <definedName name="구축물임" hidden="1">{"'손익현황'!$A$1:$J$29"}</definedName>
    <definedName name="구축물임_1" hidden="1">{"'손익현황'!$A$1:$J$29"}</definedName>
    <definedName name="국_내_매_출">#REF!</definedName>
    <definedName name="국가별일반현황" hidden="1">{#N/A,#N/A,FALSE,"단축1";#N/A,#N/A,FALSE,"단축2";#N/A,#N/A,FALSE,"단축3";#N/A,#N/A,FALSE,"장축";#N/A,#N/A,FALSE,"4WD"}</definedName>
    <definedName name="국공채미수이자"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hidden="1">{#N/A,#N/A,FALSE,"단축1";#N/A,#N/A,FALSE,"단축2";#N/A,#N/A,FALSE,"단축3";#N/A,#N/A,FALSE,"장축";#N/A,#N/A,FALSE,"4WD"}</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hidden="1">{#N/A,#N/A,FALSE,"BS";#N/A,#N/A,FALSE,"PL";#N/A,#N/A,FALSE,"처분";#N/A,#N/A,FALSE,"현금";#N/A,#N/A,FALSE,"매출";#N/A,#N/A,FALSE,"원가";#N/A,#N/A,FALSE,"경영"}</definedName>
    <definedName name="그림">#REF!</definedName>
    <definedName name="그밀">#REF!</definedName>
    <definedName name="근거1"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hidden="1">{#N/A,#N/A,TRUE,"Y생산";#N/A,#N/A,TRUE,"Y판매";#N/A,#N/A,TRUE,"Y총물량";#N/A,#N/A,TRUE,"Y능력";#N/A,#N/A,TRUE,"YKD"}</definedName>
    <definedName name="금융기관">#REF!</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hidden="1">{#N/A,#N/A,FALSE,"계약직(여)"}</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BlankMacro1</definedName>
    <definedName name="기계공">#REF!</definedName>
    <definedName name="기계설치공">#REF!</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hidden="1">{#N/A,#N/A,FALSE,"UNIT";#N/A,#N/A,FALSE,"UNIT";#N/A,#N/A,FALSE,"계정"}</definedName>
    <definedName name="기기마" hidden="1">#REF!</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hidden="1">{#N/A,#N/A,FALSE,"BS";#N/A,#N/A,FALSE,"PL";#N/A,#N/A,FALSE,"처분";#N/A,#N/A,FALSE,"현금";#N/A,#N/A,FALSE,"매출";#N/A,#N/A,FALSE,"원가";#N/A,#N/A,FALSE,"경영"}</definedName>
    <definedName name="기명기">#REF!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hidden="1">{"'자격급추가지급자'!$A$1:$M$13"}</definedName>
    <definedName name="기술영업" hidden="1">#REF!</definedName>
    <definedName name="기아" hidden="1">{#N/A,#N/A,FALSE,"1.CRITERIA";#N/A,#N/A,FALSE,"2.IS";#N/A,#N/A,FALSE,"3.BS";#N/A,#N/A,FALSE,"4.PER PL";#N/A,#N/A,FALSE,"5.INVESTMENT";#N/A,#N/A,FALSE,"6.공문";#N/A,#N/A,FALSE,"7.netinvest"}</definedName>
    <definedName name="기아모텍" hidden="1">{#N/A,#N/A,FALSE,"정공"}</definedName>
    <definedName name="기아전자" hidden="1">{#N/A,#N/A,FALSE,"정공"}</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hidden="1">{#N/A,#N/A,FALSE,"UNIT";#N/A,#N/A,FALSE,"UNIT";#N/A,#N/A,FALSE,"계정"}</definedName>
    <definedName name="기존_서비스_제공_지역">#REF!</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hidden="1">{#N/A,#N/A,FALSE,"Sheet1"}</definedName>
    <definedName name="기타경비">#REF!</definedName>
    <definedName name="기타경비율">#REF!</definedName>
    <definedName name="기타미정산2000">#REF!</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hidden="1">{#N/A,#N/A,FALSE,"Aging Summary";#N/A,#N/A,FALSE,"Ratio Analysis";#N/A,#N/A,FALSE,"Test 120 Day Accts";#N/A,#N/A,FALSE,"Tickmarks"}</definedName>
    <definedName name="김_1" hidden="1">{#N/A,#N/A,FALSE,"Aging Summary";#N/A,#N/A,FALSE,"Ratio Analysis";#N/A,#N/A,FALSE,"Test 120 Day Accts";#N/A,#N/A,FALSE,"Tickmarks"}</definedName>
    <definedName name="김기백" hidden="1">{"'Price List '!$A$1:$R$156"}</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hidden="1">{#N/A,#N/A,FALSE,"기술료 비교"}</definedName>
    <definedName name="김덕연" hidden="1">{"'Jibu9811 (3)'!$B$1:$J$433"}</definedName>
    <definedName name="김도윤" hidden="1">{#N/A,#N/A,TRUE,"Y생산";#N/A,#N/A,TRUE,"Y판매";#N/A,#N/A,TRUE,"Y총물량";#N/A,#N/A,TRUE,"Y능력";#N/A,#N/A,TRUE,"YKD"}</definedName>
    <definedName name="김동욱" hidden="1">{"'Price List '!$A$1:$R$156"}</definedName>
    <definedName name="김베" hidden="1">{#N/A,#N/A,FALSE,"단축1";#N/A,#N/A,FALSE,"단축2";#N/A,#N/A,FALSE,"단축3";#N/A,#N/A,FALSE,"장축";#N/A,#N/A,FALSE,"4WD"}</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hidden="1">{"'Price List '!$A$1:$R$156"}</definedName>
    <definedName name="김심선">#N/A</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hidden="1">{#N/A,#N/A,FALSE,"기술료 비교"}</definedName>
    <definedName name="김종범">#REF!</definedName>
    <definedName name="김종삼" hidden="1">{"'Price List '!$A$1:$R$156"}</definedName>
    <definedName name="김종성">BlankMacro1</definedName>
    <definedName name="김종진">#REF!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hidden="1">{"'Jibu9811 (3)'!$B$1:$J$433"}</definedName>
    <definedName name="김하얀">#REF!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hidden="1">{"'Jibu9811 (3)'!$B$1:$J$433"}</definedName>
    <definedName name="꽃창포">#REF!</definedName>
    <definedName name="꽃향유">#REF!</definedName>
    <definedName name="ㄳㄱㄴ">#N/A</definedName>
    <definedName name="ㄳㄳㄳㄳ" hidden="1">{"'용역비'!$A$4:$C$8"}</definedName>
    <definedName name="ㄳㄳㅅㄱ" hidden="1">{#N/A,#N/A,FALSE,"단축1";#N/A,#N/A,FALSE,"단축2";#N/A,#N/A,FALSE,"단축3";#N/A,#N/A,FALSE,"장축";#N/A,#N/A,FALSE,"4WD"}</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hidden="1">{#N/A,#N/A,FALSE,"Sheet6"}</definedName>
    <definedName name="ㄳㅁㄴ" hidden="1">{#N/A,#N/A,FALSE,"단축1";#N/A,#N/A,FALSE,"단축2";#N/A,#N/A,FALSE,"단축3";#N/A,#N/A,FALSE,"장축";#N/A,#N/A,FALSE,"4WD"}</definedName>
    <definedName name="ㄴ">#REF!</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hidden="1">{#N/A,#N/A,FALSE,"Sheet1";#N/A,#N/A,FALSE,"기평9607"}</definedName>
    <definedName name="ㄴㄴ_1" hidden="1">{#N/A,#N/A,FALSE,"Sheet1";#N/A,#N/A,FALSE,"기평9607"}</definedName>
    <definedName name="ㄴㄴㄴ" hidden="1">{"'손익현황'!$A$1:$J$29"}</definedName>
    <definedName name="ㄴㄴㄴ_1" hidden="1">{"'손익현황'!$A$1:$J$29"}</definedName>
    <definedName name="ㄴㄴㄴㄴ" hidden="1">{#N/A,#N/A,FALSE,"UNIT";#N/A,#N/A,FALSE,"UNIT";#N/A,#N/A,FALSE,"계정"}</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hidden="1">{#N/A,#N/A,FALSE,"Sheet6"}</definedName>
    <definedName name="ㄴㄷ더" hidden="1">{#N/A,#N/A,FALSE,"단축1";#N/A,#N/A,FALSE,"단축2";#N/A,#N/A,FALSE,"단축3";#N/A,#N/A,FALSE,"장축";#N/A,#N/A,FALSE,"4WD"}</definedName>
    <definedName name="ㄴㄹ">#REF!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hidden="1">{"'Jibu9811 (3)'!$B$1:$J$433"}</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BlankMacro1</definedName>
    <definedName name="ㄴㅅㄱㅓ" hidden="1">#REF!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hidden="1">{#N/A,#N/A,FALSE,"계약직(여)"}</definedName>
    <definedName name="ㄴㅇㄻ">#REF!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hidden="1">{#N/A,#N/A,FALSE,"정공"}</definedName>
    <definedName name="ㄴㅇㅁ" hidden="1">{"'Jibu9811 (3)'!$B$1:$J$433"}</definedName>
    <definedName name="ㄴㅇㅇ" hidden="1">{#N/A,#N/A,TRUE,"일정"}</definedName>
    <definedName name="ㄴㅇㅇㄴㄹ"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hidden="1">{"'Jibu9811 (3)'!$B$1:$J$433"}</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hidden="1">{#N/A,#N/A,FALSE,"단축1";#N/A,#N/A,FALSE,"단축2";#N/A,#N/A,FALSE,"단축3";#N/A,#N/A,FALSE,"장축";#N/A,#N/A,FALSE,"4WD"}</definedName>
    <definedName name="나" hidden="1">{#N/A,#N/A,FALSE,"1.CRITERIA";#N/A,#N/A,FALSE,"2.IS";#N/A,#N/A,FALSE,"3.BS";#N/A,#N/A,FALSE,"4.PER PL";#N/A,#N/A,FALSE,"5.INVESTMENT";#N/A,#N/A,FALSE,"6.공문";#N/A,#N/A,FALSE,"7.netinvest"}</definedName>
    <definedName name="나.">#REF!</definedName>
    <definedName name="나1" hidden="1">{#N/A,#N/A,TRUE,"경전'96(1)";#N/A,#N/A,TRUE,"경전'96 (2)"}</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hidden="1">{"'미착금액'!$A$4:$G$14"}</definedName>
    <definedName name="나다라" hidden="1">{#N/A,#N/A,FALSE,"1.CRITERIA";#N/A,#N/A,FALSE,"2.IS";#N/A,#N/A,FALSE,"3.BS";#N/A,#N/A,FALSE,"4.PER PL";#N/A,#N/A,FALSE,"5.INVESTMENT";#N/A,#N/A,FALSE,"6.공문";#N/A,#N/A,FALSE,"7.netinvest"}</definedName>
    <definedName name="나두" hidden="1">{#N/A,#N/A,FALSE,"초중조사서식 "}</definedName>
    <definedName name="나라" hidden="1">{#N/A,#N/A,FALSE,"1.CRITERIA";#N/A,#N/A,FALSE,"2.IS";#N/A,#N/A,FALSE,"3.BS";#N/A,#N/A,FALSE,"4.PER PL";#N/A,#N/A,FALSE,"5.INVESTMENT";#N/A,#N/A,FALSE,"6.공문";#N/A,#N/A,FALSE,"7.netinvest"}</definedName>
    <definedName name="나라사랑" hidden="1">{#N/A,#N/A,FALSE,"정공"}</definedName>
    <definedName name="나리" hidden="1">{#N/A,#N/A,FALSE,"P.C.B"}</definedName>
    <definedName name="나리2" hidden="1">{#N/A,#N/A,FALSE,"P.C.B"}</definedName>
    <definedName name="나무라오" hidden="1">{#N/A,#N/A,FALSE,"정공"}</definedName>
    <definedName name="나의사랑" hidden="1">{#N/A,#N/A,FALSE,"단축1";#N/A,#N/A,FALSE,"단축2";#N/A,#N/A,FALSE,"단축3";#N/A,#N/A,FALSE,"장축";#N/A,#N/A,FALSE,"4WD"}</definedName>
    <definedName name="나ㅏㅇ" hidden="1">#REF!</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BlankMacro1</definedName>
    <definedName name="남덕1">BlankMacro1</definedName>
    <definedName name="남의나라" hidden="1">{#N/A,#N/A,FALSE,"정공"}</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hidden="1">#REF!,#REF!,#REF!,#REF!,#REF!,#REF!,#REF!,#REF!,#REF!,#REF!,#REF!,#REF!,#REF!</definedName>
    <definedName name="내전">#REF!</definedName>
    <definedName name="낵역4">#REF!</definedName>
    <definedName name="냉각" hidden="1">{#N/A,#N/A,FALSE,"단축1";#N/A,#N/A,FALSE,"단축2";#N/A,#N/A,FALSE,"단축3";#N/A,#N/A,FALSE,"장축";#N/A,#N/A,FALSE,"4WD"}</definedName>
    <definedName name="너" hidden="1">{#N/A,#N/A,FALSE,"인원";#N/A,#N/A,FALSE,"비용2";#N/A,#N/A,FALSE,"비용1";#N/A,#N/A,FALSE,"비용";#N/A,#N/A,FALSE,"보증2";#N/A,#N/A,FALSE,"보증1";#N/A,#N/A,FALSE,"보증";#N/A,#N/A,FALSE,"손익1";#N/A,#N/A,FALSE,"손익";#N/A,#N/A,FALSE,"부서별매출";#N/A,#N/A,FALSE,"매출"}</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hidden="1">{#N/A,#N/A,FALSE,"P.C.B"}</definedName>
    <definedName name="네고">#REF!</definedName>
    <definedName name="녀" hidden="1">{#N/A,#N/A,FALSE,"1.CRITERIA";#N/A,#N/A,FALSE,"2.IS";#N/A,#N/A,FALSE,"3.BS";#N/A,#N/A,FALSE,"4.PER PL";#N/A,#N/A,FALSE,"5.INVESTMENT";#N/A,#N/A,FALSE,"6.공문";#N/A,#N/A,FALSE,"7.netinvest"}</definedName>
    <definedName name="녀차정산" hidden="1">{"'전일자'!$A$5:$N$17"}</definedName>
    <definedName name="년">#REF!</definedName>
    <definedName name="년___월___일_까지">#REF!</definedName>
    <definedName name="년단위">#REF!</definedName>
    <definedName name="년제조" hidden="1">#REF!</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hidden="1">{#N/A,#N/A,FALSE,"단축1";#N/A,#N/A,FALSE,"단축2";#N/A,#N/A,FALSE,"단축3";#N/A,#N/A,FALSE,"장축";#N/A,#N/A,FALSE,"4WD"}</definedName>
    <definedName name="노부비">#REF!</definedName>
    <definedName name="노석지">#REF!</definedName>
    <definedName name="노석지이사품위서">BlankMacro1</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hidden="1">{#N/A,#N/A,FALSE,"단축1";#N/A,#N/A,FALSE,"단축2";#N/A,#N/A,FALSE,"단축3";#N/A,#N/A,FALSE,"장축";#N/A,#N/A,FALSE,"4WD"}</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BlankMacro1</definedName>
    <definedName name="노임단가">#REF!</definedName>
    <definedName name="노출직부">#REF!</definedName>
    <definedName name="노트" hidden="1">{#N/A,#N/A,TRUE,"총괄"}</definedName>
    <definedName name="논ㄱ">#N/A</definedName>
    <definedName name="논현동외" hidden="1">{#N/A,#N/A,FALSE,"Sheet6"}</definedName>
    <definedName name="놈">#N/A</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hidden="1">{#N/A,#N/A,TRUE,"경전'96(1)";#N/A,#N/A,TRUE,"경전'96 (2)"}</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hidden="1">{"'Jibu9811 (3)'!$B$1:$J$433"}</definedName>
    <definedName name="ㄶㅁ" hidden="1">{#N/A,#N/A,TRUE,"경전'96(1)";#N/A,#N/A,TRUE,"경전'96 (2)"}</definedName>
    <definedName name="ㄷ" hidden="1">{#N/A,#N/A,FALSE,"BS";#N/A,#N/A,FALSE,"PL";#N/A,#N/A,FALSE,"처분";#N/A,#N/A,FALSE,"현금";#N/A,#N/A,FALSE,"매출";#N/A,#N/A,FALSE,"원가";#N/A,#N/A,FALSE,"경영"}</definedName>
    <definedName name="ㄷ119">#REF!</definedName>
    <definedName name="ㄷ3" hidden="1">{#N/A,#N/A,FALSE,"9612"}</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hidden="1">{"'Jibu9811 (3)'!$B$1:$J$433"}</definedName>
    <definedName name="ㄷㄱㄷㄱ">#REF!</definedName>
    <definedName name="ㄷㄱㄷㅈㄹㅊㅇ" hidden="1">{"'용역비'!$A$4:$C$8"}</definedName>
    <definedName name="ㄷㄱㅈㄷ" hidden="1">{"'매출이익'!$A$24:$K$45"}</definedName>
    <definedName name="ㄷ갲">BlankMacro1</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BlankMacro1</definedName>
    <definedName name="ㄷㄳㅇㅀㅊ">#N/A</definedName>
    <definedName name="ㄷㄷ"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hidden="1">{#N/A,#N/A,FALSE,"단축1";#N/A,#N/A,FALSE,"단축2";#N/A,#N/A,FALSE,"단축3";#N/A,#N/A,FALSE,"장축";#N/A,#N/A,FALSE,"4WD"}</definedName>
    <definedName name="ㄷㄷㄷ" hidden="1">{#N/A,#N/A,FALSE,"UNIT";#N/A,#N/A,FALSE,"UNIT";#N/A,#N/A,FALSE,"계정"}</definedName>
    <definedName name="ㄷㄷㄷㄷㄷ" hidden="1">#REF!</definedName>
    <definedName name="ㄷㄷㄷㄹㅇ" hidden="1">{#N/A,#N/A,FALSE,"Sheet1"}</definedName>
    <definedName name="ㄷㄹ">#REF!</definedName>
    <definedName name="ㄷ랴겋" hidden="1">{#N/A,#N/A,FALSE,"구조2"}</definedName>
    <definedName name="ㄷㅂ">BlankMacro1</definedName>
    <definedName name="ㄷㅅ">BlankMacro1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hidden="1">{#N/A,#N/A,TRUE,"Y생산";#N/A,#N/A,TRUE,"Y판매";#N/A,#N/A,TRUE,"Y총물량";#N/A,#N/A,TRUE,"Y능력";#N/A,#N/A,TRUE,"YKD"}</definedName>
    <definedName name="ㄷㅇㄹㄴ" hidden="1">#REF!</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hidden="1">{"'Jibu9811 (3)'!$B$1:$J$433"}</definedName>
    <definedName name="ㄷㅎㄷㄳㄷ공ㄱ" hidden="1">{"'Jibu9811 (3)'!$B$1:$J$433"}</definedName>
    <definedName name="ㄷ흇ㅇㄹㅊ">#N/A</definedName>
    <definedName name="다" hidden="1">{#N/A,#N/A,FALSE,"1.CRITERIA";#N/A,#N/A,FALSE,"2.IS";#N/A,#N/A,FALSE,"3.BS";#N/A,#N/A,FALSE,"4.PER PL";#N/A,#N/A,FALSE,"5.INVESTMENT";#N/A,#N/A,FALSE,"6.공문";#N/A,#N/A,FALSE,"7.netinvest"}</definedName>
    <definedName name="다.">#REF!</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hidden="1">{#N/A,#N/A,FALSE,"정공"}</definedName>
    <definedName name="다달이" hidden="1">{#N/A,#N/A,FALSE,"정공"}</definedName>
    <definedName name="다라" hidden="1">{#N/A,#N/A,FALSE,"표지목차"}</definedName>
    <definedName name="다라니경" hidden="1">{#N/A,#N/A,FALSE,"정공"}</definedName>
    <definedName name="다라니경을피우자" hidden="1">{#N/A,#N/A,FALSE,"정공"}</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hidden="1">{#N/A,#N/A,FALSE,"Aging Summary";#N/A,#N/A,FALSE,"Ratio Analysis";#N/A,#N/A,FALSE,"Test 120 Day Accts";#N/A,#N/A,FALSE,"Tickmarks"}</definedName>
    <definedName name="短期借入金" hidden="1">{"'買掛金'!$J$6"}</definedName>
    <definedName name="단김승호">#REF!</definedName>
    <definedName name="단말기" hidden="1">{#N/A,#N/A,FALSE,"정공"}</definedName>
    <definedName name="단말기번호" hidden="1">{#N/A,#N/A,FALSE,"정공"}</definedName>
    <definedName name="단알기" hidden="1">{#N/A,#N/A,FALSE,"정공"}</definedName>
    <definedName name="단위">#REF!</definedName>
    <definedName name="단위_백만원">#REF!</definedName>
    <definedName name="단위량">#REF!</definedName>
    <definedName name="단조편성표" hidden="1">{#N/A,#N/A,FALSE,"단축1";#N/A,#N/A,FALSE,"단축2";#N/A,#N/A,FALSE,"단축3";#N/A,#N/A,FALSE,"장축";#N/A,#N/A,FALSE,"4WD"}</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hidden="1">{#N/A,#N/A,FALSE,"정공"}</definedName>
    <definedName name="당초손익표" hidden="1">{#N/A,#N/A,FALSE,"정공"}</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hidden="1">{#N/A,#N/A,FALSE,"UNIT";#N/A,#N/A,FALSE,"UNIT";#N/A,#N/A,FALSE,"계정"}</definedName>
    <definedName name="대리님" hidden="1">{#N/A,#N/A,FALSE,"정공"}</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hidden="1">{#N/A,#N/A,FALSE,"정공"}</definedName>
    <definedName name="대상자산">#REF!</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hidden="1">{#N/A,#N/A,FALSE,"1.CRITERIA";#N/A,#N/A,FALSE,"2.IS";#N/A,#N/A,FALSE,"3.BS";#N/A,#N/A,FALSE,"4.PER PL";#N/A,#N/A,FALSE,"5.INVESTMENT";#N/A,#N/A,FALSE,"6.공문";#N/A,#N/A,FALSE,"7.netinvest"}</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hidden="1">{"'전일자'!$A$5:$N$17"}</definedName>
    <definedName name="대전">#REF!</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hidden="1">{#N/A,#N/A,FALSE,"구조1"}</definedName>
    <definedName name="대한" hidden="1">{#N/A,#N/A,FALSE,"UNIT";#N/A,#N/A,FALSE,"UNIT";#N/A,#N/A,FALSE,"계정"}</definedName>
    <definedName name="대회">#REF!</definedName>
    <definedName name="댜러혀">BlankMacro1</definedName>
    <definedName name="댜해ㅜ">BlankMacro1</definedName>
    <definedName name="댜ㅐㅐ허">BlankMacro1</definedName>
    <definedName name="댜ㅑㅓ">BlankMacro1</definedName>
    <definedName name="댜ㅓㅎ">BlankMacro1</definedName>
    <definedName name="댱추">BlankMacro1</definedName>
    <definedName name="더">#REF!</definedName>
    <definedName name="더ㅑㅂ">#REF!</definedName>
    <definedName name="던기차입금" hidden="1">{"'買掛金'!$J$6"}</definedName>
    <definedName name="도" hidden="1">{#N/A,#N/A,FALSE,"1.CRITERIA";#N/A,#N/A,FALSE,"2.IS";#N/A,#N/A,FALSE,"3.BS";#N/A,#N/A,FALSE,"4.PER PL";#N/A,#N/A,FALSE,"5.INVESTMENT";#N/A,#N/A,FALSE,"6.공문";#N/A,#N/A,FALSE,"7.netinvest"}</definedName>
    <definedName name="도급">#REF!</definedName>
    <definedName name="도급예정액">#REF!</definedName>
    <definedName name="도모" hidden="1">{#N/A,#N/A,FALSE,"BS";#N/A,#N/A,FALSE,"PL";#N/A,#N/A,FALSE,"처분";#N/A,#N/A,FALSE,"현금";#N/A,#N/A,FALSE,"매출";#N/A,#N/A,FALSE,"원가";#N/A,#N/A,FALSE,"경영"}</definedName>
    <definedName name="도별" hidden="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hidden="1">{#N/A,#N/A,FALSE,"BS";#N/A,#N/A,FALSE,"PL";#N/A,#N/A,FALSE,"처분";#N/A,#N/A,FALSE,"현금";#N/A,#N/A,FALSE,"매출";#N/A,#N/A,FALSE,"원가";#N/A,#N/A,FALSE,"경영"}</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단풍">#REF!</definedName>
    <definedName name="돌돋소" hidden="1">{#N/A,#N/A,TRUE,"경전'96(1)";#N/A,#N/A,TRUE,"경전'96 (2)"}</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hidden="1">{#N/A,#N/A,FALSE,"1.CRITERIA";#N/A,#N/A,FALSE,"2.IS";#N/A,#N/A,FALSE,"3.BS";#N/A,#N/A,FALSE,"4.PER PL";#N/A,#N/A,FALSE,"5.INVESTMENT";#N/A,#N/A,FALSE,"6.공문";#N/A,#N/A,FALSE,"7.netinvest"}</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hidden="1">{#N/A,#N/A,FALSE,"정공"}</definedName>
    <definedName name="디" hidden="1">{#N/A,#N/A,FALSE,"1.CRITERIA";#N/A,#N/A,FALSE,"2.IS";#N/A,#N/A,FALSE,"3.BS";#N/A,#N/A,FALSE,"4.PER PL";#N/A,#N/A,FALSE,"5.INVESTMENT";#N/A,#N/A,FALSE,"6.공문";#N/A,#N/A,FALSE,"7.netinvest"}</definedName>
    <definedName name="딜레마" hidden="1">{"'Jibu9811 (3)'!$B$1:$J$433"}</definedName>
    <definedName name="또기타">#REF!</definedName>
    <definedName name="ㄹ" hidden="1">{#N/A,#N/A,FALSE,"BS";#N/A,#N/A,FALSE,"PL";#N/A,#N/A,FALSE,"처분";#N/A,#N/A,FALSE,"현금";#N/A,#N/A,FALSE,"매출";#N/A,#N/A,FALSE,"원가";#N/A,#N/A,FALSE,"경영"}</definedName>
    <definedName name="ㄹ2">#REF!</definedName>
    <definedName name="ㄹ403">#REF!</definedName>
    <definedName name="ㄹㄴ" hidden="1">{"'Jibu9811 (3)'!$B$1:$J$433"}</definedName>
    <definedName name="ㄹㄴㄹ" hidden="1">{"'Jibu9811 (3)'!$B$1:$J$433"}</definedName>
    <definedName name="ㄹㄴㅇ" hidden="1">{"'Jibu9811 (3)'!$B$1:$J$433"}</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hidden="1">{"'Jibu9811 (3)'!$B$1:$J$433"}</definedName>
    <definedName name="ㄹㄷ" hidden="1">{#N/A,#N/A,FALSE,"기안지";#N/A,#N/A,FALSE,"통신지"}</definedName>
    <definedName name="ㄹㄷㄱ" hidden="1">{"'Jibu9811 (3)'!$B$1:$J$433"}</definedName>
    <definedName name="ㄹㄷㅈ" hidden="1">{"'Jibu9811 (3)'!$B$1:$J$433"}</definedName>
    <definedName name="ㄹㄷㅈㄹㄹㄹ" hidden="1">#N/A</definedName>
    <definedName name="ㄹㄹ" hidden="1">{#N/A,#N/A,FALSE,"BS";#N/A,#N/A,FALSE,"PL";#N/A,#N/A,FALSE,"처분";#N/A,#N/A,FALSE,"현금";#N/A,#N/A,FALSE,"매출";#N/A,#N/A,FALSE,"원가";#N/A,#N/A,FALSE,"경영"}</definedName>
    <definedName name="ㄹㄹㄴ" hidden="1">{#N/A,#N/A,FALSE,"단축1";#N/A,#N/A,FALSE,"단축2";#N/A,#N/A,FALSE,"단축3";#N/A,#N/A,FALSE,"장축";#N/A,#N/A,FALSE,"4WD"}</definedName>
    <definedName name="ㄹㄹㄹ" hidden="1">{"'Jibu9811 (3)'!$B$1:$J$433"}</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ㄹㄹㄹㄹㄹㄹㄹㄹ" hidden="1">#REF!</definedName>
    <definedName name="ㄹㄹㅇㄹㅇㄴㄹㅇㄴㅇㄴ" hidden="1">#REF!</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hidden="1">{#N/A,#N/A,FALSE,"BS";#N/A,#N/A,FALSE,"PL";#N/A,#N/A,FALSE,"처분";#N/A,#N/A,FALSE,"현금";#N/A,#N/A,FALSE,"매출";#N/A,#N/A,FALSE,"원가";#N/A,#N/A,FALSE,"경영"}</definedName>
    <definedName name="ㄹ러ㅏ허ㅣ">BlankMacro1</definedName>
    <definedName name="ㄹ로ㅓ채패ㅛ해ㅑㅎ" hidden="1">{"'Jibu9811 (3)'!$B$1:$J$433"}</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hidden="1">{"'Jibu9811 (3)'!$B$1:$J$433"}</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hidden="1">{#N/A,#N/A,FALSE,"Sheet1"}</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ㄹ어ㅓ럴"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hidden="1">{#N/A,#N/A,FALSE,"정공"}</definedName>
    <definedName name="랴" hidden="1">{#N/A,#N/A,FALSE,"기안지";#N/A,#N/A,FALSE,"통신지"}</definedName>
    <definedName name="랻">#N/A</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hidden="1">{"'Jibu9811 (3)'!$B$1:$J$433"}</definedName>
    <definedName name="레" hidden="1">{#N/A,#N/A,TRUE,"경전'96(1)";#N/A,#N/A,TRUE,"경전'96 (2)"}</definedName>
    <definedName name="레180">#REF!</definedName>
    <definedName name="레210">#REF!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hidden="1">{#N/A,#N/A,FALSE,"단축1";#N/A,#N/A,FALSE,"단축2";#N/A,#N/A,FALSE,"단축3";#N/A,#N/A,FALSE,"장축";#N/A,#N/A,FALSE,"4WD"}</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hidden="1">{#N/A,#N/A,FALSE,"단축1";#N/A,#N/A,FALSE,"단축2";#N/A,#N/A,FALSE,"단축3";#N/A,#N/A,FALSE,"장축";#N/A,#N/A,FALSE,"4WD"}</definedName>
    <definedName name="류" hidden="1">{#N/A,#N/A,FALSE,"1.CRITERIA";#N/A,#N/A,FALSE,"2.IS";#N/A,#N/A,FALSE,"3.BS";#N/A,#N/A,FALSE,"4.PER PL";#N/A,#N/A,FALSE,"5.INVESTMENT";#N/A,#N/A,FALSE,"6.공문";#N/A,#N/A,FALSE,"7.netinvest"}</definedName>
    <definedName name="리" hidden="1">#REF!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hidden="1">{"'Jibu9811 (3)'!$B$1:$J$433"}</definedName>
    <definedName name="링클라인" hidden="1">{"'Jibu9811 (3)'!$B$1:$J$433"}</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hidden="1">{#N/A,#N/A,FALSE,"UNIT";#N/A,#N/A,FALSE,"UNIT";#N/A,#N/A,FALSE,"계정"}</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hidden="1">{#N/A,#N/A,FALSE,"포장2"}</definedName>
    <definedName name="ㄻㄴ" hidden="1">{#N/A,#N/A,FALSE,"단축1";#N/A,#N/A,FALSE,"단축2";#N/A,#N/A,FALSE,"단축3";#N/A,#N/A,FALSE,"장축";#N/A,#N/A,FALSE,"4WD"}</definedName>
    <definedName name="ㄻ뢀ㄴㄹㄹ" hidden="1">{"'Jibu9811 (3)'!$B$1:$J$433"}</definedName>
    <definedName name="ㄼ호">BlankMacro1</definedName>
    <definedName name="ㅀ" hidden="1">{#N/A,#N/A,TRUE,"토적및재료집계";#N/A,#N/A,TRUE,"토적및재료집계";#N/A,#N/A,TRUE,"단위량"}</definedName>
    <definedName name="ㅀ미리밀ㅎ밈림" hidden="1">{#N/A,#N/A,FALSE,"을지 (4)";#N/A,#N/A,FALSE,"을지 (5)";#N/A,#N/A,FALSE,"을지 (6)"}</definedName>
    <definedName name="ㅀㅅㄱ" hidden="1">{#N/A,#N/A,FALSE,"Sheet6"}</definedName>
    <definedName name="ㅀㅇㄹㄶㅀㄹ" hidden="1">{#N/A,#N/A,FALSE,"UNIT";#N/A,#N/A,FALSE,"UNIT";#N/A,#N/A,FALSE,"계정"}</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{#N/A,#N/A,TRUE,"매출진척-1";#N/A,#N/A,TRUE,"매출진척-2";#N/A,#N/A,TRUE,"제품실적";#N/A,#N/A,TRUE,"RAC";#N/A,#N/A,TRUE,"PAC ";#N/A,#N/A,TRUE,"재고현황";#N/A,#N/A,TRUE,"공지사항"}</definedName>
    <definedName name="ㅁㄴㄴㄴㄴ">#REF!</definedName>
    <definedName name="ㅁㄴㄴㅁ" hidden="1">{#N/A,#N/A,FALSE,"단축1";#N/A,#N/A,FALSE,"단축2";#N/A,#N/A,FALSE,"단축3";#N/A,#N/A,FALSE,"장축";#N/A,#N/A,FALSE,"4WD"}</definedName>
    <definedName name="ㅁㄴ도모" hidden="1">{#N/A,#N/A,TRUE,"경전'96(1)";#N/A,#N/A,TRUE,"경전'96 (2)"}</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hidden="1">{#N/A,#N/A,FALSE,"단축1";#N/A,#N/A,FALSE,"단축2";#N/A,#N/A,FALSE,"단축3";#N/A,#N/A,FALSE,"장축";#N/A,#N/A,FALSE,"4WD"}</definedName>
    <definedName name="ㅁㄴㅁㅇ" hidden="1">#REF!</definedName>
    <definedName name="ㅁㄴㅇ" hidden="1">#REF!</definedName>
    <definedName name="ㅁㄴㅇㄴㅇㄹㄴㅇ" hidden="1">{#N/A,#N/A,FALSE,"단축1";#N/A,#N/A,FALSE,"단축2";#N/A,#N/A,FALSE,"단축3";#N/A,#N/A,FALSE,"장축";#N/A,#N/A,FALSE,"4WD"}</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hidden="1">{"'Jibu9811 (3)'!$B$1:$J$433"}</definedName>
    <definedName name="ㅁㄶㅇㅎㅁ">BlankMacro1</definedName>
    <definedName name="ㅁㄷㅀ">#N/A</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hidden="1">{#N/A,#N/A,FALSE,"UNIT";#N/A,#N/A,FALSE,"UNIT";#N/A,#N/A,FALSE,"계정"}</definedName>
    <definedName name="ㅁㅁㅁㅁ"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hidden="1">{#N/A,#N/A,FALSE,"단축1";#N/A,#N/A,FALSE,"단축2";#N/A,#N/A,FALSE,"단축3";#N/A,#N/A,FALSE,"장축";#N/A,#N/A,FALSE,"4WD"}</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hidden="1">{#N/A,#N/A,FALSE,"단축1";#N/A,#N/A,FALSE,"단축2";#N/A,#N/A,FALSE,"단축3";#N/A,#N/A,FALSE,"장축";#N/A,#N/A,FALSE,"4WD"}</definedName>
    <definedName name="ㅁㅁ심힘ㄴㄹ" hidden="1">{"'Jibu9811 (3)'!$B$1:$J$433"}</definedName>
    <definedName name="ㅁㅂ">#REF!</definedName>
    <definedName name="ㅁㅂㅇㄴㄹ">#N/A</definedName>
    <definedName name="ㅁㅇ" hidden="1">{#N/A,#N/A,FALSE,"단축1";#N/A,#N/A,FALSE,"단축2";#N/A,#N/A,FALSE,"단축3";#N/A,#N/A,FALSE,"장축";#N/A,#N/A,FALSE,"4WD"}</definedName>
    <definedName name="ㅁㅇㄴㄹ" hidden="1">{"SJ - 기본 보기",#N/A,FALSE,"공사별 외주견적"}</definedName>
    <definedName name="ㅁㅇㄹ" hidden="1">{#N/A,#N/A,FALSE,"단축1";#N/A,#N/A,FALSE,"단축2";#N/A,#N/A,FALSE,"단축3";#N/A,#N/A,FALSE,"장축";#N/A,#N/A,FALSE,"4WD"}</definedName>
    <definedName name="ㅁㅎㅁㅎ" hidden="1">{#N/A,#N/A,TRUE,"경전'96(1)";#N/A,#N/A,TRUE,"경전'96 (2)"}</definedName>
    <definedName name="ㅁㅎㅎ" hidden="1">#REF!</definedName>
    <definedName name="ㅁ호ㅗㅎ" hidden="1">{#N/A,#N/A,TRUE,"경전'96(1)";#N/A,#N/A,TRUE,"경전'96 (2)"}</definedName>
    <definedName name="마" hidden="1">{#N/A,#N/A,FALSE,"1.CRITERIA";#N/A,#N/A,FALSE,"2.IS";#N/A,#N/A,FALSE,"3.BS";#N/A,#N/A,FALSE,"4.PER PL";#N/A,#N/A,FALSE,"5.INVESTMENT";#N/A,#N/A,FALSE,"6.공문";#N/A,#N/A,FALSE,"7.netinvest"}</definedName>
    <definedName name="마감" hidden="1">{#N/A,#N/A,TRUE,"Y생산";#N/A,#N/A,TRUE,"Y판매";#N/A,#N/A,TRUE,"Y총물량";#N/A,#N/A,TRUE,"Y능력";#N/A,#N/A,TRUE,"YKD"}</definedName>
    <definedName name="마감공사비A3" hidden="1">#REF!</definedName>
    <definedName name="마마" hidden="1">{#N/A,#N/A,FALSE,"1.CRITERIA";#N/A,#N/A,FALSE,"2.IS";#N/A,#N/A,FALSE,"3.BS";#N/A,#N/A,FALSE,"4.PER PL";#N/A,#N/A,FALSE,"5.INVESTMENT";#N/A,#N/A,FALSE,"6.공문";#N/A,#N/A,FALSE,"7.netinvest"}</definedName>
    <definedName name="마마보이" hidden="1">{#N/A,#N/A,FALSE,"정공"}</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hidden="1">{"'FAX번호'!$A$2:$F$21"}</definedName>
    <definedName name="마산">#REF!</definedName>
    <definedName name="마아" hidden="1">{#N/A,#N/A,FALSE,"1.CRITERIA";#N/A,#N/A,FALSE,"2.IS";#N/A,#N/A,FALSE,"3.BS";#N/A,#N/A,FALSE,"4.PER PL";#N/A,#N/A,FALSE,"5.INVESTMENT";#N/A,#N/A,FALSE,"6.공문";#N/A,#N/A,FALSE,"7.netinvest"}</definedName>
    <definedName name="마음" hidden="1">{"'손익현황'!$A$1:$J$29"}</definedName>
    <definedName name="마지막예산" hidden="1">{#N/A,#N/A,FALSE,"단축1";#N/A,#N/A,FALSE,"단축2";#N/A,#N/A,FALSE,"단축3";#N/A,#N/A,FALSE,"장축";#N/A,#N/A,FALSE,"4WD"}</definedName>
    <definedName name="마케팅" hidden="1">{"'5국공정'!$A$1:$E$128"}</definedName>
    <definedName name="마케팅2" hidden="1">{"'5국공정'!$A$1:$E$128"}</definedName>
    <definedName name="만기보장수익율">#REF!</definedName>
    <definedName name="말">BlankMacro1</definedName>
    <definedName name="말자" hidden="1">{#N/A,#N/A,FALSE,"단축1";#N/A,#N/A,FALSE,"단축2";#N/A,#N/A,FALSE,"단축3";#N/A,#N/A,FALSE,"장축";#N/A,#N/A,FALSE,"4WD"}</definedName>
    <definedName name="망">#REF!</definedName>
    <definedName name="매" hidden="1">{#N/A,#N/A,FALSE,"1.CRITERIA";#N/A,#N/A,FALSE,"2.IS";#N/A,#N/A,FALSE,"3.BS";#N/A,#N/A,FALSE,"4.PER PL";#N/A,#N/A,FALSE,"5.INVESTMENT";#N/A,#N/A,FALSE,"6.공문";#N/A,#N/A,FALSE,"7.netinvest"}</definedName>
    <definedName name="買掛金" hidden="1">{"'買掛金'!$J$6"}</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hidden="1">{#N/A,#N/A,FALSE,"1.CRITERIA";#N/A,#N/A,FALSE,"2.IS";#N/A,#N/A,FALSE,"3.BS";#N/A,#N/A,FALSE,"4.PER PL";#N/A,#N/A,FALSE,"5.INVESTMENT";#N/A,#N/A,FALSE,"6.공문";#N/A,#N/A,FALSE,"7.netinvest"}</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hidden="1">{#N/A,#N/A,FALSE,"BS";#N/A,#N/A,FALSE,"PL";#N/A,#N/A,FALSE,"처분";#N/A,#N/A,FALSE,"현금";#N/A,#N/A,FALSE,"매출";#N/A,#N/A,FALSE,"원가";#N/A,#N/A,FALSE,"경영"}</definedName>
    <definedName name="매출계획" hidden="1">{#N/A,#N/A,FALSE,"UNIT";#N/A,#N/A,FALSE,"UNIT";#N/A,#N/A,FALSE,"계정"}</definedName>
    <definedName name="매출계획2" hidden="1">{"'Sheet1'!$A$1:$H$36"}</definedName>
    <definedName name="매출구분">#REF!</definedName>
    <definedName name="매출금">#REF!</definedName>
    <definedName name="매출기준" hidden="1">{#N/A,#N/A,FALSE,"정공"}</definedName>
    <definedName name="매출및원가">#REF!</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액" hidden="1">#REF!</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hidden="1">{#N/A,#N/A,FALSE,"Aging Summary";#N/A,#N/A,FALSE,"Ratio Analysis";#N/A,#N/A,FALSE,"Test 120 Day Accts";#N/A,#N/A,FALSE,"Tickmarks"}</definedName>
    <definedName name="매출원가사본">#N/A</definedName>
    <definedName name="매출전환손익" hidden="1">{#N/A,#N/A,FALSE,"정공"}</definedName>
    <definedName name="매출조정" hidden="1">{"'Jibu9811 (3)'!$B$1:$J$433"}</definedName>
    <definedName name="매출채권">#REF!</definedName>
    <definedName name="매출채권_1"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hidden="1">{#N/A,#N/A,FALSE,"정공"}</definedName>
    <definedName name="매출추정" hidden="1">{#N/A,#N/A,FALSE,"정공"}</definedName>
    <definedName name="매크로3">#REF!</definedName>
    <definedName name="맥문동">#REF!</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hidden="1">{#N/A,#N/A,FALSE,"1.CRITERIA";#N/A,#N/A,FALSE,"2.IS";#N/A,#N/A,FALSE,"3.BS";#N/A,#N/A,FALSE,"4.PER PL";#N/A,#N/A,FALSE,"5.INVESTMENT";#N/A,#N/A,FALSE,"6.공문";#N/A,#N/A,FALSE,"7.netinvest"}</definedName>
    <definedName name="머지">#REF!</definedName>
    <definedName name="머ㅏㅑㄷ">BlankMacro1</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hidden="1">{#N/A,#N/A,FALSE,"정공"}</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hidden="1">{#N/A,#N/A,FALSE,"BS";#N/A,#N/A,FALSE,"PL";#N/A,#N/A,FALSE,"처분";#N/A,#N/A,FALSE,"현금";#N/A,#N/A,FALSE,"매출";#N/A,#N/A,FALSE,"원가";#N/A,#N/A,FALSE,"경영"}</definedName>
    <definedName name="모야_1" hidden="1">{#N/A,#N/A,FALSE,"BS";#N/A,#N/A,FALSE,"PL";#N/A,#N/A,FALSE,"처분";#N/A,#N/A,FALSE,"현금";#N/A,#N/A,FALSE,"매출";#N/A,#N/A,FALSE,"원가";#N/A,#N/A,FALSE,"경영"}</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BLCH</definedName>
    <definedName name="목공">#REF!</definedName>
    <definedName name="목도공">#REF!</definedName>
    <definedName name="목돈입력">#REF!</definedName>
    <definedName name="목동현대">BLCH</definedName>
    <definedName name="목록">OFFSET(#REF!,0,0,COUNTA(#REF!),1)</definedName>
    <definedName name="목백합">#REF!</definedName>
    <definedName name="목차" hidden="1">{#N/A,#N/A,FALSE,"단축1";#N/A,#N/A,FALSE,"단축2";#N/A,#N/A,FALSE,"단축3";#N/A,#N/A,FALSE,"장축";#N/A,#N/A,FALSE,"4WD"}</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hidden="1">{#N/A,#N/A,FALSE,"정공"}</definedName>
    <definedName name="목포">#REF!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hidden="1">{#N/A,#N/A,FALSE,"표지목차"}</definedName>
    <definedName name="몰">BlankMacro1</definedName>
    <definedName name="몰라" hidden="1">{#N/A,#N/A,FALSE,"정공"}</definedName>
    <definedName name="몰랄ㄹ" hidden="1">{#N/A,#N/A,FALSE,"초중조사서식 "}</definedName>
    <definedName name="뫌" hidden="1">{#N/A,#N/A,FALSE,"1.CRITERIA";#N/A,#N/A,FALSE,"2.IS";#N/A,#N/A,FALSE,"3.BS";#N/A,#N/A,FALSE,"4.PER PL";#N/A,#N/A,FALSE,"5.INVESTMENT";#N/A,#N/A,FALSE,"6.공문";#N/A,#N/A,FALSE,"7.netinvest"}</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hidden="1">{#N/A,#N/A,FALSE,"1.CRITERIA";#N/A,#N/A,FALSE,"2.IS";#N/A,#N/A,FALSE,"3.BS";#N/A,#N/A,FALSE,"4.PER PL";#N/A,#N/A,FALSE,"5.INVESTMENT";#N/A,#N/A,FALSE,"6.공문";#N/A,#N/A,FALSE,"7.netinvest"}</definedName>
    <definedName name="무선안테나공">#REF!</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hidden="1">{#N/A,#N/A,FALSE,"Aging Summary";#N/A,#N/A,FALSE,"Ratio Analysis";#N/A,#N/A,FALSE,"Test 120 Day Accts";#N/A,#N/A,FALSE,"Tickmarks"}</definedName>
    <definedName name="문서의_처음">#N/A</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hidden="1">{#N/A,#N/A,FALSE,"단축1";#N/A,#N/A,FALSE,"단축2";#N/A,#N/A,FALSE,"단축3";#N/A,#N/A,FALSE,"장축";#N/A,#N/A,FALSE,"4WD"}</definedName>
    <definedName name="문제점" hidden="1">{"'Jibu9811 (3)'!$B$1:$J$433"}</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물자" hidden="1">#REF!</definedName>
    <definedName name="뭐">#REF!</definedName>
    <definedName name="뭐가이태원이야" hidden="1">{#N/A,#N/A,FALSE,"이태원철근"}</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hidden="1">{#N/A,#N/A,FALSE,"기술료 비교"}</definedName>
    <definedName name="뮤629">#REF!</definedName>
    <definedName name="뮤뮤" hidden="1">{#N/A,#N/A,FALSE,"1.CRITERIA";#N/A,#N/A,FALSE,"2.IS";#N/A,#N/A,FALSE,"3.BS";#N/A,#N/A,FALSE,"4.PER PL";#N/A,#N/A,FALSE,"5.INVESTMENT";#N/A,#N/A,FALSE,"6.공문";#N/A,#N/A,FALSE,"7.netinvest"}</definedName>
    <definedName name="므" hidden="1">{#N/A,#N/A,TRUE,"일정"}</definedName>
    <definedName name="미" hidden="1">{#N/A,#N/A,TRUE,"일정"}</definedName>
    <definedName name="미금" hidden="1">#REF!</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hidden="1">{#N/A,#N/A,FALSE,"정공"}</definedName>
    <definedName name="未払" hidden="1">{"'買掛金'!$J$6"}</definedName>
    <definedName name="未払金" hidden="1">{"'買掛金'!$J$6"}</definedName>
    <definedName name="미석" hidden="1">{#N/A,#N/A,FALSE,"정공"}</definedName>
    <definedName name="미수" hidden="1">{#N/A,#N/A,FALSE,"계약직(여)"}</definedName>
    <definedName name="미수금" hidden="1">#REF!</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hidden="1">{"'FAX번호'!$A$2:$F$21"}</definedName>
    <definedName name="미일초등">#REF!</definedName>
    <definedName name="미지" hidden="1">{#N/A,#N/A,FALSE,"UNIT";#N/A,#N/A,FALSE,"UNIT";#N/A,#N/A,FALSE,"계정"}</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hidden="1">{"'보고양식'!$A$58:$K$111"}</definedName>
    <definedName name="미지급분쟁">#REF!</definedName>
    <definedName name="미지급분쟁대상">#REF!</definedName>
    <definedName name="미지급분쟁무">#REF!</definedName>
    <definedName name="미지급브">BlankMacro1</definedName>
    <definedName name="미지급비용" hidden="1">{#N/A,#N/A,FALSE,"1.CRITERIA";#N/A,#N/A,FALSE,"2.IS";#N/A,#N/A,FALSE,"3.BS";#N/A,#N/A,FALSE,"4.PER PL";#N/A,#N/A,FALSE,"5.INVESTMENT";#N/A,#N/A,FALSE,"6.공문";#N/A,#N/A,FALSE,"7.netinvest"}</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hidden="1">{#N/A,#N/A,FALSE,"계약직(여)"}</definedName>
    <definedName name="미지급이자" hidden="1">{"FORM17",#N/A,FALSE,"Commission1";"FORM17.1",#N/A,FALSE,"Commission2"}</definedName>
    <definedName name="미지급이자분쟁무">#REF!</definedName>
    <definedName name="미지비용">#REF!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hidden="1">{#N/A,#N/A,FALSE,"9612"}</definedName>
    <definedName name="미ㅣ하ㅣ미ㅣㅣㄴ" hidden="1">{"'Jibu9811 (3)'!$B$1:$J$433"}</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밀" hidden="1">{#N/A,#N/A,TRUE,"경전'96(1)";#N/A,#N/A,TRUE,"경전'96 (2)"}</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hidden="1">{#N/A,#N/A,TRUE,"경전'96(1)";#N/A,#N/A,TRUE,"경전'96 (2)"}</definedName>
    <definedName name="ㅂ3ㄱ"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hidden="1">{"'Jibu9811 (3)'!$B$1:$J$433"}</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hidden="1">{#N/A,#N/A,FALSE,"단축1";#N/A,#N/A,FALSE,"단축2";#N/A,#N/A,FALSE,"단축3";#N/A,#N/A,FALSE,"장축";#N/A,#N/A,FALSE,"4WD"}</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hidden="1">{#N/A,#N/A,TRUE,"일정"}</definedName>
    <definedName name="ㅂㅂㅂㅂ" hidden="1">#REF!</definedName>
    <definedName name="ㅂㅂㅂㅂㅂㅂ">#REF!</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hidden="1">{#N/A,#N/A,FALSE,"단축1";#N/A,#N/A,FALSE,"단축2";#N/A,#N/A,FALSE,"단축3";#N/A,#N/A,FALSE,"장축";#N/A,#N/A,FALSE,"4WD"}</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hidden="1">{#N/A,#N/A,FALSE,"UNIT";#N/A,#N/A,FALSE,"UNIT";#N/A,#N/A,FALSE,"계정"}</definedName>
    <definedName name="ㅂㅈㄷㅂㅈㄷ" hidden="1">#REF!</definedName>
    <definedName name="ㅂㅈㄷㅈㄷ" hidden="1">{#N/A,#N/A,FALSE,"단축1";#N/A,#N/A,FALSE,"단축2";#N/A,#N/A,FALSE,"단축3";#N/A,#N/A,FALSE,"장축";#N/A,#N/A,FALSE,"4WD"}</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hidden="1">{"'Jibu9811 (3)'!$B$1:$J$433"}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hidden="1">{#N/A,#N/A,FALSE,"정공"}</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보" hidden="1">{#N/A,#N/A,FALSE,"정공"}</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BlankMacro1</definedName>
    <definedName name="박" hidden="1">{#N/A,#N/A,FALSE,"1.CRITERIA";#N/A,#N/A,FALSE,"2.IS";#N/A,#N/A,FALSE,"3.BS";#N/A,#N/A,FALSE,"4.PER PL";#N/A,#N/A,FALSE,"5.INVESTMENT";#N/A,#N/A,FALSE,"6.공문";#N/A,#N/A,FALSE,"7.netinvest"}</definedName>
    <definedName name="박남규"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Dlog_Show</definedName>
    <definedName name="박인철" hidden="1">{#N/A,#N/A,FALSE,"변경관리예산";#N/A,#N/A,FALSE,"변경장비예산";#N/A,#N/A,FALSE,"변경준설예산";#N/A,#N/A,FALSE,"변경철구예산"}</definedName>
    <definedName name="박재영" hidden="1">#REF!</definedName>
    <definedName name="박진만" hidden="1">{#N/A,#N/A,FALSE,"단축1";#N/A,#N/A,FALSE,"단축2";#N/A,#N/A,FALSE,"단축3";#N/A,#N/A,FALSE,"장축";#N/A,#N/A,FALSE,"4WD"}</definedName>
    <definedName name="박태기">#REF!</definedName>
    <definedName name="반">#REF!</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hidden="1">{#N/A,#N/A,TRUE,"Y생산";#N/A,#N/A,TRUE,"Y판매";#N/A,#N/A,TRUE,"Y총물량";#N/A,#N/A,TRUE,"Y능력";#N/A,#N/A,TRUE,"YKD"}</definedName>
    <definedName name="받을어음">#REF!</definedName>
    <definedName name="발" hidden="1">{#N/A,#N/A,FALSE,"1.CRITERIA";#N/A,#N/A,FALSE,"2.IS";#N/A,#N/A,FALSE,"3.BS";#N/A,#N/A,FALSE,"4.PER PL";#N/A,#N/A,FALSE,"5.INVESTMENT";#N/A,#N/A,FALSE,"6.공문";#N/A,#N/A,FALSE,"7.netinvest"}</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hidden="1">{#N/A,#N/A,FALSE,"단축1";#N/A,#N/A,FALSE,"단축2";#N/A,#N/A,FALSE,"단축3";#N/A,#N/A,FALSE,"장축";#N/A,#N/A,FALSE,"4WD"}</definedName>
    <definedName name="방진고무" hidden="1">{#N/A,#N/A,FALSE,"단축1";#N/A,#N/A,FALSE,"단축2";#N/A,#N/A,FALSE,"단축3";#N/A,#N/A,FALSE,"장축";#N/A,#N/A,FALSE,"4WD"}</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hidden="1">{"'미착금액'!$A$4:$G$14"}</definedName>
    <definedName name="배부" hidden="1">{#N/A,#N/A,FALSE,"지침";#N/A,#N/A,FALSE,"환경분석";#N/A,#N/A,FALSE,"Sheet16"}</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hidden="1">{#N/A,#N/A,FALSE,"지침";#N/A,#N/A,FALSE,"환경분석";#N/A,#N/A,FALSE,"Sheet16"}</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hidden="1">{#N/A,#N/A,FALSE,"BS";#N/A,#N/A,FALSE,"PL";#N/A,#N/A,FALSE,"처분";#N/A,#N/A,FALSE,"현금";#N/A,#N/A,FALSE,"매출";#N/A,#N/A,FALSE,"원가";#N/A,#N/A,FALSE,"경영"}</definedName>
    <definedName name="법인세율">#REF!</definedName>
    <definedName name="법인세주석사항정리" hidden="1">{#N/A,#N/A,FALSE,"UNIT";#N/A,#N/A,FALSE,"UNIT";#N/A,#N/A,FALSE,"계정"}</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베" hidden="1">{#N/A,#N/A,FALSE,"1.CRITERIA";#N/A,#N/A,FALSE,"2.IS";#N/A,#N/A,FALSE,"3.BS";#N/A,#N/A,FALSE,"4.PER PL";#N/A,#N/A,FALSE,"5.INVESTMENT";#N/A,#N/A,FALSE,"6.공문";#N/A,#N/A,FALSE,"7.netinvest"}</definedName>
    <definedName name="변간접노무비">#REF!</definedName>
    <definedName name="변경2" hidden="1">{"'Jibu9811 (3)'!$B$1:$J$433"}</definedName>
    <definedName name="변경개요1">#REF!</definedName>
    <definedName name="변경개요2">#REF!</definedName>
    <definedName name="변경개요3">#REF!</definedName>
    <definedName name="변경개요4">#REF!</definedName>
    <definedName name="변경건" hidden="1">{"'Jibu9811 (3)'!$B$1:$J$433"}</definedName>
    <definedName name="변경공사원가">#REF!</definedName>
    <definedName name="변경내역서갑지">#REF!</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hidden="1">{#N/A,#N/A,FALSE,"단축1";#N/A,#N/A,FALSE,"단축2";#N/A,#N/A,FALSE,"단축3";#N/A,#N/A,FALSE,"장축";#N/A,#N/A,FALSE,"4WD"}</definedName>
    <definedName name="별지_제6_2호_서식">#REF!</definedName>
    <definedName name="별지_제6_3_2_호_서식">#REF!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hidden="1">{"'Price List '!$A$1:$R$156"}</definedName>
    <definedName name="별첨퇴직" hidden="1">{"'매출이익'!$A$24:$K$45"}</definedName>
    <definedName name="별퇴직급여" hidden="1">{"'매출이익'!$A$24:$K$45"}</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hidden="1">{#N/A,#N/A,FALSE,"1.CRITERIA";#N/A,#N/A,FALSE,"2.IS";#N/A,#N/A,FALSE,"3.BS";#N/A,#N/A,FALSE,"4.PER PL";#N/A,#N/A,FALSE,"5.INVESTMENT";#N/A,#N/A,FALSE,"6.공문";#N/A,#N/A,FALSE,"7.netinvest"}</definedName>
    <definedName name="보고" hidden="1">{#N/A,#N/A,FALSE,"UNIT";#N/A,#N/A,FALSE,"UNIT";#N/A,#N/A,FALSE,"계정"}</definedName>
    <definedName name="보고1" hidden="1">{#N/A,#N/A,FALSE,"단축1";#N/A,#N/A,FALSE,"단축2";#N/A,#N/A,FALSE,"단축3";#N/A,#N/A,FALSE,"장축";#N/A,#N/A,FALSE,"4WD"}</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hidden="1">{#N/A,#N/A,FALSE,"UNIT";#N/A,#N/A,FALSE,"UNIT";#N/A,#N/A,FALSE,"계정"}</definedName>
    <definedName name="보고서1" hidden="1">{#N/A,#N/A,FALSE,"단축1";#N/A,#N/A,FALSE,"단축2";#N/A,#N/A,FALSE,"단축3";#N/A,#N/A,FALSE,"장축";#N/A,#N/A,FALSE,"4WD"}</definedName>
    <definedName name="보고서CF">#REF!</definedName>
    <definedName name="보고서표지">#REF!</definedName>
    <definedName name="보고용">BlankMacro1</definedName>
    <definedName name="보관1">#REF!</definedName>
    <definedName name="보관2">#REF!</definedName>
    <definedName name="보라차" hidden="1">{#N/A,#N/A,FALSE,"1.CRITERIA";#N/A,#N/A,FALSE,"2.IS";#N/A,#N/A,FALSE,"3.BS";#N/A,#N/A,FALSE,"4.PER PL";#N/A,#N/A,FALSE,"5.INVESTMENT";#N/A,#N/A,FALSE,"6.공문";#N/A,#N/A,FALSE,"7.netinvest"}</definedName>
    <definedName name="보립">#REF!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hidden="1">{#N/A,#N/A,FALSE,"1.CRITERIA";#N/A,#N/A,FALSE,"2.IS";#N/A,#N/A,FALSE,"3.BS";#N/A,#N/A,FALSE,"4.PER PL";#N/A,#N/A,FALSE,"5.INVESTMENT";#N/A,#N/A,FALSE,"6.공문";#N/A,#N/A,FALSE,"7.netinvest"}</definedName>
    <definedName name="보온">#REF!</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hidden="1">{#N/A,#N/A,FALSE,"1.CRITERIA";#N/A,#N/A,FALSE,"2.IS";#N/A,#N/A,FALSE,"3.BS";#N/A,#N/A,FALSE,"4.PER PL";#N/A,#N/A,FALSE,"5.INVESTMENT";#N/A,#N/A,FALSE,"6.공문";#N/A,#N/A,FALSE,"7.netinvest"}</definedName>
    <definedName name="볼라" hidden="1">#REF!</definedName>
    <definedName name="볼트수정" hidden="1">{#N/A,#N/A,FALSE,"단축1";#N/A,#N/A,FALSE,"단축2";#N/A,#N/A,FALSE,"단축3";#N/A,#N/A,FALSE,"장축";#N/A,#N/A,FALSE,"4WD"}</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hidden="1">{#N/A,#N/A,FALSE,"1.CRITERIA";#N/A,#N/A,FALSE,"2.IS";#N/A,#N/A,FALSE,"3.BS";#N/A,#N/A,FALSE,"4.PER PL";#N/A,#N/A,FALSE,"5.INVESTMENT";#N/A,#N/A,FALSE,"6.공문";#N/A,#N/A,FALSE,"7.netinvest"}</definedName>
    <definedName name="부가가치세">#REF!</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hidden="1">{#N/A,#N/A,FALSE,"골재소요량";#N/A,#N/A,FALSE,"골재소요량"}</definedName>
    <definedName name="부대내역비교">#REF!</definedName>
    <definedName name="부대방안" hidden="1">{#N/A,#N/A,FALSE,"단가표지"}</definedName>
    <definedName name="부대사항">#REF!</definedName>
    <definedName name="부대원본" hidden="1">{#N/A,#N/A,FALSE,"토공2"}</definedName>
    <definedName name="부대입찰서류작성" hidden="1">#REF!</definedName>
    <definedName name="부대입찰잡비">Dlog_Show</definedName>
    <definedName name="부대토목">#REF!</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Dlog_Show</definedName>
    <definedName name="부품문제" hidden="1">{#N/A,#N/A,FALSE,"단축1";#N/A,#N/A,FALSE,"단축2";#N/A,#N/A,FALSE,"단축3";#N/A,#N/A,FALSE,"장축";#N/A,#N/A,FALSE,"4WD"}</definedName>
    <definedName name="북부">#REF!</definedName>
    <definedName name="분" hidden="1">{#N/A,#N/A,FALSE,"이태원철근"}</definedName>
    <definedName name="분개및수수료계상">#REF!</definedName>
    <definedName name="분기" hidden="1">{"'Jibu9811 (3)'!$B$1:$J$433"}</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hidden="1">{#N/A,#N/A,FALSE,"BS";#N/A,#N/A,FALSE,"PL";#N/A,#N/A,FALSE,"처분";#N/A,#N/A,FALSE,"현금";#N/A,#N/A,FALSE,"매출";#N/A,#N/A,FALSE,"원가";#N/A,#N/A,FALSE,"경영"}</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BlankMacro1</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hidden="1">{#N/A,#N/A,FALSE,"1.CRITERIA";#N/A,#N/A,FALSE,"2.IS";#N/A,#N/A,FALSE,"3.BS";#N/A,#N/A,FALSE,"4.PER PL";#N/A,#N/A,FALSE,"5.INVESTMENT";#N/A,#N/A,FALSE,"6.공문";#N/A,#N/A,FALSE,"7.netinvest"}</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hidden="1">{#N/A,#N/A,FALSE,"단축1";#N/A,#N/A,FALSE,"단축2";#N/A,#N/A,FALSE,"단축3";#N/A,#N/A,FALSE,"장축";#N/A,#N/A,FALSE,"4WD"}</definedName>
    <definedName name="빈양식" hidden="1">{#N/A,#N/A,FALSE,"CCTV"}</definedName>
    <definedName name="빙수" hidden="1">{#N/A,#N/A,FALSE,"1.CRITERIA";#N/A,#N/A,FALSE,"2.IS";#N/A,#N/A,FALSE,"3.BS";#N/A,#N/A,FALSE,"4.PER PL";#N/A,#N/A,FALSE,"5.INVESTMENT";#N/A,#N/A,FALSE,"6.공문";#N/A,#N/A,FALSE,"7.netinvest"}</definedName>
    <definedName name="뽀뽀뽀" hidden="1">{#N/A,#N/A,FALSE,"Aging Summary";#N/A,#N/A,FALSE,"Ratio Analysis";#N/A,#N/A,FALSE,"Test 120 Day Accts";#N/A,#N/A,FALSE,"Tickmarks"}</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hidden="1">{#N/A,#N/A,FALSE,"Sheet6"}</definedName>
    <definedName name="ㅅ건거">#N/A</definedName>
    <definedName name="ㅅ곣ㅈ궈ㅕ" hidden="1">#REF!</definedName>
    <definedName name="ㅅ곳ㄷㄴ">#N/A</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ㄷ">BlankMacro1</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{#N/A,#N/A,FALSE,"단축1";#N/A,#N/A,FALSE,"단축2";#N/A,#N/A,FALSE,"단축3";#N/A,#N/A,FALSE,"장축";#N/A,#N/A,FALSE,"4WD"}</definedName>
    <definedName name="ㅅㅅㅅ" hidden="1">{"'손익현황'!$A$1:$J$29"}</definedName>
    <definedName name="ㅅㅅㅅ_1" hidden="1">{"'손익현황'!$A$1:$J$29"}</definedName>
    <definedName name="ㅅㅅㅅㅅ" hidden="1">{#N/A,#N/A,FALSE,"UNIT";#N/A,#N/A,FALSE,"UNIT";#N/A,#N/A,FALSE,"계정"}</definedName>
    <definedName name="ㅅㅅㅅㅅㅅ" hidden="1">{#N/A,#N/A,FALSE,"1.CRITERIA";#N/A,#N/A,FALSE,"2.IS";#N/A,#N/A,FALSE,"3.BS";#N/A,#N/A,FALSE,"4.PER PL";#N/A,#N/A,FALSE,"5.INVESTMENT";#N/A,#N/A,FALSE,"6.공문";#N/A,#N/A,FALSE,"7.netinvest"}</definedName>
    <definedName name="ㅅㅅㅅㅅㅅㅅㅅ" hidden="1">{#N/A,#N/A,FALSE,"UNIT";#N/A,#N/A,FALSE,"UNIT";#N/A,#N/A,FALSE,"계정"}</definedName>
    <definedName name="ㅅ언">#N/A</definedName>
    <definedName name="ㅅ엇ㅇ">#N/A</definedName>
    <definedName name="ㅅㅎㅎ" hidden="1">{"'Jibu9811 (3)'!$B$1:$J$433"}</definedName>
    <definedName name="ㅅㅓ" hidden="1">#REF!</definedName>
    <definedName name="사" hidden="1">#REF!</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hidden="1">{#N/A,#N/A,FALSE,"정공"}</definedName>
    <definedName name="사람" hidden="1">{#N/A,#N/A,FALSE,"BS";#N/A,#N/A,FALSE,"PL";#N/A,#N/A,FALSE,"처분";#N/A,#N/A,FALSE,"현금";#N/A,#N/A,FALSE,"매출";#N/A,#N/A,FALSE,"원가";#N/A,#N/A,FALSE,"경영"}</definedName>
    <definedName name="사람이야" hidden="1">{#N/A,#N/A,FALSE,"정공"}</definedName>
    <definedName name="사랑" hidden="1">{#N/A,#N/A,TRUE,"경전'96(1)";#N/A,#N/A,TRUE,"경전'96 (2)"}</definedName>
    <definedName name="사랑하오" hidden="1">{#N/A,#N/A,FALSE,"정공"}</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hidden="1">{#N/A,#N/A,FALSE,"정공"}</definedName>
    <definedName name="사소" hidden="1">{#N/A,#N/A,FALSE,"BS";#N/A,#N/A,FALSE,"PL";#N/A,#N/A,FALSE,"처분";#N/A,#N/A,FALSE,"현금";#N/A,#N/A,FALSE,"매출";#N/A,#N/A,FALSE,"원가";#N/A,#N/A,FALSE,"경영"}</definedName>
    <definedName name="사양안" hidden="1">{#N/A,#N/A,FALSE,"단축1";#N/A,#N/A,FALSE,"단축2";#N/A,#N/A,FALSE,"단축3";#N/A,#N/A,FALSE,"장축";#N/A,#N/A,FALSE,"4WD"}</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hidden="1">{#N/A,#N/A,FALSE,"기술료 비교"}</definedName>
    <definedName name="사업별">#REF!</definedName>
    <definedName name="사업별실적입력">#REF!</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hidden="1">{#N/A,#N/A,FALSE,"정공"}</definedName>
    <definedName name="사업자등록번호">#REF!</definedName>
    <definedName name="사업장소재지">#REF!</definedName>
    <definedName name="사업추진" hidden="1">{#N/A,#N/A,FALSE,"정공"}</definedName>
    <definedName name="사업활성" hidden="1">{#N/A,#N/A,FALSE,"UNIT";#N/A,#N/A,FALSE,"UNIT";#N/A,#N/A,FALSE,"계정"}</definedName>
    <definedName name="사원">#REF!</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hidden="1">{#N/A,#N/A,FALSE,"BS";#N/A,#N/A,FALSE,"PL";#N/A,#N/A,FALSE,"처분";#N/A,#N/A,FALSE,"현금";#N/A,#N/A,FALSE,"매출";#N/A,#N/A,FALSE,"원가";#N/A,#N/A,FALSE,"경영"}</definedName>
    <definedName name="사채" hidden="1">#REF!</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hidden="1">{#N/A,#N/A,FALSE,"정공"}</definedName>
    <definedName name="삼성2" hidden="1">{#N/A,#N/A,FALSE,"정공"}</definedName>
    <definedName name="삽" hidden="1">{#N/A,#N/A,FALSE,"Sheet6"}</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로허호" hidden="1">{#N/A,#N/A,FALSE,"정공"}</definedName>
    <definedName name="상미">#REF!</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hidden="1">{"'Jibu9811 (3)'!$B$1:$J$433"}</definedName>
    <definedName name="상품" hidden="1">#REF!</definedName>
    <definedName name="상품매출">#REF!</definedName>
    <definedName name="상품매출1">#REF!</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hidden="1">{#N/A,#N/A,FALSE,"단축1";#N/A,#N/A,FALSE,"단축2";#N/A,#N/A,FALSE,"단축3";#N/A,#N/A,FALSE,"장축";#N/A,#N/A,FALSE,"4WD"}</definedName>
    <definedName name="상한금액조정">OFFSET(#REF!,,,COUNTA(#REF!), COUNTA(#REF!))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로운" hidden="1">{#N/A,#N/A,FALSE,"단축1";#N/A,#N/A,FALSE,"단축2";#N/A,#N/A,FALSE,"단축3";#N/A,#N/A,FALSE,"장축";#N/A,#N/A,FALSE,"4WD"}</definedName>
    <definedName name="새로운미지급"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hidden="1">{#N/A,#N/A,FALSE,"UNIT";#N/A,#N/A,FALSE,"UNIT";#N/A,#N/A,FALSE,"계정"}</definedName>
    <definedName name="새로운폼" hidden="1">#REF!</definedName>
    <definedName name="새로이" hidden="1">{"'Jibu9811 (3)'!$B$1:$J$433"}</definedName>
    <definedName name="새새샛" hidden="1">{"'미착금액'!$A$4:$G$14"}</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hidden="1">{#N/A,#N/A,FALSE,"Aging Summary";#N/A,#N/A,FALSE,"Ratio Analysis";#N/A,#N/A,FALSE,"Test 120 Day Accts";#N/A,#N/A,FALSE,"Tickmarks"}</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{#N/A,#N/A,FALSE,"단축1";#N/A,#N/A,FALSE,"단축2";#N/A,#N/A,FALSE,"단축3";#N/A,#N/A,FALSE,"장축";#N/A,#N/A,FALSE,"4WD"}</definedName>
    <definedName name="생산성1">#REF!</definedName>
    <definedName name="생산성2">#REF!,#REF!</definedName>
    <definedName name="생산손익" hidden="1">{#N/A,#N/A,FALSE,"정공"}</definedName>
    <definedName name="생산실적">{"XG6PR2"}</definedName>
    <definedName name="생산실적2">{"XG6PR2"}</definedName>
    <definedName name="생산재고" hidden="1">{#N/A,#N/A,FALSE,"Aging Summary";#N/A,#N/A,FALSE,"Ratio Analysis";#N/A,#N/A,FALSE,"Test 120 Day Accts";#N/A,#N/A,FALSE,"Tickmarks"}</definedName>
    <definedName name="생산품목" hidden="1">{#N/A,#N/A,FALSE,"정공"}</definedName>
    <definedName name="샤워">#REF!</definedName>
    <definedName name="서" hidden="1">#REF!</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hidden="1">{#N/A,#N/A,FALSE,"1.CRITERIA";#N/A,#N/A,FALSE,"2.IS";#N/A,#N/A,FALSE,"3.BS";#N/A,#N/A,FALSE,"4.PER PL";#N/A,#N/A,FALSE,"5.INVESTMENT";#N/A,#N/A,FALSE,"6.공문";#N/A,#N/A,FALSE,"7.netinvest"}</definedName>
    <definedName name="석공">#REF!</definedName>
    <definedName name="석빈" hidden="1">{#N/A,#N/A,FALSE,"단축1";#N/A,#N/A,FALSE,"단축2";#N/A,#N/A,FALSE,"단축3";#N/A,#N/A,FALSE,"장축";#N/A,#N/A,FALSE,"4WD"}</definedName>
    <definedName name="석희" hidden="1">#REF!</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hidden="1">{#N/A,#N/A,FALSE,"1.CRITERIA";#N/A,#N/A,FALSE,"2.IS";#N/A,#N/A,FALSE,"3.BS";#N/A,#N/A,FALSE,"4.PER PL";#N/A,#N/A,FALSE,"5.INVESTMENT";#N/A,#N/A,FALSE,"6.공문";#N/A,#N/A,FALSE,"7.netinvest"}</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hidden="1">{"FORM17",#N/A,FALSE,"Commission1";"FORM17.1",#N/A,FALSE,"Commission2"}</definedName>
    <definedName name="선급이자계상" hidden="1">{"FORM1",#N/A,FALSE,"Revenue";"FORMTR",#N/A,FALSE,"Revenue";"FORM3.1",#N/A,FALSE,"Revenue"}</definedName>
    <definedName name="선납관세" hidden="1">{#N/A,#N/A,FALSE,"BS";#N/A,#N/A,FALSE,"PL";#N/A,#N/A,FALSE,"처분";#N/A,#N/A,FALSE,"현금";#N/A,#N/A,FALSE,"매출";#N/A,#N/A,FALSE,"원가";#N/A,#N/A,FALSE,"경영"}</definedName>
    <definedName name="선수금" hidden="1">#REF!</definedName>
    <definedName name="선택">#REF!</definedName>
    <definedName name="설" hidden="1">{#N/A,#N/A,TRUE,"총괄"}</definedName>
    <definedName name="설계">#N/A</definedName>
    <definedName name="설계2팀" hidden="1">{#N/A,#N/A,FALSE,"UNIT";#N/A,#N/A,FALSE,"UNIT";#N/A,#N/A,FALSE,"계정"}</definedName>
    <definedName name="설계가">#REF!</definedName>
    <definedName name="설계배포" hidden="1">{#N/A,#N/A,FALSE,"삼진정공";#N/A,#N/A,FALSE,"영신금속";#N/A,#N/A,FALSE,"태양금속";#N/A,#N/A,FALSE,"진합정공";#N/A,#N/A,FALSE,"코리아";#N/A,#N/A,FALSE,"풍강금속";#N/A,#N/A,FALSE,"선일기계"}</definedName>
    <definedName name="설계지침수정중" hidden="1">{#N/A,#N/A,FALSE,"단축1";#N/A,#N/A,FALSE,"단축2";#N/A,#N/A,FALSE,"단축3";#N/A,#N/A,FALSE,"장축";#N/A,#N/A,FALSE,"4WD"}</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비물량">#REF!</definedName>
    <definedName name="설비절감방안" hidden="1">{#N/A,#N/A,FALSE,"단축1";#N/A,#N/A,FALSE,"단축2";#N/A,#N/A,FALSE,"단축3";#N/A,#N/A,FALSE,"장축";#N/A,#N/A,FALSE,"4WD"}</definedName>
    <definedName name="설비투자" hidden="1">{#N/A,#N/A,FALSE,"정공"}</definedName>
    <definedName name="설설" hidden="1">{#N/A,#N/A,FALSE,"단축1";#N/A,#N/A,FALSE,"단축2";#N/A,#N/A,FALSE,"단축3";#N/A,#N/A,FALSE,"장축";#N/A,#N/A,FALSE,"4WD"}</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hidden="1">{#N/A,#N/A,FALSE,"초중조사서식 "}</definedName>
    <definedName name="설치간재">#REF!</definedName>
    <definedName name="설치누계">#N/A</definedName>
    <definedName name="설치직노">#REF!</definedName>
    <definedName name="설치직재">#REF!</definedName>
    <definedName name="성" hidden="1">{#N/A,#N/A,FALSE,"UNIT";#N/A,#N/A,FALSE,"UNIT";#N/A,#N/A,FALSE,"계정"}</definedName>
    <definedName name="성남" hidden="1">{"'Jibu9811 (3)'!$B$1:$J$433"}</definedName>
    <definedName name="성명">OFFSET(#REF!,0,0,COUNTA(#REF!),1)</definedName>
    <definedName name="성적">#REF!</definedName>
    <definedName name="성지안분" hidden="1">{"'Jibu9811 (3)'!$B$1:$J$433"}</definedName>
    <definedName name="성형동소방">#REF!</definedName>
    <definedName name="세목테이블">#REF!</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hidden="1">{"'Jibu9811 (3)'!$B$1:$J$433"}</definedName>
    <definedName name="세부근거" hidden="1">{"'Jibu9811 (3)'!$B$1:$J$433"}</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hidden="1">{#N/A,#N/A,FALSE,"UNIT";#N/A,#N/A,FALSE,"UNIT";#N/A,#N/A,FALSE,"계정"}</definedName>
    <definedName name="소득금액2000" hidden="1">{#N/A,#N/A,FALSE,"UNIT";#N/A,#N/A,FALSE,"UNIT";#N/A,#N/A,FALSE,"계정"}</definedName>
    <definedName name="소득세율2002">#REF!</definedName>
    <definedName name="소뮨" hidden="1">{#N/A,#N/A,FALSE,"단축1";#N/A,#N/A,FALSE,"단축2";#N/A,#N/A,FALSE,"단축3";#N/A,#N/A,FALSE,"장축";#N/A,#N/A,FALSE,"4WD"}</definedName>
    <definedName name="소방" hidden="1">{"SJ - 기본 보기",#N/A,FALSE,"공사별 외주견적"}</definedName>
    <definedName name="소방내역">BlankMacro1</definedName>
    <definedName name="소방내역서">BlankMacro1</definedName>
    <definedName name="소요금액" hidden="1">{#N/A,#N/A,FALSE,"단축1";#N/A,#N/A,FALSE,"단축2";#N/A,#N/A,FALSE,"단축3";#N/A,#N/A,FALSE,"장축";#N/A,#N/A,FALSE,"4WD"}</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hidden="1">{#N/A,#N/A,FALSE,"단축1";#N/A,#N/A,FALSE,"단축2";#N/A,#N/A,FALSE,"단축3";#N/A,#N/A,FALSE,"장축";#N/A,#N/A,FALSE,"4WD"}</definedName>
    <definedName name="소화갑지" hidden="1">{#N/A,#N/A,FALSE,"CCTV"}</definedName>
    <definedName name="소화주철장판" hidden="1">{#N/A,#N/A,FALSE,"단축1";#N/A,#N/A,FALSE,"단축2";#N/A,#N/A,FALSE,"단축3";#N/A,#N/A,FALSE,"장축";#N/A,#N/A,FALSE,"4WD"}</definedName>
    <definedName name="속초">#REF!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hidden="1">{#N/A,#N/A,FALSE,"1.CRITERIA";#N/A,#N/A,FALSE,"2.IS";#N/A,#N/A,FALSE,"3.BS";#N/A,#N/A,FALSE,"4.PER PL";#N/A,#N/A,FALSE,"5.INVESTMENT";#N/A,#N/A,FALSE,"6.공문";#N/A,#N/A,FALSE,"7.netinvest"}</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{#N/A,#N/A,FALSE,"정공"}</definedName>
    <definedName name="손익계산서" hidden="1">#REF!</definedName>
    <definedName name="손익계산서200312">#REF!</definedName>
    <definedName name="손익계산서검토후">#REF!</definedName>
    <definedName name="손익계산서의성">#REF!</definedName>
    <definedName name="손익계산서조정_04_12" hidden="1">{#N/A,#N/A,FALSE,"1.CRITERIA";#N/A,#N/A,FALSE,"2.IS";#N/A,#N/A,FALSE,"3.BS";#N/A,#N/A,FALSE,"4.PER PL";#N/A,#N/A,FALSE,"5.INVESTMENT";#N/A,#N/A,FALSE,"6.공문";#N/A,#N/A,FALSE,"7.netinvest"}</definedName>
    <definedName name="손익계산신">#N/A</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hidden="1">{#N/A,#N/A,FALSE,"UNIT";#N/A,#N/A,FALSE,"UNIT";#N/A,#N/A,FALSE,"계정"}</definedName>
    <definedName name="손익인쇄">#REF!</definedName>
    <definedName name="손익항목">#REF!</definedName>
    <definedName name="솔비쥬재고" hidden="1">{"'Jibu9811 (3)'!$B$1:$J$433"}</definedName>
    <definedName name="솔재고" hidden="1">{"'Jibu9811 (3)'!$B$1:$J$433"}</definedName>
    <definedName name="송" hidden="1">{#N/A,#N/A,TRUE,"Y생산";#N/A,#N/A,TRUE,"Y판매";#N/A,#N/A,TRUE,"Y총물량";#N/A,#N/A,TRUE,"Y능력";#N/A,#N/A,TRUE,"YKD"}</definedName>
    <definedName name="송년" hidden="1">{"'Jibu9811 (3)'!$B$1:$J$433"}</definedName>
    <definedName name="송익" hidden="1">{#N/A,#N/A,FALSE,"정공"}</definedName>
    <definedName name="송재동" hidden="1">{"'Jibu9811 (3)'!$B$1:$J$433"}</definedName>
    <definedName name="송전전공">#REF!</definedName>
    <definedName name="송창기" hidden="1">{#N/A,#N/A,TRUE,"Y생산";#N/A,#N/A,TRUE,"Y판매";#N/A,#N/A,TRUE,"Y총물량";#N/A,#N/A,TRUE,"Y능력";#N/A,#N/A,TRUE,"YKD"}</definedName>
    <definedName name="쇼바2" hidden="1">{#N/A,#N/A,FALSE,"단축1";#N/A,#N/A,FALSE,"단축2";#N/A,#N/A,FALSE,"단축3";#N/A,#N/A,FALSE,"장축";#N/A,#N/A,FALSE,"4WD"}</definedName>
    <definedName name="쇼쇼">#REF!</definedName>
    <definedName name="쇼쇼쇼쇼쇼쇼쇼쇼쇼쇼" hidden="1">{#N/A,#N/A,FALSE,"단축1";#N/A,#N/A,FALSE,"단축2";#N/A,#N/A,FALSE,"단축3";#N/A,#N/A,FALSE,"장축";#N/A,#N/A,FALSE,"4WD"}</definedName>
    <definedName name="쇼ㅏㅅ" hidden="1">{#N/A,#N/A,FALSE,"Sheet6"}</definedName>
    <definedName name="쇼ㅓㅇㄱ셔ㅓ">#N/A</definedName>
    <definedName name="쇼ㅓㅇㅅ">#N/A</definedName>
    <definedName name="숏교" hidden="1">{#N/A,#N/A,FALSE,"Sheet6"}</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BlankMacro1</definedName>
    <definedName name="수량산출">BlankMacro1</definedName>
    <definedName name="수량산출2">BlankMacro1</definedName>
    <definedName name="수량산출5">BlankMacro1</definedName>
    <definedName name="수량산출서">#REF!</definedName>
    <definedName name="수량산출서표지">BlankMacro1</definedName>
    <definedName name="수량입력">#REF!</definedName>
    <definedName name="수량추정" hidden="1">{#N/A,#N/A,FALSE,"정공"}</definedName>
    <definedName name="수리비">#REF!</definedName>
    <definedName name="수목수량">#REF!</definedName>
    <definedName name="수불">#REF!</definedName>
    <definedName name="수불현황" hidden="1">{#N/A,#N/A,FALSE,"정공"}</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hidden="1">{#N/A,#N/A,FALSE,"단축1";#N/A,#N/A,FALSE,"단축2";#N/A,#N/A,FALSE,"단축3";#N/A,#N/A,FALSE,"장축";#N/A,#N/A,FALSE,"4WD"}</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hidden="1">{#N/A,#N/A,FALSE,"BS";#N/A,#N/A,FALSE,"PL";#N/A,#N/A,FALSE,"처분";#N/A,#N/A,FALSE,"현금";#N/A,#N/A,FALSE,"매출";#N/A,#N/A,FALSE,"원가";#N/A,#N/A,FALSE,"경영"}</definedName>
    <definedName name="수정1212">{"'10_03일자별'!$A$2:$H$31"}</definedName>
    <definedName name="수정169억" hidden="1">{#N/A,#N/A,FALSE,"단축1";#N/A,#N/A,FALSE,"단축2";#N/A,#N/A,FALSE,"단축3";#N/A,#N/A,FALSE,"장축";#N/A,#N/A,FALSE,"4WD"}</definedName>
    <definedName name="수정CF" hidden="1">{#N/A,#N/A,TRUE,"Summary";#N/A,#N/A,TRUE,"IS";#N/A,#N/A,TRUE,"Adj";#N/A,#N/A,TRUE,"BS";#N/A,#N/A,TRUE,"CF";#N/A,#N/A,TRUE,"Debt";#N/A,#N/A,TRUE,"IRR"}</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hidden="1">{#N/A,#N/A,TRUE,"Y생산";#N/A,#N/A,TRUE,"Y판매";#N/A,#N/A,TRUE,"Y총물량";#N/A,#N/A,TRUE,"Y능력";#N/A,#N/A,TRUE,"YKD"}</definedName>
    <definedName name="수정부서">#REF!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hidden="1">{#N/A,#N/A,FALSE,"BS";#N/A,#N/A,FALSE,"PL";#N/A,#N/A,FALSE,"처분";#N/A,#N/A,FALSE,"현금";#N/A,#N/A,FALSE,"매출";#N/A,#N/A,FALSE,"원가";#N/A,#N/A,FALSE,"경영"}</definedName>
    <definedName name="수정사항집계표" hidden="1">#REF!</definedName>
    <definedName name="수정손익" hidden="1">{#N/A,#N/A,FALSE,"정공"}</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정현금흐름표2" hidden="1">{#N/A,#N/A,TRUE,"Summary";#N/A,#N/A,TRUE,"IS";#N/A,#N/A,TRUE,"Adj";#N/A,#N/A,TRUE,"BS";#N/A,#N/A,TRUE,"CF";#N/A,#N/A,TRUE,"Debt";#N/A,#N/A,TRUE,"IRR"}</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hidden="1">{#N/A,#N/A,FALSE,"신규dep";#N/A,#N/A,FALSE,"신규dep-금형상각후";#N/A,#N/A,FALSE,"신규dep-연구비상각후";#N/A,#N/A,FALSE,"신규dep-기계,공구상각후"}</definedName>
    <definedName name="순위">#REF!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hidden="1">{#N/A,#N/A,FALSE,"단축1";#N/A,#N/A,FALSE,"단축2";#N/A,#N/A,FALSE,"단축3";#N/A,#N/A,FALSE,"장축";#N/A,#N/A,FALSE,"4WD"}</definedName>
    <definedName name="승렬">#REF!</definedName>
    <definedName name="승인서" hidden="1">{#N/A,#N/A,FALSE,"범우구미";#N/A,#N/A,FALSE,"세한케미칼";#N/A,#N/A,FALSE,"세명화학";#N/A,#N/A,FALSE,"신영케미칼";#N/A,#N/A,FALSE,"일석상사"}</definedName>
    <definedName name="시">#REF!</definedName>
    <definedName name="시간" hidden="1">{#N/A,#N/A,TRUE,"Y생산";#N/A,#N/A,TRUE,"Y판매";#N/A,#N/A,TRUE,"Y총물량";#N/A,#N/A,TRUE,"Y능력";#N/A,#N/A,TRUE,"YKD"}</definedName>
    <definedName name="시간외근무_인사" hidden="1">#REF!</definedName>
    <definedName name="시공업체">#REF!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BlankMacro1</definedName>
    <definedName name="시산표2" hidden="1">{#N/A,#N/A,FALSE,"BS";#N/A,#N/A,FALSE,"PL";#N/A,#N/A,FALSE,"처분";#N/A,#N/A,FALSE,"현금";#N/A,#N/A,FALSE,"매출";#N/A,#N/A,FALSE,"원가";#N/A,#N/A,FALSE,"경영"}</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hidden="1">{#N/A,#N/A,TRUE,"Y생산";#N/A,#N/A,TRUE,"Y판매";#N/A,#N/A,TRUE,"Y총물량";#N/A,#N/A,TRUE,"Y능력";#N/A,#N/A,TRUE,"YKD"}</definedName>
    <definedName name="시책" hidden="1">{#N/A,#N/A,FALSE,"단축1";#N/A,#N/A,FALSE,"단축2";#N/A,#N/A,FALSE,"단축3";#N/A,#N/A,FALSE,"장축";#N/A,#N/A,FALSE,"4WD"}</definedName>
    <definedName name="시청">#REF!</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hidden="1">{"'Jibu9811 (3)'!$B$1:$J$433"}</definedName>
    <definedName name="신AT종합" hidden="1">{#N/A,#N/A,FALSE,"단축1";#N/A,#N/A,FALSE,"단축2";#N/A,#N/A,FALSE,"단축3";#N/A,#N/A,FALSE,"장축";#N/A,#N/A,FALSE,"4WD"}</definedName>
    <definedName name="신고여부">#REF!</definedName>
    <definedName name="신고일조정">#REF!</definedName>
    <definedName name="신공장">BlankMacro1</definedName>
    <definedName name="신규" hidden="1">{#N/A,#N/A,FALSE,"UNIT";#N/A,#N/A,FALSE,"UNIT";#N/A,#N/A,FALSE,"계정"}</definedName>
    <definedName name="신규가입자">#REF!</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hidden="1">{#N/A,#N/A,FALSE,"인원";#N/A,#N/A,FALSE,"비용2";#N/A,#N/A,FALSE,"비용1";#N/A,#N/A,FALSE,"비용";#N/A,#N/A,FALSE,"보증2";#N/A,#N/A,FALSE,"보증1";#N/A,#N/A,FALSE,"보증";#N/A,#N/A,FALSE,"손익1";#N/A,#N/A,FALSE,"손익";#N/A,#N/A,FALSE,"부서별매출";#N/A,#N/A,FALSE,"매출"}</definedName>
    <definedName name="신입사원" hidden="1">{"'전일자'!$A$5:$N$17"}</definedName>
    <definedName name="신입시론" hidden="1">{#N/A,#N/A,FALSE,"단축1";#N/A,#N/A,FALSE,"단축2";#N/A,#N/A,FALSE,"단축3";#N/A,#N/A,FALSE,"장축";#N/A,#N/A,FALSE,"4WD"}</definedName>
    <definedName name="신자">#REF!</definedName>
    <definedName name="신자1">#REF!</definedName>
    <definedName name="신자2">#REF!</definedName>
    <definedName name="신제품" hidden="1">{"'Jibu9811 (3)'!$B$1:$J$433"}</definedName>
    <definedName name="신제품세부내역" hidden="1">{"'Jibu9811 (3)'!$B$1:$J$433"}</definedName>
    <definedName name="신준수">#REF!</definedName>
    <definedName name="신차품질일정" hidden="1">{#N/A,#N/A,FALSE,"단축1";#N/A,#N/A,FALSE,"단축2";#N/A,#N/A,FALSE,"단축3";#N/A,#N/A,FALSE,"장축";#N/A,#N/A,FALSE,"4WD"}</definedName>
    <definedName name="신축이음각도">#REF!</definedName>
    <definedName name="신축이음갯수">#REF!</definedName>
    <definedName name="신한은행_1"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BlankMacro1</definedName>
    <definedName name="실비적용">#REF!</definedName>
    <definedName name="실습동">BlankMacro1</definedName>
    <definedName name="실시" hidden="1">{#N/A,#N/A,FALSE,"단축1";#N/A,#N/A,FALSE,"단축2";#N/A,#N/A,FALSE,"단축3";#N/A,#N/A,FALSE,"장축";#N/A,#N/A,FALSE,"4WD"}</definedName>
    <definedName name="실적" hidden="1">{"'Jibu9811 (3)'!$B$1:$J$433"}</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hidden="1">{#N/A,#N/A,FALSE,"UNIT";#N/A,#N/A,FALSE,"UNIT";#N/A,#N/A,FALSE,"계정"}</definedName>
    <definedName name="실적6월" hidden="1">{#N/A,#N/A,FALSE,"UNIT";#N/A,#N/A,FALSE,"UNIT";#N/A,#N/A,FALSE,"계정"}</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hidden="1">{#N/A,#N/A,FALSE,"단축1";#N/A,#N/A,FALSE,"단축2";#N/A,#N/A,FALSE,"단축3";#N/A,#N/A,FALSE,"장축";#N/A,#N/A,FALSE,"4WD"}</definedName>
    <definedName name="십습동">BlankMacro1</definedName>
    <definedName name="십이월">#REF!</definedName>
    <definedName name="십이월시간외">#REF!</definedName>
    <definedName name="쌍용클레임분담" hidden="1">{#N/A,#N/A,FALSE,"단축1";#N/A,#N/A,FALSE,"단축2";#N/A,#N/A,FALSE,"단축3";#N/A,#N/A,FALSE,"장축";#N/A,#N/A,FALSE,"4WD"}</definedName>
    <definedName name="ㅇ" hidden="1">{#N/A,#N/A,FALSE,"BS";#N/A,#N/A,FALSE,"PL";#N/A,#N/A,FALSE,"처분";#N/A,#N/A,FALSE,"현금";#N/A,#N/A,FALSE,"매출";#N/A,#N/A,FALSE,"원가";#N/A,#N/A,FALSE,"경영"}</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hidden="1">{#N/A,#N/A,FALSE,"을지 (4)";#N/A,#N/A,FALSE,"을지 (5)";#N/A,#N/A,FALSE,"을지 (6)"}</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hidden="1">{#N/A,#N/A,TRUE,"경전'96(1)";#N/A,#N/A,TRUE,"경전'96 (2)"}</definedName>
    <definedName name="ㅇㄴㅇ" hidden="1">{#N/A,#N/A,FALSE,"단축1";#N/A,#N/A,FALSE,"단축2";#N/A,#N/A,FALSE,"단축3";#N/A,#N/A,FALSE,"장축";#N/A,#N/A,FALSE,"4WD"}</definedName>
    <definedName name="ㅇㄴㅇㅇ" hidden="1">{#N/A,#N/A,FALSE,"UNIT";#N/A,#N/A,FALSE,"UNIT";#N/A,#N/A,FALSE,"계정"}</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BlankMacro1</definedName>
    <definedName name="ㅇㄹ" hidden="1">#REF!</definedName>
    <definedName name="ㅇㄹㄴ" hidden="1">{#N/A,#N/A,FALSE,"BS";#N/A,#N/A,FALSE,"PL";#N/A,#N/A,FALSE,"처분";#N/A,#N/A,FALSE,"현금";#N/A,#N/A,FALSE,"매출";#N/A,#N/A,FALSE,"원가";#N/A,#N/A,FALSE,"경영"}</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BlankMacro1</definedName>
    <definedName name="ㅇㄹ니ㅓㄷ" hidden="1">#REF!</definedName>
    <definedName name="ㅇㄹㄹ" hidden="1">#REF!</definedName>
    <definedName name="ㅇㄹㄹㄹㄴㄹ" hidden="1">{#N/A,#N/A,FALSE,"단축1";#N/A,#N/A,FALSE,"단축2";#N/A,#N/A,FALSE,"단축3";#N/A,#N/A,FALSE,"장축";#N/A,#N/A,FALSE,"4WD"}</definedName>
    <definedName name="ㅇㄹㄹㅇㅁㄴ">BlankMacro1</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hidden="1">{#N/A,#N/A,FALSE,"정공"}</definedName>
    <definedName name="ㅇㄹㅇㄹㅇㄹㅇ" hidden="1">{#N/A,#N/A,FALSE,"UNIT";#N/A,#N/A,FALSE,"UNIT";#N/A,#N/A,FALSE,"계정"}</definedName>
    <definedName name="ㅇㄹㅇㄹㅇㄹㅇㄹ" hidden="1">#REF!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hidden="1">{#N/A,#N/A,FALSE,"토공2"}</definedName>
    <definedName name="ㅇㄹ호">#REF!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BlankMacro1</definedName>
    <definedName name="ㅇ라ㅏㅇ">BlankMacro1</definedName>
    <definedName name="ㅇ로">#N/A</definedName>
    <definedName name="ㅇㄻㄴㅇㄹ" hidden="1">#REF!</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hidden="1">{#N/A,#N/A,FALSE,"Performance Flash Report"}</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hidden="1">{#N/A,#N/A,FALSE,"Sheet1";#N/A,#N/A,FALSE,"기평9607"}</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BlankMacro1</definedName>
    <definedName name="ㅇㅂㅎ">BlankMacro1</definedName>
    <definedName name="ㅇㅅ거ㅛ">#N/A</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hidden="1">{#N/A,#N/A,FALSE,"표지";#N/A,#N/A,FALSE,"전제";#N/A,#N/A,FALSE,"손익-자 (2)";#N/A,#N/A,FALSE,"손익-자";#N/A,#N/A,FALSE,"손익-마 (2)";#N/A,#N/A,FALSE,"손익-마";#N/A,#N/A,FALSE,"총손최종"}</definedName>
    <definedName name="ㅇㅇㄻ" hidden="1">{"'Jibu9811 (3)'!$B$1:$J$433"}</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hidden="1">{#N/A,#N/A,FALSE,"정공"}</definedName>
    <definedName name="ㅇㅇㅇ_1" hidden="1">{#N/A,#N/A,FALSE,"정공"}</definedName>
    <definedName name="ㅇㅇㅇㅇ" hidden="1">#REF!</definedName>
    <definedName name="ㅇㅇㅇㅇㄹㄼㅂㅂ">#REF!</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hidden="1">{"'Jibu9811 (3)'!$B$1:$J$433"}</definedName>
    <definedName name="ㅇㅇㅇㅇㅇㅇㅇㅇㄹㄹㄹㄹ" hidden="1">#REF!</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BlankMacro1</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BlankMacro1</definedName>
    <definedName name="ㅇㅈㅇㄴㅇㅈㅇ" hidden="1">#REF!</definedName>
    <definedName name="ㅇ자" hidden="1">{"'Jibu9811 (3)'!$B$1:$J$433"}</definedName>
    <definedName name="ㅇㅎ" hidden="1">{#N/A,#N/A,FALSE,"단축1";#N/A,#N/A,FALSE,"단축2";#N/A,#N/A,FALSE,"단축3";#N/A,#N/A,FALSE,"장축";#N/A,#N/A,FALSE,"4WD"}</definedName>
    <definedName name="ㅇㅎㄷㄱ" hidden="1">{#N/A,#N/A,FALSE,"부대1"}</definedName>
    <definedName name="ㅇㅎㅁ" hidden="1">{#N/A,#N/A,FALSE,"97년 투자계획 세부내역 "}</definedName>
    <definedName name="ㅇ햡">#N/A</definedName>
    <definedName name="ㅇ허호">BlankMacro1</definedName>
    <definedName name="ㅇ허ㅏㅎ">BlankMacro1</definedName>
    <definedName name="ㅇ호">#REF!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hidden="1">{#N/A,#N/A,FALSE,"1.CRITERIA";#N/A,#N/A,FALSE,"2.IS";#N/A,#N/A,FALSE,"3.BS";#N/A,#N/A,FALSE,"4.PER PL";#N/A,#N/A,FALSE,"5.INVESTMENT";#N/A,#N/A,FALSE,"6.공문";#N/A,#N/A,FALSE,"7.netinvest"}</definedName>
    <definedName name="아2" hidden="1">{"'Jibu9811 (3)'!$B$1:$J$433"}</definedName>
    <definedName name="아나나" hidden="1">{#N/A,#N/A,FALSE,"정공"}</definedName>
    <definedName name="아나마오" hidden="1">{#N/A,#N/A,FALSE,"정공"}</definedName>
    <definedName name="아논" hidden="1">{#N/A,#N/A,FALSE,"채권채무";#N/A,#N/A,FALSE,"control sheet"}</definedName>
    <definedName name="아늘믿">BlankMacro1</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hidden="1">{#N/A,#N/A,FALSE,"정공"}</definedName>
    <definedName name="아니오" hidden="1">{#N/A,#N/A,FALSE,"정공"}</definedName>
    <definedName name="아니오1" hidden="1">{"'Price List '!$A$1:$R$156"}</definedName>
    <definedName name="아님">#REF!</definedName>
    <definedName name="아닙니다" hidden="1">{#N/A,#N/A,FALSE,"정공"}</definedName>
    <definedName name="아다">BlankMacro1</definedName>
    <definedName name="아디">BlankMacro1</definedName>
    <definedName name="아러" hidden="1">{#N/A,#N/A,FALSE,"BS";#N/A,#N/A,FALSE,"PL";#N/A,#N/A,FALSE,"처분";#N/A,#N/A,FALSE,"현금";#N/A,#N/A,FALSE,"매출";#N/A,#N/A,FALSE,"원가";#N/A,#N/A,FALSE,"경영"}</definedName>
    <definedName name="아러ㅏ" hidden="1">{"'매출이익'!$A$24:$K$45"}</definedName>
    <definedName name="아름다은" hidden="1">{#N/A,#N/A,FALSE,"BS";#N/A,#N/A,FALSE,"PL";#N/A,#N/A,FALSE,"처분";#N/A,#N/A,FALSE,"현금";#N/A,#N/A,FALSE,"매출";#N/A,#N/A,FALSE,"원가";#N/A,#N/A,FALSE,"경영"}</definedName>
    <definedName name="아마도" hidden="1">{#N/A,#N/A,FALSE,"97년 투자계획 세부내역 "}</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hidden="1">{#N/A,#N/A,TRUE,"Summary";#N/A,#N/A,TRUE,"IS";#N/A,#N/A,TRUE,"Adj";#N/A,#N/A,TRUE,"BS";#N/A,#N/A,TRUE,"CF";#N/A,#N/A,TRUE,"Debt";#N/A,#N/A,TRUE,"IRR"}</definedName>
    <definedName name="아무거나" hidden="1">#REF!</definedName>
    <definedName name="아서">BlankMacro1</definedName>
    <definedName name="아스콘기층">#REF!</definedName>
    <definedName name="아스콘표층">#REF!</definedName>
    <definedName name="아아" hidden="1">{#N/A,#N/A,FALSE,"1.CRITERIA";#N/A,#N/A,FALSE,"2.IS";#N/A,#N/A,FALSE,"3.BS";#N/A,#N/A,FALSE,"4.PER PL";#N/A,#N/A,FALSE,"5.INVESTMENT";#N/A,#N/A,FALSE,"6.공문";#N/A,#N/A,FALSE,"7.netinvest"}</definedName>
    <definedName name="아아아" hidden="1">{#N/A,#N/A,FALSE,"정공"}</definedName>
    <definedName name="아아ㅏ" hidden="1">{#N/A,#N/A,FALSE,"기안지";#N/A,#N/A,FALSE,"통신지"}</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hidden="1">{#N/A,#N/A,FALSE,"정공"}</definedName>
    <definedName name="아조하아" hidden="1">{#N/A,#N/A,FALSE,"UNIT";#N/A,#N/A,FALSE,"UNIT";#N/A,#N/A,FALSE,"계정"}</definedName>
    <definedName name="아파트">#REF!</definedName>
    <definedName name="아햐">#N/A</definedName>
    <definedName name="아허ㅑ">BlankMacro1</definedName>
    <definedName name="아혀뱌">BlankMacro1</definedName>
    <definedName name="아ㅏ">BlankMacro1</definedName>
    <definedName name="아ㅏㅂ">BlankMacro1</definedName>
    <definedName name="아ㅏㅇ">#REF!</definedName>
    <definedName name="아ㅏ아아아아아" hidden="1">{#N/A,#N/A,FALSE,"UNIT";#N/A,#N/A,FALSE,"UNIT";#N/A,#N/A,FALSE,"계정"}</definedName>
    <definedName name="아ㅏㅏㄷ" hidden="1">{#N/A,#N/A,FALSE,"기안지";#N/A,#N/A,FALSE,"통신지"}</definedName>
    <definedName name="아ㅓ" hidden="1">{#N/A,#N/A,FALSE,"기안지";#N/A,#N/A,FALSE,"통신지"}</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hidden="1">{#N/A,#N/A,FALSE,"기안지";#N/A,#N/A,FALSE,"통신지"}</definedName>
    <definedName name="아ㅓㅂ">BlankMacro1</definedName>
    <definedName name="아ㅓㅎ">BlankMacro1</definedName>
    <definedName name="아ㅓㅎ어호">BlankMacro1</definedName>
    <definedName name="아ㅓ호">BlankMacro1</definedName>
    <definedName name="아ㅓㅏㅓ" hidden="1">{#N/A,#N/A,FALSE,"단축1";#N/A,#N/A,FALSE,"단축2";#N/A,#N/A,FALSE,"단축3";#N/A,#N/A,FALSE,"장축";#N/A,#N/A,FALSE,"4WD"}</definedName>
    <definedName name="아ㅓㅑㅂ">BlankMacro1</definedName>
    <definedName name="아ㅕㅂ">BlankMacro1</definedName>
    <definedName name="안" hidden="1">#REF!</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hidden="1">Country_Summary</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hidden="1">{#N/A,#N/A,FALSE,"단축1";#N/A,#N/A,FALSE,"단축2";#N/A,#N/A,FALSE,"단축3";#N/A,#N/A,FALSE,"장축";#N/A,#N/A,FALSE,"4WD"}</definedName>
    <definedName name="알파">#REF!</definedName>
    <definedName name="알파Ⅰ" hidden="1">{#N/A,#N/A,FALSE,"단축1";#N/A,#N/A,FALSE,"단축2";#N/A,#N/A,FALSE,"단축3";#N/A,#N/A,FALSE,"장축";#N/A,#N/A,FALSE,"4WD"}</definedName>
    <definedName name="앗서" hidden="1">{#N/A,#N/A,FALSE,"정공"}</definedName>
    <definedName name="앙" hidden="1">{#N/A,#N/A,FALSE,"BS";#N/A,#N/A,FALSE,"PL";#N/A,#N/A,FALSE,"처분";#N/A,#N/A,FALSE,"현금";#N/A,#N/A,FALSE,"매출";#N/A,#N/A,FALSE,"원가";#N/A,#N/A,FALSE,"경영"}</definedName>
    <definedName name="앙_1" hidden="1">{#N/A,#N/A,FALSE,"BS";#N/A,#N/A,FALSE,"PL";#N/A,#N/A,FALSE,"처분";#N/A,#N/A,FALSE,"현금";#N/A,#N/A,FALSE,"매출";#N/A,#N/A,FALSE,"원가";#N/A,#N/A,FALSE,"경영"}</definedName>
    <definedName name="앙1"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BlankMacro1</definedName>
    <definedName name="액슬" hidden="1">{#N/A,#N/A,FALSE,"단축1";#N/A,#N/A,FALSE,"단축2";#N/A,#N/A,FALSE,"단축3";#N/A,#N/A,FALSE,"장축";#N/A,#N/A,FALSE,"4WD"}</definedName>
    <definedName name="야" hidden="1">{#N/A,#N/A,FALSE,"UNIT";#N/A,#N/A,FALSE,"UNIT";#N/A,#N/A,FALSE,"계정"}</definedName>
    <definedName name="약도" hidden="1">{"'전일자'!$A$5:$N$17"}</definedName>
    <definedName name="약식손익" hidden="1">{#N/A,#N/A,FALSE,"정공"}</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hidden="1">{#N/A,#N/A,FALSE,"정공"}</definedName>
    <definedName name="양" hidden="1">{#N/A,#N/A,FALSE,"UNIT";#N/A,#N/A,FALSE,"UNIT";#N/A,#N/A,FALSE,"계정"}</definedName>
    <definedName name="양대호" hidden="1">{#N/A,#N/A,FALSE,"단축1";#N/A,#N/A,FALSE,"단축2";#N/A,#N/A,FALSE,"단축3";#N/A,#N/A,FALSE,"장축";#N/A,#N/A,FALSE,"4WD"}</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hidden="1">{#N/A,#N/A,FALSE,"단축1";#N/A,#N/A,FALSE,"단축2";#N/A,#N/A,FALSE,"단축3";#N/A,#N/A,FALSE,"장축";#N/A,#N/A,FALSE,"4WD"}</definedName>
    <definedName name="양식2">#REF!</definedName>
    <definedName name="양식3">#REF!</definedName>
    <definedName name="양행" hidden="1">{#N/A,#N/A,FALSE,"범우구미";#N/A,#N/A,FALSE,"세한케미칼";#N/A,#N/A,FALSE,"세명화학";#N/A,#N/A,FALSE,"신영케미칼";#N/A,#N/A,FALSE,"일석상사"}</definedName>
    <definedName name="양호">#REF!</definedName>
    <definedName name="어" hidden="1">{"'매출이익'!$A$24:$K$45"}</definedName>
    <definedName name="어떻하지" hidden="1">#REF!</definedName>
    <definedName name="어랑" hidden="1">{#N/A,#N/A,FALSE,"BS";#N/A,#N/A,FALSE,"PL";#N/A,#N/A,FALSE,"처분";#N/A,#N/A,FALSE,"현금";#N/A,#N/A,FALSE,"매출";#N/A,#N/A,FALSE,"원가";#N/A,#N/A,FALSE,"경영"}</definedName>
    <definedName name="어뱌">BlankMacro1</definedName>
    <definedName name="어서">#N/A</definedName>
    <definedName name="어스앙카">#REF!</definedName>
    <definedName name="어어" hidden="1">{#N/A,#N/A,FALSE,"1.CRITERIA";#N/A,#N/A,FALSE,"2.IS";#N/A,#N/A,FALSE,"3.BS";#N/A,#N/A,FALSE,"4.PER PL";#N/A,#N/A,FALSE,"5.INVESTMENT";#N/A,#N/A,FALSE,"6.공문";#N/A,#N/A,FALSE,"7.netinvest"}</definedName>
    <definedName name="어엉">BlankMacro1</definedName>
    <definedName name="어음" hidden="1">#REF!</definedName>
    <definedName name="어음수표" hidden="1">{#N/A,#N/A,FALSE,"1.CRITERIA";#N/A,#N/A,FALSE,"2.IS";#N/A,#N/A,FALSE,"3.BS";#N/A,#N/A,FALSE,"4.PER PL";#N/A,#N/A,FALSE,"5.INVESTMENT";#N/A,#N/A,FALSE,"6.공문";#N/A,#N/A,FALSE,"7.netinvest"}</definedName>
    <definedName name="어쩌라구"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BlankMacro1</definedName>
    <definedName name="어호" hidden="1">{#N/A,#N/A,FALSE,"기안지";#N/A,#N/A,FALSE,"통신지"}</definedName>
    <definedName name="어호ㅚㅏ">BlankMacro1</definedName>
    <definedName name="어ㅑ" hidden="1">{#N/A,#N/A,FALSE,"기안지";#N/A,#N/A,FALSE,"통신지"}</definedName>
    <definedName name="어ㅑㄷ">BlankMacro1</definedName>
    <definedName name="어ㅑㅑㄷ">BlankMacro1</definedName>
    <definedName name="어ㅑㅑㅑㅑㅁㅂ">BlankMacro1</definedName>
    <definedName name="어ㅓ">BlankMacro1</definedName>
    <definedName name="어ㅓㅏㅇ">BlankMacro1</definedName>
    <definedName name="억">#REF!</definedName>
    <definedName name="언" hidden="1">{#N/A,#N/A,FALSE,"단축1";#N/A,#N/A,FALSE,"단축2";#N/A,#N/A,FALSE,"단축3";#N/A,#N/A,FALSE,"장축";#N/A,#N/A,FALSE,"4WD"}</definedName>
    <definedName name="얼">#REF!</definedName>
    <definedName name="엄" hidden="1">{#N/A,#N/A,TRUE,"경전'96(1)";#N/A,#N/A,TRUE,"경전'96 (2)"}</definedName>
    <definedName name="업_________태">#REF!</definedName>
    <definedName name="업무">#REF!</definedName>
    <definedName name="업무2">#REF!</definedName>
    <definedName name="업무보고">#REF!</definedName>
    <definedName name="업무보고용" hidden="1">{#N/A,#N/A,FALSE,"정공"}</definedName>
    <definedName name="업체" hidden="1">{#N/A,#N/A,FALSE,"단축1";#N/A,#N/A,FALSE,"단축2";#N/A,#N/A,FALSE,"단축3";#N/A,#N/A,FALSE,"장축";#N/A,#N/A,FALSE,"4WD"}</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hidden="1">{#N/A,#N/A,FALSE,"Aging Summary";#N/A,#N/A,FALSE,"Ratio Analysis";#N/A,#N/A,FALSE,"Test 120 Day Accts";#N/A,#N/A,FALSE,"Tickmarks"}</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BlankMacro1</definedName>
    <definedName name="엏" hidden="1">{#N/A,#N/A,FALSE,"기안지";#N/A,#N/A,FALSE,"통신지"}</definedName>
    <definedName name="엏걉">BlankMacro1</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연간예상" hidden="1">{#N/A,#N/A,FALSE,"UNIT";#N/A,#N/A,FALSE,"UNIT";#N/A,#N/A,FALSE,"계정"}</definedName>
    <definedName name="연결PL">#REF!</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hidden="1">{#N/A,#N/A,TRUE,"경전'96(1)";#N/A,#N/A,TRUE,"경전'96 (2)"}</definedName>
    <definedName name="연구개발" hidden="1">{#N/A,#N/A,TRUE,"경전'96(1)";#N/A,#N/A,TRUE,"경전'96 (2)"}</definedName>
    <definedName name="연구소" hidden="1">{#N/A,#N/A,TRUE,"경전'96(1)";#N/A,#N/A,TRUE,"경전'96 (2)"}</definedName>
    <definedName name="연구소1" hidden="1">{#N/A,#N/A,TRUE,"경전'96(1)";#N/A,#N/A,TRUE,"경전'96 (2)"}</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hidden="1">{#N/A,#N/A,FALSE,"단축1";#N/A,#N/A,FALSE,"단축2";#N/A,#N/A,FALSE,"단축3";#N/A,#N/A,FALSE,"장축";#N/A,#N/A,FALSE,"4WD"}</definedName>
    <definedName name="연말손익" hidden="1">{#N/A,#N/A,FALSE,"UNIT";#N/A,#N/A,FALSE,"UNIT";#N/A,#N/A,FALSE,"계정"}</definedName>
    <definedName name="연습" hidden="1">#REF!</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hidden="1">{#N/A,#N/A,FALSE,"정공"}</definedName>
    <definedName name="연차" hidden="1">{"'전일자'!$A$5:$N$17"}</definedName>
    <definedName name="연차예" hidden="1">{"'전일자'!$A$5:$N$17"}</definedName>
    <definedName name="연차정산" hidden="1">{"'전일자'!$A$5:$N$17"}</definedName>
    <definedName name="연평균과표계">#REF!</definedName>
    <definedName name="열">#REF!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영" hidden="1">{#N/A,#N/A,FALSE,"1.CRITERIA";#N/A,#N/A,FALSE,"2.IS";#N/A,#N/A,FALSE,"3.BS";#N/A,#N/A,FALSE,"4.PER PL";#N/A,#N/A,FALSE,"5.INVESTMENT";#N/A,#N/A,FALSE,"6.공문";#N/A,#N/A,FALSE,"7.netinvest"}</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hidden="1">{#N/A,#N/A,FALSE,"단축1";#N/A,#N/A,FALSE,"단축2";#N/A,#N/A,FALSE,"단축3";#N/A,#N/A,FALSE,"장축";#N/A,#N/A,FALSE,"4WD"}</definedName>
    <definedName name="영산홍">#REF!</definedName>
    <definedName name="영성기업" hidden="1">{#N/A,#N/A,FALSE,"범우구미";#N/A,#N/A,FALSE,"세한케미칼";#N/A,#N/A,FALSE,"세명화학";#N/A,#N/A,FALSE,"신영케미칼";#N/A,#N/A,FALSE,"일석상사"}</definedName>
    <definedName name="영어">#REF!</definedName>
    <definedName name="영업" hidden="1">{#N/A,#N/A,FALSE,"P.C.B"}</definedName>
    <definedName name="영업1">#REF!</definedName>
    <definedName name="영업2">#REF!</definedName>
    <definedName name="영업권"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hidden="1">{#N/A,#N/A,FALSE,"1.CRITERIA";#N/A,#N/A,FALSE,"2.IS";#N/A,#N/A,FALSE,"3.BS";#N/A,#N/A,FALSE,"4.PER PL";#N/A,#N/A,FALSE,"5.INVESTMENT";#N/A,#N/A,FALSE,"6.공문";#N/A,#N/A,FALSE,"7.netinvest"}</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hidden="1">{#N/A,#N/A,FALSE,"1.CRITERIA";#N/A,#N/A,FALSE,"2.IS";#N/A,#N/A,FALSE,"3.BS";#N/A,#N/A,FALSE,"4.PER PL";#N/A,#N/A,FALSE,"5.INVESTMENT";#N/A,#N/A,FALSE,"6.공문";#N/A,#N/A,FALSE,"7.netinvest"}</definedName>
    <definedName name="영업외비용" hidden="1">{#N/A,#N/A,FALSE,"BS";#N/A,#N/A,FALSE,"PL";#N/A,#N/A,FALSE,"처분";#N/A,#N/A,FALSE,"현금";#N/A,#N/A,FALSE,"매출";#N/A,#N/A,FALSE,"원가";#N/A,#N/A,FALSE,"경영"}</definedName>
    <definedName name="영업외수" hidden="1">#REF!</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hidden="1">{#N/A,#N/A,FALSE,"97년 투자계획 세부내역 "}</definedName>
    <definedName name="영업인건비배부" hidden="1">{#N/A,#N/A,FALSE,"97년 투자계획 세부내역 "}</definedName>
    <definedName name="영업현금" hidden="1">{#N/A,#N/A,FALSE,"지침";#N/A,#N/A,FALSE,"환경분석";#N/A,#N/A,FALSE,"Sheet16"}</definedName>
    <definedName name="영역">#REF!</definedName>
    <definedName name="영역1">#REF!</definedName>
    <definedName name="영외수">#REF!</definedName>
    <definedName name="옂ㅂ">BlankMacro1</definedName>
    <definedName name="예">#REF!</definedName>
    <definedName name="예1" hidden="1">{#N/A,#N/A,FALSE,"정공"}</definedName>
    <definedName name="예2" hidden="1">{#N/A,#N/A,FALSE,"정공"}</definedName>
    <definedName name="예3" hidden="1">{#N/A,#N/A,FALSE,"정공"}</definedName>
    <definedName name="預り保証金" hidden="1">{"'買掛金'!$J$6"}</definedName>
    <definedName name="예광" hidden="1">{#N/A,#N/A,FALSE,"UNIT";#N/A,#N/A,FALSE,"UNIT";#N/A,#N/A,FALSE,"계정"}</definedName>
    <definedName name="예금" hidden="1">{#N/A,#N/A,FALSE,"1.CRITERIA";#N/A,#N/A,FALSE,"2.IS";#N/A,#N/A,FALSE,"3.BS";#N/A,#N/A,FALSE,"4.PER PL";#N/A,#N/A,FALSE,"5.INVESTMENT";#N/A,#N/A,FALSE,"6.공문";#N/A,#N/A,FALSE,"7.netinvest"}</definedName>
    <definedName name="예비분석">#REF!</definedName>
    <definedName name="예산">BlankMacro1</definedName>
    <definedName name="예산세부내역" hidden="1">{"'Jibu9811 (3)'!$B$1:$J$433"}</definedName>
    <definedName name="예산이원화포함" hidden="1">{#N/A,#N/A,FALSE,"단축1";#N/A,#N/A,FALSE,"단축2";#N/A,#N/A,FALSE,"단축3";#N/A,#N/A,FALSE,"장축";#N/A,#N/A,FALSE,"4WD"}</definedName>
    <definedName name="예산현황">#REF!</definedName>
    <definedName name="예산현황표">#REF!</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{"'분양원가'!$B$1:$F$113"}</definedName>
    <definedName name="옛날세율89">#REF!</definedName>
    <definedName name="옛날세율91">#REF!</definedName>
    <definedName name="옛날세율93">#REF!</definedName>
    <definedName name="오" hidden="1">{#N/A,#N/A,FALSE,"UNIT";#N/A,#N/A,FALSE,"UNIT";#N/A,#N/A,FALSE,"계정"}</definedName>
    <definedName name="오." hidden="1">{#N/A,#N/A,FALSE,"UNIT";#N/A,#N/A,FALSE,"UNIT";#N/A,#N/A,FALSE,"계정"}</definedName>
    <definedName name="오.." hidden="1">{#N/A,#N/A,FALSE,"UNIT";#N/A,#N/A,FALSE,"UNIT";#N/A,#N/A,FALSE,"계정"}</definedName>
    <definedName name="오빠" hidden="1">{"'Jibu9811 (3)'!$B$1:$J$433"}</definedName>
    <definedName name="오서방" hidden="1">{#N/A,#N/A,FALSE,"97년 투자계획 세부내역 "}</definedName>
    <definedName name="오성협"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수토공" hidden="1">{#N/A,#N/A,FALSE,"기안지";#N/A,#N/A,FALSE,"통신지"}</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hidden="1">{#N/A,#N/A,FALSE,"이태원철근"}</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hidden="1">{#N/A,#N/A,FALSE,"인원";#N/A,#N/A,FALSE,"비용2";#N/A,#N/A,FALSE,"비용1";#N/A,#N/A,FALSE,"비용";#N/A,#N/A,FALSE,"보증2";#N/A,#N/A,FALSE,"보증1";#N/A,#N/A,FALSE,"보증";#N/A,#N/A,FALSE,"손익1";#N/A,#N/A,FALSE,"손익";#N/A,#N/A,FALSE,"부서별매출";#N/A,#N/A,FALSE,"매출"}</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공과잡비">#REF!</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hidden="1">{#N/A,#N/A,FALSE,"정공"}</definedName>
    <definedName name="외화환차1" hidden="1">{#N/A,#N/A,FALSE,"정공"}</definedName>
    <definedName name="요" hidden="1">{#N/A,#N/A,FALSE,"1.CRITERIA";#N/A,#N/A,FALSE,"2.IS";#N/A,#N/A,FALSE,"3.BS";#N/A,#N/A,FALSE,"4.PER PL";#N/A,#N/A,FALSE,"5.INVESTMENT";#N/A,#N/A,FALSE,"6.공문";#N/A,#N/A,FALSE,"7.netinvest"}</definedName>
    <definedName name="요구사항" hidden="1">{#N/A,#N/A,FALSE,"단축1";#N/A,#N/A,FALSE,"단축2";#N/A,#N/A,FALSE,"단축3";#N/A,#N/A,FALSE,"장축";#N/A,#N/A,FALSE,"4WD"}</definedName>
    <definedName name="요섟언">#N/A</definedName>
    <definedName name="요약" hidden="1">{#N/A,#N/A,FALSE,"정공"}</definedName>
    <definedName name="요약." hidden="1">{"'매출이익'!$A$24:$K$45"}</definedName>
    <definedName name="요약1차">#REF!,#REF!</definedName>
    <definedName name="요약2차">#REF!,#REF!</definedName>
    <definedName name="요약3" hidden="1">{#N/A,#N/A,FALSE,"정공"}</definedName>
    <definedName name="요약4" hidden="1">{"'매출이익'!$A$24:$K$45"}</definedName>
    <definedName name="요약5" hidden="1">{"'매출이익'!$A$24:$K$45"}</definedName>
    <definedName name="요약총괄" hidden="1">{#N/A,#N/A,FALSE,"정공"}</definedName>
    <definedName name="요율">#REF!</definedName>
    <definedName name="요율인쇄">#REF!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 hidden="1">{#N/A,#N/A,FALSE,"P.C.B"}</definedName>
    <definedName name="용도차" hidden="1">{#N/A,#N/A,FALSE,"단축1";#N/A,#N/A,FALSE,"단축2";#N/A,#N/A,FALSE,"단축3";#N/A,#N/A,FALSE,"장축";#N/A,#N/A,FALSE,"4WD"}</definedName>
    <definedName name="용수로">#REF!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#REF!</definedName>
    <definedName name="용인">#REF!</definedName>
    <definedName name="용접">#REF!</definedName>
    <definedName name="용접공">#REF!</definedName>
    <definedName name="우" hidden="1">{#N/A,#N/A,TRUE,"경전'96(1)";#N/A,#N/A,TRUE,"경전'96 (2)"}</definedName>
    <definedName name="우라" hidden="1">{"'Sheet1'!$A$1:$D$15"}</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hidden="1">{#N/A,#N/A,FALSE,"기안지";#N/A,#N/A,FALSE,"통신지"}</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hidden="1">{#N/A,#N/A,FALSE,"단축1";#N/A,#N/A,FALSE,"단축2";#N/A,#N/A,FALSE,"단축3";#N/A,#N/A,FALSE,"장축";#N/A,#N/A,FALSE,"4WD"}</definedName>
    <definedName name="운영경비계힉">BlankMacro1</definedName>
    <definedName name="운영방안" hidden="1">{#N/A,#N/A,FALSE,"단축1";#N/A,#N/A,FALSE,"단축2";#N/A,#N/A,FALSE,"단축3";#N/A,#N/A,FALSE,"장축";#N/A,#N/A,FALSE,"4WD"}</definedName>
    <definedName name="운영비증가율">#REF!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hidden="1">{#N/A,#N/A,TRUE,"Y생산";#N/A,#N/A,TRUE,"Y판매";#N/A,#N/A,TRUE,"Y총물량";#N/A,#N/A,TRUE,"Y능력";#N/A,#N/A,TRUE,"YKD"}</definedName>
    <definedName name="운전">#REF!</definedName>
    <definedName name="운전사">#REF!</definedName>
    <definedName name="운전조">#REF!</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hidden="1">{#N/A,#N/A,FALSE,"1.CRITERIA";#N/A,#N/A,FALSE,"2.IS";#N/A,#N/A,FALSE,"3.BS";#N/A,#N/A,FALSE,"4.PER PL";#N/A,#N/A,FALSE,"5.INVESTMENT";#N/A,#N/A,FALSE,"6.공문";#N/A,#N/A,FALSE,"7.netinvest"}</definedName>
    <definedName name="원가개선">#REF!</definedName>
    <definedName name="원가관리라" hidden="1">{#N/A,#N/A,FALSE,"정공"}</definedName>
    <definedName name="원가분석" hidden="1">{#N/A,#N/A,FALSE,"1.CRITERIA";#N/A,#N/A,FALSE,"2.IS";#N/A,#N/A,FALSE,"3.BS";#N/A,#N/A,FALSE,"4.PER PL";#N/A,#N/A,FALSE,"5.INVESTMENT";#N/A,#N/A,FALSE,"6.공문";#N/A,#N/A,FALSE,"7.netinvest"}</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hidden="1">{#N/A,#N/A,FALSE,"범우구미";#N/A,#N/A,FALSE,"세한케미칼";#N/A,#N/A,FALSE,"세명화학";#N/A,#N/A,FALSE,"신영케미칼";#N/A,#N/A,FALSE,"일석상사"}</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hidden="1">{#N/A,#N/A,FALSE,"이태원철근"}</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hidden="1">{#N/A,#N/A,FALSE,"97년 투자계획 세부내역 "}</definedName>
    <definedName name="월별목" hidden="1">{"'Jibu9811 (3)'!$B$1:$J$433"}</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hidden="1">{#N/A,#N/A,FALSE,"1.CRITERIA";#N/A,#N/A,FALSE,"2.IS";#N/A,#N/A,FALSE,"3.BS";#N/A,#N/A,FALSE,"4.PER PL";#N/A,#N/A,FALSE,"5.INVESTMENT";#N/A,#N/A,FALSE,"6.공문";#N/A,#N/A,FALSE,"7.netinvest"}</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hidden="1">{#N/A,#N/A,FALSE,"97년 투자계획 세부내역 "}</definedName>
    <definedName name="유가" hidden="1">{#N/A,#N/A,FALSE,"BS";#N/A,#N/A,FALSE,"PL";#N/A,#N/A,FALSE,"처분";#N/A,#N/A,FALSE,"현금";#N/A,#N/A,FALSE,"매출";#N/A,#N/A,FALSE,"원가";#N/A,#N/A,FALSE,"경영"}</definedName>
    <definedName name="유가00">#REF!</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hidden="1">{#N/A,#N/A,FALSE,"BS";#N/A,#N/A,FALSE,"PL";#N/A,#N/A,FALSE,"처분";#N/A,#N/A,FALSE,"현금";#N/A,#N/A,FALSE,"매출";#N/A,#N/A,FALSE,"원가";#N/A,#N/A,FALSE,"경영"}</definedName>
    <definedName name="유동부채">#REF!</definedName>
    <definedName name="유동부채참조" hidden="1">{#N/A,#N/A,FALSE,"채권채무";#N/A,#N/A,FALSE,"control sheet"}</definedName>
    <definedName name="유동성" hidden="1">#REF!</definedName>
    <definedName name="유동성사채">#REF!</definedName>
    <definedName name="유동성장기부채"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BlankMacro1</definedName>
    <definedName name="유럽별도" hidden="1">{#N/A,#N/A,FALSE,"단축1";#N/A,#N/A,FALSE,"단축2";#N/A,#N/A,FALSE,"단축3";#N/A,#N/A,FALSE,"장축";#N/A,#N/A,FALSE,"4WD"}</definedName>
    <definedName name="유산"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hidden="1">{#N/A,#N/A,FALSE,"1.CRITERIA";#N/A,#N/A,FALSE,"2.IS";#N/A,#N/A,FALSE,"3.BS";#N/A,#N/A,FALSE,"4.PER PL";#N/A,#N/A,FALSE,"5.INVESTMENT";#N/A,#N/A,FALSE,"6.공문";#N/A,#N/A,FALSE,"7.netinvest"}</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치원">#REF!</definedName>
    <definedName name="유형">#REF!</definedName>
    <definedName name="유형고정자산" hidden="1">{#N/A,#N/A,FALSE,"9612"}</definedName>
    <definedName name="유형무형자산평균">#REF!</definedName>
    <definedName name="유형무형투자자산">#REF!</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{#N/A,#N/A,FALSE,"채권채무";#N/A,#N/A,FALSE,"control sheet"}</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hidden="1">{#N/A,#N/A,FALSE,"매출이익"}</definedName>
    <definedName name="유효" hidden="1">{#N/A,#N/A,FALSE,"초중조사서식 "}</definedName>
    <definedName name="유휴율95">#REF!</definedName>
    <definedName name="유휴율96">#REF!</definedName>
    <definedName name="유휴율97">#REF!</definedName>
    <definedName name="윤소원" hidden="1">{"'Jibu9811 (3)'!$B$1:$J$433"}</definedName>
    <definedName name="윤정문" hidden="1">#REF!</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{#N/A,#N/A,TRUE,"경전'96(1)";#N/A,#N/A,TRUE,"경전'96 (2)"}</definedName>
    <definedName name="의정부">#REF!</definedName>
    <definedName name="이" hidden="1">{#N/A,#N/A,FALSE,"BS";#N/A,#N/A,FALSE,"PL";#N/A,#N/A,FALSE,"처분";#N/A,#N/A,FALSE,"현금";#N/A,#N/A,FALSE,"매출";#N/A,#N/A,FALSE,"원가";#N/A,#N/A,FALSE,"경영"}</definedName>
    <definedName name="이건형"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hidden="1">{#N/A,#N/A,FALSE,"단축1";#N/A,#N/A,FALSE,"단축2";#N/A,#N/A,FALSE,"단축3";#N/A,#N/A,FALSE,"장축";#N/A,#N/A,FALSE,"4WD"}</definedName>
    <definedName name="이근" hidden="1">{#N/A,#N/A,FALSE,"단축1";#N/A,#N/A,FALSE,"단축2";#N/A,#N/A,FALSE,"단축3";#N/A,#N/A,FALSE,"장축";#N/A,#N/A,FALSE,"4WD"}</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동" hidden="1">{#N/A,#N/A,FALSE,"을지 (4)";#N/A,#N/A,FALSE,"을지 (5)";#N/A,#N/A,FALSE,"을지 (6)"}</definedName>
    <definedName name="이란" hidden="1">{#N/A,#N/A,FALSE,"단축1";#N/A,#N/A,FALSE,"단축2";#N/A,#N/A,FALSE,"단축3";#N/A,#N/A,FALSE,"장축";#N/A,#N/A,FALSE,"4WD"}</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hidden="1">{#N/A,#N/A,FALSE,"UNIT";#N/A,#N/A,FALSE,"UNIT";#N/A,#N/A,FALSE,"계정"}</definedName>
    <definedName name="이매출">#REF!</definedName>
    <definedName name="이명호" hidden="1">#REF!</definedName>
    <definedName name="이미">#REF!</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hidden="1">{#N/A,#N/A,FALSE,"단축1";#N/A,#N/A,FALSE,"단축2";#N/A,#N/A,FALSE,"단축3";#N/A,#N/A,FALSE,"장축";#N/A,#N/A,FALSE,"4WD"}</definedName>
    <definedName name="이설공사_광양07호_시설진행중">BLCH</definedName>
    <definedName name="이성일" hidden="1">{"'5국공정'!$A$1:$E$128"}</definedName>
    <definedName name="이소" hidden="1">#REF!</definedName>
    <definedName name="이소영" hidden="1">#REF!</definedName>
    <definedName name="이슈" hidden="1">{#N/A,#N/A,TRUE,"일정"}</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BlankMacro1</definedName>
    <definedName name="이윤">#REF!</definedName>
    <definedName name="이윤율">#REF!</definedName>
    <definedName name="이율">#REF!</definedName>
    <definedName name="이이" hidden="1">{#N/A,#N/A,TRUE,"Y생산";#N/A,#N/A,TRUE,"Y판매";#N/A,#N/A,TRUE,"Y총물량";#N/A,#N/A,TRUE,"Y능력";#N/A,#N/A,TRUE,"YKD"}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BlankMacro1</definedName>
    <definedName name="이중정분해">#REF!</definedName>
    <definedName name="이중정세척">#REF!</definedName>
    <definedName name="이중정조립">#REF!</definedName>
    <definedName name="이중정청결">#REF!</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hidden="1">{#N/A,#N/A,FALSE,"Sheet1"}</definedName>
    <definedName name="인공">#REF!</definedName>
    <definedName name="인니" hidden="1">{#N/A,#N/A,FALSE,"UNIT";#N/A,#N/A,FALSE,"UNIT";#N/A,#N/A,FALSE,"계정"}</definedName>
    <definedName name="인당평균사원수" hidden="1">{#N/A,#N/A,TRUE,"경전'96(1)";#N/A,#N/A,TRUE,"경전'96 (2)"}</definedName>
    <definedName name="인당평균인원" hidden="1">{#N/A,#N/A,TRUE,"경전'96(1)";#N/A,#N/A,TRUE,"경전'96 (2)"}</definedName>
    <definedName name="인도네시아" hidden="1">{#N/A,#N/A,FALSE,"UNIT";#N/A,#N/A,FALSE,"UNIT";#N/A,#N/A,FALSE,"계정"}</definedName>
    <definedName name="인동덩쿨">#REF!</definedName>
    <definedName name="인력계획2" hidden="1">#REF!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익">BlankMacro1</definedName>
    <definedName name="인쇄BU" hidden="1">{#N/A,#N/A,FALSE,"지침";#N/A,#N/A,FALSE,"환경분석";#N/A,#N/A,FALSE,"Sheet16"}</definedName>
    <definedName name="인쇄영역">#REF!,#REF!,#REF!</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hidden="1">{"'BSC(2001)'!$A$27:$G$32"}</definedName>
    <definedName name="인원충원사유" hidden="1">{#N/A,#N/A,FALSE,"계약직(여)"}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hidden="1">#REF!</definedName>
    <definedName name="일반1" hidden="1">#REF!</definedName>
    <definedName name="一般管理" hidden="1">{"'買掛金'!$J$6"}</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BlankMacro1</definedName>
    <definedName name="일용직">#REF!</definedName>
    <definedName name="일위" hidden="1">#REF!</definedName>
    <definedName name="일위단가">#REF!</definedName>
    <definedName name="일위대가표">#REF!</definedName>
    <definedName name="일이ㅏㄹ" hidden="1">{#N/A,#N/A,FALSE,"단축1";#N/A,#N/A,FALSE,"단축2";#N/A,#N/A,FALSE,"단축3";#N/A,#N/A,FALSE,"장축";#N/A,#N/A,FALSE,"4WD"}</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진"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hidden="1">{#N/A,#N/A,FALSE,"BS";#N/A,#N/A,FALSE,"PL";#N/A,#N/A,FALSE,"처분";#N/A,#N/A,FALSE,"현금";#N/A,#N/A,FALSE,"매출";#N/A,#N/A,FALSE,"원가";#N/A,#N/A,FALSE,"경영"}</definedName>
    <definedName name="임대부대공사">#REF!</definedName>
    <definedName name="임대상가">#REF!</definedName>
    <definedName name="임동원" hidden="1">{#N/A,#N/A,FALSE,"정공"}</definedName>
    <definedName name="임병길" hidden="1">{#N/A,#N/A,FALSE,"단축1";#N/A,#N/A,FALSE,"단축2";#N/A,#N/A,FALSE,"단축3";#N/A,#N/A,FALSE,"장축";#N/A,#N/A,FALSE,"4WD"}</definedName>
    <definedName name="임시">BLCH</definedName>
    <definedName name="임시2" hidden="1">{#N/A,#N/A,FALSE,"단축1";#N/A,#N/A,FALSE,"단축2";#N/A,#N/A,FALSE,"단축3";#N/A,#N/A,FALSE,"장축";#N/A,#N/A,FALSE,"4WD"}</definedName>
    <definedName name="임직">#REF!</definedName>
    <definedName name="임차2">{"'분양원가'!$B$1:$F$113"}</definedName>
    <definedName name="임차보증금">#REF!</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{"XG6PR2"}</definedName>
    <definedName name="입력선택">#REF!</definedName>
    <definedName name="입사일">#REF!</definedName>
    <definedName name="잉여_Eng">#REF!</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hidden="1">{#N/A,#N/A,FALSE,"BS";#N/A,#N/A,FALSE,"PL";#N/A,#N/A,FALSE,"처분";#N/A,#N/A,FALSE,"현금";#N/A,#N/A,FALSE,"매출";#N/A,#N/A,FALSE,"원가";#N/A,#N/A,FALSE,"경영"}</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ㄷㄱ호ㅗ" hidden="1">{"'Jibu9811 (3)'!$B$1:$J$433"}</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BlankMacro1</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BlankMacro1</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hidden="1">{#N/A,#N/A,TRUE,"경전'96(1)";#N/A,#N/A,TRUE,"경전'96 (2)"}</definedName>
    <definedName name="자" hidden="1">{#N/A,#N/A,FALSE,"UNIT";#N/A,#N/A,FALSE,"UNIT";#N/A,#N/A,FALSE,"계정"}</definedName>
    <definedName name="자." hidden="1">{#N/A,#N/A,FALSE,"UNIT";#N/A,#N/A,FALSE,"UNIT";#N/A,#N/A,FALSE,"계정"}</definedName>
    <definedName name="자.." hidden="1">{#N/A,#N/A,FALSE,"UNIT";#N/A,#N/A,FALSE,"UNIT";#N/A,#N/A,FALSE,"계정"}</definedName>
    <definedName name="자귀나무">#REF!</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BlankMacro1</definedName>
    <definedName name="자동화" hidden="1">{#N/A,#N/A,FALSE,"UNIT";#N/A,#N/A,FALSE,"UNIT";#N/A,#N/A,FALSE,"계정"}</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hidden="1">{#N/A,#N/A,FALSE,"정공"}</definedName>
    <definedName name="자본금과잉여금">#REF!</definedName>
    <definedName name="자본반기" hidden="1">#REF!</definedName>
    <definedName name="자본변동표3" hidden="1">{#N/A,#N/A,FALSE,"Aging Summary";#N/A,#N/A,FALSE,"Ratio Analysis";#N/A,#N/A,FALSE,"Test 120 Day Accts";#N/A,#N/A,FALSE,"Tickmarks"}</definedName>
    <definedName name="자본평균">#REF!</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hidden="1">{#N/A,#N/A,FALSE,"UNIT";#N/A,#N/A,FALSE,"UNIT";#N/A,#N/A,FALSE,"계정"}</definedName>
    <definedName name="자이자">#REF!</definedName>
    <definedName name="자인원">#REF!</definedName>
    <definedName name="자잦" hidden="1">{#N/A,#N/A,FALSE,"단축1";#N/A,#N/A,FALSE,"단축2";#N/A,#N/A,FALSE,"단축3";#N/A,#N/A,FALSE,"장축";#N/A,#N/A,FALSE,"4WD"}</definedName>
    <definedName name="자재">#REF!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BlankMacro1</definedName>
    <definedName name="자재현황비교">#REF!</definedName>
    <definedName name="자진" hidden="1">#REF!</definedName>
    <definedName name="자챧">BlankMacro1</definedName>
    <definedName name="자챰">BlankMacro1</definedName>
    <definedName name="자판간접">#REF!</definedName>
    <definedName name="자회사" hidden="1">#REF!</definedName>
    <definedName name="작성자">#REF!</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hidden="1">{#N/A,#N/A,FALSE,"정공"}</definedName>
    <definedName name="잔디_평떼">#REF!</definedName>
    <definedName name="잔액">#REF!</definedName>
    <definedName name="잔양" hidden="1">{#N/A,#N/A,FALSE,"P.C.B"}</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hidden="1">{"'買掛金'!$J$6"}</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hidden="1">{#N/A,#N/A,FALSE,"UNIT";#N/A,#N/A,FALSE,"UNIT";#N/A,#N/A,FALSE,"계정"}</definedName>
    <definedName name="장구" hidden="1">{#N/A,#N/A,FALSE,"Sheet6"}</definedName>
    <definedName name="장기" hidden="1">{#N/A,#N/A,TRUE,"Y생산";#N/A,#N/A,TRUE,"Y판매";#N/A,#N/A,TRUE,"Y총물량";#N/A,#N/A,TRUE,"Y능력";#N/A,#N/A,TRUE,"YKD"}</definedName>
    <definedName name="장기금융상품">#REF!</definedName>
    <definedName name="장기미수금" hidden="1">{#N/A,#N/A,FALSE,"UNIT";#N/A,#N/A,FALSE,"UNIT";#N/A,#N/A,FALSE,"계정"}</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hidden="1">{#N/A,#N/A,FALSE,"BS";#N/A,#N/A,FALSE,"PL";#N/A,#N/A,FALSE,"처분";#N/A,#N/A,FALSE,"현금";#N/A,#N/A,FALSE,"매출";#N/A,#N/A,FALSE,"원가";#N/A,#N/A,FALSE,"경영"}</definedName>
    <definedName name="장기채권">#REF!</definedName>
    <definedName name="장기환산평가">#REF!</definedName>
    <definedName name="長島" hidden="1">{"'買掛金'!$J$6"}</definedName>
    <definedName name="장부가액">#REF!</definedName>
    <definedName name="장부가액합계">#REF!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hidden="1">{#N/A,#N/A,FALSE,"단축1";#N/A,#N/A,FALSE,"단축2";#N/A,#N/A,FALSE,"단축3";#N/A,#N/A,FALSE,"장축";#N/A,#N/A,FALSE,"4WD"}</definedName>
    <definedName name="재" hidden="1">{#N/A,#N/A,FALSE,"UNIT";#N/A,#N/A,FALSE,"UNIT";#N/A,#N/A,FALSE,"계정"}</definedName>
    <definedName name="재가ㅗㄹ" hidden="1">{#N/A,#N/A,FALSE,"배수1"}</definedName>
    <definedName name="재경" hidden="1">{#N/A,#N/A,FALSE,"UNIT";#N/A,#N/A,FALSE,"UNIT";#N/A,#N/A,FALSE,"계정"}</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hidden="1">{#N/A,#N/A,FALSE,"UNIT";#N/A,#N/A,FALSE,"UNIT";#N/A,#N/A,FALSE,"계정"}</definedName>
    <definedName name="재료비">#REF!</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hidden="1">{"'미착금액'!$A$4:$G$14"}</definedName>
    <definedName name="재쟏" hidden="1">{#N/A,#N/A,FALSE,"배수2"}</definedName>
    <definedName name="재직노">#REF!</definedName>
    <definedName name="재ㅔㅈ하" hidden="1">{#N/A,#N/A,FALSE,"부대1"}</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hidden="1">{#N/A,#N/A,FALSE,"UNIT";#N/A,#N/A,FALSE,"UNIT";#N/A,#N/A,FALSE,"계정"}</definedName>
    <definedName name="저케">#REF!</definedName>
    <definedName name="적금입력">#REF!</definedName>
    <definedName name="전" hidden="1">{#N/A,#N/A,FALSE,"신규dep";#N/A,#N/A,FALSE,"신규dep-금형상각후";#N/A,#N/A,FALSE,"신규dep-연구비상각후";#N/A,#N/A,FALSE,"신규dep-기계,공구상각후"}</definedName>
    <definedName name="전_화_번_호">#REF!</definedName>
    <definedName name="전1">#REF!</definedName>
    <definedName name="전2"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hidden="1">{"FORM1",#N/A,FALSE,"Revenue";"FORMTR",#N/A,FALSE,"Revenue";"FORM3.1",#N/A,FALSE,"Revenue"}</definedName>
    <definedName name="전도\" hidden="1">{"FORM17",#N/A,FALSE,"Commission1";"FORM17.1",#N/A,FALSE,"Commission2"}</definedName>
    <definedName name="전도금2" hidden="1">{"FORM17",#N/A,FALSE,"Commission1";"FORM17.1",#N/A,FALSE,"Commission2"}</definedName>
    <definedName name="전등노무비">#REF!</definedName>
    <definedName name="전등자재비">#REF!</definedName>
    <definedName name="전략" hidden="1">{#N/A,#N/A,FALSE,"정공"}</definedName>
    <definedName name="전략2" hidden="1">{#N/A,#N/A,FALSE,"정공"}</definedName>
    <definedName name="전략투" hidden="1">{#N/A,#N/A,FALSE,"정공"}</definedName>
    <definedName name="전부" hidden="1">{#N/A,#N/A,FALSE,"단축1";#N/A,#N/A,FALSE,"단축2";#N/A,#N/A,FALSE,"단축3";#N/A,#N/A,FALSE,"장축";#N/A,#N/A,FALSE,"4WD"}</definedName>
    <definedName name="전사" hidden="1">#REF!</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hidden="1">{#N/A,#N/A,FALSE,"97년 투자계획 세부내역 "}</definedName>
    <definedName name="전용원1" hidden="1">{#N/A,#N/A,FALSE,"97년 투자계획 세부내역 "}</definedName>
    <definedName name="전입액">#REF!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hidden="1">{#N/A,#N/A,FALSE,"불량현황";#N/A,#N/A,FALSE,"표면처리업체별";#N/A,#N/A,FALSE,"사양별";#N/A,#N/A,FALSE,"제작업체별";#N/A,#N/A,FALSE,"업체주소";#N/A,#N/A,FALSE,"장착부위";#N/A,#N/A,FALSE,"V-100표면현황 (2)"}</definedName>
    <definedName name="전주" hidden="1">{"'Jibu9811 (3)'!$B$1:$J$433"}</definedName>
    <definedName name="전주2" hidden="1">{"'Jibu9811 (3)'!$B$1:$J$433"}</definedName>
    <definedName name="전직사유">#REF!</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hidden="1">{#N/A,#N/A,FALSE,"단축1";#N/A,#N/A,FALSE,"단축2";#N/A,#N/A,FALSE,"단축3";#N/A,#N/A,FALSE,"장축";#N/A,#N/A,FALSE,"4WD"}</definedName>
    <definedName name="전화">#REF!</definedName>
    <definedName name="전화가입권" hidden="1">{#N/A,#N/A,FALSE,"정공"}</definedName>
    <definedName name="절" hidden="1">#REF!</definedName>
    <definedName name="절감">#REF!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 hidden="1">{"'買掛金'!$J$6"}</definedName>
    <definedName name="절삭">#REF!</definedName>
    <definedName name="절삭2">#REF!</definedName>
    <definedName name="점소">#N/A</definedName>
    <definedName name="점수표">#REF!</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hidden="1">{#N/A,#N/A,FALSE,"UNIT";#N/A,#N/A,FALSE,"UNIT";#N/A,#N/A,FALSE,"계정"}</definedName>
    <definedName name="정문식" hidden="1">{#N/A,#N/A,FALSE,"UNIT";#N/A,#N/A,FALSE,"UNIT";#N/A,#N/A,FALSE,"계정"}</definedName>
    <definedName name="정미아" hidden="1">{#N/A,#N/A,FALSE,"BS";#N/A,#N/A,FALSE,"PL";#N/A,#N/A,FALSE,"처분";#N/A,#N/A,FALSE,"현금";#N/A,#N/A,FALSE,"매출";#N/A,#N/A,FALSE,"원가";#N/A,#N/A,FALSE,"경영"}</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hidden="1">{#N/A,#N/A,FALSE,"BS";#N/A,#N/A,FALSE,"PL";#N/A,#N/A,FALSE,"처분";#N/A,#N/A,FALSE,"현금";#N/A,#N/A,FALSE,"매출";#N/A,#N/A,FALSE,"원가";#N/A,#N/A,FALSE,"경영"}</definedName>
    <definedName name="정산표_CF_4_6_">#REF!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hidden="1">{"'Jibu9811 (3)'!$B$1:$J$433"}</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젖"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hidden="1">{#N/A,#N/A,FALSE,"단축1";#N/A,#N/A,FALSE,"단축2";#N/A,#N/A,FALSE,"단축3";#N/A,#N/A,FALSE,"장축";#N/A,#N/A,FALSE,"4WD"}</definedName>
    <definedName name="제잡비">#REF!</definedName>
    <definedName name="제조" hidden="1">{#N/A,#N/A,FALSE,"UNIT";#N/A,#N/A,FALSE,"UNIT";#N/A,#N/A,FALSE,"계정"}</definedName>
    <definedName name="제조경비">#REF!</definedName>
    <definedName name="제조발" hidden="1">{"'매출이익'!$A$24:$K$45"}</definedName>
    <definedName name="제조발생전" hidden="1">{"'매출이익'!$A$24:$K$45"}</definedName>
    <definedName name="제조발생전파일" hidden="1">{"'매출이익'!$A$24:$K$45"}</definedName>
    <definedName name="제조원가">#REF!</definedName>
    <definedName name="제조원가명세서" hidden="1">{#N/A,#N/A,FALSE,"정공"}</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hidden="1">{#N/A,#N/A,FALSE,"9612"}</definedName>
    <definedName name="제품개발계획">BlankMacro1</definedName>
    <definedName name="제품구성" hidden="1">{"'Jibu9811 (3)'!$B$1:$J$433"}</definedName>
    <definedName name="제품명">#REF!</definedName>
    <definedName name="제품별사업전략" hidden="1">{#N/A,#N/A,FALSE,"UNIT";#N/A,#N/A,FALSE,"UNIT";#N/A,#N/A,FALSE,"계정"}</definedName>
    <definedName name="제품시화">#REF!</definedName>
    <definedName name="제품입출">#REF!</definedName>
    <definedName name="제품종류">#REF!</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hidden="1">{#N/A,#N/A,FALSE,"예상손익";#N/A,#N/A,FALSE,"관리분석";#N/A,#N/A,FALSE,"장비분석";#N/A,#N/A,FALSE,"준설분석";#N/A,#N/A,FALSE,"철구분석"}</definedName>
    <definedName name="조광원" hidden="1">{#N/A,#N/A,FALSE,"UNIT";#N/A,#N/A,FALSE,"UNIT";#N/A,#N/A,FALSE,"계정"}</definedName>
    <definedName name="조달수수료">#REF!</definedName>
    <definedName name="조동" hidden="1">{#N/A,#N/A,FALSE,"단축1";#N/A,#N/A,FALSE,"단축2";#N/A,#N/A,FALSE,"단축3";#N/A,#N/A,FALSE,"장축";#N/A,#N/A,FALSE,"4WD"}</definedName>
    <definedName name="조동신" hidden="1">{#N/A,#N/A,FALSE,"단축1";#N/A,#N/A,FALSE,"단축2";#N/A,#N/A,FALSE,"단축3";#N/A,#N/A,FALSE,"장축";#N/A,#N/A,FALSE,"4WD"}</definedName>
    <definedName name="조력공">#REF!</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hidden="1">{#N/A,#N/A,FALSE,"정공"}</definedName>
    <definedName name="조직" hidden="1">#REF!</definedName>
    <definedName name="조직1" hidden="1">{#N/A,#N/A,FALSE,"정공"}</definedName>
    <definedName name="조직3" hidden="1">{#N/A,#N/A,FALSE,"정공"}</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hidden="1">{#N/A,#N/A,FALSE,"단축1";#N/A,#N/A,FALSE,"단축2";#N/A,#N/A,FALSE,"단축3";#N/A,#N/A,FALSE,"장축";#N/A,#N/A,FALSE,"4WD"}</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hidden="1">{#N/A,#N/A,FALSE,"단축1";#N/A,#N/A,FALSE,"단축2";#N/A,#N/A,FALSE,"단축3";#N/A,#N/A,FALSE,"장축";#N/A,#N/A,FALSE,"4WD"}</definedName>
    <definedName name="종합2" hidden="1">{#N/A,#N/A,FALSE,"정공"}</definedName>
    <definedName name="종합과세대상금융소득">#REF!</definedName>
    <definedName name="종합그래프" hidden="1">{#N/A,#N/A,FALSE,"단축1";#N/A,#N/A,FALSE,"단축2";#N/A,#N/A,FALSE,"단축3";#N/A,#N/A,FALSE,"장축";#N/A,#N/A,FALSE,"4WD"}</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#REF!</definedName>
    <definedName name="좋은금고">#N/A</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#REF!</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원" hidden="1">#REF!</definedName>
    <definedName name="주정산2000">#REF!</definedName>
    <definedName name="주제어동인원" hidden="1">{#N/A,#N/A,FALSE,"CCTV"}</definedName>
    <definedName name="주종단체">#REF!</definedName>
    <definedName name="주차계획" hidden="1">{#N/A,#N/A,FALSE,"UNIT";#N/A,#N/A,FALSE,"UNIT";#N/A,#N/A,FALSE,"계정"}</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hidden="1">{#N/A,#N/A,FALSE,"Aging Summary";#N/A,#N/A,FALSE,"Ratio Analysis";#N/A,#N/A,FALSE,"Test 120 Day Accts";#N/A,#N/A,FALSE,"Tickmarks"}</definedName>
    <definedName name="준_1" hidden="1">{#N/A,#N/A,FALSE,"Aging Summary";#N/A,#N/A,FALSE,"Ratio Analysis";#N/A,#N/A,FALSE,"Test 120 Day Accts";#N/A,#N/A,FALSE,"Tickmarks"}</definedName>
    <definedName name="준공">BLCH</definedName>
    <definedName name="준공2">BLCH</definedName>
    <definedName name="준공계2">BLCH</definedName>
    <definedName name="준공일">#REF!</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hidden="1">{#N/A,#N/A,FALSE,"정공"}</definedName>
    <definedName name="중기운전기사">#REF!</definedName>
    <definedName name="중기운전사">#N/A</definedName>
    <definedName name="중동동상가원가">#REF!</definedName>
    <definedName name="중분류">#REF!</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hidden="1">{#N/A,#N/A,FALSE,"단축1";#N/A,#N/A,FALSE,"단축2";#N/A,#N/A,FALSE,"단축3";#N/A,#N/A,FALSE,"장축";#N/A,#N/A,FALSE,"4WD"}</definedName>
    <definedName name="중일정3" hidden="1">{#N/A,#N/A,FALSE,"단축1";#N/A,#N/A,FALSE,"단축2";#N/A,#N/A,FALSE,"단축3";#N/A,#N/A,FALSE,"장축";#N/A,#N/A,FALSE,"4WD"}</definedName>
    <definedName name="중재">#REF!</definedName>
    <definedName name="중점" hidden="1">{"'BSC(2001)'!$A$27:$G$32"}</definedName>
    <definedName name="중점검토" hidden="1">{#N/A,#N/A,FALSE,"BS";#N/A,#N/A,FALSE,"PL";#N/A,#N/A,FALSE,"처분";#N/A,#N/A,FALSE,"현금";#N/A,#N/A,FALSE,"매출";#N/A,#N/A,FALSE,"원가";#N/A,#N/A,FALSE,"경영"}</definedName>
    <definedName name="중점추" hidden="1">{"'BSC(2001)'!$A$27:$G$32"}</definedName>
    <definedName name="중점추진" hidden="1">{#N/A,#N/A,TRUE,"일정"}</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hidden="1">{#N/A,#N/A,FALSE,"97년 투자계획 세부내역 "}</definedName>
    <definedName name="증권">#REF!</definedName>
    <definedName name="증빙">#N/A</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hidden="1">{#N/A,#N/A,FALSE,"Aging Summary";#N/A,#N/A,FALSE,"Ratio Analysis";#N/A,#N/A,FALSE,"Test 120 Day Accts";#N/A,#N/A,FALSE,"Tickmarks"}</definedName>
    <definedName name="지급어음만기별" hidden="1">#REF!</definedName>
    <definedName name="지급어음명세서3" hidden="1">{#N/A,#N/A,FALSE,"정공"}</definedName>
    <definedName name="지급율">#REF!</definedName>
    <definedName name="지급자재비">#REF!</definedName>
    <definedName name="지급조건">#REF!</definedName>
    <definedName name="지도" hidden="1">{"'Jibu9811 (3)'!$B$1:$J$433"}</definedName>
    <definedName name="지방1" hidden="1">{#N/A,#N/A,FALSE,"생산성";#N/A,#N/A,FALSE,"인력1";#N/A,#N/A,FALSE,"인력2";#N/A,#N/A,FALSE,"인력3";#N/A,#N/A,FALSE,"인건1";#N/A,#N/A,FALSE,"인건2";#N/A,#N/A,FALSE,"인건3";#N/A,#N/A,FALSE,"인원증감";#N/A,#N/A,FALSE,"인건증감";#N/A,#N/A,FALSE,"표지등"}</definedName>
    <definedName name="지부실적" hidden="1">{"'Jibu9811 (3)'!$B$1:$J$433"}</definedName>
    <definedName name="지부와실적" hidden="1">{"'Jibu9811 (3)'!$B$1:$J$433"}</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hidden="1">{"'買掛金'!$J$6"}</definedName>
    <definedName name="支払手形" hidden="1">{"'買掛金'!$J$6"}</definedName>
    <definedName name="지역">#N/A</definedName>
    <definedName name="지역명">#REF!</definedName>
    <definedName name="지자">#REF!</definedName>
    <definedName name="지점제시기준" hidden="1">{"'Jibu9811 (3)'!$B$1:$J$433"}</definedName>
    <definedName name="지주">#N/A</definedName>
    <definedName name="지지">#REF!</definedName>
    <definedName name="지지지" hidden="1">{"'미착금액'!$A$4:$G$14"}</definedName>
    <definedName name="직">#REF!</definedName>
    <definedName name="직1CO">#REF!</definedName>
    <definedName name="직공">#REF!</definedName>
    <definedName name="직급공정" hidden="1">#REF!</definedName>
    <definedName name="직급별3" hidden="1">{#N/A,#N/A,FALSE,"Sheet1"}</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hidden="1">{#N/A,#N/A,FALSE,"CCTV"}</definedName>
    <definedName name="직접재료비">#REF!</definedName>
    <definedName name="직종">#REF!</definedName>
    <definedName name="진" hidden="1">{"'Jibu9811 (3)'!$B$1:$J$433"}</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hidden="1">{"'Jibu9811 (3)'!$B$1:$J$433"}</definedName>
    <definedName name="진주">#REF!</definedName>
    <definedName name="진짜" hidden="1">{"'Jibu9811 (3)'!$B$1:$J$433"}</definedName>
    <definedName name="진짜살림">#REF!</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hidden="1">{#N/A,#N/A,FALSE,"BS";#N/A,#N/A,FALSE,"PL";#N/A,#N/A,FALSE,"처분";#N/A,#N/A,FALSE,"현금";#N/A,#N/A,FALSE,"매출";#N/A,#N/A,FALSE,"원가";#N/A,#N/A,FALSE,"경영"}</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hidden="1">{#N/A,#N/A,FALSE,"BS";#N/A,#N/A,FALSE,"PL";#N/A,#N/A,FALSE,"처분";#N/A,#N/A,FALSE,"현금";#N/A,#N/A,FALSE,"매출";#N/A,#N/A,FALSE,"원가";#N/A,#N/A,FALSE,"경영"}</definedName>
    <definedName name="ㅊ1055">#REF!</definedName>
    <definedName name="ㅊ3030">#REF!</definedName>
    <definedName name="ㅊ댜ㅓㅏㅎ">BlankMacro1</definedName>
    <definedName name="ㅊㅂㄷ" hidden="1">{#N/A,#N/A,FALSE,"기안지";#N/A,#N/A,FALSE,"통신지"}</definedName>
    <definedName name="ㅊㅇ" hidden="1">{#N/A,#N/A,FALSE,"기안지";#N/A,#N/A,FALSE,"통신지"}</definedName>
    <definedName name="ㅊ어ㅑㅐ">BlankMacro1</definedName>
    <definedName name="ㅊㅊ">BlankMacro1</definedName>
    <definedName name="ㅊㅊㅊ" hidden="1">{#N/A,#N/A,FALSE,"단축1";#N/A,#N/A,FALSE,"단축2";#N/A,#N/A,FALSE,"단축3";#N/A,#N/A,FALSE,"장축";#N/A,#N/A,FALSE,"4WD"}</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BlankMacro1</definedName>
    <definedName name="ㅊ퍄">BlankMacro1</definedName>
    <definedName name="ㅊ폴" hidden="1">{#N/A,#N/A,FALSE,"Sheet6"}</definedName>
    <definedName name="차" hidden="1">{#N/A,#N/A,FALSE,"1.CRITERIA";#N/A,#N/A,FALSE,"2.IS";#N/A,#N/A,FALSE,"3.BS";#N/A,#N/A,FALSE,"4.PER PL";#N/A,#N/A,FALSE,"5.INVESTMENT";#N/A,#N/A,FALSE,"6.공문";#N/A,#N/A,FALSE,"7.netinvest"}</definedName>
    <definedName name="차." hidden="1">{#N/A,#N/A,FALSE,"UNIT";#N/A,#N/A,FALSE,"UNIT";#N/A,#N/A,FALSE,"계정"}</definedName>
    <definedName name="차댜">BlankMacro1</definedName>
    <definedName name="차댬ㅎ">BlankMacro1</definedName>
    <definedName name="차댱" hidden="1">{#N/A,#N/A,FALSE,"기안지";#N/A,#N/A,FALSE,"통신지"}</definedName>
    <definedName name="차량" hidden="1">{#N/A,#N/A,FALSE,"UNIT";#N/A,#N/A,FALSE,"UNIT";#N/A,#N/A,FALSE,"계정"}</definedName>
    <definedName name="차량SVC" hidden="1">{#N/A,#N/A,FALSE,"UNIT";#N/A,#N/A,FALSE,"UNIT";#N/A,#N/A,FALSE,"계정"}</definedName>
    <definedName name="차량감가">#REF!</definedName>
    <definedName name="차량시부인">#REF!</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BlankMacro1</definedName>
    <definedName name="차이조">#REF!</definedName>
    <definedName name="차이조정분" hidden="1">{"'Sheet1'!$A$1:$D$15"}</definedName>
    <definedName name="차이조회">#REF!</definedName>
    <definedName name="차입" hidden="1">{#N/A,#N/A,FALSE,"Sheet1"}</definedName>
    <definedName name="차입금">#REF!</definedName>
    <definedName name="차입금리">#REF!</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{#N/A,#N/A,FALSE,"단축1";#N/A,#N/A,FALSE,"단축2";#N/A,#N/A,FALSE,"단축3";#N/A,#N/A,FALSE,"장축";#N/A,#N/A,FALSE,"4WD"}</definedName>
    <definedName name="차트" hidden="1">{#N/A,#N/A,FALSE,"정공"}</definedName>
    <definedName name="차ㅏ">BlankMacro1</definedName>
    <definedName name="차ㅏㄷ">BlankMacro1</definedName>
    <definedName name="차ㅏㅇ">BlankMacro1</definedName>
    <definedName name="차ㅏ아">BlankMacro1</definedName>
    <definedName name="차ㅏㅈ" hidden="1">{#N/A,#N/A,FALSE,"기안지";#N/A,#N/A,FALSE,"통신지"}</definedName>
    <definedName name="차ㅏㅊ" hidden="1">{#N/A,#N/A,FALSE,"기안지";#N/A,#N/A,FALSE,"통신지"}</definedName>
    <definedName name="차ㅏㅏㅏㅏㅕ다ㅣ">BlankMacro1</definedName>
    <definedName name="차ㅏㅓ허" hidden="1">{#N/A,#N/A,FALSE,"기안지";#N/A,#N/A,FALSE,"통신지"}</definedName>
    <definedName name="차ㅓㅇ">BlankMacro1</definedName>
    <definedName name="차ㅓㅎ">BlankMacro1</definedName>
    <definedName name="차ㅓㅓ">BlankMacro1</definedName>
    <definedName name="차ㅕ도호">BlankMacro1</definedName>
    <definedName name="착공월">#REF!</definedName>
    <definedName name="착공일">#REF!</definedName>
    <definedName name="착정">#N/A</definedName>
    <definedName name="참고"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자료" hidden="1">{#VALUE!,#N/A,FALSE,0;#N/A,#N/A,FALSE,0;#N/A,#N/A,FALSE,0;#N/A,#N/A,FALSE,0}</definedName>
    <definedName name="창고">#REF!</definedName>
    <definedName name="채권과다"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hidden="1">{#N/A,#N/A,FALSE,"채권채무";#N/A,#N/A,FALSE,"control sheet"}</definedName>
    <definedName name="채권전체">#REF!</definedName>
    <definedName name="채권채무통제표">#N/A</definedName>
    <definedName name="채무" hidden="1">{"'매출이익'!$A$24:$K$45"}</definedName>
    <definedName name="채무내역" hidden="1">{"'매출이익'!$A$24:$K$45"}</definedName>
    <definedName name="채ㅏ더ㅓㅓㅎ">BlankMacro1</definedName>
    <definedName name="책">BlankMacro1</definedName>
    <definedName name="챠">BlankMacro1</definedName>
    <definedName name="챠다">BlankMacro1</definedName>
    <definedName name="챠더히햐">BlankMacro1</definedName>
    <definedName name="챠뎌" hidden="1">{#N/A,#N/A,FALSE,"기안지";#N/A,#N/A,FALSE,"통신지"}</definedName>
    <definedName name="챠디">BlankMacro1</definedName>
    <definedName name="챠어">BlankMacro1</definedName>
    <definedName name="챠ㅏㅏ어">BlankMacro1</definedName>
    <definedName name="챠ㅐㅏㅣㅣㅇ">BlankMacro1</definedName>
    <definedName name="챧">BlankMacro1</definedName>
    <definedName name="챧ㅁ">BlankMacro1</definedName>
    <definedName name="챰ㅂ">BlankMacro1</definedName>
    <definedName name="챶당">BlankMacro1</definedName>
    <definedName name="처" hidden="1">{#N/A,#N/A,FALSE,"기안지";#N/A,#N/A,FALSE,"통신지"}</definedName>
    <definedName name="처댜">BlankMacro1</definedName>
    <definedName name="처댜차ㅏㅓㅇ">BlankMacro1</definedName>
    <definedName name="처뱌">BlankMacro1</definedName>
    <definedName name="처아아" hidden="1">{#N/A,#N/A,FALSE,"기안지";#N/A,#N/A,FALSE,"통신지"}</definedName>
    <definedName name="처어ㅓ">BlankMacro1</definedName>
    <definedName name="처장신규" hidden="1">{"'Jibu9811 (3)'!$B$1:$J$433"}</definedName>
    <definedName name="처허아">BlankMacro1</definedName>
    <definedName name="처허ㅏㅣ">BlankMacro1</definedName>
    <definedName name="처허ㅓㅇ">BlankMacro1</definedName>
    <definedName name="처호">BlankMacro1</definedName>
    <definedName name="처회">BlankMacro1</definedName>
    <definedName name="처ㅏㄷ">BlankMacro1</definedName>
    <definedName name="처ㅏㅇ">BlankMacro1</definedName>
    <definedName name="처ㅏ허">BlankMacro1</definedName>
    <definedName name="처ㅏㅏㅇ">BlankMacro1</definedName>
    <definedName name="처ㅏㅏㅏㅇ">BlankMacro1</definedName>
    <definedName name="처ㅏㅐㄷㄱ" hidden="1">{#N/A,#N/A,FALSE,"기안지";#N/A,#N/A,FALSE,"통신지"}</definedName>
    <definedName name="처ㅑ">BlankMacro1</definedName>
    <definedName name="처ㅑㄷㄱ" hidden="1">{#N/A,#N/A,FALSE,"기안지";#N/A,#N/A,FALSE,"통신지"}</definedName>
    <definedName name="처ㅑ다">BlankMacro1</definedName>
    <definedName name="처ㅑ디">BlankMacro1</definedName>
    <definedName name="처ㅑㅂ">BlankMacro1</definedName>
    <definedName name="처ㅓ" hidden="1">{#N/A,#N/A,FALSE,"기안지";#N/A,#N/A,FALSE,"통신지"}</definedName>
    <definedName name="처ㅓㄹ">BlankMacro1</definedName>
    <definedName name="처ㅓㅇ">BlankMacro1</definedName>
    <definedName name="처ㅓㅇ아">BlankMacro1</definedName>
    <definedName name="처ㅓㅎ">BlankMacro1</definedName>
    <definedName name="처ㅓ하">BlankMacro1</definedName>
    <definedName name="처ㅓ허ㅓㅇ">BlankMacro1</definedName>
    <definedName name="처ㅓㅓㅇ" hidden="1">{#N/A,#N/A,FALSE,"기안지";#N/A,#N/A,FALSE,"통신지"}</definedName>
    <definedName name="처ㅓㅓㅑㄷ">BlankMacro1</definedName>
    <definedName name="천">#REF!</definedName>
    <definedName name="천안">#REF!</definedName>
    <definedName name="천천천">BlankMacro1</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hidden="1">{"'Jibu9811 (3)'!$B$1:$J$433"}</definedName>
    <definedName name="첨"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1">BlankMacro1</definedName>
    <definedName name="첩모">BlankMacro1</definedName>
    <definedName name="첫장" hidden="1">{#N/A,#N/A,TRUE,"총괄"}</definedName>
    <definedName name="첫장1" hidden="1">{"'용역비'!$A$4:$C$8"}</definedName>
    <definedName name="청단풍">#REF!</definedName>
    <definedName name="청주">#REF!</definedName>
    <definedName name="청주가동률">{"Book1"}</definedName>
    <definedName name="첳">BlankMacro1</definedName>
    <definedName name="초고압" hidden="1">{#N/A,#N/A,FALSE,"UNIT";#N/A,#N/A,FALSE,"UNIT";#N/A,#N/A,FALSE,"계정"}</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hidden="1">{#N/A,#N/A,FALSE,"계약직(여)"}</definedName>
    <definedName name="초임급" hidden="1">{#N/A,#N/A,FALSE,"계약직(여)"}</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hidden="1">{#N/A,#N/A,FALSE,"운반시간"}</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hidden="1">{#N/A,#N/A,FALSE,"정공"}</definedName>
    <definedName name="총괄1" hidden="1">{#N/A,#N/A,FALSE,"UNIT";#N/A,#N/A,FALSE,"UNIT";#N/A,#N/A,FALSE,"계정"}</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hidden="1">{#N/A,#N/A,FALSE,"P.C.B"}</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hidden="1">{#N/A,#N/A,FALSE,"1.CRITERIA";#N/A,#N/A,FALSE,"2.IS";#N/A,#N/A,FALSE,"3.BS";#N/A,#N/A,FALSE,"4.PER PL";#N/A,#N/A,FALSE,"5.INVESTMENT";#N/A,#N/A,FALSE,"6.공문";#N/A,#N/A,FALSE,"7.netinvest"}</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hidden="1">{#N/A,#N/A,FALSE,"정공"}</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hidden="1">{#N/A,#N/A,TRUE,"경전'96(1)";#N/A,#N/A,TRUE,"경전'96 (2)"}</definedName>
    <definedName name="추" hidden="1">{#N/A,#N/A,FALSE,"단축1";#N/A,#N/A,FALSE,"단축2";#N/A,#N/A,FALSE,"단축3";#N/A,#N/A,FALSE,"장축";#N/A,#N/A,FALSE,"4WD"}</definedName>
    <definedName name="추가">#REF!</definedName>
    <definedName name="추계">#N/A</definedName>
    <definedName name="추계합계">#REF!</definedName>
    <definedName name="추이" hidden="1">{#VALUE!,#N/A,FALSE,0;#N/A,#N/A,FALSE,0;#N/A,#N/A,FALSE,0;#N/A,#N/A,FALSE,0}</definedName>
    <definedName name="추정" hidden="1">{#N/A,#N/A,FALSE,"Aging Summary";#N/A,#N/A,FALSE,"Ratio Analysis";#N/A,#N/A,FALSE,"Test 120 Day Accts";#N/A,#N/A,FALSE,"Tickmarks"}</definedName>
    <definedName name="추정대차"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hidden="1">{#N/A,#N/A,FALSE,"정공"}</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전략" hidden="1">{#N/A,#N/A,FALSE,"정공"}</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hidden="1">{#N/A,#N/A,FALSE,"지침";#N/A,#N/A,FALSE,"환경분석";#N/A,#N/A,FALSE,"Sheet16"}</definedName>
    <definedName name="충당금">#REF!</definedName>
    <definedName name="충당금1" hidden="1">#REF!</definedName>
    <definedName name="충당집계a">#REF!</definedName>
    <definedName name="충돌" hidden="1">{#N/A,#N/A,FALSE,"단축1";#N/A,#N/A,FALSE,"단축2";#N/A,#N/A,FALSE,"단축3";#N/A,#N/A,FALSE,"장축";#N/A,#N/A,FALSE,"4WD"}</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BLCH</definedName>
    <definedName name="츄" hidden="1">{#N/A,#N/A,FALSE,"Sheet1"}</definedName>
    <definedName name="측구">#REF!</definedName>
    <definedName name="측량">#REF!</definedName>
    <definedName name="측정함">#N/A</definedName>
    <definedName name="츧갸허">BlankMacro1</definedName>
    <definedName name="치" hidden="1">{#N/A,#N/A,FALSE,"97년 투자계획 세부내역 "}</definedName>
    <definedName name="치버ㅑ">BlankMacro1</definedName>
    <definedName name="치장벽돌공">#REF!</definedName>
    <definedName name="치ㅑㄷ">BlankMacro1</definedName>
    <definedName name="칭">BlankMacro1</definedName>
    <definedName name="ㅋ" hidden="1">{#N/A,#N/A,FALSE,"UNIT";#N/A,#N/A,FALSE,"UNIT";#N/A,#N/A,FALSE,"계정"}</definedName>
    <definedName name="ㅋㄴ" hidden="1">{#N/A,#N/A,FALSE,"단축1";#N/A,#N/A,FALSE,"단축2";#N/A,#N/A,FALSE,"단축3";#N/A,#N/A,FALSE,"장축";#N/A,#N/A,FALSE,"4WD"}</definedName>
    <definedName name="ㅋㄷㅎㄷㅎㅁ" hidden="1">{#N/A,#N/A,TRUE,"경전'96(1)";#N/A,#N/A,TRUE,"경전'96 (2)"}</definedName>
    <definedName name="ㅋ돔ㄷ롬ㄷ" hidden="1">{#N/A,#N/A,TRUE,"경전'96(1)";#N/A,#N/A,TRUE,"경전'96 (2)"}</definedName>
    <definedName name="ㅋㅇ로" hidden="1">{#N/A,#N/A,TRUE,"경전'96(1)";#N/A,#N/A,TRUE,"경전'96 (2)"}</definedName>
    <definedName name="ㅋㅇㅎㅇㅎ" hidden="1">{#N/A,#N/A,TRUE,"경전'96(1)";#N/A,#N/A,TRUE,"경전'96 (2)"}</definedName>
    <definedName name="ㅋㅋ" hidden="1">{#N/A,#N/A,TRUE,"Y생산";#N/A,#N/A,TRUE,"Y판매";#N/A,#N/A,TRUE,"Y총물량";#N/A,#N/A,TRUE,"Y능력";#N/A,#N/A,TRUE,"YKD"}</definedName>
    <definedName name="ㅋㅋㅋ" hidden="1">{"'Jibu9811 (3)'!$B$1:$J$433"}</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hidden="1">{#N/A,#N/A,FALSE,"단축1";#N/A,#N/A,FALSE,"단축2";#N/A,#N/A,FALSE,"단축3";#N/A,#N/A,FALSE,"장축";#N/A,#N/A,FALSE,"4WD"}</definedName>
    <definedName name="카러" hidden="1">{#N/A,#N/A,FALSE,"1.CRITERIA";#N/A,#N/A,FALSE,"2.IS";#N/A,#N/A,FALSE,"3.BS";#N/A,#N/A,FALSE,"4.PER PL";#N/A,#N/A,FALSE,"5.INVESTMENT";#N/A,#N/A,FALSE,"6.공문";#N/A,#N/A,FALSE,"7.netinvest"}</definedName>
    <definedName name="카메라" hidden="1">{#N/A,#N/A,FALSE,"단축1";#N/A,#N/A,FALSE,"단축2";#N/A,#N/A,FALSE,"단축3";#N/A,#N/A,FALSE,"장축";#N/A,#N/A,FALSE,"4WD"}</definedName>
    <definedName name="칷__?____?">#REF!</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hidden="1">{#N/A,#N/A,FALSE,"1.CRITERIA";#N/A,#N/A,FALSE,"2.IS";#N/A,#N/A,FALSE,"3.BS";#N/A,#N/A,FALSE,"4.PER PL";#N/A,#N/A,FALSE,"5.INVESTMENT";#N/A,#N/A,FALSE,"6.공문";#N/A,#N/A,FALSE,"7.netinvest"}</definedName>
    <definedName name="컴">#REF!</definedName>
    <definedName name="컴퓨">#REF!</definedName>
    <definedName name="컼커" hidden="1">{#N/A,#N/A,FALSE,"1.CRITERIA";#N/A,#N/A,FALSE,"2.IS";#N/A,#N/A,FALSE,"3.BS";#N/A,#N/A,FALSE,"4.PER PL";#N/A,#N/A,FALSE,"5.INVESTMENT";#N/A,#N/A,FALSE,"6.공문";#N/A,#N/A,FALSE,"7.netinvest"}</definedName>
    <definedName name="케이블간지" hidden="1">{#N/A,#N/A,TRUE,"토적및재료집계";#N/A,#N/A,TRUE,"토적및재료집계";#N/A,#N/A,TRUE,"단위량"}</definedName>
    <definedName name="케이블공노">#N/A</definedName>
    <definedName name="케이스" hidden="1">{#N/A,#N/A,FALSE,"단축1";#N/A,#N/A,FALSE,"단축2";#N/A,#N/A,FALSE,"단축3";#N/A,#N/A,FALSE,"장축";#N/A,#N/A,FALSE,"4WD"}</definedName>
    <definedName name="코" hidden="1">{#N/A,#N/A,FALSE,"1.CRITERIA";#N/A,#N/A,FALSE,"2.IS";#N/A,#N/A,FALSE,"3.BS";#N/A,#N/A,FALSE,"4.PER PL";#N/A,#N/A,FALSE,"5.INVESTMENT";#N/A,#N/A,FALSE,"6.공문";#N/A,#N/A,FALSE,"7.netinvest"}</definedName>
    <definedName name="코드명">#REF!</definedName>
    <definedName name="코드입력">#REF!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hidden="1">{#N/A,#N/A,TRUE,"경전'96(1)";#N/A,#N/A,TRUE,"경전'96 (2)"}</definedName>
    <definedName name="콤프">#N/A</definedName>
    <definedName name="큐ㅗㅅㄹ">#N/A</definedName>
    <definedName name="크" hidden="1">{#N/A,#N/A,FALSE,"단축1";#N/A,#N/A,FALSE,"단축2";#N/A,#N/A,FALSE,"단축3";#N/A,#N/A,FALSE,"장축";#N/A,#N/A,FALSE,"4WD"}</definedName>
    <definedName name="크랑" hidden="1">{#N/A,#N/A,FALSE,"단축1";#N/A,#N/A,FALSE,"단축2";#N/A,#N/A,FALSE,"단축3";#N/A,#N/A,FALSE,"장축";#N/A,#N/A,FALSE,"4WD"}</definedName>
    <definedName name="크레인">#REF!</definedName>
    <definedName name="키" hidden="1">{#N/A,#N/A,FALSE,"1.CRITERIA";#N/A,#N/A,FALSE,"2.IS";#N/A,#N/A,FALSE,"3.BS";#N/A,#N/A,FALSE,"4.PER PL";#N/A,#N/A,FALSE,"5.INVESTMENT";#N/A,#N/A,FALSE,"6.공문";#N/A,#N/A,FALSE,"7.netinvest"}</definedName>
    <definedName name="키니"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hidden="1">{#N/A,#N/A,FALSE,"을지 (4)";#N/A,#N/A,FALSE,"을지 (5)";#N/A,#N/A,FALSE,"을지 (6)"}</definedName>
    <definedName name="ㅌ" hidden="1">{#N/A,#N/A,FALSE,"BS";#N/A,#N/A,FALSE,"PL";#N/A,#N/A,FALSE,"처분";#N/A,#N/A,FALSE,"현금";#N/A,#N/A,FALSE,"매출";#N/A,#N/A,FALSE,"원가";#N/A,#N/A,FALSE,"경영"}</definedName>
    <definedName name="ㅌ750">#REF!</definedName>
    <definedName name="ㅌㄴㅇ" hidden="1">{#N/A,#N/A,FALSE,"단축1";#N/A,#N/A,FALSE,"단축2";#N/A,#N/A,FALSE,"단축3";#N/A,#N/A,FALSE,"장축";#N/A,#N/A,FALSE,"4WD"}</definedName>
    <definedName name="ㅌㄷ">BlankMacro1</definedName>
    <definedName name="ㅌㅇ로" hidden="1">{#N/A,#N/A,FALSE,"단축1";#N/A,#N/A,FALSE,"단축2";#N/A,#N/A,FALSE,"단축3";#N/A,#N/A,FALSE,"장축";#N/A,#N/A,FALSE,"4WD"}</definedName>
    <definedName name="ㅌㅊ" hidden="1">{#N/A,#N/A,FALSE,"단축1";#N/A,#N/A,FALSE,"단축2";#N/A,#N/A,FALSE,"단축3";#N/A,#N/A,FALSE,"장축";#N/A,#N/A,FALSE,"4WD"}</definedName>
    <definedName name="ㅌㅌ" hidden="1">{"'매출이익'!$A$24:$K$45"}</definedName>
    <definedName name="ㅌㅌㅌ" hidden="1">{#N/A,#N/A,TRUE,"일정"}</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hidden="1">{#N/A,#N/A,FALSE,"부대1"}</definedName>
    <definedName name="터라기2">#REF!</definedName>
    <definedName name="터파기1">#REF!</definedName>
    <definedName name="터파기2">#REF!</definedName>
    <definedName name="텃ㅌㅇ">#N/A</definedName>
    <definedName name="테넌트" hidden="1">{#N/A,#N/A,TRUE,"Y생산";#N/A,#N/A,TRUE,"Y판매";#N/A,#N/A,TRUE,"Y총물량";#N/A,#N/A,TRUE,"Y능력";#N/A,#N/A,TRUE,"YKD"}</definedName>
    <definedName name="테넌트팀" hidden="1">{#N/A,#N/A,TRUE,"Y생산";#N/A,#N/A,TRUE,"Y판매";#N/A,#N/A,TRUE,"Y총물량";#N/A,#N/A,TRUE,"Y능력";#N/A,#N/A,TRUE,"YKD"}</definedName>
    <definedName name="템플">BlankMacro1</definedName>
    <definedName name="템플리트모듈1">BlankMacro1</definedName>
    <definedName name="템플리트모듈10">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#REF!</definedName>
    <definedName name="토건">#REF!</definedName>
    <definedName name="토공">#REF!</definedName>
    <definedName name="토공량" hidden="1">{#N/A,#N/A,FALSE,"기안지";#N/A,#N/A,FALSE,"통신지"}</definedName>
    <definedName name="토공사">#REF!</definedName>
    <definedName name="토목">#REF!</definedName>
    <definedName name="토목공사" hidden="1">{#N/A,#N/A,FALSE,"이태원철근"}</definedName>
    <definedName name="토목공사강릉" hidden="1">#REF!</definedName>
    <definedName name="토목내역">#REF!</definedName>
    <definedName name="토목법규">#REF!</definedName>
    <definedName name="토목설계" hidden="1">{#N/A,#N/A,FALSE,"골재소요량";#N/A,#N/A,FALSE,"골재소요량"}</definedName>
    <definedName name="토목실견적" hidden="1">{#N/A,#N/A,FALSE,"이태원철근"}</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hidden="1">{"'Jibu9811 (3)'!$B$1:$J$433"}</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hidden="1">{"'매출이익'!$A$24:$K$45"}</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{"A","내복";"B","주사";"C","외용";"D","기타"}</definedName>
    <definedName name="투이윤">#REF!</definedName>
    <definedName name="투일반관리비">#REF!</definedName>
    <definedName name="투자" hidden="1">{#N/A,#N/A,FALSE,"삼진정공";#N/A,#N/A,FALSE,"영신금속";#N/A,#N/A,FALSE,"태양금속";#N/A,#N/A,FALSE,"진합정공";#N/A,#N/A,FALSE,"코리아";#N/A,#N/A,FALSE,"풍강금속";#N/A,#N/A,FALSE,"선일기계"}</definedName>
    <definedName name="투자CONC.182억" hidden="1">{#N/A,#N/A,FALSE,"단축1";#N/A,#N/A,FALSE,"단축2";#N/A,#N/A,FALSE,"단축3";#N/A,#N/A,FALSE,"장축";#N/A,#N/A,FALSE,"4WD"}</definedName>
    <definedName name="투자TOT" hidden="1">{#N/A,#N/A,FALSE,"Aging Summary";#N/A,#N/A,FALSE,"Ratio Analysis";#N/A,#N/A,FALSE,"Test 120 Day Accts";#N/A,#N/A,FALSE,"Tickmarks"}</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유가증권" hidden="1">{#N/A,#N/A,FALSE,"BS";#N/A,#N/A,FALSE,"PL";#N/A,#N/A,FALSE,"처분";#N/A,#N/A,FALSE,"현금";#N/A,#N/A,FALSE,"매출";#N/A,#N/A,FALSE,"원가";#N/A,#N/A,FALSE,"경영"}</definedName>
    <definedName name="투자자산">#REF!</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hidden="1">{#N/A,#N/A,FALSE,"UNIT";#N/A,#N/A,FALSE,"UNIT";#N/A,#N/A,FALSE,"계정"}</definedName>
    <definedName name="투재료비">#REF!</definedName>
    <definedName name="투찰" hidden="1">{#N/A,#N/A,FALSE,"단가표지"}</definedName>
    <definedName name="투폐기물처리비">#REF!</definedName>
    <definedName name="튜" hidden="1">{#N/A,#N/A,FALSE,"Sheet1"}</definedName>
    <definedName name="특고">#REF!</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hidden="1">{#N/A,#N/A,FALSE,"UNIT";#N/A,#N/A,FALSE,"UNIT";#N/A,#N/A,FALSE,"계정"}</definedName>
    <definedName name="팀에분석" hidden="1">{"'Jibu9811 (3)'!$B$1:$J$433"}</definedName>
    <definedName name="팀장" hidden="1">{"'Jibu9811 (3)'!$B$1:$J$433"}</definedName>
    <definedName name="ㅍ" hidden="1">#REF!</definedName>
    <definedName name="ㅍ77">#REF!</definedName>
    <definedName name="ㅍㄱ">BlankMacro1</definedName>
    <definedName name="ㅍㄹ">BlankMacro1</definedName>
    <definedName name="ㅍㄹㄷㅁㅁ" hidden="1">#REF!</definedName>
    <definedName name="ㅍ르ㅜ" hidden="1">{#N/A,#N/A,FALSE,"인원";#N/A,#N/A,FALSE,"비용2";#N/A,#N/A,FALSE,"비용1";#N/A,#N/A,FALSE,"비용";#N/A,#N/A,FALSE,"보증2";#N/A,#N/A,FALSE,"보증1";#N/A,#N/A,FALSE,"보증";#N/A,#N/A,FALSE,"손익1";#N/A,#N/A,FALSE,"손익";#N/A,#N/A,FALSE,"부서별매출";#N/A,#N/A,FALSE,"매출"}</definedName>
    <definedName name="ㅍㅈ">BlankMacro1</definedName>
    <definedName name="ㅍㅍ" hidden="1">#REF!</definedName>
    <definedName name="ㅍㅍㅍ" hidden="1">{#N/A,#N/A,FALSE,"단축1";#N/A,#N/A,FALSE,"단축2";#N/A,#N/A,FALSE,"단축3";#N/A,#N/A,FALSE,"장축";#N/A,#N/A,FALSE,"4WD"}</definedName>
    <definedName name="ㅍㅍㅍㅍ" hidden="1">{#N/A,#N/A,FALSE,"UNIT";#N/A,#N/A,FALSE,"UNIT";#N/A,#N/A,FALSE,"계정"}</definedName>
    <definedName name="ㅍㅍㅍㅍㅍㅍ" hidden="1">#REF!</definedName>
    <definedName name="ㅍㅎ">BlankMacro1</definedName>
    <definedName name="ㅍㅎㄴㄷㅇㅎㄽㄴㄷㅎ" hidden="1">{"'Jibu9811 (3)'!$B$1:$J$433"}</definedName>
    <definedName name="파" hidden="1">{#N/A,#N/A,FALSE,"1.CRITERIA";#N/A,#N/A,FALSE,"2.IS";#N/A,#N/A,FALSE,"3.BS";#N/A,#N/A,FALSE,"4.PER PL";#N/A,#N/A,FALSE,"5.INVESTMENT";#N/A,#N/A,FALSE,"6.공문";#N/A,#N/A,FALSE,"7.netinvest"}</definedName>
    <definedName name="파과" hidden="1">{#N/A,#N/A,FALSE,"UNIT";#N/A,#N/A,FALSE,"UNIT";#N/A,#N/A,FALSE,"계정"}</definedName>
    <definedName name="파생" hidden="1">{#N/A,#N/A,FALSE,"Sheet1"}</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hidden="1">{#N/A,#N/A,FALSE,"1.CRITERIA";#N/A,#N/A,FALSE,"2.IS";#N/A,#N/A,FALSE,"3.BS";#N/A,#N/A,FALSE,"4.PER PL";#N/A,#N/A,FALSE,"5.INVESTMENT";#N/A,#N/A,FALSE,"6.공문";#N/A,#N/A,FALSE,"7.netinvest"}</definedName>
    <definedName name="파해가호" hidden="1">{#N/A,#N/A,FALSE,"포장1";#N/A,#N/A,FALSE,"포장1"}</definedName>
    <definedName name="파ㅏ">BlankMacro1</definedName>
    <definedName name="파ㅑㅈ">BlankMacro1</definedName>
    <definedName name="판관" hidden="1">{#N/A,#N/A,FALSE,"UNIT";#N/A,#N/A,FALSE,"UNIT";#N/A,#N/A,FALSE,"계정"}</definedName>
    <definedName name="판관비">{#N/A,#N/A,FALSE,"UNIT";#N/A,#N/A,FALSE,"UNIT";#N/A,#N/A,FALSE,"계정"}</definedName>
    <definedName name="판관비TOT" hidden="1">{#N/A,#N/A,FALSE,"Aging Summary";#N/A,#N/A,FALSE,"Ratio Analysis";#N/A,#N/A,FALSE,"Test 120 Day Accts";#N/A,#N/A,FALSE,"Tickmarks"}</definedName>
    <definedName name="판관비누계" hidden="1">{#N/A,#N/A,FALSE,"Sheet1"}</definedName>
    <definedName name="판관비현황비교2" hidden="1">{#N/A,#N/A,FALSE,"Sheet1"}</definedName>
    <definedName name="판교사업" hidden="1">#REF!</definedName>
    <definedName name="판도라상자" hidden="1">{#N/A,#N/A,FALSE,"정공"}</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hidden="1">{#N/A,#N/A,FALSE,"1.CRITERIA";#N/A,#N/A,FALSE,"2.IS";#N/A,#N/A,FALSE,"3.BS";#N/A,#N/A,FALSE,"4.PER PL";#N/A,#N/A,FALSE,"5.INVESTMENT";#N/A,#N/A,FALSE,"6.공문";#N/A,#N/A,FALSE,"7.netinvest"}</definedName>
    <definedName name="퍼">BlankMacro1</definedName>
    <definedName name="퍼아">BlankMacro1</definedName>
    <definedName name="퍼ㅏㄹ">BlankMacro1</definedName>
    <definedName name="퍼ㅏㅂ" hidden="1">{#N/A,#N/A,FALSE,"기안지";#N/A,#N/A,FALSE,"통신지"}</definedName>
    <definedName name="퍼ㅓㄷ갸">BlankMacro1</definedName>
    <definedName name="퍼ㅓㅇ" hidden="1">{#N/A,#N/A,FALSE,"기안지";#N/A,#N/A,FALSE,"통신지"}</definedName>
    <definedName name="퍼ㅓㅇ아">BlankMacro1</definedName>
    <definedName name="퍼ㅓ아">BlankMacro1</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hidden="1">{#N/A,#N/A,FALSE,"1.CRITERIA";#N/A,#N/A,FALSE,"2.IS";#N/A,#N/A,FALSE,"3.BS";#N/A,#N/A,FALSE,"4.PER PL";#N/A,#N/A,FALSE,"5.INVESTMENT";#N/A,#N/A,FALSE,"6.공문";#N/A,#N/A,FALSE,"7.netinvest"}</definedName>
    <definedName name="포공화학" hidden="1">{#N/A,#N/A,FALSE,"범우구미";#N/A,#N/A,FALSE,"세한케미칼";#N/A,#N/A,FALSE,"세명화학";#N/A,#N/A,FALSE,"신영케미칼";#N/A,#N/A,FALSE,"일석상사"}</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#REF!</definedName>
    <definedName name="포장공1">BlankMacro1</definedName>
    <definedName name="폭래">BlankMacro1</definedName>
    <definedName name="표">#REF!</definedName>
    <definedName name="표_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hidden="1">{#N/A,#N/A,FALSE,"단축1";#N/A,#N/A,FALSE,"단축2";#N/A,#N/A,FALSE,"단축3";#N/A,#N/A,FALSE,"장축";#N/A,#N/A,FALSE,"4WD"}</definedName>
    <definedName name="표층t">#REF!</definedName>
    <definedName name="표표">#REF!</definedName>
    <definedName name="표표표" hidden="1">{#N/A,#N/A,FALSE,"P.C.B"}</definedName>
    <definedName name="푸" hidden="1">{#N/A,#N/A,FALSE,"단축1";#N/A,#N/A,FALSE,"단축2";#N/A,#N/A,FALSE,"단축3";#N/A,#N/A,FALSE,"장축";#N/A,#N/A,FALSE,"4WD"}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BlankMacro1</definedName>
    <definedName name="품의">#REF!</definedName>
    <definedName name="품의서">#REF!</definedName>
    <definedName name="품질" hidden="1">{#N/A,#N/A,FALSE,"단축1";#N/A,#N/A,FALSE,"단축2";#N/A,#N/A,FALSE,"단축3";#N/A,#N/A,FALSE,"장축";#N/A,#N/A,FALSE,"4WD"}</definedName>
    <definedName name="품질개선" hidden="1">#REF!</definedName>
    <definedName name="품질현황">#REF!,#REF!</definedName>
    <definedName name="품확1" hidden="1">{#N/A,#N/A,FALSE,"단축1";#N/A,#N/A,FALSE,"단축2";#N/A,#N/A,FALSE,"단축3";#N/A,#N/A,FALSE,"장축";#N/A,#N/A,FALSE,"4WD"}</definedName>
    <definedName name="풍납동" hidden="1">#REF!</definedName>
    <definedName name="풍납동아파트" hidden="1">#REF!</definedName>
    <definedName name="퓾ㄴ" hidden="1">{#N/A,#N/A,FALSE,"기안지";#N/A,#N/A,FALSE,"통신지"}</definedName>
    <definedName name="프라임코팅">#REF!</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hidden="1">{#N/A,#N/A,FALSE,"이태원철근"}</definedName>
    <definedName name="피로티1" hidden="1">{#N/A,#N/A,FALSE,"이태원철근"}</definedName>
    <definedName name="피비씨">#REF!</definedName>
    <definedName name="피비씨리스트">#REF!</definedName>
    <definedName name="필터">#REF!</definedName>
    <definedName name="핌너ㅏ">BlankMacro1</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hidden="1">{"'Jibu9811 (3)'!$B$1:$J$433"}</definedName>
    <definedName name="ㅎㄱ">BlankMacro1</definedName>
    <definedName name="ㅎㄱㄱ" hidden="1">{"'Jibu9811 (3)'!$B$1:$J$433"}</definedName>
    <definedName name="ㅎㄱㄱㄱ" hidden="1">{"'Jibu9811 (3)'!$B$1:$J$433"}</definedName>
    <definedName name="ㅎㄱㅂ">BlankMacro1</definedName>
    <definedName name="ㅎㄱㅂㄷ">BlankMacro1</definedName>
    <definedName name="ㅎㄱㅂㅂㅂㅂ">BlankMacro1</definedName>
    <definedName name="ㅎㄴ" hidden="1">{"'Jibu9811 (3)'!$B$1:$J$433"}</definedName>
    <definedName name="ㅎ노">{"'Sheet1'!$A$1:$C$75"}</definedName>
    <definedName name="ㅎㄷㄱㅎㄱ" hidden="1">{"'Jibu9811 (3)'!$B$1:$J$433"}</definedName>
    <definedName name="ㅎㄷㅁㄱ" hidden="1">{#N/A,#N/A,FALSE,"단축1";#N/A,#N/A,FALSE,"단축2";#N/A,#N/A,FALSE,"단축3";#N/A,#N/A,FALSE,"장축";#N/A,#N/A,FALSE,"4WD"}</definedName>
    <definedName name="ㅎㄷ뮤">#N/A</definedName>
    <definedName name="ㅎㄹㄴ" hidden="1">{#N/A,#N/A,FALSE,"97년 투자계획 세부내역 "}</definedName>
    <definedName name="ㅎ라ㅏㅊ">BlankMacro1</definedName>
    <definedName name="ㅎ랄" hidden="1">{#N/A,#N/A,FALSE,"기안지";#N/A,#N/A,FALSE,"통신지"}</definedName>
    <definedName name="ㅎ러닢ㅎㄶㅎ" hidden="1">{"'Jibu9811 (3)'!$B$1:$J$433"}</definedName>
    <definedName name="ㅎ러ㅗㅀ" hidden="1">{#N/A,#N/A,FALSE,"단축1";#N/A,#N/A,FALSE,"단축2";#N/A,#N/A,FALSE,"단축3";#N/A,#N/A,FALSE,"장축";#N/A,#N/A,FALSE,"4WD"}</definedName>
    <definedName name="ㅎ러ㅗㅎ로ㅓ" hidden="1">#REF!</definedName>
    <definedName name="ㅎ러ㅗㅓㅏㅇ노" hidden="1">#REF!</definedName>
    <definedName name="ㅎ로" hidden="1">{#N/A,#N/A,FALSE,"단축1";#N/A,#N/A,FALSE,"단축2";#N/A,#N/A,FALSE,"단축3";#N/A,#N/A,FALSE,"장축";#N/A,#N/A,FALSE,"4WD"}</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 hidden="1">{#N/A,#N/A,FALSE,"UNIT";#N/A,#N/A,FALSE,"UNIT";#N/A,#N/A,FALSE,"계정"}</definedName>
    <definedName name="ㅎㅀ" hidden="1">{#N/A,#N/A,FALSE,"단축1";#N/A,#N/A,FALSE,"단축2";#N/A,#N/A,FALSE,"단축3";#N/A,#N/A,FALSE,"장축";#N/A,#N/A,FALSE,"4WD"}</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BlankMacro1</definedName>
    <definedName name="ㅎ바ㅑㅂ">#N/A</definedName>
    <definedName name="ㅎ뱌">BlankMacro1</definedName>
    <definedName name="ㅎㅇㄴㄻㅇㄴㄹ" hidden="1">{"'수정손익계산서'!$AT$97:$AY$174"}</definedName>
    <definedName name="ㅎㅇㄴㄻㅇㄴㄹ_1" hidden="1">{"'수정손익계산서'!$AT$97:$AY$174"}</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hidden="1">{#N/A,#N/A,FALSE,"Performance Flash Report"}</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BlankMacro1</definedName>
    <definedName name="ㅎㅎ" hidden="1">{#N/A,#N/A,FALSE,"BS";#N/A,#N/A,FALSE,"PL";#N/A,#N/A,FALSE,"처분";#N/A,#N/A,FALSE,"현금";#N/A,#N/A,FALSE,"매출";#N/A,#N/A,FALSE,"원가";#N/A,#N/A,FALSE,"경영"}</definedName>
    <definedName name="ㅎㅎ2" hidden="1">{#N/A,#N/A,TRUE,"Summary";#N/A,#N/A,TRUE,"IS";#N/A,#N/A,TRUE,"Adj";#N/A,#N/A,TRUE,"BS";#N/A,#N/A,TRUE,"CF";#N/A,#N/A,TRUE,"Debt";#N/A,#N/A,TRUE,"IRR"}</definedName>
    <definedName name="ㅎㅎㅀ" hidden="1">#REF!</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hidden="1">{#N/A,#N/A,FALSE,"BS";#N/A,#N/A,FALSE,"PL";#N/A,#N/A,FALSE,"처분";#N/A,#N/A,FALSE,"현금";#N/A,#N/A,FALSE,"매출";#N/A,#N/A,FALSE,"원가";#N/A,#N/A,FALSE,"경영"}</definedName>
    <definedName name="ㅎ햐궇" hidden="1">{#N/A,#N/A,FALSE,"이정표"}</definedName>
    <definedName name="ㅎ헝">BlankMacro1</definedName>
    <definedName name="하" hidden="1">{#N/A,#N/A,FALSE,"1.CRITERIA";#N/A,#N/A,FALSE,"2.IS";#N/A,#N/A,FALSE,"3.BS";#N/A,#N/A,FALSE,"4.PER PL";#N/A,#N/A,FALSE,"5.INVESTMENT";#N/A,#N/A,FALSE,"6.공문";#N/A,#N/A,FALSE,"7.netinvest"}</definedName>
    <definedName name="하기">#REF!</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hidden="1">{#N/A,#N/A,FALSE,"단축1";#N/A,#N/A,FALSE,"단축2";#N/A,#N/A,FALSE,"단축3";#N/A,#N/A,FALSE,"장축";#N/A,#N/A,FALSE,"4WD"}</definedName>
    <definedName name="하아">BlankMacro1</definedName>
    <definedName name="하아ㅏ">#N/A</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BlankMacro1</definedName>
    <definedName name="하하" hidden="1">{#N/A,#N/A,FALSE,"BS";#N/A,#N/A,FALSE,"PL";#N/A,#N/A,FALSE,"처분";#N/A,#N/A,FALSE,"현금";#N/A,#N/A,FALSE,"매출";#N/A,#N/A,FALSE,"원가";#N/A,#N/A,FALSE,"경영"}</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hidden="1">{#N/A,#N/A,TRUE,"Y생산";#N/A,#N/A,TRUE,"Y판매";#N/A,#N/A,TRUE,"Y총물량";#N/A,#N/A,TRUE,"Y능력";#N/A,#N/A,TRUE,"YKD"}</definedName>
    <definedName name="하ㅏㅇ">#N/A</definedName>
    <definedName name="하ㅓㅂ">BlankMacro1</definedName>
    <definedName name="학교" hidden="1">#REF!</definedName>
    <definedName name="학생">#REF!</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hidden="1">{#N/A,#N/A,TRUE,"매출진척-1";#N/A,#N/A,TRUE,"매출진척-2";#N/A,#N/A,TRUE,"제품실적";#N/A,#N/A,TRUE,"RAC";#N/A,#N/A,TRUE,"PAC ";#N/A,#N/A,TRUE,"재고현황";#N/A,#N/A,TRUE,"공지사항"}</definedName>
    <definedName name="한영사전" hidden="1">{#N/A,#N/A,TRUE,"Y생산";#N/A,#N/A,TRUE,"Y판매";#N/A,#N/A,TRUE,"Y총물량";#N/A,#N/A,TRUE,"Y능력";#N/A,#N/A,TRUE,"YKD"}</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hidden="1">{#N/A,#N/A,FALSE,"을지 (4)";#N/A,#N/A,FALSE,"을지 (5)";#N/A,#N/A,FALSE,"을지 (6)"}</definedName>
    <definedName name="할석공">#REF!</definedName>
    <definedName name="할인9월"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BlankMacro1</definedName>
    <definedName name="함석">#REF!</definedName>
    <definedName name="합">BlankMacro1</definedName>
    <definedName name="합계">#REF!</definedName>
    <definedName name="합뎌">BlankMacro1</definedName>
    <definedName name="합리화4월" hidden="1">{#N/A,#N/A,FALSE,"단축1";#N/A,#N/A,FALSE,"단축2";#N/A,#N/A,FALSE,"단축3";#N/A,#N/A,FALSE,"장축";#N/A,#N/A,FALSE,"4WD"}</definedName>
    <definedName name="합잔">#REF!</definedName>
    <definedName name="합판거푸집">#REF!</definedName>
    <definedName name="항">BlankMacro1</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BlankMacro1</definedName>
    <definedName name="해당년">#REF!</definedName>
    <definedName name="해당월">#REF!</definedName>
    <definedName name="해당화">#REF!</definedName>
    <definedName name="해외">#N/A</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BlankMacro1</definedName>
    <definedName name="핻ㄱ">BlankMacro1</definedName>
    <definedName name="행삭제">#REF!</definedName>
    <definedName name="햐" hidden="1">{#N/A,#N/A,FALSE,"1.CRITERIA";#N/A,#N/A,FALSE,"2.IS";#N/A,#N/A,FALSE,"3.BS";#N/A,#N/A,FALSE,"4.PER PL";#N/A,#N/A,FALSE,"5.INVESTMENT";#N/A,#N/A,FALSE,"6.공문";#N/A,#N/A,FALSE,"7.netinvest"}</definedName>
    <definedName name="햑">BlankMacro1</definedName>
    <definedName name="햡">#N/A</definedName>
    <definedName name="향수" hidden="1">{"'Jibu9811 (3)'!$B$1:$J$433"}</definedName>
    <definedName name="향후계획1" hidden="1">{#N/A,#N/A,FALSE,"단축1";#N/A,#N/A,FALSE,"단축2";#N/A,#N/A,FALSE,"단축3";#N/A,#N/A,FALSE,"장축";#N/A,#N/A,FALSE,"4WD"}</definedName>
    <definedName name="향후방향" hidden="1">{#N/A,#N/A,FALSE,"단축1";#N/A,#N/A,FALSE,"단축2";#N/A,#N/A,FALSE,"단축3";#N/A,#N/A,FALSE,"장축";#N/A,#N/A,FALSE,"4WD"}</definedName>
    <definedName name="허">BlankMacro1</definedName>
    <definedName name="허허" hidden="1">{#N/A,#N/A,TRUE,"Y생산";#N/A,#N/A,TRUE,"Y판매";#N/A,#N/A,TRUE,"Y총물량";#N/A,#N/A,TRUE,"Y능력";#N/A,#N/A,TRUE,"YKD"}</definedName>
    <definedName name="허ㅏㅏㅇ라">BlankMacro1</definedName>
    <definedName name="허ㅑㄷ">BlankMacro1</definedName>
    <definedName name="허ㅑㄷㄱ">BlankMacro1</definedName>
    <definedName name="허ㅑㅂ">BlankMacro1</definedName>
    <definedName name="허ㅑㅑ다허">BlankMacro1</definedName>
    <definedName name="허ㅑㅣㅣ">BlankMacro1</definedName>
    <definedName name="허ㅓ" hidden="1">{#N/A,#N/A,FALSE,"단축1";#N/A,#N/A,FALSE,"단축2";#N/A,#N/A,FALSE,"단축3";#N/A,#N/A,FALSE,"장축";#N/A,#N/A,FALSE,"4WD"}</definedName>
    <definedName name="허ㅓㄷ">BlankMacro1</definedName>
    <definedName name="허ㅓㅇ">BlankMacro1</definedName>
    <definedName name="허ㅓ아">BlankMacro1</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BlankMacro1</definedName>
    <definedName name="헙댜ㅐ">#N/A</definedName>
    <definedName name="헙뱌ㅐ" hidden="1">{#N/A,#N/A,FALSE,"기안지";#N/A,#N/A,FALSE,"통신지"}</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hidden="1">{#N/A,#N/A,FALSE,"1.CRITERIA";#N/A,#N/A,FALSE,"2.IS";#N/A,#N/A,FALSE,"3.BS";#N/A,#N/A,FALSE,"4.PER PL";#N/A,#N/A,FALSE,"5.INVESTMENT";#N/A,#N/A,FALSE,"6.공문";#N/A,#N/A,FALSE,"7.netinvest"}</definedName>
    <definedName name="현" hidden="1">{#N/A,#N/A,FALSE,"단축1";#N/A,#N/A,FALSE,"단축2";#N/A,#N/A,FALSE,"단축3";#N/A,#N/A,FALSE,"장축";#N/A,#N/A,FALSE,"4WD"}</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hidden="1">{#N/A,#N/A,FALSE,"BS";#N/A,#N/A,FALSE,"PL";#N/A,#N/A,FALSE,"처분";#N/A,#N/A,FALSE,"현금";#N/A,#N/A,FALSE,"매출";#N/A,#N/A,FALSE,"원가";#N/A,#N/A,FALSE,"경영"}</definedName>
    <definedName name="현금거래_5300">#REF!</definedName>
    <definedName name="현금검증표" hidden="1">{#N/A,#N/A,FALSE,"1.CRITERIA";#N/A,#N/A,FALSE,"2.IS";#N/A,#N/A,FALSE,"3.BS";#N/A,#N/A,FALSE,"4.PER PL";#N/A,#N/A,FALSE,"5.INVESTMENT";#N/A,#N/A,FALSE,"6.공문";#N/A,#N/A,FALSE,"7.netinvest"}</definedName>
    <definedName name="현금과예금">#REF!</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hidden="1">{#N/A,#N/A,FALSE,"정공"}</definedName>
    <definedName name="현대내자터미널">#REF!</definedName>
    <definedName name="現代綜合商事經由分">#REF!</definedName>
    <definedName name="현설내역">#REF!</definedName>
    <definedName name="현성황" hidden="1">{#N/A,#N/A,FALSE,"UNIT";#N/A,#N/A,FALSE,"UNIT";#N/A,#N/A,FALSE,"계정"}</definedName>
    <definedName name="현안이슈2" hidden="1">#REF!</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BlankMacro1</definedName>
    <definedName name="현황">{"A","내복";"B","주사";"C","외용";"D","기타"}</definedName>
    <definedName name="현황2" hidden="1">{#N/A,#N/A,FALSE,"단축1";#N/A,#N/A,FALSE,"단축2";#N/A,#N/A,FALSE,"단축3";#N/A,#N/A,FALSE,"장축";#N/A,#N/A,FALSE,"4WD"}</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hidden="1">{#N/A,#N/A,FALSE,"단축1";#N/A,#N/A,FALSE,"단축2";#N/A,#N/A,FALSE,"단축3";#N/A,#N/A,FALSE,"장축";#N/A,#N/A,FALSE,"4WD"}</definedName>
    <definedName name="혈액원1">#REF!</definedName>
    <definedName name="협조사항" hidden="1">{#N/A,#N/A,FALSE,"단축1";#N/A,#N/A,FALSE,"단축2";#N/A,#N/A,FALSE,"단축3";#N/A,#N/A,FALSE,"장축";#N/A,#N/A,FALSE,"4WD"}</definedName>
    <definedName name="협조전" hidden="1">{#N/A,#N/A,FALSE,"정공"}</definedName>
    <definedName name="형틀">#REF!</definedName>
    <definedName name="형틀목공">#REF!</definedName>
    <definedName name="호" hidden="1">{#N/A,#N/A,FALSE,"UNIT";#N/A,#N/A,FALSE,"UNIT";#N/A,#N/A,FALSE,"계정"}</definedName>
    <definedName name="호박">#REF!</definedName>
    <definedName name="호아ㅐ">BlankMacro1</definedName>
    <definedName name="호허">BlankMacro1</definedName>
    <definedName name="호호" hidden="1">{#N/A,#N/A,TRUE,"경전'96(1)";#N/A,#N/A,TRUE,"경전'96 (2)"}</definedName>
    <definedName name="호호호">BlankMacro1</definedName>
    <definedName name="호ㅓ" hidden="1">#REF!</definedName>
    <definedName name="호ㅓ마ㅣ">#REF!</definedName>
    <definedName name="호ㅓㅂ">BlankMacro1</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hidden="1">{#N/A,#N/A,FALSE,"삼진정공";#N/A,#N/A,FALSE,"영신금속";#N/A,#N/A,FALSE,"태양금속";#N/A,#N/A,FALSE,"진합정공";#N/A,#N/A,FALSE,"코리아";#N/A,#N/A,FALSE,"풍강금속";#N/A,#N/A,FALSE,"선일기계"}</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hidden="1">{#N/A,#N/A,FALSE,"단축1";#N/A,#N/A,FALSE,"단축2";#N/A,#N/A,FALSE,"단축3";#N/A,#N/A,FALSE,"장축";#N/A,#N/A,FALSE,"4WD"}</definedName>
    <definedName name="혼ㅇ로" hidden="1">#REF!</definedName>
    <definedName name="홇" hidden="1">{#N/A,#N/A,FALSE,"Sheet6"}</definedName>
    <definedName name="홈">#REF!</definedName>
    <definedName name="홉호">BlankMacro1</definedName>
    <definedName name="홋ㄱ" hidden="1">{#N/A,#N/A,FALSE,"Sheet6"}</definedName>
    <definedName name="홍" hidden="1">{#N/A,#N/A,FALSE,"96 3월물량표";#N/A,#N/A,FALSE,"96 4월물량표";#N/A,#N/A,FALSE,"96 5월물량표"}</definedName>
    <definedName name="홍단풍">#REF!</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확" hidden="1">{#N/A,#N/A,FALSE,"BS";#N/A,#N/A,FALSE,"PL";#N/A,#N/A,FALSE,"처분";#N/A,#N/A,FALSE,"현금";#N/A,#N/A,FALSE,"매출";#N/A,#N/A,FALSE,"원가";#N/A,#N/A,FALSE,"경영"}</definedName>
    <definedName name="확대3" hidden="1">{#N/A,#N/A,FALSE,"UNIT";#N/A,#N/A,FALSE,"UNIT";#N/A,#N/A,FALSE,"계정"}</definedName>
    <definedName name="확인">#REF!</definedName>
    <definedName name="환경" hidden="1">{#N/A,#N/A,FALSE,"UNIT";#N/A,#N/A,FALSE,"UNIT";#N/A,#N/A,FALSE,"계정"}</definedName>
    <definedName name="환산율1" hidden="1">#REF!</definedName>
    <definedName name="환율">#REF!</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hidden="1">{"'Jibu9811 (3)'!$B$1:$J$433"}</definedName>
    <definedName name="황" hidden="1">#REF!</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덕영">BlankMacro1</definedName>
    <definedName name="황병" hidden="1">#REF!</definedName>
    <definedName name="황병용" hidden="1">{#N/A,#N/A,FALSE,"UNIT";#N/A,#N/A,FALSE,"UNIT";#N/A,#N/A,FALSE,"계정"}</definedName>
    <definedName name="황정수" hidden="1">{"'Jibu9811 (3)'!$B$1:$J$433"}</definedName>
    <definedName name="황정수1" hidden="1">{"'Jibu9811 (3)'!$B$1:$J$433"}</definedName>
    <definedName name="황정수2" hidden="1">{"'Jibu9811 (3)'!$B$1:$J$433"}</definedName>
    <definedName name="황정수3" hidden="1">{"'Jibu9811 (3)'!$B$1:$J$433"}</definedName>
    <definedName name="황정수4" hidden="1">{"'Jibu9811 (3)'!$B$1:$J$433"}</definedName>
    <definedName name="황정수5" hidden="1">{"'Jibu9811 (3)'!$B$1:$J$433"}</definedName>
    <definedName name="황정수6" hidden="1">{"'Jibu9811 (3)'!$B$1:$J$433"}</definedName>
    <definedName name="황정수7" hidden="1">{"'Jibu9811 (3)'!$B$1:$J$433"}</definedName>
    <definedName name="황정수8" hidden="1">{"'Jibu9811 (3)'!$B$1:$J$433"}</definedName>
    <definedName name="회" hidden="1">{#N/A,#N/A,TRUE,"경전'96(1)";#N/A,#N/A,TRUE,"경전'96 (2)"}</definedName>
    <definedName name="회계년도">#REF!</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hidden="1">{#N/A,#N/A,FALSE,"단축1";#N/A,#N/A,FALSE,"단축2";#N/A,#N/A,FALSE,"단축3";#N/A,#N/A,FALSE,"장축";#N/A,#N/A,FALSE,"4WD"}</definedName>
    <definedName name="회장님"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효구">Dlog_Show</definedName>
    <definedName name="효자">Dlog_Show</definedName>
    <definedName name="효자건설">Dlog_Show</definedName>
    <definedName name="횩ㄷ" hidden="1">{"'Jibu9811 (3)'!$B$1:$J$433"}</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hidden="1">{"'미착금액'!$A$4:$G$14"}</definedName>
    <definedName name="휴" hidden="1">{#N/A,#N/A,FALSE,"1.CRITERIA";#N/A,#N/A,FALSE,"2.IS";#N/A,#N/A,FALSE,"3.BS";#N/A,#N/A,FALSE,"4.PER PL";#N/A,#N/A,FALSE,"5.INVESTMENT";#N/A,#N/A,FALSE,"6.공문";#N/A,#N/A,FALSE,"7.netinvest"}</definedName>
    <definedName name="휴게">#REF!</definedName>
    <definedName name="휴일">#REF!</definedName>
    <definedName name="흄관" hidden="1">{#N/A,#N/A,FALSE,"기안지";#N/A,#N/A,FALSE,"통신지"}</definedName>
    <definedName name="흐" hidden="1">{#N/A,#N/A,FALSE,"1.CRITERIA";#N/A,#N/A,FALSE,"2.IS";#N/A,#N/A,FALSE,"3.BS";#N/A,#N/A,FALSE,"4.PER PL";#N/A,#N/A,FALSE,"5.INVESTMENT";#N/A,#N/A,FALSE,"6.공문";#N/A,#N/A,FALSE,"7.netinvest"}</definedName>
    <definedName name="흐름" hidden="1">{#N/A,#N/A,FALSE,"BS";#N/A,#N/A,FALSE,"PL";#N/A,#N/A,FALSE,"처분";#N/A,#N/A,FALSE,"현금";#N/A,#N/A,FALSE,"매출";#N/A,#N/A,FALSE,"원가";#N/A,#N/A,FALSE,"경영"}</definedName>
    <definedName name="흐름표">#N/A</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hidden="1">{#N/A,#N/A,FALSE,"포장2"}</definedName>
    <definedName name="히히" hidden="1">{#N/A,#N/A,TRUE,"경전'96(1)";#N/A,#N/A,TRUE,"경전'96 (2)"}</definedName>
    <definedName name="ㅏ" hidden="1">{#N/A,#N/A,FALSE,"BS";#N/A,#N/A,FALSE,"PL";#N/A,#N/A,FALSE,"처분";#N/A,#N/A,FALSE,"현금";#N/A,#N/A,FALSE,"매출";#N/A,#N/A,FALSE,"원가";#N/A,#N/A,FALSE,"경영"}</definedName>
    <definedName name="ㅏ271">#REF!</definedName>
    <definedName name="ㅏㄴ얼">#REF!</definedName>
    <definedName name="ㅏㄹ얒ㅈ" hidden="1">{#N/A,#N/A,FALSE,"기안지";#N/A,#N/A,FALSE,"통신지"}</definedName>
    <definedName name="ㅏ멀" hidden="1">{#N/A,#N/A,FALSE,"기안지";#N/A,#N/A,FALSE,"통신지"}</definedName>
    <definedName name="ㅏㅇ">#N/A</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BlankMacro1</definedName>
    <definedName name="ㅏ아ㅗ">BlankMacro1</definedName>
    <definedName name="ㅏ차ㅏㅇ">#REF!</definedName>
    <definedName name="ㅏ팝덤ㅈ">BlankMacro1</definedName>
    <definedName name="ㅏ호">BlankMacro1</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BlankMacro1</definedName>
    <definedName name="ㅏㅐㅏㅔㅐㅣ" hidden="1">{#N/A,#N/A,FALSE,"UNIT";#N/A,#N/A,FALSE,"UNIT";#N/A,#N/A,FALSE,"계정"}</definedName>
    <definedName name="ㅏㅑㅊ" hidden="1">{#N/A,#N/A,FALSE,"기안지";#N/A,#N/A,FALSE,"통신지"}</definedName>
    <definedName name="ㅏㅓ" hidden="1">{#N/A,#N/A,FALSE,"단축1";#N/A,#N/A,FALSE,"단축2";#N/A,#N/A,FALSE,"단축3";#N/A,#N/A,FALSE,"장축";#N/A,#N/A,FALSE,"4WD"}</definedName>
    <definedName name="ㅏㅓㅗ">BlankMacro1</definedName>
    <definedName name="ㅏㅕ" hidden="1">{"'Jibu9811 (3)'!$B$1:$J$433"}</definedName>
    <definedName name="ㅏㅕㅛㅛㅕ" hidden="1">{"'Jibu9811 (3)'!$B$1:$J$433"}</definedName>
    <definedName name="ㅏㅗ" hidden="1">#REF!</definedName>
    <definedName name="ㅏㅛ">BlankMacro1</definedName>
    <definedName name="ㅏㅛㅕㅏㅛㅕ" hidden="1">{"'Jibu9811 (3)'!$B$1:$J$433"}</definedName>
    <definedName name="ㅏㅣ" hidden="1">{#N/A,#N/A,FALSE,"96 3월물량표";#N/A,#N/A,FALSE,"96 4월물량표";#N/A,#N/A,FALSE,"96 5월물량표"}</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hidden="1">{#N/A,#N/A,FALSE,"이태원철근"}</definedName>
    <definedName name="ㅐ15">#N/A</definedName>
    <definedName name="ㅐ랙">BlankMacro1</definedName>
    <definedName name="ㅐㅐ" hidden="1">{#N/A,#N/A,FALSE,"을지 (4)";#N/A,#N/A,FALSE,"을지 (5)";#N/A,#N/A,FALSE,"을지 (6)"}</definedName>
    <definedName name="ㅐㅐㅐ" hidden="1">{#N/A,#N/A,FALSE,"지침";#N/A,#N/A,FALSE,"환경분석";#N/A,#N/A,FALSE,"Sheet16"}</definedName>
    <definedName name="ㅐㅓㅐㅔㅓ" hidden="1">{#N/A,#N/A,FALSE,"단축1";#N/A,#N/A,FALSE,"단축2";#N/A,#N/A,FALSE,"단축3";#N/A,#N/A,FALSE,"장축";#N/A,#N/A,FALSE,"4WD"}</definedName>
    <definedName name="ㅐㅔ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hidden="1">{#N/A,#N/A,FALSE,"Aging Summary";#N/A,#N/A,FALSE,"Ratio Analysis";#N/A,#N/A,FALSE,"Test 120 Day Accts";#N/A,#N/A,FALSE,"Tickmarks"}</definedName>
    <definedName name="ㅑ3081">#REF!</definedName>
    <definedName name="ㅑ525">#REF!</definedName>
    <definedName name="ㅑ갹" hidden="1">{#N/A,#N/A,FALSE,"기안지";#N/A,#N/A,FALSE,"통신지"}</definedName>
    <definedName name="ㅑ다ㅏㅇ">BlankMacro1</definedName>
    <definedName name="ㅑㅂ">BlankMacro1</definedName>
    <definedName name="ㅑㅐ댇" hidden="1">{#N/A,#N/A,FALSE,"기안지";#N/A,#N/A,FALSE,"통신지"}</definedName>
    <definedName name="ㅑㅐㅔㅕㅑㅐ"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ㅑ" hidden="1">{#N/A,#N/A,FALSE,"삼진정공";#N/A,#N/A,FALSE,"영신금속";#N/A,#N/A,FALSE,"태양금속";#N/A,#N/A,FALSE,"진합정공";#N/A,#N/A,FALSE,"코리아";#N/A,#N/A,FALSE,"풍강금속";#N/A,#N/A,FALSE,"선일기계"}</definedName>
    <definedName name="ㅑㅑㅑㅑㅑㅑㅑ" hidden="1">{#N/A,#N/A,FALSE,"Sheet6"}</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BlankMacro1</definedName>
    <definedName name="ㅓㄷㄱㄷ">BlankMacro1</definedName>
    <definedName name="ㅓ랴">#N/A</definedName>
    <definedName name="ㅓㅅㄱㅇㄴ쇼ㅓ">#N/A</definedName>
    <definedName name="ㅓㅇ섯">#N/A</definedName>
    <definedName name="ㅓㅇ쇼ㅓㄴ">#N/A</definedName>
    <definedName name="ㅓ앙">BlankMacro1</definedName>
    <definedName name="ㅓ요선ㅇ">#N/A</definedName>
    <definedName name="ㅓ파ㅏ" hidden="1">{#N/A,#N/A,FALSE,"기안지";#N/A,#N/A,FALSE,"통신지"}</definedName>
    <definedName name="ㅓㅎ" hidden="1">{#N/A,#N/A,FALSE,"Sheet1"}</definedName>
    <definedName name="ㅓㅎㄹ">#REF!</definedName>
    <definedName name="ㅓ하">#N/A</definedName>
    <definedName name="ㅓ햐">BlankMacro1</definedName>
    <definedName name="ㅓㅏㄱ">BlankMacro1</definedName>
    <definedName name="ㅓㅏ리앙" hidden="1">{#N/A,#N/A,FALSE,"UNIT";#N/A,#N/A,FALSE,"UNIT";#N/A,#N/A,FALSE,"계정"}</definedName>
    <definedName name="ㅓㅏㅇㄹ너ㅏㄹㅇ나ㅓ" hidden="1">#REF!</definedName>
    <definedName name="ㅓㅏㅑㅇ">BlankMacro1</definedName>
    <definedName name="ㅓㅏㅣㅕㅑㅔ" hidden="1">{#N/A,#N/A,FALSE,"단축1";#N/A,#N/A,FALSE,"단축2";#N/A,#N/A,FALSE,"단축3";#N/A,#N/A,FALSE,"장축";#N/A,#N/A,FALSE,"4WD"}</definedName>
    <definedName name="ㅓㅓ" hidden="1">{#N/A,#N/A,FALSE,"CCTV"}</definedName>
    <definedName name="ㅓㅓ로" hidden="1">{#N/A,#N/A,FALSE,"단축1";#N/A,#N/A,FALSE,"단축2";#N/A,#N/A,FALSE,"단축3";#N/A,#N/A,FALSE,"장축";#N/A,#N/A,FALSE,"4WD"}</definedName>
    <definedName name="ㅓㅓㅏㅊㄹ">BlankMacro1</definedName>
    <definedName name="ㅓㅓㅓ" hidden="1">{#N/A,#N/A,FALSE,"97년 투자계획 세부내역 "}</definedName>
    <definedName name="ㅓㅕㅏ" hidden="1">{#N/A,#N/A,FALSE,"Sheet6"}</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BlankMacro1</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hidden="1">{#N/A,#N/A,FALSE,"단축1";#N/A,#N/A,FALSE,"단축2";#N/A,#N/A,FALSE,"단축3";#N/A,#N/A,FALSE,"장축";#N/A,#N/A,FALSE,"4WD"}</definedName>
    <definedName name="ㅔ285">#REF!</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 hidden="1">{#N/A,#N/A,FALSE,"BS";#N/A,#N/A,FALSE,"PL";#N/A,#N/A,FALSE,"처분";#N/A,#N/A,FALSE,"현금";#N/A,#N/A,FALSE,"매출";#N/A,#N/A,FALSE,"원가";#N/A,#N/A,FALSE,"경영"}</definedName>
    <definedName name="ㅕㅅㅎ">BlankMacro1</definedName>
    <definedName name="ㅕㅏ쇼" hidden="1">{#N/A,#N/A,FALSE,"Sheet6"}</definedName>
    <definedName name="ㅕㅏㅛㅏㅕ" hidden="1">{"'Jibu9811 (3)'!$B$1:$J$433"}</definedName>
    <definedName name="ㅕㅏㅛㅕㅏ" hidden="1">{#N/A,#N/A,FALSE,"Sheet6"}</definedName>
    <definedName name="ㅕㅑㅐ" hidden="1">{#N/A,#N/A,FALSE,"Sheet6"}</definedName>
    <definedName name="ㅕㅕ" hidden="1">{#N/A,#N/A,FALSE,"단축1";#N/A,#N/A,FALSE,"단축2";#N/A,#N/A,FALSE,"단축3";#N/A,#N/A,FALSE,"장축";#N/A,#N/A,FALSE,"4WD"}</definedName>
    <definedName name="ㅕㅕㅕ" hidden="1">{#N/A,#N/A,FALSE,"을지 (4)";#N/A,#N/A,FALSE,"을지 (5)";#N/A,#N/A,FALSE,"을지 (6)"}</definedName>
    <definedName name="ㅕㅕㅕㅕㅕㅕㅕㅕㅕㅕㅕㅕㅕ" hidden="1">{"'FAX번호'!$A$2:$F$21"}</definedName>
    <definedName name="ㅕㅕㅕㅕㅕㅕㅕㅕㅕㅕㅕㅕㅕㅕㅕㅕㅕㅕㅕㅕㅕㅕㅕㅕㅕㅕㅕㅕ" hidden="1">{"'FAX번호'!$A$2:$F$21"}</definedName>
    <definedName name="ㅕㅛ" hidden="1">{#N/A,#N/A,FALSE,"Sheet1"}</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hidden="1">{"'Registration'!$A$1:$B$94"}</definedName>
    <definedName name="ㅗㅅㄱ" hidden="1">{"'Jibu9811 (3)'!$B$1:$J$433"}</definedName>
    <definedName name="ㅗㅅㄱ노ㅠㅍ">#N/A</definedName>
    <definedName name="ㅗㅅㄱ논">#N/A</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BlankMacro1</definedName>
    <definedName name="ㅗㅎ" hidden="1">#REF!</definedName>
    <definedName name="ㅗㅎㄹㅇ노노" hidden="1">#REF!</definedName>
    <definedName name="ㅗㅎㄹㅊㅌ">BlankMacro1</definedName>
    <definedName name="ㅗㅎ롷롷ㄹ" hidden="1">#REF!</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hidden="1">{"'Jibu9811 (3)'!$B$1:$J$433"}</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hidden="1">{#N/A,#N/A,FALSE,"단축1";#N/A,#N/A,FALSE,"단축2";#N/A,#N/A,FALSE,"단축3";#N/A,#N/A,FALSE,"장축";#N/A,#N/A,FALSE,"4WD"}</definedName>
    <definedName name="ㅗㅓㅕㅑㅕ" hidden="1">{#N/A,#N/A,FALSE,"Sheet6"}</definedName>
    <definedName name="ㅗㅓㅗㅎ" hidden="1">{#N/A,#N/A,FALSE,"삼진정공";#N/A,#N/A,FALSE,"영신금속";#N/A,#N/A,FALSE,"태양금속";#N/A,#N/A,FALSE,"진합정공";#N/A,#N/A,FALSE,"코리아";#N/A,#N/A,FALSE,"풍강금속";#N/A,#N/A,FALSE,"선일기계"}</definedName>
    <definedName name="ㅗㅓㅛㅎ" hidden="1">{#N/A,#N/A,FALSE,"Sheet6"}</definedName>
    <definedName name="ㅗㅕ">#REF!</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{#N/A,#N/A,FALSE,"단축1";#N/A,#N/A,FALSE,"단축2";#N/A,#N/A,FALSE,"단축3";#N/A,#N/A,FALSE,"장축";#N/A,#N/A,FALSE,"4WD"}</definedName>
    <definedName name="ㅗㅗㅗㅋㄶ" hidden="1">{#N/A,#N/A,TRUE,"경전'96(1)";#N/A,#N/A,TRUE,"경전'96 (2)"}</definedName>
    <definedName name="ㅗㅗㅗㅗ" hidden="1">#REF!</definedName>
    <definedName name="ㅗㅗㅗㅗㅇ">BlankMacro1</definedName>
    <definedName name="ㅗㅗㅗㅗㅗ" hidden="1">{#N/A,#N/A,FALSE,"단축1";#N/A,#N/A,FALSE,"단축2";#N/A,#N/A,FALSE,"단축3";#N/A,#N/A,FALSE,"장축";#N/A,#N/A,FALSE,"4WD"}</definedName>
    <definedName name="ㅗㅗㅗㅗㅗㅗ">BlankMacro1</definedName>
    <definedName name="ㅗㅛ">#REF!</definedName>
    <definedName name="ㅘ아ㅑ">BlankMacro1</definedName>
    <definedName name="ㅙㄱ래">BlankMacro1</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{#N/A,#N/A,FALSE,"BS";#N/A,#N/A,FALSE,"PL";#N/A,#N/A,FALSE,"처분";#N/A,#N/A,FALSE,"현금";#N/A,#N/A,FALSE,"매출";#N/A,#N/A,FALSE,"원가";#N/A,#N/A,FALSE,"경영"}</definedName>
    <definedName name="ㅛ걱">#N/A</definedName>
    <definedName name="ㅛ건">#N/A</definedName>
    <definedName name="ㅛ래" hidden="1">{#N/A,#N/A,TRUE,"경전'96(1)";#N/A,#N/A,TRUE,"경전'96 (2)"}</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ㅇㅅ겅ㅅ">#N/A</definedName>
    <definedName name="ㅛㅓ">#N/A</definedName>
    <definedName name="ㅛㅓㄴ">#N/A</definedName>
    <definedName name="ㅛㅓ쇼" hidden="1">{#N/A,#N/A,FALSE,"Sheet6"}</definedName>
    <definedName name="ㅛㅕ" hidden="1">{#N/A,#N/A,FALSE,"1.CRITERIA";#N/A,#N/A,FALSE,"2.IS";#N/A,#N/A,FALSE,"3.BS";#N/A,#N/A,FALSE,"4.PER PL";#N/A,#N/A,FALSE,"5.INVESTMENT";#N/A,#N/A,FALSE,"6.공문";#N/A,#N/A,FALSE,"7.netinvest"}</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{#N/A,#N/A,FALSE,"1.CRITERIA";#N/A,#N/A,FALSE,"2.IS";#N/A,#N/A,FALSE,"3.BS";#N/A,#N/A,FALSE,"4.PER PL";#N/A,#N/A,FALSE,"5.INVESTMENT";#N/A,#N/A,FALSE,"6.공문";#N/A,#N/A,FALSE,"7.netinvest"}</definedName>
    <definedName name="ㅜ" hidden="1">{#N/A,#N/A,FALSE,"단축1";#N/A,#N/A,FALSE,"단축2";#N/A,#N/A,FALSE,"단축3";#N/A,#N/A,FALSE,"장축";#N/A,#N/A,FALSE,"4WD"}</definedName>
    <definedName name="ㅜㄱ">BlankMacro1</definedName>
    <definedName name="ㅜㄷㅈ" hidden="1">{#N/A,#N/A,FALSE,"단축1";#N/A,#N/A,FALSE,"단축2";#N/A,#N/A,FALSE,"단축3";#N/A,#N/A,FALSE,"장축";#N/A,#N/A,FALSE,"4WD"}</definedName>
    <definedName name="ㅜ챶" hidden="1">{#N/A,#N/A,FALSE,"기안지";#N/A,#N/A,FALSE,"통신지"}</definedName>
    <definedName name="ㅜㅋㄱ" hidden="1">{#N/A,#N/A,TRUE,"경전'96(1)";#N/A,#N/A,TRUE,"경전'96 (2)"}</definedName>
    <definedName name="ㅜㅍ챠ㅑㄷㅇ" hidden="1">{#N/A,#N/A,FALSE,"기안지";#N/A,#N/A,FALSE,"통신지"}</definedName>
    <definedName name="ㅜ퍋">BlankMacro1</definedName>
    <definedName name="ㅜ퍼야" hidden="1">{#N/A,#N/A,FALSE,"부대1"}</definedName>
    <definedName name="ㅜ퍼ㅑㄷ">BlankMacro1</definedName>
    <definedName name="ㅜ펃">BlankMacro1</definedName>
    <definedName name="ㅜ펃ㅇ">BlankMacro1</definedName>
    <definedName name="ㅜ펴ㅓㅑㅕㄷ">BlankMacro1</definedName>
    <definedName name="ㅜㅗㅛ" hidden="1">{#N/A,#N/A,FALSE,"Sheet1"}</definedName>
    <definedName name="ㅜㅛㅜㅛㅛㅜ" hidden="1">{#N/A,#N/A,FALSE,"단축1";#N/A,#N/A,FALSE,"단축2";#N/A,#N/A,FALSE,"단축3";#N/A,#N/A,FALSE,"장축";#N/A,#N/A,FALSE,"4WD"}</definedName>
    <definedName name="ㅜㅜ">BlankMacro1</definedName>
    <definedName name="ㅜㅜㅏㅓ">BlankMacro1</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hidden="1">{#N/A,#N/A,FALSE,"초중조사서식 "}</definedName>
    <definedName name="ㅜㅜㅜㅜㅜㅜㅜㅜㅜ" hidden="1">{#N/A,#N/A,FALSE,"Sheet1"}</definedName>
    <definedName name="ㅜㅠㅑㅑㄷ" hidden="1">{#N/A,#N/A,FALSE,"기안지";#N/A,#N/A,FALSE,"통신지"}</definedName>
    <definedName name="ㅜㅠㅠㅠ">#REF!</definedName>
    <definedName name="ㅠ" hidden="1">{#N/A,#N/A,FALSE,"단축1";#N/A,#N/A,FALSE,"단축2";#N/A,#N/A,FALSE,"단축3";#N/A,#N/A,FALSE,"장축";#N/A,#N/A,FALSE,"4WD"}</definedName>
    <definedName name="ㅠㄱㄴㄳ">#N/A</definedName>
    <definedName name="ㅠㄷ">BlankMacro1</definedName>
    <definedName name="ㅠㄷㅁ">#N/A</definedName>
    <definedName name="ㅠㅅ귷">#N/A</definedName>
    <definedName name="ㅠㅇㅎㄹ" hidden="1">#REF!</definedName>
    <definedName name="ㅠㅈ죶">BlankMacro1</definedName>
    <definedName name="ㅠ츄ㅓ">BlankMacro1</definedName>
    <definedName name="ㅠㅑㅜ" hidden="1">#REF!</definedName>
    <definedName name="ㅠㅛㄱ">BlankMacro1</definedName>
    <definedName name="ㅠㅜㅛ" hidden="1">{#N/A,#N/A,FALSE,"Sheet6"}</definedName>
    <definedName name="ㅠㅠ">#REF!</definedName>
    <definedName name="ㅠㅠㅠ" hidden="1">{#N/A,#N/A,FALSE,"지침";#N/A,#N/A,FALSE,"환경분석";#N/A,#N/A,FALSE,"Sheet16"}</definedName>
    <definedName name="ㅠㅠㅠㅠㅠㅠ">#N/A</definedName>
    <definedName name="ㅡ" hidden="1">{#N/A,#N/A,FALSE,"Aging Summary";#N/A,#N/A,FALSE,"Ratio Analysis";#N/A,#N/A,FALSE,"Test 120 Day Accts";#N/A,#N/A,FALSE,"Tickmarks"}</definedName>
    <definedName name="ㅡ480">#REF!</definedName>
    <definedName name="ㅡ퍼갸" hidden="1">{#N/A,#N/A,FALSE,"속도"}</definedName>
    <definedName name="ㅡㅜㅡ" hidden="1">{#N/A,#N/A,FALSE,"LANOS표면현황";#N/A,#N/A,FALSE,"표면처리업체별";#N/A,#N/A,FALSE,"사양별";#N/A,#N/A,FALSE,"제작업체별";#N/A,#N/A,FALSE,"장착부위";#N/A,#N/A,FALSE,"업체주소";#N/A,#N/A,FALSE,"불량현황"}</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BlankMacro1</definedName>
    <definedName name="ㅣ칭">BlankMacro1</definedName>
    <definedName name="ㅣ호ㅗ">BlankMacro1</definedName>
    <definedName name="ㅣㅏ" hidden="1">{#N/A,#N/A,FALSE,"단축1";#N/A,#N/A,FALSE,"단축2";#N/A,#N/A,FALSE,"단축3";#N/A,#N/A,FALSE,"장축";#N/A,#N/A,FALSE,"4WD"}</definedName>
    <definedName name="ㅣㅏㅏ" hidden="1">{#N/A,#N/A,FALSE,"97년 투자계획 세부내역 "}</definedName>
    <definedName name="ㅣㅏㅐㄷ">BlankMacro1</definedName>
    <definedName name="ㅣㅗ">BlankMacro1</definedName>
    <definedName name="ㅣㅣ" hidden="1">{#N/A,#N/A,FALSE,"을지 (4)";#N/A,#N/A,FALSE,"을지 (5)";#N/A,#N/A,FALSE,"을지 (6)"}</definedName>
    <definedName name="ㅣㅣㅣ" hidden="1">{#N/A,#N/A,FALSE,"삼진정공";#N/A,#N/A,FALSE,"영신금속";#N/A,#N/A,FALSE,"태양금속";#N/A,#N/A,FALSE,"진합정공";#N/A,#N/A,FALSE,"코리아";#N/A,#N/A,FALSE,"풍강금속";#N/A,#N/A,FALSE,"선일기계"}</definedName>
    <definedName name="ㅣㅣㅣㅣ" hidden="1">{"'변동비고정비분류(5단계)'!$A$1:$O$48"}</definedName>
    <definedName name="ㅣㅣㅣㅣㅣㅣㅣㄹㄹㄹㄹㄹㄹㄹ">#N/A</definedName>
    <definedName name="ㅣㅣㅣㅣㅣㅣㅣㅣㅣㅣㅣ" hidden="1">{#N/A,#N/A,FALSE,"Sheet1"}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42" i="1" l="1"/>
  <c r="K442" i="1"/>
  <c r="J442" i="1"/>
  <c r="I442" i="1"/>
  <c r="L442" i="1" s="1"/>
  <c r="N441" i="1"/>
  <c r="L441" i="1"/>
  <c r="N440" i="1"/>
  <c r="N439" i="1"/>
  <c r="L439" i="1"/>
  <c r="N438" i="1"/>
  <c r="L438" i="1"/>
  <c r="N437" i="1"/>
  <c r="L437" i="1"/>
  <c r="N434" i="1"/>
  <c r="L434" i="1"/>
  <c r="N433" i="1"/>
  <c r="L433" i="1"/>
  <c r="N432" i="1"/>
  <c r="N431" i="1"/>
  <c r="D431" i="1"/>
  <c r="D432" i="1" s="1"/>
  <c r="D433" i="1" s="1"/>
  <c r="D434" i="1" s="1"/>
  <c r="N430" i="1"/>
  <c r="N442" i="1" s="1"/>
  <c r="L430" i="1"/>
  <c r="M429" i="1"/>
  <c r="K429" i="1"/>
  <c r="J429" i="1"/>
  <c r="I429" i="1"/>
  <c r="L429" i="1" s="1"/>
  <c r="N428" i="1"/>
  <c r="L428" i="1"/>
  <c r="N427" i="1"/>
  <c r="N426" i="1"/>
  <c r="L426" i="1"/>
  <c r="N425" i="1"/>
  <c r="L425" i="1"/>
  <c r="N424" i="1"/>
  <c r="L424" i="1"/>
  <c r="N421" i="1"/>
  <c r="L421" i="1"/>
  <c r="N420" i="1"/>
  <c r="L420" i="1"/>
  <c r="N419" i="1"/>
  <c r="N418" i="1"/>
  <c r="D418" i="1"/>
  <c r="D419" i="1" s="1"/>
  <c r="D420" i="1" s="1"/>
  <c r="D421" i="1" s="1"/>
  <c r="N417" i="1"/>
  <c r="L417" i="1"/>
  <c r="M416" i="1"/>
  <c r="M443" i="1" s="1"/>
  <c r="K416" i="1"/>
  <c r="K443" i="1" s="1"/>
  <c r="J416" i="1"/>
  <c r="J443" i="1" s="1"/>
  <c r="I416" i="1"/>
  <c r="N415" i="1"/>
  <c r="L415" i="1"/>
  <c r="N414" i="1"/>
  <c r="N413" i="1"/>
  <c r="L413" i="1"/>
  <c r="N412" i="1"/>
  <c r="L412" i="1"/>
  <c r="N411" i="1"/>
  <c r="L411" i="1"/>
  <c r="N408" i="1"/>
  <c r="L408" i="1"/>
  <c r="N407" i="1"/>
  <c r="L407" i="1"/>
  <c r="N406" i="1"/>
  <c r="N405" i="1"/>
  <c r="D405" i="1"/>
  <c r="D406" i="1" s="1"/>
  <c r="D407" i="1" s="1"/>
  <c r="D408" i="1" s="1"/>
  <c r="N404" i="1"/>
  <c r="N416" i="1" s="1"/>
  <c r="L404" i="1"/>
  <c r="M402" i="1"/>
  <c r="K402" i="1"/>
  <c r="J402" i="1"/>
  <c r="I402" i="1"/>
  <c r="L402" i="1" s="1"/>
  <c r="N401" i="1"/>
  <c r="L401" i="1"/>
  <c r="N400" i="1"/>
  <c r="N399" i="1"/>
  <c r="L399" i="1"/>
  <c r="N398" i="1"/>
  <c r="L398" i="1"/>
  <c r="N397" i="1"/>
  <c r="L397" i="1"/>
  <c r="N394" i="1"/>
  <c r="L394" i="1"/>
  <c r="N393" i="1"/>
  <c r="L393" i="1"/>
  <c r="N392" i="1"/>
  <c r="N391" i="1"/>
  <c r="D391" i="1"/>
  <c r="D392" i="1" s="1"/>
  <c r="D393" i="1" s="1"/>
  <c r="D394" i="1" s="1"/>
  <c r="N390" i="1"/>
  <c r="L390" i="1"/>
  <c r="M389" i="1"/>
  <c r="K389" i="1"/>
  <c r="J389" i="1"/>
  <c r="I389" i="1"/>
  <c r="L389" i="1" s="1"/>
  <c r="N388" i="1"/>
  <c r="L388" i="1"/>
  <c r="N387" i="1"/>
  <c r="N386" i="1"/>
  <c r="L386" i="1"/>
  <c r="N385" i="1"/>
  <c r="L385" i="1"/>
  <c r="N384" i="1"/>
  <c r="L384" i="1"/>
  <c r="N381" i="1"/>
  <c r="L381" i="1"/>
  <c r="N380" i="1"/>
  <c r="L380" i="1"/>
  <c r="N379" i="1"/>
  <c r="N378" i="1"/>
  <c r="D378" i="1"/>
  <c r="D379" i="1" s="1"/>
  <c r="D380" i="1" s="1"/>
  <c r="D381" i="1" s="1"/>
  <c r="N377" i="1"/>
  <c r="L377" i="1"/>
  <c r="M376" i="1"/>
  <c r="M403" i="1" s="1"/>
  <c r="K376" i="1"/>
  <c r="J376" i="1"/>
  <c r="J403" i="1" s="1"/>
  <c r="I376" i="1"/>
  <c r="N375" i="1"/>
  <c r="L375" i="1"/>
  <c r="N374" i="1"/>
  <c r="N373" i="1"/>
  <c r="L373" i="1"/>
  <c r="N372" i="1"/>
  <c r="L372" i="1"/>
  <c r="N371" i="1"/>
  <c r="L371" i="1"/>
  <c r="N368" i="1"/>
  <c r="L368" i="1"/>
  <c r="N367" i="1"/>
  <c r="L367" i="1"/>
  <c r="N366" i="1"/>
  <c r="N365" i="1"/>
  <c r="D365" i="1"/>
  <c r="D366" i="1" s="1"/>
  <c r="D367" i="1" s="1"/>
  <c r="D368" i="1" s="1"/>
  <c r="N364" i="1"/>
  <c r="L364" i="1"/>
  <c r="M362" i="1"/>
  <c r="K362" i="1"/>
  <c r="J362" i="1"/>
  <c r="I362" i="1"/>
  <c r="L362" i="1" s="1"/>
  <c r="N361" i="1"/>
  <c r="L361" i="1"/>
  <c r="N360" i="1"/>
  <c r="N359" i="1"/>
  <c r="L359" i="1"/>
  <c r="N358" i="1"/>
  <c r="L358" i="1"/>
  <c r="N357" i="1"/>
  <c r="L357" i="1"/>
  <c r="N354" i="1"/>
  <c r="L354" i="1"/>
  <c r="N353" i="1"/>
  <c r="L353" i="1"/>
  <c r="N352" i="1"/>
  <c r="N351" i="1"/>
  <c r="D351" i="1"/>
  <c r="D352" i="1" s="1"/>
  <c r="D353" i="1" s="1"/>
  <c r="D354" i="1" s="1"/>
  <c r="N350" i="1"/>
  <c r="N362" i="1" s="1"/>
  <c r="L350" i="1"/>
  <c r="M349" i="1"/>
  <c r="M363" i="1" s="1"/>
  <c r="K349" i="1"/>
  <c r="K363" i="1" s="1"/>
  <c r="J349" i="1"/>
  <c r="J363" i="1" s="1"/>
  <c r="I349" i="1"/>
  <c r="N348" i="1"/>
  <c r="L348" i="1"/>
  <c r="N347" i="1"/>
  <c r="N346" i="1"/>
  <c r="L346" i="1"/>
  <c r="N345" i="1"/>
  <c r="N349" i="1" s="1"/>
  <c r="L345" i="1"/>
  <c r="N344" i="1"/>
  <c r="L344" i="1"/>
  <c r="N341" i="1"/>
  <c r="L341" i="1"/>
  <c r="N340" i="1"/>
  <c r="L340" i="1"/>
  <c r="N339" i="1"/>
  <c r="N338" i="1"/>
  <c r="D338" i="1"/>
  <c r="D339" i="1" s="1"/>
  <c r="D340" i="1" s="1"/>
  <c r="D341" i="1" s="1"/>
  <c r="N337" i="1"/>
  <c r="L337" i="1"/>
  <c r="M336" i="1"/>
  <c r="K336" i="1"/>
  <c r="J336" i="1"/>
  <c r="I336" i="1"/>
  <c r="L336" i="1" s="1"/>
  <c r="N335" i="1"/>
  <c r="L335" i="1"/>
  <c r="N334" i="1"/>
  <c r="N333" i="1"/>
  <c r="L333" i="1"/>
  <c r="N332" i="1"/>
  <c r="L332" i="1"/>
  <c r="N331" i="1"/>
  <c r="L331" i="1"/>
  <c r="N328" i="1"/>
  <c r="L328" i="1"/>
  <c r="N327" i="1"/>
  <c r="L327" i="1"/>
  <c r="N326" i="1"/>
  <c r="N325" i="1"/>
  <c r="D325" i="1"/>
  <c r="D326" i="1" s="1"/>
  <c r="D327" i="1" s="1"/>
  <c r="D328" i="1" s="1"/>
  <c r="N324" i="1"/>
  <c r="N336" i="1" s="1"/>
  <c r="L324" i="1"/>
  <c r="M322" i="1"/>
  <c r="K322" i="1"/>
  <c r="J322" i="1"/>
  <c r="I322" i="1"/>
  <c r="L322" i="1" s="1"/>
  <c r="N321" i="1"/>
  <c r="L321" i="1"/>
  <c r="N320" i="1"/>
  <c r="N319" i="1"/>
  <c r="L319" i="1"/>
  <c r="N318" i="1"/>
  <c r="L318" i="1"/>
  <c r="N317" i="1"/>
  <c r="L317" i="1"/>
  <c r="P316" i="1"/>
  <c r="N316" i="1"/>
  <c r="P315" i="1"/>
  <c r="N315" i="1"/>
  <c r="P314" i="1"/>
  <c r="N314" i="1"/>
  <c r="L314" i="1"/>
  <c r="N313" i="1"/>
  <c r="L313" i="1"/>
  <c r="N312" i="1"/>
  <c r="N311" i="1"/>
  <c r="D311" i="1"/>
  <c r="D312" i="1" s="1"/>
  <c r="D313" i="1" s="1"/>
  <c r="D314" i="1" s="1"/>
  <c r="N310" i="1"/>
  <c r="N322" i="1" s="1"/>
  <c r="L310" i="1"/>
  <c r="M309" i="1"/>
  <c r="K309" i="1"/>
  <c r="J309" i="1"/>
  <c r="I309" i="1"/>
  <c r="L309" i="1" s="1"/>
  <c r="R308" i="1"/>
  <c r="N308" i="1"/>
  <c r="L308" i="1"/>
  <c r="N307" i="1"/>
  <c r="N306" i="1"/>
  <c r="L306" i="1"/>
  <c r="N305" i="1"/>
  <c r="L305" i="1"/>
  <c r="N304" i="1"/>
  <c r="L304" i="1"/>
  <c r="N303" i="1"/>
  <c r="N302" i="1"/>
  <c r="N301" i="1"/>
  <c r="L301" i="1"/>
  <c r="N300" i="1"/>
  <c r="L300" i="1"/>
  <c r="N299" i="1"/>
  <c r="N298" i="1"/>
  <c r="D298" i="1"/>
  <c r="D299" i="1" s="1"/>
  <c r="D300" i="1" s="1"/>
  <c r="D301" i="1" s="1"/>
  <c r="N297" i="1"/>
  <c r="N309" i="1" s="1"/>
  <c r="L297" i="1"/>
  <c r="M296" i="1"/>
  <c r="M323" i="1" s="1"/>
  <c r="M444" i="1" s="1"/>
  <c r="K296" i="1"/>
  <c r="K323" i="1" s="1"/>
  <c r="J296" i="1"/>
  <c r="J323" i="1" s="1"/>
  <c r="J444" i="1" s="1"/>
  <c r="I296" i="1"/>
  <c r="N295" i="1"/>
  <c r="L295" i="1"/>
  <c r="N294" i="1"/>
  <c r="N293" i="1"/>
  <c r="L293" i="1"/>
  <c r="N292" i="1"/>
  <c r="L292" i="1"/>
  <c r="N291" i="1"/>
  <c r="L291" i="1"/>
  <c r="N288" i="1"/>
  <c r="N296" i="1" s="1"/>
  <c r="N323" i="1" s="1"/>
  <c r="L288" i="1"/>
  <c r="N287" i="1"/>
  <c r="L287" i="1"/>
  <c r="N286" i="1"/>
  <c r="N285" i="1"/>
  <c r="D285" i="1"/>
  <c r="D286" i="1" s="1"/>
  <c r="D287" i="1" s="1"/>
  <c r="D288" i="1" s="1"/>
  <c r="N284" i="1"/>
  <c r="L284" i="1"/>
  <c r="M281" i="1"/>
  <c r="K281" i="1"/>
  <c r="J281" i="1"/>
  <c r="I281" i="1"/>
  <c r="L281" i="1" s="1"/>
  <c r="N280" i="1"/>
  <c r="L280" i="1"/>
  <c r="N279" i="1"/>
  <c r="N278" i="1"/>
  <c r="L278" i="1"/>
  <c r="N277" i="1"/>
  <c r="L277" i="1"/>
  <c r="N276" i="1"/>
  <c r="L276" i="1"/>
  <c r="N275" i="1"/>
  <c r="L275" i="1"/>
  <c r="N274" i="1"/>
  <c r="L274" i="1"/>
  <c r="N273" i="1"/>
  <c r="N272" i="1"/>
  <c r="D272" i="1"/>
  <c r="D273" i="1" s="1"/>
  <c r="D274" i="1" s="1"/>
  <c r="D275" i="1" s="1"/>
  <c r="D276" i="1" s="1"/>
  <c r="D277" i="1" s="1"/>
  <c r="D278" i="1" s="1"/>
  <c r="D279" i="1" s="1"/>
  <c r="D280" i="1" s="1"/>
  <c r="N271" i="1"/>
  <c r="N281" i="1" s="1"/>
  <c r="L271" i="1"/>
  <c r="M270" i="1"/>
  <c r="K270" i="1"/>
  <c r="J270" i="1"/>
  <c r="I270" i="1"/>
  <c r="L270" i="1" s="1"/>
  <c r="N269" i="1"/>
  <c r="L269" i="1"/>
  <c r="N268" i="1"/>
  <c r="N267" i="1"/>
  <c r="L267" i="1"/>
  <c r="N266" i="1"/>
  <c r="L266" i="1"/>
  <c r="N265" i="1"/>
  <c r="L265" i="1"/>
  <c r="N264" i="1"/>
  <c r="L264" i="1"/>
  <c r="N263" i="1"/>
  <c r="L263" i="1"/>
  <c r="N262" i="1"/>
  <c r="N261" i="1"/>
  <c r="D261" i="1"/>
  <c r="D262" i="1" s="1"/>
  <c r="D263" i="1" s="1"/>
  <c r="D264" i="1" s="1"/>
  <c r="D265" i="1" s="1"/>
  <c r="D266" i="1" s="1"/>
  <c r="D267" i="1" s="1"/>
  <c r="D268" i="1" s="1"/>
  <c r="D269" i="1" s="1"/>
  <c r="N260" i="1"/>
  <c r="N270" i="1" s="1"/>
  <c r="L260" i="1"/>
  <c r="M259" i="1"/>
  <c r="M282" i="1" s="1"/>
  <c r="K259" i="1"/>
  <c r="K282" i="1" s="1"/>
  <c r="J259" i="1"/>
  <c r="J282" i="1" s="1"/>
  <c r="I259" i="1"/>
  <c r="N258" i="1"/>
  <c r="L258" i="1"/>
  <c r="N257" i="1"/>
  <c r="N256" i="1"/>
  <c r="L256" i="1"/>
  <c r="N255" i="1"/>
  <c r="L255" i="1"/>
  <c r="N254" i="1"/>
  <c r="L254" i="1"/>
  <c r="N253" i="1"/>
  <c r="L253" i="1"/>
  <c r="N252" i="1"/>
  <c r="L252" i="1"/>
  <c r="N251" i="1"/>
  <c r="N250" i="1"/>
  <c r="D250" i="1"/>
  <c r="D251" i="1" s="1"/>
  <c r="D252" i="1" s="1"/>
  <c r="D253" i="1" s="1"/>
  <c r="D254" i="1" s="1"/>
  <c r="D255" i="1" s="1"/>
  <c r="D256" i="1" s="1"/>
  <c r="D257" i="1" s="1"/>
  <c r="D258" i="1" s="1"/>
  <c r="N249" i="1"/>
  <c r="N259" i="1" s="1"/>
  <c r="N282" i="1" s="1"/>
  <c r="L249" i="1"/>
  <c r="M247" i="1"/>
  <c r="K247" i="1"/>
  <c r="J247" i="1"/>
  <c r="I247" i="1"/>
  <c r="L247" i="1" s="1"/>
  <c r="N246" i="1"/>
  <c r="L246" i="1"/>
  <c r="Q245" i="1"/>
  <c r="R245" i="1" s="1"/>
  <c r="N245" i="1"/>
  <c r="Q244" i="1"/>
  <c r="R244" i="1" s="1"/>
  <c r="N244" i="1"/>
  <c r="L244" i="1"/>
  <c r="Q243" i="1"/>
  <c r="R243" i="1" s="1"/>
  <c r="N243" i="1"/>
  <c r="L243" i="1"/>
  <c r="Q242" i="1"/>
  <c r="R242" i="1" s="1"/>
  <c r="N242" i="1"/>
  <c r="L242" i="1"/>
  <c r="Q241" i="1"/>
  <c r="R241" i="1" s="1"/>
  <c r="N241" i="1"/>
  <c r="L241" i="1"/>
  <c r="Q240" i="1"/>
  <c r="R240" i="1" s="1"/>
  <c r="N240" i="1"/>
  <c r="L240" i="1"/>
  <c r="Q239" i="1"/>
  <c r="R239" i="1" s="1"/>
  <c r="N239" i="1"/>
  <c r="N238" i="1"/>
  <c r="D238" i="1"/>
  <c r="D239" i="1" s="1"/>
  <c r="D240" i="1" s="1"/>
  <c r="D241" i="1" s="1"/>
  <c r="D242" i="1" s="1"/>
  <c r="D243" i="1" s="1"/>
  <c r="D244" i="1" s="1"/>
  <c r="D245" i="1" s="1"/>
  <c r="D246" i="1" s="1"/>
  <c r="N237" i="1"/>
  <c r="N247" i="1" s="1"/>
  <c r="L237" i="1"/>
  <c r="M236" i="1"/>
  <c r="K236" i="1"/>
  <c r="J236" i="1"/>
  <c r="I236" i="1"/>
  <c r="L236" i="1" s="1"/>
  <c r="N235" i="1"/>
  <c r="L235" i="1"/>
  <c r="N234" i="1"/>
  <c r="N233" i="1"/>
  <c r="L233" i="1"/>
  <c r="N232" i="1"/>
  <c r="L232" i="1"/>
  <c r="N231" i="1"/>
  <c r="L231" i="1"/>
  <c r="N230" i="1"/>
  <c r="L230" i="1"/>
  <c r="N229" i="1"/>
  <c r="L229" i="1"/>
  <c r="N228" i="1"/>
  <c r="N227" i="1"/>
  <c r="D227" i="1"/>
  <c r="D228" i="1" s="1"/>
  <c r="D229" i="1" s="1"/>
  <c r="D230" i="1" s="1"/>
  <c r="D231" i="1" s="1"/>
  <c r="D232" i="1" s="1"/>
  <c r="D233" i="1" s="1"/>
  <c r="D234" i="1" s="1"/>
  <c r="D235" i="1" s="1"/>
  <c r="N226" i="1"/>
  <c r="N236" i="1" s="1"/>
  <c r="L226" i="1"/>
  <c r="M225" i="1"/>
  <c r="M248" i="1" s="1"/>
  <c r="K225" i="1"/>
  <c r="K248" i="1" s="1"/>
  <c r="J225" i="1"/>
  <c r="J248" i="1" s="1"/>
  <c r="I225" i="1"/>
  <c r="N224" i="1"/>
  <c r="L224" i="1"/>
  <c r="N223" i="1"/>
  <c r="N222" i="1"/>
  <c r="L222" i="1"/>
  <c r="N221" i="1"/>
  <c r="L221" i="1"/>
  <c r="N220" i="1"/>
  <c r="L220" i="1"/>
  <c r="N219" i="1"/>
  <c r="L219" i="1"/>
  <c r="N218" i="1"/>
  <c r="L218" i="1"/>
  <c r="N217" i="1"/>
  <c r="N216" i="1"/>
  <c r="D216" i="1"/>
  <c r="D217" i="1" s="1"/>
  <c r="D218" i="1" s="1"/>
  <c r="D219" i="1" s="1"/>
  <c r="D220" i="1" s="1"/>
  <c r="D221" i="1" s="1"/>
  <c r="D222" i="1" s="1"/>
  <c r="D223" i="1" s="1"/>
  <c r="D224" i="1" s="1"/>
  <c r="N215" i="1"/>
  <c r="N225" i="1" s="1"/>
  <c r="N248" i="1" s="1"/>
  <c r="L215" i="1"/>
  <c r="M213" i="1"/>
  <c r="K213" i="1"/>
  <c r="J213" i="1"/>
  <c r="I213" i="1"/>
  <c r="L213" i="1" s="1"/>
  <c r="N212" i="1"/>
  <c r="L212" i="1"/>
  <c r="N211" i="1"/>
  <c r="N210" i="1"/>
  <c r="L210" i="1"/>
  <c r="N209" i="1"/>
  <c r="L209" i="1"/>
  <c r="N208" i="1"/>
  <c r="N213" i="1" s="1"/>
  <c r="L208" i="1"/>
  <c r="N207" i="1"/>
  <c r="L207" i="1"/>
  <c r="N206" i="1"/>
  <c r="L206" i="1"/>
  <c r="N205" i="1"/>
  <c r="N204" i="1"/>
  <c r="D204" i="1"/>
  <c r="D205" i="1" s="1"/>
  <c r="D206" i="1" s="1"/>
  <c r="D207" i="1" s="1"/>
  <c r="D208" i="1" s="1"/>
  <c r="D209" i="1" s="1"/>
  <c r="D210" i="1" s="1"/>
  <c r="D211" i="1" s="1"/>
  <c r="D212" i="1" s="1"/>
  <c r="N203" i="1"/>
  <c r="L203" i="1"/>
  <c r="M202" i="1"/>
  <c r="K202" i="1"/>
  <c r="J202" i="1"/>
  <c r="I202" i="1"/>
  <c r="L202" i="1" s="1"/>
  <c r="V201" i="1"/>
  <c r="N201" i="1"/>
  <c r="L201" i="1"/>
  <c r="V200" i="1"/>
  <c r="N200" i="1"/>
  <c r="V199" i="1"/>
  <c r="N199" i="1"/>
  <c r="L199" i="1"/>
  <c r="V198" i="1"/>
  <c r="N198" i="1"/>
  <c r="L198" i="1"/>
  <c r="V197" i="1"/>
  <c r="N197" i="1"/>
  <c r="L197" i="1"/>
  <c r="V196" i="1"/>
  <c r="N196" i="1"/>
  <c r="L196" i="1"/>
  <c r="V195" i="1"/>
  <c r="P195" i="1"/>
  <c r="N195" i="1"/>
  <c r="L195" i="1"/>
  <c r="V194" i="1"/>
  <c r="N194" i="1"/>
  <c r="N193" i="1"/>
  <c r="D193" i="1"/>
  <c r="D194" i="1" s="1"/>
  <c r="D195" i="1" s="1"/>
  <c r="D196" i="1" s="1"/>
  <c r="D197" i="1" s="1"/>
  <c r="D198" i="1" s="1"/>
  <c r="D199" i="1" s="1"/>
  <c r="D200" i="1" s="1"/>
  <c r="D201" i="1" s="1"/>
  <c r="N192" i="1"/>
  <c r="N202" i="1" s="1"/>
  <c r="L192" i="1"/>
  <c r="M191" i="1"/>
  <c r="M214" i="1" s="1"/>
  <c r="K191" i="1"/>
  <c r="K214" i="1" s="1"/>
  <c r="J191" i="1"/>
  <c r="J214" i="1" s="1"/>
  <c r="O214" i="1" s="1"/>
  <c r="I191" i="1"/>
  <c r="N190" i="1"/>
  <c r="L190" i="1"/>
  <c r="N189" i="1"/>
  <c r="N188" i="1"/>
  <c r="L188" i="1"/>
  <c r="N187" i="1"/>
  <c r="L187" i="1"/>
  <c r="N186" i="1"/>
  <c r="L186" i="1"/>
  <c r="N185" i="1"/>
  <c r="L185" i="1"/>
  <c r="N184" i="1"/>
  <c r="L184" i="1"/>
  <c r="N183" i="1"/>
  <c r="N182" i="1"/>
  <c r="D182" i="1"/>
  <c r="D183" i="1" s="1"/>
  <c r="D184" i="1" s="1"/>
  <c r="D185" i="1" s="1"/>
  <c r="D186" i="1" s="1"/>
  <c r="D187" i="1" s="1"/>
  <c r="D188" i="1" s="1"/>
  <c r="D189" i="1" s="1"/>
  <c r="D190" i="1" s="1"/>
  <c r="N181" i="1"/>
  <c r="N191" i="1" s="1"/>
  <c r="L181" i="1"/>
  <c r="M179" i="1"/>
  <c r="K179" i="1"/>
  <c r="T179" i="1" s="1"/>
  <c r="I179" i="1"/>
  <c r="T178" i="1"/>
  <c r="Q178" i="1"/>
  <c r="P178" i="1"/>
  <c r="N178" i="1"/>
  <c r="L178" i="1"/>
  <c r="T177" i="1"/>
  <c r="Q177" i="1"/>
  <c r="N177" i="1"/>
  <c r="J177" i="1"/>
  <c r="P177" i="1" s="1"/>
  <c r="T176" i="1"/>
  <c r="Q176" i="1"/>
  <c r="N176" i="1"/>
  <c r="J176" i="1"/>
  <c r="T175" i="1"/>
  <c r="Q175" i="1"/>
  <c r="N175" i="1"/>
  <c r="J175" i="1"/>
  <c r="T174" i="1"/>
  <c r="Q174" i="1"/>
  <c r="N174" i="1"/>
  <c r="J174" i="1"/>
  <c r="T173" i="1"/>
  <c r="Q173" i="1"/>
  <c r="N173" i="1"/>
  <c r="N179" i="1" s="1"/>
  <c r="J173" i="1"/>
  <c r="T172" i="1"/>
  <c r="Q172" i="1"/>
  <c r="N172" i="1"/>
  <c r="J172" i="1"/>
  <c r="T171" i="1"/>
  <c r="Q171" i="1"/>
  <c r="N171" i="1"/>
  <c r="J171" i="1"/>
  <c r="P171" i="1" s="1"/>
  <c r="N170" i="1"/>
  <c r="J170" i="1"/>
  <c r="D170" i="1"/>
  <c r="D171" i="1" s="1"/>
  <c r="D172" i="1" s="1"/>
  <c r="D173" i="1" s="1"/>
  <c r="D174" i="1" s="1"/>
  <c r="D175" i="1" s="1"/>
  <c r="D176" i="1" s="1"/>
  <c r="D177" i="1" s="1"/>
  <c r="D178" i="1" s="1"/>
  <c r="N169" i="1"/>
  <c r="J169" i="1"/>
  <c r="L169" i="1" s="1"/>
  <c r="N168" i="1"/>
  <c r="M168" i="1"/>
  <c r="K168" i="1"/>
  <c r="T168" i="1" s="1"/>
  <c r="I168" i="1"/>
  <c r="T167" i="1"/>
  <c r="N167" i="1"/>
  <c r="L167" i="1"/>
  <c r="T166" i="1"/>
  <c r="N166" i="1"/>
  <c r="J166" i="1"/>
  <c r="T165" i="1"/>
  <c r="N165" i="1"/>
  <c r="J165" i="1"/>
  <c r="L165" i="1" s="1"/>
  <c r="T164" i="1"/>
  <c r="N164" i="1"/>
  <c r="J164" i="1"/>
  <c r="L164" i="1" s="1"/>
  <c r="T163" i="1"/>
  <c r="N163" i="1"/>
  <c r="L163" i="1"/>
  <c r="T162" i="1"/>
  <c r="N162" i="1"/>
  <c r="J162" i="1"/>
  <c r="L162" i="1" s="1"/>
  <c r="T161" i="1"/>
  <c r="N161" i="1"/>
  <c r="J161" i="1"/>
  <c r="L161" i="1" s="1"/>
  <c r="T160" i="1"/>
  <c r="N160" i="1"/>
  <c r="J160" i="1"/>
  <c r="J168" i="1" s="1"/>
  <c r="N159" i="1"/>
  <c r="D159" i="1"/>
  <c r="D160" i="1" s="1"/>
  <c r="D161" i="1" s="1"/>
  <c r="D162" i="1" s="1"/>
  <c r="D163" i="1" s="1"/>
  <c r="D164" i="1" s="1"/>
  <c r="D165" i="1" s="1"/>
  <c r="D166" i="1" s="1"/>
  <c r="D167" i="1" s="1"/>
  <c r="N158" i="1"/>
  <c r="L158" i="1"/>
  <c r="M157" i="1"/>
  <c r="M180" i="1" s="1"/>
  <c r="K157" i="1"/>
  <c r="I157" i="1"/>
  <c r="T156" i="1"/>
  <c r="S156" i="1"/>
  <c r="Q156" i="1"/>
  <c r="N156" i="1"/>
  <c r="L156" i="1"/>
  <c r="T155" i="1"/>
  <c r="S155" i="1"/>
  <c r="N155" i="1"/>
  <c r="T154" i="1"/>
  <c r="N154" i="1"/>
  <c r="J154" i="1"/>
  <c r="T153" i="1"/>
  <c r="S153" i="1"/>
  <c r="N153" i="1"/>
  <c r="L153" i="1"/>
  <c r="T152" i="1"/>
  <c r="S152" i="1"/>
  <c r="N152" i="1"/>
  <c r="L152" i="1"/>
  <c r="T151" i="1"/>
  <c r="N151" i="1"/>
  <c r="J151" i="1"/>
  <c r="T150" i="1"/>
  <c r="N150" i="1"/>
  <c r="J150" i="1"/>
  <c r="T149" i="1"/>
  <c r="N149" i="1"/>
  <c r="J149" i="1"/>
  <c r="N148" i="1"/>
  <c r="D148" i="1"/>
  <c r="D149" i="1" s="1"/>
  <c r="D150" i="1" s="1"/>
  <c r="D151" i="1" s="1"/>
  <c r="D152" i="1" s="1"/>
  <c r="D153" i="1" s="1"/>
  <c r="D154" i="1" s="1"/>
  <c r="D155" i="1" s="1"/>
  <c r="D156" i="1" s="1"/>
  <c r="N147" i="1"/>
  <c r="N157" i="1" s="1"/>
  <c r="N180" i="1" s="1"/>
  <c r="L147" i="1"/>
  <c r="N144" i="1"/>
  <c r="M144" i="1"/>
  <c r="M145" i="1" s="1"/>
  <c r="K144" i="1"/>
  <c r="K145" i="1" s="1"/>
  <c r="J144" i="1"/>
  <c r="I144" i="1"/>
  <c r="N143" i="1"/>
  <c r="L143" i="1"/>
  <c r="N142" i="1"/>
  <c r="J142" i="1"/>
  <c r="N141" i="1"/>
  <c r="J141" i="1"/>
  <c r="L141" i="1" s="1"/>
  <c r="N140" i="1"/>
  <c r="J140" i="1"/>
  <c r="L140" i="1" s="1"/>
  <c r="N139" i="1"/>
  <c r="J139" i="1"/>
  <c r="L139" i="1" s="1"/>
  <c r="N138" i="1"/>
  <c r="J138" i="1"/>
  <c r="L138" i="1" s="1"/>
  <c r="N137" i="1"/>
  <c r="J137" i="1"/>
  <c r="L137" i="1" s="1"/>
  <c r="N136" i="1"/>
  <c r="J136" i="1"/>
  <c r="N135" i="1"/>
  <c r="J135" i="1"/>
  <c r="D135" i="1"/>
  <c r="D136" i="1" s="1"/>
  <c r="D137" i="1" s="1"/>
  <c r="D138" i="1" s="1"/>
  <c r="D139" i="1" s="1"/>
  <c r="D140" i="1" s="1"/>
  <c r="D141" i="1" s="1"/>
  <c r="D142" i="1" s="1"/>
  <c r="D143" i="1" s="1"/>
  <c r="N134" i="1"/>
  <c r="J134" i="1"/>
  <c r="L134" i="1" s="1"/>
  <c r="M133" i="1"/>
  <c r="K133" i="1"/>
  <c r="I133" i="1"/>
  <c r="N132" i="1"/>
  <c r="L132" i="1"/>
  <c r="N131" i="1"/>
  <c r="J131" i="1"/>
  <c r="N130" i="1"/>
  <c r="J130" i="1"/>
  <c r="L130" i="1" s="1"/>
  <c r="N129" i="1"/>
  <c r="J129" i="1"/>
  <c r="L129" i="1" s="1"/>
  <c r="N128" i="1"/>
  <c r="J128" i="1"/>
  <c r="L128" i="1" s="1"/>
  <c r="N127" i="1"/>
  <c r="J127" i="1"/>
  <c r="L127" i="1" s="1"/>
  <c r="N126" i="1"/>
  <c r="J126" i="1"/>
  <c r="L126" i="1" s="1"/>
  <c r="N125" i="1"/>
  <c r="J125" i="1"/>
  <c r="N124" i="1"/>
  <c r="J124" i="1"/>
  <c r="D124" i="1"/>
  <c r="D125" i="1" s="1"/>
  <c r="D126" i="1" s="1"/>
  <c r="D127" i="1" s="1"/>
  <c r="D128" i="1" s="1"/>
  <c r="D129" i="1" s="1"/>
  <c r="D130" i="1" s="1"/>
  <c r="D131" i="1" s="1"/>
  <c r="D132" i="1" s="1"/>
  <c r="N123" i="1"/>
  <c r="N133" i="1" s="1"/>
  <c r="J123" i="1"/>
  <c r="M122" i="1"/>
  <c r="K122" i="1"/>
  <c r="I122" i="1"/>
  <c r="N121" i="1"/>
  <c r="L121" i="1"/>
  <c r="N120" i="1"/>
  <c r="J120" i="1"/>
  <c r="L120" i="1" s="1"/>
  <c r="N119" i="1"/>
  <c r="J119" i="1"/>
  <c r="L119" i="1" s="1"/>
  <c r="N118" i="1"/>
  <c r="J118" i="1"/>
  <c r="L118" i="1" s="1"/>
  <c r="N117" i="1"/>
  <c r="J117" i="1"/>
  <c r="L117" i="1" s="1"/>
  <c r="N116" i="1"/>
  <c r="J116" i="1"/>
  <c r="L116" i="1" s="1"/>
  <c r="N115" i="1"/>
  <c r="J115" i="1"/>
  <c r="L115" i="1" s="1"/>
  <c r="N114" i="1"/>
  <c r="J114" i="1"/>
  <c r="N113" i="1"/>
  <c r="J113" i="1"/>
  <c r="L113" i="1" s="1"/>
  <c r="D113" i="1"/>
  <c r="D114" i="1" s="1"/>
  <c r="D115" i="1" s="1"/>
  <c r="D116" i="1" s="1"/>
  <c r="D117" i="1" s="1"/>
  <c r="D118" i="1" s="1"/>
  <c r="D119" i="1" s="1"/>
  <c r="D120" i="1" s="1"/>
  <c r="D121" i="1" s="1"/>
  <c r="N112" i="1"/>
  <c r="N122" i="1" s="1"/>
  <c r="N145" i="1" s="1"/>
  <c r="J112" i="1"/>
  <c r="M110" i="1"/>
  <c r="M111" i="1" s="1"/>
  <c r="K110" i="1"/>
  <c r="I110" i="1"/>
  <c r="O109" i="1"/>
  <c r="N109" i="1"/>
  <c r="L109" i="1"/>
  <c r="N108" i="1"/>
  <c r="J108" i="1"/>
  <c r="J110" i="1" s="1"/>
  <c r="O107" i="1"/>
  <c r="N107" i="1"/>
  <c r="N110" i="1" s="1"/>
  <c r="L107" i="1"/>
  <c r="J107" i="1"/>
  <c r="O106" i="1"/>
  <c r="N106" i="1"/>
  <c r="J106" i="1"/>
  <c r="L106" i="1" s="1"/>
  <c r="O105" i="1"/>
  <c r="N105" i="1"/>
  <c r="J105" i="1"/>
  <c r="L105" i="1" s="1"/>
  <c r="O104" i="1"/>
  <c r="N104" i="1"/>
  <c r="J104" i="1"/>
  <c r="L104" i="1" s="1"/>
  <c r="O103" i="1"/>
  <c r="N103" i="1"/>
  <c r="J103" i="1"/>
  <c r="L103" i="1" s="1"/>
  <c r="O102" i="1"/>
  <c r="N102" i="1"/>
  <c r="J102" i="1"/>
  <c r="O101" i="1"/>
  <c r="N101" i="1"/>
  <c r="J101" i="1"/>
  <c r="D101" i="1"/>
  <c r="D102" i="1" s="1"/>
  <c r="D103" i="1" s="1"/>
  <c r="D104" i="1" s="1"/>
  <c r="D105" i="1" s="1"/>
  <c r="D106" i="1" s="1"/>
  <c r="D107" i="1" s="1"/>
  <c r="D108" i="1" s="1"/>
  <c r="D109" i="1" s="1"/>
  <c r="O100" i="1"/>
  <c r="N100" i="1"/>
  <c r="J100" i="1"/>
  <c r="L100" i="1" s="1"/>
  <c r="N98" i="1"/>
  <c r="M98" i="1"/>
  <c r="K98" i="1"/>
  <c r="I98" i="1"/>
  <c r="N97" i="1"/>
  <c r="L97" i="1"/>
  <c r="N96" i="1"/>
  <c r="J96" i="1"/>
  <c r="N95" i="1"/>
  <c r="J95" i="1"/>
  <c r="L95" i="1" s="1"/>
  <c r="N94" i="1"/>
  <c r="J94" i="1"/>
  <c r="L94" i="1" s="1"/>
  <c r="N93" i="1"/>
  <c r="J93" i="1"/>
  <c r="L93" i="1" s="1"/>
  <c r="P92" i="1"/>
  <c r="N92" i="1"/>
  <c r="J92" i="1"/>
  <c r="L92" i="1" s="1"/>
  <c r="N91" i="1"/>
  <c r="J91" i="1"/>
  <c r="L91" i="1" s="1"/>
  <c r="N90" i="1"/>
  <c r="J90" i="1"/>
  <c r="N89" i="1"/>
  <c r="J89" i="1"/>
  <c r="D89" i="1"/>
  <c r="D90" i="1" s="1"/>
  <c r="D91" i="1" s="1"/>
  <c r="D92" i="1" s="1"/>
  <c r="D93" i="1" s="1"/>
  <c r="D94" i="1" s="1"/>
  <c r="D95" i="1" s="1"/>
  <c r="D96" i="1" s="1"/>
  <c r="D97" i="1" s="1"/>
  <c r="N88" i="1"/>
  <c r="J88" i="1"/>
  <c r="M86" i="1"/>
  <c r="I86" i="1"/>
  <c r="N85" i="1"/>
  <c r="L85" i="1"/>
  <c r="N84" i="1"/>
  <c r="J84" i="1"/>
  <c r="K83" i="1"/>
  <c r="J83" i="1"/>
  <c r="L83" i="1" s="1"/>
  <c r="N82" i="1"/>
  <c r="J82" i="1"/>
  <c r="L82" i="1" s="1"/>
  <c r="N81" i="1"/>
  <c r="J81" i="1"/>
  <c r="N80" i="1"/>
  <c r="J80" i="1"/>
  <c r="L80" i="1" s="1"/>
  <c r="N79" i="1"/>
  <c r="J79" i="1"/>
  <c r="L79" i="1" s="1"/>
  <c r="N78" i="1"/>
  <c r="J78" i="1"/>
  <c r="N77" i="1"/>
  <c r="J77" i="1"/>
  <c r="D77" i="1"/>
  <c r="D78" i="1" s="1"/>
  <c r="D79" i="1" s="1"/>
  <c r="D80" i="1" s="1"/>
  <c r="D81" i="1" s="1"/>
  <c r="D82" i="1" s="1"/>
  <c r="D83" i="1" s="1"/>
  <c r="D84" i="1" s="1"/>
  <c r="D85" i="1" s="1"/>
  <c r="N76" i="1"/>
  <c r="J76" i="1"/>
  <c r="N73" i="1"/>
  <c r="N74" i="1" s="1"/>
  <c r="M73" i="1"/>
  <c r="M74" i="1" s="1"/>
  <c r="K73" i="1"/>
  <c r="K74" i="1" s="1"/>
  <c r="I73" i="1"/>
  <c r="Q72" i="1"/>
  <c r="N72" i="1"/>
  <c r="L72" i="1"/>
  <c r="Q71" i="1"/>
  <c r="N71" i="1"/>
  <c r="J71" i="1"/>
  <c r="Q70" i="1"/>
  <c r="N70" i="1"/>
  <c r="J70" i="1"/>
  <c r="L70" i="1" s="1"/>
  <c r="Q69" i="1"/>
  <c r="N69" i="1"/>
  <c r="J69" i="1"/>
  <c r="L69" i="1" s="1"/>
  <c r="Q68" i="1"/>
  <c r="N68" i="1"/>
  <c r="J68" i="1"/>
  <c r="L68" i="1" s="1"/>
  <c r="Q67" i="1"/>
  <c r="N67" i="1"/>
  <c r="J67" i="1"/>
  <c r="L67" i="1" s="1"/>
  <c r="Q66" i="1"/>
  <c r="N66" i="1"/>
  <c r="J66" i="1"/>
  <c r="L66" i="1" s="1"/>
  <c r="Q65" i="1"/>
  <c r="N65" i="1"/>
  <c r="J65" i="1"/>
  <c r="Q64" i="1"/>
  <c r="N64" i="1"/>
  <c r="J64" i="1"/>
  <c r="D64" i="1"/>
  <c r="D65" i="1" s="1"/>
  <c r="D66" i="1" s="1"/>
  <c r="D67" i="1" s="1"/>
  <c r="D68" i="1" s="1"/>
  <c r="D69" i="1" s="1"/>
  <c r="D70" i="1" s="1"/>
  <c r="D71" i="1" s="1"/>
  <c r="D72" i="1" s="1"/>
  <c r="Q63" i="1"/>
  <c r="N63" i="1"/>
  <c r="J63" i="1"/>
  <c r="M62" i="1"/>
  <c r="K62" i="1"/>
  <c r="I62" i="1"/>
  <c r="Q61" i="1"/>
  <c r="N61" i="1"/>
  <c r="L61" i="1"/>
  <c r="Q60" i="1"/>
  <c r="N60" i="1"/>
  <c r="J60" i="1"/>
  <c r="L60" i="1" s="1"/>
  <c r="Q59" i="1"/>
  <c r="N59" i="1"/>
  <c r="J59" i="1"/>
  <c r="L59" i="1" s="1"/>
  <c r="Q58" i="1"/>
  <c r="N58" i="1"/>
  <c r="J58" i="1"/>
  <c r="L58" i="1" s="1"/>
  <c r="Q57" i="1"/>
  <c r="N57" i="1"/>
  <c r="J57" i="1"/>
  <c r="L57" i="1" s="1"/>
  <c r="Q56" i="1"/>
  <c r="N56" i="1"/>
  <c r="J56" i="1"/>
  <c r="L56" i="1" s="1"/>
  <c r="Q55" i="1"/>
  <c r="N55" i="1"/>
  <c r="J55" i="1"/>
  <c r="L55" i="1" s="1"/>
  <c r="Q54" i="1"/>
  <c r="N54" i="1"/>
  <c r="J54" i="1"/>
  <c r="Q53" i="1"/>
  <c r="N53" i="1"/>
  <c r="J53" i="1"/>
  <c r="L53" i="1" s="1"/>
  <c r="D53" i="1"/>
  <c r="D54" i="1" s="1"/>
  <c r="D55" i="1" s="1"/>
  <c r="D56" i="1" s="1"/>
  <c r="D57" i="1" s="1"/>
  <c r="D58" i="1" s="1"/>
  <c r="D59" i="1" s="1"/>
  <c r="D60" i="1" s="1"/>
  <c r="D61" i="1" s="1"/>
  <c r="Q52" i="1"/>
  <c r="N52" i="1"/>
  <c r="N62" i="1" s="1"/>
  <c r="J52" i="1"/>
  <c r="M51" i="1"/>
  <c r="K51" i="1"/>
  <c r="I51" i="1"/>
  <c r="Q50" i="1"/>
  <c r="N50" i="1"/>
  <c r="L50" i="1"/>
  <c r="Q49" i="1"/>
  <c r="N49" i="1"/>
  <c r="J49" i="1"/>
  <c r="Q48" i="1"/>
  <c r="N48" i="1"/>
  <c r="J48" i="1"/>
  <c r="L48" i="1" s="1"/>
  <c r="Q47" i="1"/>
  <c r="N47" i="1"/>
  <c r="J47" i="1"/>
  <c r="L47" i="1" s="1"/>
  <c r="Q46" i="1"/>
  <c r="N46" i="1"/>
  <c r="J46" i="1"/>
  <c r="Q45" i="1"/>
  <c r="N45" i="1"/>
  <c r="N51" i="1" s="1"/>
  <c r="L45" i="1"/>
  <c r="J45" i="1"/>
  <c r="Q44" i="1"/>
  <c r="N44" i="1"/>
  <c r="J44" i="1"/>
  <c r="L44" i="1" s="1"/>
  <c r="Q43" i="1"/>
  <c r="N43" i="1"/>
  <c r="J43" i="1"/>
  <c r="Q42" i="1"/>
  <c r="N42" i="1"/>
  <c r="J42" i="1"/>
  <c r="D42" i="1"/>
  <c r="D43" i="1" s="1"/>
  <c r="D44" i="1" s="1"/>
  <c r="D45" i="1" s="1"/>
  <c r="D46" i="1" s="1"/>
  <c r="D47" i="1" s="1"/>
  <c r="D48" i="1" s="1"/>
  <c r="D49" i="1" s="1"/>
  <c r="D50" i="1" s="1"/>
  <c r="S41" i="1"/>
  <c r="R41" i="1"/>
  <c r="Q41" i="1"/>
  <c r="N41" i="1"/>
  <c r="J41" i="1"/>
  <c r="L41" i="1" s="1"/>
  <c r="N39" i="1"/>
  <c r="M39" i="1"/>
  <c r="K39" i="1"/>
  <c r="K40" i="1" s="1"/>
  <c r="I39" i="1"/>
  <c r="Q38" i="1"/>
  <c r="N38" i="1"/>
  <c r="L38" i="1"/>
  <c r="Q37" i="1"/>
  <c r="N37" i="1"/>
  <c r="L37" i="1"/>
  <c r="Q36" i="1"/>
  <c r="N36" i="1"/>
  <c r="L36" i="1"/>
  <c r="Q35" i="1"/>
  <c r="N35" i="1"/>
  <c r="L35" i="1"/>
  <c r="Q34" i="1"/>
  <c r="N34" i="1"/>
  <c r="Q33" i="1"/>
  <c r="N33" i="1"/>
  <c r="L33" i="1"/>
  <c r="Q32" i="1"/>
  <c r="N32" i="1"/>
  <c r="L32" i="1"/>
  <c r="Q31" i="1"/>
  <c r="N31" i="1"/>
  <c r="J31" i="1"/>
  <c r="Q30" i="1"/>
  <c r="N30" i="1"/>
  <c r="J30" i="1"/>
  <c r="L30" i="1" s="1"/>
  <c r="D30" i="1"/>
  <c r="D31" i="1" s="1"/>
  <c r="D32" i="1" s="1"/>
  <c r="D33" i="1" s="1"/>
  <c r="D34" i="1" s="1"/>
  <c r="D35" i="1" s="1"/>
  <c r="D36" i="1" s="1"/>
  <c r="D37" i="1" s="1"/>
  <c r="D38" i="1" s="1"/>
  <c r="Q29" i="1"/>
  <c r="N29" i="1"/>
  <c r="J29" i="1"/>
  <c r="M28" i="1"/>
  <c r="K28" i="1"/>
  <c r="I28" i="1"/>
  <c r="Q27" i="1"/>
  <c r="N27" i="1"/>
  <c r="Q26" i="1"/>
  <c r="N26" i="1"/>
  <c r="J26" i="1"/>
  <c r="L26" i="1" s="1"/>
  <c r="Q25" i="1"/>
  <c r="N25" i="1"/>
  <c r="J25" i="1"/>
  <c r="L25" i="1" s="1"/>
  <c r="Q24" i="1"/>
  <c r="N24" i="1"/>
  <c r="J24" i="1"/>
  <c r="L24" i="1" s="1"/>
  <c r="T23" i="1"/>
  <c r="Q23" i="1"/>
  <c r="N23" i="1"/>
  <c r="J23" i="1"/>
  <c r="L23" i="1" s="1"/>
  <c r="T22" i="1"/>
  <c r="T42" i="1" s="1"/>
  <c r="S22" i="1"/>
  <c r="S42" i="1" s="1"/>
  <c r="R22" i="1"/>
  <c r="R42" i="1" s="1"/>
  <c r="Q22" i="1"/>
  <c r="N22" i="1"/>
  <c r="J22" i="1"/>
  <c r="T21" i="1"/>
  <c r="T41" i="1" s="1"/>
  <c r="S21" i="1"/>
  <c r="R21" i="1"/>
  <c r="Q21" i="1"/>
  <c r="N21" i="1"/>
  <c r="J21" i="1"/>
  <c r="L21" i="1" s="1"/>
  <c r="T20" i="1"/>
  <c r="T40" i="1" s="1"/>
  <c r="S20" i="1"/>
  <c r="S40" i="1" s="1"/>
  <c r="R20" i="1"/>
  <c r="R40" i="1" s="1"/>
  <c r="Q20" i="1"/>
  <c r="N20" i="1"/>
  <c r="J20" i="1"/>
  <c r="S19" i="1"/>
  <c r="S39" i="1" s="1"/>
  <c r="R19" i="1"/>
  <c r="Q19" i="1"/>
  <c r="N19" i="1"/>
  <c r="J19" i="1"/>
  <c r="D19" i="1"/>
  <c r="D20" i="1" s="1"/>
  <c r="D21" i="1" s="1"/>
  <c r="D22" i="1" s="1"/>
  <c r="D23" i="1" s="1"/>
  <c r="D24" i="1" s="1"/>
  <c r="D25" i="1" s="1"/>
  <c r="D26" i="1" s="1"/>
  <c r="D27" i="1" s="1"/>
  <c r="S18" i="1"/>
  <c r="S38" i="1" s="1"/>
  <c r="R18" i="1"/>
  <c r="Q18" i="1"/>
  <c r="N18" i="1"/>
  <c r="N28" i="1" s="1"/>
  <c r="J18" i="1"/>
  <c r="S17" i="1"/>
  <c r="S37" i="1" s="1"/>
  <c r="R17" i="1"/>
  <c r="K17" i="1"/>
  <c r="I17" i="1"/>
  <c r="S16" i="1"/>
  <c r="S36" i="1" s="1"/>
  <c r="R16" i="1"/>
  <c r="Q16" i="1"/>
  <c r="N16" i="1"/>
  <c r="S15" i="1"/>
  <c r="S35" i="1" s="1"/>
  <c r="R15" i="1"/>
  <c r="Q15" i="1"/>
  <c r="N15" i="1"/>
  <c r="J15" i="1"/>
  <c r="T14" i="1"/>
  <c r="T34" i="1" s="1"/>
  <c r="S14" i="1"/>
  <c r="S34" i="1" s="1"/>
  <c r="R14" i="1"/>
  <c r="R34" i="1" s="1"/>
  <c r="Q14" i="1"/>
  <c r="N14" i="1"/>
  <c r="J14" i="1"/>
  <c r="Q13" i="1"/>
  <c r="N13" i="1"/>
  <c r="J13" i="1"/>
  <c r="L13" i="1" s="1"/>
  <c r="S12" i="1"/>
  <c r="R12" i="1"/>
  <c r="Q12" i="1"/>
  <c r="N12" i="1"/>
  <c r="J12" i="1"/>
  <c r="S11" i="1"/>
  <c r="R11" i="1"/>
  <c r="Q11" i="1"/>
  <c r="M11" i="1"/>
  <c r="J11" i="1"/>
  <c r="L11" i="1" s="1"/>
  <c r="Q10" i="1"/>
  <c r="N10" i="1"/>
  <c r="J10" i="1"/>
  <c r="L10" i="1" s="1"/>
  <c r="Q9" i="1"/>
  <c r="N9" i="1"/>
  <c r="J9" i="1"/>
  <c r="Q8" i="1"/>
  <c r="N8" i="1"/>
  <c r="J8" i="1"/>
  <c r="D8" i="1"/>
  <c r="D9" i="1" s="1"/>
  <c r="D10" i="1" s="1"/>
  <c r="D11" i="1" s="1"/>
  <c r="D12" i="1" s="1"/>
  <c r="D13" i="1" s="1"/>
  <c r="D14" i="1" s="1"/>
  <c r="D15" i="1" s="1"/>
  <c r="D16" i="1" s="1"/>
  <c r="Q7" i="1"/>
  <c r="N7" i="1"/>
  <c r="J7" i="1"/>
  <c r="N429" i="1" l="1"/>
  <c r="N443" i="1" s="1"/>
  <c r="N402" i="1"/>
  <c r="K403" i="1"/>
  <c r="N389" i="1"/>
  <c r="K444" i="1"/>
  <c r="N376" i="1"/>
  <c r="N403" i="1" s="1"/>
  <c r="D435" i="1"/>
  <c r="D436" i="1" s="1"/>
  <c r="D437" i="1"/>
  <c r="D438" i="1" s="1"/>
  <c r="D439" i="1" s="1"/>
  <c r="D440" i="1" s="1"/>
  <c r="D441" i="1" s="1"/>
  <c r="D422" i="1"/>
  <c r="D423" i="1" s="1"/>
  <c r="D424" i="1"/>
  <c r="D425" i="1" s="1"/>
  <c r="D426" i="1" s="1"/>
  <c r="D427" i="1" s="1"/>
  <c r="D428" i="1" s="1"/>
  <c r="I443" i="1"/>
  <c r="L443" i="1" s="1"/>
  <c r="L416" i="1"/>
  <c r="D409" i="1"/>
  <c r="D410" i="1" s="1"/>
  <c r="D411" i="1"/>
  <c r="D412" i="1" s="1"/>
  <c r="D413" i="1" s="1"/>
  <c r="D414" i="1" s="1"/>
  <c r="D415" i="1" s="1"/>
  <c r="D395" i="1"/>
  <c r="D396" i="1" s="1"/>
  <c r="D397" i="1"/>
  <c r="D398" i="1" s="1"/>
  <c r="D399" i="1" s="1"/>
  <c r="D400" i="1" s="1"/>
  <c r="D401" i="1" s="1"/>
  <c r="D382" i="1"/>
  <c r="D383" i="1" s="1"/>
  <c r="D384" i="1"/>
  <c r="D385" i="1" s="1"/>
  <c r="D386" i="1" s="1"/>
  <c r="D387" i="1" s="1"/>
  <c r="D388" i="1" s="1"/>
  <c r="I403" i="1"/>
  <c r="L403" i="1" s="1"/>
  <c r="L376" i="1"/>
  <c r="D371" i="1"/>
  <c r="D372" i="1" s="1"/>
  <c r="D373" i="1" s="1"/>
  <c r="D374" i="1" s="1"/>
  <c r="D375" i="1" s="1"/>
  <c r="D369" i="1"/>
  <c r="D370" i="1" s="1"/>
  <c r="D357" i="1"/>
  <c r="D358" i="1" s="1"/>
  <c r="D359" i="1" s="1"/>
  <c r="D360" i="1" s="1"/>
  <c r="D361" i="1" s="1"/>
  <c r="D355" i="1"/>
  <c r="D356" i="1" s="1"/>
  <c r="I363" i="1"/>
  <c r="L363" i="1" s="1"/>
  <c r="L349" i="1"/>
  <c r="D342" i="1"/>
  <c r="D343" i="1" s="1"/>
  <c r="D344" i="1"/>
  <c r="D345" i="1" s="1"/>
  <c r="D346" i="1" s="1"/>
  <c r="D347" i="1" s="1"/>
  <c r="D348" i="1" s="1"/>
  <c r="D329" i="1"/>
  <c r="D330" i="1" s="1"/>
  <c r="D331" i="1"/>
  <c r="D332" i="1" s="1"/>
  <c r="D333" i="1" s="1"/>
  <c r="D334" i="1" s="1"/>
  <c r="D335" i="1" s="1"/>
  <c r="D315" i="1"/>
  <c r="D316" i="1" s="1"/>
  <c r="D317" i="1"/>
  <c r="D318" i="1" s="1"/>
  <c r="D319" i="1" s="1"/>
  <c r="D320" i="1" s="1"/>
  <c r="D321" i="1" s="1"/>
  <c r="D302" i="1"/>
  <c r="D303" i="1" s="1"/>
  <c r="D304" i="1"/>
  <c r="D305" i="1" s="1"/>
  <c r="D306" i="1" s="1"/>
  <c r="D307" i="1" s="1"/>
  <c r="D308" i="1" s="1"/>
  <c r="L296" i="1"/>
  <c r="I323" i="1"/>
  <c r="D289" i="1"/>
  <c r="D290" i="1" s="1"/>
  <c r="D291" i="1"/>
  <c r="D292" i="1" s="1"/>
  <c r="D293" i="1" s="1"/>
  <c r="D294" i="1" s="1"/>
  <c r="D295" i="1" s="1"/>
  <c r="I282" i="1"/>
  <c r="L282" i="1" s="1"/>
  <c r="L259" i="1"/>
  <c r="I248" i="1"/>
  <c r="L248" i="1" s="1"/>
  <c r="L225" i="1"/>
  <c r="L191" i="1"/>
  <c r="I214" i="1"/>
  <c r="L214" i="1" s="1"/>
  <c r="L176" i="1"/>
  <c r="P176" i="1"/>
  <c r="L175" i="1"/>
  <c r="P175" i="1"/>
  <c r="L174" i="1"/>
  <c r="P174" i="1"/>
  <c r="L173" i="1"/>
  <c r="J179" i="1"/>
  <c r="L179" i="1" s="1"/>
  <c r="P173" i="1"/>
  <c r="P172" i="1"/>
  <c r="L172" i="1"/>
  <c r="K180" i="1"/>
  <c r="K283" i="1" s="1"/>
  <c r="T157" i="1"/>
  <c r="I180" i="1"/>
  <c r="L154" i="1"/>
  <c r="S154" i="1"/>
  <c r="L151" i="1"/>
  <c r="S151" i="1"/>
  <c r="L150" i="1"/>
  <c r="S150" i="1"/>
  <c r="J157" i="1"/>
  <c r="L157" i="1" s="1"/>
  <c r="S149" i="1"/>
  <c r="I145" i="1"/>
  <c r="I146" i="1" s="1"/>
  <c r="L144" i="1"/>
  <c r="L123" i="1"/>
  <c r="J133" i="1"/>
  <c r="L133" i="1" s="1"/>
  <c r="J122" i="1"/>
  <c r="L112" i="1"/>
  <c r="I111" i="1"/>
  <c r="L110" i="1"/>
  <c r="J98" i="1"/>
  <c r="L88" i="1"/>
  <c r="N83" i="1"/>
  <c r="N86" i="1" s="1"/>
  <c r="K86" i="1"/>
  <c r="L76" i="1"/>
  <c r="J86" i="1"/>
  <c r="K75" i="1"/>
  <c r="I74" i="1"/>
  <c r="Q73" i="1"/>
  <c r="J73" i="1"/>
  <c r="L73" i="1" s="1"/>
  <c r="L63" i="1"/>
  <c r="Q62" i="1"/>
  <c r="J62" i="1"/>
  <c r="L62" i="1" s="1"/>
  <c r="L52" i="1"/>
  <c r="Q51" i="1"/>
  <c r="J51" i="1"/>
  <c r="L51" i="1" s="1"/>
  <c r="L46" i="1"/>
  <c r="Q39" i="1"/>
  <c r="J39" i="1"/>
  <c r="L39" i="1" s="1"/>
  <c r="L29" i="1"/>
  <c r="I40" i="1"/>
  <c r="Q40" i="1" s="1"/>
  <c r="Q28" i="1"/>
  <c r="T19" i="1"/>
  <c r="T39" i="1" s="1"/>
  <c r="R39" i="1"/>
  <c r="T18" i="1"/>
  <c r="T38" i="1" s="1"/>
  <c r="R38" i="1"/>
  <c r="L18" i="1"/>
  <c r="J28" i="1"/>
  <c r="L28" i="1" s="1"/>
  <c r="R37" i="1"/>
  <c r="T17" i="1"/>
  <c r="T37" i="1" s="1"/>
  <c r="Q17" i="1"/>
  <c r="L17" i="1"/>
  <c r="R36" i="1"/>
  <c r="T16" i="1"/>
  <c r="T36" i="1" s="1"/>
  <c r="R35" i="1"/>
  <c r="T15" i="1"/>
  <c r="M17" i="1"/>
  <c r="N11" i="1"/>
  <c r="N17" i="1" s="1"/>
  <c r="J17" i="1"/>
  <c r="L7" i="1"/>
  <c r="N363" i="1"/>
  <c r="N214" i="1"/>
  <c r="N283" i="1" s="1"/>
  <c r="L168" i="1"/>
  <c r="M283" i="1"/>
  <c r="N444" i="1" l="1"/>
  <c r="L323" i="1"/>
  <c r="I444" i="1"/>
  <c r="L444" i="1" s="1"/>
  <c r="I283" i="1"/>
  <c r="S157" i="1"/>
  <c r="J180" i="1"/>
  <c r="L180" i="1" s="1"/>
  <c r="L122" i="1"/>
  <c r="J145" i="1"/>
  <c r="L145" i="1" s="1"/>
  <c r="L98" i="1"/>
  <c r="J111" i="1"/>
  <c r="K146" i="1"/>
  <c r="K111" i="1"/>
  <c r="N111" i="1" s="1"/>
  <c r="K87" i="1"/>
  <c r="K99" i="1" s="1"/>
  <c r="L86" i="1"/>
  <c r="T35" i="1"/>
  <c r="T12" i="1"/>
  <c r="M40" i="1"/>
  <c r="M75" i="1" s="1"/>
  <c r="M87" i="1" s="1"/>
  <c r="M99" i="1" s="1"/>
  <c r="M146" i="1"/>
  <c r="J74" i="1"/>
  <c r="I75" i="1"/>
  <c r="I87" i="1" s="1"/>
  <c r="J40" i="1"/>
  <c r="L40" i="1" s="1"/>
  <c r="J146" i="1"/>
  <c r="L146" i="1" s="1"/>
  <c r="N146" i="1"/>
  <c r="N40" i="1"/>
  <c r="N75" i="1" s="1"/>
  <c r="J283" i="1" l="1"/>
  <c r="L283" i="1" s="1"/>
  <c r="O180" i="1"/>
  <c r="L74" i="1"/>
  <c r="J75" i="1"/>
  <c r="I99" i="1"/>
  <c r="N99" i="1"/>
  <c r="J87" i="1" l="1"/>
  <c r="L75" i="1"/>
  <c r="L87" i="1" l="1"/>
  <c r="J99" i="1"/>
  <c r="L9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9ED2ABE-137B-4251-B471-E17641BFE2D9}">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D2224395-CCA5-4B5E-A6A1-8D081827DD19}">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C22A52BE-ED9E-4060-AB62-B17A9850FC20}">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sharedStrings.xml><?xml version="1.0" encoding="utf-8"?>
<sst xmlns="http://schemas.openxmlformats.org/spreadsheetml/2006/main" count="2902" uniqueCount="202">
  <si>
    <t xml:space="preserve">■ 주간 매출보고 자료 </t>
    <phoneticPr fontId="3" type="noConversion"/>
  </si>
  <si>
    <t xml:space="preserve">1) PO 기준 : </t>
    <phoneticPr fontId="3" type="noConversion"/>
  </si>
  <si>
    <t>케미컬상업</t>
    <phoneticPr fontId="3" type="noConversion"/>
  </si>
  <si>
    <t>실질 PO 접수 기준</t>
    <phoneticPr fontId="3" type="noConversion"/>
  </si>
  <si>
    <t>PFS 상업</t>
    <phoneticPr fontId="3" type="noConversion"/>
  </si>
  <si>
    <t>2개월 100% Binding FCST 기준</t>
    <phoneticPr fontId="3" type="noConversion"/>
  </si>
  <si>
    <t>L&amp;P 상업</t>
    <phoneticPr fontId="3" type="noConversion"/>
  </si>
  <si>
    <t>기준일자 : 2025-06-26</t>
    <phoneticPr fontId="3" type="noConversion"/>
  </si>
  <si>
    <t>연</t>
    <phoneticPr fontId="3" type="noConversion"/>
  </si>
  <si>
    <t>분기</t>
    <phoneticPr fontId="3" type="noConversion"/>
  </si>
  <si>
    <t>월</t>
  </si>
  <si>
    <t>주차</t>
  </si>
  <si>
    <t>법인</t>
    <phoneticPr fontId="3" type="noConversion"/>
  </si>
  <si>
    <t>구분</t>
  </si>
  <si>
    <t>상세구분</t>
  </si>
  <si>
    <t>매출실적</t>
    <phoneticPr fontId="3" type="noConversion"/>
  </si>
  <si>
    <t>사업계획</t>
    <phoneticPr fontId="3" type="noConversion"/>
  </si>
  <si>
    <t>예상마감</t>
    <phoneticPr fontId="3" type="noConversion"/>
  </si>
  <si>
    <t>달성률</t>
    <phoneticPr fontId="3" type="noConversion"/>
  </si>
  <si>
    <t>전주 예상 실적</t>
    <phoneticPr fontId="3" type="noConversion"/>
  </si>
  <si>
    <t>Gap</t>
    <phoneticPr fontId="3" type="noConversion"/>
  </si>
  <si>
    <t>24년</t>
    <phoneticPr fontId="3" type="noConversion"/>
  </si>
  <si>
    <t>1분기</t>
    <phoneticPr fontId="3" type="noConversion"/>
  </si>
  <si>
    <t>G07</t>
    <phoneticPr fontId="3" type="noConversion"/>
  </si>
  <si>
    <t>1월</t>
    <phoneticPr fontId="3" type="noConversion"/>
  </si>
  <si>
    <t>1주차</t>
    <phoneticPr fontId="3" type="noConversion"/>
  </si>
  <si>
    <t>셀트리온제약</t>
    <phoneticPr fontId="3" type="noConversion"/>
  </si>
  <si>
    <t>용역</t>
  </si>
  <si>
    <t>CMO상업_조달</t>
  </si>
  <si>
    <t>기타</t>
    <phoneticPr fontId="3" type="noConversion"/>
  </si>
  <si>
    <t>CMO상업_미국</t>
  </si>
  <si>
    <t>내재화</t>
    <phoneticPr fontId="3" type="noConversion"/>
  </si>
  <si>
    <t>CMO상업_내재화</t>
    <phoneticPr fontId="3" type="noConversion"/>
  </si>
  <si>
    <t>L&amp;P</t>
    <phoneticPr fontId="3" type="noConversion"/>
  </si>
  <si>
    <t>CMO상업_L&amp;P</t>
  </si>
  <si>
    <t>PFS</t>
    <phoneticPr fontId="3" type="noConversion"/>
  </si>
  <si>
    <t>CMO상업_PFS</t>
  </si>
  <si>
    <t>GCP</t>
    <phoneticPr fontId="3" type="noConversion"/>
  </si>
  <si>
    <t>CMO용역_GCP</t>
  </si>
  <si>
    <t>LCM</t>
    <phoneticPr fontId="3" type="noConversion"/>
  </si>
  <si>
    <t>CMO용역_LCM</t>
  </si>
  <si>
    <t>11월</t>
    <phoneticPr fontId="3" type="noConversion"/>
  </si>
  <si>
    <t>12월</t>
    <phoneticPr fontId="3" type="noConversion"/>
  </si>
  <si>
    <t>합계</t>
    <phoneticPr fontId="3" type="noConversion"/>
  </si>
  <si>
    <t>PFS 개발</t>
    <phoneticPr fontId="3" type="noConversion"/>
  </si>
  <si>
    <t>CMO용역_PFS</t>
  </si>
  <si>
    <t>내재화 개발</t>
    <phoneticPr fontId="3" type="noConversion"/>
  </si>
  <si>
    <t>CMO용역_내재화</t>
    <phoneticPr fontId="3" type="noConversion"/>
  </si>
  <si>
    <t>기타(QA위임등)*</t>
    <phoneticPr fontId="3" type="noConversion"/>
  </si>
  <si>
    <t>용역_QA위임</t>
    <phoneticPr fontId="3" type="noConversion"/>
  </si>
  <si>
    <t>1월 예상 실적</t>
    <phoneticPr fontId="3" type="noConversion"/>
  </si>
  <si>
    <t>2월</t>
    <phoneticPr fontId="3" type="noConversion"/>
  </si>
  <si>
    <t>2월 실적</t>
    <phoneticPr fontId="3" type="noConversion"/>
  </si>
  <si>
    <t>3월</t>
    <phoneticPr fontId="3" type="noConversion"/>
  </si>
  <si>
    <t>4주차</t>
    <phoneticPr fontId="3" type="noConversion"/>
  </si>
  <si>
    <t>4주차</t>
  </si>
  <si>
    <t>3월 실적</t>
    <phoneticPr fontId="3" type="noConversion"/>
  </si>
  <si>
    <t>1분기 실적</t>
    <phoneticPr fontId="3" type="noConversion"/>
  </si>
  <si>
    <t>2분기</t>
    <phoneticPr fontId="3" type="noConversion"/>
  </si>
  <si>
    <t>4월</t>
    <phoneticPr fontId="3" type="noConversion"/>
  </si>
  <si>
    <t>4월 실적</t>
    <phoneticPr fontId="3" type="noConversion"/>
  </si>
  <si>
    <t>5월</t>
    <phoneticPr fontId="3" type="noConversion"/>
  </si>
  <si>
    <t>5월 실적</t>
    <phoneticPr fontId="3" type="noConversion"/>
  </si>
  <si>
    <t>6월</t>
    <phoneticPr fontId="3" type="noConversion"/>
  </si>
  <si>
    <t>6월 예상 실적</t>
    <phoneticPr fontId="3" type="noConversion"/>
  </si>
  <si>
    <t>2분기 실적</t>
    <phoneticPr fontId="3" type="noConversion"/>
  </si>
  <si>
    <t>2분기 누적 실적</t>
    <phoneticPr fontId="3" type="noConversion"/>
  </si>
  <si>
    <t>3분기</t>
    <phoneticPr fontId="3" type="noConversion"/>
  </si>
  <si>
    <t>7월</t>
    <phoneticPr fontId="3" type="noConversion"/>
  </si>
  <si>
    <t>7월 실적</t>
    <phoneticPr fontId="3" type="noConversion"/>
  </si>
  <si>
    <t>7월 누적 실적</t>
    <phoneticPr fontId="3" type="noConversion"/>
  </si>
  <si>
    <t>8월</t>
    <phoneticPr fontId="3" type="noConversion"/>
  </si>
  <si>
    <t>90%-&gt;90%</t>
    <phoneticPr fontId="3" type="noConversion"/>
  </si>
  <si>
    <t>90%-&gt;100%</t>
    <phoneticPr fontId="3" type="noConversion"/>
  </si>
  <si>
    <t>8월 예상실적</t>
    <phoneticPr fontId="3" type="noConversion"/>
  </si>
  <si>
    <t>8월 누적 예상 실적</t>
    <phoneticPr fontId="3" type="noConversion"/>
  </si>
  <si>
    <t>9월</t>
    <phoneticPr fontId="3" type="noConversion"/>
  </si>
  <si>
    <t>허가용PV 재포장 용역 37,800,000원 상업 -&gt; 개발</t>
    <phoneticPr fontId="3" type="noConversion"/>
  </si>
  <si>
    <t>9월 예상 실적</t>
    <phoneticPr fontId="3" type="noConversion"/>
  </si>
  <si>
    <t>3분기 실적</t>
    <phoneticPr fontId="3" type="noConversion"/>
  </si>
  <si>
    <t>4분기</t>
    <phoneticPr fontId="3" type="noConversion"/>
  </si>
  <si>
    <t>10월</t>
    <phoneticPr fontId="3" type="noConversion"/>
  </si>
  <si>
    <t>PFS 상업/개발 분류 변경</t>
    <phoneticPr fontId="3" type="noConversion"/>
  </si>
  <si>
    <t>약물감시 용역 추가</t>
    <phoneticPr fontId="3" type="noConversion"/>
  </si>
  <si>
    <t>10월 실적</t>
    <phoneticPr fontId="3" type="noConversion"/>
  </si>
  <si>
    <t>수율 상승</t>
    <phoneticPr fontId="3" type="noConversion"/>
  </si>
  <si>
    <t>24년 11월 PFS(CT-P41 60mg) 기술이전 매출인식</t>
    <phoneticPr fontId="3" type="noConversion"/>
  </si>
  <si>
    <t>11월 예상실적</t>
    <phoneticPr fontId="3" type="noConversion"/>
  </si>
  <si>
    <t>TP정산 40억, 이달비정 40mg 대만향 15억 12월 매출 반영</t>
    <phoneticPr fontId="3" type="noConversion"/>
  </si>
  <si>
    <t>P17 10mg PVP (3.99) + P39 3000mg PFS-S PKV 수행 (0.3636) + 선급금(?)</t>
  </si>
  <si>
    <t>12월 예상실적</t>
    <phoneticPr fontId="3" type="noConversion"/>
  </si>
  <si>
    <t>4분기 예상실적</t>
    <phoneticPr fontId="3" type="noConversion"/>
  </si>
  <si>
    <t>24년 예상실적</t>
    <phoneticPr fontId="3" type="noConversion"/>
  </si>
  <si>
    <t>25년</t>
    <phoneticPr fontId="3" type="noConversion"/>
  </si>
  <si>
    <t>기타(위임형 등)</t>
  </si>
  <si>
    <t>네시나정 25mg 대만향 수율 반영</t>
    <phoneticPr fontId="3" type="noConversion"/>
  </si>
  <si>
    <t>수율반영</t>
    <phoneticPr fontId="3" type="noConversion"/>
  </si>
  <si>
    <t>공급망내재화 반영 금액</t>
    <phoneticPr fontId="3" type="noConversion"/>
  </si>
  <si>
    <t>환율 반영된 금액으로 변경</t>
    <phoneticPr fontId="3" type="noConversion"/>
  </si>
  <si>
    <t>25년 1월 예상실적</t>
    <phoneticPr fontId="3" type="noConversion"/>
  </si>
  <si>
    <t>3월로 이월</t>
    <phoneticPr fontId="3" type="noConversion"/>
  </si>
  <si>
    <t>BORA 시험 용역+L&amp;P 용역(해봉)</t>
    <phoneticPr fontId="3" type="noConversion"/>
  </si>
  <si>
    <t>25년 2월 예상실적</t>
    <phoneticPr fontId="3" type="noConversion"/>
  </si>
  <si>
    <t>이달비정 40mg 대만향, 네시나메트 12.5/500 홍콩향 수율 반영, 이달비정 40mg 홍콩향 수율 반영(0.05억), 네시나액트25/15mg 홍콩향 허가 지연으로 0.6억 차질 예상(반영 완료)</t>
    <phoneticPr fontId="3" type="noConversion"/>
  </si>
  <si>
    <t>포장(사업계획)</t>
    <phoneticPr fontId="3" type="noConversion"/>
  </si>
  <si>
    <t>LCM 업데이트</t>
    <phoneticPr fontId="3" type="noConversion"/>
  </si>
  <si>
    <t>25년 3월 예상실적</t>
    <phoneticPr fontId="3" type="noConversion"/>
  </si>
  <si>
    <t>25년 1분기 예상실적</t>
    <phoneticPr fontId="3" type="noConversion"/>
  </si>
  <si>
    <t>사업계획 대비 고객사 요청 물량 감소</t>
    <phoneticPr fontId="3" type="noConversion"/>
  </si>
  <si>
    <t>개발일정 변경됨에 따라 용역 청구월 조정</t>
    <phoneticPr fontId="3" type="noConversion"/>
  </si>
  <si>
    <t>엔도톡신 시험 용역건 추가</t>
    <phoneticPr fontId="3" type="noConversion"/>
  </si>
  <si>
    <t>25년 4월 예상실적</t>
    <phoneticPr fontId="3" type="noConversion"/>
  </si>
  <si>
    <t>2분기 집행내역</t>
    <phoneticPr fontId="3" type="noConversion"/>
  </si>
  <si>
    <t>상업</t>
    <phoneticPr fontId="3" type="noConversion"/>
  </si>
  <si>
    <t>개발</t>
    <phoneticPr fontId="3" type="noConversion"/>
  </si>
  <si>
    <t>PFS 용역 CT-P139 300mg OPQ 항목 약 1,100만원 추가</t>
    <phoneticPr fontId="3" type="noConversion"/>
  </si>
  <si>
    <t>25년 5월 예상실적</t>
    <phoneticPr fontId="3" type="noConversion"/>
  </si>
  <si>
    <t>네시나정 25mg 홍콩향 수율 반영(+40,527,337원 미반영), -3,8억 리스크 해제(6/30 출하)</t>
    <phoneticPr fontId="3" type="noConversion"/>
  </si>
  <si>
    <t>고객사 요청물량 증가(+0.9억)</t>
    <phoneticPr fontId="3" type="noConversion"/>
  </si>
  <si>
    <t>(250618) 수율빠짐 → DS leak일탈로 12억 빠질 경우 9,519,466,800원/안빠질 경우 10,588,520,000원</t>
    <phoneticPr fontId="3" type="noConversion"/>
  </si>
  <si>
    <t>L03 비교용출 이슈로 L03 관련 마일스톤 청구 불가(-3.4억)</t>
    <phoneticPr fontId="3" type="noConversion"/>
  </si>
  <si>
    <t>(250625) 안정성 추가(+0.32억)</t>
    <phoneticPr fontId="3" type="noConversion"/>
  </si>
  <si>
    <t>QA위임 실금액 반영(600만원)</t>
    <phoneticPr fontId="3" type="noConversion"/>
  </si>
  <si>
    <t>IIT용역 0.6억</t>
    <phoneticPr fontId="3" type="noConversion"/>
  </si>
  <si>
    <t>25년 6월 예상실적</t>
    <phoneticPr fontId="3" type="noConversion"/>
  </si>
  <si>
    <t>25년 2분기 예상실적</t>
    <phoneticPr fontId="3" type="noConversion"/>
  </si>
  <si>
    <t>네시나정 25mg 홍콩향, 네시나액트25/15mg 홍콩향, 이달비40mg 홍콩향 환율 반영(+0.2억)</t>
    <phoneticPr fontId="3" type="noConversion"/>
  </si>
  <si>
    <t>uDP 공급 불안정에 따른 갭 발생</t>
  </si>
  <si>
    <t>수율반영에 따른 Gap</t>
    <phoneticPr fontId="3" type="noConversion"/>
  </si>
  <si>
    <t>셀트리온 요청으로 G07 안정성 End point 36M → 24M로 변경됨에 따라 36M 청구 불가</t>
  </si>
  <si>
    <t>L03 비교용출 이슈로 L03 관련 마일스톤 청구 불가(-0.4억), 셀트리온 회계처리 이슈로  매출이월(-0.5억)</t>
    <phoneticPr fontId="3" type="noConversion"/>
  </si>
  <si>
    <t>CT-P17 20mg 및 CT-P39 75mg/150mg 안정성 추가(0.47억)</t>
    <phoneticPr fontId="3" type="noConversion"/>
  </si>
  <si>
    <t>기존 청구 예정이였던 마일스톤 2Q로 이월</t>
  </si>
  <si>
    <t>25년 7월 예상실적</t>
    <phoneticPr fontId="3" type="noConversion"/>
  </si>
  <si>
    <t>이달비정 40mg TW 8/8일 기준 환율 반영</t>
    <phoneticPr fontId="3" type="noConversion"/>
  </si>
  <si>
    <t>Truxima (BR) 공정 중 해봉으로 인해 CoC 미 발행으로 재포장 완료 후 9월 매출로 이동</t>
    <phoneticPr fontId="3"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</si>
  <si>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3" type="noConversion"/>
  </si>
  <si>
    <t xml:space="preserve">현 제형으로 임상1상 진행됨에 따라 기존 보류되었던 PF 및 PE 마일스톤 청구 </t>
    <phoneticPr fontId="3" type="noConversion"/>
  </si>
  <si>
    <t>25년 8월 예상실적</t>
    <phoneticPr fontId="3" type="noConversion"/>
  </si>
  <si>
    <t>3분기50억롤링기준</t>
    <phoneticPr fontId="3" type="noConversion"/>
  </si>
  <si>
    <t>(3분기50억롤링기준)-(7+8월)=9월 잔여</t>
    <phoneticPr fontId="3" type="noConversion"/>
  </si>
  <si>
    <t>오세니 25/30 대만향 및 네시나정 25mg 대만향 9/19일 환율 반영, 네시나메트 500mg 9/22일 환율 반영(-0.2억)</t>
    <phoneticPr fontId="3" type="noConversion"/>
  </si>
  <si>
    <t xml:space="preserve">수율반영에 따른 매출 증가 (+3억)
CT-P39 150mg S/up 허가 완료에 따른 AI 조립 1배치 매출 반영(+6억) → 10월 매출로 이월했었음. </t>
    <phoneticPr fontId="3" type="noConversion"/>
  </si>
  <si>
    <t>L06 12M 안정성 LI 개시로 인한 서머리 승인 지연(-0.5억)</t>
    <phoneticPr fontId="3" type="noConversion"/>
  </si>
  <si>
    <t>25년 9월 예상실적</t>
    <phoneticPr fontId="3" type="noConversion"/>
  </si>
  <si>
    <t>25년 3분기 예상실적</t>
    <phoneticPr fontId="3" type="noConversion"/>
  </si>
  <si>
    <t>공급일정 변경에 따른 출하승인 일정 변경(유플라이마 40mg 충전 1배치: 11월 → 10월, CT-P41 60mg 충전 2배치: 10월 → 11월)</t>
    <phoneticPr fontId="3" type="noConversion"/>
  </si>
  <si>
    <t>CT-P52 AI 임상 수량 변동</t>
    <phoneticPr fontId="3" type="noConversion"/>
  </si>
  <si>
    <t>25년 10월 예상실적</t>
    <phoneticPr fontId="3" type="noConversion"/>
  </si>
  <si>
    <t>네시나액트 태국향 환율 반영(+0.2억)</t>
    <phoneticPr fontId="3" type="noConversion"/>
  </si>
  <si>
    <t>손실량 발생에 따른 Gap</t>
    <phoneticPr fontId="3" type="noConversion"/>
  </si>
  <si>
    <t>1배치</t>
    <phoneticPr fontId="3" type="noConversion"/>
  </si>
  <si>
    <t>25년 11월 예상실적</t>
    <phoneticPr fontId="3" type="noConversion"/>
  </si>
  <si>
    <t>실질롤링 1400.7억에서 아래 내용 모두뺌(뺼 수 있는 거 다 뺌)</t>
    <phoneticPr fontId="3" type="noConversion"/>
  </si>
  <si>
    <t>오세니 25/30 대만향12/26일 환율 반영</t>
    <phoneticPr fontId="3" type="noConversion"/>
  </si>
  <si>
    <t>수율</t>
    <phoneticPr fontId="3" type="noConversion"/>
  </si>
  <si>
    <t>램시마 AI PKV 이월 (고객사 예산 이슈)</t>
    <phoneticPr fontId="3" type="noConversion"/>
  </si>
  <si>
    <t>+(IIT용역 1.4억, 약물감시 0.1억, QA위임 0.2억)-(TP정산금액-3.1억)</t>
    <phoneticPr fontId="3" type="noConversion"/>
  </si>
  <si>
    <t>25년 12월 예상실적</t>
    <phoneticPr fontId="3" type="noConversion"/>
  </si>
  <si>
    <t>25년 4분기 예상실적</t>
    <phoneticPr fontId="3" type="noConversion"/>
  </si>
  <si>
    <t>25년 예상실적</t>
    <phoneticPr fontId="3" type="noConversion"/>
  </si>
  <si>
    <t>26년</t>
    <phoneticPr fontId="3" type="noConversion"/>
  </si>
  <si>
    <t>CMO상업_위임형</t>
  </si>
  <si>
    <t>케미컬</t>
    <phoneticPr fontId="3" type="noConversion"/>
  </si>
  <si>
    <t>*네시나정25mg HK향 1월-&gt;2월 선적일정 확정(-8.9억)</t>
    <phoneticPr fontId="3" type="noConversion"/>
  </si>
  <si>
    <t>*고객사 요청물량 변경(-1.9억)</t>
    <phoneticPr fontId="3" type="noConversion"/>
  </si>
  <si>
    <t>CMO상업_PFS 충전</t>
    <phoneticPr fontId="3" type="noConversion"/>
  </si>
  <si>
    <t>*PFS 포장 개발 일정 반영, 다품종 소량생산 진행, SAP 이슈로 공정 연기</t>
    <phoneticPr fontId="3" type="noConversion"/>
  </si>
  <si>
    <t>CMO상업_PFS 조립</t>
    <phoneticPr fontId="3" type="noConversion"/>
  </si>
  <si>
    <t>CMO상업_PFS 포장</t>
    <phoneticPr fontId="3" type="noConversion"/>
  </si>
  <si>
    <t>바이오</t>
    <phoneticPr fontId="3" type="noConversion"/>
  </si>
  <si>
    <t>1월 예상실적</t>
    <phoneticPr fontId="3" type="noConversion"/>
  </si>
  <si>
    <t>Nesina 25mg 58,384 pack TW, Hasten 및 DHL측으로부터 기존 예정 날짜(2/23)에 선박이 확보되지 않아 선적일정이 3/3으로 지연(-2.4억)</t>
    <phoneticPr fontId="3"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</si>
  <si>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3" type="noConversion"/>
  </si>
  <si>
    <t>2/5 충/조/포 포장 좀 뺸거 숫자</t>
    <phoneticPr fontId="3" type="noConversion"/>
  </si>
  <si>
    <t>2/5 실질롤링</t>
    <phoneticPr fontId="3" type="noConversion"/>
  </si>
  <si>
    <t>충</t>
    <phoneticPr fontId="3" type="noConversion"/>
  </si>
  <si>
    <t>CT-P42 멸균 PV 레포트 연기(-6,300만원)</t>
  </si>
  <si>
    <t>조</t>
    <phoneticPr fontId="3" type="noConversion"/>
  </si>
  <si>
    <t>포</t>
    <phoneticPr fontId="3" type="noConversion"/>
  </si>
  <si>
    <t>합</t>
    <phoneticPr fontId="3" type="noConversion"/>
  </si>
  <si>
    <t>2월 예상실적</t>
    <phoneticPr fontId="3" type="noConversion"/>
  </si>
  <si>
    <t>출하승인 완료에 따른 수율 반영(램시마 AI 조립 수율 예상 대비 약 1.8만개 증가)</t>
    <phoneticPr fontId="3" type="noConversion"/>
  </si>
  <si>
    <t>생산계획 변동에 따른 매출 증가</t>
    <phoneticPr fontId="3" type="noConversion"/>
  </si>
  <si>
    <t>CT-P42 충전 PV 프로토콜 계약 체결 전으로 연기(-3억),  CT-P42 Residual NO2 재시험 샘플 제작(+0.32억), 엔도톡신 시험 추가(+960만원)</t>
    <phoneticPr fontId="3" type="noConversion"/>
  </si>
  <si>
    <t>3월 예상실적</t>
    <phoneticPr fontId="3" type="noConversion"/>
  </si>
  <si>
    <t>1분기 예상실적</t>
    <phoneticPr fontId="3" type="noConversion"/>
  </si>
  <si>
    <t>CT-P55 75mg, 150mg PKV 단축(5월 &gt; 4월)</t>
  </si>
  <si>
    <t>일부 마일스톤 3월로 이월</t>
    <phoneticPr fontId="3" type="noConversion"/>
  </si>
  <si>
    <t>4월 예상실적</t>
    <phoneticPr fontId="3" type="noConversion"/>
  </si>
  <si>
    <t>CT-P55 75mg, 150mg PKV 단축(5월 &gt; 4월), CT-P42 PFS PKV 및 충전 PV 이월</t>
  </si>
  <si>
    <t>해당 마일스톤 3월로 이월</t>
    <phoneticPr fontId="3" type="noConversion"/>
  </si>
  <si>
    <t>5월 예상실적</t>
    <phoneticPr fontId="3" type="noConversion"/>
  </si>
  <si>
    <t>CT-P52 PKV 수행 용역비 추가, CT-P41 120mg 연기, CT-P39 300mg 연기</t>
  </si>
  <si>
    <t>6월 예상실적</t>
    <phoneticPr fontId="3" type="noConversion"/>
  </si>
  <si>
    <t>2분기 예상실적</t>
    <phoneticPr fontId="3" type="noConversion"/>
  </si>
  <si>
    <t>7월 예상실적</t>
    <phoneticPr fontId="3" type="noConversion"/>
  </si>
  <si>
    <t>9월 예상실적</t>
    <phoneticPr fontId="3" type="noConversion"/>
  </si>
  <si>
    <t>3분기 예상실적</t>
    <phoneticPr fontId="3" type="noConversion"/>
  </si>
  <si>
    <t>10월 예상실적</t>
    <phoneticPr fontId="3" type="noConversion"/>
  </si>
  <si>
    <t>CMO상업_위임형</t>
    <phoneticPr fontId="3" type="noConversion"/>
  </si>
  <si>
    <t>26년 예상실적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</si>
</sst>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76" formatCode="#,##0_ ;[Red]\-#,##0\ "/>
    <numFmt numFmtId="177" formatCode="_-* #,##0_-;[Red]\ \-#,##0_-;_-* &quot;-&quot;_-;_-@_-"/>
    <numFmt numFmtId="178" formatCode="#,##0_);[Red]\(#,##0\)"/>
    <numFmt numFmtId="179" formatCode="_-* #,##0.0_-;\-* #,##0.0_-;_-* &quot;-&quot;??_-;_-@_-"/>
    <numFmt numFmtId="180" formatCode="_-* #,##0.0_-;\-* #,##0.0_-;_-* &quot;-&quot;_-;_-@_-"/>
    <numFmt numFmtId="181" formatCode="_-* #,##0_-;\-* #,##0_-;_-* &quot;-&quot;??_-;_-@_-"/>
    <numFmt numFmtId="182" formatCode="#,##0_ "/>
  </numFmts>
  <fonts count="21" x14ac:knownFonts="1">
    <font>
      <sz val="11"/>
      <color theme="1"/>
      <name val="맑은 고딕"/>
      <family val="2"/>
      <charset val="129"/>
      <scheme val="minor"/>
    </font>
    <font>
      <sz val="11"/>
      <color theme="1"/>
      <name val="맑은 고딕"/>
      <family val="2"/>
      <charset val="129"/>
      <scheme val="minor"/>
    </font>
    <font>
      <sz val="11"/>
      <color theme="1"/>
      <name val="Pretendard"/>
      <family val="3"/>
      <charset val="129"/>
    </font>
    <font>
      <sz val="8"/>
      <name val="맑은 고딕"/>
      <family val="2"/>
      <charset val="129"/>
      <scheme val="minor"/>
    </font>
    <font>
      <b/>
      <sz val="20"/>
      <color theme="1"/>
      <name val="Pretendard"/>
      <family val="3"/>
      <charset val="129"/>
    </font>
    <font>
      <b/>
      <sz val="12"/>
      <color theme="1"/>
      <name val="Pretendard"/>
      <family val="3"/>
      <charset val="129"/>
    </font>
    <font>
      <b/>
      <sz val="11"/>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0000FF"/>
      <name val="Pretendard"/>
      <family val="3"/>
      <charset val="129"/>
    </font>
    <font>
      <b/>
      <sz val="11"/>
      <color rgb="FFFF0000"/>
      <name val="Pretendard"/>
      <family val="3"/>
      <charset val="129"/>
    </font>
    <font>
      <sz val="10"/>
      <color theme="1"/>
      <name val="Pretendard"/>
      <family val="3"/>
      <charset val="129"/>
    </font>
    <font>
      <sz val="10"/>
      <color rgb="FFFF0000"/>
      <name val="Pretendard"/>
      <family val="3"/>
      <charset val="129"/>
    </font>
    <font>
      <b/>
      <sz val="18"/>
      <color rgb="FF0000FF"/>
      <name val="Pretendard"/>
      <family val="3"/>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s>
  <fills count="1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tint="0.59999389629810485"/>
        <bgColor indexed="64"/>
      </patternFill>
    </fill>
  </fills>
  <borders count="44">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auto="1"/>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hair">
        <color auto="1"/>
      </left>
      <right style="hair">
        <color auto="1"/>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theme="1"/>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style="medium">
        <color indexed="64"/>
      </top>
      <bottom style="hair">
        <color indexed="64"/>
      </bottom>
      <diagonal/>
    </border>
  </borders>
  <cellStyleXfs count="5">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165">
    <xf numFmtId="0" fontId="0" fillId="0" borderId="0" xfId="0">
      <alignment vertical="center"/>
    </xf>
    <xf numFmtId="0" fontId="2" fillId="0" borderId="0" xfId="0" applyFont="1">
      <alignment vertical="center"/>
    </xf>
    <xf numFmtId="0" fontId="4" fillId="0" borderId="0" xfId="0" applyFont="1" applyAlignment="1">
      <alignment horizontal="left" vertical="center"/>
    </xf>
    <xf numFmtId="41" fontId="2" fillId="0" borderId="0" xfId="1" applyFont="1">
      <alignment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lignmen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41" fontId="6" fillId="2" borderId="3" xfId="1" applyFont="1" applyFill="1" applyBorder="1" applyAlignment="1">
      <alignment horizontal="center" vertical="center"/>
    </xf>
    <xf numFmtId="0" fontId="6" fillId="2" borderId="4" xfId="0" applyFont="1" applyFill="1" applyBorder="1" applyAlignment="1">
      <alignment horizontal="center" vertical="center"/>
    </xf>
    <xf numFmtId="41" fontId="6" fillId="2" borderId="2" xfId="1" applyFont="1" applyFill="1" applyBorder="1" applyAlignment="1">
      <alignment horizontal="center" vertical="center"/>
    </xf>
    <xf numFmtId="0" fontId="6" fillId="3" borderId="5" xfId="0" applyFont="1" applyFill="1" applyBorder="1" applyAlignment="1">
      <alignment horizontal="center" vertical="center"/>
    </xf>
    <xf numFmtId="0" fontId="2" fillId="0" borderId="6" xfId="0" applyFont="1" applyBorder="1">
      <alignment vertical="center"/>
    </xf>
    <xf numFmtId="0" fontId="2" fillId="0" borderId="7" xfId="0" applyFont="1" applyBorder="1">
      <alignment vertical="center"/>
    </xf>
    <xf numFmtId="41" fontId="2" fillId="0" borderId="7" xfId="1" applyFont="1" applyFill="1" applyBorder="1">
      <alignment vertical="center"/>
    </xf>
    <xf numFmtId="9" fontId="2" fillId="0" borderId="8" xfId="2" applyFont="1" applyFill="1" applyBorder="1">
      <alignment vertical="center"/>
    </xf>
    <xf numFmtId="41" fontId="2" fillId="0" borderId="9" xfId="1" applyFont="1" applyBorder="1">
      <alignment vertical="center"/>
    </xf>
    <xf numFmtId="41" fontId="2" fillId="0" borderId="0" xfId="0" applyNumberFormat="1" applyFont="1">
      <alignment vertical="center"/>
    </xf>
    <xf numFmtId="0" fontId="6" fillId="3" borderId="10" xfId="0" applyFont="1" applyFill="1" applyBorder="1" applyAlignment="1">
      <alignment horizontal="center" vertical="center"/>
    </xf>
    <xf numFmtId="0" fontId="2" fillId="0" borderId="11" xfId="0" applyFont="1" applyBorder="1">
      <alignment vertical="center"/>
    </xf>
    <xf numFmtId="0" fontId="2" fillId="0" borderId="12" xfId="0" applyFont="1" applyBorder="1">
      <alignment vertical="center"/>
    </xf>
    <xf numFmtId="41" fontId="2" fillId="0" borderId="12" xfId="1" applyFont="1" applyFill="1" applyBorder="1">
      <alignment vertical="center"/>
    </xf>
    <xf numFmtId="9" fontId="2" fillId="0" borderId="13" xfId="2" applyFont="1" applyFill="1" applyBorder="1">
      <alignment vertical="center"/>
    </xf>
    <xf numFmtId="41" fontId="2" fillId="0" borderId="14" xfId="0" applyNumberFormat="1" applyFont="1" applyBorder="1">
      <alignment vertical="center"/>
    </xf>
    <xf numFmtId="41" fontId="2" fillId="0" borderId="14" xfId="1" applyFont="1" applyBorder="1">
      <alignment vertical="center"/>
    </xf>
    <xf numFmtId="41" fontId="7" fillId="0" borderId="0" xfId="1" applyFont="1">
      <alignment vertical="center"/>
    </xf>
    <xf numFmtId="176" fontId="2" fillId="0" borderId="14" xfId="0" applyNumberFormat="1" applyFont="1" applyBorder="1">
      <alignment vertical="center"/>
    </xf>
    <xf numFmtId="41" fontId="7" fillId="0" borderId="0" xfId="0" applyNumberFormat="1" applyFont="1" applyAlignment="1">
      <alignment horizontal="center" vertical="center"/>
    </xf>
    <xf numFmtId="0" fontId="7" fillId="0" borderId="0" xfId="0" applyFont="1" applyAlignment="1">
      <alignment horizontal="center" vertical="center"/>
    </xf>
    <xf numFmtId="41" fontId="7" fillId="0" borderId="0" xfId="1" applyFont="1" applyAlignment="1">
      <alignment horizontal="center" vertical="center"/>
    </xf>
    <xf numFmtId="0" fontId="2" fillId="0" borderId="15" xfId="0" applyFont="1" applyBorder="1">
      <alignment vertical="center"/>
    </xf>
    <xf numFmtId="0" fontId="2" fillId="0" borderId="16" xfId="0" applyFont="1" applyBorder="1">
      <alignment vertical="center"/>
    </xf>
    <xf numFmtId="41" fontId="2" fillId="0" borderId="16" xfId="1" applyFont="1" applyFill="1" applyBorder="1">
      <alignment vertical="center"/>
    </xf>
    <xf numFmtId="9" fontId="2" fillId="0" borderId="17" xfId="2" applyFont="1" applyFill="1" applyBorder="1">
      <alignment vertical="center"/>
    </xf>
    <xf numFmtId="41" fontId="2" fillId="0" borderId="18" xfId="0" applyNumberFormat="1" applyFont="1" applyBorder="1">
      <alignment vertical="center"/>
    </xf>
    <xf numFmtId="0" fontId="2" fillId="0" borderId="19" xfId="0" applyFont="1" applyBorder="1">
      <alignment vertical="center"/>
    </xf>
    <xf numFmtId="41" fontId="2" fillId="0" borderId="19" xfId="1" applyFont="1" applyFill="1" applyBorder="1">
      <alignment vertical="center"/>
    </xf>
    <xf numFmtId="9" fontId="2" fillId="0" borderId="20" xfId="2" applyFont="1" applyFill="1" applyBorder="1">
      <alignment vertical="center"/>
    </xf>
    <xf numFmtId="41" fontId="2" fillId="0" borderId="21" xfId="0" applyNumberFormat="1" applyFont="1" applyBorder="1">
      <alignment vertical="center"/>
    </xf>
    <xf numFmtId="0" fontId="6" fillId="3" borderId="22" xfId="0" applyFont="1" applyFill="1" applyBorder="1" applyAlignment="1">
      <alignment horizontal="center" vertical="center"/>
    </xf>
    <xf numFmtId="41" fontId="6" fillId="3" borderId="3" xfId="1" applyFont="1" applyFill="1" applyBorder="1">
      <alignment vertical="center"/>
    </xf>
    <xf numFmtId="9" fontId="6" fillId="3" borderId="4" xfId="2" applyFont="1" applyFill="1" applyBorder="1">
      <alignment vertical="center"/>
    </xf>
    <xf numFmtId="41" fontId="6" fillId="3" borderId="25" xfId="1" applyFont="1" applyFill="1" applyBorder="1">
      <alignment vertical="center"/>
    </xf>
    <xf numFmtId="41" fontId="6" fillId="3" borderId="4" xfId="1" applyFont="1" applyFill="1" applyBorder="1">
      <alignment vertical="center"/>
    </xf>
    <xf numFmtId="176" fontId="2" fillId="0" borderId="14" xfId="1" applyNumberFormat="1" applyFont="1" applyBorder="1">
      <alignment vertical="center"/>
    </xf>
    <xf numFmtId="177" fontId="2" fillId="0" borderId="0" xfId="0" applyNumberFormat="1" applyFont="1">
      <alignment vertical="center"/>
    </xf>
    <xf numFmtId="41" fontId="2" fillId="4" borderId="12" xfId="1" applyFont="1" applyFill="1" applyBorder="1">
      <alignment vertical="center"/>
    </xf>
    <xf numFmtId="41" fontId="2" fillId="0" borderId="26" xfId="1" applyFont="1" applyFill="1" applyBorder="1">
      <alignment vertical="center"/>
    </xf>
    <xf numFmtId="176" fontId="2" fillId="0" borderId="14" xfId="1" applyNumberFormat="1" applyFont="1" applyFill="1" applyBorder="1">
      <alignment vertical="center"/>
    </xf>
    <xf numFmtId="0" fontId="6" fillId="3" borderId="27" xfId="0" applyFont="1" applyFill="1" applyBorder="1" applyAlignment="1">
      <alignment horizontal="center" vertical="center"/>
    </xf>
    <xf numFmtId="41" fontId="2" fillId="0" borderId="28" xfId="1" applyFont="1" applyFill="1" applyBorder="1">
      <alignment vertical="center"/>
    </xf>
    <xf numFmtId="176" fontId="6" fillId="3" borderId="4" xfId="1" applyNumberFormat="1" applyFont="1" applyFill="1" applyBorder="1">
      <alignment vertical="center"/>
    </xf>
    <xf numFmtId="41" fontId="6" fillId="5" borderId="3" xfId="1" applyFont="1" applyFill="1" applyBorder="1">
      <alignment vertical="center"/>
    </xf>
    <xf numFmtId="9" fontId="6" fillId="5" borderId="4" xfId="2" applyFont="1" applyFill="1" applyBorder="1">
      <alignment vertical="center"/>
    </xf>
    <xf numFmtId="41" fontId="6" fillId="5" borderId="23" xfId="1" applyFont="1" applyFill="1" applyBorder="1">
      <alignment vertical="center"/>
    </xf>
    <xf numFmtId="178" fontId="6" fillId="5" borderId="4" xfId="1" applyNumberFormat="1" applyFont="1" applyFill="1" applyBorder="1">
      <alignment vertical="center"/>
    </xf>
    <xf numFmtId="0" fontId="6" fillId="3" borderId="29" xfId="0" applyFont="1" applyFill="1" applyBorder="1" applyAlignment="1">
      <alignment horizontal="center" vertical="center"/>
    </xf>
    <xf numFmtId="41" fontId="2" fillId="0" borderId="30" xfId="1" applyFont="1" applyBorder="1">
      <alignment vertical="center"/>
    </xf>
    <xf numFmtId="41" fontId="2" fillId="0" borderId="17" xfId="1" applyFont="1" applyBorder="1">
      <alignment vertical="center"/>
    </xf>
    <xf numFmtId="41" fontId="2" fillId="0" borderId="20" xfId="1" applyFont="1" applyBorder="1">
      <alignment vertical="center"/>
    </xf>
    <xf numFmtId="0" fontId="8" fillId="0" borderId="0" xfId="0" applyFont="1">
      <alignment vertical="center"/>
    </xf>
    <xf numFmtId="177" fontId="2" fillId="0" borderId="31" xfId="0" applyNumberFormat="1" applyFont="1" applyBorder="1">
      <alignment vertical="center"/>
    </xf>
    <xf numFmtId="0" fontId="9" fillId="0" borderId="0" xfId="0" applyFont="1">
      <alignment vertical="center"/>
    </xf>
    <xf numFmtId="41" fontId="6" fillId="5" borderId="23" xfId="0" applyNumberFormat="1" applyFont="1" applyFill="1" applyBorder="1">
      <alignment vertical="center"/>
    </xf>
    <xf numFmtId="3" fontId="2" fillId="5" borderId="4" xfId="0" applyNumberFormat="1" applyFont="1" applyFill="1" applyBorder="1">
      <alignment vertical="center"/>
    </xf>
    <xf numFmtId="0" fontId="10" fillId="0" borderId="0" xfId="0" applyFont="1">
      <alignment vertical="center"/>
    </xf>
    <xf numFmtId="0" fontId="11" fillId="0" borderId="0" xfId="0" applyFont="1" applyAlignment="1">
      <alignment horizontal="center" vertical="center"/>
    </xf>
    <xf numFmtId="0" fontId="11" fillId="6" borderId="0" xfId="0" applyFont="1" applyFill="1" applyAlignment="1">
      <alignment horizontal="center" vertical="center"/>
    </xf>
    <xf numFmtId="41" fontId="11" fillId="0" borderId="0" xfId="1" applyFont="1" applyFill="1" applyAlignment="1">
      <alignment horizontal="center" vertical="center"/>
    </xf>
    <xf numFmtId="41" fontId="11" fillId="6" borderId="0" xfId="1" applyFont="1" applyFill="1" applyAlignment="1">
      <alignment horizontal="center" vertical="center"/>
    </xf>
    <xf numFmtId="9" fontId="9" fillId="0" borderId="0" xfId="0" applyNumberFormat="1" applyFont="1">
      <alignment vertical="center"/>
    </xf>
    <xf numFmtId="41" fontId="2" fillId="0" borderId="32" xfId="1" applyFont="1" applyBorder="1">
      <alignment vertical="center"/>
    </xf>
    <xf numFmtId="41" fontId="6" fillId="5" borderId="34" xfId="1" applyFont="1" applyFill="1" applyBorder="1">
      <alignment vertical="center"/>
    </xf>
    <xf numFmtId="3" fontId="2" fillId="5" borderId="35" xfId="0" applyNumberFormat="1" applyFont="1" applyFill="1" applyBorder="1">
      <alignment vertical="center"/>
    </xf>
    <xf numFmtId="0" fontId="9" fillId="0" borderId="36" xfId="0" applyFont="1" applyBorder="1" applyAlignment="1">
      <alignment horizontal="center" vertical="center"/>
    </xf>
    <xf numFmtId="41" fontId="2" fillId="0" borderId="37" xfId="1" applyFont="1" applyFill="1" applyBorder="1">
      <alignment vertical="center"/>
    </xf>
    <xf numFmtId="9" fontId="2" fillId="0" borderId="14" xfId="2" applyFont="1" applyFill="1" applyBorder="1">
      <alignment vertical="center"/>
    </xf>
    <xf numFmtId="41" fontId="2" fillId="0" borderId="38" xfId="1" applyFont="1" applyFill="1" applyBorder="1">
      <alignment vertical="center"/>
    </xf>
    <xf numFmtId="41" fontId="2" fillId="0" borderId="8" xfId="1" applyFont="1" applyBorder="1">
      <alignment vertical="center"/>
    </xf>
    <xf numFmtId="41" fontId="8" fillId="0" borderId="0" xfId="0" applyNumberFormat="1" applyFont="1">
      <alignment vertical="center"/>
    </xf>
    <xf numFmtId="41" fontId="2" fillId="0" borderId="12" xfId="3" applyFont="1" applyFill="1" applyBorder="1">
      <alignment vertical="center"/>
    </xf>
    <xf numFmtId="41" fontId="2" fillId="0" borderId="26" xfId="3" applyFont="1" applyFill="1" applyBorder="1">
      <alignment vertical="center"/>
    </xf>
    <xf numFmtId="41" fontId="2" fillId="0" borderId="39" xfId="1" applyFont="1" applyFill="1" applyBorder="1">
      <alignment vertical="center"/>
    </xf>
    <xf numFmtId="9" fontId="2" fillId="0" borderId="18" xfId="2" applyFont="1" applyFill="1" applyBorder="1">
      <alignment vertical="center"/>
    </xf>
    <xf numFmtId="41" fontId="2" fillId="0" borderId="29" xfId="1" applyFont="1" applyFill="1" applyBorder="1">
      <alignment vertical="center"/>
    </xf>
    <xf numFmtId="0" fontId="8" fillId="0" borderId="36" xfId="0" applyFont="1" applyBorder="1">
      <alignment vertical="center"/>
    </xf>
    <xf numFmtId="41" fontId="6" fillId="5" borderId="25" xfId="1" applyFont="1" applyFill="1" applyBorder="1">
      <alignment vertical="center"/>
    </xf>
    <xf numFmtId="178" fontId="6" fillId="5" borderId="35" xfId="1" applyNumberFormat="1" applyFont="1" applyFill="1" applyBorder="1">
      <alignment vertical="center"/>
    </xf>
    <xf numFmtId="0" fontId="12" fillId="0" borderId="36" xfId="0" applyFont="1" applyBorder="1">
      <alignment vertical="center"/>
    </xf>
    <xf numFmtId="41" fontId="2" fillId="0" borderId="0" xfId="0" quotePrefix="1" applyNumberFormat="1" applyFont="1" applyAlignment="1">
      <alignment vertical="center" wrapText="1"/>
    </xf>
    <xf numFmtId="41" fontId="2" fillId="0" borderId="0" xfId="1" applyFont="1" applyFill="1">
      <alignment vertical="center"/>
    </xf>
    <xf numFmtId="0" fontId="2" fillId="0" borderId="40" xfId="0" applyFont="1" applyBorder="1">
      <alignment vertical="center"/>
    </xf>
    <xf numFmtId="41" fontId="2" fillId="0" borderId="40" xfId="1" applyFont="1" applyFill="1" applyBorder="1">
      <alignment vertical="center"/>
    </xf>
    <xf numFmtId="9" fontId="2" fillId="0" borderId="30" xfId="2" applyFont="1" applyFill="1" applyBorder="1">
      <alignment vertical="center"/>
    </xf>
    <xf numFmtId="41" fontId="8" fillId="0" borderId="12" xfId="1" applyFont="1" applyFill="1" applyBorder="1">
      <alignment vertical="center"/>
    </xf>
    <xf numFmtId="41" fontId="10" fillId="0" borderId="0" xfId="0" applyNumberFormat="1" applyFont="1">
      <alignment vertical="center"/>
    </xf>
    <xf numFmtId="0" fontId="6" fillId="3" borderId="41" xfId="0" applyFont="1" applyFill="1" applyBorder="1" applyAlignment="1">
      <alignment horizontal="center" vertical="center"/>
    </xf>
    <xf numFmtId="0" fontId="13" fillId="0" borderId="0" xfId="0" applyFont="1">
      <alignment vertical="center"/>
    </xf>
    <xf numFmtId="41" fontId="6" fillId="5" borderId="4" xfId="1" applyFont="1" applyFill="1" applyBorder="1">
      <alignment vertical="center"/>
    </xf>
    <xf numFmtId="41" fontId="6" fillId="7" borderId="3" xfId="1" applyFont="1" applyFill="1" applyBorder="1">
      <alignment vertical="center"/>
    </xf>
    <xf numFmtId="9" fontId="6" fillId="7" borderId="4" xfId="2" applyFont="1" applyFill="1" applyBorder="1">
      <alignment vertical="center"/>
    </xf>
    <xf numFmtId="41" fontId="6" fillId="7" borderId="2" xfId="1" applyFont="1" applyFill="1" applyBorder="1">
      <alignment vertical="center"/>
    </xf>
    <xf numFmtId="41" fontId="6" fillId="7" borderId="4" xfId="1" applyFont="1" applyFill="1" applyBorder="1">
      <alignment vertical="center"/>
    </xf>
    <xf numFmtId="41" fontId="2" fillId="8" borderId="12" xfId="1" applyFont="1" applyFill="1" applyBorder="1">
      <alignment vertical="center"/>
    </xf>
    <xf numFmtId="43" fontId="2" fillId="0" borderId="0" xfId="0" applyNumberFormat="1" applyFont="1">
      <alignment vertical="center"/>
    </xf>
    <xf numFmtId="41" fontId="2" fillId="0" borderId="12" xfId="1" applyFont="1" applyBorder="1">
      <alignment vertical="center"/>
    </xf>
    <xf numFmtId="41" fontId="6" fillId="0" borderId="0" xfId="0" applyNumberFormat="1" applyFont="1">
      <alignment vertical="center"/>
    </xf>
    <xf numFmtId="3" fontId="2" fillId="8" borderId="0" xfId="0" applyNumberFormat="1" applyFont="1" applyFill="1">
      <alignment vertical="center"/>
    </xf>
    <xf numFmtId="41" fontId="2" fillId="8" borderId="16" xfId="1" applyFont="1" applyFill="1" applyBorder="1">
      <alignment vertical="center"/>
    </xf>
    <xf numFmtId="41" fontId="2" fillId="8" borderId="19" xfId="1" applyFont="1" applyFill="1" applyBorder="1">
      <alignment vertical="center"/>
    </xf>
    <xf numFmtId="41" fontId="2" fillId="0" borderId="0" xfId="0" quotePrefix="1" applyNumberFormat="1" applyFont="1">
      <alignment vertical="center"/>
    </xf>
    <xf numFmtId="41" fontId="2" fillId="8" borderId="0" xfId="0" applyNumberFormat="1" applyFont="1" applyFill="1">
      <alignment vertical="center"/>
    </xf>
    <xf numFmtId="41" fontId="2" fillId="0" borderId="16" xfId="1" applyFont="1" applyBorder="1">
      <alignment vertical="center"/>
    </xf>
    <xf numFmtId="179" fontId="2" fillId="0" borderId="0" xfId="0" applyNumberFormat="1" applyFont="1">
      <alignment vertical="center"/>
    </xf>
    <xf numFmtId="180" fontId="2" fillId="0" borderId="0" xfId="0" applyNumberFormat="1" applyFont="1">
      <alignment vertical="center"/>
    </xf>
    <xf numFmtId="41" fontId="2" fillId="9" borderId="0" xfId="0" applyNumberFormat="1" applyFont="1" applyFill="1" applyAlignment="1">
      <alignment horizontal="center" vertical="center"/>
    </xf>
    <xf numFmtId="0" fontId="2" fillId="0" borderId="4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16" xfId="0" applyFont="1" applyBorder="1" applyAlignment="1">
      <alignment horizontal="center" vertical="center"/>
    </xf>
    <xf numFmtId="0" fontId="2" fillId="0" borderId="19" xfId="0" applyFont="1" applyBorder="1" applyAlignment="1">
      <alignment horizontal="center" vertical="center"/>
    </xf>
    <xf numFmtId="43" fontId="2" fillId="0" borderId="12" xfId="0" applyNumberFormat="1" applyFont="1" applyBorder="1">
      <alignment vertical="center"/>
    </xf>
    <xf numFmtId="41" fontId="2" fillId="0" borderId="12" xfId="0" applyNumberFormat="1" applyFont="1" applyBorder="1">
      <alignment vertical="center"/>
    </xf>
    <xf numFmtId="0" fontId="2" fillId="0" borderId="0" xfId="0" quotePrefix="1" applyFont="1">
      <alignment vertical="center"/>
    </xf>
    <xf numFmtId="181" fontId="2" fillId="0" borderId="0" xfId="0" applyNumberFormat="1" applyFont="1">
      <alignment vertical="center"/>
    </xf>
    <xf numFmtId="41" fontId="6" fillId="10" borderId="27" xfId="0" quotePrefix="1" applyNumberFormat="1" applyFont="1" applyFill="1" applyBorder="1" applyAlignment="1">
      <alignment vertical="center" wrapText="1"/>
    </xf>
    <xf numFmtId="41" fontId="6" fillId="10" borderId="0" xfId="0" quotePrefix="1" applyNumberFormat="1" applyFont="1" applyFill="1" applyAlignment="1">
      <alignment vertical="center" wrapText="1"/>
    </xf>
    <xf numFmtId="41" fontId="14" fillId="0" borderId="42" xfId="4" applyFont="1" applyBorder="1">
      <alignment vertical="center"/>
    </xf>
    <xf numFmtId="41" fontId="14" fillId="0" borderId="43" xfId="0" applyNumberFormat="1" applyFont="1" applyBorder="1" applyAlignment="1">
      <alignment vertical="center" wrapText="1"/>
    </xf>
    <xf numFmtId="41" fontId="2" fillId="0" borderId="0" xfId="0" applyNumberFormat="1" applyFont="1" applyAlignment="1">
      <alignment vertical="center" wrapText="1"/>
    </xf>
    <xf numFmtId="41" fontId="6" fillId="11" borderId="0" xfId="0" applyNumberFormat="1" applyFont="1" applyFill="1">
      <alignment vertical="center"/>
    </xf>
    <xf numFmtId="41" fontId="2" fillId="8" borderId="40" xfId="1" applyFont="1" applyFill="1" applyBorder="1">
      <alignment vertical="center"/>
    </xf>
    <xf numFmtId="41" fontId="2" fillId="12" borderId="12" xfId="1" applyFont="1" applyFill="1" applyBorder="1">
      <alignment vertical="center"/>
    </xf>
    <xf numFmtId="41" fontId="16" fillId="0" borderId="0" xfId="0" quotePrefix="1" applyNumberFormat="1" applyFont="1">
      <alignment vertical="center"/>
    </xf>
    <xf numFmtId="0" fontId="2" fillId="0" borderId="0" xfId="0" applyFont="1" applyAlignment="1">
      <alignment horizontal="right" vertical="center"/>
    </xf>
    <xf numFmtId="41" fontId="2" fillId="10" borderId="12" xfId="1" applyFont="1" applyFill="1" applyBorder="1">
      <alignment vertical="center"/>
    </xf>
    <xf numFmtId="0" fontId="2" fillId="8" borderId="12" xfId="0" applyFont="1" applyFill="1" applyBorder="1">
      <alignment vertical="center"/>
    </xf>
    <xf numFmtId="0" fontId="2" fillId="12" borderId="0" xfId="0" applyFont="1" applyFill="1">
      <alignment vertical="center"/>
    </xf>
    <xf numFmtId="0" fontId="2" fillId="0" borderId="12" xfId="0" applyFont="1" applyBorder="1" applyAlignment="1">
      <alignment horizontal="right" vertical="center"/>
    </xf>
    <xf numFmtId="182" fontId="2" fillId="0" borderId="12" xfId="0" applyNumberFormat="1" applyFont="1" applyBorder="1" applyAlignment="1">
      <alignment vertical="center" wrapText="1"/>
    </xf>
    <xf numFmtId="182" fontId="2" fillId="0" borderId="12" xfId="0" applyNumberFormat="1" applyFont="1" applyBorder="1">
      <alignment vertical="center"/>
    </xf>
    <xf numFmtId="41" fontId="2" fillId="10" borderId="0" xfId="0" applyNumberFormat="1" applyFont="1" applyFill="1">
      <alignment vertical="center"/>
    </xf>
    <xf numFmtId="41" fontId="2" fillId="5" borderId="12" xfId="1" applyFont="1" applyFill="1" applyBorder="1">
      <alignment vertical="center"/>
    </xf>
    <xf numFmtId="0" fontId="6" fillId="3" borderId="22"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33"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33" xfId="0" applyFont="1" applyFill="1" applyBorder="1" applyAlignment="1">
      <alignment horizontal="center" vertical="center"/>
    </xf>
    <xf numFmtId="0" fontId="6" fillId="7" borderId="22"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33" xfId="0" applyFont="1" applyFill="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40" xfId="0" applyFont="1" applyBorder="1" applyAlignment="1">
      <alignment horizontal="center" vertical="center"/>
    </xf>
    <xf numFmtId="43" fontId="2" fillId="0" borderId="16" xfId="0" applyNumberFormat="1" applyFont="1" applyBorder="1" applyAlignment="1">
      <alignment horizontal="center" vertical="center"/>
    </xf>
    <xf numFmtId="43" fontId="2" fillId="0" borderId="42" xfId="0" applyNumberFormat="1" applyFont="1" applyBorder="1" applyAlignment="1">
      <alignment horizontal="center" vertical="center"/>
    </xf>
    <xf numFmtId="43" fontId="2" fillId="0" borderId="40" xfId="0" applyNumberFormat="1" applyFont="1" applyBorder="1" applyAlignment="1">
      <alignment horizontal="center" vertical="center"/>
    </xf>
    <xf numFmtId="0" fontId="6" fillId="5" borderId="25"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4"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cellXfs>
  <cellStyles count="5">
    <cellStyle name="백분율" xfId="2" builtinId="5"/>
    <cellStyle name="쉼표 [0]" xfId="1" builtinId="6"/>
    <cellStyle name="쉼표 [0] 10 2" xfId="3" xr:uid="{236FA267-B119-4C8B-A373-C95D974C134D}"/>
    <cellStyle name="쉼표 [0] 15" xfId="4" xr:uid="{D43002AD-4C48-4F41-B79F-8684709CF4BD}"/>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10.160.102.103\02.%20&#50868;&#50689;&#51648;&#50896;&#48376;&#48512;\5.%20&#50868;&#50689;&#51648;&#50896;&#54016;\00.%20&#51452;&#44288;&#54924;&#51032;\008.%20&#51452;&#44036;%20&#47588;&#52636;&#48372;&#44256;%20(&#49688;)\2026.03.19\&#51452;&#44036;&#47588;&#52636;_3&#50900;%203&#51452;&#52264;_&#51228;&#50557;&#50857;&#50669;_v1.0_&#45236;&#48512;%20&#48372;&#44256;&#50857;_&#49892;&#51656;&#47204;&#47553;%20(&#51089;&#49457;&#50756;&#47308;)_3&#50900;_v2.xlsx" TargetMode="External"/><Relationship Id="rId1" Type="http://schemas.openxmlformats.org/officeDocument/2006/relationships/externalLinkPath" Target="file:///\\10.160.102.103\02.%20&#50868;&#50689;&#51648;&#50896;&#48376;&#48512;\5.%20&#50868;&#50689;&#51648;&#50896;&#54016;\00.%20&#51452;&#44288;&#54924;&#51032;\008.%20&#51452;&#44036;%20&#47588;&#52636;&#48372;&#44256;%20(&#49688;)\2026.03.19\&#51452;&#44036;&#47588;&#52636;_3&#50900;%203&#51452;&#52264;_&#51228;&#50557;&#50857;&#50669;_v1.0_&#45236;&#48512;%20&#48372;&#44256;&#50857;_&#49892;&#51656;&#47204;&#47553;%20(&#51089;&#49457;&#50756;&#47308;)_3&#50900;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Hasten 단가 정보"/>
      <sheetName val="Sheet2"/>
      <sheetName val="상세 자료 작성 241025현실화"/>
      <sheetName val="2024년 계획_변경적용"/>
      <sheetName val="2024년 계획"/>
      <sheetName val="2023년 실적"/>
      <sheetName val="1분기 실적"/>
      <sheetName val="요약(보고) 241025현실화"/>
      <sheetName val="연간 에상 (사장님보고)"/>
      <sheetName val="1분기 상세"/>
      <sheetName val="내재화"/>
      <sheetName val="셀트리온제약"/>
      <sheetName val="Sheet1"/>
    </sheetNames>
    <sheetDataSet>
      <sheetData sheetId="0"/>
      <sheetData sheetId="1"/>
      <sheetData sheetId="2"/>
      <sheetData sheetId="3"/>
      <sheetData sheetId="4"/>
      <sheetData sheetId="5">
        <row r="44">
          <cell r="F44">
            <v>0</v>
          </cell>
          <cell r="G44">
            <v>0</v>
          </cell>
          <cell r="H44">
            <v>0</v>
          </cell>
          <cell r="I44">
            <v>0</v>
          </cell>
          <cell r="J44">
            <v>0</v>
          </cell>
          <cell r="K44">
            <v>0</v>
          </cell>
          <cell r="L44">
            <v>0</v>
          </cell>
          <cell r="M44">
            <v>0</v>
          </cell>
          <cell r="N44">
            <v>0</v>
          </cell>
          <cell r="O44">
            <v>0</v>
          </cell>
          <cell r="P44">
            <v>0</v>
          </cell>
          <cell r="Q44">
            <v>0</v>
          </cell>
        </row>
        <row r="45">
          <cell r="F45">
            <v>736312500</v>
          </cell>
          <cell r="G45">
            <v>3253527000</v>
          </cell>
          <cell r="H45">
            <v>2762644500</v>
          </cell>
          <cell r="I45">
            <v>1339107000</v>
          </cell>
          <cell r="J45">
            <v>984368000</v>
          </cell>
          <cell r="K45">
            <v>2588543740.4000001</v>
          </cell>
          <cell r="L45">
            <v>0</v>
          </cell>
          <cell r="M45">
            <v>0</v>
          </cell>
          <cell r="N45">
            <v>0</v>
          </cell>
          <cell r="O45">
            <v>0</v>
          </cell>
          <cell r="P45">
            <v>0</v>
          </cell>
          <cell r="Q45">
            <v>0</v>
          </cell>
        </row>
        <row r="46">
          <cell r="F46">
            <v>959310827.99423397</v>
          </cell>
          <cell r="G46">
            <v>959310827.9942342</v>
          </cell>
          <cell r="I46">
            <v>762190827.99423397</v>
          </cell>
          <cell r="J46">
            <v>1156430827.9942338</v>
          </cell>
          <cell r="K46">
            <v>959310827.9942342</v>
          </cell>
          <cell r="L46">
            <v>959310827.9942342</v>
          </cell>
          <cell r="M46">
            <v>960406827.9942342</v>
          </cell>
          <cell r="N46">
            <v>958214827.99423397</v>
          </cell>
          <cell r="O46">
            <v>959310827.9942342</v>
          </cell>
          <cell r="P46">
            <v>959310827.9942342</v>
          </cell>
          <cell r="Q46">
            <v>959310827.9942342</v>
          </cell>
        </row>
        <row r="47">
          <cell r="F47">
            <v>4405740000</v>
          </cell>
          <cell r="G47">
            <v>478662462.07895321</v>
          </cell>
          <cell r="I47">
            <v>4302583000</v>
          </cell>
          <cell r="J47">
            <v>3604746200</v>
          </cell>
          <cell r="K47">
            <v>3590929395</v>
          </cell>
          <cell r="L47">
            <v>6395629100</v>
          </cell>
          <cell r="M47">
            <v>8000557900</v>
          </cell>
          <cell r="N47">
            <v>9421993233</v>
          </cell>
          <cell r="O47">
            <v>6504544700</v>
          </cell>
          <cell r="P47">
            <v>4201715500</v>
          </cell>
          <cell r="Q47">
            <v>14634343765</v>
          </cell>
        </row>
        <row r="48">
          <cell r="F48">
            <v>0</v>
          </cell>
          <cell r="G48">
            <v>0</v>
          </cell>
          <cell r="H48">
            <v>0</v>
          </cell>
          <cell r="I48">
            <v>0</v>
          </cell>
          <cell r="J48">
            <v>0</v>
          </cell>
          <cell r="K48">
            <v>137760000</v>
          </cell>
          <cell r="L48">
            <v>46760000</v>
          </cell>
          <cell r="M48">
            <v>322280000</v>
          </cell>
          <cell r="N48">
            <v>1579200000</v>
          </cell>
          <cell r="O48">
            <v>2868404000</v>
          </cell>
          <cell r="P48">
            <v>2142252000</v>
          </cell>
          <cell r="Q48">
            <v>495684000</v>
          </cell>
        </row>
        <row r="50">
          <cell r="F50">
            <v>0</v>
          </cell>
          <cell r="G50">
            <v>40000000</v>
          </cell>
          <cell r="I50">
            <v>60000000</v>
          </cell>
          <cell r="J50">
            <v>67000000</v>
          </cell>
          <cell r="K50">
            <v>67000000</v>
          </cell>
          <cell r="L50">
            <v>0</v>
          </cell>
          <cell r="M50">
            <v>0</v>
          </cell>
          <cell r="N50">
            <v>0</v>
          </cell>
          <cell r="O50">
            <v>0</v>
          </cell>
          <cell r="P50">
            <v>107000000</v>
          </cell>
          <cell r="Q50">
            <v>67000000</v>
          </cell>
        </row>
        <row r="51">
          <cell r="F51">
            <v>0</v>
          </cell>
          <cell r="G51">
            <v>162000000</v>
          </cell>
          <cell r="I51">
            <v>142000000</v>
          </cell>
          <cell r="J51">
            <v>79000000</v>
          </cell>
          <cell r="K51">
            <v>0</v>
          </cell>
          <cell r="L51">
            <v>0</v>
          </cell>
          <cell r="M51">
            <v>0</v>
          </cell>
          <cell r="N51">
            <v>0</v>
          </cell>
          <cell r="O51">
            <v>363000000</v>
          </cell>
          <cell r="P51">
            <v>724900000</v>
          </cell>
          <cell r="Q51">
            <v>437000000</v>
          </cell>
        </row>
        <row r="52">
          <cell r="F52">
            <v>0</v>
          </cell>
          <cell r="G52">
            <v>93750000</v>
          </cell>
          <cell r="I52">
            <v>0</v>
          </cell>
          <cell r="J52">
            <v>93750000</v>
          </cell>
          <cell r="K52">
            <v>395625000</v>
          </cell>
          <cell r="L52">
            <v>0</v>
          </cell>
          <cell r="M52">
            <v>0</v>
          </cell>
          <cell r="N52">
            <v>0</v>
          </cell>
          <cell r="O52">
            <v>0</v>
          </cell>
          <cell r="P52">
            <v>234375000</v>
          </cell>
          <cell r="Q52">
            <v>234375000</v>
          </cell>
        </row>
        <row r="53">
          <cell r="F53">
            <v>490500000</v>
          </cell>
          <cell r="G53">
            <v>766500000</v>
          </cell>
          <cell r="I53">
            <v>379000000</v>
          </cell>
          <cell r="J53">
            <v>183500000</v>
          </cell>
          <cell r="K53">
            <v>48000000</v>
          </cell>
          <cell r="L53">
            <v>306250000</v>
          </cell>
          <cell r="M53">
            <v>0</v>
          </cell>
          <cell r="N53">
            <v>0</v>
          </cell>
          <cell r="O53">
            <v>0</v>
          </cell>
          <cell r="P53">
            <v>720875000</v>
          </cell>
          <cell r="Q53">
            <v>257375000</v>
          </cell>
        </row>
        <row r="77">
          <cell r="Q77">
            <v>0</v>
          </cell>
        </row>
      </sheetData>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017B-E021-4932-A28D-EA69AB9FC269}">
  <sheetPr>
    <tabColor theme="5" tint="0.59999389629810485"/>
    <pageSetUpPr fitToPage="1"/>
  </sheetPr>
  <dimension ref="A1:V444"/>
  <sheetViews>
    <sheetView showGridLines="0" tabSelected="1" zoomScale="85" zoomScaleNormal="85" zoomScaleSheetLayoutView="115" workbookViewId="0">
      <pane xSplit="4" ySplit="6" topLeftCell="F299" activePane="bottomRight" state="frozen"/>
      <selection pane="topRight" activeCell="C1" sqref="C1"/>
      <selection pane="bottomLeft" activeCell="A7" sqref="A7"/>
      <selection pane="bottomRight" activeCell="J306" sqref="J306"/>
    </sheetView>
  </sheetViews>
  <sheetFormatPr defaultColWidth="8.59765625" defaultRowHeight="13.8" outlineLevelRow="1" x14ac:dyDescent="0.4"/>
  <cols>
    <col min="1" max="2" width="3" style="1" customWidth="1"/>
    <col min="3" max="3" width="10.59765625" style="1" customWidth="1"/>
    <col min="4" max="4" width="8.59765625" style="5" customWidth="1"/>
    <col min="5" max="5" width="8.59765625" style="1"/>
    <col min="6" max="6" width="12.09765625" style="1" bestFit="1" customWidth="1"/>
    <col min="7" max="7" width="11.09765625" style="1" customWidth="1"/>
    <col min="8" max="8" width="18" style="1" customWidth="1"/>
    <col min="9" max="9" width="18.59765625" style="1" bestFit="1" customWidth="1"/>
    <col min="10" max="10" width="19.09765625" style="3" bestFit="1" customWidth="1"/>
    <col min="11" max="11" width="19.09765625" style="1" bestFit="1" customWidth="1"/>
    <col min="12" max="12" width="9.59765625" style="1" customWidth="1"/>
    <col min="13" max="13" width="18.59765625" style="1" customWidth="1"/>
    <col min="14" max="14" width="17.5" style="1" customWidth="1"/>
    <col min="15" max="15" width="16.59765625" style="1" customWidth="1"/>
    <col min="16" max="16" width="17.69921875" style="1" bestFit="1" customWidth="1"/>
    <col min="17" max="17" width="18.09765625" style="1" customWidth="1"/>
    <col min="18" max="18" width="19" style="1" bestFit="1" customWidth="1"/>
    <col min="19" max="20" width="16.09765625" style="1" customWidth="1"/>
    <col min="21" max="21" width="8.59765625" style="1"/>
    <col min="22" max="22" width="19.09765625" style="1" customWidth="1"/>
    <col min="23" max="16384" width="8.59765625" style="1"/>
  </cols>
  <sheetData>
    <row r="1" spans="1:21" ht="25.2" x14ac:dyDescent="0.4">
      <c r="D1" s="2" t="s">
        <v>0</v>
      </c>
      <c r="K1" s="3"/>
      <c r="O1" s="3"/>
    </row>
    <row r="2" spans="1:21" ht="15.6" hidden="1" x14ac:dyDescent="0.4">
      <c r="D2" s="4" t="s">
        <v>1</v>
      </c>
      <c r="F2" s="1" t="s">
        <v>2</v>
      </c>
      <c r="G2" s="1" t="s">
        <v>3</v>
      </c>
    </row>
    <row r="3" spans="1:21" ht="15.6" hidden="1" x14ac:dyDescent="0.4">
      <c r="D3" s="4"/>
      <c r="F3" s="1" t="s">
        <v>4</v>
      </c>
      <c r="G3" s="1" t="s">
        <v>5</v>
      </c>
    </row>
    <row r="4" spans="1:21" ht="15.6" hidden="1" x14ac:dyDescent="0.4">
      <c r="D4" s="4"/>
      <c r="F4" s="1" t="s">
        <v>6</v>
      </c>
      <c r="G4" s="1" t="s">
        <v>5</v>
      </c>
    </row>
    <row r="5" spans="1:21" ht="14.4" thickBot="1" x14ac:dyDescent="0.45">
      <c r="N5" s="6" t="s">
        <v>7</v>
      </c>
    </row>
    <row r="6" spans="1:21" ht="14.4" thickBot="1" x14ac:dyDescent="0.45">
      <c r="A6" s="1" t="s">
        <v>8</v>
      </c>
      <c r="B6" s="1" t="s">
        <v>9</v>
      </c>
      <c r="D6" s="7" t="s">
        <v>10</v>
      </c>
      <c r="E6" s="8" t="s">
        <v>11</v>
      </c>
      <c r="F6" s="8" t="s">
        <v>12</v>
      </c>
      <c r="G6" s="8" t="s">
        <v>13</v>
      </c>
      <c r="H6" s="8" t="s">
        <v>14</v>
      </c>
      <c r="I6" s="8" t="s">
        <v>15</v>
      </c>
      <c r="J6" s="9" t="s">
        <v>16</v>
      </c>
      <c r="K6" s="8" t="s">
        <v>17</v>
      </c>
      <c r="L6" s="10" t="s">
        <v>18</v>
      </c>
      <c r="M6" s="11" t="s">
        <v>19</v>
      </c>
      <c r="N6" s="10" t="s">
        <v>20</v>
      </c>
    </row>
    <row r="7" spans="1:21" ht="14.4" hidden="1" outlineLevel="1" thickBot="1" x14ac:dyDescent="0.45">
      <c r="A7" s="1" t="s">
        <v>21</v>
      </c>
      <c r="B7" s="1" t="s">
        <v>22</v>
      </c>
      <c r="C7" s="1" t="s">
        <v>23</v>
      </c>
      <c r="D7" s="12" t="s">
        <v>24</v>
      </c>
      <c r="E7" s="13" t="s">
        <v>25</v>
      </c>
      <c r="F7" s="14" t="s">
        <v>26</v>
      </c>
      <c r="G7" s="14" t="s">
        <v>27</v>
      </c>
      <c r="H7" s="14" t="s">
        <v>28</v>
      </c>
      <c r="I7" s="15">
        <v>302597280</v>
      </c>
      <c r="J7" s="15">
        <f>'[1]2024년 계획_변경적용'!F45</f>
        <v>736312500</v>
      </c>
      <c r="K7" s="15">
        <v>302597280</v>
      </c>
      <c r="L7" s="16">
        <f>+K7/J7</f>
        <v>0.41096311688311687</v>
      </c>
      <c r="M7" s="15">
        <v>302597280</v>
      </c>
      <c r="N7" s="17">
        <f>K7-M7</f>
        <v>0</v>
      </c>
      <c r="P7" s="1">
        <v>302597280</v>
      </c>
      <c r="Q7" s="18">
        <f>P7-I7</f>
        <v>0</v>
      </c>
    </row>
    <row r="8" spans="1:21" ht="14.4" hidden="1" outlineLevel="1" thickBot="1" x14ac:dyDescent="0.45">
      <c r="A8" s="1" t="s">
        <v>21</v>
      </c>
      <c r="B8" s="1" t="s">
        <v>22</v>
      </c>
      <c r="C8" s="1" t="s">
        <v>29</v>
      </c>
      <c r="D8" s="19" t="str">
        <f t="shared" ref="D8:D16" si="0">D7</f>
        <v>1월</v>
      </c>
      <c r="E8" s="20" t="s">
        <v>25</v>
      </c>
      <c r="F8" s="21" t="s">
        <v>26</v>
      </c>
      <c r="G8" s="21" t="s">
        <v>27</v>
      </c>
      <c r="H8" s="21" t="s">
        <v>30</v>
      </c>
      <c r="I8" s="22">
        <v>0</v>
      </c>
      <c r="J8" s="22">
        <f>'[1]2024년 계획_변경적용'!F44</f>
        <v>0</v>
      </c>
      <c r="K8" s="22">
        <v>0</v>
      </c>
      <c r="L8" s="23"/>
      <c r="M8" s="22">
        <v>0</v>
      </c>
      <c r="N8" s="24">
        <f t="shared" ref="N8:N16" si="1">K8-M8</f>
        <v>0</v>
      </c>
      <c r="P8" s="1">
        <v>0</v>
      </c>
      <c r="Q8" s="18">
        <f t="shared" ref="Q8:Q71" si="2">P8-I8</f>
        <v>0</v>
      </c>
    </row>
    <row r="9" spans="1:21" ht="14.4" hidden="1" outlineLevel="1" thickBot="1" x14ac:dyDescent="0.45">
      <c r="A9" s="1" t="s">
        <v>21</v>
      </c>
      <c r="B9" s="1" t="s">
        <v>22</v>
      </c>
      <c r="C9" s="1" t="s">
        <v>31</v>
      </c>
      <c r="D9" s="19" t="str">
        <f t="shared" si="0"/>
        <v>1월</v>
      </c>
      <c r="E9" s="20" t="s">
        <v>25</v>
      </c>
      <c r="F9" s="21" t="s">
        <v>26</v>
      </c>
      <c r="G9" s="21" t="s">
        <v>27</v>
      </c>
      <c r="H9" s="21" t="s">
        <v>32</v>
      </c>
      <c r="I9" s="22">
        <v>0</v>
      </c>
      <c r="J9" s="22">
        <f>'[1]2024년 계획_변경적용'!F48</f>
        <v>0</v>
      </c>
      <c r="K9" s="22">
        <v>0</v>
      </c>
      <c r="L9" s="23"/>
      <c r="M9" s="22">
        <v>0</v>
      </c>
      <c r="N9" s="24">
        <f t="shared" si="1"/>
        <v>0</v>
      </c>
      <c r="P9" s="1">
        <v>0</v>
      </c>
      <c r="Q9" s="18">
        <f t="shared" si="2"/>
        <v>0</v>
      </c>
    </row>
    <row r="10" spans="1:21" ht="14.4" hidden="1" outlineLevel="1" thickBot="1" x14ac:dyDescent="0.45">
      <c r="A10" s="1" t="s">
        <v>21</v>
      </c>
      <c r="B10" s="1" t="s">
        <v>22</v>
      </c>
      <c r="C10" s="1" t="s">
        <v>33</v>
      </c>
      <c r="D10" s="19" t="str">
        <f t="shared" si="0"/>
        <v>1월</v>
      </c>
      <c r="E10" s="20" t="s">
        <v>25</v>
      </c>
      <c r="F10" s="21" t="s">
        <v>26</v>
      </c>
      <c r="G10" s="21" t="s">
        <v>27</v>
      </c>
      <c r="H10" s="21" t="s">
        <v>34</v>
      </c>
      <c r="I10" s="22">
        <v>1013747020</v>
      </c>
      <c r="J10" s="22">
        <f>'[1]2024년 계획_변경적용'!F46</f>
        <v>959310827.99423397</v>
      </c>
      <c r="K10" s="22">
        <v>1013747020</v>
      </c>
      <c r="L10" s="23">
        <f t="shared" ref="L10:L13" si="3">+K10/J10</f>
        <v>1.0567451032733399</v>
      </c>
      <c r="M10" s="22">
        <v>1013747020</v>
      </c>
      <c r="N10" s="25">
        <f t="shared" si="1"/>
        <v>0</v>
      </c>
      <c r="P10" s="1">
        <v>1013747020</v>
      </c>
      <c r="Q10" s="18">
        <f t="shared" si="2"/>
        <v>0</v>
      </c>
    </row>
    <row r="11" spans="1:21" ht="14.4" hidden="1" outlineLevel="1" thickBot="1" x14ac:dyDescent="0.45">
      <c r="A11" s="1" t="s">
        <v>21</v>
      </c>
      <c r="B11" s="1" t="s">
        <v>22</v>
      </c>
      <c r="C11" s="1" t="s">
        <v>35</v>
      </c>
      <c r="D11" s="19" t="str">
        <f t="shared" si="0"/>
        <v>1월</v>
      </c>
      <c r="E11" s="20" t="s">
        <v>25</v>
      </c>
      <c r="F11" s="21" t="s">
        <v>26</v>
      </c>
      <c r="G11" s="21" t="s">
        <v>27</v>
      </c>
      <c r="H11" s="21" t="s">
        <v>36</v>
      </c>
      <c r="I11" s="22">
        <v>4869898150</v>
      </c>
      <c r="J11" s="22">
        <f>'[1]2024년 계획_변경적용'!F47</f>
        <v>4405740000</v>
      </c>
      <c r="K11" s="22">
        <v>4869898150</v>
      </c>
      <c r="L11" s="23">
        <f t="shared" si="3"/>
        <v>1.1053530507928293</v>
      </c>
      <c r="M11" s="22">
        <f>5437734400-580000000</f>
        <v>4857734400</v>
      </c>
      <c r="N11" s="25">
        <f t="shared" si="1"/>
        <v>12163750</v>
      </c>
      <c r="P11" s="1">
        <v>4869898150</v>
      </c>
      <c r="Q11" s="18">
        <f t="shared" si="2"/>
        <v>0</v>
      </c>
      <c r="R11" s="18">
        <f>R12-K133</f>
        <v>0</v>
      </c>
      <c r="S11" s="18">
        <f>S12-K144</f>
        <v>0</v>
      </c>
    </row>
    <row r="12" spans="1:21" ht="14.4" hidden="1" outlineLevel="1" thickBot="1" x14ac:dyDescent="0.45">
      <c r="A12" s="1" t="s">
        <v>21</v>
      </c>
      <c r="B12" s="1" t="s">
        <v>22</v>
      </c>
      <c r="C12" s="1" t="s">
        <v>37</v>
      </c>
      <c r="D12" s="19" t="str">
        <f t="shared" si="0"/>
        <v>1월</v>
      </c>
      <c r="E12" s="20" t="s">
        <v>25</v>
      </c>
      <c r="F12" s="21" t="s">
        <v>26</v>
      </c>
      <c r="G12" s="21" t="s">
        <v>27</v>
      </c>
      <c r="H12" s="21" t="s">
        <v>38</v>
      </c>
      <c r="I12" s="22">
        <v>0</v>
      </c>
      <c r="J12" s="22">
        <f>'[1]2024년 계획_변경적용'!F50</f>
        <v>0</v>
      </c>
      <c r="K12" s="22">
        <v>0</v>
      </c>
      <c r="L12" s="23"/>
      <c r="M12" s="22">
        <v>0</v>
      </c>
      <c r="N12" s="25">
        <f t="shared" si="1"/>
        <v>0</v>
      </c>
      <c r="P12" s="1">
        <v>0</v>
      </c>
      <c r="Q12" s="18">
        <f t="shared" si="2"/>
        <v>0</v>
      </c>
      <c r="R12" s="26">
        <f t="shared" ref="R12:T12" si="4">SUM(R14:R25)</f>
        <v>12361988503</v>
      </c>
      <c r="S12" s="26">
        <f t="shared" si="4"/>
        <v>15101542896</v>
      </c>
      <c r="T12" s="26">
        <f t="shared" si="4"/>
        <v>27463531399</v>
      </c>
    </row>
    <row r="13" spans="1:21" ht="14.4" hidden="1" outlineLevel="1" thickBot="1" x14ac:dyDescent="0.45">
      <c r="A13" s="1" t="s">
        <v>21</v>
      </c>
      <c r="B13" s="1" t="s">
        <v>22</v>
      </c>
      <c r="C13" s="1" t="s">
        <v>39</v>
      </c>
      <c r="D13" s="19" t="str">
        <f t="shared" si="0"/>
        <v>1월</v>
      </c>
      <c r="E13" s="20" t="s">
        <v>25</v>
      </c>
      <c r="F13" s="21" t="s">
        <v>26</v>
      </c>
      <c r="G13" s="21" t="s">
        <v>27</v>
      </c>
      <c r="H13" s="21" t="s">
        <v>40</v>
      </c>
      <c r="I13" s="22">
        <v>0</v>
      </c>
      <c r="J13" s="22">
        <f>'[1]2024년 계획_변경적용'!F53</f>
        <v>490500000</v>
      </c>
      <c r="K13" s="22">
        <v>0</v>
      </c>
      <c r="L13" s="23">
        <f t="shared" si="3"/>
        <v>0</v>
      </c>
      <c r="M13" s="22">
        <v>0</v>
      </c>
      <c r="N13" s="27">
        <f t="shared" si="1"/>
        <v>0</v>
      </c>
      <c r="P13" s="1">
        <v>0</v>
      </c>
      <c r="Q13" s="18">
        <f t="shared" si="2"/>
        <v>0</v>
      </c>
      <c r="R13" s="28" t="s">
        <v>41</v>
      </c>
      <c r="S13" s="28" t="s">
        <v>42</v>
      </c>
      <c r="T13" s="28" t="s">
        <v>43</v>
      </c>
      <c r="U13" s="29"/>
    </row>
    <row r="14" spans="1:21" ht="14.4" hidden="1" outlineLevel="1" thickBot="1" x14ac:dyDescent="0.45">
      <c r="A14" s="1" t="s">
        <v>21</v>
      </c>
      <c r="B14" s="1" t="s">
        <v>22</v>
      </c>
      <c r="C14" s="1" t="s">
        <v>44</v>
      </c>
      <c r="D14" s="19" t="str">
        <f t="shared" si="0"/>
        <v>1월</v>
      </c>
      <c r="E14" s="20" t="s">
        <v>25</v>
      </c>
      <c r="F14" s="21" t="s">
        <v>26</v>
      </c>
      <c r="G14" s="21" t="s">
        <v>27</v>
      </c>
      <c r="H14" s="21" t="s">
        <v>45</v>
      </c>
      <c r="I14" s="22">
        <v>439139429</v>
      </c>
      <c r="J14" s="22">
        <f>'[1]2024년 계획_변경적용'!F51</f>
        <v>0</v>
      </c>
      <c r="K14" s="22">
        <v>439139429</v>
      </c>
      <c r="L14" s="23"/>
      <c r="M14" s="22">
        <v>404210000</v>
      </c>
      <c r="N14" s="24">
        <f t="shared" si="1"/>
        <v>34929429</v>
      </c>
      <c r="P14" s="1">
        <v>439139429</v>
      </c>
      <c r="Q14" s="18">
        <f t="shared" si="2"/>
        <v>0</v>
      </c>
      <c r="R14" s="30">
        <f>SUM(K123:K124)</f>
        <v>0</v>
      </c>
      <c r="S14" s="30">
        <f>SUM(K134:K135)</f>
        <v>0</v>
      </c>
      <c r="T14" s="30">
        <f t="shared" ref="T14:T23" si="5">SUM(R14:S14)</f>
        <v>0</v>
      </c>
      <c r="U14" s="29"/>
    </row>
    <row r="15" spans="1:21" ht="14.4" hidden="1" outlineLevel="1" thickBot="1" x14ac:dyDescent="0.45">
      <c r="A15" s="1" t="s">
        <v>21</v>
      </c>
      <c r="B15" s="1" t="s">
        <v>22</v>
      </c>
      <c r="C15" s="1" t="s">
        <v>46</v>
      </c>
      <c r="D15" s="19" t="str">
        <f t="shared" si="0"/>
        <v>1월</v>
      </c>
      <c r="E15" s="31" t="s">
        <v>25</v>
      </c>
      <c r="F15" s="32" t="s">
        <v>26</v>
      </c>
      <c r="G15" s="32" t="s">
        <v>27</v>
      </c>
      <c r="H15" s="32" t="s">
        <v>47</v>
      </c>
      <c r="I15" s="33">
        <v>67266666</v>
      </c>
      <c r="J15" s="33">
        <f>'[1]2024년 계획_변경적용'!F52</f>
        <v>0</v>
      </c>
      <c r="K15" s="33">
        <v>67266666</v>
      </c>
      <c r="L15" s="34"/>
      <c r="M15" s="33">
        <v>42700000</v>
      </c>
      <c r="N15" s="35">
        <f t="shared" si="1"/>
        <v>24566666</v>
      </c>
      <c r="P15" s="1">
        <v>67266666</v>
      </c>
      <c r="Q15" s="18">
        <f t="shared" si="2"/>
        <v>0</v>
      </c>
      <c r="R15" s="30">
        <f>K126</f>
        <v>166471840</v>
      </c>
      <c r="S15" s="30">
        <f>K137</f>
        <v>190623740</v>
      </c>
      <c r="T15" s="30">
        <f t="shared" si="5"/>
        <v>357095580</v>
      </c>
      <c r="U15" s="29"/>
    </row>
    <row r="16" spans="1:21" ht="14.4" hidden="1" outlineLevel="1" thickBot="1" x14ac:dyDescent="0.45">
      <c r="A16" s="1" t="s">
        <v>21</v>
      </c>
      <c r="B16" s="1" t="s">
        <v>22</v>
      </c>
      <c r="C16" s="1" t="s">
        <v>48</v>
      </c>
      <c r="D16" s="19" t="str">
        <f t="shared" si="0"/>
        <v>1월</v>
      </c>
      <c r="E16" s="36" t="s">
        <v>25</v>
      </c>
      <c r="F16" s="36" t="s">
        <v>26</v>
      </c>
      <c r="G16" s="36" t="s">
        <v>27</v>
      </c>
      <c r="H16" s="36" t="s">
        <v>49</v>
      </c>
      <c r="I16" s="37">
        <v>39867000</v>
      </c>
      <c r="J16" s="37">
        <v>0</v>
      </c>
      <c r="K16" s="37">
        <v>39867000</v>
      </c>
      <c r="L16" s="38"/>
      <c r="M16" s="37">
        <v>39867000</v>
      </c>
      <c r="N16" s="39">
        <f t="shared" si="1"/>
        <v>0</v>
      </c>
      <c r="P16" s="1">
        <v>39867000</v>
      </c>
      <c r="Q16" s="18">
        <f t="shared" si="2"/>
        <v>0</v>
      </c>
      <c r="R16" s="30">
        <f>K127</f>
        <v>7377697800</v>
      </c>
      <c r="S16" s="30">
        <f>K138</f>
        <v>8035017050</v>
      </c>
      <c r="T16" s="30">
        <f t="shared" si="5"/>
        <v>15412714850</v>
      </c>
      <c r="U16" s="29"/>
    </row>
    <row r="17" spans="1:21" ht="18.75" hidden="1" customHeight="1" outlineLevel="1" thickBot="1" x14ac:dyDescent="0.45">
      <c r="D17" s="40"/>
      <c r="E17" s="163" t="s">
        <v>50</v>
      </c>
      <c r="F17" s="163"/>
      <c r="G17" s="163"/>
      <c r="H17" s="164"/>
      <c r="I17" s="41">
        <f>SUM(I7:I16)</f>
        <v>6732515545</v>
      </c>
      <c r="J17" s="41">
        <f>SUM(J7:J16)</f>
        <v>6591863327.9942341</v>
      </c>
      <c r="K17" s="41">
        <f>SUM(K7:K16)</f>
        <v>6732515545</v>
      </c>
      <c r="L17" s="42">
        <f>I17/J17</f>
        <v>1.0213372471495952</v>
      </c>
      <c r="M17" s="43">
        <f>SUM(M7:M16)</f>
        <v>6660855700</v>
      </c>
      <c r="N17" s="44">
        <f>SUM(N7:N16)</f>
        <v>71659845</v>
      </c>
      <c r="P17" s="1">
        <v>6732515545</v>
      </c>
      <c r="Q17" s="18">
        <f t="shared" si="2"/>
        <v>0</v>
      </c>
      <c r="R17" s="30">
        <f>K125</f>
        <v>4528225660</v>
      </c>
      <c r="S17" s="30">
        <f>K136</f>
        <v>6019051822</v>
      </c>
      <c r="T17" s="30">
        <f t="shared" si="5"/>
        <v>10547277482</v>
      </c>
      <c r="U17" s="29"/>
    </row>
    <row r="18" spans="1:21" ht="14.4" hidden="1" outlineLevel="1" thickBot="1" x14ac:dyDescent="0.45">
      <c r="A18" s="1" t="s">
        <v>21</v>
      </c>
      <c r="B18" s="1" t="s">
        <v>22</v>
      </c>
      <c r="C18" s="1" t="s">
        <v>23</v>
      </c>
      <c r="D18" s="12" t="s">
        <v>51</v>
      </c>
      <c r="E18" s="20" t="s">
        <v>25</v>
      </c>
      <c r="F18" s="21" t="s">
        <v>26</v>
      </c>
      <c r="G18" s="21" t="s">
        <v>27</v>
      </c>
      <c r="H18" s="21" t="s">
        <v>28</v>
      </c>
      <c r="I18" s="22">
        <v>5372064744</v>
      </c>
      <c r="J18" s="22">
        <f>'[1]2024년 계획_변경적용'!G45</f>
        <v>3253527000</v>
      </c>
      <c r="K18" s="22">
        <v>5372064744</v>
      </c>
      <c r="L18" s="23">
        <f t="shared" ref="L18:L26" si="6">+I18/J18</f>
        <v>1.6511511181557736</v>
      </c>
      <c r="M18" s="22">
        <v>5372064744</v>
      </c>
      <c r="N18" s="17">
        <f>K18-M18</f>
        <v>0</v>
      </c>
      <c r="P18" s="1">
        <v>5372064744</v>
      </c>
      <c r="Q18" s="18">
        <f t="shared" si="2"/>
        <v>0</v>
      </c>
      <c r="R18" s="30">
        <f>K128</f>
        <v>0</v>
      </c>
      <c r="S18" s="30">
        <f>K139</f>
        <v>134600000</v>
      </c>
      <c r="T18" s="30">
        <f t="shared" si="5"/>
        <v>134600000</v>
      </c>
      <c r="U18" s="29"/>
    </row>
    <row r="19" spans="1:21" ht="14.4" hidden="1" outlineLevel="1" thickBot="1" x14ac:dyDescent="0.45">
      <c r="A19" s="1" t="s">
        <v>21</v>
      </c>
      <c r="B19" s="1" t="s">
        <v>22</v>
      </c>
      <c r="C19" s="1" t="s">
        <v>29</v>
      </c>
      <c r="D19" s="19" t="str">
        <f t="shared" ref="D19:D27" si="7">D18</f>
        <v>2월</v>
      </c>
      <c r="E19" s="20" t="s">
        <v>25</v>
      </c>
      <c r="F19" s="21" t="s">
        <v>26</v>
      </c>
      <c r="G19" s="21" t="s">
        <v>27</v>
      </c>
      <c r="H19" s="21" t="s">
        <v>30</v>
      </c>
      <c r="I19" s="22">
        <v>0</v>
      </c>
      <c r="J19" s="22">
        <f>'[1]2024년 계획_변경적용'!G44</f>
        <v>0</v>
      </c>
      <c r="K19" s="22">
        <v>0</v>
      </c>
      <c r="L19" s="23"/>
      <c r="M19" s="22">
        <v>0</v>
      </c>
      <c r="N19" s="25">
        <f t="shared" ref="N19:N27" si="8">K19-M19</f>
        <v>0</v>
      </c>
      <c r="P19" s="1">
        <v>0</v>
      </c>
      <c r="Q19" s="18">
        <f t="shared" si="2"/>
        <v>0</v>
      </c>
      <c r="R19" s="30">
        <f>K129</f>
        <v>38500000</v>
      </c>
      <c r="S19" s="30">
        <f>K140</f>
        <v>46875000</v>
      </c>
      <c r="T19" s="30">
        <f t="shared" si="5"/>
        <v>85375000</v>
      </c>
      <c r="U19" s="29"/>
    </row>
    <row r="20" spans="1:21" ht="14.4" hidden="1" outlineLevel="1" thickBot="1" x14ac:dyDescent="0.45">
      <c r="A20" s="1" t="s">
        <v>21</v>
      </c>
      <c r="B20" s="1" t="s">
        <v>22</v>
      </c>
      <c r="C20" s="1" t="s">
        <v>31</v>
      </c>
      <c r="D20" s="19" t="str">
        <f t="shared" si="7"/>
        <v>2월</v>
      </c>
      <c r="E20" s="20" t="s">
        <v>25</v>
      </c>
      <c r="F20" s="21" t="s">
        <v>26</v>
      </c>
      <c r="G20" s="21" t="s">
        <v>27</v>
      </c>
      <c r="H20" s="21" t="s">
        <v>32</v>
      </c>
      <c r="I20" s="22">
        <v>0</v>
      </c>
      <c r="J20" s="22">
        <f>'[1]2024년 계획_변경적용'!G48</f>
        <v>0</v>
      </c>
      <c r="K20" s="22">
        <v>0</v>
      </c>
      <c r="L20" s="23"/>
      <c r="M20" s="22">
        <v>0</v>
      </c>
      <c r="N20" s="25">
        <f t="shared" si="8"/>
        <v>0</v>
      </c>
      <c r="P20" s="1">
        <v>0</v>
      </c>
      <c r="Q20" s="18">
        <f t="shared" si="2"/>
        <v>0</v>
      </c>
      <c r="R20" s="30">
        <f>K130</f>
        <v>110001036</v>
      </c>
      <c r="S20" s="30">
        <f>K141</f>
        <v>476323136</v>
      </c>
      <c r="T20" s="30">
        <f t="shared" si="5"/>
        <v>586324172</v>
      </c>
      <c r="U20" s="29"/>
    </row>
    <row r="21" spans="1:21" ht="14.4" hidden="1" outlineLevel="1" thickBot="1" x14ac:dyDescent="0.45">
      <c r="A21" s="1" t="s">
        <v>21</v>
      </c>
      <c r="B21" s="1" t="s">
        <v>22</v>
      </c>
      <c r="C21" s="1" t="s">
        <v>33</v>
      </c>
      <c r="D21" s="19" t="str">
        <f t="shared" si="7"/>
        <v>2월</v>
      </c>
      <c r="E21" s="20" t="s">
        <v>25</v>
      </c>
      <c r="F21" s="21" t="s">
        <v>26</v>
      </c>
      <c r="G21" s="21" t="s">
        <v>27</v>
      </c>
      <c r="H21" s="21" t="s">
        <v>34</v>
      </c>
      <c r="I21" s="22">
        <v>684982200</v>
      </c>
      <c r="J21" s="22">
        <f>'[1]2024년 계획_변경적용'!G46</f>
        <v>959310827.9942342</v>
      </c>
      <c r="K21" s="22">
        <v>684982200</v>
      </c>
      <c r="L21" s="23">
        <f t="shared" si="6"/>
        <v>0.71403572232389834</v>
      </c>
      <c r="M21" s="22">
        <v>684982200</v>
      </c>
      <c r="N21" s="45">
        <f t="shared" si="8"/>
        <v>0</v>
      </c>
      <c r="P21" s="1">
        <v>684982200</v>
      </c>
      <c r="Q21" s="18">
        <f t="shared" si="2"/>
        <v>0</v>
      </c>
      <c r="R21" s="30">
        <f>K131</f>
        <v>125354167</v>
      </c>
      <c r="S21" s="30">
        <f>K142</f>
        <v>31604167</v>
      </c>
      <c r="T21" s="30">
        <f t="shared" si="5"/>
        <v>156958334</v>
      </c>
      <c r="U21" s="29"/>
    </row>
    <row r="22" spans="1:21" ht="14.4" hidden="1" outlineLevel="1" thickBot="1" x14ac:dyDescent="0.45">
      <c r="A22" s="1" t="s">
        <v>21</v>
      </c>
      <c r="B22" s="1" t="s">
        <v>22</v>
      </c>
      <c r="C22" s="1" t="s">
        <v>35</v>
      </c>
      <c r="D22" s="19" t="str">
        <f t="shared" si="7"/>
        <v>2월</v>
      </c>
      <c r="E22" s="20" t="s">
        <v>25</v>
      </c>
      <c r="F22" s="21" t="s">
        <v>26</v>
      </c>
      <c r="G22" s="21" t="s">
        <v>27</v>
      </c>
      <c r="H22" s="21" t="s">
        <v>36</v>
      </c>
      <c r="I22" s="22">
        <v>4437683550</v>
      </c>
      <c r="J22" s="22">
        <f>'[1]2024년 계획_변경적용'!G47</f>
        <v>478662462.07895321</v>
      </c>
      <c r="K22" s="22">
        <v>4437683550</v>
      </c>
      <c r="L22" s="23"/>
      <c r="M22" s="22">
        <v>4437583550</v>
      </c>
      <c r="N22" s="25">
        <f t="shared" si="8"/>
        <v>100000</v>
      </c>
      <c r="P22" s="1">
        <v>4437683550</v>
      </c>
      <c r="Q22" s="18">
        <f t="shared" si="2"/>
        <v>0</v>
      </c>
      <c r="R22" s="30">
        <f>K132</f>
        <v>15738000</v>
      </c>
      <c r="S22" s="30">
        <f>K143</f>
        <v>167447981</v>
      </c>
      <c r="T22" s="30">
        <f t="shared" si="5"/>
        <v>183185981</v>
      </c>
      <c r="U22" s="29"/>
    </row>
    <row r="23" spans="1:21" ht="14.4" hidden="1" outlineLevel="1" thickBot="1" x14ac:dyDescent="0.45">
      <c r="A23" s="1" t="s">
        <v>21</v>
      </c>
      <c r="B23" s="1" t="s">
        <v>22</v>
      </c>
      <c r="C23" s="1" t="s">
        <v>37</v>
      </c>
      <c r="D23" s="19" t="str">
        <f t="shared" si="7"/>
        <v>2월</v>
      </c>
      <c r="E23" s="20" t="s">
        <v>25</v>
      </c>
      <c r="F23" s="21" t="s">
        <v>26</v>
      </c>
      <c r="G23" s="21" t="s">
        <v>27</v>
      </c>
      <c r="H23" s="21" t="s">
        <v>38</v>
      </c>
      <c r="I23" s="22">
        <v>40000000</v>
      </c>
      <c r="J23" s="22">
        <f>'[1]2024년 계획_변경적용'!G50</f>
        <v>40000000</v>
      </c>
      <c r="K23" s="22">
        <v>40000000</v>
      </c>
      <c r="L23" s="23">
        <f t="shared" si="6"/>
        <v>1</v>
      </c>
      <c r="M23" s="22">
        <v>40000000</v>
      </c>
      <c r="N23" s="25">
        <f t="shared" si="8"/>
        <v>0</v>
      </c>
      <c r="P23" s="1">
        <v>40000000</v>
      </c>
      <c r="Q23" s="18">
        <f t="shared" si="2"/>
        <v>0</v>
      </c>
      <c r="R23" s="30"/>
      <c r="S23" s="30"/>
      <c r="T23" s="30">
        <f t="shared" si="5"/>
        <v>0</v>
      </c>
      <c r="U23" s="29"/>
    </row>
    <row r="24" spans="1:21" ht="14.4" hidden="1" outlineLevel="1" thickBot="1" x14ac:dyDescent="0.45">
      <c r="A24" s="1" t="s">
        <v>21</v>
      </c>
      <c r="B24" s="1" t="s">
        <v>22</v>
      </c>
      <c r="C24" s="1" t="s">
        <v>39</v>
      </c>
      <c r="D24" s="19" t="str">
        <f t="shared" si="7"/>
        <v>2월</v>
      </c>
      <c r="E24" s="20" t="s">
        <v>25</v>
      </c>
      <c r="F24" s="21" t="s">
        <v>26</v>
      </c>
      <c r="G24" s="21" t="s">
        <v>27</v>
      </c>
      <c r="H24" s="21" t="s">
        <v>40</v>
      </c>
      <c r="I24" s="22">
        <v>0</v>
      </c>
      <c r="J24" s="22">
        <f>'[1]2024년 계획_변경적용'!G53</f>
        <v>766500000</v>
      </c>
      <c r="K24" s="22">
        <v>0</v>
      </c>
      <c r="L24" s="23">
        <f t="shared" si="6"/>
        <v>0</v>
      </c>
      <c r="M24" s="22">
        <v>0</v>
      </c>
      <c r="N24" s="25">
        <f t="shared" si="8"/>
        <v>0</v>
      </c>
      <c r="P24" s="1">
        <v>0</v>
      </c>
      <c r="Q24" s="18">
        <f t="shared" si="2"/>
        <v>0</v>
      </c>
      <c r="R24" s="30"/>
      <c r="S24" s="30"/>
      <c r="T24" s="30"/>
      <c r="U24" s="29"/>
    </row>
    <row r="25" spans="1:21" ht="14.4" hidden="1" outlineLevel="1" thickBot="1" x14ac:dyDescent="0.45">
      <c r="A25" s="1" t="s">
        <v>21</v>
      </c>
      <c r="B25" s="1" t="s">
        <v>22</v>
      </c>
      <c r="C25" s="1" t="s">
        <v>44</v>
      </c>
      <c r="D25" s="19" t="str">
        <f t="shared" si="7"/>
        <v>2월</v>
      </c>
      <c r="E25" s="20" t="s">
        <v>25</v>
      </c>
      <c r="F25" s="21" t="s">
        <v>26</v>
      </c>
      <c r="G25" s="21" t="s">
        <v>27</v>
      </c>
      <c r="H25" s="21" t="s">
        <v>45</v>
      </c>
      <c r="I25" s="22">
        <v>14069429</v>
      </c>
      <c r="J25" s="22">
        <f>'[1]2024년 계획_변경적용'!G51</f>
        <v>162000000</v>
      </c>
      <c r="K25" s="22">
        <v>14069429</v>
      </c>
      <c r="L25" s="23">
        <f t="shared" si="6"/>
        <v>8.684832716049383E-2</v>
      </c>
      <c r="M25" s="22">
        <v>0</v>
      </c>
      <c r="N25" s="45">
        <f t="shared" si="8"/>
        <v>14069429</v>
      </c>
      <c r="P25" s="1">
        <v>14069429</v>
      </c>
      <c r="Q25" s="18">
        <f t="shared" si="2"/>
        <v>0</v>
      </c>
      <c r="R25" s="29"/>
      <c r="S25" s="29"/>
      <c r="T25" s="29"/>
      <c r="U25" s="29"/>
    </row>
    <row r="26" spans="1:21" ht="14.4" hidden="1" outlineLevel="1" thickBot="1" x14ac:dyDescent="0.45">
      <c r="A26" s="1" t="s">
        <v>21</v>
      </c>
      <c r="B26" s="1" t="s">
        <v>22</v>
      </c>
      <c r="C26" s="1" t="s">
        <v>46</v>
      </c>
      <c r="D26" s="19" t="str">
        <f t="shared" si="7"/>
        <v>2월</v>
      </c>
      <c r="E26" s="20" t="s">
        <v>25</v>
      </c>
      <c r="F26" s="21" t="s">
        <v>26</v>
      </c>
      <c r="G26" s="21" t="s">
        <v>27</v>
      </c>
      <c r="H26" s="21" t="s">
        <v>47</v>
      </c>
      <c r="I26" s="22">
        <v>119041667</v>
      </c>
      <c r="J26" s="33">
        <f>'[1]2024년 계획_변경적용'!G52</f>
        <v>93750000</v>
      </c>
      <c r="K26" s="22">
        <v>119041667</v>
      </c>
      <c r="L26" s="34">
        <f t="shared" si="6"/>
        <v>1.2697777813333333</v>
      </c>
      <c r="M26" s="33">
        <v>93750000</v>
      </c>
      <c r="N26" s="25">
        <f t="shared" si="8"/>
        <v>25291667</v>
      </c>
      <c r="P26" s="1">
        <v>119041667</v>
      </c>
      <c r="Q26" s="18">
        <f t="shared" si="2"/>
        <v>0</v>
      </c>
      <c r="U26" s="29"/>
    </row>
    <row r="27" spans="1:21" ht="14.4" hidden="1" outlineLevel="1" thickBot="1" x14ac:dyDescent="0.45">
      <c r="A27" s="1" t="s">
        <v>21</v>
      </c>
      <c r="B27" s="1" t="s">
        <v>22</v>
      </c>
      <c r="C27" s="1" t="s">
        <v>48</v>
      </c>
      <c r="D27" s="19" t="str">
        <f t="shared" si="7"/>
        <v>2월</v>
      </c>
      <c r="E27" s="36" t="s">
        <v>25</v>
      </c>
      <c r="F27" s="36" t="s">
        <v>26</v>
      </c>
      <c r="G27" s="36" t="s">
        <v>27</v>
      </c>
      <c r="H27" s="36" t="s">
        <v>49</v>
      </c>
      <c r="I27" s="46">
        <v>31089600</v>
      </c>
      <c r="J27" s="37">
        <v>0</v>
      </c>
      <c r="K27" s="46">
        <v>31089600</v>
      </c>
      <c r="L27" s="38"/>
      <c r="M27" s="37">
        <v>0</v>
      </c>
      <c r="N27" s="39">
        <f t="shared" si="8"/>
        <v>31089600</v>
      </c>
      <c r="P27" s="1">
        <v>31089600</v>
      </c>
      <c r="Q27" s="18">
        <f t="shared" si="2"/>
        <v>0</v>
      </c>
    </row>
    <row r="28" spans="1:21" ht="14.4" hidden="1" outlineLevel="1" thickBot="1" x14ac:dyDescent="0.45">
      <c r="D28" s="40"/>
      <c r="E28" s="163" t="s">
        <v>52</v>
      </c>
      <c r="F28" s="163"/>
      <c r="G28" s="163"/>
      <c r="H28" s="164"/>
      <c r="I28" s="41">
        <f>SUM(I18:I27)</f>
        <v>10698931190</v>
      </c>
      <c r="J28" s="41">
        <f>SUM(J18:J27)</f>
        <v>5753750290.0731869</v>
      </c>
      <c r="K28" s="41">
        <f>SUM(K18:K27)</f>
        <v>10698931190</v>
      </c>
      <c r="L28" s="42">
        <f>I28/J28</f>
        <v>1.8594708930032331</v>
      </c>
      <c r="M28" s="43">
        <f>SUM(M18:M27)</f>
        <v>10628380494</v>
      </c>
      <c r="N28" s="44">
        <f>SUM(N18:N27)</f>
        <v>70550696</v>
      </c>
      <c r="P28" s="1">
        <v>10698931190</v>
      </c>
      <c r="Q28" s="18">
        <f t="shared" si="2"/>
        <v>0</v>
      </c>
    </row>
    <row r="29" spans="1:21" ht="14.4" hidden="1" outlineLevel="1" thickBot="1" x14ac:dyDescent="0.45">
      <c r="A29" s="1" t="s">
        <v>21</v>
      </c>
      <c r="B29" s="1" t="s">
        <v>22</v>
      </c>
      <c r="C29" s="1" t="s">
        <v>23</v>
      </c>
      <c r="D29" s="19" t="s">
        <v>53</v>
      </c>
      <c r="E29" s="21" t="s">
        <v>54</v>
      </c>
      <c r="F29" s="21" t="s">
        <v>26</v>
      </c>
      <c r="G29" s="21" t="s">
        <v>27</v>
      </c>
      <c r="H29" s="21" t="s">
        <v>28</v>
      </c>
      <c r="I29" s="47">
        <v>2967439150</v>
      </c>
      <c r="J29" s="22">
        <f>'[1]2024년 계획_변경적용'!H45</f>
        <v>2762644500</v>
      </c>
      <c r="K29" s="22">
        <v>2967439150</v>
      </c>
      <c r="L29" s="23">
        <f t="shared" ref="L29:L37" si="9">+I29/J29</f>
        <v>1.074129932389057</v>
      </c>
      <c r="M29" s="48">
        <v>2953104000</v>
      </c>
      <c r="N29" s="17">
        <f>K29-M29</f>
        <v>14335150</v>
      </c>
      <c r="P29" s="1">
        <v>2967439150</v>
      </c>
      <c r="Q29" s="18">
        <f t="shared" si="2"/>
        <v>0</v>
      </c>
    </row>
    <row r="30" spans="1:21" ht="14.4" hidden="1" outlineLevel="1" thickBot="1" x14ac:dyDescent="0.45">
      <c r="A30" s="1" t="s">
        <v>21</v>
      </c>
      <c r="B30" s="1" t="s">
        <v>22</v>
      </c>
      <c r="C30" s="1" t="s">
        <v>29</v>
      </c>
      <c r="D30" s="19" t="str">
        <f t="shared" ref="D30:D38" si="10">D29</f>
        <v>3월</v>
      </c>
      <c r="E30" s="21" t="s">
        <v>54</v>
      </c>
      <c r="F30" s="21" t="s">
        <v>26</v>
      </c>
      <c r="G30" s="21" t="s">
        <v>27</v>
      </c>
      <c r="H30" s="21" t="s">
        <v>30</v>
      </c>
      <c r="I30" s="47">
        <v>0</v>
      </c>
      <c r="J30" s="22">
        <f>'[1]2024년 계획_변경적용'!H44</f>
        <v>0</v>
      </c>
      <c r="K30" s="22">
        <v>0</v>
      </c>
      <c r="L30" s="23" t="e">
        <f t="shared" si="9"/>
        <v>#DIV/0!</v>
      </c>
      <c r="M30" s="48">
        <v>0</v>
      </c>
      <c r="N30" s="25">
        <f t="shared" ref="N30:N38" si="11">K30-M30</f>
        <v>0</v>
      </c>
      <c r="P30" s="1">
        <v>0</v>
      </c>
      <c r="Q30" s="18">
        <f t="shared" si="2"/>
        <v>0</v>
      </c>
    </row>
    <row r="31" spans="1:21" ht="14.4" hidden="1" outlineLevel="1" thickBot="1" x14ac:dyDescent="0.45">
      <c r="A31" s="1" t="s">
        <v>21</v>
      </c>
      <c r="B31" s="1" t="s">
        <v>22</v>
      </c>
      <c r="C31" s="1" t="s">
        <v>31</v>
      </c>
      <c r="D31" s="19" t="str">
        <f t="shared" si="10"/>
        <v>3월</v>
      </c>
      <c r="E31" s="20" t="s">
        <v>25</v>
      </c>
      <c r="F31" s="21" t="s">
        <v>26</v>
      </c>
      <c r="G31" s="21" t="s">
        <v>27</v>
      </c>
      <c r="H31" s="21" t="s">
        <v>32</v>
      </c>
      <c r="I31" s="47">
        <v>0</v>
      </c>
      <c r="J31" s="22">
        <f>'[1]2024년 계획_변경적용'!H48</f>
        <v>0</v>
      </c>
      <c r="K31" s="22">
        <v>0</v>
      </c>
      <c r="L31" s="23"/>
      <c r="M31" s="48">
        <v>0</v>
      </c>
      <c r="N31" s="25">
        <f t="shared" si="11"/>
        <v>0</v>
      </c>
      <c r="P31" s="1">
        <v>0</v>
      </c>
      <c r="Q31" s="18">
        <f t="shared" si="2"/>
        <v>0</v>
      </c>
    </row>
    <row r="32" spans="1:21" ht="14.4" hidden="1" outlineLevel="1" thickBot="1" x14ac:dyDescent="0.45">
      <c r="A32" s="1" t="s">
        <v>21</v>
      </c>
      <c r="B32" s="1" t="s">
        <v>22</v>
      </c>
      <c r="C32" s="1" t="s">
        <v>33</v>
      </c>
      <c r="D32" s="19" t="str">
        <f t="shared" si="10"/>
        <v>3월</v>
      </c>
      <c r="E32" s="21" t="s">
        <v>55</v>
      </c>
      <c r="F32" s="21" t="s">
        <v>26</v>
      </c>
      <c r="G32" s="21" t="s">
        <v>27</v>
      </c>
      <c r="H32" s="21" t="s">
        <v>34</v>
      </c>
      <c r="I32" s="22">
        <v>1047403520</v>
      </c>
      <c r="J32" s="22">
        <v>959310827.9942342</v>
      </c>
      <c r="K32" s="22">
        <v>1047403520</v>
      </c>
      <c r="L32" s="23">
        <f t="shared" si="9"/>
        <v>1.0918291438343852</v>
      </c>
      <c r="M32" s="48">
        <v>959310827.9942342</v>
      </c>
      <c r="N32" s="25">
        <f t="shared" si="11"/>
        <v>88092692.005765796</v>
      </c>
      <c r="P32" s="1">
        <v>1047403520</v>
      </c>
      <c r="Q32" s="18">
        <f t="shared" si="2"/>
        <v>0</v>
      </c>
    </row>
    <row r="33" spans="1:20" ht="14.4" hidden="1" outlineLevel="1" thickBot="1" x14ac:dyDescent="0.45">
      <c r="A33" s="1" t="s">
        <v>21</v>
      </c>
      <c r="B33" s="1" t="s">
        <v>22</v>
      </c>
      <c r="C33" s="1" t="s">
        <v>35</v>
      </c>
      <c r="D33" s="19" t="str">
        <f t="shared" si="10"/>
        <v>3월</v>
      </c>
      <c r="E33" s="21" t="s">
        <v>55</v>
      </c>
      <c r="F33" s="21" t="s">
        <v>26</v>
      </c>
      <c r="G33" s="21" t="s">
        <v>27</v>
      </c>
      <c r="H33" s="21" t="s">
        <v>36</v>
      </c>
      <c r="I33" s="47">
        <v>4508694300</v>
      </c>
      <c r="J33" s="22">
        <v>4734489924.1579056</v>
      </c>
      <c r="K33" s="22">
        <v>4508694300</v>
      </c>
      <c r="L33" s="23">
        <f t="shared" si="9"/>
        <v>0.95230835258392355</v>
      </c>
      <c r="M33" s="48">
        <v>4275201700</v>
      </c>
      <c r="N33" s="49">
        <f t="shared" si="11"/>
        <v>233492600</v>
      </c>
      <c r="P33" s="1">
        <v>4508694300</v>
      </c>
      <c r="Q33" s="18">
        <f t="shared" si="2"/>
        <v>0</v>
      </c>
    </row>
    <row r="34" spans="1:20" ht="14.4" hidden="1" outlineLevel="1" thickBot="1" x14ac:dyDescent="0.45">
      <c r="A34" s="1" t="s">
        <v>21</v>
      </c>
      <c r="B34" s="1" t="s">
        <v>22</v>
      </c>
      <c r="C34" s="1" t="s">
        <v>37</v>
      </c>
      <c r="D34" s="19" t="str">
        <f t="shared" si="10"/>
        <v>3월</v>
      </c>
      <c r="E34" s="21" t="s">
        <v>55</v>
      </c>
      <c r="F34" s="21" t="s">
        <v>26</v>
      </c>
      <c r="G34" s="21" t="s">
        <v>27</v>
      </c>
      <c r="H34" s="21" t="s">
        <v>38</v>
      </c>
      <c r="I34" s="22">
        <v>0</v>
      </c>
      <c r="J34" s="22">
        <v>0</v>
      </c>
      <c r="K34" s="22">
        <v>0</v>
      </c>
      <c r="L34" s="23"/>
      <c r="M34" s="48">
        <v>0</v>
      </c>
      <c r="N34" s="25">
        <f t="shared" si="11"/>
        <v>0</v>
      </c>
      <c r="P34" s="1">
        <v>0</v>
      </c>
      <c r="Q34" s="18">
        <f t="shared" si="2"/>
        <v>0</v>
      </c>
      <c r="R34" s="28">
        <f t="shared" ref="R34:T42" si="12">R14/10^8</f>
        <v>0</v>
      </c>
      <c r="S34" s="28">
        <f t="shared" si="12"/>
        <v>0</v>
      </c>
      <c r="T34" s="28">
        <f t="shared" si="12"/>
        <v>0</v>
      </c>
    </row>
    <row r="35" spans="1:20" ht="14.4" hidden="1" outlineLevel="1" thickBot="1" x14ac:dyDescent="0.45">
      <c r="A35" s="1" t="s">
        <v>21</v>
      </c>
      <c r="B35" s="1" t="s">
        <v>22</v>
      </c>
      <c r="C35" s="1" t="s">
        <v>39</v>
      </c>
      <c r="D35" s="19" t="str">
        <f t="shared" si="10"/>
        <v>3월</v>
      </c>
      <c r="E35" s="21" t="s">
        <v>55</v>
      </c>
      <c r="F35" s="21" t="s">
        <v>26</v>
      </c>
      <c r="G35" s="21" t="s">
        <v>27</v>
      </c>
      <c r="H35" s="21" t="s">
        <v>40</v>
      </c>
      <c r="I35" s="22">
        <v>520375000</v>
      </c>
      <c r="J35" s="22">
        <v>1666750000</v>
      </c>
      <c r="K35" s="22">
        <v>520375000</v>
      </c>
      <c r="L35" s="23">
        <f t="shared" si="9"/>
        <v>0.31220938953052346</v>
      </c>
      <c r="M35" s="48">
        <v>520375000</v>
      </c>
      <c r="N35" s="25">
        <f t="shared" si="11"/>
        <v>0</v>
      </c>
      <c r="P35" s="1">
        <v>520375000</v>
      </c>
      <c r="Q35" s="18">
        <f t="shared" si="2"/>
        <v>0</v>
      </c>
      <c r="R35" s="28">
        <f t="shared" si="12"/>
        <v>1.6647183999999999</v>
      </c>
      <c r="S35" s="28">
        <f t="shared" si="12"/>
        <v>1.9062374</v>
      </c>
      <c r="T35" s="28">
        <f t="shared" si="12"/>
        <v>3.5709558000000001</v>
      </c>
    </row>
    <row r="36" spans="1:20" ht="14.4" hidden="1" outlineLevel="1" thickBot="1" x14ac:dyDescent="0.45">
      <c r="A36" s="1" t="s">
        <v>21</v>
      </c>
      <c r="B36" s="1" t="s">
        <v>22</v>
      </c>
      <c r="C36" s="1" t="s">
        <v>44</v>
      </c>
      <c r="D36" s="19" t="str">
        <f t="shared" si="10"/>
        <v>3월</v>
      </c>
      <c r="E36" s="21" t="s">
        <v>55</v>
      </c>
      <c r="F36" s="21" t="s">
        <v>26</v>
      </c>
      <c r="G36" s="21" t="s">
        <v>27</v>
      </c>
      <c r="H36" s="21" t="s">
        <v>45</v>
      </c>
      <c r="I36" s="47">
        <v>421269829</v>
      </c>
      <c r="J36" s="22">
        <v>505999999.99999994</v>
      </c>
      <c r="K36" s="22">
        <v>421269829</v>
      </c>
      <c r="L36" s="23">
        <f t="shared" si="9"/>
        <v>0.83254906916996052</v>
      </c>
      <c r="M36" s="48">
        <v>422269429</v>
      </c>
      <c r="N36" s="25">
        <f t="shared" si="11"/>
        <v>-999600</v>
      </c>
      <c r="P36" s="1">
        <v>421269829</v>
      </c>
      <c r="Q36" s="18">
        <f t="shared" si="2"/>
        <v>0</v>
      </c>
      <c r="R36" s="28">
        <f t="shared" si="12"/>
        <v>73.776978</v>
      </c>
      <c r="S36" s="28">
        <f t="shared" si="12"/>
        <v>80.350170500000004</v>
      </c>
      <c r="T36" s="28">
        <f t="shared" si="12"/>
        <v>154.1271485</v>
      </c>
    </row>
    <row r="37" spans="1:20" ht="17.25" hidden="1" customHeight="1" outlineLevel="1" x14ac:dyDescent="0.45">
      <c r="A37" s="1" t="s">
        <v>21</v>
      </c>
      <c r="B37" s="1" t="s">
        <v>22</v>
      </c>
      <c r="C37" s="1" t="s">
        <v>46</v>
      </c>
      <c r="D37" s="19" t="str">
        <f t="shared" si="10"/>
        <v>3월</v>
      </c>
      <c r="E37" s="21" t="s">
        <v>55</v>
      </c>
      <c r="F37" s="21" t="s">
        <v>26</v>
      </c>
      <c r="G37" s="21" t="s">
        <v>27</v>
      </c>
      <c r="H37" s="21" t="s">
        <v>47</v>
      </c>
      <c r="I37" s="22">
        <v>25291667</v>
      </c>
      <c r="J37" s="22">
        <v>361875000</v>
      </c>
      <c r="K37" s="22">
        <v>25291667</v>
      </c>
      <c r="L37" s="23">
        <f t="shared" si="9"/>
        <v>6.989061692573402E-2</v>
      </c>
      <c r="M37" s="48">
        <v>212791667</v>
      </c>
      <c r="N37" s="25">
        <f t="shared" si="11"/>
        <v>-187500000</v>
      </c>
      <c r="P37" s="1">
        <v>25291667</v>
      </c>
      <c r="Q37" s="18">
        <f t="shared" si="2"/>
        <v>0</v>
      </c>
      <c r="R37" s="28">
        <f t="shared" si="12"/>
        <v>45.282256599999997</v>
      </c>
      <c r="S37" s="28">
        <f t="shared" si="12"/>
        <v>60.190518220000001</v>
      </c>
      <c r="T37" s="28">
        <f t="shared" si="12"/>
        <v>105.47277482</v>
      </c>
    </row>
    <row r="38" spans="1:20" ht="17.25" hidden="1" customHeight="1" outlineLevel="1" thickBot="1" x14ac:dyDescent="0.45">
      <c r="A38" s="1" t="s">
        <v>21</v>
      </c>
      <c r="B38" s="1" t="s">
        <v>22</v>
      </c>
      <c r="C38" s="1" t="s">
        <v>48</v>
      </c>
      <c r="D38" s="50" t="str">
        <f t="shared" si="10"/>
        <v>3월</v>
      </c>
      <c r="E38" s="36" t="s">
        <v>25</v>
      </c>
      <c r="F38" s="36" t="s">
        <v>26</v>
      </c>
      <c r="G38" s="36" t="s">
        <v>27</v>
      </c>
      <c r="H38" s="36" t="s">
        <v>49</v>
      </c>
      <c r="I38" s="37">
        <v>41874000</v>
      </c>
      <c r="J38" s="37">
        <v>0</v>
      </c>
      <c r="K38" s="37">
        <v>41874000</v>
      </c>
      <c r="L38" s="38" t="e">
        <f t="shared" ref="L38" si="13">+K38/J38</f>
        <v>#DIV/0!</v>
      </c>
      <c r="M38" s="51">
        <v>0</v>
      </c>
      <c r="N38" s="39">
        <f t="shared" si="11"/>
        <v>41874000</v>
      </c>
      <c r="P38" s="1">
        <v>41874000</v>
      </c>
      <c r="Q38" s="18">
        <f t="shared" si="2"/>
        <v>0</v>
      </c>
      <c r="R38" s="28">
        <f t="shared" si="12"/>
        <v>0</v>
      </c>
      <c r="S38" s="28">
        <f t="shared" si="12"/>
        <v>1.3460000000000001</v>
      </c>
      <c r="T38" s="28">
        <f t="shared" si="12"/>
        <v>1.3460000000000001</v>
      </c>
    </row>
    <row r="39" spans="1:20" ht="14.4" hidden="1" outlineLevel="1" thickBot="1" x14ac:dyDescent="0.45">
      <c r="D39" s="40"/>
      <c r="E39" s="163" t="s">
        <v>56</v>
      </c>
      <c r="F39" s="163"/>
      <c r="G39" s="163"/>
      <c r="H39" s="164"/>
      <c r="I39" s="41">
        <f>SUM(I29:I38)</f>
        <v>9532347466</v>
      </c>
      <c r="J39" s="41">
        <f>SUM(J29:J38)</f>
        <v>10991070252.15214</v>
      </c>
      <c r="K39" s="41">
        <f>SUM(K29:K38)</f>
        <v>9532347466</v>
      </c>
      <c r="L39" s="42">
        <f>I39/J39</f>
        <v>0.86728109704634904</v>
      </c>
      <c r="M39" s="43">
        <f>SUM(M29:M38)</f>
        <v>9343052623.9942341</v>
      </c>
      <c r="N39" s="52">
        <f>SUM(N29:N38)</f>
        <v>189294842.0057658</v>
      </c>
      <c r="P39" s="1">
        <v>9532347466</v>
      </c>
      <c r="Q39" s="18">
        <f t="shared" si="2"/>
        <v>0</v>
      </c>
      <c r="R39" s="28">
        <f t="shared" si="12"/>
        <v>0.38500000000000001</v>
      </c>
      <c r="S39" s="28">
        <f t="shared" si="12"/>
        <v>0.46875</v>
      </c>
      <c r="T39" s="28">
        <f t="shared" si="12"/>
        <v>0.85375000000000001</v>
      </c>
    </row>
    <row r="40" spans="1:20" ht="18.600000000000001" customHeight="1" collapsed="1" thickBot="1" x14ac:dyDescent="0.45">
      <c r="D40" s="160" t="s">
        <v>57</v>
      </c>
      <c r="E40" s="161"/>
      <c r="F40" s="161"/>
      <c r="G40" s="161"/>
      <c r="H40" s="162"/>
      <c r="I40" s="53">
        <f>I28+I17+I39</f>
        <v>26963794201</v>
      </c>
      <c r="J40" s="53">
        <f>J39+J28+J17</f>
        <v>23336683870.219559</v>
      </c>
      <c r="K40" s="53">
        <f>K39+K28+K17</f>
        <v>26963794201</v>
      </c>
      <c r="L40" s="54">
        <f>K40/J40</f>
        <v>1.1554252674009555</v>
      </c>
      <c r="M40" s="55">
        <f>M39+M28+M17</f>
        <v>26632288817.994232</v>
      </c>
      <c r="N40" s="56">
        <f>N39+N28+N17</f>
        <v>331505383.0057658</v>
      </c>
      <c r="P40" s="1">
        <v>26963794201</v>
      </c>
      <c r="Q40" s="18">
        <f t="shared" si="2"/>
        <v>0</v>
      </c>
      <c r="R40" s="28">
        <f t="shared" si="12"/>
        <v>1.10001036</v>
      </c>
      <c r="S40" s="28">
        <f t="shared" si="12"/>
        <v>4.7632313599999998</v>
      </c>
      <c r="T40" s="28">
        <f t="shared" si="12"/>
        <v>5.8632417200000004</v>
      </c>
    </row>
    <row r="41" spans="1:20" ht="14.4" hidden="1" outlineLevel="1" thickBot="1" x14ac:dyDescent="0.45">
      <c r="A41" s="1" t="s">
        <v>21</v>
      </c>
      <c r="B41" s="1" t="s">
        <v>58</v>
      </c>
      <c r="C41" s="1" t="s">
        <v>23</v>
      </c>
      <c r="D41" s="57" t="s">
        <v>59</v>
      </c>
      <c r="E41" s="21" t="s">
        <v>25</v>
      </c>
      <c r="F41" s="21" t="s">
        <v>26</v>
      </c>
      <c r="G41" s="21" t="s">
        <v>27</v>
      </c>
      <c r="H41" s="21" t="s">
        <v>28</v>
      </c>
      <c r="I41" s="22">
        <v>1151454672</v>
      </c>
      <c r="J41" s="22">
        <f>'[1]2024년 계획_변경적용'!I45</f>
        <v>1339107000</v>
      </c>
      <c r="K41" s="22">
        <v>1151454672</v>
      </c>
      <c r="L41" s="23">
        <f t="shared" ref="L41:L47" si="14">+I41/J41</f>
        <v>0.85986756248753837</v>
      </c>
      <c r="M41" s="22">
        <v>1151454672</v>
      </c>
      <c r="N41" s="17">
        <f>K41-M41</f>
        <v>0</v>
      </c>
      <c r="P41" s="1">
        <v>1151454672</v>
      </c>
      <c r="Q41" s="18">
        <f t="shared" si="2"/>
        <v>0</v>
      </c>
      <c r="R41" s="28">
        <f t="shared" si="12"/>
        <v>1.2535416699999999</v>
      </c>
      <c r="S41" s="28">
        <f t="shared" si="12"/>
        <v>0.31604167</v>
      </c>
      <c r="T41" s="28">
        <f t="shared" si="12"/>
        <v>1.5695833400000001</v>
      </c>
    </row>
    <row r="42" spans="1:20" ht="14.4" hidden="1" outlineLevel="1" thickBot="1" x14ac:dyDescent="0.45">
      <c r="A42" s="1" t="s">
        <v>21</v>
      </c>
      <c r="B42" s="1" t="s">
        <v>58</v>
      </c>
      <c r="C42" s="1" t="s">
        <v>29</v>
      </c>
      <c r="D42" s="19" t="str">
        <f t="shared" ref="D42:D50" si="15">D41</f>
        <v>4월</v>
      </c>
      <c r="E42" s="21" t="s">
        <v>25</v>
      </c>
      <c r="F42" s="21" t="s">
        <v>26</v>
      </c>
      <c r="G42" s="21" t="s">
        <v>27</v>
      </c>
      <c r="H42" s="21" t="s">
        <v>30</v>
      </c>
      <c r="I42" s="22">
        <v>0</v>
      </c>
      <c r="J42" s="22">
        <f>'[1]2024년 계획_변경적용'!I44</f>
        <v>0</v>
      </c>
      <c r="K42" s="22">
        <v>0</v>
      </c>
      <c r="L42" s="23"/>
      <c r="M42" s="22">
        <v>0</v>
      </c>
      <c r="N42" s="25">
        <f t="shared" ref="N42:N50" si="16">K42-M42</f>
        <v>0</v>
      </c>
      <c r="P42" s="1">
        <v>0</v>
      </c>
      <c r="Q42" s="18">
        <f t="shared" si="2"/>
        <v>0</v>
      </c>
      <c r="R42" s="28">
        <f t="shared" si="12"/>
        <v>0.15737999999999999</v>
      </c>
      <c r="S42" s="28">
        <f t="shared" si="12"/>
        <v>1.67447981</v>
      </c>
      <c r="T42" s="28">
        <f t="shared" si="12"/>
        <v>1.8318598100000001</v>
      </c>
    </row>
    <row r="43" spans="1:20" ht="14.4" hidden="1" outlineLevel="1" thickBot="1" x14ac:dyDescent="0.45">
      <c r="A43" s="1" t="s">
        <v>21</v>
      </c>
      <c r="B43" s="1" t="s">
        <v>58</v>
      </c>
      <c r="C43" s="1" t="s">
        <v>31</v>
      </c>
      <c r="D43" s="19" t="str">
        <f t="shared" si="15"/>
        <v>4월</v>
      </c>
      <c r="E43" s="20" t="s">
        <v>25</v>
      </c>
      <c r="F43" s="21" t="s">
        <v>26</v>
      </c>
      <c r="G43" s="21" t="s">
        <v>27</v>
      </c>
      <c r="H43" s="21" t="s">
        <v>32</v>
      </c>
      <c r="I43" s="22">
        <v>0</v>
      </c>
      <c r="J43" s="22">
        <f>'[1]2024년 계획_변경적용'!I48</f>
        <v>0</v>
      </c>
      <c r="K43" s="22">
        <v>0</v>
      </c>
      <c r="L43" s="23"/>
      <c r="M43" s="22">
        <v>0</v>
      </c>
      <c r="N43" s="25">
        <f t="shared" si="16"/>
        <v>0</v>
      </c>
      <c r="P43" s="1">
        <v>0</v>
      </c>
      <c r="Q43" s="18">
        <f t="shared" si="2"/>
        <v>0</v>
      </c>
    </row>
    <row r="44" spans="1:20" ht="14.4" hidden="1" outlineLevel="1" thickBot="1" x14ac:dyDescent="0.45">
      <c r="A44" s="1" t="s">
        <v>21</v>
      </c>
      <c r="B44" s="1" t="s">
        <v>58</v>
      </c>
      <c r="C44" s="1" t="s">
        <v>33</v>
      </c>
      <c r="D44" s="19" t="str">
        <f t="shared" si="15"/>
        <v>4월</v>
      </c>
      <c r="E44" s="21" t="s">
        <v>25</v>
      </c>
      <c r="F44" s="21" t="s">
        <v>26</v>
      </c>
      <c r="G44" s="21" t="s">
        <v>27</v>
      </c>
      <c r="H44" s="21" t="s">
        <v>34</v>
      </c>
      <c r="I44" s="22">
        <v>1304419840</v>
      </c>
      <c r="J44" s="22">
        <f>'[1]2024년 계획_변경적용'!I46</f>
        <v>762190827.99423397</v>
      </c>
      <c r="K44" s="22">
        <v>1304419840</v>
      </c>
      <c r="L44" s="23">
        <f t="shared" si="14"/>
        <v>1.7114084715932425</v>
      </c>
      <c r="M44" s="22">
        <v>1304419840</v>
      </c>
      <c r="N44" s="25">
        <f t="shared" si="16"/>
        <v>0</v>
      </c>
      <c r="P44" s="1">
        <v>1304419840</v>
      </c>
      <c r="Q44" s="18">
        <f t="shared" si="2"/>
        <v>0</v>
      </c>
    </row>
    <row r="45" spans="1:20" ht="14.4" hidden="1" outlineLevel="1" thickBot="1" x14ac:dyDescent="0.45">
      <c r="A45" s="1" t="s">
        <v>21</v>
      </c>
      <c r="B45" s="1" t="s">
        <v>58</v>
      </c>
      <c r="C45" s="1" t="s">
        <v>35</v>
      </c>
      <c r="D45" s="19" t="str">
        <f t="shared" si="15"/>
        <v>4월</v>
      </c>
      <c r="E45" s="21" t="s">
        <v>25</v>
      </c>
      <c r="F45" s="21" t="s">
        <v>26</v>
      </c>
      <c r="G45" s="21" t="s">
        <v>27</v>
      </c>
      <c r="H45" s="21" t="s">
        <v>36</v>
      </c>
      <c r="I45" s="22">
        <v>6333791850</v>
      </c>
      <c r="J45" s="22">
        <f>'[1]2024년 계획_변경적용'!I47</f>
        <v>4302583000</v>
      </c>
      <c r="K45" s="22">
        <v>6333791850</v>
      </c>
      <c r="L45" s="23">
        <f t="shared" si="14"/>
        <v>1.4720905674568043</v>
      </c>
      <c r="M45" s="22">
        <v>6333791850</v>
      </c>
      <c r="N45" s="25">
        <f t="shared" si="16"/>
        <v>0</v>
      </c>
      <c r="P45" s="1">
        <v>6333791850</v>
      </c>
      <c r="Q45" s="18">
        <f t="shared" si="2"/>
        <v>0</v>
      </c>
    </row>
    <row r="46" spans="1:20" ht="14.4" hidden="1" outlineLevel="1" thickBot="1" x14ac:dyDescent="0.45">
      <c r="A46" s="1" t="s">
        <v>21</v>
      </c>
      <c r="B46" s="1" t="s">
        <v>58</v>
      </c>
      <c r="C46" s="1" t="s">
        <v>37</v>
      </c>
      <c r="D46" s="19" t="str">
        <f t="shared" si="15"/>
        <v>4월</v>
      </c>
      <c r="E46" s="21" t="s">
        <v>25</v>
      </c>
      <c r="F46" s="21" t="s">
        <v>26</v>
      </c>
      <c r="G46" s="21" t="s">
        <v>27</v>
      </c>
      <c r="H46" s="21" t="s">
        <v>38</v>
      </c>
      <c r="I46" s="22">
        <v>60000000</v>
      </c>
      <c r="J46" s="22">
        <f>'[1]2024년 계획_변경적용'!I50</f>
        <v>60000000</v>
      </c>
      <c r="K46" s="22">
        <v>60000000</v>
      </c>
      <c r="L46" s="23">
        <f t="shared" si="14"/>
        <v>1</v>
      </c>
      <c r="M46" s="22">
        <v>60000000</v>
      </c>
      <c r="N46" s="25">
        <f t="shared" si="16"/>
        <v>0</v>
      </c>
      <c r="P46" s="1">
        <v>60000000</v>
      </c>
      <c r="Q46" s="18">
        <f t="shared" si="2"/>
        <v>0</v>
      </c>
    </row>
    <row r="47" spans="1:20" ht="14.4" hidden="1" outlineLevel="1" thickBot="1" x14ac:dyDescent="0.45">
      <c r="A47" s="1" t="s">
        <v>21</v>
      </c>
      <c r="B47" s="1" t="s">
        <v>58</v>
      </c>
      <c r="C47" s="1" t="s">
        <v>39</v>
      </c>
      <c r="D47" s="19" t="str">
        <f t="shared" si="15"/>
        <v>4월</v>
      </c>
      <c r="E47" s="21" t="s">
        <v>25</v>
      </c>
      <c r="F47" s="21" t="s">
        <v>26</v>
      </c>
      <c r="G47" s="21" t="s">
        <v>27</v>
      </c>
      <c r="H47" s="21" t="s">
        <v>40</v>
      </c>
      <c r="I47" s="22">
        <v>0</v>
      </c>
      <c r="J47" s="22">
        <f>'[1]2024년 계획_변경적용'!I53</f>
        <v>379000000</v>
      </c>
      <c r="K47" s="22">
        <v>0</v>
      </c>
      <c r="L47" s="23">
        <f t="shared" si="14"/>
        <v>0</v>
      </c>
      <c r="M47" s="22">
        <v>0</v>
      </c>
      <c r="N47" s="25">
        <f t="shared" si="16"/>
        <v>0</v>
      </c>
      <c r="P47" s="1">
        <v>0</v>
      </c>
      <c r="Q47" s="18">
        <f t="shared" si="2"/>
        <v>0</v>
      </c>
    </row>
    <row r="48" spans="1:20" ht="14.4" hidden="1" outlineLevel="1" thickBot="1" x14ac:dyDescent="0.45">
      <c r="A48" s="1" t="s">
        <v>21</v>
      </c>
      <c r="B48" s="1" t="s">
        <v>58</v>
      </c>
      <c r="C48" s="1" t="s">
        <v>44</v>
      </c>
      <c r="D48" s="19" t="str">
        <f t="shared" si="15"/>
        <v>4월</v>
      </c>
      <c r="E48" s="21" t="s">
        <v>25</v>
      </c>
      <c r="F48" s="21" t="s">
        <v>26</v>
      </c>
      <c r="G48" s="21" t="s">
        <v>27</v>
      </c>
      <c r="H48" s="21" t="s">
        <v>45</v>
      </c>
      <c r="I48" s="22">
        <v>211649429</v>
      </c>
      <c r="J48" s="22">
        <f>'[1]2024년 계획_변경적용'!I51</f>
        <v>142000000</v>
      </c>
      <c r="K48" s="22">
        <v>211649429</v>
      </c>
      <c r="L48" s="23">
        <f>+I48/J48</f>
        <v>1.4904889366197183</v>
      </c>
      <c r="M48" s="22">
        <v>211649429</v>
      </c>
      <c r="N48" s="25">
        <f t="shared" si="16"/>
        <v>0</v>
      </c>
      <c r="P48" s="1">
        <v>211649429</v>
      </c>
      <c r="Q48" s="18">
        <f t="shared" si="2"/>
        <v>0</v>
      </c>
    </row>
    <row r="49" spans="1:17" ht="14.4" hidden="1" outlineLevel="1" thickBot="1" x14ac:dyDescent="0.45">
      <c r="A49" s="1" t="s">
        <v>21</v>
      </c>
      <c r="B49" s="1" t="s">
        <v>58</v>
      </c>
      <c r="C49" s="1" t="s">
        <v>46</v>
      </c>
      <c r="D49" s="19" t="str">
        <f t="shared" si="15"/>
        <v>4월</v>
      </c>
      <c r="E49" s="21" t="s">
        <v>25</v>
      </c>
      <c r="F49" s="21" t="s">
        <v>26</v>
      </c>
      <c r="G49" s="21" t="s">
        <v>27</v>
      </c>
      <c r="H49" s="21" t="s">
        <v>47</v>
      </c>
      <c r="I49" s="22">
        <v>1000904167</v>
      </c>
      <c r="J49" s="22">
        <f>'[1]2024년 계획_변경적용'!I52</f>
        <v>0</v>
      </c>
      <c r="K49" s="22">
        <v>1000904167</v>
      </c>
      <c r="L49" s="23"/>
      <c r="M49" s="22">
        <v>994591667</v>
      </c>
      <c r="N49" s="25">
        <f t="shared" si="16"/>
        <v>6312500</v>
      </c>
      <c r="P49" s="1">
        <v>1000904167</v>
      </c>
      <c r="Q49" s="18">
        <f t="shared" si="2"/>
        <v>0</v>
      </c>
    </row>
    <row r="50" spans="1:17" ht="14.4" hidden="1" outlineLevel="1" thickBot="1" x14ac:dyDescent="0.45">
      <c r="A50" s="1" t="s">
        <v>21</v>
      </c>
      <c r="B50" s="1" t="s">
        <v>58</v>
      </c>
      <c r="C50" s="1" t="s">
        <v>48</v>
      </c>
      <c r="D50" s="50" t="str">
        <f t="shared" si="15"/>
        <v>4월</v>
      </c>
      <c r="E50" s="36" t="s">
        <v>25</v>
      </c>
      <c r="F50" s="36" t="s">
        <v>26</v>
      </c>
      <c r="G50" s="36" t="s">
        <v>27</v>
      </c>
      <c r="H50" s="36" t="s">
        <v>49</v>
      </c>
      <c r="I50" s="37">
        <v>48705000</v>
      </c>
      <c r="J50" s="37">
        <v>0</v>
      </c>
      <c r="K50" s="37">
        <v>48705000</v>
      </c>
      <c r="L50" s="38" t="e">
        <f t="shared" ref="L50" si="17">+K50/J50</f>
        <v>#DIV/0!</v>
      </c>
      <c r="M50" s="37">
        <v>34035000</v>
      </c>
      <c r="N50" s="39">
        <f t="shared" si="16"/>
        <v>14670000</v>
      </c>
      <c r="P50" s="1">
        <v>48705000</v>
      </c>
      <c r="Q50" s="18">
        <f t="shared" si="2"/>
        <v>0</v>
      </c>
    </row>
    <row r="51" spans="1:17" ht="18.75" hidden="1" customHeight="1" outlineLevel="1" thickBot="1" x14ac:dyDescent="0.45">
      <c r="D51" s="40"/>
      <c r="E51" s="163" t="s">
        <v>60</v>
      </c>
      <c r="F51" s="163"/>
      <c r="G51" s="163"/>
      <c r="H51" s="164"/>
      <c r="I51" s="41">
        <f>SUM(I41:I50)</f>
        <v>10110924958</v>
      </c>
      <c r="J51" s="41">
        <f>SUM(J41:J50)</f>
        <v>6984880827.9942341</v>
      </c>
      <c r="K51" s="41">
        <f>SUM(K41:K50)</f>
        <v>10110924958</v>
      </c>
      <c r="L51" s="42">
        <f>I51/J51</f>
        <v>1.4475443757718964</v>
      </c>
      <c r="M51" s="43">
        <f>SUM(M41:M50)</f>
        <v>10089942458</v>
      </c>
      <c r="N51" s="44">
        <f>SUM(N41:N50)</f>
        <v>20982500</v>
      </c>
      <c r="P51" s="1">
        <v>10110924958</v>
      </c>
      <c r="Q51" s="18">
        <f t="shared" si="2"/>
        <v>0</v>
      </c>
    </row>
    <row r="52" spans="1:17" ht="14.4" hidden="1" outlineLevel="1" thickBot="1" x14ac:dyDescent="0.45">
      <c r="A52" s="1" t="s">
        <v>21</v>
      </c>
      <c r="B52" s="1" t="s">
        <v>58</v>
      </c>
      <c r="C52" s="1" t="s">
        <v>23</v>
      </c>
      <c r="D52" s="57" t="s">
        <v>61</v>
      </c>
      <c r="E52" s="21" t="s">
        <v>25</v>
      </c>
      <c r="F52" s="21" t="s">
        <v>26</v>
      </c>
      <c r="G52" s="21" t="s">
        <v>27</v>
      </c>
      <c r="H52" s="21" t="s">
        <v>28</v>
      </c>
      <c r="I52" s="22">
        <v>0</v>
      </c>
      <c r="J52" s="22">
        <f>'[1]2024년 계획_변경적용'!J45</f>
        <v>984368000</v>
      </c>
      <c r="K52" s="22">
        <v>0</v>
      </c>
      <c r="L52" s="23">
        <f t="shared" ref="L52:L60" si="18">+I52/J52</f>
        <v>0</v>
      </c>
      <c r="M52" s="22">
        <v>0</v>
      </c>
      <c r="N52" s="17">
        <f>K52-M52</f>
        <v>0</v>
      </c>
      <c r="P52" s="1">
        <v>0</v>
      </c>
      <c r="Q52" s="18">
        <f t="shared" si="2"/>
        <v>0</v>
      </c>
    </row>
    <row r="53" spans="1:17" ht="14.4" hidden="1" outlineLevel="1" thickBot="1" x14ac:dyDescent="0.45">
      <c r="A53" s="1" t="s">
        <v>21</v>
      </c>
      <c r="B53" s="1" t="s">
        <v>58</v>
      </c>
      <c r="C53" s="1" t="s">
        <v>29</v>
      </c>
      <c r="D53" s="19" t="str">
        <f t="shared" ref="D53:D61" si="19">D52</f>
        <v>5월</v>
      </c>
      <c r="E53" s="21" t="s">
        <v>25</v>
      </c>
      <c r="F53" s="21" t="s">
        <v>26</v>
      </c>
      <c r="G53" s="21" t="s">
        <v>27</v>
      </c>
      <c r="H53" s="21" t="s">
        <v>30</v>
      </c>
      <c r="I53" s="22">
        <v>0</v>
      </c>
      <c r="J53" s="22">
        <f>'[1]2024년 계획_변경적용'!J44</f>
        <v>0</v>
      </c>
      <c r="K53" s="22">
        <v>0</v>
      </c>
      <c r="L53" s="23" t="e">
        <f t="shared" si="18"/>
        <v>#DIV/0!</v>
      </c>
      <c r="M53" s="22">
        <v>0</v>
      </c>
      <c r="N53" s="25">
        <f t="shared" ref="N53:N61" si="20">K53-M53</f>
        <v>0</v>
      </c>
      <c r="P53" s="1">
        <v>0</v>
      </c>
      <c r="Q53" s="18">
        <f t="shared" si="2"/>
        <v>0</v>
      </c>
    </row>
    <row r="54" spans="1:17" ht="14.4" hidden="1" outlineLevel="1" thickBot="1" x14ac:dyDescent="0.45">
      <c r="A54" s="1" t="s">
        <v>21</v>
      </c>
      <c r="B54" s="1" t="s">
        <v>58</v>
      </c>
      <c r="C54" s="1" t="s">
        <v>31</v>
      </c>
      <c r="D54" s="19" t="str">
        <f t="shared" si="19"/>
        <v>5월</v>
      </c>
      <c r="E54" s="20" t="s">
        <v>25</v>
      </c>
      <c r="F54" s="21" t="s">
        <v>26</v>
      </c>
      <c r="G54" s="21" t="s">
        <v>27</v>
      </c>
      <c r="H54" s="21" t="s">
        <v>32</v>
      </c>
      <c r="I54" s="22">
        <v>0</v>
      </c>
      <c r="J54" s="22">
        <f>'[1]2024년 계획_변경적용'!J48</f>
        <v>0</v>
      </c>
      <c r="K54" s="22">
        <v>0</v>
      </c>
      <c r="L54" s="23"/>
      <c r="M54" s="22">
        <v>0</v>
      </c>
      <c r="N54" s="58">
        <f t="shared" si="20"/>
        <v>0</v>
      </c>
      <c r="P54" s="1">
        <v>0</v>
      </c>
      <c r="Q54" s="18">
        <f t="shared" si="2"/>
        <v>0</v>
      </c>
    </row>
    <row r="55" spans="1:17" ht="14.4" hidden="1" outlineLevel="1" thickBot="1" x14ac:dyDescent="0.45">
      <c r="A55" s="1" t="s">
        <v>21</v>
      </c>
      <c r="B55" s="1" t="s">
        <v>58</v>
      </c>
      <c r="C55" s="1" t="s">
        <v>33</v>
      </c>
      <c r="D55" s="19" t="str">
        <f t="shared" si="19"/>
        <v>5월</v>
      </c>
      <c r="E55" s="21" t="s">
        <v>25</v>
      </c>
      <c r="F55" s="21" t="s">
        <v>26</v>
      </c>
      <c r="G55" s="21" t="s">
        <v>27</v>
      </c>
      <c r="H55" s="21" t="s">
        <v>34</v>
      </c>
      <c r="I55" s="22">
        <v>1013424600</v>
      </c>
      <c r="J55" s="22">
        <f>'[1]2024년 계획_변경적용'!J46</f>
        <v>1156430827.9942338</v>
      </c>
      <c r="K55" s="22">
        <v>1013424600</v>
      </c>
      <c r="L55" s="23">
        <f t="shared" si="18"/>
        <v>0.87633827762766381</v>
      </c>
      <c r="M55" s="22">
        <v>1013424600</v>
      </c>
      <c r="N55" s="25">
        <f t="shared" si="20"/>
        <v>0</v>
      </c>
      <c r="P55" s="1">
        <v>1013424600</v>
      </c>
      <c r="Q55" s="18">
        <f t="shared" si="2"/>
        <v>0</v>
      </c>
    </row>
    <row r="56" spans="1:17" ht="14.4" hidden="1" outlineLevel="1" thickBot="1" x14ac:dyDescent="0.45">
      <c r="A56" s="1" t="s">
        <v>21</v>
      </c>
      <c r="B56" s="1" t="s">
        <v>58</v>
      </c>
      <c r="C56" s="1" t="s">
        <v>35</v>
      </c>
      <c r="D56" s="19" t="str">
        <f t="shared" si="19"/>
        <v>5월</v>
      </c>
      <c r="E56" s="21" t="s">
        <v>25</v>
      </c>
      <c r="F56" s="21" t="s">
        <v>26</v>
      </c>
      <c r="G56" s="21" t="s">
        <v>27</v>
      </c>
      <c r="H56" s="21" t="s">
        <v>36</v>
      </c>
      <c r="I56" s="22">
        <v>4945229200</v>
      </c>
      <c r="J56" s="22">
        <f>'[1]2024년 계획_변경적용'!J47</f>
        <v>3604746200</v>
      </c>
      <c r="K56" s="22">
        <v>4945229200</v>
      </c>
      <c r="L56" s="23">
        <f t="shared" si="18"/>
        <v>1.3718661247219013</v>
      </c>
      <c r="M56" s="22">
        <v>4945229200</v>
      </c>
      <c r="N56" s="25">
        <f t="shared" si="20"/>
        <v>0</v>
      </c>
      <c r="P56" s="1">
        <v>4945229200</v>
      </c>
      <c r="Q56" s="18">
        <f t="shared" si="2"/>
        <v>0</v>
      </c>
    </row>
    <row r="57" spans="1:17" ht="14.4" hidden="1" outlineLevel="1" thickBot="1" x14ac:dyDescent="0.45">
      <c r="A57" s="1" t="s">
        <v>21</v>
      </c>
      <c r="B57" s="1" t="s">
        <v>58</v>
      </c>
      <c r="C57" s="1" t="s">
        <v>37</v>
      </c>
      <c r="D57" s="19" t="str">
        <f t="shared" si="19"/>
        <v>5월</v>
      </c>
      <c r="E57" s="21" t="s">
        <v>25</v>
      </c>
      <c r="F57" s="21" t="s">
        <v>26</v>
      </c>
      <c r="G57" s="21" t="s">
        <v>27</v>
      </c>
      <c r="H57" s="21" t="s">
        <v>38</v>
      </c>
      <c r="I57" s="22">
        <v>67000000.000000007</v>
      </c>
      <c r="J57" s="22">
        <f>'[1]2024년 계획_변경적용'!J50</f>
        <v>67000000</v>
      </c>
      <c r="K57" s="22">
        <v>67000000.000000007</v>
      </c>
      <c r="L57" s="23">
        <f t="shared" si="18"/>
        <v>1.0000000000000002</v>
      </c>
      <c r="M57" s="22">
        <v>67000000.000000007</v>
      </c>
      <c r="N57" s="25">
        <f t="shared" si="20"/>
        <v>0</v>
      </c>
      <c r="P57" s="1">
        <v>67000000.000000007</v>
      </c>
      <c r="Q57" s="18">
        <f t="shared" si="2"/>
        <v>0</v>
      </c>
    </row>
    <row r="58" spans="1:17" ht="14.4" hidden="1" outlineLevel="1" thickBot="1" x14ac:dyDescent="0.45">
      <c r="A58" s="1" t="s">
        <v>21</v>
      </c>
      <c r="B58" s="1" t="s">
        <v>58</v>
      </c>
      <c r="C58" s="1" t="s">
        <v>39</v>
      </c>
      <c r="D58" s="19" t="str">
        <f t="shared" si="19"/>
        <v>5월</v>
      </c>
      <c r="E58" s="21" t="s">
        <v>25</v>
      </c>
      <c r="F58" s="21" t="s">
        <v>26</v>
      </c>
      <c r="G58" s="21" t="s">
        <v>27</v>
      </c>
      <c r="H58" s="21" t="s">
        <v>40</v>
      </c>
      <c r="I58" s="22">
        <v>1821375000</v>
      </c>
      <c r="J58" s="22">
        <f>'[1]2024년 계획_변경적용'!J53</f>
        <v>183500000</v>
      </c>
      <c r="K58" s="22">
        <v>1821375000</v>
      </c>
      <c r="L58" s="23">
        <f t="shared" si="18"/>
        <v>9.9257493188010901</v>
      </c>
      <c r="M58" s="22">
        <v>1821375000</v>
      </c>
      <c r="N58" s="25">
        <f t="shared" si="20"/>
        <v>0</v>
      </c>
      <c r="P58" s="1">
        <v>1821375000</v>
      </c>
      <c r="Q58" s="18">
        <f t="shared" si="2"/>
        <v>0</v>
      </c>
    </row>
    <row r="59" spans="1:17" ht="14.4" hidden="1" outlineLevel="1" thickBot="1" x14ac:dyDescent="0.45">
      <c r="A59" s="1" t="s">
        <v>21</v>
      </c>
      <c r="B59" s="1" t="s">
        <v>58</v>
      </c>
      <c r="C59" s="1" t="s">
        <v>44</v>
      </c>
      <c r="D59" s="19" t="str">
        <f t="shared" si="19"/>
        <v>5월</v>
      </c>
      <c r="E59" s="21" t="s">
        <v>25</v>
      </c>
      <c r="F59" s="21" t="s">
        <v>26</v>
      </c>
      <c r="G59" s="21" t="s">
        <v>27</v>
      </c>
      <c r="H59" s="21" t="s">
        <v>45</v>
      </c>
      <c r="I59" s="22">
        <v>152579274</v>
      </c>
      <c r="J59" s="22">
        <f>'[1]2024년 계획_변경적용'!J51</f>
        <v>79000000</v>
      </c>
      <c r="K59" s="22">
        <v>152579274</v>
      </c>
      <c r="L59" s="23">
        <f t="shared" si="18"/>
        <v>1.9313832151898733</v>
      </c>
      <c r="M59" s="22">
        <v>149869429</v>
      </c>
      <c r="N59" s="25">
        <f t="shared" si="20"/>
        <v>2709845</v>
      </c>
      <c r="P59" s="1">
        <v>152579274</v>
      </c>
      <c r="Q59" s="18">
        <f t="shared" si="2"/>
        <v>0</v>
      </c>
    </row>
    <row r="60" spans="1:17" ht="14.4" hidden="1" outlineLevel="1" thickBot="1" x14ac:dyDescent="0.45">
      <c r="A60" s="1" t="s">
        <v>21</v>
      </c>
      <c r="B60" s="1" t="s">
        <v>58</v>
      </c>
      <c r="C60" s="1" t="s">
        <v>46</v>
      </c>
      <c r="D60" s="19" t="str">
        <f t="shared" si="19"/>
        <v>5월</v>
      </c>
      <c r="E60" s="21" t="s">
        <v>25</v>
      </c>
      <c r="F60" s="21" t="s">
        <v>26</v>
      </c>
      <c r="G60" s="21" t="s">
        <v>27</v>
      </c>
      <c r="H60" s="21" t="s">
        <v>47</v>
      </c>
      <c r="I60" s="22">
        <v>31604167</v>
      </c>
      <c r="J60" s="22">
        <f>'[1]2024년 계획_변경적용'!J52</f>
        <v>93750000</v>
      </c>
      <c r="K60" s="22">
        <v>31604167</v>
      </c>
      <c r="L60" s="23">
        <f t="shared" si="18"/>
        <v>0.33711111466666666</v>
      </c>
      <c r="M60" s="22">
        <v>25291667</v>
      </c>
      <c r="N60" s="59">
        <f t="shared" si="20"/>
        <v>6312500</v>
      </c>
      <c r="P60" s="1">
        <v>31604167</v>
      </c>
      <c r="Q60" s="18">
        <f t="shared" si="2"/>
        <v>0</v>
      </c>
    </row>
    <row r="61" spans="1:17" ht="14.4" hidden="1" outlineLevel="1" thickBot="1" x14ac:dyDescent="0.45">
      <c r="A61" s="1" t="s">
        <v>21</v>
      </c>
      <c r="B61" s="1" t="s">
        <v>58</v>
      </c>
      <c r="C61" s="1" t="s">
        <v>48</v>
      </c>
      <c r="D61" s="50" t="str">
        <f t="shared" si="19"/>
        <v>5월</v>
      </c>
      <c r="E61" s="36" t="s">
        <v>25</v>
      </c>
      <c r="F61" s="36" t="s">
        <v>26</v>
      </c>
      <c r="G61" s="36" t="s">
        <v>27</v>
      </c>
      <c r="H61" s="36" t="s">
        <v>49</v>
      </c>
      <c r="I61" s="37">
        <v>51613869</v>
      </c>
      <c r="J61" s="37">
        <v>0</v>
      </c>
      <c r="K61" s="37">
        <v>51613869</v>
      </c>
      <c r="L61" s="38" t="e">
        <f t="shared" ref="L61" si="21">+K61/J61</f>
        <v>#DIV/0!</v>
      </c>
      <c r="M61" s="37">
        <v>0</v>
      </c>
      <c r="N61" s="60">
        <f t="shared" si="20"/>
        <v>51613869</v>
      </c>
      <c r="P61" s="1">
        <v>51613869</v>
      </c>
      <c r="Q61" s="18">
        <f t="shared" si="2"/>
        <v>0</v>
      </c>
    </row>
    <row r="62" spans="1:17" ht="14.4" hidden="1" outlineLevel="1" thickBot="1" x14ac:dyDescent="0.45">
      <c r="D62" s="40"/>
      <c r="E62" s="163" t="s">
        <v>62</v>
      </c>
      <c r="F62" s="163"/>
      <c r="G62" s="163"/>
      <c r="H62" s="164"/>
      <c r="I62" s="41">
        <f>SUM(I52:I61)</f>
        <v>8082826110</v>
      </c>
      <c r="J62" s="41">
        <f>SUM(J52:J61)</f>
        <v>6168795027.9942341</v>
      </c>
      <c r="K62" s="41">
        <f>SUM(K52:K61)</f>
        <v>8082826110</v>
      </c>
      <c r="L62" s="42">
        <f>I62/J62</f>
        <v>1.3102763300320108</v>
      </c>
      <c r="M62" s="43">
        <f>SUM(M52:M61)</f>
        <v>8022189896</v>
      </c>
      <c r="N62" s="44">
        <f>SUM(N52:N61)</f>
        <v>60636214</v>
      </c>
      <c r="P62" s="1">
        <v>8082826110</v>
      </c>
      <c r="Q62" s="18">
        <f t="shared" si="2"/>
        <v>0</v>
      </c>
    </row>
    <row r="63" spans="1:17" ht="14.4" hidden="1" outlineLevel="1" thickBot="1" x14ac:dyDescent="0.45">
      <c r="A63" s="1" t="s">
        <v>21</v>
      </c>
      <c r="B63" s="1" t="s">
        <v>58</v>
      </c>
      <c r="C63" s="1" t="s">
        <v>23</v>
      </c>
      <c r="D63" s="57" t="s">
        <v>63</v>
      </c>
      <c r="E63" s="21" t="s">
        <v>25</v>
      </c>
      <c r="F63" s="21" t="s">
        <v>26</v>
      </c>
      <c r="G63" s="21" t="s">
        <v>27</v>
      </c>
      <c r="H63" s="21" t="s">
        <v>28</v>
      </c>
      <c r="I63" s="22">
        <v>0</v>
      </c>
      <c r="J63" s="22">
        <f>'[1]2024년 계획_변경적용'!K45</f>
        <v>2588543740.4000001</v>
      </c>
      <c r="K63" s="22">
        <v>0</v>
      </c>
      <c r="L63" s="23">
        <f t="shared" ref="L63:L70" si="22">+I63/J63</f>
        <v>0</v>
      </c>
      <c r="M63" s="22">
        <v>0</v>
      </c>
      <c r="N63" s="17">
        <f>K63-M63</f>
        <v>0</v>
      </c>
      <c r="P63" s="1">
        <v>0</v>
      </c>
      <c r="Q63" s="18">
        <f t="shared" si="2"/>
        <v>0</v>
      </c>
    </row>
    <row r="64" spans="1:17" ht="14.4" hidden="1" outlineLevel="1" thickBot="1" x14ac:dyDescent="0.45">
      <c r="A64" s="1" t="s">
        <v>21</v>
      </c>
      <c r="B64" s="1" t="s">
        <v>58</v>
      </c>
      <c r="C64" s="1" t="s">
        <v>29</v>
      </c>
      <c r="D64" s="19" t="str">
        <f t="shared" ref="D64:D72" si="23">D63</f>
        <v>6월</v>
      </c>
      <c r="E64" s="21" t="s">
        <v>25</v>
      </c>
      <c r="F64" s="21" t="s">
        <v>26</v>
      </c>
      <c r="G64" s="21" t="s">
        <v>27</v>
      </c>
      <c r="H64" s="21" t="s">
        <v>30</v>
      </c>
      <c r="I64" s="22">
        <v>0</v>
      </c>
      <c r="J64" s="22">
        <f>'[1]2024년 계획_변경적용'!K44</f>
        <v>0</v>
      </c>
      <c r="K64" s="22">
        <v>0</v>
      </c>
      <c r="L64" s="23"/>
      <c r="M64" s="22">
        <v>0</v>
      </c>
      <c r="N64" s="25">
        <f t="shared" ref="N64:N72" si="24">K64-M64</f>
        <v>0</v>
      </c>
      <c r="P64" s="1">
        <v>0</v>
      </c>
      <c r="Q64" s="18">
        <f t="shared" si="2"/>
        <v>0</v>
      </c>
    </row>
    <row r="65" spans="1:17" ht="14.4" hidden="1" outlineLevel="1" thickBot="1" x14ac:dyDescent="0.45">
      <c r="A65" s="1" t="s">
        <v>21</v>
      </c>
      <c r="B65" s="1" t="s">
        <v>58</v>
      </c>
      <c r="C65" s="1" t="s">
        <v>31</v>
      </c>
      <c r="D65" s="19" t="str">
        <f t="shared" si="23"/>
        <v>6월</v>
      </c>
      <c r="E65" s="20" t="s">
        <v>25</v>
      </c>
      <c r="F65" s="21" t="s">
        <v>26</v>
      </c>
      <c r="G65" s="21" t="s">
        <v>27</v>
      </c>
      <c r="H65" s="21" t="s">
        <v>32</v>
      </c>
      <c r="I65" s="22">
        <v>490916584</v>
      </c>
      <c r="J65" s="22">
        <f>'[1]2024년 계획_변경적용'!K48</f>
        <v>137760000</v>
      </c>
      <c r="K65" s="22">
        <v>490916584</v>
      </c>
      <c r="L65" s="23"/>
      <c r="M65" s="22">
        <v>528739976.00636256</v>
      </c>
      <c r="N65" s="58">
        <f t="shared" si="24"/>
        <v>-37823392.006362557</v>
      </c>
      <c r="P65" s="1">
        <v>490916584</v>
      </c>
      <c r="Q65" s="18">
        <f t="shared" si="2"/>
        <v>0</v>
      </c>
    </row>
    <row r="66" spans="1:17" ht="14.4" hidden="1" outlineLevel="1" thickBot="1" x14ac:dyDescent="0.45">
      <c r="A66" s="1" t="s">
        <v>21</v>
      </c>
      <c r="B66" s="1" t="s">
        <v>58</v>
      </c>
      <c r="C66" s="1" t="s">
        <v>33</v>
      </c>
      <c r="D66" s="19" t="str">
        <f t="shared" si="23"/>
        <v>6월</v>
      </c>
      <c r="E66" s="21" t="s">
        <v>25</v>
      </c>
      <c r="F66" s="21" t="s">
        <v>26</v>
      </c>
      <c r="G66" s="21" t="s">
        <v>27</v>
      </c>
      <c r="H66" s="21" t="s">
        <v>34</v>
      </c>
      <c r="I66" s="22">
        <v>569738700</v>
      </c>
      <c r="J66" s="22">
        <f>'[1]2024년 계획_변경적용'!K46</f>
        <v>959310827.9942342</v>
      </c>
      <c r="K66" s="22">
        <v>569738700</v>
      </c>
      <c r="L66" s="23">
        <f t="shared" si="22"/>
        <v>0.59390416888260578</v>
      </c>
      <c r="M66" s="22">
        <v>569738700</v>
      </c>
      <c r="N66" s="25">
        <f t="shared" si="24"/>
        <v>0</v>
      </c>
      <c r="P66" s="1">
        <v>569738700</v>
      </c>
      <c r="Q66" s="18">
        <f t="shared" si="2"/>
        <v>0</v>
      </c>
    </row>
    <row r="67" spans="1:17" ht="14.4" hidden="1" outlineLevel="1" thickBot="1" x14ac:dyDescent="0.45">
      <c r="A67" s="1" t="s">
        <v>21</v>
      </c>
      <c r="B67" s="1" t="s">
        <v>58</v>
      </c>
      <c r="C67" s="1" t="s">
        <v>35</v>
      </c>
      <c r="D67" s="19" t="str">
        <f t="shared" si="23"/>
        <v>6월</v>
      </c>
      <c r="E67" s="21" t="s">
        <v>25</v>
      </c>
      <c r="F67" s="21" t="s">
        <v>26</v>
      </c>
      <c r="G67" s="21" t="s">
        <v>27</v>
      </c>
      <c r="H67" s="21" t="s">
        <v>36</v>
      </c>
      <c r="I67" s="22">
        <v>7345815300</v>
      </c>
      <c r="J67" s="22">
        <f>'[1]2024년 계획_변경적용'!K47</f>
        <v>3590929395</v>
      </c>
      <c r="K67" s="22">
        <v>7345815300</v>
      </c>
      <c r="L67" s="23">
        <f t="shared" si="22"/>
        <v>2.045658516769584</v>
      </c>
      <c r="M67" s="22">
        <v>7289754850</v>
      </c>
      <c r="N67" s="25">
        <f t="shared" si="24"/>
        <v>56060450</v>
      </c>
      <c r="P67" s="18">
        <v>7345815300</v>
      </c>
      <c r="Q67" s="18">
        <f t="shared" si="2"/>
        <v>0</v>
      </c>
    </row>
    <row r="68" spans="1:17" ht="14.4" hidden="1" outlineLevel="1" thickBot="1" x14ac:dyDescent="0.45">
      <c r="A68" s="1" t="s">
        <v>21</v>
      </c>
      <c r="B68" s="1" t="s">
        <v>58</v>
      </c>
      <c r="C68" s="1" t="s">
        <v>37</v>
      </c>
      <c r="D68" s="19" t="str">
        <f t="shared" si="23"/>
        <v>6월</v>
      </c>
      <c r="E68" s="21" t="s">
        <v>25</v>
      </c>
      <c r="F68" s="21" t="s">
        <v>26</v>
      </c>
      <c r="G68" s="21" t="s">
        <v>27</v>
      </c>
      <c r="H68" s="21" t="s">
        <v>38</v>
      </c>
      <c r="I68" s="22">
        <v>67000000</v>
      </c>
      <c r="J68" s="22">
        <f>'[1]2024년 계획_변경적용'!K50</f>
        <v>67000000</v>
      </c>
      <c r="K68" s="22">
        <v>67000000</v>
      </c>
      <c r="L68" s="23">
        <f t="shared" si="22"/>
        <v>1</v>
      </c>
      <c r="M68" s="22">
        <v>67000000</v>
      </c>
      <c r="N68" s="25">
        <f t="shared" si="24"/>
        <v>0</v>
      </c>
      <c r="P68" s="1">
        <v>67000000</v>
      </c>
      <c r="Q68" s="18">
        <f t="shared" si="2"/>
        <v>0</v>
      </c>
    </row>
    <row r="69" spans="1:17" ht="14.4" hidden="1" outlineLevel="1" thickBot="1" x14ac:dyDescent="0.45">
      <c r="A69" s="1" t="s">
        <v>21</v>
      </c>
      <c r="B69" s="1" t="s">
        <v>58</v>
      </c>
      <c r="C69" s="1" t="s">
        <v>39</v>
      </c>
      <c r="D69" s="19" t="str">
        <f t="shared" si="23"/>
        <v>6월</v>
      </c>
      <c r="E69" s="21" t="s">
        <v>25</v>
      </c>
      <c r="F69" s="21" t="s">
        <v>26</v>
      </c>
      <c r="G69" s="21" t="s">
        <v>27</v>
      </c>
      <c r="H69" s="21" t="s">
        <v>40</v>
      </c>
      <c r="I69" s="22">
        <v>350250000</v>
      </c>
      <c r="J69" s="22">
        <f>'[1]2024년 계획_변경적용'!K53</f>
        <v>48000000</v>
      </c>
      <c r="K69" s="22">
        <v>350250000</v>
      </c>
      <c r="L69" s="23">
        <f t="shared" si="22"/>
        <v>7.296875</v>
      </c>
      <c r="M69" s="22">
        <v>350250000</v>
      </c>
      <c r="N69" s="25">
        <f t="shared" si="24"/>
        <v>0</v>
      </c>
      <c r="P69" s="1">
        <v>350250000</v>
      </c>
      <c r="Q69" s="18">
        <f t="shared" si="2"/>
        <v>0</v>
      </c>
    </row>
    <row r="70" spans="1:17" ht="14.4" hidden="1" outlineLevel="1" thickBot="1" x14ac:dyDescent="0.45">
      <c r="A70" s="1" t="s">
        <v>21</v>
      </c>
      <c r="B70" s="1" t="s">
        <v>58</v>
      </c>
      <c r="C70" s="1" t="s">
        <v>44</v>
      </c>
      <c r="D70" s="19" t="str">
        <f t="shared" si="23"/>
        <v>6월</v>
      </c>
      <c r="E70" s="21" t="s">
        <v>25</v>
      </c>
      <c r="F70" s="21" t="s">
        <v>26</v>
      </c>
      <c r="G70" s="21" t="s">
        <v>27</v>
      </c>
      <c r="H70" s="21" t="s">
        <v>45</v>
      </c>
      <c r="I70" s="22">
        <v>154620726</v>
      </c>
      <c r="J70" s="22">
        <f>'[1]2024년 계획_변경적용'!K51</f>
        <v>0</v>
      </c>
      <c r="K70" s="22">
        <v>154620726</v>
      </c>
      <c r="L70" s="23" t="e">
        <f t="shared" si="22"/>
        <v>#DIV/0!</v>
      </c>
      <c r="M70" s="22">
        <v>154620726</v>
      </c>
      <c r="N70" s="25">
        <f t="shared" si="24"/>
        <v>0</v>
      </c>
      <c r="P70" s="1">
        <v>154620726</v>
      </c>
      <c r="Q70" s="18">
        <f t="shared" si="2"/>
        <v>0</v>
      </c>
    </row>
    <row r="71" spans="1:17" ht="14.4" hidden="1" outlineLevel="1" thickBot="1" x14ac:dyDescent="0.45">
      <c r="A71" s="1" t="s">
        <v>21</v>
      </c>
      <c r="B71" s="1" t="s">
        <v>58</v>
      </c>
      <c r="C71" s="1" t="s">
        <v>46</v>
      </c>
      <c r="D71" s="19" t="str">
        <f t="shared" si="23"/>
        <v>6월</v>
      </c>
      <c r="E71" s="21" t="s">
        <v>25</v>
      </c>
      <c r="F71" s="21" t="s">
        <v>26</v>
      </c>
      <c r="G71" s="21" t="s">
        <v>27</v>
      </c>
      <c r="H71" s="21" t="s">
        <v>47</v>
      </c>
      <c r="I71" s="22">
        <v>440354167</v>
      </c>
      <c r="J71" s="22">
        <f>'[1]2024년 계획_변경적용'!K52</f>
        <v>395625000</v>
      </c>
      <c r="K71" s="22">
        <v>440354167</v>
      </c>
      <c r="L71" s="23"/>
      <c r="M71" s="22">
        <v>440354167</v>
      </c>
      <c r="N71" s="59">
        <f t="shared" si="24"/>
        <v>0</v>
      </c>
      <c r="P71" s="1">
        <v>440354167</v>
      </c>
      <c r="Q71" s="18">
        <f t="shared" si="2"/>
        <v>0</v>
      </c>
    </row>
    <row r="72" spans="1:17" ht="14.4" hidden="1" outlineLevel="1" thickBot="1" x14ac:dyDescent="0.45">
      <c r="A72" s="1" t="s">
        <v>21</v>
      </c>
      <c r="B72" s="1" t="s">
        <v>58</v>
      </c>
      <c r="C72" s="1" t="s">
        <v>48</v>
      </c>
      <c r="D72" s="50" t="str">
        <f t="shared" si="23"/>
        <v>6월</v>
      </c>
      <c r="E72" s="36" t="s">
        <v>25</v>
      </c>
      <c r="F72" s="36" t="s">
        <v>26</v>
      </c>
      <c r="G72" s="36" t="s">
        <v>27</v>
      </c>
      <c r="H72" s="36" t="s">
        <v>49</v>
      </c>
      <c r="I72" s="37">
        <v>15204000</v>
      </c>
      <c r="J72" s="37">
        <v>0</v>
      </c>
      <c r="K72" s="37">
        <v>15204000</v>
      </c>
      <c r="L72" s="38" t="e">
        <f t="shared" ref="L72" si="25">+K72/J72</f>
        <v>#DIV/0!</v>
      </c>
      <c r="M72" s="37">
        <v>0</v>
      </c>
      <c r="N72" s="60">
        <f t="shared" si="24"/>
        <v>15204000</v>
      </c>
      <c r="P72" s="18">
        <v>15204000</v>
      </c>
      <c r="Q72" s="18">
        <f t="shared" ref="Q72:Q73" si="26">P72-I72</f>
        <v>0</v>
      </c>
    </row>
    <row r="73" spans="1:17" ht="14.4" hidden="1" outlineLevel="1" thickBot="1" x14ac:dyDescent="0.45">
      <c r="D73" s="40"/>
      <c r="E73" s="163" t="s">
        <v>64</v>
      </c>
      <c r="F73" s="163"/>
      <c r="G73" s="163"/>
      <c r="H73" s="164"/>
      <c r="I73" s="41">
        <f>SUM(I63:I72)</f>
        <v>9433899477</v>
      </c>
      <c r="J73" s="41">
        <f>SUM(J63:J72)</f>
        <v>7787168963.3942337</v>
      </c>
      <c r="K73" s="41">
        <f>SUM(K63:K72)</f>
        <v>9433899477</v>
      </c>
      <c r="L73" s="42">
        <f>I73/J73</f>
        <v>1.2114671610885399</v>
      </c>
      <c r="M73" s="43">
        <f>SUM(M63:M72)</f>
        <v>9400458419.0063629</v>
      </c>
      <c r="N73" s="44">
        <f>SUM(N63:N72)</f>
        <v>33441057.993637443</v>
      </c>
      <c r="P73" s="1">
        <v>9433899477</v>
      </c>
      <c r="Q73" s="18">
        <f t="shared" si="26"/>
        <v>0</v>
      </c>
    </row>
    <row r="74" spans="1:17" ht="14.4" collapsed="1" thickBot="1" x14ac:dyDescent="0.45">
      <c r="D74" s="160" t="s">
        <v>65</v>
      </c>
      <c r="E74" s="161"/>
      <c r="F74" s="161"/>
      <c r="G74" s="161"/>
      <c r="H74" s="162"/>
      <c r="I74" s="53">
        <f>I73+I62+I51</f>
        <v>27627650545</v>
      </c>
      <c r="J74" s="53">
        <f>J73+J62+J51</f>
        <v>20940844819.382702</v>
      </c>
      <c r="K74" s="53">
        <f>K73+K62+K51</f>
        <v>27627650545</v>
      </c>
      <c r="L74" s="54">
        <f>K74/J74</f>
        <v>1.3193188137007748</v>
      </c>
      <c r="M74" s="55">
        <f>M73+M62+M51</f>
        <v>27512590773.006363</v>
      </c>
      <c r="N74" s="56">
        <f>N73+N62+N51</f>
        <v>115059771.99363744</v>
      </c>
      <c r="P74" s="1">
        <v>27627650545</v>
      </c>
    </row>
    <row r="75" spans="1:17" ht="14.4" thickBot="1" x14ac:dyDescent="0.45">
      <c r="D75" s="160" t="s">
        <v>66</v>
      </c>
      <c r="E75" s="161"/>
      <c r="F75" s="161"/>
      <c r="G75" s="161"/>
      <c r="H75" s="162"/>
      <c r="I75" s="53">
        <f>I74+I40</f>
        <v>54591444746</v>
      </c>
      <c r="J75" s="53">
        <f>J74+J40</f>
        <v>44277528689.602264</v>
      </c>
      <c r="K75" s="53">
        <f>K74+K40</f>
        <v>54591444746</v>
      </c>
      <c r="L75" s="54">
        <f>K75/J75</f>
        <v>1.2329379340184305</v>
      </c>
      <c r="M75" s="55">
        <f>M74+M40</f>
        <v>54144879591.000595</v>
      </c>
      <c r="N75" s="56">
        <f>N40+N51+N62+N73</f>
        <v>446565154.99940324</v>
      </c>
      <c r="P75" s="1">
        <v>54591444746</v>
      </c>
    </row>
    <row r="76" spans="1:17" ht="14.4" hidden="1" outlineLevel="1" thickBot="1" x14ac:dyDescent="0.45">
      <c r="A76" s="1" t="s">
        <v>21</v>
      </c>
      <c r="B76" s="1" t="s">
        <v>67</v>
      </c>
      <c r="C76" s="1" t="s">
        <v>23</v>
      </c>
      <c r="D76" s="57" t="s">
        <v>68</v>
      </c>
      <c r="E76" s="21" t="s">
        <v>25</v>
      </c>
      <c r="F76" s="21" t="s">
        <v>26</v>
      </c>
      <c r="G76" s="21" t="s">
        <v>27</v>
      </c>
      <c r="H76" s="21" t="s">
        <v>28</v>
      </c>
      <c r="I76" s="22">
        <v>0</v>
      </c>
      <c r="J76" s="22">
        <f>'[1]2024년 계획_변경적용'!L45</f>
        <v>0</v>
      </c>
      <c r="K76" s="22">
        <v>0</v>
      </c>
      <c r="L76" s="23" t="e">
        <f t="shared" ref="L76:L83" si="27">+I76/J76</f>
        <v>#DIV/0!</v>
      </c>
      <c r="M76" s="22">
        <v>0</v>
      </c>
      <c r="N76" s="58">
        <f>K76-M76</f>
        <v>0</v>
      </c>
    </row>
    <row r="77" spans="1:17" ht="14.4" hidden="1" outlineLevel="1" thickBot="1" x14ac:dyDescent="0.45">
      <c r="A77" s="1" t="s">
        <v>21</v>
      </c>
      <c r="B77" s="1" t="s">
        <v>67</v>
      </c>
      <c r="C77" s="1" t="s">
        <v>29</v>
      </c>
      <c r="D77" s="19" t="str">
        <f t="shared" ref="D77:D85" si="28">D76</f>
        <v>7월</v>
      </c>
      <c r="E77" s="21" t="s">
        <v>25</v>
      </c>
      <c r="F77" s="21" t="s">
        <v>26</v>
      </c>
      <c r="G77" s="21" t="s">
        <v>27</v>
      </c>
      <c r="H77" s="21" t="s">
        <v>30</v>
      </c>
      <c r="I77" s="22">
        <v>0</v>
      </c>
      <c r="J77" s="22">
        <f>'[1]2024년 계획_변경적용'!L44</f>
        <v>0</v>
      </c>
      <c r="K77" s="22">
        <v>0</v>
      </c>
      <c r="L77" s="23"/>
      <c r="M77" s="22">
        <v>0</v>
      </c>
      <c r="N77" s="58">
        <f t="shared" ref="N77:N85" si="29">K77-M77</f>
        <v>0</v>
      </c>
    </row>
    <row r="78" spans="1:17" ht="14.4" hidden="1" outlineLevel="1" thickBot="1" x14ac:dyDescent="0.45">
      <c r="A78" s="1" t="s">
        <v>21</v>
      </c>
      <c r="B78" s="1" t="s">
        <v>67</v>
      </c>
      <c r="C78" s="1" t="s">
        <v>31</v>
      </c>
      <c r="D78" s="19" t="str">
        <f t="shared" si="28"/>
        <v>7월</v>
      </c>
      <c r="E78" s="20" t="s">
        <v>25</v>
      </c>
      <c r="F78" s="21" t="s">
        <v>26</v>
      </c>
      <c r="G78" s="21" t="s">
        <v>27</v>
      </c>
      <c r="H78" s="21" t="s">
        <v>32</v>
      </c>
      <c r="I78" s="22"/>
      <c r="J78" s="22">
        <f>'[1]2024년 계획_변경적용'!L48</f>
        <v>46760000</v>
      </c>
      <c r="K78" s="22"/>
      <c r="L78" s="23"/>
      <c r="M78" s="22"/>
      <c r="N78" s="58">
        <f t="shared" si="29"/>
        <v>0</v>
      </c>
    </row>
    <row r="79" spans="1:17" ht="14.4" hidden="1" outlineLevel="1" thickBot="1" x14ac:dyDescent="0.45">
      <c r="A79" s="1" t="s">
        <v>21</v>
      </c>
      <c r="B79" s="1" t="s">
        <v>67</v>
      </c>
      <c r="C79" s="1" t="s">
        <v>33</v>
      </c>
      <c r="D79" s="19" t="str">
        <f t="shared" si="28"/>
        <v>7월</v>
      </c>
      <c r="E79" s="21" t="s">
        <v>25</v>
      </c>
      <c r="F79" s="21" t="s">
        <v>26</v>
      </c>
      <c r="G79" s="21" t="s">
        <v>27</v>
      </c>
      <c r="H79" s="21" t="s">
        <v>34</v>
      </c>
      <c r="I79" s="22">
        <v>353775280</v>
      </c>
      <c r="J79" s="22">
        <f>'[1]2024년 계획_변경적용'!L46</f>
        <v>959310827.9942342</v>
      </c>
      <c r="K79" s="22">
        <v>353775280</v>
      </c>
      <c r="L79" s="23">
        <f t="shared" si="27"/>
        <v>0.36878065969471818</v>
      </c>
      <c r="M79" s="22">
        <v>353775280</v>
      </c>
      <c r="N79" s="58">
        <f t="shared" si="29"/>
        <v>0</v>
      </c>
      <c r="O79" s="61"/>
      <c r="Q79" s="3"/>
    </row>
    <row r="80" spans="1:17" ht="14.4" hidden="1" outlineLevel="1" thickBot="1" x14ac:dyDescent="0.45">
      <c r="A80" s="1" t="s">
        <v>21</v>
      </c>
      <c r="B80" s="1" t="s">
        <v>67</v>
      </c>
      <c r="C80" s="1" t="s">
        <v>35</v>
      </c>
      <c r="D80" s="19" t="str">
        <f t="shared" si="28"/>
        <v>7월</v>
      </c>
      <c r="E80" s="21" t="s">
        <v>25</v>
      </c>
      <c r="F80" s="21" t="s">
        <v>26</v>
      </c>
      <c r="G80" s="21" t="s">
        <v>27</v>
      </c>
      <c r="H80" s="21" t="s">
        <v>36</v>
      </c>
      <c r="I80" s="62">
        <v>9941539250</v>
      </c>
      <c r="J80" s="22">
        <f>'[1]2024년 계획_변경적용'!L47</f>
        <v>6395629100</v>
      </c>
      <c r="K80" s="62">
        <v>9941539250</v>
      </c>
      <c r="L80" s="23">
        <f t="shared" si="27"/>
        <v>1.5544271086639467</v>
      </c>
      <c r="M80" s="62">
        <v>9941539250</v>
      </c>
      <c r="N80" s="58">
        <f t="shared" si="29"/>
        <v>0</v>
      </c>
      <c r="O80" s="61"/>
      <c r="Q80" s="3"/>
    </row>
    <row r="81" spans="1:17" ht="17.25" hidden="1" customHeight="1" outlineLevel="1" x14ac:dyDescent="0.45">
      <c r="A81" s="1" t="s">
        <v>21</v>
      </c>
      <c r="B81" s="1" t="s">
        <v>67</v>
      </c>
      <c r="C81" s="1" t="s">
        <v>37</v>
      </c>
      <c r="D81" s="19" t="str">
        <f t="shared" si="28"/>
        <v>7월</v>
      </c>
      <c r="E81" s="21" t="s">
        <v>25</v>
      </c>
      <c r="F81" s="21" t="s">
        <v>26</v>
      </c>
      <c r="G81" s="21" t="s">
        <v>27</v>
      </c>
      <c r="H81" s="21" t="s">
        <v>38</v>
      </c>
      <c r="I81" s="22">
        <v>0</v>
      </c>
      <c r="J81" s="22">
        <f>'[1]2024년 계획_변경적용'!L50</f>
        <v>0</v>
      </c>
      <c r="K81" s="22">
        <v>0</v>
      </c>
      <c r="L81" s="23"/>
      <c r="M81" s="22">
        <v>0</v>
      </c>
      <c r="N81" s="58">
        <f t="shared" si="29"/>
        <v>0</v>
      </c>
      <c r="Q81" s="3"/>
    </row>
    <row r="82" spans="1:17" ht="14.4" hidden="1" outlineLevel="1" thickBot="1" x14ac:dyDescent="0.45">
      <c r="A82" s="1" t="s">
        <v>21</v>
      </c>
      <c r="B82" s="1" t="s">
        <v>67</v>
      </c>
      <c r="C82" s="1" t="s">
        <v>39</v>
      </c>
      <c r="D82" s="19" t="str">
        <f t="shared" si="28"/>
        <v>7월</v>
      </c>
      <c r="E82" s="21" t="s">
        <v>25</v>
      </c>
      <c r="F82" s="21" t="s">
        <v>26</v>
      </c>
      <c r="G82" s="21" t="s">
        <v>27</v>
      </c>
      <c r="H82" s="21" t="s">
        <v>40</v>
      </c>
      <c r="I82" s="22">
        <v>0</v>
      </c>
      <c r="J82" s="22">
        <f>'[1]2024년 계획_변경적용'!L53</f>
        <v>306250000</v>
      </c>
      <c r="K82" s="22">
        <v>0</v>
      </c>
      <c r="L82" s="23">
        <f t="shared" si="27"/>
        <v>0</v>
      </c>
      <c r="M82" s="22">
        <v>0</v>
      </c>
      <c r="N82" s="58">
        <f t="shared" si="29"/>
        <v>0</v>
      </c>
      <c r="P82" s="3"/>
    </row>
    <row r="83" spans="1:17" ht="14.4" hidden="1" outlineLevel="1" thickBot="1" x14ac:dyDescent="0.45">
      <c r="A83" s="1" t="s">
        <v>21</v>
      </c>
      <c r="B83" s="1" t="s">
        <v>67</v>
      </c>
      <c r="C83" s="1" t="s">
        <v>44</v>
      </c>
      <c r="D83" s="19" t="str">
        <f t="shared" si="28"/>
        <v>7월</v>
      </c>
      <c r="E83" s="21" t="s">
        <v>25</v>
      </c>
      <c r="F83" s="21" t="s">
        <v>26</v>
      </c>
      <c r="G83" s="21" t="s">
        <v>27</v>
      </c>
      <c r="H83" s="21" t="s">
        <v>45</v>
      </c>
      <c r="I83" s="22">
        <v>39754430</v>
      </c>
      <c r="J83" s="22">
        <f>'[1]2024년 계획_변경적용'!L51</f>
        <v>0</v>
      </c>
      <c r="K83" s="22">
        <f>23669430+16085000</f>
        <v>39754430</v>
      </c>
      <c r="L83" s="23" t="e">
        <f t="shared" si="27"/>
        <v>#DIV/0!</v>
      </c>
      <c r="M83" s="22">
        <v>39754430</v>
      </c>
      <c r="N83" s="58">
        <f t="shared" si="29"/>
        <v>0</v>
      </c>
    </row>
    <row r="84" spans="1:17" ht="14.4" hidden="1" outlineLevel="1" thickBot="1" x14ac:dyDescent="0.45">
      <c r="A84" s="1" t="s">
        <v>21</v>
      </c>
      <c r="B84" s="1" t="s">
        <v>67</v>
      </c>
      <c r="C84" s="1" t="s">
        <v>46</v>
      </c>
      <c r="D84" s="19" t="str">
        <f t="shared" si="28"/>
        <v>7월</v>
      </c>
      <c r="E84" s="21" t="s">
        <v>25</v>
      </c>
      <c r="F84" s="21" t="s">
        <v>26</v>
      </c>
      <c r="G84" s="21" t="s">
        <v>27</v>
      </c>
      <c r="H84" s="21" t="s">
        <v>47</v>
      </c>
      <c r="I84" s="22">
        <v>514454167</v>
      </c>
      <c r="J84" s="22">
        <f>'[1]2024년 계획_변경적용'!L52</f>
        <v>0</v>
      </c>
      <c r="K84" s="22">
        <v>514454167</v>
      </c>
      <c r="L84" s="23"/>
      <c r="M84" s="22">
        <v>514454167</v>
      </c>
      <c r="N84" s="58">
        <f t="shared" si="29"/>
        <v>0</v>
      </c>
      <c r="O84" s="63"/>
      <c r="Q84" s="18"/>
    </row>
    <row r="85" spans="1:17" ht="14.4" hidden="1" outlineLevel="1" thickBot="1" x14ac:dyDescent="0.45">
      <c r="A85" s="1" t="s">
        <v>21</v>
      </c>
      <c r="B85" s="1" t="s">
        <v>67</v>
      </c>
      <c r="C85" s="1" t="s">
        <v>48</v>
      </c>
      <c r="D85" s="50" t="str">
        <f t="shared" si="28"/>
        <v>7월</v>
      </c>
      <c r="E85" s="36" t="s">
        <v>25</v>
      </c>
      <c r="F85" s="36" t="s">
        <v>26</v>
      </c>
      <c r="G85" s="36" t="s">
        <v>27</v>
      </c>
      <c r="H85" s="36" t="s">
        <v>49</v>
      </c>
      <c r="I85" s="37">
        <v>61027000</v>
      </c>
      <c r="J85" s="37">
        <v>0</v>
      </c>
      <c r="K85" s="37">
        <v>61027000</v>
      </c>
      <c r="L85" s="38" t="e">
        <f t="shared" ref="L85" si="30">+K85/J85</f>
        <v>#DIV/0!</v>
      </c>
      <c r="M85" s="37">
        <v>61027000</v>
      </c>
      <c r="N85" s="60">
        <f t="shared" si="29"/>
        <v>0</v>
      </c>
      <c r="O85" s="63"/>
    </row>
    <row r="86" spans="1:17" ht="14.4" hidden="1" outlineLevel="1" thickBot="1" x14ac:dyDescent="0.45">
      <c r="D86" s="40"/>
      <c r="E86" s="163" t="s">
        <v>69</v>
      </c>
      <c r="F86" s="163"/>
      <c r="G86" s="163"/>
      <c r="H86" s="164"/>
      <c r="I86" s="41">
        <f>SUM(I76:I85)</f>
        <v>10910550127</v>
      </c>
      <c r="J86" s="41">
        <f>SUM(J76:J85)</f>
        <v>7707949927.9942341</v>
      </c>
      <c r="K86" s="41">
        <f>SUM(K76:K85)</f>
        <v>10910550127</v>
      </c>
      <c r="L86" s="42">
        <f>I86/J86</f>
        <v>1.4154931244914233</v>
      </c>
      <c r="M86" s="43">
        <f>SUM(M76:M85)</f>
        <v>10910550127</v>
      </c>
      <c r="N86" s="44">
        <f>SUM(N76:N85)</f>
        <v>0</v>
      </c>
    </row>
    <row r="87" spans="1:17" ht="14.4" hidden="1" outlineLevel="1" thickBot="1" x14ac:dyDescent="0.45">
      <c r="D87" s="160" t="s">
        <v>70</v>
      </c>
      <c r="E87" s="161"/>
      <c r="F87" s="161"/>
      <c r="G87" s="161"/>
      <c r="H87" s="162"/>
      <c r="I87" s="53">
        <f>I75+I86</f>
        <v>65501994873</v>
      </c>
      <c r="J87" s="53">
        <f>J86+J75</f>
        <v>51985478617.596497</v>
      </c>
      <c r="K87" s="53">
        <f>K86+K75</f>
        <v>65501994873</v>
      </c>
      <c r="L87" s="54">
        <f>I87/J87</f>
        <v>1.2600056133912041</v>
      </c>
      <c r="M87" s="64">
        <f>M75+M86</f>
        <v>65055429718.000595</v>
      </c>
      <c r="N87" s="65"/>
      <c r="O87" s="66"/>
      <c r="P87" s="18"/>
    </row>
    <row r="88" spans="1:17" ht="14.4" hidden="1" outlineLevel="1" thickBot="1" x14ac:dyDescent="0.45">
      <c r="A88" s="1" t="s">
        <v>21</v>
      </c>
      <c r="B88" s="1" t="s">
        <v>67</v>
      </c>
      <c r="C88" s="1" t="s">
        <v>23</v>
      </c>
      <c r="D88" s="57" t="s">
        <v>71</v>
      </c>
      <c r="E88" s="21" t="s">
        <v>25</v>
      </c>
      <c r="F88" s="21" t="s">
        <v>26</v>
      </c>
      <c r="G88" s="21" t="s">
        <v>27</v>
      </c>
      <c r="H88" s="21" t="s">
        <v>28</v>
      </c>
      <c r="I88" s="22">
        <v>0</v>
      </c>
      <c r="J88" s="22">
        <f>'[1]2024년 계획_변경적용'!M45</f>
        <v>0</v>
      </c>
      <c r="K88" s="22">
        <v>0</v>
      </c>
      <c r="L88" s="23" t="e">
        <f t="shared" ref="L88:L95" si="31">+I88/J88</f>
        <v>#DIV/0!</v>
      </c>
      <c r="M88" s="22">
        <v>0</v>
      </c>
      <c r="N88" s="58">
        <f>K88-M88</f>
        <v>0</v>
      </c>
    </row>
    <row r="89" spans="1:17" ht="14.4" hidden="1" outlineLevel="1" thickBot="1" x14ac:dyDescent="0.45">
      <c r="A89" s="1" t="s">
        <v>21</v>
      </c>
      <c r="B89" s="1" t="s">
        <v>67</v>
      </c>
      <c r="C89" s="1" t="s">
        <v>29</v>
      </c>
      <c r="D89" s="19" t="str">
        <f t="shared" ref="D89:D97" si="32">D88</f>
        <v>8월</v>
      </c>
      <c r="E89" s="21" t="s">
        <v>25</v>
      </c>
      <c r="F89" s="21" t="s">
        <v>26</v>
      </c>
      <c r="G89" s="21" t="s">
        <v>27</v>
      </c>
      <c r="H89" s="21" t="s">
        <v>30</v>
      </c>
      <c r="I89" s="22">
        <v>0</v>
      </c>
      <c r="J89" s="22">
        <f>'[1]2024년 계획_변경적용'!M44</f>
        <v>0</v>
      </c>
      <c r="K89" s="22">
        <v>0</v>
      </c>
      <c r="L89" s="23"/>
      <c r="M89" s="22">
        <v>0</v>
      </c>
      <c r="N89" s="58">
        <f t="shared" ref="N89:N97" si="33">K89-M89</f>
        <v>0</v>
      </c>
      <c r="O89" s="63"/>
    </row>
    <row r="90" spans="1:17" ht="14.4" hidden="1" outlineLevel="1" thickBot="1" x14ac:dyDescent="0.45">
      <c r="A90" s="1" t="s">
        <v>21</v>
      </c>
      <c r="B90" s="1" t="s">
        <v>67</v>
      </c>
      <c r="C90" s="1" t="s">
        <v>31</v>
      </c>
      <c r="D90" s="19" t="str">
        <f t="shared" si="32"/>
        <v>8월</v>
      </c>
      <c r="E90" s="20" t="s">
        <v>25</v>
      </c>
      <c r="F90" s="21" t="s">
        <v>26</v>
      </c>
      <c r="G90" s="21" t="s">
        <v>27</v>
      </c>
      <c r="H90" s="21" t="s">
        <v>32</v>
      </c>
      <c r="I90" s="22">
        <v>1058000169</v>
      </c>
      <c r="J90" s="22">
        <f>'[1]2024년 계획_변경적용'!M48</f>
        <v>322280000</v>
      </c>
      <c r="K90" s="22">
        <v>1058000169</v>
      </c>
      <c r="L90" s="23"/>
      <c r="M90" s="22">
        <v>1058000169</v>
      </c>
      <c r="N90" s="58">
        <f t="shared" si="33"/>
        <v>0</v>
      </c>
      <c r="O90" s="61"/>
      <c r="P90" s="3"/>
      <c r="Q90" s="3"/>
    </row>
    <row r="91" spans="1:17" ht="14.4" hidden="1" outlineLevel="1" thickBot="1" x14ac:dyDescent="0.45">
      <c r="A91" s="1" t="s">
        <v>21</v>
      </c>
      <c r="B91" s="1" t="s">
        <v>67</v>
      </c>
      <c r="C91" s="1" t="s">
        <v>33</v>
      </c>
      <c r="D91" s="19" t="str">
        <f t="shared" si="32"/>
        <v>8월</v>
      </c>
      <c r="E91" s="21" t="s">
        <v>25</v>
      </c>
      <c r="F91" s="21" t="s">
        <v>26</v>
      </c>
      <c r="G91" s="21" t="s">
        <v>27</v>
      </c>
      <c r="H91" s="21" t="s">
        <v>34</v>
      </c>
      <c r="I91" s="22">
        <v>0</v>
      </c>
      <c r="J91" s="22">
        <f>'[1]2024년 계획_변경적용'!M46</f>
        <v>960406827.9942342</v>
      </c>
      <c r="K91" s="22">
        <v>0</v>
      </c>
      <c r="L91" s="23">
        <f t="shared" si="31"/>
        <v>0</v>
      </c>
      <c r="M91" s="22">
        <v>0</v>
      </c>
      <c r="N91" s="58">
        <f t="shared" si="33"/>
        <v>0</v>
      </c>
      <c r="O91" s="67"/>
      <c r="P91" s="68" t="s">
        <v>20</v>
      </c>
    </row>
    <row r="92" spans="1:17" ht="14.4" hidden="1" outlineLevel="1" thickBot="1" x14ac:dyDescent="0.45">
      <c r="A92" s="1" t="s">
        <v>21</v>
      </c>
      <c r="B92" s="1" t="s">
        <v>67</v>
      </c>
      <c r="C92" s="1" t="s">
        <v>35</v>
      </c>
      <c r="D92" s="19" t="str">
        <f t="shared" si="32"/>
        <v>8월</v>
      </c>
      <c r="E92" s="21" t="s">
        <v>25</v>
      </c>
      <c r="F92" s="21" t="s">
        <v>26</v>
      </c>
      <c r="G92" s="21" t="s">
        <v>27</v>
      </c>
      <c r="H92" s="21" t="s">
        <v>36</v>
      </c>
      <c r="I92" s="22">
        <v>13647383900</v>
      </c>
      <c r="J92" s="22">
        <f>'[1]2024년 계획_변경적용'!M47</f>
        <v>8000557900</v>
      </c>
      <c r="K92" s="22">
        <v>13647383900</v>
      </c>
      <c r="L92" s="23">
        <f t="shared" si="31"/>
        <v>1.7058040289915282</v>
      </c>
      <c r="M92" s="22">
        <v>13647383900</v>
      </c>
      <c r="N92" s="58">
        <f t="shared" si="33"/>
        <v>0</v>
      </c>
      <c r="O92" s="69"/>
      <c r="P92" s="70">
        <f>+O92-K92</f>
        <v>-13647383900</v>
      </c>
    </row>
    <row r="93" spans="1:17" ht="14.4" hidden="1" outlineLevel="1" thickBot="1" x14ac:dyDescent="0.45">
      <c r="A93" s="1" t="s">
        <v>21</v>
      </c>
      <c r="B93" s="1" t="s">
        <v>67</v>
      </c>
      <c r="C93" s="1" t="s">
        <v>37</v>
      </c>
      <c r="D93" s="19" t="str">
        <f t="shared" si="32"/>
        <v>8월</v>
      </c>
      <c r="E93" s="21" t="s">
        <v>25</v>
      </c>
      <c r="F93" s="21" t="s">
        <v>26</v>
      </c>
      <c r="G93" s="21" t="s">
        <v>27</v>
      </c>
      <c r="H93" s="21" t="s">
        <v>38</v>
      </c>
      <c r="I93" s="22">
        <v>0</v>
      </c>
      <c r="J93" s="22">
        <f>'[1]2024년 계획_변경적용'!M50</f>
        <v>0</v>
      </c>
      <c r="K93" s="22">
        <v>0</v>
      </c>
      <c r="L93" s="23" t="e">
        <f t="shared" si="31"/>
        <v>#DIV/0!</v>
      </c>
      <c r="M93" s="22">
        <v>0</v>
      </c>
      <c r="N93" s="58">
        <f t="shared" si="33"/>
        <v>0</v>
      </c>
      <c r="O93" s="71"/>
    </row>
    <row r="94" spans="1:17" ht="14.4" hidden="1" outlineLevel="1" thickBot="1" x14ac:dyDescent="0.45">
      <c r="A94" s="1" t="s">
        <v>21</v>
      </c>
      <c r="B94" s="1" t="s">
        <v>67</v>
      </c>
      <c r="C94" s="1" t="s">
        <v>39</v>
      </c>
      <c r="D94" s="19" t="str">
        <f t="shared" si="32"/>
        <v>8월</v>
      </c>
      <c r="E94" s="21" t="s">
        <v>25</v>
      </c>
      <c r="F94" s="21" t="s">
        <v>26</v>
      </c>
      <c r="G94" s="21" t="s">
        <v>27</v>
      </c>
      <c r="H94" s="21" t="s">
        <v>40</v>
      </c>
      <c r="I94" s="22">
        <v>143875000</v>
      </c>
      <c r="J94" s="22">
        <f>'[1]2024년 계획_변경적용'!M53</f>
        <v>0</v>
      </c>
      <c r="K94" s="22">
        <v>143875000</v>
      </c>
      <c r="L94" s="23" t="e">
        <f t="shared" si="31"/>
        <v>#DIV/0!</v>
      </c>
      <c r="M94" s="22">
        <v>143875000</v>
      </c>
      <c r="N94" s="58">
        <f t="shared" si="33"/>
        <v>0</v>
      </c>
      <c r="O94" s="63"/>
      <c r="P94" s="1" t="s">
        <v>72</v>
      </c>
    </row>
    <row r="95" spans="1:17" ht="14.4" hidden="1" outlineLevel="1" thickBot="1" x14ac:dyDescent="0.45">
      <c r="A95" s="1" t="s">
        <v>21</v>
      </c>
      <c r="B95" s="1" t="s">
        <v>67</v>
      </c>
      <c r="C95" s="1" t="s">
        <v>44</v>
      </c>
      <c r="D95" s="19" t="str">
        <f t="shared" si="32"/>
        <v>8월</v>
      </c>
      <c r="E95" s="21" t="s">
        <v>25</v>
      </c>
      <c r="F95" s="21" t="s">
        <v>26</v>
      </c>
      <c r="G95" s="21" t="s">
        <v>27</v>
      </c>
      <c r="H95" s="21" t="s">
        <v>45</v>
      </c>
      <c r="I95" s="22">
        <v>186269430</v>
      </c>
      <c r="J95" s="22">
        <f>'[1]2024년 계획_변경적용'!M51</f>
        <v>0</v>
      </c>
      <c r="K95" s="22">
        <v>186269430</v>
      </c>
      <c r="L95" s="23" t="e">
        <f t="shared" si="31"/>
        <v>#DIV/0!</v>
      </c>
      <c r="M95" s="22">
        <v>186269430</v>
      </c>
      <c r="N95" s="58">
        <f t="shared" si="33"/>
        <v>0</v>
      </c>
      <c r="O95" s="63"/>
      <c r="P95" s="1" t="s">
        <v>73</v>
      </c>
    </row>
    <row r="96" spans="1:17" ht="14.4" hidden="1" outlineLevel="1" thickBot="1" x14ac:dyDescent="0.45">
      <c r="A96" s="1" t="s">
        <v>21</v>
      </c>
      <c r="B96" s="1" t="s">
        <v>67</v>
      </c>
      <c r="C96" s="1" t="s">
        <v>46</v>
      </c>
      <c r="D96" s="19" t="str">
        <f t="shared" si="32"/>
        <v>8월</v>
      </c>
      <c r="E96" s="32" t="s">
        <v>25</v>
      </c>
      <c r="F96" s="32" t="s">
        <v>26</v>
      </c>
      <c r="G96" s="32" t="s">
        <v>27</v>
      </c>
      <c r="H96" s="32" t="s">
        <v>47</v>
      </c>
      <c r="I96" s="33">
        <v>333479167</v>
      </c>
      <c r="J96" s="33">
        <f>'[1]2024년 계획_변경적용'!M52</f>
        <v>0</v>
      </c>
      <c r="K96" s="33">
        <v>333479167</v>
      </c>
      <c r="L96" s="34"/>
      <c r="M96" s="33">
        <v>333479167</v>
      </c>
      <c r="N96" s="72">
        <f t="shared" si="33"/>
        <v>0</v>
      </c>
      <c r="O96" s="63"/>
    </row>
    <row r="97" spans="1:16" ht="14.4" hidden="1" outlineLevel="1" thickBot="1" x14ac:dyDescent="0.45">
      <c r="A97" s="1" t="s">
        <v>21</v>
      </c>
      <c r="B97" s="1" t="s">
        <v>67</v>
      </c>
      <c r="C97" s="1" t="s">
        <v>48</v>
      </c>
      <c r="D97" s="50" t="str">
        <f t="shared" si="32"/>
        <v>8월</v>
      </c>
      <c r="E97" s="36" t="s">
        <v>25</v>
      </c>
      <c r="F97" s="36" t="s">
        <v>26</v>
      </c>
      <c r="G97" s="36" t="s">
        <v>27</v>
      </c>
      <c r="H97" s="36" t="s">
        <v>49</v>
      </c>
      <c r="I97" s="37">
        <v>31683200</v>
      </c>
      <c r="J97" s="37">
        <v>0</v>
      </c>
      <c r="K97" s="37">
        <v>31683200</v>
      </c>
      <c r="L97" s="38" t="e">
        <f t="shared" ref="L97" si="34">+K97/J97</f>
        <v>#DIV/0!</v>
      </c>
      <c r="M97" s="37">
        <v>31683200</v>
      </c>
      <c r="N97" s="60">
        <f t="shared" si="33"/>
        <v>0</v>
      </c>
      <c r="O97" s="63"/>
    </row>
    <row r="98" spans="1:16" ht="14.4" hidden="1" outlineLevel="1" thickBot="1" x14ac:dyDescent="0.45">
      <c r="D98" s="144" t="s">
        <v>74</v>
      </c>
      <c r="E98" s="145"/>
      <c r="F98" s="145"/>
      <c r="G98" s="145"/>
      <c r="H98" s="146"/>
      <c r="I98" s="41">
        <f>SUM(I88:I97)</f>
        <v>15400690866</v>
      </c>
      <c r="J98" s="41">
        <f>SUM(J88:J97)</f>
        <v>9283244727.9942341</v>
      </c>
      <c r="K98" s="41">
        <f>SUM(K88:K97)</f>
        <v>15400690866</v>
      </c>
      <c r="L98" s="42">
        <f>I98/J98</f>
        <v>1.6589771483195099</v>
      </c>
      <c r="M98" s="43">
        <f>SUM(M88:M97)</f>
        <v>15400690866</v>
      </c>
      <c r="N98" s="44">
        <f>SUM(N88:N97)</f>
        <v>0</v>
      </c>
      <c r="O98" s="63"/>
    </row>
    <row r="99" spans="1:16" ht="14.4" hidden="1" outlineLevel="1" thickBot="1" x14ac:dyDescent="0.45">
      <c r="D99" s="147" t="s">
        <v>75</v>
      </c>
      <c r="E99" s="148"/>
      <c r="F99" s="148"/>
      <c r="G99" s="148"/>
      <c r="H99" s="149"/>
      <c r="I99" s="73">
        <f>I87+I98</f>
        <v>80902685739</v>
      </c>
      <c r="J99" s="73">
        <f>J98+J87</f>
        <v>61268723345.590729</v>
      </c>
      <c r="K99" s="73">
        <f>K98+K87</f>
        <v>80902685739</v>
      </c>
      <c r="L99" s="54">
        <f>I99/J99</f>
        <v>1.3204565285727021</v>
      </c>
      <c r="M99" s="64">
        <f>M98+M87</f>
        <v>80456120584.000595</v>
      </c>
      <c r="N99" s="74">
        <f>K99-M99</f>
        <v>446565154.99940491</v>
      </c>
      <c r="O99" s="75"/>
    </row>
    <row r="100" spans="1:16" ht="14.4" hidden="1" outlineLevel="1" thickBot="1" x14ac:dyDescent="0.45">
      <c r="A100" s="1" t="s">
        <v>21</v>
      </c>
      <c r="B100" s="1" t="s">
        <v>67</v>
      </c>
      <c r="C100" s="1" t="s">
        <v>23</v>
      </c>
      <c r="D100" s="57" t="s">
        <v>76</v>
      </c>
      <c r="E100" s="21" t="s">
        <v>25</v>
      </c>
      <c r="F100" s="21" t="s">
        <v>26</v>
      </c>
      <c r="G100" s="21" t="s">
        <v>27</v>
      </c>
      <c r="H100" s="21" t="s">
        <v>28</v>
      </c>
      <c r="I100" s="22">
        <v>603655560</v>
      </c>
      <c r="J100" s="76">
        <f>'[1]2024년 계획_변경적용'!N45</f>
        <v>0</v>
      </c>
      <c r="K100" s="22">
        <v>603655560</v>
      </c>
      <c r="L100" s="77" t="e">
        <f t="shared" ref="L100:L107" si="35">+I100/J100</f>
        <v>#DIV/0!</v>
      </c>
      <c r="M100" s="78">
        <v>603655560</v>
      </c>
      <c r="N100" s="79">
        <f>K100-M100</f>
        <v>0</v>
      </c>
      <c r="O100" s="80">
        <f t="shared" ref="O100:O107" si="36">I100-K100</f>
        <v>0</v>
      </c>
    </row>
    <row r="101" spans="1:16" ht="14.4" hidden="1" outlineLevel="1" thickBot="1" x14ac:dyDescent="0.45">
      <c r="A101" s="1" t="s">
        <v>21</v>
      </c>
      <c r="B101" s="1" t="s">
        <v>67</v>
      </c>
      <c r="C101" s="1" t="s">
        <v>29</v>
      </c>
      <c r="D101" s="19" t="str">
        <f t="shared" ref="D101:D109" si="37">D100</f>
        <v>9월</v>
      </c>
      <c r="E101" s="21" t="s">
        <v>25</v>
      </c>
      <c r="F101" s="21" t="s">
        <v>26</v>
      </c>
      <c r="G101" s="21" t="s">
        <v>27</v>
      </c>
      <c r="H101" s="21" t="s">
        <v>30</v>
      </c>
      <c r="I101" s="22"/>
      <c r="J101" s="76">
        <f>'[1]2024년 계획_변경적용'!N44</f>
        <v>0</v>
      </c>
      <c r="K101" s="22">
        <v>0</v>
      </c>
      <c r="L101" s="77"/>
      <c r="M101" s="48">
        <v>0</v>
      </c>
      <c r="N101" s="58">
        <f t="shared" ref="N101:N109" si="38">K101-M101</f>
        <v>0</v>
      </c>
      <c r="O101" s="80">
        <f t="shared" si="36"/>
        <v>0</v>
      </c>
    </row>
    <row r="102" spans="1:16" ht="14.4" hidden="1" outlineLevel="1" thickBot="1" x14ac:dyDescent="0.45">
      <c r="A102" s="1" t="s">
        <v>21</v>
      </c>
      <c r="B102" s="1" t="s">
        <v>67</v>
      </c>
      <c r="C102" s="1" t="s">
        <v>31</v>
      </c>
      <c r="D102" s="19" t="str">
        <f t="shared" si="37"/>
        <v>9월</v>
      </c>
      <c r="E102" s="20" t="s">
        <v>25</v>
      </c>
      <c r="F102" s="21" t="s">
        <v>26</v>
      </c>
      <c r="G102" s="21" t="s">
        <v>27</v>
      </c>
      <c r="H102" s="21" t="s">
        <v>32</v>
      </c>
      <c r="I102" s="22">
        <v>1265402524</v>
      </c>
      <c r="J102" s="22">
        <f>'[1]2024년 계획_변경적용'!N48</f>
        <v>1579200000</v>
      </c>
      <c r="K102" s="22">
        <v>1265402524</v>
      </c>
      <c r="L102" s="23"/>
      <c r="M102" s="48">
        <v>1265402524</v>
      </c>
      <c r="N102" s="58">
        <f t="shared" si="38"/>
        <v>0</v>
      </c>
      <c r="O102" s="80">
        <f t="shared" si="36"/>
        <v>0</v>
      </c>
    </row>
    <row r="103" spans="1:16" ht="14.4" hidden="1" outlineLevel="1" thickBot="1" x14ac:dyDescent="0.45">
      <c r="A103" s="1" t="s">
        <v>21</v>
      </c>
      <c r="B103" s="1" t="s">
        <v>67</v>
      </c>
      <c r="C103" s="1" t="s">
        <v>33</v>
      </c>
      <c r="D103" s="19" t="str">
        <f t="shared" si="37"/>
        <v>9월</v>
      </c>
      <c r="E103" s="21" t="s">
        <v>25</v>
      </c>
      <c r="F103" s="21" t="s">
        <v>26</v>
      </c>
      <c r="G103" s="21" t="s">
        <v>27</v>
      </c>
      <c r="H103" s="21" t="s">
        <v>34</v>
      </c>
      <c r="I103" s="22">
        <v>363059300</v>
      </c>
      <c r="J103" s="76">
        <f>'[1]2024년 계획_변경적용'!N46</f>
        <v>958214827.99423397</v>
      </c>
      <c r="K103" s="22">
        <v>363059300</v>
      </c>
      <c r="L103" s="77">
        <f t="shared" si="35"/>
        <v>0.37889133980525785</v>
      </c>
      <c r="M103" s="48">
        <v>363059300</v>
      </c>
      <c r="N103" s="58">
        <f t="shared" si="38"/>
        <v>0</v>
      </c>
      <c r="O103" s="80">
        <f t="shared" si="36"/>
        <v>0</v>
      </c>
    </row>
    <row r="104" spans="1:16" ht="14.4" hidden="1" outlineLevel="1" thickBot="1" x14ac:dyDescent="0.45">
      <c r="A104" s="1" t="s">
        <v>21</v>
      </c>
      <c r="B104" s="1" t="s">
        <v>67</v>
      </c>
      <c r="C104" s="1" t="s">
        <v>35</v>
      </c>
      <c r="D104" s="19" t="str">
        <f t="shared" si="37"/>
        <v>9월</v>
      </c>
      <c r="E104" s="21" t="s">
        <v>25</v>
      </c>
      <c r="F104" s="21" t="s">
        <v>26</v>
      </c>
      <c r="G104" s="21" t="s">
        <v>27</v>
      </c>
      <c r="H104" s="21" t="s">
        <v>36</v>
      </c>
      <c r="I104" s="81">
        <v>11205080550</v>
      </c>
      <c r="J104" s="76">
        <f>'[1]2024년 계획_변경적용'!N47</f>
        <v>9421993233</v>
      </c>
      <c r="K104" s="81">
        <v>11205080550</v>
      </c>
      <c r="L104" s="77">
        <f t="shared" si="35"/>
        <v>1.1892473569981814</v>
      </c>
      <c r="M104" s="82">
        <v>11205080550</v>
      </c>
      <c r="N104" s="58">
        <f t="shared" si="38"/>
        <v>0</v>
      </c>
      <c r="O104" s="80">
        <f t="shared" si="36"/>
        <v>0</v>
      </c>
    </row>
    <row r="105" spans="1:16" ht="14.4" hidden="1" outlineLevel="1" thickBot="1" x14ac:dyDescent="0.45">
      <c r="A105" s="1" t="s">
        <v>21</v>
      </c>
      <c r="B105" s="1" t="s">
        <v>67</v>
      </c>
      <c r="C105" s="1" t="s">
        <v>37</v>
      </c>
      <c r="D105" s="19" t="str">
        <f t="shared" si="37"/>
        <v>9월</v>
      </c>
      <c r="E105" s="21" t="s">
        <v>25</v>
      </c>
      <c r="F105" s="21" t="s">
        <v>26</v>
      </c>
      <c r="G105" s="21" t="s">
        <v>27</v>
      </c>
      <c r="H105" s="21" t="s">
        <v>38</v>
      </c>
      <c r="I105" s="22">
        <v>30000000</v>
      </c>
      <c r="J105" s="76">
        <f>'[1]2024년 계획_변경적용'!N50</f>
        <v>0</v>
      </c>
      <c r="K105" s="22">
        <v>30000000</v>
      </c>
      <c r="L105" s="77" t="e">
        <f t="shared" si="35"/>
        <v>#DIV/0!</v>
      </c>
      <c r="M105" s="48">
        <v>30000000</v>
      </c>
      <c r="N105" s="58">
        <f t="shared" si="38"/>
        <v>0</v>
      </c>
      <c r="O105" s="80">
        <f t="shared" si="36"/>
        <v>0</v>
      </c>
    </row>
    <row r="106" spans="1:16" ht="14.4" hidden="1" outlineLevel="1" thickBot="1" x14ac:dyDescent="0.45">
      <c r="A106" s="1" t="s">
        <v>21</v>
      </c>
      <c r="B106" s="1" t="s">
        <v>67</v>
      </c>
      <c r="C106" s="1" t="s">
        <v>39</v>
      </c>
      <c r="D106" s="19" t="str">
        <f t="shared" si="37"/>
        <v>9월</v>
      </c>
      <c r="E106" s="21" t="s">
        <v>25</v>
      </c>
      <c r="F106" s="21" t="s">
        <v>26</v>
      </c>
      <c r="G106" s="21" t="s">
        <v>27</v>
      </c>
      <c r="H106" s="21" t="s">
        <v>40</v>
      </c>
      <c r="I106" s="22">
        <v>230000000</v>
      </c>
      <c r="J106" s="76">
        <f>'[1]2024년 계획_변경적용'!N53</f>
        <v>0</v>
      </c>
      <c r="K106" s="22">
        <v>230000000</v>
      </c>
      <c r="L106" s="77" t="e">
        <f t="shared" si="35"/>
        <v>#DIV/0!</v>
      </c>
      <c r="M106" s="48">
        <v>230000000</v>
      </c>
      <c r="N106" s="58">
        <f t="shared" si="38"/>
        <v>0</v>
      </c>
      <c r="O106" s="80">
        <f t="shared" si="36"/>
        <v>0</v>
      </c>
    </row>
    <row r="107" spans="1:16" ht="14.4" hidden="1" outlineLevel="1" thickBot="1" x14ac:dyDescent="0.45">
      <c r="A107" s="1" t="s">
        <v>21</v>
      </c>
      <c r="B107" s="1" t="s">
        <v>67</v>
      </c>
      <c r="C107" s="1" t="s">
        <v>44</v>
      </c>
      <c r="D107" s="19" t="str">
        <f t="shared" si="37"/>
        <v>9월</v>
      </c>
      <c r="E107" s="21" t="s">
        <v>25</v>
      </c>
      <c r="F107" s="21" t="s">
        <v>26</v>
      </c>
      <c r="G107" s="21" t="s">
        <v>27</v>
      </c>
      <c r="H107" s="21" t="s">
        <v>45</v>
      </c>
      <c r="I107" s="22">
        <v>670649430</v>
      </c>
      <c r="J107" s="76">
        <f>'[1]2024년 계획_변경적용'!N51</f>
        <v>0</v>
      </c>
      <c r="K107" s="22">
        <v>670649430</v>
      </c>
      <c r="L107" s="77" t="e">
        <f t="shared" si="35"/>
        <v>#DIV/0!</v>
      </c>
      <c r="M107" s="48">
        <v>670649430</v>
      </c>
      <c r="N107" s="58">
        <f t="shared" si="38"/>
        <v>0</v>
      </c>
      <c r="O107" s="80">
        <f t="shared" si="36"/>
        <v>0</v>
      </c>
    </row>
    <row r="108" spans="1:16" ht="14.4" hidden="1" outlineLevel="1" thickBot="1" x14ac:dyDescent="0.45">
      <c r="A108" s="1" t="s">
        <v>21</v>
      </c>
      <c r="B108" s="1" t="s">
        <v>67</v>
      </c>
      <c r="C108" s="1" t="s">
        <v>46</v>
      </c>
      <c r="D108" s="19" t="str">
        <f t="shared" si="37"/>
        <v>9월</v>
      </c>
      <c r="E108" s="32" t="s">
        <v>25</v>
      </c>
      <c r="F108" s="32" t="s">
        <v>26</v>
      </c>
      <c r="G108" s="32" t="s">
        <v>27</v>
      </c>
      <c r="H108" s="32" t="s">
        <v>47</v>
      </c>
      <c r="I108" s="33">
        <v>294129167</v>
      </c>
      <c r="J108" s="83">
        <f>'[1]2024년 계획_변경적용'!N52</f>
        <v>0</v>
      </c>
      <c r="K108" s="33">
        <v>294129167</v>
      </c>
      <c r="L108" s="84"/>
      <c r="M108" s="85">
        <v>294129167</v>
      </c>
      <c r="N108" s="72">
        <f t="shared" si="38"/>
        <v>0</v>
      </c>
      <c r="O108" s="80" t="s">
        <v>77</v>
      </c>
    </row>
    <row r="109" spans="1:16" ht="14.4" hidden="1" outlineLevel="1" thickBot="1" x14ac:dyDescent="0.45">
      <c r="A109" s="1" t="s">
        <v>21</v>
      </c>
      <c r="B109" s="1" t="s">
        <v>67</v>
      </c>
      <c r="C109" s="1" t="s">
        <v>48</v>
      </c>
      <c r="D109" s="50" t="str">
        <f t="shared" si="37"/>
        <v>9월</v>
      </c>
      <c r="E109" s="36" t="s">
        <v>25</v>
      </c>
      <c r="F109" s="36" t="s">
        <v>26</v>
      </c>
      <c r="G109" s="36" t="s">
        <v>27</v>
      </c>
      <c r="H109" s="36" t="s">
        <v>49</v>
      </c>
      <c r="I109" s="37">
        <v>58253000</v>
      </c>
      <c r="J109" s="37">
        <v>0</v>
      </c>
      <c r="K109" s="37">
        <v>58253000</v>
      </c>
      <c r="L109" s="38" t="e">
        <f t="shared" ref="L109" si="39">+K109/J109</f>
        <v>#DIV/0!</v>
      </c>
      <c r="M109" s="51">
        <v>58253000</v>
      </c>
      <c r="N109" s="60">
        <f t="shared" si="38"/>
        <v>0</v>
      </c>
      <c r="O109" s="80">
        <f>I109-K109</f>
        <v>0</v>
      </c>
      <c r="P109" s="18"/>
    </row>
    <row r="110" spans="1:16" ht="14.4" hidden="1" outlineLevel="1" thickBot="1" x14ac:dyDescent="0.45">
      <c r="D110" s="144" t="s">
        <v>78</v>
      </c>
      <c r="E110" s="145"/>
      <c r="F110" s="145"/>
      <c r="G110" s="145"/>
      <c r="H110" s="146"/>
      <c r="I110" s="41">
        <f>SUM(I100:I109)</f>
        <v>14720229531</v>
      </c>
      <c r="J110" s="41">
        <f>SUM(J100:J109)</f>
        <v>11959408060.994234</v>
      </c>
      <c r="K110" s="41">
        <f>SUM(K100:K109)</f>
        <v>14720229531</v>
      </c>
      <c r="L110" s="42">
        <f>I110/J110</f>
        <v>1.2308493410313694</v>
      </c>
      <c r="M110" s="43">
        <f>SUM(M100:M109)</f>
        <v>14720229531</v>
      </c>
      <c r="N110" s="44">
        <f>SUM(N100:N109)</f>
        <v>0</v>
      </c>
      <c r="O110" s="86"/>
    </row>
    <row r="111" spans="1:16" ht="14.4" collapsed="1" thickBot="1" x14ac:dyDescent="0.45">
      <c r="D111" s="160" t="s">
        <v>79</v>
      </c>
      <c r="E111" s="161"/>
      <c r="F111" s="161"/>
      <c r="G111" s="161"/>
      <c r="H111" s="162"/>
      <c r="I111" s="53">
        <f>I110+I98+I86</f>
        <v>41031470524</v>
      </c>
      <c r="J111" s="53">
        <f>J110+J98+J86</f>
        <v>28950602716.982704</v>
      </c>
      <c r="K111" s="53">
        <f>K110+K98+K86</f>
        <v>41031470524</v>
      </c>
      <c r="L111" s="54"/>
      <c r="M111" s="87">
        <f>M110+M98+M86</f>
        <v>41031470524</v>
      </c>
      <c r="N111" s="88">
        <f>K111-M111</f>
        <v>0</v>
      </c>
      <c r="O111" s="89"/>
    </row>
    <row r="112" spans="1:16" ht="14.4" hidden="1" outlineLevel="1" thickBot="1" x14ac:dyDescent="0.45">
      <c r="A112" s="1" t="s">
        <v>21</v>
      </c>
      <c r="B112" s="1" t="s">
        <v>80</v>
      </c>
      <c r="C112" s="1" t="s">
        <v>23</v>
      </c>
      <c r="D112" s="57" t="s">
        <v>81</v>
      </c>
      <c r="E112" s="21" t="s">
        <v>25</v>
      </c>
      <c r="F112" s="21" t="s">
        <v>26</v>
      </c>
      <c r="G112" s="21" t="s">
        <v>27</v>
      </c>
      <c r="H112" s="21" t="s">
        <v>28</v>
      </c>
      <c r="I112" s="22">
        <v>892967400</v>
      </c>
      <c r="J112" s="22">
        <f>'[1]2024년 계획_변경적용'!O45</f>
        <v>0</v>
      </c>
      <c r="K112" s="22">
        <v>892967400</v>
      </c>
      <c r="L112" s="23" t="e">
        <f t="shared" ref="L112:L120" si="40">+I112/J112</f>
        <v>#DIV/0!</v>
      </c>
      <c r="M112" s="22">
        <v>892967400</v>
      </c>
      <c r="N112" s="58">
        <f>K112-M112</f>
        <v>0</v>
      </c>
      <c r="O112" s="18"/>
    </row>
    <row r="113" spans="1:18" ht="14.4" hidden="1" outlineLevel="1" thickBot="1" x14ac:dyDescent="0.45">
      <c r="A113" s="1" t="s">
        <v>21</v>
      </c>
      <c r="B113" s="1" t="s">
        <v>80</v>
      </c>
      <c r="C113" s="1" t="s">
        <v>29</v>
      </c>
      <c r="D113" s="19" t="str">
        <f t="shared" ref="D113:D121" si="41">D112</f>
        <v>10월</v>
      </c>
      <c r="E113" s="21" t="s">
        <v>25</v>
      </c>
      <c r="F113" s="21" t="s">
        <v>26</v>
      </c>
      <c r="G113" s="21" t="s">
        <v>27</v>
      </c>
      <c r="H113" s="21" t="s">
        <v>30</v>
      </c>
      <c r="I113" s="22">
        <v>0</v>
      </c>
      <c r="J113" s="22">
        <f>'[1]2024년 계획_변경적용'!O44</f>
        <v>0</v>
      </c>
      <c r="K113" s="22">
        <v>0</v>
      </c>
      <c r="L113" s="23" t="e">
        <f t="shared" si="40"/>
        <v>#DIV/0!</v>
      </c>
      <c r="M113" s="22">
        <v>0</v>
      </c>
      <c r="N113" s="58">
        <f t="shared" ref="N113:N121" si="42">K113-M113</f>
        <v>0</v>
      </c>
      <c r="O113" s="18"/>
    </row>
    <row r="114" spans="1:18" ht="14.4" hidden="1" outlineLevel="1" thickBot="1" x14ac:dyDescent="0.45">
      <c r="A114" s="1" t="s">
        <v>21</v>
      </c>
      <c r="B114" s="1" t="s">
        <v>80</v>
      </c>
      <c r="C114" s="1" t="s">
        <v>31</v>
      </c>
      <c r="D114" s="19" t="str">
        <f t="shared" si="41"/>
        <v>10월</v>
      </c>
      <c r="E114" s="20" t="s">
        <v>25</v>
      </c>
      <c r="F114" s="21" t="s">
        <v>26</v>
      </c>
      <c r="G114" s="21" t="s">
        <v>27</v>
      </c>
      <c r="H114" s="21" t="s">
        <v>32</v>
      </c>
      <c r="I114" s="22">
        <v>1228260646</v>
      </c>
      <c r="J114" s="22">
        <f>'[1]2024년 계획_변경적용'!O48</f>
        <v>2868404000</v>
      </c>
      <c r="K114" s="22">
        <v>1228260646</v>
      </c>
      <c r="L114" s="23"/>
      <c r="M114" s="22">
        <v>1228260646</v>
      </c>
      <c r="N114" s="58">
        <f t="shared" si="42"/>
        <v>0</v>
      </c>
      <c r="O114" s="18"/>
    </row>
    <row r="115" spans="1:18" ht="14.4" hidden="1" outlineLevel="1" thickBot="1" x14ac:dyDescent="0.45">
      <c r="A115" s="1" t="s">
        <v>21</v>
      </c>
      <c r="B115" s="1" t="s">
        <v>80</v>
      </c>
      <c r="C115" s="1" t="s">
        <v>33</v>
      </c>
      <c r="D115" s="19" t="str">
        <f t="shared" si="41"/>
        <v>10월</v>
      </c>
      <c r="E115" s="21" t="s">
        <v>25</v>
      </c>
      <c r="F115" s="21" t="s">
        <v>26</v>
      </c>
      <c r="G115" s="21" t="s">
        <v>27</v>
      </c>
      <c r="H115" s="21" t="s">
        <v>34</v>
      </c>
      <c r="I115" s="22">
        <v>97554120</v>
      </c>
      <c r="J115" s="22">
        <f>'[1]2024년 계획_변경적용'!O46</f>
        <v>959310827.9942342</v>
      </c>
      <c r="K115" s="22">
        <v>97554120</v>
      </c>
      <c r="L115" s="23">
        <f t="shared" si="40"/>
        <v>0.10169187832891462</v>
      </c>
      <c r="M115" s="22">
        <v>97554120</v>
      </c>
      <c r="N115" s="58">
        <f t="shared" si="42"/>
        <v>0</v>
      </c>
      <c r="O115" s="18"/>
    </row>
    <row r="116" spans="1:18" ht="14.4" hidden="1" outlineLevel="1" thickBot="1" x14ac:dyDescent="0.45">
      <c r="A116" s="1" t="s">
        <v>21</v>
      </c>
      <c r="B116" s="1" t="s">
        <v>80</v>
      </c>
      <c r="C116" s="1" t="s">
        <v>35</v>
      </c>
      <c r="D116" s="19" t="str">
        <f t="shared" si="41"/>
        <v>10월</v>
      </c>
      <c r="E116" s="21" t="s">
        <v>25</v>
      </c>
      <c r="F116" s="21" t="s">
        <v>26</v>
      </c>
      <c r="G116" s="21" t="s">
        <v>27</v>
      </c>
      <c r="H116" s="21" t="s">
        <v>36</v>
      </c>
      <c r="I116" s="22">
        <v>10008669200</v>
      </c>
      <c r="J116" s="22">
        <f>'[1]2024년 계획_변경적용'!O47</f>
        <v>6504544700</v>
      </c>
      <c r="K116" s="22">
        <v>10008669200</v>
      </c>
      <c r="L116" s="23">
        <f t="shared" si="40"/>
        <v>1.5387194125977794</v>
      </c>
      <c r="M116" s="22">
        <v>10008669200</v>
      </c>
      <c r="N116" s="58">
        <f t="shared" si="42"/>
        <v>0</v>
      </c>
      <c r="O116" s="18"/>
      <c r="R116" s="18"/>
    </row>
    <row r="117" spans="1:18" ht="14.4" hidden="1" outlineLevel="1" thickBot="1" x14ac:dyDescent="0.45">
      <c r="A117" s="1" t="s">
        <v>21</v>
      </c>
      <c r="B117" s="1" t="s">
        <v>80</v>
      </c>
      <c r="C117" s="1" t="s">
        <v>37</v>
      </c>
      <c r="D117" s="19" t="str">
        <f t="shared" si="41"/>
        <v>10월</v>
      </c>
      <c r="E117" s="21" t="s">
        <v>25</v>
      </c>
      <c r="F117" s="21" t="s">
        <v>26</v>
      </c>
      <c r="G117" s="21" t="s">
        <v>27</v>
      </c>
      <c r="H117" s="21" t="s">
        <v>38</v>
      </c>
      <c r="I117" s="22"/>
      <c r="J117" s="22">
        <f>'[1]2024년 계획_변경적용'!O50</f>
        <v>0</v>
      </c>
      <c r="K117" s="22"/>
      <c r="L117" s="23" t="e">
        <f t="shared" si="40"/>
        <v>#DIV/0!</v>
      </c>
      <c r="M117" s="22"/>
      <c r="N117" s="58">
        <f t="shared" si="42"/>
        <v>0</v>
      </c>
      <c r="O117" s="18"/>
    </row>
    <row r="118" spans="1:18" ht="14.4" hidden="1" outlineLevel="1" thickBot="1" x14ac:dyDescent="0.45">
      <c r="A118" s="1" t="s">
        <v>21</v>
      </c>
      <c r="B118" s="1" t="s">
        <v>80</v>
      </c>
      <c r="C118" s="1" t="s">
        <v>39</v>
      </c>
      <c r="D118" s="19" t="str">
        <f t="shared" si="41"/>
        <v>10월</v>
      </c>
      <c r="E118" s="21" t="s">
        <v>25</v>
      </c>
      <c r="F118" s="21" t="s">
        <v>26</v>
      </c>
      <c r="G118" s="21" t="s">
        <v>27</v>
      </c>
      <c r="H118" s="21" t="s">
        <v>40</v>
      </c>
      <c r="I118" s="22"/>
      <c r="J118" s="22">
        <f>'[1]2024년 계획_변경적용'!O53</f>
        <v>0</v>
      </c>
      <c r="K118" s="22"/>
      <c r="L118" s="23" t="e">
        <f t="shared" si="40"/>
        <v>#DIV/0!</v>
      </c>
      <c r="M118" s="22"/>
      <c r="N118" s="58">
        <f t="shared" si="42"/>
        <v>0</v>
      </c>
      <c r="O118" s="18"/>
    </row>
    <row r="119" spans="1:18" ht="14.4" hidden="1" outlineLevel="1" thickBot="1" x14ac:dyDescent="0.45">
      <c r="A119" s="1" t="s">
        <v>21</v>
      </c>
      <c r="B119" s="1" t="s">
        <v>80</v>
      </c>
      <c r="C119" s="1" t="s">
        <v>44</v>
      </c>
      <c r="D119" s="19" t="str">
        <f t="shared" si="41"/>
        <v>10월</v>
      </c>
      <c r="E119" s="21" t="s">
        <v>25</v>
      </c>
      <c r="F119" s="21" t="s">
        <v>26</v>
      </c>
      <c r="G119" s="21" t="s">
        <v>27</v>
      </c>
      <c r="H119" s="21" t="s">
        <v>45</v>
      </c>
      <c r="I119" s="22">
        <v>428891930</v>
      </c>
      <c r="J119" s="22">
        <f>'[1]2024년 계획_변경적용'!O51</f>
        <v>363000000</v>
      </c>
      <c r="K119" s="22">
        <v>428891930</v>
      </c>
      <c r="L119" s="23">
        <f t="shared" si="40"/>
        <v>1.1815204683195593</v>
      </c>
      <c r="M119" s="22">
        <v>428891930</v>
      </c>
      <c r="N119" s="58">
        <f t="shared" si="42"/>
        <v>0</v>
      </c>
      <c r="O119" s="18" t="s">
        <v>82</v>
      </c>
    </row>
    <row r="120" spans="1:18" ht="14.4" hidden="1" outlineLevel="1" thickBot="1" x14ac:dyDescent="0.45">
      <c r="A120" s="1" t="s">
        <v>21</v>
      </c>
      <c r="B120" s="1" t="s">
        <v>80</v>
      </c>
      <c r="C120" s="1" t="s">
        <v>46</v>
      </c>
      <c r="D120" s="19" t="str">
        <f t="shared" si="41"/>
        <v>10월</v>
      </c>
      <c r="E120" s="32" t="s">
        <v>25</v>
      </c>
      <c r="F120" s="32" t="s">
        <v>26</v>
      </c>
      <c r="G120" s="32" t="s">
        <v>27</v>
      </c>
      <c r="H120" s="32" t="s">
        <v>47</v>
      </c>
      <c r="I120" s="33">
        <v>31604167</v>
      </c>
      <c r="J120" s="33">
        <f>'[1]2024년 계획_변경적용'!O52</f>
        <v>0</v>
      </c>
      <c r="K120" s="33">
        <v>31604167</v>
      </c>
      <c r="L120" s="34" t="e">
        <f t="shared" si="40"/>
        <v>#DIV/0!</v>
      </c>
      <c r="M120" s="33">
        <v>31604167</v>
      </c>
      <c r="N120" s="58">
        <f t="shared" si="42"/>
        <v>0</v>
      </c>
      <c r="O120" s="18"/>
    </row>
    <row r="121" spans="1:18" ht="14.4" hidden="1" outlineLevel="1" thickBot="1" x14ac:dyDescent="0.45">
      <c r="A121" s="1" t="s">
        <v>21</v>
      </c>
      <c r="B121" s="1" t="s">
        <v>80</v>
      </c>
      <c r="C121" s="1" t="s">
        <v>48</v>
      </c>
      <c r="D121" s="50" t="str">
        <f t="shared" si="41"/>
        <v>10월</v>
      </c>
      <c r="E121" s="36" t="s">
        <v>25</v>
      </c>
      <c r="F121" s="36" t="s">
        <v>26</v>
      </c>
      <c r="G121" s="36" t="s">
        <v>27</v>
      </c>
      <c r="H121" s="36" t="s">
        <v>49</v>
      </c>
      <c r="I121" s="37">
        <v>14136000</v>
      </c>
      <c r="J121" s="37">
        <v>0</v>
      </c>
      <c r="K121" s="37">
        <v>14136000</v>
      </c>
      <c r="L121" s="38" t="e">
        <f t="shared" ref="L121" si="43">+K121/J121</f>
        <v>#DIV/0!</v>
      </c>
      <c r="M121" s="37">
        <v>14136000</v>
      </c>
      <c r="N121" s="58">
        <f t="shared" si="42"/>
        <v>0</v>
      </c>
      <c r="O121" s="1" t="s">
        <v>83</v>
      </c>
    </row>
    <row r="122" spans="1:18" ht="14.4" hidden="1" outlineLevel="1" thickBot="1" x14ac:dyDescent="0.45">
      <c r="D122" s="144" t="s">
        <v>84</v>
      </c>
      <c r="E122" s="145"/>
      <c r="F122" s="145"/>
      <c r="G122" s="145"/>
      <c r="H122" s="146"/>
      <c r="I122" s="41">
        <f>SUM(I112:I121)</f>
        <v>12702083463</v>
      </c>
      <c r="J122" s="41">
        <f>SUM(J112:J121)</f>
        <v>10695259527.994234</v>
      </c>
      <c r="K122" s="41">
        <f>SUM(K112:K121)</f>
        <v>12702083463</v>
      </c>
      <c r="L122" s="42">
        <f>I122/J122</f>
        <v>1.1876367683975333</v>
      </c>
      <c r="M122" s="43">
        <f>SUM(M112:M121)</f>
        <v>12702083463</v>
      </c>
      <c r="N122" s="44">
        <f>SUM(N112:N121)</f>
        <v>0</v>
      </c>
      <c r="O122" s="18"/>
    </row>
    <row r="123" spans="1:18" ht="14.4" hidden="1" outlineLevel="1" thickBot="1" x14ac:dyDescent="0.45">
      <c r="A123" s="1" t="s">
        <v>21</v>
      </c>
      <c r="B123" s="1" t="s">
        <v>80</v>
      </c>
      <c r="C123" s="1" t="s">
        <v>23</v>
      </c>
      <c r="D123" s="57" t="s">
        <v>41</v>
      </c>
      <c r="E123" s="21" t="s">
        <v>25</v>
      </c>
      <c r="F123" s="21" t="s">
        <v>26</v>
      </c>
      <c r="G123" s="21" t="s">
        <v>27</v>
      </c>
      <c r="H123" s="21" t="s">
        <v>28</v>
      </c>
      <c r="I123" s="22"/>
      <c r="J123" s="22">
        <f>'[1]2024년 계획_변경적용'!P45</f>
        <v>0</v>
      </c>
      <c r="K123" s="22">
        <v>0</v>
      </c>
      <c r="L123" s="23" t="e">
        <f t="shared" ref="L123:L130" si="44">+I123/J123</f>
        <v>#DIV/0!</v>
      </c>
      <c r="M123" s="22">
        <v>0</v>
      </c>
      <c r="N123" s="58">
        <f>K123-M123</f>
        <v>0</v>
      </c>
      <c r="O123" s="18"/>
    </row>
    <row r="124" spans="1:18" ht="14.4" hidden="1" outlineLevel="1" thickBot="1" x14ac:dyDescent="0.45">
      <c r="A124" s="1" t="s">
        <v>21</v>
      </c>
      <c r="B124" s="1" t="s">
        <v>80</v>
      </c>
      <c r="C124" s="1" t="s">
        <v>29</v>
      </c>
      <c r="D124" s="19" t="str">
        <f t="shared" ref="D124:D132" si="45">D123</f>
        <v>11월</v>
      </c>
      <c r="E124" s="21" t="s">
        <v>25</v>
      </c>
      <c r="F124" s="21" t="s">
        <v>26</v>
      </c>
      <c r="G124" s="21" t="s">
        <v>27</v>
      </c>
      <c r="H124" s="21" t="s">
        <v>30</v>
      </c>
      <c r="I124" s="22"/>
      <c r="J124" s="22">
        <f>'[1]2024년 계획_변경적용'!P44</f>
        <v>0</v>
      </c>
      <c r="K124" s="22">
        <v>0</v>
      </c>
      <c r="L124" s="23"/>
      <c r="M124" s="22">
        <v>0</v>
      </c>
      <c r="N124" s="58">
        <f t="shared" ref="N124:N132" si="46">K124-M124</f>
        <v>0</v>
      </c>
      <c r="O124" s="18"/>
    </row>
    <row r="125" spans="1:18" ht="14.4" hidden="1" outlineLevel="1" thickBot="1" x14ac:dyDescent="0.45">
      <c r="A125" s="1" t="s">
        <v>21</v>
      </c>
      <c r="B125" s="1" t="s">
        <v>80</v>
      </c>
      <c r="C125" s="1" t="s">
        <v>31</v>
      </c>
      <c r="D125" s="19" t="str">
        <f t="shared" si="45"/>
        <v>11월</v>
      </c>
      <c r="E125" s="20" t="s">
        <v>25</v>
      </c>
      <c r="F125" s="21" t="s">
        <v>26</v>
      </c>
      <c r="G125" s="21" t="s">
        <v>27</v>
      </c>
      <c r="H125" s="21" t="s">
        <v>32</v>
      </c>
      <c r="I125" s="22">
        <v>4528225660</v>
      </c>
      <c r="J125" s="22">
        <f>'[1]2024년 계획_변경적용'!P48</f>
        <v>2142252000</v>
      </c>
      <c r="K125" s="22">
        <v>4528225660</v>
      </c>
      <c r="L125" s="23"/>
      <c r="M125" s="22">
        <v>4528225660</v>
      </c>
      <c r="N125" s="58">
        <f t="shared" si="46"/>
        <v>0</v>
      </c>
      <c r="O125" s="90"/>
      <c r="P125" s="18"/>
    </row>
    <row r="126" spans="1:18" ht="14.4" hidden="1" outlineLevel="1" thickBot="1" x14ac:dyDescent="0.45">
      <c r="A126" s="1" t="s">
        <v>21</v>
      </c>
      <c r="B126" s="1" t="s">
        <v>80</v>
      </c>
      <c r="C126" s="1" t="s">
        <v>33</v>
      </c>
      <c r="D126" s="19" t="str">
        <f t="shared" si="45"/>
        <v>11월</v>
      </c>
      <c r="E126" s="21" t="s">
        <v>25</v>
      </c>
      <c r="F126" s="21" t="s">
        <v>26</v>
      </c>
      <c r="G126" s="21" t="s">
        <v>27</v>
      </c>
      <c r="H126" s="21" t="s">
        <v>34</v>
      </c>
      <c r="I126" s="22">
        <v>166471840</v>
      </c>
      <c r="J126" s="22">
        <f>'[1]2024년 계획_변경적용'!P46</f>
        <v>959310827.9942342</v>
      </c>
      <c r="K126" s="22">
        <v>166471840</v>
      </c>
      <c r="L126" s="23">
        <f t="shared" si="44"/>
        <v>0.1735327436552197</v>
      </c>
      <c r="M126" s="22">
        <v>166471840</v>
      </c>
      <c r="N126" s="58">
        <f t="shared" si="46"/>
        <v>0</v>
      </c>
      <c r="O126" s="18"/>
    </row>
    <row r="127" spans="1:18" ht="14.4" hidden="1" outlineLevel="1" thickBot="1" x14ac:dyDescent="0.45">
      <c r="A127" s="1" t="s">
        <v>21</v>
      </c>
      <c r="B127" s="1" t="s">
        <v>80</v>
      </c>
      <c r="C127" s="1" t="s">
        <v>35</v>
      </c>
      <c r="D127" s="19" t="str">
        <f t="shared" si="45"/>
        <v>11월</v>
      </c>
      <c r="E127" s="21" t="s">
        <v>25</v>
      </c>
      <c r="F127" s="21" t="s">
        <v>26</v>
      </c>
      <c r="G127" s="21" t="s">
        <v>27</v>
      </c>
      <c r="H127" s="21" t="s">
        <v>36</v>
      </c>
      <c r="I127" s="22">
        <v>7377697800</v>
      </c>
      <c r="J127" s="22">
        <f>'[1]2024년 계획_변경적용'!P47</f>
        <v>4201715500</v>
      </c>
      <c r="K127" s="22">
        <v>7377697800</v>
      </c>
      <c r="L127" s="23">
        <f t="shared" si="44"/>
        <v>1.7558775219312208</v>
      </c>
      <c r="M127" s="22">
        <v>7377697800</v>
      </c>
      <c r="N127" s="58">
        <f t="shared" si="46"/>
        <v>0</v>
      </c>
      <c r="O127" s="18" t="s">
        <v>85</v>
      </c>
    </row>
    <row r="128" spans="1:18" ht="14.4" hidden="1" outlineLevel="1" thickBot="1" x14ac:dyDescent="0.45">
      <c r="A128" s="1" t="s">
        <v>21</v>
      </c>
      <c r="B128" s="1" t="s">
        <v>80</v>
      </c>
      <c r="C128" s="1" t="s">
        <v>37</v>
      </c>
      <c r="D128" s="19" t="str">
        <f t="shared" si="45"/>
        <v>11월</v>
      </c>
      <c r="E128" s="21" t="s">
        <v>25</v>
      </c>
      <c r="F128" s="21" t="s">
        <v>26</v>
      </c>
      <c r="G128" s="21" t="s">
        <v>27</v>
      </c>
      <c r="H128" s="21" t="s">
        <v>38</v>
      </c>
      <c r="I128" s="22"/>
      <c r="J128" s="22">
        <f>'[1]2024년 계획_변경적용'!P50</f>
        <v>107000000</v>
      </c>
      <c r="K128" s="22"/>
      <c r="L128" s="23">
        <f t="shared" si="44"/>
        <v>0</v>
      </c>
      <c r="M128" s="22"/>
      <c r="N128" s="58">
        <f t="shared" si="46"/>
        <v>0</v>
      </c>
      <c r="O128" s="18"/>
    </row>
    <row r="129" spans="1:16" ht="14.4" hidden="1" outlineLevel="1" thickBot="1" x14ac:dyDescent="0.45">
      <c r="A129" s="1" t="s">
        <v>21</v>
      </c>
      <c r="B129" s="1" t="s">
        <v>80</v>
      </c>
      <c r="C129" s="1" t="s">
        <v>39</v>
      </c>
      <c r="D129" s="19" t="str">
        <f t="shared" si="45"/>
        <v>11월</v>
      </c>
      <c r="E129" s="21" t="s">
        <v>25</v>
      </c>
      <c r="F129" s="21" t="s">
        <v>26</v>
      </c>
      <c r="G129" s="21" t="s">
        <v>27</v>
      </c>
      <c r="H129" s="21" t="s">
        <v>40</v>
      </c>
      <c r="I129" s="22">
        <v>38500000</v>
      </c>
      <c r="J129" s="22">
        <f>'[1]2024년 계획_변경적용'!P53</f>
        <v>720875000</v>
      </c>
      <c r="K129" s="22">
        <v>38500000</v>
      </c>
      <c r="L129" s="23">
        <f t="shared" si="44"/>
        <v>5.3407317496098491E-2</v>
      </c>
      <c r="M129" s="22">
        <v>38500000</v>
      </c>
      <c r="N129" s="58">
        <f t="shared" si="46"/>
        <v>0</v>
      </c>
      <c r="O129" s="18"/>
    </row>
    <row r="130" spans="1:16" ht="14.4" hidden="1" outlineLevel="1" thickBot="1" x14ac:dyDescent="0.45">
      <c r="A130" s="1" t="s">
        <v>21</v>
      </c>
      <c r="B130" s="1" t="s">
        <v>80</v>
      </c>
      <c r="C130" s="1" t="s">
        <v>44</v>
      </c>
      <c r="D130" s="19" t="str">
        <f t="shared" si="45"/>
        <v>11월</v>
      </c>
      <c r="E130" s="21" t="s">
        <v>25</v>
      </c>
      <c r="F130" s="21" t="s">
        <v>26</v>
      </c>
      <c r="G130" s="21" t="s">
        <v>27</v>
      </c>
      <c r="H130" s="21" t="s">
        <v>45</v>
      </c>
      <c r="I130" s="22">
        <v>110001036</v>
      </c>
      <c r="J130" s="22">
        <f>'[1]2024년 계획_변경적용'!P51</f>
        <v>724900000</v>
      </c>
      <c r="K130" s="22">
        <v>110001036</v>
      </c>
      <c r="L130" s="23">
        <f t="shared" si="44"/>
        <v>0.15174649744792384</v>
      </c>
      <c r="M130" s="22">
        <v>110001036</v>
      </c>
      <c r="N130" s="58">
        <f t="shared" si="46"/>
        <v>0</v>
      </c>
      <c r="O130" s="18" t="s">
        <v>86</v>
      </c>
    </row>
    <row r="131" spans="1:16" ht="14.4" hidden="1" outlineLevel="1" thickBot="1" x14ac:dyDescent="0.45">
      <c r="A131" s="1" t="s">
        <v>21</v>
      </c>
      <c r="B131" s="1" t="s">
        <v>80</v>
      </c>
      <c r="C131" s="1" t="s">
        <v>46</v>
      </c>
      <c r="D131" s="19" t="str">
        <f t="shared" si="45"/>
        <v>11월</v>
      </c>
      <c r="E131" s="32" t="s">
        <v>25</v>
      </c>
      <c r="F131" s="32" t="s">
        <v>26</v>
      </c>
      <c r="G131" s="32" t="s">
        <v>27</v>
      </c>
      <c r="H131" s="32" t="s">
        <v>47</v>
      </c>
      <c r="I131" s="33">
        <v>125354167</v>
      </c>
      <c r="J131" s="33">
        <f>'[1]2024년 계획_변경적용'!P52</f>
        <v>234375000</v>
      </c>
      <c r="K131" s="33">
        <v>125354167</v>
      </c>
      <c r="L131" s="34"/>
      <c r="M131" s="33">
        <v>125354167</v>
      </c>
      <c r="N131" s="58">
        <f t="shared" si="46"/>
        <v>0</v>
      </c>
      <c r="O131" s="18"/>
      <c r="P131" s="3">
        <v>109103480</v>
      </c>
    </row>
    <row r="132" spans="1:16" ht="14.4" hidden="1" outlineLevel="1" thickBot="1" x14ac:dyDescent="0.45">
      <c r="A132" s="1" t="s">
        <v>21</v>
      </c>
      <c r="B132" s="1" t="s">
        <v>80</v>
      </c>
      <c r="C132" s="1" t="s">
        <v>48</v>
      </c>
      <c r="D132" s="50" t="str">
        <f t="shared" si="45"/>
        <v>11월</v>
      </c>
      <c r="E132" s="36" t="s">
        <v>25</v>
      </c>
      <c r="F132" s="36" t="s">
        <v>26</v>
      </c>
      <c r="G132" s="36" t="s">
        <v>27</v>
      </c>
      <c r="H132" s="36" t="s">
        <v>49</v>
      </c>
      <c r="I132" s="37">
        <v>15738000</v>
      </c>
      <c r="J132" s="37">
        <v>0</v>
      </c>
      <c r="K132" s="37">
        <v>15738000</v>
      </c>
      <c r="L132" s="38" t="e">
        <f t="shared" ref="L132" si="47">+K132/J132</f>
        <v>#DIV/0!</v>
      </c>
      <c r="M132" s="37">
        <v>15738000</v>
      </c>
      <c r="N132" s="58">
        <f t="shared" si="46"/>
        <v>0</v>
      </c>
      <c r="O132" s="1" t="s">
        <v>83</v>
      </c>
    </row>
    <row r="133" spans="1:16" ht="14.4" hidden="1" outlineLevel="1" thickBot="1" x14ac:dyDescent="0.45">
      <c r="D133" s="144" t="s">
        <v>87</v>
      </c>
      <c r="E133" s="145"/>
      <c r="F133" s="145"/>
      <c r="G133" s="145"/>
      <c r="H133" s="146"/>
      <c r="I133" s="41">
        <f>SUM(I123:I132)</f>
        <v>12361988503</v>
      </c>
      <c r="J133" s="41">
        <f>SUM(J123:J132)</f>
        <v>9090428327.9942341</v>
      </c>
      <c r="K133" s="41">
        <f>SUM(K123:K132)</f>
        <v>12361988503</v>
      </c>
      <c r="L133" s="42">
        <f>I133/J133</f>
        <v>1.3598906516792946</v>
      </c>
      <c r="M133" s="43">
        <f>SUM(M123:M132)</f>
        <v>12361988503</v>
      </c>
      <c r="N133" s="44">
        <f>SUM(N123:N132)</f>
        <v>0</v>
      </c>
      <c r="P133" s="91"/>
    </row>
    <row r="134" spans="1:16" ht="14.4" hidden="1" outlineLevel="1" thickBot="1" x14ac:dyDescent="0.45">
      <c r="A134" s="1" t="s">
        <v>21</v>
      </c>
      <c r="B134" s="1" t="s">
        <v>80</v>
      </c>
      <c r="C134" s="1" t="s">
        <v>23</v>
      </c>
      <c r="D134" s="12" t="s">
        <v>42</v>
      </c>
      <c r="E134" s="92" t="s">
        <v>25</v>
      </c>
      <c r="F134" s="92" t="s">
        <v>26</v>
      </c>
      <c r="G134" s="92" t="s">
        <v>27</v>
      </c>
      <c r="H134" s="92" t="s">
        <v>28</v>
      </c>
      <c r="I134" s="93"/>
      <c r="J134" s="93">
        <f>'[1]2024년 계획_변경적용'!Q45</f>
        <v>0</v>
      </c>
      <c r="K134" s="93"/>
      <c r="L134" s="94" t="e">
        <f t="shared" ref="L134:L141" si="48">+I134/J134</f>
        <v>#DIV/0!</v>
      </c>
      <c r="M134" s="93"/>
      <c r="N134" s="79">
        <f>K134-M134</f>
        <v>0</v>
      </c>
      <c r="O134" s="18"/>
    </row>
    <row r="135" spans="1:16" ht="14.4" hidden="1" outlineLevel="1" thickBot="1" x14ac:dyDescent="0.45">
      <c r="A135" s="1" t="s">
        <v>21</v>
      </c>
      <c r="B135" s="1" t="s">
        <v>80</v>
      </c>
      <c r="C135" s="1" t="s">
        <v>29</v>
      </c>
      <c r="D135" s="19" t="str">
        <f t="shared" ref="D135:D143" si="49">D134</f>
        <v>12월</v>
      </c>
      <c r="E135" s="21" t="s">
        <v>25</v>
      </c>
      <c r="F135" s="21" t="s">
        <v>26</v>
      </c>
      <c r="G135" s="21" t="s">
        <v>27</v>
      </c>
      <c r="H135" s="21" t="s">
        <v>30</v>
      </c>
      <c r="I135" s="22"/>
      <c r="J135" s="22">
        <f>'[1]2024년 계획_변경적용'!Q44</f>
        <v>0</v>
      </c>
      <c r="K135" s="22"/>
      <c r="L135" s="23"/>
      <c r="M135" s="22">
        <v>0</v>
      </c>
      <c r="N135" s="58">
        <f t="shared" ref="N135:N143" si="50">K135-M135</f>
        <v>0</v>
      </c>
      <c r="O135" s="18"/>
    </row>
    <row r="136" spans="1:16" ht="14.4" hidden="1" outlineLevel="1" thickBot="1" x14ac:dyDescent="0.45">
      <c r="A136" s="1" t="s">
        <v>21</v>
      </c>
      <c r="B136" s="1" t="s">
        <v>80</v>
      </c>
      <c r="C136" s="1" t="s">
        <v>31</v>
      </c>
      <c r="D136" s="19" t="str">
        <f t="shared" si="49"/>
        <v>12월</v>
      </c>
      <c r="E136" s="20" t="s">
        <v>25</v>
      </c>
      <c r="F136" s="21" t="s">
        <v>26</v>
      </c>
      <c r="G136" s="21" t="s">
        <v>27</v>
      </c>
      <c r="H136" s="21" t="s">
        <v>32</v>
      </c>
      <c r="I136" s="22">
        <v>6019051822</v>
      </c>
      <c r="J136" s="22">
        <f>'[1]2024년 계획_변경적용'!Q48</f>
        <v>495684000</v>
      </c>
      <c r="K136" s="22">
        <v>6019051822</v>
      </c>
      <c r="L136" s="23"/>
      <c r="M136" s="22"/>
      <c r="N136" s="58">
        <f t="shared" si="50"/>
        <v>6019051822</v>
      </c>
      <c r="O136" s="80" t="s">
        <v>88</v>
      </c>
      <c r="P136" s="18"/>
    </row>
    <row r="137" spans="1:16" ht="14.4" hidden="1" outlineLevel="1" thickBot="1" x14ac:dyDescent="0.45">
      <c r="A137" s="1" t="s">
        <v>21</v>
      </c>
      <c r="B137" s="1" t="s">
        <v>80</v>
      </c>
      <c r="C137" s="1" t="s">
        <v>33</v>
      </c>
      <c r="D137" s="19" t="str">
        <f t="shared" si="49"/>
        <v>12월</v>
      </c>
      <c r="E137" s="21" t="s">
        <v>25</v>
      </c>
      <c r="F137" s="21" t="s">
        <v>26</v>
      </c>
      <c r="G137" s="21" t="s">
        <v>27</v>
      </c>
      <c r="H137" s="21" t="s">
        <v>34</v>
      </c>
      <c r="I137" s="22">
        <v>190623740</v>
      </c>
      <c r="J137" s="22">
        <f>'[1]2024년 계획_변경적용'!Q46</f>
        <v>959310827.9942342</v>
      </c>
      <c r="K137" s="22">
        <v>190623740</v>
      </c>
      <c r="L137" s="23">
        <f t="shared" si="48"/>
        <v>0.19870904657520005</v>
      </c>
      <c r="M137" s="22">
        <v>207985840</v>
      </c>
      <c r="N137" s="58">
        <f t="shared" si="50"/>
        <v>-17362100</v>
      </c>
      <c r="O137" s="18"/>
    </row>
    <row r="138" spans="1:16" ht="14.4" hidden="1" outlineLevel="1" thickBot="1" x14ac:dyDescent="0.45">
      <c r="A138" s="1" t="s">
        <v>21</v>
      </c>
      <c r="B138" s="1" t="s">
        <v>80</v>
      </c>
      <c r="C138" s="1" t="s">
        <v>35</v>
      </c>
      <c r="D138" s="19" t="str">
        <f t="shared" si="49"/>
        <v>12월</v>
      </c>
      <c r="E138" s="21" t="s">
        <v>25</v>
      </c>
      <c r="F138" s="21" t="s">
        <v>26</v>
      </c>
      <c r="G138" s="21" t="s">
        <v>27</v>
      </c>
      <c r="H138" s="21" t="s">
        <v>36</v>
      </c>
      <c r="I138" s="22">
        <v>8035017050</v>
      </c>
      <c r="J138" s="22">
        <f>'[1]2024년 계획_변경적용'!Q47</f>
        <v>14634343765</v>
      </c>
      <c r="K138" s="22">
        <v>8035017050</v>
      </c>
      <c r="L138" s="23">
        <f t="shared" si="48"/>
        <v>0.54905209136994737</v>
      </c>
      <c r="M138" s="91">
        <v>7963474100</v>
      </c>
      <c r="N138" s="58">
        <f t="shared" si="50"/>
        <v>71542950</v>
      </c>
      <c r="O138" s="18"/>
    </row>
    <row r="139" spans="1:16" ht="14.4" hidden="1" outlineLevel="1" thickBot="1" x14ac:dyDescent="0.45">
      <c r="A139" s="1" t="s">
        <v>21</v>
      </c>
      <c r="B139" s="1" t="s">
        <v>80</v>
      </c>
      <c r="C139" s="1" t="s">
        <v>37</v>
      </c>
      <c r="D139" s="19" t="str">
        <f t="shared" si="49"/>
        <v>12월</v>
      </c>
      <c r="E139" s="21" t="s">
        <v>25</v>
      </c>
      <c r="F139" s="21" t="s">
        <v>26</v>
      </c>
      <c r="G139" s="21" t="s">
        <v>27</v>
      </c>
      <c r="H139" s="21" t="s">
        <v>38</v>
      </c>
      <c r="I139" s="22">
        <v>134600000</v>
      </c>
      <c r="J139" s="22">
        <f>'[1]2024년 계획_변경적용'!Q50</f>
        <v>67000000</v>
      </c>
      <c r="K139" s="22">
        <v>134600000</v>
      </c>
      <c r="L139" s="23">
        <f t="shared" si="48"/>
        <v>2.008955223880597</v>
      </c>
      <c r="M139" s="22">
        <v>134000000</v>
      </c>
      <c r="N139" s="58">
        <f t="shared" si="50"/>
        <v>600000</v>
      </c>
      <c r="O139" s="18"/>
    </row>
    <row r="140" spans="1:16" ht="14.4" hidden="1" outlineLevel="1" thickBot="1" x14ac:dyDescent="0.45">
      <c r="A140" s="1" t="s">
        <v>21</v>
      </c>
      <c r="B140" s="1" t="s">
        <v>80</v>
      </c>
      <c r="C140" s="1" t="s">
        <v>39</v>
      </c>
      <c r="D140" s="19" t="str">
        <f t="shared" si="49"/>
        <v>12월</v>
      </c>
      <c r="E140" s="21" t="s">
        <v>25</v>
      </c>
      <c r="F140" s="21" t="s">
        <v>26</v>
      </c>
      <c r="G140" s="21" t="s">
        <v>27</v>
      </c>
      <c r="H140" s="21" t="s">
        <v>40</v>
      </c>
      <c r="I140" s="22">
        <v>46875000</v>
      </c>
      <c r="J140" s="22">
        <f>'[1]2024년 계획_변경적용'!Q53</f>
        <v>257375000</v>
      </c>
      <c r="K140" s="22">
        <v>46875000</v>
      </c>
      <c r="L140" s="23">
        <f t="shared" si="48"/>
        <v>0.1821272462360369</v>
      </c>
      <c r="M140" s="95">
        <v>46875000</v>
      </c>
      <c r="N140" s="58">
        <f t="shared" si="50"/>
        <v>0</v>
      </c>
      <c r="O140" s="18"/>
    </row>
    <row r="141" spans="1:16" ht="14.4" hidden="1" outlineLevel="1" thickBot="1" x14ac:dyDescent="0.45">
      <c r="A141" s="1" t="s">
        <v>21</v>
      </c>
      <c r="B141" s="1" t="s">
        <v>80</v>
      </c>
      <c r="C141" s="1" t="s">
        <v>44</v>
      </c>
      <c r="D141" s="19" t="str">
        <f t="shared" si="49"/>
        <v>12월</v>
      </c>
      <c r="E141" s="21" t="s">
        <v>25</v>
      </c>
      <c r="F141" s="21" t="s">
        <v>26</v>
      </c>
      <c r="G141" s="21" t="s">
        <v>27</v>
      </c>
      <c r="H141" s="21" t="s">
        <v>45</v>
      </c>
      <c r="I141" s="22">
        <v>476323136</v>
      </c>
      <c r="J141" s="22">
        <f>'[1]2024년 계획_변경적용'!Q51</f>
        <v>437000000</v>
      </c>
      <c r="K141" s="22">
        <v>476323136</v>
      </c>
      <c r="L141" s="23">
        <f t="shared" si="48"/>
        <v>1.0899842929061785</v>
      </c>
      <c r="M141" s="95">
        <v>435360000</v>
      </c>
      <c r="N141" s="58">
        <f t="shared" si="50"/>
        <v>40963136</v>
      </c>
      <c r="O141" s="80" t="s">
        <v>89</v>
      </c>
    </row>
    <row r="142" spans="1:16" ht="14.4" hidden="1" outlineLevel="1" thickBot="1" x14ac:dyDescent="0.45">
      <c r="A142" s="1" t="s">
        <v>21</v>
      </c>
      <c r="B142" s="1" t="s">
        <v>80</v>
      </c>
      <c r="C142" s="1" t="s">
        <v>46</v>
      </c>
      <c r="D142" s="19" t="str">
        <f t="shared" si="49"/>
        <v>12월</v>
      </c>
      <c r="E142" s="32" t="s">
        <v>25</v>
      </c>
      <c r="F142" s="32" t="s">
        <v>26</v>
      </c>
      <c r="G142" s="32" t="s">
        <v>27</v>
      </c>
      <c r="H142" s="32" t="s">
        <v>47</v>
      </c>
      <c r="I142" s="33">
        <v>31604167</v>
      </c>
      <c r="J142" s="33">
        <f>'[1]2024년 계획_변경적용'!Q52</f>
        <v>234375000</v>
      </c>
      <c r="K142" s="33">
        <v>31604167</v>
      </c>
      <c r="L142" s="34"/>
      <c r="M142" s="33">
        <v>31604167</v>
      </c>
      <c r="N142" s="58">
        <f t="shared" si="50"/>
        <v>0</v>
      </c>
      <c r="O142" s="96"/>
    </row>
    <row r="143" spans="1:16" ht="14.4" hidden="1" outlineLevel="1" thickBot="1" x14ac:dyDescent="0.45">
      <c r="A143" s="1" t="s">
        <v>21</v>
      </c>
      <c r="B143" s="1" t="s">
        <v>80</v>
      </c>
      <c r="C143" s="1" t="s">
        <v>48</v>
      </c>
      <c r="D143" s="97" t="str">
        <f t="shared" si="49"/>
        <v>12월</v>
      </c>
      <c r="E143" s="36" t="s">
        <v>25</v>
      </c>
      <c r="F143" s="36" t="s">
        <v>26</v>
      </c>
      <c r="G143" s="36" t="s">
        <v>27</v>
      </c>
      <c r="H143" s="36" t="s">
        <v>49</v>
      </c>
      <c r="I143" s="37">
        <v>167447981</v>
      </c>
      <c r="J143" s="37">
        <v>0</v>
      </c>
      <c r="K143" s="37">
        <v>167447981</v>
      </c>
      <c r="L143" s="38" t="e">
        <f t="shared" ref="L143" si="51">+K143/J143</f>
        <v>#DIV/0!</v>
      </c>
      <c r="M143" s="37">
        <v>0</v>
      </c>
      <c r="N143" s="58">
        <f t="shared" si="50"/>
        <v>167447981</v>
      </c>
    </row>
    <row r="144" spans="1:16" ht="14.4" hidden="1" outlineLevel="1" thickBot="1" x14ac:dyDescent="0.45">
      <c r="D144" s="144" t="s">
        <v>90</v>
      </c>
      <c r="E144" s="145"/>
      <c r="F144" s="145"/>
      <c r="G144" s="145"/>
      <c r="H144" s="146"/>
      <c r="I144" s="41">
        <f>SUM(I134:I143)</f>
        <v>15101542896</v>
      </c>
      <c r="J144" s="41">
        <f>SUM(J134:J143)</f>
        <v>17085088592.994234</v>
      </c>
      <c r="K144" s="41">
        <f>SUM(K134:K143)</f>
        <v>15101542896</v>
      </c>
      <c r="L144" s="42">
        <f>I144/J144</f>
        <v>0.88390193669773598</v>
      </c>
      <c r="M144" s="43">
        <f>SUM(M134:M143)</f>
        <v>8819299107</v>
      </c>
      <c r="N144" s="44">
        <f>SUM(N134:N143)</f>
        <v>6282243789</v>
      </c>
      <c r="O144" s="98"/>
    </row>
    <row r="145" spans="1:20" ht="17.850000000000001" customHeight="1" collapsed="1" thickBot="1" x14ac:dyDescent="0.45">
      <c r="D145" s="147" t="s">
        <v>91</v>
      </c>
      <c r="E145" s="148"/>
      <c r="F145" s="148"/>
      <c r="G145" s="148"/>
      <c r="H145" s="149"/>
      <c r="I145" s="53">
        <f>SUM(I135:I144)</f>
        <v>30203085792</v>
      </c>
      <c r="J145" s="53">
        <f>SUM(J122,J133,J144)</f>
        <v>36870776448.982704</v>
      </c>
      <c r="K145" s="53">
        <f>SUM(K122,K133,K144)</f>
        <v>40165614862</v>
      </c>
      <c r="L145" s="54">
        <f>I145/J145</f>
        <v>0.81916055751609562</v>
      </c>
      <c r="M145" s="87">
        <f>SUM(M122,M133,M144)</f>
        <v>33883371073</v>
      </c>
      <c r="N145" s="99">
        <f>SUM(N122,N133,N144)</f>
        <v>6282243789</v>
      </c>
    </row>
    <row r="146" spans="1:20" ht="14.4" thickBot="1" x14ac:dyDescent="0.45">
      <c r="D146" s="150" t="s">
        <v>92</v>
      </c>
      <c r="E146" s="151"/>
      <c r="F146" s="151"/>
      <c r="G146" s="151"/>
      <c r="H146" s="152"/>
      <c r="I146" s="100">
        <f>SUM(I136:I145)</f>
        <v>60406171584</v>
      </c>
      <c r="J146" s="100">
        <f>SUM(J17,J28,J39,J51,J62,J73,J86,J98,J110,J122,J133,J144)</f>
        <v>110098907855.56766</v>
      </c>
      <c r="K146" s="100">
        <f>SUM(K17,K28,K39,K51,K62,K73,K86,K98,K110,K122,K133,K144)</f>
        <v>135788530132</v>
      </c>
      <c r="L146" s="101">
        <f>I146/J146</f>
        <v>0.54865368567727613</v>
      </c>
      <c r="M146" s="102">
        <f>SUM(M17,M28,M39,M51,M62,M73,M86,M98,M110,M122,M133,M144)</f>
        <v>129059721188.0006</v>
      </c>
      <c r="N146" s="103">
        <f>SUM(N17,N28,N39,N51,N62,N73,N86,N98,N110,N122,N133,N144)</f>
        <v>6728808943.999403</v>
      </c>
    </row>
    <row r="147" spans="1:20" ht="14.4" hidden="1" outlineLevel="1" thickBot="1" x14ac:dyDescent="0.45">
      <c r="A147" s="1" t="s">
        <v>93</v>
      </c>
      <c r="B147" s="1" t="s">
        <v>22</v>
      </c>
      <c r="C147" s="1" t="s">
        <v>94</v>
      </c>
      <c r="D147" s="12" t="s">
        <v>24</v>
      </c>
      <c r="E147" s="92" t="s">
        <v>25</v>
      </c>
      <c r="F147" s="92" t="s">
        <v>26</v>
      </c>
      <c r="G147" s="92" t="s">
        <v>27</v>
      </c>
      <c r="H147" s="92" t="s">
        <v>28</v>
      </c>
      <c r="I147" s="93"/>
      <c r="J147" s="93"/>
      <c r="K147" s="93"/>
      <c r="L147" s="94" t="e">
        <f t="shared" ref="L147" si="52">+I147/J147</f>
        <v>#DIV/0!</v>
      </c>
      <c r="M147" s="93"/>
      <c r="N147" s="79">
        <f>K147-M147</f>
        <v>0</v>
      </c>
      <c r="O147" s="18"/>
    </row>
    <row r="148" spans="1:20" ht="14.4" hidden="1" outlineLevel="1" thickBot="1" x14ac:dyDescent="0.45">
      <c r="A148" s="1" t="s">
        <v>93</v>
      </c>
      <c r="B148" s="1" t="s">
        <v>22</v>
      </c>
      <c r="C148" s="1" t="s">
        <v>94</v>
      </c>
      <c r="D148" s="19" t="str">
        <f t="shared" ref="D148:D156" si="53">D147</f>
        <v>1월</v>
      </c>
      <c r="E148" s="21" t="s">
        <v>25</v>
      </c>
      <c r="F148" s="21" t="s">
        <v>26</v>
      </c>
      <c r="G148" s="21" t="s">
        <v>27</v>
      </c>
      <c r="H148" s="21" t="s">
        <v>30</v>
      </c>
      <c r="I148" s="22"/>
      <c r="J148" s="22"/>
      <c r="K148" s="22"/>
      <c r="L148" s="23"/>
      <c r="M148" s="22"/>
      <c r="N148" s="58">
        <f t="shared" ref="N148:N156" si="54">K148-M148</f>
        <v>0</v>
      </c>
      <c r="O148" s="18"/>
    </row>
    <row r="149" spans="1:20" ht="14.4" hidden="1" outlineLevel="1" thickBot="1" x14ac:dyDescent="0.45">
      <c r="A149" s="1" t="s">
        <v>93</v>
      </c>
      <c r="B149" s="1" t="s">
        <v>22</v>
      </c>
      <c r="C149" s="1" t="s">
        <v>31</v>
      </c>
      <c r="D149" s="19" t="str">
        <f t="shared" si="53"/>
        <v>1월</v>
      </c>
      <c r="E149" s="20" t="s">
        <v>25</v>
      </c>
      <c r="F149" s="21" t="s">
        <v>26</v>
      </c>
      <c r="G149" s="21" t="s">
        <v>27</v>
      </c>
      <c r="H149" s="21" t="s">
        <v>32</v>
      </c>
      <c r="I149" s="22">
        <v>300518838</v>
      </c>
      <c r="J149" s="22">
        <f>14.1927964285714*10^8</f>
        <v>1419279642.8571401</v>
      </c>
      <c r="K149" s="22">
        <v>300518838</v>
      </c>
      <c r="L149" s="23"/>
      <c r="M149" s="22">
        <v>300518838</v>
      </c>
      <c r="N149" s="58">
        <f t="shared" si="54"/>
        <v>0</v>
      </c>
      <c r="O149" s="18" t="s">
        <v>95</v>
      </c>
      <c r="P149" s="18"/>
      <c r="Q149" s="104">
        <v>300518838</v>
      </c>
      <c r="S149" s="105">
        <f>J149/10^8</f>
        <v>14.1927964285714</v>
      </c>
      <c r="T149" s="105">
        <f>K149/10^8</f>
        <v>3.0051883799999999</v>
      </c>
    </row>
    <row r="150" spans="1:20" ht="14.4" hidden="1" outlineLevel="1" thickBot="1" x14ac:dyDescent="0.45">
      <c r="A150" s="1" t="s">
        <v>93</v>
      </c>
      <c r="B150" s="1" t="s">
        <v>22</v>
      </c>
      <c r="C150" s="1" t="s">
        <v>33</v>
      </c>
      <c r="D150" s="19" t="str">
        <f t="shared" si="53"/>
        <v>1월</v>
      </c>
      <c r="E150" s="21" t="s">
        <v>25</v>
      </c>
      <c r="F150" s="21" t="s">
        <v>26</v>
      </c>
      <c r="G150" s="21" t="s">
        <v>27</v>
      </c>
      <c r="H150" s="21" t="s">
        <v>34</v>
      </c>
      <c r="I150" s="22">
        <v>618683380</v>
      </c>
      <c r="J150" s="22">
        <f>9.134775*10^8</f>
        <v>913477500</v>
      </c>
      <c r="K150" s="22">
        <v>618683380</v>
      </c>
      <c r="L150" s="23">
        <f t="shared" ref="L150:L154" si="55">+I150/J150</f>
        <v>0.6772836550435013</v>
      </c>
      <c r="M150" s="22">
        <v>618683380</v>
      </c>
      <c r="N150" s="58">
        <f t="shared" si="54"/>
        <v>0</v>
      </c>
      <c r="O150" s="18"/>
      <c r="Q150" s="104">
        <v>570578960</v>
      </c>
      <c r="S150" s="105">
        <f t="shared" ref="S150:T157" si="56">J150/10^8</f>
        <v>9.1347749999999994</v>
      </c>
      <c r="T150" s="105">
        <f t="shared" si="56"/>
        <v>6.1868337999999996</v>
      </c>
    </row>
    <row r="151" spans="1:20" ht="14.4" hidden="1" outlineLevel="1" thickBot="1" x14ac:dyDescent="0.45">
      <c r="A151" s="1" t="s">
        <v>93</v>
      </c>
      <c r="B151" s="1" t="s">
        <v>22</v>
      </c>
      <c r="C151" s="1" t="s">
        <v>35</v>
      </c>
      <c r="D151" s="19" t="str">
        <f t="shared" si="53"/>
        <v>1월</v>
      </c>
      <c r="E151" s="21" t="s">
        <v>25</v>
      </c>
      <c r="F151" s="21" t="s">
        <v>26</v>
      </c>
      <c r="G151" s="21" t="s">
        <v>27</v>
      </c>
      <c r="H151" s="21" t="s">
        <v>36</v>
      </c>
      <c r="I151" s="22">
        <v>6984278900</v>
      </c>
      <c r="J151" s="22">
        <f>67.310097*10^8</f>
        <v>6731009700</v>
      </c>
      <c r="K151" s="22">
        <v>6984278900</v>
      </c>
      <c r="L151" s="23">
        <f t="shared" si="55"/>
        <v>1.037627222554738</v>
      </c>
      <c r="M151" s="106">
        <v>6984278900</v>
      </c>
      <c r="N151" s="58">
        <f t="shared" si="54"/>
        <v>0</v>
      </c>
      <c r="O151" s="107">
        <v>6808202300</v>
      </c>
      <c r="P151" s="1" t="s">
        <v>96</v>
      </c>
      <c r="Q151" s="108">
        <v>6731009700</v>
      </c>
      <c r="S151" s="105">
        <f t="shared" si="56"/>
        <v>67.310096999999999</v>
      </c>
      <c r="T151" s="105">
        <f t="shared" si="56"/>
        <v>69.842788999999996</v>
      </c>
    </row>
    <row r="152" spans="1:20" ht="14.4" hidden="1" outlineLevel="1" thickBot="1" x14ac:dyDescent="0.45">
      <c r="A152" s="1" t="s">
        <v>93</v>
      </c>
      <c r="B152" s="1" t="s">
        <v>22</v>
      </c>
      <c r="C152" s="1" t="s">
        <v>48</v>
      </c>
      <c r="D152" s="19" t="str">
        <f t="shared" si="53"/>
        <v>1월</v>
      </c>
      <c r="E152" s="21" t="s">
        <v>25</v>
      </c>
      <c r="F152" s="21" t="s">
        <v>26</v>
      </c>
      <c r="G152" s="21" t="s">
        <v>27</v>
      </c>
      <c r="H152" s="21" t="s">
        <v>38</v>
      </c>
      <c r="I152" s="22">
        <v>67000000</v>
      </c>
      <c r="J152" s="22"/>
      <c r="K152" s="22">
        <v>67000000</v>
      </c>
      <c r="L152" s="23" t="e">
        <f t="shared" si="55"/>
        <v>#DIV/0!</v>
      </c>
      <c r="M152" s="22">
        <v>67000000</v>
      </c>
      <c r="N152" s="58">
        <f t="shared" si="54"/>
        <v>0</v>
      </c>
      <c r="O152" s="18"/>
      <c r="Q152" s="104">
        <v>67000000</v>
      </c>
      <c r="S152" s="105">
        <f t="shared" si="56"/>
        <v>0</v>
      </c>
      <c r="T152" s="105">
        <f t="shared" si="56"/>
        <v>0.67</v>
      </c>
    </row>
    <row r="153" spans="1:20" ht="14.4" hidden="1" outlineLevel="1" thickBot="1" x14ac:dyDescent="0.45">
      <c r="A153" s="1" t="s">
        <v>93</v>
      </c>
      <c r="B153" s="1" t="s">
        <v>22</v>
      </c>
      <c r="C153" s="1" t="s">
        <v>39</v>
      </c>
      <c r="D153" s="19" t="str">
        <f t="shared" si="53"/>
        <v>1월</v>
      </c>
      <c r="E153" s="21" t="s">
        <v>25</v>
      </c>
      <c r="F153" s="21" t="s">
        <v>26</v>
      </c>
      <c r="G153" s="21" t="s">
        <v>27</v>
      </c>
      <c r="H153" s="21" t="s">
        <v>40</v>
      </c>
      <c r="I153" s="22">
        <v>0</v>
      </c>
      <c r="J153" s="22"/>
      <c r="K153" s="22">
        <v>0</v>
      </c>
      <c r="L153" s="23" t="e">
        <f t="shared" si="55"/>
        <v>#DIV/0!</v>
      </c>
      <c r="M153" s="22">
        <v>0</v>
      </c>
      <c r="N153" s="58">
        <f t="shared" si="54"/>
        <v>0</v>
      </c>
      <c r="O153" s="18"/>
      <c r="Q153" s="104">
        <v>93750000</v>
      </c>
      <c r="S153" s="105">
        <f t="shared" si="56"/>
        <v>0</v>
      </c>
      <c r="T153" s="105">
        <f t="shared" si="56"/>
        <v>0</v>
      </c>
    </row>
    <row r="154" spans="1:20" ht="14.4" hidden="1" outlineLevel="1" thickBot="1" x14ac:dyDescent="0.45">
      <c r="A154" s="1" t="s">
        <v>93</v>
      </c>
      <c r="B154" s="1" t="s">
        <v>22</v>
      </c>
      <c r="C154" s="1" t="s">
        <v>44</v>
      </c>
      <c r="D154" s="19" t="str">
        <f t="shared" si="53"/>
        <v>1월</v>
      </c>
      <c r="E154" s="21" t="s">
        <v>25</v>
      </c>
      <c r="F154" s="21" t="s">
        <v>26</v>
      </c>
      <c r="G154" s="21" t="s">
        <v>27</v>
      </c>
      <c r="H154" s="21" t="s">
        <v>45</v>
      </c>
      <c r="I154" s="22">
        <v>2987895337</v>
      </c>
      <c r="J154" s="22">
        <f>18.87*10^8</f>
        <v>1887000000</v>
      </c>
      <c r="K154" s="22">
        <v>2987895337</v>
      </c>
      <c r="L154" s="23">
        <f t="shared" si="55"/>
        <v>1.5834103534711181</v>
      </c>
      <c r="M154" s="22">
        <v>2987895337</v>
      </c>
      <c r="N154" s="58">
        <f t="shared" si="54"/>
        <v>0</v>
      </c>
      <c r="O154" s="18"/>
      <c r="Q154" s="104">
        <v>2886321036</v>
      </c>
      <c r="S154" s="105">
        <f t="shared" si="56"/>
        <v>18.87</v>
      </c>
      <c r="T154" s="105">
        <f t="shared" si="56"/>
        <v>29.878953370000001</v>
      </c>
    </row>
    <row r="155" spans="1:20" ht="14.4" hidden="1" outlineLevel="1" thickBot="1" x14ac:dyDescent="0.45">
      <c r="A155" s="1" t="s">
        <v>93</v>
      </c>
      <c r="B155" s="1" t="s">
        <v>22</v>
      </c>
      <c r="C155" s="1" t="s">
        <v>46</v>
      </c>
      <c r="D155" s="19" t="str">
        <f t="shared" si="53"/>
        <v>1월</v>
      </c>
      <c r="E155" s="32" t="s">
        <v>25</v>
      </c>
      <c r="F155" s="32" t="s">
        <v>26</v>
      </c>
      <c r="G155" s="32" t="s">
        <v>27</v>
      </c>
      <c r="H155" s="32" t="s">
        <v>47</v>
      </c>
      <c r="I155" s="33">
        <v>274679167</v>
      </c>
      <c r="J155" s="33"/>
      <c r="K155" s="33">
        <v>274679167</v>
      </c>
      <c r="L155" s="34"/>
      <c r="M155" s="33">
        <v>274679167</v>
      </c>
      <c r="N155" s="58">
        <f t="shared" si="54"/>
        <v>0</v>
      </c>
      <c r="O155" s="18" t="s">
        <v>97</v>
      </c>
      <c r="Q155" s="109">
        <v>274679167</v>
      </c>
      <c r="S155" s="105">
        <f t="shared" si="56"/>
        <v>0</v>
      </c>
      <c r="T155" s="105">
        <f t="shared" si="56"/>
        <v>2.7467916699999999</v>
      </c>
    </row>
    <row r="156" spans="1:20" ht="14.4" hidden="1" outlineLevel="1" thickBot="1" x14ac:dyDescent="0.45">
      <c r="A156" s="1" t="s">
        <v>93</v>
      </c>
      <c r="B156" s="1" t="s">
        <v>22</v>
      </c>
      <c r="C156" s="1" t="s">
        <v>48</v>
      </c>
      <c r="D156" s="19" t="str">
        <f t="shared" si="53"/>
        <v>1월</v>
      </c>
      <c r="E156" s="36" t="s">
        <v>25</v>
      </c>
      <c r="F156" s="36" t="s">
        <v>26</v>
      </c>
      <c r="G156" s="36" t="s">
        <v>27</v>
      </c>
      <c r="H156" s="36" t="s">
        <v>49</v>
      </c>
      <c r="I156" s="37">
        <v>50392557</v>
      </c>
      <c r="J156" s="37">
        <v>0</v>
      </c>
      <c r="K156" s="37">
        <v>50392557</v>
      </c>
      <c r="L156" s="38" t="e">
        <f t="shared" ref="L156" si="57">+K156/J156</f>
        <v>#DIV/0!</v>
      </c>
      <c r="M156" s="37">
        <v>50392557</v>
      </c>
      <c r="N156" s="58">
        <f t="shared" si="54"/>
        <v>0</v>
      </c>
      <c r="O156" s="1" t="s">
        <v>98</v>
      </c>
      <c r="Q156" s="110">
        <f>50370059.8</f>
        <v>50370059.799999997</v>
      </c>
      <c r="S156" s="105">
        <f t="shared" si="56"/>
        <v>0</v>
      </c>
      <c r="T156" s="105">
        <f t="shared" si="56"/>
        <v>0.50392557000000004</v>
      </c>
    </row>
    <row r="157" spans="1:20" ht="14.4" collapsed="1" thickBot="1" x14ac:dyDescent="0.45">
      <c r="D157" s="144" t="s">
        <v>99</v>
      </c>
      <c r="E157" s="145"/>
      <c r="F157" s="145"/>
      <c r="G157" s="145"/>
      <c r="H157" s="146"/>
      <c r="I157" s="41">
        <f>SUM(I147:I156)</f>
        <v>11283448179</v>
      </c>
      <c r="J157" s="41">
        <f>SUM(J147:J156)</f>
        <v>10950766842.85714</v>
      </c>
      <c r="K157" s="41">
        <f>SUM(K147:K156)</f>
        <v>11283448179</v>
      </c>
      <c r="L157" s="42">
        <f>I157/J157</f>
        <v>1.0303797296496966</v>
      </c>
      <c r="M157" s="43">
        <f>SUM(M147:M156)</f>
        <v>11283448179</v>
      </c>
      <c r="N157" s="44">
        <f>SUM(N147:N156)</f>
        <v>0</v>
      </c>
      <c r="O157" s="98"/>
      <c r="S157" s="105">
        <f t="shared" si="56"/>
        <v>109.50766842857139</v>
      </c>
      <c r="T157" s="105">
        <f t="shared" si="56"/>
        <v>112.83448179</v>
      </c>
    </row>
    <row r="158" spans="1:20" ht="14.4" hidden="1" outlineLevel="1" thickBot="1" x14ac:dyDescent="0.45">
      <c r="A158" s="1" t="s">
        <v>93</v>
      </c>
      <c r="B158" s="1" t="s">
        <v>22</v>
      </c>
      <c r="C158" s="1" t="s">
        <v>94</v>
      </c>
      <c r="D158" s="12" t="s">
        <v>51</v>
      </c>
      <c r="E158" s="92" t="s">
        <v>25</v>
      </c>
      <c r="F158" s="92" t="s">
        <v>26</v>
      </c>
      <c r="G158" s="92" t="s">
        <v>27</v>
      </c>
      <c r="H158" s="92" t="s">
        <v>28</v>
      </c>
      <c r="I158" s="93"/>
      <c r="J158" s="93"/>
      <c r="K158" s="93"/>
      <c r="L158" s="94" t="e">
        <f t="shared" ref="L158" si="58">+I158/J158</f>
        <v>#DIV/0!</v>
      </c>
      <c r="M158" s="93"/>
      <c r="N158" s="79">
        <f>K158-M158</f>
        <v>0</v>
      </c>
      <c r="O158" s="18"/>
    </row>
    <row r="159" spans="1:20" ht="14.4" hidden="1" outlineLevel="1" thickBot="1" x14ac:dyDescent="0.45">
      <c r="A159" s="1" t="s">
        <v>93</v>
      </c>
      <c r="B159" s="1" t="s">
        <v>22</v>
      </c>
      <c r="C159" s="1" t="s">
        <v>94</v>
      </c>
      <c r="D159" s="19" t="str">
        <f t="shared" ref="D159:D167" si="59">D158</f>
        <v>2월</v>
      </c>
      <c r="E159" s="21" t="s">
        <v>25</v>
      </c>
      <c r="F159" s="21" t="s">
        <v>26</v>
      </c>
      <c r="G159" s="21" t="s">
        <v>27</v>
      </c>
      <c r="H159" s="21" t="s">
        <v>30</v>
      </c>
      <c r="I159" s="22"/>
      <c r="J159" s="22"/>
      <c r="K159" s="22"/>
      <c r="L159" s="23"/>
      <c r="M159" s="22"/>
      <c r="N159" s="58">
        <f t="shared" ref="N159:N167" si="60">K159-M159</f>
        <v>0</v>
      </c>
      <c r="O159" s="111"/>
    </row>
    <row r="160" spans="1:20" ht="14.4" hidden="1" outlineLevel="1" thickBot="1" x14ac:dyDescent="0.45">
      <c r="A160" s="1" t="s">
        <v>93</v>
      </c>
      <c r="B160" s="1" t="s">
        <v>22</v>
      </c>
      <c r="C160" s="1" t="s">
        <v>31</v>
      </c>
      <c r="D160" s="19" t="str">
        <f t="shared" si="59"/>
        <v>2월</v>
      </c>
      <c r="E160" s="20" t="s">
        <v>25</v>
      </c>
      <c r="F160" s="21" t="s">
        <v>26</v>
      </c>
      <c r="G160" s="21" t="s">
        <v>27</v>
      </c>
      <c r="H160" s="21" t="s">
        <v>32</v>
      </c>
      <c r="I160" s="106">
        <v>1260945478</v>
      </c>
      <c r="J160" s="22">
        <f>8.77043142857143*10^8</f>
        <v>877043142.85714293</v>
      </c>
      <c r="K160" s="22">
        <v>1260945478</v>
      </c>
      <c r="L160" s="23"/>
      <c r="M160" s="22">
        <v>1260945478</v>
      </c>
      <c r="N160" s="58">
        <f t="shared" si="60"/>
        <v>0</v>
      </c>
      <c r="O160" s="18"/>
      <c r="P160" s="18"/>
      <c r="Q160" s="105"/>
      <c r="T160" s="105">
        <f>K160/10^8</f>
        <v>12.60945478</v>
      </c>
    </row>
    <row r="161" spans="1:20" ht="14.4" hidden="1" outlineLevel="1" thickBot="1" x14ac:dyDescent="0.45">
      <c r="A161" s="1" t="s">
        <v>93</v>
      </c>
      <c r="B161" s="1" t="s">
        <v>22</v>
      </c>
      <c r="C161" s="1" t="s">
        <v>33</v>
      </c>
      <c r="D161" s="19" t="str">
        <f t="shared" si="59"/>
        <v>2월</v>
      </c>
      <c r="E161" s="21" t="s">
        <v>25</v>
      </c>
      <c r="F161" s="21" t="s">
        <v>26</v>
      </c>
      <c r="G161" s="21" t="s">
        <v>27</v>
      </c>
      <c r="H161" s="21" t="s">
        <v>34</v>
      </c>
      <c r="I161" s="106">
        <v>437945280</v>
      </c>
      <c r="J161" s="22">
        <f>0.99225*10^8</f>
        <v>99225000</v>
      </c>
      <c r="K161" s="22">
        <v>437945280</v>
      </c>
      <c r="L161" s="23">
        <f>+I161/J161</f>
        <v>4.4136586545729406</v>
      </c>
      <c r="M161" s="22">
        <v>437945280</v>
      </c>
      <c r="N161" s="58">
        <f t="shared" si="60"/>
        <v>0</v>
      </c>
      <c r="O161" s="18"/>
      <c r="Q161" s="105"/>
      <c r="T161" s="105">
        <f t="shared" ref="T161:T168" si="61">K161/10^8</f>
        <v>4.3794528000000001</v>
      </c>
    </row>
    <row r="162" spans="1:20" ht="14.4" hidden="1" outlineLevel="1" thickBot="1" x14ac:dyDescent="0.45">
      <c r="A162" s="1" t="s">
        <v>93</v>
      </c>
      <c r="B162" s="1" t="s">
        <v>22</v>
      </c>
      <c r="C162" s="1" t="s">
        <v>35</v>
      </c>
      <c r="D162" s="19" t="str">
        <f t="shared" si="59"/>
        <v>2월</v>
      </c>
      <c r="E162" s="21" t="s">
        <v>25</v>
      </c>
      <c r="F162" s="21" t="s">
        <v>26</v>
      </c>
      <c r="G162" s="21" t="s">
        <v>27</v>
      </c>
      <c r="H162" s="21" t="s">
        <v>36</v>
      </c>
      <c r="I162" s="106">
        <v>4996954100</v>
      </c>
      <c r="J162" s="22">
        <f>32.736848*10^8</f>
        <v>3273684800</v>
      </c>
      <c r="K162" s="22">
        <v>4996954100</v>
      </c>
      <c r="L162" s="23">
        <f t="shared" ref="L162:L165" si="62">+I162/J162</f>
        <v>1.5264004952462131</v>
      </c>
      <c r="M162" s="22">
        <v>4996954100</v>
      </c>
      <c r="N162" s="58">
        <f t="shared" si="60"/>
        <v>0</v>
      </c>
      <c r="O162" s="18"/>
      <c r="Q162" s="105"/>
      <c r="T162" s="105">
        <f t="shared" si="61"/>
        <v>49.969541</v>
      </c>
    </row>
    <row r="163" spans="1:20" ht="14.4" hidden="1" outlineLevel="1" thickBot="1" x14ac:dyDescent="0.45">
      <c r="A163" s="1" t="s">
        <v>93</v>
      </c>
      <c r="B163" s="1" t="s">
        <v>22</v>
      </c>
      <c r="C163" s="1" t="s">
        <v>48</v>
      </c>
      <c r="D163" s="19" t="str">
        <f t="shared" si="59"/>
        <v>2월</v>
      </c>
      <c r="E163" s="21" t="s">
        <v>25</v>
      </c>
      <c r="F163" s="21" t="s">
        <v>26</v>
      </c>
      <c r="G163" s="21" t="s">
        <v>27</v>
      </c>
      <c r="H163" s="21" t="s">
        <v>38</v>
      </c>
      <c r="I163" s="22"/>
      <c r="J163" s="22"/>
      <c r="K163" s="22"/>
      <c r="L163" s="23" t="e">
        <f t="shared" si="62"/>
        <v>#DIV/0!</v>
      </c>
      <c r="M163" s="22"/>
      <c r="N163" s="58">
        <f t="shared" si="60"/>
        <v>0</v>
      </c>
      <c r="O163" s="18"/>
      <c r="Q163" s="105"/>
      <c r="T163" s="105">
        <f t="shared" si="61"/>
        <v>0</v>
      </c>
    </row>
    <row r="164" spans="1:20" ht="14.4" hidden="1" outlineLevel="1" thickBot="1" x14ac:dyDescent="0.45">
      <c r="A164" s="1" t="s">
        <v>93</v>
      </c>
      <c r="B164" s="1" t="s">
        <v>22</v>
      </c>
      <c r="C164" s="1" t="s">
        <v>39</v>
      </c>
      <c r="D164" s="19" t="str">
        <f t="shared" si="59"/>
        <v>2월</v>
      </c>
      <c r="E164" s="21" t="s">
        <v>25</v>
      </c>
      <c r="F164" s="21" t="s">
        <v>26</v>
      </c>
      <c r="G164" s="21" t="s">
        <v>27</v>
      </c>
      <c r="H164" s="21" t="s">
        <v>40</v>
      </c>
      <c r="I164" s="22"/>
      <c r="J164" s="22">
        <f>2.075*10^8</f>
        <v>207500000.00000003</v>
      </c>
      <c r="K164" s="22"/>
      <c r="L164" s="23">
        <f t="shared" si="62"/>
        <v>0</v>
      </c>
      <c r="M164" s="22"/>
      <c r="N164" s="58">
        <f t="shared" si="60"/>
        <v>0</v>
      </c>
      <c r="O164" s="112" t="s">
        <v>100</v>
      </c>
      <c r="Q164" s="105"/>
      <c r="T164" s="105">
        <f t="shared" si="61"/>
        <v>0</v>
      </c>
    </row>
    <row r="165" spans="1:20" ht="14.4" hidden="1" outlineLevel="1" thickBot="1" x14ac:dyDescent="0.45">
      <c r="A165" s="1" t="s">
        <v>93</v>
      </c>
      <c r="B165" s="1" t="s">
        <v>22</v>
      </c>
      <c r="C165" s="1" t="s">
        <v>44</v>
      </c>
      <c r="D165" s="19" t="str">
        <f t="shared" si="59"/>
        <v>2월</v>
      </c>
      <c r="E165" s="21" t="s">
        <v>25</v>
      </c>
      <c r="F165" s="21" t="s">
        <v>26</v>
      </c>
      <c r="G165" s="21" t="s">
        <v>27</v>
      </c>
      <c r="H165" s="21" t="s">
        <v>45</v>
      </c>
      <c r="I165" s="106">
        <v>26295337</v>
      </c>
      <c r="J165" s="22">
        <f>10.62*10^8</f>
        <v>1061999999.9999999</v>
      </c>
      <c r="K165" s="22">
        <v>26295337</v>
      </c>
      <c r="L165" s="23">
        <f t="shared" si="62"/>
        <v>2.4760204331450097E-2</v>
      </c>
      <c r="M165" s="22">
        <v>26295337</v>
      </c>
      <c r="N165" s="58">
        <f t="shared" si="60"/>
        <v>0</v>
      </c>
      <c r="O165" s="18"/>
      <c r="Q165" s="105"/>
      <c r="T165" s="105">
        <f t="shared" si="61"/>
        <v>0.26295337000000002</v>
      </c>
    </row>
    <row r="166" spans="1:20" ht="14.4" hidden="1" outlineLevel="1" thickBot="1" x14ac:dyDescent="0.45">
      <c r="A166" s="1" t="s">
        <v>93</v>
      </c>
      <c r="B166" s="1" t="s">
        <v>22</v>
      </c>
      <c r="C166" s="1" t="s">
        <v>46</v>
      </c>
      <c r="D166" s="19" t="str">
        <f t="shared" si="59"/>
        <v>2월</v>
      </c>
      <c r="E166" s="32" t="s">
        <v>25</v>
      </c>
      <c r="F166" s="32" t="s">
        <v>26</v>
      </c>
      <c r="G166" s="32" t="s">
        <v>27</v>
      </c>
      <c r="H166" s="32" t="s">
        <v>47</v>
      </c>
      <c r="I166" s="113">
        <v>31604167</v>
      </c>
      <c r="J166" s="33">
        <f>0.46875*10^8</f>
        <v>46875000</v>
      </c>
      <c r="K166" s="33">
        <v>31604167</v>
      </c>
      <c r="L166" s="34"/>
      <c r="M166" s="33">
        <v>31604167</v>
      </c>
      <c r="N166" s="58">
        <f>K166-M166</f>
        <v>0</v>
      </c>
      <c r="O166" s="18"/>
      <c r="Q166" s="105"/>
      <c r="T166" s="105">
        <f t="shared" si="61"/>
        <v>0.31604167</v>
      </c>
    </row>
    <row r="167" spans="1:20" ht="14.4" hidden="1" outlineLevel="1" thickBot="1" x14ac:dyDescent="0.45">
      <c r="A167" s="1" t="s">
        <v>93</v>
      </c>
      <c r="B167" s="1" t="s">
        <v>22</v>
      </c>
      <c r="C167" s="1" t="s">
        <v>48</v>
      </c>
      <c r="D167" s="97" t="str">
        <f t="shared" si="59"/>
        <v>2월</v>
      </c>
      <c r="E167" s="36" t="s">
        <v>25</v>
      </c>
      <c r="F167" s="36" t="s">
        <v>26</v>
      </c>
      <c r="G167" s="36" t="s">
        <v>27</v>
      </c>
      <c r="H167" s="36" t="s">
        <v>49</v>
      </c>
      <c r="I167" s="37">
        <v>7916910</v>
      </c>
      <c r="J167" s="37"/>
      <c r="K167" s="37">
        <v>7916910</v>
      </c>
      <c r="L167" s="38" t="e">
        <f t="shared" ref="L167" si="63">+K167/J167</f>
        <v>#DIV/0!</v>
      </c>
      <c r="M167" s="37">
        <v>7916910</v>
      </c>
      <c r="N167" s="58">
        <f t="shared" si="60"/>
        <v>0</v>
      </c>
      <c r="O167" s="1" t="s">
        <v>101</v>
      </c>
      <c r="T167" s="105">
        <f t="shared" si="61"/>
        <v>7.9169100000000006E-2</v>
      </c>
    </row>
    <row r="168" spans="1:20" ht="14.4" collapsed="1" thickBot="1" x14ac:dyDescent="0.45">
      <c r="D168" s="144" t="s">
        <v>102</v>
      </c>
      <c r="E168" s="145"/>
      <c r="F168" s="145"/>
      <c r="G168" s="145"/>
      <c r="H168" s="146"/>
      <c r="I168" s="41">
        <f>SUM(I158:I167)</f>
        <v>6761661272</v>
      </c>
      <c r="J168" s="41">
        <f>SUM(J158:J167)</f>
        <v>5566327942.8571434</v>
      </c>
      <c r="K168" s="41">
        <f>SUM(K158:K167)</f>
        <v>6761661272</v>
      </c>
      <c r="L168" s="42">
        <f>I168/J168</f>
        <v>1.2147436050146379</v>
      </c>
      <c r="M168" s="43">
        <f>SUM(M158:M167)</f>
        <v>6761661272</v>
      </c>
      <c r="N168" s="44">
        <f>SUM(N158:N167)</f>
        <v>0</v>
      </c>
      <c r="O168" s="98"/>
      <c r="T168" s="105">
        <f t="shared" si="61"/>
        <v>67.616612720000006</v>
      </c>
    </row>
    <row r="169" spans="1:20" ht="14.4" hidden="1" outlineLevel="1" thickBot="1" x14ac:dyDescent="0.45">
      <c r="A169" s="1" t="s">
        <v>93</v>
      </c>
      <c r="B169" s="1" t="s">
        <v>22</v>
      </c>
      <c r="C169" s="1" t="s">
        <v>94</v>
      </c>
      <c r="D169" s="12" t="s">
        <v>53</v>
      </c>
      <c r="E169" s="92" t="s">
        <v>25</v>
      </c>
      <c r="F169" s="92" t="s">
        <v>26</v>
      </c>
      <c r="G169" s="92" t="s">
        <v>27</v>
      </c>
      <c r="H169" s="92" t="s">
        <v>28</v>
      </c>
      <c r="I169" s="93"/>
      <c r="J169" s="93">
        <f>'[1]2024년 계획_변경적용'!Q78</f>
        <v>0</v>
      </c>
      <c r="K169" s="93">
        <v>0</v>
      </c>
      <c r="L169" s="94" t="e">
        <f t="shared" ref="L169" si="64">+I169/J169</f>
        <v>#DIV/0!</v>
      </c>
      <c r="M169" s="93">
        <v>0</v>
      </c>
      <c r="N169" s="79">
        <f>K169-M169</f>
        <v>0</v>
      </c>
      <c r="O169" s="18"/>
    </row>
    <row r="170" spans="1:20" ht="14.4" hidden="1" outlineLevel="1" thickBot="1" x14ac:dyDescent="0.45">
      <c r="A170" s="1" t="s">
        <v>93</v>
      </c>
      <c r="B170" s="1" t="s">
        <v>22</v>
      </c>
      <c r="C170" s="1" t="s">
        <v>94</v>
      </c>
      <c r="D170" s="19" t="str">
        <f t="shared" ref="D170:D178" si="65">D169</f>
        <v>3월</v>
      </c>
      <c r="E170" s="21" t="s">
        <v>25</v>
      </c>
      <c r="F170" s="21" t="s">
        <v>26</v>
      </c>
      <c r="G170" s="21" t="s">
        <v>27</v>
      </c>
      <c r="H170" s="21" t="s">
        <v>30</v>
      </c>
      <c r="I170" s="22"/>
      <c r="J170" s="22">
        <f>'[1]2024년 계획_변경적용'!Q77</f>
        <v>0</v>
      </c>
      <c r="K170" s="22">
        <v>0</v>
      </c>
      <c r="L170" s="23"/>
      <c r="M170" s="106">
        <v>0</v>
      </c>
      <c r="N170" s="58">
        <f t="shared" ref="N170:N178" si="66">K170-M170</f>
        <v>0</v>
      </c>
      <c r="O170" s="18"/>
    </row>
    <row r="171" spans="1:20" ht="14.4" hidden="1" outlineLevel="1" thickBot="1" x14ac:dyDescent="0.45">
      <c r="A171" s="1" t="s">
        <v>93</v>
      </c>
      <c r="B171" s="1" t="s">
        <v>22</v>
      </c>
      <c r="C171" s="1" t="s">
        <v>31</v>
      </c>
      <c r="D171" s="19" t="str">
        <f t="shared" si="65"/>
        <v>3월</v>
      </c>
      <c r="E171" s="20" t="s">
        <v>25</v>
      </c>
      <c r="F171" s="21" t="s">
        <v>26</v>
      </c>
      <c r="G171" s="21" t="s">
        <v>27</v>
      </c>
      <c r="H171" s="21" t="s">
        <v>32</v>
      </c>
      <c r="I171" s="22">
        <v>236481614.99999997</v>
      </c>
      <c r="J171" s="22">
        <f>9.436245*10^8</f>
        <v>943624500</v>
      </c>
      <c r="K171" s="22">
        <v>236481614.99999997</v>
      </c>
      <c r="L171" s="23"/>
      <c r="M171" s="22">
        <v>236481614.99999997</v>
      </c>
      <c r="N171" s="58">
        <f t="shared" si="66"/>
        <v>0</v>
      </c>
      <c r="O171" s="18" t="s">
        <v>103</v>
      </c>
      <c r="P171" s="114">
        <f>J171/10^8</f>
        <v>9.4362449999999995</v>
      </c>
      <c r="Q171" s="115">
        <f>K171/10^8</f>
        <v>2.3648161499999998</v>
      </c>
      <c r="T171" s="105">
        <f>K171/10^8</f>
        <v>2.3648161499999998</v>
      </c>
    </row>
    <row r="172" spans="1:20" ht="14.4" hidden="1" outlineLevel="1" thickBot="1" x14ac:dyDescent="0.45">
      <c r="A172" s="1" t="s">
        <v>93</v>
      </c>
      <c r="B172" s="1" t="s">
        <v>22</v>
      </c>
      <c r="C172" s="1" t="s">
        <v>33</v>
      </c>
      <c r="D172" s="19" t="str">
        <f t="shared" si="65"/>
        <v>3월</v>
      </c>
      <c r="E172" s="21" t="s">
        <v>25</v>
      </c>
      <c r="F172" s="21" t="s">
        <v>26</v>
      </c>
      <c r="G172" s="21" t="s">
        <v>27</v>
      </c>
      <c r="H172" s="21" t="s">
        <v>34</v>
      </c>
      <c r="I172" s="22">
        <v>402235980</v>
      </c>
      <c r="J172" s="22">
        <f>7.7927*10^8</f>
        <v>779270000</v>
      </c>
      <c r="K172" s="22">
        <v>402235980</v>
      </c>
      <c r="L172" s="23">
        <f t="shared" ref="L172:L176" si="67">+I172/J172</f>
        <v>0.51617023624674374</v>
      </c>
      <c r="M172" s="22">
        <v>402235980</v>
      </c>
      <c r="N172" s="58">
        <f t="shared" si="66"/>
        <v>0</v>
      </c>
      <c r="O172" s="116" t="s">
        <v>104</v>
      </c>
      <c r="P172" s="114">
        <f t="shared" ref="P172:Q178" si="68">J172/10^8</f>
        <v>7.7927</v>
      </c>
      <c r="Q172" s="115">
        <f t="shared" si="68"/>
        <v>4.0223598000000003</v>
      </c>
      <c r="T172" s="105">
        <f t="shared" ref="T172:T179" si="69">K172/10^8</f>
        <v>4.0223598000000003</v>
      </c>
    </row>
    <row r="173" spans="1:20" ht="14.4" hidden="1" outlineLevel="1" thickBot="1" x14ac:dyDescent="0.45">
      <c r="A173" s="1" t="s">
        <v>93</v>
      </c>
      <c r="B173" s="1" t="s">
        <v>22</v>
      </c>
      <c r="C173" s="1" t="s">
        <v>35</v>
      </c>
      <c r="D173" s="19" t="str">
        <f t="shared" si="65"/>
        <v>3월</v>
      </c>
      <c r="E173" s="21" t="s">
        <v>25</v>
      </c>
      <c r="F173" s="21" t="s">
        <v>26</v>
      </c>
      <c r="G173" s="21" t="s">
        <v>27</v>
      </c>
      <c r="H173" s="21" t="s">
        <v>36</v>
      </c>
      <c r="I173" s="22">
        <v>6923572799.999999</v>
      </c>
      <c r="J173" s="22">
        <f>76.82012*10^8</f>
        <v>7682012000</v>
      </c>
      <c r="K173" s="22">
        <v>6923572799.999999</v>
      </c>
      <c r="L173" s="23">
        <f t="shared" si="67"/>
        <v>0.90127076083713475</v>
      </c>
      <c r="M173" s="22">
        <v>6923572799.999999</v>
      </c>
      <c r="N173" s="58">
        <f t="shared" si="66"/>
        <v>0</v>
      </c>
      <c r="O173" s="116">
        <v>1416002000</v>
      </c>
      <c r="P173" s="114">
        <f t="shared" si="68"/>
        <v>76.820120000000003</v>
      </c>
      <c r="Q173" s="115">
        <f t="shared" si="68"/>
        <v>69.235727999999995</v>
      </c>
      <c r="T173" s="105">
        <f t="shared" si="69"/>
        <v>69.235727999999995</v>
      </c>
    </row>
    <row r="174" spans="1:20" ht="14.4" hidden="1" outlineLevel="1" thickBot="1" x14ac:dyDescent="0.45">
      <c r="A174" s="1" t="s">
        <v>93</v>
      </c>
      <c r="B174" s="1" t="s">
        <v>22</v>
      </c>
      <c r="C174" s="1" t="s">
        <v>48</v>
      </c>
      <c r="D174" s="19" t="str">
        <f t="shared" si="65"/>
        <v>3월</v>
      </c>
      <c r="E174" s="21" t="s">
        <v>25</v>
      </c>
      <c r="F174" s="21" t="s">
        <v>26</v>
      </c>
      <c r="G174" s="21" t="s">
        <v>27</v>
      </c>
      <c r="H174" s="21" t="s">
        <v>38</v>
      </c>
      <c r="I174" s="22"/>
      <c r="J174" s="22">
        <f>'[1]2024년 계획_변경적용'!Q83</f>
        <v>0</v>
      </c>
      <c r="K174" s="22"/>
      <c r="L174" s="23" t="e">
        <f t="shared" si="67"/>
        <v>#DIV/0!</v>
      </c>
      <c r="M174" s="22"/>
      <c r="N174" s="58">
        <f t="shared" si="66"/>
        <v>0</v>
      </c>
      <c r="O174" s="18"/>
      <c r="P174" s="114">
        <f t="shared" si="68"/>
        <v>0</v>
      </c>
      <c r="Q174" s="115">
        <f t="shared" si="68"/>
        <v>0</v>
      </c>
      <c r="T174" s="105">
        <f t="shared" si="69"/>
        <v>0</v>
      </c>
    </row>
    <row r="175" spans="1:20" ht="14.4" hidden="1" outlineLevel="1" thickBot="1" x14ac:dyDescent="0.45">
      <c r="A175" s="1" t="s">
        <v>93</v>
      </c>
      <c r="B175" s="1" t="s">
        <v>22</v>
      </c>
      <c r="C175" s="1" t="s">
        <v>39</v>
      </c>
      <c r="D175" s="19" t="str">
        <f t="shared" si="65"/>
        <v>3월</v>
      </c>
      <c r="E175" s="21" t="s">
        <v>25</v>
      </c>
      <c r="F175" s="21" t="s">
        <v>26</v>
      </c>
      <c r="G175" s="21" t="s">
        <v>27</v>
      </c>
      <c r="H175" s="21" t="s">
        <v>40</v>
      </c>
      <c r="I175" s="22">
        <v>366000000</v>
      </c>
      <c r="J175" s="22">
        <f>3.5025*10^8</f>
        <v>350250000</v>
      </c>
      <c r="K175" s="22">
        <v>366000000</v>
      </c>
      <c r="L175" s="23">
        <f t="shared" si="67"/>
        <v>1.044967880085653</v>
      </c>
      <c r="M175" s="22">
        <v>366000000</v>
      </c>
      <c r="N175" s="58">
        <f t="shared" si="66"/>
        <v>0</v>
      </c>
      <c r="O175" s="18" t="s">
        <v>105</v>
      </c>
      <c r="P175" s="114">
        <f t="shared" si="68"/>
        <v>3.5024999999999999</v>
      </c>
      <c r="Q175" s="115">
        <f t="shared" si="68"/>
        <v>3.66</v>
      </c>
      <c r="T175" s="105">
        <f t="shared" si="69"/>
        <v>3.66</v>
      </c>
    </row>
    <row r="176" spans="1:20" ht="14.4" hidden="1" outlineLevel="1" thickBot="1" x14ac:dyDescent="0.45">
      <c r="A176" s="1" t="s">
        <v>93</v>
      </c>
      <c r="B176" s="1" t="s">
        <v>22</v>
      </c>
      <c r="C176" s="1" t="s">
        <v>44</v>
      </c>
      <c r="D176" s="19" t="str">
        <f t="shared" si="65"/>
        <v>3월</v>
      </c>
      <c r="E176" s="21" t="s">
        <v>25</v>
      </c>
      <c r="F176" s="21" t="s">
        <v>26</v>
      </c>
      <c r="G176" s="21" t="s">
        <v>27</v>
      </c>
      <c r="H176" s="21" t="s">
        <v>45</v>
      </c>
      <c r="I176" s="22">
        <v>1213295337</v>
      </c>
      <c r="J176" s="22">
        <f>9.9*10^8</f>
        <v>990000000</v>
      </c>
      <c r="K176" s="22">
        <v>1213295337</v>
      </c>
      <c r="L176" s="23">
        <f t="shared" si="67"/>
        <v>1.2255508454545454</v>
      </c>
      <c r="M176" s="22">
        <v>1213295337</v>
      </c>
      <c r="N176" s="58">
        <f t="shared" si="66"/>
        <v>0</v>
      </c>
      <c r="O176" s="18"/>
      <c r="P176" s="114">
        <f t="shared" si="68"/>
        <v>9.9</v>
      </c>
      <c r="Q176" s="115">
        <f t="shared" si="68"/>
        <v>12.132953369999999</v>
      </c>
      <c r="T176" s="105">
        <f t="shared" si="69"/>
        <v>12.132953369999999</v>
      </c>
    </row>
    <row r="177" spans="1:20" ht="14.4" hidden="1" outlineLevel="1" thickBot="1" x14ac:dyDescent="0.45">
      <c r="A177" s="1" t="s">
        <v>93</v>
      </c>
      <c r="B177" s="1" t="s">
        <v>22</v>
      </c>
      <c r="C177" s="1" t="s">
        <v>46</v>
      </c>
      <c r="D177" s="19" t="str">
        <f t="shared" si="65"/>
        <v>3월</v>
      </c>
      <c r="E177" s="32" t="s">
        <v>25</v>
      </c>
      <c r="F177" s="32" t="s">
        <v>26</v>
      </c>
      <c r="G177" s="32" t="s">
        <v>27</v>
      </c>
      <c r="H177" s="32" t="s">
        <v>47</v>
      </c>
      <c r="I177" s="33">
        <v>223708334</v>
      </c>
      <c r="J177" s="33">
        <f>1.40625*10^8</f>
        <v>140625000</v>
      </c>
      <c r="K177" s="33">
        <v>223708334</v>
      </c>
      <c r="L177" s="34"/>
      <c r="M177" s="33">
        <v>223708334</v>
      </c>
      <c r="N177" s="58">
        <f t="shared" si="66"/>
        <v>0</v>
      </c>
      <c r="O177" s="18"/>
      <c r="P177" s="114">
        <f t="shared" si="68"/>
        <v>1.40625</v>
      </c>
      <c r="Q177" s="115">
        <f t="shared" si="68"/>
        <v>2.2370833399999999</v>
      </c>
      <c r="T177" s="105">
        <f t="shared" si="69"/>
        <v>2.2370833399999999</v>
      </c>
    </row>
    <row r="178" spans="1:20" ht="14.4" hidden="1" outlineLevel="1" thickBot="1" x14ac:dyDescent="0.45">
      <c r="A178" s="1" t="s">
        <v>93</v>
      </c>
      <c r="B178" s="1" t="s">
        <v>22</v>
      </c>
      <c r="C178" s="1" t="s">
        <v>48</v>
      </c>
      <c r="D178" s="97" t="str">
        <f t="shared" si="65"/>
        <v>3월</v>
      </c>
      <c r="E178" s="36" t="s">
        <v>25</v>
      </c>
      <c r="F178" s="36" t="s">
        <v>26</v>
      </c>
      <c r="G178" s="36" t="s">
        <v>27</v>
      </c>
      <c r="H178" s="36" t="s">
        <v>49</v>
      </c>
      <c r="I178" s="37">
        <v>139494700</v>
      </c>
      <c r="J178" s="37">
        <v>0</v>
      </c>
      <c r="K178" s="37">
        <v>139494700</v>
      </c>
      <c r="L178" s="38" t="e">
        <f t="shared" ref="L178" si="70">+K178/J178</f>
        <v>#DIV/0!</v>
      </c>
      <c r="M178" s="37">
        <v>139494700</v>
      </c>
      <c r="N178" s="58">
        <f t="shared" si="66"/>
        <v>0</v>
      </c>
      <c r="O178" s="3"/>
      <c r="P178" s="114">
        <f t="shared" si="68"/>
        <v>0</v>
      </c>
      <c r="Q178" s="115">
        <f t="shared" si="68"/>
        <v>1.3949469999999999</v>
      </c>
      <c r="T178" s="105">
        <f t="shared" si="69"/>
        <v>1.3949469999999999</v>
      </c>
    </row>
    <row r="179" spans="1:20" ht="14.4" collapsed="1" thickBot="1" x14ac:dyDescent="0.45">
      <c r="D179" s="144" t="s">
        <v>106</v>
      </c>
      <c r="E179" s="145"/>
      <c r="F179" s="145"/>
      <c r="G179" s="145"/>
      <c r="H179" s="146"/>
      <c r="I179" s="41">
        <f>SUM(I169:I178)</f>
        <v>9504788766</v>
      </c>
      <c r="J179" s="41">
        <f>SUM(J169:J178)</f>
        <v>10885781500</v>
      </c>
      <c r="K179" s="41">
        <f>SUM(K169:K178)</f>
        <v>9504788766</v>
      </c>
      <c r="L179" s="42">
        <f>I179/J179</f>
        <v>0.87313793373493676</v>
      </c>
      <c r="M179" s="43">
        <f>SUM(M169:M178)</f>
        <v>9504788766</v>
      </c>
      <c r="N179" s="44">
        <f>SUM(N169:N178)</f>
        <v>0</v>
      </c>
      <c r="O179" s="98"/>
      <c r="P179" s="114"/>
      <c r="T179" s="105">
        <f t="shared" si="69"/>
        <v>95.047887660000001</v>
      </c>
    </row>
    <row r="180" spans="1:20" ht="14.4" thickBot="1" x14ac:dyDescent="0.45">
      <c r="D180" s="147" t="s">
        <v>107</v>
      </c>
      <c r="E180" s="148"/>
      <c r="F180" s="148"/>
      <c r="G180" s="148"/>
      <c r="H180" s="149"/>
      <c r="I180" s="53">
        <f>SUM(I157,I168,I179)</f>
        <v>27549898217</v>
      </c>
      <c r="J180" s="53">
        <f>SUM(J157,J168,J179)</f>
        <v>27402876285.714283</v>
      </c>
      <c r="K180" s="53">
        <f>SUM(K157,K168,K179)</f>
        <v>27549898217</v>
      </c>
      <c r="L180" s="54">
        <f>I180/J180</f>
        <v>1.005365200709327</v>
      </c>
      <c r="M180" s="53">
        <f>SUM(M157,M168,M179)</f>
        <v>27549898217</v>
      </c>
      <c r="N180" s="53">
        <f>SUM(N157,N168,N179)</f>
        <v>0</v>
      </c>
      <c r="O180" s="18">
        <f>J180-K180</f>
        <v>-147021931.28571701</v>
      </c>
    </row>
    <row r="181" spans="1:20" ht="14.4" hidden="1" outlineLevel="1" thickBot="1" x14ac:dyDescent="0.45">
      <c r="A181" s="1" t="s">
        <v>93</v>
      </c>
      <c r="B181" s="1" t="s">
        <v>58</v>
      </c>
      <c r="C181" s="1" t="s">
        <v>94</v>
      </c>
      <c r="D181" s="12" t="s">
        <v>59</v>
      </c>
      <c r="E181" s="117" t="s">
        <v>25</v>
      </c>
      <c r="F181" s="92" t="s">
        <v>26</v>
      </c>
      <c r="G181" s="117" t="s">
        <v>27</v>
      </c>
      <c r="H181" s="92" t="s">
        <v>28</v>
      </c>
      <c r="I181" s="93"/>
      <c r="J181" s="93"/>
      <c r="K181" s="93"/>
      <c r="L181" s="94" t="e">
        <f t="shared" ref="L181" si="71">+I181/J181</f>
        <v>#DIV/0!</v>
      </c>
      <c r="M181" s="93"/>
      <c r="N181" s="79">
        <f>K181-M181</f>
        <v>0</v>
      </c>
      <c r="O181" s="18"/>
    </row>
    <row r="182" spans="1:20" ht="14.4" hidden="1" outlineLevel="1" thickBot="1" x14ac:dyDescent="0.45">
      <c r="A182" s="1" t="s">
        <v>93</v>
      </c>
      <c r="B182" s="1" t="s">
        <v>58</v>
      </c>
      <c r="C182" s="1" t="s">
        <v>94</v>
      </c>
      <c r="D182" s="19" t="str">
        <f t="shared" ref="D182:D190" si="72">D181</f>
        <v>4월</v>
      </c>
      <c r="E182" s="118" t="s">
        <v>25</v>
      </c>
      <c r="F182" s="21" t="s">
        <v>26</v>
      </c>
      <c r="G182" s="118" t="s">
        <v>27</v>
      </c>
      <c r="H182" s="21" t="s">
        <v>30</v>
      </c>
      <c r="I182" s="22"/>
      <c r="J182" s="22"/>
      <c r="K182" s="22"/>
      <c r="L182" s="23"/>
      <c r="M182" s="22"/>
      <c r="N182" s="58">
        <f t="shared" ref="N182:N190" si="73">K182-M182</f>
        <v>0</v>
      </c>
      <c r="O182" s="18"/>
    </row>
    <row r="183" spans="1:20" ht="14.4" hidden="1" outlineLevel="1" thickBot="1" x14ac:dyDescent="0.45">
      <c r="A183" s="1" t="s">
        <v>93</v>
      </c>
      <c r="B183" s="1" t="s">
        <v>58</v>
      </c>
      <c r="C183" s="1" t="s">
        <v>31</v>
      </c>
      <c r="D183" s="19" t="str">
        <f t="shared" si="72"/>
        <v>4월</v>
      </c>
      <c r="E183" s="119" t="s">
        <v>25</v>
      </c>
      <c r="F183" s="21" t="s">
        <v>26</v>
      </c>
      <c r="G183" s="118" t="s">
        <v>27</v>
      </c>
      <c r="H183" s="21" t="s">
        <v>32</v>
      </c>
      <c r="I183" s="22">
        <v>604729361</v>
      </c>
      <c r="J183" s="22">
        <v>606572571.42857146</v>
      </c>
      <c r="K183" s="22">
        <v>604729361</v>
      </c>
      <c r="L183" s="23"/>
      <c r="M183" s="22">
        <v>604729361</v>
      </c>
      <c r="N183" s="58">
        <f t="shared" si="73"/>
        <v>0</v>
      </c>
      <c r="O183" s="18" t="s">
        <v>108</v>
      </c>
    </row>
    <row r="184" spans="1:20" ht="14.4" hidden="1" outlineLevel="1" thickBot="1" x14ac:dyDescent="0.45">
      <c r="A184" s="1" t="s">
        <v>93</v>
      </c>
      <c r="B184" s="1" t="s">
        <v>58</v>
      </c>
      <c r="C184" s="1" t="s">
        <v>33</v>
      </c>
      <c r="D184" s="19" t="str">
        <f t="shared" si="72"/>
        <v>4월</v>
      </c>
      <c r="E184" s="118" t="s">
        <v>25</v>
      </c>
      <c r="F184" s="21" t="s">
        <v>26</v>
      </c>
      <c r="G184" s="118" t="s">
        <v>27</v>
      </c>
      <c r="H184" s="21" t="s">
        <v>34</v>
      </c>
      <c r="I184" s="22">
        <v>703284880</v>
      </c>
      <c r="J184" s="22">
        <v>468200000.00000006</v>
      </c>
      <c r="K184" s="22">
        <v>604284880</v>
      </c>
      <c r="L184" s="23">
        <f t="shared" ref="L184:L188" si="74">+I184/J184</f>
        <v>1.5021035454933787</v>
      </c>
      <c r="M184" s="22">
        <v>604284880</v>
      </c>
      <c r="N184" s="58">
        <f t="shared" si="73"/>
        <v>0</v>
      </c>
      <c r="O184" s="18"/>
    </row>
    <row r="185" spans="1:20" ht="14.4" hidden="1" outlineLevel="1" thickBot="1" x14ac:dyDescent="0.45">
      <c r="A185" s="1" t="s">
        <v>93</v>
      </c>
      <c r="B185" s="1" t="s">
        <v>58</v>
      </c>
      <c r="C185" s="1" t="s">
        <v>35</v>
      </c>
      <c r="D185" s="19" t="str">
        <f t="shared" si="72"/>
        <v>4월</v>
      </c>
      <c r="E185" s="118" t="s">
        <v>25</v>
      </c>
      <c r="F185" s="21" t="s">
        <v>26</v>
      </c>
      <c r="G185" s="118" t="s">
        <v>27</v>
      </c>
      <c r="H185" s="21" t="s">
        <v>36</v>
      </c>
      <c r="I185" s="22">
        <v>8006977500</v>
      </c>
      <c r="J185" s="22">
        <v>11989700000</v>
      </c>
      <c r="K185" s="22">
        <v>8006977500</v>
      </c>
      <c r="L185" s="23">
        <f>+I185/J185</f>
        <v>0.66782133831538737</v>
      </c>
      <c r="M185" s="106">
        <v>8006977500</v>
      </c>
      <c r="N185" s="58">
        <f t="shared" si="73"/>
        <v>0</v>
      </c>
      <c r="O185" s="18"/>
    </row>
    <row r="186" spans="1:20" ht="14.4" hidden="1" outlineLevel="1" thickBot="1" x14ac:dyDescent="0.45">
      <c r="A186" s="1" t="s">
        <v>93</v>
      </c>
      <c r="B186" s="1" t="s">
        <v>58</v>
      </c>
      <c r="C186" s="1" t="s">
        <v>48</v>
      </c>
      <c r="D186" s="19" t="str">
        <f t="shared" si="72"/>
        <v>4월</v>
      </c>
      <c r="E186" s="118" t="s">
        <v>25</v>
      </c>
      <c r="F186" s="21" t="s">
        <v>26</v>
      </c>
      <c r="G186" s="118" t="s">
        <v>27</v>
      </c>
      <c r="H186" s="21" t="s">
        <v>38</v>
      </c>
      <c r="I186" s="22"/>
      <c r="J186" s="22"/>
      <c r="K186" s="22"/>
      <c r="L186" s="23" t="e">
        <f t="shared" si="74"/>
        <v>#DIV/0!</v>
      </c>
      <c r="M186" s="22"/>
      <c r="N186" s="58">
        <f t="shared" si="73"/>
        <v>0</v>
      </c>
      <c r="O186" s="18"/>
    </row>
    <row r="187" spans="1:20" ht="14.4" hidden="1" outlineLevel="1" thickBot="1" x14ac:dyDescent="0.45">
      <c r="A187" s="1" t="s">
        <v>93</v>
      </c>
      <c r="B187" s="1" t="s">
        <v>58</v>
      </c>
      <c r="C187" s="1" t="s">
        <v>39</v>
      </c>
      <c r="D187" s="19" t="str">
        <f t="shared" si="72"/>
        <v>4월</v>
      </c>
      <c r="E187" s="118" t="s">
        <v>25</v>
      </c>
      <c r="F187" s="21" t="s">
        <v>26</v>
      </c>
      <c r="G187" s="118" t="s">
        <v>27</v>
      </c>
      <c r="H187" s="21" t="s">
        <v>40</v>
      </c>
      <c r="I187" s="22"/>
      <c r="J187" s="22"/>
      <c r="K187" s="22"/>
      <c r="L187" s="23" t="e">
        <f t="shared" si="74"/>
        <v>#DIV/0!</v>
      </c>
      <c r="M187" s="22"/>
      <c r="N187" s="58">
        <f t="shared" si="73"/>
        <v>0</v>
      </c>
      <c r="O187" s="18" t="s">
        <v>109</v>
      </c>
    </row>
    <row r="188" spans="1:20" ht="14.4" hidden="1" outlineLevel="1" thickBot="1" x14ac:dyDescent="0.45">
      <c r="A188" s="1" t="s">
        <v>93</v>
      </c>
      <c r="B188" s="1" t="s">
        <v>58</v>
      </c>
      <c r="C188" s="1" t="s">
        <v>44</v>
      </c>
      <c r="D188" s="19" t="str">
        <f t="shared" si="72"/>
        <v>4월</v>
      </c>
      <c r="E188" s="118" t="s">
        <v>25</v>
      </c>
      <c r="F188" s="21" t="s">
        <v>26</v>
      </c>
      <c r="G188" s="118" t="s">
        <v>27</v>
      </c>
      <c r="H188" s="21" t="s">
        <v>45</v>
      </c>
      <c r="I188" s="22">
        <v>44295337</v>
      </c>
      <c r="J188" s="22"/>
      <c r="K188" s="22">
        <v>44295337</v>
      </c>
      <c r="L188" s="23" t="e">
        <f t="shared" si="74"/>
        <v>#DIV/0!</v>
      </c>
      <c r="M188" s="22">
        <v>44295337</v>
      </c>
      <c r="N188" s="58">
        <f t="shared" si="73"/>
        <v>0</v>
      </c>
      <c r="O188" s="18" t="s">
        <v>110</v>
      </c>
    </row>
    <row r="189" spans="1:20" ht="14.4" hidden="1" outlineLevel="1" thickBot="1" x14ac:dyDescent="0.45">
      <c r="A189" s="1" t="s">
        <v>93</v>
      </c>
      <c r="B189" s="1" t="s">
        <v>58</v>
      </c>
      <c r="C189" s="1" t="s">
        <v>46</v>
      </c>
      <c r="D189" s="19" t="str">
        <f t="shared" si="72"/>
        <v>4월</v>
      </c>
      <c r="E189" s="120" t="s">
        <v>25</v>
      </c>
      <c r="F189" s="32" t="s">
        <v>26</v>
      </c>
      <c r="G189" s="120" t="s">
        <v>27</v>
      </c>
      <c r="H189" s="32" t="s">
        <v>47</v>
      </c>
      <c r="I189" s="33">
        <v>41008334</v>
      </c>
      <c r="J189" s="33"/>
      <c r="K189" s="33">
        <v>41008334</v>
      </c>
      <c r="L189" s="34"/>
      <c r="M189" s="33">
        <v>41008334</v>
      </c>
      <c r="N189" s="58">
        <f t="shared" si="73"/>
        <v>0</v>
      </c>
      <c r="O189" s="18"/>
    </row>
    <row r="190" spans="1:20" ht="14.4" hidden="1" outlineLevel="1" thickBot="1" x14ac:dyDescent="0.45">
      <c r="A190" s="1" t="s">
        <v>93</v>
      </c>
      <c r="B190" s="1" t="s">
        <v>58</v>
      </c>
      <c r="C190" s="1" t="s">
        <v>48</v>
      </c>
      <c r="D190" s="97" t="str">
        <f t="shared" si="72"/>
        <v>4월</v>
      </c>
      <c r="E190" s="121" t="s">
        <v>25</v>
      </c>
      <c r="F190" s="36" t="s">
        <v>26</v>
      </c>
      <c r="G190" s="121" t="s">
        <v>27</v>
      </c>
      <c r="H190" s="36" t="s">
        <v>49</v>
      </c>
      <c r="I190" s="37"/>
      <c r="J190" s="37"/>
      <c r="K190" s="37">
        <v>99000000</v>
      </c>
      <c r="L190" s="38" t="e">
        <f t="shared" ref="L190" si="75">+K190/J190</f>
        <v>#DIV/0!</v>
      </c>
      <c r="M190" s="37">
        <v>99000000</v>
      </c>
      <c r="N190" s="58">
        <f t="shared" si="73"/>
        <v>0</v>
      </c>
      <c r="O190" s="18"/>
    </row>
    <row r="191" spans="1:20" ht="14.4" collapsed="1" thickBot="1" x14ac:dyDescent="0.45">
      <c r="D191" s="144" t="s">
        <v>111</v>
      </c>
      <c r="E191" s="145"/>
      <c r="F191" s="145"/>
      <c r="G191" s="145"/>
      <c r="H191" s="146"/>
      <c r="I191" s="41">
        <f>SUM(I181:I190)</f>
        <v>9400295412</v>
      </c>
      <c r="J191" s="41">
        <f>SUM(J181:J190)</f>
        <v>13064472571.428572</v>
      </c>
      <c r="K191" s="41">
        <f>SUM(K181:K190)</f>
        <v>9400295412</v>
      </c>
      <c r="L191" s="42">
        <f>I191/J191</f>
        <v>0.71953118356710655</v>
      </c>
      <c r="M191" s="43">
        <f>SUM(M181:M190)</f>
        <v>9400295412</v>
      </c>
      <c r="N191" s="44">
        <f>SUM(N181:N190)</f>
        <v>0</v>
      </c>
      <c r="O191" s="18"/>
    </row>
    <row r="192" spans="1:20" ht="14.4" hidden="1" outlineLevel="1" thickBot="1" x14ac:dyDescent="0.45">
      <c r="A192" s="1" t="s">
        <v>93</v>
      </c>
      <c r="B192" s="1" t="s">
        <v>58</v>
      </c>
      <c r="C192" s="1" t="s">
        <v>94</v>
      </c>
      <c r="D192" s="12" t="s">
        <v>61</v>
      </c>
      <c r="E192" s="117" t="s">
        <v>25</v>
      </c>
      <c r="F192" s="92" t="s">
        <v>26</v>
      </c>
      <c r="G192" s="117" t="s">
        <v>27</v>
      </c>
      <c r="H192" s="92" t="s">
        <v>28</v>
      </c>
      <c r="I192" s="93"/>
      <c r="J192" s="93"/>
      <c r="K192" s="93"/>
      <c r="L192" s="94" t="e">
        <f t="shared" ref="L192" si="76">+I192/J192</f>
        <v>#DIV/0!</v>
      </c>
      <c r="M192" s="93"/>
      <c r="N192" s="79">
        <f>K192-M192</f>
        <v>0</v>
      </c>
      <c r="O192" s="18"/>
      <c r="T192" s="1" t="s">
        <v>112</v>
      </c>
    </row>
    <row r="193" spans="1:22" ht="14.4" hidden="1" outlineLevel="1" thickBot="1" x14ac:dyDescent="0.45">
      <c r="A193" s="1" t="s">
        <v>93</v>
      </c>
      <c r="B193" s="1" t="s">
        <v>58</v>
      </c>
      <c r="C193" s="1" t="s">
        <v>94</v>
      </c>
      <c r="D193" s="19" t="str">
        <f t="shared" ref="D193:D201" si="77">D192</f>
        <v>5월</v>
      </c>
      <c r="E193" s="118" t="s">
        <v>25</v>
      </c>
      <c r="F193" s="21" t="s">
        <v>26</v>
      </c>
      <c r="G193" s="118" t="s">
        <v>27</v>
      </c>
      <c r="H193" s="21" t="s">
        <v>30</v>
      </c>
      <c r="I193" s="22"/>
      <c r="J193" s="22"/>
      <c r="K193" s="22"/>
      <c r="L193" s="23"/>
      <c r="M193" s="22"/>
      <c r="N193" s="58">
        <f t="shared" ref="N193:N199" si="78">K193-M193</f>
        <v>0</v>
      </c>
    </row>
    <row r="194" spans="1:22" ht="14.4" hidden="1" outlineLevel="1" thickBot="1" x14ac:dyDescent="0.45">
      <c r="A194" s="1" t="s">
        <v>93</v>
      </c>
      <c r="B194" s="1" t="s">
        <v>58</v>
      </c>
      <c r="C194" s="1" t="s">
        <v>31</v>
      </c>
      <c r="D194" s="19" t="str">
        <f t="shared" si="77"/>
        <v>5월</v>
      </c>
      <c r="E194" s="119" t="s">
        <v>25</v>
      </c>
      <c r="F194" s="21" t="s">
        <v>26</v>
      </c>
      <c r="G194" s="118" t="s">
        <v>27</v>
      </c>
      <c r="H194" s="21" t="s">
        <v>32</v>
      </c>
      <c r="I194" s="106">
        <v>1785541321</v>
      </c>
      <c r="J194" s="22">
        <v>1552701428.5714285</v>
      </c>
      <c r="K194" s="22">
        <v>1785541321</v>
      </c>
      <c r="L194" s="23"/>
      <c r="M194" s="22">
        <v>1785541321</v>
      </c>
      <c r="N194" s="58">
        <f t="shared" si="78"/>
        <v>0</v>
      </c>
      <c r="P194" s="18"/>
      <c r="Q194" s="105"/>
      <c r="T194" s="154" t="s">
        <v>113</v>
      </c>
      <c r="U194" s="122" t="s">
        <v>31</v>
      </c>
      <c r="V194" s="123">
        <f>K183+K194+K205</f>
        <v>3585998123</v>
      </c>
    </row>
    <row r="195" spans="1:22" ht="14.4" hidden="1" outlineLevel="1" thickBot="1" x14ac:dyDescent="0.45">
      <c r="A195" s="1" t="s">
        <v>93</v>
      </c>
      <c r="B195" s="1" t="s">
        <v>58</v>
      </c>
      <c r="C195" s="1" t="s">
        <v>33</v>
      </c>
      <c r="D195" s="19" t="str">
        <f t="shared" si="77"/>
        <v>5월</v>
      </c>
      <c r="E195" s="118" t="s">
        <v>25</v>
      </c>
      <c r="F195" s="21" t="s">
        <v>26</v>
      </c>
      <c r="G195" s="118" t="s">
        <v>27</v>
      </c>
      <c r="H195" s="21" t="s">
        <v>34</v>
      </c>
      <c r="I195" s="106">
        <v>405380500</v>
      </c>
      <c r="J195" s="22">
        <v>382037500</v>
      </c>
      <c r="K195" s="22">
        <v>405380500</v>
      </c>
      <c r="L195" s="23">
        <f>+I195/J195</f>
        <v>1.0611013316755553</v>
      </c>
      <c r="M195" s="22">
        <v>405380500</v>
      </c>
      <c r="N195" s="58">
        <f t="shared" si="78"/>
        <v>0</v>
      </c>
      <c r="O195" s="124">
        <v>513484180</v>
      </c>
      <c r="P195" s="18">
        <f>O195-K195</f>
        <v>108103680</v>
      </c>
      <c r="Q195" s="105"/>
      <c r="T195" s="155"/>
      <c r="U195" s="122" t="s">
        <v>33</v>
      </c>
      <c r="V195" s="123">
        <f t="shared" ref="V195:V201" si="79">K184+K195+K206</f>
        <v>1540590380</v>
      </c>
    </row>
    <row r="196" spans="1:22" ht="14.4" hidden="1" outlineLevel="1" thickBot="1" x14ac:dyDescent="0.45">
      <c r="A196" s="1" t="s">
        <v>93</v>
      </c>
      <c r="B196" s="1" t="s">
        <v>58</v>
      </c>
      <c r="C196" s="1" t="s">
        <v>35</v>
      </c>
      <c r="D196" s="19" t="str">
        <f t="shared" si="77"/>
        <v>5월</v>
      </c>
      <c r="E196" s="118" t="s">
        <v>25</v>
      </c>
      <c r="F196" s="21" t="s">
        <v>26</v>
      </c>
      <c r="G196" s="118" t="s">
        <v>27</v>
      </c>
      <c r="H196" s="21" t="s">
        <v>36</v>
      </c>
      <c r="I196" s="106">
        <v>5697118800</v>
      </c>
      <c r="J196" s="22">
        <v>6790607900.000001</v>
      </c>
      <c r="K196" s="22">
        <v>5697118800</v>
      </c>
      <c r="L196" s="23">
        <f t="shared" ref="L196:L199" si="80">+I196/J196</f>
        <v>0.83897036670310465</v>
      </c>
      <c r="M196" s="22">
        <v>5697118800</v>
      </c>
      <c r="N196" s="58">
        <f t="shared" si="78"/>
        <v>0</v>
      </c>
      <c r="Q196" s="105"/>
      <c r="T196" s="156"/>
      <c r="U196" s="21" t="s">
        <v>35</v>
      </c>
      <c r="V196" s="123">
        <f t="shared" si="79"/>
        <v>23211357200</v>
      </c>
    </row>
    <row r="197" spans="1:22" ht="14.4" hidden="1" outlineLevel="1" thickBot="1" x14ac:dyDescent="0.45">
      <c r="A197" s="1" t="s">
        <v>93</v>
      </c>
      <c r="B197" s="1" t="s">
        <v>58</v>
      </c>
      <c r="C197" s="1" t="s">
        <v>48</v>
      </c>
      <c r="D197" s="19" t="str">
        <f t="shared" si="77"/>
        <v>5월</v>
      </c>
      <c r="E197" s="118" t="s">
        <v>25</v>
      </c>
      <c r="F197" s="21" t="s">
        <v>26</v>
      </c>
      <c r="G197" s="118" t="s">
        <v>27</v>
      </c>
      <c r="H197" s="21" t="s">
        <v>38</v>
      </c>
      <c r="I197" s="22">
        <v>0</v>
      </c>
      <c r="J197" s="22"/>
      <c r="K197" s="22">
        <v>0</v>
      </c>
      <c r="L197" s="23" t="e">
        <f t="shared" si="80"/>
        <v>#DIV/0!</v>
      </c>
      <c r="M197" s="22">
        <v>0</v>
      </c>
      <c r="N197" s="58">
        <f t="shared" si="78"/>
        <v>0</v>
      </c>
      <c r="Q197" s="105"/>
      <c r="T197" s="157" t="s">
        <v>114</v>
      </c>
      <c r="U197" s="21" t="s">
        <v>37</v>
      </c>
      <c r="V197" s="123">
        <f t="shared" si="79"/>
        <v>0</v>
      </c>
    </row>
    <row r="198" spans="1:22" ht="14.4" hidden="1" outlineLevel="1" thickBot="1" x14ac:dyDescent="0.45">
      <c r="A198" s="1" t="s">
        <v>93</v>
      </c>
      <c r="B198" s="1" t="s">
        <v>58</v>
      </c>
      <c r="C198" s="1" t="s">
        <v>39</v>
      </c>
      <c r="D198" s="19" t="str">
        <f t="shared" si="77"/>
        <v>5월</v>
      </c>
      <c r="E198" s="118" t="s">
        <v>25</v>
      </c>
      <c r="F198" s="21" t="s">
        <v>26</v>
      </c>
      <c r="G198" s="118" t="s">
        <v>27</v>
      </c>
      <c r="H198" s="21" t="s">
        <v>40</v>
      </c>
      <c r="I198" s="22"/>
      <c r="J198" s="22"/>
      <c r="K198" s="22"/>
      <c r="L198" s="23" t="e">
        <f t="shared" si="80"/>
        <v>#DIV/0!</v>
      </c>
      <c r="M198" s="22"/>
      <c r="N198" s="58">
        <f t="shared" si="78"/>
        <v>0</v>
      </c>
      <c r="Q198" s="105"/>
      <c r="T198" s="158"/>
      <c r="U198" s="21" t="s">
        <v>39</v>
      </c>
      <c r="V198" s="123">
        <f t="shared" si="79"/>
        <v>209000000</v>
      </c>
    </row>
    <row r="199" spans="1:22" ht="14.4" hidden="1" outlineLevel="1" thickBot="1" x14ac:dyDescent="0.45">
      <c r="A199" s="1" t="s">
        <v>93</v>
      </c>
      <c r="B199" s="1" t="s">
        <v>58</v>
      </c>
      <c r="C199" s="1" t="s">
        <v>44</v>
      </c>
      <c r="D199" s="19" t="str">
        <f t="shared" si="77"/>
        <v>5월</v>
      </c>
      <c r="E199" s="118" t="s">
        <v>25</v>
      </c>
      <c r="F199" s="21" t="s">
        <v>26</v>
      </c>
      <c r="G199" s="118" t="s">
        <v>27</v>
      </c>
      <c r="H199" s="21" t="s">
        <v>45</v>
      </c>
      <c r="I199" s="106">
        <v>2576695337</v>
      </c>
      <c r="J199" s="22"/>
      <c r="K199" s="22">
        <v>2576695337</v>
      </c>
      <c r="L199" s="23" t="e">
        <f t="shared" si="80"/>
        <v>#DIV/0!</v>
      </c>
      <c r="M199" s="22">
        <v>2576695337</v>
      </c>
      <c r="N199" s="58">
        <f t="shared" si="78"/>
        <v>0</v>
      </c>
      <c r="O199" s="1" t="s">
        <v>115</v>
      </c>
      <c r="Q199" s="125"/>
      <c r="T199" s="158"/>
      <c r="U199" s="21" t="s">
        <v>35</v>
      </c>
      <c r="V199" s="123">
        <f t="shared" si="79"/>
        <v>3300286011</v>
      </c>
    </row>
    <row r="200" spans="1:22" ht="14.4" hidden="1" outlineLevel="1" thickBot="1" x14ac:dyDescent="0.45">
      <c r="A200" s="1" t="s">
        <v>93</v>
      </c>
      <c r="B200" s="1" t="s">
        <v>58</v>
      </c>
      <c r="C200" s="1" t="s">
        <v>46</v>
      </c>
      <c r="D200" s="19" t="str">
        <f t="shared" si="77"/>
        <v>5월</v>
      </c>
      <c r="E200" s="120" t="s">
        <v>25</v>
      </c>
      <c r="F200" s="32" t="s">
        <v>26</v>
      </c>
      <c r="G200" s="120" t="s">
        <v>27</v>
      </c>
      <c r="H200" s="32" t="s">
        <v>47</v>
      </c>
      <c r="I200" s="113">
        <v>270583334</v>
      </c>
      <c r="J200" s="33"/>
      <c r="K200" s="33">
        <v>270583334</v>
      </c>
      <c r="L200" s="34"/>
      <c r="M200" s="33">
        <v>270583334</v>
      </c>
      <c r="N200" s="58">
        <f>K200-M200</f>
        <v>0</v>
      </c>
      <c r="Q200" s="105"/>
      <c r="T200" s="158"/>
      <c r="U200" s="21" t="s">
        <v>31</v>
      </c>
      <c r="V200" s="123">
        <f t="shared" si="79"/>
        <v>347800002</v>
      </c>
    </row>
    <row r="201" spans="1:22" ht="14.4" hidden="1" outlineLevel="1" thickBot="1" x14ac:dyDescent="0.45">
      <c r="A201" s="1" t="s">
        <v>93</v>
      </c>
      <c r="B201" s="1" t="s">
        <v>58</v>
      </c>
      <c r="C201" s="1" t="s">
        <v>48</v>
      </c>
      <c r="D201" s="97" t="str">
        <f t="shared" si="77"/>
        <v>5월</v>
      </c>
      <c r="E201" s="121" t="s">
        <v>25</v>
      </c>
      <c r="F201" s="36" t="s">
        <v>26</v>
      </c>
      <c r="G201" s="121" t="s">
        <v>27</v>
      </c>
      <c r="H201" s="36" t="s">
        <v>49</v>
      </c>
      <c r="I201" s="37"/>
      <c r="J201" s="37"/>
      <c r="K201" s="37"/>
      <c r="L201" s="38" t="e">
        <f t="shared" ref="L201" si="81">+K201/J201</f>
        <v>#DIV/0!</v>
      </c>
      <c r="M201" s="37"/>
      <c r="N201" s="58">
        <f t="shared" ref="N201" si="82">K201-M201</f>
        <v>0</v>
      </c>
      <c r="T201" s="159"/>
      <c r="U201" s="21" t="s">
        <v>29</v>
      </c>
      <c r="V201" s="123">
        <f t="shared" si="79"/>
        <v>196321600</v>
      </c>
    </row>
    <row r="202" spans="1:22" ht="14.4" collapsed="1" thickBot="1" x14ac:dyDescent="0.45">
      <c r="D202" s="144" t="s">
        <v>116</v>
      </c>
      <c r="E202" s="145"/>
      <c r="F202" s="145"/>
      <c r="G202" s="145"/>
      <c r="H202" s="146"/>
      <c r="I202" s="41">
        <f>SUM(I192:I201)</f>
        <v>10735319292</v>
      </c>
      <c r="J202" s="41">
        <f>SUM(J192:J201)</f>
        <v>8725346828.5714302</v>
      </c>
      <c r="K202" s="41">
        <f>SUM(K192:K201)</f>
        <v>10735319292</v>
      </c>
      <c r="L202" s="42">
        <f>I202/J202</f>
        <v>1.2303601797061923</v>
      </c>
      <c r="M202" s="43">
        <f>SUM(M192:M201)</f>
        <v>10735319292</v>
      </c>
      <c r="N202" s="44">
        <f>SUM(N192:N201)</f>
        <v>0</v>
      </c>
      <c r="T202" s="105"/>
    </row>
    <row r="203" spans="1:22" ht="14.4" hidden="1" outlineLevel="1" thickBot="1" x14ac:dyDescent="0.45">
      <c r="A203" s="1" t="s">
        <v>93</v>
      </c>
      <c r="B203" s="1" t="s">
        <v>58</v>
      </c>
      <c r="C203" s="1" t="s">
        <v>94</v>
      </c>
      <c r="D203" s="12" t="s">
        <v>63</v>
      </c>
      <c r="E203" s="117" t="s">
        <v>25</v>
      </c>
      <c r="F203" s="92" t="s">
        <v>26</v>
      </c>
      <c r="G203" s="117" t="s">
        <v>27</v>
      </c>
      <c r="H203" s="92" t="s">
        <v>28</v>
      </c>
      <c r="I203" s="93"/>
      <c r="J203" s="93"/>
      <c r="K203" s="93"/>
      <c r="L203" s="94" t="e">
        <f t="shared" ref="L203" si="83">+I203/J203</f>
        <v>#DIV/0!</v>
      </c>
      <c r="M203" s="93"/>
      <c r="N203" s="79">
        <f>K203-M203</f>
        <v>0</v>
      </c>
    </row>
    <row r="204" spans="1:22" ht="14.4" hidden="1" outlineLevel="1" thickBot="1" x14ac:dyDescent="0.45">
      <c r="A204" s="1" t="s">
        <v>93</v>
      </c>
      <c r="B204" s="1" t="s">
        <v>58</v>
      </c>
      <c r="C204" s="1" t="s">
        <v>94</v>
      </c>
      <c r="D204" s="19" t="str">
        <f t="shared" ref="D204:D212" si="84">D203</f>
        <v>6월</v>
      </c>
      <c r="E204" s="118" t="s">
        <v>25</v>
      </c>
      <c r="F204" s="21" t="s">
        <v>26</v>
      </c>
      <c r="G204" s="118" t="s">
        <v>27</v>
      </c>
      <c r="H204" s="21" t="s">
        <v>30</v>
      </c>
      <c r="I204" s="22"/>
      <c r="J204" s="22"/>
      <c r="K204" s="22"/>
      <c r="L204" s="23"/>
      <c r="M204" s="22"/>
      <c r="N204" s="58">
        <f t="shared" ref="N204:N212" si="85">K204-M204</f>
        <v>0</v>
      </c>
    </row>
    <row r="205" spans="1:22" ht="14.4" hidden="1" outlineLevel="1" thickBot="1" x14ac:dyDescent="0.45">
      <c r="A205" s="1" t="s">
        <v>93</v>
      </c>
      <c r="B205" s="1" t="s">
        <v>58</v>
      </c>
      <c r="C205" s="1" t="s">
        <v>31</v>
      </c>
      <c r="D205" s="19" t="str">
        <f t="shared" si="84"/>
        <v>6월</v>
      </c>
      <c r="E205" s="119" t="s">
        <v>25</v>
      </c>
      <c r="F205" s="21" t="s">
        <v>26</v>
      </c>
      <c r="G205" s="118" t="s">
        <v>27</v>
      </c>
      <c r="H205" s="21" t="s">
        <v>32</v>
      </c>
      <c r="I205" s="22">
        <v>1195727441</v>
      </c>
      <c r="J205" s="22">
        <v>630838928.57142854</v>
      </c>
      <c r="K205" s="22">
        <v>1195727441</v>
      </c>
      <c r="L205" s="23"/>
      <c r="M205" s="22">
        <v>1195727441</v>
      </c>
      <c r="N205" s="58">
        <f t="shared" si="85"/>
        <v>0</v>
      </c>
      <c r="O205" s="1" t="s">
        <v>117</v>
      </c>
      <c r="P205" s="114"/>
      <c r="Q205" s="115"/>
      <c r="T205" s="105"/>
    </row>
    <row r="206" spans="1:22" ht="14.4" hidden="1" outlineLevel="1" thickBot="1" x14ac:dyDescent="0.45">
      <c r="A206" s="1" t="s">
        <v>93</v>
      </c>
      <c r="B206" s="1" t="s">
        <v>58</v>
      </c>
      <c r="C206" s="1" t="s">
        <v>33</v>
      </c>
      <c r="D206" s="19" t="str">
        <f t="shared" si="84"/>
        <v>6월</v>
      </c>
      <c r="E206" s="118" t="s">
        <v>25</v>
      </c>
      <c r="F206" s="21" t="s">
        <v>26</v>
      </c>
      <c r="G206" s="118" t="s">
        <v>27</v>
      </c>
      <c r="H206" s="21" t="s">
        <v>34</v>
      </c>
      <c r="I206" s="22">
        <v>530925000</v>
      </c>
      <c r="J206" s="22">
        <v>214320000.00000003</v>
      </c>
      <c r="K206" s="22">
        <v>530925000</v>
      </c>
      <c r="L206" s="23">
        <f t="shared" ref="L206:L210" si="86">+I206/J206</f>
        <v>2.4772536394176927</v>
      </c>
      <c r="M206" s="22">
        <v>530925000</v>
      </c>
      <c r="N206" s="58">
        <f t="shared" si="85"/>
        <v>0</v>
      </c>
      <c r="O206" s="1" t="s">
        <v>118</v>
      </c>
      <c r="P206" s="114"/>
      <c r="Q206" s="115"/>
      <c r="T206" s="105"/>
    </row>
    <row r="207" spans="1:22" ht="14.4" hidden="1" outlineLevel="1" thickBot="1" x14ac:dyDescent="0.45">
      <c r="A207" s="1" t="s">
        <v>93</v>
      </c>
      <c r="B207" s="1" t="s">
        <v>58</v>
      </c>
      <c r="C207" s="1" t="s">
        <v>35</v>
      </c>
      <c r="D207" s="19" t="str">
        <f t="shared" si="84"/>
        <v>6월</v>
      </c>
      <c r="E207" s="118" t="s">
        <v>25</v>
      </c>
      <c r="F207" s="21" t="s">
        <v>26</v>
      </c>
      <c r="G207" s="118" t="s">
        <v>27</v>
      </c>
      <c r="H207" s="21" t="s">
        <v>36</v>
      </c>
      <c r="I207" s="22">
        <v>9507260900</v>
      </c>
      <c r="J207" s="22">
        <v>10456543000</v>
      </c>
      <c r="K207" s="22">
        <v>9507260900</v>
      </c>
      <c r="L207" s="23">
        <f t="shared" si="86"/>
        <v>0.90921644945179303</v>
      </c>
      <c r="M207" s="22">
        <v>9507260900</v>
      </c>
      <c r="N207" s="58">
        <f t="shared" si="85"/>
        <v>0</v>
      </c>
      <c r="O207" s="61" t="s">
        <v>119</v>
      </c>
      <c r="P207" s="114"/>
      <c r="Q207" s="115"/>
      <c r="T207" s="105"/>
    </row>
    <row r="208" spans="1:22" ht="14.4" hidden="1" outlineLevel="1" thickBot="1" x14ac:dyDescent="0.45">
      <c r="A208" s="1" t="s">
        <v>93</v>
      </c>
      <c r="B208" s="1" t="s">
        <v>58</v>
      </c>
      <c r="C208" s="1" t="s">
        <v>48</v>
      </c>
      <c r="D208" s="19" t="str">
        <f t="shared" si="84"/>
        <v>6월</v>
      </c>
      <c r="E208" s="118" t="s">
        <v>25</v>
      </c>
      <c r="F208" s="21" t="s">
        <v>26</v>
      </c>
      <c r="G208" s="118" t="s">
        <v>27</v>
      </c>
      <c r="H208" s="21" t="s">
        <v>38</v>
      </c>
      <c r="I208" s="22"/>
      <c r="J208" s="22"/>
      <c r="K208" s="22"/>
      <c r="L208" s="23" t="e">
        <f t="shared" si="86"/>
        <v>#DIV/0!</v>
      </c>
      <c r="M208" s="22"/>
      <c r="N208" s="58">
        <f t="shared" si="85"/>
        <v>0</v>
      </c>
      <c r="P208" s="114"/>
      <c r="Q208" s="115"/>
      <c r="T208" s="105"/>
    </row>
    <row r="209" spans="1:20" ht="14.4" hidden="1" outlineLevel="1" thickBot="1" x14ac:dyDescent="0.45">
      <c r="A209" s="1" t="s">
        <v>93</v>
      </c>
      <c r="B209" s="1" t="s">
        <v>58</v>
      </c>
      <c r="C209" s="1" t="s">
        <v>39</v>
      </c>
      <c r="D209" s="19" t="str">
        <f t="shared" si="84"/>
        <v>6월</v>
      </c>
      <c r="E209" s="118" t="s">
        <v>25</v>
      </c>
      <c r="F209" s="21" t="s">
        <v>26</v>
      </c>
      <c r="G209" s="118" t="s">
        <v>27</v>
      </c>
      <c r="H209" s="21" t="s">
        <v>40</v>
      </c>
      <c r="I209" s="22">
        <v>209000000</v>
      </c>
      <c r="J209" s="22"/>
      <c r="K209" s="22">
        <v>209000000</v>
      </c>
      <c r="L209" s="23" t="e">
        <f t="shared" si="86"/>
        <v>#DIV/0!</v>
      </c>
      <c r="M209" s="22">
        <v>209000000</v>
      </c>
      <c r="N209" s="58">
        <f t="shared" si="85"/>
        <v>0</v>
      </c>
      <c r="O209" s="1" t="s">
        <v>120</v>
      </c>
      <c r="P209" s="114"/>
      <c r="Q209" s="115"/>
      <c r="T209" s="105"/>
    </row>
    <row r="210" spans="1:20" ht="14.4" hidden="1" outlineLevel="1" thickBot="1" x14ac:dyDescent="0.45">
      <c r="A210" s="1" t="s">
        <v>93</v>
      </c>
      <c r="B210" s="1" t="s">
        <v>58</v>
      </c>
      <c r="C210" s="1" t="s">
        <v>44</v>
      </c>
      <c r="D210" s="19" t="str">
        <f t="shared" si="84"/>
        <v>6월</v>
      </c>
      <c r="E210" s="118" t="s">
        <v>25</v>
      </c>
      <c r="F210" s="21" t="s">
        <v>26</v>
      </c>
      <c r="G210" s="118" t="s">
        <v>27</v>
      </c>
      <c r="H210" s="21" t="s">
        <v>45</v>
      </c>
      <c r="I210" s="22">
        <v>679295337</v>
      </c>
      <c r="J210" s="22"/>
      <c r="K210" s="22">
        <v>679295337</v>
      </c>
      <c r="L210" s="23" t="e">
        <f t="shared" si="86"/>
        <v>#DIV/0!</v>
      </c>
      <c r="M210" s="22">
        <v>679295337</v>
      </c>
      <c r="N210" s="58">
        <f t="shared" si="85"/>
        <v>0</v>
      </c>
      <c r="O210" s="124" t="s">
        <v>121</v>
      </c>
      <c r="P210" s="114"/>
      <c r="Q210" s="115"/>
      <c r="T210" s="105"/>
    </row>
    <row r="211" spans="1:20" ht="14.4" hidden="1" outlineLevel="1" thickBot="1" x14ac:dyDescent="0.45">
      <c r="A211" s="1" t="s">
        <v>93</v>
      </c>
      <c r="B211" s="1" t="s">
        <v>58</v>
      </c>
      <c r="C211" s="1" t="s">
        <v>46</v>
      </c>
      <c r="D211" s="19" t="str">
        <f t="shared" si="84"/>
        <v>6월</v>
      </c>
      <c r="E211" s="120" t="s">
        <v>25</v>
      </c>
      <c r="F211" s="32" t="s">
        <v>26</v>
      </c>
      <c r="G211" s="120" t="s">
        <v>27</v>
      </c>
      <c r="H211" s="32" t="s">
        <v>47</v>
      </c>
      <c r="I211" s="33">
        <v>36208334</v>
      </c>
      <c r="J211" s="33"/>
      <c r="K211" s="33">
        <v>36208334</v>
      </c>
      <c r="L211" s="34"/>
      <c r="M211" s="33">
        <v>36208334</v>
      </c>
      <c r="N211" s="58">
        <f t="shared" si="85"/>
        <v>0</v>
      </c>
      <c r="P211" s="114"/>
      <c r="Q211" s="115"/>
      <c r="T211" s="105"/>
    </row>
    <row r="212" spans="1:20" ht="14.4" hidden="1" outlineLevel="1" thickBot="1" x14ac:dyDescent="0.45">
      <c r="A212" s="1" t="s">
        <v>93</v>
      </c>
      <c r="B212" s="1" t="s">
        <v>58</v>
      </c>
      <c r="C212" s="1" t="s">
        <v>48</v>
      </c>
      <c r="D212" s="97" t="str">
        <f t="shared" si="84"/>
        <v>6월</v>
      </c>
      <c r="E212" s="121" t="s">
        <v>25</v>
      </c>
      <c r="F212" s="36" t="s">
        <v>26</v>
      </c>
      <c r="G212" s="121" t="s">
        <v>27</v>
      </c>
      <c r="H212" s="36" t="s">
        <v>49</v>
      </c>
      <c r="I212" s="37">
        <v>97321600</v>
      </c>
      <c r="J212" s="37"/>
      <c r="K212" s="37">
        <v>97321600</v>
      </c>
      <c r="L212" s="38" t="e">
        <f t="shared" ref="L212" si="87">+K212/J212</f>
        <v>#DIV/0!</v>
      </c>
      <c r="M212" s="37">
        <v>97321600</v>
      </c>
      <c r="N212" s="58">
        <f t="shared" si="85"/>
        <v>0</v>
      </c>
      <c r="O212" s="1" t="s">
        <v>122</v>
      </c>
      <c r="P212" s="114"/>
      <c r="Q212" s="115" t="s">
        <v>123</v>
      </c>
      <c r="T212" s="105"/>
    </row>
    <row r="213" spans="1:20" ht="14.4" collapsed="1" thickBot="1" x14ac:dyDescent="0.45">
      <c r="D213" s="144" t="s">
        <v>124</v>
      </c>
      <c r="E213" s="145"/>
      <c r="F213" s="145"/>
      <c r="G213" s="145"/>
      <c r="H213" s="146"/>
      <c r="I213" s="41">
        <f>SUM(I203:I212)</f>
        <v>12255738612</v>
      </c>
      <c r="J213" s="41">
        <f>SUM(J203:J212)</f>
        <v>11301701928.571428</v>
      </c>
      <c r="K213" s="41">
        <f>SUM(K203:K212)</f>
        <v>12255738612</v>
      </c>
      <c r="L213" s="42">
        <f>I213/J213</f>
        <v>1.0844153110264487</v>
      </c>
      <c r="M213" s="43">
        <f>SUM(M203:M212)</f>
        <v>12255738612</v>
      </c>
      <c r="N213" s="44">
        <f>SUM(N203:N212)</f>
        <v>0</v>
      </c>
      <c r="P213" s="114"/>
      <c r="T213" s="105"/>
    </row>
    <row r="214" spans="1:20" ht="14.4" thickBot="1" x14ac:dyDescent="0.45">
      <c r="D214" s="147" t="s">
        <v>125</v>
      </c>
      <c r="E214" s="148"/>
      <c r="F214" s="148"/>
      <c r="G214" s="148"/>
      <c r="H214" s="149"/>
      <c r="I214" s="53">
        <f>SUM(I191,I202,I213)</f>
        <v>32391353316</v>
      </c>
      <c r="J214" s="53">
        <f t="shared" ref="J214:K214" si="88">SUM(J191,J202,J213)</f>
        <v>33091521328.571426</v>
      </c>
      <c r="K214" s="53">
        <f t="shared" si="88"/>
        <v>32391353316</v>
      </c>
      <c r="L214" s="54">
        <f>I214/J214</f>
        <v>0.97884146801172001</v>
      </c>
      <c r="M214" s="53">
        <f>SUM(M191,M202,M213)</f>
        <v>32391353316</v>
      </c>
      <c r="N214" s="53">
        <f>SUM(N191,N202,N213)</f>
        <v>0</v>
      </c>
      <c r="O214" s="18">
        <f>J214-K214</f>
        <v>700168012.57142639</v>
      </c>
    </row>
    <row r="215" spans="1:20" ht="14.4" hidden="1" outlineLevel="1" thickBot="1" x14ac:dyDescent="0.45">
      <c r="A215" s="1" t="s">
        <v>93</v>
      </c>
      <c r="B215" s="1" t="s">
        <v>67</v>
      </c>
      <c r="C215" s="1" t="s">
        <v>94</v>
      </c>
      <c r="D215" s="12" t="s">
        <v>68</v>
      </c>
      <c r="E215" s="117" t="s">
        <v>25</v>
      </c>
      <c r="F215" s="92" t="s">
        <v>26</v>
      </c>
      <c r="G215" s="117" t="s">
        <v>27</v>
      </c>
      <c r="H215" s="92" t="s">
        <v>28</v>
      </c>
      <c r="I215" s="93"/>
      <c r="J215" s="93"/>
      <c r="K215" s="93"/>
      <c r="L215" s="94" t="e">
        <f t="shared" ref="L215" si="89">+I215/J215</f>
        <v>#DIV/0!</v>
      </c>
      <c r="M215" s="93"/>
      <c r="N215" s="79">
        <f>K215-M215</f>
        <v>0</v>
      </c>
      <c r="O215" s="18"/>
    </row>
    <row r="216" spans="1:20" ht="14.4" hidden="1" outlineLevel="1" thickBot="1" x14ac:dyDescent="0.45">
      <c r="A216" s="1" t="s">
        <v>93</v>
      </c>
      <c r="B216" s="1" t="s">
        <v>67</v>
      </c>
      <c r="C216" s="1" t="s">
        <v>94</v>
      </c>
      <c r="D216" s="19" t="str">
        <f t="shared" ref="D216:D224" si="90">D215</f>
        <v>7월</v>
      </c>
      <c r="E216" s="118" t="s">
        <v>25</v>
      </c>
      <c r="F216" s="21" t="s">
        <v>26</v>
      </c>
      <c r="G216" s="118" t="s">
        <v>27</v>
      </c>
      <c r="H216" s="21" t="s">
        <v>30</v>
      </c>
      <c r="I216" s="22"/>
      <c r="J216" s="22"/>
      <c r="K216" s="22"/>
      <c r="L216" s="23"/>
      <c r="M216" s="22"/>
      <c r="N216" s="58">
        <f t="shared" ref="N216:N224" si="91">K216-M216</f>
        <v>0</v>
      </c>
      <c r="O216" s="18"/>
    </row>
    <row r="217" spans="1:20" ht="14.4" hidden="1" outlineLevel="1" thickBot="1" x14ac:dyDescent="0.45">
      <c r="A217" s="1" t="s">
        <v>93</v>
      </c>
      <c r="B217" s="1" t="s">
        <v>67</v>
      </c>
      <c r="C217" s="1" t="s">
        <v>31</v>
      </c>
      <c r="D217" s="19" t="str">
        <f t="shared" si="90"/>
        <v>7월</v>
      </c>
      <c r="E217" s="119" t="s">
        <v>25</v>
      </c>
      <c r="F217" s="21" t="s">
        <v>26</v>
      </c>
      <c r="G217" s="118" t="s">
        <v>27</v>
      </c>
      <c r="H217" s="21" t="s">
        <v>32</v>
      </c>
      <c r="I217" s="22">
        <v>1099305556</v>
      </c>
      <c r="J217" s="22">
        <v>1243154250.0000002</v>
      </c>
      <c r="K217" s="22">
        <v>1099305556</v>
      </c>
      <c r="L217" s="23"/>
      <c r="M217" s="22">
        <v>1099305556</v>
      </c>
      <c r="N217" s="58">
        <f t="shared" si="91"/>
        <v>0</v>
      </c>
      <c r="O217" s="18" t="s">
        <v>126</v>
      </c>
      <c r="P217" s="18"/>
      <c r="S217" s="105"/>
      <c r="T217" s="105"/>
    </row>
    <row r="218" spans="1:20" ht="14.4" hidden="1" outlineLevel="1" thickBot="1" x14ac:dyDescent="0.45">
      <c r="A218" s="1" t="s">
        <v>93</v>
      </c>
      <c r="B218" s="1" t="s">
        <v>67</v>
      </c>
      <c r="C218" s="1" t="s">
        <v>33</v>
      </c>
      <c r="D218" s="19" t="str">
        <f t="shared" si="90"/>
        <v>7월</v>
      </c>
      <c r="E218" s="118" t="s">
        <v>25</v>
      </c>
      <c r="F218" s="21" t="s">
        <v>26</v>
      </c>
      <c r="G218" s="118" t="s">
        <v>27</v>
      </c>
      <c r="H218" s="21" t="s">
        <v>34</v>
      </c>
      <c r="I218" s="22">
        <v>459160000</v>
      </c>
      <c r="J218" s="22">
        <v>470950000</v>
      </c>
      <c r="K218" s="22">
        <v>459160000</v>
      </c>
      <c r="L218" s="23">
        <f t="shared" ref="L218:L222" si="92">+I218/J218</f>
        <v>0.97496549527550691</v>
      </c>
      <c r="M218" s="22">
        <v>459160000</v>
      </c>
      <c r="N218" s="58">
        <f t="shared" si="91"/>
        <v>0</v>
      </c>
      <c r="O218" s="18" t="s">
        <v>127</v>
      </c>
      <c r="S218" s="105"/>
      <c r="T218" s="105"/>
    </row>
    <row r="219" spans="1:20" ht="17.100000000000001" hidden="1" customHeight="1" outlineLevel="1" x14ac:dyDescent="0.45">
      <c r="A219" s="1" t="s">
        <v>93</v>
      </c>
      <c r="B219" s="1" t="s">
        <v>67</v>
      </c>
      <c r="C219" s="1" t="s">
        <v>35</v>
      </c>
      <c r="D219" s="19" t="str">
        <f t="shared" si="90"/>
        <v>7월</v>
      </c>
      <c r="E219" s="118" t="s">
        <v>25</v>
      </c>
      <c r="F219" s="21" t="s">
        <v>26</v>
      </c>
      <c r="G219" s="118" t="s">
        <v>27</v>
      </c>
      <c r="H219" s="21" t="s">
        <v>36</v>
      </c>
      <c r="I219" s="22">
        <v>7886136900</v>
      </c>
      <c r="J219" s="22">
        <v>6873718600.000001</v>
      </c>
      <c r="K219" s="22">
        <v>7886136900</v>
      </c>
      <c r="L219" s="23">
        <f t="shared" si="92"/>
        <v>1.1472882960323687</v>
      </c>
      <c r="M219" s="106">
        <v>7886136900</v>
      </c>
      <c r="N219" s="58">
        <f t="shared" si="91"/>
        <v>0</v>
      </c>
      <c r="O219" s="126" t="s">
        <v>128</v>
      </c>
      <c r="P219" s="127"/>
      <c r="Q219" s="127"/>
      <c r="R219" s="127"/>
      <c r="S219" s="105"/>
      <c r="T219" s="105"/>
    </row>
    <row r="220" spans="1:20" ht="14.4" hidden="1" outlineLevel="1" thickBot="1" x14ac:dyDescent="0.45">
      <c r="A220" s="1" t="s">
        <v>93</v>
      </c>
      <c r="B220" s="1" t="s">
        <v>67</v>
      </c>
      <c r="C220" s="1" t="s">
        <v>48</v>
      </c>
      <c r="D220" s="19" t="str">
        <f t="shared" si="90"/>
        <v>7월</v>
      </c>
      <c r="E220" s="118" t="s">
        <v>25</v>
      </c>
      <c r="F220" s="21" t="s">
        <v>26</v>
      </c>
      <c r="G220" s="118" t="s">
        <v>27</v>
      </c>
      <c r="H220" s="21" t="s">
        <v>38</v>
      </c>
      <c r="I220" s="22"/>
      <c r="J220" s="22">
        <v>30000000</v>
      </c>
      <c r="K220" s="22"/>
      <c r="L220" s="23">
        <f t="shared" si="92"/>
        <v>0</v>
      </c>
      <c r="M220" s="22"/>
      <c r="N220" s="58">
        <f t="shared" si="91"/>
        <v>0</v>
      </c>
      <c r="O220" s="18" t="s">
        <v>129</v>
      </c>
      <c r="S220" s="105"/>
      <c r="T220" s="105"/>
    </row>
    <row r="221" spans="1:20" ht="14.4" hidden="1" outlineLevel="1" thickBot="1" x14ac:dyDescent="0.45">
      <c r="A221" s="1" t="s">
        <v>93</v>
      </c>
      <c r="B221" s="1" t="s">
        <v>67</v>
      </c>
      <c r="C221" s="1" t="s">
        <v>39</v>
      </c>
      <c r="D221" s="19" t="str">
        <f t="shared" si="90"/>
        <v>7월</v>
      </c>
      <c r="E221" s="118" t="s">
        <v>25</v>
      </c>
      <c r="F221" s="21" t="s">
        <v>26</v>
      </c>
      <c r="G221" s="118" t="s">
        <v>27</v>
      </c>
      <c r="H221" s="21" t="s">
        <v>40</v>
      </c>
      <c r="I221" s="22">
        <v>285625000</v>
      </c>
      <c r="J221" s="22">
        <v>372500000</v>
      </c>
      <c r="K221" s="22">
        <v>285625000</v>
      </c>
      <c r="L221" s="23">
        <f t="shared" si="92"/>
        <v>0.76677852348993292</v>
      </c>
      <c r="M221" s="22">
        <v>285625000</v>
      </c>
      <c r="N221" s="58">
        <f t="shared" si="91"/>
        <v>0</v>
      </c>
      <c r="O221" s="18" t="s">
        <v>130</v>
      </c>
      <c r="S221" s="105"/>
      <c r="T221" s="105"/>
    </row>
    <row r="222" spans="1:20" ht="14.4" hidden="1" outlineLevel="1" thickBot="1" x14ac:dyDescent="0.45">
      <c r="A222" s="1" t="s">
        <v>93</v>
      </c>
      <c r="B222" s="1" t="s">
        <v>67</v>
      </c>
      <c r="C222" s="1" t="s">
        <v>44</v>
      </c>
      <c r="D222" s="19" t="str">
        <f t="shared" si="90"/>
        <v>7월</v>
      </c>
      <c r="E222" s="118" t="s">
        <v>25</v>
      </c>
      <c r="F222" s="21" t="s">
        <v>26</v>
      </c>
      <c r="G222" s="118" t="s">
        <v>27</v>
      </c>
      <c r="H222" s="21" t="s">
        <v>45</v>
      </c>
      <c r="I222" s="22">
        <v>160295337</v>
      </c>
      <c r="J222" s="22">
        <v>119000000</v>
      </c>
      <c r="K222" s="22">
        <v>160295337</v>
      </c>
      <c r="L222" s="23">
        <f t="shared" si="92"/>
        <v>1.3470196386554623</v>
      </c>
      <c r="M222" s="22">
        <v>160295337</v>
      </c>
      <c r="N222" s="58">
        <f t="shared" si="91"/>
        <v>0</v>
      </c>
      <c r="O222" s="18" t="s">
        <v>131</v>
      </c>
      <c r="S222" s="105"/>
      <c r="T222" s="105"/>
    </row>
    <row r="223" spans="1:20" ht="14.4" hidden="1" outlineLevel="1" thickBot="1" x14ac:dyDescent="0.45">
      <c r="A223" s="1" t="s">
        <v>93</v>
      </c>
      <c r="B223" s="1" t="s">
        <v>67</v>
      </c>
      <c r="C223" s="1" t="s">
        <v>46</v>
      </c>
      <c r="D223" s="19" t="str">
        <f t="shared" si="90"/>
        <v>7월</v>
      </c>
      <c r="E223" s="120" t="s">
        <v>25</v>
      </c>
      <c r="F223" s="32" t="s">
        <v>26</v>
      </c>
      <c r="G223" s="120" t="s">
        <v>27</v>
      </c>
      <c r="H223" s="32" t="s">
        <v>47</v>
      </c>
      <c r="I223" s="33">
        <v>79808334</v>
      </c>
      <c r="J223" s="22">
        <v>234375000</v>
      </c>
      <c r="K223" s="33">
        <v>79808334</v>
      </c>
      <c r="L223" s="34"/>
      <c r="M223" s="33">
        <v>79808334</v>
      </c>
      <c r="N223" s="58">
        <f t="shared" si="91"/>
        <v>0</v>
      </c>
      <c r="O223" s="18" t="s">
        <v>132</v>
      </c>
      <c r="S223" s="105"/>
      <c r="T223" s="105"/>
    </row>
    <row r="224" spans="1:20" ht="14.4" hidden="1" outlineLevel="1" thickBot="1" x14ac:dyDescent="0.45">
      <c r="A224" s="1" t="s">
        <v>93</v>
      </c>
      <c r="B224" s="1" t="s">
        <v>67</v>
      </c>
      <c r="C224" s="1" t="s">
        <v>48</v>
      </c>
      <c r="D224" s="97" t="str">
        <f t="shared" si="90"/>
        <v>7월</v>
      </c>
      <c r="E224" s="121" t="s">
        <v>25</v>
      </c>
      <c r="F224" s="36" t="s">
        <v>26</v>
      </c>
      <c r="G224" s="121" t="s">
        <v>27</v>
      </c>
      <c r="H224" s="36" t="s">
        <v>49</v>
      </c>
      <c r="I224" s="37"/>
      <c r="J224" s="37"/>
      <c r="K224" s="37"/>
      <c r="L224" s="38" t="e">
        <f t="shared" ref="L224" si="93">+K224/J224</f>
        <v>#DIV/0!</v>
      </c>
      <c r="M224" s="37"/>
      <c r="N224" s="58">
        <f t="shared" si="91"/>
        <v>0</v>
      </c>
      <c r="Q224" s="18"/>
      <c r="S224" s="105"/>
      <c r="T224" s="105"/>
    </row>
    <row r="225" spans="1:20" ht="14.4" collapsed="1" thickBot="1" x14ac:dyDescent="0.45">
      <c r="D225" s="144" t="s">
        <v>133</v>
      </c>
      <c r="E225" s="145"/>
      <c r="F225" s="145"/>
      <c r="G225" s="145"/>
      <c r="H225" s="146"/>
      <c r="I225" s="41">
        <f>SUM(I215:I224)</f>
        <v>9970331127</v>
      </c>
      <c r="J225" s="41">
        <f>SUM(J215:J224)</f>
        <v>9343697850</v>
      </c>
      <c r="K225" s="41">
        <f>SUM(K215:K224)</f>
        <v>9970331127</v>
      </c>
      <c r="L225" s="42">
        <f>I225/J225</f>
        <v>1.0670648052901239</v>
      </c>
      <c r="M225" s="43">
        <f>SUM(M215:M224)</f>
        <v>9970331127</v>
      </c>
      <c r="N225" s="44">
        <f>SUM(N215:N224)</f>
        <v>0</v>
      </c>
      <c r="O225" s="98"/>
      <c r="S225" s="105"/>
      <c r="T225" s="105"/>
    </row>
    <row r="226" spans="1:20" ht="14.4" hidden="1" outlineLevel="1" thickBot="1" x14ac:dyDescent="0.45">
      <c r="A226" s="1" t="s">
        <v>93</v>
      </c>
      <c r="B226" s="1" t="s">
        <v>67</v>
      </c>
      <c r="C226" s="1" t="s">
        <v>94</v>
      </c>
      <c r="D226" s="12" t="s">
        <v>71</v>
      </c>
      <c r="E226" s="117" t="s">
        <v>25</v>
      </c>
      <c r="F226" s="92" t="s">
        <v>26</v>
      </c>
      <c r="G226" s="117" t="s">
        <v>27</v>
      </c>
      <c r="H226" s="92" t="s">
        <v>28</v>
      </c>
      <c r="I226" s="93"/>
      <c r="J226" s="93"/>
      <c r="K226" s="93"/>
      <c r="L226" s="94" t="e">
        <f t="shared" ref="L226" si="94">+I226/J226</f>
        <v>#DIV/0!</v>
      </c>
      <c r="M226" s="93"/>
      <c r="N226" s="79">
        <f>K226-M226</f>
        <v>0</v>
      </c>
      <c r="O226" s="18"/>
    </row>
    <row r="227" spans="1:20" ht="14.4" hidden="1" outlineLevel="1" thickBot="1" x14ac:dyDescent="0.45">
      <c r="A227" s="1" t="s">
        <v>93</v>
      </c>
      <c r="B227" s="1" t="s">
        <v>67</v>
      </c>
      <c r="C227" s="1" t="s">
        <v>94</v>
      </c>
      <c r="D227" s="19" t="str">
        <f t="shared" ref="D227:D235" si="95">D226</f>
        <v>8월</v>
      </c>
      <c r="E227" s="118" t="s">
        <v>25</v>
      </c>
      <c r="F227" s="21" t="s">
        <v>26</v>
      </c>
      <c r="G227" s="118" t="s">
        <v>27</v>
      </c>
      <c r="H227" s="21" t="s">
        <v>30</v>
      </c>
      <c r="I227" s="22"/>
      <c r="J227" s="22"/>
      <c r="K227" s="22"/>
      <c r="L227" s="23"/>
      <c r="M227" s="22"/>
      <c r="N227" s="58">
        <f t="shared" ref="N227:N233" si="96">K227-M227</f>
        <v>0</v>
      </c>
      <c r="O227" s="111"/>
    </row>
    <row r="228" spans="1:20" ht="14.4" hidden="1" outlineLevel="1" thickBot="1" x14ac:dyDescent="0.45">
      <c r="A228" s="1" t="s">
        <v>93</v>
      </c>
      <c r="B228" s="1" t="s">
        <v>67</v>
      </c>
      <c r="C228" s="1" t="s">
        <v>31</v>
      </c>
      <c r="D228" s="19" t="str">
        <f t="shared" si="95"/>
        <v>8월</v>
      </c>
      <c r="E228" s="119" t="s">
        <v>25</v>
      </c>
      <c r="F228" s="21" t="s">
        <v>26</v>
      </c>
      <c r="G228" s="118" t="s">
        <v>27</v>
      </c>
      <c r="H228" s="21" t="s">
        <v>32</v>
      </c>
      <c r="I228" s="106">
        <v>2799032515</v>
      </c>
      <c r="J228" s="22">
        <v>2029392857.1428571</v>
      </c>
      <c r="K228" s="22">
        <v>2799032515</v>
      </c>
      <c r="L228" s="23"/>
      <c r="M228" s="22">
        <v>2799032514.5599999</v>
      </c>
      <c r="N228" s="58">
        <f t="shared" si="96"/>
        <v>0.44000005722045898</v>
      </c>
      <c r="O228" s="18" t="s">
        <v>134</v>
      </c>
      <c r="P228" s="18"/>
      <c r="T228" s="105"/>
    </row>
    <row r="229" spans="1:20" ht="14.4" hidden="1" outlineLevel="1" thickBot="1" x14ac:dyDescent="0.45">
      <c r="A229" s="1" t="s">
        <v>93</v>
      </c>
      <c r="B229" s="1" t="s">
        <v>67</v>
      </c>
      <c r="C229" s="1" t="s">
        <v>33</v>
      </c>
      <c r="D229" s="19" t="str">
        <f t="shared" si="95"/>
        <v>8월</v>
      </c>
      <c r="E229" s="118" t="s">
        <v>25</v>
      </c>
      <c r="F229" s="21" t="s">
        <v>26</v>
      </c>
      <c r="G229" s="118" t="s">
        <v>27</v>
      </c>
      <c r="H229" s="21" t="s">
        <v>34</v>
      </c>
      <c r="I229" s="106">
        <v>129330570</v>
      </c>
      <c r="J229" s="22">
        <v>524570000</v>
      </c>
      <c r="K229" s="22">
        <v>129330570</v>
      </c>
      <c r="L229" s="23">
        <f>+I229/J229</f>
        <v>0.24654587566959604</v>
      </c>
      <c r="M229" s="22">
        <v>129330570</v>
      </c>
      <c r="N229" s="58">
        <f t="shared" si="96"/>
        <v>0</v>
      </c>
      <c r="O229" s="128" t="s">
        <v>135</v>
      </c>
      <c r="Q229" s="105"/>
      <c r="T229" s="105"/>
    </row>
    <row r="230" spans="1:20" ht="24" hidden="1" customHeight="1" outlineLevel="1" x14ac:dyDescent="0.45">
      <c r="A230" s="1" t="s">
        <v>93</v>
      </c>
      <c r="B230" s="1" t="s">
        <v>67</v>
      </c>
      <c r="C230" s="1" t="s">
        <v>35</v>
      </c>
      <c r="D230" s="19" t="str">
        <f t="shared" si="95"/>
        <v>8월</v>
      </c>
      <c r="E230" s="118" t="s">
        <v>25</v>
      </c>
      <c r="F230" s="21" t="s">
        <v>26</v>
      </c>
      <c r="G230" s="118" t="s">
        <v>27</v>
      </c>
      <c r="H230" s="21" t="s">
        <v>36</v>
      </c>
      <c r="I230" s="106">
        <v>9145801500</v>
      </c>
      <c r="J230" s="22">
        <v>9114117900</v>
      </c>
      <c r="K230" s="22">
        <v>9145801500</v>
      </c>
      <c r="L230" s="23">
        <f t="shared" ref="L230:L233" si="97">+I230/J230</f>
        <v>1.0034763210600994</v>
      </c>
      <c r="M230" s="22">
        <v>9141451000</v>
      </c>
      <c r="N230" s="58">
        <f t="shared" si="96"/>
        <v>4350500</v>
      </c>
      <c r="O230" s="129" t="s">
        <v>136</v>
      </c>
      <c r="Q230" s="105"/>
      <c r="T230" s="105"/>
    </row>
    <row r="231" spans="1:20" ht="14.4" hidden="1" outlineLevel="1" thickBot="1" x14ac:dyDescent="0.45">
      <c r="A231" s="1" t="s">
        <v>93</v>
      </c>
      <c r="B231" s="1" t="s">
        <v>67</v>
      </c>
      <c r="C231" s="1" t="s">
        <v>48</v>
      </c>
      <c r="D231" s="19" t="str">
        <f t="shared" si="95"/>
        <v>8월</v>
      </c>
      <c r="E231" s="118" t="s">
        <v>25</v>
      </c>
      <c r="F231" s="21" t="s">
        <v>26</v>
      </c>
      <c r="G231" s="118" t="s">
        <v>27</v>
      </c>
      <c r="H231" s="21" t="s">
        <v>38</v>
      </c>
      <c r="I231" s="22"/>
      <c r="J231" s="22">
        <v>0</v>
      </c>
      <c r="K231" s="22">
        <v>0</v>
      </c>
      <c r="L231" s="23" t="e">
        <f t="shared" si="97"/>
        <v>#DIV/0!</v>
      </c>
      <c r="M231" s="22">
        <v>0</v>
      </c>
      <c r="N231" s="58">
        <f t="shared" si="96"/>
        <v>0</v>
      </c>
      <c r="O231" s="18"/>
      <c r="Q231" s="105"/>
      <c r="T231" s="105"/>
    </row>
    <row r="232" spans="1:20" ht="14.4" hidden="1" outlineLevel="1" thickBot="1" x14ac:dyDescent="0.45">
      <c r="A232" s="1" t="s">
        <v>93</v>
      </c>
      <c r="B232" s="1" t="s">
        <v>67</v>
      </c>
      <c r="C232" s="1" t="s">
        <v>39</v>
      </c>
      <c r="D232" s="19" t="str">
        <f t="shared" si="95"/>
        <v>8월</v>
      </c>
      <c r="E232" s="118" t="s">
        <v>25</v>
      </c>
      <c r="F232" s="21" t="s">
        <v>26</v>
      </c>
      <c r="G232" s="118" t="s">
        <v>27</v>
      </c>
      <c r="H232" s="21" t="s">
        <v>40</v>
      </c>
      <c r="I232" s="22">
        <v>118000000</v>
      </c>
      <c r="J232" s="22">
        <v>198000000</v>
      </c>
      <c r="K232" s="22">
        <v>118000000</v>
      </c>
      <c r="L232" s="23">
        <f t="shared" si="97"/>
        <v>0.59595959595959591</v>
      </c>
      <c r="M232" s="22">
        <v>118000000</v>
      </c>
      <c r="N232" s="58">
        <f t="shared" si="96"/>
        <v>0</v>
      </c>
      <c r="O232" s="18" t="s">
        <v>137</v>
      </c>
      <c r="Q232" s="105"/>
      <c r="T232" s="105"/>
    </row>
    <row r="233" spans="1:20" ht="14.4" hidden="1" outlineLevel="1" thickBot="1" x14ac:dyDescent="0.45">
      <c r="A233" s="1" t="s">
        <v>93</v>
      </c>
      <c r="B233" s="1" t="s">
        <v>67</v>
      </c>
      <c r="C233" s="1" t="s">
        <v>44</v>
      </c>
      <c r="D233" s="19" t="str">
        <f t="shared" si="95"/>
        <v>8월</v>
      </c>
      <c r="E233" s="118" t="s">
        <v>25</v>
      </c>
      <c r="F233" s="21" t="s">
        <v>26</v>
      </c>
      <c r="G233" s="118" t="s">
        <v>27</v>
      </c>
      <c r="H233" s="21" t="s">
        <v>45</v>
      </c>
      <c r="I233" s="106">
        <v>2043355337</v>
      </c>
      <c r="J233" s="22">
        <v>1787000000</v>
      </c>
      <c r="K233" s="22">
        <v>2043355337</v>
      </c>
      <c r="L233" s="23">
        <f t="shared" si="97"/>
        <v>1.1434557006155568</v>
      </c>
      <c r="M233" s="22">
        <v>2040661036</v>
      </c>
      <c r="N233" s="58">
        <f t="shared" si="96"/>
        <v>2694301</v>
      </c>
      <c r="O233" s="18"/>
      <c r="Q233" s="105"/>
      <c r="T233" s="105"/>
    </row>
    <row r="234" spans="1:20" ht="14.4" hidden="1" outlineLevel="1" thickBot="1" x14ac:dyDescent="0.45">
      <c r="A234" s="1" t="s">
        <v>93</v>
      </c>
      <c r="B234" s="1" t="s">
        <v>67</v>
      </c>
      <c r="C234" s="1" t="s">
        <v>46</v>
      </c>
      <c r="D234" s="19" t="str">
        <f t="shared" si="95"/>
        <v>8월</v>
      </c>
      <c r="E234" s="120" t="s">
        <v>25</v>
      </c>
      <c r="F234" s="32" t="s">
        <v>26</v>
      </c>
      <c r="G234" s="120" t="s">
        <v>27</v>
      </c>
      <c r="H234" s="32" t="s">
        <v>47</v>
      </c>
      <c r="I234" s="113">
        <v>36208334</v>
      </c>
      <c r="J234" s="22">
        <v>46875000</v>
      </c>
      <c r="K234" s="33">
        <v>36208334</v>
      </c>
      <c r="L234" s="34"/>
      <c r="M234" s="22">
        <v>36208334</v>
      </c>
      <c r="N234" s="58">
        <f>K234-M234</f>
        <v>0</v>
      </c>
      <c r="O234" s="18"/>
      <c r="Q234" s="105"/>
      <c r="T234" s="105"/>
    </row>
    <row r="235" spans="1:20" ht="14.4" hidden="1" outlineLevel="1" thickBot="1" x14ac:dyDescent="0.45">
      <c r="A235" s="1" t="s">
        <v>93</v>
      </c>
      <c r="B235" s="1" t="s">
        <v>67</v>
      </c>
      <c r="C235" s="1" t="s">
        <v>48</v>
      </c>
      <c r="D235" s="97" t="str">
        <f t="shared" si="95"/>
        <v>8월</v>
      </c>
      <c r="E235" s="121" t="s">
        <v>25</v>
      </c>
      <c r="F235" s="36" t="s">
        <v>26</v>
      </c>
      <c r="G235" s="121" t="s">
        <v>27</v>
      </c>
      <c r="H235" s="36" t="s">
        <v>49</v>
      </c>
      <c r="I235" s="37"/>
      <c r="J235" s="37"/>
      <c r="K235" s="37"/>
      <c r="L235" s="38" t="e">
        <f t="shared" ref="L235" si="98">+K235/J235</f>
        <v>#DIV/0!</v>
      </c>
      <c r="M235" s="37"/>
      <c r="N235" s="58">
        <f t="shared" ref="N235" si="99">K235-M235</f>
        <v>0</v>
      </c>
      <c r="O235" s="18"/>
      <c r="T235" s="105"/>
    </row>
    <row r="236" spans="1:20" ht="14.4" collapsed="1" thickBot="1" x14ac:dyDescent="0.45">
      <c r="D236" s="144" t="s">
        <v>138</v>
      </c>
      <c r="E236" s="145"/>
      <c r="F236" s="145"/>
      <c r="G236" s="145"/>
      <c r="H236" s="146"/>
      <c r="I236" s="41">
        <f>SUM(I226:I235)</f>
        <v>14271728256</v>
      </c>
      <c r="J236" s="41">
        <f>SUM(J226:J235)</f>
        <v>13699955757.142857</v>
      </c>
      <c r="K236" s="41">
        <f>SUM(K226:K235)</f>
        <v>14271728256</v>
      </c>
      <c r="L236" s="42">
        <f>I236/J236</f>
        <v>1.0417353536750682</v>
      </c>
      <c r="M236" s="43">
        <f>SUM(M226:M235)</f>
        <v>14264683454.559999</v>
      </c>
      <c r="N236" s="44">
        <f>SUM(N226:N235)</f>
        <v>7044801.4400000572</v>
      </c>
      <c r="O236" s="18"/>
      <c r="T236" s="105"/>
    </row>
    <row r="237" spans="1:20" ht="14.4" hidden="1" outlineLevel="1" thickBot="1" x14ac:dyDescent="0.45">
      <c r="A237" s="1" t="s">
        <v>93</v>
      </c>
      <c r="B237" s="1" t="s">
        <v>67</v>
      </c>
      <c r="C237" s="1" t="s">
        <v>94</v>
      </c>
      <c r="D237" s="12" t="s">
        <v>76</v>
      </c>
      <c r="E237" s="117" t="s">
        <v>25</v>
      </c>
      <c r="F237" s="92" t="s">
        <v>26</v>
      </c>
      <c r="G237" s="117" t="s">
        <v>27</v>
      </c>
      <c r="H237" s="92" t="s">
        <v>28</v>
      </c>
      <c r="I237" s="93"/>
      <c r="J237" s="93"/>
      <c r="K237" s="93"/>
      <c r="L237" s="94" t="e">
        <f t="shared" ref="L237" si="100">+I237/J237</f>
        <v>#DIV/0!</v>
      </c>
      <c r="M237" s="93"/>
      <c r="N237" s="79">
        <f>K237-M237</f>
        <v>0</v>
      </c>
      <c r="O237" s="18"/>
      <c r="P237" s="1" t="s">
        <v>67</v>
      </c>
      <c r="Q237" s="1" t="s">
        <v>139</v>
      </c>
      <c r="R237" s="1" t="s">
        <v>140</v>
      </c>
    </row>
    <row r="238" spans="1:20" ht="14.4" hidden="1" outlineLevel="1" thickBot="1" x14ac:dyDescent="0.45">
      <c r="A238" s="1" t="s">
        <v>93</v>
      </c>
      <c r="B238" s="1" t="s">
        <v>67</v>
      </c>
      <c r="C238" s="1" t="s">
        <v>94</v>
      </c>
      <c r="D238" s="19" t="str">
        <f t="shared" ref="D238:D246" si="101">D237</f>
        <v>9월</v>
      </c>
      <c r="E238" s="118" t="s">
        <v>25</v>
      </c>
      <c r="F238" s="21" t="s">
        <v>26</v>
      </c>
      <c r="G238" s="118" t="s">
        <v>27</v>
      </c>
      <c r="H238" s="21" t="s">
        <v>30</v>
      </c>
      <c r="I238" s="22"/>
      <c r="J238" s="22"/>
      <c r="K238" s="22"/>
      <c r="L238" s="23"/>
      <c r="M238" s="106"/>
      <c r="N238" s="58">
        <f t="shared" ref="N238:N246" si="102">K238-M238</f>
        <v>0</v>
      </c>
      <c r="O238" s="18"/>
    </row>
    <row r="239" spans="1:20" ht="14.4" hidden="1" outlineLevel="1" thickBot="1" x14ac:dyDescent="0.45">
      <c r="A239" s="1" t="s">
        <v>93</v>
      </c>
      <c r="B239" s="1" t="s">
        <v>67</v>
      </c>
      <c r="C239" s="1" t="s">
        <v>31</v>
      </c>
      <c r="D239" s="19" t="str">
        <f t="shared" si="101"/>
        <v>9월</v>
      </c>
      <c r="E239" s="119" t="s">
        <v>25</v>
      </c>
      <c r="F239" s="21" t="s">
        <v>26</v>
      </c>
      <c r="G239" s="118" t="s">
        <v>27</v>
      </c>
      <c r="H239" s="21" t="s">
        <v>32</v>
      </c>
      <c r="I239" s="22">
        <v>564300524</v>
      </c>
      <c r="J239" s="22">
        <v>1854951428.5714285</v>
      </c>
      <c r="K239" s="22">
        <v>564300524</v>
      </c>
      <c r="L239" s="23"/>
      <c r="M239" s="106">
        <v>564300524</v>
      </c>
      <c r="N239" s="58">
        <f t="shared" si="102"/>
        <v>0</v>
      </c>
      <c r="O239" s="18" t="s">
        <v>141</v>
      </c>
      <c r="P239" s="114">
        <v>46.443669849999999</v>
      </c>
      <c r="Q239" s="115">
        <f>P239*10^8</f>
        <v>4644366985</v>
      </c>
      <c r="R239" s="105">
        <f>Q239-SUM(K217,K228)</f>
        <v>746028914</v>
      </c>
      <c r="T239" s="105"/>
    </row>
    <row r="240" spans="1:20" ht="14.4" hidden="1" outlineLevel="1" thickBot="1" x14ac:dyDescent="0.45">
      <c r="A240" s="1" t="s">
        <v>93</v>
      </c>
      <c r="B240" s="1" t="s">
        <v>67</v>
      </c>
      <c r="C240" s="1" t="s">
        <v>33</v>
      </c>
      <c r="D240" s="19" t="str">
        <f t="shared" si="101"/>
        <v>9월</v>
      </c>
      <c r="E240" s="118" t="s">
        <v>25</v>
      </c>
      <c r="F240" s="21" t="s">
        <v>26</v>
      </c>
      <c r="G240" s="118" t="s">
        <v>27</v>
      </c>
      <c r="H240" s="21" t="s">
        <v>34</v>
      </c>
      <c r="I240" s="22">
        <v>71209620</v>
      </c>
      <c r="J240" s="22">
        <v>274170000</v>
      </c>
      <c r="K240" s="22">
        <v>71209620</v>
      </c>
      <c r="L240" s="23">
        <f t="shared" ref="L240:L244" si="103">+I240/J240</f>
        <v>0.25972797899113687</v>
      </c>
      <c r="M240" s="106">
        <v>71209620</v>
      </c>
      <c r="N240" s="58">
        <f t="shared" si="102"/>
        <v>0</v>
      </c>
      <c r="O240" s="18"/>
      <c r="P240" s="114">
        <v>7.6828614999999996</v>
      </c>
      <c r="Q240" s="115">
        <f t="shared" ref="Q240:Q245" si="104">P240*10^8</f>
        <v>768286150</v>
      </c>
      <c r="R240" s="105">
        <f>Q240-SUM(K218,K229)</f>
        <v>179795580</v>
      </c>
      <c r="T240" s="105"/>
    </row>
    <row r="241" spans="1:20" ht="97.2" hidden="1" outlineLevel="1" thickBot="1" x14ac:dyDescent="0.45">
      <c r="A241" s="1" t="s">
        <v>93</v>
      </c>
      <c r="B241" s="1" t="s">
        <v>67</v>
      </c>
      <c r="C241" s="1" t="s">
        <v>35</v>
      </c>
      <c r="D241" s="19" t="str">
        <f t="shared" si="101"/>
        <v>9월</v>
      </c>
      <c r="E241" s="118" t="s">
        <v>25</v>
      </c>
      <c r="F241" s="21" t="s">
        <v>26</v>
      </c>
      <c r="G241" s="118" t="s">
        <v>27</v>
      </c>
      <c r="H241" s="21" t="s">
        <v>36</v>
      </c>
      <c r="I241" s="22">
        <v>10996578200</v>
      </c>
      <c r="J241" s="22">
        <v>6752588200</v>
      </c>
      <c r="K241" s="22">
        <v>10996578200</v>
      </c>
      <c r="L241" s="23">
        <f t="shared" si="103"/>
        <v>1.6284982697449253</v>
      </c>
      <c r="M241" s="106">
        <v>10996578200</v>
      </c>
      <c r="N241" s="58">
        <f t="shared" si="102"/>
        <v>0</v>
      </c>
      <c r="O241" s="130" t="s">
        <v>142</v>
      </c>
      <c r="P241" s="114">
        <v>287.54060820000001</v>
      </c>
      <c r="Q241" s="115">
        <f t="shared" si="104"/>
        <v>28754060820</v>
      </c>
      <c r="R241" s="105">
        <f t="shared" ref="R241:R245" si="105">Q241-SUM(K219,K230)</f>
        <v>11722122420</v>
      </c>
      <c r="T241" s="105"/>
    </row>
    <row r="242" spans="1:20" ht="14.4" hidden="1" outlineLevel="1" thickBot="1" x14ac:dyDescent="0.45">
      <c r="A242" s="1" t="s">
        <v>93</v>
      </c>
      <c r="B242" s="1" t="s">
        <v>67</v>
      </c>
      <c r="C242" s="1" t="s">
        <v>48</v>
      </c>
      <c r="D242" s="19" t="str">
        <f t="shared" si="101"/>
        <v>9월</v>
      </c>
      <c r="E242" s="118" t="s">
        <v>25</v>
      </c>
      <c r="F242" s="21" t="s">
        <v>26</v>
      </c>
      <c r="G242" s="118" t="s">
        <v>27</v>
      </c>
      <c r="H242" s="21" t="s">
        <v>38</v>
      </c>
      <c r="I242" s="22"/>
      <c r="J242" s="22">
        <v>0</v>
      </c>
      <c r="K242" s="22"/>
      <c r="L242" s="23" t="e">
        <f t="shared" si="103"/>
        <v>#DIV/0!</v>
      </c>
      <c r="M242" s="106"/>
      <c r="N242" s="58">
        <f t="shared" si="102"/>
        <v>0</v>
      </c>
      <c r="O242" s="18"/>
      <c r="P242" s="114"/>
      <c r="Q242" s="115">
        <f t="shared" si="104"/>
        <v>0</v>
      </c>
      <c r="R242" s="105">
        <f t="shared" si="105"/>
        <v>0</v>
      </c>
      <c r="T242" s="105"/>
    </row>
    <row r="243" spans="1:20" ht="14.4" hidden="1" outlineLevel="1" thickBot="1" x14ac:dyDescent="0.45">
      <c r="A243" s="1" t="s">
        <v>93</v>
      </c>
      <c r="B243" s="1" t="s">
        <v>67</v>
      </c>
      <c r="C243" s="1" t="s">
        <v>39</v>
      </c>
      <c r="D243" s="19" t="str">
        <f t="shared" si="101"/>
        <v>9월</v>
      </c>
      <c r="E243" s="118" t="s">
        <v>25</v>
      </c>
      <c r="F243" s="21" t="s">
        <v>26</v>
      </c>
      <c r="G243" s="118" t="s">
        <v>27</v>
      </c>
      <c r="H243" s="21" t="s">
        <v>40</v>
      </c>
      <c r="I243" s="22">
        <v>386875000</v>
      </c>
      <c r="J243" s="22">
        <v>131875000.00000001</v>
      </c>
      <c r="K243" s="22">
        <v>386875000</v>
      </c>
      <c r="L243" s="23">
        <f t="shared" si="103"/>
        <v>2.9336492890995256</v>
      </c>
      <c r="M243" s="106">
        <v>386875000</v>
      </c>
      <c r="N243" s="58">
        <f t="shared" si="102"/>
        <v>0</v>
      </c>
      <c r="O243" s="18" t="s">
        <v>143</v>
      </c>
      <c r="P243" s="114">
        <v>4.9737499999999999</v>
      </c>
      <c r="Q243" s="115">
        <f t="shared" si="104"/>
        <v>497375000</v>
      </c>
      <c r="R243" s="105">
        <f t="shared" si="105"/>
        <v>93750000</v>
      </c>
      <c r="T243" s="105"/>
    </row>
    <row r="244" spans="1:20" ht="14.4" hidden="1" outlineLevel="1" thickBot="1" x14ac:dyDescent="0.45">
      <c r="A244" s="1" t="s">
        <v>93</v>
      </c>
      <c r="B244" s="1" t="s">
        <v>67</v>
      </c>
      <c r="C244" s="1" t="s">
        <v>44</v>
      </c>
      <c r="D244" s="19" t="str">
        <f t="shared" si="101"/>
        <v>9월</v>
      </c>
      <c r="E244" s="118" t="s">
        <v>25</v>
      </c>
      <c r="F244" s="21" t="s">
        <v>26</v>
      </c>
      <c r="G244" s="118" t="s">
        <v>27</v>
      </c>
      <c r="H244" s="21" t="s">
        <v>45</v>
      </c>
      <c r="I244" s="22">
        <v>1725722637</v>
      </c>
      <c r="J244" s="22">
        <v>766000000</v>
      </c>
      <c r="K244" s="22">
        <v>1725722637</v>
      </c>
      <c r="L244" s="23">
        <f t="shared" si="103"/>
        <v>2.2529016148825067</v>
      </c>
      <c r="M244" s="106">
        <v>1725722637</v>
      </c>
      <c r="N244" s="58">
        <f t="shared" si="102"/>
        <v>0</v>
      </c>
      <c r="O244" s="18"/>
      <c r="P244" s="114">
        <v>24.738031079999999</v>
      </c>
      <c r="Q244" s="115">
        <f t="shared" si="104"/>
        <v>2473803108</v>
      </c>
      <c r="R244" s="105">
        <f t="shared" si="105"/>
        <v>270152434</v>
      </c>
      <c r="T244" s="105"/>
    </row>
    <row r="245" spans="1:20" ht="14.4" hidden="1" outlineLevel="1" thickBot="1" x14ac:dyDescent="0.45">
      <c r="A245" s="1" t="s">
        <v>93</v>
      </c>
      <c r="B245" s="1" t="s">
        <v>67</v>
      </c>
      <c r="C245" s="1" t="s">
        <v>46</v>
      </c>
      <c r="D245" s="19" t="str">
        <f t="shared" si="101"/>
        <v>9월</v>
      </c>
      <c r="E245" s="120" t="s">
        <v>25</v>
      </c>
      <c r="F245" s="32" t="s">
        <v>26</v>
      </c>
      <c r="G245" s="120" t="s">
        <v>27</v>
      </c>
      <c r="H245" s="32" t="s">
        <v>47</v>
      </c>
      <c r="I245" s="33">
        <v>129958334</v>
      </c>
      <c r="J245" s="22">
        <v>0</v>
      </c>
      <c r="K245" s="33">
        <v>129958334</v>
      </c>
      <c r="L245" s="34"/>
      <c r="M245" s="113">
        <v>129958334</v>
      </c>
      <c r="N245" s="58">
        <f t="shared" si="102"/>
        <v>0</v>
      </c>
      <c r="O245" s="18"/>
      <c r="P245" s="114">
        <v>2.02375002</v>
      </c>
      <c r="Q245" s="115">
        <f t="shared" si="104"/>
        <v>202375002</v>
      </c>
      <c r="R245" s="105">
        <f t="shared" si="105"/>
        <v>86358334</v>
      </c>
      <c r="T245" s="105"/>
    </row>
    <row r="246" spans="1:20" ht="14.4" hidden="1" outlineLevel="1" thickBot="1" x14ac:dyDescent="0.45">
      <c r="A246" s="1" t="s">
        <v>93</v>
      </c>
      <c r="B246" s="1" t="s">
        <v>67</v>
      </c>
      <c r="C246" s="1" t="s">
        <v>48</v>
      </c>
      <c r="D246" s="97" t="str">
        <f t="shared" si="101"/>
        <v>9월</v>
      </c>
      <c r="E246" s="121" t="s">
        <v>25</v>
      </c>
      <c r="F246" s="36" t="s">
        <v>26</v>
      </c>
      <c r="G246" s="121" t="s">
        <v>27</v>
      </c>
      <c r="H246" s="36" t="s">
        <v>49</v>
      </c>
      <c r="I246" s="37">
        <v>101629400</v>
      </c>
      <c r="J246" s="37"/>
      <c r="K246" s="37">
        <v>101629400</v>
      </c>
      <c r="L246" s="38" t="e">
        <f t="shared" ref="L246" si="106">+K246/J246</f>
        <v>#DIV/0!</v>
      </c>
      <c r="M246" s="37">
        <v>101629400</v>
      </c>
      <c r="N246" s="58">
        <f t="shared" si="102"/>
        <v>0</v>
      </c>
      <c r="P246" s="114"/>
      <c r="Q246" s="115"/>
      <c r="T246" s="105"/>
    </row>
    <row r="247" spans="1:20" ht="14.4" collapsed="1" thickBot="1" x14ac:dyDescent="0.45">
      <c r="D247" s="144" t="s">
        <v>144</v>
      </c>
      <c r="E247" s="145"/>
      <c r="F247" s="145"/>
      <c r="G247" s="145"/>
      <c r="H247" s="146"/>
      <c r="I247" s="41">
        <f>SUM(I237:I246)</f>
        <v>13976273715</v>
      </c>
      <c r="J247" s="41">
        <f>SUM(J237:J246)</f>
        <v>9779584628.5714283</v>
      </c>
      <c r="K247" s="41">
        <f>SUM(K237:K246)</f>
        <v>13976273715</v>
      </c>
      <c r="L247" s="42">
        <f>I247/J247</f>
        <v>1.4291275392379943</v>
      </c>
      <c r="M247" s="43">
        <f>SUM(M237:M246)</f>
        <v>13976273715</v>
      </c>
      <c r="N247" s="44">
        <f>SUM(N237:N246)</f>
        <v>0</v>
      </c>
      <c r="P247" s="114"/>
      <c r="T247" s="105"/>
    </row>
    <row r="248" spans="1:20" ht="14.4" thickBot="1" x14ac:dyDescent="0.45">
      <c r="D248" s="147" t="s">
        <v>145</v>
      </c>
      <c r="E248" s="148"/>
      <c r="F248" s="148"/>
      <c r="G248" s="148"/>
      <c r="H248" s="149"/>
      <c r="I248" s="53">
        <f>SUM(I225,I236,I247)</f>
        <v>38218333098</v>
      </c>
      <c r="J248" s="53">
        <f t="shared" ref="J248:K248" si="107">SUM(J225,J236,J247)</f>
        <v>32823238235.714287</v>
      </c>
      <c r="K248" s="53">
        <f t="shared" si="107"/>
        <v>38218333098</v>
      </c>
      <c r="L248" s="54">
        <f>I248/J248</f>
        <v>1.1643681474552203</v>
      </c>
      <c r="M248" s="53">
        <f>SUM(M225,M236,M247)</f>
        <v>38211288296.559998</v>
      </c>
      <c r="N248" s="53">
        <f>SUM(N225,N236,N247)</f>
        <v>7044801.4400000572</v>
      </c>
      <c r="O248" s="98"/>
    </row>
    <row r="249" spans="1:20" ht="14.4" hidden="1" outlineLevel="1" thickBot="1" x14ac:dyDescent="0.45">
      <c r="A249" s="1" t="s">
        <v>93</v>
      </c>
      <c r="B249" s="1" t="s">
        <v>80</v>
      </c>
      <c r="C249" s="1" t="s">
        <v>94</v>
      </c>
      <c r="D249" s="12" t="s">
        <v>81</v>
      </c>
      <c r="E249" s="117" t="s">
        <v>25</v>
      </c>
      <c r="F249" s="92" t="s">
        <v>26</v>
      </c>
      <c r="G249" s="117" t="s">
        <v>27</v>
      </c>
      <c r="H249" s="92" t="s">
        <v>28</v>
      </c>
      <c r="I249" s="93"/>
      <c r="J249" s="93"/>
      <c r="K249" s="93"/>
      <c r="L249" s="94" t="e">
        <f t="shared" ref="L249" si="108">+I249/J249</f>
        <v>#DIV/0!</v>
      </c>
      <c r="M249" s="93"/>
      <c r="N249" s="79">
        <f>K249-M249</f>
        <v>0</v>
      </c>
      <c r="O249" s="18"/>
    </row>
    <row r="250" spans="1:20" ht="14.4" hidden="1" outlineLevel="1" thickBot="1" x14ac:dyDescent="0.45">
      <c r="A250" s="1" t="s">
        <v>93</v>
      </c>
      <c r="B250" s="1" t="s">
        <v>80</v>
      </c>
      <c r="C250" s="1" t="s">
        <v>94</v>
      </c>
      <c r="D250" s="19" t="str">
        <f t="shared" ref="D250:D258" si="109">D249</f>
        <v>10월</v>
      </c>
      <c r="E250" s="118" t="s">
        <v>25</v>
      </c>
      <c r="F250" s="21" t="s">
        <v>26</v>
      </c>
      <c r="G250" s="118" t="s">
        <v>27</v>
      </c>
      <c r="H250" s="21" t="s">
        <v>30</v>
      </c>
      <c r="I250" s="22"/>
      <c r="J250" s="22"/>
      <c r="K250" s="22"/>
      <c r="L250" s="23"/>
      <c r="M250" s="22"/>
      <c r="N250" s="58">
        <f t="shared" ref="N250:N258" si="110">K250-M250</f>
        <v>0</v>
      </c>
      <c r="O250" s="18"/>
    </row>
    <row r="251" spans="1:20" ht="14.4" hidden="1" outlineLevel="1" thickBot="1" x14ac:dyDescent="0.45">
      <c r="A251" s="1" t="s">
        <v>93</v>
      </c>
      <c r="B251" s="1" t="s">
        <v>80</v>
      </c>
      <c r="C251" s="1" t="s">
        <v>31</v>
      </c>
      <c r="D251" s="19" t="str">
        <f t="shared" si="109"/>
        <v>10월</v>
      </c>
      <c r="E251" s="119" t="s">
        <v>25</v>
      </c>
      <c r="F251" s="21" t="s">
        <v>26</v>
      </c>
      <c r="G251" s="118" t="s">
        <v>27</v>
      </c>
      <c r="H251" s="21" t="s">
        <v>32</v>
      </c>
      <c r="I251" s="22">
        <v>1367600932</v>
      </c>
      <c r="J251" s="22">
        <v>2135396250.0000002</v>
      </c>
      <c r="K251" s="22">
        <v>1367600932</v>
      </c>
      <c r="L251" s="23"/>
      <c r="M251" s="22">
        <v>1367600932</v>
      </c>
      <c r="N251" s="58">
        <f t="shared" si="110"/>
        <v>0</v>
      </c>
      <c r="O251" s="18" t="s">
        <v>98</v>
      </c>
      <c r="P251" s="18"/>
      <c r="S251" s="105"/>
      <c r="T251" s="105"/>
    </row>
    <row r="252" spans="1:20" ht="14.4" hidden="1" outlineLevel="1" thickBot="1" x14ac:dyDescent="0.45">
      <c r="A252" s="1" t="s">
        <v>93</v>
      </c>
      <c r="B252" s="1" t="s">
        <v>80</v>
      </c>
      <c r="C252" s="1" t="s">
        <v>33</v>
      </c>
      <c r="D252" s="19" t="str">
        <f t="shared" si="109"/>
        <v>10월</v>
      </c>
      <c r="E252" s="118" t="s">
        <v>25</v>
      </c>
      <c r="F252" s="21" t="s">
        <v>26</v>
      </c>
      <c r="G252" s="118" t="s">
        <v>27</v>
      </c>
      <c r="H252" s="21" t="s">
        <v>34</v>
      </c>
      <c r="I252" s="22">
        <v>172612880</v>
      </c>
      <c r="J252" s="22">
        <v>552764102.56410241</v>
      </c>
      <c r="K252" s="22">
        <v>172612880</v>
      </c>
      <c r="L252" s="23">
        <f t="shared" ref="L252:L256" si="111">+I252/J252</f>
        <v>0.31227223186039399</v>
      </c>
      <c r="M252" s="22">
        <v>172612880</v>
      </c>
      <c r="N252" s="58">
        <f t="shared" si="110"/>
        <v>0</v>
      </c>
      <c r="O252" s="18"/>
      <c r="S252" s="105"/>
      <c r="T252" s="105"/>
    </row>
    <row r="253" spans="1:20" ht="14.4" hidden="1" outlineLevel="1" thickBot="1" x14ac:dyDescent="0.45">
      <c r="A253" s="1" t="s">
        <v>93</v>
      </c>
      <c r="B253" s="1" t="s">
        <v>80</v>
      </c>
      <c r="C253" s="1" t="s">
        <v>35</v>
      </c>
      <c r="D253" s="19" t="str">
        <f t="shared" si="109"/>
        <v>10월</v>
      </c>
      <c r="E253" s="118" t="s">
        <v>25</v>
      </c>
      <c r="F253" s="21" t="s">
        <v>26</v>
      </c>
      <c r="G253" s="118" t="s">
        <v>27</v>
      </c>
      <c r="H253" s="21" t="s">
        <v>36</v>
      </c>
      <c r="I253" s="22">
        <v>10198247500</v>
      </c>
      <c r="J253" s="22">
        <v>8858448600.0000019</v>
      </c>
      <c r="K253" s="22">
        <v>10198247500</v>
      </c>
      <c r="L253" s="23">
        <f t="shared" si="111"/>
        <v>1.1512453207664373</v>
      </c>
      <c r="M253" s="22">
        <v>10198247500</v>
      </c>
      <c r="N253" s="58">
        <f t="shared" si="110"/>
        <v>0</v>
      </c>
      <c r="O253" s="131" t="s">
        <v>146</v>
      </c>
      <c r="S253" s="105"/>
      <c r="T253" s="105"/>
    </row>
    <row r="254" spans="1:20" ht="14.4" hidden="1" outlineLevel="1" thickBot="1" x14ac:dyDescent="0.45">
      <c r="A254" s="1" t="s">
        <v>93</v>
      </c>
      <c r="B254" s="1" t="s">
        <v>80</v>
      </c>
      <c r="C254" s="1" t="s">
        <v>48</v>
      </c>
      <c r="D254" s="19" t="str">
        <f t="shared" si="109"/>
        <v>10월</v>
      </c>
      <c r="E254" s="118" t="s">
        <v>25</v>
      </c>
      <c r="F254" s="21" t="s">
        <v>26</v>
      </c>
      <c r="G254" s="118" t="s">
        <v>27</v>
      </c>
      <c r="H254" s="21" t="s">
        <v>38</v>
      </c>
      <c r="I254" s="22"/>
      <c r="J254" s="22">
        <v>0</v>
      </c>
      <c r="K254" s="22"/>
      <c r="L254" s="23" t="e">
        <f t="shared" si="111"/>
        <v>#DIV/0!</v>
      </c>
      <c r="M254" s="22"/>
      <c r="N254" s="58">
        <f t="shared" si="110"/>
        <v>0</v>
      </c>
      <c r="O254" s="18"/>
      <c r="S254" s="105"/>
      <c r="T254" s="105"/>
    </row>
    <row r="255" spans="1:20" ht="14.4" hidden="1" outlineLevel="1" thickBot="1" x14ac:dyDescent="0.45">
      <c r="A255" s="1" t="s">
        <v>93</v>
      </c>
      <c r="B255" s="1" t="s">
        <v>80</v>
      </c>
      <c r="C255" s="1" t="s">
        <v>39</v>
      </c>
      <c r="D255" s="19" t="str">
        <f t="shared" si="109"/>
        <v>10월</v>
      </c>
      <c r="E255" s="118" t="s">
        <v>25</v>
      </c>
      <c r="F255" s="21" t="s">
        <v>26</v>
      </c>
      <c r="G255" s="118" t="s">
        <v>27</v>
      </c>
      <c r="H255" s="21" t="s">
        <v>40</v>
      </c>
      <c r="I255" s="22">
        <v>46875000</v>
      </c>
      <c r="J255" s="22">
        <v>85000000</v>
      </c>
      <c r="K255" s="22">
        <v>46875000</v>
      </c>
      <c r="L255" s="23">
        <f t="shared" si="111"/>
        <v>0.55147058823529416</v>
      </c>
      <c r="M255" s="22">
        <v>46875000</v>
      </c>
      <c r="N255" s="58">
        <f t="shared" si="110"/>
        <v>0</v>
      </c>
      <c r="O255" s="18"/>
      <c r="S255" s="105"/>
      <c r="T255" s="105"/>
    </row>
    <row r="256" spans="1:20" ht="14.4" hidden="1" outlineLevel="1" thickBot="1" x14ac:dyDescent="0.45">
      <c r="A256" s="1" t="s">
        <v>93</v>
      </c>
      <c r="B256" s="1" t="s">
        <v>80</v>
      </c>
      <c r="C256" s="1" t="s">
        <v>44</v>
      </c>
      <c r="D256" s="19" t="str">
        <f t="shared" si="109"/>
        <v>10월</v>
      </c>
      <c r="E256" s="118" t="s">
        <v>25</v>
      </c>
      <c r="F256" s="21" t="s">
        <v>26</v>
      </c>
      <c r="G256" s="118" t="s">
        <v>27</v>
      </c>
      <c r="H256" s="21" t="s">
        <v>45</v>
      </c>
      <c r="I256" s="22">
        <v>81867130</v>
      </c>
      <c r="J256" s="22">
        <v>0</v>
      </c>
      <c r="K256" s="22">
        <v>81867130</v>
      </c>
      <c r="L256" s="23" t="e">
        <f t="shared" si="111"/>
        <v>#DIV/0!</v>
      </c>
      <c r="M256" s="22">
        <v>81867130</v>
      </c>
      <c r="N256" s="58">
        <f t="shared" si="110"/>
        <v>0</v>
      </c>
      <c r="O256" s="18" t="s">
        <v>147</v>
      </c>
      <c r="S256" s="105"/>
      <c r="T256" s="105"/>
    </row>
    <row r="257" spans="1:20" ht="14.4" hidden="1" outlineLevel="1" thickBot="1" x14ac:dyDescent="0.45">
      <c r="A257" s="1" t="s">
        <v>93</v>
      </c>
      <c r="B257" s="1" t="s">
        <v>80</v>
      </c>
      <c r="C257" s="1" t="s">
        <v>46</v>
      </c>
      <c r="D257" s="19" t="str">
        <f t="shared" si="109"/>
        <v>10월</v>
      </c>
      <c r="E257" s="120" t="s">
        <v>25</v>
      </c>
      <c r="F257" s="32" t="s">
        <v>26</v>
      </c>
      <c r="G257" s="120" t="s">
        <v>27</v>
      </c>
      <c r="H257" s="32" t="s">
        <v>47</v>
      </c>
      <c r="I257" s="33">
        <v>36208334</v>
      </c>
      <c r="J257" s="22">
        <v>0</v>
      </c>
      <c r="K257" s="33">
        <v>36208334</v>
      </c>
      <c r="L257" s="34"/>
      <c r="M257" s="22">
        <v>36208334</v>
      </c>
      <c r="N257" s="58">
        <f t="shared" si="110"/>
        <v>0</v>
      </c>
      <c r="O257" s="18"/>
      <c r="S257" s="105"/>
      <c r="T257" s="105"/>
    </row>
    <row r="258" spans="1:20" ht="14.4" hidden="1" outlineLevel="1" thickBot="1" x14ac:dyDescent="0.45">
      <c r="A258" s="1" t="s">
        <v>93</v>
      </c>
      <c r="B258" s="1" t="s">
        <v>80</v>
      </c>
      <c r="C258" s="1" t="s">
        <v>48</v>
      </c>
      <c r="D258" s="97" t="str">
        <f t="shared" si="109"/>
        <v>10월</v>
      </c>
      <c r="E258" s="121" t="s">
        <v>25</v>
      </c>
      <c r="F258" s="36" t="s">
        <v>26</v>
      </c>
      <c r="G258" s="121" t="s">
        <v>27</v>
      </c>
      <c r="H258" s="36" t="s">
        <v>49</v>
      </c>
      <c r="I258" s="37">
        <v>10065044</v>
      </c>
      <c r="J258" s="37"/>
      <c r="K258" s="37">
        <v>10065044</v>
      </c>
      <c r="L258" s="38" t="e">
        <f t="shared" ref="L258" si="112">+K258/J258</f>
        <v>#DIV/0!</v>
      </c>
      <c r="M258" s="37">
        <v>10065044</v>
      </c>
      <c r="N258" s="58">
        <f t="shared" si="110"/>
        <v>0</v>
      </c>
      <c r="S258" s="105"/>
      <c r="T258" s="105"/>
    </row>
    <row r="259" spans="1:20" ht="14.4" collapsed="1" thickBot="1" x14ac:dyDescent="0.45">
      <c r="D259" s="144" t="s">
        <v>148</v>
      </c>
      <c r="E259" s="145"/>
      <c r="F259" s="145"/>
      <c r="G259" s="145"/>
      <c r="H259" s="146"/>
      <c r="I259" s="41">
        <f>SUM(I249:I258)</f>
        <v>11913476820</v>
      </c>
      <c r="J259" s="41">
        <f>SUM(J249:J258)</f>
        <v>11631608952.564104</v>
      </c>
      <c r="K259" s="41">
        <f>SUM(K249:K258)</f>
        <v>11913476820</v>
      </c>
      <c r="L259" s="42">
        <f>I259/J259</f>
        <v>1.0242329215661743</v>
      </c>
      <c r="M259" s="43">
        <f>SUM(M249:M258)</f>
        <v>11913476820</v>
      </c>
      <c r="N259" s="44">
        <f>SUM(N249:N258)</f>
        <v>0</v>
      </c>
      <c r="O259" s="98"/>
      <c r="S259" s="105"/>
      <c r="T259" s="105"/>
    </row>
    <row r="260" spans="1:20" ht="14.4" hidden="1" outlineLevel="1" thickBot="1" x14ac:dyDescent="0.45">
      <c r="A260" s="1" t="s">
        <v>93</v>
      </c>
      <c r="B260" s="1" t="s">
        <v>80</v>
      </c>
      <c r="C260" s="1" t="s">
        <v>94</v>
      </c>
      <c r="D260" s="12" t="s">
        <v>41</v>
      </c>
      <c r="E260" s="117" t="s">
        <v>25</v>
      </c>
      <c r="F260" s="92" t="s">
        <v>26</v>
      </c>
      <c r="G260" s="117" t="s">
        <v>27</v>
      </c>
      <c r="H260" s="92" t="s">
        <v>28</v>
      </c>
      <c r="I260" s="93"/>
      <c r="J260" s="93"/>
      <c r="K260" s="132"/>
      <c r="L260" s="94" t="e">
        <f t="shared" ref="L260" si="113">+I260/J260</f>
        <v>#DIV/0!</v>
      </c>
      <c r="M260" s="93"/>
      <c r="N260" s="79">
        <f>K260-M260</f>
        <v>0</v>
      </c>
      <c r="O260" s="18"/>
    </row>
    <row r="261" spans="1:20" ht="14.4" hidden="1" outlineLevel="1" thickBot="1" x14ac:dyDescent="0.45">
      <c r="A261" s="1" t="s">
        <v>93</v>
      </c>
      <c r="B261" s="1" t="s">
        <v>80</v>
      </c>
      <c r="C261" s="1" t="s">
        <v>94</v>
      </c>
      <c r="D261" s="19" t="str">
        <f t="shared" ref="D261:D269" si="114">D260</f>
        <v>11월</v>
      </c>
      <c r="E261" s="118" t="s">
        <v>25</v>
      </c>
      <c r="F261" s="21" t="s">
        <v>26</v>
      </c>
      <c r="G261" s="118" t="s">
        <v>27</v>
      </c>
      <c r="H261" s="21" t="s">
        <v>30</v>
      </c>
      <c r="I261" s="22"/>
      <c r="J261" s="22"/>
      <c r="K261" s="104"/>
      <c r="L261" s="23"/>
      <c r="M261" s="22"/>
      <c r="N261" s="58">
        <f t="shared" ref="N261:N267" si="115">K261-M261</f>
        <v>0</v>
      </c>
      <c r="O261" s="111"/>
    </row>
    <row r="262" spans="1:20" ht="14.4" hidden="1" outlineLevel="1" thickBot="1" x14ac:dyDescent="0.45">
      <c r="A262" s="1" t="s">
        <v>93</v>
      </c>
      <c r="B262" s="1" t="s">
        <v>80</v>
      </c>
      <c r="C262" s="1" t="s">
        <v>31</v>
      </c>
      <c r="D262" s="19" t="str">
        <f t="shared" si="114"/>
        <v>11월</v>
      </c>
      <c r="E262" s="119" t="s">
        <v>25</v>
      </c>
      <c r="F262" s="21" t="s">
        <v>26</v>
      </c>
      <c r="G262" s="118" t="s">
        <v>27</v>
      </c>
      <c r="H262" s="21" t="s">
        <v>32</v>
      </c>
      <c r="I262" s="106">
        <v>1363011488.4400001</v>
      </c>
      <c r="J262" s="22">
        <v>561580500</v>
      </c>
      <c r="K262" s="104">
        <v>1363011488.4400001</v>
      </c>
      <c r="L262" s="23"/>
      <c r="M262" s="22">
        <v>1363011488.4400001</v>
      </c>
      <c r="N262" s="58">
        <f t="shared" si="115"/>
        <v>0</v>
      </c>
      <c r="O262" s="18" t="s">
        <v>149</v>
      </c>
      <c r="P262" s="18"/>
      <c r="T262" s="105"/>
    </row>
    <row r="263" spans="1:20" ht="14.4" hidden="1" outlineLevel="1" thickBot="1" x14ac:dyDescent="0.45">
      <c r="A263" s="1" t="s">
        <v>93</v>
      </c>
      <c r="B263" s="1" t="s">
        <v>80</v>
      </c>
      <c r="C263" s="1" t="s">
        <v>33</v>
      </c>
      <c r="D263" s="19" t="str">
        <f t="shared" si="114"/>
        <v>11월</v>
      </c>
      <c r="E263" s="118" t="s">
        <v>25</v>
      </c>
      <c r="F263" s="21" t="s">
        <v>26</v>
      </c>
      <c r="G263" s="118" t="s">
        <v>27</v>
      </c>
      <c r="H263" s="21" t="s">
        <v>34</v>
      </c>
      <c r="I263" s="106">
        <v>206100820</v>
      </c>
      <c r="J263" s="22">
        <v>254591602.56410235</v>
      </c>
      <c r="K263" s="104">
        <v>206100820</v>
      </c>
      <c r="L263" s="23">
        <f>+I263/J263</f>
        <v>0.80953502756677487</v>
      </c>
      <c r="M263" s="22">
        <v>206100820</v>
      </c>
      <c r="N263" s="58">
        <f t="shared" si="115"/>
        <v>0</v>
      </c>
      <c r="O263" s="18" t="s">
        <v>150</v>
      </c>
      <c r="Q263" s="105"/>
      <c r="T263" s="105"/>
    </row>
    <row r="264" spans="1:20" ht="14.4" hidden="1" outlineLevel="1" thickBot="1" x14ac:dyDescent="0.45">
      <c r="A264" s="1" t="s">
        <v>93</v>
      </c>
      <c r="B264" s="1" t="s">
        <v>80</v>
      </c>
      <c r="C264" s="1" t="s">
        <v>35</v>
      </c>
      <c r="D264" s="19" t="str">
        <f t="shared" si="114"/>
        <v>11월</v>
      </c>
      <c r="E264" s="118" t="s">
        <v>25</v>
      </c>
      <c r="F264" s="21" t="s">
        <v>26</v>
      </c>
      <c r="G264" s="118" t="s">
        <v>27</v>
      </c>
      <c r="H264" s="21" t="s">
        <v>36</v>
      </c>
      <c r="I264" s="106">
        <v>13721557600</v>
      </c>
      <c r="J264" s="22">
        <v>11779757100</v>
      </c>
      <c r="K264" s="133">
        <v>13721557600</v>
      </c>
      <c r="L264" s="23">
        <f t="shared" ref="L264:L267" si="116">+I264/J264</f>
        <v>1.1648421511170208</v>
      </c>
      <c r="M264" s="22">
        <v>13721557600</v>
      </c>
      <c r="N264" s="58">
        <f t="shared" si="115"/>
        <v>0</v>
      </c>
      <c r="O264" s="18">
        <v>503181900</v>
      </c>
      <c r="P264" s="1" t="s">
        <v>151</v>
      </c>
      <c r="Q264" s="105"/>
      <c r="T264" s="105"/>
    </row>
    <row r="265" spans="1:20" ht="14.4" hidden="1" outlineLevel="1" thickBot="1" x14ac:dyDescent="0.45">
      <c r="A265" s="1" t="s">
        <v>93</v>
      </c>
      <c r="B265" s="1" t="s">
        <v>80</v>
      </c>
      <c r="C265" s="1" t="s">
        <v>48</v>
      </c>
      <c r="D265" s="19" t="str">
        <f t="shared" si="114"/>
        <v>11월</v>
      </c>
      <c r="E265" s="118" t="s">
        <v>25</v>
      </c>
      <c r="F265" s="21" t="s">
        <v>26</v>
      </c>
      <c r="G265" s="118" t="s">
        <v>27</v>
      </c>
      <c r="H265" s="21" t="s">
        <v>38</v>
      </c>
      <c r="I265" s="22"/>
      <c r="J265" s="22">
        <v>67000000.000000007</v>
      </c>
      <c r="K265" s="104"/>
      <c r="L265" s="23">
        <f t="shared" si="116"/>
        <v>0</v>
      </c>
      <c r="M265" s="22"/>
      <c r="N265" s="58">
        <f>K265-M265</f>
        <v>0</v>
      </c>
      <c r="O265" s="18"/>
      <c r="Q265" s="105"/>
      <c r="T265" s="105"/>
    </row>
    <row r="266" spans="1:20" ht="14.4" hidden="1" outlineLevel="1" thickBot="1" x14ac:dyDescent="0.45">
      <c r="A266" s="1" t="s">
        <v>93</v>
      </c>
      <c r="B266" s="1" t="s">
        <v>80</v>
      </c>
      <c r="C266" s="1" t="s">
        <v>39</v>
      </c>
      <c r="D266" s="19" t="str">
        <f t="shared" si="114"/>
        <v>11월</v>
      </c>
      <c r="E266" s="118" t="s">
        <v>25</v>
      </c>
      <c r="F266" s="21" t="s">
        <v>26</v>
      </c>
      <c r="G266" s="118" t="s">
        <v>27</v>
      </c>
      <c r="H266" s="21" t="s">
        <v>40</v>
      </c>
      <c r="I266" s="22">
        <v>0</v>
      </c>
      <c r="J266" s="22">
        <v>131875000.00000001</v>
      </c>
      <c r="K266" s="104">
        <v>0</v>
      </c>
      <c r="L266" s="23">
        <f t="shared" si="116"/>
        <v>0</v>
      </c>
      <c r="M266" s="22">
        <v>0</v>
      </c>
      <c r="N266" s="58">
        <f>K266-M266</f>
        <v>0</v>
      </c>
      <c r="O266" s="18"/>
      <c r="Q266" s="105"/>
      <c r="T266" s="105"/>
    </row>
    <row r="267" spans="1:20" ht="14.4" hidden="1" outlineLevel="1" thickBot="1" x14ac:dyDescent="0.45">
      <c r="A267" s="1" t="s">
        <v>93</v>
      </c>
      <c r="B267" s="1" t="s">
        <v>80</v>
      </c>
      <c r="C267" s="1" t="s">
        <v>44</v>
      </c>
      <c r="D267" s="19" t="str">
        <f t="shared" si="114"/>
        <v>11월</v>
      </c>
      <c r="E267" s="118" t="s">
        <v>25</v>
      </c>
      <c r="F267" s="21" t="s">
        <v>26</v>
      </c>
      <c r="G267" s="118" t="s">
        <v>27</v>
      </c>
      <c r="H267" s="21" t="s">
        <v>45</v>
      </c>
      <c r="I267" s="106">
        <v>28575130</v>
      </c>
      <c r="J267" s="22">
        <v>0</v>
      </c>
      <c r="K267" s="104">
        <v>28575130</v>
      </c>
      <c r="L267" s="23" t="e">
        <f t="shared" si="116"/>
        <v>#DIV/0!</v>
      </c>
      <c r="M267" s="22">
        <v>28575130</v>
      </c>
      <c r="N267" s="58">
        <f t="shared" si="115"/>
        <v>0</v>
      </c>
      <c r="O267" s="18"/>
      <c r="Q267" s="105"/>
      <c r="T267" s="105"/>
    </row>
    <row r="268" spans="1:20" ht="14.4" hidden="1" outlineLevel="1" thickBot="1" x14ac:dyDescent="0.45">
      <c r="A268" s="1" t="s">
        <v>93</v>
      </c>
      <c r="B268" s="1" t="s">
        <v>80</v>
      </c>
      <c r="C268" s="1" t="s">
        <v>46</v>
      </c>
      <c r="D268" s="19" t="str">
        <f t="shared" si="114"/>
        <v>11월</v>
      </c>
      <c r="E268" s="120" t="s">
        <v>25</v>
      </c>
      <c r="F268" s="32" t="s">
        <v>26</v>
      </c>
      <c r="G268" s="120" t="s">
        <v>27</v>
      </c>
      <c r="H268" s="32" t="s">
        <v>47</v>
      </c>
      <c r="I268" s="113">
        <v>83083334</v>
      </c>
      <c r="J268" s="22">
        <v>46875000</v>
      </c>
      <c r="K268" s="109">
        <v>83083334</v>
      </c>
      <c r="L268" s="34"/>
      <c r="M268" s="33">
        <v>83083334</v>
      </c>
      <c r="N268" s="58">
        <f>K268-M268</f>
        <v>0</v>
      </c>
      <c r="Q268" s="105"/>
      <c r="T268" s="105"/>
    </row>
    <row r="269" spans="1:20" ht="14.4" hidden="1" outlineLevel="1" thickBot="1" x14ac:dyDescent="0.45">
      <c r="A269" s="1" t="s">
        <v>93</v>
      </c>
      <c r="B269" s="1" t="s">
        <v>80</v>
      </c>
      <c r="C269" s="1" t="s">
        <v>48</v>
      </c>
      <c r="D269" s="97" t="str">
        <f t="shared" si="114"/>
        <v>11월</v>
      </c>
      <c r="E269" s="121" t="s">
        <v>25</v>
      </c>
      <c r="F269" s="36" t="s">
        <v>26</v>
      </c>
      <c r="G269" s="121" t="s">
        <v>27</v>
      </c>
      <c r="H269" s="36" t="s">
        <v>49</v>
      </c>
      <c r="I269" s="37">
        <v>4000000</v>
      </c>
      <c r="J269" s="37"/>
      <c r="K269" s="110">
        <v>4000000</v>
      </c>
      <c r="L269" s="38" t="e">
        <f t="shared" ref="L269" si="117">+K269/J269</f>
        <v>#DIV/0!</v>
      </c>
      <c r="M269" s="37">
        <v>4000000</v>
      </c>
      <c r="N269" s="58">
        <f t="shared" ref="N269" si="118">K269-M269</f>
        <v>0</v>
      </c>
      <c r="O269" s="18"/>
      <c r="T269" s="105"/>
    </row>
    <row r="270" spans="1:20" ht="23.4" collapsed="1" thickBot="1" x14ac:dyDescent="0.45">
      <c r="D270" s="144" t="s">
        <v>152</v>
      </c>
      <c r="E270" s="145"/>
      <c r="F270" s="145"/>
      <c r="G270" s="145"/>
      <c r="H270" s="146"/>
      <c r="I270" s="41">
        <f>SUM(I260:I269)</f>
        <v>15406328372.440001</v>
      </c>
      <c r="J270" s="41">
        <f>SUM(J260:J269)</f>
        <v>12841679202.564102</v>
      </c>
      <c r="K270" s="41">
        <f>SUM(K260:K269)</f>
        <v>15406328372.440001</v>
      </c>
      <c r="L270" s="42">
        <f>I270/J270</f>
        <v>1.1997129136634883</v>
      </c>
      <c r="M270" s="43">
        <f>SUM(M260:M269)</f>
        <v>15406328372.440001</v>
      </c>
      <c r="N270" s="44">
        <f>SUM(N260:N269)</f>
        <v>0</v>
      </c>
      <c r="O270" s="134" t="s">
        <v>153</v>
      </c>
      <c r="T270" s="105"/>
    </row>
    <row r="271" spans="1:20" ht="14.4" hidden="1" outlineLevel="1" thickBot="1" x14ac:dyDescent="0.45">
      <c r="A271" s="1" t="s">
        <v>93</v>
      </c>
      <c r="B271" s="1" t="s">
        <v>80</v>
      </c>
      <c r="C271" s="1" t="s">
        <v>94</v>
      </c>
      <c r="D271" s="12" t="s">
        <v>42</v>
      </c>
      <c r="E271" s="117" t="s">
        <v>25</v>
      </c>
      <c r="F271" s="92" t="s">
        <v>26</v>
      </c>
      <c r="G271" s="117" t="s">
        <v>27</v>
      </c>
      <c r="H271" s="92" t="s">
        <v>28</v>
      </c>
      <c r="I271" s="93"/>
      <c r="J271" s="93"/>
      <c r="K271" s="132"/>
      <c r="L271" s="94" t="e">
        <f t="shared" ref="L271" si="119">+I271/J271</f>
        <v>#DIV/0!</v>
      </c>
      <c r="M271" s="93"/>
      <c r="N271" s="79">
        <f>K271-M271</f>
        <v>0</v>
      </c>
      <c r="O271" s="18"/>
    </row>
    <row r="272" spans="1:20" ht="14.4" hidden="1" outlineLevel="1" thickBot="1" x14ac:dyDescent="0.45">
      <c r="A272" s="1" t="s">
        <v>93</v>
      </c>
      <c r="B272" s="1" t="s">
        <v>80</v>
      </c>
      <c r="C272" s="1" t="s">
        <v>94</v>
      </c>
      <c r="D272" s="19" t="str">
        <f t="shared" ref="D272:D280" si="120">D271</f>
        <v>12월</v>
      </c>
      <c r="E272" s="118" t="s">
        <v>25</v>
      </c>
      <c r="F272" s="21" t="s">
        <v>26</v>
      </c>
      <c r="G272" s="118" t="s">
        <v>27</v>
      </c>
      <c r="H272" s="21" t="s">
        <v>30</v>
      </c>
      <c r="I272" s="22"/>
      <c r="J272" s="22"/>
      <c r="K272" s="104"/>
      <c r="L272" s="23"/>
      <c r="M272" s="106"/>
      <c r="N272" s="58">
        <f t="shared" ref="N272:N280" si="121">K272-M272</f>
        <v>0</v>
      </c>
      <c r="O272" s="18"/>
    </row>
    <row r="273" spans="1:20" ht="14.4" hidden="1" outlineLevel="1" thickBot="1" x14ac:dyDescent="0.45">
      <c r="A273" s="1" t="s">
        <v>93</v>
      </c>
      <c r="B273" s="1" t="s">
        <v>80</v>
      </c>
      <c r="C273" s="1" t="s">
        <v>31</v>
      </c>
      <c r="D273" s="19" t="str">
        <f t="shared" si="120"/>
        <v>12월</v>
      </c>
      <c r="E273" s="119" t="s">
        <v>25</v>
      </c>
      <c r="F273" s="21" t="s">
        <v>26</v>
      </c>
      <c r="G273" s="118" t="s">
        <v>27</v>
      </c>
      <c r="H273" s="21" t="s">
        <v>32</v>
      </c>
      <c r="I273" s="22">
        <v>2722223765</v>
      </c>
      <c r="J273" s="22">
        <v>1751927357.1428573</v>
      </c>
      <c r="K273" s="104">
        <v>2722223765</v>
      </c>
      <c r="L273" s="23"/>
      <c r="M273" s="106">
        <v>3034130662</v>
      </c>
      <c r="N273" s="58">
        <f t="shared" si="121"/>
        <v>-311906897</v>
      </c>
      <c r="O273" s="111" t="s">
        <v>154</v>
      </c>
      <c r="P273" s="114"/>
      <c r="Q273" s="115"/>
      <c r="S273" s="135" t="s">
        <v>4</v>
      </c>
      <c r="T273" s="105">
        <v>868832000</v>
      </c>
    </row>
    <row r="274" spans="1:20" ht="14.4" hidden="1" outlineLevel="1" thickBot="1" x14ac:dyDescent="0.45">
      <c r="A274" s="1" t="s">
        <v>93</v>
      </c>
      <c r="B274" s="1" t="s">
        <v>80</v>
      </c>
      <c r="C274" s="1" t="s">
        <v>33</v>
      </c>
      <c r="D274" s="19" t="str">
        <f t="shared" si="120"/>
        <v>12월</v>
      </c>
      <c r="E274" s="118" t="s">
        <v>25</v>
      </c>
      <c r="F274" s="21" t="s">
        <v>26</v>
      </c>
      <c r="G274" s="118" t="s">
        <v>27</v>
      </c>
      <c r="H274" s="21" t="s">
        <v>34</v>
      </c>
      <c r="I274" s="22">
        <v>676210400</v>
      </c>
      <c r="J274" s="22">
        <v>361684102.56410235</v>
      </c>
      <c r="K274" s="108">
        <v>676210400</v>
      </c>
      <c r="L274" s="23">
        <f t="shared" ref="L274:L278" si="122">+I274/J274</f>
        <v>1.8696160411975895</v>
      </c>
      <c r="M274" s="106">
        <v>676210400</v>
      </c>
      <c r="N274" s="58">
        <f>K274-M274</f>
        <v>0</v>
      </c>
      <c r="O274" s="18"/>
      <c r="P274" s="114"/>
      <c r="Q274" s="115"/>
      <c r="T274" s="105"/>
    </row>
    <row r="275" spans="1:20" ht="14.4" hidden="1" outlineLevel="1" thickBot="1" x14ac:dyDescent="0.45">
      <c r="A275" s="1" t="s">
        <v>93</v>
      </c>
      <c r="B275" s="1" t="s">
        <v>80</v>
      </c>
      <c r="C275" s="1" t="s">
        <v>35</v>
      </c>
      <c r="D275" s="19" t="str">
        <f t="shared" si="120"/>
        <v>12월</v>
      </c>
      <c r="E275" s="118" t="s">
        <v>25</v>
      </c>
      <c r="F275" s="21" t="s">
        <v>26</v>
      </c>
      <c r="G275" s="118" t="s">
        <v>27</v>
      </c>
      <c r="H275" s="21" t="s">
        <v>36</v>
      </c>
      <c r="I275" s="22">
        <v>10113701700</v>
      </c>
      <c r="J275" s="22">
        <v>9746519150</v>
      </c>
      <c r="K275" s="136">
        <v>10113701700</v>
      </c>
      <c r="L275" s="23">
        <f t="shared" si="122"/>
        <v>1.0376731984361822</v>
      </c>
      <c r="M275" s="106">
        <v>10113701700</v>
      </c>
      <c r="N275" s="58">
        <f t="shared" si="121"/>
        <v>0</v>
      </c>
      <c r="O275" s="107" t="s">
        <v>155</v>
      </c>
      <c r="P275" s="114"/>
      <c r="Q275" s="115"/>
      <c r="T275" s="105"/>
    </row>
    <row r="276" spans="1:20" ht="14.4" hidden="1" outlineLevel="1" thickBot="1" x14ac:dyDescent="0.45">
      <c r="A276" s="1" t="s">
        <v>93</v>
      </c>
      <c r="B276" s="1" t="s">
        <v>80</v>
      </c>
      <c r="C276" s="1" t="s">
        <v>48</v>
      </c>
      <c r="D276" s="19" t="str">
        <f t="shared" si="120"/>
        <v>12월</v>
      </c>
      <c r="E276" s="118" t="s">
        <v>25</v>
      </c>
      <c r="F276" s="21" t="s">
        <v>26</v>
      </c>
      <c r="G276" s="118" t="s">
        <v>27</v>
      </c>
      <c r="H276" s="21" t="s">
        <v>38</v>
      </c>
      <c r="I276" s="22">
        <v>0</v>
      </c>
      <c r="J276" s="22">
        <v>67000000.000000007</v>
      </c>
      <c r="K276" s="104">
        <v>0</v>
      </c>
      <c r="L276" s="23">
        <f t="shared" si="122"/>
        <v>0</v>
      </c>
      <c r="M276" s="106">
        <v>0</v>
      </c>
      <c r="N276" s="58">
        <f t="shared" si="121"/>
        <v>0</v>
      </c>
      <c r="O276" s="18"/>
      <c r="P276" s="114"/>
      <c r="Q276" s="115"/>
      <c r="T276" s="105"/>
    </row>
    <row r="277" spans="1:20" ht="14.4" hidden="1" outlineLevel="1" thickBot="1" x14ac:dyDescent="0.45">
      <c r="A277" s="1" t="s">
        <v>93</v>
      </c>
      <c r="B277" s="1" t="s">
        <v>80</v>
      </c>
      <c r="C277" s="1" t="s">
        <v>39</v>
      </c>
      <c r="D277" s="19" t="str">
        <f t="shared" si="120"/>
        <v>12월</v>
      </c>
      <c r="E277" s="118" t="s">
        <v>25</v>
      </c>
      <c r="F277" s="21" t="s">
        <v>26</v>
      </c>
      <c r="G277" s="118" t="s">
        <v>27</v>
      </c>
      <c r="H277" s="21" t="s">
        <v>40</v>
      </c>
      <c r="I277" s="22">
        <v>0</v>
      </c>
      <c r="J277" s="22">
        <v>46875000</v>
      </c>
      <c r="K277" s="104">
        <v>0</v>
      </c>
      <c r="L277" s="23">
        <f t="shared" si="122"/>
        <v>0</v>
      </c>
      <c r="M277" s="106">
        <v>0</v>
      </c>
      <c r="N277" s="58">
        <f t="shared" si="121"/>
        <v>0</v>
      </c>
      <c r="O277" s="18"/>
      <c r="P277" s="114"/>
      <c r="Q277" s="115"/>
      <c r="T277" s="105"/>
    </row>
    <row r="278" spans="1:20" ht="14.4" hidden="1" outlineLevel="1" thickBot="1" x14ac:dyDescent="0.45">
      <c r="A278" s="1" t="s">
        <v>93</v>
      </c>
      <c r="B278" s="1" t="s">
        <v>80</v>
      </c>
      <c r="C278" s="1" t="s">
        <v>44</v>
      </c>
      <c r="D278" s="19" t="str">
        <f t="shared" si="120"/>
        <v>12월</v>
      </c>
      <c r="E278" s="118" t="s">
        <v>25</v>
      </c>
      <c r="F278" s="21" t="s">
        <v>26</v>
      </c>
      <c r="G278" s="118" t="s">
        <v>27</v>
      </c>
      <c r="H278" s="21" t="s">
        <v>45</v>
      </c>
      <c r="I278" s="22">
        <v>105774138</v>
      </c>
      <c r="J278" s="22">
        <v>1429000000</v>
      </c>
      <c r="K278" s="104">
        <v>54347152</v>
      </c>
      <c r="L278" s="23">
        <f t="shared" si="122"/>
        <v>7.4019690692792156E-2</v>
      </c>
      <c r="M278" s="106">
        <v>62001036</v>
      </c>
      <c r="N278" s="58">
        <f t="shared" si="121"/>
        <v>-7653884</v>
      </c>
      <c r="O278" s="18" t="s">
        <v>156</v>
      </c>
      <c r="P278" s="114"/>
      <c r="Q278" s="115"/>
      <c r="T278" s="105"/>
    </row>
    <row r="279" spans="1:20" ht="14.4" hidden="1" outlineLevel="1" thickBot="1" x14ac:dyDescent="0.45">
      <c r="A279" s="1" t="s">
        <v>93</v>
      </c>
      <c r="B279" s="1" t="s">
        <v>80</v>
      </c>
      <c r="C279" s="1" t="s">
        <v>46</v>
      </c>
      <c r="D279" s="19" t="str">
        <f t="shared" si="120"/>
        <v>12월</v>
      </c>
      <c r="E279" s="120" t="s">
        <v>25</v>
      </c>
      <c r="F279" s="32" t="s">
        <v>26</v>
      </c>
      <c r="G279" s="120" t="s">
        <v>27</v>
      </c>
      <c r="H279" s="32" t="s">
        <v>47</v>
      </c>
      <c r="I279" s="33">
        <v>38108334</v>
      </c>
      <c r="J279" s="22">
        <v>140625000</v>
      </c>
      <c r="K279" s="109">
        <v>58508334</v>
      </c>
      <c r="L279" s="34"/>
      <c r="M279" s="113">
        <v>36208334</v>
      </c>
      <c r="N279" s="58">
        <f t="shared" si="121"/>
        <v>22300000</v>
      </c>
      <c r="O279" s="18"/>
      <c r="P279" s="114"/>
      <c r="Q279" s="115"/>
      <c r="T279" s="105"/>
    </row>
    <row r="280" spans="1:20" ht="14.4" hidden="1" outlineLevel="1" thickBot="1" x14ac:dyDescent="0.45">
      <c r="A280" s="1" t="s">
        <v>93</v>
      </c>
      <c r="B280" s="1" t="s">
        <v>80</v>
      </c>
      <c r="C280" s="1" t="s">
        <v>48</v>
      </c>
      <c r="D280" s="97" t="str">
        <f t="shared" si="120"/>
        <v>12월</v>
      </c>
      <c r="E280" s="121" t="s">
        <v>25</v>
      </c>
      <c r="F280" s="36" t="s">
        <v>26</v>
      </c>
      <c r="G280" s="121" t="s">
        <v>27</v>
      </c>
      <c r="H280" s="36" t="s">
        <v>49</v>
      </c>
      <c r="I280" s="37">
        <v>166199838</v>
      </c>
      <c r="J280" s="37"/>
      <c r="K280" s="110">
        <v>166199838</v>
      </c>
      <c r="L280" s="38" t="e">
        <f t="shared" ref="L280" si="123">+K280/J280</f>
        <v>#DIV/0!</v>
      </c>
      <c r="M280" s="37"/>
      <c r="N280" s="58">
        <f t="shared" si="121"/>
        <v>166199838</v>
      </c>
      <c r="O280" s="124" t="s">
        <v>157</v>
      </c>
      <c r="P280" s="114"/>
      <c r="Q280" s="115"/>
      <c r="T280" s="105"/>
    </row>
    <row r="281" spans="1:20" ht="14.4" collapsed="1" thickBot="1" x14ac:dyDescent="0.45">
      <c r="D281" s="144" t="s">
        <v>158</v>
      </c>
      <c r="E281" s="145"/>
      <c r="F281" s="145"/>
      <c r="G281" s="145"/>
      <c r="H281" s="146"/>
      <c r="I281" s="41">
        <f>SUM(I271:I280)</f>
        <v>13822218175</v>
      </c>
      <c r="J281" s="41">
        <f>SUM(J271:J280)</f>
        <v>13543630609.706959</v>
      </c>
      <c r="K281" s="41">
        <f>SUM(K271:K280)</f>
        <v>13791191189</v>
      </c>
      <c r="L281" s="42">
        <f>I281/J281</f>
        <v>1.0205696369992086</v>
      </c>
      <c r="M281" s="43">
        <f>SUM(M271:M280)</f>
        <v>13922252132</v>
      </c>
      <c r="N281" s="44">
        <f>SUM(N271:N280)</f>
        <v>-131060943</v>
      </c>
      <c r="P281" s="114"/>
      <c r="S281" s="135" t="s">
        <v>33</v>
      </c>
      <c r="T281" s="105">
        <v>154498560</v>
      </c>
    </row>
    <row r="282" spans="1:20" ht="14.4" thickBot="1" x14ac:dyDescent="0.45">
      <c r="D282" s="147" t="s">
        <v>159</v>
      </c>
      <c r="E282" s="148"/>
      <c r="F282" s="148"/>
      <c r="G282" s="148"/>
      <c r="H282" s="149"/>
      <c r="I282" s="53">
        <f>SUM(I259,I270,I281)</f>
        <v>41142023367.440002</v>
      </c>
      <c r="J282" s="53">
        <f t="shared" ref="J282:K282" si="124">SUM(J259,J270,J281)</f>
        <v>38016918764.835159</v>
      </c>
      <c r="K282" s="53">
        <f t="shared" si="124"/>
        <v>41110996381.440002</v>
      </c>
      <c r="L282" s="54">
        <f>I282/J282</f>
        <v>1.0822029955119745</v>
      </c>
      <c r="M282" s="53">
        <f t="shared" ref="M282:N282" si="125">SUM(M259,M270,M281)</f>
        <v>41242057324.440002</v>
      </c>
      <c r="N282" s="53">
        <f t="shared" si="125"/>
        <v>-131060943</v>
      </c>
      <c r="O282" s="98"/>
    </row>
    <row r="283" spans="1:20" ht="14.4" thickBot="1" x14ac:dyDescent="0.45">
      <c r="D283" s="150" t="s">
        <v>160</v>
      </c>
      <c r="E283" s="151"/>
      <c r="F283" s="151"/>
      <c r="G283" s="151"/>
      <c r="H283" s="152"/>
      <c r="I283" s="100">
        <f>SUM(I180,I214,I248,I282)</f>
        <v>139301607998.44</v>
      </c>
      <c r="J283" s="100">
        <f t="shared" ref="J283:K283" si="126">SUM(J180,J214,J248,J282)</f>
        <v>131334554614.83516</v>
      </c>
      <c r="K283" s="100">
        <f t="shared" si="126"/>
        <v>139270581012.44</v>
      </c>
      <c r="L283" s="101">
        <f>I283/J283</f>
        <v>1.0606622789179116</v>
      </c>
      <c r="M283" s="102">
        <f t="shared" ref="M283:N283" si="127">SUM(M180,M214,M248,M282)</f>
        <v>139394597154</v>
      </c>
      <c r="N283" s="103">
        <f t="shared" si="127"/>
        <v>-124016141.55999994</v>
      </c>
    </row>
    <row r="284" spans="1:20" x14ac:dyDescent="0.4">
      <c r="A284" s="1" t="s">
        <v>161</v>
      </c>
      <c r="B284" s="1" t="s">
        <v>22</v>
      </c>
      <c r="C284" s="1" t="s">
        <v>94</v>
      </c>
      <c r="D284" s="12" t="s">
        <v>24</v>
      </c>
      <c r="E284" s="92" t="s">
        <v>25</v>
      </c>
      <c r="F284" s="92" t="s">
        <v>26</v>
      </c>
      <c r="G284" s="92" t="s">
        <v>27</v>
      </c>
      <c r="H284" s="92" t="s">
        <v>162</v>
      </c>
      <c r="I284" s="93">
        <v>0</v>
      </c>
      <c r="J284" s="93">
        <v>17044833.333333336</v>
      </c>
      <c r="K284" s="93">
        <v>0</v>
      </c>
      <c r="L284" s="94">
        <f t="shared" ref="L284" si="128">+I284/J284</f>
        <v>0</v>
      </c>
      <c r="M284" s="93">
        <v>0</v>
      </c>
      <c r="N284" s="79">
        <f>K284-M284</f>
        <v>0</v>
      </c>
      <c r="S284" s="135" t="s">
        <v>163</v>
      </c>
      <c r="T284" s="1">
        <v>93750000</v>
      </c>
    </row>
    <row r="285" spans="1:20" x14ac:dyDescent="0.4">
      <c r="A285" s="1" t="s">
        <v>161</v>
      </c>
      <c r="B285" s="1" t="s">
        <v>22</v>
      </c>
      <c r="C285" s="1" t="s">
        <v>94</v>
      </c>
      <c r="D285" s="19" t="str">
        <f t="shared" ref="D285:D295" si="129">D284</f>
        <v>1월</v>
      </c>
      <c r="E285" s="21" t="s">
        <v>25</v>
      </c>
      <c r="F285" s="21" t="s">
        <v>26</v>
      </c>
      <c r="G285" s="21" t="s">
        <v>27</v>
      </c>
      <c r="H285" s="21" t="s">
        <v>30</v>
      </c>
      <c r="I285" s="22">
        <v>0</v>
      </c>
      <c r="J285" s="22">
        <v>0</v>
      </c>
      <c r="K285" s="22">
        <v>0</v>
      </c>
      <c r="L285" s="23"/>
      <c r="M285" s="22">
        <v>0</v>
      </c>
      <c r="N285" s="58">
        <f t="shared" ref="N285:N295" si="130">K285-M285</f>
        <v>0</v>
      </c>
    </row>
    <row r="286" spans="1:20" x14ac:dyDescent="0.4">
      <c r="A286" s="1" t="s">
        <v>161</v>
      </c>
      <c r="B286" s="1" t="s">
        <v>22</v>
      </c>
      <c r="C286" s="1" t="s">
        <v>31</v>
      </c>
      <c r="D286" s="19" t="str">
        <f t="shared" si="129"/>
        <v>1월</v>
      </c>
      <c r="E286" s="20" t="s">
        <v>25</v>
      </c>
      <c r="F286" s="21" t="s">
        <v>26</v>
      </c>
      <c r="G286" s="21" t="s">
        <v>27</v>
      </c>
      <c r="H286" s="21" t="s">
        <v>32</v>
      </c>
      <c r="I286" s="22">
        <v>318512365</v>
      </c>
      <c r="J286" s="22">
        <v>310017950</v>
      </c>
      <c r="K286" s="22">
        <v>318512365</v>
      </c>
      <c r="L286" s="23"/>
      <c r="M286" s="22">
        <v>318512365</v>
      </c>
      <c r="N286" s="58">
        <f t="shared" si="130"/>
        <v>0</v>
      </c>
      <c r="O286" s="124" t="s">
        <v>164</v>
      </c>
    </row>
    <row r="287" spans="1:20" x14ac:dyDescent="0.4">
      <c r="A287" s="1" t="s">
        <v>161</v>
      </c>
      <c r="B287" s="1" t="s">
        <v>22</v>
      </c>
      <c r="C287" s="1" t="s">
        <v>33</v>
      </c>
      <c r="D287" s="19" t="str">
        <f t="shared" si="129"/>
        <v>1월</v>
      </c>
      <c r="E287" s="21" t="s">
        <v>25</v>
      </c>
      <c r="F287" s="21" t="s">
        <v>26</v>
      </c>
      <c r="G287" s="21" t="s">
        <v>27</v>
      </c>
      <c r="H287" s="21" t="s">
        <v>34</v>
      </c>
      <c r="I287" s="22">
        <v>257333760</v>
      </c>
      <c r="J287" s="22">
        <v>265256500</v>
      </c>
      <c r="K287" s="22">
        <v>257333760</v>
      </c>
      <c r="L287" s="23">
        <f t="shared" ref="L287:L293" si="131">+I287/J287</f>
        <v>0.97013177810911322</v>
      </c>
      <c r="M287" s="22">
        <v>257333760</v>
      </c>
      <c r="N287" s="58">
        <f t="shared" si="130"/>
        <v>0</v>
      </c>
      <c r="O287" s="124" t="s">
        <v>165</v>
      </c>
    </row>
    <row r="288" spans="1:20" x14ac:dyDescent="0.4">
      <c r="A288" s="1" t="s">
        <v>161</v>
      </c>
      <c r="B288" s="1" t="s">
        <v>22</v>
      </c>
      <c r="C288" s="1" t="s">
        <v>35</v>
      </c>
      <c r="D288" s="19" t="str">
        <f>D287</f>
        <v>1월</v>
      </c>
      <c r="E288" s="21" t="s">
        <v>25</v>
      </c>
      <c r="F288" s="21" t="s">
        <v>26</v>
      </c>
      <c r="G288" s="21" t="s">
        <v>27</v>
      </c>
      <c r="H288" s="137" t="s">
        <v>166</v>
      </c>
      <c r="I288" s="104">
        <v>2702489700</v>
      </c>
      <c r="J288" s="104">
        <v>2725867600</v>
      </c>
      <c r="K288" s="136">
        <v>2702489700</v>
      </c>
      <c r="L288" s="23">
        <f t="shared" si="131"/>
        <v>0.99142368470134057</v>
      </c>
      <c r="M288" s="106">
        <v>2702489700</v>
      </c>
      <c r="N288" s="58">
        <f t="shared" si="130"/>
        <v>0</v>
      </c>
      <c r="O288" s="1" t="s">
        <v>167</v>
      </c>
    </row>
    <row r="289" spans="1:20" x14ac:dyDescent="0.4">
      <c r="A289" s="1" t="s">
        <v>161</v>
      </c>
      <c r="B289" s="1" t="s">
        <v>22</v>
      </c>
      <c r="C289" s="1" t="s">
        <v>35</v>
      </c>
      <c r="D289" s="19" t="str">
        <f t="shared" ref="D289:D290" si="132">D288</f>
        <v>1월</v>
      </c>
      <c r="E289" s="21" t="s">
        <v>25</v>
      </c>
      <c r="F289" s="21" t="s">
        <v>26</v>
      </c>
      <c r="G289" s="21" t="s">
        <v>27</v>
      </c>
      <c r="H289" s="137" t="s">
        <v>168</v>
      </c>
      <c r="I289" s="104">
        <v>3006123600</v>
      </c>
      <c r="J289" s="104">
        <v>3008279200</v>
      </c>
      <c r="K289" s="136">
        <v>3006123600</v>
      </c>
      <c r="L289" s="23"/>
      <c r="M289" s="106">
        <v>3006123600</v>
      </c>
      <c r="N289" s="58"/>
    </row>
    <row r="290" spans="1:20" x14ac:dyDescent="0.4">
      <c r="A290" s="1" t="s">
        <v>161</v>
      </c>
      <c r="B290" s="1" t="s">
        <v>22</v>
      </c>
      <c r="C290" s="1" t="s">
        <v>35</v>
      </c>
      <c r="D290" s="19" t="str">
        <f t="shared" si="132"/>
        <v>1월</v>
      </c>
      <c r="E290" s="21" t="s">
        <v>25</v>
      </c>
      <c r="F290" s="21" t="s">
        <v>26</v>
      </c>
      <c r="G290" s="21" t="s">
        <v>27</v>
      </c>
      <c r="H290" s="137" t="s">
        <v>169</v>
      </c>
      <c r="I290" s="104">
        <v>1197799100</v>
      </c>
      <c r="J290" s="104">
        <v>1164903500</v>
      </c>
      <c r="K290" s="136">
        <v>1197799100</v>
      </c>
      <c r="L290" s="23"/>
      <c r="M290" s="106">
        <v>1197799100</v>
      </c>
      <c r="N290" s="58"/>
    </row>
    <row r="291" spans="1:20" x14ac:dyDescent="0.4">
      <c r="A291" s="1" t="s">
        <v>161</v>
      </c>
      <c r="B291" s="1" t="s">
        <v>22</v>
      </c>
      <c r="C291" s="1" t="s">
        <v>48</v>
      </c>
      <c r="D291" s="19" t="str">
        <f>D288</f>
        <v>1월</v>
      </c>
      <c r="E291" s="21" t="s">
        <v>25</v>
      </c>
      <c r="F291" s="21" t="s">
        <v>26</v>
      </c>
      <c r="G291" s="21" t="s">
        <v>27</v>
      </c>
      <c r="H291" s="21" t="s">
        <v>38</v>
      </c>
      <c r="I291" s="22">
        <v>0</v>
      </c>
      <c r="J291" s="22">
        <v>0</v>
      </c>
      <c r="K291" s="22">
        <v>0</v>
      </c>
      <c r="L291" s="23" t="e">
        <f t="shared" si="131"/>
        <v>#DIV/0!</v>
      </c>
      <c r="M291" s="22">
        <v>0</v>
      </c>
      <c r="N291" s="58">
        <f t="shared" si="130"/>
        <v>0</v>
      </c>
      <c r="S291" s="135" t="s">
        <v>170</v>
      </c>
      <c r="T291" s="1">
        <v>119960500</v>
      </c>
    </row>
    <row r="292" spans="1:20" x14ac:dyDescent="0.4">
      <c r="A292" s="1" t="s">
        <v>161</v>
      </c>
      <c r="B292" s="1" t="s">
        <v>22</v>
      </c>
      <c r="C292" s="1" t="s">
        <v>39</v>
      </c>
      <c r="D292" s="19" t="str">
        <f t="shared" si="129"/>
        <v>1월</v>
      </c>
      <c r="E292" s="21" t="s">
        <v>25</v>
      </c>
      <c r="F292" s="21" t="s">
        <v>26</v>
      </c>
      <c r="G292" s="21" t="s">
        <v>27</v>
      </c>
      <c r="H292" s="21" t="s">
        <v>40</v>
      </c>
      <c r="I292" s="22"/>
      <c r="J292" s="22"/>
      <c r="K292" s="22"/>
      <c r="L292" s="23" t="e">
        <f t="shared" si="131"/>
        <v>#DIV/0!</v>
      </c>
      <c r="M292" s="22"/>
      <c r="N292" s="58">
        <f t="shared" si="130"/>
        <v>0</v>
      </c>
    </row>
    <row r="293" spans="1:20" x14ac:dyDescent="0.4">
      <c r="A293" s="1" t="s">
        <v>161</v>
      </c>
      <c r="B293" s="1" t="s">
        <v>22</v>
      </c>
      <c r="C293" s="1" t="s">
        <v>44</v>
      </c>
      <c r="D293" s="19" t="str">
        <f t="shared" si="129"/>
        <v>1월</v>
      </c>
      <c r="E293" s="21" t="s">
        <v>25</v>
      </c>
      <c r="F293" s="21" t="s">
        <v>26</v>
      </c>
      <c r="G293" s="21" t="s">
        <v>27</v>
      </c>
      <c r="H293" s="21" t="s">
        <v>45</v>
      </c>
      <c r="I293" s="22">
        <v>2490865804</v>
      </c>
      <c r="J293" s="22">
        <v>2459700000</v>
      </c>
      <c r="K293" s="22">
        <v>2490865804</v>
      </c>
      <c r="L293" s="23">
        <f t="shared" si="131"/>
        <v>1.012670571207871</v>
      </c>
      <c r="M293" s="22">
        <v>2490865804</v>
      </c>
      <c r="N293" s="58">
        <f t="shared" si="130"/>
        <v>0</v>
      </c>
    </row>
    <row r="294" spans="1:20" x14ac:dyDescent="0.4">
      <c r="A294" s="1" t="s">
        <v>161</v>
      </c>
      <c r="B294" s="1" t="s">
        <v>22</v>
      </c>
      <c r="C294" s="1" t="s">
        <v>46</v>
      </c>
      <c r="D294" s="19" t="str">
        <f t="shared" si="129"/>
        <v>1월</v>
      </c>
      <c r="E294" s="32" t="s">
        <v>25</v>
      </c>
      <c r="F294" s="32" t="s">
        <v>26</v>
      </c>
      <c r="G294" s="32" t="s">
        <v>27</v>
      </c>
      <c r="H294" s="32" t="s">
        <v>47</v>
      </c>
      <c r="I294" s="33">
        <v>176833334</v>
      </c>
      <c r="J294" s="33">
        <v>140625000</v>
      </c>
      <c r="K294" s="33">
        <v>176833334</v>
      </c>
      <c r="L294" s="34"/>
      <c r="M294" s="33">
        <v>176833334</v>
      </c>
      <c r="N294" s="58">
        <f t="shared" si="130"/>
        <v>0</v>
      </c>
    </row>
    <row r="295" spans="1:20" ht="14.4" thickBot="1" x14ac:dyDescent="0.45">
      <c r="A295" s="1" t="s">
        <v>161</v>
      </c>
      <c r="B295" s="1" t="s">
        <v>22</v>
      </c>
      <c r="C295" s="1" t="s">
        <v>48</v>
      </c>
      <c r="D295" s="97" t="str">
        <f t="shared" si="129"/>
        <v>1월</v>
      </c>
      <c r="E295" s="36" t="s">
        <v>25</v>
      </c>
      <c r="F295" s="36" t="s">
        <v>26</v>
      </c>
      <c r="G295" s="36" t="s">
        <v>27</v>
      </c>
      <c r="H295" s="36" t="s">
        <v>49</v>
      </c>
      <c r="I295" s="37">
        <v>37327710</v>
      </c>
      <c r="J295" s="37"/>
      <c r="K295" s="37">
        <v>37327710</v>
      </c>
      <c r="L295" s="38" t="e">
        <f t="shared" ref="L295" si="133">+K295/J295</f>
        <v>#DIV/0!</v>
      </c>
      <c r="M295" s="37">
        <v>37327710</v>
      </c>
      <c r="N295" s="58">
        <f t="shared" si="130"/>
        <v>0</v>
      </c>
    </row>
    <row r="296" spans="1:20" ht="14.4" thickBot="1" x14ac:dyDescent="0.45">
      <c r="D296" s="144" t="s">
        <v>171</v>
      </c>
      <c r="E296" s="145"/>
      <c r="F296" s="145"/>
      <c r="G296" s="145"/>
      <c r="H296" s="146"/>
      <c r="I296" s="41">
        <f>SUM(I284:I295)</f>
        <v>10187285373</v>
      </c>
      <c r="J296" s="41">
        <f>SUM(J284:J295)</f>
        <v>10091694583.333332</v>
      </c>
      <c r="K296" s="41">
        <f>SUM(K284:K295)</f>
        <v>10187285373</v>
      </c>
      <c r="L296" s="42">
        <f>I296/J296</f>
        <v>1.0094722238051614</v>
      </c>
      <c r="M296" s="43">
        <f>SUM(M284:M295)</f>
        <v>10187285373</v>
      </c>
      <c r="N296" s="44">
        <f>SUM(N284:N295)</f>
        <v>0</v>
      </c>
    </row>
    <row r="297" spans="1:20" x14ac:dyDescent="0.4">
      <c r="A297" s="1" t="s">
        <v>161</v>
      </c>
      <c r="B297" s="1" t="s">
        <v>22</v>
      </c>
      <c r="C297" s="1" t="s">
        <v>94</v>
      </c>
      <c r="D297" s="12" t="s">
        <v>51</v>
      </c>
      <c r="E297" s="92" t="s">
        <v>25</v>
      </c>
      <c r="F297" s="92" t="s">
        <v>26</v>
      </c>
      <c r="G297" s="92" t="s">
        <v>27</v>
      </c>
      <c r="H297" s="92" t="s">
        <v>162</v>
      </c>
      <c r="I297" s="93"/>
      <c r="J297" s="93">
        <v>17044833.333333336</v>
      </c>
      <c r="K297" s="93"/>
      <c r="L297" s="94">
        <f t="shared" ref="L297" si="134">+I297/J297</f>
        <v>0</v>
      </c>
      <c r="M297" s="93"/>
      <c r="N297" s="79">
        <f>K297-M297</f>
        <v>0</v>
      </c>
    </row>
    <row r="298" spans="1:20" x14ac:dyDescent="0.4">
      <c r="A298" s="1" t="s">
        <v>161</v>
      </c>
      <c r="B298" s="1" t="s">
        <v>22</v>
      </c>
      <c r="C298" s="1" t="s">
        <v>94</v>
      </c>
      <c r="D298" s="19" t="str">
        <f t="shared" ref="D298:D308" si="135">D297</f>
        <v>2월</v>
      </c>
      <c r="E298" s="21" t="s">
        <v>25</v>
      </c>
      <c r="F298" s="21" t="s">
        <v>26</v>
      </c>
      <c r="G298" s="21" t="s">
        <v>27</v>
      </c>
      <c r="H298" s="21" t="s">
        <v>30</v>
      </c>
      <c r="I298" s="22"/>
      <c r="J298" s="22">
        <v>0</v>
      </c>
      <c r="K298" s="22"/>
      <c r="L298" s="23"/>
      <c r="M298" s="22"/>
      <c r="N298" s="58">
        <f t="shared" ref="N298:N306" si="136">K298-M298</f>
        <v>0</v>
      </c>
    </row>
    <row r="299" spans="1:20" ht="35.25" customHeight="1" x14ac:dyDescent="0.4">
      <c r="A299" s="1" t="s">
        <v>161</v>
      </c>
      <c r="B299" s="1" t="s">
        <v>22</v>
      </c>
      <c r="C299" s="1" t="s">
        <v>31</v>
      </c>
      <c r="D299" s="19" t="str">
        <f t="shared" si="135"/>
        <v>2월</v>
      </c>
      <c r="E299" s="20" t="s">
        <v>25</v>
      </c>
      <c r="F299" s="21" t="s">
        <v>26</v>
      </c>
      <c r="G299" s="21" t="s">
        <v>27</v>
      </c>
      <c r="H299" s="21" t="s">
        <v>32</v>
      </c>
      <c r="I299" s="106">
        <v>967461682.00000012</v>
      </c>
      <c r="J299" s="22">
        <v>1208362064.0000002</v>
      </c>
      <c r="K299" s="22">
        <v>967461682.00000012</v>
      </c>
      <c r="L299" s="23"/>
      <c r="M299" s="22">
        <v>967461682.00000012</v>
      </c>
      <c r="N299" s="58">
        <f t="shared" si="136"/>
        <v>0</v>
      </c>
      <c r="O299" s="138" t="s">
        <v>172</v>
      </c>
    </row>
    <row r="300" spans="1:20" x14ac:dyDescent="0.4">
      <c r="A300" s="1" t="s">
        <v>161</v>
      </c>
      <c r="B300" s="1" t="s">
        <v>22</v>
      </c>
      <c r="C300" s="1" t="s">
        <v>33</v>
      </c>
      <c r="D300" s="19" t="str">
        <f t="shared" si="135"/>
        <v>2월</v>
      </c>
      <c r="E300" s="21" t="s">
        <v>25</v>
      </c>
      <c r="F300" s="21" t="s">
        <v>26</v>
      </c>
      <c r="G300" s="21" t="s">
        <v>27</v>
      </c>
      <c r="H300" s="21" t="s">
        <v>34</v>
      </c>
      <c r="I300" s="106">
        <v>279337160</v>
      </c>
      <c r="J300" s="22">
        <v>274581640</v>
      </c>
      <c r="K300" s="22">
        <v>279337160</v>
      </c>
      <c r="L300" s="23">
        <f>+I300/J300</f>
        <v>1.0173191477769599</v>
      </c>
      <c r="M300" s="22">
        <v>279337160</v>
      </c>
      <c r="N300" s="58">
        <f t="shared" si="136"/>
        <v>0</v>
      </c>
      <c r="O300" s="138"/>
    </row>
    <row r="301" spans="1:20" x14ac:dyDescent="0.4">
      <c r="A301" s="1" t="s">
        <v>161</v>
      </c>
      <c r="B301" s="1" t="s">
        <v>22</v>
      </c>
      <c r="C301" s="1" t="s">
        <v>35</v>
      </c>
      <c r="D301" s="19" t="str">
        <f t="shared" si="135"/>
        <v>2월</v>
      </c>
      <c r="E301" s="21" t="s">
        <v>25</v>
      </c>
      <c r="F301" s="21" t="s">
        <v>26</v>
      </c>
      <c r="G301" s="21" t="s">
        <v>27</v>
      </c>
      <c r="H301" s="137" t="s">
        <v>166</v>
      </c>
      <c r="I301" s="104">
        <v>3139479600</v>
      </c>
      <c r="J301" s="104">
        <v>2413214000</v>
      </c>
      <c r="K301" s="104">
        <v>3139479600</v>
      </c>
      <c r="L301" s="23">
        <f t="shared" ref="L301:L306" si="137">+I301/J301</f>
        <v>1.3009536659409402</v>
      </c>
      <c r="M301" s="22">
        <v>3139479600</v>
      </c>
      <c r="N301" s="58">
        <f t="shared" si="136"/>
        <v>0</v>
      </c>
      <c r="O301" s="138" t="s">
        <v>173</v>
      </c>
    </row>
    <row r="302" spans="1:20" x14ac:dyDescent="0.4">
      <c r="A302" s="1" t="s">
        <v>161</v>
      </c>
      <c r="B302" s="1" t="s">
        <v>22</v>
      </c>
      <c r="C302" s="1" t="s">
        <v>35</v>
      </c>
      <c r="D302" s="19" t="str">
        <f t="shared" si="135"/>
        <v>2월</v>
      </c>
      <c r="E302" s="21" t="s">
        <v>25</v>
      </c>
      <c r="F302" s="21" t="s">
        <v>26</v>
      </c>
      <c r="G302" s="21" t="s">
        <v>27</v>
      </c>
      <c r="H302" s="137" t="s">
        <v>168</v>
      </c>
      <c r="I302" s="104">
        <v>3981287600</v>
      </c>
      <c r="J302" s="104">
        <v>3848242200</v>
      </c>
      <c r="K302" s="104">
        <v>3981287600</v>
      </c>
      <c r="L302" s="23"/>
      <c r="M302" s="22">
        <v>3981287600</v>
      </c>
      <c r="N302" s="58">
        <f t="shared" si="136"/>
        <v>0</v>
      </c>
      <c r="O302" s="138"/>
    </row>
    <row r="303" spans="1:20" x14ac:dyDescent="0.4">
      <c r="A303" s="1" t="s">
        <v>161</v>
      </c>
      <c r="B303" s="1" t="s">
        <v>22</v>
      </c>
      <c r="C303" s="1" t="s">
        <v>35</v>
      </c>
      <c r="D303" s="19" t="str">
        <f t="shared" si="135"/>
        <v>2월</v>
      </c>
      <c r="E303" s="21" t="s">
        <v>25</v>
      </c>
      <c r="F303" s="21" t="s">
        <v>26</v>
      </c>
      <c r="G303" s="21" t="s">
        <v>27</v>
      </c>
      <c r="H303" s="137" t="s">
        <v>169</v>
      </c>
      <c r="I303" s="104">
        <v>2889841900</v>
      </c>
      <c r="J303" s="104">
        <v>2546255600</v>
      </c>
      <c r="K303" s="104">
        <v>2889841900</v>
      </c>
      <c r="L303" s="23"/>
      <c r="M303" s="22">
        <v>2889841900</v>
      </c>
      <c r="N303" s="58">
        <f t="shared" si="136"/>
        <v>0</v>
      </c>
      <c r="O303" s="138"/>
    </row>
    <row r="304" spans="1:20" x14ac:dyDescent="0.4">
      <c r="A304" s="1" t="s">
        <v>161</v>
      </c>
      <c r="B304" s="1" t="s">
        <v>22</v>
      </c>
      <c r="C304" s="1" t="s">
        <v>48</v>
      </c>
      <c r="D304" s="19" t="str">
        <f>D301</f>
        <v>2월</v>
      </c>
      <c r="E304" s="21" t="s">
        <v>25</v>
      </c>
      <c r="F304" s="21" t="s">
        <v>26</v>
      </c>
      <c r="G304" s="21" t="s">
        <v>27</v>
      </c>
      <c r="H304" s="21" t="s">
        <v>38</v>
      </c>
      <c r="I304" s="22"/>
      <c r="J304" s="22">
        <v>0</v>
      </c>
      <c r="K304" s="22"/>
      <c r="L304" s="23" t="e">
        <f t="shared" si="137"/>
        <v>#DIV/0!</v>
      </c>
      <c r="M304" s="22"/>
      <c r="N304" s="58">
        <f t="shared" si="136"/>
        <v>0</v>
      </c>
      <c r="Q304" s="153" t="s">
        <v>174</v>
      </c>
      <c r="R304" s="153"/>
      <c r="S304" s="153" t="s">
        <v>175</v>
      </c>
      <c r="T304" s="153"/>
    </row>
    <row r="305" spans="1:20" x14ac:dyDescent="0.4">
      <c r="A305" s="1" t="s">
        <v>161</v>
      </c>
      <c r="B305" s="1" t="s">
        <v>22</v>
      </c>
      <c r="C305" s="1" t="s">
        <v>39</v>
      </c>
      <c r="D305" s="19" t="str">
        <f t="shared" si="135"/>
        <v>2월</v>
      </c>
      <c r="E305" s="21" t="s">
        <v>25</v>
      </c>
      <c r="F305" s="21" t="s">
        <v>26</v>
      </c>
      <c r="G305" s="21" t="s">
        <v>27</v>
      </c>
      <c r="H305" s="21" t="s">
        <v>40</v>
      </c>
      <c r="I305" s="22"/>
      <c r="J305" s="22">
        <v>46875000</v>
      </c>
      <c r="K305" s="22"/>
      <c r="L305" s="23">
        <f t="shared" si="137"/>
        <v>0</v>
      </c>
      <c r="M305" s="22"/>
      <c r="N305" s="58">
        <f t="shared" si="136"/>
        <v>0</v>
      </c>
      <c r="Q305" s="139" t="s">
        <v>176</v>
      </c>
      <c r="R305" s="140">
        <v>3168944000</v>
      </c>
      <c r="S305" s="139" t="s">
        <v>176</v>
      </c>
      <c r="T305" s="140">
        <v>3168944000</v>
      </c>
    </row>
    <row r="306" spans="1:20" x14ac:dyDescent="0.4">
      <c r="A306" s="1" t="s">
        <v>161</v>
      </c>
      <c r="B306" s="1" t="s">
        <v>22</v>
      </c>
      <c r="C306" s="1" t="s">
        <v>44</v>
      </c>
      <c r="D306" s="19" t="str">
        <f t="shared" si="135"/>
        <v>2월</v>
      </c>
      <c r="E306" s="21" t="s">
        <v>25</v>
      </c>
      <c r="F306" s="21" t="s">
        <v>26</v>
      </c>
      <c r="G306" s="21" t="s">
        <v>27</v>
      </c>
      <c r="H306" s="21" t="s">
        <v>45</v>
      </c>
      <c r="I306" s="106">
        <v>469124138</v>
      </c>
      <c r="J306" s="22">
        <v>371000000</v>
      </c>
      <c r="K306" s="47">
        <v>469124138</v>
      </c>
      <c r="L306" s="23">
        <f t="shared" si="137"/>
        <v>1.2644855471698113</v>
      </c>
      <c r="M306" s="22">
        <v>469124138</v>
      </c>
      <c r="N306" s="58">
        <f t="shared" si="136"/>
        <v>0</v>
      </c>
      <c r="O306" s="1" t="s">
        <v>177</v>
      </c>
      <c r="Q306" s="139" t="s">
        <v>178</v>
      </c>
      <c r="R306" s="140">
        <v>3861753800</v>
      </c>
      <c r="S306" s="139" t="s">
        <v>178</v>
      </c>
      <c r="T306" s="140">
        <v>3861753800</v>
      </c>
    </row>
    <row r="307" spans="1:20" x14ac:dyDescent="0.4">
      <c r="A307" s="1" t="s">
        <v>161</v>
      </c>
      <c r="B307" s="1" t="s">
        <v>22</v>
      </c>
      <c r="C307" s="1" t="s">
        <v>46</v>
      </c>
      <c r="D307" s="19" t="str">
        <f t="shared" si="135"/>
        <v>2월</v>
      </c>
      <c r="E307" s="32" t="s">
        <v>25</v>
      </c>
      <c r="F307" s="32" t="s">
        <v>26</v>
      </c>
      <c r="G307" s="32" t="s">
        <v>27</v>
      </c>
      <c r="H307" s="32" t="s">
        <v>47</v>
      </c>
      <c r="I307" s="113"/>
      <c r="J307" s="33">
        <v>46875000</v>
      </c>
      <c r="K307" s="33"/>
      <c r="L307" s="34"/>
      <c r="M307" s="22"/>
      <c r="N307" s="58">
        <f>K307-M307</f>
        <v>0</v>
      </c>
      <c r="Q307" s="139" t="s">
        <v>179</v>
      </c>
      <c r="R307" s="140">
        <v>3019698750</v>
      </c>
      <c r="S307" s="139" t="s">
        <v>179</v>
      </c>
      <c r="T307" s="141">
        <v>3283257150</v>
      </c>
    </row>
    <row r="308" spans="1:20" ht="14.4" thickBot="1" x14ac:dyDescent="0.45">
      <c r="A308" s="1" t="s">
        <v>161</v>
      </c>
      <c r="B308" s="1" t="s">
        <v>22</v>
      </c>
      <c r="C308" s="1" t="s">
        <v>48</v>
      </c>
      <c r="D308" s="97" t="str">
        <f t="shared" si="135"/>
        <v>2월</v>
      </c>
      <c r="E308" s="36" t="s">
        <v>25</v>
      </c>
      <c r="F308" s="36" t="s">
        <v>26</v>
      </c>
      <c r="G308" s="36" t="s">
        <v>27</v>
      </c>
      <c r="H308" s="36" t="s">
        <v>49</v>
      </c>
      <c r="I308" s="37">
        <v>41533791</v>
      </c>
      <c r="J308" s="37"/>
      <c r="K308" s="37">
        <v>41533791</v>
      </c>
      <c r="L308" s="38" t="e">
        <f t="shared" ref="L308" si="138">+K308/J308</f>
        <v>#DIV/0!</v>
      </c>
      <c r="M308" s="37">
        <v>41533791</v>
      </c>
      <c r="N308" s="58">
        <f t="shared" ref="N308" si="139">K308-M308</f>
        <v>0</v>
      </c>
      <c r="O308" s="18"/>
      <c r="Q308" s="118" t="s">
        <v>180</v>
      </c>
      <c r="R308" s="106">
        <f>SUM(R305:R307)</f>
        <v>10050396550</v>
      </c>
      <c r="S308" s="118" t="s">
        <v>180</v>
      </c>
      <c r="T308" s="106">
        <v>10313954950</v>
      </c>
    </row>
    <row r="309" spans="1:20" ht="14.4" thickBot="1" x14ac:dyDescent="0.45">
      <c r="D309" s="144" t="s">
        <v>181</v>
      </c>
      <c r="E309" s="145"/>
      <c r="F309" s="145"/>
      <c r="G309" s="145"/>
      <c r="H309" s="146"/>
      <c r="I309" s="41">
        <f>SUM(I297:I308)</f>
        <v>11768065871</v>
      </c>
      <c r="J309" s="41">
        <f>SUM(J297:J308)</f>
        <v>10772450337.333334</v>
      </c>
      <c r="K309" s="41">
        <f>SUM(K297:K308)</f>
        <v>11768065871</v>
      </c>
      <c r="L309" s="42">
        <f>I309/J309</f>
        <v>1.0924223832544606</v>
      </c>
      <c r="M309" s="43">
        <f>SUM(M297:M308)</f>
        <v>11768065871</v>
      </c>
      <c r="N309" s="44">
        <f>SUM(N297:N308)</f>
        <v>0</v>
      </c>
    </row>
    <row r="310" spans="1:20" x14ac:dyDescent="0.4">
      <c r="A310" s="1" t="s">
        <v>161</v>
      </c>
      <c r="B310" s="1" t="s">
        <v>22</v>
      </c>
      <c r="C310" s="1" t="s">
        <v>94</v>
      </c>
      <c r="D310" s="12" t="s">
        <v>53</v>
      </c>
      <c r="E310" s="92" t="s">
        <v>25</v>
      </c>
      <c r="F310" s="92" t="s">
        <v>26</v>
      </c>
      <c r="G310" s="92" t="s">
        <v>27</v>
      </c>
      <c r="H310" s="92" t="s">
        <v>162</v>
      </c>
      <c r="I310" s="93"/>
      <c r="J310" s="93">
        <v>17044833.333333336</v>
      </c>
      <c r="K310" s="132">
        <v>17044833.333333336</v>
      </c>
      <c r="L310" s="94">
        <f t="shared" ref="L310" si="140">+I310/J310</f>
        <v>0</v>
      </c>
      <c r="M310" s="93">
        <v>17044833.333333336</v>
      </c>
      <c r="N310" s="79">
        <f>K310-M310</f>
        <v>0</v>
      </c>
    </row>
    <row r="311" spans="1:20" x14ac:dyDescent="0.4">
      <c r="A311" s="1" t="s">
        <v>161</v>
      </c>
      <c r="B311" s="1" t="s">
        <v>22</v>
      </c>
      <c r="C311" s="1" t="s">
        <v>94</v>
      </c>
      <c r="D311" s="19" t="str">
        <f t="shared" ref="D311:D321" si="141">D310</f>
        <v>3월</v>
      </c>
      <c r="E311" s="21" t="s">
        <v>25</v>
      </c>
      <c r="F311" s="21" t="s">
        <v>26</v>
      </c>
      <c r="G311" s="21" t="s">
        <v>27</v>
      </c>
      <c r="H311" s="21" t="s">
        <v>30</v>
      </c>
      <c r="I311" s="22"/>
      <c r="J311" s="22">
        <v>0</v>
      </c>
      <c r="K311" s="104">
        <v>0</v>
      </c>
      <c r="L311" s="23"/>
      <c r="M311" s="106">
        <v>0</v>
      </c>
      <c r="N311" s="58">
        <f t="shared" ref="N311:N321" si="142">K311-M311</f>
        <v>0</v>
      </c>
      <c r="P311" s="1">
        <v>95590789.666667596</v>
      </c>
    </row>
    <row r="312" spans="1:20" x14ac:dyDescent="0.4">
      <c r="A312" s="1" t="s">
        <v>161</v>
      </c>
      <c r="B312" s="1" t="s">
        <v>22</v>
      </c>
      <c r="C312" s="1" t="s">
        <v>31</v>
      </c>
      <c r="D312" s="19" t="str">
        <f t="shared" si="141"/>
        <v>3월</v>
      </c>
      <c r="E312" s="20" t="s">
        <v>25</v>
      </c>
      <c r="F312" s="21" t="s">
        <v>26</v>
      </c>
      <c r="G312" s="21" t="s">
        <v>27</v>
      </c>
      <c r="H312" s="21" t="s">
        <v>32</v>
      </c>
      <c r="I312" s="22"/>
      <c r="J312" s="22">
        <v>943930800</v>
      </c>
      <c r="K312" s="136">
        <v>1472907906.8800001</v>
      </c>
      <c r="L312" s="23"/>
      <c r="M312" s="22">
        <v>943930800</v>
      </c>
      <c r="N312" s="58">
        <f t="shared" si="142"/>
        <v>528977106.88000011</v>
      </c>
    </row>
    <row r="313" spans="1:20" x14ac:dyDescent="0.4">
      <c r="A313" s="1" t="s">
        <v>161</v>
      </c>
      <c r="B313" s="1" t="s">
        <v>22</v>
      </c>
      <c r="C313" s="1" t="s">
        <v>33</v>
      </c>
      <c r="D313" s="19" t="str">
        <f t="shared" si="141"/>
        <v>3월</v>
      </c>
      <c r="E313" s="21" t="s">
        <v>25</v>
      </c>
      <c r="F313" s="21" t="s">
        <v>26</v>
      </c>
      <c r="G313" s="21" t="s">
        <v>27</v>
      </c>
      <c r="H313" s="21" t="s">
        <v>34</v>
      </c>
      <c r="I313" s="22"/>
      <c r="J313" s="22">
        <v>265362000</v>
      </c>
      <c r="K313" s="136">
        <v>417523920</v>
      </c>
      <c r="L313" s="23">
        <f t="shared" ref="L313:L319" si="143">+I313/J313</f>
        <v>0</v>
      </c>
      <c r="M313" s="22">
        <v>265362000</v>
      </c>
      <c r="N313" s="58">
        <f t="shared" si="142"/>
        <v>152161920</v>
      </c>
    </row>
    <row r="314" spans="1:20" x14ac:dyDescent="0.4">
      <c r="A314" s="1" t="s">
        <v>161</v>
      </c>
      <c r="B314" s="1" t="s">
        <v>22</v>
      </c>
      <c r="C314" s="1" t="s">
        <v>35</v>
      </c>
      <c r="D314" s="19" t="str">
        <f t="shared" si="141"/>
        <v>3월</v>
      </c>
      <c r="E314" s="21" t="s">
        <v>25</v>
      </c>
      <c r="F314" s="21" t="s">
        <v>26</v>
      </c>
      <c r="G314" s="21" t="s">
        <v>27</v>
      </c>
      <c r="H314" s="137" t="s">
        <v>166</v>
      </c>
      <c r="I314" s="104"/>
      <c r="J314" s="104">
        <v>2307312000</v>
      </c>
      <c r="K314" s="136">
        <v>2233672200</v>
      </c>
      <c r="L314" s="23">
        <f t="shared" si="143"/>
        <v>0</v>
      </c>
      <c r="M314" s="22">
        <v>8133163750</v>
      </c>
      <c r="N314" s="58">
        <f t="shared" si="142"/>
        <v>-5899491550</v>
      </c>
      <c r="O314" s="18"/>
      <c r="P314" s="18">
        <f>K314-J314</f>
        <v>-73639800</v>
      </c>
    </row>
    <row r="315" spans="1:20" x14ac:dyDescent="0.4">
      <c r="A315" s="1" t="s">
        <v>161</v>
      </c>
      <c r="B315" s="1" t="s">
        <v>22</v>
      </c>
      <c r="C315" s="1" t="s">
        <v>35</v>
      </c>
      <c r="D315" s="19" t="str">
        <f t="shared" si="141"/>
        <v>3월</v>
      </c>
      <c r="E315" s="21" t="s">
        <v>25</v>
      </c>
      <c r="F315" s="21" t="s">
        <v>26</v>
      </c>
      <c r="G315" s="21" t="s">
        <v>27</v>
      </c>
      <c r="H315" s="137" t="s">
        <v>168</v>
      </c>
      <c r="I315" s="104"/>
      <c r="J315" s="104">
        <v>2393882400</v>
      </c>
      <c r="K315" s="136">
        <v>2578672400</v>
      </c>
      <c r="L315" s="23"/>
      <c r="M315" s="22"/>
      <c r="N315" s="58">
        <f t="shared" si="142"/>
        <v>2578672400</v>
      </c>
      <c r="O315" s="142" t="s">
        <v>182</v>
      </c>
      <c r="P315" s="18">
        <f t="shared" ref="P315:P316" si="144">K315-J315</f>
        <v>184790000</v>
      </c>
    </row>
    <row r="316" spans="1:20" x14ac:dyDescent="0.4">
      <c r="A316" s="1" t="s">
        <v>161</v>
      </c>
      <c r="B316" s="1" t="s">
        <v>22</v>
      </c>
      <c r="C316" s="1" t="s">
        <v>35</v>
      </c>
      <c r="D316" s="19" t="str">
        <f t="shared" si="141"/>
        <v>3월</v>
      </c>
      <c r="E316" s="21" t="s">
        <v>25</v>
      </c>
      <c r="F316" s="21" t="s">
        <v>26</v>
      </c>
      <c r="G316" s="21" t="s">
        <v>27</v>
      </c>
      <c r="H316" s="137" t="s">
        <v>169</v>
      </c>
      <c r="I316" s="104"/>
      <c r="J316" s="104">
        <v>3431969350</v>
      </c>
      <c r="K316" s="136">
        <v>4116818000</v>
      </c>
      <c r="L316" s="23"/>
      <c r="M316" s="22"/>
      <c r="N316" s="58">
        <f t="shared" si="142"/>
        <v>4116818000</v>
      </c>
      <c r="O316" s="142" t="s">
        <v>183</v>
      </c>
      <c r="P316" s="18">
        <f t="shared" si="144"/>
        <v>684848650</v>
      </c>
    </row>
    <row r="317" spans="1:20" x14ac:dyDescent="0.4">
      <c r="A317" s="1" t="s">
        <v>161</v>
      </c>
      <c r="B317" s="1" t="s">
        <v>22</v>
      </c>
      <c r="C317" s="1" t="s">
        <v>48</v>
      </c>
      <c r="D317" s="19" t="str">
        <f>D314</f>
        <v>3월</v>
      </c>
      <c r="E317" s="21" t="s">
        <v>25</v>
      </c>
      <c r="F317" s="21" t="s">
        <v>26</v>
      </c>
      <c r="G317" s="21" t="s">
        <v>27</v>
      </c>
      <c r="H317" s="21" t="s">
        <v>38</v>
      </c>
      <c r="I317" s="22"/>
      <c r="J317" s="22">
        <v>0</v>
      </c>
      <c r="K317" s="104">
        <v>0</v>
      </c>
      <c r="L317" s="23" t="e">
        <f t="shared" si="143"/>
        <v>#DIV/0!</v>
      </c>
      <c r="M317" s="22">
        <v>0</v>
      </c>
      <c r="N317" s="58">
        <f t="shared" si="142"/>
        <v>0</v>
      </c>
    </row>
    <row r="318" spans="1:20" x14ac:dyDescent="0.4">
      <c r="A318" s="1" t="s">
        <v>161</v>
      </c>
      <c r="B318" s="1" t="s">
        <v>22</v>
      </c>
      <c r="C318" s="1" t="s">
        <v>39</v>
      </c>
      <c r="D318" s="19" t="str">
        <f t="shared" si="141"/>
        <v>3월</v>
      </c>
      <c r="E318" s="21" t="s">
        <v>25</v>
      </c>
      <c r="F318" s="21" t="s">
        <v>26</v>
      </c>
      <c r="G318" s="21" t="s">
        <v>27</v>
      </c>
      <c r="H318" s="21" t="s">
        <v>40</v>
      </c>
      <c r="I318" s="22"/>
      <c r="J318" s="22">
        <v>131875000</v>
      </c>
      <c r="K318" s="104">
        <v>131875000</v>
      </c>
      <c r="L318" s="23">
        <f t="shared" si="143"/>
        <v>0</v>
      </c>
      <c r="M318" s="22">
        <v>131875000</v>
      </c>
      <c r="N318" s="58">
        <f t="shared" si="142"/>
        <v>0</v>
      </c>
    </row>
    <row r="319" spans="1:20" x14ac:dyDescent="0.4">
      <c r="A319" s="1" t="s">
        <v>161</v>
      </c>
      <c r="B319" s="1" t="s">
        <v>22</v>
      </c>
      <c r="C319" s="1" t="s">
        <v>44</v>
      </c>
      <c r="D319" s="19" t="str">
        <f t="shared" si="141"/>
        <v>3월</v>
      </c>
      <c r="E319" s="21" t="s">
        <v>25</v>
      </c>
      <c r="F319" s="21" t="s">
        <v>26</v>
      </c>
      <c r="G319" s="21" t="s">
        <v>27</v>
      </c>
      <c r="H319" s="21" t="s">
        <v>45</v>
      </c>
      <c r="I319" s="22"/>
      <c r="J319" s="22">
        <v>702000000</v>
      </c>
      <c r="K319" s="143">
        <v>443600000</v>
      </c>
      <c r="L319" s="23">
        <f t="shared" si="143"/>
        <v>0</v>
      </c>
      <c r="M319" s="22">
        <v>702000000</v>
      </c>
      <c r="N319" s="58">
        <f t="shared" si="142"/>
        <v>-258400000</v>
      </c>
      <c r="O319" s="1" t="s">
        <v>184</v>
      </c>
    </row>
    <row r="320" spans="1:20" x14ac:dyDescent="0.4">
      <c r="A320" s="1" t="s">
        <v>161</v>
      </c>
      <c r="B320" s="1" t="s">
        <v>22</v>
      </c>
      <c r="C320" s="1" t="s">
        <v>46</v>
      </c>
      <c r="D320" s="19" t="str">
        <f t="shared" si="141"/>
        <v>3월</v>
      </c>
      <c r="E320" s="32" t="s">
        <v>25</v>
      </c>
      <c r="F320" s="32" t="s">
        <v>26</v>
      </c>
      <c r="G320" s="32" t="s">
        <v>27</v>
      </c>
      <c r="H320" s="32" t="s">
        <v>47</v>
      </c>
      <c r="I320" s="33"/>
      <c r="J320" s="33">
        <v>281250000</v>
      </c>
      <c r="K320" s="109">
        <v>281250000</v>
      </c>
      <c r="L320" s="34"/>
      <c r="M320" s="33">
        <v>281250000</v>
      </c>
      <c r="N320" s="58">
        <f t="shared" si="142"/>
        <v>0</v>
      </c>
    </row>
    <row r="321" spans="1:15" ht="14.4" thickBot="1" x14ac:dyDescent="0.45">
      <c r="A321" s="1" t="s">
        <v>161</v>
      </c>
      <c r="B321" s="1" t="s">
        <v>22</v>
      </c>
      <c r="C321" s="1" t="s">
        <v>48</v>
      </c>
      <c r="D321" s="97" t="str">
        <f t="shared" si="141"/>
        <v>3월</v>
      </c>
      <c r="E321" s="36" t="s">
        <v>25</v>
      </c>
      <c r="F321" s="36" t="s">
        <v>26</v>
      </c>
      <c r="G321" s="36" t="s">
        <v>27</v>
      </c>
      <c r="H321" s="36" t="s">
        <v>49</v>
      </c>
      <c r="I321" s="37"/>
      <c r="J321" s="37"/>
      <c r="K321" s="110"/>
      <c r="L321" s="38" t="e">
        <f>+K321/J321</f>
        <v>#DIV/0!</v>
      </c>
      <c r="M321" s="37"/>
      <c r="N321" s="58">
        <f t="shared" si="142"/>
        <v>0</v>
      </c>
    </row>
    <row r="322" spans="1:15" ht="14.4" thickBot="1" x14ac:dyDescent="0.45">
      <c r="D322" s="144" t="s">
        <v>185</v>
      </c>
      <c r="E322" s="145"/>
      <c r="F322" s="145"/>
      <c r="G322" s="145"/>
      <c r="H322" s="146"/>
      <c r="I322" s="41">
        <f>SUM(I310:I321)</f>
        <v>0</v>
      </c>
      <c r="J322" s="41">
        <f>SUM(J310:J321)</f>
        <v>10474626383.333334</v>
      </c>
      <c r="K322" s="41">
        <f>SUM(K310:K321)</f>
        <v>11693364260.213333</v>
      </c>
      <c r="L322" s="42">
        <f>I322/J322</f>
        <v>0</v>
      </c>
      <c r="M322" s="43">
        <f>SUM(M310:M321)</f>
        <v>10474626383.333334</v>
      </c>
      <c r="N322" s="44">
        <f>SUM(N310:N321)</f>
        <v>1218737876.8800001</v>
      </c>
    </row>
    <row r="323" spans="1:15" ht="14.4" thickBot="1" x14ac:dyDescent="0.45">
      <c r="D323" s="147" t="s">
        <v>186</v>
      </c>
      <c r="E323" s="148"/>
      <c r="F323" s="148"/>
      <c r="G323" s="148"/>
      <c r="H323" s="149"/>
      <c r="I323" s="53">
        <f>SUM(I296,I309,I322)</f>
        <v>21955351244</v>
      </c>
      <c r="J323" s="53">
        <f>SUM(J296,J309,J322)</f>
        <v>31338771304</v>
      </c>
      <c r="K323" s="53">
        <f>SUM(K296,K309,K322)</f>
        <v>33648715504.213333</v>
      </c>
      <c r="L323" s="54">
        <f>I323/J323</f>
        <v>0.70058111184460115</v>
      </c>
      <c r="M323" s="53">
        <f>SUM(M296,M309,M322)</f>
        <v>32429977627.333336</v>
      </c>
      <c r="N323" s="53">
        <f>SUM(N296,N309,N322)</f>
        <v>1218737876.8800001</v>
      </c>
    </row>
    <row r="324" spans="1:15" x14ac:dyDescent="0.4">
      <c r="A324" s="1" t="s">
        <v>161</v>
      </c>
      <c r="B324" s="1" t="s">
        <v>58</v>
      </c>
      <c r="C324" s="1" t="s">
        <v>94</v>
      </c>
      <c r="D324" s="12" t="s">
        <v>59</v>
      </c>
      <c r="E324" s="117" t="s">
        <v>25</v>
      </c>
      <c r="F324" s="92" t="s">
        <v>26</v>
      </c>
      <c r="G324" s="117" t="s">
        <v>27</v>
      </c>
      <c r="H324" s="92" t="s">
        <v>162</v>
      </c>
      <c r="I324" s="93"/>
      <c r="J324" s="93">
        <v>17044833.333333336</v>
      </c>
      <c r="K324" s="132">
        <v>17044833.333333336</v>
      </c>
      <c r="L324" s="94">
        <f t="shared" ref="L324" si="145">+I324/J324</f>
        <v>0</v>
      </c>
      <c r="M324" s="93"/>
      <c r="N324" s="79">
        <f>K324-M324</f>
        <v>17044833.333333336</v>
      </c>
    </row>
    <row r="325" spans="1:15" x14ac:dyDescent="0.4">
      <c r="A325" s="1" t="s">
        <v>161</v>
      </c>
      <c r="B325" s="1" t="s">
        <v>58</v>
      </c>
      <c r="C325" s="1" t="s">
        <v>94</v>
      </c>
      <c r="D325" s="19" t="str">
        <f t="shared" ref="D325:D335" si="146">D324</f>
        <v>4월</v>
      </c>
      <c r="E325" s="118" t="s">
        <v>25</v>
      </c>
      <c r="F325" s="21" t="s">
        <v>26</v>
      </c>
      <c r="G325" s="118" t="s">
        <v>27</v>
      </c>
      <c r="H325" s="21" t="s">
        <v>30</v>
      </c>
      <c r="I325" s="22"/>
      <c r="J325" s="22">
        <v>0</v>
      </c>
      <c r="K325" s="104">
        <v>0</v>
      </c>
      <c r="L325" s="23"/>
      <c r="M325" s="22"/>
      <c r="N325" s="58">
        <f t="shared" ref="N325:N335" si="147">K325-M325</f>
        <v>0</v>
      </c>
    </row>
    <row r="326" spans="1:15" x14ac:dyDescent="0.4">
      <c r="A326" s="1" t="s">
        <v>161</v>
      </c>
      <c r="B326" s="1" t="s">
        <v>58</v>
      </c>
      <c r="C326" s="1" t="s">
        <v>31</v>
      </c>
      <c r="D326" s="19" t="str">
        <f t="shared" si="146"/>
        <v>4월</v>
      </c>
      <c r="E326" s="119" t="s">
        <v>25</v>
      </c>
      <c r="F326" s="21" t="s">
        <v>26</v>
      </c>
      <c r="G326" s="118" t="s">
        <v>27</v>
      </c>
      <c r="H326" s="21" t="s">
        <v>32</v>
      </c>
      <c r="I326" s="22"/>
      <c r="J326" s="22">
        <v>1216144800</v>
      </c>
      <c r="K326" s="104">
        <v>1216144800</v>
      </c>
      <c r="L326" s="23"/>
      <c r="M326" s="22"/>
      <c r="N326" s="58">
        <f t="shared" si="147"/>
        <v>1216144800</v>
      </c>
    </row>
    <row r="327" spans="1:15" x14ac:dyDescent="0.4">
      <c r="A327" s="1" t="s">
        <v>161</v>
      </c>
      <c r="B327" s="1" t="s">
        <v>58</v>
      </c>
      <c r="C327" s="1" t="s">
        <v>33</v>
      </c>
      <c r="D327" s="19" t="str">
        <f t="shared" si="146"/>
        <v>4월</v>
      </c>
      <c r="E327" s="118" t="s">
        <v>25</v>
      </c>
      <c r="F327" s="21" t="s">
        <v>26</v>
      </c>
      <c r="G327" s="118" t="s">
        <v>27</v>
      </c>
      <c r="H327" s="21" t="s">
        <v>34</v>
      </c>
      <c r="I327" s="22"/>
      <c r="J327" s="22">
        <v>419865800</v>
      </c>
      <c r="K327" s="104">
        <v>419865800</v>
      </c>
      <c r="L327" s="23">
        <f t="shared" ref="L327" si="148">+I327/J327</f>
        <v>0</v>
      </c>
      <c r="M327" s="22"/>
      <c r="N327" s="58">
        <f t="shared" si="147"/>
        <v>419865800</v>
      </c>
    </row>
    <row r="328" spans="1:15" x14ac:dyDescent="0.4">
      <c r="A328" s="1" t="s">
        <v>161</v>
      </c>
      <c r="B328" s="1" t="s">
        <v>58</v>
      </c>
      <c r="C328" s="1" t="s">
        <v>35</v>
      </c>
      <c r="D328" s="19" t="str">
        <f t="shared" si="146"/>
        <v>4월</v>
      </c>
      <c r="E328" s="118" t="s">
        <v>25</v>
      </c>
      <c r="F328" s="21" t="s">
        <v>26</v>
      </c>
      <c r="G328" s="118" t="s">
        <v>27</v>
      </c>
      <c r="H328" s="137" t="s">
        <v>166</v>
      </c>
      <c r="I328" s="22"/>
      <c r="J328" s="104">
        <v>2996330400</v>
      </c>
      <c r="K328" s="136">
        <v>3790636000</v>
      </c>
      <c r="L328" s="23">
        <f>+I328/J328</f>
        <v>0</v>
      </c>
      <c r="M328" s="106"/>
      <c r="N328" s="58">
        <f t="shared" si="147"/>
        <v>3790636000</v>
      </c>
    </row>
    <row r="329" spans="1:15" x14ac:dyDescent="0.4">
      <c r="A329" s="1" t="s">
        <v>161</v>
      </c>
      <c r="B329" s="1" t="s">
        <v>58</v>
      </c>
      <c r="C329" s="1" t="s">
        <v>35</v>
      </c>
      <c r="D329" s="19" t="str">
        <f t="shared" si="146"/>
        <v>4월</v>
      </c>
      <c r="E329" s="118" t="s">
        <v>25</v>
      </c>
      <c r="F329" s="21" t="s">
        <v>26</v>
      </c>
      <c r="G329" s="118" t="s">
        <v>27</v>
      </c>
      <c r="H329" s="137" t="s">
        <v>168</v>
      </c>
      <c r="I329" s="22"/>
      <c r="J329" s="104">
        <v>1851511057.5999999</v>
      </c>
      <c r="K329" s="136">
        <v>2529830422</v>
      </c>
      <c r="L329" s="23"/>
      <c r="M329" s="106"/>
      <c r="N329" s="58"/>
    </row>
    <row r="330" spans="1:15" x14ac:dyDescent="0.4">
      <c r="A330" s="1" t="s">
        <v>161</v>
      </c>
      <c r="B330" s="1" t="s">
        <v>58</v>
      </c>
      <c r="C330" s="1" t="s">
        <v>35</v>
      </c>
      <c r="D330" s="19" t="str">
        <f t="shared" si="146"/>
        <v>4월</v>
      </c>
      <c r="E330" s="118" t="s">
        <v>25</v>
      </c>
      <c r="F330" s="21" t="s">
        <v>26</v>
      </c>
      <c r="G330" s="118" t="s">
        <v>27</v>
      </c>
      <c r="H330" s="137" t="s">
        <v>169</v>
      </c>
      <c r="I330" s="22"/>
      <c r="J330" s="104">
        <v>3087108900</v>
      </c>
      <c r="K330" s="136">
        <v>3087108900</v>
      </c>
      <c r="L330" s="23"/>
      <c r="M330" s="106"/>
      <c r="N330" s="58"/>
    </row>
    <row r="331" spans="1:15" x14ac:dyDescent="0.4">
      <c r="A331" s="1" t="s">
        <v>161</v>
      </c>
      <c r="B331" s="1" t="s">
        <v>58</v>
      </c>
      <c r="C331" s="1" t="s">
        <v>48</v>
      </c>
      <c r="D331" s="19" t="str">
        <f>D328</f>
        <v>4월</v>
      </c>
      <c r="E331" s="118" t="s">
        <v>25</v>
      </c>
      <c r="F331" s="21" t="s">
        <v>26</v>
      </c>
      <c r="G331" s="118" t="s">
        <v>27</v>
      </c>
      <c r="H331" s="21" t="s">
        <v>38</v>
      </c>
      <c r="I331" s="22"/>
      <c r="J331" s="22">
        <v>0</v>
      </c>
      <c r="K331" s="104">
        <v>0</v>
      </c>
      <c r="L331" s="23" t="e">
        <f t="shared" ref="L331:L333" si="149">+I331/J331</f>
        <v>#DIV/0!</v>
      </c>
      <c r="M331" s="22"/>
      <c r="N331" s="58">
        <f t="shared" si="147"/>
        <v>0</v>
      </c>
    </row>
    <row r="332" spans="1:15" x14ac:dyDescent="0.4">
      <c r="A332" s="1" t="s">
        <v>161</v>
      </c>
      <c r="B332" s="1" t="s">
        <v>58</v>
      </c>
      <c r="C332" s="1" t="s">
        <v>39</v>
      </c>
      <c r="D332" s="19" t="str">
        <f t="shared" si="146"/>
        <v>4월</v>
      </c>
      <c r="E332" s="118" t="s">
        <v>25</v>
      </c>
      <c r="F332" s="21" t="s">
        <v>26</v>
      </c>
      <c r="G332" s="118" t="s">
        <v>27</v>
      </c>
      <c r="H332" s="21" t="s">
        <v>40</v>
      </c>
      <c r="I332" s="22"/>
      <c r="J332" s="22">
        <v>131875000</v>
      </c>
      <c r="K332" s="104">
        <v>249875000</v>
      </c>
      <c r="L332" s="23">
        <f t="shared" si="149"/>
        <v>0</v>
      </c>
      <c r="M332" s="22"/>
      <c r="N332" s="58">
        <f t="shared" si="147"/>
        <v>249875000</v>
      </c>
    </row>
    <row r="333" spans="1:15" x14ac:dyDescent="0.4">
      <c r="A333" s="1" t="s">
        <v>161</v>
      </c>
      <c r="B333" s="1" t="s">
        <v>58</v>
      </c>
      <c r="C333" s="1" t="s">
        <v>44</v>
      </c>
      <c r="D333" s="19" t="str">
        <f t="shared" si="146"/>
        <v>4월</v>
      </c>
      <c r="E333" s="118" t="s">
        <v>25</v>
      </c>
      <c r="F333" s="21" t="s">
        <v>26</v>
      </c>
      <c r="G333" s="118" t="s">
        <v>27</v>
      </c>
      <c r="H333" s="21" t="s">
        <v>45</v>
      </c>
      <c r="I333" s="22"/>
      <c r="J333" s="22">
        <v>834000000</v>
      </c>
      <c r="K333" s="143">
        <v>3014320000</v>
      </c>
      <c r="L333" s="23">
        <f t="shared" si="149"/>
        <v>0</v>
      </c>
      <c r="M333" s="22"/>
      <c r="N333" s="58">
        <f t="shared" si="147"/>
        <v>3014320000</v>
      </c>
      <c r="O333" s="1" t="s">
        <v>187</v>
      </c>
    </row>
    <row r="334" spans="1:15" x14ac:dyDescent="0.4">
      <c r="A334" s="1" t="s">
        <v>161</v>
      </c>
      <c r="B334" s="1" t="s">
        <v>58</v>
      </c>
      <c r="C334" s="1" t="s">
        <v>46</v>
      </c>
      <c r="D334" s="19" t="str">
        <f t="shared" si="146"/>
        <v>4월</v>
      </c>
      <c r="E334" s="120" t="s">
        <v>25</v>
      </c>
      <c r="F334" s="32" t="s">
        <v>26</v>
      </c>
      <c r="G334" s="120" t="s">
        <v>27</v>
      </c>
      <c r="H334" s="32" t="s">
        <v>47</v>
      </c>
      <c r="I334" s="33"/>
      <c r="J334" s="33">
        <v>140625000</v>
      </c>
      <c r="K334" s="109">
        <v>46875000</v>
      </c>
      <c r="L334" s="34"/>
      <c r="M334" s="33"/>
      <c r="N334" s="58">
        <f t="shared" si="147"/>
        <v>46875000</v>
      </c>
      <c r="O334" s="1" t="s">
        <v>188</v>
      </c>
    </row>
    <row r="335" spans="1:15" ht="14.4" thickBot="1" x14ac:dyDescent="0.45">
      <c r="A335" s="1" t="s">
        <v>161</v>
      </c>
      <c r="B335" s="1" t="s">
        <v>58</v>
      </c>
      <c r="C335" s="1" t="s">
        <v>48</v>
      </c>
      <c r="D335" s="97" t="str">
        <f t="shared" si="146"/>
        <v>4월</v>
      </c>
      <c r="E335" s="121" t="s">
        <v>25</v>
      </c>
      <c r="F335" s="36" t="s">
        <v>26</v>
      </c>
      <c r="G335" s="121" t="s">
        <v>27</v>
      </c>
      <c r="H335" s="36" t="s">
        <v>49</v>
      </c>
      <c r="I335" s="37"/>
      <c r="J335" s="37"/>
      <c r="K335" s="110"/>
      <c r="L335" s="38" t="e">
        <f t="shared" ref="L335" si="150">+K335/J335</f>
        <v>#DIV/0!</v>
      </c>
      <c r="M335" s="37"/>
      <c r="N335" s="58">
        <f t="shared" si="147"/>
        <v>0</v>
      </c>
    </row>
    <row r="336" spans="1:15" ht="14.4" thickBot="1" x14ac:dyDescent="0.45">
      <c r="D336" s="144" t="s">
        <v>189</v>
      </c>
      <c r="E336" s="145"/>
      <c r="F336" s="145"/>
      <c r="G336" s="145"/>
      <c r="H336" s="146"/>
      <c r="I336" s="41">
        <f>SUM(I324:I335)</f>
        <v>0</v>
      </c>
      <c r="J336" s="41">
        <f>SUM(J324:J335)</f>
        <v>10694505790.933332</v>
      </c>
      <c r="K336" s="41">
        <f>SUM(K324:K335)</f>
        <v>14371700755.333332</v>
      </c>
      <c r="L336" s="42">
        <f>I336/J336</f>
        <v>0</v>
      </c>
      <c r="M336" s="43">
        <f>SUM(M324:M335)</f>
        <v>0</v>
      </c>
      <c r="N336" s="44">
        <f>SUM(N324:N335)</f>
        <v>8754761433.3333321</v>
      </c>
    </row>
    <row r="337" spans="1:15" x14ac:dyDescent="0.4">
      <c r="A337" s="1" t="s">
        <v>161</v>
      </c>
      <c r="B337" s="1" t="s">
        <v>58</v>
      </c>
      <c r="C337" s="1" t="s">
        <v>94</v>
      </c>
      <c r="D337" s="12" t="s">
        <v>61</v>
      </c>
      <c r="E337" s="117" t="s">
        <v>25</v>
      </c>
      <c r="F337" s="92" t="s">
        <v>26</v>
      </c>
      <c r="G337" s="117" t="s">
        <v>27</v>
      </c>
      <c r="H337" s="92" t="s">
        <v>162</v>
      </c>
      <c r="I337" s="93"/>
      <c r="J337" s="93">
        <v>17044833.333333336</v>
      </c>
      <c r="K337" s="132">
        <v>17044833.333333336</v>
      </c>
      <c r="L337" s="94">
        <f t="shared" ref="L337" si="151">+I337/J337</f>
        <v>0</v>
      </c>
      <c r="M337" s="93"/>
      <c r="N337" s="79">
        <f>K337-M337</f>
        <v>17044833.333333336</v>
      </c>
    </row>
    <row r="338" spans="1:15" x14ac:dyDescent="0.4">
      <c r="A338" s="1" t="s">
        <v>161</v>
      </c>
      <c r="B338" s="1" t="s">
        <v>58</v>
      </c>
      <c r="C338" s="1" t="s">
        <v>94</v>
      </c>
      <c r="D338" s="19" t="str">
        <f t="shared" ref="D338:D348" si="152">D337</f>
        <v>5월</v>
      </c>
      <c r="E338" s="118" t="s">
        <v>25</v>
      </c>
      <c r="F338" s="21" t="s">
        <v>26</v>
      </c>
      <c r="G338" s="118" t="s">
        <v>27</v>
      </c>
      <c r="H338" s="21" t="s">
        <v>30</v>
      </c>
      <c r="I338" s="22"/>
      <c r="J338" s="22">
        <v>0</v>
      </c>
      <c r="K338" s="104">
        <v>0</v>
      </c>
      <c r="L338" s="23"/>
      <c r="M338" s="22"/>
      <c r="N338" s="58">
        <f t="shared" ref="N338:N346" si="153">K338-M338</f>
        <v>0</v>
      </c>
    </row>
    <row r="339" spans="1:15" x14ac:dyDescent="0.4">
      <c r="A339" s="1" t="s">
        <v>161</v>
      </c>
      <c r="B339" s="1" t="s">
        <v>58</v>
      </c>
      <c r="C339" s="1" t="s">
        <v>31</v>
      </c>
      <c r="D339" s="19" t="str">
        <f t="shared" si="152"/>
        <v>5월</v>
      </c>
      <c r="E339" s="119" t="s">
        <v>25</v>
      </c>
      <c r="F339" s="21" t="s">
        <v>26</v>
      </c>
      <c r="G339" s="118" t="s">
        <v>27</v>
      </c>
      <c r="H339" s="21" t="s">
        <v>32</v>
      </c>
      <c r="I339" s="106"/>
      <c r="J339" s="22">
        <v>1797251400</v>
      </c>
      <c r="K339" s="104">
        <v>1797251400</v>
      </c>
      <c r="L339" s="23"/>
      <c r="M339" s="22"/>
      <c r="N339" s="58">
        <f t="shared" si="153"/>
        <v>1797251400</v>
      </c>
    </row>
    <row r="340" spans="1:15" x14ac:dyDescent="0.4">
      <c r="A340" s="1" t="s">
        <v>161</v>
      </c>
      <c r="B340" s="1" t="s">
        <v>58</v>
      </c>
      <c r="C340" s="1" t="s">
        <v>33</v>
      </c>
      <c r="D340" s="19" t="str">
        <f t="shared" si="152"/>
        <v>5월</v>
      </c>
      <c r="E340" s="118" t="s">
        <v>25</v>
      </c>
      <c r="F340" s="21" t="s">
        <v>26</v>
      </c>
      <c r="G340" s="118" t="s">
        <v>27</v>
      </c>
      <c r="H340" s="21" t="s">
        <v>34</v>
      </c>
      <c r="I340" s="106"/>
      <c r="J340" s="22">
        <v>479189440</v>
      </c>
      <c r="K340" s="104">
        <v>479189440</v>
      </c>
      <c r="L340" s="23">
        <f>+I340/J340</f>
        <v>0</v>
      </c>
      <c r="M340" s="22"/>
      <c r="N340" s="58">
        <f t="shared" si="153"/>
        <v>479189440</v>
      </c>
    </row>
    <row r="341" spans="1:15" x14ac:dyDescent="0.4">
      <c r="A341" s="1" t="s">
        <v>161</v>
      </c>
      <c r="B341" s="1" t="s">
        <v>58</v>
      </c>
      <c r="C341" s="1" t="s">
        <v>35</v>
      </c>
      <c r="D341" s="19" t="str">
        <f t="shared" si="152"/>
        <v>5월</v>
      </c>
      <c r="E341" s="118" t="s">
        <v>25</v>
      </c>
      <c r="F341" s="21" t="s">
        <v>26</v>
      </c>
      <c r="G341" s="118" t="s">
        <v>27</v>
      </c>
      <c r="H341" s="137" t="s">
        <v>166</v>
      </c>
      <c r="I341" s="106"/>
      <c r="J341" s="104">
        <v>4559338800</v>
      </c>
      <c r="K341" s="136">
        <v>5921694000</v>
      </c>
      <c r="L341" s="23">
        <f t="shared" ref="L341:L346" si="154">+I341/J341</f>
        <v>0</v>
      </c>
      <c r="M341" s="22"/>
      <c r="N341" s="58">
        <f t="shared" si="153"/>
        <v>5921694000</v>
      </c>
    </row>
    <row r="342" spans="1:15" x14ac:dyDescent="0.4">
      <c r="A342" s="1" t="s">
        <v>161</v>
      </c>
      <c r="B342" s="1" t="s">
        <v>58</v>
      </c>
      <c r="C342" s="1" t="s">
        <v>35</v>
      </c>
      <c r="D342" s="19" t="str">
        <f t="shared" si="152"/>
        <v>5월</v>
      </c>
      <c r="E342" s="118" t="s">
        <v>25</v>
      </c>
      <c r="F342" s="21" t="s">
        <v>26</v>
      </c>
      <c r="G342" s="118" t="s">
        <v>27</v>
      </c>
      <c r="H342" s="137" t="s">
        <v>168</v>
      </c>
      <c r="I342" s="106"/>
      <c r="J342" s="104">
        <v>2649036050</v>
      </c>
      <c r="K342" s="136">
        <v>4221100500</v>
      </c>
      <c r="L342" s="23"/>
      <c r="M342" s="22"/>
      <c r="N342" s="58"/>
    </row>
    <row r="343" spans="1:15" x14ac:dyDescent="0.4">
      <c r="A343" s="1" t="s">
        <v>161</v>
      </c>
      <c r="B343" s="1" t="s">
        <v>58</v>
      </c>
      <c r="C343" s="1" t="s">
        <v>35</v>
      </c>
      <c r="D343" s="19" t="str">
        <f t="shared" si="152"/>
        <v>5월</v>
      </c>
      <c r="E343" s="118" t="s">
        <v>25</v>
      </c>
      <c r="F343" s="21" t="s">
        <v>26</v>
      </c>
      <c r="G343" s="118" t="s">
        <v>27</v>
      </c>
      <c r="H343" s="137" t="s">
        <v>169</v>
      </c>
      <c r="I343" s="106"/>
      <c r="J343" s="104">
        <v>2949724700</v>
      </c>
      <c r="K343" s="136">
        <v>2949724700</v>
      </c>
      <c r="L343" s="23"/>
      <c r="M343" s="22"/>
      <c r="N343" s="58"/>
    </row>
    <row r="344" spans="1:15" x14ac:dyDescent="0.4">
      <c r="A344" s="1" t="s">
        <v>161</v>
      </c>
      <c r="B344" s="1" t="s">
        <v>58</v>
      </c>
      <c r="C344" s="1" t="s">
        <v>48</v>
      </c>
      <c r="D344" s="19" t="str">
        <f>D341</f>
        <v>5월</v>
      </c>
      <c r="E344" s="118" t="s">
        <v>25</v>
      </c>
      <c r="F344" s="21" t="s">
        <v>26</v>
      </c>
      <c r="G344" s="118" t="s">
        <v>27</v>
      </c>
      <c r="H344" s="21" t="s">
        <v>38</v>
      </c>
      <c r="I344" s="22"/>
      <c r="J344" s="22">
        <v>0</v>
      </c>
      <c r="K344" s="104">
        <v>0</v>
      </c>
      <c r="L344" s="23" t="e">
        <f t="shared" si="154"/>
        <v>#DIV/0!</v>
      </c>
      <c r="M344" s="22"/>
      <c r="N344" s="58">
        <f t="shared" si="153"/>
        <v>0</v>
      </c>
    </row>
    <row r="345" spans="1:15" x14ac:dyDescent="0.4">
      <c r="A345" s="1" t="s">
        <v>161</v>
      </c>
      <c r="B345" s="1" t="s">
        <v>58</v>
      </c>
      <c r="C345" s="1" t="s">
        <v>39</v>
      </c>
      <c r="D345" s="19" t="str">
        <f t="shared" si="152"/>
        <v>5월</v>
      </c>
      <c r="E345" s="118" t="s">
        <v>25</v>
      </c>
      <c r="F345" s="21" t="s">
        <v>26</v>
      </c>
      <c r="G345" s="118" t="s">
        <v>27</v>
      </c>
      <c r="H345" s="21" t="s">
        <v>40</v>
      </c>
      <c r="I345" s="22"/>
      <c r="J345" s="22">
        <v>40000000</v>
      </c>
      <c r="K345" s="104">
        <v>85000000</v>
      </c>
      <c r="L345" s="23">
        <f t="shared" si="154"/>
        <v>0</v>
      </c>
      <c r="M345" s="22"/>
      <c r="N345" s="58">
        <f t="shared" si="153"/>
        <v>85000000</v>
      </c>
    </row>
    <row r="346" spans="1:15" x14ac:dyDescent="0.4">
      <c r="A346" s="1" t="s">
        <v>161</v>
      </c>
      <c r="B346" s="1" t="s">
        <v>58</v>
      </c>
      <c r="C346" s="1" t="s">
        <v>44</v>
      </c>
      <c r="D346" s="19" t="str">
        <f t="shared" si="152"/>
        <v>5월</v>
      </c>
      <c r="E346" s="118" t="s">
        <v>25</v>
      </c>
      <c r="F346" s="21" t="s">
        <v>26</v>
      </c>
      <c r="G346" s="118" t="s">
        <v>27</v>
      </c>
      <c r="H346" s="21" t="s">
        <v>45</v>
      </c>
      <c r="I346" s="106"/>
      <c r="J346" s="22">
        <v>3617750000</v>
      </c>
      <c r="K346" s="143">
        <v>807200000</v>
      </c>
      <c r="L346" s="23">
        <f t="shared" si="154"/>
        <v>0</v>
      </c>
      <c r="M346" s="22"/>
      <c r="N346" s="58">
        <f t="shared" si="153"/>
        <v>807200000</v>
      </c>
      <c r="O346" s="1" t="s">
        <v>190</v>
      </c>
    </row>
    <row r="347" spans="1:15" x14ac:dyDescent="0.4">
      <c r="A347" s="1" t="s">
        <v>161</v>
      </c>
      <c r="B347" s="1" t="s">
        <v>58</v>
      </c>
      <c r="C347" s="1" t="s">
        <v>46</v>
      </c>
      <c r="D347" s="19" t="str">
        <f t="shared" si="152"/>
        <v>5월</v>
      </c>
      <c r="E347" s="120" t="s">
        <v>25</v>
      </c>
      <c r="F347" s="32" t="s">
        <v>26</v>
      </c>
      <c r="G347" s="120" t="s">
        <v>27</v>
      </c>
      <c r="H347" s="32" t="s">
        <v>47</v>
      </c>
      <c r="I347" s="113"/>
      <c r="J347" s="33">
        <v>46875000</v>
      </c>
      <c r="K347" s="109">
        <v>0</v>
      </c>
      <c r="L347" s="34"/>
      <c r="M347" s="33"/>
      <c r="N347" s="58">
        <f>K347-M347</f>
        <v>0</v>
      </c>
      <c r="O347" s="1" t="s">
        <v>191</v>
      </c>
    </row>
    <row r="348" spans="1:15" ht="14.4" thickBot="1" x14ac:dyDescent="0.45">
      <c r="A348" s="1" t="s">
        <v>161</v>
      </c>
      <c r="B348" s="1" t="s">
        <v>58</v>
      </c>
      <c r="C348" s="1" t="s">
        <v>48</v>
      </c>
      <c r="D348" s="97" t="str">
        <f t="shared" si="152"/>
        <v>5월</v>
      </c>
      <c r="E348" s="121" t="s">
        <v>25</v>
      </c>
      <c r="F348" s="36" t="s">
        <v>26</v>
      </c>
      <c r="G348" s="121" t="s">
        <v>27</v>
      </c>
      <c r="H348" s="36" t="s">
        <v>49</v>
      </c>
      <c r="I348" s="37"/>
      <c r="J348" s="37"/>
      <c r="K348" s="110"/>
      <c r="L348" s="38" t="e">
        <f t="shared" ref="L348" si="155">+K348/J348</f>
        <v>#DIV/0!</v>
      </c>
      <c r="M348" s="37"/>
      <c r="N348" s="58">
        <f t="shared" ref="N348" si="156">K348-M348</f>
        <v>0</v>
      </c>
    </row>
    <row r="349" spans="1:15" ht="14.4" thickBot="1" x14ac:dyDescent="0.45">
      <c r="D349" s="144" t="s">
        <v>192</v>
      </c>
      <c r="E349" s="145"/>
      <c r="F349" s="145"/>
      <c r="G349" s="145"/>
      <c r="H349" s="146"/>
      <c r="I349" s="41">
        <f>SUM(I337:I348)</f>
        <v>0</v>
      </c>
      <c r="J349" s="41">
        <f>SUM(J337:J348)</f>
        <v>16156210223.333332</v>
      </c>
      <c r="K349" s="41">
        <f>SUM(K337:K348)</f>
        <v>16278204873.333332</v>
      </c>
      <c r="L349" s="42">
        <f>I349/J349</f>
        <v>0</v>
      </c>
      <c r="M349" s="43">
        <f>SUM(M337:M348)</f>
        <v>0</v>
      </c>
      <c r="N349" s="44">
        <f>SUM(N337:N348)</f>
        <v>9107379673.3333321</v>
      </c>
    </row>
    <row r="350" spans="1:15" x14ac:dyDescent="0.4">
      <c r="A350" s="1" t="s">
        <v>161</v>
      </c>
      <c r="B350" s="1" t="s">
        <v>58</v>
      </c>
      <c r="C350" s="1" t="s">
        <v>94</v>
      </c>
      <c r="D350" s="12" t="s">
        <v>63</v>
      </c>
      <c r="E350" s="117" t="s">
        <v>25</v>
      </c>
      <c r="F350" s="92" t="s">
        <v>26</v>
      </c>
      <c r="G350" s="117" t="s">
        <v>27</v>
      </c>
      <c r="H350" s="92" t="s">
        <v>162</v>
      </c>
      <c r="I350" s="93"/>
      <c r="J350" s="93">
        <v>17044833.333333336</v>
      </c>
      <c r="K350" s="132">
        <v>17044833.333333336</v>
      </c>
      <c r="L350" s="94">
        <f t="shared" ref="L350" si="157">+I350/J350</f>
        <v>0</v>
      </c>
      <c r="M350" s="93"/>
      <c r="N350" s="79">
        <f>K350-M350</f>
        <v>17044833.333333336</v>
      </c>
    </row>
    <row r="351" spans="1:15" x14ac:dyDescent="0.4">
      <c r="A351" s="1" t="s">
        <v>161</v>
      </c>
      <c r="B351" s="1" t="s">
        <v>58</v>
      </c>
      <c r="C351" s="1" t="s">
        <v>94</v>
      </c>
      <c r="D351" s="19" t="str">
        <f t="shared" ref="D351:D361" si="158">D350</f>
        <v>6월</v>
      </c>
      <c r="E351" s="118" t="s">
        <v>25</v>
      </c>
      <c r="F351" s="21" t="s">
        <v>26</v>
      </c>
      <c r="G351" s="118" t="s">
        <v>27</v>
      </c>
      <c r="H351" s="21" t="s">
        <v>30</v>
      </c>
      <c r="I351" s="22"/>
      <c r="J351" s="22">
        <v>0</v>
      </c>
      <c r="K351" s="104">
        <v>0</v>
      </c>
      <c r="L351" s="23"/>
      <c r="M351" s="22"/>
      <c r="N351" s="58">
        <f t="shared" ref="N351:N361" si="159">K351-M351</f>
        <v>0</v>
      </c>
    </row>
    <row r="352" spans="1:15" x14ac:dyDescent="0.4">
      <c r="A352" s="1" t="s">
        <v>161</v>
      </c>
      <c r="B352" s="1" t="s">
        <v>58</v>
      </c>
      <c r="C352" s="1" t="s">
        <v>31</v>
      </c>
      <c r="D352" s="19" t="str">
        <f t="shared" si="158"/>
        <v>6월</v>
      </c>
      <c r="E352" s="119" t="s">
        <v>25</v>
      </c>
      <c r="F352" s="21" t="s">
        <v>26</v>
      </c>
      <c r="G352" s="118" t="s">
        <v>27</v>
      </c>
      <c r="H352" s="21" t="s">
        <v>32</v>
      </c>
      <c r="I352" s="22"/>
      <c r="J352" s="22">
        <v>308413350</v>
      </c>
      <c r="K352" s="104">
        <v>308413350</v>
      </c>
      <c r="L352" s="23"/>
      <c r="M352" s="22"/>
      <c r="N352" s="58">
        <f t="shared" si="159"/>
        <v>308413350</v>
      </c>
    </row>
    <row r="353" spans="1:15" x14ac:dyDescent="0.4">
      <c r="A353" s="1" t="s">
        <v>161</v>
      </c>
      <c r="B353" s="1" t="s">
        <v>58</v>
      </c>
      <c r="C353" s="1" t="s">
        <v>33</v>
      </c>
      <c r="D353" s="19" t="str">
        <f t="shared" si="158"/>
        <v>6월</v>
      </c>
      <c r="E353" s="118" t="s">
        <v>25</v>
      </c>
      <c r="F353" s="21" t="s">
        <v>26</v>
      </c>
      <c r="G353" s="118" t="s">
        <v>27</v>
      </c>
      <c r="H353" s="21" t="s">
        <v>34</v>
      </c>
      <c r="I353" s="22"/>
      <c r="J353" s="22">
        <v>322014360</v>
      </c>
      <c r="K353" s="104">
        <v>322014360</v>
      </c>
      <c r="L353" s="23">
        <f t="shared" ref="L353:L359" si="160">+I353/J353</f>
        <v>0</v>
      </c>
      <c r="M353" s="22"/>
      <c r="N353" s="58">
        <f t="shared" si="159"/>
        <v>322014360</v>
      </c>
    </row>
    <row r="354" spans="1:15" x14ac:dyDescent="0.4">
      <c r="A354" s="1" t="s">
        <v>161</v>
      </c>
      <c r="B354" s="1" t="s">
        <v>58</v>
      </c>
      <c r="C354" s="1" t="s">
        <v>35</v>
      </c>
      <c r="D354" s="19" t="str">
        <f>D353</f>
        <v>6월</v>
      </c>
      <c r="E354" s="118" t="s">
        <v>25</v>
      </c>
      <c r="F354" s="21" t="s">
        <v>26</v>
      </c>
      <c r="G354" s="118" t="s">
        <v>27</v>
      </c>
      <c r="H354" s="137" t="s">
        <v>166</v>
      </c>
      <c r="I354" s="22"/>
      <c r="J354" s="104">
        <v>2916678600</v>
      </c>
      <c r="K354" s="136">
        <v>5486662000</v>
      </c>
      <c r="L354" s="23">
        <f t="shared" si="160"/>
        <v>0</v>
      </c>
      <c r="M354" s="22"/>
      <c r="N354" s="58">
        <f t="shared" si="159"/>
        <v>5486662000</v>
      </c>
    </row>
    <row r="355" spans="1:15" x14ac:dyDescent="0.4">
      <c r="A355" s="1" t="s">
        <v>161</v>
      </c>
      <c r="B355" s="1" t="s">
        <v>58</v>
      </c>
      <c r="C355" s="1" t="s">
        <v>35</v>
      </c>
      <c r="D355" s="19" t="str">
        <f t="shared" ref="D355:D356" si="161">D354</f>
        <v>6월</v>
      </c>
      <c r="E355" s="118" t="s">
        <v>25</v>
      </c>
      <c r="F355" s="21" t="s">
        <v>26</v>
      </c>
      <c r="G355" s="118" t="s">
        <v>27</v>
      </c>
      <c r="H355" s="137" t="s">
        <v>168</v>
      </c>
      <c r="I355" s="22"/>
      <c r="J355" s="104">
        <v>1556374694.3999999</v>
      </c>
      <c r="K355" s="136">
        <v>5065726060</v>
      </c>
      <c r="L355" s="23"/>
      <c r="M355" s="22"/>
      <c r="N355" s="58"/>
    </row>
    <row r="356" spans="1:15" x14ac:dyDescent="0.4">
      <c r="A356" s="1" t="s">
        <v>161</v>
      </c>
      <c r="B356" s="1" t="s">
        <v>58</v>
      </c>
      <c r="C356" s="1" t="s">
        <v>35</v>
      </c>
      <c r="D356" s="19" t="str">
        <f t="shared" si="161"/>
        <v>6월</v>
      </c>
      <c r="E356" s="118" t="s">
        <v>25</v>
      </c>
      <c r="F356" s="21" t="s">
        <v>26</v>
      </c>
      <c r="G356" s="118" t="s">
        <v>27</v>
      </c>
      <c r="H356" s="137" t="s">
        <v>169</v>
      </c>
      <c r="I356" s="22"/>
      <c r="J356" s="104">
        <v>4093202000</v>
      </c>
      <c r="K356" s="136">
        <v>4093202000</v>
      </c>
      <c r="L356" s="23"/>
      <c r="M356" s="22"/>
      <c r="N356" s="58"/>
    </row>
    <row r="357" spans="1:15" x14ac:dyDescent="0.4">
      <c r="A357" s="1" t="s">
        <v>161</v>
      </c>
      <c r="B357" s="1" t="s">
        <v>58</v>
      </c>
      <c r="C357" s="1" t="s">
        <v>48</v>
      </c>
      <c r="D357" s="19" t="str">
        <f>D354</f>
        <v>6월</v>
      </c>
      <c r="E357" s="118" t="s">
        <v>25</v>
      </c>
      <c r="F357" s="21" t="s">
        <v>26</v>
      </c>
      <c r="G357" s="118" t="s">
        <v>27</v>
      </c>
      <c r="H357" s="21" t="s">
        <v>38</v>
      </c>
      <c r="I357" s="22"/>
      <c r="J357" s="22">
        <v>0</v>
      </c>
      <c r="K357" s="104">
        <v>0</v>
      </c>
      <c r="L357" s="23" t="e">
        <f t="shared" si="160"/>
        <v>#DIV/0!</v>
      </c>
      <c r="M357" s="22"/>
      <c r="N357" s="58">
        <f t="shared" si="159"/>
        <v>0</v>
      </c>
    </row>
    <row r="358" spans="1:15" x14ac:dyDescent="0.4">
      <c r="A358" s="1" t="s">
        <v>161</v>
      </c>
      <c r="B358" s="1" t="s">
        <v>58</v>
      </c>
      <c r="C358" s="1" t="s">
        <v>39</v>
      </c>
      <c r="D358" s="19" t="str">
        <f t="shared" si="158"/>
        <v>6월</v>
      </c>
      <c r="E358" s="118" t="s">
        <v>25</v>
      </c>
      <c r="F358" s="21" t="s">
        <v>26</v>
      </c>
      <c r="G358" s="118" t="s">
        <v>27</v>
      </c>
      <c r="H358" s="21" t="s">
        <v>40</v>
      </c>
      <c r="I358" s="22"/>
      <c r="J358" s="22">
        <v>173750000</v>
      </c>
      <c r="K358" s="104">
        <v>160950000</v>
      </c>
      <c r="L358" s="23">
        <f t="shared" si="160"/>
        <v>0</v>
      </c>
      <c r="M358" s="22"/>
      <c r="N358" s="58">
        <f t="shared" si="159"/>
        <v>160950000</v>
      </c>
    </row>
    <row r="359" spans="1:15" x14ac:dyDescent="0.4">
      <c r="A359" s="1" t="s">
        <v>161</v>
      </c>
      <c r="B359" s="1" t="s">
        <v>58</v>
      </c>
      <c r="C359" s="1" t="s">
        <v>44</v>
      </c>
      <c r="D359" s="19" t="str">
        <f t="shared" si="158"/>
        <v>6월</v>
      </c>
      <c r="E359" s="118" t="s">
        <v>25</v>
      </c>
      <c r="F359" s="21" t="s">
        <v>26</v>
      </c>
      <c r="G359" s="118" t="s">
        <v>27</v>
      </c>
      <c r="H359" s="21" t="s">
        <v>45</v>
      </c>
      <c r="I359" s="22"/>
      <c r="J359" s="22">
        <v>1951600000</v>
      </c>
      <c r="K359" s="143">
        <v>1110000000</v>
      </c>
      <c r="L359" s="23">
        <f t="shared" si="160"/>
        <v>0</v>
      </c>
      <c r="M359" s="22"/>
      <c r="N359" s="58">
        <f t="shared" si="159"/>
        <v>1110000000</v>
      </c>
      <c r="O359" s="1" t="s">
        <v>193</v>
      </c>
    </row>
    <row r="360" spans="1:15" x14ac:dyDescent="0.4">
      <c r="A360" s="1" t="s">
        <v>161</v>
      </c>
      <c r="B360" s="1" t="s">
        <v>58</v>
      </c>
      <c r="C360" s="1" t="s">
        <v>46</v>
      </c>
      <c r="D360" s="19" t="str">
        <f t="shared" si="158"/>
        <v>6월</v>
      </c>
      <c r="E360" s="120" t="s">
        <v>25</v>
      </c>
      <c r="F360" s="32" t="s">
        <v>26</v>
      </c>
      <c r="G360" s="120" t="s">
        <v>27</v>
      </c>
      <c r="H360" s="32" t="s">
        <v>47</v>
      </c>
      <c r="I360" s="33"/>
      <c r="J360" s="33">
        <v>46875000</v>
      </c>
      <c r="K360" s="109">
        <v>0</v>
      </c>
      <c r="L360" s="34"/>
      <c r="M360" s="33"/>
      <c r="N360" s="58">
        <f t="shared" si="159"/>
        <v>0</v>
      </c>
      <c r="O360" s="1" t="s">
        <v>191</v>
      </c>
    </row>
    <row r="361" spans="1:15" ht="14.4" thickBot="1" x14ac:dyDescent="0.45">
      <c r="A361" s="1" t="s">
        <v>161</v>
      </c>
      <c r="B361" s="1" t="s">
        <v>58</v>
      </c>
      <c r="C361" s="1" t="s">
        <v>48</v>
      </c>
      <c r="D361" s="97" t="str">
        <f t="shared" si="158"/>
        <v>6월</v>
      </c>
      <c r="E361" s="121" t="s">
        <v>25</v>
      </c>
      <c r="F361" s="36" t="s">
        <v>26</v>
      </c>
      <c r="G361" s="121" t="s">
        <v>27</v>
      </c>
      <c r="H361" s="36" t="s">
        <v>49</v>
      </c>
      <c r="I361" s="37"/>
      <c r="J361" s="37"/>
      <c r="K361" s="110"/>
      <c r="L361" s="38" t="e">
        <f t="shared" ref="L361" si="162">+K361/J361</f>
        <v>#DIV/0!</v>
      </c>
      <c r="M361" s="37"/>
      <c r="N361" s="58">
        <f t="shared" si="159"/>
        <v>0</v>
      </c>
    </row>
    <row r="362" spans="1:15" ht="14.4" thickBot="1" x14ac:dyDescent="0.45">
      <c r="D362" s="144" t="s">
        <v>194</v>
      </c>
      <c r="E362" s="145"/>
      <c r="F362" s="145"/>
      <c r="G362" s="145"/>
      <c r="H362" s="146"/>
      <c r="I362" s="41">
        <f>SUM(I350:I361)</f>
        <v>0</v>
      </c>
      <c r="J362" s="41">
        <f>SUM(J350:J361)</f>
        <v>11385952837.733334</v>
      </c>
      <c r="K362" s="41">
        <f>SUM(K350:K361)</f>
        <v>16564012603.333332</v>
      </c>
      <c r="L362" s="42">
        <f>I362/J362</f>
        <v>0</v>
      </c>
      <c r="M362" s="43">
        <f>SUM(M350:M361)</f>
        <v>0</v>
      </c>
      <c r="N362" s="44">
        <f>SUM(N350:N361)</f>
        <v>7405084543.333333</v>
      </c>
    </row>
    <row r="363" spans="1:15" ht="14.4" thickBot="1" x14ac:dyDescent="0.45">
      <c r="D363" s="147" t="s">
        <v>195</v>
      </c>
      <c r="E363" s="148"/>
      <c r="F363" s="148"/>
      <c r="G363" s="148"/>
      <c r="H363" s="149"/>
      <c r="I363" s="53">
        <f>SUM(I336,I349,I362)</f>
        <v>0</v>
      </c>
      <c r="J363" s="53">
        <f>SUM(J336,J349,J362)</f>
        <v>38236668852</v>
      </c>
      <c r="K363" s="53">
        <f>SUM(K336,K349,K362)</f>
        <v>47213918232</v>
      </c>
      <c r="L363" s="54">
        <f>I363/J363</f>
        <v>0</v>
      </c>
      <c r="M363" s="53">
        <f>SUM(M336,M349,M362)</f>
        <v>0</v>
      </c>
      <c r="N363" s="53">
        <f>SUM(N336,N349,N362)</f>
        <v>25267225649.999996</v>
      </c>
    </row>
    <row r="364" spans="1:15" x14ac:dyDescent="0.4">
      <c r="A364" s="1" t="s">
        <v>161</v>
      </c>
      <c r="B364" s="1" t="s">
        <v>67</v>
      </c>
      <c r="C364" s="1" t="s">
        <v>94</v>
      </c>
      <c r="D364" s="12" t="s">
        <v>68</v>
      </c>
      <c r="E364" s="117" t="s">
        <v>25</v>
      </c>
      <c r="F364" s="92" t="s">
        <v>26</v>
      </c>
      <c r="G364" s="117" t="s">
        <v>27</v>
      </c>
      <c r="H364" s="92" t="s">
        <v>162</v>
      </c>
      <c r="I364" s="93"/>
      <c r="J364" s="93">
        <v>17044833.333333336</v>
      </c>
      <c r="K364" s="93">
        <v>17044833.333333336</v>
      </c>
      <c r="L364" s="94">
        <f t="shared" ref="L364" si="163">+I364/J364</f>
        <v>0</v>
      </c>
      <c r="M364" s="93"/>
      <c r="N364" s="79">
        <f>K364-M364</f>
        <v>17044833.333333336</v>
      </c>
    </row>
    <row r="365" spans="1:15" x14ac:dyDescent="0.4">
      <c r="A365" s="1" t="s">
        <v>161</v>
      </c>
      <c r="B365" s="1" t="s">
        <v>67</v>
      </c>
      <c r="C365" s="1" t="s">
        <v>94</v>
      </c>
      <c r="D365" s="19" t="str">
        <f t="shared" ref="D365:D375" si="164">D364</f>
        <v>7월</v>
      </c>
      <c r="E365" s="118" t="s">
        <v>25</v>
      </c>
      <c r="F365" s="21" t="s">
        <v>26</v>
      </c>
      <c r="G365" s="118" t="s">
        <v>27</v>
      </c>
      <c r="H365" s="21" t="s">
        <v>30</v>
      </c>
      <c r="I365" s="22"/>
      <c r="J365" s="22">
        <v>0</v>
      </c>
      <c r="K365" s="22">
        <v>0</v>
      </c>
      <c r="L365" s="23"/>
      <c r="M365" s="22"/>
      <c r="N365" s="58">
        <f t="shared" ref="N365:N375" si="165">K365-M365</f>
        <v>0</v>
      </c>
    </row>
    <row r="366" spans="1:15" x14ac:dyDescent="0.4">
      <c r="A366" s="1" t="s">
        <v>161</v>
      </c>
      <c r="B366" s="1" t="s">
        <v>67</v>
      </c>
      <c r="C366" s="1" t="s">
        <v>31</v>
      </c>
      <c r="D366" s="19" t="str">
        <f t="shared" si="164"/>
        <v>7월</v>
      </c>
      <c r="E366" s="119" t="s">
        <v>25</v>
      </c>
      <c r="F366" s="21" t="s">
        <v>26</v>
      </c>
      <c r="G366" s="118" t="s">
        <v>27</v>
      </c>
      <c r="H366" s="21" t="s">
        <v>32</v>
      </c>
      <c r="I366" s="22"/>
      <c r="J366" s="22">
        <v>3331490400</v>
      </c>
      <c r="K366" s="22">
        <v>3331490400</v>
      </c>
      <c r="L366" s="23"/>
      <c r="M366" s="22"/>
      <c r="N366" s="58">
        <f t="shared" si="165"/>
        <v>3331490400</v>
      </c>
    </row>
    <row r="367" spans="1:15" x14ac:dyDescent="0.4">
      <c r="A367" s="1" t="s">
        <v>161</v>
      </c>
      <c r="B367" s="1" t="s">
        <v>67</v>
      </c>
      <c r="C367" s="1" t="s">
        <v>33</v>
      </c>
      <c r="D367" s="19" t="str">
        <f t="shared" si="164"/>
        <v>7월</v>
      </c>
      <c r="E367" s="118" t="s">
        <v>25</v>
      </c>
      <c r="F367" s="21" t="s">
        <v>26</v>
      </c>
      <c r="G367" s="118" t="s">
        <v>27</v>
      </c>
      <c r="H367" s="21" t="s">
        <v>34</v>
      </c>
      <c r="I367" s="22"/>
      <c r="J367" s="22">
        <v>502854360</v>
      </c>
      <c r="K367" s="22">
        <v>502854360</v>
      </c>
      <c r="L367" s="23">
        <f t="shared" ref="L367:L373" si="166">+I367/J367</f>
        <v>0</v>
      </c>
      <c r="M367" s="22"/>
      <c r="N367" s="58">
        <f t="shared" si="165"/>
        <v>502854360</v>
      </c>
    </row>
    <row r="368" spans="1:15" x14ac:dyDescent="0.4">
      <c r="A368" s="1" t="s">
        <v>161</v>
      </c>
      <c r="B368" s="1" t="s">
        <v>67</v>
      </c>
      <c r="C368" s="1" t="s">
        <v>35</v>
      </c>
      <c r="D368" s="19" t="str">
        <f t="shared" si="164"/>
        <v>7월</v>
      </c>
      <c r="E368" s="118" t="s">
        <v>25</v>
      </c>
      <c r="F368" s="21" t="s">
        <v>26</v>
      </c>
      <c r="G368" s="118" t="s">
        <v>27</v>
      </c>
      <c r="H368" s="137" t="s">
        <v>166</v>
      </c>
      <c r="I368" s="22"/>
      <c r="J368" s="22">
        <v>4577240600</v>
      </c>
      <c r="K368" s="22">
        <v>4577240600</v>
      </c>
      <c r="L368" s="23">
        <f t="shared" si="166"/>
        <v>0</v>
      </c>
      <c r="M368" s="106"/>
      <c r="N368" s="58">
        <f t="shared" si="165"/>
        <v>4577240600</v>
      </c>
    </row>
    <row r="369" spans="1:14" x14ac:dyDescent="0.4">
      <c r="A369" s="1" t="s">
        <v>161</v>
      </c>
      <c r="B369" s="1" t="s">
        <v>67</v>
      </c>
      <c r="C369" s="1" t="s">
        <v>35</v>
      </c>
      <c r="D369" s="19" t="str">
        <f t="shared" si="164"/>
        <v>7월</v>
      </c>
      <c r="E369" s="118" t="s">
        <v>25</v>
      </c>
      <c r="F369" s="21" t="s">
        <v>26</v>
      </c>
      <c r="G369" s="118" t="s">
        <v>27</v>
      </c>
      <c r="H369" s="137" t="s">
        <v>168</v>
      </c>
      <c r="I369" s="22"/>
      <c r="J369" s="22">
        <v>3562433195.999999</v>
      </c>
      <c r="K369" s="22">
        <v>3562433195.999999</v>
      </c>
      <c r="L369" s="23"/>
      <c r="M369" s="106"/>
      <c r="N369" s="58"/>
    </row>
    <row r="370" spans="1:14" x14ac:dyDescent="0.4">
      <c r="A370" s="1" t="s">
        <v>161</v>
      </c>
      <c r="B370" s="1" t="s">
        <v>67</v>
      </c>
      <c r="C370" s="1" t="s">
        <v>35</v>
      </c>
      <c r="D370" s="19" t="str">
        <f t="shared" si="164"/>
        <v>7월</v>
      </c>
      <c r="E370" s="118" t="s">
        <v>25</v>
      </c>
      <c r="F370" s="21" t="s">
        <v>26</v>
      </c>
      <c r="G370" s="118" t="s">
        <v>27</v>
      </c>
      <c r="H370" s="137" t="s">
        <v>169</v>
      </c>
      <c r="I370" s="22"/>
      <c r="J370" s="22">
        <v>2683823900</v>
      </c>
      <c r="K370" s="22">
        <v>2683823900</v>
      </c>
      <c r="L370" s="23"/>
      <c r="M370" s="106"/>
      <c r="N370" s="58"/>
    </row>
    <row r="371" spans="1:14" x14ac:dyDescent="0.4">
      <c r="A371" s="1" t="s">
        <v>161</v>
      </c>
      <c r="B371" s="1" t="s">
        <v>67</v>
      </c>
      <c r="C371" s="1" t="s">
        <v>48</v>
      </c>
      <c r="D371" s="19" t="str">
        <f>D368</f>
        <v>7월</v>
      </c>
      <c r="E371" s="118" t="s">
        <v>25</v>
      </c>
      <c r="F371" s="21" t="s">
        <v>26</v>
      </c>
      <c r="G371" s="118" t="s">
        <v>27</v>
      </c>
      <c r="H371" s="21" t="s">
        <v>38</v>
      </c>
      <c r="I371" s="22"/>
      <c r="J371" s="22">
        <v>0</v>
      </c>
      <c r="K371" s="22">
        <v>0</v>
      </c>
      <c r="L371" s="23" t="e">
        <f t="shared" si="166"/>
        <v>#DIV/0!</v>
      </c>
      <c r="M371" s="22"/>
      <c r="N371" s="58">
        <f t="shared" si="165"/>
        <v>0</v>
      </c>
    </row>
    <row r="372" spans="1:14" x14ac:dyDescent="0.4">
      <c r="A372" s="1" t="s">
        <v>161</v>
      </c>
      <c r="B372" s="1" t="s">
        <v>67</v>
      </c>
      <c r="C372" s="1" t="s">
        <v>39</v>
      </c>
      <c r="D372" s="19" t="str">
        <f t="shared" si="164"/>
        <v>7월</v>
      </c>
      <c r="E372" s="118" t="s">
        <v>25</v>
      </c>
      <c r="F372" s="21" t="s">
        <v>26</v>
      </c>
      <c r="G372" s="118" t="s">
        <v>27</v>
      </c>
      <c r="H372" s="21" t="s">
        <v>40</v>
      </c>
      <c r="I372" s="22"/>
      <c r="J372" s="22">
        <v>85000000</v>
      </c>
      <c r="K372" s="22">
        <v>85000000</v>
      </c>
      <c r="L372" s="23">
        <f t="shared" si="166"/>
        <v>0</v>
      </c>
      <c r="M372" s="22"/>
      <c r="N372" s="58">
        <f t="shared" si="165"/>
        <v>85000000</v>
      </c>
    </row>
    <row r="373" spans="1:14" x14ac:dyDescent="0.4">
      <c r="A373" s="1" t="s">
        <v>161</v>
      </c>
      <c r="B373" s="1" t="s">
        <v>67</v>
      </c>
      <c r="C373" s="1" t="s">
        <v>44</v>
      </c>
      <c r="D373" s="19" t="str">
        <f t="shared" si="164"/>
        <v>7월</v>
      </c>
      <c r="E373" s="118" t="s">
        <v>25</v>
      </c>
      <c r="F373" s="21" t="s">
        <v>26</v>
      </c>
      <c r="G373" s="118" t="s">
        <v>27</v>
      </c>
      <c r="H373" s="21" t="s">
        <v>45</v>
      </c>
      <c r="I373" s="22"/>
      <c r="J373" s="22">
        <v>272000000</v>
      </c>
      <c r="K373" s="22">
        <v>272000000</v>
      </c>
      <c r="L373" s="23">
        <f t="shared" si="166"/>
        <v>0</v>
      </c>
      <c r="M373" s="22"/>
      <c r="N373" s="58">
        <f t="shared" si="165"/>
        <v>272000000</v>
      </c>
    </row>
    <row r="374" spans="1:14" x14ac:dyDescent="0.4">
      <c r="A374" s="1" t="s">
        <v>161</v>
      </c>
      <c r="B374" s="1" t="s">
        <v>67</v>
      </c>
      <c r="C374" s="1" t="s">
        <v>46</v>
      </c>
      <c r="D374" s="19" t="str">
        <f t="shared" si="164"/>
        <v>7월</v>
      </c>
      <c r="E374" s="120" t="s">
        <v>25</v>
      </c>
      <c r="F374" s="32" t="s">
        <v>26</v>
      </c>
      <c r="G374" s="120" t="s">
        <v>27</v>
      </c>
      <c r="H374" s="32" t="s">
        <v>47</v>
      </c>
      <c r="I374" s="33"/>
      <c r="J374" s="22">
        <v>0</v>
      </c>
      <c r="K374" s="22">
        <v>0</v>
      </c>
      <c r="L374" s="34"/>
      <c r="M374" s="33"/>
      <c r="N374" s="58">
        <f t="shared" si="165"/>
        <v>0</v>
      </c>
    </row>
    <row r="375" spans="1:14" ht="14.4" thickBot="1" x14ac:dyDescent="0.45">
      <c r="A375" s="1" t="s">
        <v>161</v>
      </c>
      <c r="B375" s="1" t="s">
        <v>67</v>
      </c>
      <c r="C375" s="1" t="s">
        <v>48</v>
      </c>
      <c r="D375" s="97" t="str">
        <f t="shared" si="164"/>
        <v>7월</v>
      </c>
      <c r="E375" s="121" t="s">
        <v>25</v>
      </c>
      <c r="F375" s="36" t="s">
        <v>26</v>
      </c>
      <c r="G375" s="121" t="s">
        <v>27</v>
      </c>
      <c r="H375" s="36" t="s">
        <v>49</v>
      </c>
      <c r="I375" s="37"/>
      <c r="J375" s="37"/>
      <c r="K375" s="37"/>
      <c r="L375" s="38" t="e">
        <f t="shared" ref="L375" si="167">+K375/J375</f>
        <v>#DIV/0!</v>
      </c>
      <c r="M375" s="37"/>
      <c r="N375" s="58">
        <f t="shared" si="165"/>
        <v>0</v>
      </c>
    </row>
    <row r="376" spans="1:14" ht="14.4" thickBot="1" x14ac:dyDescent="0.45">
      <c r="D376" s="144" t="s">
        <v>196</v>
      </c>
      <c r="E376" s="145"/>
      <c r="F376" s="145"/>
      <c r="G376" s="145"/>
      <c r="H376" s="146"/>
      <c r="I376" s="41">
        <f>SUM(I364:I375)</f>
        <v>0</v>
      </c>
      <c r="J376" s="41">
        <f>SUM(J364:J375)</f>
        <v>15031887289.333332</v>
      </c>
      <c r="K376" s="41">
        <f>SUM(K364:K375)</f>
        <v>15031887289.333332</v>
      </c>
      <c r="L376" s="42">
        <f>I376/J376</f>
        <v>0</v>
      </c>
      <c r="M376" s="43">
        <f>SUM(M364:M375)</f>
        <v>0</v>
      </c>
      <c r="N376" s="44">
        <f>SUM(N364:N375)</f>
        <v>8785630193.333334</v>
      </c>
    </row>
    <row r="377" spans="1:14" x14ac:dyDescent="0.4">
      <c r="A377" s="1" t="s">
        <v>161</v>
      </c>
      <c r="B377" s="1" t="s">
        <v>67</v>
      </c>
      <c r="C377" s="1" t="s">
        <v>94</v>
      </c>
      <c r="D377" s="12" t="s">
        <v>71</v>
      </c>
      <c r="E377" s="117" t="s">
        <v>25</v>
      </c>
      <c r="F377" s="92" t="s">
        <v>26</v>
      </c>
      <c r="G377" s="117" t="s">
        <v>27</v>
      </c>
      <c r="H377" s="92" t="s">
        <v>162</v>
      </c>
      <c r="I377" s="93"/>
      <c r="J377" s="93">
        <v>17044833.333333336</v>
      </c>
      <c r="K377" s="93">
        <v>17044833.333333336</v>
      </c>
      <c r="L377" s="94">
        <f t="shared" ref="L377" si="168">+I377/J377</f>
        <v>0</v>
      </c>
      <c r="M377" s="93"/>
      <c r="N377" s="79">
        <f>K377-M377</f>
        <v>17044833.333333336</v>
      </c>
    </row>
    <row r="378" spans="1:14" x14ac:dyDescent="0.4">
      <c r="A378" s="1" t="s">
        <v>161</v>
      </c>
      <c r="B378" s="1" t="s">
        <v>67</v>
      </c>
      <c r="C378" s="1" t="s">
        <v>94</v>
      </c>
      <c r="D378" s="19" t="str">
        <f t="shared" ref="D378:D388" si="169">D377</f>
        <v>8월</v>
      </c>
      <c r="E378" s="118" t="s">
        <v>25</v>
      </c>
      <c r="F378" s="21" t="s">
        <v>26</v>
      </c>
      <c r="G378" s="118" t="s">
        <v>27</v>
      </c>
      <c r="H378" s="21" t="s">
        <v>30</v>
      </c>
      <c r="I378" s="22"/>
      <c r="J378" s="22">
        <v>0</v>
      </c>
      <c r="K378" s="22">
        <v>0</v>
      </c>
      <c r="L378" s="23"/>
      <c r="M378" s="22"/>
      <c r="N378" s="58">
        <f t="shared" ref="N378:N386" si="170">K378-M378</f>
        <v>0</v>
      </c>
    </row>
    <row r="379" spans="1:14" x14ac:dyDescent="0.4">
      <c r="A379" s="1" t="s">
        <v>161</v>
      </c>
      <c r="B379" s="1" t="s">
        <v>67</v>
      </c>
      <c r="C379" s="1" t="s">
        <v>31</v>
      </c>
      <c r="D379" s="19" t="str">
        <f t="shared" si="169"/>
        <v>8월</v>
      </c>
      <c r="E379" s="119" t="s">
        <v>25</v>
      </c>
      <c r="F379" s="21" t="s">
        <v>26</v>
      </c>
      <c r="G379" s="118" t="s">
        <v>27</v>
      </c>
      <c r="H379" s="21" t="s">
        <v>32</v>
      </c>
      <c r="I379" s="106"/>
      <c r="J379" s="22">
        <v>193233600</v>
      </c>
      <c r="K379" s="22">
        <v>193233600</v>
      </c>
      <c r="L379" s="23"/>
      <c r="M379" s="22"/>
      <c r="N379" s="58">
        <f t="shared" si="170"/>
        <v>193233600</v>
      </c>
    </row>
    <row r="380" spans="1:14" x14ac:dyDescent="0.4">
      <c r="A380" s="1" t="s">
        <v>161</v>
      </c>
      <c r="B380" s="1" t="s">
        <v>67</v>
      </c>
      <c r="C380" s="1" t="s">
        <v>33</v>
      </c>
      <c r="D380" s="19" t="str">
        <f t="shared" si="169"/>
        <v>8월</v>
      </c>
      <c r="E380" s="118" t="s">
        <v>25</v>
      </c>
      <c r="F380" s="21" t="s">
        <v>26</v>
      </c>
      <c r="G380" s="118" t="s">
        <v>27</v>
      </c>
      <c r="H380" s="21" t="s">
        <v>34</v>
      </c>
      <c r="I380" s="106"/>
      <c r="J380" s="22">
        <v>561278780</v>
      </c>
      <c r="K380" s="22">
        <v>561278780</v>
      </c>
      <c r="L380" s="23">
        <f>+I380/J380</f>
        <v>0</v>
      </c>
      <c r="M380" s="22"/>
      <c r="N380" s="58">
        <f t="shared" si="170"/>
        <v>561278780</v>
      </c>
    </row>
    <row r="381" spans="1:14" x14ac:dyDescent="0.4">
      <c r="A381" s="1" t="s">
        <v>161</v>
      </c>
      <c r="B381" s="1" t="s">
        <v>67</v>
      </c>
      <c r="C381" s="1" t="s">
        <v>35</v>
      </c>
      <c r="D381" s="19" t="str">
        <f t="shared" si="169"/>
        <v>8월</v>
      </c>
      <c r="E381" s="118" t="s">
        <v>25</v>
      </c>
      <c r="F381" s="21" t="s">
        <v>26</v>
      </c>
      <c r="G381" s="118" t="s">
        <v>27</v>
      </c>
      <c r="H381" s="137" t="s">
        <v>166</v>
      </c>
      <c r="I381" s="106"/>
      <c r="J381" s="22">
        <v>3939942600</v>
      </c>
      <c r="K381" s="22">
        <v>3939942600</v>
      </c>
      <c r="L381" s="23">
        <f t="shared" ref="L381:L386" si="171">+I381/J381</f>
        <v>0</v>
      </c>
      <c r="M381" s="22"/>
      <c r="N381" s="58">
        <f t="shared" si="170"/>
        <v>3939942600</v>
      </c>
    </row>
    <row r="382" spans="1:14" x14ac:dyDescent="0.4">
      <c r="A382" s="1" t="s">
        <v>161</v>
      </c>
      <c r="B382" s="1" t="s">
        <v>67</v>
      </c>
      <c r="C382" s="1" t="s">
        <v>35</v>
      </c>
      <c r="D382" s="19" t="str">
        <f t="shared" si="169"/>
        <v>8월</v>
      </c>
      <c r="E382" s="118" t="s">
        <v>25</v>
      </c>
      <c r="F382" s="21" t="s">
        <v>26</v>
      </c>
      <c r="G382" s="118" t="s">
        <v>27</v>
      </c>
      <c r="H382" s="137" t="s">
        <v>168</v>
      </c>
      <c r="I382" s="106"/>
      <c r="J382" s="22">
        <v>3532734174.3999996</v>
      </c>
      <c r="K382" s="22">
        <v>3532734174.3999996</v>
      </c>
      <c r="L382" s="23"/>
      <c r="M382" s="22"/>
      <c r="N382" s="58"/>
    </row>
    <row r="383" spans="1:14" x14ac:dyDescent="0.4">
      <c r="A383" s="1" t="s">
        <v>161</v>
      </c>
      <c r="B383" s="1" t="s">
        <v>67</v>
      </c>
      <c r="C383" s="1" t="s">
        <v>35</v>
      </c>
      <c r="D383" s="19" t="str">
        <f t="shared" si="169"/>
        <v>8월</v>
      </c>
      <c r="E383" s="118" t="s">
        <v>25</v>
      </c>
      <c r="F383" s="21" t="s">
        <v>26</v>
      </c>
      <c r="G383" s="118" t="s">
        <v>27</v>
      </c>
      <c r="H383" s="137" t="s">
        <v>169</v>
      </c>
      <c r="I383" s="106"/>
      <c r="J383" s="22">
        <v>3350781900</v>
      </c>
      <c r="K383" s="22">
        <v>3350781900</v>
      </c>
      <c r="L383" s="23"/>
      <c r="M383" s="22"/>
      <c r="N383" s="58"/>
    </row>
    <row r="384" spans="1:14" x14ac:dyDescent="0.4">
      <c r="A384" s="1" t="s">
        <v>161</v>
      </c>
      <c r="B384" s="1" t="s">
        <v>67</v>
      </c>
      <c r="C384" s="1" t="s">
        <v>48</v>
      </c>
      <c r="D384" s="19" t="str">
        <f>D381</f>
        <v>8월</v>
      </c>
      <c r="E384" s="118" t="s">
        <v>25</v>
      </c>
      <c r="F384" s="21" t="s">
        <v>26</v>
      </c>
      <c r="G384" s="118" t="s">
        <v>27</v>
      </c>
      <c r="H384" s="21" t="s">
        <v>38</v>
      </c>
      <c r="I384" s="22"/>
      <c r="J384" s="22">
        <v>0</v>
      </c>
      <c r="K384" s="22">
        <v>0</v>
      </c>
      <c r="L384" s="23" t="e">
        <f t="shared" si="171"/>
        <v>#DIV/0!</v>
      </c>
      <c r="M384" s="22"/>
      <c r="N384" s="58">
        <f t="shared" si="170"/>
        <v>0</v>
      </c>
    </row>
    <row r="385" spans="1:14" x14ac:dyDescent="0.4">
      <c r="A385" s="1" t="s">
        <v>161</v>
      </c>
      <c r="B385" s="1" t="s">
        <v>67</v>
      </c>
      <c r="C385" s="1" t="s">
        <v>39</v>
      </c>
      <c r="D385" s="19" t="str">
        <f t="shared" si="169"/>
        <v>8월</v>
      </c>
      <c r="E385" s="118" t="s">
        <v>25</v>
      </c>
      <c r="F385" s="21" t="s">
        <v>26</v>
      </c>
      <c r="G385" s="118" t="s">
        <v>27</v>
      </c>
      <c r="H385" s="21" t="s">
        <v>40</v>
      </c>
      <c r="I385" s="22"/>
      <c r="J385" s="22">
        <v>46875000</v>
      </c>
      <c r="K385" s="22">
        <v>46875000</v>
      </c>
      <c r="L385" s="23">
        <f t="shared" si="171"/>
        <v>0</v>
      </c>
      <c r="M385" s="22"/>
      <c r="N385" s="58">
        <f t="shared" si="170"/>
        <v>46875000</v>
      </c>
    </row>
    <row r="386" spans="1:14" x14ac:dyDescent="0.4">
      <c r="A386" s="1" t="s">
        <v>161</v>
      </c>
      <c r="B386" s="1" t="s">
        <v>67</v>
      </c>
      <c r="C386" s="1" t="s">
        <v>44</v>
      </c>
      <c r="D386" s="19" t="str">
        <f t="shared" si="169"/>
        <v>8월</v>
      </c>
      <c r="E386" s="118" t="s">
        <v>25</v>
      </c>
      <c r="F386" s="21" t="s">
        <v>26</v>
      </c>
      <c r="G386" s="118" t="s">
        <v>27</v>
      </c>
      <c r="H386" s="21" t="s">
        <v>45</v>
      </c>
      <c r="I386" s="106"/>
      <c r="J386" s="22">
        <v>444000000</v>
      </c>
      <c r="K386" s="22">
        <v>444000000</v>
      </c>
      <c r="L386" s="23">
        <f t="shared" si="171"/>
        <v>0</v>
      </c>
      <c r="M386" s="22"/>
      <c r="N386" s="58">
        <f t="shared" si="170"/>
        <v>444000000</v>
      </c>
    </row>
    <row r="387" spans="1:14" x14ac:dyDescent="0.4">
      <c r="A387" s="1" t="s">
        <v>161</v>
      </c>
      <c r="B387" s="1" t="s">
        <v>67</v>
      </c>
      <c r="C387" s="1" t="s">
        <v>46</v>
      </c>
      <c r="D387" s="19" t="str">
        <f t="shared" si="169"/>
        <v>8월</v>
      </c>
      <c r="E387" s="120" t="s">
        <v>25</v>
      </c>
      <c r="F387" s="32" t="s">
        <v>26</v>
      </c>
      <c r="G387" s="120" t="s">
        <v>27</v>
      </c>
      <c r="H387" s="32" t="s">
        <v>47</v>
      </c>
      <c r="I387" s="113"/>
      <c r="J387" s="22">
        <v>0</v>
      </c>
      <c r="K387" s="22">
        <v>0</v>
      </c>
      <c r="L387" s="34"/>
      <c r="M387" s="22"/>
      <c r="N387" s="58">
        <f>K387-M387</f>
        <v>0</v>
      </c>
    </row>
    <row r="388" spans="1:14" ht="14.4" thickBot="1" x14ac:dyDescent="0.45">
      <c r="A388" s="1" t="s">
        <v>161</v>
      </c>
      <c r="B388" s="1" t="s">
        <v>67</v>
      </c>
      <c r="C388" s="1" t="s">
        <v>48</v>
      </c>
      <c r="D388" s="97" t="str">
        <f t="shared" si="169"/>
        <v>8월</v>
      </c>
      <c r="E388" s="121" t="s">
        <v>25</v>
      </c>
      <c r="F388" s="36" t="s">
        <v>26</v>
      </c>
      <c r="G388" s="121" t="s">
        <v>27</v>
      </c>
      <c r="H388" s="36" t="s">
        <v>49</v>
      </c>
      <c r="I388" s="37"/>
      <c r="J388" s="37"/>
      <c r="K388" s="37"/>
      <c r="L388" s="38" t="e">
        <f t="shared" ref="L388" si="172">+K388/J388</f>
        <v>#DIV/0!</v>
      </c>
      <c r="M388" s="37"/>
      <c r="N388" s="58">
        <f t="shared" ref="N388" si="173">K388-M388</f>
        <v>0</v>
      </c>
    </row>
    <row r="389" spans="1:14" ht="14.4" thickBot="1" x14ac:dyDescent="0.45">
      <c r="D389" s="144" t="s">
        <v>74</v>
      </c>
      <c r="E389" s="145"/>
      <c r="F389" s="145"/>
      <c r="G389" s="145"/>
      <c r="H389" s="146"/>
      <c r="I389" s="41">
        <f>SUM(I377:I388)</f>
        <v>0</v>
      </c>
      <c r="J389" s="41">
        <f>SUM(J377:J388)</f>
        <v>12085890887.733334</v>
      </c>
      <c r="K389" s="41">
        <f>SUM(K377:K388)</f>
        <v>12085890887.733334</v>
      </c>
      <c r="L389" s="42">
        <f>I389/J389</f>
        <v>0</v>
      </c>
      <c r="M389" s="43">
        <f>SUM(M377:M388)</f>
        <v>0</v>
      </c>
      <c r="N389" s="44">
        <f>SUM(N377:N388)</f>
        <v>5202374813.333333</v>
      </c>
    </row>
    <row r="390" spans="1:14" x14ac:dyDescent="0.4">
      <c r="A390" s="1" t="s">
        <v>161</v>
      </c>
      <c r="B390" s="1" t="s">
        <v>67</v>
      </c>
      <c r="C390" s="1" t="s">
        <v>94</v>
      </c>
      <c r="D390" s="12" t="s">
        <v>76</v>
      </c>
      <c r="E390" s="117" t="s">
        <v>25</v>
      </c>
      <c r="F390" s="92" t="s">
        <v>26</v>
      </c>
      <c r="G390" s="117" t="s">
        <v>27</v>
      </c>
      <c r="H390" s="92" t="s">
        <v>162</v>
      </c>
      <c r="I390" s="93"/>
      <c r="J390" s="93">
        <v>17044833.333333336</v>
      </c>
      <c r="K390" s="93">
        <v>17044833.333333336</v>
      </c>
      <c r="L390" s="94">
        <f t="shared" ref="L390" si="174">+I390/J390</f>
        <v>0</v>
      </c>
      <c r="M390" s="93"/>
      <c r="N390" s="79">
        <f>K390-M390</f>
        <v>17044833.333333336</v>
      </c>
    </row>
    <row r="391" spans="1:14" x14ac:dyDescent="0.4">
      <c r="A391" s="1" t="s">
        <v>161</v>
      </c>
      <c r="B391" s="1" t="s">
        <v>67</v>
      </c>
      <c r="C391" s="1" t="s">
        <v>94</v>
      </c>
      <c r="D391" s="19" t="str">
        <f t="shared" ref="D391:D401" si="175">D390</f>
        <v>9월</v>
      </c>
      <c r="E391" s="118" t="s">
        <v>25</v>
      </c>
      <c r="F391" s="21" t="s">
        <v>26</v>
      </c>
      <c r="G391" s="118" t="s">
        <v>27</v>
      </c>
      <c r="H391" s="21" t="s">
        <v>30</v>
      </c>
      <c r="I391" s="22"/>
      <c r="J391" s="22">
        <v>0</v>
      </c>
      <c r="K391" s="22">
        <v>0</v>
      </c>
      <c r="L391" s="23"/>
      <c r="M391" s="106"/>
      <c r="N391" s="58">
        <f t="shared" ref="N391:N401" si="176">K391-M391</f>
        <v>0</v>
      </c>
    </row>
    <row r="392" spans="1:14" x14ac:dyDescent="0.4">
      <c r="A392" s="1" t="s">
        <v>161</v>
      </c>
      <c r="B392" s="1" t="s">
        <v>67</v>
      </c>
      <c r="C392" s="1" t="s">
        <v>31</v>
      </c>
      <c r="D392" s="19" t="str">
        <f t="shared" si="175"/>
        <v>9월</v>
      </c>
      <c r="E392" s="119" t="s">
        <v>25</v>
      </c>
      <c r="F392" s="21" t="s">
        <v>26</v>
      </c>
      <c r="G392" s="118" t="s">
        <v>27</v>
      </c>
      <c r="H392" s="21" t="s">
        <v>32</v>
      </c>
      <c r="I392" s="22"/>
      <c r="J392" s="22">
        <v>1002079800</v>
      </c>
      <c r="K392" s="22">
        <v>1002079800</v>
      </c>
      <c r="L392" s="23"/>
      <c r="M392" s="106"/>
      <c r="N392" s="58">
        <f t="shared" si="176"/>
        <v>1002079800</v>
      </c>
    </row>
    <row r="393" spans="1:14" x14ac:dyDescent="0.4">
      <c r="A393" s="1" t="s">
        <v>161</v>
      </c>
      <c r="B393" s="1" t="s">
        <v>67</v>
      </c>
      <c r="C393" s="1" t="s">
        <v>33</v>
      </c>
      <c r="D393" s="19" t="str">
        <f t="shared" si="175"/>
        <v>9월</v>
      </c>
      <c r="E393" s="118" t="s">
        <v>25</v>
      </c>
      <c r="F393" s="21" t="s">
        <v>26</v>
      </c>
      <c r="G393" s="118" t="s">
        <v>27</v>
      </c>
      <c r="H393" s="21" t="s">
        <v>34</v>
      </c>
      <c r="I393" s="22"/>
      <c r="J393" s="22">
        <v>233127620</v>
      </c>
      <c r="K393" s="22">
        <v>233127620</v>
      </c>
      <c r="L393" s="23">
        <f t="shared" ref="L393:L399" si="177">+I393/J393</f>
        <v>0</v>
      </c>
      <c r="M393" s="106"/>
      <c r="N393" s="58">
        <f t="shared" si="176"/>
        <v>233127620</v>
      </c>
    </row>
    <row r="394" spans="1:14" x14ac:dyDescent="0.4">
      <c r="A394" s="1" t="s">
        <v>161</v>
      </c>
      <c r="B394" s="1" t="s">
        <v>67</v>
      </c>
      <c r="C394" s="1" t="s">
        <v>35</v>
      </c>
      <c r="D394" s="19" t="str">
        <f t="shared" si="175"/>
        <v>9월</v>
      </c>
      <c r="E394" s="118" t="s">
        <v>25</v>
      </c>
      <c r="F394" s="21" t="s">
        <v>26</v>
      </c>
      <c r="G394" s="118" t="s">
        <v>27</v>
      </c>
      <c r="H394" s="137" t="s">
        <v>166</v>
      </c>
      <c r="I394" s="22"/>
      <c r="J394" s="22">
        <v>1812531599.9999998</v>
      </c>
      <c r="K394" s="22">
        <v>1812531599.9999998</v>
      </c>
      <c r="L394" s="23">
        <f t="shared" si="177"/>
        <v>0</v>
      </c>
      <c r="M394" s="106"/>
      <c r="N394" s="58">
        <f t="shared" si="176"/>
        <v>1812531599.9999998</v>
      </c>
    </row>
    <row r="395" spans="1:14" x14ac:dyDescent="0.4">
      <c r="A395" s="1" t="s">
        <v>161</v>
      </c>
      <c r="B395" s="1" t="s">
        <v>67</v>
      </c>
      <c r="C395" s="1" t="s">
        <v>35</v>
      </c>
      <c r="D395" s="19" t="str">
        <f t="shared" si="175"/>
        <v>9월</v>
      </c>
      <c r="E395" s="118" t="s">
        <v>25</v>
      </c>
      <c r="F395" s="21" t="s">
        <v>26</v>
      </c>
      <c r="G395" s="118" t="s">
        <v>27</v>
      </c>
      <c r="H395" s="137" t="s">
        <v>168</v>
      </c>
      <c r="I395" s="22"/>
      <c r="J395" s="22">
        <v>4704576880</v>
      </c>
      <c r="K395" s="22">
        <v>4704576880</v>
      </c>
      <c r="L395" s="23"/>
      <c r="M395" s="106"/>
      <c r="N395" s="58"/>
    </row>
    <row r="396" spans="1:14" x14ac:dyDescent="0.4">
      <c r="A396" s="1" t="s">
        <v>161</v>
      </c>
      <c r="B396" s="1" t="s">
        <v>67</v>
      </c>
      <c r="C396" s="1" t="s">
        <v>35</v>
      </c>
      <c r="D396" s="19" t="str">
        <f t="shared" si="175"/>
        <v>9월</v>
      </c>
      <c r="E396" s="118" t="s">
        <v>25</v>
      </c>
      <c r="F396" s="21" t="s">
        <v>26</v>
      </c>
      <c r="G396" s="118" t="s">
        <v>27</v>
      </c>
      <c r="H396" s="137" t="s">
        <v>169</v>
      </c>
      <c r="I396" s="22"/>
      <c r="J396" s="22">
        <v>4155126500</v>
      </c>
      <c r="K396" s="22">
        <v>4155126500</v>
      </c>
      <c r="L396" s="23"/>
      <c r="M396" s="106"/>
      <c r="N396" s="58"/>
    </row>
    <row r="397" spans="1:14" x14ac:dyDescent="0.4">
      <c r="A397" s="1" t="s">
        <v>161</v>
      </c>
      <c r="B397" s="1" t="s">
        <v>67</v>
      </c>
      <c r="C397" s="1" t="s">
        <v>48</v>
      </c>
      <c r="D397" s="19" t="str">
        <f>D394</f>
        <v>9월</v>
      </c>
      <c r="E397" s="118" t="s">
        <v>25</v>
      </c>
      <c r="F397" s="21" t="s">
        <v>26</v>
      </c>
      <c r="G397" s="118" t="s">
        <v>27</v>
      </c>
      <c r="H397" s="21" t="s">
        <v>38</v>
      </c>
      <c r="I397" s="22"/>
      <c r="J397" s="22">
        <v>0</v>
      </c>
      <c r="K397" s="22">
        <v>0</v>
      </c>
      <c r="L397" s="23" t="e">
        <f t="shared" si="177"/>
        <v>#DIV/0!</v>
      </c>
      <c r="M397" s="106"/>
      <c r="N397" s="58">
        <f t="shared" si="176"/>
        <v>0</v>
      </c>
    </row>
    <row r="398" spans="1:14" x14ac:dyDescent="0.4">
      <c r="A398" s="1" t="s">
        <v>161</v>
      </c>
      <c r="B398" s="1" t="s">
        <v>67</v>
      </c>
      <c r="C398" s="1" t="s">
        <v>39</v>
      </c>
      <c r="D398" s="19" t="str">
        <f t="shared" si="175"/>
        <v>9월</v>
      </c>
      <c r="E398" s="118" t="s">
        <v>25</v>
      </c>
      <c r="F398" s="21" t="s">
        <v>26</v>
      </c>
      <c r="G398" s="118" t="s">
        <v>27</v>
      </c>
      <c r="H398" s="21" t="s">
        <v>40</v>
      </c>
      <c r="I398" s="22"/>
      <c r="J398" s="22">
        <v>46875000</v>
      </c>
      <c r="K398" s="22">
        <v>46875000</v>
      </c>
      <c r="L398" s="23">
        <f t="shared" si="177"/>
        <v>0</v>
      </c>
      <c r="M398" s="106"/>
      <c r="N398" s="58">
        <f t="shared" si="176"/>
        <v>46875000</v>
      </c>
    </row>
    <row r="399" spans="1:14" x14ac:dyDescent="0.4">
      <c r="A399" s="1" t="s">
        <v>161</v>
      </c>
      <c r="B399" s="1" t="s">
        <v>67</v>
      </c>
      <c r="C399" s="1" t="s">
        <v>44</v>
      </c>
      <c r="D399" s="19" t="str">
        <f t="shared" si="175"/>
        <v>9월</v>
      </c>
      <c r="E399" s="118" t="s">
        <v>25</v>
      </c>
      <c r="F399" s="21" t="s">
        <v>26</v>
      </c>
      <c r="G399" s="118" t="s">
        <v>27</v>
      </c>
      <c r="H399" s="21" t="s">
        <v>45</v>
      </c>
      <c r="I399" s="22"/>
      <c r="J399" s="22">
        <v>2107000000</v>
      </c>
      <c r="K399" s="22">
        <v>2107000000</v>
      </c>
      <c r="L399" s="23">
        <f t="shared" si="177"/>
        <v>0</v>
      </c>
      <c r="M399" s="106"/>
      <c r="N399" s="58">
        <f t="shared" si="176"/>
        <v>2107000000</v>
      </c>
    </row>
    <row r="400" spans="1:14" x14ac:dyDescent="0.4">
      <c r="A400" s="1" t="s">
        <v>161</v>
      </c>
      <c r="B400" s="1" t="s">
        <v>67</v>
      </c>
      <c r="C400" s="1" t="s">
        <v>46</v>
      </c>
      <c r="D400" s="19" t="str">
        <f t="shared" si="175"/>
        <v>9월</v>
      </c>
      <c r="E400" s="120" t="s">
        <v>25</v>
      </c>
      <c r="F400" s="32" t="s">
        <v>26</v>
      </c>
      <c r="G400" s="120" t="s">
        <v>27</v>
      </c>
      <c r="H400" s="32" t="s">
        <v>47</v>
      </c>
      <c r="I400" s="33"/>
      <c r="J400" s="22">
        <v>0</v>
      </c>
      <c r="K400" s="22">
        <v>0</v>
      </c>
      <c r="L400" s="34"/>
      <c r="M400" s="113"/>
      <c r="N400" s="58">
        <f t="shared" si="176"/>
        <v>0</v>
      </c>
    </row>
    <row r="401" spans="1:14" ht="14.4" thickBot="1" x14ac:dyDescent="0.45">
      <c r="A401" s="1" t="s">
        <v>161</v>
      </c>
      <c r="B401" s="1" t="s">
        <v>67</v>
      </c>
      <c r="C401" s="1" t="s">
        <v>48</v>
      </c>
      <c r="D401" s="97" t="str">
        <f t="shared" si="175"/>
        <v>9월</v>
      </c>
      <c r="E401" s="121" t="s">
        <v>25</v>
      </c>
      <c r="F401" s="36" t="s">
        <v>26</v>
      </c>
      <c r="G401" s="121" t="s">
        <v>27</v>
      </c>
      <c r="H401" s="36" t="s">
        <v>49</v>
      </c>
      <c r="I401" s="37"/>
      <c r="J401" s="37"/>
      <c r="K401" s="37"/>
      <c r="L401" s="38" t="e">
        <f t="shared" ref="L401" si="178">+K401/J401</f>
        <v>#DIV/0!</v>
      </c>
      <c r="M401" s="37"/>
      <c r="N401" s="58">
        <f t="shared" si="176"/>
        <v>0</v>
      </c>
    </row>
    <row r="402" spans="1:14" ht="14.4" thickBot="1" x14ac:dyDescent="0.45">
      <c r="D402" s="144" t="s">
        <v>197</v>
      </c>
      <c r="E402" s="145"/>
      <c r="F402" s="145"/>
      <c r="G402" s="145"/>
      <c r="H402" s="146"/>
      <c r="I402" s="41">
        <f>SUM(I390:I401)</f>
        <v>0</v>
      </c>
      <c r="J402" s="41">
        <f>SUM(J390:J401)</f>
        <v>14078362233.333332</v>
      </c>
      <c r="K402" s="41">
        <f>SUM(K390:K401)</f>
        <v>14078362233.333332</v>
      </c>
      <c r="L402" s="42">
        <f>I402/J402</f>
        <v>0</v>
      </c>
      <c r="M402" s="43">
        <f>SUM(M390:M401)</f>
        <v>0</v>
      </c>
      <c r="N402" s="44">
        <f>SUM(N390:N401)</f>
        <v>5218658853.333333</v>
      </c>
    </row>
    <row r="403" spans="1:14" ht="14.4" thickBot="1" x14ac:dyDescent="0.45">
      <c r="D403" s="147" t="s">
        <v>198</v>
      </c>
      <c r="E403" s="148"/>
      <c r="F403" s="148"/>
      <c r="G403" s="148"/>
      <c r="H403" s="149"/>
      <c r="I403" s="53">
        <f>SUM(I376,I389,I402)</f>
        <v>0</v>
      </c>
      <c r="J403" s="53">
        <f t="shared" ref="J403:K403" si="179">SUM(J376,J389,J402)</f>
        <v>41196140410.399994</v>
      </c>
      <c r="K403" s="53">
        <f t="shared" si="179"/>
        <v>41196140410.399994</v>
      </c>
      <c r="L403" s="54">
        <f>I403/J403</f>
        <v>0</v>
      </c>
      <c r="M403" s="53">
        <f>SUM(M376,M389,M402)</f>
        <v>0</v>
      </c>
      <c r="N403" s="53">
        <f>SUM(N376,N389,N402)</f>
        <v>19206663860</v>
      </c>
    </row>
    <row r="404" spans="1:14" x14ac:dyDescent="0.4">
      <c r="A404" s="1" t="s">
        <v>161</v>
      </c>
      <c r="B404" s="1" t="s">
        <v>80</v>
      </c>
      <c r="C404" s="1" t="s">
        <v>94</v>
      </c>
      <c r="D404" s="12" t="s">
        <v>81</v>
      </c>
      <c r="E404" s="117" t="s">
        <v>25</v>
      </c>
      <c r="F404" s="92" t="s">
        <v>26</v>
      </c>
      <c r="G404" s="117" t="s">
        <v>27</v>
      </c>
      <c r="H404" s="92" t="s">
        <v>162</v>
      </c>
      <c r="I404" s="93"/>
      <c r="J404" s="93">
        <v>17044833.333333336</v>
      </c>
      <c r="K404" s="93">
        <v>17044833.333333336</v>
      </c>
      <c r="L404" s="94">
        <f t="shared" ref="L404" si="180">+I404/J404</f>
        <v>0</v>
      </c>
      <c r="M404" s="93"/>
      <c r="N404" s="79">
        <f>K404-M404</f>
        <v>17044833.333333336</v>
      </c>
    </row>
    <row r="405" spans="1:14" x14ac:dyDescent="0.4">
      <c r="A405" s="1" t="s">
        <v>161</v>
      </c>
      <c r="B405" s="1" t="s">
        <v>80</v>
      </c>
      <c r="C405" s="1" t="s">
        <v>94</v>
      </c>
      <c r="D405" s="19" t="str">
        <f t="shared" ref="D405:D415" si="181">D404</f>
        <v>10월</v>
      </c>
      <c r="E405" s="118" t="s">
        <v>25</v>
      </c>
      <c r="F405" s="21" t="s">
        <v>26</v>
      </c>
      <c r="G405" s="118" t="s">
        <v>27</v>
      </c>
      <c r="H405" s="21" t="s">
        <v>30</v>
      </c>
      <c r="I405" s="22"/>
      <c r="J405" s="22">
        <v>0</v>
      </c>
      <c r="K405" s="22">
        <v>0</v>
      </c>
      <c r="L405" s="23"/>
      <c r="M405" s="22"/>
      <c r="N405" s="58">
        <f t="shared" ref="N405:N415" si="182">K405-M405</f>
        <v>0</v>
      </c>
    </row>
    <row r="406" spans="1:14" x14ac:dyDescent="0.4">
      <c r="A406" s="1" t="s">
        <v>161</v>
      </c>
      <c r="B406" s="1" t="s">
        <v>80</v>
      </c>
      <c r="C406" s="1" t="s">
        <v>31</v>
      </c>
      <c r="D406" s="19" t="str">
        <f t="shared" si="181"/>
        <v>10월</v>
      </c>
      <c r="E406" s="119" t="s">
        <v>25</v>
      </c>
      <c r="F406" s="21" t="s">
        <v>26</v>
      </c>
      <c r="G406" s="118" t="s">
        <v>27</v>
      </c>
      <c r="H406" s="21" t="s">
        <v>32</v>
      </c>
      <c r="I406" s="22"/>
      <c r="J406" s="22">
        <v>1858978800</v>
      </c>
      <c r="K406" s="22">
        <v>1858978800</v>
      </c>
      <c r="L406" s="23"/>
      <c r="M406" s="22"/>
      <c r="N406" s="58">
        <f t="shared" si="182"/>
        <v>1858978800</v>
      </c>
    </row>
    <row r="407" spans="1:14" x14ac:dyDescent="0.4">
      <c r="A407" s="1" t="s">
        <v>161</v>
      </c>
      <c r="B407" s="1" t="s">
        <v>80</v>
      </c>
      <c r="C407" s="1" t="s">
        <v>33</v>
      </c>
      <c r="D407" s="19" t="str">
        <f t="shared" si="181"/>
        <v>10월</v>
      </c>
      <c r="E407" s="118" t="s">
        <v>25</v>
      </c>
      <c r="F407" s="21" t="s">
        <v>26</v>
      </c>
      <c r="G407" s="118" t="s">
        <v>27</v>
      </c>
      <c r="H407" s="21" t="s">
        <v>34</v>
      </c>
      <c r="I407" s="22"/>
      <c r="J407" s="22">
        <v>523955680</v>
      </c>
      <c r="K407" s="22">
        <v>523955680</v>
      </c>
      <c r="L407" s="23">
        <f t="shared" ref="L407:L413" si="183">+I407/J407</f>
        <v>0</v>
      </c>
      <c r="M407" s="22"/>
      <c r="N407" s="58">
        <f t="shared" si="182"/>
        <v>523955680</v>
      </c>
    </row>
    <row r="408" spans="1:14" x14ac:dyDescent="0.4">
      <c r="A408" s="1" t="s">
        <v>161</v>
      </c>
      <c r="B408" s="1" t="s">
        <v>80</v>
      </c>
      <c r="C408" s="1" t="s">
        <v>35</v>
      </c>
      <c r="D408" s="19" t="str">
        <f t="shared" si="181"/>
        <v>10월</v>
      </c>
      <c r="E408" s="118" t="s">
        <v>25</v>
      </c>
      <c r="F408" s="21" t="s">
        <v>26</v>
      </c>
      <c r="G408" s="118" t="s">
        <v>27</v>
      </c>
      <c r="H408" s="137" t="s">
        <v>166</v>
      </c>
      <c r="I408" s="22"/>
      <c r="J408" s="22">
        <v>3361415400</v>
      </c>
      <c r="K408" s="22">
        <v>3361415400</v>
      </c>
      <c r="L408" s="23">
        <f t="shared" si="183"/>
        <v>0</v>
      </c>
      <c r="M408" s="22"/>
      <c r="N408" s="58">
        <f t="shared" si="182"/>
        <v>3361415400</v>
      </c>
    </row>
    <row r="409" spans="1:14" x14ac:dyDescent="0.4">
      <c r="A409" s="1" t="s">
        <v>161</v>
      </c>
      <c r="B409" s="1" t="s">
        <v>80</v>
      </c>
      <c r="C409" s="1" t="s">
        <v>35</v>
      </c>
      <c r="D409" s="19" t="str">
        <f t="shared" si="181"/>
        <v>10월</v>
      </c>
      <c r="E409" s="118" t="s">
        <v>25</v>
      </c>
      <c r="F409" s="21" t="s">
        <v>26</v>
      </c>
      <c r="G409" s="118" t="s">
        <v>27</v>
      </c>
      <c r="H409" s="137" t="s">
        <v>168</v>
      </c>
      <c r="I409" s="22"/>
      <c r="J409" s="22">
        <v>2534755016</v>
      </c>
      <c r="K409" s="22">
        <v>2534755016</v>
      </c>
      <c r="L409" s="23"/>
      <c r="M409" s="22"/>
      <c r="N409" s="58"/>
    </row>
    <row r="410" spans="1:14" x14ac:dyDescent="0.4">
      <c r="A410" s="1" t="s">
        <v>161</v>
      </c>
      <c r="B410" s="1" t="s">
        <v>80</v>
      </c>
      <c r="C410" s="1" t="s">
        <v>35</v>
      </c>
      <c r="D410" s="19" t="str">
        <f t="shared" si="181"/>
        <v>10월</v>
      </c>
      <c r="E410" s="118" t="s">
        <v>25</v>
      </c>
      <c r="F410" s="21" t="s">
        <v>26</v>
      </c>
      <c r="G410" s="118" t="s">
        <v>27</v>
      </c>
      <c r="H410" s="137" t="s">
        <v>169</v>
      </c>
      <c r="I410" s="22"/>
      <c r="J410" s="22">
        <v>3166613300</v>
      </c>
      <c r="K410" s="22">
        <v>3166613300</v>
      </c>
      <c r="L410" s="23"/>
      <c r="M410" s="22"/>
      <c r="N410" s="58"/>
    </row>
    <row r="411" spans="1:14" x14ac:dyDescent="0.4">
      <c r="A411" s="1" t="s">
        <v>161</v>
      </c>
      <c r="B411" s="1" t="s">
        <v>80</v>
      </c>
      <c r="C411" s="1" t="s">
        <v>48</v>
      </c>
      <c r="D411" s="19" t="str">
        <f>D408</f>
        <v>10월</v>
      </c>
      <c r="E411" s="118" t="s">
        <v>25</v>
      </c>
      <c r="F411" s="21" t="s">
        <v>26</v>
      </c>
      <c r="G411" s="118" t="s">
        <v>27</v>
      </c>
      <c r="H411" s="21" t="s">
        <v>38</v>
      </c>
      <c r="I411" s="22"/>
      <c r="J411" s="22">
        <v>0</v>
      </c>
      <c r="K411" s="22">
        <v>0</v>
      </c>
      <c r="L411" s="23" t="e">
        <f t="shared" si="183"/>
        <v>#DIV/0!</v>
      </c>
      <c r="M411" s="22"/>
      <c r="N411" s="58">
        <f t="shared" si="182"/>
        <v>0</v>
      </c>
    </row>
    <row r="412" spans="1:14" x14ac:dyDescent="0.4">
      <c r="A412" s="1" t="s">
        <v>161</v>
      </c>
      <c r="B412" s="1" t="s">
        <v>80</v>
      </c>
      <c r="C412" s="1" t="s">
        <v>39</v>
      </c>
      <c r="D412" s="19" t="str">
        <f t="shared" si="181"/>
        <v>10월</v>
      </c>
      <c r="E412" s="118" t="s">
        <v>25</v>
      </c>
      <c r="F412" s="21" t="s">
        <v>26</v>
      </c>
      <c r="G412" s="118" t="s">
        <v>27</v>
      </c>
      <c r="H412" s="21" t="s">
        <v>40</v>
      </c>
      <c r="I412" s="22"/>
      <c r="J412" s="22">
        <v>85000000</v>
      </c>
      <c r="K412" s="22">
        <v>85000000</v>
      </c>
      <c r="L412" s="23">
        <f t="shared" si="183"/>
        <v>0</v>
      </c>
      <c r="M412" s="22"/>
      <c r="N412" s="58">
        <f t="shared" si="182"/>
        <v>85000000</v>
      </c>
    </row>
    <row r="413" spans="1:14" x14ac:dyDescent="0.4">
      <c r="A413" s="1" t="s">
        <v>161</v>
      </c>
      <c r="B413" s="1" t="s">
        <v>80</v>
      </c>
      <c r="C413" s="1" t="s">
        <v>44</v>
      </c>
      <c r="D413" s="19" t="str">
        <f t="shared" si="181"/>
        <v>10월</v>
      </c>
      <c r="E413" s="118" t="s">
        <v>25</v>
      </c>
      <c r="F413" s="21" t="s">
        <v>26</v>
      </c>
      <c r="G413" s="118" t="s">
        <v>27</v>
      </c>
      <c r="H413" s="21" t="s">
        <v>45</v>
      </c>
      <c r="I413" s="22"/>
      <c r="J413" s="22">
        <v>300000000</v>
      </c>
      <c r="K413" s="22">
        <v>300000000</v>
      </c>
      <c r="L413" s="23">
        <f t="shared" si="183"/>
        <v>0</v>
      </c>
      <c r="M413" s="22"/>
      <c r="N413" s="58">
        <f t="shared" si="182"/>
        <v>300000000</v>
      </c>
    </row>
    <row r="414" spans="1:14" x14ac:dyDescent="0.4">
      <c r="A414" s="1" t="s">
        <v>161</v>
      </c>
      <c r="B414" s="1" t="s">
        <v>80</v>
      </c>
      <c r="C414" s="1" t="s">
        <v>46</v>
      </c>
      <c r="D414" s="19" t="str">
        <f t="shared" si="181"/>
        <v>10월</v>
      </c>
      <c r="E414" s="120" t="s">
        <v>25</v>
      </c>
      <c r="F414" s="32" t="s">
        <v>26</v>
      </c>
      <c r="G414" s="120" t="s">
        <v>27</v>
      </c>
      <c r="H414" s="32" t="s">
        <v>47</v>
      </c>
      <c r="I414" s="33"/>
      <c r="J414" s="22">
        <v>93750000</v>
      </c>
      <c r="K414" s="22">
        <v>93750000</v>
      </c>
      <c r="L414" s="34"/>
      <c r="M414" s="22"/>
      <c r="N414" s="58">
        <f t="shared" si="182"/>
        <v>93750000</v>
      </c>
    </row>
    <row r="415" spans="1:14" ht="14.4" thickBot="1" x14ac:dyDescent="0.45">
      <c r="A415" s="1" t="s">
        <v>161</v>
      </c>
      <c r="B415" s="1" t="s">
        <v>80</v>
      </c>
      <c r="C415" s="1" t="s">
        <v>48</v>
      </c>
      <c r="D415" s="97" t="str">
        <f t="shared" si="181"/>
        <v>10월</v>
      </c>
      <c r="E415" s="121" t="s">
        <v>25</v>
      </c>
      <c r="F415" s="36" t="s">
        <v>26</v>
      </c>
      <c r="G415" s="121" t="s">
        <v>27</v>
      </c>
      <c r="H415" s="36" t="s">
        <v>49</v>
      </c>
      <c r="I415" s="37"/>
      <c r="J415" s="37"/>
      <c r="K415" s="37"/>
      <c r="L415" s="38" t="e">
        <f t="shared" ref="L415" si="184">+K415/J415</f>
        <v>#DIV/0!</v>
      </c>
      <c r="M415" s="37"/>
      <c r="N415" s="58">
        <f t="shared" si="182"/>
        <v>0</v>
      </c>
    </row>
    <row r="416" spans="1:14" ht="14.4" thickBot="1" x14ac:dyDescent="0.45">
      <c r="D416" s="144" t="s">
        <v>199</v>
      </c>
      <c r="E416" s="145"/>
      <c r="F416" s="145"/>
      <c r="G416" s="145"/>
      <c r="H416" s="146"/>
      <c r="I416" s="41">
        <f>SUM(I404:I415)</f>
        <v>0</v>
      </c>
      <c r="J416" s="41">
        <f>SUM(J404:J415)</f>
        <v>11941513029.333332</v>
      </c>
      <c r="K416" s="41">
        <f>SUM(K404:K415)</f>
        <v>11941513029.333332</v>
      </c>
      <c r="L416" s="42">
        <f>I416/J416</f>
        <v>0</v>
      </c>
      <c r="M416" s="43">
        <f>SUM(M404:M415)</f>
        <v>0</v>
      </c>
      <c r="N416" s="44">
        <f>SUM(N404:N415)</f>
        <v>6240144713.333333</v>
      </c>
    </row>
    <row r="417" spans="1:14" x14ac:dyDescent="0.4">
      <c r="A417" s="1" t="s">
        <v>161</v>
      </c>
      <c r="B417" s="1" t="s">
        <v>80</v>
      </c>
      <c r="C417" s="1" t="s">
        <v>94</v>
      </c>
      <c r="D417" s="12" t="s">
        <v>41</v>
      </c>
      <c r="E417" s="117" t="s">
        <v>25</v>
      </c>
      <c r="F417" s="92" t="s">
        <v>26</v>
      </c>
      <c r="G417" s="117" t="s">
        <v>27</v>
      </c>
      <c r="H417" s="92" t="s">
        <v>162</v>
      </c>
      <c r="I417" s="93"/>
      <c r="J417" s="93">
        <v>17044833.333333336</v>
      </c>
      <c r="K417" s="93">
        <v>17044833.333333336</v>
      </c>
      <c r="L417" s="94">
        <f t="shared" ref="L417" si="185">+I417/J417</f>
        <v>0</v>
      </c>
      <c r="M417" s="93"/>
      <c r="N417" s="79">
        <f>K417-M417</f>
        <v>17044833.333333336</v>
      </c>
    </row>
    <row r="418" spans="1:14" x14ac:dyDescent="0.4">
      <c r="A418" s="1" t="s">
        <v>161</v>
      </c>
      <c r="B418" s="1" t="s">
        <v>80</v>
      </c>
      <c r="C418" s="1" t="s">
        <v>94</v>
      </c>
      <c r="D418" s="19" t="str">
        <f t="shared" ref="D418:D428" si="186">D417</f>
        <v>11월</v>
      </c>
      <c r="E418" s="118" t="s">
        <v>25</v>
      </c>
      <c r="F418" s="21" t="s">
        <v>26</v>
      </c>
      <c r="G418" s="118" t="s">
        <v>27</v>
      </c>
      <c r="H418" s="21" t="s">
        <v>30</v>
      </c>
      <c r="I418" s="22"/>
      <c r="J418" s="22">
        <v>0</v>
      </c>
      <c r="K418" s="22">
        <v>0</v>
      </c>
      <c r="L418" s="23"/>
      <c r="M418" s="22"/>
      <c r="N418" s="58">
        <f t="shared" ref="N418:N421" si="187">K418-M418</f>
        <v>0</v>
      </c>
    </row>
    <row r="419" spans="1:14" x14ac:dyDescent="0.4">
      <c r="A419" s="1" t="s">
        <v>161</v>
      </c>
      <c r="B419" s="1" t="s">
        <v>80</v>
      </c>
      <c r="C419" s="1" t="s">
        <v>31</v>
      </c>
      <c r="D419" s="19" t="str">
        <f t="shared" si="186"/>
        <v>11월</v>
      </c>
      <c r="E419" s="119" t="s">
        <v>25</v>
      </c>
      <c r="F419" s="21" t="s">
        <v>26</v>
      </c>
      <c r="G419" s="118" t="s">
        <v>27</v>
      </c>
      <c r="H419" s="21" t="s">
        <v>32</v>
      </c>
      <c r="I419" s="106"/>
      <c r="J419" s="22">
        <v>1882494000</v>
      </c>
      <c r="K419" s="22">
        <v>1882494000</v>
      </c>
      <c r="L419" s="23"/>
      <c r="M419" s="22"/>
      <c r="N419" s="58">
        <f t="shared" si="187"/>
        <v>1882494000</v>
      </c>
    </row>
    <row r="420" spans="1:14" x14ac:dyDescent="0.4">
      <c r="A420" s="1" t="s">
        <v>161</v>
      </c>
      <c r="B420" s="1" t="s">
        <v>80</v>
      </c>
      <c r="C420" s="1" t="s">
        <v>33</v>
      </c>
      <c r="D420" s="19" t="str">
        <f t="shared" si="186"/>
        <v>11월</v>
      </c>
      <c r="E420" s="118" t="s">
        <v>25</v>
      </c>
      <c r="F420" s="21" t="s">
        <v>26</v>
      </c>
      <c r="G420" s="118" t="s">
        <v>27</v>
      </c>
      <c r="H420" s="21" t="s">
        <v>34</v>
      </c>
      <c r="I420" s="106"/>
      <c r="J420" s="22">
        <v>537439360</v>
      </c>
      <c r="K420" s="22">
        <v>537439360</v>
      </c>
      <c r="L420" s="23">
        <f>+I420/J420</f>
        <v>0</v>
      </c>
      <c r="M420" s="22"/>
      <c r="N420" s="58">
        <f t="shared" si="187"/>
        <v>537439360</v>
      </c>
    </row>
    <row r="421" spans="1:14" x14ac:dyDescent="0.4">
      <c r="A421" s="1" t="s">
        <v>161</v>
      </c>
      <c r="B421" s="1" t="s">
        <v>80</v>
      </c>
      <c r="C421" s="1" t="s">
        <v>35</v>
      </c>
      <c r="D421" s="19" t="str">
        <f t="shared" si="186"/>
        <v>11월</v>
      </c>
      <c r="E421" s="118" t="s">
        <v>25</v>
      </c>
      <c r="F421" s="21" t="s">
        <v>26</v>
      </c>
      <c r="G421" s="118" t="s">
        <v>27</v>
      </c>
      <c r="H421" s="137" t="s">
        <v>166</v>
      </c>
      <c r="I421" s="106"/>
      <c r="J421" s="22">
        <v>4705954200</v>
      </c>
      <c r="K421" s="22">
        <v>4705954200</v>
      </c>
      <c r="L421" s="23">
        <f t="shared" ref="L421:L426" si="188">+I421/J421</f>
        <v>0</v>
      </c>
      <c r="M421" s="22"/>
      <c r="N421" s="58">
        <f t="shared" si="187"/>
        <v>4705954200</v>
      </c>
    </row>
    <row r="422" spans="1:14" x14ac:dyDescent="0.4">
      <c r="A422" s="1" t="s">
        <v>161</v>
      </c>
      <c r="B422" s="1" t="s">
        <v>80</v>
      </c>
      <c r="C422" s="1" t="s">
        <v>35</v>
      </c>
      <c r="D422" s="19" t="str">
        <f t="shared" si="186"/>
        <v>11월</v>
      </c>
      <c r="E422" s="118" t="s">
        <v>25</v>
      </c>
      <c r="F422" s="21" t="s">
        <v>26</v>
      </c>
      <c r="G422" s="118" t="s">
        <v>27</v>
      </c>
      <c r="H422" s="137" t="s">
        <v>168</v>
      </c>
      <c r="I422" s="106"/>
      <c r="J422" s="22">
        <v>1556374694.3999999</v>
      </c>
      <c r="K422" s="22">
        <v>1556374694.3999999</v>
      </c>
      <c r="L422" s="23"/>
      <c r="M422" s="22"/>
      <c r="N422" s="58"/>
    </row>
    <row r="423" spans="1:14" x14ac:dyDescent="0.4">
      <c r="A423" s="1" t="s">
        <v>161</v>
      </c>
      <c r="B423" s="1" t="s">
        <v>80</v>
      </c>
      <c r="C423" s="1" t="s">
        <v>35</v>
      </c>
      <c r="D423" s="19" t="str">
        <f t="shared" si="186"/>
        <v>11월</v>
      </c>
      <c r="E423" s="118" t="s">
        <v>25</v>
      </c>
      <c r="F423" s="21" t="s">
        <v>26</v>
      </c>
      <c r="G423" s="118" t="s">
        <v>27</v>
      </c>
      <c r="H423" s="137" t="s">
        <v>169</v>
      </c>
      <c r="I423" s="106"/>
      <c r="J423" s="22">
        <v>3829091599.9999995</v>
      </c>
      <c r="K423" s="22">
        <v>3829091599.9999995</v>
      </c>
      <c r="L423" s="23"/>
      <c r="M423" s="22"/>
      <c r="N423" s="58"/>
    </row>
    <row r="424" spans="1:14" x14ac:dyDescent="0.4">
      <c r="A424" s="1" t="s">
        <v>161</v>
      </c>
      <c r="B424" s="1" t="s">
        <v>80</v>
      </c>
      <c r="C424" s="1" t="s">
        <v>48</v>
      </c>
      <c r="D424" s="19" t="str">
        <f>D421</f>
        <v>11월</v>
      </c>
      <c r="E424" s="118" t="s">
        <v>25</v>
      </c>
      <c r="F424" s="21" t="s">
        <v>26</v>
      </c>
      <c r="G424" s="118" t="s">
        <v>27</v>
      </c>
      <c r="H424" s="21" t="s">
        <v>38</v>
      </c>
      <c r="I424" s="22"/>
      <c r="J424" s="22">
        <v>0</v>
      </c>
      <c r="K424" s="22">
        <v>0</v>
      </c>
      <c r="L424" s="23" t="e">
        <f t="shared" si="188"/>
        <v>#DIV/0!</v>
      </c>
      <c r="M424" s="22"/>
      <c r="N424" s="58">
        <f>K424-M424</f>
        <v>0</v>
      </c>
    </row>
    <row r="425" spans="1:14" x14ac:dyDescent="0.4">
      <c r="A425" s="1" t="s">
        <v>161</v>
      </c>
      <c r="B425" s="1" t="s">
        <v>80</v>
      </c>
      <c r="C425" s="1" t="s">
        <v>39</v>
      </c>
      <c r="D425" s="19" t="str">
        <f t="shared" si="186"/>
        <v>11월</v>
      </c>
      <c r="E425" s="118" t="s">
        <v>25</v>
      </c>
      <c r="F425" s="21" t="s">
        <v>26</v>
      </c>
      <c r="G425" s="118" t="s">
        <v>27</v>
      </c>
      <c r="H425" s="21" t="s">
        <v>40</v>
      </c>
      <c r="I425" s="22"/>
      <c r="J425" s="22">
        <v>131875000</v>
      </c>
      <c r="K425" s="22">
        <v>131875000</v>
      </c>
      <c r="L425" s="23">
        <f t="shared" si="188"/>
        <v>0</v>
      </c>
      <c r="M425" s="22"/>
      <c r="N425" s="58">
        <f>K425-M425</f>
        <v>131875000</v>
      </c>
    </row>
    <row r="426" spans="1:14" x14ac:dyDescent="0.4">
      <c r="A426" s="1" t="s">
        <v>161</v>
      </c>
      <c r="B426" s="1" t="s">
        <v>80</v>
      </c>
      <c r="C426" s="1" t="s">
        <v>44</v>
      </c>
      <c r="D426" s="19" t="str">
        <f t="shared" si="186"/>
        <v>11월</v>
      </c>
      <c r="E426" s="118" t="s">
        <v>25</v>
      </c>
      <c r="F426" s="21" t="s">
        <v>26</v>
      </c>
      <c r="G426" s="118" t="s">
        <v>27</v>
      </c>
      <c r="H426" s="21" t="s">
        <v>45</v>
      </c>
      <c r="I426" s="106"/>
      <c r="J426" s="22">
        <v>2616600000</v>
      </c>
      <c r="K426" s="22">
        <v>2616600000</v>
      </c>
      <c r="L426" s="23">
        <f t="shared" si="188"/>
        <v>0</v>
      </c>
      <c r="M426" s="22"/>
      <c r="N426" s="58">
        <f t="shared" ref="N426" si="189">K426-M426</f>
        <v>2616600000</v>
      </c>
    </row>
    <row r="427" spans="1:14" x14ac:dyDescent="0.4">
      <c r="A427" s="1" t="s">
        <v>161</v>
      </c>
      <c r="B427" s="1" t="s">
        <v>80</v>
      </c>
      <c r="C427" s="1" t="s">
        <v>46</v>
      </c>
      <c r="D427" s="19" t="str">
        <f t="shared" si="186"/>
        <v>11월</v>
      </c>
      <c r="E427" s="120" t="s">
        <v>25</v>
      </c>
      <c r="F427" s="32" t="s">
        <v>26</v>
      </c>
      <c r="G427" s="120" t="s">
        <v>27</v>
      </c>
      <c r="H427" s="32" t="s">
        <v>47</v>
      </c>
      <c r="I427" s="113"/>
      <c r="J427" s="22">
        <v>0</v>
      </c>
      <c r="K427" s="22">
        <v>0</v>
      </c>
      <c r="L427" s="34"/>
      <c r="M427" s="33"/>
      <c r="N427" s="58">
        <f>K427-M427</f>
        <v>0</v>
      </c>
    </row>
    <row r="428" spans="1:14" ht="14.4" thickBot="1" x14ac:dyDescent="0.45">
      <c r="A428" s="1" t="s">
        <v>161</v>
      </c>
      <c r="B428" s="1" t="s">
        <v>80</v>
      </c>
      <c r="C428" s="1" t="s">
        <v>48</v>
      </c>
      <c r="D428" s="97" t="str">
        <f t="shared" si="186"/>
        <v>11월</v>
      </c>
      <c r="E428" s="121" t="s">
        <v>25</v>
      </c>
      <c r="F428" s="36" t="s">
        <v>26</v>
      </c>
      <c r="G428" s="121" t="s">
        <v>27</v>
      </c>
      <c r="H428" s="36" t="s">
        <v>49</v>
      </c>
      <c r="I428" s="37"/>
      <c r="J428" s="37"/>
      <c r="K428" s="37"/>
      <c r="L428" s="38" t="e">
        <f t="shared" ref="L428" si="190">+K428/J428</f>
        <v>#DIV/0!</v>
      </c>
      <c r="M428" s="37"/>
      <c r="N428" s="58">
        <f t="shared" ref="N428" si="191">K428-M428</f>
        <v>0</v>
      </c>
    </row>
    <row r="429" spans="1:14" ht="14.4" thickBot="1" x14ac:dyDescent="0.45">
      <c r="D429" s="144" t="s">
        <v>87</v>
      </c>
      <c r="E429" s="145"/>
      <c r="F429" s="145"/>
      <c r="G429" s="145"/>
      <c r="H429" s="146"/>
      <c r="I429" s="41">
        <f>SUM(I417:I428)</f>
        <v>0</v>
      </c>
      <c r="J429" s="41">
        <f>SUM(J417:J428)</f>
        <v>15276873687.733334</v>
      </c>
      <c r="K429" s="41">
        <f>SUM(K417:K428)</f>
        <v>15276873687.733334</v>
      </c>
      <c r="L429" s="42">
        <f>I429/J429</f>
        <v>0</v>
      </c>
      <c r="M429" s="43">
        <f>SUM(M417:M428)</f>
        <v>0</v>
      </c>
      <c r="N429" s="44">
        <f>SUM(N417:N428)</f>
        <v>9891407393.3333321</v>
      </c>
    </row>
    <row r="430" spans="1:14" x14ac:dyDescent="0.4">
      <c r="A430" s="1" t="s">
        <v>161</v>
      </c>
      <c r="B430" s="1" t="s">
        <v>80</v>
      </c>
      <c r="C430" s="1" t="s">
        <v>94</v>
      </c>
      <c r="D430" s="12" t="s">
        <v>42</v>
      </c>
      <c r="E430" s="117" t="s">
        <v>25</v>
      </c>
      <c r="F430" s="92" t="s">
        <v>26</v>
      </c>
      <c r="G430" s="117" t="s">
        <v>27</v>
      </c>
      <c r="H430" s="92" t="s">
        <v>200</v>
      </c>
      <c r="I430" s="93"/>
      <c r="J430" s="93">
        <v>17044833.333333336</v>
      </c>
      <c r="K430" s="93">
        <v>17044833.333333336</v>
      </c>
      <c r="L430" s="94">
        <f t="shared" ref="L430" si="192">+I430/J430</f>
        <v>0</v>
      </c>
      <c r="M430" s="93"/>
      <c r="N430" s="79">
        <f>K430-M430</f>
        <v>17044833.333333336</v>
      </c>
    </row>
    <row r="431" spans="1:14" x14ac:dyDescent="0.4">
      <c r="A431" s="1" t="s">
        <v>161</v>
      </c>
      <c r="B431" s="1" t="s">
        <v>80</v>
      </c>
      <c r="C431" s="1" t="s">
        <v>94</v>
      </c>
      <c r="D431" s="19" t="str">
        <f t="shared" ref="D431:D441" si="193">D430</f>
        <v>12월</v>
      </c>
      <c r="E431" s="118" t="s">
        <v>25</v>
      </c>
      <c r="F431" s="21" t="s">
        <v>26</v>
      </c>
      <c r="G431" s="118" t="s">
        <v>27</v>
      </c>
      <c r="H431" s="21" t="s">
        <v>30</v>
      </c>
      <c r="I431" s="22"/>
      <c r="J431" s="22">
        <v>0</v>
      </c>
      <c r="K431" s="22">
        <v>0</v>
      </c>
      <c r="L431" s="23"/>
      <c r="M431" s="106"/>
      <c r="N431" s="58">
        <f t="shared" ref="N431:N432" si="194">K431-M431</f>
        <v>0</v>
      </c>
    </row>
    <row r="432" spans="1:14" x14ac:dyDescent="0.4">
      <c r="A432" s="1" t="s">
        <v>161</v>
      </c>
      <c r="B432" s="1" t="s">
        <v>80</v>
      </c>
      <c r="C432" s="1" t="s">
        <v>31</v>
      </c>
      <c r="D432" s="19" t="str">
        <f t="shared" si="193"/>
        <v>12월</v>
      </c>
      <c r="E432" s="119" t="s">
        <v>25</v>
      </c>
      <c r="F432" s="21" t="s">
        <v>26</v>
      </c>
      <c r="G432" s="118" t="s">
        <v>27</v>
      </c>
      <c r="H432" s="21" t="s">
        <v>32</v>
      </c>
      <c r="I432" s="22"/>
      <c r="J432" s="22">
        <v>2843038800</v>
      </c>
      <c r="K432" s="22">
        <v>2843038800</v>
      </c>
      <c r="L432" s="23"/>
      <c r="M432" s="106"/>
      <c r="N432" s="58">
        <f t="shared" si="194"/>
        <v>2843038800</v>
      </c>
    </row>
    <row r="433" spans="1:14" x14ac:dyDescent="0.4">
      <c r="A433" s="1" t="s">
        <v>161</v>
      </c>
      <c r="B433" s="1" t="s">
        <v>80</v>
      </c>
      <c r="C433" s="1" t="s">
        <v>33</v>
      </c>
      <c r="D433" s="19" t="str">
        <f t="shared" si="193"/>
        <v>12월</v>
      </c>
      <c r="E433" s="118" t="s">
        <v>25</v>
      </c>
      <c r="F433" s="21" t="s">
        <v>26</v>
      </c>
      <c r="G433" s="118" t="s">
        <v>27</v>
      </c>
      <c r="H433" s="21" t="s">
        <v>34</v>
      </c>
      <c r="I433" s="22"/>
      <c r="J433" s="22">
        <v>382489320</v>
      </c>
      <c r="K433" s="22">
        <v>382489320</v>
      </c>
      <c r="L433" s="23">
        <f t="shared" ref="L433:L439" si="195">+I433/J433</f>
        <v>0</v>
      </c>
      <c r="M433" s="106"/>
      <c r="N433" s="58">
        <f>K433-M433</f>
        <v>382489320</v>
      </c>
    </row>
    <row r="434" spans="1:14" x14ac:dyDescent="0.4">
      <c r="A434" s="1" t="s">
        <v>161</v>
      </c>
      <c r="B434" s="1" t="s">
        <v>80</v>
      </c>
      <c r="C434" s="1" t="s">
        <v>35</v>
      </c>
      <c r="D434" s="19" t="str">
        <f t="shared" si="193"/>
        <v>12월</v>
      </c>
      <c r="E434" s="118" t="s">
        <v>25</v>
      </c>
      <c r="F434" s="21" t="s">
        <v>26</v>
      </c>
      <c r="G434" s="118" t="s">
        <v>27</v>
      </c>
      <c r="H434" s="137" t="s">
        <v>166</v>
      </c>
      <c r="I434" s="22"/>
      <c r="J434" s="22">
        <v>3763162800</v>
      </c>
      <c r="K434" s="22">
        <v>3763162800</v>
      </c>
      <c r="L434" s="23">
        <f t="shared" si="195"/>
        <v>0</v>
      </c>
      <c r="M434" s="106"/>
      <c r="N434" s="58">
        <f t="shared" ref="N434:N441" si="196">K434-M434</f>
        <v>3763162800</v>
      </c>
    </row>
    <row r="435" spans="1:14" x14ac:dyDescent="0.4">
      <c r="A435" s="1" t="s">
        <v>161</v>
      </c>
      <c r="B435" s="1" t="s">
        <v>80</v>
      </c>
      <c r="C435" s="1" t="s">
        <v>35</v>
      </c>
      <c r="D435" s="19" t="str">
        <f t="shared" si="193"/>
        <v>12월</v>
      </c>
      <c r="E435" s="118" t="s">
        <v>25</v>
      </c>
      <c r="F435" s="21" t="s">
        <v>26</v>
      </c>
      <c r="G435" s="118" t="s">
        <v>27</v>
      </c>
      <c r="H435" s="137" t="s">
        <v>168</v>
      </c>
      <c r="I435" s="22"/>
      <c r="J435" s="22">
        <v>4192489015.1999998</v>
      </c>
      <c r="K435" s="22">
        <v>4192489015.1999998</v>
      </c>
      <c r="L435" s="23"/>
      <c r="M435" s="106"/>
      <c r="N435" s="58"/>
    </row>
    <row r="436" spans="1:14" x14ac:dyDescent="0.4">
      <c r="A436" s="1" t="s">
        <v>161</v>
      </c>
      <c r="B436" s="1" t="s">
        <v>80</v>
      </c>
      <c r="C436" s="1" t="s">
        <v>35</v>
      </c>
      <c r="D436" s="19" t="str">
        <f t="shared" si="193"/>
        <v>12월</v>
      </c>
      <c r="E436" s="118" t="s">
        <v>25</v>
      </c>
      <c r="F436" s="21" t="s">
        <v>26</v>
      </c>
      <c r="G436" s="118" t="s">
        <v>27</v>
      </c>
      <c r="H436" s="137" t="s">
        <v>169</v>
      </c>
      <c r="I436" s="22"/>
      <c r="J436" s="22">
        <v>4416870799.999999</v>
      </c>
      <c r="K436" s="22">
        <v>4416870799.999999</v>
      </c>
      <c r="L436" s="23"/>
      <c r="M436" s="106"/>
      <c r="N436" s="58"/>
    </row>
    <row r="437" spans="1:14" x14ac:dyDescent="0.4">
      <c r="A437" s="1" t="s">
        <v>161</v>
      </c>
      <c r="B437" s="1" t="s">
        <v>80</v>
      </c>
      <c r="C437" s="1" t="s">
        <v>48</v>
      </c>
      <c r="D437" s="19" t="str">
        <f>D434</f>
        <v>12월</v>
      </c>
      <c r="E437" s="118" t="s">
        <v>25</v>
      </c>
      <c r="F437" s="21" t="s">
        <v>26</v>
      </c>
      <c r="G437" s="118" t="s">
        <v>27</v>
      </c>
      <c r="H437" s="21" t="s">
        <v>38</v>
      </c>
      <c r="I437" s="22"/>
      <c r="J437" s="22">
        <v>0</v>
      </c>
      <c r="K437" s="22">
        <v>0</v>
      </c>
      <c r="L437" s="23" t="e">
        <f t="shared" si="195"/>
        <v>#DIV/0!</v>
      </c>
      <c r="M437" s="106"/>
      <c r="N437" s="58">
        <f t="shared" si="196"/>
        <v>0</v>
      </c>
    </row>
    <row r="438" spans="1:14" x14ac:dyDescent="0.4">
      <c r="A438" s="1" t="s">
        <v>161</v>
      </c>
      <c r="B438" s="1" t="s">
        <v>80</v>
      </c>
      <c r="C438" s="1" t="s">
        <v>39</v>
      </c>
      <c r="D438" s="19" t="str">
        <f t="shared" si="193"/>
        <v>12월</v>
      </c>
      <c r="E438" s="118" t="s">
        <v>25</v>
      </c>
      <c r="F438" s="21" t="s">
        <v>26</v>
      </c>
      <c r="G438" s="118" t="s">
        <v>27</v>
      </c>
      <c r="H438" s="21" t="s">
        <v>40</v>
      </c>
      <c r="I438" s="22"/>
      <c r="J438" s="22">
        <v>0</v>
      </c>
      <c r="K438" s="22">
        <v>0</v>
      </c>
      <c r="L438" s="23" t="e">
        <f t="shared" si="195"/>
        <v>#DIV/0!</v>
      </c>
      <c r="M438" s="106"/>
      <c r="N438" s="58">
        <f t="shared" si="196"/>
        <v>0</v>
      </c>
    </row>
    <row r="439" spans="1:14" x14ac:dyDescent="0.4">
      <c r="A439" s="1" t="s">
        <v>161</v>
      </c>
      <c r="B439" s="1" t="s">
        <v>80</v>
      </c>
      <c r="C439" s="1" t="s">
        <v>44</v>
      </c>
      <c r="D439" s="19" t="str">
        <f t="shared" si="193"/>
        <v>12월</v>
      </c>
      <c r="E439" s="118" t="s">
        <v>25</v>
      </c>
      <c r="F439" s="21" t="s">
        <v>26</v>
      </c>
      <c r="G439" s="118" t="s">
        <v>27</v>
      </c>
      <c r="H439" s="21" t="s">
        <v>45</v>
      </c>
      <c r="I439" s="22"/>
      <c r="J439" s="22">
        <v>2302000000</v>
      </c>
      <c r="K439" s="22">
        <v>2302000000</v>
      </c>
      <c r="L439" s="23">
        <f t="shared" si="195"/>
        <v>0</v>
      </c>
      <c r="M439" s="106"/>
      <c r="N439" s="58">
        <f t="shared" si="196"/>
        <v>2302000000</v>
      </c>
    </row>
    <row r="440" spans="1:14" x14ac:dyDescent="0.4">
      <c r="A440" s="1" t="s">
        <v>161</v>
      </c>
      <c r="B440" s="1" t="s">
        <v>80</v>
      </c>
      <c r="C440" s="1" t="s">
        <v>46</v>
      </c>
      <c r="D440" s="19" t="str">
        <f t="shared" si="193"/>
        <v>12월</v>
      </c>
      <c r="E440" s="120" t="s">
        <v>25</v>
      </c>
      <c r="F440" s="32" t="s">
        <v>26</v>
      </c>
      <c r="G440" s="120" t="s">
        <v>27</v>
      </c>
      <c r="H440" s="32" t="s">
        <v>47</v>
      </c>
      <c r="I440" s="33"/>
      <c r="J440" s="22">
        <v>0</v>
      </c>
      <c r="K440" s="22">
        <v>0</v>
      </c>
      <c r="L440" s="34"/>
      <c r="M440" s="113"/>
      <c r="N440" s="58">
        <f t="shared" si="196"/>
        <v>0</v>
      </c>
    </row>
    <row r="441" spans="1:14" ht="14.4" thickBot="1" x14ac:dyDescent="0.45">
      <c r="A441" s="1" t="s">
        <v>161</v>
      </c>
      <c r="B441" s="1" t="s">
        <v>80</v>
      </c>
      <c r="C441" s="1" t="s">
        <v>48</v>
      </c>
      <c r="D441" s="97" t="str">
        <f t="shared" si="193"/>
        <v>12월</v>
      </c>
      <c r="E441" s="121" t="s">
        <v>25</v>
      </c>
      <c r="F441" s="36" t="s">
        <v>26</v>
      </c>
      <c r="G441" s="121" t="s">
        <v>27</v>
      </c>
      <c r="H441" s="36" t="s">
        <v>49</v>
      </c>
      <c r="I441" s="37"/>
      <c r="J441" s="37"/>
      <c r="K441" s="37"/>
      <c r="L441" s="38" t="e">
        <f t="shared" ref="L441" si="197">+K441/J441</f>
        <v>#DIV/0!</v>
      </c>
      <c r="M441" s="37"/>
      <c r="N441" s="58">
        <f t="shared" si="196"/>
        <v>0</v>
      </c>
    </row>
    <row r="442" spans="1:14" ht="14.4" thickBot="1" x14ac:dyDescent="0.45">
      <c r="D442" s="144" t="s">
        <v>90</v>
      </c>
      <c r="E442" s="145"/>
      <c r="F442" s="145"/>
      <c r="G442" s="145"/>
      <c r="H442" s="146"/>
      <c r="I442" s="41">
        <f>SUM(I430:I441)</f>
        <v>0</v>
      </c>
      <c r="J442" s="41">
        <f>SUM(J430:J441)</f>
        <v>17917095568.533333</v>
      </c>
      <c r="K442" s="41">
        <f>SUM(K430:K441)</f>
        <v>17917095568.533333</v>
      </c>
      <c r="L442" s="42">
        <f>I442/J442</f>
        <v>0</v>
      </c>
      <c r="M442" s="43">
        <f>SUM(M430:M441)</f>
        <v>0</v>
      </c>
      <c r="N442" s="44">
        <f>SUM(N430:N441)</f>
        <v>9307735753.333334</v>
      </c>
    </row>
    <row r="443" spans="1:14" ht="14.4" thickBot="1" x14ac:dyDescent="0.45">
      <c r="D443" s="147" t="s">
        <v>91</v>
      </c>
      <c r="E443" s="148"/>
      <c r="F443" s="148"/>
      <c r="G443" s="148"/>
      <c r="H443" s="149"/>
      <c r="I443" s="53">
        <f>SUM(I416,I429,I442)</f>
        <v>0</v>
      </c>
      <c r="J443" s="53">
        <f t="shared" ref="J443:K443" si="198">SUM(J416,J429,J442)</f>
        <v>45135482285.599998</v>
      </c>
      <c r="K443" s="53">
        <f t="shared" si="198"/>
        <v>45135482285.599998</v>
      </c>
      <c r="L443" s="54">
        <f>I443/J443</f>
        <v>0</v>
      </c>
      <c r="M443" s="53">
        <f t="shared" ref="M443:N443" si="199">SUM(M416,M429,M442)</f>
        <v>0</v>
      </c>
      <c r="N443" s="53">
        <f t="shared" si="199"/>
        <v>25439287860</v>
      </c>
    </row>
    <row r="444" spans="1:14" ht="14.4" thickBot="1" x14ac:dyDescent="0.45">
      <c r="D444" s="150" t="s">
        <v>201</v>
      </c>
      <c r="E444" s="151"/>
      <c r="F444" s="151"/>
      <c r="G444" s="151"/>
      <c r="H444" s="152"/>
      <c r="I444" s="100">
        <f>SUM(I323,I363,I403,I443)</f>
        <v>21955351244</v>
      </c>
      <c r="J444" s="100">
        <f>SUM(J323,J363,J403,J443)</f>
        <v>155907062852</v>
      </c>
      <c r="K444" s="100">
        <f>SUM(K323,K363,K403,K443)</f>
        <v>167194256432.21332</v>
      </c>
      <c r="L444" s="101">
        <f>I444/J444</f>
        <v>0.14082332668175432</v>
      </c>
      <c r="M444" s="102">
        <f>SUM(M323,M363,M403,M443)</f>
        <v>32429977627.333336</v>
      </c>
      <c r="N444" s="103">
        <f>SUM(N323,N363,N403,N443)</f>
        <v>71131915246.880005</v>
      </c>
    </row>
  </sheetData>
  <mergeCells count="58">
    <mergeCell ref="E62:H62"/>
    <mergeCell ref="E17:H17"/>
    <mergeCell ref="E28:H28"/>
    <mergeCell ref="E39:H39"/>
    <mergeCell ref="D40:H40"/>
    <mergeCell ref="E51:H51"/>
    <mergeCell ref="D144:H144"/>
    <mergeCell ref="E73:H73"/>
    <mergeCell ref="D74:H74"/>
    <mergeCell ref="D75:H75"/>
    <mergeCell ref="E86:H86"/>
    <mergeCell ref="D87:H87"/>
    <mergeCell ref="D98:H98"/>
    <mergeCell ref="D99:H99"/>
    <mergeCell ref="D110:H110"/>
    <mergeCell ref="D111:H111"/>
    <mergeCell ref="D122:H122"/>
    <mergeCell ref="D133:H133"/>
    <mergeCell ref="D214:H214"/>
    <mergeCell ref="D145:H145"/>
    <mergeCell ref="D146:H146"/>
    <mergeCell ref="D157:H157"/>
    <mergeCell ref="D168:H168"/>
    <mergeCell ref="D179:H179"/>
    <mergeCell ref="D180:H180"/>
    <mergeCell ref="D191:H191"/>
    <mergeCell ref="T194:T196"/>
    <mergeCell ref="T197:T201"/>
    <mergeCell ref="D202:H202"/>
    <mergeCell ref="D213:H213"/>
    <mergeCell ref="Q304:R304"/>
    <mergeCell ref="S304:T304"/>
    <mergeCell ref="D225:H225"/>
    <mergeCell ref="D236:H236"/>
    <mergeCell ref="D247:H247"/>
    <mergeCell ref="D248:H248"/>
    <mergeCell ref="D259:H259"/>
    <mergeCell ref="D270:H270"/>
    <mergeCell ref="D362:H362"/>
    <mergeCell ref="D281:H281"/>
    <mergeCell ref="D282:H282"/>
    <mergeCell ref="D283:H283"/>
    <mergeCell ref="D296:H296"/>
    <mergeCell ref="D309:H309"/>
    <mergeCell ref="D322:H322"/>
    <mergeCell ref="D323:H323"/>
    <mergeCell ref="D336:H336"/>
    <mergeCell ref="D349:H349"/>
    <mergeCell ref="D429:H429"/>
    <mergeCell ref="D442:H442"/>
    <mergeCell ref="D443:H443"/>
    <mergeCell ref="D444:H444"/>
    <mergeCell ref="D363:H363"/>
    <mergeCell ref="D376:H376"/>
    <mergeCell ref="D389:H389"/>
    <mergeCell ref="D402:H402"/>
    <mergeCell ref="D403:H403"/>
    <mergeCell ref="D416:H416"/>
  </mergeCells>
  <phoneticPr fontId="3" type="noConversion"/>
  <pageMargins left="0.37" right="0.23" top="0.3" bottom="0.17" header="0.3" footer="0.18"/>
  <pageSetup paperSize="9" scale="4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상세 자료 작성</vt:lpstr>
      <vt:lpstr>'상세 자료 작성'!Print_Area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김형수</dc:creator>
  <cp:lastModifiedBy>김형수</cp:lastModifiedBy>
  <dcterms:created xsi:type="dcterms:W3CDTF">2026-03-24T06:56:22Z</dcterms:created>
  <dcterms:modified xsi:type="dcterms:W3CDTF">2026-03-24T11:01:58Z</dcterms:modified>
</cp:coreProperties>
</file>