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3.26\"/>
    </mc:Choice>
  </mc:AlternateContent>
  <xr:revisionPtr revIDLastSave="0" documentId="13_ncr:1_{493D470C-9DB0-4A5A-B95D-615307C81EE3}" xr6:coauthVersionLast="47" xr6:coauthVersionMax="47" xr10:uidLastSave="{00000000-0000-0000-0000-000000000000}"/>
  <bookViews>
    <workbookView xWindow="-108" yWindow="-108" windowWidth="23256" windowHeight="12456" tabRatio="825" xr2:uid="{00000000-000D-0000-FFFF-FFFF00000000}"/>
  </bookViews>
  <sheets>
    <sheet name="요약(보고)" sheetId="25" r:id="rId1"/>
    <sheet name="상세 자료 작성" sheetId="14" r:id="rId2"/>
    <sheet name="2024년 계획" sheetId="26" state="hidden" r:id="rId3"/>
    <sheet name="2023년 실적" sheetId="23" r:id="rId4"/>
    <sheet name="연간 에상 (사장님보고)" sheetId="18" state="hidden" r:id="rId5"/>
    <sheet name="1분기 상세" sheetId="13" state="hidden" r:id="rId6"/>
    <sheet name="내재화" sheetId="15" state="hidden" r:id="rId7"/>
    <sheet name="셀트리온제약" sheetId="2" state="hidden" r:id="rId8"/>
    <sheet name="Sheet1" sheetId="12" state="hidden" r:id="rId9"/>
  </sheet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2"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2"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hidden="1">{#N/A,#N/A,FALSE,"UNIT";#N/A,#N/A,FALSE,"UNIT";#N/A,#N/A,FALSE,"계정"}</definedName>
    <definedName name="________s10" hidden="1">{#N/A,#N/A,FALSE,"UNIT";#N/A,#N/A,FALSE,"UNIT";#N/A,#N/A,FALSE,"계정"}</definedName>
    <definedName name="________s11" hidden="1">{#N/A,#N/A,FALSE,"UNIT";#N/A,#N/A,FALSE,"UNIT";#N/A,#N/A,FALSE,"계정"}</definedName>
    <definedName name="________s12" hidden="1">{#N/A,#N/A,FALSE,"UNIT";#N/A,#N/A,FALSE,"UNIT";#N/A,#N/A,FALSE,"계정"}</definedName>
    <definedName name="________s13" hidden="1">{#N/A,#N/A,FALSE,"UNIT";#N/A,#N/A,FALSE,"UNIT";#N/A,#N/A,FALSE,"계정"}</definedName>
    <definedName name="________s14" hidden="1">{#N/A,#N/A,FALSE,"UNIT";#N/A,#N/A,FALSE,"UNIT";#N/A,#N/A,FALSE,"계정"}</definedName>
    <definedName name="________s16" hidden="1">{#N/A,#N/A,FALSE,"UNIT";#N/A,#N/A,FALSE,"UNIT";#N/A,#N/A,FALSE,"계정"}</definedName>
    <definedName name="________s17" hidden="1">{#N/A,#N/A,FALSE,"UNIT";#N/A,#N/A,FALSE,"UNIT";#N/A,#N/A,FALSE,"계정"}</definedName>
    <definedName name="________s2" hidden="1">{#N/A,#N/A,FALSE,"UNIT";#N/A,#N/A,FALSE,"UNIT";#N/A,#N/A,FALSE,"계정"}</definedName>
    <definedName name="________s3" hidden="1">{#N/A,#N/A,FALSE,"UNIT";#N/A,#N/A,FALSE,"UNIT";#N/A,#N/A,FALSE,"계정"}</definedName>
    <definedName name="________s4" hidden="1">{#N/A,#N/A,FALSE,"UNIT";#N/A,#N/A,FALSE,"UNIT";#N/A,#N/A,FALSE,"계정"}</definedName>
    <definedName name="________s5" hidden="1">{#N/A,#N/A,FALSE,"UNIT";#N/A,#N/A,FALSE,"UNIT";#N/A,#N/A,FALSE,"계정"}</definedName>
    <definedName name="________s6" hidden="1">{#N/A,#N/A,FALSE,"UNIT";#N/A,#N/A,FALSE,"UNIT";#N/A,#N/A,FALSE,"계정"}</definedName>
    <definedName name="________s9" hidden="1">{#N/A,#N/A,FALSE,"UNIT";#N/A,#N/A,FALSE,"UNIT";#N/A,#N/A,FALSE,"계정"}</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hidden="1">{#N/A,#N/A,FALSE,"UNIT";#N/A,#N/A,FALSE,"UNIT";#N/A,#N/A,FALSE,"계정"}</definedName>
    <definedName name="______s10" hidden="1">{#N/A,#N/A,FALSE,"UNIT";#N/A,#N/A,FALSE,"UNIT";#N/A,#N/A,FALSE,"계정"}</definedName>
    <definedName name="______s11" hidden="1">{#N/A,#N/A,FALSE,"UNIT";#N/A,#N/A,FALSE,"UNIT";#N/A,#N/A,FALSE,"계정"}</definedName>
    <definedName name="______s12" hidden="1">{#N/A,#N/A,FALSE,"UNIT";#N/A,#N/A,FALSE,"UNIT";#N/A,#N/A,FALSE,"계정"}</definedName>
    <definedName name="______s13" hidden="1">{#N/A,#N/A,FALSE,"UNIT";#N/A,#N/A,FALSE,"UNIT";#N/A,#N/A,FALSE,"계정"}</definedName>
    <definedName name="______s14" hidden="1">{#N/A,#N/A,FALSE,"UNIT";#N/A,#N/A,FALSE,"UNIT";#N/A,#N/A,FALSE,"계정"}</definedName>
    <definedName name="______s16" hidden="1">{#N/A,#N/A,FALSE,"UNIT";#N/A,#N/A,FALSE,"UNIT";#N/A,#N/A,FALSE,"계정"}</definedName>
    <definedName name="______s17" hidden="1">{#N/A,#N/A,FALSE,"UNIT";#N/A,#N/A,FALSE,"UNIT";#N/A,#N/A,FALSE,"계정"}</definedName>
    <definedName name="______s2" hidden="1">{#N/A,#N/A,FALSE,"UNIT";#N/A,#N/A,FALSE,"UNIT";#N/A,#N/A,FALSE,"계정"}</definedName>
    <definedName name="______s3" hidden="1">{#N/A,#N/A,FALSE,"UNIT";#N/A,#N/A,FALSE,"UNIT";#N/A,#N/A,FALSE,"계정"}</definedName>
    <definedName name="______s4" hidden="1">{#N/A,#N/A,FALSE,"UNIT";#N/A,#N/A,FALSE,"UNIT";#N/A,#N/A,FALSE,"계정"}</definedName>
    <definedName name="______s5" hidden="1">{#N/A,#N/A,FALSE,"UNIT";#N/A,#N/A,FALSE,"UNIT";#N/A,#N/A,FALSE,"계정"}</definedName>
    <definedName name="______s6" hidden="1">{#N/A,#N/A,FALSE,"UNIT";#N/A,#N/A,FALSE,"UNIT";#N/A,#N/A,FALSE,"계정"}</definedName>
    <definedName name="______s9" hidden="1">{#N/A,#N/A,FALSE,"UNIT";#N/A,#N/A,FALSE,"UNIT";#N/A,#N/A,FALSE,"계정"}</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2" hidden="1">{#N/A,#N/A,FALSE,"UNIT";#N/A,#N/A,FALSE,"UNIT";#N/A,#N/A,FALSE,"계정"}</definedName>
    <definedName name="___s1" hidden="1">{#N/A,#N/A,FALSE,"UNIT";#N/A,#N/A,FALSE,"UNIT";#N/A,#N/A,FALSE,"계정"}</definedName>
    <definedName name="___s10" localSheetId="2" hidden="1">{#N/A,#N/A,FALSE,"UNIT";#N/A,#N/A,FALSE,"UNIT";#N/A,#N/A,FALSE,"계정"}</definedName>
    <definedName name="___s10" hidden="1">{#N/A,#N/A,FALSE,"UNIT";#N/A,#N/A,FALSE,"UNIT";#N/A,#N/A,FALSE,"계정"}</definedName>
    <definedName name="___s11" localSheetId="2" hidden="1">{#N/A,#N/A,FALSE,"UNIT";#N/A,#N/A,FALSE,"UNIT";#N/A,#N/A,FALSE,"계정"}</definedName>
    <definedName name="___s11" hidden="1">{#N/A,#N/A,FALSE,"UNIT";#N/A,#N/A,FALSE,"UNIT";#N/A,#N/A,FALSE,"계정"}</definedName>
    <definedName name="___s12" localSheetId="2" hidden="1">{#N/A,#N/A,FALSE,"UNIT";#N/A,#N/A,FALSE,"UNIT";#N/A,#N/A,FALSE,"계정"}</definedName>
    <definedName name="___s12" hidden="1">{#N/A,#N/A,FALSE,"UNIT";#N/A,#N/A,FALSE,"UNIT";#N/A,#N/A,FALSE,"계정"}</definedName>
    <definedName name="___s13" localSheetId="2" hidden="1">{#N/A,#N/A,FALSE,"UNIT";#N/A,#N/A,FALSE,"UNIT";#N/A,#N/A,FALSE,"계정"}</definedName>
    <definedName name="___s13" hidden="1">{#N/A,#N/A,FALSE,"UNIT";#N/A,#N/A,FALSE,"UNIT";#N/A,#N/A,FALSE,"계정"}</definedName>
    <definedName name="___s14" localSheetId="2" hidden="1">{#N/A,#N/A,FALSE,"UNIT";#N/A,#N/A,FALSE,"UNIT";#N/A,#N/A,FALSE,"계정"}</definedName>
    <definedName name="___s14" hidden="1">{#N/A,#N/A,FALSE,"UNIT";#N/A,#N/A,FALSE,"UNIT";#N/A,#N/A,FALSE,"계정"}</definedName>
    <definedName name="___s16" localSheetId="2" hidden="1">{#N/A,#N/A,FALSE,"UNIT";#N/A,#N/A,FALSE,"UNIT";#N/A,#N/A,FALSE,"계정"}</definedName>
    <definedName name="___s16" hidden="1">{#N/A,#N/A,FALSE,"UNIT";#N/A,#N/A,FALSE,"UNIT";#N/A,#N/A,FALSE,"계정"}</definedName>
    <definedName name="___s17" localSheetId="2" hidden="1">{#N/A,#N/A,FALSE,"UNIT";#N/A,#N/A,FALSE,"UNIT";#N/A,#N/A,FALSE,"계정"}</definedName>
    <definedName name="___s17" hidden="1">{#N/A,#N/A,FALSE,"UNIT";#N/A,#N/A,FALSE,"UNIT";#N/A,#N/A,FALSE,"계정"}</definedName>
    <definedName name="___s2" localSheetId="2" hidden="1">{#N/A,#N/A,FALSE,"UNIT";#N/A,#N/A,FALSE,"UNIT";#N/A,#N/A,FALSE,"계정"}</definedName>
    <definedName name="___s2" hidden="1">{#N/A,#N/A,FALSE,"UNIT";#N/A,#N/A,FALSE,"UNIT";#N/A,#N/A,FALSE,"계정"}</definedName>
    <definedName name="___s3" localSheetId="2" hidden="1">{#N/A,#N/A,FALSE,"UNIT";#N/A,#N/A,FALSE,"UNIT";#N/A,#N/A,FALSE,"계정"}</definedName>
    <definedName name="___s3" hidden="1">{#N/A,#N/A,FALSE,"UNIT";#N/A,#N/A,FALSE,"UNIT";#N/A,#N/A,FALSE,"계정"}</definedName>
    <definedName name="___s4" localSheetId="2" hidden="1">{#N/A,#N/A,FALSE,"UNIT";#N/A,#N/A,FALSE,"UNIT";#N/A,#N/A,FALSE,"계정"}</definedName>
    <definedName name="___s4" hidden="1">{#N/A,#N/A,FALSE,"UNIT";#N/A,#N/A,FALSE,"UNIT";#N/A,#N/A,FALSE,"계정"}</definedName>
    <definedName name="___s5" localSheetId="2" hidden="1">{#N/A,#N/A,FALSE,"UNIT";#N/A,#N/A,FALSE,"UNIT";#N/A,#N/A,FALSE,"계정"}</definedName>
    <definedName name="___s5" hidden="1">{#N/A,#N/A,FALSE,"UNIT";#N/A,#N/A,FALSE,"UNIT";#N/A,#N/A,FALSE,"계정"}</definedName>
    <definedName name="___s6" localSheetId="2" hidden="1">{#N/A,#N/A,FALSE,"UNIT";#N/A,#N/A,FALSE,"UNIT";#N/A,#N/A,FALSE,"계정"}</definedName>
    <definedName name="___s6" hidden="1">{#N/A,#N/A,FALSE,"UNIT";#N/A,#N/A,FALSE,"UNIT";#N/A,#N/A,FALSE,"계정"}</definedName>
    <definedName name="___s9" localSheetId="2" hidden="1">{#N/A,#N/A,FALSE,"UNIT";#N/A,#N/A,FALSE,"UNIT";#N/A,#N/A,FALSE,"계정"}</definedName>
    <definedName name="___s9" hidden="1">{#N/A,#N/A,FALSE,"UNIT";#N/A,#N/A,FALSE,"UNIT";#N/A,#N/A,FALSE,"계정"}</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2" hidden="1">{#N/A,#N/A,FALSE,"단축1";#N/A,#N/A,FALSE,"단축2";#N/A,#N/A,FALSE,"단축3";#N/A,#N/A,FALSE,"장축";#N/A,#N/A,FALSE,"4WD"}</definedName>
    <definedName name="__A3" hidden="1">{#N/A,#N/A,FALSE,"단축1";#N/A,#N/A,FALSE,"단축2";#N/A,#N/A,FALSE,"단축3";#N/A,#N/A,FALSE,"장축";#N/A,#N/A,FALSE,"4WD"}</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hidden="1">{#N/A,#N/A,TRUE,"경전'96(1)";#N/A,#N/A,TRUE,"경전'96 (2)"}</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hidden="1">{#N/A,#N/A,FALSE,"UNIT";#N/A,#N/A,FALSE,"UNIT";#N/A,#N/A,FALSE,"계정"}</definedName>
    <definedName name="__s10" hidden="1">{#N/A,#N/A,FALSE,"UNIT";#N/A,#N/A,FALSE,"UNIT";#N/A,#N/A,FALSE,"계정"}</definedName>
    <definedName name="__s11" hidden="1">{#N/A,#N/A,FALSE,"UNIT";#N/A,#N/A,FALSE,"UNIT";#N/A,#N/A,FALSE,"계정"}</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hidden="1">{#N/A,#N/A,FALSE,"UNIT";#N/A,#N/A,FALSE,"UNIT";#N/A,#N/A,FALSE,"계정"}</definedName>
    <definedName name="__s3" hidden="1">{#N/A,#N/A,FALSE,"UNIT";#N/A,#N/A,FALSE,"UNIT";#N/A,#N/A,FALSE,"계정"}</definedName>
    <definedName name="__s4" hidden="1">{#N/A,#N/A,FALSE,"UNIT";#N/A,#N/A,FALSE,"UNIT";#N/A,#N/A,FALSE,"계정"}</definedName>
    <definedName name="__s5" hidden="1">{#N/A,#N/A,FALSE,"UNIT";#N/A,#N/A,FALSE,"UNIT";#N/A,#N/A,FALSE,"계정"}</definedName>
    <definedName name="__s6" hidden="1">{#N/A,#N/A,FALSE,"UNIT";#N/A,#N/A,FALSE,"UNIT";#N/A,#N/A,FALSE,"계정"}</definedName>
    <definedName name="__s9" hidden="1">{#N/A,#N/A,FALSE,"UNIT";#N/A,#N/A,FALSE,"UNIT";#N/A,#N/A,FALSE,"계정"}</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2" hidden="1">{#N/A,#N/A,FALSE,"UNIT";#N/A,#N/A,FALSE,"UNIT";#N/A,#N/A,FALSE,"계정"}</definedName>
    <definedName name="_104s1_"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2" hidden="1">{#N/A,#N/A,FALSE,"UNIT";#N/A,#N/A,FALSE,"UNIT";#N/A,#N/A,FALSE,"계정"}</definedName>
    <definedName name="_108s13_"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2" hidden="1">{#N/A,#N/A,FALSE,"UNIT";#N/A,#N/A,FALSE,"UNIT";#N/A,#N/A,FALSE,"계정"}</definedName>
    <definedName name="_110s16_" hidden="1">{#N/A,#N/A,FALSE,"UNIT";#N/A,#N/A,FALSE,"UNIT";#N/A,#N/A,FALSE,"계정"}</definedName>
    <definedName name="_111" hidden="1">#REF!</definedName>
    <definedName name="_111s17_" localSheetId="2" hidden="1">{#N/A,#N/A,FALSE,"UNIT";#N/A,#N/A,FALSE,"UNIT";#N/A,#N/A,FALSE,"계정"}</definedName>
    <definedName name="_111s17_" hidden="1">{#N/A,#N/A,FALSE,"UNIT";#N/A,#N/A,FALSE,"UNIT";#N/A,#N/A,FALSE,"계정"}</definedName>
    <definedName name="_112s2_" localSheetId="2" hidden="1">{#N/A,#N/A,FALSE,"UNIT";#N/A,#N/A,FALSE,"UNIT";#N/A,#N/A,FALSE,"계정"}</definedName>
    <definedName name="_112s2_"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2" hidden="1">{#N/A,#N/A,FALSE,"UNIT";#N/A,#N/A,FALSE,"UNIT";#N/A,#N/A,FALSE,"계정"}</definedName>
    <definedName name="_114s4_" hidden="1">{#N/A,#N/A,FALSE,"UNIT";#N/A,#N/A,FALSE,"UNIT";#N/A,#N/A,FALSE,"계정"}</definedName>
    <definedName name="_115s5_" localSheetId="2" hidden="1">{#N/A,#N/A,FALSE,"UNIT";#N/A,#N/A,FALSE,"UNIT";#N/A,#N/A,FALSE,"계정"}</definedName>
    <definedName name="_115s5_" hidden="1">{#N/A,#N/A,FALSE,"UNIT";#N/A,#N/A,FALSE,"UNIT";#N/A,#N/A,FALSE,"계정"}</definedName>
    <definedName name="_116A1_" hidden="1">{#N/A,#N/A,FALSE,"신규dep";#N/A,#N/A,FALSE,"신규dep-금형상각후";#N/A,#N/A,FALSE,"신규dep-연구비상각후";#N/A,#N/A,FALSE,"신규dep-기계,공구상각후"}</definedName>
    <definedName name="_116s6_" localSheetId="2" hidden="1">{#N/A,#N/A,FALSE,"UNIT";#N/A,#N/A,FALSE,"UNIT";#N/A,#N/A,FALSE,"계정"}</definedName>
    <definedName name="_116s6_"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hidden="1">{#N/A,#N/A,FALSE,"단축1";#N/A,#N/A,FALSE,"단축2";#N/A,#N/A,FALSE,"단축3";#N/A,#N/A,FALSE,"장축";#N/A,#N/A,FALSE,"4WD"}</definedName>
    <definedName name="_123GRAPH_LBL_B1" hidden="1">#REF!</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2" hidden="1">{#N/A,#N/A,FALSE,"UNIT";#N/A,#N/A,FALSE,"UNIT";#N/A,#N/A,FALSE,"계정"}</definedName>
    <definedName name="_14s16_" hidden="1">{#N/A,#N/A,FALSE,"UNIT";#N/A,#N/A,FALSE,"UNIT";#N/A,#N/A,FALSE,"계정"}</definedName>
    <definedName name="_15">#N/A</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hidden="1">{#N/A,#N/A,FALSE,"단축1";#N/A,#N/A,FALSE,"단축2";#N/A,#N/A,FALSE,"단축3";#N/A,#N/A,FALSE,"장축";#N/A,#N/A,FALSE,"4WD"}</definedName>
    <definedName name="_151e2_" hidden="1">{#N/A,#N/A,FALSE,"단축1";#N/A,#N/A,FALSE,"단축2";#N/A,#N/A,FALSE,"단축3";#N/A,#N/A,FALSE,"장축";#N/A,#N/A,FALSE,"4WD"}</definedName>
    <definedName name="_152e3_" hidden="1">{#N/A,#N/A,FALSE,"단축1";#N/A,#N/A,FALSE,"단축2";#N/A,#N/A,FALSE,"단축3";#N/A,#N/A,FALSE,"장축";#N/A,#N/A,FALSE,"4WD"}</definedName>
    <definedName name="_153e4_" hidden="1">{#N/A,#N/A,FALSE,"단축1";#N/A,#N/A,FALSE,"단축2";#N/A,#N/A,FALSE,"단축3";#N/A,#N/A,FALSE,"장축";#N/A,#N/A,FALSE,"4WD"}</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hidden="1">{#N/A,#N/A,FALSE,"단축1";#N/A,#N/A,FALSE,"단축2";#N/A,#N/A,FALSE,"단축3";#N/A,#N/A,FALSE,"장축";#N/A,#N/A,FALSE,"4WD"}</definedName>
    <definedName name="_155e6_" hidden="1">{#N/A,#N/A,FALSE,"단축1";#N/A,#N/A,FALSE,"단축2";#N/A,#N/A,FALSE,"단축3";#N/A,#N/A,FALSE,"장축";#N/A,#N/A,FALSE,"4WD"}</definedName>
    <definedName name="_156e7_"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hidden="1">{#N/A,#N/A,FALSE,"단축1";#N/A,#N/A,FALSE,"단축2";#N/A,#N/A,FALSE,"단축3";#N/A,#N/A,FALSE,"장축";#N/A,#N/A,FALSE,"4WD"}</definedName>
    <definedName name="_175q3_" hidden="1">{#N/A,#N/A,FALSE,"단축1";#N/A,#N/A,FALSE,"단축2";#N/A,#N/A,FALSE,"단축3";#N/A,#N/A,FALSE,"장축";#N/A,#N/A,FALSE,"4WD"}</definedName>
    <definedName name="_176q5_"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hidden="1">{#N/A,#N/A,FALSE,"단축1";#N/A,#N/A,FALSE,"단축2";#N/A,#N/A,FALSE,"단축3";#N/A,#N/A,FALSE,"장축";#N/A,#N/A,FALSE,"4WD"}</definedName>
    <definedName name="_186s4_" hidden="1">{#N/A,#N/A,FALSE,"단축1";#N/A,#N/A,FALSE,"단축2";#N/A,#N/A,FALSE,"단축3";#N/A,#N/A,FALSE,"장축";#N/A,#N/A,FALSE,"4WD"}</definedName>
    <definedName name="_187s5_"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hidden="1">{#N/A,#N/A,FALSE,"신규dep";#N/A,#N/A,FALSE,"신규dep-금형상각후";#N/A,#N/A,FALSE,"신규dep-연구비상각후";#N/A,#N/A,FALSE,"신규dep-기계,공구상각후"}</definedName>
    <definedName name="_191T2_" hidden="1">{#N/A,#N/A,FALSE,"단축1";#N/A,#N/A,FALSE,"단축2";#N/A,#N/A,FALSE,"단축3";#N/A,#N/A,FALSE,"장축";#N/A,#N/A,FALSE,"4WD"}</definedName>
    <definedName name="_192T3_" hidden="1">{#N/A,#N/A,FALSE,"단축1";#N/A,#N/A,FALSE,"단축2";#N/A,#N/A,FALSE,"단축3";#N/A,#N/A,FALSE,"장축";#N/A,#N/A,FALSE,"4WD"}</definedName>
    <definedName name="_193U1_" hidden="1">{#N/A,#N/A,FALSE,"단축1";#N/A,#N/A,FALSE,"단축2";#N/A,#N/A,FALSE,"단축3";#N/A,#N/A,FALSE,"장축";#N/A,#N/A,FALSE,"4WD"}</definedName>
    <definedName name="_197w1_"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hidden="1">{#N/A,#N/A,FALSE,"단축1";#N/A,#N/A,FALSE,"단축2";#N/A,#N/A,FALSE,"단축3";#N/A,#N/A,FALSE,"장축";#N/A,#N/A,FALSE,"4WD"}</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hidden="1">{#N/A,#N/A,FALSE,"신규dep";#N/A,#N/A,FALSE,"신규dep-금형상각후";#N/A,#N/A,FALSE,"신규dep-연구비상각후";#N/A,#N/A,FALSE,"신규dep-기계,공구상각후"}</definedName>
    <definedName name="_201x1_" hidden="1">{#N/A,#N/A,FALSE,"단축1";#N/A,#N/A,FALSE,"단축2";#N/A,#N/A,FALSE,"단축3";#N/A,#N/A,FALSE,"장축";#N/A,#N/A,FALSE,"4WD"}</definedName>
    <definedName name="_202x2_" hidden="1">{#N/A,#N/A,FALSE,"단축1";#N/A,#N/A,FALSE,"단축2";#N/A,#N/A,FALSE,"단축3";#N/A,#N/A,FALSE,"장축";#N/A,#N/A,FALSE,"4WD"}</definedName>
    <definedName name="_203z1_" hidden="1">{#N/A,#N/A,FALSE,"단축1";#N/A,#N/A,FALSE,"단축2";#N/A,#N/A,FALSE,"단축3";#N/A,#N/A,FALSE,"장축";#N/A,#N/A,FALSE,"4WD"}</definedName>
    <definedName name="_204z2_"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2" hidden="1">{#N/A,#N/A,FALSE,"UNIT";#N/A,#N/A,FALSE,"UNIT";#N/A,#N/A,FALSE,"계정"}</definedName>
    <definedName name="_22s4_" hidden="1">{#N/A,#N/A,FALSE,"UNIT";#N/A,#N/A,FALSE,"UNIT";#N/A,#N/A,FALSE,"계정"}</definedName>
    <definedName name="_23">#N/A</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2" hidden="1">{#N/A,#N/A,FALSE,"UNIT";#N/A,#N/A,FALSE,"UNIT";#N/A,#N/A,FALSE,"계정"}</definedName>
    <definedName name="_24s5_" hidden="1">{#N/A,#N/A,FALSE,"UNIT";#N/A,#N/A,FALSE,"UNIT";#N/A,#N/A,FALSE,"계정"}</definedName>
    <definedName name="_25">#N/A</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2" hidden="1">{#N/A,#N/A,FALSE,"UNIT";#N/A,#N/A,FALSE,"UNIT";#N/A,#N/A,FALSE,"계정"}</definedName>
    <definedName name="_28s9_" hidden="1">{#N/A,#N/A,FALSE,"UNIT";#N/A,#N/A,FALSE,"UNIT";#N/A,#N/A,FALSE,"계정"}</definedName>
    <definedName name="_29">#N/A</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hidden="1">{#N/A,#N/A,TRUE,"경전'96(1)";#N/A,#N/A,TRUE,"경전'96 (2)"}</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3" hidden="1">'2023년 실적'!$B$4:$AH$63</definedName>
    <definedName name="_xlnm._FilterDatabase" localSheetId="2" hidden="1">'2024년 계획'!$B$4:$AH$56</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2" hidden="1">{#N/A,#N/A,FALSE,"UNIT";#N/A,#N/A,FALSE,"UNIT";#N/A,#N/A,FALSE,"계정"}</definedName>
    <definedName name="_s10" hidden="1">{#N/A,#N/A,FALSE,"UNIT";#N/A,#N/A,FALSE,"UNIT";#N/A,#N/A,FALSE,"계정"}</definedName>
    <definedName name="_s11" localSheetId="2" hidden="1">{#N/A,#N/A,FALSE,"UNIT";#N/A,#N/A,FALSE,"UNIT";#N/A,#N/A,FALSE,"계정"}</definedName>
    <definedName name="_s11" hidden="1">{#N/A,#N/A,FALSE,"UNIT";#N/A,#N/A,FALSE,"UNIT";#N/A,#N/A,FALSE,"계정"}</definedName>
    <definedName name="_s12" localSheetId="2" hidden="1">{#N/A,#N/A,FALSE,"UNIT";#N/A,#N/A,FALSE,"UNIT";#N/A,#N/A,FALSE,"계정"}</definedName>
    <definedName name="_s12" hidden="1">{#N/A,#N/A,FALSE,"UNIT";#N/A,#N/A,FALSE,"UNIT";#N/A,#N/A,FALSE,"계정"}</definedName>
    <definedName name="_s13" localSheetId="2" hidden="1">{#N/A,#N/A,FALSE,"UNIT";#N/A,#N/A,FALSE,"UNIT";#N/A,#N/A,FALSE,"계정"}</definedName>
    <definedName name="_s13" hidden="1">{#N/A,#N/A,FALSE,"UNIT";#N/A,#N/A,FALSE,"UNIT";#N/A,#N/A,FALSE,"계정"}</definedName>
    <definedName name="_s14" localSheetId="2" hidden="1">{#N/A,#N/A,FALSE,"UNIT";#N/A,#N/A,FALSE,"UNIT";#N/A,#N/A,FALSE,"계정"}</definedName>
    <definedName name="_s14" hidden="1">{#N/A,#N/A,FALSE,"UNIT";#N/A,#N/A,FALSE,"UNIT";#N/A,#N/A,FALSE,"계정"}</definedName>
    <definedName name="_s16" localSheetId="2" hidden="1">{#N/A,#N/A,FALSE,"UNIT";#N/A,#N/A,FALSE,"UNIT";#N/A,#N/A,FALSE,"계정"}</definedName>
    <definedName name="_s1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2" hidden="1">{#N/A,#N/A,FALSE,"UNIT";#N/A,#N/A,FALSE,"UNIT";#N/A,#N/A,FALSE,"계정"}</definedName>
    <definedName name="_s3" hidden="1">{#N/A,#N/A,FALSE,"UNIT";#N/A,#N/A,FALSE,"UNIT";#N/A,#N/A,FALSE,"계정"}</definedName>
    <definedName name="_s4" localSheetId="2" hidden="1">{#N/A,#N/A,FALSE,"UNIT";#N/A,#N/A,FALSE,"UNIT";#N/A,#N/A,FALSE,"계정"}</definedName>
    <definedName name="_s4" hidden="1">{#N/A,#N/A,FALSE,"UNIT";#N/A,#N/A,FALSE,"UNIT";#N/A,#N/A,FALSE,"계정"}</definedName>
    <definedName name="_s5" localSheetId="2" hidden="1">{#N/A,#N/A,FALSE,"UNIT";#N/A,#N/A,FALSE,"UNIT";#N/A,#N/A,FALSE,"계정"}</definedName>
    <definedName name="_s5" hidden="1">{#N/A,#N/A,FALSE,"UNIT";#N/A,#N/A,FALSE,"UNIT";#N/A,#N/A,FALSE,"계정"}</definedName>
    <definedName name="_s6" localSheetId="2" hidden="1">{#N/A,#N/A,FALSE,"UNIT";#N/A,#N/A,FALSE,"UNIT";#N/A,#N/A,FALSE,"계정"}</definedName>
    <definedName name="_s6" hidden="1">{#N/A,#N/A,FALSE,"UNIT";#N/A,#N/A,FALSE,"UNIT";#N/A,#N/A,FALSE,"계정"}</definedName>
    <definedName name="_s9" localSheetId="2" hidden="1">{#N/A,#N/A,FALSE,"UNIT";#N/A,#N/A,FALSE,"UNIT";#N/A,#N/A,FALSE,"계정"}</definedName>
    <definedName name="_s9" hidden="1">{#N/A,#N/A,FALSE,"UNIT";#N/A,#N/A,FALSE,"UNIT";#N/A,#N/A,FALSE,"계정"}</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2" hidden="1">{#N/A,#N/A,TRUE,"일정"}</definedName>
    <definedName name="_Tir1" hidden="1">{#N/A,#N/A,TRUE,"일정"}</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hidden="1">{#N/A,#N/A,FALSE,"단축1";#N/A,#N/A,FALSE,"단축2";#N/A,#N/A,FALSE,"단축3";#N/A,#N/A,FALSE,"장축";#N/A,#N/A,FALSE,"4WD"}</definedName>
    <definedName name="_wsb5">#REF!</definedName>
    <definedName name="_wuie" hidden="1">#REF!</definedName>
    <definedName name="_X">#REF!</definedName>
    <definedName name="_XG2" hidden="1">{#N/A,#N/A,FALSE,"단축1";#N/A,#N/A,FALSE,"단축2";#N/A,#N/A,FALSE,"단축3";#N/A,#N/A,FALSE,"장축";#N/A,#N/A,FALSE,"4WD"}</definedName>
    <definedName name="_xkd" hidden="1">#REF!</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hidden="1">#REF!</definedName>
    <definedName name="aaaaa" hidden="1">#REF!</definedName>
    <definedName name="AAAAAA">#REF!</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2" hidden="1">{#N/A,#N/A,FALSE,"정공"}</definedName>
    <definedName name="AAAAS" hidden="1">{#N/A,#N/A,FALSE,"정공"}</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hidden="1">{#N/A,#N/A,FALSE,"단축1";#N/A,#N/A,FALSE,"단축2";#N/A,#N/A,FALSE,"단축3";#N/A,#N/A,FALSE,"장축";#N/A,#N/A,FALSE,"4WD"}</definedName>
    <definedName name="Aas" localSheetId="2" hidden="1">{#N/A,#N/A,FALSE,"을지 (4)";#N/A,#N/A,FALSE,"을지 (5)";#N/A,#N/A,FALSE,"을지 (6)"}</definedName>
    <definedName name="Aas" hidden="1">{#N/A,#N/A,FALSE,"을지 (4)";#N/A,#N/A,FALSE,"을지 (5)";#N/A,#N/A,FALSE,"을지 (6)"}</definedName>
    <definedName name="aasdfa" hidden="1">{"rtn",#N/A,FALSE,"RTN";"tables",#N/A,FALSE,"RTN";"cf",#N/A,FALSE,"CF";"stats",#N/A,FALSE,"Stats";"prop",#N/A,FALSE,"Prop"}</definedName>
    <definedName name="AAZZ">#N/A</definedName>
    <definedName name="AB">#REF!</definedName>
    <definedName name="ABAP">#REF!</definedName>
    <definedName name="ABC" localSheetId="2"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cd">#N/A</definedName>
    <definedName name="abcde">#N/A</definedName>
    <definedName name="ABCDEF" localSheetId="2" hidden="1">{#N/A,#N/A,FALSE,"정공"}</definedName>
    <definedName name="ABCDEF" hidden="1">{#N/A,#N/A,FALSE,"정공"}</definedName>
    <definedName name="ABCD관리" localSheetId="2" hidden="1">{#N/A,#N/A,FALSE,"정공"}</definedName>
    <definedName name="ABCD관리" hidden="1">{#N/A,#N/A,FALSE,"정공"}</definedName>
    <definedName name="ABDD" hidden="1">{#N/A,#N/A,FALSE,"단축1";#N/A,#N/A,FALSE,"단축2";#N/A,#N/A,FALSE,"단축3";#N/A,#N/A,FALSE,"장축";#N/A,#N/A,FALSE,"4WD"}</definedName>
    <definedName name="ABS_원부_수납">#REF!</definedName>
    <definedName name="ABS_원부_약정">#REF!</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hidden="1">{#N/A,#N/A,FALSE,"을지 (4)";#N/A,#N/A,FALSE,"을지 (5)";#N/A,#N/A,FALSE,"을지 (6)"}</definedName>
    <definedName name="ADA">#REF!</definedName>
    <definedName name="ADC" hidden="1">#REF!</definedName>
    <definedName name="Adcetris">#REF!</definedName>
    <definedName name="add" localSheetId="2" hidden="1">{#N/A,#N/A,FALSE,"Aging Summary";#N/A,#N/A,FALSE,"Ratio Analysis";#N/A,#N/A,FALSE,"Test 120 Day Accts";#N/A,#N/A,FALSE,"Tickmarks"}</definedName>
    <definedName name="add" hidden="1">{#N/A,#N/A,FALSE,"Aging Summary";#N/A,#N/A,FALSE,"Ratio Analysis";#N/A,#N/A,FALSE,"Test 120 Day Accts";#N/A,#N/A,FALSE,"Tickmarks"}</definedName>
    <definedName name="adf" hidden="1">#REF!</definedName>
    <definedName name="adfasdfdafadf">BlankMacro1</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{"'Sheet1'!$A$1:$C$75"}</definedName>
    <definedName name="ads" hidden="1">{#N/A,#N/A,FALSE,"표지";#N/A,#N/A,FALSE,"전제";#N/A,#N/A,FALSE,"손익-자 (2)";#N/A,#N/A,FALSE,"손익-자";#N/A,#N/A,FALSE,"손익-마 (2)";#N/A,#N/A,FALSE,"손익-마";#N/A,#N/A,FALSE,"총손최종"}</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hidden="1">{#N/A,#N/A,FALSE,"Sheet1"}</definedName>
    <definedName name="ADSFAEG">#N/A</definedName>
    <definedName name="ADSGHJHGJ" hidden="1">{#N/A,#N/A,FALSE,"단축1";#N/A,#N/A,FALSE,"단축2";#N/A,#N/A,FALSE,"단축3";#N/A,#N/A,FALSE,"장축";#N/A,#N/A,FALSE,"4WD"}</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BlankMacro1</definedName>
    <definedName name="afdasgh" localSheetId="2" hidden="1">{#N/A,#N/A,FALSE,"CCTV"}</definedName>
    <definedName name="afdasgh" hidden="1">{#N/A,#N/A,FALSE,"CCTV"}</definedName>
    <definedName name="afdd" hidden="1">#REF!</definedName>
    <definedName name="afds">#REF!</definedName>
    <definedName name="afdsfdg" localSheetId="2" hidden="1">{#N/A,#N/A,FALSE,"CCTV"}</definedName>
    <definedName name="afdsfdg" hidden="1">{#N/A,#N/A,FALSE,"CCTV"}</definedName>
    <definedName name="aff" hidden="1">{#N/A,#N/A,FALSE,"단축1";#N/A,#N/A,FALSE,"단축2";#N/A,#N/A,FALSE,"단축3";#N/A,#N/A,FALSE,"장축";#N/A,#N/A,FALSE,"4WD"}</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BLCH</definedName>
    <definedName name="AIRCON" hidden="1">{#N/A,#N/A,FALSE,"단축1";#N/A,#N/A,FALSE,"단축2";#N/A,#N/A,FALSE,"단축3";#N/A,#N/A,FALSE,"장축";#N/A,#N/A,FALSE,"4WD"}</definedName>
    <definedName name="AI상">#REF!</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hidden="1">{#N/A,#N/A,TRUE,"경전'96(1)";#N/A,#N/A,TRUE,"경전'96 (2)"}</definedName>
    <definedName name="Align">#REF!</definedName>
    <definedName name="alk" hidden="1">#REF!</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2" hidden="1">{#N/A,#N/A,FALSE,"UNIT";#N/A,#N/A,FALSE,"UNIT";#N/A,#N/A,FALSE,"계정"}</definedName>
    <definedName name="ALㅓ머" hidden="1">{#N/A,#N/A,FALSE,"UNIT";#N/A,#N/A,FALSE,"UNIT";#N/A,#N/A,FALSE,"계정"}</definedName>
    <definedName name="amaryl">#REF!</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2" hidden="1">{#N/A,#N/A,FALSE,"채권채무";#N/A,#N/A,FALSE,"control sheet"}</definedName>
    <definedName name="aocnf" hidden="1">{#N/A,#N/A,FALSE,"채권채무";#N/A,#N/A,FALSE,"control sheet"}</definedName>
    <definedName name="AOCNFTHSDLR" hidden="1">{#N/A,#N/A,FALSE,"정공"}</definedName>
    <definedName name="aolin1"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hidden="1">{#N/A,#N/A,FALSE,"단축1";#N/A,#N/A,FALSE,"단축2";#N/A,#N/A,FALSE,"단축3";#N/A,#N/A,FALSE,"장축";#N/A,#N/A,FALSE,"4WD"}</definedName>
    <definedName name="ASAMT">#N/A</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hidden="1">{#N/A,#N/A,FALSE,"단축1";#N/A,#N/A,FALSE,"단축2";#N/A,#N/A,FALSE,"단축3";#N/A,#N/A,FALSE,"장축";#N/A,#N/A,FALSE,"4WD"}</definedName>
    <definedName name="asd">#REF!</definedName>
    <definedName name="asdas" localSheetId="2" hidden="1">{#N/A,#N/A,FALSE,"Performance Flash Report"}</definedName>
    <definedName name="asdas" hidden="1">{#N/A,#N/A,FALSE,"Performance Flash Report"}</definedName>
    <definedName name="asdas_1" localSheetId="2" hidden="1">{#N/A,#N/A,FALSE,"Performance Flash Report"}</definedName>
    <definedName name="asdas_1" hidden="1">{#N/A,#N/A,FALSE,"Performance Flash Report"}</definedName>
    <definedName name="asdas_1_1" localSheetId="2" hidden="1">{#N/A,#N/A,FALSE,"Performance Flash Report"}</definedName>
    <definedName name="asdas_1_1" hidden="1">{#N/A,#N/A,FALSE,"Performance Flash Report"}</definedName>
    <definedName name="asdas_1_2" localSheetId="2" hidden="1">{#N/A,#N/A,FALSE,"Performance Flash Report"}</definedName>
    <definedName name="asdas_1_2" hidden="1">{#N/A,#N/A,FALSE,"Performance Flash Report"}</definedName>
    <definedName name="asdas_1_3" localSheetId="2" hidden="1">{#N/A,#N/A,FALSE,"Performance Flash Report"}</definedName>
    <definedName name="asdas_1_3" hidden="1">{#N/A,#N/A,FALSE,"Performance Flash Report"}</definedName>
    <definedName name="asdas_1_4" localSheetId="2" hidden="1">{#N/A,#N/A,FALSE,"Performance Flash Report"}</definedName>
    <definedName name="asdas_1_4" hidden="1">{#N/A,#N/A,FALSE,"Performance Flash Report"}</definedName>
    <definedName name="asdas_2" localSheetId="2" hidden="1">{#N/A,#N/A,FALSE,"Performance Flash Report"}</definedName>
    <definedName name="asdas_2" hidden="1">{#N/A,#N/A,FALSE,"Performance Flash Report"}</definedName>
    <definedName name="asdas_2_1" localSheetId="2" hidden="1">{#N/A,#N/A,FALSE,"Performance Flash Report"}</definedName>
    <definedName name="asdas_2_1" hidden="1">{#N/A,#N/A,FALSE,"Performance Flash Report"}</definedName>
    <definedName name="asdas_2_2" localSheetId="2" hidden="1">{#N/A,#N/A,FALSE,"Performance Flash Report"}</definedName>
    <definedName name="asdas_2_2" hidden="1">{#N/A,#N/A,FALSE,"Performance Flash Report"}</definedName>
    <definedName name="asdas_2_3" localSheetId="2" hidden="1">{#N/A,#N/A,FALSE,"Performance Flash Report"}</definedName>
    <definedName name="asdas_2_3" hidden="1">{#N/A,#N/A,FALSE,"Performance Flash Report"}</definedName>
    <definedName name="asdas_2_4" localSheetId="2" hidden="1">{#N/A,#N/A,FALSE,"Performance Flash Report"}</definedName>
    <definedName name="asdas_2_4" hidden="1">{#N/A,#N/A,FALSE,"Performance Flash Report"}</definedName>
    <definedName name="asdas_3" localSheetId="2" hidden="1">{#N/A,#N/A,FALSE,"Performance Flash Report"}</definedName>
    <definedName name="asdas_3" hidden="1">{#N/A,#N/A,FALSE,"Performance Flash Report"}</definedName>
    <definedName name="asdas_3_1" localSheetId="2" hidden="1">{#N/A,#N/A,FALSE,"Performance Flash Report"}</definedName>
    <definedName name="asdas_3_1" hidden="1">{#N/A,#N/A,FALSE,"Performance Flash Report"}</definedName>
    <definedName name="asdas_3_2" localSheetId="2" hidden="1">{#N/A,#N/A,FALSE,"Performance Flash Report"}</definedName>
    <definedName name="asdas_3_2" hidden="1">{#N/A,#N/A,FALSE,"Performance Flash Report"}</definedName>
    <definedName name="asdas_3_3" localSheetId="2" hidden="1">{#N/A,#N/A,FALSE,"Performance Flash Report"}</definedName>
    <definedName name="asdas_3_3" hidden="1">{#N/A,#N/A,FALSE,"Performance Flash Report"}</definedName>
    <definedName name="asdas_3_4" localSheetId="2" hidden="1">{#N/A,#N/A,FALSE,"Performance Flash Report"}</definedName>
    <definedName name="asdas_3_4" hidden="1">{#N/A,#N/A,FALSE,"Performance Flash Report"}</definedName>
    <definedName name="asdas_4" localSheetId="2" hidden="1">{#N/A,#N/A,FALSE,"Performance Flash Report"}</definedName>
    <definedName name="asdas_4" hidden="1">{#N/A,#N/A,FALSE,"Performance Flash Report"}</definedName>
    <definedName name="asdas_4_1" localSheetId="2" hidden="1">{#N/A,#N/A,FALSE,"Performance Flash Report"}</definedName>
    <definedName name="asdas_4_1" hidden="1">{#N/A,#N/A,FALSE,"Performance Flash Report"}</definedName>
    <definedName name="asdas_4_2" localSheetId="2" hidden="1">{#N/A,#N/A,FALSE,"Performance Flash Report"}</definedName>
    <definedName name="asdas_4_2" hidden="1">{#N/A,#N/A,FALSE,"Performance Flash Report"}</definedName>
    <definedName name="asdas_4_3" localSheetId="2" hidden="1">{#N/A,#N/A,FALSE,"Performance Flash Report"}</definedName>
    <definedName name="asdas_4_3" hidden="1">{#N/A,#N/A,FALSE,"Performance Flash Report"}</definedName>
    <definedName name="asdas_4_4" localSheetId="2" hidden="1">{#N/A,#N/A,FALSE,"Performance Flash Report"}</definedName>
    <definedName name="asdas_4_4" hidden="1">{#N/A,#N/A,FALSE,"Performance Flash Report"}</definedName>
    <definedName name="asdas_5" localSheetId="2" hidden="1">{#N/A,#N/A,FALSE,"Performance Flash Report"}</definedName>
    <definedName name="asdas_5" hidden="1">{#N/A,#N/A,FALSE,"Performance Flash Report"}</definedName>
    <definedName name="asdas_5_1" localSheetId="2" hidden="1">{#N/A,#N/A,FALSE,"Performance Flash Report"}</definedName>
    <definedName name="asdas_5_1" hidden="1">{#N/A,#N/A,FALSE,"Performance Flash Report"}</definedName>
    <definedName name="asdas_5_2" localSheetId="2" hidden="1">{#N/A,#N/A,FALSE,"Performance Flash Report"}</definedName>
    <definedName name="asdas_5_2" hidden="1">{#N/A,#N/A,FALSE,"Performance Flash Report"}</definedName>
    <definedName name="asdas_5_3" localSheetId="2" hidden="1">{#N/A,#N/A,FALSE,"Performance Flash Report"}</definedName>
    <definedName name="asdas_5_3" hidden="1">{#N/A,#N/A,FALSE,"Performance Flash Report"}</definedName>
    <definedName name="asdas_5_4" localSheetId="2" hidden="1">{#N/A,#N/A,FALSE,"Performance Flash Report"}</definedName>
    <definedName name="asdas_5_4" hidden="1">{#N/A,#N/A,FALSE,"Performance Flash Report"}</definedName>
    <definedName name="asdasxfdasfasgadsrts" hidden="1">{#N/A,#N/A,FALSE,"CCTV"}</definedName>
    <definedName name="asdf" hidden="1">#REF!</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hidden="1">{"print 1.6",#N/A,FALSE,"Sheet1";"print 2.6",#N/A,FALSE,"Sheet1";"print 3.6",#N/A,FALSE,"Sheet1";"print 4.6",#N/A,FALSE,"Sheet1";"print 5.6",#N/A,FALSE,"Sheet1";"print 6.6",#N/A,FALSE,"Sheet1"}</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2">{"Book1"}</definedName>
    <definedName name="asdfg">{"Book1"}</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hidden="1">{#N/A,#N/A,FALSE,"단축1";#N/A,#N/A,FALSE,"단축2";#N/A,#N/A,FALSE,"단축3";#N/A,#N/A,FALSE,"장축";#N/A,#N/A,FALSE,"4WD"}</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BlankMacro1</definedName>
    <definedName name="asfd" hidden="1">#REF!</definedName>
    <definedName name="asfdsfas">BlankMacro1</definedName>
    <definedName name="asfg">#REF!</definedName>
    <definedName name="ASS" localSheetId="2" hidden="1">{#N/A,#N/A,FALSE,"을지 (4)";#N/A,#N/A,FALSE,"을지 (5)";#N/A,#N/A,FALSE,"을지 (6)"}</definedName>
    <definedName name="ASS" hidden="1">{#N/A,#N/A,FALSE,"을지 (4)";#N/A,#N/A,FALSE,"을지 (5)";#N/A,#N/A,FALSE,"을지 (6)"}</definedName>
    <definedName name="ASSA"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2" hidden="1">{#N/A,#N/A,FALSE,"채권채무";#N/A,#N/A,FALSE,"control sheet"}</definedName>
    <definedName name="asss" hidden="1">{#N/A,#N/A,FALSE,"채권채무";#N/A,#N/A,FALSE,"control sheet"}</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hidden="1">{#N/A,#N/A,FALSE,"단축1";#N/A,#N/A,FALSE,"단축2";#N/A,#N/A,FALSE,"단축3";#N/A,#N/A,FALSE,"장축";#N/A,#N/A,FALSE,"4WD"}</definedName>
    <definedName name="asxz">#N/A</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hidden="1">{#N/A,#N/A,FALSE,"초도품";#N/A,#N/A,FALSE,"초도품 (2)";#N/A,#N/A,FALSE,"초도품 (3)";#N/A,#N/A,FALSE,"초도품 (4)";#N/A,#N/A,FALSE,"초도품 (5)";#N/A,#N/A,FALSE,"초도품 (6)"}</definedName>
    <definedName name="awear">#REF!</definedName>
    <definedName name="awefrqwr" localSheetId="2" hidden="1">{#N/A,#N/A,FALSE,"Pharm";#N/A,#N/A,FALSE,"WWCM"}</definedName>
    <definedName name="awefrqwr" hidden="1">{#N/A,#N/A,FALSE,"Pharm";#N/A,#N/A,FALSE,"WWCM"}</definedName>
    <definedName name="awsd">#REF!</definedName>
    <definedName name="Ax">#REF!</definedName>
    <definedName name="axcdf" localSheetId="2" hidden="1">{#N/A,#N/A,FALSE,"정공"}</definedName>
    <definedName name="axcdf" hidden="1">{#N/A,#N/A,FALSE,"정공"}</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2" hidden="1">{#N/A,#N/A,FALSE,"P.C.B"}</definedName>
    <definedName name="ban" hidden="1">{#N/A,#N/A,FALSE,"P.C.B"}</definedName>
    <definedName name="BankKey">#REF!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BlankMacro1</definedName>
    <definedName name="bbase">#REF!</definedName>
    <definedName name="BBB"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hidden="1">{"Outflow 1",#N/A,FALSE,"Outflows-Inflows";"Outflow 2",#N/A,FALSE,"Outflows-Inflows";"Inflow 1",#N/A,FALSE,"Outflows-Inflows";"Inflow 2",#N/A,FALSE,"Outflows-Inflows"}</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hidden="1">{#N/A,#N/A,FALSE,"Sheet1"}</definedName>
    <definedName name="bdtgr">#REF!</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hidden="1">{"income statement",#N/A,FALSE,"ATLAS-A"}</definedName>
    <definedName name="BF">#REF!</definedName>
    <definedName name="bfbfdhfdhdfgh" localSheetId="2" hidden="1">{#N/A,#N/A,FALSE,"CCTV"}</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hidden="1">{#N/A,#N/A,FALSE,"Sheet6"}</definedName>
    <definedName name="BHU">#REF!</definedName>
    <definedName name="BI" hidden="1">{#N/A,#N/A,FALSE,"이태원철근"}</definedName>
    <definedName name="BIDO" hidden="1">#REF!</definedName>
    <definedName name="BIGO">#N/A</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2" hidden="1">{#N/A,#N/A,FALSE,"Performance Flash Report"}</definedName>
    <definedName name="blah2" hidden="1">{#N/A,#N/A,FALSE,"Performance Flash Report"}</definedName>
    <definedName name="blah2_1" localSheetId="2" hidden="1">{#N/A,#N/A,FALSE,"Performance Flash Report"}</definedName>
    <definedName name="blah2_1" hidden="1">{#N/A,#N/A,FALSE,"Performance Flash Report"}</definedName>
    <definedName name="blah2_1_1" localSheetId="2" hidden="1">{#N/A,#N/A,FALSE,"Performance Flash Report"}</definedName>
    <definedName name="blah2_1_1" hidden="1">{#N/A,#N/A,FALSE,"Performance Flash Report"}</definedName>
    <definedName name="blah2_1_2" localSheetId="2" hidden="1">{#N/A,#N/A,FALSE,"Performance Flash Report"}</definedName>
    <definedName name="blah2_1_2" hidden="1">{#N/A,#N/A,FALSE,"Performance Flash Report"}</definedName>
    <definedName name="blah2_1_3" localSheetId="2" hidden="1">{#N/A,#N/A,FALSE,"Performance Flash Report"}</definedName>
    <definedName name="blah2_1_3" hidden="1">{#N/A,#N/A,FALSE,"Performance Flash Report"}</definedName>
    <definedName name="blah2_1_4" localSheetId="2" hidden="1">{#N/A,#N/A,FALSE,"Performance Flash Report"}</definedName>
    <definedName name="blah2_1_4" hidden="1">{#N/A,#N/A,FALSE,"Performance Flash Report"}</definedName>
    <definedName name="blah2_2" localSheetId="2" hidden="1">{#N/A,#N/A,FALSE,"Performance Flash Report"}</definedName>
    <definedName name="blah2_2" hidden="1">{#N/A,#N/A,FALSE,"Performance Flash Report"}</definedName>
    <definedName name="blah2_2_1" localSheetId="2" hidden="1">{#N/A,#N/A,FALSE,"Performance Flash Report"}</definedName>
    <definedName name="blah2_2_1" hidden="1">{#N/A,#N/A,FALSE,"Performance Flash Report"}</definedName>
    <definedName name="blah2_2_2" localSheetId="2" hidden="1">{#N/A,#N/A,FALSE,"Performance Flash Report"}</definedName>
    <definedName name="blah2_2_2" hidden="1">{#N/A,#N/A,FALSE,"Performance Flash Report"}</definedName>
    <definedName name="blah2_2_3" localSheetId="2" hidden="1">{#N/A,#N/A,FALSE,"Performance Flash Report"}</definedName>
    <definedName name="blah2_2_3" hidden="1">{#N/A,#N/A,FALSE,"Performance Flash Report"}</definedName>
    <definedName name="blah2_2_4" localSheetId="2" hidden="1">{#N/A,#N/A,FALSE,"Performance Flash Report"}</definedName>
    <definedName name="blah2_2_4" hidden="1">{#N/A,#N/A,FALSE,"Performance Flash Report"}</definedName>
    <definedName name="blah2_3" localSheetId="2" hidden="1">{#N/A,#N/A,FALSE,"Performance Flash Report"}</definedName>
    <definedName name="blah2_3" hidden="1">{#N/A,#N/A,FALSE,"Performance Flash Report"}</definedName>
    <definedName name="blah2_3_1" localSheetId="2" hidden="1">{#N/A,#N/A,FALSE,"Performance Flash Report"}</definedName>
    <definedName name="blah2_3_1" hidden="1">{#N/A,#N/A,FALSE,"Performance Flash Report"}</definedName>
    <definedName name="blah2_3_2" localSheetId="2" hidden="1">{#N/A,#N/A,FALSE,"Performance Flash Report"}</definedName>
    <definedName name="blah2_3_2" hidden="1">{#N/A,#N/A,FALSE,"Performance Flash Report"}</definedName>
    <definedName name="blah2_3_3" localSheetId="2" hidden="1">{#N/A,#N/A,FALSE,"Performance Flash Report"}</definedName>
    <definedName name="blah2_3_3" hidden="1">{#N/A,#N/A,FALSE,"Performance Flash Report"}</definedName>
    <definedName name="blah2_3_4" localSheetId="2" hidden="1">{#N/A,#N/A,FALSE,"Performance Flash Report"}</definedName>
    <definedName name="blah2_3_4" hidden="1">{#N/A,#N/A,FALSE,"Performance Flash Report"}</definedName>
    <definedName name="blah2_4" localSheetId="2" hidden="1">{#N/A,#N/A,FALSE,"Performance Flash Report"}</definedName>
    <definedName name="blah2_4" hidden="1">{#N/A,#N/A,FALSE,"Performance Flash Report"}</definedName>
    <definedName name="blah2_4_1" localSheetId="2" hidden="1">{#N/A,#N/A,FALSE,"Performance Flash Report"}</definedName>
    <definedName name="blah2_4_1" hidden="1">{#N/A,#N/A,FALSE,"Performance Flash Report"}</definedName>
    <definedName name="blah2_4_2" localSheetId="2" hidden="1">{#N/A,#N/A,FALSE,"Performance Flash Report"}</definedName>
    <definedName name="blah2_4_2" hidden="1">{#N/A,#N/A,FALSE,"Performance Flash Report"}</definedName>
    <definedName name="blah2_4_3" localSheetId="2" hidden="1">{#N/A,#N/A,FALSE,"Performance Flash Report"}</definedName>
    <definedName name="blah2_4_3" hidden="1">{#N/A,#N/A,FALSE,"Performance Flash Report"}</definedName>
    <definedName name="blah2_4_4" localSheetId="2" hidden="1">{#N/A,#N/A,FALSE,"Performance Flash Report"}</definedName>
    <definedName name="blah2_4_4" hidden="1">{#N/A,#N/A,FALSE,"Performance Flash Report"}</definedName>
    <definedName name="blah2_5" localSheetId="2" hidden="1">{#N/A,#N/A,FALSE,"Performance Flash Report"}</definedName>
    <definedName name="blah2_5" hidden="1">{#N/A,#N/A,FALSE,"Performance Flash Report"}</definedName>
    <definedName name="blah2_5_1" localSheetId="2" hidden="1">{#N/A,#N/A,FALSE,"Performance Flash Report"}</definedName>
    <definedName name="blah2_5_1" hidden="1">{#N/A,#N/A,FALSE,"Performance Flash Report"}</definedName>
    <definedName name="blah2_5_2" localSheetId="2" hidden="1">{#N/A,#N/A,FALSE,"Performance Flash Report"}</definedName>
    <definedName name="blah2_5_2" hidden="1">{#N/A,#N/A,FALSE,"Performance Flash Report"}</definedName>
    <definedName name="blah2_5_3" localSheetId="2" hidden="1">{#N/A,#N/A,FALSE,"Performance Flash Report"}</definedName>
    <definedName name="blah2_5_3"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2" hidden="1">{#N/A,#N/A,FALSE,"CCTV"}</definedName>
    <definedName name="BM" hidden="1">{#N/A,#N/A,FALSE,"CCTV"}</definedName>
    <definedName name="BN">BlankMacro1</definedName>
    <definedName name="BNE_MESSAGES_HIDDEN" hidden="1">#REF!</definedName>
    <definedName name="bnumber">#REF!</definedName>
    <definedName name="bnwgr">#REF!</definedName>
    <definedName name="Bo">#REF!</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hidden="1">{#N/A,#N/A,FALSE,"단축1";#N/A,#N/A,FALSE,"단축2";#N/A,#N/A,FALSE,"단축3";#N/A,#N/A,FALSE,"장축";#N/A,#N/A,FALSE,"4WD"}</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hidden="1">{#N/A,#N/A,FALSE,"지침";#N/A,#N/A,FALSE,"환경분석";#N/A,#N/A,FALSE,"Sheet16"}</definedName>
    <definedName name="BS_후">#REF!,#REF!,#REF!,#REF!,#REF!,#REF!</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hidden="1">{"Outflow 1",#N/A,FALSE,"Outflows-Inflows";"Outflow 2",#N/A,FALSE,"Outflows-Inflows";"Inflow 1",#N/A,FALSE,"Outflows-Inflows";"Inflow 2",#N/A,FALSE,"Outflows-Inflows"}</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hidden="1">{#N/A,#N/A,FALSE,"단축1";#N/A,#N/A,FALSE,"단축2";#N/A,#N/A,FALSE,"단축3";#N/A,#N/A,FALSE,"장축";#N/A,#N/A,FALSE,"4WD"}</definedName>
    <definedName name="calculations">#REF!</definedName>
    <definedName name="CALENDAR" hidden="1">{#N/A,#N/A,TRUE,"Y생산";#N/A,#N/A,TRUE,"Y판매";#N/A,#N/A,TRUE,"Y총물량";#N/A,#N/A,TRUE,"Y능력";#N/A,#N/A,TRUE,"YKD"}</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2">#REF!,#REF!,#REF!,#REF!,#REF!,#REF!,#REF!,#REF!,#REF!,#REF!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2" hidden="1">{"'5국공정'!$A$1:$E$128"}</definedName>
    <definedName name="cc0" hidden="1">{"'5국공정'!$A$1:$E$128"}</definedName>
    <definedName name="CCC" hidden="1">#REF!</definedName>
    <definedName name="cccccccccccccccccccccc">#N/A</definedName>
    <definedName name="cccddd" hidden="1">{#N/A,#N/A,FALSE,"단축1";#N/A,#N/A,FALSE,"단축2";#N/A,#N/A,FALSE,"단축3";#N/A,#N/A,FALSE,"장축";#N/A,#N/A,FALSE,"4WD"}</definedName>
    <definedName name="CCR" localSheetId="2" hidden="1">{#N/A,#N/A,FALSE,"CCTV"}</definedName>
    <definedName name="CCR" hidden="1">{#N/A,#N/A,FALSE,"CCTV"}</definedName>
    <definedName name="CCR빈양식" localSheetId="2" hidden="1">{#N/A,#N/A,FALSE,"CCTV"}</definedName>
    <definedName name="CCR빈양식" hidden="1">{#N/A,#N/A,FALSE,"CCTV"}</definedName>
    <definedName name="cd">BlankMacro1</definedName>
    <definedName name="cDATA1">#REF!</definedName>
    <definedName name="CDB">CommonDB.xls</definedName>
    <definedName name="cdf">BlankMacro1</definedName>
    <definedName name="CENTA">#REF!</definedName>
    <definedName name="CENTA1">#REF!</definedName>
    <definedName name="CF">#N/A</definedName>
    <definedName name="CF_Eng">#REF!</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hidden="1">{"'용역비'!$A$4:$C$8"}</definedName>
    <definedName name="ch_BS">#REF!</definedName>
    <definedName name="ch_PL">#REF!</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BlankMacro1</definedName>
    <definedName name="CIE">BlankMacro1</definedName>
    <definedName name="CIG">BlankMacro1</definedName>
    <definedName name="CIGH">BlankMacro1</definedName>
    <definedName name="CIGJL">BlankMacro1</definedName>
    <definedName name="CIHG">BlankMacro1</definedName>
    <definedName name="ciperiod">#REF!</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BlankMacro1</definedName>
    <definedName name="CK">#REF!</definedName>
    <definedName name="CKEI">BlankMacro1</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hidden="1">{"'Price List '!$A$1:$R$156"}</definedName>
    <definedName name="CONSUM">#REF!</definedName>
    <definedName name="ContentsHelp" hidden="1">#REF!</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hidden="1">{#N/A,#N/A,FALSE,"단축1";#N/A,#N/A,FALSE,"단축2";#N/A,#N/A,FALSE,"단축3";#N/A,#N/A,FALSE,"장축";#N/A,#N/A,FALSE,"4WD"}</definedName>
    <definedName name="cox" hidden="1">{#N/A,#N/A,FALSE,"Time Warner";#N/A,#N/A,FALSE,"Entertainment Group";#N/A,#N/A,FALSE,"EBITDA";#N/A,#N/A,FALSE,"Notes"}</definedName>
    <definedName name="CO상">#REF!</definedName>
    <definedName name="cp">#REF!</definedName>
    <definedName name="CPAD" hidden="1">{#N/A,#N/A,FALSE,"단축1";#N/A,#N/A,FALSE,"단축2";#N/A,#N/A,FALSE,"단축3";#N/A,#N/A,FALSE,"장축";#N/A,#N/A,FALSE,"4WD"}</definedName>
    <definedName name="CPIU00">3%</definedName>
    <definedName name="CPIU01">4%</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2" hidden="1">{"'Jibu9811 (3)'!$B$1:$J$433"}</definedName>
    <definedName name="CVC" hidden="1">{"'Jibu9811 (3)'!$B$1:$J$433"}</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hidden="1">{#N/A,"Base Case",FALSE,"Revenue";#N/A,"£6.25 Fee",FALSE,"Revenue"}</definedName>
    <definedName name="dasdsa">#REF!</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#REF!</definedName>
    <definedName name="DDDDA">BlankMacro1</definedName>
    <definedName name="ddddd" hidden="1">#REF!</definedName>
    <definedName name="dddddd">#N/A</definedName>
    <definedName name="dddddddd" localSheetId="2" hidden="1">{"'5국공정'!$A$1:$E$128"}</definedName>
    <definedName name="dddddddd" hidden="1">{"'5국공정'!$A$1:$E$128"}</definedName>
    <definedName name="ddddddddd">#REF!</definedName>
    <definedName name="dddddf" hidden="1">{#N/A,#N/A,FALSE,"단축1";#N/A,#N/A,FALSE,"단축2";#N/A,#N/A,FALSE,"단축3";#N/A,#N/A,FALSE,"장축";#N/A,#N/A,FALSE,"4WD"}</definedName>
    <definedName name="dddfg" localSheetId="2" hidden="1">{#N/A,#N/A,FALSE,"정공"}</definedName>
    <definedName name="dddfg" hidden="1">{#N/A,#N/A,FALSE,"정공"}</definedName>
    <definedName name="dDFA" hidden="1">{#N/A,#N/A,FALSE,"단축1";#N/A,#N/A,FALSE,"단축2";#N/A,#N/A,FALSE,"단축3";#N/A,#N/A,FALSE,"장축";#N/A,#N/A,FALSE,"4WD"}</definedName>
    <definedName name="DDFD" localSheetId="2" hidden="1">{#N/A,#N/A,FALSE,"CCTV"}</definedName>
    <definedName name="DDFD" hidden="1">{#N/A,#N/A,FALSE,"CCTV"}</definedName>
    <definedName name="DDQ">BlankMacro1</definedName>
    <definedName name="DDS" localSheetId="2" hidden="1">{#N/A,#N/A,FALSE,"을지 (4)";#N/A,#N/A,FALSE,"을지 (5)";#N/A,#N/A,FALSE,"을지 (6)"}</definedName>
    <definedName name="DDS" hidden="1">{#N/A,#N/A,FALSE,"을지 (4)";#N/A,#N/A,FALSE,"을지 (5)";#N/A,#N/A,FALSE,"을지 (6)"}</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hidden="1">{#N/A,#N/A,TRUE,"Julio";#N/A,#N/A,TRUE,"Agosto";#N/A,#N/A,TRUE,"BHCo";#N/A,#N/A,TRUE,"Abril";#N/A,#N/A,TRUE,"Pro Forma"}</definedName>
    <definedName name="DEFERRED">#REF!</definedName>
    <definedName name="DEFERRED2">#REF!</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2" hidden="1">{#N/A,#N/A,FALSE,"Aging Summary";#N/A,#N/A,FALSE,"Ratio Analysis";#N/A,#N/A,FALSE,"Test 120 Day Accts";#N/A,#N/A,FALSE,"Tickmarks"}</definedName>
    <definedName name="DF" hidden="1">{#N/A,#N/A,FALSE,"Aging Summary";#N/A,#N/A,FALSE,"Ratio Analysis";#N/A,#N/A,FALSE,"Test 120 Day Accts";#N/A,#N/A,FALSE,"Tickmarks"}</definedName>
    <definedName name="DFA" hidden="1">{#N/A,#N/A,FALSE,"단축1";#N/A,#N/A,FALSE,"단축2";#N/A,#N/A,FALSE,"단축3";#N/A,#N/A,FALSE,"장축";#N/A,#N/A,FALSE,"4WD"}</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hidden="1">{#N/A,#N/A,FALSE,"Sheet6"}</definedName>
    <definedName name="DFDF" localSheetId="2" hidden="1">{#N/A,#N/A,FALSE,"Aging Summary";#N/A,#N/A,FALSE,"Ratio Analysis";#N/A,#N/A,FALSE,"Test 120 Day Accts";#N/A,#N/A,FALSE,"Tickmarks"}</definedName>
    <definedName name="DFDF" hidden="1">{#N/A,#N/A,FALSE,"Aging Summary";#N/A,#N/A,FALSE,"Ratio Analysis";#N/A,#N/A,FALSE,"Test 120 Day Accts";#N/A,#N/A,FALSE,"Tickmarks"}</definedName>
    <definedName name="dfds">#REF!</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2" hidden="1">{"'Jibu9811 (3)'!$B$1:$J$433"}</definedName>
    <definedName name="DFHGHF" hidden="1">{"'Jibu9811 (3)'!$B$1:$J$433"}</definedName>
    <definedName name="dfhkhfkjsg" hidden="1">{"'Sheet1'!$A$1:$H$36"}</definedName>
    <definedName name="DFJDFJFJFJF" hidden="1">{#N/A,#N/A,TRUE,"Y생산";#N/A,#N/A,TRUE,"Y판매";#N/A,#N/A,TRUE,"Y총물량";#N/A,#N/A,TRUE,"Y능력";#N/A,#N/A,TRUE,"YKD"}</definedName>
    <definedName name="DFJHD" hidden="1">{#N/A,#N/A,FALSE,"단축1";#N/A,#N/A,FALSE,"단축2";#N/A,#N/A,FALSE,"단축3";#N/A,#N/A,FALSE,"장축";#N/A,#N/A,FALSE,"4WD"}</definedName>
    <definedName name="dfjkdhf" hidden="1">{"'Sheet1'!$A$1:$H$36"}</definedName>
    <definedName name="dflhsdpif" localSheetId="2" hidden="1">{"'Jibu9811 (3)'!$B$1:$J$433"}</definedName>
    <definedName name="dflhsdpif" hidden="1">{"'Jibu9811 (3)'!$B$1:$J$433"}</definedName>
    <definedName name="dfs" hidden="1">{#N/A,#N/A,FALSE,"Sheet1"}</definedName>
    <definedName name="dfsad" hidden="1">#REF!</definedName>
    <definedName name="DFSD" hidden="1">{#N/A,#N/A,FALSE,"Sheet6"}</definedName>
    <definedName name="dfsdf">#REF!</definedName>
    <definedName name="dfsdsfsfdsfd"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BlankMacro1</definedName>
    <definedName name="DGF" hidden="1">{#N/A,#N/A,FALSE,"단축1";#N/A,#N/A,FALSE,"단축2";#N/A,#N/A,FALSE,"단축3";#N/A,#N/A,FALSE,"장축";#N/A,#N/A,FALSE,"4WD"}</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2" hidden="1">{#N/A,#N/A,FALSE,"CCTV"}</definedName>
    <definedName name="dgfgjgj" hidden="1">{#N/A,#N/A,FALSE,"CCTV"}</definedName>
    <definedName name="Dgo">#REF!</definedName>
    <definedName name="dgs" hidden="1">#REF!</definedName>
    <definedName name="dgsg">BLCH</definedName>
    <definedName name="Dgx">#REF!</definedName>
    <definedName name="Dgz">#REF!</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hidden="1">{"'Sheet1'!$A$1:$H$36"}</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hidden="1">{"'용역비'!$A$4:$C$8"}</definedName>
    <definedName name="dhjkfhdjkhslhjkls" hidden="1">{"'Sheet1'!$A$1:$H$36"}</definedName>
    <definedName name="dhksie"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hidden="1">{#N/A,#N/A,TRUE,"경전'96(1)";#N/A,#N/A,TRUE,"경전'96 (2)"}</definedName>
    <definedName name="DJDJ" localSheetId="2" hidden="1">{#N/A,#N/A,FALSE,"9612"}</definedName>
    <definedName name="DJDJ" hidden="1">{#N/A,#N/A,FALSE,"9612"}</definedName>
    <definedName name="djfljdlf">#N/A</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hidden="1">{"'Sheet1'!$A$1:$H$36"}</definedName>
    <definedName name="dk" hidden="1">#REF!</definedName>
    <definedName name="DKD" localSheetId="2" hidden="1">{#N/A,#N/A,FALSE,"기안지";#N/A,#N/A,FALSE,"통신지"}</definedName>
    <definedName name="DKD" hidden="1">{#N/A,#N/A,FALSE,"기안지";#N/A,#N/A,FALSE,"통신지"}</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2" hidden="1">{#N/A,#N/A,FALSE,"UNIT";#N/A,#N/A,FALSE,"UNIT";#N/A,#N/A,FALSE,"계정"}</definedName>
    <definedName name="dkdkd" hidden="1">{#N/A,#N/A,FALSE,"UNIT";#N/A,#N/A,FALSE,"UNIT";#N/A,#N/A,FALSE,"계정"}</definedName>
    <definedName name="dkdkdk" hidden="1">{"'Sheet1'!$A$1:$H$36"}</definedName>
    <definedName name="dkdlrh" hidden="1">{"'Sheet1'!$A$1:$D$15"}</definedName>
    <definedName name="DKE">BlankMacro1</definedName>
    <definedName name="dkf" hidden="1">{#N/A,#N/A,FALSE,"단축1";#N/A,#N/A,FALSE,"단축2";#N/A,#N/A,FALSE,"단축3";#N/A,#N/A,FALSE,"장축";#N/A,#N/A,FALSE,"4WD"}</definedName>
    <definedName name="DKHG">BlankMacro1</definedName>
    <definedName name="dkiw">BlankMacro1</definedName>
    <definedName name="dkjiqw">#N/A</definedName>
    <definedName name="dkslke" hidden="1">{"'Sheet1'!$A$1:$H$36"}</definedName>
    <definedName name="dl">#REF!</definedName>
    <definedName name="DLAKL" hidden="1">{#N/A,#N/A,TRUE,"Y생산";#N/A,#N/A,TRUE,"Y판매";#N/A,#N/A,TRUE,"Y총물량";#N/A,#N/A,TRUE,"Y능력";#N/A,#N/A,TRUE,"YKD"}</definedName>
    <definedName name="DLATL"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2">BlankMacro1</definedName>
    <definedName name="dnfl" localSheetId="0">BlankMacro1</definedName>
    <definedName name="dnfl">BlankMacro1</definedName>
    <definedName name="dnlksnlkslk" hidden="1">{"'Sheet1'!$A$1:$H$36"}</definedName>
    <definedName name="DNTL" hidden="1">{#N/A,#N/A,FALSE,"단축1";#N/A,#N/A,FALSE,"단축2";#N/A,#N/A,FALSE,"단축3";#N/A,#N/A,FALSE,"장축";#N/A,#N/A,FALSE,"4WD"}</definedName>
    <definedName name="DOC">#REF!</definedName>
    <definedName name="DOCK" localSheetId="2" hidden="1">#REF!</definedName>
    <definedName name="DOCK" hidden="1">#REF!</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hidden="1">{#N/A,#N/A,FALSE,"표지";#N/A,#N/A,FALSE,"전제";#N/A,#N/A,FALSE,"손익-자 (2)";#N/A,#N/A,FALSE,"손익-자";#N/A,#N/A,FALSE,"손익-마 (2)";#N/A,#N/A,FALSE,"손익-마";#N/A,#N/A,FALSE,"총손최종"}</definedName>
    <definedName name="DR" hidden="1">#REF!</definedName>
    <definedName name="dre" hidden="1">{"comp1",#N/A,FALSE,"COMPS";"footnotes",#N/A,FALSE,"COMPS"}</definedName>
    <definedName name="drg" hidden="1">#REF!</definedName>
    <definedName name="DRIVEABILITY" hidden="1">{#N/A,#N/A,FALSE,"단축1";#N/A,#N/A,FALSE,"단축2";#N/A,#N/A,FALSE,"단축3";#N/A,#N/A,FALSE,"장축";#N/A,#N/A,FALSE,"4WD"}</definedName>
    <definedName name="DropdownPerformedby">#REF!</definedName>
    <definedName name="drsg">#REF!</definedName>
    <definedName name="ds" localSheetId="2">BlankMacro1</definedName>
    <definedName name="ds" localSheetId="0">BlankMacro1</definedName>
    <definedName name="ds">BlankMacro1</definedName>
    <definedName name="DSA" localSheetId="2" hidden="1">{#N/A,#N/A,FALSE,"을지 (4)";#N/A,#N/A,FALSE,"을지 (5)";#N/A,#N/A,FALSE,"을지 (6)"}</definedName>
    <definedName name="DSA" hidden="1">{#N/A,#N/A,FALSE,"을지 (4)";#N/A,#N/A,FALSE,"을지 (5)";#N/A,#N/A,FALSE,"을지 (6)"}</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hidden="1">{"Monthly 1999 Stats",#N/A,FALSE,"Months";"Monthly 1999 IS",#N/A,FALSE,"Months"}</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hidden="1">{#N/A,#N/A,FALSE,"단축1";#N/A,#N/A,FALSE,"단축2";#N/A,#N/A,FALSE,"단축3";#N/A,#N/A,FALSE,"장축";#N/A,#N/A,FALSE,"4WD"}</definedName>
    <definedName name="DSDSD" hidden="1">{#N/A,#N/A,FALSE,"단축1";#N/A,#N/A,FALSE,"단축2";#N/A,#N/A,FALSE,"단축3";#N/A,#N/A,FALSE,"장축";#N/A,#N/A,FALSE,"4WD"}</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BlankMacro1</definedName>
    <definedName name="EADAF" hidden="1">{#N/A,#N/A,FALSE,"단축1";#N/A,#N/A,FALSE,"단축2";#N/A,#N/A,FALSE,"단축3";#N/A,#N/A,FALSE,"장축";#N/A,#N/A,FALSE,"4WD"}</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hidden="1">{#N/A,#N/A,FALSE,"운반시간"}</definedName>
    <definedName name="eee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hidden="1">{#N/A,#N/A,TRUE,"Y생산";#N/A,#N/A,TRUE,"Y판매";#N/A,#N/A,TRUE,"Y총물량";#N/A,#N/A,TRUE,"Y능력";#N/A,#N/A,TRUE,"YKD"}</definedName>
    <definedName name="eeojfkjks" hidden="1">{"'Sheet1'!$A$1:$H$36"}</definedName>
    <definedName name="EF">#REF!</definedName>
    <definedName name="efbar" localSheetId="2" hidden="1">{#N/A,#N/A,FALSE,"Performance Flash Report"}</definedName>
    <definedName name="efbar" hidden="1">{#N/A,#N/A,FALSE,"Performance Flash Report"}</definedName>
    <definedName name="efbar_1" localSheetId="2" hidden="1">{#N/A,#N/A,FALSE,"Performance Flash Report"}</definedName>
    <definedName name="efbar_1" hidden="1">{#N/A,#N/A,FALSE,"Performance Flash Report"}</definedName>
    <definedName name="efbar_1_1" localSheetId="2" hidden="1">{#N/A,#N/A,FALSE,"Performance Flash Report"}</definedName>
    <definedName name="efbar_1_1" hidden="1">{#N/A,#N/A,FALSE,"Performance Flash Report"}</definedName>
    <definedName name="efbar_1_2" localSheetId="2" hidden="1">{#N/A,#N/A,FALSE,"Performance Flash Report"}</definedName>
    <definedName name="efbar_1_2" hidden="1">{#N/A,#N/A,FALSE,"Performance Flash Report"}</definedName>
    <definedName name="efbar_1_3" localSheetId="2" hidden="1">{#N/A,#N/A,FALSE,"Performance Flash Report"}</definedName>
    <definedName name="efbar_1_3" hidden="1">{#N/A,#N/A,FALSE,"Performance Flash Report"}</definedName>
    <definedName name="efbar_1_4" localSheetId="2" hidden="1">{#N/A,#N/A,FALSE,"Performance Flash Report"}</definedName>
    <definedName name="efbar_1_4" hidden="1">{#N/A,#N/A,FALSE,"Performance Flash Report"}</definedName>
    <definedName name="efbar_2" localSheetId="2" hidden="1">{#N/A,#N/A,FALSE,"Performance Flash Report"}</definedName>
    <definedName name="efbar_2" hidden="1">{#N/A,#N/A,FALSE,"Performance Flash Report"}</definedName>
    <definedName name="efbar_2_1" localSheetId="2" hidden="1">{#N/A,#N/A,FALSE,"Performance Flash Report"}</definedName>
    <definedName name="efbar_2_1" hidden="1">{#N/A,#N/A,FALSE,"Performance Flash Report"}</definedName>
    <definedName name="efbar_2_2" localSheetId="2" hidden="1">{#N/A,#N/A,FALSE,"Performance Flash Report"}</definedName>
    <definedName name="efbar_2_2" hidden="1">{#N/A,#N/A,FALSE,"Performance Flash Report"}</definedName>
    <definedName name="efbar_2_3" localSheetId="2" hidden="1">{#N/A,#N/A,FALSE,"Performance Flash Report"}</definedName>
    <definedName name="efbar_2_3" hidden="1">{#N/A,#N/A,FALSE,"Performance Flash Report"}</definedName>
    <definedName name="efbar_2_4" localSheetId="2" hidden="1">{#N/A,#N/A,FALSE,"Performance Flash Report"}</definedName>
    <definedName name="efbar_2_4" hidden="1">{#N/A,#N/A,FALSE,"Performance Flash Report"}</definedName>
    <definedName name="efbar_3" localSheetId="2" hidden="1">{#N/A,#N/A,FALSE,"Performance Flash Report"}</definedName>
    <definedName name="efbar_3" hidden="1">{#N/A,#N/A,FALSE,"Performance Flash Report"}</definedName>
    <definedName name="efbar_3_1" localSheetId="2" hidden="1">{#N/A,#N/A,FALSE,"Performance Flash Report"}</definedName>
    <definedName name="efbar_3_1" hidden="1">{#N/A,#N/A,FALSE,"Performance Flash Report"}</definedName>
    <definedName name="efbar_3_2" localSheetId="2" hidden="1">{#N/A,#N/A,FALSE,"Performance Flash Report"}</definedName>
    <definedName name="efbar_3_2" hidden="1">{#N/A,#N/A,FALSE,"Performance Flash Report"}</definedName>
    <definedName name="efbar_3_3" localSheetId="2" hidden="1">{#N/A,#N/A,FALSE,"Performance Flash Report"}</definedName>
    <definedName name="efbar_3_3" hidden="1">{#N/A,#N/A,FALSE,"Performance Flash Report"}</definedName>
    <definedName name="efbar_3_4" localSheetId="2" hidden="1">{#N/A,#N/A,FALSE,"Performance Flash Report"}</definedName>
    <definedName name="efbar_3_4" hidden="1">{#N/A,#N/A,FALSE,"Performance Flash Report"}</definedName>
    <definedName name="efbar_4" localSheetId="2" hidden="1">{#N/A,#N/A,FALSE,"Performance Flash Report"}</definedName>
    <definedName name="efbar_4" hidden="1">{#N/A,#N/A,FALSE,"Performance Flash Report"}</definedName>
    <definedName name="efbar_4_1" localSheetId="2" hidden="1">{#N/A,#N/A,FALSE,"Performance Flash Report"}</definedName>
    <definedName name="efbar_4_1" hidden="1">{#N/A,#N/A,FALSE,"Performance Flash Report"}</definedName>
    <definedName name="efbar_4_2" localSheetId="2" hidden="1">{#N/A,#N/A,FALSE,"Performance Flash Report"}</definedName>
    <definedName name="efbar_4_2" hidden="1">{#N/A,#N/A,FALSE,"Performance Flash Report"}</definedName>
    <definedName name="efbar_4_3" localSheetId="2" hidden="1">{#N/A,#N/A,FALSE,"Performance Flash Report"}</definedName>
    <definedName name="efbar_4_3" hidden="1">{#N/A,#N/A,FALSE,"Performance Flash Report"}</definedName>
    <definedName name="efbar_4_4" localSheetId="2" hidden="1">{#N/A,#N/A,FALSE,"Performance Flash Report"}</definedName>
    <definedName name="efbar_4_4" hidden="1">{#N/A,#N/A,FALSE,"Performance Flash Report"}</definedName>
    <definedName name="efbar_5" localSheetId="2" hidden="1">{#N/A,#N/A,FALSE,"Performance Flash Report"}</definedName>
    <definedName name="efbar_5" hidden="1">{#N/A,#N/A,FALSE,"Performance Flash Report"}</definedName>
    <definedName name="efbar_5_1" localSheetId="2" hidden="1">{#N/A,#N/A,FALSE,"Performance Flash Report"}</definedName>
    <definedName name="efbar_5_1" hidden="1">{#N/A,#N/A,FALSE,"Performance Flash Report"}</definedName>
    <definedName name="efbar_5_2" localSheetId="2" hidden="1">{#N/A,#N/A,FALSE,"Performance Flash Report"}</definedName>
    <definedName name="efbar_5_2" hidden="1">{#N/A,#N/A,FALSE,"Performance Flash Report"}</definedName>
    <definedName name="efbar_5_3" localSheetId="2" hidden="1">{#N/A,#N/A,FALSE,"Performance Flash Report"}</definedName>
    <definedName name="efbar_5_3"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hidden="1">{#N/A,#N/A,FALSE,"단축1";#N/A,#N/A,FALSE,"단축2";#N/A,#N/A,FALSE,"단축3";#N/A,#N/A,FALSE,"장축";#N/A,#N/A,FALSE,"4WD"}</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hidden="1">{#N/A,#N/A,FALSE,"단축1";#N/A,#N/A,FALSE,"단축2";#N/A,#N/A,FALSE,"단축3";#N/A,#N/A,FALSE,"장축";#N/A,#N/A,FALSE,"4WD"}</definedName>
    <definedName name="ej" hidden="1">{"'용역비'!$A$4:$C$8"}</definedName>
    <definedName name="ejklejle" hidden="1">{"'Sheet1'!$A$1:$H$36"}</definedName>
    <definedName name="EK" hidden="1">#REF!</definedName>
    <definedName name="EKCI">BlankMacro1</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2" hidden="1">{#N/A,#N/A,FALSE,"BS";#N/A,#N/A,FALSE,"PL";#N/A,#N/A,FALSE,"처분";#N/A,#N/A,FALSE,"현금";#N/A,#N/A,FALSE,"매출";#N/A,#N/A,FALSE,"원가";#N/A,#N/A,FALSE,"경영"}</definedName>
    <definedName name="eo" hidden="1">{#N/A,#N/A,FALSE,"BS";#N/A,#N/A,FALSE,"PL";#N/A,#N/A,FALSE,"처분";#N/A,#N/A,FALSE,"현금";#N/A,#N/A,FALSE,"매출";#N/A,#N/A,FALSE,"원가";#N/A,#N/A,FALSE,"경영"}</definedName>
    <definedName name="EOCK">#REF!</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hidden="1">{#N/A,#N/A,FALSE,"단축1";#N/A,#N/A,FALSE,"단축2";#N/A,#N/A,FALSE,"단축3";#N/A,#N/A,FALSE,"장축";#N/A,#N/A,FALSE,"4WD"}</definedName>
    <definedName name="ers">#N/A</definedName>
    <definedName name="ertyertye" hidden="1">{"'용역비'!$A$4:$C$8"}</definedName>
    <definedName name="erwrw">#N/A</definedName>
    <definedName name="erwrwe" hidden="1">{#N/A,#N/A,FALSE,"Sheet1"}</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hidden="1">{#N/A,#N/A,FALSE,"Sheet6"}</definedName>
    <definedName name="ETWEGF" hidden="1">{#N/A,#N/A,FALSE,"Sheet6"}</definedName>
    <definedName name="etyj"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hidden="1">{#N/A,#N/A,FALSE,"초도품";#N/A,#N/A,FALSE,"초도품 (2)";#N/A,#N/A,FALSE,"초도품 (3)";#N/A,#N/A,FALSE,"초도품 (4)";#N/A,#N/A,FALSE,"초도품 (5)";#N/A,#N/A,FALSE,"초도품 (6)"}</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2" hidden="1">{#N/A,#N/A,TRUE,"일정"}</definedName>
    <definedName name="EXT" hidden="1">{#N/A,#N/A,TRUE,"일정"}</definedName>
    <definedName name="_xlnm.Extract">#REF!</definedName>
    <definedName name="Extract_MI">#REF!</definedName>
    <definedName name="EXTT" localSheetId="2" hidden="1">{#N/A,#N/A,TRUE,"일정"}</definedName>
    <definedName name="EXTT" hidden="1">{#N/A,#N/A,TRUE,"일정"}</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BlankMacro1</definedName>
    <definedName name="fall" hidden="1">#REF!</definedName>
    <definedName name="fasdf" hidden="1">#REF!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2" hidden="1">{"'Jibu9811 (3)'!$B$1:$J$433"}</definedName>
    <definedName name="FASJFSLFJKLSF" hidden="1">{"'Jibu9811 (3)'!$B$1:$J$433"}</definedName>
    <definedName name="FC" hidden="1">{#N/A,#N/A,FALSE,"단축1";#N/A,#N/A,FALSE,"단축2";#N/A,#N/A,FALSE,"단축3";#N/A,#N/A,FALSE,"장축";#N/A,#N/A,FALSE,"4WD"}</definedName>
    <definedName name="FC." hidden="1">{#N/A,#N/A,FALSE,"단축1";#N/A,#N/A,FALSE,"단축2";#N/A,#N/A,FALSE,"단축3";#N/A,#N/A,FALSE,"장축";#N/A,#N/A,FALSE,"4WD"}</definedName>
    <definedName name="fck">#REF!</definedName>
    <definedName name="FCLINE2" hidden="1">{#N/A,#N/A,FALSE,"단축1";#N/A,#N/A,FALSE,"단축2";#N/A,#N/A,FALSE,"단축3";#N/A,#N/A,FALSE,"장축";#N/A,#N/A,FALSE,"4WD"}</definedName>
    <definedName name="FCode" hidden="1">#REF!</definedName>
    <definedName name="FD" localSheetId="2" hidden="1">{#N/A,#N/A,FALSE,"Aging Summary";#N/A,#N/A,FALSE,"Ratio Analysis";#N/A,#N/A,FALSE,"Test 120 Day Accts";#N/A,#N/A,FALSE,"Tickmarks"}</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2" hidden="1">{#N/A,#N/A,FALSE,"CCTV"}</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BlankMacro1</definedName>
    <definedName name="fdfd" localSheetId="2" hidden="1">{#N/A,#N/A,FALSE,"Aging Summary";#N/A,#N/A,FALSE,"Ratio Analysis";#N/A,#N/A,FALSE,"Test 120 Day Accts";#N/A,#N/A,FALSE,"Tickmarks"}</definedName>
    <definedName name="fdfd" hidden="1">{#N/A,#N/A,FALSE,"Aging Summary";#N/A,#N/A,FALSE,"Ratio Analysis";#N/A,#N/A,FALSE,"Test 120 Day Accts";#N/A,#N/A,FALSE,"Tickmarks"}</definedName>
    <definedName name="FDFDF" localSheetId="2" hidden="1">{#N/A,#N/A,FALSE,"CCTV"}</definedName>
    <definedName name="FDFDF" hidden="1">{#N/A,#N/A,FALSE,"CCTV"}</definedName>
    <definedName name="FDG" localSheetId="2" hidden="1">{"'Jibu9811 (3)'!$B$1:$J$433"}</definedName>
    <definedName name="FDG" hidden="1">{"'Jibu9811 (3)'!$B$1:$J$433"}</definedName>
    <definedName name="FDGHDFG" hidden="1">{#N/A,#N/A,FALSE,"단축1";#N/A,#N/A,FALSE,"단축2";#N/A,#N/A,FALSE,"단축3";#N/A,#N/A,FALSE,"장축";#N/A,#N/A,FALSE,"4WD"}</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hidden="1">{#N/A,#N/A,FALSE,"단축1";#N/A,#N/A,FALSE,"단축2";#N/A,#N/A,FALSE,"단축3";#N/A,#N/A,FALSE,"장축";#N/A,#N/A,FALSE,"4WD"}</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hidden="1">{#N/A,#N/A,FALSE,"단축1";#N/A,#N/A,FALSE,"단축2";#N/A,#N/A,FALSE,"단축3";#N/A,#N/A,FALSE,"장축";#N/A,#N/A,FALSE,"4WD"}</definedName>
    <definedName name="FFDF" hidden="1">{#N/A,#N/A,FALSE,"단축1";#N/A,#N/A,FALSE,"단축2";#N/A,#N/A,FALSE,"단축3";#N/A,#N/A,FALSE,"장축";#N/A,#N/A,FALSE,"4WD"}</definedName>
    <definedName name="ffee" localSheetId="2" hidden="1">{"'買掛金'!$J$6"}</definedName>
    <definedName name="ffee" hidden="1">{"'買掛金'!$J$6"}</definedName>
    <definedName name="FFF">#REF!</definedName>
    <definedName name="FFFFF" hidden="1">{#N/A,#N/A,FALSE,"단축1";#N/A,#N/A,FALSE,"단축2";#N/A,#N/A,FALSE,"단축3";#N/A,#N/A,FALSE,"장축";#N/A,#N/A,FALSE,"4WD"}</definedName>
    <definedName name="ffffff" localSheetId="2" hidden="1">{#N/A,#N/A,FALSE,"CCTV"}</definedName>
    <definedName name="ffffff" hidden="1">{#N/A,#N/A,FALSE,"CCTV"}</definedName>
    <definedName name="fffgfg" hidden="1">{#N/A,#N/A,FALSE,"단축1";#N/A,#N/A,FALSE,"단축2";#N/A,#N/A,FALSE,"단축3";#N/A,#N/A,FALSE,"장축";#N/A,#N/A,FALSE,"4WD"}</definedName>
    <definedName name="ffwefrhj2ljw" localSheetId="2" hidden="1">{"'Jibu9811 (3)'!$B$1:$J$433"}</definedName>
    <definedName name="ffwefrhj2ljw" hidden="1">{"'Jibu9811 (3)'!$B$1:$J$433"}</definedName>
    <definedName name="FG">#REF!</definedName>
    <definedName name="FG46TBTB4RTDKDK">#REF!</definedName>
    <definedName name="FGF" localSheetId="2" hidden="1">{#N/A,#N/A,FALSE,"CCTV"}</definedName>
    <definedName name="FGF" hidden="1">{#N/A,#N/A,FALSE,"CCTV"}</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hidden="1">{#N/A,#N/A,FALSE,"단축1";#N/A,#N/A,FALSE,"단축2";#N/A,#N/A,FALSE,"단축3";#N/A,#N/A,FALSE,"장축";#N/A,#N/A,FALSE,"4WD"}</definedName>
    <definedName name="FGJ">#N/A</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2" hidden="1">{#N/A,#N/A,FALSE,"CCTV"}</definedName>
    <definedName name="fhgjfghfghgf" hidden="1">{#N/A,#N/A,FALSE,"CCTV"}</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hidden="1">{#N/A,#N/A,TRUE,"경전'96(1)";#N/A,#N/A,TRUE,"경전'96 (2)"}</definedName>
    <definedName name="fila" localSheetId="2" hidden="1">{#N/A,#N/A,FALSE,"채권채무";#N/A,#N/A,FALSE,"control sheet"}</definedName>
    <definedName name="fila"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2" hidden="1">{#N/A,#N/A,FALSE,"을지 (4)";#N/A,#N/A,FALSE,"을지 (5)";#N/A,#N/A,FALSE,"을지 (6)"}</definedName>
    <definedName name="fjalaslaslfasllaa" hidden="1">{#N/A,#N/A,FALSE,"을지 (4)";#N/A,#N/A,FALSE,"을지 (5)";#N/A,#N/A,FALSE,"을지 (6)"}</definedName>
    <definedName name="FJD" localSheetId="2" hidden="1">{#N/A,#N/A,FALSE,"단축1";#N/A,#N/A,FALSE,"단축2";#N/A,#N/A,FALSE,"단축3";#N/A,#N/A,FALSE,"장축";#N/A,#N/A,FALSE,"4WD"}</definedName>
    <definedName name="FJD" hidden="1">{#N/A,#N/A,FALSE,"단축1";#N/A,#N/A,FALSE,"단축2";#N/A,#N/A,FALSE,"단축3";#N/A,#N/A,FALSE,"장축";#N/A,#N/A,FALSE,"4WD"}</definedName>
    <definedName name="fjdi0s" hidden="1">#N/A</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hidden="1">{#N/A,#N/A,FALSE,"단축1";#N/A,#N/A,FALSE,"단축2";#N/A,#N/A,FALSE,"단축3";#N/A,#N/A,FALSE,"장축";#N/A,#N/A,FALSE,"4WD"}</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hidden="1">{"'Sheet1'!$A$1:$H$36"}</definedName>
    <definedName name="FK" hidden="1">{"'용역비'!$A$4:$C$8"}</definedName>
    <definedName name="FKFK"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hidden="1">{"'Sheet1'!$A$1:$H$36"}</definedName>
    <definedName name="FN">#REF!</definedName>
    <definedName name="fno">#REF!</definedName>
    <definedName name="fnx">#REF!</definedName>
    <definedName name="fnz">#REF!</definedName>
    <definedName name="fo">#REF!</definedName>
    <definedName name="FOB가" hidden="1">{#N/A,#N/A,FALSE,"단축1";#N/A,#N/A,FALSE,"단축2";#N/A,#N/A,FALSE,"단축3";#N/A,#N/A,FALSE,"장축";#N/A,#N/A,FALSE,"4WD"}</definedName>
    <definedName name="footing">#REF!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hidden="1">{#N/A,#N/A,FALSE,"단축1";#N/A,#N/A,FALSE,"단축2";#N/A,#N/A,FALSE,"단축3";#N/A,#N/A,FALSE,"장축";#N/A,#N/A,FALSE,"4WD"}</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hidden="1">{"comp1",#N/A,FALSE,"COMPS";"footnotes",#N/A,FALSE,"COMPS"}</definedName>
    <definedName name="fsf">BlankMacro1</definedName>
    <definedName name="FSform">#REF!</definedName>
    <definedName name="fsg" hidden="1">{#N/A,#N/A,TRUE,"Cover His T";#N/A,#N/A,TRUE,"P&amp;L";#N/A,#N/A,TRUE,"BS";#N/A,#N/A,TRUE,"Depreciation";#N/A,#N/A,TRUE,"GRAPHS";#N/A,#N/A,TRUE,"DCF EBITDA Multiple";#N/A,#N/A,TRUE,"DCF Perpetual Growth"}</definedName>
    <definedName name="FSoPacific" hidden="1">{"BS",#N/A,FALSE,"USA"}</definedName>
    <definedName name="fsq" localSheetId="2">BlankMacro1</definedName>
    <definedName name="fsq" localSheetId="0">BlankMacro1</definedName>
    <definedName name="fsq">BlankMacro1</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hidden="1">{#N/A,#N/A,FALSE,"단축1";#N/A,#N/A,FALSE,"단축2";#N/A,#N/A,FALSE,"단축3";#N/A,#N/A,FALSE,"장축";#N/A,#N/A,FALSE,"4WD"}</definedName>
    <definedName name="Ftx">#REF!</definedName>
    <definedName name="FTYGHJKL" hidden="1">{#N/A,#N/A,TRUE,"경전'96(1)";#N/A,#N/A,TRUE,"경전'96 (2)"}</definedName>
    <definedName name="Ftz">#REF!</definedName>
    <definedName name="fuckyou">#N/A</definedName>
    <definedName name="FUIEA">#N/A</definedName>
    <definedName name="FUYU" hidden="1">{#N/A,#N/A,FALSE,"단축1";#N/A,#N/A,FALSE,"단축2";#N/A,#N/A,FALSE,"단축3";#N/A,#N/A,FALSE,"장축";#N/A,#N/A,FALSE,"4WD"}</definedName>
    <definedName name="Fwd">#REF!</definedName>
    <definedName name="Fx">#REF!</definedName>
    <definedName name="fy">#REF!</definedName>
    <definedName name="g" localSheetId="2">{"Book1"}</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2">BlankMacro1</definedName>
    <definedName name="gc" localSheetId="0">BlankMacro1</definedName>
    <definedName name="gc">BlankMacro1</definedName>
    <definedName name="GCJK">#REF!</definedName>
    <definedName name="GCODE">#N/A</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BlankMacro1</definedName>
    <definedName name="GEMCO" hidden="1">#REF!</definedName>
    <definedName name="gf">#REF!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e">#REF!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hidden="1">{#N/A,#N/A,FALSE,"단축1";#N/A,#N/A,FALSE,"단축2";#N/A,#N/A,FALSE,"단축3";#N/A,#N/A,FALSE,"장축";#N/A,#N/A,FALSE,"4WD"}</definedName>
    <definedName name="gfggfr">#REF!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hidden="1">{#N/A,#N/A,FALSE,"Sheet6"}</definedName>
    <definedName name="gfjgfh" localSheetId="2" hidden="1">{#N/A,#N/A,FALSE,"CCTV"}</definedName>
    <definedName name="gfjgfh" hidden="1">{#N/A,#N/A,FALSE,"CCTV"}</definedName>
    <definedName name="gfjgfhfg" localSheetId="2" hidden="1">{#N/A,#N/A,FALSE,"CCTV"}</definedName>
    <definedName name="gfjgfhfg" hidden="1">{#N/A,#N/A,FALSE,"CCTV"}</definedName>
    <definedName name="gg" localSheetId="2" hidden="1">{#N/A,#N/A,TRUE,"Summary";#N/A,#N/A,TRUE,"IS";#N/A,#N/A,TRUE,"Adj";#N/A,#N/A,TRUE,"BS";#N/A,#N/A,TRUE,"CF";#N/A,#N/A,TRUE,"Debt";#N/A,#N/A,TRUE,"IRR"}</definedName>
    <definedName name="gg" hidden="1">{#N/A,#N/A,TRUE,"Summary";#N/A,#N/A,TRUE,"IS";#N/A,#N/A,TRUE,"Adj";#N/A,#N/A,TRUE,"BS";#N/A,#N/A,TRUE,"CF";#N/A,#N/A,TRUE,"Debt";#N/A,#N/A,TRUE,"IRR"}</definedName>
    <definedName name="ggf"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BlankMacro1</definedName>
    <definedName name="GHD">BlankMacro1</definedName>
    <definedName name="GHDJDG" hidden="1">{#N/A,#N/A,FALSE,"단축1";#N/A,#N/A,FALSE,"단축2";#N/A,#N/A,FALSE,"단축3";#N/A,#N/A,FALSE,"장축";#N/A,#N/A,FALSE,"4WD"}</definedName>
    <definedName name="GHE" localSheetId="2" hidden="1">{#N/A,#N/A,FALSE,"이정표"}</definedName>
    <definedName name="GHE" hidden="1">{#N/A,#N/A,FALSE,"이정표"}</definedName>
    <definedName name="ghfj" hidden="1">{#N/A,#N/A,FALSE,"Sheet6"}</definedName>
    <definedName name="GHG">BlankMacro1</definedName>
    <definedName name="GHGF" hidden="1">{#N/A,#N/A,FALSE,"Sheet6"}</definedName>
    <definedName name="GHGHGH" localSheetId="2" hidden="1">{"'미착금액'!$A$4:$G$14"}</definedName>
    <definedName name="GHGHGH" hidden="1">{"'미착금액'!$A$4:$G$14"}</definedName>
    <definedName name="GHJ">#N/A</definedName>
    <definedName name="GHJ9IQA">BlankMacro1</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hidden="1">{#N/A,#N/A,FALSE,"Sheet6"}</definedName>
    <definedName name="GHUTGHF" hidden="1">{#N/A,#N/A,FALSE,"96 3월물량표";#N/A,#N/A,FALSE,"96 4월물량표";#N/A,#N/A,FALSE,"96 5월물량표"}</definedName>
    <definedName name="GI">BlankMacro1</definedName>
    <definedName name="GID">BlankMacro1</definedName>
    <definedName name="GIE">BlankMacro1</definedName>
    <definedName name="GIGIGIGIGIGIG" hidden="1">{#N/A,#N/A,FALSE,"단축1";#N/A,#N/A,FALSE,"단축2";#N/A,#N/A,FALSE,"단축3";#N/A,#N/A,FALSE,"장축";#N/A,#N/A,FALSE,"4WD"}</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hidden="1">{#N/A,#N/A,FALSE,"표지";#N/A,#N/A,FALSE,"전제";#N/A,#N/A,FALSE,"손익-자 (2)";#N/A,#N/A,FALSE,"손익-자";#N/A,#N/A,FALSE,"손익-마 (2)";#N/A,#N/A,FALSE,"손익-마";#N/A,#N/A,FALSE,"총손최종"}</definedName>
    <definedName name="GJIE">BlankMacro1</definedName>
    <definedName name="GJIEQ" localSheetId="2" hidden="1">{#N/A,#N/A,FALSE,"기안지";#N/A,#N/A,FALSE,"통신지"}</definedName>
    <definedName name="GJIEQ" hidden="1">{#N/A,#N/A,FALSE,"기안지";#N/A,#N/A,FALSE,"통신지"}</definedName>
    <definedName name="gjiwe">#N/A</definedName>
    <definedName name="GJJR89">BlankMacro1</definedName>
    <definedName name="gkduvhsjkf" localSheetId="2" hidden="1">{"'Jibu9811 (3)'!$B$1:$J$433"}</definedName>
    <definedName name="gkduvhsjkf" hidden="1">{"'Jibu9811 (3)'!$B$1:$J$433"}</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2">BlankMacro1</definedName>
    <definedName name="Gown_Consumables" localSheetId="0">BlankMacro1</definedName>
    <definedName name="Gown_Consumables">BlankMacro1</definedName>
    <definedName name="GPRIC">#N/A</definedName>
    <definedName name="gr">#REF!</definedName>
    <definedName name="Grade">#REF!</definedName>
    <definedName name="grafici" hidden="1">{#N/A,#N/A,FALSE,"SAFILOR"}</definedName>
    <definedName name="GRMRGN_" localSheetId="2">#REF!</definedName>
    <definedName name="GRMRGN_">#REF!</definedName>
    <definedName name="gross">#REF!</definedName>
    <definedName name="grout_type">#REF!</definedName>
    <definedName name="GSETGS" hidden="1">{#N/A,#N/A,FALSE,"Sheet6"}</definedName>
    <definedName name="GTR" hidden="1">{#N/A,#N/A,FALSE,"단축1";#N/A,#N/A,FALSE,"단축2";#N/A,#N/A,FALSE,"단축3";#N/A,#N/A,FALSE,"장축";#N/A,#N/A,FALSE,"4WD"}</definedName>
    <definedName name="GTY" hidden="1">{#N/A,#N/A,FALSE,"단축1";#N/A,#N/A,FALSE,"단축2";#N/A,#N/A,FALSE,"단축3";#N/A,#N/A,FALSE,"장축";#N/A,#N/A,FALSE,"4WD"}</definedName>
    <definedName name="GUBUN">#N/A</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hidden="1">{#N/A,#N/A,FALSE,"단축1";#N/A,#N/A,FALSE,"단축2";#N/A,#N/A,FALSE,"단축3";#N/A,#N/A,FALSE,"장축";#N/A,#N/A,FALSE,"4WD"}</definedName>
    <definedName name="guo" hidden="1">{#N/A,#N/A,FALSE,"Sheet6"}</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BlankMacro1</definedName>
    <definedName name="Headcount_2005">#REF!</definedName>
    <definedName name="HEADER">#REF!</definedName>
    <definedName name="HeaderData">#REF!</definedName>
    <definedName name="Heb">#REF!</definedName>
    <definedName name="height">#REF!</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2" hidden="1">{#N/A,#N/A,FALSE,"CCTV"}</definedName>
    <definedName name="hfdgfdg" hidden="1">{#N/A,#N/A,FALSE,"CCTV"}</definedName>
    <definedName name="HFG" hidden="1">{#N/A,#N/A,TRUE,"Y생산";#N/A,#N/A,TRUE,"Y판매";#N/A,#N/A,TRUE,"Y총물량";#N/A,#N/A,TRUE,"Y능력";#N/A,#N/A,TRUE,"YKD"}</definedName>
    <definedName name="hfjhhjj" localSheetId="2" hidden="1">{#N/A,#N/A,FALSE,"CCTV"}</definedName>
    <definedName name="hfjhhjj" hidden="1">{#N/A,#N/A,FALSE,"CCTV"}</definedName>
    <definedName name="HFLDFHIODGHIONB" hidden="1">{#N/A,#N/A,TRUE,"경전'96(1)";#N/A,#N/A,TRUE,"경전'96 (2)"}</definedName>
    <definedName name="HFS">#REF!</definedName>
    <definedName name="hg">#REF!</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hidden="1">{#N/A,#N/A,FALSE,"Sheet6"}</definedName>
    <definedName name="hgjfgh" localSheetId="2" hidden="1">{#N/A,#N/A,FALSE,"CCTV"}</definedName>
    <definedName name="hgjfgh" hidden="1">{#N/A,#N/A,FALSE,"CCTV"}</definedName>
    <definedName name="hgjgfhgh" localSheetId="2" hidden="1">{#N/A,#N/A,FALSE,"CCTV"}</definedName>
    <definedName name="hgjgfhgh" hidden="1">{#N/A,#N/A,FALSE,"CCTV"}</definedName>
    <definedName name="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hidden="1">{#N/A,#N/A,FALSE,"단축1";#N/A,#N/A,FALSE,"단축2";#N/A,#N/A,FALSE,"단축3";#N/A,#N/A,FALSE,"장축";#N/A,#N/A,FALSE,"4WD"}</definedName>
    <definedName name="hjj">#REF!</definedName>
    <definedName name="HJK" hidden="1">{#N/A,#N/A,FALSE,"이태원철근"}</definedName>
    <definedName name="HJKLL" hidden="1">{#N/A,#N/A,TRUE,"Y생산";#N/A,#N/A,TRUE,"Y판매";#N/A,#N/A,TRUE,"Y총물량";#N/A,#N/A,TRUE,"Y능력";#N/A,#N/A,TRUE,"YKD"}</definedName>
    <definedName name="HJKOL" hidden="1">#N/A</definedName>
    <definedName name="hkhf">#REF!</definedName>
    <definedName name="HKJJB">#REF!</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2" hidden="1">{"'손익현황'!$A$1:$J$29"}</definedName>
    <definedName name="HTML_Control" hidden="1">{"'손익현황'!$A$1:$J$29"}</definedName>
    <definedName name="HTML_Control_1" localSheetId="2" hidden="1">{"'보고양식'!$A$58:$K$111"}</definedName>
    <definedName name="HTML_Control_1" hidden="1">{"'보고양식'!$A$58:$K$111"}</definedName>
    <definedName name="HTML_Control_1_1" localSheetId="2" hidden="1">{"'보고양식'!$A$58:$K$111"}</definedName>
    <definedName name="HTML_Control_1_1" hidden="1">{"'보고양식'!$A$58:$K$111"}</definedName>
    <definedName name="HTML_Control_1_1_1" localSheetId="2" hidden="1">{"'보고양식'!$A$58:$K$111"}</definedName>
    <definedName name="HTML_Control_1_1_1" hidden="1">{"'보고양식'!$A$58:$K$111"}</definedName>
    <definedName name="HTML_Control_1_2" localSheetId="2" hidden="1">{"'보고양식'!$A$58:$K$111"}</definedName>
    <definedName name="HTML_Control_1_2" hidden="1">{"'보고양식'!$A$58:$K$111"}</definedName>
    <definedName name="HTML_Control_1_3" localSheetId="2" hidden="1">{"'보고양식'!$A$58:$K$111"}</definedName>
    <definedName name="HTML_Control_1_3" hidden="1">{"'보고양식'!$A$58:$K$111"}</definedName>
    <definedName name="HTML_Control_1_4" localSheetId="2" hidden="1">{"'보고양식'!$A$58:$K$111"}</definedName>
    <definedName name="HTML_Control_1_4" hidden="1">{"'보고양식'!$A$58:$K$111"}</definedName>
    <definedName name="HTML_Control_2" localSheetId="2" hidden="1">{"'보고양식'!$A$58:$K$111"}</definedName>
    <definedName name="HTML_Control_2" hidden="1">{"'보고양식'!$A$58:$K$111"}</definedName>
    <definedName name="HTML_Control_2_1" localSheetId="2" hidden="1">{"'보고양식'!$A$58:$K$111"}</definedName>
    <definedName name="HTML_Control_2_1" hidden="1">{"'보고양식'!$A$58:$K$111"}</definedName>
    <definedName name="HTML_Control_2_2" localSheetId="2" hidden="1">{"'보고양식'!$A$58:$K$111"}</definedName>
    <definedName name="HTML_Control_2_2" hidden="1">{"'보고양식'!$A$58:$K$111"}</definedName>
    <definedName name="HTML_Control_2_3" localSheetId="2" hidden="1">{"'보고양식'!$A$58:$K$111"}</definedName>
    <definedName name="HTML_Control_2_3" hidden="1">{"'보고양식'!$A$58:$K$111"}</definedName>
    <definedName name="HTML_Control_2_4" localSheetId="2" hidden="1">{"'보고양식'!$A$58:$K$111"}</definedName>
    <definedName name="HTML_Control_2_4" hidden="1">{"'보고양식'!$A$58:$K$111"}</definedName>
    <definedName name="HTML_Control_3" localSheetId="2" hidden="1">{"'보고양식'!$A$58:$K$111"}</definedName>
    <definedName name="HTML_Control_3" hidden="1">{"'보고양식'!$A$58:$K$111"}</definedName>
    <definedName name="HTML_Control_3_1" localSheetId="2" hidden="1">{"'보고양식'!$A$58:$K$111"}</definedName>
    <definedName name="HTML_Control_3_1" hidden="1">{"'보고양식'!$A$58:$K$111"}</definedName>
    <definedName name="HTML_Control_3_2" localSheetId="2" hidden="1">{"'보고양식'!$A$58:$K$111"}</definedName>
    <definedName name="HTML_Control_3_2" hidden="1">{"'보고양식'!$A$58:$K$111"}</definedName>
    <definedName name="HTML_Control_3_3" localSheetId="2" hidden="1">{"'보고양식'!$A$58:$K$111"}</definedName>
    <definedName name="HTML_Control_3_3" hidden="1">{"'보고양식'!$A$58:$K$111"}</definedName>
    <definedName name="HTML_Control_3_4" localSheetId="2" hidden="1">{"'보고양식'!$A$58:$K$111"}</definedName>
    <definedName name="HTML_Control_3_4" hidden="1">{"'보고양식'!$A$58:$K$111"}</definedName>
    <definedName name="HTML_Control_4" localSheetId="2" hidden="1">{"'보고양식'!$A$58:$K$111"}</definedName>
    <definedName name="HTML_Control_4" hidden="1">{"'보고양식'!$A$58:$K$111"}</definedName>
    <definedName name="HTML_Control_4_1" localSheetId="2" hidden="1">{"'보고양식'!$A$58:$K$111"}</definedName>
    <definedName name="HTML_Control_4_1" hidden="1">{"'보고양식'!$A$58:$K$111"}</definedName>
    <definedName name="HTML_Control_4_2" localSheetId="2" hidden="1">{"'보고양식'!$A$58:$K$111"}</definedName>
    <definedName name="HTML_Control_4_2" hidden="1">{"'보고양식'!$A$58:$K$111"}</definedName>
    <definedName name="HTML_Control_4_3" localSheetId="2" hidden="1">{"'보고양식'!$A$58:$K$111"}</definedName>
    <definedName name="HTML_Control_4_3" hidden="1">{"'보고양식'!$A$58:$K$111"}</definedName>
    <definedName name="HTML_Control_4_4" localSheetId="2" hidden="1">{"'보고양식'!$A$58:$K$111"}</definedName>
    <definedName name="HTML_Control_4_4" hidden="1">{"'보고양식'!$A$58:$K$111"}</definedName>
    <definedName name="HTML_Control_5" localSheetId="2" hidden="1">{"'보고양식'!$A$58:$K$111"}</definedName>
    <definedName name="HTML_Control_5" hidden="1">{"'보고양식'!$A$58:$K$111"}</definedName>
    <definedName name="HTML_Control_5_1" localSheetId="2" hidden="1">{"'보고양식'!$A$58:$K$111"}</definedName>
    <definedName name="HTML_Control_5_1" hidden="1">{"'보고양식'!$A$58:$K$111"}</definedName>
    <definedName name="HTML_Control_5_2" localSheetId="2" hidden="1">{"'보고양식'!$A$58:$K$111"}</definedName>
    <definedName name="HTML_Control_5_2" hidden="1">{"'보고양식'!$A$58:$K$111"}</definedName>
    <definedName name="HTML_Control_5_3" localSheetId="2" hidden="1">{"'보고양식'!$A$58:$K$111"}</definedName>
    <definedName name="HTML_Control_5_3"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hidden="1">#N/A</definedName>
    <definedName name="HTS">#REF!</definedName>
    <definedName name="Htwt">#REF!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2" hidden="1">{#N/A,#N/A,FALSE,"UNIT";#N/A,#N/A,FALSE,"UNIT";#N/A,#N/A,FALSE,"계정"}</definedName>
    <definedName name="ii" hidden="1">{#N/A,#N/A,FALSE,"UNIT";#N/A,#N/A,FALSE,"UNIT";#N/A,#N/A,FALSE,"계정"}</definedName>
    <definedName name="III" hidden="1">{#N/A,#N/A,FALSE,"Sheet6"}</definedName>
    <definedName name="iiouolkll" localSheetId="2" hidden="1">{#N/A,#N/A,FALSE,"CCTV"}</definedName>
    <definedName name="iiouolkll" hidden="1">{#N/A,#N/A,FALSE,"CCTV"}</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hidden="1">{#N/A,#N/A,TRUE,"Cover Repl";#N/A,#N/A,TRUE,"P&amp;L";#N/A,#N/A,TRUE,"P&amp;L (2)";#N/A,#N/A,TRUE,"BS";#N/A,#N/A,TRUE,"Depreciation";#N/A,#N/A,TRUE,"GRAPHS";#N/A,#N/A,TRUE,"DCF EBITDA Multiple";#N/A,#N/A,TRUE,"DCF Perpetual Growth"}</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BlankMacro1</definedName>
    <definedName name="Jan" localSheetId="2" hidden="1">{"'Euro Conversion rates'!$A$1:$E$21"}</definedName>
    <definedName name="Jan" hidden="1">{"'Euro Conversion rates'!$A$1:$E$21"}</definedName>
    <definedName name="Jan.DM">#REF!</definedName>
    <definedName name="Jan_1" localSheetId="2" hidden="1">{"'Euro Conversion rates'!$A$1:$E$21"}</definedName>
    <definedName name="Jan_1" hidden="1">{"'Euro Conversion rates'!$A$1:$E$21"}</definedName>
    <definedName name="Januar">#REF!</definedName>
    <definedName name="jeklklw" hidden="1">{"'Sheet1'!$A$1:$H$36"}</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BlankMacro1</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2" hidden="1">{#N/A,#N/A,FALSE,"CCTV"}</definedName>
    <definedName name="jhhhh" hidden="1">{#N/A,#N/A,FALSE,"CCTV"}</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hidden="1">{"'Directory'!$A$72:$E$91"}</definedName>
    <definedName name="jj"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hidden="1">#N/A</definedName>
    <definedName name="JK" localSheetId="2" hidden="1">{#N/A,#N/A,TRUE,"Y생산";#N/A,#N/A,TRUE,"Y판매";#N/A,#N/A,TRUE,"Y총물량";#N/A,#N/A,TRUE,"Y능력";#N/A,#N/A,TRUE,"YKD"}</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hidden="1">{"'Sheet1'!$A$1:$H$36"}</definedName>
    <definedName name="jkljlkjl" localSheetId="2" hidden="1">{#N/A,#N/A,FALSE,"UNIT";#N/A,#N/A,FALSE,"UNIT";#N/A,#N/A,FALSE,"계정"}</definedName>
    <definedName name="jkljlkjl" hidden="1">{#N/A,#N/A,FALSE,"UNIT";#N/A,#N/A,FALSE,"UNIT";#N/A,#N/A,FALSE,"계정"}</definedName>
    <definedName name="JL" hidden="1">{#N/A,#N/A,FALSE,"단축1";#N/A,#N/A,FALSE,"단축2";#N/A,#N/A,FALSE,"단축3";#N/A,#N/A,FALSE,"장축";#N/A,#N/A,FALSE,"4WD"}</definedName>
    <definedName name="job_run">#REF!</definedName>
    <definedName name="JOBNUM">#REF!</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hidden="1">#N/A</definedName>
    <definedName name="JV">#REF!</definedName>
    <definedName name="jwd">#N/A</definedName>
    <definedName name="JWG" hidden="1">{#N/A,#N/A,FALSE,"단축1";#N/A,#N/A,FALSE,"단축2";#N/A,#N/A,FALSE,"단축3";#N/A,#N/A,FALSE,"장축";#N/A,#N/A,FALSE,"4WD"}</definedName>
    <definedName name="JY" localSheetId="2" hidden="1">{#N/A,#N/A,FALSE,"포장2"}</definedName>
    <definedName name="JY" hidden="1">{#N/A,#N/A,FALSE,"포장2"}</definedName>
    <definedName name="JYE" localSheetId="2" hidden="1">{#N/A,#N/A,FALSE,"부대1"}</definedName>
    <definedName name="JYE" hidden="1">{#N/A,#N/A,FALSE,"부대1"}</definedName>
    <definedName name="k" hidden="1">#REF!</definedName>
    <definedName name="k0">#REF!</definedName>
    <definedName name="K2_WBEVMODE" hidden="1">-1</definedName>
    <definedName name="ka" hidden="1">{#N/A,#N/A,FALSE,"단축1";#N/A,#N/A,FALSE,"단축2";#N/A,#N/A,FALSE,"단축3";#N/A,#N/A,FALSE,"장축";#N/A,#N/A,FALSE,"4WD"}</definedName>
    <definedName name="KC" localSheetId="2" hidden="1">{#N/A,#N/A,FALSE,"을지 (4)";#N/A,#N/A,FALSE,"을지 (5)";#N/A,#N/A,FALSE,"을지 (6)"}</definedName>
    <definedName name="KC" hidden="1">{#N/A,#N/A,FALSE,"을지 (4)";#N/A,#N/A,FALSE,"을지 (5)";#N/A,#N/A,FALSE,"을지 (6)"}</definedName>
    <definedName name="kcja">BlankMacro1</definedName>
    <definedName name="KDJ">BlankMacro1</definedName>
    <definedName name="KDJHSKDSKH">BLCH</definedName>
    <definedName name="keiso_data">#REF!</definedName>
    <definedName name="KEPNET">#REF!</definedName>
    <definedName name="ket" hidden="1">#REF!</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2" hidden="1">{#N/A,#N/A,FALSE,"CCTV"}</definedName>
    <definedName name="kghlgh" hidden="1">{#N/A,#N/A,FALSE,"CCTV"}</definedName>
    <definedName name="kh">#REF!</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2">BlankMacro1</definedName>
    <definedName name="khsdd" localSheetId="0">BlankMacro1</definedName>
    <definedName name="khsdd">BlankMacro1</definedName>
    <definedName name="KI">#REF!</definedName>
    <definedName name="KIA" hidden="1">{#N/A,#N/A,FALSE,"단축1";#N/A,#N/A,FALSE,"단축2";#N/A,#N/A,FALSE,"단축3";#N/A,#N/A,FALSE,"장축";#N/A,#N/A,FALSE,"4WD"}</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hidden="1">{#N/A,#N/A,FALSE,"단축1";#N/A,#N/A,FALSE,"단축2";#N/A,#N/A,FALSE,"단축3";#N/A,#N/A,FALSE,"장축";#N/A,#N/A,FALSE,"4WD"}</definedName>
    <definedName name="KIT">#N/A</definedName>
    <definedName name="kiulil" localSheetId="2" hidden="1">{#N/A,#N/A,FALSE,"CCTV"}</definedName>
    <definedName name="kiulil" hidden="1">{#N/A,#N/A,FALSE,"CCTV"}</definedName>
    <definedName name="kj" hidden="1">#REF!</definedName>
    <definedName name="kjh">#N/A</definedName>
    <definedName name="kjhlh" localSheetId="2" hidden="1">{#N/A,#N/A,FALSE,"CCTV"}</definedName>
    <definedName name="kjhlh" hidden="1">{#N/A,#N/A,FALSE,"CCTV"}</definedName>
    <definedName name="kjhljhk" localSheetId="2" hidden="1">{#N/A,#N/A,FALSE,"CCTV"}</definedName>
    <definedName name="kjhljhk" hidden="1">{#N/A,#N/A,FALSE,"CCTV"}</definedName>
    <definedName name="KJNK">BLCH</definedName>
    <definedName name="kk"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2" hidden="1">{#N/A,#N/A,FALSE,"BS";#N/A,#N/A,FALSE,"PL";#N/A,#N/A,FALSE,"처분";#N/A,#N/A,FALSE,"현금";#N/A,#N/A,FALSE,"매출";#N/A,#N/A,FALSE,"원가";#N/A,#N/A,FALSE,"경영"}</definedName>
    <definedName name="kkk"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2" hidden="1">{#N/A,#N/A,FALSE,"을지 (4)";#N/A,#N/A,FALSE,"을지 (5)";#N/A,#N/A,FALSE,"을지 (6)"}</definedName>
    <definedName name="KN" hidden="1">{#N/A,#N/A,FALSE,"을지 (4)";#N/A,#N/A,FALSE,"을지 (5)";#N/A,#N/A,FALSE,"을지 (6)"}</definedName>
    <definedName name="KO">#REF!</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BlankMacro1</definedName>
    <definedName name="krw">#REF!</definedName>
    <definedName name="ks_awg">#REF!</definedName>
    <definedName name="KSJHGFD" hidden="1">{#N/A,#N/A,FALSE,"단축1";#N/A,#N/A,FALSE,"단축2";#N/A,#N/A,FALSE,"단축3";#N/A,#N/A,FALSE,"장축";#N/A,#N/A,FALSE,"4WD"}</definedName>
    <definedName name="KTB">#REF!</definedName>
    <definedName name="KTB_YTM">#REF!</definedName>
    <definedName name="ktft" hidden="1">3</definedName>
    <definedName name="KTY" hidden="1">{#N/A,#N/A,FALSE,"단축1";#N/A,#N/A,FALSE,"단축2";#N/A,#N/A,FALSE,"단축3";#N/A,#N/A,FALSE,"장축";#N/A,#N/A,FALSE,"4WD"}</definedName>
    <definedName name="KU" hidden="1">{#N/A,#N/A,TRUE,"Y생산";#N/A,#N/A,TRUE,"Y판매";#N/A,#N/A,TRUE,"Y총물량";#N/A,#N/A,TRUE,"Y능력";#N/A,#N/A,TRUE,"YKD"}</definedName>
    <definedName name="kurskol">#REF!</definedName>
    <definedName name="Kx">#REF!</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hidden="1">{#N/A,#N/A,TRUE,"Y생산";#N/A,#N/A,TRUE,"Y판매";#N/A,#N/A,TRUE,"Y총물량";#N/A,#N/A,TRUE,"Y능력";#N/A,#N/A,TRUE,"YKD"}</definedName>
    <definedName name="lkiolki9olkiol">#N/A</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2" hidden="1">{#N/A,#N/A,FALSE,"CCTV"}</definedName>
    <definedName name="lklhlkjl" hidden="1">{#N/A,#N/A,FALSE,"CCTV"}</definedName>
    <definedName name="lklklklk">#N/A</definedName>
    <definedName name="lkll" hidden="1">{"'2 혼례가구(1)'!$C$10"}</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#REF!</definedName>
    <definedName name="LPS가동계획">#REF!</definedName>
    <definedName name="LP능력검토"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2">BlankMacro1</definedName>
    <definedName name="Machinery" localSheetId="0">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2" hidden="1">{"'Euro Conversion rates'!$A$1:$E$21"}</definedName>
    <definedName name="Mar."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#REF!</definedName>
    <definedName name="Mecaanical">#REF!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hidden="1">{#N/A,"Base Case",FALSE,"Revenue";#N/A,"£6.25 Fee",FALSE,"Revenue"}</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hidden="1">{"income statement",#N/A,TRUE,"Model";"rig build up",#N/A,TRUE,"Model";"rig status and expenses",#N/A,TRUE,"Model"}</definedName>
    <definedName name="MICON">#N/A</definedName>
    <definedName name="mii">#REF!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kkl" hidden="1">{"'Sheet1'!$A$1:$H$36"}</definedName>
    <definedName name="mlkcoe" hidden="1">{"'Sheet1'!$A$1:$H$36"}</definedName>
    <definedName name="MM">10^6</definedName>
    <definedName name="MMA">#REF!</definedName>
    <definedName name="mmm">#REF!</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2" hidden="1">{#N/A,#N/A,FALSE,"UNIT";#N/A,#N/A,FALSE,"UNIT";#N/A,#N/A,FALSE,"계정"}</definedName>
    <definedName name="MYJ" hidden="1">{#N/A,#N/A,FALSE,"UNIT";#N/A,#N/A,FALSE,"UNIT";#N/A,#N/A,FALSE,"계정"}</definedName>
    <definedName name="Mz">#REF!</definedName>
    <definedName name="m記" localSheetId="2" hidden="1">{"'買掛金'!$J$6"}</definedName>
    <definedName name="m記" hidden="1">{"'買掛金'!$J$6"}</definedName>
    <definedName name="M행">#REF!</definedName>
    <definedName name="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#REF!</definedName>
    <definedName name="NAME01">#REF!</definedName>
    <definedName name="namekb" hidden="1">#REF!</definedName>
    <definedName name="namekc" hidden="1">#REF!</definedName>
    <definedName name="namekg" hidden="1">{#VALUE!,0,FALSE,0;#N/A,0,FALSE,0;#N/A,0,FALSE,0;#N/A,0,FALSE,0;#N/A,0,FALSE,0;#N/A,0,FALSE,0}</definedName>
    <definedName name="NAV" hidden="1">{#N/A,#N/A,FALSE,"SAFILOR"}</definedName>
    <definedName name="Nave">#REF!</definedName>
    <definedName name="NE">#N/A</definedName>
    <definedName name="NetSales">#REF!</definedName>
    <definedName name="NEW" hidden="1">#REF!</definedName>
    <definedName name="NEWNAME" localSheetId="2" hidden="1">{#N/A,#N/A,FALSE,"CCTV"}</definedName>
    <definedName name="NEWNAME" hidden="1">{#N/A,#N/A,FALSE,"CCTV"}</definedName>
    <definedName name="NewRange" hidden="1">#REF!</definedName>
    <definedName name="Ninlaro">#REF!</definedName>
    <definedName name="nkknk" localSheetId="2" hidden="1">{#N/A,#N/A,FALSE,"CCTV"}</definedName>
    <definedName name="nkknk" hidden="1">{#N/A,#N/A,FALSE,"CCTV"}</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BlankMacro1</definedName>
    <definedName name="nnvk">BlankMacro1</definedName>
    <definedName name="No">#REF!</definedName>
    <definedName name="No._of_Derived_Datasets">#REF!</definedName>
    <definedName name="No_Dry_Runs">#REF!</definedName>
    <definedName name="No_InterimAnalysis">#REF!</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hidden="1">{"'용역비'!$A$4:$C$8"}</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hidden="1">#REF!</definedName>
    <definedName name="OOO" localSheetId="2" hidden="1">{#N/A,#N/A,TRUE,"Y생산";#N/A,#N/A,TRUE,"Y판매";#N/A,#N/A,TRUE,"Y총물량";#N/A,#N/A,TRUE,"Y능력";#N/A,#N/A,TRUE,"YKD"}</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hidden="1">{#N/A,#N/A,FALSE,"표지";#N/A,#N/A,FALSE,"전제";#N/A,#N/A,FALSE,"대당";#N/A,#N/A,FALSE,"가공비";#N/A,#N/A,FALSE,"재료비";#N/A,#N/A,FALSE,"손익"}</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BlankMacro1</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hidden="1">{#N/A,#N/A,FALSE,"Sheet9"}</definedName>
    <definedName name="PGZ">#N/A</definedName>
    <definedName name="PH">#REF!</definedName>
    <definedName name="PHZ">#N/A</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2" hidden="1">{#N/A,#N/A,FALSE,"Performance Flash Report"}</definedName>
    <definedName name="placeholder" hidden="1">{#N/A,#N/A,FALSE,"Performance Flash Report"}</definedName>
    <definedName name="placeholder_1" localSheetId="2" hidden="1">{#N/A,#N/A,FALSE,"Performance Flash Report"}</definedName>
    <definedName name="placeholder_1" hidden="1">{#N/A,#N/A,FALSE,"Performance Flash Report"}</definedName>
    <definedName name="placeholder_1_1" localSheetId="2" hidden="1">{#N/A,#N/A,FALSE,"Performance Flash Report"}</definedName>
    <definedName name="placeholder_1_1" hidden="1">{#N/A,#N/A,FALSE,"Performance Flash Report"}</definedName>
    <definedName name="placeholder_1_2" localSheetId="2" hidden="1">{#N/A,#N/A,FALSE,"Performance Flash Report"}</definedName>
    <definedName name="placeholder_1_2" hidden="1">{#N/A,#N/A,FALSE,"Performance Flash Report"}</definedName>
    <definedName name="placeholder_1_3" localSheetId="2" hidden="1">{#N/A,#N/A,FALSE,"Performance Flash Report"}</definedName>
    <definedName name="placeholder_1_3" hidden="1">{#N/A,#N/A,FALSE,"Performance Flash Report"}</definedName>
    <definedName name="placeholder_1_4" localSheetId="2" hidden="1">{#N/A,#N/A,FALSE,"Performance Flash Report"}</definedName>
    <definedName name="placeholder_1_4" hidden="1">{#N/A,#N/A,FALSE,"Performance Flash Report"}</definedName>
    <definedName name="placeholder_2" localSheetId="2" hidden="1">{#N/A,#N/A,FALSE,"Performance Flash Report"}</definedName>
    <definedName name="placeholder_2" hidden="1">{#N/A,#N/A,FALSE,"Performance Flash Report"}</definedName>
    <definedName name="placeholder_2_1" localSheetId="2" hidden="1">{#N/A,#N/A,FALSE,"Performance Flash Report"}</definedName>
    <definedName name="placeholder_2_1" hidden="1">{#N/A,#N/A,FALSE,"Performance Flash Report"}</definedName>
    <definedName name="placeholder_2_2" localSheetId="2" hidden="1">{#N/A,#N/A,FALSE,"Performance Flash Report"}</definedName>
    <definedName name="placeholder_2_2" hidden="1">{#N/A,#N/A,FALSE,"Performance Flash Report"}</definedName>
    <definedName name="placeholder_2_3" localSheetId="2" hidden="1">{#N/A,#N/A,FALSE,"Performance Flash Report"}</definedName>
    <definedName name="placeholder_2_3" hidden="1">{#N/A,#N/A,FALSE,"Performance Flash Report"}</definedName>
    <definedName name="placeholder_2_4" localSheetId="2" hidden="1">{#N/A,#N/A,FALSE,"Performance Flash Report"}</definedName>
    <definedName name="placeholder_2_4" hidden="1">{#N/A,#N/A,FALSE,"Performance Flash Report"}</definedName>
    <definedName name="placeholder_3" localSheetId="2" hidden="1">{#N/A,#N/A,FALSE,"Performance Flash Report"}</definedName>
    <definedName name="placeholder_3" hidden="1">{#N/A,#N/A,FALSE,"Performance Flash Report"}</definedName>
    <definedName name="placeholder_3_1" localSheetId="2" hidden="1">{#N/A,#N/A,FALSE,"Performance Flash Report"}</definedName>
    <definedName name="placeholder_3_1" hidden="1">{#N/A,#N/A,FALSE,"Performance Flash Report"}</definedName>
    <definedName name="placeholder_3_2" localSheetId="2" hidden="1">{#N/A,#N/A,FALSE,"Performance Flash Report"}</definedName>
    <definedName name="placeholder_3_2" hidden="1">{#N/A,#N/A,FALSE,"Performance Flash Report"}</definedName>
    <definedName name="placeholder_3_3" localSheetId="2" hidden="1">{#N/A,#N/A,FALSE,"Performance Flash Report"}</definedName>
    <definedName name="placeholder_3_3" hidden="1">{#N/A,#N/A,FALSE,"Performance Flash Report"}</definedName>
    <definedName name="placeholder_3_4" localSheetId="2" hidden="1">{#N/A,#N/A,FALSE,"Performance Flash Report"}</definedName>
    <definedName name="placeholder_3_4" hidden="1">{#N/A,#N/A,FALSE,"Performance Flash Report"}</definedName>
    <definedName name="placeholder_4" localSheetId="2" hidden="1">{#N/A,#N/A,FALSE,"Performance Flash Report"}</definedName>
    <definedName name="placeholder_4" hidden="1">{#N/A,#N/A,FALSE,"Performance Flash Report"}</definedName>
    <definedName name="placeholder_4_1" localSheetId="2" hidden="1">{#N/A,#N/A,FALSE,"Performance Flash Report"}</definedName>
    <definedName name="placeholder_4_1" hidden="1">{#N/A,#N/A,FALSE,"Performance Flash Report"}</definedName>
    <definedName name="placeholder_4_2" localSheetId="2" hidden="1">{#N/A,#N/A,FALSE,"Performance Flash Report"}</definedName>
    <definedName name="placeholder_4_2" hidden="1">{#N/A,#N/A,FALSE,"Performance Flash Report"}</definedName>
    <definedName name="placeholder_4_3" localSheetId="2" hidden="1">{#N/A,#N/A,FALSE,"Performance Flash Report"}</definedName>
    <definedName name="placeholder_4_3" hidden="1">{#N/A,#N/A,FALSE,"Performance Flash Report"}</definedName>
    <definedName name="placeholder_4_4" localSheetId="2" hidden="1">{#N/A,#N/A,FALSE,"Performance Flash Report"}</definedName>
    <definedName name="placeholder_4_4" hidden="1">{#N/A,#N/A,FALSE,"Performance Flash Report"}</definedName>
    <definedName name="placeholder_5" localSheetId="2" hidden="1">{#N/A,#N/A,FALSE,"Performance Flash Report"}</definedName>
    <definedName name="placeholder_5" hidden="1">{#N/A,#N/A,FALSE,"Performance Flash Report"}</definedName>
    <definedName name="placeholder_5_1" localSheetId="2" hidden="1">{#N/A,#N/A,FALSE,"Performance Flash Report"}</definedName>
    <definedName name="placeholder_5_1" hidden="1">{#N/A,#N/A,FALSE,"Performance Flash Report"}</definedName>
    <definedName name="placeholder_5_2" localSheetId="2" hidden="1">{#N/A,#N/A,FALSE,"Performance Flash Report"}</definedName>
    <definedName name="placeholder_5_2" hidden="1">{#N/A,#N/A,FALSE,"Performance Flash Report"}</definedName>
    <definedName name="placeholder_5_3" localSheetId="2" hidden="1">{#N/A,#N/A,FALSE,"Performance Flash Report"}</definedName>
    <definedName name="placeholder_5_3"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2" hidden="1">{#N/A,#N/A,FALSE,"96 3월물량표";#N/A,#N/A,FALSE,"96 4월물량표";#N/A,#N/A,FALSE,"96 5월물량표"}</definedName>
    <definedName name="PPK" hidden="1">{#N/A,#N/A,FALSE,"96 3월물량표";#N/A,#N/A,FALSE,"96 4월물량표";#N/A,#N/A,FALSE,"96 5월물량표"}</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2">#REF!</definedName>
    <definedName name="_xlnm.Print_Area" localSheetId="1">'상세 자료 작성'!$C$1:$O$173</definedName>
    <definedName name="_xlnm.Print_Area" localSheetId="4">'연간 에상 (사장님보고)'!$A$1:$AE$77</definedName>
    <definedName name="_xlnm.Print_Area" localSheetId="0">'요약(보고)'!$A$1:$AC$205</definedName>
    <definedName name="_xlnm.Print_Area">#REF!</definedName>
    <definedName name="PRINT_AREA_MI" localSheetId="2">#REF!</definedName>
    <definedName name="PRINT_AREA_MI">#REF!</definedName>
    <definedName name="PRINT_AREA_MI1">#REF!</definedName>
    <definedName name="Print_Area\C">#REF!</definedName>
    <definedName name="PRINT_PAGE_6">#REF!</definedName>
    <definedName name="_xlnm.Print_Titles" localSheetId="2">#REF!</definedName>
    <definedName name="_xlnm.Print_Titles">#REF!</definedName>
    <definedName name="PRINT_TITLES_MI">#REF!</definedName>
    <definedName name="PRINT_TITLS">#REF!</definedName>
    <definedName name="printarea">#REF!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hidden="1">{"'용역비'!$A$4:$C$8"}</definedName>
    <definedName name="Q2777x2c">#REF!</definedName>
    <definedName name="Qa">#REF!</definedName>
    <definedName name="QAMT86106">#N/A</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BlankMacro1</definedName>
    <definedName name="QC_1">BlankMacro1</definedName>
    <definedName name="QC_2" localSheetId="2" hidden="1">{#N/A,#N/A,FALSE,"Pharm";#N/A,#N/A,FALSE,"WWCM"}</definedName>
    <definedName name="QC_2" hidden="1">{#N/A,#N/A,FALSE,"Pharm";#N/A,#N/A,FALSE,"WWCM"}</definedName>
    <definedName name="qd">#REF!</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BlankMacro1</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2" hidden="1">{#N/A,#N/A,FALSE,"BS";#N/A,#N/A,FALSE,"PL";#N/A,#N/A,FALSE,"처분";#N/A,#N/A,FALSE,"현금";#N/A,#N/A,FALSE,"매출";#N/A,#N/A,FALSE,"원가";#N/A,#N/A,FALSE,"경영"}</definedName>
    <definedName name="qqq" hidden="1">{#N/A,#N/A,FALSE,"BS";#N/A,#N/A,FALSE,"PL";#N/A,#N/A,FALSE,"처분";#N/A,#N/A,FALSE,"현금";#N/A,#N/A,FALSE,"매출";#N/A,#N/A,FALSE,"원가";#N/A,#N/A,FALSE,"경영"}</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2" hidden="1">{#N/A,#N/A,FALSE,"단축1";#N/A,#N/A,FALSE,"단축2";#N/A,#N/A,FALSE,"단축3";#N/A,#N/A,FALSE,"장축";#N/A,#N/A,FALSE,"4WD"}</definedName>
    <definedName name="QQQQ" hidden="1">{#N/A,#N/A,FALSE,"단축1";#N/A,#N/A,FALSE,"단축2";#N/A,#N/A,FALSE,"단축3";#N/A,#N/A,FALSE,"장축";#N/A,#N/A,FALSE,"4WD"}</definedName>
    <definedName name="QQQQQ" localSheetId="2" hidden="1">{#N/A,#N/A,FALSE,"UNIT";#N/A,#N/A,FALSE,"UNIT";#N/A,#N/A,FALSE,"계정"}</definedName>
    <definedName name="QQQQQ" hidden="1">{#N/A,#N/A,FALSE,"UNIT";#N/A,#N/A,FALSE,"UNIT";#N/A,#N/A,FALSE,"계정"}</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hidden="1">{#N/A,#N/A,FALSE,"단축1";#N/A,#N/A,FALSE,"단축2";#N/A,#N/A,FALSE,"단축3";#N/A,#N/A,FALSE,"장축";#N/A,#N/A,FALSE,"4WD"}</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hidden="1">{#N/A,#N/A,FALSE,"을지 (4)";#N/A,#N/A,FALSE,"을지 (5)";#N/A,#N/A,FALSE,"을지 (6)"}</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2" hidden="1">{#N/A,#N/A,FALSE,"단가표지"}</definedName>
    <definedName name="qw" hidden="1">{#N/A,#N/A,FALSE,"단가표지"}</definedName>
    <definedName name="QWA" localSheetId="2" hidden="1">{#N/A,#N/A,FALSE,"을지 (4)";#N/A,#N/A,FALSE,"을지 (5)";#N/A,#N/A,FALSE,"을지 (6)"}</definedName>
    <definedName name="QWA" hidden="1">{#N/A,#N/A,FALSE,"을지 (4)";#N/A,#N/A,FALSE,"을지 (5)";#N/A,#N/A,FALSE,"을지 (6)"}</definedName>
    <definedName name="qwe" localSheetId="2" hidden="1">{#N/A,#N/A,FALSE,"Aging Summary";#N/A,#N/A,FALSE,"Ratio Analysis";#N/A,#N/A,FALSE,"Test 120 Day Accts";#N/A,#N/A,FALSE,"Tickmarks"}</definedName>
    <definedName name="qwe"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hidden="1">{#N/A,#N/A,FALSE,"단축1";#N/A,#N/A,FALSE,"단축2";#N/A,#N/A,FALSE,"단축3";#N/A,#N/A,FALSE,"장축";#N/A,#N/A,FALSE,"4WD"}</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2" hidden="1">{#N/A,#N/A,FALSE,"CCTV"}</definedName>
    <definedName name="rarewt" hidden="1">{#N/A,#N/A,FALSE,"CCTV"}</definedName>
    <definedName name="Rate">#REF!</definedName>
    <definedName name="rates">#REF!</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hidden="1">{#N/A,#N/A,FALSE,"단축1";#N/A,#N/A,FALSE,"단축2";#N/A,#N/A,FALSE,"단축3";#N/A,#N/A,FALSE,"장축";#N/A,#N/A,FALSE,"4WD"}</definedName>
    <definedName name="RDU">#REF!,#REF!,#REF!,#REF!,#REF!,#REF!</definedName>
    <definedName name="re"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hidden="1">{"'7-2지역별'!$A$1:$R$44"}</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hidden="1">#N/A</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BLCH</definedName>
    <definedName name="RGSDG" hidden="1">{#N/A,#N/A,FALSE,"단축1";#N/A,#N/A,FALSE,"단축2";#N/A,#N/A,FALSE,"단축3";#N/A,#N/A,FALSE,"장축";#N/A,#N/A,FALSE,"4WD"}</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2" hidden="1">{#N/A,#N/A,FALSE,"UNIT";#N/A,#N/A,FALSE,"UNIT";#N/A,#N/A,FALSE,"계정"}</definedName>
    <definedName name="RISK내용" hidden="1">{#N/A,#N/A,FALSE,"UNIT";#N/A,#N/A,FALSE,"UNIT";#N/A,#N/A,FALSE,"계정"}</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hidden="1">{"comp1",#N/A,FALSE,"COMPS";"footnotes",#N/A,FALSE,"COMPS"}</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BlankMacro1</definedName>
    <definedName name="RRR" hidden="1">#REF!</definedName>
    <definedName name="rrrr">#REF!</definedName>
    <definedName name="RRRRR">#REF!</definedName>
    <definedName name="RRRRRRR">#REF!</definedName>
    <definedName name="RS">#REF!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hidden="1">{#N/A,#N/A,FALSE,"견적대비-2"}</definedName>
    <definedName name="RT" hidden="1">{#N/A,#N/A,FALSE,"이태원철근"}</definedName>
    <definedName name="RTDOSING">#REF!</definedName>
    <definedName name="rtfg">#REF!</definedName>
    <definedName name="rth" hidden="1">{"'용역비'!$A$4:$C$8"}</definedName>
    <definedName name="RTIN">#N/A</definedName>
    <definedName name="rtre">#REF!</definedName>
    <definedName name="RTSALES">#REF!</definedName>
    <definedName name="rtugf">#REF!</definedName>
    <definedName name="rty" hidden="1">{"'용역비'!$A$4:$C$8"}</definedName>
    <definedName name="RTYG" hidden="1">{#N/A,#N/A,FALSE,"단축1";#N/A,#N/A,FALSE,"단축2";#N/A,#N/A,FALSE,"단축3";#N/A,#N/A,FALSE,"장축";#N/A,#N/A,FALSE,"4WD"}</definedName>
    <definedName name="Ru">#REF!</definedName>
    <definedName name="rud" hidden="1">{#N/A,#N/A,TRUE,"경전'96(1)";#N/A,#N/A,TRUE,"경전'96 (2)"}</definedName>
    <definedName name="rv">#REF!</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hidden="1">{"'용역비'!$A$4:$C$8"}</definedName>
    <definedName name="Rz">#REF!</definedName>
    <definedName name="rzr">#REF!</definedName>
    <definedName name="R행">#REF!</definedName>
    <definedName name="s" localSheetId="2" hidden="1">{"'손익현황'!$A$1:$J$29"}</definedName>
    <definedName name="s"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hidden="1">{"rtn",#N/A,FALSE,"RTN";"tables",#N/A,FALSE,"RTN";"cf",#N/A,FALSE,"CF";"stats",#N/A,FALSE,"Stats";"prop",#N/A,FALSE,"Prop"}</definedName>
    <definedName name="SABEXrevision2" hidden="1">231</definedName>
    <definedName name="SAD" hidden="1">{#N/A,#N/A,FALSE,"단축1";#N/A,#N/A,FALSE,"단축2";#N/A,#N/A,FALSE,"단축3";#N/A,#N/A,FALSE,"장축";#N/A,#N/A,FALSE,"4WD"}</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hidden="1">Main.SAPF4Help()</definedName>
    <definedName name="SAPsysID" hidden="1">"708C5W7SBKP804JT78WJ0JNKI"</definedName>
    <definedName name="SAPwbID" hidden="1">"ARS"</definedName>
    <definedName name="SAR">#REF!</definedName>
    <definedName name="sas" hidden="1">{"Outflow 1",#N/A,FALSE,"Outflows-Inflows";"Outflow 2",#N/A,FALSE,"Outflows-Inflows";"Inflow 1",#N/A,FALSE,"Outflows-Inflows";"Inflow 2",#N/A,FALSE,"Outflows-Inflows"}</definedName>
    <definedName name="SASA" hidden="1">{#N/A,#N/A,FALSE,"단축1";#N/A,#N/A,FALSE,"단축2";#N/A,#N/A,FALSE,"단축3";#N/A,#N/A,FALSE,"장축";#N/A,#N/A,FALSE,"4WD"}</definedName>
    <definedName name="SAUPJA">#N/A</definedName>
    <definedName name="sawrhbAZ"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hidden="1">{#N/A,#N/A,FALSE,"단축1";#N/A,#N/A,FALSE,"단축2";#N/A,#N/A,FALSE,"단축3";#N/A,#N/A,FALSE,"장축";#N/A,#N/A,FALSE,"4WD"}</definedName>
    <definedName name="sdds">#N/A</definedName>
    <definedName name="sdewq">#REF!</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hidden="1">{"Outflow 1",#N/A,FALSE,"Outflows-Inflows";"Outflow 2",#N/A,FALSE,"Outflows-Inflows";"Inflow 1",#N/A,FALSE,"Outflows-Inflows";"Inflow 2",#N/A,FALSE,"Outflows-Inflows"}</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2" hidden="1">{"'Jibu9811 (3)'!$B$1:$J$433"}</definedName>
    <definedName name="sdfsdf" hidden="1">{"'Jibu9811 (3)'!$B$1:$J$433"}</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2" hidden="1">{"'Jibu9811 (3)'!$B$1:$J$433"}</definedName>
    <definedName name="SDHYIOFUWEIOFYUWEIO" hidden="1">{"'Jibu9811 (3)'!$B$1:$J$433"}</definedName>
    <definedName name="sdjkddjk" hidden="1">{"'Sheet1'!$A$1:$H$36"}</definedName>
    <definedName name="sdryhj" hidden="1">{"'용역비'!$A$4:$C$8"}</definedName>
    <definedName name="sds" hidden="1">#REF!</definedName>
    <definedName name="sdsa">#REF!</definedName>
    <definedName name="sdsd" localSheetId="2" hidden="1">{#N/A,#N/A,FALSE,"Aging Summary";#N/A,#N/A,FALSE,"Ratio Analysis";#N/A,#N/A,FALSE,"Test 120 Day Accts";#N/A,#N/A,FALSE,"Tickmarks"}</definedName>
    <definedName name="sdsd" hidden="1">{#N/A,#N/A,FALSE,"Aging Summary";#N/A,#N/A,FALSE,"Ratio Analysis";#N/A,#N/A,FALSE,"Test 120 Day Accts";#N/A,#N/A,FALSE,"Tickmarks"}</definedName>
    <definedName name="sdsdsd" localSheetId="2" hidden="1">{#N/A,#N/A,FALSE,"Aging Summary";#N/A,#N/A,FALSE,"Ratio Analysis";#N/A,#N/A,FALSE,"Test 120 Day Accts";#N/A,#N/A,FALSE,"Tickmarks"}</definedName>
    <definedName name="sdsdsd" hidden="1">{#N/A,#N/A,FALSE,"Aging Summary";#N/A,#N/A,FALSE,"Ratio Analysis";#N/A,#N/A,FALSE,"Test 120 Day Accts";#N/A,#N/A,FALSE,"Tickmarks"}</definedName>
    <definedName name="SDV_Perc">#REF!</definedName>
    <definedName name="SE" hidden="1">{"'용역비'!$A$4:$C$8"}</definedName>
    <definedName name="Season_factor">#REF!</definedName>
    <definedName name="Season_factor1">#REF!</definedName>
    <definedName name="segvx" localSheetId="2" hidden="1">{"'買掛金'!$J$6"}</definedName>
    <definedName name="segvx" hidden="1">{"'買掛金'!$J$6"}</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2" hidden="1">{"'Jibu9811 (3)'!$B$1:$J$433"}</definedName>
    <definedName name="set" hidden="1">{"'Jibu9811 (3)'!$B$1:$J$433"}</definedName>
    <definedName name="seth" hidden="1">{#N/A,#N/A,TRUE,"Cover Repl";#N/A,#N/A,TRUE,"P&amp;L";#N/A,#N/A,TRUE,"P&amp;L (2)";#N/A,#N/A,TRUE,"BS";#N/A,#N/A,TRUE,"Depreciation";#N/A,#N/A,TRUE,"GRAPHS";#N/A,#N/A,TRUE,"DCF EBITDA Multiple";#N/A,#N/A,TRUE,"DCF Perpetual Growth"}</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hidden="1">{#N/A,#N/A,FALSE,"단축1";#N/A,#N/A,FALSE,"단축2";#N/A,#N/A,FALSE,"단축3";#N/A,#N/A,FALSE,"장축";#N/A,#N/A,FALSE,"4WD"}</definedName>
    <definedName name="sgfsd">#N/A</definedName>
    <definedName name="shareholder_v">#REF!</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2" hidden="1">{#N/A,#N/A,FALSE,"UNIT";#N/A,#N/A,FALSE,"UNIT";#N/A,#N/A,FALSE,"계정"}</definedName>
    <definedName name="sheet" hidden="1">{#N/A,#N/A,FALSE,"UNIT";#N/A,#N/A,FALSE,"UNIT";#N/A,#N/A,FALSE,"계정"}</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2" hidden="1">{"'Jibu9811 (3)'!$B$1:$J$433"}</definedName>
    <definedName name="SHEET8" hidden="1">{"'Jibu9811 (3)'!$B$1:$J$433"}</definedName>
    <definedName name="Sheet9">#REF!</definedName>
    <definedName name="sheets_name">#REF!:_RjC2</definedName>
    <definedName name="SHHHH">#REF!</definedName>
    <definedName name="shi" hidden="1">{#N/A,#N/A,FALSE,"단축1";#N/A,#N/A,FALSE,"단축2";#N/A,#N/A,FALSE,"단축3";#N/A,#N/A,FALSE,"장축";#N/A,#N/A,FALSE,"4WD"}</definedName>
    <definedName name="SHIN" localSheetId="2" hidden="1">{#N/A,#N/A,FALSE,"P.C.B"}</definedName>
    <definedName name="SHIN" hidden="1">{#N/A,#N/A,FALSE,"P.C.B"}</definedName>
    <definedName name="shpe">#REF!</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gy">#REF!</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hidden="1">{#N/A,#N/A,FALSE,"단축1";#N/A,#N/A,FALSE,"단축2";#N/A,#N/A,FALSE,"단축3";#N/A,#N/A,FALSE,"장축";#N/A,#N/A,FALSE,"4WD"}</definedName>
    <definedName name="sjk" hidden="1">{#N/A,#N/A,FALSE,"단축1";#N/A,#N/A,FALSE,"단축2";#N/A,#N/A,FALSE,"단축3";#N/A,#N/A,FALSE,"장축";#N/A,#N/A,FALSE,"4WD"}</definedName>
    <definedName name="SK" hidden="1">#REF!</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hidden="1">{#N/A,#N/A,FALSE,"변경관리예산";#N/A,#N/A,FALSE,"변경장비예산";#N/A,#N/A,FALSE,"변경준설예산";#N/A,#N/A,FALSE,"변경철구예산"}</definedName>
    <definedName name="Social">#REF!</definedName>
    <definedName name="SOC분야" hidden="1">{#N/A,#N/A,FALSE,"예상손익";#N/A,#N/A,FALSE,"관리분석";#N/A,#N/A,FALSE,"장비분석";#N/A,#N/A,FALSE,"준설분석";#N/A,#N/A,FALSE,"철구분석"}</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hidden="1">{"'용역비'!$A$4:$C$8"}</definedName>
    <definedName name="ss" hidden="1">#REF!</definedName>
    <definedName name="ssasd" localSheetId="2" hidden="1">{"'분양원가'!$B$1:$F$113"}</definedName>
    <definedName name="ssasd" hidden="1">{"'분양원가'!$B$1:$F$113"}</definedName>
    <definedName name="ssavecenterfooter">#REF!</definedName>
    <definedName name="ssaveheader">#REF!</definedName>
    <definedName name="SSD" localSheetId="2" hidden="1">{#N/A,#N/A,FALSE,"을지 (4)";#N/A,#N/A,FALSE,"을지 (5)";#N/A,#N/A,FALSE,"을지 (6)"}</definedName>
    <definedName name="SSD" hidden="1">{#N/A,#N/A,FALSE,"을지 (4)";#N/A,#N/A,FALSE,"을지 (5)";#N/A,#N/A,FALSE,"을지 (6)"}</definedName>
    <definedName name="ssklsl" hidden="1">{"'Sheet1'!$A$1:$H$36"}</definedName>
    <definedName name="SSS" hidden="1">#REF!</definedName>
    <definedName name="sssa">BlankMacro1</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BlankMacro1</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hidden="1">{#N/A,#N/A,FALSE,"단축1";#N/A,#N/A,FALSE,"단축2";#N/A,#N/A,FALSE,"단축3";#N/A,#N/A,FALSE,"장축";#N/A,#N/A,FALSE,"4WD"}</definedName>
    <definedName name="Strategy">#REF!</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drutru" hidden="1">{#N/A,#N/A,FALSE,"Sheet6"}</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2" hidden="1">{#N/A,#N/A,FALSE,"Performance Flash Report"}</definedName>
    <definedName name="test2" hidden="1">{#N/A,#N/A,FALSE,"Performance Flash Report"}</definedName>
    <definedName name="test2_1" localSheetId="2" hidden="1">{#N/A,#N/A,FALSE,"Performance Flash Report"}</definedName>
    <definedName name="test2_1" hidden="1">{#N/A,#N/A,FALSE,"Performance Flash Report"}</definedName>
    <definedName name="test2_1_1" localSheetId="2" hidden="1">{#N/A,#N/A,FALSE,"Performance Flash Report"}</definedName>
    <definedName name="test2_1_1" hidden="1">{#N/A,#N/A,FALSE,"Performance Flash Report"}</definedName>
    <definedName name="test2_1_2" localSheetId="2" hidden="1">{#N/A,#N/A,FALSE,"Performance Flash Report"}</definedName>
    <definedName name="test2_1_2" hidden="1">{#N/A,#N/A,FALSE,"Performance Flash Report"}</definedName>
    <definedName name="test2_1_3" localSheetId="2" hidden="1">{#N/A,#N/A,FALSE,"Performance Flash Report"}</definedName>
    <definedName name="test2_1_3" hidden="1">{#N/A,#N/A,FALSE,"Performance Flash Report"}</definedName>
    <definedName name="test2_1_4" localSheetId="2" hidden="1">{#N/A,#N/A,FALSE,"Performance Flash Report"}</definedName>
    <definedName name="test2_1_4" hidden="1">{#N/A,#N/A,FALSE,"Performance Flash Report"}</definedName>
    <definedName name="test2_2" localSheetId="2" hidden="1">{#N/A,#N/A,FALSE,"Performance Flash Report"}</definedName>
    <definedName name="test2_2" hidden="1">{#N/A,#N/A,FALSE,"Performance Flash Report"}</definedName>
    <definedName name="test2_2_1" localSheetId="2" hidden="1">{#N/A,#N/A,FALSE,"Performance Flash Report"}</definedName>
    <definedName name="test2_2_1" hidden="1">{#N/A,#N/A,FALSE,"Performance Flash Report"}</definedName>
    <definedName name="test2_2_2" localSheetId="2" hidden="1">{#N/A,#N/A,FALSE,"Performance Flash Report"}</definedName>
    <definedName name="test2_2_2" hidden="1">{#N/A,#N/A,FALSE,"Performance Flash Report"}</definedName>
    <definedName name="test2_2_3" localSheetId="2" hidden="1">{#N/A,#N/A,FALSE,"Performance Flash Report"}</definedName>
    <definedName name="test2_2_3" hidden="1">{#N/A,#N/A,FALSE,"Performance Flash Report"}</definedName>
    <definedName name="test2_2_4" localSheetId="2" hidden="1">{#N/A,#N/A,FALSE,"Performance Flash Report"}</definedName>
    <definedName name="test2_2_4" hidden="1">{#N/A,#N/A,FALSE,"Performance Flash Report"}</definedName>
    <definedName name="test2_3" localSheetId="2" hidden="1">{#N/A,#N/A,FALSE,"Performance Flash Report"}</definedName>
    <definedName name="test2_3" hidden="1">{#N/A,#N/A,FALSE,"Performance Flash Report"}</definedName>
    <definedName name="test2_3_1" localSheetId="2" hidden="1">{#N/A,#N/A,FALSE,"Performance Flash Report"}</definedName>
    <definedName name="test2_3_1" hidden="1">{#N/A,#N/A,FALSE,"Performance Flash Report"}</definedName>
    <definedName name="test2_3_2" localSheetId="2" hidden="1">{#N/A,#N/A,FALSE,"Performance Flash Report"}</definedName>
    <definedName name="test2_3_2" hidden="1">{#N/A,#N/A,FALSE,"Performance Flash Report"}</definedName>
    <definedName name="test2_3_3" localSheetId="2" hidden="1">{#N/A,#N/A,FALSE,"Performance Flash Report"}</definedName>
    <definedName name="test2_3_3" hidden="1">{#N/A,#N/A,FALSE,"Performance Flash Report"}</definedName>
    <definedName name="test2_3_4" localSheetId="2" hidden="1">{#N/A,#N/A,FALSE,"Performance Flash Report"}</definedName>
    <definedName name="test2_3_4" hidden="1">{#N/A,#N/A,FALSE,"Performance Flash Report"}</definedName>
    <definedName name="test2_4" localSheetId="2" hidden="1">{#N/A,#N/A,FALSE,"Performance Flash Report"}</definedName>
    <definedName name="test2_4" hidden="1">{#N/A,#N/A,FALSE,"Performance Flash Report"}</definedName>
    <definedName name="test2_4_1" localSheetId="2" hidden="1">{#N/A,#N/A,FALSE,"Performance Flash Report"}</definedName>
    <definedName name="test2_4_1" hidden="1">{#N/A,#N/A,FALSE,"Performance Flash Report"}</definedName>
    <definedName name="test2_4_2" localSheetId="2" hidden="1">{#N/A,#N/A,FALSE,"Performance Flash Report"}</definedName>
    <definedName name="test2_4_2" hidden="1">{#N/A,#N/A,FALSE,"Performance Flash Report"}</definedName>
    <definedName name="test2_4_3" localSheetId="2" hidden="1">{#N/A,#N/A,FALSE,"Performance Flash Report"}</definedName>
    <definedName name="test2_4_3" hidden="1">{#N/A,#N/A,FALSE,"Performance Flash Report"}</definedName>
    <definedName name="test2_4_4" localSheetId="2" hidden="1">{#N/A,#N/A,FALSE,"Performance Flash Report"}</definedName>
    <definedName name="test2_4_4" hidden="1">{#N/A,#N/A,FALSE,"Performance Flash Report"}</definedName>
    <definedName name="test2_5" localSheetId="2" hidden="1">{#N/A,#N/A,FALSE,"Performance Flash Report"}</definedName>
    <definedName name="test2_5" hidden="1">{#N/A,#N/A,FALSE,"Performance Flash Report"}</definedName>
    <definedName name="test2_5_1" localSheetId="2" hidden="1">{#N/A,#N/A,FALSE,"Performance Flash Report"}</definedName>
    <definedName name="test2_5_1" hidden="1">{#N/A,#N/A,FALSE,"Performance Flash Report"}</definedName>
    <definedName name="test2_5_2" localSheetId="2" hidden="1">{#N/A,#N/A,FALSE,"Performance Flash Report"}</definedName>
    <definedName name="test2_5_2" hidden="1">{#N/A,#N/A,FALSE,"Performance Flash Report"}</definedName>
    <definedName name="test2_5_3" localSheetId="2" hidden="1">{#N/A,#N/A,FALSE,"Performance Flash Report"}</definedName>
    <definedName name="test2_5_3" hidden="1">{#N/A,#N/A,FALSE,"Performance Flash Report"}</definedName>
    <definedName name="test2_5_4" localSheetId="2" hidden="1">{#N/A,#N/A,FALSE,"Performance Flash Report"}</definedName>
    <definedName name="test2_5_4" hidden="1">{#N/A,#N/A,FALSE,"Performance Flash Report"}</definedName>
    <definedName name="test3" localSheetId="2" hidden="1">{#N/A,#N/A,FALSE,"Performance Flash Report"}</definedName>
    <definedName name="test3" hidden="1">{#N/A,#N/A,FALSE,"Performance Flash Report"}</definedName>
    <definedName name="test3_1" localSheetId="2" hidden="1">{#N/A,#N/A,FALSE,"Performance Flash Report"}</definedName>
    <definedName name="test3_1" hidden="1">{#N/A,#N/A,FALSE,"Performance Flash Report"}</definedName>
    <definedName name="test3_1_1" localSheetId="2" hidden="1">{#N/A,#N/A,FALSE,"Performance Flash Report"}</definedName>
    <definedName name="test3_1_1" hidden="1">{#N/A,#N/A,FALSE,"Performance Flash Report"}</definedName>
    <definedName name="test3_1_2" localSheetId="2" hidden="1">{#N/A,#N/A,FALSE,"Performance Flash Report"}</definedName>
    <definedName name="test3_1_2" hidden="1">{#N/A,#N/A,FALSE,"Performance Flash Report"}</definedName>
    <definedName name="test3_1_3" localSheetId="2" hidden="1">{#N/A,#N/A,FALSE,"Performance Flash Report"}</definedName>
    <definedName name="test3_1_3" hidden="1">{#N/A,#N/A,FALSE,"Performance Flash Report"}</definedName>
    <definedName name="test3_1_4" localSheetId="2" hidden="1">{#N/A,#N/A,FALSE,"Performance Flash Report"}</definedName>
    <definedName name="test3_1_4" hidden="1">{#N/A,#N/A,FALSE,"Performance Flash Report"}</definedName>
    <definedName name="test3_2" localSheetId="2" hidden="1">{#N/A,#N/A,FALSE,"Performance Flash Report"}</definedName>
    <definedName name="test3_2" hidden="1">{#N/A,#N/A,FALSE,"Performance Flash Report"}</definedName>
    <definedName name="test3_2_1" localSheetId="2" hidden="1">{#N/A,#N/A,FALSE,"Performance Flash Report"}</definedName>
    <definedName name="test3_2_1" hidden="1">{#N/A,#N/A,FALSE,"Performance Flash Report"}</definedName>
    <definedName name="test3_2_2" localSheetId="2" hidden="1">{#N/A,#N/A,FALSE,"Performance Flash Report"}</definedName>
    <definedName name="test3_2_2" hidden="1">{#N/A,#N/A,FALSE,"Performance Flash Report"}</definedName>
    <definedName name="test3_2_3" localSheetId="2" hidden="1">{#N/A,#N/A,FALSE,"Performance Flash Report"}</definedName>
    <definedName name="test3_2_3" hidden="1">{#N/A,#N/A,FALSE,"Performance Flash Report"}</definedName>
    <definedName name="test3_2_4" localSheetId="2" hidden="1">{#N/A,#N/A,FALSE,"Performance Flash Report"}</definedName>
    <definedName name="test3_2_4" hidden="1">{#N/A,#N/A,FALSE,"Performance Flash Report"}</definedName>
    <definedName name="test3_3" localSheetId="2" hidden="1">{#N/A,#N/A,FALSE,"Performance Flash Report"}</definedName>
    <definedName name="test3_3" hidden="1">{#N/A,#N/A,FALSE,"Performance Flash Report"}</definedName>
    <definedName name="test3_3_1" localSheetId="2" hidden="1">{#N/A,#N/A,FALSE,"Performance Flash Report"}</definedName>
    <definedName name="test3_3_1" hidden="1">{#N/A,#N/A,FALSE,"Performance Flash Report"}</definedName>
    <definedName name="test3_3_2" localSheetId="2" hidden="1">{#N/A,#N/A,FALSE,"Performance Flash Report"}</definedName>
    <definedName name="test3_3_2" hidden="1">{#N/A,#N/A,FALSE,"Performance Flash Report"}</definedName>
    <definedName name="test3_3_3" localSheetId="2" hidden="1">{#N/A,#N/A,FALSE,"Performance Flash Report"}</definedName>
    <definedName name="test3_3_3" hidden="1">{#N/A,#N/A,FALSE,"Performance Flash Report"}</definedName>
    <definedName name="test3_3_4" localSheetId="2" hidden="1">{#N/A,#N/A,FALSE,"Performance Flash Report"}</definedName>
    <definedName name="test3_3_4" hidden="1">{#N/A,#N/A,FALSE,"Performance Flash Report"}</definedName>
    <definedName name="test3_4" localSheetId="2" hidden="1">{#N/A,#N/A,FALSE,"Performance Flash Report"}</definedName>
    <definedName name="test3_4" hidden="1">{#N/A,#N/A,FALSE,"Performance Flash Report"}</definedName>
    <definedName name="test3_4_1" localSheetId="2" hidden="1">{#N/A,#N/A,FALSE,"Performance Flash Report"}</definedName>
    <definedName name="test3_4_1" hidden="1">{#N/A,#N/A,FALSE,"Performance Flash Report"}</definedName>
    <definedName name="test3_4_2" localSheetId="2" hidden="1">{#N/A,#N/A,FALSE,"Performance Flash Report"}</definedName>
    <definedName name="test3_4_2" hidden="1">{#N/A,#N/A,FALSE,"Performance Flash Report"}</definedName>
    <definedName name="test3_4_3" localSheetId="2" hidden="1">{#N/A,#N/A,FALSE,"Performance Flash Report"}</definedName>
    <definedName name="test3_4_3" hidden="1">{#N/A,#N/A,FALSE,"Performance Flash Report"}</definedName>
    <definedName name="test3_4_4" localSheetId="2" hidden="1">{#N/A,#N/A,FALSE,"Performance Flash Report"}</definedName>
    <definedName name="test3_4_4" hidden="1">{#N/A,#N/A,FALSE,"Performance Flash Report"}</definedName>
    <definedName name="test3_5" localSheetId="2" hidden="1">{#N/A,#N/A,FALSE,"Performance Flash Report"}</definedName>
    <definedName name="test3_5" hidden="1">{#N/A,#N/A,FALSE,"Performance Flash Report"}</definedName>
    <definedName name="test3_5_1" localSheetId="2" hidden="1">{#N/A,#N/A,FALSE,"Performance Flash Report"}</definedName>
    <definedName name="test3_5_1" hidden="1">{#N/A,#N/A,FALSE,"Performance Flash Report"}</definedName>
    <definedName name="test3_5_2" localSheetId="2" hidden="1">{#N/A,#N/A,FALSE,"Performance Flash Report"}</definedName>
    <definedName name="test3_5_2" hidden="1">{#N/A,#N/A,FALSE,"Performance Flash Report"}</definedName>
    <definedName name="test3_5_3" localSheetId="2" hidden="1">{#N/A,#N/A,FALSE,"Performance Flash Report"}</definedName>
    <definedName name="test3_5_3"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2" hidden="1">{#N/A,#N/A,TRUE,"Y생산";#N/A,#N/A,TRUE,"Y판매";#N/A,#N/A,TRUE,"Y총물량";#N/A,#N/A,TRUE,"Y능력";#N/A,#N/A,TRUE,"YKD"}</definedName>
    <definedName name="TEWR" hidden="1">{#N/A,#N/A,TRUE,"Y생산";#N/A,#N/A,TRUE,"Y판매";#N/A,#N/A,TRUE,"Y총물량";#N/A,#N/A,TRUE,"Y능력";#N/A,#N/A,TRUE,"YKD"}</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hidden="1">{"'용역비'!$A$4:$C$8"}</definedName>
    <definedName name="tggf" hidden="1">#N/A</definedName>
    <definedName name="tgp">#REF!</definedName>
    <definedName name="TGR">#REF!</definedName>
    <definedName name="th">10^3</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hidden="1">{#N/A,#N/A,TRUE,"Y생산";#N/A,#N/A,TRUE,"Y판매";#N/A,#N/A,TRUE,"Y총물량";#N/A,#N/A,TRUE,"Y능력";#N/A,#N/A,TRUE,"YKD"}</definedName>
    <definedName name="tk" localSheetId="2" hidden="1">{"'Jibu9811 (3)'!$B$1:$J$433"}</definedName>
    <definedName name="tk" hidden="1">{"'Jibu9811 (3)'!$B$1:$J$433"}</definedName>
    <definedName name="tkdl">#N/A</definedName>
    <definedName name="TKTKTK" localSheetId="2" hidden="1">{"'미착금액'!$A$4:$G$14"}</definedName>
    <definedName name="TKTKTK" hidden="1">{"'미착금액'!$A$4:$G$14"}</definedName>
    <definedName name="TLF">{"'10_03일자별'!$A$2:$H$31"}</definedName>
    <definedName name="tlsdmsdk" localSheetId="2" hidden="1">{#N/A,#N/A,FALSE,"Pharm";#N/A,#N/A,FALSE,"WWCM"}</definedName>
    <definedName name="tlsdmsdk" hidden="1">{#N/A,#N/A,FALSE,"Pharm";#N/A,#N/A,FALSE,"WWCM"}</definedName>
    <definedName name="TM1REBUILDOPTION">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2">BlankMacro1</definedName>
    <definedName name="Training" localSheetId="0">BlankMacro1</definedName>
    <definedName name="Training">BlankMacro1</definedName>
    <definedName name="Transfer">#REF!</definedName>
    <definedName name="TRAY">#REF!</definedName>
    <definedName name="TRAY_D">#REF!</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hidden="1">{#N/A,#N/A,FALSE,"Sheet6"}</definedName>
    <definedName name="trhr" hidden="1">{#N/A,#N/A,FALSE,"Sheet6"}</definedName>
    <definedName name="TrialBalance2">#REF!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2" hidden="1">{#N/A,#N/A,FALSE,"UNIT";#N/A,#N/A,FALSE,"UNIT";#N/A,#N/A,FALSE,"계정"}</definedName>
    <definedName name="TT" hidden="1">{#N/A,#N/A,FALSE,"UNIT";#N/A,#N/A,FALSE,"UNIT";#N/A,#N/A,FALSE,"계정"}</definedName>
    <definedName name="tthh" hidden="1">#N/A</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hidden="1">{#N/A,#N/A,FALSE,"Sheet6"}</definedName>
    <definedName name="TTSALE">#N/A</definedName>
    <definedName name="TTT"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hidden="1">{#N/A,#N/A,FALSE,"지침";#N/A,#N/A,FALSE,"환경분석";#N/A,#N/A,FALSE,"Sheet16"}</definedName>
    <definedName name="TTTTTTT">#REF!</definedName>
    <definedName name="ttttttttt" hidden="1">{"'Set-Out'!$A$1:$H$30"}</definedName>
    <definedName name="tu"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hidden="1">{#N/A,#N/A,FALSE,"Sheet6"}</definedName>
    <definedName name="TYJ" hidden="1">{"'용역비'!$A$4:$C$8"}</definedName>
    <definedName name="tyje" hidden="1">{"'용역비'!$A$4:$C$8"}</definedName>
    <definedName name="tyjet" hidden="1">{"'용역비'!$A$4:$C$8"}</definedName>
    <definedName name="TYPE">#REF!</definedName>
    <definedName name="type_dropdown">#REF!</definedName>
    <definedName name="TYTYTYTYTYT" hidden="1">{#N/A,#N/A,FALSE,"단축1";#N/A,#N/A,FALSE,"단축2";#N/A,#N/A,FALSE,"단축3";#N/A,#N/A,FALSE,"장축";#N/A,#N/A,FALSE,"4WD"}</definedName>
    <definedName name="tyu" hidden="1">{"'용역비'!$A$4:$C$8"}</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2" hidden="1">{#N/A,#N/A,FALSE,"CCTV"}</definedName>
    <definedName name="UUU" hidden="1">{#N/A,#N/A,FALSE,"CCTV"}</definedName>
    <definedName name="uuuu" hidden="1">{#N/A,#N/A,FALSE,"단가표지"}</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hidden="1">{#N/A,#N/A,FALSE,"단축1";#N/A,#N/A,FALSE,"단축2";#N/A,#N/A,FALSE,"단축3";#N/A,#N/A,FALSE,"장축";#N/A,#N/A,FALSE,"4WD"}</definedName>
    <definedName name="uyteyj" hidden="1">#REF!</definedName>
    <definedName name="UYTRC" hidden="1">{#N/A,#N/A,FALSE,"단축1";#N/A,#N/A,FALSE,"단축2";#N/A,#N/A,FALSE,"단축3";#N/A,#N/A,FALSE,"장축";#N/A,#N/A,FALSE,"4WD"}</definedName>
    <definedName name="U행">#REF!</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hidden="1">{#N/A,#N/A,FALSE,"이태원철근"}</definedName>
    <definedName name="VBN" hidden="1">{#N/A,#N/A,FALSE,"이태원철근"}</definedName>
    <definedName name="vbnhj" hidden="1">{#N/A,#N/A,FALSE,"Sheet6"}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hidden="1">{#N/A,#N/A,TRUE,"경전'96(1)";#N/A,#N/A,TRUE,"경전'96 (2)"}</definedName>
    <definedName name="Vtwt">#REF!</definedName>
    <definedName name="vv">Main.SAPF4Help()</definedName>
    <definedName name="vvv" localSheetId="2" hidden="1">{"'買掛金'!$J$6"}</definedName>
    <definedName name="vvv" hidden="1">{"'買掛金'!$J$6"}</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2" hidden="1">{#N/A,#N/A,FALSE,"기안지";#N/A,#N/A,FALSE,"통신지"}</definedName>
    <definedName name="VW" hidden="1">{#N/A,#N/A,FALSE,"기안지";#N/A,#N/A,FALSE,"통신지"}</definedName>
    <definedName name="vxccx" localSheetId="2" hidden="1">{"'買掛金'!$J$6"}</definedName>
    <definedName name="vxccx" hidden="1">{"'買掛金'!$J$6"}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hidden="1">{#N/A,#N/A,FALSE,"단축1";#N/A,#N/A,FALSE,"단축2";#N/A,#N/A,FALSE,"단축3";#N/A,#N/A,FALSE,"장축";#N/A,#N/A,FALSE,"4WD"}</definedName>
    <definedName name="V행">#REF!</definedName>
    <definedName name="w" hidden="1">#REF!</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2" hidden="1">{#N/A,#N/A,FALSE,"UNIT";#N/A,#N/A,FALSE,"UNIT";#N/A,#N/A,FALSE,"계정"}</definedName>
    <definedName name="wdd" hidden="1">{#N/A,#N/A,FALSE,"UNIT";#N/A,#N/A,FALSE,"UNIT";#N/A,#N/A,FALSE,"계정"}</definedName>
    <definedName name="wdj">#N/A</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2" hidden="1">{#N/A,#N/A,TRUE,"Y생산";#N/A,#N/A,TRUE,"Y판매";#N/A,#N/A,TRUE,"Y총물량";#N/A,#N/A,TRUE,"Y능력";#N/A,#N/A,TRUE,"YKD"}</definedName>
    <definedName name="WEARF" hidden="1">{#N/A,#N/A,TRUE,"Y생산";#N/A,#N/A,TRUE,"Y판매";#N/A,#N/A,TRUE,"Y총물량";#N/A,#N/A,TRUE,"Y능력";#N/A,#N/A,TRUE,"YKD"}</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2" hidden="1">{#N/A,#N/A,FALSE,"Performance Flash Report"}</definedName>
    <definedName name="wef" hidden="1">{#N/A,#N/A,FALSE,"Performance Flash Report"}</definedName>
    <definedName name="wef_1" localSheetId="2" hidden="1">{#N/A,#N/A,FALSE,"Performance Flash Report"}</definedName>
    <definedName name="wef_1" hidden="1">{#N/A,#N/A,FALSE,"Performance Flash Report"}</definedName>
    <definedName name="wef_1_1" localSheetId="2" hidden="1">{#N/A,#N/A,FALSE,"Performance Flash Report"}</definedName>
    <definedName name="wef_1_1" hidden="1">{#N/A,#N/A,FALSE,"Performance Flash Report"}</definedName>
    <definedName name="wef_1_2" localSheetId="2" hidden="1">{#N/A,#N/A,FALSE,"Performance Flash Report"}</definedName>
    <definedName name="wef_1_2" hidden="1">{#N/A,#N/A,FALSE,"Performance Flash Report"}</definedName>
    <definedName name="wef_1_3" localSheetId="2" hidden="1">{#N/A,#N/A,FALSE,"Performance Flash Report"}</definedName>
    <definedName name="wef_1_3" hidden="1">{#N/A,#N/A,FALSE,"Performance Flash Report"}</definedName>
    <definedName name="wef_1_4" localSheetId="2" hidden="1">{#N/A,#N/A,FALSE,"Performance Flash Report"}</definedName>
    <definedName name="wef_1_4" hidden="1">{#N/A,#N/A,FALSE,"Performance Flash Report"}</definedName>
    <definedName name="wef_2" localSheetId="2" hidden="1">{#N/A,#N/A,FALSE,"Performance Flash Report"}</definedName>
    <definedName name="wef_2" hidden="1">{#N/A,#N/A,FALSE,"Performance Flash Report"}</definedName>
    <definedName name="wef_2_1" localSheetId="2" hidden="1">{#N/A,#N/A,FALSE,"Performance Flash Report"}</definedName>
    <definedName name="wef_2_1" hidden="1">{#N/A,#N/A,FALSE,"Performance Flash Report"}</definedName>
    <definedName name="wef_2_2" localSheetId="2" hidden="1">{#N/A,#N/A,FALSE,"Performance Flash Report"}</definedName>
    <definedName name="wef_2_2" hidden="1">{#N/A,#N/A,FALSE,"Performance Flash Report"}</definedName>
    <definedName name="wef_2_3" localSheetId="2" hidden="1">{#N/A,#N/A,FALSE,"Performance Flash Report"}</definedName>
    <definedName name="wef_2_3" hidden="1">{#N/A,#N/A,FALSE,"Performance Flash Report"}</definedName>
    <definedName name="wef_2_4" localSheetId="2" hidden="1">{#N/A,#N/A,FALSE,"Performance Flash Report"}</definedName>
    <definedName name="wef_2_4" hidden="1">{#N/A,#N/A,FALSE,"Performance Flash Report"}</definedName>
    <definedName name="wef_3" localSheetId="2" hidden="1">{#N/A,#N/A,FALSE,"Performance Flash Report"}</definedName>
    <definedName name="wef_3" hidden="1">{#N/A,#N/A,FALSE,"Performance Flash Report"}</definedName>
    <definedName name="wef_3_1" localSheetId="2" hidden="1">{#N/A,#N/A,FALSE,"Performance Flash Report"}</definedName>
    <definedName name="wef_3_1" hidden="1">{#N/A,#N/A,FALSE,"Performance Flash Report"}</definedName>
    <definedName name="wef_3_2" localSheetId="2" hidden="1">{#N/A,#N/A,FALSE,"Performance Flash Report"}</definedName>
    <definedName name="wef_3_2" hidden="1">{#N/A,#N/A,FALSE,"Performance Flash Report"}</definedName>
    <definedName name="wef_3_3" localSheetId="2" hidden="1">{#N/A,#N/A,FALSE,"Performance Flash Report"}</definedName>
    <definedName name="wef_3_3" hidden="1">{#N/A,#N/A,FALSE,"Performance Flash Report"}</definedName>
    <definedName name="wef_3_4" localSheetId="2" hidden="1">{#N/A,#N/A,FALSE,"Performance Flash Report"}</definedName>
    <definedName name="wef_3_4" hidden="1">{#N/A,#N/A,FALSE,"Performance Flash Report"}</definedName>
    <definedName name="wef_4" localSheetId="2" hidden="1">{#N/A,#N/A,FALSE,"Performance Flash Report"}</definedName>
    <definedName name="wef_4" hidden="1">{#N/A,#N/A,FALSE,"Performance Flash Report"}</definedName>
    <definedName name="wef_4_1" localSheetId="2" hidden="1">{#N/A,#N/A,FALSE,"Performance Flash Report"}</definedName>
    <definedName name="wef_4_1" hidden="1">{#N/A,#N/A,FALSE,"Performance Flash Report"}</definedName>
    <definedName name="wef_4_2" localSheetId="2" hidden="1">{#N/A,#N/A,FALSE,"Performance Flash Report"}</definedName>
    <definedName name="wef_4_2" hidden="1">{#N/A,#N/A,FALSE,"Performance Flash Report"}</definedName>
    <definedName name="wef_4_3" localSheetId="2" hidden="1">{#N/A,#N/A,FALSE,"Performance Flash Report"}</definedName>
    <definedName name="wef_4_3" hidden="1">{#N/A,#N/A,FALSE,"Performance Flash Report"}</definedName>
    <definedName name="wef_4_4" localSheetId="2" hidden="1">{#N/A,#N/A,FALSE,"Performance Flash Report"}</definedName>
    <definedName name="wef_4_4" hidden="1">{#N/A,#N/A,FALSE,"Performance Flash Report"}</definedName>
    <definedName name="wef_5" localSheetId="2" hidden="1">{#N/A,#N/A,FALSE,"Performance Flash Report"}</definedName>
    <definedName name="wef_5" hidden="1">{#N/A,#N/A,FALSE,"Performance Flash Report"}</definedName>
    <definedName name="wef_5_1" localSheetId="2" hidden="1">{#N/A,#N/A,FALSE,"Performance Flash Report"}</definedName>
    <definedName name="wef_5_1" hidden="1">{#N/A,#N/A,FALSE,"Performance Flash Report"}</definedName>
    <definedName name="wef_5_2" localSheetId="2" hidden="1">{#N/A,#N/A,FALSE,"Performance Flash Report"}</definedName>
    <definedName name="wef_5_2" hidden="1">{#N/A,#N/A,FALSE,"Performance Flash Report"}</definedName>
    <definedName name="wef_5_3" localSheetId="2" hidden="1">{#N/A,#N/A,FALSE,"Performance Flash Report"}</definedName>
    <definedName name="wef_5_3" hidden="1">{#N/A,#N/A,FALSE,"Performance Flash Report"}</definedName>
    <definedName name="wef_5_4" localSheetId="2" hidden="1">{#N/A,#N/A,FALSE,"Performance Flash Report"}</definedName>
    <definedName name="wef_5_4" hidden="1">{#N/A,#N/A,FALSE,"Performance Flash Report"}</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hidden="1">{#N/A,#N/A,FALSE,"단축1";#N/A,#N/A,FALSE,"단축2";#N/A,#N/A,FALSE,"단축3";#N/A,#N/A,FALSE,"장축";#N/A,#N/A,FALSE,"4WD"}</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hidden="1">{"INCSTMT1",#N/A,FALSE,"COR";"INCSTMT2",#N/A,FALSE,"COR"}</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hidden="1">{#N/A,#N/A,TRUE,"경전'96(1)";#N/A,#N/A,TRUE,"경전'96 (2)"}</definedName>
    <definedName name="WJWJWJW" hidden="1">{#N/A,#N/A,FALSE,"단축1";#N/A,#N/A,FALSE,"단축2";#N/A,#N/A,FALSE,"단축3";#N/A,#N/A,FALSE,"장축";#N/A,#N/A,FALSE,"4WD"}</definedName>
    <definedName name="wkf" hidden="1">{#N/A,#N/A,FALSE,"단축1";#N/A,#N/A,FALSE,"단축2";#N/A,#N/A,FALSE,"단축3";#N/A,#N/A,FALSE,"장축";#N/A,#N/A,FALSE,"4WD"}</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hidden="1">{#N/A,#N/A,TRUE,"Y생산";#N/A,#N/A,TRUE,"Y판매";#N/A,#N/A,TRUE,"Y총물량";#N/A,#N/A,TRUE,"Y능력";#N/A,#N/A,TRUE,"YKD"}</definedName>
    <definedName name="wl">#REF!</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2" hidden="1">{#N/A,#N/A,FALSE,"조골재"}</definedName>
    <definedName name="wm.조골재1" hidden="1">{#N/A,#N/A,FALSE,"조골재"}</definedName>
    <definedName name="WND" hidden="1">{#N/A,#N/A,FALSE,"단축1";#N/A,#N/A,FALSE,"단축2";#N/A,#N/A,FALSE,"단축3";#N/A,#N/A,FALSE,"장축";#N/A,#N/A,FALSE,"4WD"}</definedName>
    <definedName name="wnkllwk" hidden="1">{"'Sheet1'!$A$1:$H$36"}</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2" hidden="1">{#N/A,#N/A,FALSE,"을지 (4)";#N/A,#N/A,FALSE,"을지 (5)";#N/A,#N/A,FALSE,"을지 (6)"}</definedName>
    <definedName name="WQ" hidden="1">{#N/A,#N/A,FALSE,"을지 (4)";#N/A,#N/A,FALSE,"을지 (5)";#N/A,#N/A,FALSE,"을지 (6)"}</definedName>
    <definedName name="wqe" hidden="1">{#N/A,#N/A,FALSE,"견적대비-2"}</definedName>
    <definedName name="wqwqw" hidden="1">{#N/A,#N/A,FALSE,"단축1";#N/A,#N/A,FALSE,"단축2";#N/A,#N/A,FALSE,"단축3";#N/A,#N/A,FALSE,"장축";#N/A,#N/A,FALSE,"4WD"}</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2" hidden="1">{#N/A,#N/A,FALSE,"CCTV"}</definedName>
    <definedName name="WRITE" hidden="1">{#N/A,#N/A,FALSE,"CCTV"}</definedName>
    <definedName name="wrn" hidden="1">{"cap_structure",#N/A,FALSE,"Graph-Mkt Cap";"price",#N/A,FALSE,"Graph-Price";"ebit",#N/A,FALSE,"Graph-EBITDA";"ebitda",#N/A,FALSE,"Graph-EBITDA"}</definedName>
    <definedName name="wrn.2._.pagers." hidden="1">{"Cover",#N/A,FALSE,"Cover";"Summary",#N/A,FALSE,"Summarpage"}</definedName>
    <definedName name="wrn.2번." localSheetId="2" hidden="1">{#N/A,#N/A,FALSE,"2~8번"}</definedName>
    <definedName name="wrn.2번." hidden="1">{#N/A,#N/A,FALSE,"2~8번"}</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hidden="1">{#N/A,"Base",FALSE,"Dividend";#N/A,"Conservative",FALSE,"Dividend";#N/A,"Downside",FALSE,"Dividend"}</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hidden="1">{#N/A,#N/A,FALSE,"지침";#N/A,#N/A,FALSE,"환경분석";#N/A,#N/A,FALSE,"Sheet16"}</definedName>
    <definedName name="wrn.97년._.투자계획." localSheetId="2" hidden="1">{#N/A,#N/A,FALSE,"97년 투자계획 세부내역 "}</definedName>
    <definedName name="wrn.97년._.투자계획." hidden="1">{#N/A,#N/A,FALSE,"97년 투자계획 세부내역 "}</definedName>
    <definedName name="wrn.A." hidden="1">{#N/A,#N/A,TRUE,"매출";#N/A,#N/A,TRUE,"손익-재무";#N/A,#N/A,TRUE,"Cash Flow(4)";#N/A,#N/A,TRUE,"Sheet1"}</definedName>
    <definedName name="wrn.aa." localSheetId="2" hidden="1">{#N/A,#N/A,FALSE,"UNIT";#N/A,#N/A,FALSE,"UNIT";#N/A,#N/A,FALSE,"계정"}</definedName>
    <definedName name="wrn.aa." hidden="1">{#N/A,#N/A,FALSE,"UNIT";#N/A,#N/A,FALSE,"UNIT";#N/A,#N/A,FALSE,"계정"}</definedName>
    <definedName name="wrn.abt." hidden="1">{"ww",#N/A,FALSE,"Hospital Products";"us",#N/A,FALSE,"Hospital Products";"in",#N/A,FALSE,"Hospital Products"}</definedName>
    <definedName name="wrn.Accounts." hidden="1">{"turnover",#N/A,FALSE;"profits",#N/A,FALSE;"cash",#N/A,FALSE}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HP._.MODELS." hidden="1">{"QTRINC",#N/A,FALSE,"QTRINC";"MARGIN",#N/A,FALSE,"MARGIN";"CASHFLOW",#N/A,FALSE,"CASHFLOW"}</definedName>
    <definedName name="wrn.Alex." hidden="1">{#N/A,#N/A,FALSE,"TradeSumm";#N/A,#N/A,FALSE,"StatsSumm"}</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hidden="1">{"revenue",#N/A,FALSE,"Revenue";"Qearn1",#N/A,FALSE,"Qearn";"Qearn2",#N/A,FALSE,"Qearn";"Qmargin",#N/A,FALSE,"Qmargin";"Cashflow",#N/A,FALSE,"Cashflow"}</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to._.Comp." hidden="1">{#N/A,#N/A,FALSE,"Sheet1"}</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hidden="1">{"financials",#N/A,FALSE,"BASIC";"interest",#N/A,FALSE,"BASIC";"leasing and financing",#N/A,FALSE,"BASIC";"returns back up",#N/A,FALSE,"BASIC"}</definedName>
    <definedName name="wrn.bank._.model." hidden="1">{"banks",#N/A,FALSE,"BASIC"}</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2" hidden="1">{#N/A,#N/A,FALSE,"CCTV"}</definedName>
    <definedName name="wrn.BM." hidden="1">{#N/A,#N/A,FALSE,"CCTV"}</definedName>
    <definedName name="wrn.BMC._.FTEAOB._.90." hidden="1">{"FTEAOB 90",#N/A,FALSE,"FTEAOB - 5.0 Format - Input"}</definedName>
    <definedName name="wrn.BMC._.FTEAOB._.91." hidden="1">{"FTEAOB 91",#N/A,FALSE,"FTEAOB - 5.0 Format - Input"}</definedName>
    <definedName name="wrn.BMC._.FTEAOB._.92." hidden="1">{"FTEAOB 92",#N/A,FALSE,"FTEAOB - 5.0 Format - Input"}</definedName>
    <definedName name="wrn.BMC._.FTEAOB._.93." hidden="1">{"FTEAOB 93",#N/A,FALSE,"FTEAOB - 5.0 Format - Input"}</definedName>
    <definedName name="wrn.BMC._.FTEAOB._.94." hidden="1">{"FTEAOB 94",#N/A,FALSE,"FTEAOB - 5.0 Format - Input"}</definedName>
    <definedName name="wrn.BMC._.FTEAOB._.95." hidden="1">{"FTEAOB 95",#N/A,FALSE,"FTEAOB - 5.0 Format - Input"}</definedName>
    <definedName name="wrn.BMC._.FTEAOB._.96." hidden="1">{"FTEAOB 96",#N/A,FALSE,"FTEAOB - 5.0 Format - Input"}</definedName>
    <definedName name="wrn.BMC._.FTEAOB._.ALL." hidden="1">{"FTEAOB ALL",#N/A,FALSE,"FTEAOB - 5.0 Format - Input"}</definedName>
    <definedName name="wrn.BMC._.FTEAOB._.YEARLY." hidden="1">{"FTEAOB YEARLY",#N/A,FALSE,"FTEAOB - 5.0 Format - Input"}</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hidden="1">{#N/A,#N/A,TRUE,"Chris Beard";#N/A,#N/A,TRUE,"P&amp;L - Regent Street";#N/A,#N/A,TRUE,"P&amp;L - Covent Garden";#N/A,#N/A,TRUE,"P&amp;L - Seven Dials"}</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hidden="1">{"client cfbs",#N/A,FALSE,"Client"}</definedName>
    <definedName name="wrn.Client._.is." hidden="1">{"Client is",#N/A,FALSE,"Client"}</definedName>
    <definedName name="wrn.Client._.stats." hidden="1">{"Client stats",#N/A,FALSE,"Client"}</definedName>
    <definedName name="wrn.CMI._.Actuals." hidden="1">{"CMI ACT Cover Page",#N/A,FALSE,"Cover Page";"CMI Leadsheet",#N/A,FALSE,"Cover Page";"CMI ACT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hidden="1">{#N/A,#N/A,FALSE,"INPUTS";#N/A,#N/A,FALSE,"PROFORMA BSHEET";#N/A,#N/A,FALSE,"COMBINED";#N/A,#N/A,FALSE,"HIGH YIELD";#N/A,#N/A,FALSE,"COMB_GRAPHS"}</definedName>
    <definedName name="wrn.COMMISSION." localSheetId="2" hidden="1">{"FORM17",#N/A,FALSE,"Commission1";"FORM17.1",#N/A,FALSE,"Commission2"}</definedName>
    <definedName name="wrn.COMMISSION." hidden="1">{"FORM17",#N/A,FALSE,"Commission1";"FORM17.1",#N/A,FALSE,"Commission2"}</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hidden="1">{#N/A,#N/A,TRUE,"summary";#N/A,#N/A,TRUE,"model"}</definedName>
    <definedName name="wrn.Consolidated._.Statements." hidden="1">{"view1",#N/A,FALSE,"EARN (US$)";"view1",#N/A,FALSE,"DASTBS (US$)";"view1",#N/A,FALSE,"DASTCF (US$)"}</definedName>
    <definedName name="wrn.CONSOLIDATION." hidden="1">{"PAGE1",#N/A,FALSE,"Consolidation";"PAGE2",#N/A,FALSE,"Consolidation";"PAGE3",#N/A,FALSE,"Consolidation";"PAGE4",#N/A,FALSE,"Consolidation";"PAGE5",#N/A,FALSE,"Consolidation";"PAGE6",#N/A,FALSE,"Consolidation";"PAGE7",#N/A,FALSE,"Consolidation"}</definedName>
    <definedName name="wrn.CORR." hidden="1">{"INCSTMT1",#N/A,FALSE,"COR";"INCSTMT2",#N/A,FALSE,"COR"}</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2" hidden="1">{#N/A,#N/A,FALSE,"Performance Flash Report"}</definedName>
    <definedName name="wrn.CS._.Flash._.Test."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2" hidden="1">{#N/A,#N/A,FALSE,"Performance Flash Report"}</definedName>
    <definedName name="wrn.CS._.Flash._.Test._5_4" hidden="1">{#N/A,#N/A,FALSE,"Performance Flash Report"}</definedName>
    <definedName name="wrn.daily." hidden="1">{#N/A,#N/A,FALSE,"Major v. River";#N/A,#N/A,FALSE,"Large Operators";#N/A,#N/A,FALSE,"Smaller Operators";#N/A,#N/A,FALSE,"Equip. Supply";#N/A,#N/A,FALSE,"EBITDA"}</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hidden="1">{"mgmt forecast",#N/A,FALSE,"Mgmt Forecast";"dcf table",#N/A,FALSE,"Mgmt Forecast";"sensitivity",#N/A,FALSE,"Mgmt Forecast";"table inputs",#N/A,FALSE,"Mgmt Forecast";"calculations",#N/A,FALSE,"Mgmt Forecast"}</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hidden="1">{#N/A,#N/A,TRUE,"P&amp;L - Main Summary";#N/A,#N/A,TRUE,"P&amp;L-Main Detail";#N/A,#N/A,TRUE,"Overhead Analysis";#N/A,#N/A,TRUE,"BalanceSheet"}</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hidden="1">{#N/A,#N/A,TRUE,"summary";#N/A,#N/A,TRUE,"model";#N/A,#N/A,TRUE,"Consolidated P&amp;L Summary";#N/A,#N/A,TRUE,"Schwinn";#N/A,#N/A,TRUE,"G.T.";#N/A,#N/A,TRUE,"Hebb"}</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2" hidden="1">{"FCB_ALL",#N/A,FALSE,"FCB"}</definedName>
    <definedName name="wrn.FCB." hidden="1">{"FCB_ALL",#N/A,FALSE,"FCB"}</definedName>
    <definedName name="wrn.FCB._1" localSheetId="2" hidden="1">{"FCB_ALL",#N/A,FALSE,"FCB"}</definedName>
    <definedName name="wrn.FCB._1" hidden="1">{"FCB_ALL",#N/A,FALSE,"FCB"}</definedName>
    <definedName name="wrn.FCB._1_1" localSheetId="2" hidden="1">{"FCB_ALL",#N/A,FALSE,"FCB"}</definedName>
    <definedName name="wrn.FCB._1_1" hidden="1">{"FCB_ALL",#N/A,FALSE,"FCB"}</definedName>
    <definedName name="wrn.FCB._1_2" localSheetId="2" hidden="1">{"FCB_ALL",#N/A,FALSE,"FCB"}</definedName>
    <definedName name="wrn.FCB._1_2" hidden="1">{"FCB_ALL",#N/A,FALSE,"FCB"}</definedName>
    <definedName name="wrn.FCB._1_3" localSheetId="2" hidden="1">{"FCB_ALL",#N/A,FALSE,"FCB"}</definedName>
    <definedName name="wrn.FCB._1_3" hidden="1">{"FCB_ALL",#N/A,FALSE,"FCB"}</definedName>
    <definedName name="wrn.FCB._1_4" localSheetId="2" hidden="1">{"FCB_ALL",#N/A,FALSE,"FCB"}</definedName>
    <definedName name="wrn.FCB._1_4" hidden="1">{"FCB_ALL",#N/A,FALSE,"FCB"}</definedName>
    <definedName name="wrn.FCB._2" localSheetId="2" hidden="1">{"FCB_ALL",#N/A,FALSE,"FCB"}</definedName>
    <definedName name="wrn.FCB._2" hidden="1">{"FCB_ALL",#N/A,FALSE,"FCB"}</definedName>
    <definedName name="wrn.FCB._2_1" localSheetId="2" hidden="1">{"FCB_ALL",#N/A,FALSE,"FCB"}</definedName>
    <definedName name="wrn.FCB._2_1" hidden="1">{"FCB_ALL",#N/A,FALSE,"FCB"}</definedName>
    <definedName name="wrn.FCB._2_2" localSheetId="2" hidden="1">{"FCB_ALL",#N/A,FALSE,"FCB"}</definedName>
    <definedName name="wrn.FCB._2_2" hidden="1">{"FCB_ALL",#N/A,FALSE,"FCB"}</definedName>
    <definedName name="wrn.FCB._2_3" localSheetId="2" hidden="1">{"FCB_ALL",#N/A,FALSE,"FCB"}</definedName>
    <definedName name="wrn.FCB._2_3" hidden="1">{"FCB_ALL",#N/A,FALSE,"FCB"}</definedName>
    <definedName name="wrn.FCB._2_4" localSheetId="2" hidden="1">{"FCB_ALL",#N/A,FALSE,"FCB"}</definedName>
    <definedName name="wrn.FCB._2_4" hidden="1">{"FCB_ALL",#N/A,FALSE,"FCB"}</definedName>
    <definedName name="wrn.FCB._3" localSheetId="2" hidden="1">{"FCB_ALL",#N/A,FALSE,"FCB"}</definedName>
    <definedName name="wrn.FCB._3" hidden="1">{"FCB_ALL",#N/A,FALSE,"FCB"}</definedName>
    <definedName name="wrn.FCB._3_1" localSheetId="2" hidden="1">{"FCB_ALL",#N/A,FALSE,"FCB"}</definedName>
    <definedName name="wrn.FCB._3_1" hidden="1">{"FCB_ALL",#N/A,FALSE,"FCB"}</definedName>
    <definedName name="wrn.FCB._3_2" localSheetId="2" hidden="1">{"FCB_ALL",#N/A,FALSE,"FCB"}</definedName>
    <definedName name="wrn.FCB._3_2" hidden="1">{"FCB_ALL",#N/A,FALSE,"FCB"}</definedName>
    <definedName name="wrn.FCB._3_3" localSheetId="2" hidden="1">{"FCB_ALL",#N/A,FALSE,"FCB"}</definedName>
    <definedName name="wrn.FCB._3_3" hidden="1">{"FCB_ALL",#N/A,FALSE,"FCB"}</definedName>
    <definedName name="wrn.FCB._3_4" localSheetId="2" hidden="1">{"FCB_ALL",#N/A,FALSE,"FCB"}</definedName>
    <definedName name="wrn.FCB._3_4" hidden="1">{"FCB_ALL",#N/A,FALSE,"FCB"}</definedName>
    <definedName name="wrn.FCB._4" localSheetId="2" hidden="1">{"FCB_ALL",#N/A,FALSE,"FCB"}</definedName>
    <definedName name="wrn.FCB._4" hidden="1">{"FCB_ALL",#N/A,FALSE,"FCB"}</definedName>
    <definedName name="wrn.FCB._4_1" localSheetId="2" hidden="1">{"FCB_ALL",#N/A,FALSE,"FCB"}</definedName>
    <definedName name="wrn.FCB._4_1" hidden="1">{"FCB_ALL",#N/A,FALSE,"FCB"}</definedName>
    <definedName name="wrn.FCB._4_2" localSheetId="2" hidden="1">{"FCB_ALL",#N/A,FALSE,"FCB"}</definedName>
    <definedName name="wrn.FCB._4_2" hidden="1">{"FCB_ALL",#N/A,FALSE,"FCB"}</definedName>
    <definedName name="wrn.FCB._4_3" localSheetId="2" hidden="1">{"FCB_ALL",#N/A,FALSE,"FCB"}</definedName>
    <definedName name="wrn.FCB._4_3" hidden="1">{"FCB_ALL",#N/A,FALSE,"FCB"}</definedName>
    <definedName name="wrn.FCB._4_4" localSheetId="2" hidden="1">{"FCB_ALL",#N/A,FALSE,"FCB"}</definedName>
    <definedName name="wrn.FCB._4_4" hidden="1">{"FCB_ALL",#N/A,FALSE,"FCB"}</definedName>
    <definedName name="wrn.FCB._5" localSheetId="2" hidden="1">{"FCB_ALL",#N/A,FALSE,"FCB"}</definedName>
    <definedName name="wrn.FCB._5" hidden="1">{"FCB_ALL",#N/A,FALSE,"FCB"}</definedName>
    <definedName name="wrn.FCB._5_1" localSheetId="2" hidden="1">{"FCB_ALL",#N/A,FALSE,"FCB"}</definedName>
    <definedName name="wrn.FCB._5_1" hidden="1">{"FCB_ALL",#N/A,FALSE,"FCB"}</definedName>
    <definedName name="wrn.FCB._5_2" localSheetId="2" hidden="1">{"FCB_ALL",#N/A,FALSE,"FCB"}</definedName>
    <definedName name="wrn.FCB._5_2" hidden="1">{"FCB_ALL",#N/A,FALSE,"FCB"}</definedName>
    <definedName name="wrn.FCB._5_3" localSheetId="2" hidden="1">{"FCB_ALL",#N/A,FALSE,"FCB"}</definedName>
    <definedName name="wrn.FCB._5_3" hidden="1">{"FCB_ALL",#N/A,FALSE,"FCB"}</definedName>
    <definedName name="wrn.FCB._5_4" localSheetId="2" hidden="1">{"FCB_ALL",#N/A,FALSE,"FCB"}</definedName>
    <definedName name="wrn.FCB._5_4" hidden="1">{"FCB_ALL",#N/A,FALSE,"FCB"}</definedName>
    <definedName name="wrn.fcb2" localSheetId="2" hidden="1">{"FCB_ALL",#N/A,FALSE,"FCB"}</definedName>
    <definedName name="wrn.fcb2" hidden="1">{"FCB_ALL",#N/A,FALSE,"FCB"}</definedName>
    <definedName name="wrn.fcb2_1" localSheetId="2" hidden="1">{"FCB_ALL",#N/A,FALSE,"FCB"}</definedName>
    <definedName name="wrn.fcb2_1" hidden="1">{"FCB_ALL",#N/A,FALSE,"FCB"}</definedName>
    <definedName name="wrn.fcb2_1_1" localSheetId="2" hidden="1">{"FCB_ALL",#N/A,FALSE,"FCB"}</definedName>
    <definedName name="wrn.fcb2_1_1" hidden="1">{"FCB_ALL",#N/A,FALSE,"FCB"}</definedName>
    <definedName name="wrn.fcb2_1_2" localSheetId="2" hidden="1">{"FCB_ALL",#N/A,FALSE,"FCB"}</definedName>
    <definedName name="wrn.fcb2_1_2" hidden="1">{"FCB_ALL",#N/A,FALSE,"FCB"}</definedName>
    <definedName name="wrn.fcb2_1_3" localSheetId="2" hidden="1">{"FCB_ALL",#N/A,FALSE,"FCB"}</definedName>
    <definedName name="wrn.fcb2_1_3" hidden="1">{"FCB_ALL",#N/A,FALSE,"FCB"}</definedName>
    <definedName name="wrn.fcb2_1_4" localSheetId="2" hidden="1">{"FCB_ALL",#N/A,FALSE,"FCB"}</definedName>
    <definedName name="wrn.fcb2_1_4" hidden="1">{"FCB_ALL",#N/A,FALSE,"FCB"}</definedName>
    <definedName name="wrn.fcb2_2" localSheetId="2" hidden="1">{"FCB_ALL",#N/A,FALSE,"FCB"}</definedName>
    <definedName name="wrn.fcb2_2" hidden="1">{"FCB_ALL",#N/A,FALSE,"FCB"}</definedName>
    <definedName name="wrn.fcb2_2_1" localSheetId="2" hidden="1">{"FCB_ALL",#N/A,FALSE,"FCB"}</definedName>
    <definedName name="wrn.fcb2_2_1" hidden="1">{"FCB_ALL",#N/A,FALSE,"FCB"}</definedName>
    <definedName name="wrn.fcb2_2_2" localSheetId="2" hidden="1">{"FCB_ALL",#N/A,FALSE,"FCB"}</definedName>
    <definedName name="wrn.fcb2_2_2" hidden="1">{"FCB_ALL",#N/A,FALSE,"FCB"}</definedName>
    <definedName name="wrn.fcb2_2_3" localSheetId="2" hidden="1">{"FCB_ALL",#N/A,FALSE,"FCB"}</definedName>
    <definedName name="wrn.fcb2_2_3" hidden="1">{"FCB_ALL",#N/A,FALSE,"FCB"}</definedName>
    <definedName name="wrn.fcb2_2_4" localSheetId="2" hidden="1">{"FCB_ALL",#N/A,FALSE,"FCB"}</definedName>
    <definedName name="wrn.fcb2_2_4" hidden="1">{"FCB_ALL",#N/A,FALSE,"FCB"}</definedName>
    <definedName name="wrn.fcb2_3" localSheetId="2" hidden="1">{"FCB_ALL",#N/A,FALSE,"FCB"}</definedName>
    <definedName name="wrn.fcb2_3" hidden="1">{"FCB_ALL",#N/A,FALSE,"FCB"}</definedName>
    <definedName name="wrn.fcb2_3_1" localSheetId="2" hidden="1">{"FCB_ALL",#N/A,FALSE,"FCB"}</definedName>
    <definedName name="wrn.fcb2_3_1" hidden="1">{"FCB_ALL",#N/A,FALSE,"FCB"}</definedName>
    <definedName name="wrn.fcb2_3_2" localSheetId="2" hidden="1">{"FCB_ALL",#N/A,FALSE,"FCB"}</definedName>
    <definedName name="wrn.fcb2_3_2" hidden="1">{"FCB_ALL",#N/A,FALSE,"FCB"}</definedName>
    <definedName name="wrn.fcb2_3_3" localSheetId="2" hidden="1">{"FCB_ALL",#N/A,FALSE,"FCB"}</definedName>
    <definedName name="wrn.fcb2_3_3" hidden="1">{"FCB_ALL",#N/A,FALSE,"FCB"}</definedName>
    <definedName name="wrn.fcb2_3_4" localSheetId="2" hidden="1">{"FCB_ALL",#N/A,FALSE,"FCB"}</definedName>
    <definedName name="wrn.fcb2_3_4" hidden="1">{"FCB_ALL",#N/A,FALSE,"FCB"}</definedName>
    <definedName name="wrn.fcb2_4" localSheetId="2" hidden="1">{"FCB_ALL",#N/A,FALSE,"FCB"}</definedName>
    <definedName name="wrn.fcb2_4" hidden="1">{"FCB_ALL",#N/A,FALSE,"FCB"}</definedName>
    <definedName name="wrn.fcb2_4_1" localSheetId="2" hidden="1">{"FCB_ALL",#N/A,FALSE,"FCB"}</definedName>
    <definedName name="wrn.fcb2_4_1" hidden="1">{"FCB_ALL",#N/A,FALSE,"FCB"}</definedName>
    <definedName name="wrn.fcb2_4_2" localSheetId="2" hidden="1">{"FCB_ALL",#N/A,FALSE,"FCB"}</definedName>
    <definedName name="wrn.fcb2_4_2" hidden="1">{"FCB_ALL",#N/A,FALSE,"FCB"}</definedName>
    <definedName name="wrn.fcb2_4_3" localSheetId="2" hidden="1">{"FCB_ALL",#N/A,FALSE,"FCB"}</definedName>
    <definedName name="wrn.fcb2_4_3" hidden="1">{"FCB_ALL",#N/A,FALSE,"FCB"}</definedName>
    <definedName name="wrn.fcb2_4_4" localSheetId="2" hidden="1">{"FCB_ALL",#N/A,FALSE,"FCB"}</definedName>
    <definedName name="wrn.fcb2_4_4" hidden="1">{"FCB_ALL",#N/A,FALSE,"FCB"}</definedName>
    <definedName name="wrn.fcb2_5" localSheetId="2" hidden="1">{"FCB_ALL",#N/A,FALSE,"FCB"}</definedName>
    <definedName name="wrn.fcb2_5" hidden="1">{"FCB_ALL",#N/A,FALSE,"FCB"}</definedName>
    <definedName name="wrn.fcb2_5_1" localSheetId="2" hidden="1">{"FCB_ALL",#N/A,FALSE,"FCB"}</definedName>
    <definedName name="wrn.fcb2_5_1" hidden="1">{"FCB_ALL",#N/A,FALSE,"FCB"}</definedName>
    <definedName name="wrn.fcb2_5_2" localSheetId="2" hidden="1">{"FCB_ALL",#N/A,FALSE,"FCB"}</definedName>
    <definedName name="wrn.fcb2_5_2" hidden="1">{"FCB_ALL",#N/A,FALSE,"FCB"}</definedName>
    <definedName name="wrn.fcb2_5_3" localSheetId="2" hidden="1">{"FCB_ALL",#N/A,FALSE,"FCB"}</definedName>
    <definedName name="wrn.fcb2_5_3" hidden="1">{"FCB_ALL",#N/A,FALSE,"FCB"}</definedName>
    <definedName name="wrn.fcb2_5_4" localSheetId="2" hidden="1">{"FCB_ALL",#N/A,FALSE,"FCB"}</definedName>
    <definedName name="wrn.fcb2_5_4" hidden="1">{"FCB_ALL",#N/A,FALSE,"FCB"}</definedName>
    <definedName name="wrn.Final._.Payable._.By._.Country." hidden="1">{"Final Payable By Country",#N/A,FALSE,"Final Payable"}</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hidden="1">{"RB QY $",#N/A,FALSE,"Fin STMT";"RB QY Stats",#N/A,FALSE,"Fin STMT";"RB 00 $",#N/A,FALSE,"Fin STMT";"RB 00 Stats",#N/A,FALSE,"Fin STMT";"RB 01 $",#N/A,FALSE,"Fin STMT";"RB 01 Stats",#N/A,FALSE,"Fin STMT"}</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hidden="1">{#N/A,#N/A,TRUE,"Julio";#N/A,#N/A,TRUE,"Agosto";#N/A,#N/A,TRUE,"BHCo";#N/A,#N/A,TRUE,"Abril";#N/A,#N/A,TRUE,"Pro Forma"}</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hidden="1">{"Annual",#N/A,FALSE,"Long Run";"SelectUSQtr_AnnlChg",#N/A,FALSE,"Long Run";"SelCalQtr_AnlChg",#N/A,FALSE,"Long Run";"PerIncQtr_AnlChg",#N/A,FALSE,"Long Run";"OthrCalQtr_AnlChg",#N/A,FALSE,"Long Run"}</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hidden="1">{#N/A,#N/A,FALSE,"Giles Potter";#N/A,#N/A,FALSE,"P&amp;L - Heathrow";#N/A,#N/A,FALSE,"P&amp;L - Tottenham Court Road";#N/A,#N/A,FALSE,"P&amp;L - Brewer Street";#N/A,#N/A,FALSE,"P&amp;L - Strand";#N/A,#N/A,FALSE,"P&amp;L - Lancaster Place";#N/A,#N/A,FALSE,"P&amp;L - Soho"}</definedName>
    <definedName name="wrn.GRAPHS." hidden="1">{#N/A,#N/A,FALSE,"ACQ_GRAPHS";#N/A,#N/A,FALSE,"T_1 GRAPHS";#N/A,#N/A,FALSE,"T_2 GRAPHS";#N/A,#N/A,FALSE,"COMB_GRAPHS"}</definedName>
    <definedName name="wrn.Historical._.Cost._.PWC."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hidden="1">{"Income statement",#N/A,TRUE,"P&amp;L";"Cash flow and Bal sheet",#N/A,TRUE,"P&amp;L";"intl",#N/A,TRUE,"Int'l";"Local and other telecom",#N/A,TRUE,"P&amp;L";"FAs cash and staff",#N/A,TRUE,"P&amp;L";"Loss of revenue",#N/A,TRUE,"Int'l"}</definedName>
    <definedName name="wrn.Hutchison._.Max." hidden="1">{#N/A,#N/A,FALSE,"Cellular"}</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hidden="1">{#N/A,#N/A,FALSE,"main";#N/A,#N/A,FALSE,"100% Cash";#N/A,#N/A,FALSE,"100% Stock"}</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hidden="1">{#N/A,#N/A,TRUE,"IGT";#N/A,#N/A,TRUE,"IGTSLOT"}</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2" hidden="1">{#N/A,#N/A,TRUE,"COFTOT"}</definedName>
    <definedName name="wrn.imprim." hidden="1">{#N/A,#N/A,TRUE,"COFTOT"}</definedName>
    <definedName name="wrn.Income._.Statement." hidden="1">{#N/A,#N/A,FALSE,"Report Print"}</definedName>
    <definedName name="wrn.Income._.Stmt." hidden="1">{"Income Stmt",#N/A,FALSE,"Model"}</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hidden="1">{"Internal is",#N/A,FALSE,"Model"}</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hidden="1">{#N/A,#N/A,FALSE,"John Taffe";#N/A,#N/A,FALSE,"P&amp;L - Ashford";#N/A,#N/A,FALSE,"P&amp;L - Bristol";#N/A,#N/A,FALSE,"P&amp;L - Clapham Junction";#N/A,#N/A,FALSE,"P&amp;L - Clapham High Street"}</definedName>
    <definedName name="wrn.JV." hidden="1">{#N/A,#N/A,FALSE,"JV"}</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hidden="1">{#N/A,#N/A,FALSE,"Initial Year";#N/A,#N/A,FALSE,"Historical";#N/A,#N/A,FALSE,"balsheet";#N/A,#N/A,FALSE,"incstate";#N/A,#N/A,FALSE,"Fleet"}</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hidden="1">{#N/A,#N/A,FALSE,"MIR";#N/A,#N/A,FALSE,"NYNY"}</definedName>
    <definedName name="wrn.model." hidden="1">{"basic",#N/A,FALSE,"BASIC"}</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hidden="1">{"Month End Performance",#N/A,FALSE,"Report";"Site Talk Times",#N/A,FALSE,"Report"}</definedName>
    <definedName name="wrn.Monthly._.Financials." hidden="1">{#N/A,#N/A,FALSE,"mfg - consol";#N/A,#N/A,FALSE,"mfg - flo";#N/A,#N/A,FALSE,"mfg - lindsay"}</definedName>
    <definedName name="wrn.Months._.1999." hidden="1">{"Monthly 1999 Stats",#N/A,FALSE,"Months";"Monthly 1999 IS",#N/A,FALSE,"Months"}</definedName>
    <definedName name="wrn.Months._.2000." hidden="1">{"Monthly 2000 Stats",#N/A,FALSE,"Months";"Monthly 2000 IS",#N/A,FALSE,"Months"}</definedName>
    <definedName name="wrn.Months._.2001." hidden="1">{"Monthly 2001 Stats",#N/A,FALSE,"Months";"Monthly 2001 IS",#N/A,FALSE,"Months"}</definedName>
    <definedName name="wrn.Months._.2002." hidden="1">{"Monthly 2002 Stats",#N/A,FALSE,"Months";"Monthly 2002 IS",#N/A,FALSE,"Months"}</definedName>
    <definedName name="wrn.Months._.2003." hidden="1">{"Monthly 2003 Stats",#N/A,FALSE,"Months";"Monthly 2003 IS",#N/A,FALSE,"Months"}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2" hidden="1">{#N/A,#N/A,FALSE,"P.C.B"}</definedName>
    <definedName name="wrn.PCB원가계산." hidden="1">{#N/A,#N/A,FALSE,"P.C.B"}</definedName>
    <definedName name="wrn.pc보유현황." localSheetId="2" hidden="1">{#N/A,#N/A,FALSE,"초중조사서식 "}</definedName>
    <definedName name="wrn.pc보유현황." hidden="1">{#N/A,#N/A,FALSE,"초중조사서식 "}</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2" hidden="1">{#N/A,#N/A,FALSE,"9612";#N/A,#N/A,FALSE,"9612"}</definedName>
    <definedName name="wrn.pl." hidden="1">{#N/A,#N/A,FALSE,"9612";#N/A,#N/A,FALSE,"9612"}</definedName>
    <definedName name="wrn.Planilhas." hidden="1">{"Presentation","Presentation",FALSE,"3 COT"}</definedName>
    <definedName name="wrn.Portrait._.IS." hidden="1">{"Portrait letter is",#N/A,FALSE,"Model"}</definedName>
    <definedName name="wrn.Portrait._.letter._.is." hidden="1">{"Portrait letter is",#N/A,FALSE,"Model"}</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hidden="1">{#N/A,#N/A,FALSE,"Plan Summary";#N/A,#N/A,FALSE,"Monthly Goals";#N/A,#N/A,FALSE,"Profit Detail";#N/A,#N/A,FALSE,"Output Comparison";#N/A,#N/A,FALSE,"Production Goals"}</definedName>
    <definedName name="wrn.Print." hidden="1">{"vi1",#N/A,FALSE,"Financial Statements";"vi2",#N/A,FALSE,"Financial Statements";#N/A,#N/A,FALSE,"DCF"}</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localSheetId="2" hidden="1">{#N/A,#N/A,FALSE,"Pharm";#N/A,#N/A,FALSE,"WWCM"}</definedName>
    <definedName name="wrn.PRINT._.ALL." hidden="1">{#N/A,#N/A,FALSE,"Pharm";#N/A,#N/A,FALSE,"WWCM"}</definedName>
    <definedName name="wrn.PRINT._.ALL._1" localSheetId="2" hidden="1">{#N/A,#N/A,FALSE,"Pharm";#N/A,#N/A,FALSE,"WWCM"}</definedName>
    <definedName name="wrn.PRINT._.ALL._1" hidden="1">{#N/A,#N/A,FALSE,"Pharm";#N/A,#N/A,FALSE,"WWCM"}</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2" hidden="1">{"inputs raw data",#N/A,TRUE,"INPUT"}</definedName>
    <definedName name="wrn.print._.raw._.data._.entry."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2" hidden="1">{"inputs raw data",#N/A,TRUE,"INPUT"}</definedName>
    <definedName name="wrn.print._.raw._.data._.entry._5_4" hidden="1">{"inputs raw data",#N/A,TRUE,"INPUT"}</definedName>
    <definedName name="wrn.print._.standalone." hidden="1">{"standalone1",#N/A,FALSE,"DCFBase";"standalone2",#N/A,FALSE,"DCFBase"}</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2" hidden="1">{#N/A,#N/A,TRUE,"Summary";#N/A,#N/A,TRUE,"IS";#N/A,#N/A,TRUE,"Adj";#N/A,#N/A,TRUE,"BS";#N/A,#N/A,TRUE,"CF";#N/A,#N/A,TRUE,"Debt";#N/A,#N/A,TRUE,"IRR"}</definedName>
    <definedName name="wrn.PrintAll." hidden="1">{#N/A,#N/A,TRUE,"Summary";#N/A,#N/A,TRUE,"IS";#N/A,#N/A,TRUE,"Adj";#N/A,#N/A,TRUE,"BS";#N/A,#N/A,TRUE,"CF";#N/A,#N/A,TRUE,"Debt";#N/A,#N/A,TRUE,"IRR"}</definedName>
    <definedName name="wrn.Program." hidden="1">{#N/A,#N/A,FALSE,"RPR Grid";#N/A,#N/A,FALSE,"Budget"}</definedName>
    <definedName name="wrn.Pulp." hidden="1">{"Pulp Production",#N/A,FALSE,"Pulp";"Pulp Earnings",#N/A,FALSE,"Pulp"}</definedName>
    <definedName name="wrn.qrt95." hidden="1">{"qrt95",#N/A,FALSE,"BAIRNUMB"}</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arterly." hidden="1">{"quarterly",#N/A,FALSE,"BAIRNUMB"}</definedName>
    <definedName name="wrn.Raff._.Di._.Landro." hidden="1">{#N/A,#N/A,FALSE,"Raff di Landro";#N/A,#N/A,FALSE,"P&amp;L - Brighton";#N/A,#N/A,FALSE,"P&amp;L - Guildford"}</definedName>
    <definedName name="wrn.rep1." hidden="1">{"add",#N/A,FALSE,"code"}</definedName>
    <definedName name="wrn.Replacement._.Cost."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hidden="1">{#N/A,#N/A,FALSE,"COVER";#N/A,#N/A,FALSE,"FORECAST";#N/A,#N/A,FALSE,"VALUATION";#N/A,#N/A,FALSE,"FY ANALYSIS ";#N/A,#N/A,FALSE," HY ANALYSIS"}</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hidden="1">{#N/A,#N/A,FALSE,"HMF";#N/A,#N/A,FALSE,"FACIL";#N/A,#N/A,FALSE,"HMFINANCE";#N/A,#N/A,FALSE,"HMEUROPE";#N/A,#N/A,FALSE,"HHAB CONSO";#N/A,#N/A,FALSE,"PAB";#N/A,#N/A,FALSE,"MMC";#N/A,#N/A,FALSE,"THAI";#N/A,#N/A,FALSE,"SINPA";#N/A,#N/A,FALSE,"POLAND"}</definedName>
    <definedName name="wrn.REV1." localSheetId="2" hidden="1">{"FORM1",#N/A,FALSE,"Revenue";"FORMTR",#N/A,FALSE,"Revenue";"FORM3.1",#N/A,FALSE,"Revenue"}</definedName>
    <definedName name="wrn.REV1." hidden="1">{"FORM1",#N/A,FALSE,"Revenue";"FORMTR",#N/A,FALSE,"Revenue";"FORM3.1",#N/A,FALSE,"Revenue"}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hidden="1">{#N/A,#N/A,FALSE,"FRONTPG";#N/A,#N/A,FALSE,"STATUSREC";#N/A,#N/A,FALSE,"INELIG";#N/A,#N/A,FALSE,"ARACTIV";#N/A,#N/A,FALSE,"ARANAL";#N/A,#N/A,FALSE,"INVANAL";#N/A,#N/A,FALSE,"BALSHT";#N/A,#N/A,FALSE,"INCSTMT";#N/A,#N/A,FALSE,"CASHFLOW";#N/A,#N/A,FALSE,"TREND";#N/A,#N/A,FALSE,"LIAB"}</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hidden="1">{#N/A,#N/A,FALSE,"Che-Ga";#N/A,#N/A,FALSE,"Iv-Sm";#N/A,#N/A,FALSE,"So-We";#N/A,#N/A,FALSE,"Me-Po";#N/A,#N/A,FALSE,"Be-Bo";#N/A,#N/A,FALSE,"Cha-Ki";#N/A,#N/A,FALSE,"In";#N/A,#N/A,FALSE,"Schedule 23";#N/A,#N/A,FALSE,"Schedule 22";#N/A,#N/A,FALSE,"WACC"}</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{#N/A,#N/A,FALSE,"SAFILOR"}</definedName>
    <definedName name="wrn.sales." hidden="1">{"sales",#N/A,FALSE,"Sales";"sales existing",#N/A,FALSE,"Sales";"sales rd1",#N/A,FALSE,"Sales";"sales rd2",#N/A,FALSE,"Sales"}</definedName>
    <definedName name="wrn.SCA._.Acq.." hidden="1">{#N/A,#N/A,FALSE,"main";#N/A,#N/A,FALSE,"Pooling";#N/A,#N/A,FALSE,"Purchase"}</definedName>
    <definedName name="wrn.SCA._.AcqDisv." hidden="1">{#N/A,#N/A,FALSE,"main";#N/A,#N/A,FALSE,"Purchase"}</definedName>
    <definedName name="wrn.Scenario._.Analysis." hidden="1">{#N/A,"Base Case",FALSE,"Revenue";#N/A,"£6.25 Fee",FALSE,"Revenue"}</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hidden="1">{#N/A,#N/A,FALSE,"Share the Wealth";#N/A,#N/A,FALSE,"Shareholders vs Employees";#N/A,#N/A,FALSE,"Share vs Emp Summary"}</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hidden="1">{#N/A,#N/A,FALSE,"Antony Financials";#N/A,#N/A,FALSE,"Cowboy Financials";#N/A,#N/A,FALSE,"Combined";#N/A,#N/A,FALSE,"Valuematrix";#N/A,#N/A,FALSE,"DCFAntony";#N/A,#N/A,FALSE,"DCFCowboy";#N/A,#N/A,FALSE,"DCFCombined"}</definedName>
    <definedName name="wrn.SmarTone." hidden="1">{#N/A,#N/A,FALSE,"Financial data";#N/A,#N/A,FALSE,"Cellular analysis";#N/A,#N/A,FALSE,"Accounts detail";#N/A,#N/A,FALSE,"Valn's";#N/A,#N/A,FALSE,"Share price statistics"}</definedName>
    <definedName name="wrn.STAND_ALONE_BOTH." localSheetId="2" hidden="1">{"FCB_ALL",#N/A,FALSE,"FCB";"GREY_ALL",#N/A,FALSE,"GREY"}</definedName>
    <definedName name="wrn.STAND_ALONE_BOTH."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hidden="1">{"BS",#N/A,FALSE,"USA"}</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hidden="1">{#N/A,#N/A,FALSE,"CreditStat";#N/A,#N/A,FALSE,"SPbrkup";#N/A,#N/A,FALSE,"MerSPsyn";#N/A,#N/A,FALSE,"MerSPwKCsyn";#N/A,#N/A,FALSE,"MerSPwKCsyn (2)";#N/A,#N/A,FALSE,"CreditStat (2)"}</definedName>
    <definedName name="wrn.SunModel." hidden="1">{#N/A,#N/A,FALSE,"summary";#N/A,#N/A,FALSE,"SIH";#N/A,#N/A,FALSE,"SIH Value";#N/A,#N/A,FALSE,"tax est.";#N/A,#N/A,FALSE,"Mohegan";#N/A,#N/A,FALSE,"Resorts";#N/A,#N/A,FALSE,"Win Per Day";#N/A,#N/A,FALSE,"CapStr"}</definedName>
    <definedName name="wrn.T._.and._.E._.Report." localSheetId="2" hidden="1">{#N/A,#N/A,TRUE,"T&amp;E";#N/A,#N/A,TRUE,"BUS. ENT. DET."}</definedName>
    <definedName name="wrn.T._.and._.E._.Report." hidden="1">{#N/A,#N/A,TRUE,"T&amp;E";#N/A,#N/A,TRUE,"BUS. ENT. DET."}</definedName>
    <definedName name="wrn.Tables." hidden="1">{"view1",#N/A,FALSE,"Tables";"view2",#N/A,FALSE,"Tables";"view3",#N/A,FALSE,"Tables"}</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hidden="1">{"comp1",#N/A,FALSE,"COMPS";"footnotes",#N/A,FALSE,"COMPS"}</definedName>
    <definedName name="wrn.tou구매." hidden="1">{#N/A,#N/A,FALSE,"견적대비-2"}</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Ü." hidden="1">{#N/A,#N/A,FALSE,"ITHALAT";#N/A,#N/A,FALSE,"ÜRETİM"}</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hidden="1">{"inc.ann",#N/A,FALSE,"WAG";"inc.quart",#N/A,FALSE,"WAG"}</definedName>
    <definedName name="wrn.weekly." hidden="1">{#N/A,#N/A,FALSE,"Large Operators";#N/A,#N/A,FALSE,"Smaller Operators";#N/A,#N/A,FALSE,"Equip. Supply";#N/A,#N/A,FALSE,"EBITDA";#N/A,#N/A,FALSE,"perform"}</definedName>
    <definedName name="wrn.WLAVARIANCEANALYSIS." hidden="1">{"INCOME STATEMENT",#N/A,FALSE,"IS";"WWSALES",#N/A,FALSE,"WWSALES";"USSALES",#N/A,FALSE,"USSALES";"INTLSALES",#N/A,FALSE,"INTLSALES"}</definedName>
    <definedName name="wrn.Yahoo." hidden="1">{#N/A,#N/A,FALSE,"Inc. St.";#N/A,#N/A,FALSE,"FYear";#N/A,#N/A,FALSE,"Revs.";#N/A,#N/A,FALSE,"RevsYear";#N/A,#N/A,FALSE,"Balance";#N/A,#N/A,FALSE,"CompVal";#N/A,#N/A,FALSE,"Val.";#N/A,#N/A,FALSE,"DCFval"}</definedName>
    <definedName name="wrn.YUH33400." localSheetId="2" hidden="1">{#N/A,#N/A,FALSE,"2000";#N/A,#N/A,FALSE,"1999_1998"}</definedName>
    <definedName name="wrn.YUH33400." hidden="1">{#N/A,#N/A,FALSE,"2000";#N/A,#N/A,FALSE,"1999_1998"}</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견적." localSheetId="2" hidden="1">{#N/A,#N/A,FALSE,"Sheet1";#N/A,#N/A,FALSE,"Sheet2";#N/A,#N/A,FALSE,"TAB96-1"}</definedName>
    <definedName name="wrn.견적." hidden="1">{#N/A,#N/A,FALSE,"Sheet1";#N/A,#N/A,FALSE,"Sheet2";#N/A,#N/A,FALSE,"TAB96-1"}</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hidden="1">{#N/A,#N/A,TRUE,"경전'96(1)";#N/A,#N/A,TRUE,"경전'96 (2)"}</definedName>
    <definedName name="wrn.골재소요량." localSheetId="2" hidden="1">{#N/A,#N/A,FALSE,"골재소요량";#N/A,#N/A,FALSE,"골재소요량"}</definedName>
    <definedName name="wrn.골재소요량." hidden="1">{#N/A,#N/A,FALSE,"골재소요량";#N/A,#N/A,FALSE,"골재소요량"}</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2" hidden="1">{#N/A,#N/A,FALSE,"구조2"}</definedName>
    <definedName name="wrn.구조2." hidden="1">{#N/A,#N/A,FALSE,"구조2"}</definedName>
    <definedName name="wrn.급여인상안." localSheetId="2" hidden="1">{#N/A,#N/A,FALSE,"계약직(여)"}</definedName>
    <definedName name="wrn.급여인상안." hidden="1">{#N/A,#N/A,FALSE,"계약직(여)"}</definedName>
    <definedName name="wrn.기술료._.비교." localSheetId="2" hidden="1">{#N/A,#N/A,FALSE,"기술료 비교"}</definedName>
    <definedName name="wrn.기술료._.비교." hidden="1">{#N/A,#N/A,FALSE,"기술료 비교"}</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변경예산." hidden="1">{#N/A,#N/A,FALSE,"변경관리예산";#N/A,#N/A,FALSE,"변경장비예산";#N/A,#N/A,FALSE,"변경준설예산";#N/A,#N/A,FALSE,"변경철구예산"}</definedName>
    <definedName name="wrn.보고서." localSheetId="2" hidden="1">{#N/A,#N/A,FALSE,"Sheet1";#N/A,#N/A,FALSE,"기평9607"}</definedName>
    <definedName name="wrn.보고서." hidden="1">{#N/A,#N/A,FALSE,"Sheet1";#N/A,#N/A,FALSE,"기평9607"}</definedName>
    <definedName name="wrn.보고서._1" localSheetId="2" hidden="1">{#N/A,#N/A,FALSE,"Sheet1";#N/A,#N/A,FALSE,"기평9607"}</definedName>
    <definedName name="wrn.보고서._1" hidden="1">{#N/A,#N/A,FALSE,"Sheet1";#N/A,#N/A,FALSE,"기평9607"}</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2" hidden="1">{#N/A,#N/A,FALSE,"9612"}</definedName>
    <definedName name="wrn.불량금액." hidden="1">{#N/A,#N/A,FALSE,"9612"}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속도."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운반시간." localSheetId="2" hidden="1">{#N/A,#N/A,FALSE,"운반시간"}</definedName>
    <definedName name="wrn.운반시간." hidden="1">{#N/A,#N/A,FALSE,"운반시간"}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2" hidden="1">{#N/A,#N/A,FALSE,"월추정감가상각비";#N/A,#N/A,FALSE,"main_prog"}</definedName>
    <definedName name="wrn.월추정." hidden="1">{#N/A,#N/A,FALSE,"월추정감가상각비";#N/A,#N/A,FALSE,"main_prog"}</definedName>
    <definedName name="wrn.유형자산." hidden="1">{#N/A,#N/A,FALSE,"Sheet1"}</definedName>
    <definedName name="wrn.이정표." localSheetId="2" hidden="1">{#N/A,#N/A,FALSE,"이정표"}</definedName>
    <definedName name="wrn.이정표." hidden="1">{#N/A,#N/A,FALSE,"이정표"}</definedName>
    <definedName name="wrn.이태원._.철근." hidden="1">{#N/A,#N/A,FALSE,"이태원철근"}</definedName>
    <definedName name="wrn.자재코드집." hidden="1">{#N/A,#N/A,FALSE,"Sheet1"}</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2" hidden="1">{#N/A,#N/A,FALSE,"9612"}</definedName>
    <definedName name="wrn.제조원가." hidden="1">{#N/A,#N/A,FALSE,"9612"}</definedName>
    <definedName name="wrn.제품수불." localSheetId="2" hidden="1">{#N/A,#N/A,FALSE,"9612"}</definedName>
    <definedName name="wrn.제품수불." hidden="1">{#N/A,#N/A,FALSE,"9612"}</definedName>
    <definedName name="wrn.조골재." localSheetId="2" hidden="1">{#N/A,#N/A,FALSE,"조골재"}</definedName>
    <definedName name="wrn.조골재." hidden="1">{#N/A,#N/A,FALSE,"조골재"}</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2" hidden="1">{#N/A,#N/A,TRUE,"일정"}</definedName>
    <definedName name="wrn.주간._.보고." hidden="1">{#N/A,#N/A,TRUE,"일정"}</definedName>
    <definedName name="wrn.중장기계획." hidden="1">{#N/A,#N/A,TRUE,"경영목표 및 방침";#N/A,#N/A,TRUE,"매출";#N/A,#N/A,TRUE,"시설-인원";#N/A,#N/A,TRUE,"손익-재무"}</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hidden="1">{#N/A,#N/A,FALSE,"Sheet6"}</definedName>
    <definedName name="wrn.채권채무조회서." localSheetId="2" hidden="1">{#N/A,#N/A,FALSE,"채권채무";#N/A,#N/A,FALSE,"control sheet"}</definedName>
    <definedName name="wrn.채권채무조회서." hidden="1">{#N/A,#N/A,FALSE,"채권채무";#N/A,#N/A,FALSE,"control sheet"}</definedName>
    <definedName name="wrn.철골집계표._.5칸." hidden="1">{#N/A,#N/A,FALSE,"Sheet1"}</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통신지." localSheetId="2" hidden="1">{#N/A,#N/A,FALSE,"기안지";#N/A,#N/A,FALSE,"통신지"}</definedName>
    <definedName name="wrn.통신지." hidden="1">{#N/A,#N/A,FALSE,"기안지";#N/A,#N/A,FALSE,"통신지"}</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포항강판." localSheetId="2" hidden="1">{"현수",#N/A,FALSE,"월추정감가상각비"}</definedName>
    <definedName name="wrn.포항강판." hidden="1">{"현수",#N/A,FALSE,"월추정감가상각비"}</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2" hidden="1">{#N/A,#N/A,FALSE,"표지목차"}</definedName>
    <definedName name="wrn.표지목차." hidden="1">{#N/A,#N/A,FALSE,"표지목차"}</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2" hidden="1">{#N/A,#N/A,FALSE,"정공"}</definedName>
    <definedName name="wrn.현대정공구매현황." hidden="1">{#N/A,#N/A,FALSE,"정공"}</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hidden="1">{#N/A,#N/A,FALSE,"Sheet9"}</definedName>
    <definedName name="wrn.혼합골재." localSheetId="2" hidden="1">{#N/A,#N/A,FALSE,"혼합골재"}</definedName>
    <definedName name="wrn.혼합골재." hidden="1">{#N/A,#N/A,FALSE,"혼합골재"}</definedName>
    <definedName name="wrn.회선임차현황." localSheetId="2" hidden="1">{#N/A,#N/A,FALSE,"회선임차현황"}</definedName>
    <definedName name="wrn.회선임차현황."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hidden="1">{#VALUE!,#N/A,FALSE,0;#N/A,#N/A,FALSE,0;#N/A,#N/A,FALSE,0;#N/A,#N/A,FALSE,0}</definedName>
    <definedName name="wrty" hidden="1">{"'용역비'!$A$4:$C$8"}</definedName>
    <definedName name="wrtyrtyrt"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hidden="1">{"'용역비'!$A$4:$C$8"}</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hidden="1">{#N/A,#N/A,FALSE,"단축1";#N/A,#N/A,FALSE,"단축2";#N/A,#N/A,FALSE,"단축3";#N/A,#N/A,FALSE,"장축";#N/A,#N/A,FALSE,"4WD"}</definedName>
    <definedName name="wwererwrwersf" hidden="1">{#N/A,#N/A,FALSE,"Che-Ga";#N/A,#N/A,FALSE,"Iv-Sm";#N/A,#N/A,FALSE,"So-We";#N/A,#N/A,FALSE,"Me-Po";#N/A,#N/A,FALSE,"Be-Bo";#N/A,#N/A,FALSE,"Cha-Ki";#N/A,#N/A,FALSE,"In";#N/A,#N/A,FALSE,"Schedule 23";#N/A,#N/A,FALSE,"Schedule 22";#N/A,#N/A,FALSE,"WACC"}</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2" hidden="1">{#N/A,#N/A,FALSE,"CCTV"}</definedName>
    <definedName name="WWW" hidden="1">{#N/A,#N/A,FALSE,"CCTV"}</definedName>
    <definedName name="wwww" localSheetId="2" hidden="1">{#N/A,#N/A,FALSE,"Aging Summary";#N/A,#N/A,FALSE,"Ratio Analysis";#N/A,#N/A,FALSE,"Test 120 Day Accts";#N/A,#N/A,FALSE,"Tickmarks"}</definedName>
    <definedName name="wwww" hidden="1">{#N/A,#N/A,FALSE,"Aging Summary";#N/A,#N/A,FALSE,"Ratio Analysis";#N/A,#N/A,FALSE,"Test 120 Day Accts";#N/A,#N/A,FALSE,"Tickmarks"}</definedName>
    <definedName name="WWWWWPPPPPPP">#N/A</definedName>
    <definedName name="WZ">#REF!</definedName>
    <definedName name="W행">#REF!</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hidden="1">{#N/A,#N/A,FALSE,"Sheet6"}</definedName>
    <definedName name="xcvc"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2" hidden="1">{#N/A,#N/A,FALSE,"을지 (4)";#N/A,#N/A,FALSE,"을지 (5)";#N/A,#N/A,FALSE,"을지 (6)"}</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hidden="1">{#N/A,#N/A,FALSE,"Sheet6"}</definedName>
    <definedName name="XG개"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hidden="1">{"FTEAOB 90",#N/A,FALSE,"FTEAOB - 5.0 Format - Input"}</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hidden="1">{#N/A,#N/A,FALSE,"Inc. St.";#N/A,#N/A,FALSE,"FYear";#N/A,#N/A,FALSE,"Revs.";#N/A,#N/A,FALSE,"RevsYear";#N/A,#N/A,FALSE,"Balance";#N/A,#N/A,FALSE,"CompVal";#N/A,#N/A,FALSE,"Val.";#N/A,#N/A,FALSE,"DCFval"}</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hidden="1">{"'용역비'!$A$4:$C$8"}</definedName>
    <definedName name="yhg" hidden="1">2</definedName>
    <definedName name="Yield">#REF!</definedName>
    <definedName name="YJN">BlankMacro1</definedName>
    <definedName name="yjyg">#REF!</definedName>
    <definedName name="YMMA">#REF!</definedName>
    <definedName name="yrdtytyt" localSheetId="2" hidden="1">{#N/A,#N/A,FALSE,"CCTV"}</definedName>
    <definedName name="yrdtytyt" hidden="1">{#N/A,#N/A,FALSE,"CCTV"}</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hidden="1">{#N/A,#N/A,FALSE,"단축1";#N/A,#N/A,FALSE,"단축2";#N/A,#N/A,FALSE,"단축3";#N/A,#N/A,FALSE,"장축";#N/A,#N/A,FALSE,"4WD"}</definedName>
    <definedName name="ytutyu">#REF!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hidden="1">{"'용역비'!$A$4:$C$8"}</definedName>
    <definedName name="YUTY" hidden="1">{#N/A,#N/A,FALSE,"Sheet6"}</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2" hidden="1">{"'Jibu9811 (3)'!$B$1:$J$433"}</definedName>
    <definedName name="zgafkhakf" hidden="1">{"'Jibu9811 (3)'!$B$1:$J$433"}</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hidden="1">{#N/A,#N/A,FALSE,"이태원철근"}</definedName>
    <definedName name="zxcv">#N/A</definedName>
    <definedName name="Zy">#REF!</definedName>
    <definedName name="ZZ">#REF!</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hidden="1">#N/A</definedName>
    <definedName name="あああ" localSheetId="2" hidden="1">{"'買掛金'!$J$6"}</definedName>
    <definedName name="あああ" hidden="1">{"'買掛金'!$J$6"}</definedName>
    <definedName name="その他の投資" localSheetId="2" hidden="1">{"'買掛金'!$J$6"}</definedName>
    <definedName name="その他の投資" hidden="1">{"'買掛金'!$J$6"}</definedName>
    <definedName name="っっｂ" localSheetId="2" hidden="1">{"'買掛金'!$J$6"}</definedName>
    <definedName name="っっｂ" hidden="1">{"'買掛金'!$J$6"}</definedName>
    <definedName name="テスト" localSheetId="2" hidden="1">{"'買掛金'!$J$6"}</definedName>
    <definedName name="テスト" hidden="1">{"'買掛金'!$J$6"}</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2" hidden="1">{#N/A,#N/A,FALSE,"UNIT";#N/A,#N/A,FALSE,"UNIT";#N/A,#N/A,FALSE,"계정"}</definedName>
    <definedName name="ㄱㄱ" hidden="1">{#N/A,#N/A,FALSE,"UNIT";#N/A,#N/A,FALSE,"UNIT";#N/A,#N/A,FALSE,"계정"}</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2" hidden="1">{#N/A,#N/A,FALSE,"1.CRITERIA";#N/A,#N/A,FALSE,"2.IS";#N/A,#N/A,FALSE,"3.BS";#N/A,#N/A,FALSE,"4.PER PL";#N/A,#N/A,FALSE,"5.INVESTMENT";#N/A,#N/A,FALSE,"6.공문";#N/A,#N/A,FALSE,"7.netinvest"}</definedName>
    <definedName name="ㄱㄱㄱㄱ" hidden="1">{#N/A,#N/A,FALSE,"1.CRITERIA";#N/A,#N/A,FALSE,"2.IS";#N/A,#N/A,FALSE,"3.BS";#N/A,#N/A,FALSE,"4.PER PL";#N/A,#N/A,FALSE,"5.INVESTMENT";#N/A,#N/A,FALSE,"6.공문";#N/A,#N/A,FALSE,"7.netinvest"}</definedName>
    <definedName name="ㄱㄱㄱㄱㄱ" localSheetId="2" hidden="1">{#N/A,#N/A,FALSE,"UNIT";#N/A,#N/A,FALSE,"UNIT";#N/A,#N/A,FALSE,"계정"}</definedName>
    <definedName name="ㄱㄱㄱㄱㄱ" hidden="1">{#N/A,#N/A,FALSE,"UNIT";#N/A,#N/A,FALSE,"UNIT";#N/A,#N/A,FALSE,"계정"}</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2" hidden="1">{"'Jibu9811 (3)'!$B$1:$J$433"}</definedName>
    <definedName name="ㄱㄱㄱㅎㄱ"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hidden="1">{#N/A,#N/A,FALSE,"Sheet6"}</definedName>
    <definedName name="ㄱㄷㅅ" hidden="1">{#N/A,#N/A,FALSE,"Sheet6"}</definedName>
    <definedName name="ㄱㄷㅈ">BlankMacro1</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2" hidden="1">{"'Jibu9811 (3)'!$B$1:$J$433"}</definedName>
    <definedName name="ㄱㄷㅎ" hidden="1">{"'Jibu9811 (3)'!$B$1:$J$433"}</definedName>
    <definedName name="ㄱㄷㅎㄷㄱㅎㄱㅎㄱ" localSheetId="2" hidden="1">{"'Jibu9811 (3)'!$B$1:$J$433"}</definedName>
    <definedName name="ㄱㄷㅎㄷㄱㅎㄱㅎㄱ" hidden="1">{"'Jibu9811 (3)'!$B$1:$J$433"}</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BlankMacro1</definedName>
    <definedName name="ㄱㄹ홍ㄱ호" hidden="1">{#N/A,#N/A,FALSE,"Sheet6"}</definedName>
    <definedName name="ㄱ리">BlankMacro1</definedName>
    <definedName name="ㄱㄿ" hidden="1">{#N/A,#N/A,FALSE,"Sheet1"}</definedName>
    <definedName name="ㄱㅁㅇ리허ㅏㅣ" localSheetId="2" hidden="1">{"'Jibu9811 (3)'!$B$1:$J$433"}</definedName>
    <definedName name="ㄱㅁㅇ리허ㅏㅣ" hidden="1">{"'Jibu9811 (3)'!$B$1:$J$433"}</definedName>
    <definedName name="ㄱㅂㅊ">BlankMacro1</definedName>
    <definedName name="ㄱ보">BlankMacro1</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hidden="1">{#N/A,#N/A,FALSE,"Sheet6"}</definedName>
    <definedName name="ㄱ슈곡ㄴ">#N/A</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2" hidden="1">{#N/A,#N/A,FALSE,"기안지";#N/A,#N/A,FALSE,"통신지"}</definedName>
    <definedName name="ㄱㅈ" hidden="1">{#N/A,#N/A,FALSE,"기안지";#N/A,#N/A,FALSE,"통신지"}</definedName>
    <definedName name="ㄱㅈ새새ㅐ재파ㅣㅍㄹ" localSheetId="2" hidden="1">{"'Jibu9811 (3)'!$B$1:$J$433"}</definedName>
    <definedName name="ㄱㅈ새새ㅐ재파ㅣㅍㄹ" hidden="1">{"'Jibu9811 (3)'!$B$1:$J$433"}</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hidden="1">{#N/A,#N/A,TRUE,"경전'96(1)";#N/A,#N/A,TRUE,"경전'96 (2)"}</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2" hidden="1">{#N/A,#N/A,FALSE,"UNIT";#N/A,#N/A,FALSE,"UNIT";#N/A,#N/A,FALSE,"계정"}</definedName>
    <definedName name="가가" hidden="1">{#N/A,#N/A,FALSE,"UNIT";#N/A,#N/A,FALSE,"UNIT";#N/A,#N/A,FALSE,"계정"}</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2" hidden="1">{"'미착금액'!$A$4:$G$14"}</definedName>
    <definedName name="가기긱" hidden="1">{"'미착금액'!$A$4:$G$14"}</definedName>
    <definedName name="가나" localSheetId="2" hidden="1">{#N/A,#N/A,FALSE,"1.CRITERIA";#N/A,#N/A,FALSE,"2.IS";#N/A,#N/A,FALSE,"3.BS";#N/A,#N/A,FALSE,"4.PER PL";#N/A,#N/A,FALSE,"5.INVESTMENT";#N/A,#N/A,FALSE,"6.공문";#N/A,#N/A,FALSE,"7.netinvest"}</definedName>
    <definedName name="가나" hidden="1">{#N/A,#N/A,FALSE,"1.CRITERIA";#N/A,#N/A,FALSE,"2.IS";#N/A,#N/A,FALSE,"3.BS";#N/A,#N/A,FALSE,"4.PER PL";#N/A,#N/A,FALSE,"5.INVESTMENT";#N/A,#N/A,FALSE,"6.공문";#N/A,#N/A,FALSE,"7.netinvest"}</definedName>
    <definedName name="가나다" localSheetId="2" hidden="1">{"'Jibu9811 (3)'!$B$1:$J$433"}</definedName>
    <definedName name="가나다" hidden="1">{"'Jibu9811 (3)'!$B$1:$J$433"}</definedName>
    <definedName name="가나다11">#REF!</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hidden="1">{#N/A,#N/A,FALSE,"정공"}</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BlankMacro1</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2" hidden="1">{"'Jibu9811 (3)'!$B$1:$J$433"}</definedName>
    <definedName name="가짜" hidden="1">{"'Jibu9811 (3)'!$B$1:$J$433"}</definedName>
    <definedName name="가짜2" localSheetId="2" hidden="1">{"'Jibu9811 (3)'!$B$1:$J$433"}</definedName>
    <definedName name="가짜2" hidden="1">{"'Jibu9811 (3)'!$B$1:$J$433"}</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2" hidden="1">{"'매출이익'!$A$24:$K$45"}</definedName>
    <definedName name="가ㅏ" hidden="1">{"'매출이익'!$A$24:$K$45"}</definedName>
    <definedName name="가ㅏㅏㅏㅓ갸">#N/A</definedName>
    <definedName name="각방안" hidden="1">{#N/A,#N/A,FALSE,"단축1";#N/A,#N/A,FALSE,"단축2";#N/A,#N/A,FALSE,"단축3";#N/A,#N/A,FALSE,"장축";#N/A,#N/A,FALSE,"4WD"}</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BlankMacro1</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2" hidden="1">{"'Jibu9811 (3)'!$B$1:$J$433"}</definedName>
    <definedName name="갈레닉" hidden="1">{"'Jibu9811 (3)'!$B$1:$J$433"}</definedName>
    <definedName name="갈레닉2" localSheetId="2" hidden="1">{"'Jibu9811 (3)'!$B$1:$J$433"}</definedName>
    <definedName name="갈레닉2" hidden="1">{"'Jibu9811 (3)'!$B$1:$J$433"}</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2" hidden="1">{#N/A,#N/A,FALSE,"9612"}</definedName>
    <definedName name="감가상각" hidden="1">{#N/A,#N/A,FALSE,"9612"}</definedName>
    <definedName name="감가상각2003" localSheetId="2" hidden="1">{"FORM17",#N/A,FALSE,"Commission1";"FORM17.1",#N/A,FALSE,"Commission2"}</definedName>
    <definedName name="감가상각2003" hidden="1">{"FORM17",#N/A,FALSE,"Commission1";"FORM17.1",#N/A,FALSE,"Commission2"}</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hidden="1">{#N/A,#N/A,FALSE,"BS";#N/A,#N/A,FALSE,"PL";#N/A,#N/A,FALSE,"처분";#N/A,#N/A,FALSE,"현금";#N/A,#N/A,FALSE,"매출";#N/A,#N/A,FALSE,"원가";#N/A,#N/A,FALSE,"경영"}</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BLCH</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2" hidden="1">{#N/A,#N/A,FALSE,"CCTV"}</definedName>
    <definedName name="갑지2" hidden="1">{#N/A,#N/A,FALSE,"CCTV"}</definedName>
    <definedName name="값">#REF!</definedName>
    <definedName name="값2">#REF!</definedName>
    <definedName name="강" localSheetId="2"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hidden="1">{#N/A,#N/A,FALSE,"변경관리예산";#N/A,#N/A,FALSE,"변경장비예산";#N/A,#N/A,FALSE,"변경준설예산";#N/A,#N/A,FALSE,"변경철구예산"}</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2" hidden="1">{#N/A,#N/A,FALSE,"부대2"}</definedName>
    <definedName name="개가ㅠㅡ" hidden="1">{#N/A,#N/A,FALSE,"부대2"}</definedName>
    <definedName name="개나리">#REF!</definedName>
    <definedName name="개덯">BlankMacro1</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hidden="1">{#N/A,#N/A,FALSE,"단축1";#N/A,#N/A,FALSE,"단축2";#N/A,#N/A,FALSE,"단축3";#N/A,#N/A,FALSE,"장축";#N/A,#N/A,FALSE,"4WD"}</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2" hidden="1">{#N/A,#N/A,FALSE,"정공"}</definedName>
    <definedName name="갤로" hidden="1">{#N/A,#N/A,FALSE,"정공"}</definedName>
    <definedName name="갸허">BlankMacro1</definedName>
    <definedName name="갸ㅑㅐㅗㅡ" localSheetId="2" hidden="1">{#N/A,#N/A,FALSE,"기안지";#N/A,#N/A,FALSE,"통신지"}</definedName>
    <definedName name="갸ㅑㅐㅗㅡ" hidden="1">{#N/A,#N/A,FALSE,"기안지";#N/A,#N/A,FALSE,"통신지"}</definedName>
    <definedName name="갸ㅗㅓ허ㅏ" localSheetId="2" hidden="1">{#N/A,#N/A,FALSE,"토공2"}</definedName>
    <definedName name="갸ㅗㅓ허ㅏ" hidden="1">{#N/A,#N/A,FALSE,"토공2"}</definedName>
    <definedName name="거" localSheetId="2"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BlankMacro1</definedName>
    <definedName name="건">#REF!</definedName>
    <definedName name="건강보험료">#REF!</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{"'손익현황'!$A$1:$J$29"}</definedName>
    <definedName name="건물관리비" hidden="1">#REF!</definedName>
    <definedName name="건물시부인">#REF!</definedName>
    <definedName name="건물임." localSheetId="2" hidden="1">{"'손익현황'!$A$1:$J$29"}</definedName>
    <definedName name="건물임." hidden="1">{"'손익현황'!$A$1:$J$29"}</definedName>
    <definedName name="건물임._1" localSheetId="2" hidden="1">{"'손익현황'!$A$1:$J$29"}</definedName>
    <definedName name="건물임._1" hidden="1">{"'손익현황'!$A$1:$J$29"}</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hidden="1">{#VALUE!,#N/A,FALSE,0;#N/A,#N/A,FALSE,0;#N/A,#N/A,FALSE,0;#N/A,#N/A,FALSE,0}</definedName>
    <definedName name="건설중인자산1">BlankMacro1</definedName>
    <definedName name="건설중인자산2">BlankMacro1</definedName>
    <definedName name="건설중자산3">BlankMacro1</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BlankMacro1</definedName>
    <definedName name="건축">BlankMacro1</definedName>
    <definedName name="건축내역1">BlankMacro1</definedName>
    <definedName name="건축내역2">BlankMacro1</definedName>
    <definedName name="건축도급">BlankMacro1</definedName>
    <definedName name="건축목공">#REF!</definedName>
    <definedName name="건축원가" localSheetId="2" hidden="1">{#N/A,#N/A,FALSE,"토공2"}</definedName>
    <definedName name="건축원가" hidden="1">{#N/A,#N/A,FALSE,"토공2"}</definedName>
    <definedName name="건축집계분임">#REF!</definedName>
    <definedName name="건축토공" localSheetId="2" hidden="1">{#N/A,#N/A,FALSE,"기안지";#N/A,#N/A,FALSE,"통신지"}</definedName>
    <definedName name="건축토공" hidden="1">{#N/A,#N/A,FALSE,"기안지";#N/A,#N/A,FALSE,"통신지"}</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Dlog_Show</definedName>
    <definedName name="견적list3" hidden="1">{#N/A,#N/A,FALSE,"단축1";#N/A,#N/A,FALSE,"단축2";#N/A,#N/A,FALSE,"단축3";#N/A,#N/A,FALSE,"장축";#N/A,#N/A,FALSE,"4WD"}</definedName>
    <definedName name="견적비교">#REF!</definedName>
    <definedName name="견적서">#REF!</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hidden="1">{#N/A,#N/A,FALSE,"Aging Summary";#N/A,#N/A,FALSE,"Ratio Analysis";#N/A,#N/A,FALSE,"Test 120 Day Accts";#N/A,#N/A,FALSE,"Tickmarks"}</definedName>
    <definedName name="결영" localSheetId="2" hidden="1">{#N/A,#N/A,FALSE,"P.C.B"}</definedName>
    <definedName name="결영" hidden="1">{#N/A,#N/A,FALSE,"P.C.B"}</definedName>
    <definedName name="결정세액03">#REF!</definedName>
    <definedName name="결정세액04">#REF!</definedName>
    <definedName name="결품" hidden="1">{#N/A,#N/A,FALSE,"단축1";#N/A,#N/A,FALSE,"단축2";#N/A,#N/A,FALSE,"단축3";#N/A,#N/A,FALSE,"장축";#N/A,#N/A,FALSE,"4WD"}</definedName>
    <definedName name="경" hidden="1">{#N/A,#N/A,TRUE,"경전'96(1)";#N/A,#N/A,TRUE,"경전'96 (2)"}</definedName>
    <definedName name="경001" hidden="1">{#N/A,#N/A,TRUE,"경전'96(1)";#N/A,#N/A,TRUE,"경전'96 (2)"}</definedName>
    <definedName name="경1" hidden="1">{#N/A,#N/A,TRUE,"경전'96(1)";#N/A,#N/A,TRUE,"경전'96 (2)"}</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2" hidden="1">{#N/A,#N/A,FALSE,"P.C.B"}</definedName>
    <definedName name="경리" hidden="1">{#N/A,#N/A,FALSE,"P.C.B"}</definedName>
    <definedName name="경리손익" hidden="1">{#N/A,#N/A,FALSE,"정공"}</definedName>
    <definedName name="경리일보_지출예정_List">#REF!</definedName>
    <definedName name="경비">#REF!</definedName>
    <definedName name="경비1" hidden="1">#REF!</definedName>
    <definedName name="경비실적" localSheetId="2" hidden="1">{#N/A,#N/A,FALSE,"정공"}</definedName>
    <definedName name="경비실적" hidden="1">{#N/A,#N/A,FALSE,"정공"}</definedName>
    <definedName name="경비예산">#REF!,#REF!</definedName>
    <definedName name="경비율">#REF!</definedName>
    <definedName name="경상비8월" hidden="1">{#N/A,#N/A,FALSE,"단축1";#N/A,#N/A,FALSE,"단축2";#N/A,#N/A,FALSE,"단축3";#N/A,#N/A,FALSE,"장축";#N/A,#N/A,FALSE,"4WD"}</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BlankMacro1</definedName>
    <definedName name="경영" localSheetId="2" hidden="1">{#N/A,#N/A,FALSE,"P.C.B"}</definedName>
    <definedName name="경영" hidden="1">{#N/A,#N/A,FALSE,"P.C.B"}</definedName>
    <definedName name="경영2" hidden="1">#REF!</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2" hidden="1">{"'Sheet1'!$A$1:$H$36"}</definedName>
    <definedName name="경영진보고" hidden="1">{"'Sheet1'!$A$1:$H$36"}</definedName>
    <definedName name="경인" localSheetId="2" hidden="1">{"'Jibu9811 (3)'!$B$1:$J$433"}</definedName>
    <definedName name="경인" hidden="1">{"'Jibu9811 (3)'!$B$1:$J$433"}</definedName>
    <definedName name="경자" hidden="1">#REF!</definedName>
    <definedName name="경쟁사동향" localSheetId="2" hidden="1">{#N/A,#N/A,FALSE,"97년 투자계획 세부내역 "}</definedName>
    <definedName name="경쟁사동향" hidden="1">{#N/A,#N/A,FALSE,"97년 투자계획 세부내역 "}</definedName>
    <definedName name="경전요약" hidden="1">{#N/A,#N/A,TRUE,"경전'96(1)";#N/A,#N/A,TRUE,"경전'96 (2)"}</definedName>
    <definedName name="경주">#REF!</definedName>
    <definedName name="경합금2과운연계획" hidden="1">{#N/A,#N/A,TRUE,"Y생산";#N/A,#N/A,TRUE,"Y판매";#N/A,#N/A,TRUE,"Y총물량";#N/A,#N/A,TRUE,"Y능력";#N/A,#N/A,TRUE,"YKD"}</definedName>
    <definedName name="계">#REF!</definedName>
    <definedName name="계량기재료비분석" localSheetId="2" hidden="1">{#N/A,#N/A,FALSE,"UNIT";#N/A,#N/A,FALSE,"UNIT";#N/A,#N/A,FALSE,"계정"}</definedName>
    <definedName name="계량기재료비분석" hidden="1">{#N/A,#N/A,FALSE,"UNIT";#N/A,#N/A,FALSE,"UNIT";#N/A,#N/A,FALSE,"계정"}</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hidden="1">{#N/A,#N/A,FALSE,"지침";#N/A,#N/A,FALSE,"환경분석";#N/A,#N/A,FALSE,"Sheet16"}</definedName>
    <definedName name="계약" localSheetId="2" hidden="1">{#N/A,#N/A,FALSE,"계약직(여)"}</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2" hidden="1">{#N/A,#N/A,FALSE,"UNIT";#N/A,#N/A,FALSE,"UNIT";#N/A,#N/A,FALSE,"계정"}</definedName>
    <definedName name="계획" hidden="1">{#N/A,#N/A,FALSE,"UNIT";#N/A,#N/A,FALSE,"UNIT";#N/A,#N/A,FALSE,"계정"}</definedName>
    <definedName name="계획.1" hidden="1">{#N/A,#N/A,FALSE,"단축1";#N/A,#N/A,FALSE,"단축2";#N/A,#N/A,FALSE,"단축3";#N/A,#N/A,FALSE,"장축";#N/A,#N/A,FALSE,"4WD"}</definedName>
    <definedName name="계획1" localSheetId="2" hidden="1">{#N/A,#N/A,FALSE,"UNIT";#N/A,#N/A,FALSE,"UNIT";#N/A,#N/A,FALSE,"계정"}</definedName>
    <definedName name="계획1" hidden="1">{#N/A,#N/A,FALSE,"UNIT";#N/A,#N/A,FALSE,"UNIT";#N/A,#N/A,FALSE,"계정"}</definedName>
    <definedName name="계획2" localSheetId="2" hidden="1">{#N/A,#N/A,FALSE,"정공"}</definedName>
    <definedName name="계획2" hidden="1">{#N/A,#N/A,FALSE,"정공"}</definedName>
    <definedName name="계획표">#REF!</definedName>
    <definedName name="계획표지" hidden="1">{#N/A,#N/A,FALSE,"단축1";#N/A,#N/A,FALSE,"단축2";#N/A,#N/A,FALSE,"단축3";#N/A,#N/A,FALSE,"장축";#N/A,#N/A,FALSE,"4WD"}</definedName>
    <definedName name="고" hidden="1">#REF!</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2" hidden="1">{"FORM17",#N/A,FALSE,"Commission1";"FORM17.1",#N/A,FALSE,"Commission2"}</definedName>
    <definedName name="고정자산" hidden="1">{"FORM17",#N/A,FALSE,"Commission1";"FORM17.1",#N/A,FALSE,"Commission2"}</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hidden="1">{#N/A,#N/A,FALSE,"Sheet6"}</definedName>
    <definedName name="골" hidden="1">{#N/A,#N/A,FALSE,"단축1";#N/A,#N/A,FALSE,"단축2";#N/A,#N/A,FALSE,"단축3";#N/A,#N/A,FALSE,"장축";#N/A,#N/A,FALSE,"4WD"}</definedName>
    <definedName name="골라인쇄">#REF!</definedName>
    <definedName name="공" localSheetId="2" hidden="1">{"'손익현황'!$A$1:$J$29"}</definedName>
    <definedName name="공" hidden="1">{"'손익현황'!$A$1:$J$29"}</definedName>
    <definedName name="공___종">#REF!</definedName>
    <definedName name="공_1" localSheetId="2" hidden="1">{"'손익현황'!$A$1:$J$29"}</definedName>
    <definedName name="공_1" hidden="1">{"'손익현황'!$A$1:$J$29"}</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2" hidden="1">{"'손익현황'!$A$1:$J$29"}</definedName>
    <definedName name="공구" hidden="1">{"'손익현황'!$A$1:$J$29"}</definedName>
    <definedName name="공구_1" localSheetId="2" hidden="1">{"'손익현황'!$A$1:$J$29"}</definedName>
    <definedName name="공구_1" hidden="1">{"'손익현황'!$A$1:$J$29"}</definedName>
    <definedName name="공구기구" localSheetId="2" hidden="1">{"'손익현황'!$A$1:$J$29"}</definedName>
    <definedName name="공구기구"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2" hidden="1">{#N/A,#N/A,FALSE,"기안지";#N/A,#N/A,FALSE,"통신지"}</definedName>
    <definedName name="공동구토공" hidden="1">{#N/A,#N/A,FALSE,"기안지";#N/A,#N/A,FALSE,"통신지"}</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hidden="1">{#N/A,#N/A,FALSE,"단축1";#N/A,#N/A,FALSE,"단축2";#N/A,#N/A,FALSE,"단축3";#N/A,#N/A,FALSE,"장축";#N/A,#N/A,FALSE,"4WD"}</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hidden="1">{#N/A,#N/A,TRUE,"Y생산";#N/A,#N/A,TRUE,"Y판매";#N/A,#N/A,TRUE,"Y총물량";#N/A,#N/A,TRUE,"Y능력";#N/A,#N/A,TRUE,"YKD"}</definedName>
    <definedName name="공정" hidden="1">#REF!</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hidden="1">{#N/A,#N/A,FALSE,"단축1";#N/A,#N/A,FALSE,"단축2";#N/A,#N/A,FALSE,"단축3";#N/A,#N/A,FALSE,"장축";#N/A,#N/A,FALSE,"4WD"}</definedName>
    <definedName name="과학">#REF!</definedName>
    <definedName name="과학실">#REF!</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CommonDB.xls</definedName>
    <definedName name="관할세무서지">#REF!</definedName>
    <definedName name="광">#REF!</definedName>
    <definedName name="광명">#REF!</definedName>
    <definedName name="광주" localSheetId="2" hidden="1">{"'Jibu9811 (3)'!$B$1:$J$433"}</definedName>
    <definedName name="광주" hidden="1">{"'Jibu9811 (3)'!$B$1:$J$433"}</definedName>
    <definedName name="광주2" localSheetId="2" hidden="1">{"'Jibu9811 (3)'!$B$1:$J$433"}</definedName>
    <definedName name="광주2" hidden="1">{"'Jibu9811 (3)'!$B$1:$J$433"}</definedName>
    <definedName name="광주3" localSheetId="2" hidden="1">{"'Jibu9811 (3)'!$B$1:$J$433"}</definedName>
    <definedName name="광주3" hidden="1">{"'Jibu9811 (3)'!$B$1:$J$433"}</definedName>
    <definedName name="광주공장" hidden="1">#REF!</definedName>
    <definedName name="광주지역미수현황.xlx" localSheetId="2" hidden="1">{"'Jibu9811 (3)'!$B$1:$J$433"}</definedName>
    <definedName name="광주지역미수현황.xlx"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hidden="1">{#N/A,#N/A,FALSE,"이태원철근"}</definedName>
    <definedName name="교목계">#REF!</definedName>
    <definedName name="교무">#REF!</definedName>
    <definedName name="교사">#REF!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hidden="1">{#N/A,#N/A,FALSE,"Sheet6"}</definedName>
    <definedName name="구" localSheetId="2" hidden="1">{"'손익현황'!$A$1:$J$29"}</definedName>
    <definedName name="구" hidden="1">{"'손익현황'!$A$1:$J$29"}</definedName>
    <definedName name="구_1" localSheetId="2" hidden="1">{"'손익현황'!$A$1:$J$29"}</definedName>
    <definedName name="구_1" hidden="1">{"'손익현황'!$A$1:$J$29"}</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2" hidden="1">{#N/A,#N/A,FALSE,"이정표"}</definedName>
    <definedName name="구조물공" hidden="1">{#N/A,#N/A,FALSE,"이정표"}</definedName>
    <definedName name="구조물공사" hidden="1">{#N/A,#N/A,TRUE,"토적및재료집계";#N/A,#N/A,TRUE,"토적및재료집계";#N/A,#N/A,TRUE,"단위량"}</definedName>
    <definedName name="구축물" localSheetId="2" hidden="1">{#N/A,#N/A,FALSE,"9612"}</definedName>
    <definedName name="구축물" hidden="1">{#N/A,#N/A,FALSE,"9612"}</definedName>
    <definedName name="구축물시부인">#REF!</definedName>
    <definedName name="구축물임" localSheetId="2" hidden="1">{"'손익현황'!$A$1:$J$29"}</definedName>
    <definedName name="구축물임" hidden="1">{"'손익현황'!$A$1:$J$29"}</definedName>
    <definedName name="구축물임_1" localSheetId="2" hidden="1">{"'손익현황'!$A$1:$J$29"}</definedName>
    <definedName name="구축물임_1" hidden="1">{"'손익현황'!$A$1:$J$29"}</definedName>
    <definedName name="국_내_매_출">#REF!</definedName>
    <definedName name="국가별일반현황" hidden="1">{#N/A,#N/A,FALSE,"단축1";#N/A,#N/A,FALSE,"단축2";#N/A,#N/A,FALSE,"단축3";#N/A,#N/A,FALSE,"장축";#N/A,#N/A,FALSE,"4WD"}</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hidden="1">{#N/A,#N/A,FALSE,"단축1";#N/A,#N/A,FALSE,"단축2";#N/A,#N/A,FALSE,"단축3";#N/A,#N/A,FALSE,"장축";#N/A,#N/A,FALSE,"4WD"}</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2" hidden="1">{#N/A,#N/A,FALSE,"계약직(여)"}</definedName>
    <definedName name="급여인상안" hidden="1">{#N/A,#N/A,FALSE,"계약직(여)"}</definedName>
    <definedName name="기" localSheetId="2"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BlankMacro1</definedName>
    <definedName name="기계공">#REF!</definedName>
    <definedName name="기계설치공">#REF!</definedName>
    <definedName name="기계장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2" hidden="1">{#N/A,#N/A,FALSE,"UNIT";#N/A,#N/A,FALSE,"UNIT";#N/A,#N/A,FALSE,"계정"}</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hidden="1">{"'자격급추가지급자'!$A$1:$M$13"}</definedName>
    <definedName name="기술영업" hidden="1">#REF!</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2" hidden="1">{#N/A,#N/A,FALSE,"정공"}</definedName>
    <definedName name="기아모텍" hidden="1">{#N/A,#N/A,FALSE,"정공"}</definedName>
    <definedName name="기아전자" localSheetId="2" hidden="1">{#N/A,#N/A,FALSE,"정공"}</definedName>
    <definedName name="기아전자" hidden="1">{#N/A,#N/A,FALSE,"정공"}</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hidden="1">{#N/A,#N/A,FALSE,"Sheet1"}</definedName>
    <definedName name="기타경비">#REF!</definedName>
    <definedName name="기타경비율">#REF!</definedName>
    <definedName name="기타미정산2000">#REF!</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hidden="1">{"'Price List '!$A$1:$R$156"}</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2" hidden="1">{#N/A,#N/A,FALSE,"기술료 비교"}</definedName>
    <definedName name="김대업" hidden="1">{#N/A,#N/A,FALSE,"기술료 비교"}</definedName>
    <definedName name="김덕연" localSheetId="2" hidden="1">{"'Jibu9811 (3)'!$B$1:$J$433"}</definedName>
    <definedName name="김덕연" hidden="1">{"'Jibu9811 (3)'!$B$1:$J$433"}</definedName>
    <definedName name="김도윤" hidden="1">{#N/A,#N/A,TRUE,"Y생산";#N/A,#N/A,TRUE,"Y판매";#N/A,#N/A,TRUE,"Y총물량";#N/A,#N/A,TRUE,"Y능력";#N/A,#N/A,TRUE,"YKD"}</definedName>
    <definedName name="김동욱" hidden="1">{"'Price List '!$A$1:$R$156"}</definedName>
    <definedName name="김베" hidden="1">{#N/A,#N/A,FALSE,"단축1";#N/A,#N/A,FALSE,"단축2";#N/A,#N/A,FALSE,"단축3";#N/A,#N/A,FALSE,"장축";#N/A,#N/A,FALSE,"4WD"}</definedName>
    <definedName name="김석빈" hidden="1">{#N/A,#N/A,FALSE,"단축1";#N/A,#N/A,FALSE,"단축2";#N/A,#N/A,FALSE,"단축3";#N/A,#N/A,FALSE,"장축";#N/A,#N/A,FALSE,"4WD"}</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hidden="1">{"'Price List '!$A$1:$R$156"}</definedName>
    <definedName name="김심선">#N/A</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2" hidden="1">{#N/A,#N/A,FALSE,"기술료 비교"}</definedName>
    <definedName name="김종묵" hidden="1">{#N/A,#N/A,FALSE,"기술료 비교"}</definedName>
    <definedName name="김종범">#REF!</definedName>
    <definedName name="김종삼" hidden="1">{"'Price List '!$A$1:$R$156"}</definedName>
    <definedName name="김종성">BlankMacro1</definedName>
    <definedName name="김종진">#REF!</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2" hidden="1">{"'Jibu9811 (3)'!$B$1:$J$433"}</definedName>
    <definedName name="김천사업장" hidden="1">{"'Jibu9811 (3)'!$B$1:$J$433"}</definedName>
    <definedName name="김하얀">#REF!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hidden="1">{"'용역비'!$A$4:$C$8"}</definedName>
    <definedName name="ㄳㄳㅅㄱ" hidden="1">{#N/A,#N/A,FALSE,"단축1";#N/A,#N/A,FALSE,"단축2";#N/A,#N/A,FALSE,"단축3";#N/A,#N/A,FALSE,"장축";#N/A,#N/A,FALSE,"4WD"}</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hidden="1">{#N/A,#N/A,FALSE,"Sheet6"}</definedName>
    <definedName name="ㄳㅁㄴ" hidden="1">{#N/A,#N/A,FALSE,"단축1";#N/A,#N/A,FALSE,"단축2";#N/A,#N/A,FALSE,"단축3";#N/A,#N/A,FALSE,"장축";#N/A,#N/A,FALSE,"4WD"}</definedName>
    <definedName name="ㄴ">#REF!</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2" hidden="1">{#N/A,#N/A,FALSE,"Sheet1";#N/A,#N/A,FALSE,"기평9607"}</definedName>
    <definedName name="ㄴㄴ" hidden="1">{#N/A,#N/A,FALSE,"Sheet1";#N/A,#N/A,FALSE,"기평9607"}</definedName>
    <definedName name="ㄴㄴ_1" localSheetId="2" hidden="1">{#N/A,#N/A,FALSE,"Sheet1";#N/A,#N/A,FALSE,"기평9607"}</definedName>
    <definedName name="ㄴㄴ_1" hidden="1">{#N/A,#N/A,FALSE,"Sheet1";#N/A,#N/A,FALSE,"기평9607"}</definedName>
    <definedName name="ㄴㄴㄴ" localSheetId="2" hidden="1">{"'손익현황'!$A$1:$J$29"}</definedName>
    <definedName name="ㄴㄴㄴ" hidden="1">{"'손익현황'!$A$1:$J$29"}</definedName>
    <definedName name="ㄴㄴㄴ_1" localSheetId="2" hidden="1">{"'손익현황'!$A$1:$J$29"}</definedName>
    <definedName name="ㄴㄴㄴ_1" hidden="1">{"'손익현황'!$A$1:$J$29"}</definedName>
    <definedName name="ㄴㄴㄴㄴ" localSheetId="2" hidden="1">{#N/A,#N/A,FALSE,"UNIT";#N/A,#N/A,FALSE,"UNIT";#N/A,#N/A,FALSE,"계정"}</definedName>
    <definedName name="ㄴㄴㄴㄴ" hidden="1">{#N/A,#N/A,FALSE,"UNIT";#N/A,#N/A,FALSE,"UNIT";#N/A,#N/A,FALSE,"계정"}</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hidden="1">{#N/A,#N/A,FALSE,"Sheet6"}</definedName>
    <definedName name="ㄴㄷ더" hidden="1">{#N/A,#N/A,FALSE,"단축1";#N/A,#N/A,FALSE,"단축2";#N/A,#N/A,FALSE,"단축3";#N/A,#N/A,FALSE,"장축";#N/A,#N/A,FALSE,"4WD"}</definedName>
    <definedName name="ㄴㄹ">#REF!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2" hidden="1">{"'Jibu9811 (3)'!$B$1:$J$433"}</definedName>
    <definedName name="ㄴ롸ㅣ러ㅏㅣㅁ러ㅣ" hidden="1">{"'Jibu9811 (3)'!$B$1:$J$433"}</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BlankMacro1</definedName>
    <definedName name="ㄴㅅㄱㅓ" hidden="1">#REF!</definedName>
    <definedName name="ㄴ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localSheetId="2" hidden="1">{#N/A,#N/A,FALSE,"UNIT";#N/A,#N/A,FALSE,"UNIT";#N/A,#N/A,FALSE,"계정"}</definedName>
    <definedName name="ㄴㅇㄹ" hidden="1">{#N/A,#N/A,FALSE,"UNIT";#N/A,#N/A,FALSE,"UNIT";#N/A,#N/A,FALSE,"계정"}</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2" hidden="1">{#N/A,#N/A,FALSE,"계약직(여)"}</definedName>
    <definedName name="ㄴㅇ라" hidden="1">{#N/A,#N/A,FALSE,"계약직(여)"}</definedName>
    <definedName name="ㄴㅇㄻ">#REF!</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hidden="1">{#N/A,#N/A,FALSE,"정공"}</definedName>
    <definedName name="ㄴㅇㅁ" localSheetId="2" hidden="1">{"'Jibu9811 (3)'!$B$1:$J$433"}</definedName>
    <definedName name="ㄴㅇㅁ" hidden="1">{"'Jibu9811 (3)'!$B$1:$J$433"}</definedName>
    <definedName name="ㄴㅇㅇ" localSheetId="2" hidden="1">{#N/A,#N/A,TRUE,"일정"}</definedName>
    <definedName name="ㄴㅇㅇ" hidden="1">{#N/A,#N/A,TRUE,"일정"}</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2" hidden="1">{"'Jibu9811 (3)'!$B$1:$J$433"}</definedName>
    <definedName name="ㄴ와ㅣㅎㄴㅇ허ㅣ" hidden="1">{"'Jibu9811 (3)'!$B$1:$J$433"}</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hidden="1">{#N/A,#N/A,FALSE,"단축1";#N/A,#N/A,FALSE,"단축2";#N/A,#N/A,FALSE,"단축3";#N/A,#N/A,FALSE,"장축";#N/A,#N/A,FALSE,"4WD"}</definedName>
    <definedName name="나" localSheetId="2" hidden="1">{#N/A,#N/A,FALSE,"1.CRITERIA";#N/A,#N/A,FALSE,"2.IS";#N/A,#N/A,FALSE,"3.BS";#N/A,#N/A,FALSE,"4.PER PL";#N/A,#N/A,FALSE,"5.INVESTMENT";#N/A,#N/A,FALSE,"6.공문";#N/A,#N/A,FALSE,"7.netinvest"}</definedName>
    <definedName name="나" hidden="1">{#N/A,#N/A,FALSE,"1.CRITERIA";#N/A,#N/A,FALSE,"2.IS";#N/A,#N/A,FALSE,"3.BS";#N/A,#N/A,FALSE,"4.PER PL";#N/A,#N/A,FALSE,"5.INVESTMENT";#N/A,#N/A,FALSE,"6.공문";#N/A,#N/A,FALSE,"7.netinvest"}</definedName>
    <definedName name="나.">#REF!</definedName>
    <definedName name="나1" hidden="1">{#N/A,#N/A,TRUE,"경전'96(1)";#N/A,#N/A,TRUE,"경전'96 (2)"}</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2" hidden="1">{"'미착금액'!$A$4:$G$14"}</definedName>
    <definedName name="나나나" hidden="1">{"'미착금액'!$A$4:$G$14"}</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2" hidden="1">{#N/A,#N/A,FALSE,"초중조사서식 "}</definedName>
    <definedName name="나두" hidden="1">{#N/A,#N/A,FALSE,"초중조사서식 "}</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hidden="1">{#N/A,#N/A,FALSE,"정공"}</definedName>
    <definedName name="나리" localSheetId="2" hidden="1">{#N/A,#N/A,FALSE,"P.C.B"}</definedName>
    <definedName name="나리" hidden="1">{#N/A,#N/A,FALSE,"P.C.B"}</definedName>
    <definedName name="나리2" localSheetId="2" hidden="1">{#N/A,#N/A,FALSE,"P.C.B"}</definedName>
    <definedName name="나리2" hidden="1">{#N/A,#N/A,FALSE,"P.C.B"}</definedName>
    <definedName name="나무라오" hidden="1">{#N/A,#N/A,FALSE,"정공"}</definedName>
    <definedName name="나의사랑" hidden="1">{#N/A,#N/A,FALSE,"단축1";#N/A,#N/A,FALSE,"단축2";#N/A,#N/A,FALSE,"단축3";#N/A,#N/A,FALSE,"장축";#N/A,#N/A,FALSE,"4WD"}</definedName>
    <definedName name="나ㅏㅇ" hidden="1">#REF!</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BlankMacro1</definedName>
    <definedName name="남덕1">BlankMacro1</definedName>
    <definedName name="남의나라" hidden="1">{#N/A,#N/A,FALSE,"정공"}</definedName>
    <definedName name="내" localSheetId="2"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2" hidden="1">#REF!,#REF!,#REF!,#REF!,#REF!,#REF!,#REF!,#REF!,#REF!,#REF!,#REF!,#REF!,#REF!</definedName>
    <definedName name="내용" hidden="1">#REF!,#REF!,#REF!,#REF!,#REF!,#REF!,#REF!,#REF!,#REF!,#REF!,#REF!,#REF!,#REF!</definedName>
    <definedName name="내전">#REF!</definedName>
    <definedName name="낵역4">#REF!</definedName>
    <definedName name="냉각" hidden="1">{#N/A,#N/A,FALSE,"단축1";#N/A,#N/A,FALSE,"단축2";#N/A,#N/A,FALSE,"단축3";#N/A,#N/A,FALSE,"장축";#N/A,#N/A,FALSE,"4WD"}</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2" hidden="1">{#N/A,#N/A,FALSE,"P.C.B"}</definedName>
    <definedName name="네" hidden="1">{#N/A,#N/A,FALSE,"P.C.B"}</definedName>
    <definedName name="네고">#REF!</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2"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BlankMacro1</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hidden="1">{#N/A,#N/A,FALSE,"단축1";#N/A,#N/A,FALSE,"단축2";#N/A,#N/A,FALSE,"단축3";#N/A,#N/A,FALSE,"장축";#N/A,#N/A,FALSE,"4WD"}</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BlankMacro1</definedName>
    <definedName name="노임단가">#REF!</definedName>
    <definedName name="노출직부">#REF!</definedName>
    <definedName name="노트" hidden="1">{#N/A,#N/A,TRUE,"총괄"}</definedName>
    <definedName name="논ㄱ">#N/A</definedName>
    <definedName name="논현동외" hidden="1">{#N/A,#N/A,FALSE,"Sheet6"}</definedName>
    <definedName name="놈">#N/A</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hidden="1">{#N/A,#N/A,TRUE,"경전'96(1)";#N/A,#N/A,TRUE,"경전'96 (2)"}</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2" hidden="1">{"'Jibu9811 (3)'!$B$1:$J$433"}</definedName>
    <definedName name="ㄶㄴㄷㄹ렂다ㅣㄹ" hidden="1">{"'Jibu9811 (3)'!$B$1:$J$433"}</definedName>
    <definedName name="ㄶㅁ" hidden="1">{#N/A,#N/A,TRUE,"경전'96(1)";#N/A,#N/A,TRUE,"경전'96 (2)"}</definedName>
    <definedName name="ㄷ" localSheetId="2" hidden="1">{#N/A,#N/A,FALSE,"BS";#N/A,#N/A,FALSE,"PL";#N/A,#N/A,FALSE,"처분";#N/A,#N/A,FALSE,"현금";#N/A,#N/A,FALSE,"매출";#N/A,#N/A,FALSE,"원가";#N/A,#N/A,FALSE,"경영"}</definedName>
    <definedName name="ㄷ" hidden="1">{#N/A,#N/A,FALSE,"BS";#N/A,#N/A,FALSE,"PL";#N/A,#N/A,FALSE,"처분";#N/A,#N/A,FALSE,"현금";#N/A,#N/A,FALSE,"매출";#N/A,#N/A,FALSE,"원가";#N/A,#N/A,FALSE,"경영"}</definedName>
    <definedName name="ㄷ119">#REF!</definedName>
    <definedName name="ㄷ3" localSheetId="2" hidden="1">{#N/A,#N/A,FALSE,"9612"}</definedName>
    <definedName name="ㄷ3" hidden="1">{#N/A,#N/A,FALSE,"9612"}</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2" hidden="1">{"'Jibu9811 (3)'!$B$1:$J$433"}</definedName>
    <definedName name="ㄷㄱㄱ" hidden="1">{"'Jibu9811 (3)'!$B$1:$J$433"}</definedName>
    <definedName name="ㄷㄱㄷㄱ">#REF!</definedName>
    <definedName name="ㄷㄱㄷㅈㄹㅊㅇ" hidden="1">{"'용역비'!$A$4:$C$8"}</definedName>
    <definedName name="ㄷㄱㅈㄷ" localSheetId="2" hidden="1">{"'매출이익'!$A$24:$K$45"}</definedName>
    <definedName name="ㄷㄱㅈㄷ" hidden="1">{"'매출이익'!$A$24:$K$45"}</definedName>
    <definedName name="ㄷ갲">BlankMacro1</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BlankMacro1</definedName>
    <definedName name="ㄷㄳㅇㅀㅊ">#N/A</definedName>
    <definedName name="ㄷㄷ" localSheetId="2" hidden="1">{#N/A,#N/A,FALSE,"BS";#N/A,#N/A,FALSE,"PL";#N/A,#N/A,FALSE,"처분";#N/A,#N/A,FALSE,"현금";#N/A,#N/A,FALSE,"매출";#N/A,#N/A,FALSE,"원가";#N/A,#N/A,FALSE,"경영"}</definedName>
    <definedName name="ㄷㄷ"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hidden="1">{#N/A,#N/A,FALSE,"단축1";#N/A,#N/A,FALSE,"단축2";#N/A,#N/A,FALSE,"단축3";#N/A,#N/A,FALSE,"장축";#N/A,#N/A,FALSE,"4WD"}</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hidden="1">{#N/A,#N/A,FALSE,"Sheet1"}</definedName>
    <definedName name="ㄷㄹ">#REF!</definedName>
    <definedName name="ㄷ랴겋" localSheetId="2" hidden="1">{#N/A,#N/A,FALSE,"구조2"}</definedName>
    <definedName name="ㄷ랴겋" hidden="1">{#N/A,#N/A,FALSE,"구조2"}</definedName>
    <definedName name="ㄷㅂ">BlankMacro1</definedName>
    <definedName name="ㄷㅅ">BlankMacro1</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2" hidden="1">{"'Jibu9811 (3)'!$B$1:$J$433"}</definedName>
    <definedName name="ㄷㅎㄱㅎㄱ" hidden="1">{"'Jibu9811 (3)'!$B$1:$J$433"}</definedName>
    <definedName name="ㄷㅎㄷㄳㄷ공ㄱ" localSheetId="2" hidden="1">{"'Jibu9811 (3)'!$B$1:$J$433"}</definedName>
    <definedName name="ㄷㅎㄷㄳㄷ공ㄱ" hidden="1">{"'Jibu9811 (3)'!$B$1:$J$433"}</definedName>
    <definedName name="ㄷ흇ㅇㄹㅊ">#N/A</definedName>
    <definedName name="다" localSheetId="2"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다.">#REF!</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localSheetId="2" hidden="1">{#N/A,#N/A,FALSE,"정공"}</definedName>
    <definedName name="다다익선" hidden="1">{#N/A,#N/A,FALSE,"정공"}</definedName>
    <definedName name="다달이" localSheetId="2" hidden="1">{#N/A,#N/A,FALSE,"정공"}</definedName>
    <definedName name="다달이" hidden="1">{#N/A,#N/A,FALSE,"정공"}</definedName>
    <definedName name="다라" hidden="1">{#N/A,#N/A,FALSE,"표지목차"}</definedName>
    <definedName name="다라니경" localSheetId="2" hidden="1">{#N/A,#N/A,FALSE,"정공"}</definedName>
    <definedName name="다라니경" hidden="1">{#N/A,#N/A,FALSE,"정공"}</definedName>
    <definedName name="다라니경을피우자" localSheetId="2" hidden="1">{#N/A,#N/A,FALSE,"정공"}</definedName>
    <definedName name="다라니경을피우자" hidden="1">{#N/A,#N/A,FALSE,"정공"}</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2" hidden="1">{"'買掛金'!$J$6"}</definedName>
    <definedName name="短期借入金" hidden="1">{"'買掛金'!$J$6"}</definedName>
    <definedName name="단김승호">#REF!</definedName>
    <definedName name="단말기" localSheetId="2" hidden="1">{#N/A,#N/A,FALSE,"정공"}</definedName>
    <definedName name="단말기" hidden="1">{#N/A,#N/A,FALSE,"정공"}</definedName>
    <definedName name="단말기번호" localSheetId="2" hidden="1">{#N/A,#N/A,FALSE,"정공"}</definedName>
    <definedName name="단말기번호"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hidden="1">{#N/A,#N/A,FALSE,"정공"}</definedName>
    <definedName name="당초손익표" hidden="1">{#N/A,#N/A,FALSE,"정공"}</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2" hidden="1">{#N/A,#N/A,FALSE,"UNIT";#N/A,#N/A,FALSE,"UNIT";#N/A,#N/A,FALSE,"계정"}</definedName>
    <definedName name="대련" hidden="1">{#N/A,#N/A,FALSE,"UNIT";#N/A,#N/A,FALSE,"UNIT";#N/A,#N/A,FALSE,"계정"}</definedName>
    <definedName name="대리님" localSheetId="2" hidden="1">{#N/A,#N/A,FALSE,"정공"}</definedName>
    <definedName name="대리님" hidden="1">{#N/A,#N/A,FALSE,"정공"}</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2" hidden="1">{#N/A,#N/A,FALSE,"정공"}</definedName>
    <definedName name="대상시트" hidden="1">{#N/A,#N/A,FALSE,"정공"}</definedName>
    <definedName name="대상자산">#REF!</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hidden="1">{"'전일자'!$A$5:$N$17"}</definedName>
    <definedName name="대전">#REF!</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2" hidden="1">{#N/A,#N/A,FALSE,"구조1"}</definedName>
    <definedName name="대퓨ㅜ허" hidden="1">{#N/A,#N/A,FALSE,"구조1"}</definedName>
    <definedName name="대한" localSheetId="2" hidden="1">{#N/A,#N/A,FALSE,"UNIT";#N/A,#N/A,FALSE,"UNIT";#N/A,#N/A,FALSE,"계정"}</definedName>
    <definedName name="대한" hidden="1">{#N/A,#N/A,FALSE,"UNIT";#N/A,#N/A,FALSE,"UNIT";#N/A,#N/A,FALSE,"계정"}</definedName>
    <definedName name="대회">#REF!</definedName>
    <definedName name="댜러혀">BlankMacro1</definedName>
    <definedName name="댜해ㅜ">BlankMacro1</definedName>
    <definedName name="댜ㅐㅐ허">BlankMacro1</definedName>
    <definedName name="댜ㅑㅓ">BlankMacro1</definedName>
    <definedName name="댜ㅓㅎ">BlankMacro1</definedName>
    <definedName name="댱추">BlankMacro1</definedName>
    <definedName name="더">#REF!</definedName>
    <definedName name="더ㅑㅂ">#REF!</definedName>
    <definedName name="던기차입금" localSheetId="2" hidden="1">{"'買掛金'!$J$6"}</definedName>
    <definedName name="던기차입금" hidden="1">{"'買掛金'!$J$6"}</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2" hidden="1">{#N/A,#N/A,FALSE,"기안지";#N/A,#N/A,FALSE,"통신지"}</definedName>
    <definedName name="독립기초"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hidden="1">{#N/A,#N/A,FALSE,"단축1";#N/A,#N/A,FALSE,"단축2";#N/A,#N/A,FALSE,"단축3";#N/A,#N/A,FALSE,"장축";#N/A,#N/A,FALSE,"4WD"}</definedName>
    <definedName name="돌단풍">#REF!</definedName>
    <definedName name="돌돋소" hidden="1">{#N/A,#N/A,TRUE,"경전'96(1)";#N/A,#N/A,TRUE,"경전'96 (2)"}</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2" hidden="1">{#N/A,#N/A,FALSE,"정공"}</definedName>
    <definedName name="두번째" hidden="1">{#N/A,#N/A,FALSE,"정공"}</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2" hidden="1">{"'Jibu9811 (3)'!$B$1:$J$433"}</definedName>
    <definedName name="딜레마" hidden="1">{"'Jibu9811 (3)'!$B$1:$J$433"}</definedName>
    <definedName name="또기타">#REF!</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2" hidden="1">{"'Jibu9811 (3)'!$B$1:$J$433"}</definedName>
    <definedName name="ㄹㄴ" hidden="1">{"'Jibu9811 (3)'!$B$1:$J$433"}</definedName>
    <definedName name="ㄹㄴㄹ" localSheetId="2" hidden="1">{"'Jibu9811 (3)'!$B$1:$J$433"}</definedName>
    <definedName name="ㄹㄴㄹ" hidden="1">{"'Jibu9811 (3)'!$B$1:$J$433"}</definedName>
    <definedName name="ㄹㄴㅇ" localSheetId="2" hidden="1">{"'Jibu9811 (3)'!$B$1:$J$433"}</definedName>
    <definedName name="ㄹㄴㅇ" hidden="1">{"'Jibu9811 (3)'!$B$1:$J$433"}</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2" hidden="1">{"'Jibu9811 (3)'!$B$1:$J$433"}</definedName>
    <definedName name="ㄹㄴㅇㄹㄴㅇ" hidden="1">{"'Jibu9811 (3)'!$B$1:$J$433"}</definedName>
    <definedName name="ㄹㄷ" localSheetId="2" hidden="1">{#N/A,#N/A,FALSE,"기안지";#N/A,#N/A,FALSE,"통신지"}</definedName>
    <definedName name="ㄹㄷ" hidden="1">{#N/A,#N/A,FALSE,"기안지";#N/A,#N/A,FALSE,"통신지"}</definedName>
    <definedName name="ㄹㄷㄱ" localSheetId="2" hidden="1">{"'Jibu9811 (3)'!$B$1:$J$433"}</definedName>
    <definedName name="ㄹㄷㄱ" hidden="1">{"'Jibu9811 (3)'!$B$1:$J$433"}</definedName>
    <definedName name="ㄹㄷㅈ" localSheetId="2" hidden="1">{"'Jibu9811 (3)'!$B$1:$J$433"}</definedName>
    <definedName name="ㄹㄷㅈ" hidden="1">{"'Jibu9811 (3)'!$B$1:$J$433"}</definedName>
    <definedName name="ㄹㄷㅈㄹㄹㄹ" hidden="1">#N/A</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hidden="1">{#N/A,#N/A,FALSE,"단축1";#N/A,#N/A,FALSE,"단축2";#N/A,#N/A,FALSE,"단축3";#N/A,#N/A,FALSE,"장축";#N/A,#N/A,FALSE,"4WD"}</definedName>
    <definedName name="ㄹㄹㄹ" localSheetId="2" hidden="1">{"'Jibu9811 (3)'!$B$1:$J$433"}</definedName>
    <definedName name="ㄹㄹㄹ" hidden="1">{"'Jibu9811 (3)'!$B$1:$J$433"}</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 hidden="1">{#N/A,#N/A,FALSE,"BS";#N/A,#N/A,FALSE,"IS";#N/A,#N/A,FALSE,"결손금처리";#N/A,#N/A,FALSE,"cashflow"}</definedName>
    <definedName name="ㄹㄹㄹㄹㄹㄹ" hidden="1">{#N/A,#N/A,FALSE,"BS";#N/A,#N/A,FALSE,"IS";#N/A,#N/A,FALSE,"결손금처리";#N/A,#N/A,FALSE,"cashflow"}</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hidden="1">{#N/A,#N/A,FALSE,"Sheet1"}</definedName>
    <definedName name="ㄹㄹㄹㄹㄹㄹㄹㄹㄹㄹㄹㄹ" hidden="1">#REF!</definedName>
    <definedName name="ㄹㄹㅇㄹㅇㄴㄹㅇㄴㅇㄴ" hidden="1">#REF!</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BlankMacro1</definedName>
    <definedName name="ㄹ로ㅓ채패ㅛ해ㅑㅎ" localSheetId="2" hidden="1">{"'Jibu9811 (3)'!$B$1:$J$433"}</definedName>
    <definedName name="ㄹ로ㅓ채패ㅛ해ㅑㅎ" hidden="1">{"'Jibu9811 (3)'!$B$1:$J$433"}</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2" hidden="1">{"'Jibu9811 (3)'!$B$1:$J$433"}</definedName>
    <definedName name="ㄹㅇㄴㄻ" hidden="1">{"'Jibu9811 (3)'!$B$1:$J$433"}</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hidden="1">{#N/A,#N/A,FALSE,"Sheet1"}</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2" hidden="1">{#N/A,#N/A,FALSE,"UNIT";#N/A,#N/A,FALSE,"UNIT";#N/A,#N/A,FALSE,"계정"}</definedName>
    <definedName name="ㄹ아ㅣㅇㅎ리" hidden="1">{#N/A,#N/A,FALSE,"UNIT";#N/A,#N/A,FALSE,"UNIT";#N/A,#N/A,FALSE,"계정"}</definedName>
    <definedName name="ㄹ어ㅓ럴"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hidden="1">{#N/A,#N/A,FALSE,"단축1";#N/A,#N/A,FALSE,"단축2";#N/A,#N/A,FALSE,"단축3";#N/A,#N/A,FALSE,"장축";#N/A,#N/A,FALSE,"4WD"}</definedName>
    <definedName name="ㄹ호ㅓㅓ" hidden="1">{#N/A,#N/A,FALSE,"단축1";#N/A,#N/A,FALSE,"단축2";#N/A,#N/A,FALSE,"단축3";#N/A,#N/A,FALSE,"장축";#N/A,#N/A,FALSE,"4WD"}</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2" hidden="1">{#N/A,#N/A,FALSE,"정공"}</definedName>
    <definedName name="란다리아" hidden="1">{#N/A,#N/A,FALSE,"정공"}</definedName>
    <definedName name="랴" localSheetId="2" hidden="1">{#N/A,#N/A,FALSE,"기안지";#N/A,#N/A,FALSE,"통신지"}</definedName>
    <definedName name="랴" hidden="1">{#N/A,#N/A,FALSE,"기안지";#N/A,#N/A,FALSE,"통신지"}</definedName>
    <definedName name="랻">#N/A</definedName>
    <definedName name="러시아" hidden="1">{#N/A,#N/A,FALSE,"단축1";#N/A,#N/A,FALSE,"단축2";#N/A,#N/A,FALSE,"단축3";#N/A,#N/A,FALSE,"장축";#N/A,#N/A,FALSE,"4WD"}</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2" hidden="1">{"'Jibu9811 (3)'!$B$1:$J$433"}</definedName>
    <definedName name="러ㅣ러니러니런ㄹㅈㄷㄹ" hidden="1">{"'Jibu9811 (3)'!$B$1:$J$433"}</definedName>
    <definedName name="레" hidden="1">{#N/A,#N/A,TRUE,"경전'96(1)";#N/A,#N/A,TRUE,"경전'96 (2)"}</definedName>
    <definedName name="레180">#REF!</definedName>
    <definedName name="레210">#REF!</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hidden="1">{#N/A,#N/A,FALSE,"단축1";#N/A,#N/A,FALSE,"단축2";#N/A,#N/A,FALSE,"단축3";#N/A,#N/A,FALSE,"장축";#N/A,#N/A,FALSE,"4WD"}</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2" hidden="1">{"'Jibu9811 (3)'!$B$1:$J$433"}</definedName>
    <definedName name="리오" hidden="1">{"'Jibu9811 (3)'!$B$1:$J$433"}</definedName>
    <definedName name="링클라인" localSheetId="2" hidden="1">{"'Jibu9811 (3)'!$B$1:$J$433"}</definedName>
    <definedName name="링클라인" hidden="1">{"'Jibu9811 (3)'!$B$1:$J$433"}</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2" hidden="1">{#N/A,#N/A,FALSE,"UNIT";#N/A,#N/A,FALSE,"UNIT";#N/A,#N/A,FALSE,"계정"}</definedName>
    <definedName name="ㄺㄹ" hidden="1">{#N/A,#N/A,FALSE,"UNIT";#N/A,#N/A,FALSE,"UNIT";#N/A,#N/A,FALSE,"계정"}</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2" hidden="1">{#N/A,#N/A,FALSE,"포장2"}</definedName>
    <definedName name="ㄻ" hidden="1">{#N/A,#N/A,FALSE,"포장2"}</definedName>
    <definedName name="ㄻㄴ" hidden="1">{#N/A,#N/A,FALSE,"단축1";#N/A,#N/A,FALSE,"단축2";#N/A,#N/A,FALSE,"단축3";#N/A,#N/A,FALSE,"장축";#N/A,#N/A,FALSE,"4WD"}</definedName>
    <definedName name="ㄻ뢀ㄴㄹㄹ" localSheetId="2" hidden="1">{"'Jibu9811 (3)'!$B$1:$J$433"}</definedName>
    <definedName name="ㄻ뢀ㄴㄹㄹ" hidden="1">{"'Jibu9811 (3)'!$B$1:$J$433"}</definedName>
    <definedName name="ㄼ호">BlankMacro1</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2" hidden="1">{#N/A,#N/A,FALSE,"을지 (4)";#N/A,#N/A,FALSE,"을지 (5)";#N/A,#N/A,FALSE,"을지 (6)"}</definedName>
    <definedName name="ㅀ미리밀ㅎ밈림" hidden="1">{#N/A,#N/A,FALSE,"을지 (4)";#N/A,#N/A,FALSE,"을지 (5)";#N/A,#N/A,FALSE,"을지 (6)"}</definedName>
    <definedName name="ㅀㅅㄱ" hidden="1">{#N/A,#N/A,FALSE,"Sheet6"}</definedName>
    <definedName name="ㅀㅇㄹㄶㅀㄹ" localSheetId="2" hidden="1">{#N/A,#N/A,FALSE,"UNIT";#N/A,#N/A,FALSE,"UNIT";#N/A,#N/A,FALSE,"계정"}</definedName>
    <definedName name="ㅀㅇㄹㄶㅀㄹ" hidden="1">{#N/A,#N/A,FALSE,"UNIT";#N/A,#N/A,FALSE,"UNIT";#N/A,#N/A,FALSE,"계정"}</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2" hidden="1">{#N/A,#N/A,FALSE,"UNIT";#N/A,#N/A,FALSE,"UNIT";#N/A,#N/A,FALSE,"계정"}</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2">BlankMacro1</definedName>
    <definedName name="ㅁ2" localSheetId="0">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hidden="1">{#N/A,#N/A,FALSE,"단축1";#N/A,#N/A,FALSE,"단축2";#N/A,#N/A,FALSE,"단축3";#N/A,#N/A,FALSE,"장축";#N/A,#N/A,FALSE,"4WD"}</definedName>
    <definedName name="ㅁㄴ도모" hidden="1">{#N/A,#N/A,TRUE,"경전'96(1)";#N/A,#N/A,TRUE,"경전'96 (2)"}</definedName>
    <definedName name="ㅁㄴㄹ" hidden="1">{#N/A,#N/A,FALSE,"전력간선"}</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hidden="1">{#N/A,#N/A,FALSE,"단축1";#N/A,#N/A,FALSE,"단축2";#N/A,#N/A,FALSE,"단축3";#N/A,#N/A,FALSE,"장축";#N/A,#N/A,FALSE,"4WD"}</definedName>
    <definedName name="ㅁㄴㅁㅇ" hidden="1">#REF!</definedName>
    <definedName name="ㅁㄴㅇ" hidden="1">#REF!</definedName>
    <definedName name="ㅁㄴㅇㄴㅇㄹㄴㅇ" hidden="1">{#N/A,#N/A,FALSE,"단축1";#N/A,#N/A,FALSE,"단축2";#N/A,#N/A,FALSE,"단축3";#N/A,#N/A,FALSE,"장축";#N/A,#N/A,FALSE,"4WD"}</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2" hidden="1">{"'Jibu9811 (3)'!$B$1:$J$433"}</definedName>
    <definedName name="ㅁ니러나럼닐" hidden="1">{"'Jibu9811 (3)'!$B$1:$J$433"}</definedName>
    <definedName name="ㅁㄶㅇㅎㅁ">BlankMacro1</definedName>
    <definedName name="ㅁㄷㅀ">#N/A</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2" hidden="1">{#N/A,#N/A,FALSE,"UNIT";#N/A,#N/A,FALSE,"UNIT";#N/A,#N/A,FALSE,"계정"}</definedName>
    <definedName name="ㅁㅁㅁ" hidden="1">{#N/A,#N/A,FALSE,"UNIT";#N/A,#N/A,FALSE,"UNIT";#N/A,#N/A,FALSE,"계정"}</definedName>
    <definedName name="ㅁㅁㅁㅁ" localSheetId="2" hidden="1">{#N/A,#N/A,FALSE,"UNIT";#N/A,#N/A,FALSE,"UNIT";#N/A,#N/A,FALSE,"계정"}</definedName>
    <definedName name="ㅁㅁㅁㅁ"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hidden="1">{#N/A,#N/A,FALSE,"단축1";#N/A,#N/A,FALSE,"단축2";#N/A,#N/A,FALSE,"단축3";#N/A,#N/A,FALSE,"장축";#N/A,#N/A,FALSE,"4WD"}</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hidden="1">{#N/A,#N/A,FALSE,"단축1";#N/A,#N/A,FALSE,"단축2";#N/A,#N/A,FALSE,"단축3";#N/A,#N/A,FALSE,"장축";#N/A,#N/A,FALSE,"4WD"}</definedName>
    <definedName name="ㅁㅁ심힘ㄴㄹ" localSheetId="2" hidden="1">{"'Jibu9811 (3)'!$B$1:$J$433"}</definedName>
    <definedName name="ㅁㅁ심힘ㄴㄹ" hidden="1">{"'Jibu9811 (3)'!$B$1:$J$433"}</definedName>
    <definedName name="ㅁㅂ">#REF!</definedName>
    <definedName name="ㅁㅂㅇㄴㄹ">#N/A</definedName>
    <definedName name="ㅁㅇ" hidden="1">{#N/A,#N/A,FALSE,"단축1";#N/A,#N/A,FALSE,"단축2";#N/A,#N/A,FALSE,"단축3";#N/A,#N/A,FALSE,"장축";#N/A,#N/A,FALSE,"4WD"}</definedName>
    <definedName name="ㅁㅇㄴㄹ" hidden="1">{"SJ - 기본 보기",#N/A,FALSE,"공사별 외주견적"}</definedName>
    <definedName name="ㅁㅇㄹ" hidden="1">{#N/A,#N/A,FALSE,"단축1";#N/A,#N/A,FALSE,"단축2";#N/A,#N/A,FALSE,"단축3";#N/A,#N/A,FALSE,"장축";#N/A,#N/A,FALSE,"4WD"}</definedName>
    <definedName name="ㅁㅎㅁㅎ" hidden="1">{#N/A,#N/A,TRUE,"경전'96(1)";#N/A,#N/A,TRUE,"경전'96 (2)"}</definedName>
    <definedName name="ㅁㅎㅎ" hidden="1">#REF!</definedName>
    <definedName name="ㅁ호ㅗㅎ" hidden="1">{#N/A,#N/A,TRUE,"경전'96(1)";#N/A,#N/A,TRUE,"경전'96 (2)"}</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hidden="1">{#N/A,#N/A,FALSE,"정공"}</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hidden="1">{"'FAX번호'!$A$2:$F$21"}</definedName>
    <definedName name="마산">#REF!</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hidden="1">{"'손익현황'!$A$1:$J$29"}</definedName>
    <definedName name="마지막예산" hidden="1">{#N/A,#N/A,FALSE,"단축1";#N/A,#N/A,FALSE,"단축2";#N/A,#N/A,FALSE,"단축3";#N/A,#N/A,FALSE,"장축";#N/A,#N/A,FALSE,"4WD"}</definedName>
    <definedName name="마케팅" localSheetId="2" hidden="1">{"'5국공정'!$A$1:$E$128"}</definedName>
    <definedName name="마케팅" hidden="1">{"'5국공정'!$A$1:$E$128"}</definedName>
    <definedName name="마케팅2" localSheetId="2" hidden="1">{"'5국공정'!$A$1:$E$128"}</definedName>
    <definedName name="마케팅2" hidden="1">{"'5국공정'!$A$1:$E$128"}</definedName>
    <definedName name="만기보장수익율">#REF!</definedName>
    <definedName name="말">BlankMacro1</definedName>
    <definedName name="말자" hidden="1">{#N/A,#N/A,FALSE,"단축1";#N/A,#N/A,FALSE,"단축2";#N/A,#N/A,FALSE,"단축3";#N/A,#N/A,FALSE,"장축";#N/A,#N/A,FALSE,"4WD"}</definedName>
    <definedName name="망">#REF!</definedName>
    <definedName name="매" localSheetId="2"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買掛金" localSheetId="2" hidden="1">{"'買掛金'!$J$6"}</definedName>
    <definedName name="買掛金" hidden="1">{"'買掛金'!$J$6"}</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2" hidden="1">{#N/A,#N/A,FALSE,"UNIT";#N/A,#N/A,FALSE,"UNIT";#N/A,#N/A,FALSE,"계정"}</definedName>
    <definedName name="매출계획" hidden="1">{#N/A,#N/A,FALSE,"UNIT";#N/A,#N/A,FALSE,"UNIT";#N/A,#N/A,FALSE,"계정"}</definedName>
    <definedName name="매출계획2" localSheetId="2" hidden="1">{"'Sheet1'!$A$1:$H$36"}</definedName>
    <definedName name="매출계획2" hidden="1">{"'Sheet1'!$A$1:$H$36"}</definedName>
    <definedName name="매출구분">#REF!</definedName>
    <definedName name="매출금">#REF!</definedName>
    <definedName name="매출기준" hidden="1">{#N/A,#N/A,FALSE,"정공"}</definedName>
    <definedName name="매출및원가">#REF!</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hidden="1">{#N/A,#N/A,FALSE,"정공"}</definedName>
    <definedName name="매출액" hidden="1">#REF!</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hidden="1">{#N/A,#N/A,FALSE,"정공"}</definedName>
    <definedName name="매출조정" localSheetId="2" hidden="1">{"'Jibu9811 (3)'!$B$1:$J$433"}</definedName>
    <definedName name="매출조정" hidden="1">{"'Jibu9811 (3)'!$B$1:$J$433"}</definedName>
    <definedName name="매출채권">#REF!</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2" hidden="1">{"'손익현황'!$A$1:$J$29"}</definedName>
    <definedName name="매출채권비율"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2" hidden="1">{#N/A,#N/A,FALSE,"정공"}</definedName>
    <definedName name="매출추1"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BlankMacro1</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2" hidden="1">{"'Jibu9811 (3)'!$B$1:$J$433"}</definedName>
    <definedName name="명단2"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hidden="1">{#N/A,#N/A,FALSE,"정공"}</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BLCH</definedName>
    <definedName name="목공">#REF!</definedName>
    <definedName name="목도공">#REF!</definedName>
    <definedName name="목돈입력">#REF!</definedName>
    <definedName name="목동현대">BLCH</definedName>
    <definedName name="목록">OFFSET(#REF!,0,0,COUNTA(#REF!),1)</definedName>
    <definedName name="목백합">#REF!</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hidden="1">{#N/A,#N/A,FALSE,"정공"}</definedName>
    <definedName name="목포">#REF!</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hidden="1">{#N/A,#N/A,FALSE,"표지목차"}</definedName>
    <definedName name="몰">BlankMacro1</definedName>
    <definedName name="몰라" localSheetId="2" hidden="1">{#N/A,#N/A,FALSE,"정공"}</definedName>
    <definedName name="몰라" hidden="1">{#N/A,#N/A,FALSE,"정공"}</definedName>
    <definedName name="몰랄ㄹ" localSheetId="2" hidden="1">{#N/A,#N/A,FALSE,"초중조사서식 "}</definedName>
    <definedName name="몰랄ㄹ" hidden="1">{#N/A,#N/A,FALSE,"초중조사서식 "}</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hidden="1">{#N/A,#N/A,FALSE,"Aging Summary";#N/A,#N/A,FALSE,"Ratio Analysis";#N/A,#N/A,FALSE,"Test 120 Day Accts";#N/A,#N/A,FALSE,"Tickmarks"}</definedName>
    <definedName name="문서의_처음">#N/A</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2" hidden="1">{"'Jibu9811 (3)'!$B$1:$J$433"}</definedName>
    <definedName name="문제점" hidden="1">{"'Jibu9811 (3)'!$B$1:$J$433"}</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2" hidden="1">{#N/A,#N/A,TRUE,"일정"}</definedName>
    <definedName name="물류" hidden="1">{#N/A,#N/A,TRUE,"일정"}</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hidden="1">{#N/A,#N/A,FALSE,"이태원철근"}</definedName>
    <definedName name="뭐야"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2" hidden="1">{#N/A,#N/A,FALSE,"기술료 비교"}</definedName>
    <definedName name="뮤" hidden="1">{#N/A,#N/A,FALSE,"기술료 비교"}</definedName>
    <definedName name="뮤629">#REF!</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2" hidden="1">{#N/A,#N/A,TRUE,"일정"}</definedName>
    <definedName name="므" hidden="1">{#N/A,#N/A,TRUE,"일정"}</definedName>
    <definedName name="미" localSheetId="2" hidden="1">{#N/A,#N/A,TRUE,"일정"}</definedName>
    <definedName name="미" hidden="1">{#N/A,#N/A,TRUE,"일정"}</definedName>
    <definedName name="미금" hidden="1">#REF!</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2" hidden="1">{#N/A,#N/A,FALSE,"정공"}</definedName>
    <definedName name="미미미아" hidden="1">{#N/A,#N/A,FALSE,"정공"}</definedName>
    <definedName name="未払" localSheetId="2" hidden="1">{"'買掛金'!$J$6"}</definedName>
    <definedName name="未払" hidden="1">{"'買掛金'!$J$6"}</definedName>
    <definedName name="未払金" localSheetId="2" hidden="1">{"'買掛金'!$J$6"}</definedName>
    <definedName name="未払金" hidden="1">{"'買掛金'!$J$6"}</definedName>
    <definedName name="미석" localSheetId="2" hidden="1">{#N/A,#N/A,FALSE,"정공"}</definedName>
    <definedName name="미석" hidden="1">{#N/A,#N/A,FALSE,"정공"}</definedName>
    <definedName name="미수" localSheetId="2" hidden="1">{#N/A,#N/A,FALSE,"계약직(여)"}</definedName>
    <definedName name="미수" hidden="1">{#N/A,#N/A,FALSE,"계약직(여)"}</definedName>
    <definedName name="미수금" hidden="1">#REF!</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hidden="1">{"'FAX번호'!$A$2:$F$21"}</definedName>
    <definedName name="미일초등">#REF!</definedName>
    <definedName name="미지" localSheetId="2" hidden="1">{#N/A,#N/A,FALSE,"UNIT";#N/A,#N/A,FALSE,"UNIT";#N/A,#N/A,FALSE,"계정"}</definedName>
    <definedName name="미지" hidden="1">{#N/A,#N/A,FALSE,"UNIT";#N/A,#N/A,FALSE,"UNIT";#N/A,#N/A,FALSE,"계정"}</definedName>
    <definedName name="미지급" localSheetId="2"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BlankMacro1</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2" hidden="1">{#N/A,#N/A,FALSE,"계약직(여)"}</definedName>
    <definedName name="미지급비용분류" hidden="1">{#N/A,#N/A,FALSE,"계약직(여)"}</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2" hidden="1">{#N/A,#N/A,FALSE,"9612"}</definedName>
    <definedName name="미착기계" hidden="1">{#N/A,#N/A,FALSE,"9612"}</definedName>
    <definedName name="미ㅣ하ㅣ미ㅣㅣㄴ" localSheetId="2" hidden="1">{"'Jibu9811 (3)'!$B$1:$J$433"}</definedName>
    <definedName name="미ㅣ하ㅣ미ㅣㅣㄴ" hidden="1">{"'Jibu9811 (3)'!$B$1:$J$433"}</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2" hidden="1">{#N/A,#N/A,FALSE,"을지 (4)";#N/A,#N/A,FALSE,"을지 (5)";#N/A,#N/A,FALSE,"을지 (6)"}</definedName>
    <definedName name="민총2" hidden="1">{#N/A,#N/A,FALSE,"을지 (4)";#N/A,#N/A,FALSE,"을지 (5)";#N/A,#N/A,FALSE,"을지 (6)"}</definedName>
    <definedName name="밀" hidden="1">{#N/A,#N/A,TRUE,"경전'96(1)";#N/A,#N/A,TRUE,"경전'96 (2)"}</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hidden="1">{#N/A,#N/A,TRUE,"경전'96(1)";#N/A,#N/A,TRUE,"경전'96 (2)"}</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2" hidden="1">{"'Jibu9811 (3)'!$B$1:$J$433"}</definedName>
    <definedName name="ㅂ갷ㄻ" hidden="1">{"'Jibu9811 (3)'!$B$1:$J$433"}</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hidden="1">{#N/A,#N/A,FALSE,"단축1";#N/A,#N/A,FALSE,"단축2";#N/A,#N/A,FALSE,"단축3";#N/A,#N/A,FALSE,"장축";#N/A,#N/A,FALSE,"4WD"}</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2" hidden="1">{#N/A,#N/A,TRUE,"일정"}</definedName>
    <definedName name="ㅂㅂㅂ" hidden="1">{#N/A,#N/A,TRUE,"일정"}</definedName>
    <definedName name="ㅂㅂㅂㅂ" hidden="1">#REF!</definedName>
    <definedName name="ㅂㅂㅂㅂㅂㅂ">#REF!</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hidden="1">{#N/A,#N/A,FALSE,"단축1";#N/A,#N/A,FALSE,"단축2";#N/A,#N/A,FALSE,"단축3";#N/A,#N/A,FALSE,"장축";#N/A,#N/A,FALSE,"4WD"}</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hidden="1">{#N/A,#N/A,FALSE,"단축1";#N/A,#N/A,FALSE,"단축2";#N/A,#N/A,FALSE,"단축3";#N/A,#N/A,FALSE,"장축";#N/A,#N/A,FALSE,"4WD"}</definedName>
    <definedName name="바" localSheetId="2"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2" hidden="1">{"'Jibu9811 (3)'!$B$1:$J$433"}</definedName>
    <definedName name="바디카밍" hidden="1">{"'Jibu9811 (3)'!$B$1:$J$433"}</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2" hidden="1">{#N/A,#N/A,FALSE,"정공"}</definedName>
    <definedName name="바랑라" hidden="1">{#N/A,#N/A,FALSE,"정공"}</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2" hidden="1">{#N/A,#N/A,FALSE,"정공"}</definedName>
    <definedName name="바보" hidden="1">{#N/A,#N/A,FALSE,"정공"}</definedName>
    <definedName name="바보상자" localSheetId="2" hidden="1">{#N/A,#N/A,FALSE,"정공"}</definedName>
    <definedName name="바보상자" hidden="1">{#N/A,#N/A,FALSE,"정공"}</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2">BlankMacro1</definedName>
    <definedName name="바이오사업팀" localSheetId="0">BlankMacro1</definedName>
    <definedName name="바이오사업팀">BlankMacro1</definedName>
    <definedName name="박" localSheetId="2"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Dlog_Show</definedName>
    <definedName name="박인철" hidden="1">{#N/A,#N/A,FALSE,"변경관리예산";#N/A,#N/A,FALSE,"변경장비예산";#N/A,#N/A,FALSE,"변경준설예산";#N/A,#N/A,FALSE,"변경철구예산"}</definedName>
    <definedName name="박재영" hidden="1">#REF!</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hidden="1">{#N/A,#N/A,TRUE,"Y생산";#N/A,#N/A,TRUE,"Y판매";#N/A,#N/A,TRUE,"Y총물량";#N/A,#N/A,TRUE,"Y능력";#N/A,#N/A,TRUE,"YKD"}</definedName>
    <definedName name="받을어음">#REF!</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hidden="1">{#N/A,#N/A,FALSE,"단축1";#N/A,#N/A,FALSE,"단축2";#N/A,#N/A,FALSE,"단축3";#N/A,#N/A,FALSE,"장축";#N/A,#N/A,FALSE,"4WD"}</definedName>
    <definedName name="방진고무" hidden="1">{#N/A,#N/A,FALSE,"단축1";#N/A,#N/A,FALSE,"단축2";#N/A,#N/A,FALSE,"단축3";#N/A,#N/A,FALSE,"장축";#N/A,#N/A,FALSE,"4WD"}</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2" hidden="1">{"'미착금액'!$A$4:$G$14"}</definedName>
    <definedName name="배배배" hidden="1">{"'미착금액'!$A$4:$G$14"}</definedName>
    <definedName name="배부" hidden="1">{#N/A,#N/A,FALSE,"지침";#N/A,#N/A,FALSE,"환경분석";#N/A,#N/A,FALSE,"Sheet16"}</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hidden="1">{#N/A,#N/A,FALSE,"지침";#N/A,#N/A,FALSE,"환경분석";#N/A,#N/A,FALSE,"Sheet16"}</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2" hidden="1">{#N/A,#N/A,FALSE,"UNIT";#N/A,#N/A,FALSE,"UNIT";#N/A,#N/A,FALSE,"계정"}</definedName>
    <definedName name="법인세주석사항정리" hidden="1">{#N/A,#N/A,FALSE,"UNIT";#N/A,#N/A,FALSE,"UNIT";#N/A,#N/A,FALSE,"계정"}</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hidden="1">{#N/A,#N/A,FALSE,"Sheet6"}</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hidden="1">{#N/A,#N/A,FALSE,"단축1";#N/A,#N/A,FALSE,"단축2";#N/A,#N/A,FALSE,"단축3";#N/A,#N/A,FALSE,"장축";#N/A,#N/A,FALSE,"4WD"}</definedName>
    <definedName name="별지_제6_2호_서식">#REF!</definedName>
    <definedName name="별지_제6_3_2_호_서식">#REF!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hidden="1">{"'Price List '!$A$1:$R$156"}</definedName>
    <definedName name="별첨퇴직" localSheetId="2" hidden="1">{"'매출이익'!$A$24:$K$45"}</definedName>
    <definedName name="별첨퇴직" hidden="1">{"'매출이익'!$A$24:$K$45"}</definedName>
    <definedName name="별퇴직급여" localSheetId="2" hidden="1">{"'매출이익'!$A$24:$K$45"}</definedName>
    <definedName name="별퇴직급여" hidden="1">{"'매출이익'!$A$24:$K$45"}</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2"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고" localSheetId="2" hidden="1">{#N/A,#N/A,FALSE,"UNIT";#N/A,#N/A,FALSE,"UNIT";#N/A,#N/A,FALSE,"계정"}</definedName>
    <definedName name="보고" hidden="1">{#N/A,#N/A,FALSE,"UNIT";#N/A,#N/A,FALSE,"UNIT";#N/A,#N/A,FALSE,"계정"}</definedName>
    <definedName name="보고1" hidden="1">{#N/A,#N/A,FALSE,"단축1";#N/A,#N/A,FALSE,"단축2";#N/A,#N/A,FALSE,"단축3";#N/A,#N/A,FALSE,"장축";#N/A,#N/A,FALSE,"4WD"}</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2" hidden="1">{#N/A,#N/A,FALSE,"UNIT";#N/A,#N/A,FALSE,"UNIT";#N/A,#N/A,FALSE,"계정"}</definedName>
    <definedName name="보고기준" hidden="1">{#N/A,#N/A,FALSE,"UNIT";#N/A,#N/A,FALSE,"UNIT";#N/A,#N/A,FALSE,"계정"}</definedName>
    <definedName name="보고서1" hidden="1">{#N/A,#N/A,FALSE,"단축1";#N/A,#N/A,FALSE,"단축2";#N/A,#N/A,FALSE,"단축3";#N/A,#N/A,FALSE,"장축";#N/A,#N/A,FALSE,"4WD"}</definedName>
    <definedName name="보고서CF">#REF!</definedName>
    <definedName name="보고서표지">#REF!</definedName>
    <definedName name="보고용">BlankMacro1</definedName>
    <definedName name="보관1">#REF!</definedName>
    <definedName name="보관2">#REF!</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hidden="1">{#N/A,#N/A,FALSE,"골재소요량";#N/A,#N/A,FALSE,"골재소요량"}</definedName>
    <definedName name="부대내역비교">#REF!</definedName>
    <definedName name="부대방안" hidden="1">{#N/A,#N/A,FALSE,"단가표지"}</definedName>
    <definedName name="부대사항">#REF!</definedName>
    <definedName name="부대원본" localSheetId="2" hidden="1">{#N/A,#N/A,FALSE,"토공2"}</definedName>
    <definedName name="부대원본" hidden="1">{#N/A,#N/A,FALSE,"토공2"}</definedName>
    <definedName name="부대입찰서류작성" hidden="1">#REF!</definedName>
    <definedName name="부대입찰잡비">Dlog_Show</definedName>
    <definedName name="부대토목">#REF!</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Dlog_Show</definedName>
    <definedName name="부품문제" hidden="1">{#N/A,#N/A,FALSE,"단축1";#N/A,#N/A,FALSE,"단축2";#N/A,#N/A,FALSE,"단축3";#N/A,#N/A,FALSE,"장축";#N/A,#N/A,FALSE,"4WD"}</definedName>
    <definedName name="북부">#REF!</definedName>
    <definedName name="분" hidden="1">{#N/A,#N/A,FALSE,"이태원철근"}</definedName>
    <definedName name="분개및수수료계상">#REF!</definedName>
    <definedName name="분기" localSheetId="2" hidden="1">{"'Jibu9811 (3)'!$B$1:$J$433"}</definedName>
    <definedName name="분기" hidden="1">{"'Jibu9811 (3)'!$B$1:$J$433"}</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BlankMacro1</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2" hidden="1">{#N/A,#N/A,FALSE,"1.CRITERIA";#N/A,#N/A,FALSE,"2.IS";#N/A,#N/A,FALSE,"3.BS";#N/A,#N/A,FALSE,"4.PER PL";#N/A,#N/A,FALSE,"5.INVESTMENT";#N/A,#N/A,FALSE,"6.공문";#N/A,#N/A,FALSE,"7.netinvest"}</definedName>
    <definedName name="비" hidden="1">{#N/A,#N/A,FALSE,"1.CRITERIA";#N/A,#N/A,FALSE,"2.IS";#N/A,#N/A,FALSE,"3.BS";#N/A,#N/A,FALSE,"4.PER PL";#N/A,#N/A,FALSE,"5.INVESTMENT";#N/A,#N/A,FALSE,"6.공문";#N/A,#N/A,FALSE,"7.netinvest"}</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hidden="1">{#N/A,#N/A,FALSE,"단축1";#N/A,#N/A,FALSE,"단축2";#N/A,#N/A,FALSE,"단축3";#N/A,#N/A,FALSE,"장축";#N/A,#N/A,FALSE,"4WD"}</definedName>
    <definedName name="빈양식" localSheetId="2" hidden="1">{#N/A,#N/A,FALSE,"CCTV"}</definedName>
    <definedName name="빈양식" hidden="1">{#N/A,#N/A,FALSE,"CCTV"}</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hidden="1">{#N/A,#N/A,FALSE,"Sheet6"}</definedName>
    <definedName name="ㅅ건거">#N/A</definedName>
    <definedName name="ㅅ곣ㅈ궈ㅕ" hidden="1">#REF!</definedName>
    <definedName name="ㅅ곳ㄷㄴ">#N/A</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ㄷ">BlankMacro1</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{#N/A,#N/A,FALSE,"단축1";#N/A,#N/A,FALSE,"단축2";#N/A,#N/A,FALSE,"단축3";#N/A,#N/A,FALSE,"장축";#N/A,#N/A,FALSE,"4WD"}</definedName>
    <definedName name="ㅅㅅㅅ" localSheetId="2" hidden="1">{"'손익현황'!$A$1:$J$29"}</definedName>
    <definedName name="ㅅㅅㅅ" hidden="1">{"'손익현황'!$A$1:$J$29"}</definedName>
    <definedName name="ㅅㅅㅅ_1" localSheetId="2" hidden="1">{"'손익현황'!$A$1:$J$29"}</definedName>
    <definedName name="ㅅㅅㅅ_1" hidden="1">{"'손익현황'!$A$1:$J$29"}</definedName>
    <definedName name="ㅅㅅㅅㅅ" localSheetId="2" hidden="1">{#N/A,#N/A,FALSE,"UNIT";#N/A,#N/A,FALSE,"UNIT";#N/A,#N/A,FALSE,"계정"}</definedName>
    <definedName name="ㅅㅅㅅㅅ" hidden="1">{#N/A,#N/A,FALSE,"UNIT";#N/A,#N/A,FALSE,"UNIT";#N/A,#N/A,FALSE,"계정"}</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2" hidden="1">{"'Jibu9811 (3)'!$B$1:$J$433"}</definedName>
    <definedName name="ㅅㅎㅎ" hidden="1">{"'Jibu9811 (3)'!$B$1:$J$433"}</definedName>
    <definedName name="ㅅㅓ" hidden="1">#REF!</definedName>
    <definedName name="사" hidden="1">#REF!</definedName>
    <definedName name="사1" hidden="1">{#N/A,#N/A,FALSE,"지침";#N/A,#N/A,FALSE,"환경분석";#N/A,#N/A,FALSE,"Sheet16"}</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2" hidden="1">{#N/A,#N/A,FALSE,"정공"}</definedName>
    <definedName name="사다함이" hidden="1">{#N/A,#N/A,FALSE,"정공"}</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hidden="1">{#N/A,#N/A,FALSE,"정공"}</definedName>
    <definedName name="사랑" hidden="1">{#N/A,#N/A,TRUE,"경전'96(1)";#N/A,#N/A,TRUE,"경전'96 (2)"}</definedName>
    <definedName name="사랑하오" hidden="1">{#N/A,#N/A,FALSE,"정공"}</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hidden="1">{#N/A,#N/A,FALSE,"정공"}</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hidden="1">{#N/A,#N/A,FALSE,"단축1";#N/A,#N/A,FALSE,"단축2";#N/A,#N/A,FALSE,"단축3";#N/A,#N/A,FALSE,"장축";#N/A,#N/A,FALSE,"4WD"}</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 hidden="1">{#N/A,#N/A,FALSE,"UNIT";#N/A,#N/A,FALSE,"UNIT";#N/A,#N/A,FALSE,"계정"}</definedName>
    <definedName name="사업" hidden="1">{#N/A,#N/A,FALSE,"UNIT";#N/A,#N/A,FALSE,"UNIT";#N/A,#N/A,FALSE,"계정"}</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2" hidden="1">{#N/A,#N/A,FALSE,"기술료 비교"}</definedName>
    <definedName name="사업계획" hidden="1">{#N/A,#N/A,FALSE,"기술료 비교"}</definedName>
    <definedName name="사업별">#REF!</definedName>
    <definedName name="사업별실적입력">#REF!</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hidden="1">{#N/A,#N/A,FALSE,"정공"}</definedName>
    <definedName name="사업자등록번호">#REF!</definedName>
    <definedName name="사업장소재지">#REF!</definedName>
    <definedName name="사업추진" localSheetId="2" hidden="1">{#N/A,#N/A,FALSE,"정공"}</definedName>
    <definedName name="사업추진" hidden="1">{#N/A,#N/A,FALSE,"정공"}</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2" hidden="1">{#N/A,#N/A,FALSE,"정공"}</definedName>
    <definedName name="삼성" hidden="1">{#N/A,#N/A,FALSE,"정공"}</definedName>
    <definedName name="삼성2" localSheetId="2" hidden="1">{#N/A,#N/A,FALSE,"정공"}</definedName>
    <definedName name="삼성2" hidden="1">{#N/A,#N/A,FALSE,"정공"}</definedName>
    <definedName name="삽" hidden="1">{#N/A,#N/A,FALSE,"Sheet6"}</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로허호" localSheetId="2" hidden="1">{#N/A,#N/A,FALSE,"정공"}</definedName>
    <definedName name="상로허호" hidden="1">{#N/A,#N/A,FALSE,"정공"}</definedName>
    <definedName name="상미">#REF!</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hidden="1">{#N/A,#N/A,FALSE,"단축1";#N/A,#N/A,FALSE,"단축2";#N/A,#N/A,FALSE,"단축3";#N/A,#N/A,FALSE,"장축";#N/A,#N/A,FALSE,"4WD"}</definedName>
    <definedName name="상한금액조정">OFFSET(#REF!,,,COUNTA(#REF!), COUNTA(#REF!))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hidden="1">{#N/A,#N/A,FALSE,"이태원철근"}</definedName>
    <definedName name="새로운" hidden="1">{#N/A,#N/A,FALSE,"단축1";#N/A,#N/A,FALSE,"단축2";#N/A,#N/A,FALSE,"단축3";#N/A,#N/A,FALSE,"장축";#N/A,#N/A,FALSE,"4WD"}</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2" hidden="1">{"'Jibu9811 (3)'!$B$1:$J$433"}</definedName>
    <definedName name="새로이" hidden="1">{"'Jibu9811 (3)'!$B$1:$J$433"}</definedName>
    <definedName name="새새샛" localSheetId="2" hidden="1">{"'미착금액'!$A$4:$G$14"}</definedName>
    <definedName name="새새샛" hidden="1">{"'미착금액'!$A$4:$G$14"}</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2" hidden="1">{#N/A,#N/A,FALSE,"정공"}</definedName>
    <definedName name="새파일편집" hidden="1">{#N/A,#N/A,FALSE,"정공"}</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능력" localSheetId="2" hidden="1">{#N/A,#N/A,FALSE,"정공"}</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{#N/A,#N/A,FALSE,"단축1";#N/A,#N/A,FALSE,"단축2";#N/A,#N/A,FALSE,"단축3";#N/A,#N/A,FALSE,"장축";#N/A,#N/A,FALSE,"4WD"}</definedName>
    <definedName name="생산성1">#REF!</definedName>
    <definedName name="생산성2">#REF!,#REF!</definedName>
    <definedName name="생산손익" hidden="1">{#N/A,#N/A,FALSE,"정공"}</definedName>
    <definedName name="생산실적" localSheetId="2">{"XG6PR2"}</definedName>
    <definedName name="생산실적">{"XG6PR2"}</definedName>
    <definedName name="생산실적2" localSheetId="2">{"XG6PR2"}</definedName>
    <definedName name="생산실적2">{"XG6PR2"}</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2" hidden="1">{#N/A,#N/A,FALSE,"정공"}</definedName>
    <definedName name="생산품목" hidden="1">{#N/A,#N/A,FALSE,"정공"}</definedName>
    <definedName name="샤워">#REF!</definedName>
    <definedName name="서" hidden="1">#REF!</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hidden="1">{#N/A,#N/A,FALSE,"단축1";#N/A,#N/A,FALSE,"단축2";#N/A,#N/A,FALSE,"단축3";#N/A,#N/A,FALSE,"장축";#N/A,#N/A,FALSE,"4WD"}</definedName>
    <definedName name="석희" hidden="1">#REF!</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2" hidden="1">{"FORM17",#N/A,FALSE,"Commission1";"FORM17.1",#N/A,FALSE,"Commission2"}</definedName>
    <definedName name="선급이자" hidden="1">{"FORM17",#N/A,FALSE,"Commission1";"FORM17.1",#N/A,FALSE,"Commission2"}</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hidden="1">{#N/A,#N/A,TRUE,"총괄"}</definedName>
    <definedName name="설계">#N/A</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hidden="1">{#N/A,#N/A,FALSE,"단축1";#N/A,#N/A,FALSE,"단축2";#N/A,#N/A,FALSE,"단축3";#N/A,#N/A,FALSE,"장축";#N/A,#N/A,FALSE,"4WD"}</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hidden="1">{#N/A,#N/A,TRUE,"총괄"}</definedName>
    <definedName name="설비" hidden="1">{#N/A,#N/A,FALSE,"이태원철근"}</definedName>
    <definedName name="설비물량">#REF!</definedName>
    <definedName name="설비절감방안" hidden="1">{#N/A,#N/A,FALSE,"단축1";#N/A,#N/A,FALSE,"단축2";#N/A,#N/A,FALSE,"단축3";#N/A,#N/A,FALSE,"장축";#N/A,#N/A,FALSE,"4WD"}</definedName>
    <definedName name="설비투자" localSheetId="2" hidden="1">{#N/A,#N/A,FALSE,"정공"}</definedName>
    <definedName name="설비투자" hidden="1">{#N/A,#N/A,FALSE,"정공"}</definedName>
    <definedName name="설설" hidden="1">{#N/A,#N/A,FALSE,"단축1";#N/A,#N/A,FALSE,"단축2";#N/A,#N/A,FALSE,"단축3";#N/A,#N/A,FALSE,"장축";#N/A,#N/A,FALSE,"4WD"}</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2" hidden="1">{#N/A,#N/A,FALSE,"UNIT";#N/A,#N/A,FALSE,"UNIT";#N/A,#N/A,FALSE,"계정"}</definedName>
    <definedName name="성" hidden="1">{#N/A,#N/A,FALSE,"UNIT";#N/A,#N/A,FALSE,"UNIT";#N/A,#N/A,FALSE,"계정"}</definedName>
    <definedName name="성남" localSheetId="2" hidden="1">{"'Jibu9811 (3)'!$B$1:$J$433"}</definedName>
    <definedName name="성남" hidden="1">{"'Jibu9811 (3)'!$B$1:$J$433"}</definedName>
    <definedName name="성명">OFFSET(#REF!,0,0,COUNTA(#REF!),1)</definedName>
    <definedName name="성적">#REF!</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2" hidden="1">{"'Jibu9811 (3)'!$B$1:$J$433"}</definedName>
    <definedName name="세부" hidden="1">{"'Jibu9811 (3)'!$B$1:$J$433"}</definedName>
    <definedName name="세부근거" localSheetId="2" hidden="1">{"'Jibu9811 (3)'!$B$1:$J$433"}</definedName>
    <definedName name="세부근거" hidden="1">{"'Jibu9811 (3)'!$B$1:$J$433"}</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2" hidden="1">{#N/A,#N/A,FALSE,"UNIT";#N/A,#N/A,FALSE,"UNIT";#N/A,#N/A,FALSE,"계정"}</definedName>
    <definedName name="소득금액"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hidden="1">{#N/A,#N/A,FALSE,"단축1";#N/A,#N/A,FALSE,"단축2";#N/A,#N/A,FALSE,"단축3";#N/A,#N/A,FALSE,"장축";#N/A,#N/A,FALSE,"4WD"}</definedName>
    <definedName name="소방" hidden="1">{"SJ - 기본 보기",#N/A,FALSE,"공사별 외주견적"}</definedName>
    <definedName name="소방내역">BlankMacro1</definedName>
    <definedName name="소방내역서">BlankMacro1</definedName>
    <definedName name="소요금액" hidden="1">{#N/A,#N/A,FALSE,"단축1";#N/A,#N/A,FALSE,"단축2";#N/A,#N/A,FALSE,"단축3";#N/A,#N/A,FALSE,"장축";#N/A,#N/A,FALSE,"4WD"}</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hidden="1">{#N/A,#N/A,FALSE,"단축1";#N/A,#N/A,FALSE,"단축2";#N/A,#N/A,FALSE,"단축3";#N/A,#N/A,FALSE,"장축";#N/A,#N/A,FALSE,"4WD"}</definedName>
    <definedName name="소화갑지" hidden="1">{#N/A,#N/A,FALSE,"CCTV"}</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2" hidden="1">{#N/A,#N/A,FALSE,"UNIT";#N/A,#N/A,FALSE,"UNIT";#N/A,#N/A,FALSE,"계정"}</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2" hidden="1">{#N/A,#N/A,FALSE,"정공"}</definedName>
    <definedName name="손익계산" hidden="1">{#N/A,#N/A,FALSE,"정공"}</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2" hidden="1">{"'Jibu9811 (3)'!$B$1:$J$433"}</definedName>
    <definedName name="솔비쥬재고" hidden="1">{"'Jibu9811 (3)'!$B$1:$J$433"}</definedName>
    <definedName name="솔재고" localSheetId="2" hidden="1">{"'Jibu9811 (3)'!$B$1:$J$433"}</definedName>
    <definedName name="솔재고" hidden="1">{"'Jibu9811 (3)'!$B$1:$J$433"}</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2" hidden="1">{"'Jibu9811 (3)'!$B$1:$J$433"}</definedName>
    <definedName name="송년" hidden="1">{"'Jibu9811 (3)'!$B$1:$J$433"}</definedName>
    <definedName name="송익" localSheetId="2" hidden="1">{#N/A,#N/A,FALSE,"정공"}</definedName>
    <definedName name="송익" hidden="1">{#N/A,#N/A,FALSE,"정공"}</definedName>
    <definedName name="송재동" localSheetId="2" hidden="1">{"'Jibu9811 (3)'!$B$1:$J$433"}</definedName>
    <definedName name="송재동" hidden="1">{"'Jibu9811 (3)'!$B$1:$J$433"}</definedName>
    <definedName name="송전전공">#REF!</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hidden="1">{#N/A,#N/A,FALSE,"단축1";#N/A,#N/A,FALSE,"단축2";#N/A,#N/A,FALSE,"단축3";#N/A,#N/A,FALSE,"장축";#N/A,#N/A,FALSE,"4WD"}</definedName>
    <definedName name="쇼ㅏㅅ" hidden="1">{#N/A,#N/A,FALSE,"Sheet6"}</definedName>
    <definedName name="쇼ㅓㅇㄱ셔ㅓ">#N/A</definedName>
    <definedName name="쇼ㅓㅇㅅ">#N/A</definedName>
    <definedName name="숏교" hidden="1">{#N/A,#N/A,FALSE,"Sheet6"}</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BlankMacro1</definedName>
    <definedName name="수량산출">BlankMacro1</definedName>
    <definedName name="수량산출2">BlankMacro1</definedName>
    <definedName name="수량산출5">BlankMacro1</definedName>
    <definedName name="수량산출서">#REF!</definedName>
    <definedName name="수량산출서표지">BlankMacro1</definedName>
    <definedName name="수량입력">#REF!</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2" hidden="1">{#N/A,#N/A,FALSE,"정공"}</definedName>
    <definedName name="수불현황" hidden="1">{#N/A,#N/A,FALSE,"정공"}</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{"'10_03일자별'!$A$2:$H$31"}</definedName>
    <definedName name="수정169억" hidden="1">{#N/A,#N/A,FALSE,"단축1";#N/A,#N/A,FALSE,"단축2";#N/A,#N/A,FALSE,"단축3";#N/A,#N/A,FALSE,"장축";#N/A,#N/A,FALSE,"4WD"}</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hidden="1">{#N/A,#N/A,FALSE,"정공"}</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hidden="1">{#N/A,#N/A,FALSE,"기안지";#N/A,#N/A,FALSE,"통신지"}</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hidden="1">{#N/A,#N/A,FALSE,"신규dep";#N/A,#N/A,FALSE,"신규dep-금형상각후";#N/A,#N/A,FALSE,"신규dep-연구비상각후";#N/A,#N/A,FALSE,"신규dep-기계,공구상각후"}</definedName>
    <definedName name="순위">#REF!</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hidden="1">{#N/A,#N/A,FALSE,"단축1";#N/A,#N/A,FALSE,"단축2";#N/A,#N/A,FALSE,"단축3";#N/A,#N/A,FALSE,"장축";#N/A,#N/A,FALSE,"4WD"}</definedName>
    <definedName name="승렬">#REF!</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hidden="1">{#N/A,#N/A,TRUE,"Y생산";#N/A,#N/A,TRUE,"Y판매";#N/A,#N/A,TRUE,"Y총물량";#N/A,#N/A,TRUE,"Y능력";#N/A,#N/A,TRUE,"YKD"}</definedName>
    <definedName name="시간외근무_인사" hidden="1">#REF!</definedName>
    <definedName name="시공업체">#REF!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BlankMacro1</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2" hidden="1">{#N/A,#N/A,FALSE,"UNIT";#N/A,#N/A,FALSE,"UNIT";#N/A,#N/A,FALSE,"계정"}</definedName>
    <definedName name="시설투자"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2" hidden="1">{"'Jibu9811 (3)'!$B$1:$J$433"}</definedName>
    <definedName name="신" hidden="1">{"'Jibu9811 (3)'!$B$1:$J$433"}</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BlankMacro1</definedName>
    <definedName name="신규" localSheetId="2" hidden="1">{#N/A,#N/A,FALSE,"UNIT";#N/A,#N/A,FALSE,"UNIT";#N/A,#N/A,FALSE,"계정"}</definedName>
    <definedName name="신규" hidden="1">{#N/A,#N/A,FALSE,"UNIT";#N/A,#N/A,FALSE,"UNIT";#N/A,#N/A,FALSE,"계정"}</definedName>
    <definedName name="신규가입자">#REF!</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hidden="1">{"'전일자'!$A$5:$N$17"}</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2" hidden="1">{"'Jibu9811 (3)'!$B$1:$J$433"}</definedName>
    <definedName name="신제품" hidden="1">{"'Jibu9811 (3)'!$B$1:$J$433"}</definedName>
    <definedName name="신제품세부내역" localSheetId="2" hidden="1">{"'Jibu9811 (3)'!$B$1:$J$433"}</definedName>
    <definedName name="신제품세부내역" hidden="1">{"'Jibu9811 (3)'!$B$1:$J$433"}</definedName>
    <definedName name="신준수">#REF!</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BlankMacro1</definedName>
    <definedName name="실비적용">#REF!</definedName>
    <definedName name="실습동">BlankMacro1</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2" hidden="1">{"'Jibu9811 (3)'!$B$1:$J$433"}</definedName>
    <definedName name="실적" hidden="1">{"'Jibu9811 (3)'!$B$1:$J$433"}</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2" hidden="1">{#N/A,#N/A,FALSE,"UNIT";#N/A,#N/A,FALSE,"UNIT";#N/A,#N/A,FALSE,"계정"}</definedName>
    <definedName name="실적4월" hidden="1">{#N/A,#N/A,FALSE,"UNIT";#N/A,#N/A,FALSE,"UNIT";#N/A,#N/A,FALSE,"계정"}</definedName>
    <definedName name="실적6월" localSheetId="2" hidden="1">{#N/A,#N/A,FALSE,"UNIT";#N/A,#N/A,FALSE,"UNIT";#N/A,#N/A,FALSE,"계정"}</definedName>
    <definedName name="실적6월" hidden="1">{#N/A,#N/A,FALSE,"UNIT";#N/A,#N/A,FALSE,"UNIT";#N/A,#N/A,FALSE,"계정"}</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hidden="1">{#N/A,#N/A,FALSE,"단축1";#N/A,#N/A,FALSE,"단축2";#N/A,#N/A,FALSE,"단축3";#N/A,#N/A,FALSE,"장축";#N/A,#N/A,FALSE,"4WD"}</definedName>
    <definedName name="십습동">BlankMacro1</definedName>
    <definedName name="십이월">#REF!</definedName>
    <definedName name="십이월시간외">#REF!</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2" hidden="1">{#N/A,#N/A,FALSE,"을지 (4)";#N/A,#N/A,FALSE,"을지 (5)";#N/A,#N/A,FALSE,"을지 (6)"}</definedName>
    <definedName name="ㅇADKFJDA" hidden="1">{#N/A,#N/A,FALSE,"을지 (4)";#N/A,#N/A,FALSE,"을지 (5)";#N/A,#N/A,FALSE,"을지 (6)"}</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hidden="1">{#N/A,#N/A,TRUE,"경전'96(1)";#N/A,#N/A,TRUE,"경전'96 (2)"}</definedName>
    <definedName name="ㅇㄴㅇ" hidden="1">{#N/A,#N/A,FALSE,"단축1";#N/A,#N/A,FALSE,"단축2";#N/A,#N/A,FALSE,"단축3";#N/A,#N/A,FALSE,"장축";#N/A,#N/A,FALSE,"4WD"}</definedName>
    <definedName name="ㅇㄴㅇㅇ" localSheetId="2" hidden="1">{#N/A,#N/A,FALSE,"UNIT";#N/A,#N/A,FALSE,"UNIT";#N/A,#N/A,FALSE,"계정"}</definedName>
    <definedName name="ㅇㄴㅇㅇ" hidden="1">{#N/A,#N/A,FALSE,"UNIT";#N/A,#N/A,FALSE,"UNIT";#N/A,#N/A,FALSE,"계정"}</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hidden="1">{#N/A,#N/A,FALSE,"단축1";#N/A,#N/A,FALSE,"단축2";#N/A,#N/A,FALSE,"단축3";#N/A,#N/A,FALSE,"장축";#N/A,#N/A,FALSE,"4WD"}</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BlankMacro1</definedName>
    <definedName name="ㅇㄹ" hidden="1">#REF!</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BlankMacro1</definedName>
    <definedName name="ㅇㄹ니ㅓㄷ" hidden="1">#REF!</definedName>
    <definedName name="ㅇㄹㄹ" hidden="1">#REF!</definedName>
    <definedName name="ㅇㄹㄹㄹㄴㄹ" hidden="1">{#N/A,#N/A,FALSE,"단축1";#N/A,#N/A,FALSE,"단축2";#N/A,#N/A,FALSE,"단축3";#N/A,#N/A,FALSE,"장축";#N/A,#N/A,FALSE,"4WD"}</definedName>
    <definedName name="ㅇㄹㄹㅇㅁㄴ">BlankMacro1</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2" hidden="1">{#N/A,#N/A,FALSE,"정공"}</definedName>
    <definedName name="ㅇㄹㅇㄹㅇ" hidden="1">{#N/A,#N/A,FALSE,"정공"}</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hidden="1">{#N/A,#N/A,FALSE,"토공2"}</definedName>
    <definedName name="ㅇㄹ호">#REF!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BlankMacro1</definedName>
    <definedName name="ㅇ라ㅏㅇ">BlankMacro1</definedName>
    <definedName name="ㅇ로">#N/A</definedName>
    <definedName name="ㅇㄻㄴㅇㄹ" hidden="1">#REF!</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hidden="1">{#N/A,#N/A,FALSE,"Performance Flash Report"}</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{#N/A,#N/A,FALSE,"단축1";#N/A,#N/A,FALSE,"단축2";#N/A,#N/A,FALSE,"단축3";#N/A,#N/A,FALSE,"장축";#N/A,#N/A,FALSE,"4WD"}</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BlankMacro1</definedName>
    <definedName name="ㅇㅂㅎ">BlankMacro1</definedName>
    <definedName name="ㅇㅅ거ㅛ">#N/A</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2" hidden="1">{"'Jibu9811 (3)'!$B$1:$J$433"}</definedName>
    <definedName name="ㅇㅇㄻ" hidden="1">{"'Jibu9811 (3)'!$B$1:$J$433"}</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2" hidden="1">{#N/A,#N/A,FALSE,"정공"}</definedName>
    <definedName name="ㅇㅇㅇ"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BlankMacro1</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BlankMacro1</definedName>
    <definedName name="ㅇㅈㅇㄴㅇㅈㅇ" hidden="1">#REF!</definedName>
    <definedName name="ㅇ자" localSheetId="2" hidden="1">{"'Jibu9811 (3)'!$B$1:$J$433"}</definedName>
    <definedName name="ㅇ자" hidden="1">{"'Jibu9811 (3)'!$B$1:$J$433"}</definedName>
    <definedName name="ㅇㅎ" localSheetId="2" hidden="1">{#N/A,#N/A,FALSE,"단축1";#N/A,#N/A,FALSE,"단축2";#N/A,#N/A,FALSE,"단축3";#N/A,#N/A,FALSE,"장축";#N/A,#N/A,FALSE,"4WD"}</definedName>
    <definedName name="ㅇㅎ" hidden="1">{#N/A,#N/A,FALSE,"단축1";#N/A,#N/A,FALSE,"단축2";#N/A,#N/A,FALSE,"단축3";#N/A,#N/A,FALSE,"장축";#N/A,#N/A,FALSE,"4WD"}</definedName>
    <definedName name="ㅇㅎㄷㄱ" localSheetId="2" hidden="1">{#N/A,#N/A,FALSE,"부대1"}</definedName>
    <definedName name="ㅇㅎㄷㄱ" hidden="1">{#N/A,#N/A,FALSE,"부대1"}</definedName>
    <definedName name="ㅇㅎㅁ" localSheetId="2" hidden="1">{#N/A,#N/A,FALSE,"97년 투자계획 세부내역 "}</definedName>
    <definedName name="ㅇㅎㅁ" hidden="1">{#N/A,#N/A,FALSE,"97년 투자계획 세부내역 "}</definedName>
    <definedName name="ㅇ햡">#N/A</definedName>
    <definedName name="ㅇ허호">BlankMacro1</definedName>
    <definedName name="ㅇ허ㅏㅎ">BlankMacro1</definedName>
    <definedName name="ㅇ호">#REF!</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아" localSheetId="2" hidden="1">{#N/A,#N/A,FALSE,"1.CRITERIA";#N/A,#N/A,FALSE,"2.IS";#N/A,#N/A,FALSE,"3.BS";#N/A,#N/A,FALSE,"4.PER PL";#N/A,#N/A,FALSE,"5.INVESTMENT";#N/A,#N/A,FALSE,"6.공문";#N/A,#N/A,FALSE,"7.netinvest"}</definedName>
    <definedName name="아" hidden="1">{#N/A,#N/A,FALSE,"1.CRITERIA";#N/A,#N/A,FALSE,"2.IS";#N/A,#N/A,FALSE,"3.BS";#N/A,#N/A,FALSE,"4.PER PL";#N/A,#N/A,FALSE,"5.INVESTMENT";#N/A,#N/A,FALSE,"6.공문";#N/A,#N/A,FALSE,"7.netinvest"}</definedName>
    <definedName name="아2" localSheetId="2" hidden="1">{"'Jibu9811 (3)'!$B$1:$J$433"}</definedName>
    <definedName name="아2" hidden="1">{"'Jibu9811 (3)'!$B$1:$J$433"}</definedName>
    <definedName name="아나나" hidden="1">{#N/A,#N/A,FALSE,"정공"}</definedName>
    <definedName name="아나마오" hidden="1">{#N/A,#N/A,FALSE,"정공"}</definedName>
    <definedName name="아논" localSheetId="2" hidden="1">{#N/A,#N/A,FALSE,"채권채무";#N/A,#N/A,FALSE,"control sheet"}</definedName>
    <definedName name="아논" hidden="1">{#N/A,#N/A,FALSE,"채권채무";#N/A,#N/A,FALSE,"control sheet"}</definedName>
    <definedName name="아늘믿">BlankMacro1</definedName>
    <definedName name="아니" localSheetId="2" hidden="1">{#N/A,#N/A,FALSE,"BS";#N/A,#N/A,FALSE,"PL";#N/A,#N/A,FALSE,"처분";#N/A,#N/A,FALSE,"현금";#N/A,#N/A,FALSE,"매출";#N/A,#N/A,FALSE,"원가";#N/A,#N/A,FALSE,"경영"}</definedName>
    <definedName name="아니" hidden="1">{#N/A,#N/A,FALSE,"BS";#N/A,#N/A,FALSE,"PL";#N/A,#N/A,FALSE,"처분";#N/A,#N/A,FALSE,"현금";#N/A,#N/A,FALSE,"매출";#N/A,#N/A,FALSE,"원가";#N/A,#N/A,FALSE,"경영"}</definedName>
    <definedName name="아니1" hidden="1">{#N/A,#N/A,FALSE,"단축1";#N/A,#N/A,FALSE,"단축2";#N/A,#N/A,FALSE,"단축3";#N/A,#N/A,FALSE,"장축";#N/A,#N/A,FALSE,"4WD"}</definedName>
    <definedName name="아니면말고" localSheetId="2" hidden="1">{#N/A,#N/A,FALSE,"정공"}</definedName>
    <definedName name="아니면말고" hidden="1">{#N/A,#N/A,FALSE,"정공"}</definedName>
    <definedName name="아니오" localSheetId="2" hidden="1">{#N/A,#N/A,FALSE,"정공"}</definedName>
    <definedName name="아니오" hidden="1">{#N/A,#N/A,FALSE,"정공"}</definedName>
    <definedName name="아니오1" hidden="1">{"'Price List '!$A$1:$R$156"}</definedName>
    <definedName name="아님">#REF!</definedName>
    <definedName name="아닙니다" hidden="1">{#N/A,#N/A,FALSE,"정공"}</definedName>
    <definedName name="아다">BlankMacro1</definedName>
    <definedName name="아디">BlankMacro1</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2" hidden="1">{"'매출이익'!$A$24:$K$45"}</definedName>
    <definedName name="아러ㅏ" hidden="1">{"'매출이익'!$A$24:$K$45"}</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2" hidden="1">{#N/A,#N/A,FALSE,"97년 투자계획 세부내역 "}</definedName>
    <definedName name="아마도" hidden="1">{#N/A,#N/A,FALSE,"97년 투자계획 세부내역 "}</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BlankMacro1</definedName>
    <definedName name="아스콘기층">#REF!</definedName>
    <definedName name="아스콘표층">#REF!</definedName>
    <definedName name="아아" localSheetId="2"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2" hidden="1">{#N/A,#N/A,FALSE,"정공"}</definedName>
    <definedName name="아아아" hidden="1">{#N/A,#N/A,FALSE,"정공"}</definedName>
    <definedName name="아아ㅏ" localSheetId="2" hidden="1">{#N/A,#N/A,FALSE,"기안지";#N/A,#N/A,FALSE,"통신지"}</definedName>
    <definedName name="아아ㅏ" hidden="1">{#N/A,#N/A,FALSE,"기안지";#N/A,#N/A,FALSE,"통신지"}</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2" hidden="1">{#N/A,#N/A,FALSE,"정공"}</definedName>
    <definedName name="아이" hidden="1">{#N/A,#N/A,FALSE,"정공"}</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BlankMacro1</definedName>
    <definedName name="아혀뱌">BlankMacro1</definedName>
    <definedName name="아ㅏ">BlankMacro1</definedName>
    <definedName name="아ㅏㅂ">BlankMacro1</definedName>
    <definedName name="아ㅏㅇ">#REF!</definedName>
    <definedName name="아ㅏ아아아아아" localSheetId="2" hidden="1">{#N/A,#N/A,FALSE,"UNIT";#N/A,#N/A,FALSE,"UNIT";#N/A,#N/A,FALSE,"계정"}</definedName>
    <definedName name="아ㅏ아아아아아" hidden="1">{#N/A,#N/A,FALSE,"UNIT";#N/A,#N/A,FALSE,"UNIT";#N/A,#N/A,FALSE,"계정"}</definedName>
    <definedName name="아ㅏㅏㄷ" localSheetId="2" hidden="1">{#N/A,#N/A,FALSE,"기안지";#N/A,#N/A,FALSE,"통신지"}</definedName>
    <definedName name="아ㅏㅏㄷ" hidden="1">{#N/A,#N/A,FALSE,"기안지";#N/A,#N/A,FALSE,"통신지"}</definedName>
    <definedName name="아ㅓ" localSheetId="2" hidden="1">{#N/A,#N/A,FALSE,"기안지";#N/A,#N/A,FALSE,"통신지"}</definedName>
    <definedName name="아ㅓ" hidden="1">{#N/A,#N/A,FALSE,"기안지";#N/A,#N/A,FALSE,"통신지"}</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2" hidden="1">{#N/A,#N/A,FALSE,"기안지";#N/A,#N/A,FALSE,"통신지"}</definedName>
    <definedName name="아ㅓㅁㅂ" hidden="1">{#N/A,#N/A,FALSE,"기안지";#N/A,#N/A,FALSE,"통신지"}</definedName>
    <definedName name="아ㅓㅂ">BlankMacro1</definedName>
    <definedName name="아ㅓㅎ">BlankMacro1</definedName>
    <definedName name="아ㅓㅎ어호">BlankMacro1</definedName>
    <definedName name="아ㅓ호">BlankMacro1</definedName>
    <definedName name="아ㅓㅏㅓ" hidden="1">{#N/A,#N/A,FALSE,"단축1";#N/A,#N/A,FALSE,"단축2";#N/A,#N/A,FALSE,"단축3";#N/A,#N/A,FALSE,"장축";#N/A,#N/A,FALSE,"4WD"}</definedName>
    <definedName name="아ㅓㅑㅂ">BlankMacro1</definedName>
    <definedName name="아ㅕㅂ">BlankMacro1</definedName>
    <definedName name="안" hidden="1">#REF!</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hidden="1">Country_Summary</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hidden="1">{#N/A,#N/A,FALSE,"단축1";#N/A,#N/A,FALSE,"단축2";#N/A,#N/A,FALSE,"단축3";#N/A,#N/A,FALSE,"장축";#N/A,#N/A,FALSE,"4WD"}</definedName>
    <definedName name="알파">#REF!</definedName>
    <definedName name="알파Ⅰ" hidden="1">{#N/A,#N/A,FALSE,"단축1";#N/A,#N/A,FALSE,"단축2";#N/A,#N/A,FALSE,"단축3";#N/A,#N/A,FALSE,"장축";#N/A,#N/A,FALSE,"4WD"}</definedName>
    <definedName name="앗서" localSheetId="2" hidden="1">{#N/A,#N/A,FALSE,"정공"}</definedName>
    <definedName name="앗서" hidden="1">{#N/A,#N/A,FALSE,"정공"}</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BlankMacro1</definedName>
    <definedName name="액슬" hidden="1">{#N/A,#N/A,FALSE,"단축1";#N/A,#N/A,FALSE,"단축2";#N/A,#N/A,FALSE,"단축3";#N/A,#N/A,FALSE,"장축";#N/A,#N/A,FALSE,"4WD"}</definedName>
    <definedName name="야" localSheetId="2" hidden="1">{#N/A,#N/A,FALSE,"UNIT";#N/A,#N/A,FALSE,"UNIT";#N/A,#N/A,FALSE,"계정"}</definedName>
    <definedName name="야" hidden="1">{#N/A,#N/A,FALSE,"UNIT";#N/A,#N/A,FALSE,"UNIT";#N/A,#N/A,FALSE,"계정"}</definedName>
    <definedName name="약도" hidden="1">{"'전일자'!$A$5:$N$17"}</definedName>
    <definedName name="약식손익" hidden="1">{#N/A,#N/A,FALSE,"정공"}</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2" hidden="1">{#N/A,#N/A,FALSE,"정공"}</definedName>
    <definedName name="약정잉자" hidden="1">{#N/A,#N/A,FALSE,"정공"}</definedName>
    <definedName name="양" localSheetId="2" hidden="1">{#N/A,#N/A,FALSE,"UNIT";#N/A,#N/A,FALSE,"UNIT";#N/A,#N/A,FALSE,"계정"}</definedName>
    <definedName name="양" hidden="1">{#N/A,#N/A,FALSE,"UNIT";#N/A,#N/A,FALSE,"UNIT";#N/A,#N/A,FALSE,"계정"}</definedName>
    <definedName name="양대호" hidden="1">{#N/A,#N/A,FALSE,"단축1";#N/A,#N/A,FALSE,"단축2";#N/A,#N/A,FALSE,"단축3";#N/A,#N/A,FALSE,"장축";#N/A,#N/A,FALSE,"4WD"}</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hidden="1">{#N/A,#N/A,FALSE,"단축1";#N/A,#N/A,FALSE,"단축2";#N/A,#N/A,FALSE,"단축3";#N/A,#N/A,FALSE,"장축";#N/A,#N/A,FALSE,"4WD"}</definedName>
    <definedName name="양식2">#REF!</definedName>
    <definedName name="양식3">#REF!</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2" hidden="1">{"'매출이익'!$A$24:$K$45"}</definedName>
    <definedName name="어" hidden="1">{"'매출이익'!$A$24:$K$45"}</definedName>
    <definedName name="어떻하지" hidden="1">#REF!</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BlankMacro1</definedName>
    <definedName name="어서">#N/A</definedName>
    <definedName name="어스앙카">#REF!</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BlankMacro1</definedName>
    <definedName name="어음" hidden="1">#REF!</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BlankMacro1</definedName>
    <definedName name="어호" localSheetId="2" hidden="1">{#N/A,#N/A,FALSE,"기안지";#N/A,#N/A,FALSE,"통신지"}</definedName>
    <definedName name="어호" hidden="1">{#N/A,#N/A,FALSE,"기안지";#N/A,#N/A,FALSE,"통신지"}</definedName>
    <definedName name="어호ㅚㅏ">BlankMacro1</definedName>
    <definedName name="어ㅑ" localSheetId="2" hidden="1">{#N/A,#N/A,FALSE,"기안지";#N/A,#N/A,FALSE,"통신지"}</definedName>
    <definedName name="어ㅑ" hidden="1">{#N/A,#N/A,FALSE,"기안지";#N/A,#N/A,FALSE,"통신지"}</definedName>
    <definedName name="어ㅑㄷ">BlankMacro1</definedName>
    <definedName name="어ㅑㅑㄷ">BlankMacro1</definedName>
    <definedName name="어ㅑㅑㅑㅑㅁㅂ">BlankMacro1</definedName>
    <definedName name="어ㅓ">BlankMacro1</definedName>
    <definedName name="어ㅓㅏㅇ">BlankMacro1</definedName>
    <definedName name="억">#REF!</definedName>
    <definedName name="언" hidden="1">{#N/A,#N/A,FALSE,"단축1";#N/A,#N/A,FALSE,"단축2";#N/A,#N/A,FALSE,"단축3";#N/A,#N/A,FALSE,"장축";#N/A,#N/A,FALSE,"4WD"}</definedName>
    <definedName name="얼">#REF!</definedName>
    <definedName name="엄" hidden="1">{#N/A,#N/A,TRUE,"경전'96(1)";#N/A,#N/A,TRUE,"경전'96 (2)"}</definedName>
    <definedName name="업_________태">#REF!</definedName>
    <definedName name="업무">#REF!</definedName>
    <definedName name="업무2">#REF!</definedName>
    <definedName name="업무보고">#REF!</definedName>
    <definedName name="업무보고용" hidden="1">{#N/A,#N/A,FALSE,"정공"}</definedName>
    <definedName name="업체" hidden="1">{#N/A,#N/A,FALSE,"단축1";#N/A,#N/A,FALSE,"단축2";#N/A,#N/A,FALSE,"단축3";#N/A,#N/A,FALSE,"장축";#N/A,#N/A,FALSE,"4WD"}</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BlankMacro1</definedName>
    <definedName name="엏" localSheetId="2" hidden="1">{#N/A,#N/A,FALSE,"기안지";#N/A,#N/A,FALSE,"통신지"}</definedName>
    <definedName name="엏" hidden="1">{#N/A,#N/A,FALSE,"기안지";#N/A,#N/A,FALSE,"통신지"}</definedName>
    <definedName name="엏걉">BlankMacro1</definedName>
    <definedName name="에어벤트" hidden="1">{#N/A,#N/A,FALSE,"단축1";#N/A,#N/A,FALSE,"단축2";#N/A,#N/A,FALSE,"단축3";#N/A,#N/A,FALSE,"장축";#N/A,#N/A,FALSE,"4WD"}</definedName>
    <definedName name="에이" hidden="1">{#N/A,#N/A,TRUE,"Y생산";#N/A,#N/A,TRUE,"Y판매";#N/A,#N/A,TRUE,"Y총물량";#N/A,#N/A,TRUE,"Y능력";#N/A,#N/A,TRUE,"YKD"}</definedName>
    <definedName name="에쿠스" hidden="1">{#N/A,#N/A,FALSE,"견적대비-2"}</definedName>
    <definedName name="엔진"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hidden="1">{#N/A,#N/A,TRUE,"경전'96(1)";#N/A,#N/A,TRUE,"경전'96 (2)"}</definedName>
    <definedName name="연구개발" hidden="1">{#N/A,#N/A,TRUE,"경전'96(1)";#N/A,#N/A,TRUE,"경전'96 (2)"}</definedName>
    <definedName name="연구소" hidden="1">{#N/A,#N/A,TRUE,"경전'96(1)";#N/A,#N/A,TRUE,"경전'96 (2)"}</definedName>
    <definedName name="연구소1" hidden="1">{#N/A,#N/A,TRUE,"경전'96(1)";#N/A,#N/A,TRUE,"경전'96 (2)"}</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hidden="1">{#N/A,#N/A,FALSE,"단축1";#N/A,#N/A,FALSE,"단축2";#N/A,#N/A,FALSE,"단축3";#N/A,#N/A,FALSE,"장축";#N/A,#N/A,FALSE,"4WD"}</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2" hidden="1">{#N/A,#N/A,FALSE,"정공"}</definedName>
    <definedName name="연주얀" hidden="1">{#N/A,#N/A,FALSE,"정공"}</definedName>
    <definedName name="연차" hidden="1">{"'전일자'!$A$5:$N$17"}</definedName>
    <definedName name="연차예" hidden="1">{"'전일자'!$A$5:$N$17"}</definedName>
    <definedName name="연차정산" hidden="1">{"'전일자'!$A$5:$N$17"}</definedName>
    <definedName name="연평균과표계">#REF!</definedName>
    <definedName name="열">#REF!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2"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hidden="1">{#N/A,#N/A,FALSE,"단축1";#N/A,#N/A,FALSE,"단축2";#N/A,#N/A,FALSE,"단축3";#N/A,#N/A,FALSE,"장축";#N/A,#N/A,FALSE,"4WD"}</definedName>
    <definedName name="영산홍">#REF!</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2" hidden="1">{#N/A,#N/A,FALSE,"P.C.B"}</definedName>
    <definedName name="영업" hidden="1">{#N/A,#N/A,FALSE,"P.C.B"}</definedName>
    <definedName name="영업1">#REF!</definedName>
    <definedName name="영업2">#REF!</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2"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2" hidden="1">{#N/A,#N/A,FALSE,"97년 투자계획 세부내역 "}</definedName>
    <definedName name="영업인건배부"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hidden="1">{#N/A,#N/A,FALSE,"지침";#N/A,#N/A,FALSE,"환경분석";#N/A,#N/A,FALSE,"Sheet16"}</definedName>
    <definedName name="영역">#REF!</definedName>
    <definedName name="영역1">#REF!</definedName>
    <definedName name="영외수">#REF!</definedName>
    <definedName name="옂ㅂ">BlankMacro1</definedName>
    <definedName name="예">#REF!</definedName>
    <definedName name="예1" hidden="1">{#N/A,#N/A,FALSE,"정공"}</definedName>
    <definedName name="예2" hidden="1">{#N/A,#N/A,FALSE,"정공"}</definedName>
    <definedName name="예3" hidden="1">{#N/A,#N/A,FALSE,"정공"}</definedName>
    <definedName name="預り保証金" localSheetId="2" hidden="1">{"'買掛金'!$J$6"}</definedName>
    <definedName name="預り保証金" hidden="1">{"'買掛金'!$J$6"}</definedName>
    <definedName name="예광" localSheetId="2" hidden="1">{#N/A,#N/A,FALSE,"UNIT";#N/A,#N/A,FALSE,"UNIT";#N/A,#N/A,FALSE,"계정"}</definedName>
    <definedName name="예광" hidden="1">{#N/A,#N/A,FALSE,"UNIT";#N/A,#N/A,FALSE,"UNIT";#N/A,#N/A,FALSE,"계정"}</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BlankMacro1</definedName>
    <definedName name="예산세부내역" localSheetId="2" hidden="1">{"'Jibu9811 (3)'!$B$1:$J$433"}</definedName>
    <definedName name="예산세부내역" hidden="1">{"'Jibu9811 (3)'!$B$1:$J$433"}</definedName>
    <definedName name="예산이원화포함" hidden="1">{#N/A,#N/A,FALSE,"단축1";#N/A,#N/A,FALSE,"단축2";#N/A,#N/A,FALSE,"단축3";#N/A,#N/A,FALSE,"장축";#N/A,#N/A,FALSE,"4WD"}</definedName>
    <definedName name="예산현황">#REF!</definedName>
    <definedName name="예산현황표">#REF!</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{"'분양원가'!$B$1:$F$113"}</definedName>
    <definedName name="옛날세율89">#REF!</definedName>
    <definedName name="옛날세율91">#REF!</definedName>
    <definedName name="옛날세율93">#REF!</definedName>
    <definedName name="오" localSheetId="2" hidden="1">{#N/A,#N/A,FALSE,"UNIT";#N/A,#N/A,FALSE,"UNIT";#N/A,#N/A,FALSE,"계정"}</definedName>
    <definedName name="오" hidden="1">{#N/A,#N/A,FALSE,"UNIT";#N/A,#N/A,FALSE,"UNIT";#N/A,#N/A,FALSE,"계정"}</definedName>
    <definedName name="오." localSheetId="2" hidden="1">{#N/A,#N/A,FALSE,"UNIT";#N/A,#N/A,FALSE,"UNIT";#N/A,#N/A,FALSE,"계정"}</definedName>
    <definedName name="오." hidden="1">{#N/A,#N/A,FALSE,"UNIT";#N/A,#N/A,FALSE,"UNIT";#N/A,#N/A,FALSE,"계정"}</definedName>
    <definedName name="오.." localSheetId="2" hidden="1">{#N/A,#N/A,FALSE,"UNIT";#N/A,#N/A,FALSE,"UNIT";#N/A,#N/A,FALSE,"계정"}</definedName>
    <definedName name="오.." hidden="1">{#N/A,#N/A,FALSE,"UNIT";#N/A,#N/A,FALSE,"UNIT";#N/A,#N/A,FALSE,"계정"}</definedName>
    <definedName name="오빠" localSheetId="2" hidden="1">{"'Jibu9811 (3)'!$B$1:$J$433"}</definedName>
    <definedName name="오빠" hidden="1">{"'Jibu9811 (3)'!$B$1:$J$433"}</definedName>
    <definedName name="오서방" localSheetId="2" hidden="1">{#N/A,#N/A,FALSE,"97년 투자계획 세부내역 "}</definedName>
    <definedName name="오서방" hidden="1">{#N/A,#N/A,FALSE,"97년 투자계획 세부내역 "}</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2" hidden="1">{#N/A,#N/A,FALSE,"97년 투자계획 세부내역 "}</definedName>
    <definedName name="오세범"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2" hidden="1">{#N/A,#N/A,FALSE,"기안지";#N/A,#N/A,FALSE,"통신지"}</definedName>
    <definedName name="오수토공" hidden="1">{#N/A,#N/A,FALSE,"기안지";#N/A,#N/A,FALSE,"통신지"}</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hidden="1">{#N/A,#N/A,FALSE,"이태원철근"}</definedName>
    <definedName name="옥외대비" hidden="1">{#N/A,#N/A,FALSE,"이태원철근"}</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hidden="1">{#N/A,#N/A,TRUE,"Y생산";#N/A,#N/A,TRUE,"Y판매";#N/A,#N/A,TRUE,"Y총물량";#N/A,#N/A,TRUE,"Y능력";#N/A,#N/A,TRUE,"YKD"}</definedName>
    <definedName name="외주공과잡비">#REF!</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hidden="1">{#N/A,#N/A,FALSE,"정공"}</definedName>
    <definedName name="외화환차1" hidden="1">{#N/A,#N/A,FALSE,"정공"}</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hidden="1">{#N/A,#N/A,FALSE,"단축1";#N/A,#N/A,FALSE,"단축2";#N/A,#N/A,FALSE,"단축3";#N/A,#N/A,FALSE,"장축";#N/A,#N/A,FALSE,"4WD"}</definedName>
    <definedName name="요섟언">#N/A</definedName>
    <definedName name="요약" localSheetId="2" hidden="1">{#N/A,#N/A,FALSE,"정공"}</definedName>
    <definedName name="요약" hidden="1">{#N/A,#N/A,FALSE,"정공"}</definedName>
    <definedName name="요약." localSheetId="2" hidden="1">{"'매출이익'!$A$24:$K$45"}</definedName>
    <definedName name="요약." hidden="1">{"'매출이익'!$A$24:$K$45"}</definedName>
    <definedName name="요약1차">#REF!,#REF!</definedName>
    <definedName name="요약2차">#REF!,#REF!</definedName>
    <definedName name="요약3" localSheetId="2" hidden="1">{#N/A,#N/A,FALSE,"정공"}</definedName>
    <definedName name="요약3" hidden="1">{#N/A,#N/A,FALSE,"정공"}</definedName>
    <definedName name="요약4" localSheetId="2" hidden="1">{"'매출이익'!$A$24:$K$45"}</definedName>
    <definedName name="요약4" hidden="1">{"'매출이익'!$A$24:$K$45"}</definedName>
    <definedName name="요약5" localSheetId="2" hidden="1">{"'매출이익'!$A$24:$K$45"}</definedName>
    <definedName name="요약5" hidden="1">{"'매출이익'!$A$24:$K$45"}</definedName>
    <definedName name="요약총괄" hidden="1">{#N/A,#N/A,FALSE,"정공"}</definedName>
    <definedName name="요율">#REF!</definedName>
    <definedName name="요율인쇄">#REF!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 localSheetId="2" hidden="1">{#N/A,#N/A,FALSE,"P.C.B"}</definedName>
    <definedName name="용" hidden="1">{#N/A,#N/A,FALSE,"P.C.B"}</definedName>
    <definedName name="용도차" hidden="1">{#N/A,#N/A,FALSE,"단축1";#N/A,#N/A,FALSE,"단축2";#N/A,#N/A,FALSE,"단축3";#N/A,#N/A,FALSE,"장축";#N/A,#N/A,FALSE,"4WD"}</definedName>
    <definedName name="용수로">#REF!</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#REF!</definedName>
    <definedName name="용인">#REF!</definedName>
    <definedName name="용접">#REF!</definedName>
    <definedName name="용접공">#REF!</definedName>
    <definedName name="우" hidden="1">{#N/A,#N/A,TRUE,"경전'96(1)";#N/A,#N/A,TRUE,"경전'96 (2)"}</definedName>
    <definedName name="우라" hidden="1">{"'Sheet1'!$A$1:$D$15"}</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hidden="1">{#N/A,#N/A,FALSE,"기안지";#N/A,#N/A,FALSE,"통신지"}</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hidden="1">{#N/A,#N/A,FALSE,"단축1";#N/A,#N/A,FALSE,"단축2";#N/A,#N/A,FALSE,"단축3";#N/A,#N/A,FALSE,"장축";#N/A,#N/A,FALSE,"4WD"}</definedName>
    <definedName name="운영경비계힉">BlankMacro1</definedName>
    <definedName name="운영방안" hidden="1">{#N/A,#N/A,FALSE,"단축1";#N/A,#N/A,FALSE,"단축2";#N/A,#N/A,FALSE,"단축3";#N/A,#N/A,FALSE,"장축";#N/A,#N/A,FALSE,"4WD"}</definedName>
    <definedName name="운영비증가율">#REF!</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2" hidden="1">{#N/A,#N/A,FALSE,"1.CRITERIA";#N/A,#N/A,FALSE,"2.IS";#N/A,#N/A,FALSE,"3.BS";#N/A,#N/A,FALSE,"4.PER PL";#N/A,#N/A,FALSE,"5.INVESTMENT";#N/A,#N/A,FALSE,"6.공문";#N/A,#N/A,FALSE,"7.netinvest"}</definedName>
    <definedName name="원가" hidden="1">{#N/A,#N/A,FALSE,"1.CRITERIA";#N/A,#N/A,FALSE,"2.IS";#N/A,#N/A,FALSE,"3.BS";#N/A,#N/A,FALSE,"4.PER PL";#N/A,#N/A,FALSE,"5.INVESTMENT";#N/A,#N/A,FALSE,"6.공문";#N/A,#N/A,FALSE,"7.netinvest"}</definedName>
    <definedName name="원가개선">#REF!</definedName>
    <definedName name="원가관리라" localSheetId="2" hidden="1">{#N/A,#N/A,FALSE,"정공"}</definedName>
    <definedName name="원가관리라" hidden="1">{#N/A,#N/A,FALSE,"정공"}</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hidden="1">{#N/A,#N/A,FALSE,"이태원철근"}</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2" hidden="1">{#N/A,#N/A,FALSE,"97년 투자계획 세부내역 "}</definedName>
    <definedName name="월별매출3" hidden="1">{#N/A,#N/A,FALSE,"97년 투자계획 세부내역 "}</definedName>
    <definedName name="월별목" localSheetId="2" hidden="1">{"'Jibu9811 (3)'!$B$1:$J$433"}</definedName>
    <definedName name="월별목" hidden="1">{"'Jibu9811 (3)'!$B$1:$J$433"}</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2" hidden="1">{#N/A,#N/A,FALSE,"97년 투자계획 세부내역 "}</definedName>
    <definedName name="유" hidden="1">{#N/A,#N/A,FALSE,"97년 투자계획 세부내역 "}</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BlankMacro1</definedName>
    <definedName name="유럽별도" hidden="1">{#N/A,#N/A,FALSE,"단축1";#N/A,#N/A,FALSE,"단축2";#N/A,#N/A,FALSE,"단축3";#N/A,#N/A,FALSE,"장축";#N/A,#N/A,FALSE,"4WD"}</definedName>
    <definedName name="유산" hidden="1">#REF!</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2" hidden="1">{#N/A,#N/A,FALSE,"97년 투자계획 세부내역 "}</definedName>
    <definedName name="유지니"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 hidden="1">{#N/A,#N/A,FALSE,"채권채무";#N/A,#N/A,FALSE,"control sheet"}</definedName>
    <definedName name="유형자산." hidden="1">{#N/A,#N/A,FALSE,"채권채무";#N/A,#N/A,FALSE,"control sheet"}</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2" hidden="1">{#N/A,#N/A,FALSE,"매출이익"}</definedName>
    <definedName name="유화처분" hidden="1">{#N/A,#N/A,FALSE,"매출이익"}</definedName>
    <definedName name="유효" localSheetId="2" hidden="1">{#N/A,#N/A,FALSE,"초중조사서식 "}</definedName>
    <definedName name="유효" hidden="1">{#N/A,#N/A,FALSE,"초중조사서식 "}</definedName>
    <definedName name="유휴율95">#REF!</definedName>
    <definedName name="유휴율96">#REF!</definedName>
    <definedName name="유휴율97">#REF!</definedName>
    <definedName name="윤소원" localSheetId="2" hidden="1">{"'Jibu9811 (3)'!$B$1:$J$433"}</definedName>
    <definedName name="윤소원" hidden="1">{"'Jibu9811 (3)'!$B$1:$J$433"}</definedName>
    <definedName name="윤정문" hidden="1">#REF!</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hidden="1">{#N/A,#N/A,TRUE,"경전'96(1)";#N/A,#N/A,TRUE,"경전'96 (2)"}</definedName>
    <definedName name="의정부">#REF!</definedName>
    <definedName name="이" localSheetId="2" hidden="1">{#N/A,#N/A,FALSE,"BS";#N/A,#N/A,FALSE,"PL";#N/A,#N/A,FALSE,"처분";#N/A,#N/A,FALSE,"현금";#N/A,#N/A,FALSE,"매출";#N/A,#N/A,FALSE,"원가";#N/A,#N/A,FALSE,"경영"}</definedName>
    <definedName name="이" hidden="1">{#N/A,#N/A,FALSE,"BS";#N/A,#N/A,FALSE,"PL";#N/A,#N/A,FALSE,"처분";#N/A,#N/A,FALSE,"현금";#N/A,#N/A,FALSE,"매출";#N/A,#N/A,FALSE,"원가";#N/A,#N/A,FALSE,"경영"}</definedName>
    <definedName name="이건형"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hidden="1">{#N/A,#N/A,FALSE,"단축1";#N/A,#N/A,FALSE,"단축2";#N/A,#N/A,FALSE,"단축3";#N/A,#N/A,FALSE,"장축";#N/A,#N/A,FALSE,"4WD"}</definedName>
    <definedName name="이근" hidden="1">{#N/A,#N/A,FALSE,"단축1";#N/A,#N/A,FALSE,"단축2";#N/A,#N/A,FALSE,"단축3";#N/A,#N/A,FALSE,"장축";#N/A,#N/A,FALSE,"4WD"}</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동" localSheetId="2" hidden="1">{#N/A,#N/A,FALSE,"을지 (4)";#N/A,#N/A,FALSE,"을지 (5)";#N/A,#N/A,FALSE,"을지 (6)"}</definedName>
    <definedName name="이동" hidden="1">{#N/A,#N/A,FALSE,"을지 (4)";#N/A,#N/A,FALSE,"을지 (5)";#N/A,#N/A,FALSE,"을지 (6)"}</definedName>
    <definedName name="이란" hidden="1">{#N/A,#N/A,FALSE,"단축1";#N/A,#N/A,FALSE,"단축2";#N/A,#N/A,FALSE,"단축3";#N/A,#N/A,FALSE,"장축";#N/A,#N/A,FALSE,"4WD"}</definedName>
    <definedName name="이런" localSheetId="2" hidden="1">{"'보고양식'!$A$58:$K$111"}</definedName>
    <definedName name="이런" hidden="1">{"'보고양식'!$A$58:$K$111"}</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hidden="1">{#N/A,#N/A,FALSE,"단축1";#N/A,#N/A,FALSE,"단축2";#N/A,#N/A,FALSE,"단축3";#N/A,#N/A,FALSE,"장축";#N/A,#N/A,FALSE,"4WD"}</definedName>
    <definedName name="이설공사_광양07호_시설진행중">BLCH</definedName>
    <definedName name="이성일" localSheetId="2" hidden="1">{"'5국공정'!$A$1:$E$128"}</definedName>
    <definedName name="이성일" hidden="1">{"'5국공정'!$A$1:$E$128"}</definedName>
    <definedName name="이소" hidden="1">#REF!</definedName>
    <definedName name="이소영" hidden="1">#REF!</definedName>
    <definedName name="이슈" localSheetId="2" hidden="1">{#N/A,#N/A,TRUE,"일정"}</definedName>
    <definedName name="이슈" hidden="1">{#N/A,#N/A,TRUE,"일정"}</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BlankMacro1</definedName>
    <definedName name="이윤">#REF!</definedName>
    <definedName name="이윤율">#REF!</definedName>
    <definedName name="이율">#REF!</definedName>
    <definedName name="이이" localSheetId="2" hidden="1">{#N/A,#N/A,TRUE,"Y생산";#N/A,#N/A,TRUE,"Y판매";#N/A,#N/A,TRUE,"Y총물량";#N/A,#N/A,TRUE,"Y능력";#N/A,#N/A,TRUE,"YKD"}</definedName>
    <definedName name="이이" hidden="1">{#N/A,#N/A,TRUE,"Y생산";#N/A,#N/A,TRUE,"Y판매";#N/A,#N/A,TRUE,"Y총물량";#N/A,#N/A,TRUE,"Y능력";#N/A,#N/A,TRUE,"YKD"}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hidden="1">{#N/A,#N/A,FALSE,"Sheet1"}</definedName>
    <definedName name="인공">#REF!</definedName>
    <definedName name="인니" localSheetId="2" hidden="1">{#N/A,#N/A,FALSE,"UNIT";#N/A,#N/A,FALSE,"UNIT";#N/A,#N/A,FALSE,"계정"}</definedName>
    <definedName name="인니" hidden="1">{#N/A,#N/A,FALSE,"UNIT";#N/A,#N/A,FALSE,"UNIT";#N/A,#N/A,FALSE,"계정"}</definedName>
    <definedName name="인당평균사원수" hidden="1">{#N/A,#N/A,TRUE,"경전'96(1)";#N/A,#N/A,TRUE,"경전'96 (2)"}</definedName>
    <definedName name="인당평균인원" hidden="1">{#N/A,#N/A,TRUE,"경전'96(1)";#N/A,#N/A,TRUE,"경전'96 (2)"}</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hidden="1">{#N/A,#N/A,FALSE,"단축1";#N/A,#N/A,FALSE,"단축2";#N/A,#N/A,FALSE,"단축3";#N/A,#N/A,FALSE,"장축";#N/A,#N/A,FALSE,"4WD"}</definedName>
    <definedName name="인상익">BlankMacro1</definedName>
    <definedName name="인쇄BU" hidden="1">{#N/A,#N/A,FALSE,"지침";#N/A,#N/A,FALSE,"환경분석";#N/A,#N/A,FALSE,"Sheet16"}</definedName>
    <definedName name="인쇄영역">#REF!,#REF!,#REF!</definedName>
    <definedName name="인우너" hidden="1">{#N/A,#N/A,TRUE,"경전'96(1)";#N/A,#N/A,TRUE,"경전'96 (2)"}</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hidden="1">{"'BSC(2001)'!$A$27:$G$32"}</definedName>
    <definedName name="인원충원사유" localSheetId="2" hidden="1">{#N/A,#N/A,FALSE,"계약직(여)"}</definedName>
    <definedName name="인원충원사유" hidden="1">{#N/A,#N/A,FALSE,"계약직(여)"}</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hidden="1">#REF!</definedName>
    <definedName name="일반1" hidden="1">#REF!</definedName>
    <definedName name="一般管理" localSheetId="2" hidden="1">{"'買掛金'!$J$6"}</definedName>
    <definedName name="一般管理" hidden="1">{"'買掛金'!$J$6"}</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BlankMacro1</definedName>
    <definedName name="일용직">#REF!</definedName>
    <definedName name="일위" hidden="1">#REF!</definedName>
    <definedName name="일위단가">#REF!</definedName>
    <definedName name="일위대가표">#REF!</definedName>
    <definedName name="일이ㅏㄹ" hidden="1">{#N/A,#N/A,FALSE,"단축1";#N/A,#N/A,FALSE,"단축2";#N/A,#N/A,FALSE,"단축3";#N/A,#N/A,FALSE,"장축";#N/A,#N/A,FALSE,"4WD"}</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hidden="1">{#N/A,#N/A,FALSE,"단축1";#N/A,#N/A,FALSE,"단축2";#N/A,#N/A,FALSE,"단축3";#N/A,#N/A,FALSE,"장축";#N/A,#N/A,FALSE,"4WD"}</definedName>
    <definedName name="일정3" hidden="1">{#N/A,#N/A,FALSE,"단축1";#N/A,#N/A,FALSE,"단축2";#N/A,#N/A,FALSE,"단축3";#N/A,#N/A,FALSE,"장축";#N/A,#N/A,FALSE,"4WD"}</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2" hidden="1">{#N/A,#N/A,FALSE,"정공"}</definedName>
    <definedName name="임동원" hidden="1">{#N/A,#N/A,FALSE,"정공"}</definedName>
    <definedName name="임병길" hidden="1">{#N/A,#N/A,FALSE,"단축1";#N/A,#N/A,FALSE,"단축2";#N/A,#N/A,FALSE,"단축3";#N/A,#N/A,FALSE,"장축";#N/A,#N/A,FALSE,"4WD"}</definedName>
    <definedName name="임시">BLCH</definedName>
    <definedName name="임시2" hidden="1">{#N/A,#N/A,FALSE,"단축1";#N/A,#N/A,FALSE,"단축2";#N/A,#N/A,FALSE,"단축3";#N/A,#N/A,FALSE,"장축";#N/A,#N/A,FALSE,"4WD"}</definedName>
    <definedName name="임직">#REF!</definedName>
    <definedName name="임차2">{"'분양원가'!$B$1:$F$113"}</definedName>
    <definedName name="임차보증금">#REF!</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hidden="1">{"'용역비'!$A$4:$C$8"}</definedName>
    <definedName name="ㅈㄷㄱㄷㄱ호ㅗ" localSheetId="2" hidden="1">{"'Jibu9811 (3)'!$B$1:$J$433"}</definedName>
    <definedName name="ㅈㄷㄱㄷㄱ호ㅗ" hidden="1">{"'Jibu9811 (3)'!$B$1:$J$433"}</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hidden="1">{#N/A,#N/A,FALSE,"Sheet6"}</definedName>
    <definedName name="ㅈㄷㄴ" hidden="1">{#N/A,#N/A,FALSE,"단축1";#N/A,#N/A,FALSE,"단축2";#N/A,#N/A,FALSE,"단축3";#N/A,#N/A,FALSE,"장축";#N/A,#N/A,FALSE,"4WD"}</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BlankMacro1</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2"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 hidden="1">{#N/A,#N/A,TRUE,"Y생산";#N/A,#N/A,TRUE,"Y판매";#N/A,#N/A,TRUE,"Y총물량";#N/A,#N/A,TRUE,"Y능력";#N/A,#N/A,TRUE,"YKD"}</definedName>
    <definedName name="ㅈㅈㅈㅈㅈ">BlankMacro1</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hidden="1">{#N/A,#N/A,TRUE,"경전'96(1)";#N/A,#N/A,TRUE,"경전'96 (2)"}</definedName>
    <definedName name="자" localSheetId="2" hidden="1">{#N/A,#N/A,FALSE,"UNIT";#N/A,#N/A,FALSE,"UNIT";#N/A,#N/A,FALSE,"계정"}</definedName>
    <definedName name="자" hidden="1">{#N/A,#N/A,FALSE,"UNIT";#N/A,#N/A,FALSE,"UNIT";#N/A,#N/A,FALSE,"계정"}</definedName>
    <definedName name="자." localSheetId="2" hidden="1">{#N/A,#N/A,FALSE,"UNIT";#N/A,#N/A,FALSE,"UNIT";#N/A,#N/A,FALSE,"계정"}</definedName>
    <definedName name="자."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BlankMacro1</definedName>
    <definedName name="자동화" localSheetId="2" hidden="1">{#N/A,#N/A,FALSE,"UNIT";#N/A,#N/A,FALSE,"UNIT";#N/A,#N/A,FALSE,"계정"}</definedName>
    <definedName name="자동화" hidden="1">{#N/A,#N/A,FALSE,"UNIT";#N/A,#N/A,FALSE,"UNIT";#N/A,#N/A,FALSE,"계정"}</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2" hidden="1">{#N/A,#N/A,FALSE,"BS";#N/A,#N/A,FALSE,"PL";#N/A,#N/A,FALSE,"A";#N/A,#N/A,FALSE,"B";#N/A,#N/A,FALSE,"B1";#N/A,#N/A,FALSE,"C";#N/A,#N/A,FALSE,"C1";#N/A,#N/A,FALSE,"C2";#N/A,#N/A,FALSE,"D";#N/A,#N/A,FALSE,"E";#N/A,#N/A,FALSE,"F";#N/A,#N/A,FALSE,"AA";#N/A,#N/A,FALSE,"BB";#N/A,#N/A,FALSE,"CC";#N/A,#N/A,FALSE,"DD";#N/A,#N/A,FALSE,"EE";#N/A,#N/A,FALSE,"FF";#N/A,#N/A,FALSE,"PL10";#N/A,#N/A,FALSE,"PL20";#N/A,#N/A,FALSE,"PL30"}</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hidden="1">{#N/A,#N/A,FALSE,"UNIT";#N/A,#N/A,FALSE,"UNIT";#N/A,#N/A,FALSE,"계정"}</definedName>
    <definedName name="자이자">#REF!</definedName>
    <definedName name="자인원">#REF!</definedName>
    <definedName name="자잦" hidden="1">{#N/A,#N/A,FALSE,"단축1";#N/A,#N/A,FALSE,"단축2";#N/A,#N/A,FALSE,"단축3";#N/A,#N/A,FALSE,"장축";#N/A,#N/A,FALSE,"4WD"}</definedName>
    <definedName name="자재">#REF!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BlankMacro1</definedName>
    <definedName name="자재현황비교">#REF!</definedName>
    <definedName name="자진" hidden="1">#REF!</definedName>
    <definedName name="자챧">BlankMacro1</definedName>
    <definedName name="자챰">BlankMacro1</definedName>
    <definedName name="자판간접">#REF!</definedName>
    <definedName name="자회사" hidden="1">#REF!</definedName>
    <definedName name="작성자">#REF!</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2" hidden="1">{#N/A,#N/A,FALSE,"정공"}</definedName>
    <definedName name="잔다르크" hidden="1">{#N/A,#N/A,FALSE,"정공"}</definedName>
    <definedName name="잔디_평떼">#REF!</definedName>
    <definedName name="잔액">#REF!</definedName>
    <definedName name="잔양" localSheetId="2" hidden="1">{#N/A,#N/A,FALSE,"P.C.B"}</definedName>
    <definedName name="잔양" hidden="1">{#N/A,#N/A,FALSE,"P.C.B"}</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2" hidden="1">{"'買掛金'!$J$6"}</definedName>
    <definedName name="雑費" hidden="1">{"'買掛金'!$J$6"}</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2" hidden="1">{#N/A,#N/A,FALSE,"UNIT";#N/A,#N/A,FALSE,"UNIT";#N/A,#N/A,FALSE,"계정"}</definedName>
    <definedName name="장VP" hidden="1">{#N/A,#N/A,FALSE,"UNIT";#N/A,#N/A,FALSE,"UNIT";#N/A,#N/A,FALSE,"계정"}</definedName>
    <definedName name="장구" hidden="1">{#N/A,#N/A,FALSE,"Sheet6"}</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2" hidden="1">{#N/A,#N/A,FALSE,"UNIT";#N/A,#N/A,FALSE,"UNIT";#N/A,#N/A,FALSE,"계정"}</definedName>
    <definedName name="장기미수금" hidden="1">{#N/A,#N/A,FALSE,"UNIT";#N/A,#N/A,FALSE,"UNIT";#N/A,#N/A,FALSE,"계정"}</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hidden="1">{#N/A,#N/A,FALSE,"단축1";#N/A,#N/A,FALSE,"단축2";#N/A,#N/A,FALSE,"단축3";#N/A,#N/A,FALSE,"장축";#N/A,#N/A,FALSE,"4WD"}</definedName>
    <definedName name="재" localSheetId="2" hidden="1">{#N/A,#N/A,FALSE,"UNIT";#N/A,#N/A,FALSE,"UNIT";#N/A,#N/A,FALSE,"계정"}</definedName>
    <definedName name="재" hidden="1">{#N/A,#N/A,FALSE,"UNIT";#N/A,#N/A,FALSE,"UNIT";#N/A,#N/A,FALSE,"계정"}</definedName>
    <definedName name="재가ㅗㄹ" localSheetId="2" hidden="1">{#N/A,#N/A,FALSE,"배수1"}</definedName>
    <definedName name="재가ㅗㄹ" hidden="1">{#N/A,#N/A,FALSE,"배수1"}</definedName>
    <definedName name="재경" localSheetId="2" hidden="1">{#N/A,#N/A,FALSE,"UNIT";#N/A,#N/A,FALSE,"UNIT";#N/A,#N/A,FALSE,"계정"}</definedName>
    <definedName name="재경" hidden="1">{#N/A,#N/A,FALSE,"UNIT";#N/A,#N/A,FALSE,"UNIT";#N/A,#N/A,FALSE,"계정"}</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2" hidden="1">{#N/A,#N/A,FALSE,"UNIT";#N/A,#N/A,FALSE,"UNIT";#N/A,#N/A,FALSE,"계정"}</definedName>
    <definedName name="재료" hidden="1">{#N/A,#N/A,FALSE,"UNIT";#N/A,#N/A,FALSE,"UNIT";#N/A,#N/A,FALSE,"계정"}</definedName>
    <definedName name="재료비">#REF!</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2" hidden="1">{"'미착금액'!$A$4:$G$14"}</definedName>
    <definedName name="재재재" hidden="1">{"'미착금액'!$A$4:$G$14"}</definedName>
    <definedName name="재쟏" localSheetId="2" hidden="1">{#N/A,#N/A,FALSE,"배수2"}</definedName>
    <definedName name="재쟏" hidden="1">{#N/A,#N/A,FALSE,"배수2"}</definedName>
    <definedName name="재직노">#REF!</definedName>
    <definedName name="재ㅔㅈ하" localSheetId="2" hidden="1">{#N/A,#N/A,FALSE,"부대1"}</definedName>
    <definedName name="재ㅔㅈ하" hidden="1">{#N/A,#N/A,FALSE,"부대1"}</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2" hidden="1">{#N/A,#N/A,FALSE,"정공"}</definedName>
    <definedName name="전2" hidden="1">{#N/A,#N/A,FALSE,"정공"}</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2" hidden="1">{"FORM1",#N/A,FALSE,"Revenue";"FORMTR",#N/A,FALSE,"Revenue";"FORM3.1",#N/A,FALSE,"Revenue"}</definedName>
    <definedName name="전도" hidden="1">{"FORM1",#N/A,FALSE,"Revenue";"FORMTR",#N/A,FALSE,"Revenue";"FORM3.1",#N/A,FALSE,"Revenue"}</definedName>
    <definedName name="전도\" localSheetId="2" hidden="1">{"FORM17",#N/A,FALSE,"Commission1";"FORM17.1",#N/A,FALSE,"Commission2"}</definedName>
    <definedName name="전도\"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2" hidden="1">{#N/A,#N/A,FALSE,"정공"}</definedName>
    <definedName name="전략" hidden="1">{#N/A,#N/A,FALSE,"정공"}</definedName>
    <definedName name="전략2" localSheetId="2" hidden="1">{#N/A,#N/A,FALSE,"정공"}</definedName>
    <definedName name="전략2" hidden="1">{#N/A,#N/A,FALSE,"정공"}</definedName>
    <definedName name="전략투" localSheetId="2" hidden="1">{#N/A,#N/A,FALSE,"정공"}</definedName>
    <definedName name="전략투" hidden="1">{#N/A,#N/A,FALSE,"정공"}</definedName>
    <definedName name="전부" hidden="1">{#N/A,#N/A,FALSE,"단축1";#N/A,#N/A,FALSE,"단축2";#N/A,#N/A,FALSE,"단축3";#N/A,#N/A,FALSE,"장축";#N/A,#N/A,FALSE,"4WD"}</definedName>
    <definedName name="전사" hidden="1">#REF!</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2" hidden="1">{#N/A,#N/A,FALSE,"97년 투자계획 세부내역 "}</definedName>
    <definedName name="전용원"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2" hidden="1">{"'Jibu9811 (3)'!$B$1:$J$433"}</definedName>
    <definedName name="전주" hidden="1">{"'Jibu9811 (3)'!$B$1:$J$433"}</definedName>
    <definedName name="전주2" localSheetId="2" hidden="1">{"'Jibu9811 (3)'!$B$1:$J$433"}</definedName>
    <definedName name="전주2" hidden="1">{"'Jibu9811 (3)'!$B$1:$J$433"}</definedName>
    <definedName name="전직사유">#REF!</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hidden="1">{#N/A,#N/A,FALSE,"단축1";#N/A,#N/A,FALSE,"단축2";#N/A,#N/A,FALSE,"단축3";#N/A,#N/A,FALSE,"장축";#N/A,#N/A,FALSE,"4WD"}</definedName>
    <definedName name="전화">#REF!</definedName>
    <definedName name="전화가입권" localSheetId="2" hidden="1">{#N/A,#N/A,FALSE,"정공"}</definedName>
    <definedName name="전화가입권" hidden="1">{#N/A,#N/A,FALSE,"정공"}</definedName>
    <definedName name="절" hidden="1">#REF!</definedName>
    <definedName name="절감">#REF!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반기계획對실적" hidden="1">{#N/A,#N/A,FALSE,"정공"}</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2" hidden="1">{#N/A,#N/A,FALSE,"UNIT";#N/A,#N/A,FALSE,"UNIT";#N/A,#N/A,FALSE,"계정"}</definedName>
    <definedName name="정문"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2" hidden="1">{"'Jibu9811 (3)'!$B$1:$J$433"}</definedName>
    <definedName name="정종" hidden="1">{"'Jibu9811 (3)'!$B$1:$J$433"}</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hidden="1">{#N/A,#N/A,TRUE,"경전'96(1)";#N/A,#N/A,TRUE,"경전'96 (2)"}</definedName>
    <definedName name="젖" hidden="1">{#N/A,#N/A,FALSE,"단축1";#N/A,#N/A,FALSE,"단축2";#N/A,#N/A,FALSE,"단축3";#N/A,#N/A,FALSE,"장축";#N/A,#N/A,FALSE,"4WD"}</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hidden="1">{#N/A,#N/A,FALSE,"단축1";#N/A,#N/A,FALSE,"단축2";#N/A,#N/A,FALSE,"단축3";#N/A,#N/A,FALSE,"장축";#N/A,#N/A,FALSE,"4WD"}</definedName>
    <definedName name="제잡비">#REF!</definedName>
    <definedName name="제조" localSheetId="2" hidden="1">{#N/A,#N/A,FALSE,"UNIT";#N/A,#N/A,FALSE,"UNIT";#N/A,#N/A,FALSE,"계정"}</definedName>
    <definedName name="제조" hidden="1">{#N/A,#N/A,FALSE,"UNIT";#N/A,#N/A,FALSE,"UNIT";#N/A,#N/A,FALSE,"계정"}</definedName>
    <definedName name="제조경비">#REF!</definedName>
    <definedName name="제조발" localSheetId="2" hidden="1">{"'매출이익'!$A$24:$K$45"}</definedName>
    <definedName name="제조발" hidden="1">{"'매출이익'!$A$24:$K$45"}</definedName>
    <definedName name="제조발생전" localSheetId="2" hidden="1">{"'매출이익'!$A$24:$K$45"}</definedName>
    <definedName name="제조발생전"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2" hidden="1">{#N/A,#N/A,FALSE,"정공"}</definedName>
    <definedName name="제조원가명세서" hidden="1">{#N/A,#N/A,FALSE,"정공"}</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2" hidden="1">{#N/A,#N/A,FALSE,"9612"}</definedName>
    <definedName name="제품" hidden="1">{#N/A,#N/A,FALSE,"9612"}</definedName>
    <definedName name="제품개발계획">BlankMacro1</definedName>
    <definedName name="제품구성" localSheetId="2" hidden="1">{"'Jibu9811 (3)'!$B$1:$J$433"}</definedName>
    <definedName name="제품구성" hidden="1">{"'Jibu9811 (3)'!$B$1:$J$433"}</definedName>
    <definedName name="제품명">#REF!</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hidden="1">{#N/A,#N/A,FALSE,"예상손익";#N/A,#N/A,FALSE,"관리분석";#N/A,#N/A,FALSE,"장비분석";#N/A,#N/A,FALSE,"준설분석";#N/A,#N/A,FALSE,"철구분석"}</definedName>
    <definedName name="조광원" localSheetId="2" hidden="1">{#N/A,#N/A,FALSE,"UNIT";#N/A,#N/A,FALSE,"UNIT";#N/A,#N/A,FALSE,"계정"}</definedName>
    <definedName name="조광원" hidden="1">{#N/A,#N/A,FALSE,"UNIT";#N/A,#N/A,FALSE,"UNIT";#N/A,#N/A,FALSE,"계정"}</definedName>
    <definedName name="조달수수료">#REF!</definedName>
    <definedName name="조동"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2" hidden="1">{#N/A,#N/A,FALSE,"정공"}</definedName>
    <definedName name="조정후손익" hidden="1">{#N/A,#N/A,FALSE,"정공"}</definedName>
    <definedName name="조직" hidden="1">#REF!</definedName>
    <definedName name="조직1" localSheetId="2" hidden="1">{#N/A,#N/A,FALSE,"정공"}</definedName>
    <definedName name="조직1" hidden="1">{#N/A,#N/A,FALSE,"정공"}</definedName>
    <definedName name="조직3" localSheetId="2" hidden="1">{#N/A,#N/A,FALSE,"정공"}</definedName>
    <definedName name="조직3" hidden="1">{#N/A,#N/A,FALSE,"정공"}</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hidden="1">{#N/A,#N/A,FALSE,"단축1";#N/A,#N/A,FALSE,"단축2";#N/A,#N/A,FALSE,"단축3";#N/A,#N/A,FALSE,"장축";#N/A,#N/A,FALSE,"4WD"}</definedName>
    <definedName name="종합2" localSheetId="2" hidden="1">{#N/A,#N/A,FALSE,"정공"}</definedName>
    <definedName name="종합2" hidden="1">{#N/A,#N/A,FALSE,"정공"}</definedName>
    <definedName name="종합과세대상금융소득">#REF!</definedName>
    <definedName name="종합그래프" hidden="1">{#N/A,#N/A,FALSE,"단축1";#N/A,#N/A,FALSE,"단축2";#N/A,#N/A,FALSE,"단축3";#N/A,#N/A,FALSE,"장축";#N/A,#N/A,FALSE,"4WD"}</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#REF!</definedName>
    <definedName name="좋은금고">#N/A</definedName>
    <definedName name="주" localSheetId="2" hidden="1">{#N/A,#N/A,FALSE,"UNIT";#N/A,#N/A,FALSE,"UNIT";#N/A,#N/A,FALSE,"계정"}</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hidden="1">{#N/A,#N/A,TRUE,"Y생산";#N/A,#N/A,TRUE,"Y판매";#N/A,#N/A,TRUE,"Y총물량";#N/A,#N/A,TRUE,"Y능력";#N/A,#N/A,TRUE,"YKD"}</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#REF!</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hidden="1">{#N/A,#N/A,FALSE,"표지목차"}</definedName>
    <definedName name="주재원" hidden="1">#REF!</definedName>
    <definedName name="주정산2000">#REF!</definedName>
    <definedName name="주제어동인원" hidden="1">{#N/A,#N/A,FALSE,"CCTV"}</definedName>
    <definedName name="주종단체">#REF!</definedName>
    <definedName name="주차계획" localSheetId="2" hidden="1">{#N/A,#N/A,FALSE,"UNIT";#N/A,#N/A,FALSE,"UNIT";#N/A,#N/A,FALSE,"계정"}</definedName>
    <definedName name="주차계획" hidden="1">{#N/A,#N/A,FALSE,"UNIT";#N/A,#N/A,FALSE,"UNIT";#N/A,#N/A,FALSE,"계정"}</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BLCH</definedName>
    <definedName name="준공2">BLCH</definedName>
    <definedName name="준공계2">BLCH</definedName>
    <definedName name="준공일">#REF!</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hidden="1">{#N/A,#N/A,FALSE,"단축1";#N/A,#N/A,FALSE,"단축2";#N/A,#N/A,FALSE,"단축3";#N/A,#N/A,FALSE,"장축";#N/A,#N/A,FALSE,"4WD"}</definedName>
    <definedName name="중재">#REF!</definedName>
    <definedName name="중점" hidden="1">{"'BSC(2001)'!$A$27:$G$32"}</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hidden="1">{"'BSC(2001)'!$A$27:$G$32"}</definedName>
    <definedName name="중점추진" localSheetId="2" hidden="1">{#N/A,#N/A,TRUE,"일정"}</definedName>
    <definedName name="중점추진" hidden="1">{#N/A,#N/A,TRUE,"일정"}</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hidden="1">{#N/A,#N/A,FALSE,"정공"}</definedName>
    <definedName name="지급율">#REF!</definedName>
    <definedName name="지급자재비">#REF!</definedName>
    <definedName name="지급조건">#REF!</definedName>
    <definedName name="지도" localSheetId="2" hidden="1">{"'Jibu9811 (3)'!$B$1:$J$433"}</definedName>
    <definedName name="지도" hidden="1">{"'Jibu9811 (3)'!$B$1:$J$433"}</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2" hidden="1">{"'Jibu9811 (3)'!$B$1:$J$433"}</definedName>
    <definedName name="지부실적" hidden="1">{"'Jibu9811 (3)'!$B$1:$J$433"}</definedName>
    <definedName name="지부와실적" localSheetId="2" hidden="1">{"'Jibu9811 (3)'!$B$1:$J$433"}</definedName>
    <definedName name="지부와실적" hidden="1">{"'Jibu9811 (3)'!$B$1:$J$433"}</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2" hidden="1">{"'買掛金'!$J$6"}</definedName>
    <definedName name="支払"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2" hidden="1">{"'Jibu9811 (3)'!$B$1:$J$433"}</definedName>
    <definedName name="지점제시기준" hidden="1">{"'Jibu9811 (3)'!$B$1:$J$433"}</definedName>
    <definedName name="지주">#N/A</definedName>
    <definedName name="지지">#REF!</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hidden="1">{#N/A,#N/A,FALSE,"Sheet1"}</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hidden="1">{#N/A,#N/A,FALSE,"CCTV"}</definedName>
    <definedName name="직접재료비">#REF!</definedName>
    <definedName name="직종">#REF!</definedName>
    <definedName name="진" localSheetId="2" hidden="1">{"'Jibu9811 (3)'!$B$1:$J$433"}</definedName>
    <definedName name="진" hidden="1">{"'Jibu9811 (3)'!$B$1:$J$433"}</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2" hidden="1">{"'Jibu9811 (3)'!$B$1:$J$433"}</definedName>
    <definedName name="진자" hidden="1">{"'Jibu9811 (3)'!$B$1:$J$433"}</definedName>
    <definedName name="진주">#REF!</definedName>
    <definedName name="진짜" localSheetId="2" hidden="1">{"'Jibu9811 (3)'!$B$1:$J$433"}</definedName>
    <definedName name="진짜" hidden="1">{"'Jibu9811 (3)'!$B$1:$J$433"}</definedName>
    <definedName name="진짜살림">#REF!</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BlankMacro1</definedName>
    <definedName name="ㅊㅂㄷ" localSheetId="2" hidden="1">{#N/A,#N/A,FALSE,"기안지";#N/A,#N/A,FALSE,"통신지"}</definedName>
    <definedName name="ㅊㅂㄷ" hidden="1">{#N/A,#N/A,FALSE,"기안지";#N/A,#N/A,FALSE,"통신지"}</definedName>
    <definedName name="ㅊㅇ" localSheetId="2" hidden="1">{#N/A,#N/A,FALSE,"기안지";#N/A,#N/A,FALSE,"통신지"}</definedName>
    <definedName name="ㅊㅇ" hidden="1">{#N/A,#N/A,FALSE,"기안지";#N/A,#N/A,FALSE,"통신지"}</definedName>
    <definedName name="ㅊ어ㅑㅐ">BlankMacro1</definedName>
    <definedName name="ㅊㅊ">BlankMacro1</definedName>
    <definedName name="ㅊㅊㅊ" hidden="1">{#N/A,#N/A,FALSE,"단축1";#N/A,#N/A,FALSE,"단축2";#N/A,#N/A,FALSE,"단축3";#N/A,#N/A,FALSE,"장축";#N/A,#N/A,FALSE,"4WD"}</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BlankMacro1</definedName>
    <definedName name="ㅊ퍄">BlankMacro1</definedName>
    <definedName name="ㅊ폴" hidden="1">{#N/A,#N/A,FALSE,"Sheet6"}</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2" hidden="1">{#N/A,#N/A,FALSE,"UNIT";#N/A,#N/A,FALSE,"UNIT";#N/A,#N/A,FALSE,"계정"}</definedName>
    <definedName name="차." hidden="1">{#N/A,#N/A,FALSE,"UNIT";#N/A,#N/A,FALSE,"UNIT";#N/A,#N/A,FALSE,"계정"}</definedName>
    <definedName name="차댜">BlankMacro1</definedName>
    <definedName name="차댬ㅎ">BlankMacro1</definedName>
    <definedName name="차댱" localSheetId="2" hidden="1">{#N/A,#N/A,FALSE,"기안지";#N/A,#N/A,FALSE,"통신지"}</definedName>
    <definedName name="차댱" hidden="1">{#N/A,#N/A,FALSE,"기안지";#N/A,#N/A,FALSE,"통신지"}</definedName>
    <definedName name="차량" localSheetId="2" hidden="1">{#N/A,#N/A,FALSE,"UNIT";#N/A,#N/A,FALSE,"UNIT";#N/A,#N/A,FALSE,"계정"}</definedName>
    <definedName name="차량"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BlankMacro1</definedName>
    <definedName name="차이조">#REF!</definedName>
    <definedName name="차이조정분" hidden="1">{"'Sheet1'!$A$1:$D$15"}</definedName>
    <definedName name="차이조회">#REF!</definedName>
    <definedName name="차입" hidden="1">{#N/A,#N/A,FALSE,"Sheet1"}</definedName>
    <definedName name="차입금">#REF!</definedName>
    <definedName name="차입금리">#REF!</definedName>
    <definedName name="差入保証金" localSheetId="2" hidden="1">{"'買掛金'!$J$6"}</definedName>
    <definedName name="差入保証金" hidden="1">{"'買掛金'!$J$6"}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hidden="1">{#N/A,#N/A,FALSE,"단축1";#N/A,#N/A,FALSE,"단축2";#N/A,#N/A,FALSE,"단축3";#N/A,#N/A,FALSE,"장축";#N/A,#N/A,FALSE,"4WD"}</definedName>
    <definedName name="차트" localSheetId="2" hidden="1">{#N/A,#N/A,FALSE,"정공"}</definedName>
    <definedName name="차트" hidden="1">{#N/A,#N/A,FALSE,"정공"}</definedName>
    <definedName name="차ㅏ">BlankMacro1</definedName>
    <definedName name="차ㅏㄷ">BlankMacro1</definedName>
    <definedName name="차ㅏㅇ">BlankMacro1</definedName>
    <definedName name="차ㅏ아">BlankMacro1</definedName>
    <definedName name="차ㅏㅈ" localSheetId="2" hidden="1">{#N/A,#N/A,FALSE,"기안지";#N/A,#N/A,FALSE,"통신지"}</definedName>
    <definedName name="차ㅏㅈ" hidden="1">{#N/A,#N/A,FALSE,"기안지";#N/A,#N/A,FALSE,"통신지"}</definedName>
    <definedName name="차ㅏㅊ" localSheetId="2" hidden="1">{#N/A,#N/A,FALSE,"기안지";#N/A,#N/A,FALSE,"통신지"}</definedName>
    <definedName name="차ㅏㅊ" hidden="1">{#N/A,#N/A,FALSE,"기안지";#N/A,#N/A,FALSE,"통신지"}</definedName>
    <definedName name="차ㅏㅏㅏㅏㅕ다ㅣ">BlankMacro1</definedName>
    <definedName name="차ㅏㅓ허" localSheetId="2" hidden="1">{#N/A,#N/A,FALSE,"기안지";#N/A,#N/A,FALSE,"통신지"}</definedName>
    <definedName name="차ㅏㅓ허" hidden="1">{#N/A,#N/A,FALSE,"기안지";#N/A,#N/A,FALSE,"통신지"}</definedName>
    <definedName name="차ㅓㅇ">BlankMacro1</definedName>
    <definedName name="차ㅓㅎ">BlankMacro1</definedName>
    <definedName name="차ㅓㅓ">BlankMacro1</definedName>
    <definedName name="차ㅕ도호">BlankMacro1</definedName>
    <definedName name="착공월">#REF!</definedName>
    <definedName name="착공일">#REF!</definedName>
    <definedName name="착정">#N/A</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hidden="1">{#N/A,#N/A,FALSE,"단축1";#N/A,#N/A,FALSE,"단축2";#N/A,#N/A,FALSE,"단축3";#N/A,#N/A,FALSE,"장축";#N/A,#N/A,FALSE,"4WD"}</definedName>
    <definedName name="참고2" hidden="1">#REF!</definedName>
    <definedName name="참고자료" hidden="1">{#VALUE!,#N/A,FALSE,0;#N/A,#N/A,FALSE,0;#N/A,#N/A,FALSE,0;#N/A,#N/A,FALSE,0}</definedName>
    <definedName name="창고">#REF!</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2" hidden="1">{"'매출이익'!$A$24:$K$45"}</definedName>
    <definedName name="채무" hidden="1">{"'매출이익'!$A$24:$K$45"}</definedName>
    <definedName name="채무내역" localSheetId="2" hidden="1">{"'매출이익'!$A$24:$K$45"}</definedName>
    <definedName name="채무내역" hidden="1">{"'매출이익'!$A$24:$K$45"}</definedName>
    <definedName name="채ㅏ더ㅓㅓㅎ">BlankMacro1</definedName>
    <definedName name="책">BlankMacro1</definedName>
    <definedName name="챠">BlankMacro1</definedName>
    <definedName name="챠다">BlankMacro1</definedName>
    <definedName name="챠더히햐">BlankMacro1</definedName>
    <definedName name="챠뎌" localSheetId="2" hidden="1">{#N/A,#N/A,FALSE,"기안지";#N/A,#N/A,FALSE,"통신지"}</definedName>
    <definedName name="챠뎌" hidden="1">{#N/A,#N/A,FALSE,"기안지";#N/A,#N/A,FALSE,"통신지"}</definedName>
    <definedName name="챠디">BlankMacro1</definedName>
    <definedName name="챠어">BlankMacro1</definedName>
    <definedName name="챠ㅏㅏ어">BlankMacro1</definedName>
    <definedName name="챠ㅐㅏㅣㅣㅇ">BlankMacro1</definedName>
    <definedName name="챧">BlankMacro1</definedName>
    <definedName name="챧ㅁ">BlankMacro1</definedName>
    <definedName name="챰ㅂ">BlankMacro1</definedName>
    <definedName name="챶당">BlankMacro1</definedName>
    <definedName name="처" localSheetId="2" hidden="1">{#N/A,#N/A,FALSE,"기안지";#N/A,#N/A,FALSE,"통신지"}</definedName>
    <definedName name="처" hidden="1">{#N/A,#N/A,FALSE,"기안지";#N/A,#N/A,FALSE,"통신지"}</definedName>
    <definedName name="처댜">BlankMacro1</definedName>
    <definedName name="처댜차ㅏㅓㅇ">BlankMacro1</definedName>
    <definedName name="처뱌">BlankMacro1</definedName>
    <definedName name="처아아" localSheetId="2" hidden="1">{#N/A,#N/A,FALSE,"기안지";#N/A,#N/A,FALSE,"통신지"}</definedName>
    <definedName name="처아아" hidden="1">{#N/A,#N/A,FALSE,"기안지";#N/A,#N/A,FALSE,"통신지"}</definedName>
    <definedName name="처어ㅓ">BlankMacro1</definedName>
    <definedName name="처장신규" localSheetId="2" hidden="1">{"'Jibu9811 (3)'!$B$1:$J$433"}</definedName>
    <definedName name="처장신규" hidden="1">{"'Jibu9811 (3)'!$B$1:$J$433"}</definedName>
    <definedName name="처허아">BlankMacro1</definedName>
    <definedName name="처허ㅏㅣ">BlankMacro1</definedName>
    <definedName name="처허ㅓㅇ">BlankMacro1</definedName>
    <definedName name="처호">BlankMacro1</definedName>
    <definedName name="처회">BlankMacro1</definedName>
    <definedName name="처ㅏㄷ">BlankMacro1</definedName>
    <definedName name="처ㅏㅇ">BlankMacro1</definedName>
    <definedName name="처ㅏ허">BlankMacro1</definedName>
    <definedName name="처ㅏㅏㅇ">BlankMacro1</definedName>
    <definedName name="처ㅏㅏㅏㅇ">BlankMacro1</definedName>
    <definedName name="처ㅏㅐㄷㄱ" localSheetId="2" hidden="1">{#N/A,#N/A,FALSE,"기안지";#N/A,#N/A,FALSE,"통신지"}</definedName>
    <definedName name="처ㅏㅐㄷㄱ" hidden="1">{#N/A,#N/A,FALSE,"기안지";#N/A,#N/A,FALSE,"통신지"}</definedName>
    <definedName name="처ㅑ">BlankMacro1</definedName>
    <definedName name="처ㅑㄷㄱ" localSheetId="2" hidden="1">{#N/A,#N/A,FALSE,"기안지";#N/A,#N/A,FALSE,"통신지"}</definedName>
    <definedName name="처ㅑㄷㄱ" hidden="1">{#N/A,#N/A,FALSE,"기안지";#N/A,#N/A,FALSE,"통신지"}</definedName>
    <definedName name="처ㅑ다">BlankMacro1</definedName>
    <definedName name="처ㅑ디">BlankMacro1</definedName>
    <definedName name="처ㅑㅂ">BlankMacro1</definedName>
    <definedName name="처ㅓ" localSheetId="2" hidden="1">{#N/A,#N/A,FALSE,"기안지";#N/A,#N/A,FALSE,"통신지"}</definedName>
    <definedName name="처ㅓ" hidden="1">{#N/A,#N/A,FALSE,"기안지";#N/A,#N/A,FALSE,"통신지"}</definedName>
    <definedName name="처ㅓㄹ">BlankMacro1</definedName>
    <definedName name="처ㅓㅇ">BlankMacro1</definedName>
    <definedName name="처ㅓㅇ아">BlankMacro1</definedName>
    <definedName name="처ㅓㅎ">BlankMacro1</definedName>
    <definedName name="처ㅓ하">BlankMacro1</definedName>
    <definedName name="처ㅓ허ㅓㅇ">BlankMacro1</definedName>
    <definedName name="처ㅓㅓㅇ" localSheetId="2" hidden="1">{#N/A,#N/A,FALSE,"기안지";#N/A,#N/A,FALSE,"통신지"}</definedName>
    <definedName name="처ㅓㅓㅇ" hidden="1">{#N/A,#N/A,FALSE,"기안지";#N/A,#N/A,FALSE,"통신지"}</definedName>
    <definedName name="처ㅓㅓㅑㄷ">BlankMacro1</definedName>
    <definedName name="천">#REF!</definedName>
    <definedName name="천안">#REF!</definedName>
    <definedName name="천천천">BlankMacro1</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2" hidden="1">{"'Jibu9811 (3)'!$B$1:$J$433"}</definedName>
    <definedName name="철호" hidden="1">{"'Jibu9811 (3)'!$B$1:$J$433"}</definedName>
    <definedName name="첨" hidden="1">{#N/A,#N/A,FALSE,"단축1";#N/A,#N/A,FALSE,"단축2";#N/A,#N/A,FALSE,"단축3";#N/A,#N/A,FALSE,"장축";#N/A,#N/A,FALSE,"4WD"}</definedName>
    <definedName name="첨부." hidden="1">#REF!</definedName>
    <definedName name="첨부101" hidden="1">{#N/A,#N/A,FALSE,"단축1";#N/A,#N/A,FALSE,"단축2";#N/A,#N/A,FALSE,"단축3";#N/A,#N/A,FALSE,"장축";#N/A,#N/A,FALSE,"4WD"}</definedName>
    <definedName name="첨부11">BlankMacro1</definedName>
    <definedName name="첩모">BlankMacro1</definedName>
    <definedName name="첫장" hidden="1">{#N/A,#N/A,TRUE,"총괄"}</definedName>
    <definedName name="첫장1" hidden="1">{"'용역비'!$A$4:$C$8"}</definedName>
    <definedName name="청단풍">#REF!</definedName>
    <definedName name="청주">#REF!</definedName>
    <definedName name="청주가동률">{"Book1"}</definedName>
    <definedName name="첳">BlankMacro1</definedName>
    <definedName name="초고압" localSheetId="2" hidden="1">{#N/A,#N/A,FALSE,"UNIT";#N/A,#N/A,FALSE,"UNIT";#N/A,#N/A,FALSE,"계정"}</definedName>
    <definedName name="초고압" hidden="1">{#N/A,#N/A,FALSE,"UNIT";#N/A,#N/A,FALSE,"UNIT";#N/A,#N/A,FALSE,"계정"}</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hidden="1">{#N/A,#N/A,FALSE,"단축1";#N/A,#N/A,FALSE,"단축2";#N/A,#N/A,FALSE,"단축3";#N/A,#N/A,FALSE,"장축";#N/A,#N/A,FALSE,"4WD"}</definedName>
    <definedName name="초임금비교" localSheetId="2" hidden="1">{#N/A,#N/A,FALSE,"계약직(여)"}</definedName>
    <definedName name="초임금비교" hidden="1">{#N/A,#N/A,FALSE,"계약직(여)"}</definedName>
    <definedName name="초임급" localSheetId="2" hidden="1">{#N/A,#N/A,FALSE,"계약직(여)"}</definedName>
    <definedName name="초임급" hidden="1">{#N/A,#N/A,FALSE,"계약직(여)"}</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2" hidden="1">{#N/A,#N/A,FALSE,"운반시간"}</definedName>
    <definedName name="총공" hidden="1">{#N/A,#N/A,FALSE,"운반시간"}</definedName>
    <definedName name="총괄"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2" hidden="1">{#N/A,#N/A,FALSE,"정공"}</definedName>
    <definedName name="총괄_신세대" hidden="1">{#N/A,#N/A,FALSE,"정공"}</definedName>
    <definedName name="총괄1" localSheetId="2" hidden="1">{#N/A,#N/A,FALSE,"UNIT";#N/A,#N/A,FALSE,"UNIT";#N/A,#N/A,FALSE,"계정"}</definedName>
    <definedName name="총괄1" hidden="1">{#N/A,#N/A,FALSE,"UNIT";#N/A,#N/A,FALSE,"UNIT";#N/A,#N/A,FALSE,"계정"}</definedName>
    <definedName name="총괄내역" hidden="1">{#N/A,#N/A,TRUE,"총괄"}</definedName>
    <definedName name="총괄내역서" hidden="1">{#N/A,#N/A,TRUE,"총괄"}</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2" hidden="1">{#N/A,#N/A,FALSE,"P.C.B"}</definedName>
    <definedName name="총무" hidden="1">{#N/A,#N/A,FALSE,"P.C.B"}</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2" hidden="1">{#N/A,#N/A,FALSE,"정공"}</definedName>
    <definedName name="최영" hidden="1">{#N/A,#N/A,FALSE,"정공"}</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hidden="1">{#N/A,#N/A,TRUE,"경전'96(1)";#N/A,#N/A,TRUE,"경전'96 (2)"}</definedName>
    <definedName name="추" hidden="1">{#N/A,#N/A,FALSE,"단축1";#N/A,#N/A,FALSE,"단축2";#N/A,#N/A,FALSE,"단축3";#N/A,#N/A,FALSE,"장축";#N/A,#N/A,FALSE,"4WD"}</definedName>
    <definedName name="추가">#REF!</definedName>
    <definedName name="추계">#N/A</definedName>
    <definedName name="추계합계">#REF!</definedName>
    <definedName name="추이" hidden="1">{#VALUE!,#N/A,FALSE,0;#N/A,#N/A,FALSE,0;#N/A,#N/A,FALSE,0;#N/A,#N/A,FALSE,0}</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2" hidden="1">{#N/A,#N/A,FALSE,"정공"}</definedName>
    <definedName name="추진" hidden="1">{#N/A,#N/A,FALSE,"정공"}</definedName>
    <definedName name="추진과제" hidden="1">{#N/A,#N/A,FALSE,"단축1";#N/A,#N/A,FALSE,"단축2";#N/A,#N/A,FALSE,"단축3";#N/A,#N/A,FALSE,"장축";#N/A,#N/A,FALSE,"4WD"}</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전략" localSheetId="2" hidden="1">{#N/A,#N/A,FALSE,"정공"}</definedName>
    <definedName name="추진전략" hidden="1">{#N/A,#N/A,FALSE,"정공"}</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hidden="1">{#N/A,#N/A,FALSE,"지침";#N/A,#N/A,FALSE,"환경분석";#N/A,#N/A,FALSE,"Sheet16"}</definedName>
    <definedName name="충당금">#REF!</definedName>
    <definedName name="충당금1" hidden="1">#REF!</definedName>
    <definedName name="충당집계a">#REF!</definedName>
    <definedName name="충돌" hidden="1">{#N/A,#N/A,FALSE,"단축1";#N/A,#N/A,FALSE,"단축2";#N/A,#N/A,FALSE,"단축3";#N/A,#N/A,FALSE,"장축";#N/A,#N/A,FALSE,"4WD"}</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BLCH</definedName>
    <definedName name="츄" hidden="1">{#N/A,#N/A,FALSE,"Sheet1"}</definedName>
    <definedName name="측구">#REF!</definedName>
    <definedName name="측량">#REF!</definedName>
    <definedName name="측정함">#N/A</definedName>
    <definedName name="츧갸허">BlankMacro1</definedName>
    <definedName name="치" localSheetId="2" hidden="1">{#N/A,#N/A,FALSE,"97년 투자계획 세부내역 "}</definedName>
    <definedName name="치" hidden="1">{#N/A,#N/A,FALSE,"97년 투자계획 세부내역 "}</definedName>
    <definedName name="치버ㅑ">BlankMacro1</definedName>
    <definedName name="치장벽돌공">#REF!</definedName>
    <definedName name="치ㅑㄷ">BlankMacro1</definedName>
    <definedName name="칭">BlankMacro1</definedName>
    <definedName name="ㅋ" localSheetId="2" hidden="1">{#N/A,#N/A,FALSE,"UNIT";#N/A,#N/A,FALSE,"UNIT";#N/A,#N/A,FALSE,"계정"}</definedName>
    <definedName name="ㅋ" hidden="1">{#N/A,#N/A,FALSE,"UNIT";#N/A,#N/A,FALSE,"UNIT";#N/A,#N/A,FALSE,"계정"}</definedName>
    <definedName name="ㅋㄴ" hidden="1">{#N/A,#N/A,FALSE,"단축1";#N/A,#N/A,FALSE,"단축2";#N/A,#N/A,FALSE,"단축3";#N/A,#N/A,FALSE,"장축";#N/A,#N/A,FALSE,"4WD"}</definedName>
    <definedName name="ㅋㄷㅎㄷㅎㅁ" hidden="1">{#N/A,#N/A,TRUE,"경전'96(1)";#N/A,#N/A,TRUE,"경전'96 (2)"}</definedName>
    <definedName name="ㅋ돔ㄷ롬ㄷ" hidden="1">{#N/A,#N/A,TRUE,"경전'96(1)";#N/A,#N/A,TRUE,"경전'96 (2)"}</definedName>
    <definedName name="ㅋㅇ로" hidden="1">{#N/A,#N/A,TRUE,"경전'96(1)";#N/A,#N/A,TRUE,"경전'96 (2)"}</definedName>
    <definedName name="ㅋㅇㅎㅇㅎ" hidden="1">{#N/A,#N/A,TRUE,"경전'96(1)";#N/A,#N/A,TRUE,"경전'96 (2)"}</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2" hidden="1">{"'Jibu9811 (3)'!$B$1:$J$433"}</definedName>
    <definedName name="ㅋㅋㅋ" hidden="1">{"'Jibu9811 (3)'!$B$1:$J$433"}</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hidden="1">{#N/A,#N/A,FALSE,"단축1";#N/A,#N/A,FALSE,"단축2";#N/A,#N/A,FALSE,"단축3";#N/A,#N/A,FALSE,"장축";#N/A,#N/A,FALSE,"4WD"}</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hidden="1">{#N/A,#N/A,FALSE,"단축1";#N/A,#N/A,FALSE,"단축2";#N/A,#N/A,FALSE,"단축3";#N/A,#N/A,FALSE,"장축";#N/A,#N/A,FALSE,"4WD"}</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hidden="1">{#N/A,#N/A,TRUE,"경전'96(1)";#N/A,#N/A,TRUE,"경전'96 (2)"}</definedName>
    <definedName name="콤프">#N/A</definedName>
    <definedName name="큐ㅗㅅㄹ">#N/A</definedName>
    <definedName name="크"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2" hidden="1">{#N/A,#N/A,FALSE,"을지 (4)";#N/A,#N/A,FALSE,"을지 (5)";#N/A,#N/A,FALSE,"을지 (6)"}</definedName>
    <definedName name="키프코" hidden="1">{#N/A,#N/A,FALSE,"을지 (4)";#N/A,#N/A,FALSE,"을지 (5)";#N/A,#N/A,FALSE,"을지 (6)"}</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BlankMacro1</definedName>
    <definedName name="ㅌㅇ로" hidden="1">{#N/A,#N/A,FALSE,"단축1";#N/A,#N/A,FALSE,"단축2";#N/A,#N/A,FALSE,"단축3";#N/A,#N/A,FALSE,"장축";#N/A,#N/A,FALSE,"4WD"}</definedName>
    <definedName name="ㅌㅊ" hidden="1">{#N/A,#N/A,FALSE,"단축1";#N/A,#N/A,FALSE,"단축2";#N/A,#N/A,FALSE,"단축3";#N/A,#N/A,FALSE,"장축";#N/A,#N/A,FALSE,"4WD"}</definedName>
    <definedName name="ㅌㅌ" localSheetId="2" hidden="1">{"'매출이익'!$A$24:$K$45"}</definedName>
    <definedName name="ㅌㅌ" hidden="1">{"'매출이익'!$A$24:$K$45"}</definedName>
    <definedName name="ㅌㅌㅌ" localSheetId="2" hidden="1">{#N/A,#N/A,TRUE,"일정"}</definedName>
    <definedName name="ㅌㅌㅌ" hidden="1">{#N/A,#N/A,TRUE,"일정"}</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BlankMacro1</definedName>
    <definedName name="템플리트모듈1" localSheetId="2">BlankMacro1</definedName>
    <definedName name="템플리트모듈1" localSheetId="0">BlankMacro1</definedName>
    <definedName name="템플리트모듈1">BlankMacro1</definedName>
    <definedName name="템플리트모듈10">BlankMacro1</definedName>
    <definedName name="템플리트모듈2" localSheetId="2">BlankMacro1</definedName>
    <definedName name="템플리트모듈2" localSheetId="0">BlankMacro1</definedName>
    <definedName name="템플리트모듈2">BlankMacro1</definedName>
    <definedName name="템플리트모듈3" localSheetId="2">BlankMacro1</definedName>
    <definedName name="템플리트모듈3" localSheetId="0">BlankMacro1</definedName>
    <definedName name="템플리트모듈3">BlankMacro1</definedName>
    <definedName name="템플리트모듈4" localSheetId="2">BlankMacro1</definedName>
    <definedName name="템플리트모듈4" localSheetId="0">BlankMacro1</definedName>
    <definedName name="템플리트모듈4">BlankMacro1</definedName>
    <definedName name="템플리트모듈5" localSheetId="2">BlankMacro1</definedName>
    <definedName name="템플리트모듈5" localSheetId="0">BlankMacro1</definedName>
    <definedName name="템플리트모듈5">BlankMacro1</definedName>
    <definedName name="템플리트모듈6" localSheetId="2">BlankMacro1</definedName>
    <definedName name="템플리트모듈6" localSheetId="0">BlankMacro1</definedName>
    <definedName name="템플리트모듈6">BlankMacro1</definedName>
    <definedName name="토">#REF!</definedName>
    <definedName name="토건">#REF!</definedName>
    <definedName name="토공">#REF!</definedName>
    <definedName name="토공량" hidden="1">{#N/A,#N/A,FALSE,"기안지";#N/A,#N/A,FALSE,"통신지"}</definedName>
    <definedName name="토공사">#REF!</definedName>
    <definedName name="토목">#REF!</definedName>
    <definedName name="토목공사" hidden="1">{#N/A,#N/A,FALSE,"이태원철근"}</definedName>
    <definedName name="토목공사강릉" localSheetId="2" hidden="1">#REF!</definedName>
    <definedName name="토목공사강릉" hidden="1">#REF!</definedName>
    <definedName name="토목내역">#REF!</definedName>
    <definedName name="토목법규">#REF!</definedName>
    <definedName name="토목설계" localSheetId="2" hidden="1">{#N/A,#N/A,FALSE,"골재소요량";#N/A,#N/A,FALSE,"골재소요량"}</definedName>
    <definedName name="토목설계" hidden="1">{#N/A,#N/A,FALSE,"골재소요량";#N/A,#N/A,FALSE,"골재소요량"}</definedName>
    <definedName name="토목실견적" hidden="1">{#N/A,#N/A,FALSE,"이태원철근"}</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2" hidden="1">{"'Jibu9811 (3)'!$B$1:$J$433"}</definedName>
    <definedName name="통합" hidden="1">{"'Jibu9811 (3)'!$B$1:$J$433"}</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2" hidden="1">{"'매출이익'!$A$24:$K$45"}</definedName>
    <definedName name="퇴직급여" hidden="1">{"'매출이익'!$A$24:$K$45"}</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{"A","내복";"B","주사";"C","외용";"D","기타"}</definedName>
    <definedName name="투이윤">#REF!</definedName>
    <definedName name="투일반관리비">#REF!</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2" hidden="1">{#N/A,#N/A,FALSE,"UNIT";#N/A,#N/A,FALSE,"UNIT";#N/A,#N/A,FALSE,"계정"}</definedName>
    <definedName name="투자계획"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유가증권" hidden="1">{#N/A,#N/A,FALSE,"BS";#N/A,#N/A,FALSE,"PL";#N/A,#N/A,FALSE,"처분";#N/A,#N/A,FALSE,"현금";#N/A,#N/A,FALSE,"매출";#N/A,#N/A,FALSE,"원가";#N/A,#N/A,FALSE,"경영"}</definedName>
    <definedName name="투자자산">#REF!</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2" hidden="1">{#N/A,#N/A,FALSE,"UNIT";#N/A,#N/A,FALSE,"UNIT";#N/A,#N/A,FALSE,"계정"}</definedName>
    <definedName name="투자현황" hidden="1">{#N/A,#N/A,FALSE,"UNIT";#N/A,#N/A,FALSE,"UNIT";#N/A,#N/A,FALSE,"계정"}</definedName>
    <definedName name="투재료비">#REF!</definedName>
    <definedName name="투찰" hidden="1">{#N/A,#N/A,FALSE,"단가표지"}</definedName>
    <definedName name="투폐기물처리비">#REF!</definedName>
    <definedName name="튜" hidden="1">{#N/A,#N/A,FALSE,"Sheet1"}</definedName>
    <definedName name="특고">#REF!</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2" hidden="1">{#N/A,#N/A,FALSE,"UNIT";#N/A,#N/A,FALSE,"UNIT";#N/A,#N/A,FALSE,"계정"}</definedName>
    <definedName name="팀별계획" hidden="1">{#N/A,#N/A,FALSE,"UNIT";#N/A,#N/A,FALSE,"UNIT";#N/A,#N/A,FALSE,"계정"}</definedName>
    <definedName name="팀에분석" localSheetId="2" hidden="1">{"'Jibu9811 (3)'!$B$1:$J$433"}</definedName>
    <definedName name="팀에분석" hidden="1">{"'Jibu9811 (3)'!$B$1:$J$433"}</definedName>
    <definedName name="팀장" localSheetId="2" hidden="1">{"'Jibu9811 (3)'!$B$1:$J$433"}</definedName>
    <definedName name="팀장" hidden="1">{"'Jibu9811 (3)'!$B$1:$J$433"}</definedName>
    <definedName name="ㅍ" hidden="1">#REF!</definedName>
    <definedName name="ㅍ77">#REF!</definedName>
    <definedName name="ㅍㄱ">BlankMacro1</definedName>
    <definedName name="ㅍㄹ">BlankMacro1</definedName>
    <definedName name="ㅍㄹㄷㅁㅁ" hidden="1">#REF!</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BlankMacro1</definedName>
    <definedName name="ㅍㅍ" hidden="1">#REF!</definedName>
    <definedName name="ㅍㅍㅍ" hidden="1">{#N/A,#N/A,FALSE,"단축1";#N/A,#N/A,FALSE,"단축2";#N/A,#N/A,FALSE,"단축3";#N/A,#N/A,FALSE,"장축";#N/A,#N/A,FALSE,"4WD"}</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BlankMacro1</definedName>
    <definedName name="ㅍㅎㄴㄷㅇㅎㄽㄴㄷㅎ" localSheetId="2" hidden="1">{"'Jibu9811 (3)'!$B$1:$J$433"}</definedName>
    <definedName name="ㅍㅎㄴㄷㅇㅎㄽㄴㄷㅎ" hidden="1">{"'Jibu9811 (3)'!$B$1:$J$433"}</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2" hidden="1">{#N/A,#N/A,FALSE,"UNIT";#N/A,#N/A,FALSE,"UNIT";#N/A,#N/A,FALSE,"계정"}</definedName>
    <definedName name="파과" hidden="1">{#N/A,#N/A,FALSE,"UNIT";#N/A,#N/A,FALSE,"UNIT";#N/A,#N/A,FALSE,"계정"}</definedName>
    <definedName name="파생" hidden="1">{#N/A,#N/A,FALSE,"Sheet1"}</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2" hidden="1">{#N/A,#N/A,FALSE,"포장1";#N/A,#N/A,FALSE,"포장1"}</definedName>
    <definedName name="파해가호" hidden="1">{#N/A,#N/A,FALSE,"포장1";#N/A,#N/A,FALSE,"포장1"}</definedName>
    <definedName name="파ㅏ">BlankMacro1</definedName>
    <definedName name="파ㅑㅈ">BlankMacro1</definedName>
    <definedName name="판관" localSheetId="2" hidden="1">{#N/A,#N/A,FALSE,"UNIT";#N/A,#N/A,FALSE,"UNIT";#N/A,#N/A,FALSE,"계정"}</definedName>
    <definedName name="판관" hidden="1">{#N/A,#N/A,FALSE,"UNIT";#N/A,#N/A,FALSE,"UNIT";#N/A,#N/A,FALSE,"계정"}</definedName>
    <definedName name="판관비" localSheetId="2">{#N/A,#N/A,FALSE,"UNIT";#N/A,#N/A,FALSE,"UNIT";#N/A,#N/A,FALSE,"계정"}</definedName>
    <definedName name="판관비">{#N/A,#N/A,FALSE,"UNIT";#N/A,#N/A,FALSE,"UNIT";#N/A,#N/A,FALSE,"계정"}</definedName>
    <definedName name="판관비TOT" hidden="1">{#N/A,#N/A,FALSE,"Aging Summary";#N/A,#N/A,FALSE,"Ratio Analysis";#N/A,#N/A,FALSE,"Test 120 Day Accts";#N/A,#N/A,FALSE,"Tickmarks"}</definedName>
    <definedName name="판관비누계" hidden="1">{#N/A,#N/A,FALSE,"Sheet1"}</definedName>
    <definedName name="판관비현황비교2" hidden="1">{#N/A,#N/A,FALSE,"Sheet1"}</definedName>
    <definedName name="판교사업" hidden="1">#REF!</definedName>
    <definedName name="판도라상자" localSheetId="2" hidden="1">{#N/A,#N/A,FALSE,"정공"}</definedName>
    <definedName name="판도라상자" hidden="1">{#N/A,#N/A,FALSE,"정공"}</definedName>
    <definedName name="판매목표2" hidden="1">{#N/A,#N/A,FALSE,"단축1";#N/A,#N/A,FALSE,"단축2";#N/A,#N/A,FALSE,"단축3";#N/A,#N/A,FALSE,"장축";#N/A,#N/A,FALSE,"4WD"}</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BlankMacro1</definedName>
    <definedName name="퍼아">BlankMacro1</definedName>
    <definedName name="퍼ㅏㄹ">BlankMacro1</definedName>
    <definedName name="퍼ㅏㅂ" localSheetId="2" hidden="1">{#N/A,#N/A,FALSE,"기안지";#N/A,#N/A,FALSE,"통신지"}</definedName>
    <definedName name="퍼ㅏㅂ" hidden="1">{#N/A,#N/A,FALSE,"기안지";#N/A,#N/A,FALSE,"통신지"}</definedName>
    <definedName name="퍼ㅓㄷ갸">BlankMacro1</definedName>
    <definedName name="퍼ㅓㅇ" localSheetId="2" hidden="1">{#N/A,#N/A,FALSE,"기안지";#N/A,#N/A,FALSE,"통신지"}</definedName>
    <definedName name="퍼ㅓㅇ" hidden="1">{#N/A,#N/A,FALSE,"기안지";#N/A,#N/A,FALSE,"통신지"}</definedName>
    <definedName name="퍼ㅓㅇ아">BlankMacro1</definedName>
    <definedName name="퍼ㅓ아">BlankMacro1</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hidden="1">{#N/A,#N/A,FALSE,"표지목차"}</definedName>
    <definedName name="포장2월ocf" hidden="1">{#N/A,#N/A,FALSE,"지침";#N/A,#N/A,FALSE,"환경분석";#N/A,#N/A,FALSE,"Sheet16"}</definedName>
    <definedName name="포장ocf" hidden="1">{#N/A,#N/A,FALSE,"지침";#N/A,#N/A,FALSE,"환경분석";#N/A,#N/A,FALSE,"Sheet16"}</definedName>
    <definedName name="포장공">#REF!</definedName>
    <definedName name="포장공1">BlankMacro1</definedName>
    <definedName name="폭래">BlankMacro1</definedName>
    <definedName name="표">#REF!</definedName>
    <definedName name="표_2" localSheetId="2" hidden="1">{#N/A,#N/A,FALSE,"P.C.B"}</definedName>
    <definedName name="표_2"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hidden="1">{#N/A,#N/A,FALSE,"단축1";#N/A,#N/A,FALSE,"단축2";#N/A,#N/A,FALSE,"단축3";#N/A,#N/A,FALSE,"장축";#N/A,#N/A,FALSE,"4WD"}</definedName>
    <definedName name="표층t">#REF!</definedName>
    <definedName name="표표">#REF!</definedName>
    <definedName name="표표표" localSheetId="2" hidden="1">{#N/A,#N/A,FALSE,"P.C.B"}</definedName>
    <definedName name="표표표" hidden="1">{#N/A,#N/A,FALSE,"P.C.B"}</definedName>
    <definedName name="푸" hidden="1">{#N/A,#N/A,FALSE,"단축1";#N/A,#N/A,FALSE,"단축2";#N/A,#N/A,FALSE,"단축3";#N/A,#N/A,FALSE,"장축";#N/A,#N/A,FALSE,"4WD"}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BlankMacro1</definedName>
    <definedName name="품의">#REF!</definedName>
    <definedName name="품의서">#REF!</definedName>
    <definedName name="품질" hidden="1">{#N/A,#N/A,FALSE,"단축1";#N/A,#N/A,FALSE,"단축2";#N/A,#N/A,FALSE,"단축3";#N/A,#N/A,FALSE,"장축";#N/A,#N/A,FALSE,"4WD"}</definedName>
    <definedName name="품질개선" hidden="1">#REF!</definedName>
    <definedName name="품질현황">#REF!,#REF!</definedName>
    <definedName name="품확1" hidden="1">{#N/A,#N/A,FALSE,"단축1";#N/A,#N/A,FALSE,"단축2";#N/A,#N/A,FALSE,"단축3";#N/A,#N/A,FALSE,"장축";#N/A,#N/A,FALSE,"4WD"}</definedName>
    <definedName name="풍납동" hidden="1">#REF!</definedName>
    <definedName name="풍납동아파트" hidden="1">#REF!</definedName>
    <definedName name="퓾ㄴ" localSheetId="2" hidden="1">{#N/A,#N/A,FALSE,"기안지";#N/A,#N/A,FALSE,"통신지"}</definedName>
    <definedName name="퓾ㄴ" hidden="1">{#N/A,#N/A,FALSE,"기안지";#N/A,#N/A,FALSE,"통신지"}</definedName>
    <definedName name="프라임코팅">#REF!</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hidden="1">{#N/A,#N/A,FALSE,"이태원철근"}</definedName>
    <definedName name="피로티1" hidden="1">{#N/A,#N/A,FALSE,"이태원철근"}</definedName>
    <definedName name="피비씨">#REF!</definedName>
    <definedName name="피비씨리스트">#REF!</definedName>
    <definedName name="필터">#REF!</definedName>
    <definedName name="핌너ㅏ">BlankMacro1</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2" hidden="1">{"'Jibu9811 (3)'!$B$1:$J$433"}</definedName>
    <definedName name="ㅎ5ㄱㅎ" hidden="1">{"'Jibu9811 (3)'!$B$1:$J$433"}</definedName>
    <definedName name="ㅎㄱ">BlankMacro1</definedName>
    <definedName name="ㅎㄱㄱ" localSheetId="2" hidden="1">{"'Jibu9811 (3)'!$B$1:$J$433"}</definedName>
    <definedName name="ㅎㄱㄱ" hidden="1">{"'Jibu9811 (3)'!$B$1:$J$433"}</definedName>
    <definedName name="ㅎㄱㄱㄱ" localSheetId="2" hidden="1">{"'Jibu9811 (3)'!$B$1:$J$433"}</definedName>
    <definedName name="ㅎㄱㄱㄱ" hidden="1">{"'Jibu9811 (3)'!$B$1:$J$433"}</definedName>
    <definedName name="ㅎㄱㅂ">BlankMacro1</definedName>
    <definedName name="ㅎㄱㅂㄷ">BlankMacro1</definedName>
    <definedName name="ㅎㄱㅂㅂㅂㅂ">BlankMacro1</definedName>
    <definedName name="ㅎㄴ" localSheetId="2" hidden="1">{"'Jibu9811 (3)'!$B$1:$J$433"}</definedName>
    <definedName name="ㅎㄴ" hidden="1">{"'Jibu9811 (3)'!$B$1:$J$433"}</definedName>
    <definedName name="ㅎ노">{"'Sheet1'!$A$1:$C$75"}</definedName>
    <definedName name="ㅎㄷㄱㅎㄱ" localSheetId="2" hidden="1">{"'Jibu9811 (3)'!$B$1:$J$433"}</definedName>
    <definedName name="ㅎㄷㄱㅎㄱ" hidden="1">{"'Jibu9811 (3)'!$B$1:$J$433"}</definedName>
    <definedName name="ㅎㄷㅁㄱ" hidden="1">{#N/A,#N/A,FALSE,"단축1";#N/A,#N/A,FALSE,"단축2";#N/A,#N/A,FALSE,"단축3";#N/A,#N/A,FALSE,"장축";#N/A,#N/A,FALSE,"4WD"}</definedName>
    <definedName name="ㅎㄷ뮤">#N/A</definedName>
    <definedName name="ㅎㄹㄴ" localSheetId="2" hidden="1">{#N/A,#N/A,FALSE,"97년 투자계획 세부내역 "}</definedName>
    <definedName name="ㅎㄹㄴ" hidden="1">{#N/A,#N/A,FALSE,"97년 투자계획 세부내역 "}</definedName>
    <definedName name="ㅎ라ㅏㅊ">BlankMacro1</definedName>
    <definedName name="ㅎ랄" localSheetId="2" hidden="1">{#N/A,#N/A,FALSE,"기안지";#N/A,#N/A,FALSE,"통신지"}</definedName>
    <definedName name="ㅎ랄" hidden="1">{#N/A,#N/A,FALSE,"기안지";#N/A,#N/A,FALSE,"통신지"}</definedName>
    <definedName name="ㅎ러닢ㅎㄶㅎ" localSheetId="2" hidden="1">{"'Jibu9811 (3)'!$B$1:$J$433"}</definedName>
    <definedName name="ㅎ러닢ㅎㄶㅎ" hidden="1">{"'Jibu9811 (3)'!$B$1:$J$433"}</definedName>
    <definedName name="ㅎ러ㅗㅀ" hidden="1">{#N/A,#N/A,FALSE,"단축1";#N/A,#N/A,FALSE,"단축2";#N/A,#N/A,FALSE,"단축3";#N/A,#N/A,FALSE,"장축";#N/A,#N/A,FALSE,"4WD"}</definedName>
    <definedName name="ㅎ러ㅗㅎ로ㅓ" hidden="1">#REF!</definedName>
    <definedName name="ㅎ러ㅗㅓㅏㅇ노" hidden="1">#REF!</definedName>
    <definedName name="ㅎ로" hidden="1">{#N/A,#N/A,FALSE,"단축1";#N/A,#N/A,FALSE,"단축2";#N/A,#N/A,FALSE,"단축3";#N/A,#N/A,FALSE,"장축";#N/A,#N/A,FALSE,"4WD"}</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 localSheetId="2" hidden="1">{#N/A,#N/A,FALSE,"UNIT";#N/A,#N/A,FALSE,"UNIT";#N/A,#N/A,FALSE,"계정"}</definedName>
    <definedName name="ㅎㄽ" hidden="1">{#N/A,#N/A,FALSE,"UNIT";#N/A,#N/A,FALSE,"UNIT";#N/A,#N/A,FALSE,"계정"}</definedName>
    <definedName name="ㅎㅀ" hidden="1">{#N/A,#N/A,FALSE,"단축1";#N/A,#N/A,FALSE,"단축2";#N/A,#N/A,FALSE,"단축3";#N/A,#N/A,FALSE,"장축";#N/A,#N/A,FALSE,"4WD"}</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BlankMacro1</definedName>
    <definedName name="ㅎ바ㅑㅂ">#N/A</definedName>
    <definedName name="ㅎ뱌">BlankMacro1</definedName>
    <definedName name="ㅎㅇㄴㄻㅇㄴㄹ" localSheetId="2" hidden="1">{"'수정손익계산서'!$AT$97:$AY$174"}</definedName>
    <definedName name="ㅎㅇㄴㄻㅇㄴㄹ" hidden="1">{"'수정손익계산서'!$AT$97:$AY$174"}</definedName>
    <definedName name="ㅎㅇㄴㄻㅇㄴㄹ_1" localSheetId="2" hidden="1">{"'수정손익계산서'!$AT$97:$AY$174"}</definedName>
    <definedName name="ㅎㅇㄴㄻㅇㄴㄹ_1" hidden="1">{"'수정손익계산서'!$AT$97:$AY$174"}</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hidden="1">{#N/A,#N/A,FALSE,"Performance Flash Report"}</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BlankMacro1</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2" hidden="1">{#N/A,#N/A,FALSE,"이정표"}</definedName>
    <definedName name="ㅎ햐궇" hidden="1">{#N/A,#N/A,FALSE,"이정표"}</definedName>
    <definedName name="ㅎ헝">BlankMacro1</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hidden="1">{#N/A,#N/A,FALSE,"단축1";#N/A,#N/A,FALSE,"단축2";#N/A,#N/A,FALSE,"단축3";#N/A,#N/A,FALSE,"장축";#N/A,#N/A,FALSE,"4WD"}</definedName>
    <definedName name="하아">BlankMacro1</definedName>
    <definedName name="하아ㅏ">#N/A</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BlankMacro1</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BlankMacro1</definedName>
    <definedName name="학교" hidden="1">#REF!</definedName>
    <definedName name="학생">#REF!</definedName>
    <definedName name="한"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BlankMacro1</definedName>
    <definedName name="함석">#REF!</definedName>
    <definedName name="합">BlankMacro1</definedName>
    <definedName name="합계">#REF!</definedName>
    <definedName name="합뎌">BlankMacro1</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BlankMacro1</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BlankMacro1</definedName>
    <definedName name="해당년">#REF!</definedName>
    <definedName name="해당월">#REF!</definedName>
    <definedName name="해당화">#REF!</definedName>
    <definedName name="해외">#N/A</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BlankMacro1</definedName>
    <definedName name="핻ㄱ">BlankMacro1</definedName>
    <definedName name="행삭제">#REF!</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BlankMacro1</definedName>
    <definedName name="햡">#N/A</definedName>
    <definedName name="향수" localSheetId="2" hidden="1">{"'Jibu9811 (3)'!$B$1:$J$433"}</definedName>
    <definedName name="향수" hidden="1">{"'Jibu9811 (3)'!$B$1:$J$433"}</definedName>
    <definedName name="향후계획1"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BlankMacro1</definedName>
    <definedName name="허허" hidden="1">{#N/A,#N/A,TRUE,"Y생산";#N/A,#N/A,TRUE,"Y판매";#N/A,#N/A,TRUE,"Y총물량";#N/A,#N/A,TRUE,"Y능력";#N/A,#N/A,TRUE,"YKD"}</definedName>
    <definedName name="허ㅏㅏㅇ라">BlankMacro1</definedName>
    <definedName name="허ㅑㄷ">BlankMacro1</definedName>
    <definedName name="허ㅑㄷㄱ">BlankMacro1</definedName>
    <definedName name="허ㅑㅂ">BlankMacro1</definedName>
    <definedName name="허ㅑㅑ다허">BlankMacro1</definedName>
    <definedName name="허ㅑㅣㅣ">BlankMacro1</definedName>
    <definedName name="허ㅓ" localSheetId="2" hidden="1">{#N/A,#N/A,FALSE,"단축1";#N/A,#N/A,FALSE,"단축2";#N/A,#N/A,FALSE,"단축3";#N/A,#N/A,FALSE,"장축";#N/A,#N/A,FALSE,"4WD"}</definedName>
    <definedName name="허ㅓ" hidden="1">{#N/A,#N/A,FALSE,"단축1";#N/A,#N/A,FALSE,"단축2";#N/A,#N/A,FALSE,"단축3";#N/A,#N/A,FALSE,"장축";#N/A,#N/A,FALSE,"4WD"}</definedName>
    <definedName name="허ㅓㄷ">BlankMacro1</definedName>
    <definedName name="허ㅓㅇ">BlankMacro1</definedName>
    <definedName name="허ㅓ아">BlankMacro1</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BlankMacro1</definedName>
    <definedName name="헙댜ㅐ">#N/A</definedName>
    <definedName name="헙뱌ㅐ" localSheetId="2" hidden="1">{#N/A,#N/A,FALSE,"기안지";#N/A,#N/A,FALSE,"통신지"}</definedName>
    <definedName name="헙뱌ㅐ" hidden="1">{#N/A,#N/A,FALSE,"기안지";#N/A,#N/A,FALSE,"통신지"}</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hidden="1">{#N/A,#N/A,FALSE,"단축1";#N/A,#N/A,FALSE,"단축2";#N/A,#N/A,FALSE,"단축3";#N/A,#N/A,FALSE,"장축";#N/A,#N/A,FALSE,"4WD"}</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BlankMacro1</definedName>
    <definedName name="현황">{"A","내복";"B","주사";"C","외용";"D","기타"}</definedName>
    <definedName name="현황2" hidden="1">{#N/A,#N/A,FALSE,"단축1";#N/A,#N/A,FALSE,"단축2";#N/A,#N/A,FALSE,"단축3";#N/A,#N/A,FALSE,"장축";#N/A,#N/A,FALSE,"4WD"}</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hidden="1">{#N/A,#N/A,FALSE,"단축1";#N/A,#N/A,FALSE,"단축2";#N/A,#N/A,FALSE,"단축3";#N/A,#N/A,FALSE,"장축";#N/A,#N/A,FALSE,"4WD"}</definedName>
    <definedName name="혈액원1">#REF!</definedName>
    <definedName name="협조사항" hidden="1">{#N/A,#N/A,FALSE,"단축1";#N/A,#N/A,FALSE,"단축2";#N/A,#N/A,FALSE,"단축3";#N/A,#N/A,FALSE,"장축";#N/A,#N/A,FALSE,"4WD"}</definedName>
    <definedName name="협조전" localSheetId="2" hidden="1">{#N/A,#N/A,FALSE,"정공"}</definedName>
    <definedName name="협조전" hidden="1">{#N/A,#N/A,FALSE,"정공"}</definedName>
    <definedName name="형틀">#REF!</definedName>
    <definedName name="형틀목공">#REF!</definedName>
    <definedName name="호" localSheetId="2" hidden="1">{#N/A,#N/A,FALSE,"UNIT";#N/A,#N/A,FALSE,"UNIT";#N/A,#N/A,FALSE,"계정"}</definedName>
    <definedName name="호" hidden="1">{#N/A,#N/A,FALSE,"UNIT";#N/A,#N/A,FALSE,"UNIT";#N/A,#N/A,FALSE,"계정"}</definedName>
    <definedName name="호박">#REF!</definedName>
    <definedName name="호아ㅐ">BlankMacro1</definedName>
    <definedName name="호허">BlankMacro1</definedName>
    <definedName name="호호" hidden="1">{#N/A,#N/A,TRUE,"경전'96(1)";#N/A,#N/A,TRUE,"경전'96 (2)"}</definedName>
    <definedName name="호호호">BlankMacro1</definedName>
    <definedName name="호ㅓ" hidden="1">#REF!</definedName>
    <definedName name="호ㅓ마ㅣ">#REF!</definedName>
    <definedName name="호ㅓㅂ">BlankMacro1</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hidden="1">{#N/A,#N/A,FALSE,"단축1";#N/A,#N/A,FALSE,"단축2";#N/A,#N/A,FALSE,"단축3";#N/A,#N/A,FALSE,"장축";#N/A,#N/A,FALSE,"4WD"}</definedName>
    <definedName name="혼ㅇ로" hidden="1">#REF!</definedName>
    <definedName name="홇" hidden="1">{#N/A,#N/A,FALSE,"Sheet6"}</definedName>
    <definedName name="홈">#REF!</definedName>
    <definedName name="홉호">BlankMacro1</definedName>
    <definedName name="홋ㄱ" hidden="1">{#N/A,#N/A,FALSE,"Sheet6"}</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hidden="1">{#N/A,#N/A,FALSE,"기안지";#N/A,#N/A,FALSE,"통신지"}</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2" hidden="1">{#N/A,#N/A,FALSE,"UNIT";#N/A,#N/A,FALSE,"UNIT";#N/A,#N/A,FALSE,"계정"}</definedName>
    <definedName name="확대3" hidden="1">{#N/A,#N/A,FALSE,"UNIT";#N/A,#N/A,FALSE,"UNIT";#N/A,#N/A,FALSE,"계정"}</definedName>
    <definedName name="확인">#REF!</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2" hidden="1">{"'Jibu9811 (3)'!$B$1:$J$433"}</definedName>
    <definedName name="홧" hidden="1">{"'Jibu9811 (3)'!$B$1:$J$433"}</definedName>
    <definedName name="황" hidden="1">#REF!</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덕영">BlankMacro1</definedName>
    <definedName name="황병" hidden="1">#REF!</definedName>
    <definedName name="황병용" hidden="1">{#N/A,#N/A,FALSE,"UNIT";#N/A,#N/A,FALSE,"UNIT";#N/A,#N/A,FALSE,"계정"}</definedName>
    <definedName name="황정수" localSheetId="2" hidden="1">{"'Jibu9811 (3)'!$B$1:$J$433"}</definedName>
    <definedName name="황정수" hidden="1">{"'Jibu9811 (3)'!$B$1:$J$433"}</definedName>
    <definedName name="황정수1" localSheetId="2" hidden="1">{"'Jibu9811 (3)'!$B$1:$J$433"}</definedName>
    <definedName name="황정수1" hidden="1">{"'Jibu9811 (3)'!$B$1:$J$433"}</definedName>
    <definedName name="황정수2" localSheetId="2" hidden="1">{"'Jibu9811 (3)'!$B$1:$J$433"}</definedName>
    <definedName name="황정수2" hidden="1">{"'Jibu9811 (3)'!$B$1:$J$433"}</definedName>
    <definedName name="황정수3" localSheetId="2" hidden="1">{"'Jibu9811 (3)'!$B$1:$J$433"}</definedName>
    <definedName name="황정수3" hidden="1">{"'Jibu9811 (3)'!$B$1:$J$433"}</definedName>
    <definedName name="황정수4" localSheetId="2" hidden="1">{"'Jibu9811 (3)'!$B$1:$J$433"}</definedName>
    <definedName name="황정수4" hidden="1">{"'Jibu9811 (3)'!$B$1:$J$433"}</definedName>
    <definedName name="황정수5" localSheetId="2" hidden="1">{"'Jibu9811 (3)'!$B$1:$J$433"}</definedName>
    <definedName name="황정수5" hidden="1">{"'Jibu9811 (3)'!$B$1:$J$433"}</definedName>
    <definedName name="황정수6" localSheetId="2" hidden="1">{"'Jibu9811 (3)'!$B$1:$J$433"}</definedName>
    <definedName name="황정수6" hidden="1">{"'Jibu9811 (3)'!$B$1:$J$433"}</definedName>
    <definedName name="황정수7" localSheetId="2" hidden="1">{"'Jibu9811 (3)'!$B$1:$J$433"}</definedName>
    <definedName name="황정수7" hidden="1">{"'Jibu9811 (3)'!$B$1:$J$433"}</definedName>
    <definedName name="황정수8" localSheetId="2" hidden="1">{"'Jibu9811 (3)'!$B$1:$J$433"}</definedName>
    <definedName name="황정수8" hidden="1">{"'Jibu9811 (3)'!$B$1:$J$433"}</definedName>
    <definedName name="회" hidden="1">{#N/A,#N/A,TRUE,"경전'96(1)";#N/A,#N/A,TRUE,"경전'96 (2)"}</definedName>
    <definedName name="회계년도">#REF!</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hidden="1">{#N/A,#N/A,FALSE,"단축1";#N/A,#N/A,FALSE,"단축2";#N/A,#N/A,FALSE,"단축3";#N/A,#N/A,FALSE,"장축";#N/A,#N/A,FALSE,"4WD"}</definedName>
    <definedName name="회장님" hidden="1">{#N/A,#N/A,FALSE,"단축1";#N/A,#N/A,FALSE,"단축2";#N/A,#N/A,FALSE,"단축3";#N/A,#N/A,FALSE,"장축";#N/A,#N/A,FALSE,"4WD"}</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Dlog_Show</definedName>
    <definedName name="효자">Dlog_Show</definedName>
    <definedName name="효자건설">Dlog_Show</definedName>
    <definedName name="횩ㄷ" localSheetId="2" hidden="1">{"'Jibu9811 (3)'!$B$1:$J$433"}</definedName>
    <definedName name="횩ㄷ" hidden="1">{"'Jibu9811 (3)'!$B$1:$J$433"}</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2" hidden="1">{"'미착금액'!$A$4:$G$14"}</definedName>
    <definedName name="후후후" hidden="1">{"'미착금액'!$A$4:$G$14"}</definedName>
    <definedName name="휴" localSheetId="2"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휴게">#REF!</definedName>
    <definedName name="휴일">#REF!</definedName>
    <definedName name="흄관" hidden="1">{#N/A,#N/A,FALSE,"기안지";#N/A,#N/A,FALSE,"통신지"}</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2" hidden="1">{#N/A,#N/A,FALSE,"포장2"}</definedName>
    <definedName name="히패가ㅗ" hidden="1">{#N/A,#N/A,FALSE,"포장2"}</definedName>
    <definedName name="히히" hidden="1">{#N/A,#N/A,TRUE,"경전'96(1)";#N/A,#N/A,TRUE,"경전'96 (2)"}</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2" hidden="1">{#N/A,#N/A,FALSE,"기안지";#N/A,#N/A,FALSE,"통신지"}</definedName>
    <definedName name="ㅏㄹ얒ㅈ"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BlankMacro1</definedName>
    <definedName name="ㅏ아ㅗ">BlankMacro1</definedName>
    <definedName name="ㅏ차ㅏㅇ">#REF!</definedName>
    <definedName name="ㅏ팝덤ㅈ">BlankMacro1</definedName>
    <definedName name="ㅏ호">BlankMacro1</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BlankMacro1</definedName>
    <definedName name="ㅏㅐㅏㅔㅐㅣ" localSheetId="2" hidden="1">{#N/A,#N/A,FALSE,"UNIT";#N/A,#N/A,FALSE,"UNIT";#N/A,#N/A,FALSE,"계정"}</definedName>
    <definedName name="ㅏㅐㅏㅔㅐㅣ" hidden="1">{#N/A,#N/A,FALSE,"UNIT";#N/A,#N/A,FALSE,"UNIT";#N/A,#N/A,FALSE,"계정"}</definedName>
    <definedName name="ㅏㅑㅊ" localSheetId="2" hidden="1">{#N/A,#N/A,FALSE,"기안지";#N/A,#N/A,FALSE,"통신지"}</definedName>
    <definedName name="ㅏㅑㅊ" hidden="1">{#N/A,#N/A,FALSE,"기안지";#N/A,#N/A,FALSE,"통신지"}</definedName>
    <definedName name="ㅏㅓ" localSheetId="2" hidden="1">{#N/A,#N/A,FALSE,"단축1";#N/A,#N/A,FALSE,"단축2";#N/A,#N/A,FALSE,"단축3";#N/A,#N/A,FALSE,"장축";#N/A,#N/A,FALSE,"4WD"}</definedName>
    <definedName name="ㅏㅓ" hidden="1">{#N/A,#N/A,FALSE,"단축1";#N/A,#N/A,FALSE,"단축2";#N/A,#N/A,FALSE,"단축3";#N/A,#N/A,FALSE,"장축";#N/A,#N/A,FALSE,"4WD"}</definedName>
    <definedName name="ㅏㅓㅗ">BlankMacro1</definedName>
    <definedName name="ㅏㅕ" localSheetId="2" hidden="1">{"'Jibu9811 (3)'!$B$1:$J$433"}</definedName>
    <definedName name="ㅏㅕ" hidden="1">{"'Jibu9811 (3)'!$B$1:$J$433"}</definedName>
    <definedName name="ㅏㅕㅛㅛㅕ" localSheetId="2" hidden="1">{"'Jibu9811 (3)'!$B$1:$J$433"}</definedName>
    <definedName name="ㅏㅕㅛㅛㅕ" hidden="1">{"'Jibu9811 (3)'!$B$1:$J$433"}</definedName>
    <definedName name="ㅏㅗ" hidden="1">#REF!</definedName>
    <definedName name="ㅏㅛ">BlankMacro1</definedName>
    <definedName name="ㅏㅛㅕㅏㅛㅕ" localSheetId="2" hidden="1">{"'Jibu9811 (3)'!$B$1:$J$433"}</definedName>
    <definedName name="ㅏㅛㅕㅏㅛㅕ" hidden="1">{"'Jibu9811 (3)'!$B$1:$J$433"}</definedName>
    <definedName name="ㅏㅣ" hidden="1">{#N/A,#N/A,FALSE,"96 3월물량표";#N/A,#N/A,FALSE,"96 4월물량표";#N/A,#N/A,FALSE,"96 5월물량표"}</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hidden="1">{#N/A,#N/A,FALSE,"이태원철근"}</definedName>
    <definedName name="ㅐ15">#N/A</definedName>
    <definedName name="ㅐ랙">BlankMacro1</definedName>
    <definedName name="ㅐㅐ" localSheetId="2" hidden="1">{#N/A,#N/A,FALSE,"을지 (4)";#N/A,#N/A,FALSE,"을지 (5)";#N/A,#N/A,FALSE,"을지 (6)"}</definedName>
    <definedName name="ㅐㅐ" hidden="1">{#N/A,#N/A,FALSE,"을지 (4)";#N/A,#N/A,FALSE,"을지 (5)";#N/A,#N/A,FALSE,"을지 (6)"}</definedName>
    <definedName name="ㅐㅐㅐ" hidden="1">{#N/A,#N/A,FALSE,"지침";#N/A,#N/A,FALSE,"환경분석";#N/A,#N/A,FALSE,"Sheet16"}</definedName>
    <definedName name="ㅐㅓㅐㅔㅓ" hidden="1">{#N/A,#N/A,FALSE,"단축1";#N/A,#N/A,FALSE,"단축2";#N/A,#N/A,FALSE,"단축3";#N/A,#N/A,FALSE,"장축";#N/A,#N/A,FALSE,"4WD"}</definedName>
    <definedName name="ㅐㅔ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2" hidden="1">{#N/A,#N/A,FALSE,"기안지";#N/A,#N/A,FALSE,"통신지"}</definedName>
    <definedName name="ㅑ갹" hidden="1">{#N/A,#N/A,FALSE,"기안지";#N/A,#N/A,FALSE,"통신지"}</definedName>
    <definedName name="ㅑ다ㅏㅇ">BlankMacro1</definedName>
    <definedName name="ㅑㅂ">BlankMacro1</definedName>
    <definedName name="ㅑㅐ댇" localSheetId="2" hidden="1">{#N/A,#N/A,FALSE,"기안지";#N/A,#N/A,FALSE,"통신지"}</definedName>
    <definedName name="ㅑㅐ댇" hidden="1">{#N/A,#N/A,FALSE,"기안지";#N/A,#N/A,FALSE,"통신지"}</definedName>
    <definedName name="ㅑㅐㅔㅕㅑㅐ" hidden="1">{#N/A,#N/A,FALSE,"단축1";#N/A,#N/A,FALSE,"단축2";#N/A,#N/A,FALSE,"단축3";#N/A,#N/A,FALSE,"장축";#N/A,#N/A,FALSE,"4WD"}</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hidden="1">{#N/A,#N/A,FALSE,"Sheet6"}</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BlankMacro1</definedName>
    <definedName name="ㅓㄷㄱㄷ">BlankMacro1</definedName>
    <definedName name="ㅓ랴">#N/A</definedName>
    <definedName name="ㅓㅅㄱㅇㄴ쇼ㅓ">#N/A</definedName>
    <definedName name="ㅓㅇ섯">#N/A</definedName>
    <definedName name="ㅓㅇ쇼ㅓㄴ">#N/A</definedName>
    <definedName name="ㅓ앙">BlankMacro1</definedName>
    <definedName name="ㅓ요선ㅇ">#N/A</definedName>
    <definedName name="ㅓ파ㅏ" localSheetId="2" hidden="1">{#N/A,#N/A,FALSE,"기안지";#N/A,#N/A,FALSE,"통신지"}</definedName>
    <definedName name="ㅓ파ㅏ" hidden="1">{#N/A,#N/A,FALSE,"기안지";#N/A,#N/A,FALSE,"통신지"}</definedName>
    <definedName name="ㅓㅎ" hidden="1">{#N/A,#N/A,FALSE,"Sheet1"}</definedName>
    <definedName name="ㅓㅎㄹ">#REF!</definedName>
    <definedName name="ㅓ하">#N/A</definedName>
    <definedName name="ㅓ햐">BlankMacro1</definedName>
    <definedName name="ㅓㅏㄱ">BlankMacro1</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BlankMacro1</definedName>
    <definedName name="ㅓㅏㅣㅕㅑㅔ" hidden="1">{#N/A,#N/A,FALSE,"단축1";#N/A,#N/A,FALSE,"단축2";#N/A,#N/A,FALSE,"단축3";#N/A,#N/A,FALSE,"장축";#N/A,#N/A,FALSE,"4WD"}</definedName>
    <definedName name="ㅓㅓ" localSheetId="2" hidden="1">{#N/A,#N/A,FALSE,"CCTV"}</definedName>
    <definedName name="ㅓㅓ" hidden="1">{#N/A,#N/A,FALSE,"CCTV"}</definedName>
    <definedName name="ㅓㅓ로" hidden="1">{#N/A,#N/A,FALSE,"단축1";#N/A,#N/A,FALSE,"단축2";#N/A,#N/A,FALSE,"단축3";#N/A,#N/A,FALSE,"장축";#N/A,#N/A,FALSE,"4WD"}</definedName>
    <definedName name="ㅓㅓㅏㅊㄹ">BlankMacro1</definedName>
    <definedName name="ㅓㅓㅓ" localSheetId="2" hidden="1">{#N/A,#N/A,FALSE,"97년 투자계획 세부내역 "}</definedName>
    <definedName name="ㅓㅓㅓ" hidden="1">{#N/A,#N/A,FALSE,"97년 투자계획 세부내역 "}</definedName>
    <definedName name="ㅓㅕㅏ" hidden="1">{#N/A,#N/A,FALSE,"Sheet6"}</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BlankMacro1</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hidden="1">{#N/A,#N/A,FALSE,"단축1";#N/A,#N/A,FALSE,"단축2";#N/A,#N/A,FALSE,"단축3";#N/A,#N/A,FALSE,"장축";#N/A,#N/A,FALSE,"4WD"}</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BlankMacro1</definedName>
    <definedName name="ㅕㅏ쇼" hidden="1">{#N/A,#N/A,FALSE,"Sheet6"}</definedName>
    <definedName name="ㅕㅏㅛㅏㅕ" localSheetId="2" hidden="1">{"'Jibu9811 (3)'!$B$1:$J$433"}</definedName>
    <definedName name="ㅕㅏㅛㅏㅕ" hidden="1">{"'Jibu9811 (3)'!$B$1:$J$433"}</definedName>
    <definedName name="ㅕㅏㅛㅕㅏ" hidden="1">{#N/A,#N/A,FALSE,"Sheet6"}</definedName>
    <definedName name="ㅕㅑㅐ" hidden="1">{#N/A,#N/A,FALSE,"Sheet6"}</definedName>
    <definedName name="ㅕㅕ" hidden="1">{#N/A,#N/A,FALSE,"단축1";#N/A,#N/A,FALSE,"단축2";#N/A,#N/A,FALSE,"단축3";#N/A,#N/A,FALSE,"장축";#N/A,#N/A,FALSE,"4WD"}</definedName>
    <definedName name="ㅕㅕㅕ" localSheetId="2" hidden="1">{#N/A,#N/A,FALSE,"을지 (4)";#N/A,#N/A,FALSE,"을지 (5)";#N/A,#N/A,FALSE,"을지 (6)"}</definedName>
    <definedName name="ㅕㅕㅕ" hidden="1">{#N/A,#N/A,FALSE,"을지 (4)";#N/A,#N/A,FALSE,"을지 (5)";#N/A,#N/A,FALSE,"을지 (6)"}</definedName>
    <definedName name="ㅕㅕㅕㅕㅕㅕㅕㅕㅕㅕㅕㅕㅕ" hidden="1">{"'FAX번호'!$A$2:$F$21"}</definedName>
    <definedName name="ㅕㅕㅕㅕㅕㅕㅕㅕㅕㅕㅕㅕㅕㅕㅕㅕㅕㅕㅕㅕㅕㅕㅕㅕㅕㅕㅕㅕ" hidden="1">{"'FAX번호'!$A$2:$F$21"}</definedName>
    <definedName name="ㅕㅛ" hidden="1">{#N/A,#N/A,FALSE,"Sheet1"}</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2" hidden="1">{"'Registration'!$A$1:$B$94"}</definedName>
    <definedName name="ㅗㅁㅎㅇㅀ" hidden="1">{"'Registration'!$A$1:$B$94"}</definedName>
    <definedName name="ㅗㅅㄱ" localSheetId="2" hidden="1">{"'Jibu9811 (3)'!$B$1:$J$433"}</definedName>
    <definedName name="ㅗㅅㄱ" hidden="1">{"'Jibu9811 (3)'!$B$1:$J$433"}</definedName>
    <definedName name="ㅗㅅㄱ노ㅠㅍ">#N/A</definedName>
    <definedName name="ㅗㅅㄱ논">#N/A</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BlankMacro1</definedName>
    <definedName name="ㅗㅎ" hidden="1">#REF!</definedName>
    <definedName name="ㅗㅎㄹㅇ노노" hidden="1">#REF!</definedName>
    <definedName name="ㅗㅎㄹㅊㅌ">BlankMacro1</definedName>
    <definedName name="ㅗㅎ롷롷ㄹ" hidden="1">#REF!</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2" hidden="1">{"'Jibu9811 (3)'!$B$1:$J$433"}</definedName>
    <definedName name="ㅗ혀ㅑㄷ" hidden="1">{"'Jibu9811 (3)'!$B$1:$J$433"}</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hidden="1">{#N/A,#N/A,FALSE,"단축1";#N/A,#N/A,FALSE,"단축2";#N/A,#N/A,FALSE,"단축3";#N/A,#N/A,FALSE,"장축";#N/A,#N/A,FALSE,"4WD"}</definedName>
    <definedName name="ㅗㅓㅕㅑㅕ" hidden="1">{#N/A,#N/A,FALSE,"Sheet6"}</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hidden="1">{#N/A,#N/A,FALSE,"Sheet6"}</definedName>
    <definedName name="ㅗㅕ">#REF!</definedName>
    <definedName name="ㅗㅗ" localSheetId="2"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{#N/A,#N/A,FALSE,"단축1";#N/A,#N/A,FALSE,"단축2";#N/A,#N/A,FALSE,"단축3";#N/A,#N/A,FALSE,"장축";#N/A,#N/A,FALSE,"4WD"}</definedName>
    <definedName name="ㅗㅗㅗㅋㄶ" hidden="1">{#N/A,#N/A,TRUE,"경전'96(1)";#N/A,#N/A,TRUE,"경전'96 (2)"}</definedName>
    <definedName name="ㅗㅗㅗㅗ" hidden="1">#REF!</definedName>
    <definedName name="ㅗㅗㅗㅗㅇ">BlankMacro1</definedName>
    <definedName name="ㅗㅗㅗㅗㅗ" hidden="1">{#N/A,#N/A,FALSE,"단축1";#N/A,#N/A,FALSE,"단축2";#N/A,#N/A,FALSE,"단축3";#N/A,#N/A,FALSE,"장축";#N/A,#N/A,FALSE,"4WD"}</definedName>
    <definedName name="ㅗㅗㅗㅗㅗㅗ">BlankMacro1</definedName>
    <definedName name="ㅗㅛ">#REF!</definedName>
    <definedName name="ㅘ아ㅑ">BlankMacro1</definedName>
    <definedName name="ㅙㄱ래">BlankMacro1</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hidden="1">{#N/A,#N/A,TRUE,"경전'96(1)";#N/A,#N/A,TRUE,"경전'96 (2)"}</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hidden="1">{#N/A,#N/A,FALSE,"Sheet6"}</definedName>
    <definedName name="ㅛㅇㅅ겅ㅅ">#N/A</definedName>
    <definedName name="ㅛㅓ">#N/A</definedName>
    <definedName name="ㅛㅓㄴ">#N/A</definedName>
    <definedName name="ㅛㅓ쇼" hidden="1">{#N/A,#N/A,FALSE,"Sheet6"}</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hidden="1">{#N/A,#N/A,FALSE,"단축1";#N/A,#N/A,FALSE,"단축2";#N/A,#N/A,FALSE,"단축3";#N/A,#N/A,FALSE,"장축";#N/A,#N/A,FALSE,"4WD"}</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2" hidden="1">{#N/A,#N/A,FALSE,"단축1";#N/A,#N/A,FALSE,"단축2";#N/A,#N/A,FALSE,"단축3";#N/A,#N/A,FALSE,"장축";#N/A,#N/A,FALSE,"4WD"}</definedName>
    <definedName name="ㅜ" hidden="1">{#N/A,#N/A,FALSE,"단축1";#N/A,#N/A,FALSE,"단축2";#N/A,#N/A,FALSE,"단축3";#N/A,#N/A,FALSE,"장축";#N/A,#N/A,FALSE,"4WD"}</definedName>
    <definedName name="ㅜㄱ">BlankMacro1</definedName>
    <definedName name="ㅜㄷㅈ" hidden="1">{#N/A,#N/A,FALSE,"단축1";#N/A,#N/A,FALSE,"단축2";#N/A,#N/A,FALSE,"단축3";#N/A,#N/A,FALSE,"장축";#N/A,#N/A,FALSE,"4WD"}</definedName>
    <definedName name="ㅜ챶" localSheetId="2" hidden="1">{#N/A,#N/A,FALSE,"기안지";#N/A,#N/A,FALSE,"통신지"}</definedName>
    <definedName name="ㅜ챶" hidden="1">{#N/A,#N/A,FALSE,"기안지";#N/A,#N/A,FALSE,"통신지"}</definedName>
    <definedName name="ㅜㅋㄱ" hidden="1">{#N/A,#N/A,TRUE,"경전'96(1)";#N/A,#N/A,TRUE,"경전'96 (2)"}</definedName>
    <definedName name="ㅜㅍ챠ㅑㄷㅇ" localSheetId="2" hidden="1">{#N/A,#N/A,FALSE,"기안지";#N/A,#N/A,FALSE,"통신지"}</definedName>
    <definedName name="ㅜㅍ챠ㅑㄷㅇ" hidden="1">{#N/A,#N/A,FALSE,"기안지";#N/A,#N/A,FALSE,"통신지"}</definedName>
    <definedName name="ㅜ퍋">BlankMacro1</definedName>
    <definedName name="ㅜ퍼야" localSheetId="2" hidden="1">{#N/A,#N/A,FALSE,"부대1"}</definedName>
    <definedName name="ㅜ퍼야" hidden="1">{#N/A,#N/A,FALSE,"부대1"}</definedName>
    <definedName name="ㅜ퍼ㅑㄷ">BlankMacro1</definedName>
    <definedName name="ㅜ펃">BlankMacro1</definedName>
    <definedName name="ㅜ펃ㅇ">BlankMacro1</definedName>
    <definedName name="ㅜ펴ㅓㅑㅕㄷ">BlankMacro1</definedName>
    <definedName name="ㅜㅗㅛ" hidden="1">{#N/A,#N/A,FALSE,"Sheet1"}</definedName>
    <definedName name="ㅜㅛㅜㅛㅛㅜ" hidden="1">{#N/A,#N/A,FALSE,"단축1";#N/A,#N/A,FALSE,"단축2";#N/A,#N/A,FALSE,"단축3";#N/A,#N/A,FALSE,"장축";#N/A,#N/A,FALSE,"4WD"}</definedName>
    <definedName name="ㅜㅜ">BlankMacro1</definedName>
    <definedName name="ㅜㅜㅏㅓ">BlankMacro1</definedName>
    <definedName name="ㅜㅜㅛㅜㅛㅜㅛㅜㅛㅜㅜㅜㅛㅜㅛㅜㅛㅜㅛㅜㅛㅛㅜㅛㅜㅛㅜㅜㅜㅜㅜ" hidden="1">{#N/A,#N/A,FALSE,"단축1";#N/A,#N/A,FALSE,"단축2";#N/A,#N/A,FALSE,"단축3";#N/A,#N/A,FALSE,"장축";#N/A,#N/A,FALSE,"4WD"}</definedName>
    <definedName name="ㅜㅜㅜ" hidden="1">{#N/A,#N/A,FALSE,"단축1";#N/A,#N/A,FALSE,"단축2";#N/A,#N/A,FALSE,"단축3";#N/A,#N/A,FALSE,"장축";#N/A,#N/A,FALSE,"4WD"}</definedName>
    <definedName name="ㅜㅜㅜㅜ" localSheetId="2" hidden="1">{#N/A,#N/A,FALSE,"초중조사서식 "}</definedName>
    <definedName name="ㅜㅜㅜㅜ" hidden="1">{#N/A,#N/A,FALSE,"초중조사서식 "}</definedName>
    <definedName name="ㅜㅜㅜㅜㅜㅜㅜㅜㅜ" hidden="1">{#N/A,#N/A,FALSE,"Sheet1"}</definedName>
    <definedName name="ㅜㅠㅑㅑㄷ" localSheetId="2" hidden="1">{#N/A,#N/A,FALSE,"기안지";#N/A,#N/A,FALSE,"통신지"}</definedName>
    <definedName name="ㅜㅠㅑㅑㄷ" hidden="1">{#N/A,#N/A,FALSE,"기안지";#N/A,#N/A,FALSE,"통신지"}</definedName>
    <definedName name="ㅜㅠㅠㅠ">#REF!</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BlankMacro1</definedName>
    <definedName name="ㅠㄷㅁ">#N/A</definedName>
    <definedName name="ㅠㅅ귷">#N/A</definedName>
    <definedName name="ㅠㅇㅎㄹ" hidden="1">#REF!</definedName>
    <definedName name="ㅠㅈ죶">BlankMacro1</definedName>
    <definedName name="ㅠ츄ㅓ">BlankMacro1</definedName>
    <definedName name="ㅠㅑㅜ" hidden="1">#REF!</definedName>
    <definedName name="ㅠㅛㄱ">BlankMacro1</definedName>
    <definedName name="ㅠㅜㅛ" hidden="1">{#N/A,#N/A,FALSE,"Sheet6"}</definedName>
    <definedName name="ㅠㅠ">#REF!</definedName>
    <definedName name="ㅠㅠㅠ" hidden="1">{#N/A,#N/A,FALSE,"지침";#N/A,#N/A,FALSE,"환경분석";#N/A,#N/A,FALSE,"Sheet16"}</definedName>
    <definedName name="ㅠㅠㅠㅠㅠㅠ">#N/A</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2" hidden="1">{#N/A,#N/A,FALSE,"속도"}</definedName>
    <definedName name="ㅡ퍼갸" hidden="1">{#N/A,#N/A,FALSE,"속도"}</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BlankMacro1</definedName>
    <definedName name="ㅣ칭">BlankMacro1</definedName>
    <definedName name="ㅣ호ㅗ">BlankMacro1</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2" hidden="1">{#N/A,#N/A,FALSE,"97년 투자계획 세부내역 "}</definedName>
    <definedName name="ㅣㅏㅏ" hidden="1">{#N/A,#N/A,FALSE,"97년 투자계획 세부내역 "}</definedName>
    <definedName name="ㅣㅏㅐㄷ">BlankMacro1</definedName>
    <definedName name="ㅣㅗ">BlankMacro1</definedName>
    <definedName name="ㅣㅣ" localSheetId="2" hidden="1">{#N/A,#N/A,FALSE,"을지 (4)";#N/A,#N/A,FALSE,"을지 (5)";#N/A,#N/A,FALSE,"을지 (6)"}</definedName>
    <definedName name="ㅣㅣ" hidden="1">{#N/A,#N/A,FALSE,"을지 (4)";#N/A,#N/A,FALSE,"을지 (5)";#N/A,#N/A,FALSE,"을지 (6)"}</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2" i="14" l="1"/>
  <c r="J429" i="14"/>
  <c r="J416" i="14"/>
  <c r="J403" i="14"/>
  <c r="J402" i="14"/>
  <c r="J389" i="14"/>
  <c r="J376" i="14"/>
  <c r="J362" i="14"/>
  <c r="J349" i="14"/>
  <c r="J336" i="14"/>
  <c r="J363" i="14" s="1"/>
  <c r="K319" i="14"/>
  <c r="K320" i="14"/>
  <c r="P315" i="14"/>
  <c r="P316" i="14"/>
  <c r="P314" i="14"/>
  <c r="N316" i="14"/>
  <c r="N315" i="14"/>
  <c r="Q185" i="25"/>
  <c r="P185" i="25"/>
  <c r="M181" i="25"/>
  <c r="M178" i="25"/>
  <c r="N303" i="14"/>
  <c r="N302" i="14"/>
  <c r="D15" i="25" l="1"/>
  <c r="D8" i="25" s="1"/>
  <c r="D12" i="25"/>
  <c r="D9" i="25"/>
  <c r="R308" i="14" l="1"/>
  <c r="H16" i="25" l="1"/>
  <c r="L321" i="14"/>
  <c r="H19" i="25"/>
  <c r="H18" i="25"/>
  <c r="H17" i="25"/>
  <c r="H13" i="25"/>
  <c r="H14" i="25"/>
  <c r="H10" i="25"/>
  <c r="H11" i="25"/>
  <c r="G19" i="25"/>
  <c r="G18" i="25"/>
  <c r="G16" i="25"/>
  <c r="G17" i="25"/>
  <c r="G13" i="25"/>
  <c r="G14" i="25"/>
  <c r="G10" i="25"/>
  <c r="G11" i="25"/>
  <c r="F19" i="25"/>
  <c r="F18" i="25"/>
  <c r="F16" i="25"/>
  <c r="F17" i="25"/>
  <c r="F13" i="25"/>
  <c r="F14" i="25"/>
  <c r="F10" i="25"/>
  <c r="F11" i="25"/>
  <c r="AB19" i="25"/>
  <c r="AB18" i="25"/>
  <c r="AB16" i="25"/>
  <c r="N185" i="25" s="1"/>
  <c r="AB17" i="25"/>
  <c r="AB13" i="25"/>
  <c r="AB14" i="25"/>
  <c r="AB10" i="25"/>
  <c r="AB11" i="25"/>
  <c r="AA19" i="25"/>
  <c r="E19" i="25" s="1"/>
  <c r="AA18" i="25"/>
  <c r="E18" i="25" s="1"/>
  <c r="AA16" i="25"/>
  <c r="AA17" i="25"/>
  <c r="E17" i="25" s="1"/>
  <c r="AA13" i="25"/>
  <c r="E13" i="25" s="1"/>
  <c r="AA14" i="25"/>
  <c r="E14" i="25" s="1"/>
  <c r="AA10" i="25"/>
  <c r="E10" i="25" s="1"/>
  <c r="AA11" i="25"/>
  <c r="E11" i="25" s="1"/>
  <c r="Z19" i="25"/>
  <c r="Z18" i="25"/>
  <c r="Z16" i="25"/>
  <c r="L185" i="25" s="1"/>
  <c r="Z17" i="25"/>
  <c r="Z13" i="25"/>
  <c r="Z14" i="25"/>
  <c r="Z10" i="25"/>
  <c r="Z11" i="25"/>
  <c r="D391" i="14"/>
  <c r="D392" i="14" s="1"/>
  <c r="D393" i="14" s="1"/>
  <c r="D394" i="14" s="1"/>
  <c r="D378" i="14"/>
  <c r="D379" i="14" s="1"/>
  <c r="D380" i="14" s="1"/>
  <c r="D381" i="14" s="1"/>
  <c r="D365" i="14"/>
  <c r="D366" i="14" s="1"/>
  <c r="D367" i="14" s="1"/>
  <c r="D368" i="14" s="1"/>
  <c r="D351" i="14"/>
  <c r="D352" i="14" s="1"/>
  <c r="D353" i="14" s="1"/>
  <c r="D354" i="14" s="1"/>
  <c r="D338" i="14"/>
  <c r="D339" i="14" s="1"/>
  <c r="D340" i="14" s="1"/>
  <c r="D341" i="14" s="1"/>
  <c r="D325" i="14"/>
  <c r="D326" i="14" s="1"/>
  <c r="D327" i="14" s="1"/>
  <c r="D328" i="14" s="1"/>
  <c r="D311" i="14"/>
  <c r="D312" i="14" s="1"/>
  <c r="D313" i="14" s="1"/>
  <c r="D314" i="14" s="1"/>
  <c r="D298" i="14"/>
  <c r="D299" i="14" s="1"/>
  <c r="D300" i="14" s="1"/>
  <c r="D301" i="14" s="1"/>
  <c r="D285" i="14"/>
  <c r="D405" i="14"/>
  <c r="D406" i="14" s="1"/>
  <c r="D407" i="14" s="1"/>
  <c r="D408" i="14" s="1"/>
  <c r="D418" i="14"/>
  <c r="D419" i="14" s="1"/>
  <c r="D420" i="14" s="1"/>
  <c r="D421" i="14" s="1"/>
  <c r="D431" i="14"/>
  <c r="D432" i="14" s="1"/>
  <c r="D433" i="14" s="1"/>
  <c r="D434"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s="1"/>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D397" i="14" l="1"/>
  <c r="D398" i="14" s="1"/>
  <c r="D399" i="14" s="1"/>
  <c r="D400" i="14" s="1"/>
  <c r="D401" i="14" s="1"/>
  <c r="D395" i="14"/>
  <c r="D396" i="14" s="1"/>
  <c r="D384" i="14"/>
  <c r="D385" i="14" s="1"/>
  <c r="D386" i="14" s="1"/>
  <c r="D387" i="14" s="1"/>
  <c r="D388" i="14" s="1"/>
  <c r="D382" i="14"/>
  <c r="D383" i="14" s="1"/>
  <c r="D371" i="14"/>
  <c r="D372" i="14" s="1"/>
  <c r="D373" i="14" s="1"/>
  <c r="D374" i="14" s="1"/>
  <c r="D375" i="14" s="1"/>
  <c r="D369" i="14"/>
  <c r="D370" i="14" s="1"/>
  <c r="D411" i="14"/>
  <c r="D412" i="14" s="1"/>
  <c r="D413" i="14" s="1"/>
  <c r="D414" i="14" s="1"/>
  <c r="D415" i="14" s="1"/>
  <c r="D409" i="14"/>
  <c r="D410" i="14" s="1"/>
  <c r="D424" i="14"/>
  <c r="D425" i="14" s="1"/>
  <c r="D426" i="14" s="1"/>
  <c r="D427" i="14" s="1"/>
  <c r="D428" i="14" s="1"/>
  <c r="D422" i="14"/>
  <c r="D423" i="14" s="1"/>
  <c r="D437" i="14"/>
  <c r="D438" i="14" s="1"/>
  <c r="D439" i="14" s="1"/>
  <c r="D440" i="14" s="1"/>
  <c r="D441" i="14" s="1"/>
  <c r="D435" i="14"/>
  <c r="D436" i="14" s="1"/>
  <c r="E16" i="25"/>
  <c r="M185" i="25"/>
  <c r="M184" i="25" s="1"/>
  <c r="D357" i="14"/>
  <c r="D358" i="14" s="1"/>
  <c r="D359" i="14" s="1"/>
  <c r="D360" i="14" s="1"/>
  <c r="D361" i="14" s="1"/>
  <c r="D355" i="14"/>
  <c r="D356" i="14" s="1"/>
  <c r="D344" i="14"/>
  <c r="D345" i="14" s="1"/>
  <c r="D346" i="14" s="1"/>
  <c r="D347" i="14" s="1"/>
  <c r="D348" i="14" s="1"/>
  <c r="D342" i="14"/>
  <c r="D343" i="14" s="1"/>
  <c r="D331" i="14"/>
  <c r="D332" i="14" s="1"/>
  <c r="D333" i="14" s="1"/>
  <c r="D334" i="14" s="1"/>
  <c r="D335" i="14" s="1"/>
  <c r="D329" i="14"/>
  <c r="D330" i="14" s="1"/>
  <c r="D304" i="14"/>
  <c r="D305" i="14" s="1"/>
  <c r="D306" i="14" s="1"/>
  <c r="D307" i="14" s="1"/>
  <c r="D308" i="14" s="1"/>
  <c r="D302" i="14"/>
  <c r="D303" i="14" s="1"/>
  <c r="D317" i="14"/>
  <c r="D318" i="14" s="1"/>
  <c r="D319" i="14" s="1"/>
  <c r="D320" i="14" s="1"/>
  <c r="D321" i="14" s="1"/>
  <c r="D315" i="14"/>
  <c r="D316" i="14" s="1"/>
  <c r="J11" i="25"/>
  <c r="N11" i="25"/>
  <c r="R11" i="25"/>
  <c r="D180" i="25" s="1"/>
  <c r="S11" i="25"/>
  <c r="E180" i="25" s="1"/>
  <c r="T11" i="25"/>
  <c r="G180" i="25" s="1"/>
  <c r="O11" i="25"/>
  <c r="D286" i="14"/>
  <c r="P11" i="25"/>
  <c r="L11" i="25"/>
  <c r="K11" i="25"/>
  <c r="AB15" i="25"/>
  <c r="AA15" i="25"/>
  <c r="E15" i="25" s="1"/>
  <c r="Z15" i="25"/>
  <c r="AB12" i="25"/>
  <c r="AA12" i="25"/>
  <c r="E12" i="25" s="1"/>
  <c r="Z12" i="25"/>
  <c r="AB9" i="25"/>
  <c r="Z9" i="25"/>
  <c r="AA9" i="25"/>
  <c r="E9" i="25" s="1"/>
  <c r="R10" i="25"/>
  <c r="D179" i="25" s="1"/>
  <c r="N13" i="25"/>
  <c r="R14" i="25"/>
  <c r="D183" i="25" s="1"/>
  <c r="J10" i="25"/>
  <c r="N10" i="25"/>
  <c r="R13" i="25"/>
  <c r="D182" i="25" s="1"/>
  <c r="J14" i="25"/>
  <c r="N14" i="25"/>
  <c r="J13" i="25"/>
  <c r="D164" i="14"/>
  <c r="N17" i="25" s="1"/>
  <c r="M442" i="14"/>
  <c r="I442" i="14"/>
  <c r="N441" i="14"/>
  <c r="L441" i="14"/>
  <c r="N440" i="14"/>
  <c r="N439" i="14"/>
  <c r="L439" i="14"/>
  <c r="N438" i="14"/>
  <c r="L438" i="14"/>
  <c r="N437" i="14"/>
  <c r="L437" i="14"/>
  <c r="N434" i="14"/>
  <c r="L434" i="14"/>
  <c r="N433" i="14"/>
  <c r="L433" i="14"/>
  <c r="K442" i="14"/>
  <c r="N431" i="14"/>
  <c r="N430" i="14"/>
  <c r="L430" i="14"/>
  <c r="M429" i="14"/>
  <c r="K429" i="14"/>
  <c r="I429" i="14"/>
  <c r="N428" i="14"/>
  <c r="L428" i="14"/>
  <c r="N427" i="14"/>
  <c r="N426" i="14"/>
  <c r="L426" i="14"/>
  <c r="N425" i="14"/>
  <c r="L425" i="14"/>
  <c r="N424" i="14"/>
  <c r="L424" i="14"/>
  <c r="N421" i="14"/>
  <c r="L421" i="14"/>
  <c r="N420" i="14"/>
  <c r="L420" i="14"/>
  <c r="N419" i="14"/>
  <c r="N418" i="14"/>
  <c r="N417" i="14"/>
  <c r="L417" i="14"/>
  <c r="M416" i="14"/>
  <c r="K416" i="14"/>
  <c r="I416" i="14"/>
  <c r="N415" i="14"/>
  <c r="L415" i="14"/>
  <c r="N414" i="14"/>
  <c r="N413" i="14"/>
  <c r="L413" i="14"/>
  <c r="N412" i="14"/>
  <c r="L412" i="14"/>
  <c r="N411" i="14"/>
  <c r="L411" i="14"/>
  <c r="N408" i="14"/>
  <c r="L408" i="14"/>
  <c r="N407" i="14"/>
  <c r="L407" i="14"/>
  <c r="N406" i="14"/>
  <c r="N405" i="14"/>
  <c r="N404" i="14"/>
  <c r="L404" i="14"/>
  <c r="M402" i="14"/>
  <c r="K402" i="14"/>
  <c r="I402" i="14"/>
  <c r="N401" i="14"/>
  <c r="L401" i="14"/>
  <c r="N400" i="14"/>
  <c r="N399" i="14"/>
  <c r="L399" i="14"/>
  <c r="N398" i="14"/>
  <c r="L398" i="14"/>
  <c r="N397" i="14"/>
  <c r="L397" i="14"/>
  <c r="N394" i="14"/>
  <c r="L394" i="14"/>
  <c r="N393" i="14"/>
  <c r="L393" i="14"/>
  <c r="N392" i="14"/>
  <c r="N391" i="14"/>
  <c r="N390" i="14"/>
  <c r="L390" i="14"/>
  <c r="M389" i="14"/>
  <c r="K389" i="14"/>
  <c r="I389" i="14"/>
  <c r="N388" i="14"/>
  <c r="L388" i="14"/>
  <c r="N387" i="14"/>
  <c r="N386" i="14"/>
  <c r="L386" i="14"/>
  <c r="N385" i="14"/>
  <c r="L385" i="14"/>
  <c r="N384" i="14"/>
  <c r="L384" i="14"/>
  <c r="N381" i="14"/>
  <c r="L381" i="14"/>
  <c r="N380" i="14"/>
  <c r="L380" i="14"/>
  <c r="N379" i="14"/>
  <c r="N378" i="14"/>
  <c r="N377" i="14"/>
  <c r="L377" i="14"/>
  <c r="M376" i="14"/>
  <c r="K376" i="14"/>
  <c r="I376" i="14"/>
  <c r="N375" i="14"/>
  <c r="L375" i="14"/>
  <c r="N374" i="14"/>
  <c r="N373" i="14"/>
  <c r="L373" i="14"/>
  <c r="N372" i="14"/>
  <c r="L372" i="14"/>
  <c r="N371" i="14"/>
  <c r="L371" i="14"/>
  <c r="N368" i="14"/>
  <c r="L368" i="14"/>
  <c r="N367" i="14"/>
  <c r="L367" i="14"/>
  <c r="N366" i="14"/>
  <c r="N365" i="14"/>
  <c r="N364" i="14"/>
  <c r="L364" i="14"/>
  <c r="M362" i="14"/>
  <c r="K362" i="14"/>
  <c r="I362" i="14"/>
  <c r="N361" i="14"/>
  <c r="L361" i="14"/>
  <c r="N360" i="14"/>
  <c r="N359" i="14"/>
  <c r="L359" i="14"/>
  <c r="N358" i="14"/>
  <c r="L358" i="14"/>
  <c r="N357" i="14"/>
  <c r="L357" i="14"/>
  <c r="N354" i="14"/>
  <c r="L354" i="14"/>
  <c r="N353" i="14"/>
  <c r="L353" i="14"/>
  <c r="N352" i="14"/>
  <c r="N351" i="14"/>
  <c r="N350" i="14"/>
  <c r="L350" i="14"/>
  <c r="M349" i="14"/>
  <c r="K349" i="14"/>
  <c r="I349" i="14"/>
  <c r="N348" i="14"/>
  <c r="L348" i="14"/>
  <c r="N347" i="14"/>
  <c r="N346" i="14"/>
  <c r="L346" i="14"/>
  <c r="N345" i="14"/>
  <c r="L345" i="14"/>
  <c r="N344" i="14"/>
  <c r="L344" i="14"/>
  <c r="N341" i="14"/>
  <c r="L341" i="14"/>
  <c r="N340" i="14"/>
  <c r="L340" i="14"/>
  <c r="N339" i="14"/>
  <c r="N338" i="14"/>
  <c r="N337" i="14"/>
  <c r="L337" i="14"/>
  <c r="M336" i="14"/>
  <c r="K336" i="14"/>
  <c r="I336" i="14"/>
  <c r="N335" i="14"/>
  <c r="L335" i="14"/>
  <c r="N334" i="14"/>
  <c r="N333" i="14"/>
  <c r="L333" i="14"/>
  <c r="N332" i="14"/>
  <c r="L332" i="14"/>
  <c r="N331" i="14"/>
  <c r="L331" i="14"/>
  <c r="N328" i="14"/>
  <c r="L328" i="14"/>
  <c r="N327" i="14"/>
  <c r="L327" i="14"/>
  <c r="N326" i="14"/>
  <c r="N325" i="14"/>
  <c r="N324" i="14"/>
  <c r="L324" i="14"/>
  <c r="M322" i="14"/>
  <c r="K322" i="14"/>
  <c r="I322" i="14"/>
  <c r="N321" i="14"/>
  <c r="N320" i="14"/>
  <c r="N319" i="14"/>
  <c r="L319" i="14"/>
  <c r="N318" i="14"/>
  <c r="L318" i="14"/>
  <c r="N317" i="14"/>
  <c r="L317" i="14"/>
  <c r="N314" i="14"/>
  <c r="L314" i="14"/>
  <c r="N313" i="14"/>
  <c r="L313" i="14"/>
  <c r="N312" i="14"/>
  <c r="N311" i="14"/>
  <c r="N310" i="14"/>
  <c r="J322" i="14"/>
  <c r="M309" i="14"/>
  <c r="K309" i="14"/>
  <c r="J309" i="14"/>
  <c r="I309" i="14"/>
  <c r="N308" i="14"/>
  <c r="L308" i="14"/>
  <c r="N307" i="14"/>
  <c r="N306" i="14"/>
  <c r="L306" i="14"/>
  <c r="N305" i="14"/>
  <c r="L305" i="14"/>
  <c r="N304" i="14"/>
  <c r="L304" i="14"/>
  <c r="N301" i="14"/>
  <c r="L301" i="14"/>
  <c r="N300" i="14"/>
  <c r="L300" i="14"/>
  <c r="N299" i="14"/>
  <c r="N298" i="14"/>
  <c r="N297" i="14"/>
  <c r="L297" i="14"/>
  <c r="M296" i="14"/>
  <c r="K296" i="14"/>
  <c r="I296" i="14"/>
  <c r="N295" i="14"/>
  <c r="L295" i="14"/>
  <c r="N294" i="14"/>
  <c r="N293" i="14"/>
  <c r="L293" i="14"/>
  <c r="N292" i="14"/>
  <c r="L292" i="14"/>
  <c r="N291" i="14"/>
  <c r="L291" i="14"/>
  <c r="N288" i="14"/>
  <c r="L288" i="14"/>
  <c r="N287" i="14"/>
  <c r="L287" i="14"/>
  <c r="N286" i="14"/>
  <c r="J296" i="14"/>
  <c r="N285" i="14"/>
  <c r="N284" i="14"/>
  <c r="L284" i="14"/>
  <c r="D181" i="25" l="1"/>
  <c r="K182" i="25"/>
  <c r="D178" i="25"/>
  <c r="K180" i="25"/>
  <c r="K183" i="25"/>
  <c r="K181" i="25" s="1"/>
  <c r="K179" i="25"/>
  <c r="K178" i="25" s="1"/>
  <c r="L180" i="25"/>
  <c r="N180" i="25"/>
  <c r="I180" i="25"/>
  <c r="J180" i="25"/>
  <c r="H180" i="25"/>
  <c r="K167" i="25"/>
  <c r="L165" i="25"/>
  <c r="K164" i="25"/>
  <c r="K168" i="25"/>
  <c r="K165" i="25"/>
  <c r="N165" i="25"/>
  <c r="L389" i="14"/>
  <c r="D287" i="14"/>
  <c r="T10" i="25"/>
  <c r="K10" i="25"/>
  <c r="P10" i="25"/>
  <c r="L10" i="25"/>
  <c r="O10" i="25"/>
  <c r="O9" i="25" s="1"/>
  <c r="S10" i="25"/>
  <c r="L309" i="14"/>
  <c r="N12" i="25"/>
  <c r="J12" i="25"/>
  <c r="R9" i="25"/>
  <c r="R12" i="25"/>
  <c r="N9" i="25"/>
  <c r="J9" i="25"/>
  <c r="J17" i="25"/>
  <c r="R17" i="25"/>
  <c r="D186" i="25" s="1"/>
  <c r="Z8" i="25"/>
  <c r="M403" i="14"/>
  <c r="M443" i="14"/>
  <c r="L349" i="14"/>
  <c r="L362" i="14"/>
  <c r="D165" i="14"/>
  <c r="I363" i="14"/>
  <c r="N416" i="14"/>
  <c r="N362" i="14"/>
  <c r="N349" i="14"/>
  <c r="K363" i="14"/>
  <c r="L442" i="14"/>
  <c r="J443" i="14"/>
  <c r="L429" i="14"/>
  <c r="L402" i="14"/>
  <c r="N429" i="14"/>
  <c r="I443" i="14"/>
  <c r="K443" i="14"/>
  <c r="L416" i="14"/>
  <c r="N402" i="14"/>
  <c r="N389" i="14"/>
  <c r="I403" i="14"/>
  <c r="K403" i="14"/>
  <c r="N376" i="14"/>
  <c r="M363" i="14"/>
  <c r="N336" i="14"/>
  <c r="N322" i="14"/>
  <c r="N309" i="14"/>
  <c r="M323" i="14"/>
  <c r="N296" i="14"/>
  <c r="K323" i="14"/>
  <c r="J323" i="14"/>
  <c r="L322" i="14"/>
  <c r="L296" i="14"/>
  <c r="I323" i="14"/>
  <c r="L336" i="14"/>
  <c r="N432" i="14"/>
  <c r="N442" i="14" s="1"/>
  <c r="L310" i="14"/>
  <c r="L376" i="14"/>
  <c r="Q180" i="25" l="1"/>
  <c r="K171" i="25"/>
  <c r="K186" i="25"/>
  <c r="L179" i="25"/>
  <c r="L178" i="25" s="1"/>
  <c r="S9" i="25"/>
  <c r="E179" i="25"/>
  <c r="E178" i="25" s="1"/>
  <c r="P180" i="25"/>
  <c r="O180" i="25"/>
  <c r="T9" i="25"/>
  <c r="G179" i="25"/>
  <c r="L9" i="25"/>
  <c r="N179" i="25"/>
  <c r="K9" i="25"/>
  <c r="L164" i="25"/>
  <c r="P9" i="25"/>
  <c r="N164" i="25"/>
  <c r="P14" i="25"/>
  <c r="O14" i="25"/>
  <c r="L14" i="25"/>
  <c r="S14" i="25"/>
  <c r="E183" i="25" s="1"/>
  <c r="K14" i="25"/>
  <c r="T14" i="25"/>
  <c r="G183" i="25" s="1"/>
  <c r="D288" i="14"/>
  <c r="D289" i="14" s="1"/>
  <c r="D290" i="14" s="1"/>
  <c r="N403" i="14"/>
  <c r="L363" i="14"/>
  <c r="J16" i="25"/>
  <c r="N16" i="25"/>
  <c r="R16" i="25"/>
  <c r="D185" i="25" s="1"/>
  <c r="L443" i="14"/>
  <c r="D166" i="14"/>
  <c r="M444" i="14"/>
  <c r="N443" i="14"/>
  <c r="N363" i="14"/>
  <c r="N323" i="14"/>
  <c r="K444" i="14"/>
  <c r="J444" i="14"/>
  <c r="L403" i="14"/>
  <c r="I444" i="14"/>
  <c r="L323" i="14"/>
  <c r="N274" i="14"/>
  <c r="L183" i="25" l="1"/>
  <c r="N183" i="25"/>
  <c r="H179" i="25"/>
  <c r="H178" i="25" s="1"/>
  <c r="J179" i="25"/>
  <c r="J178" i="25" s="1"/>
  <c r="I179" i="25"/>
  <c r="I178" i="25" s="1"/>
  <c r="G178" i="25"/>
  <c r="P179" i="25"/>
  <c r="P178" i="25" s="1"/>
  <c r="O179" i="25"/>
  <c r="O178" i="25" s="1"/>
  <c r="Q179" i="25"/>
  <c r="Q178" i="25" s="1"/>
  <c r="N178" i="25"/>
  <c r="J183" i="25"/>
  <c r="I183" i="25"/>
  <c r="H183" i="25"/>
  <c r="L168" i="25"/>
  <c r="K170" i="25"/>
  <c r="N168" i="25"/>
  <c r="L13" i="25"/>
  <c r="T13" i="25"/>
  <c r="G182" i="25" s="1"/>
  <c r="P13" i="25"/>
  <c r="S13" i="25"/>
  <c r="E182" i="25" s="1"/>
  <c r="E181" i="25" s="1"/>
  <c r="K13" i="25"/>
  <c r="O13" i="25"/>
  <c r="O12" i="25" s="1"/>
  <c r="D291" i="14"/>
  <c r="J18" i="25"/>
  <c r="R18" i="25"/>
  <c r="D187" i="25" s="1"/>
  <c r="N18" i="25"/>
  <c r="D167" i="14"/>
  <c r="N444" i="14"/>
  <c r="L444" i="14"/>
  <c r="K187" i="25" l="1"/>
  <c r="L182" i="25"/>
  <c r="L181" i="25" s="1"/>
  <c r="Q183" i="25"/>
  <c r="O183" i="25"/>
  <c r="P183" i="25"/>
  <c r="N182" i="25"/>
  <c r="O182" i="25" s="1"/>
  <c r="J182" i="25"/>
  <c r="J181" i="25" s="1"/>
  <c r="I182" i="25"/>
  <c r="I181" i="25" s="1"/>
  <c r="H182" i="25"/>
  <c r="H181" i="25" s="1"/>
  <c r="G181" i="25"/>
  <c r="L167" i="25"/>
  <c r="K172" i="25"/>
  <c r="P12" i="25"/>
  <c r="N167" i="25"/>
  <c r="S12" i="25"/>
  <c r="T12" i="25"/>
  <c r="L12" i="25"/>
  <c r="K12" i="25"/>
  <c r="D292" i="14"/>
  <c r="N19" i="25"/>
  <c r="N15" i="25" s="1"/>
  <c r="J19" i="25"/>
  <c r="R19" i="25"/>
  <c r="L267" i="14"/>
  <c r="O181" i="25" l="1"/>
  <c r="K188" i="25"/>
  <c r="R15" i="25"/>
  <c r="D188" i="25"/>
  <c r="D184" i="25" s="1"/>
  <c r="D177" i="25" s="1"/>
  <c r="Q182" i="25"/>
  <c r="Q181" i="25" s="1"/>
  <c r="N181" i="25"/>
  <c r="P182" i="25"/>
  <c r="P181" i="25" s="1"/>
  <c r="J15" i="25"/>
  <c r="K173" i="25"/>
  <c r="S17" i="25"/>
  <c r="E186" i="25" s="1"/>
  <c r="L17" i="25"/>
  <c r="O17" i="25"/>
  <c r="P17" i="25"/>
  <c r="K17" i="25"/>
  <c r="T17" i="25"/>
  <c r="G186" i="25" s="1"/>
  <c r="D293" i="14"/>
  <c r="L186" i="25" l="1"/>
  <c r="N186" i="25"/>
  <c r="H186" i="25"/>
  <c r="J186" i="25"/>
  <c r="I186" i="25"/>
  <c r="L171" i="25"/>
  <c r="N171" i="25"/>
  <c r="K16" i="25"/>
  <c r="S16" i="25"/>
  <c r="E185" i="25" s="1"/>
  <c r="L16" i="25"/>
  <c r="T16" i="25"/>
  <c r="G185" i="25" s="1"/>
  <c r="P16" i="25"/>
  <c r="O16" i="25"/>
  <c r="D294" i="14"/>
  <c r="Q245" i="14"/>
  <c r="R245" i="14" s="1"/>
  <c r="Q244" i="14"/>
  <c r="R244" i="14" s="1"/>
  <c r="Q243" i="14"/>
  <c r="R243" i="14" s="1"/>
  <c r="Q242" i="14"/>
  <c r="R242" i="14" s="1"/>
  <c r="Q241" i="14"/>
  <c r="R241" i="14" s="1"/>
  <c r="Q240" i="14"/>
  <c r="R240" i="14" s="1"/>
  <c r="Q239" i="14"/>
  <c r="R239" i="14" s="1"/>
  <c r="Q186" i="25" l="1"/>
  <c r="O186" i="25"/>
  <c r="P186" i="25"/>
  <c r="H185" i="25"/>
  <c r="I185" i="25"/>
  <c r="J185" i="25"/>
  <c r="L170" i="25"/>
  <c r="N170" i="25"/>
  <c r="S18" i="25"/>
  <c r="E187" i="25" s="1"/>
  <c r="P18" i="25"/>
  <c r="L18" i="25"/>
  <c r="O18" i="25"/>
  <c r="T18" i="25"/>
  <c r="G187" i="25" s="1"/>
  <c r="K18" i="25"/>
  <c r="D295" i="14"/>
  <c r="G31" i="25" s="1"/>
  <c r="V201" i="14"/>
  <c r="V200" i="14"/>
  <c r="V199" i="14"/>
  <c r="V198" i="14"/>
  <c r="V197" i="14"/>
  <c r="V196" i="14"/>
  <c r="V195" i="14"/>
  <c r="V194" i="14"/>
  <c r="L187" i="25" l="1"/>
  <c r="N187" i="25"/>
  <c r="P187" i="25" s="1"/>
  <c r="J187" i="25"/>
  <c r="I187" i="25"/>
  <c r="H187" i="25"/>
  <c r="L172" i="25"/>
  <c r="G36" i="25"/>
  <c r="E33" i="25"/>
  <c r="I33" i="25"/>
  <c r="I31" i="25"/>
  <c r="G30" i="25"/>
  <c r="N172" i="25"/>
  <c r="E35" i="25"/>
  <c r="T19" i="25"/>
  <c r="E34" i="25"/>
  <c r="L19" i="25"/>
  <c r="S19" i="25"/>
  <c r="K19" i="25"/>
  <c r="G28" i="25"/>
  <c r="P19" i="25"/>
  <c r="O19" i="25"/>
  <c r="O15" i="25" s="1"/>
  <c r="I35" i="25"/>
  <c r="E31" i="25"/>
  <c r="I30" i="25"/>
  <c r="I28" i="25"/>
  <c r="G34" i="25"/>
  <c r="G33" i="25"/>
  <c r="E30" i="25"/>
  <c r="I36" i="25"/>
  <c r="E28" i="25"/>
  <c r="E36" i="25"/>
  <c r="I34" i="25"/>
  <c r="G35" i="25"/>
  <c r="G50" i="25"/>
  <c r="G49" i="25"/>
  <c r="G48" i="25"/>
  <c r="G47" i="25"/>
  <c r="G46" i="25"/>
  <c r="G44" i="25"/>
  <c r="G43" i="25"/>
  <c r="G41" i="25"/>
  <c r="K236" i="14"/>
  <c r="L188" i="25" l="1"/>
  <c r="L184" i="25" s="1"/>
  <c r="L177" i="25" s="1"/>
  <c r="S15" i="25"/>
  <c r="E188" i="25"/>
  <c r="E184" i="25" s="1"/>
  <c r="E177" i="25" s="1"/>
  <c r="O187" i="25"/>
  <c r="Q187" i="25"/>
  <c r="T15" i="25"/>
  <c r="G188" i="25"/>
  <c r="L15" i="25"/>
  <c r="N188" i="25"/>
  <c r="K15" i="25"/>
  <c r="L173" i="25"/>
  <c r="P15" i="25"/>
  <c r="N173" i="25"/>
  <c r="I32" i="25"/>
  <c r="E32" i="25"/>
  <c r="G32" i="25"/>
  <c r="E29" i="25"/>
  <c r="I29" i="25"/>
  <c r="G184" i="25" l="1"/>
  <c r="G177" i="25" s="1"/>
  <c r="J188" i="25"/>
  <c r="J184" i="25" s="1"/>
  <c r="I188" i="25"/>
  <c r="I184" i="25" s="1"/>
  <c r="H188" i="25"/>
  <c r="H184" i="25" s="1"/>
  <c r="N184" i="25"/>
  <c r="N177" i="25" s="1"/>
  <c r="Q188" i="25"/>
  <c r="Q184" i="25" s="1"/>
  <c r="O188" i="25"/>
  <c r="P188" i="25"/>
  <c r="P184" i="25" s="1"/>
  <c r="K33" i="25"/>
  <c r="K36" i="25"/>
  <c r="K35" i="25"/>
  <c r="K34" i="25"/>
  <c r="K31" i="25"/>
  <c r="K30" i="25"/>
  <c r="J177" i="25" l="1"/>
  <c r="I177" i="25"/>
  <c r="H177" i="25"/>
  <c r="O177" i="25"/>
  <c r="Q177" i="25"/>
  <c r="I56" i="25"/>
  <c r="I57" i="25"/>
  <c r="I58" i="25"/>
  <c r="I59" i="25"/>
  <c r="I60" i="25"/>
  <c r="I61" i="25"/>
  <c r="I62" i="25"/>
  <c r="I63" i="25"/>
  <c r="I64" i="25"/>
  <c r="I65" i="25"/>
  <c r="I66" i="25"/>
  <c r="G29" i="25"/>
  <c r="L56" i="25" l="1"/>
  <c r="L57" i="25"/>
  <c r="L58" i="25"/>
  <c r="L59" i="25"/>
  <c r="L60" i="25"/>
  <c r="L61" i="25"/>
  <c r="L62" i="25"/>
  <c r="L63" i="25"/>
  <c r="L64" i="25"/>
  <c r="L65" i="25"/>
  <c r="L66" i="25"/>
  <c r="P195" i="14" l="1"/>
  <c r="G173" i="25" l="1"/>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E199" i="25" s="1"/>
  <c r="D152" i="25"/>
  <c r="D155" i="25"/>
  <c r="D157" i="25"/>
  <c r="E150" i="25"/>
  <c r="D158" i="25"/>
  <c r="D150" i="25"/>
  <c r="U11" i="25"/>
  <c r="D156" i="25"/>
  <c r="E149" i="25"/>
  <c r="D149" i="25"/>
  <c r="E156" i="25"/>
  <c r="D153" i="25"/>
  <c r="E153" i="25"/>
  <c r="E152" i="25"/>
  <c r="E155" i="25"/>
  <c r="X19" i="25"/>
  <c r="G158" i="25"/>
  <c r="H158" i="25" s="1"/>
  <c r="W18" i="25"/>
  <c r="E204" i="25" s="1"/>
  <c r="E157" i="25"/>
  <c r="W11" i="25"/>
  <c r="E197" i="25" s="1"/>
  <c r="W14" i="25"/>
  <c r="E200" i="25" s="1"/>
  <c r="W19" i="25"/>
  <c r="E205" i="25" s="1"/>
  <c r="E158" i="25"/>
  <c r="X16" i="25"/>
  <c r="X14" i="25"/>
  <c r="X13" i="25"/>
  <c r="W17" i="25"/>
  <c r="E203" i="25" s="1"/>
  <c r="X10" i="25"/>
  <c r="X11" i="25"/>
  <c r="U18" i="25"/>
  <c r="U19" i="25"/>
  <c r="U13" i="25"/>
  <c r="U14" i="25"/>
  <c r="W10" i="25"/>
  <c r="E196" i="25" s="1"/>
  <c r="U10" i="25"/>
  <c r="X18" i="25"/>
  <c r="X17" i="25"/>
  <c r="W16" i="25"/>
  <c r="E202" i="25" s="1"/>
  <c r="U17" i="25"/>
  <c r="E195" i="25" l="1"/>
  <c r="E198" i="25"/>
  <c r="E201" i="25"/>
  <c r="W12" i="25"/>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E194" i="25" l="1"/>
  <c r="N195" i="25"/>
  <c r="N199" i="25"/>
  <c r="N156" i="25"/>
  <c r="O156" i="25" s="1"/>
  <c r="N155" i="25"/>
  <c r="O155" i="25" s="1"/>
  <c r="N158" i="25"/>
  <c r="O158" i="25" s="1"/>
  <c r="N202" i="25"/>
  <c r="N203" i="25"/>
  <c r="O203" i="25" s="1"/>
  <c r="N157" i="25"/>
  <c r="O157" i="25" s="1"/>
  <c r="N204" i="25"/>
  <c r="N153" i="25"/>
  <c r="O153" i="25" s="1"/>
  <c r="N152" i="25"/>
  <c r="O152" i="25" s="1"/>
  <c r="N149" i="25"/>
  <c r="O149" i="25" s="1"/>
  <c r="N150" i="25"/>
  <c r="O150" i="25" s="1"/>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L202" i="14" l="1"/>
  <c r="O170" i="25"/>
  <c r="N169" i="25"/>
  <c r="N163" i="25"/>
  <c r="N166" i="25"/>
  <c r="O195" i="25"/>
  <c r="O202" i="25"/>
  <c r="N201" i="25"/>
  <c r="O199" i="25"/>
  <c r="O198" i="25" s="1"/>
  <c r="N198" i="25"/>
  <c r="AC19" i="25"/>
  <c r="O204" i="25"/>
  <c r="O171" i="25"/>
  <c r="O173" i="25"/>
  <c r="Q173" i="25"/>
  <c r="O172" i="25"/>
  <c r="O167" i="25"/>
  <c r="O168" i="25"/>
  <c r="O164" i="25"/>
  <c r="O165"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AB8"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V16" i="25"/>
  <c r="V18" i="25"/>
  <c r="V19" i="25"/>
  <c r="V13" i="25"/>
  <c r="V17" i="25"/>
  <c r="V10" i="25"/>
  <c r="V11" i="25"/>
  <c r="G196" i="25"/>
  <c r="H196" i="25" s="1"/>
  <c r="H172" i="25"/>
  <c r="H168" i="25"/>
  <c r="H164" i="25"/>
  <c r="H163" i="25" s="1"/>
  <c r="H171" i="25"/>
  <c r="H167" i="25"/>
  <c r="G37" i="25"/>
  <c r="H166" i="25" l="1"/>
  <c r="H169" i="25"/>
  <c r="V15" i="25"/>
  <c r="V9" i="25"/>
  <c r="F9" i="25" s="1"/>
  <c r="V12" i="25"/>
  <c r="F12" i="25" s="1"/>
  <c r="K150" i="25"/>
  <c r="P165" i="25"/>
  <c r="K149" i="25"/>
  <c r="P171" i="25"/>
  <c r="K156" i="25"/>
  <c r="K152" i="25"/>
  <c r="P173" i="25"/>
  <c r="K158" i="25"/>
  <c r="K157" i="25"/>
  <c r="P172" i="25"/>
  <c r="P168" i="25"/>
  <c r="K153" i="25"/>
  <c r="K203" i="25"/>
  <c r="P203" i="25" s="1"/>
  <c r="K197" i="25"/>
  <c r="P197" i="25" s="1"/>
  <c r="K199" i="25"/>
  <c r="K205" i="25"/>
  <c r="P205" i="25" s="1"/>
  <c r="K204" i="25"/>
  <c r="P204" i="25" s="1"/>
  <c r="K200" i="25"/>
  <c r="P200" i="25" s="1"/>
  <c r="D196" i="25"/>
  <c r="K196" i="25"/>
  <c r="G42" i="25"/>
  <c r="K42" i="25" s="1"/>
  <c r="H12" i="25"/>
  <c r="N151" i="14"/>
  <c r="N150" i="14"/>
  <c r="P167" i="25" l="1"/>
  <c r="P166" i="25" s="1"/>
  <c r="K166" i="25"/>
  <c r="P164" i="25"/>
  <c r="P163" i="25" s="1"/>
  <c r="K163" i="25"/>
  <c r="P199" i="25"/>
  <c r="P198" i="25" s="1"/>
  <c r="K198" i="25"/>
  <c r="P196" i="25"/>
  <c r="P195" i="25" s="1"/>
  <c r="K195" i="25"/>
  <c r="I41" i="25"/>
  <c r="K41" i="25" s="1"/>
  <c r="H9" i="25"/>
  <c r="J175" i="14"/>
  <c r="AC17" i="25" s="1"/>
  <c r="J177" i="14"/>
  <c r="AC18" i="25" s="1"/>
  <c r="J176" i="14"/>
  <c r="J173" i="14"/>
  <c r="J172" i="14"/>
  <c r="J171" i="14"/>
  <c r="I51" i="25" l="1"/>
  <c r="L157" i="25"/>
  <c r="Q172" i="25"/>
  <c r="L204" i="25"/>
  <c r="Q204" i="25" s="1"/>
  <c r="Q171" i="25"/>
  <c r="L156" i="25"/>
  <c r="L203" i="25"/>
  <c r="Q203" i="25" s="1"/>
  <c r="P177" i="14"/>
  <c r="P171" i="14"/>
  <c r="P172" i="14"/>
  <c r="P173" i="14"/>
  <c r="P176" i="14"/>
  <c r="P175" i="14"/>
  <c r="J149" i="14"/>
  <c r="AC10" i="25" s="1"/>
  <c r="J150" i="14"/>
  <c r="J151" i="14"/>
  <c r="AC13" i="25" s="1"/>
  <c r="J154" i="14"/>
  <c r="AC16" i="25" s="1"/>
  <c r="O185" i="25" s="1"/>
  <c r="O184" i="25" s="1"/>
  <c r="AC14" i="25" l="1"/>
  <c r="AC12" i="25" s="1"/>
  <c r="L155" i="25"/>
  <c r="L202" i="25"/>
  <c r="L152" i="25"/>
  <c r="L199" i="25"/>
  <c r="L153" i="25"/>
  <c r="Q168" i="25"/>
  <c r="L200" i="25"/>
  <c r="Q200" i="25" s="1"/>
  <c r="L149" i="25"/>
  <c r="L196" i="25"/>
  <c r="S150" i="14"/>
  <c r="S154" i="14"/>
  <c r="S151" i="14"/>
  <c r="S149" i="14"/>
  <c r="Y17" i="25"/>
  <c r="I17" i="25" s="1"/>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AC15" i="25"/>
  <c r="AC11" i="25"/>
  <c r="AC9" i="25" s="1"/>
  <c r="M180" i="14"/>
  <c r="M283" i="14" s="1"/>
  <c r="I180" i="14"/>
  <c r="I283" i="14" s="1"/>
  <c r="T168" i="14"/>
  <c r="Q165" i="25"/>
  <c r="L150" i="25"/>
  <c r="L197" i="25"/>
  <c r="Q197" i="25" s="1"/>
  <c r="Y13" i="25"/>
  <c r="Y16" i="25"/>
  <c r="K185" i="25" s="1"/>
  <c r="K184" i="25" s="1"/>
  <c r="K177" i="25" s="1"/>
  <c r="P177" i="25" s="1"/>
  <c r="Y10" i="25"/>
  <c r="L174" i="14"/>
  <c r="P174" i="14"/>
  <c r="J179" i="14"/>
  <c r="L179" i="14" s="1"/>
  <c r="J168" i="14"/>
  <c r="N168" i="14"/>
  <c r="N179" i="14"/>
  <c r="L169" i="14"/>
  <c r="L169" i="25" l="1"/>
  <c r="Q169" i="25"/>
  <c r="L163" i="25"/>
  <c r="Q163" i="25"/>
  <c r="Q201" i="25"/>
  <c r="L201" i="25"/>
  <c r="L195" i="25"/>
  <c r="Q195" i="25"/>
  <c r="I16" i="25"/>
  <c r="I13" i="25"/>
  <c r="I10" i="25"/>
  <c r="AA8" i="25"/>
  <c r="L168" i="14"/>
  <c r="Y11" i="25"/>
  <c r="I11" i="25" s="1"/>
  <c r="Y14" i="25"/>
  <c r="I14" i="25" s="1"/>
  <c r="AC8" i="25" l="1"/>
  <c r="E8" i="25"/>
  <c r="Y12" i="25"/>
  <c r="I12" i="25" s="1"/>
  <c r="Y9" i="25"/>
  <c r="I9" i="25" s="1"/>
  <c r="G12" i="25"/>
  <c r="G9" i="25"/>
  <c r="F121" i="25" l="1"/>
  <c r="F123" i="25"/>
  <c r="F114" i="25" l="1"/>
  <c r="F118" i="25"/>
  <c r="F122" i="25"/>
  <c r="F116" i="25"/>
  <c r="F124" i="25"/>
  <c r="F115" i="25"/>
  <c r="F119" i="25"/>
  <c r="F125" i="25"/>
  <c r="O109" i="14"/>
  <c r="O107" i="14"/>
  <c r="O106" i="14"/>
  <c r="O105" i="14"/>
  <c r="O104" i="14"/>
  <c r="O103" i="14"/>
  <c r="O102" i="14"/>
  <c r="O101" i="14"/>
  <c r="O100" i="14"/>
  <c r="F86" i="25" l="1"/>
  <c r="F84" i="25"/>
  <c r="F85" i="25"/>
  <c r="F87" i="25"/>
  <c r="F80" i="25"/>
  <c r="F83" i="25"/>
  <c r="F81" i="25"/>
  <c r="F78" i="25"/>
  <c r="F132" i="25" l="1"/>
  <c r="F133" i="25"/>
  <c r="F134" i="25"/>
  <c r="F136" i="25"/>
  <c r="F137" i="25"/>
  <c r="F139" i="25"/>
  <c r="F140" i="25"/>
  <c r="F141" i="25"/>
  <c r="F142" i="25"/>
  <c r="F143" i="25"/>
  <c r="M132" i="25"/>
  <c r="M133" i="25"/>
  <c r="M134" i="25"/>
  <c r="M136" i="25"/>
  <c r="M137" i="25"/>
  <c r="M139" i="25"/>
  <c r="M140" i="25"/>
  <c r="M141" i="25"/>
  <c r="M142" i="25"/>
  <c r="M143" i="25"/>
  <c r="F138" i="25" l="1"/>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49"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E162" i="25"/>
  <c r="J162" i="25" s="1"/>
  <c r="T12" i="14"/>
  <c r="P92"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K29" i="25" l="1"/>
  <c r="D116" i="25" l="1"/>
  <c r="F117" i="25" l="1"/>
  <c r="F113" i="25" l="1"/>
  <c r="F120" i="25"/>
  <c r="F112" i="25" l="1"/>
  <c r="D143" i="25" l="1"/>
  <c r="D142" i="25"/>
  <c r="D140" i="25"/>
  <c r="D139" i="25"/>
  <c r="D136" i="25"/>
  <c r="D134" i="25"/>
  <c r="D133" i="25"/>
  <c r="D132" i="25"/>
  <c r="E143" i="25"/>
  <c r="D131" i="25" l="1"/>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Q82" i="23"/>
  <c r="P82" i="23"/>
  <c r="O82" i="23"/>
  <c r="N82" i="23"/>
  <c r="M82" i="23"/>
  <c r="L82" i="23"/>
  <c r="K82" i="23"/>
  <c r="J82" i="23"/>
  <c r="I82" i="23"/>
  <c r="H82" i="23"/>
  <c r="G82" i="23"/>
  <c r="Q81" i="23"/>
  <c r="P81" i="23"/>
  <c r="O81" i="23"/>
  <c r="N81" i="23"/>
  <c r="M81" i="23"/>
  <c r="L81" i="23"/>
  <c r="K81" i="23"/>
  <c r="J81" i="23"/>
  <c r="I81" i="23"/>
  <c r="H81" i="23"/>
  <c r="G81" i="23"/>
  <c r="Q80" i="23"/>
  <c r="P80" i="23"/>
  <c r="O80" i="23"/>
  <c r="N80" i="23"/>
  <c r="D141" i="25" s="1"/>
  <c r="D138" i="25" s="1"/>
  <c r="M80" i="23"/>
  <c r="L80" i="23"/>
  <c r="K80" i="23"/>
  <c r="J80" i="23"/>
  <c r="I80" i="23"/>
  <c r="H80" i="23"/>
  <c r="H77" i="23" s="1"/>
  <c r="G80" i="23"/>
  <c r="Q79" i="23"/>
  <c r="P79" i="23"/>
  <c r="O79" i="23"/>
  <c r="N79" i="23"/>
  <c r="M79" i="23"/>
  <c r="L79" i="23"/>
  <c r="K79" i="23"/>
  <c r="J79" i="23"/>
  <c r="I79" i="23"/>
  <c r="H79" i="23"/>
  <c r="G79" i="23"/>
  <c r="Q78" i="23"/>
  <c r="P78" i="23"/>
  <c r="O78" i="23"/>
  <c r="N78" i="23"/>
  <c r="M78" i="23"/>
  <c r="L78" i="23"/>
  <c r="K78" i="23"/>
  <c r="J78" i="23"/>
  <c r="I78" i="23"/>
  <c r="H78" i="23"/>
  <c r="G78" i="23"/>
  <c r="F82" i="23"/>
  <c r="R82" i="23" s="1"/>
  <c r="F81" i="23"/>
  <c r="F80" i="23"/>
  <c r="F79" i="23"/>
  <c r="F78" i="23"/>
  <c r="Q76" i="23"/>
  <c r="P76" i="23"/>
  <c r="O76" i="23"/>
  <c r="N76" i="23"/>
  <c r="D137" i="25" s="1"/>
  <c r="D135" i="25" s="1"/>
  <c r="M76" i="23"/>
  <c r="L76" i="23"/>
  <c r="K76" i="23"/>
  <c r="J76" i="23"/>
  <c r="J74" i="23" s="1"/>
  <c r="I76" i="23"/>
  <c r="I74" i="23" s="1"/>
  <c r="H76" i="23"/>
  <c r="H74" i="23" s="1"/>
  <c r="G76" i="23"/>
  <c r="R76" i="23" s="1"/>
  <c r="Q75" i="23"/>
  <c r="P75" i="23"/>
  <c r="O75" i="23"/>
  <c r="N75" i="23"/>
  <c r="M75" i="23"/>
  <c r="M74" i="23" s="1"/>
  <c r="L75" i="23"/>
  <c r="K75" i="23"/>
  <c r="J75" i="23"/>
  <c r="I75" i="23"/>
  <c r="H75" i="23"/>
  <c r="G75" i="23"/>
  <c r="F76" i="23"/>
  <c r="F75" i="23"/>
  <c r="Q73" i="23"/>
  <c r="P73" i="23"/>
  <c r="O73" i="23"/>
  <c r="N73" i="23"/>
  <c r="M73" i="23"/>
  <c r="L73" i="23"/>
  <c r="K73" i="23"/>
  <c r="J73" i="23"/>
  <c r="I73" i="23"/>
  <c r="H73" i="23"/>
  <c r="G73" i="23"/>
  <c r="Q72" i="23"/>
  <c r="P72" i="23"/>
  <c r="O72" i="23"/>
  <c r="N72" i="23"/>
  <c r="M72" i="23"/>
  <c r="L72" i="23"/>
  <c r="K72" i="23"/>
  <c r="J72" i="23"/>
  <c r="I72" i="23"/>
  <c r="H72" i="23"/>
  <c r="G72" i="23"/>
  <c r="Q71" i="23"/>
  <c r="P71" i="23"/>
  <c r="O71" i="23"/>
  <c r="N71" i="23"/>
  <c r="M71" i="23"/>
  <c r="L71" i="23"/>
  <c r="K71" i="23"/>
  <c r="J71" i="23"/>
  <c r="I71" i="23"/>
  <c r="H71" i="23"/>
  <c r="G71" i="23"/>
  <c r="F73" i="23"/>
  <c r="F72" i="23"/>
  <c r="F71" i="23"/>
  <c r="Q77" i="23"/>
  <c r="O77" i="23"/>
  <c r="L77" i="23"/>
  <c r="I77" i="23"/>
  <c r="G77" i="23"/>
  <c r="Q74" i="23"/>
  <c r="P74" i="23"/>
  <c r="K74" i="23"/>
  <c r="Q70" i="23"/>
  <c r="P70" i="23"/>
  <c r="O70" i="23"/>
  <c r="N70" i="23"/>
  <c r="M70" i="23"/>
  <c r="L70" i="23"/>
  <c r="K70" i="23"/>
  <c r="J70" i="23"/>
  <c r="I70" i="23"/>
  <c r="H70" i="23"/>
  <c r="G70" i="23"/>
  <c r="K131" i="25" l="1"/>
  <c r="P143" i="25"/>
  <c r="H141" i="25"/>
  <c r="H137" i="25"/>
  <c r="G74" i="23"/>
  <c r="O74" i="23"/>
  <c r="O69" i="23" s="1"/>
  <c r="O67" i="23" s="1"/>
  <c r="L74" i="23"/>
  <c r="D130" i="25"/>
  <c r="N74" i="23"/>
  <c r="I69" i="23"/>
  <c r="I67" i="23" s="1"/>
  <c r="G69" i="23"/>
  <c r="G67" i="23" s="1"/>
  <c r="N77" i="23"/>
  <c r="N69" i="23" s="1"/>
  <c r="N67" i="23" s="1"/>
  <c r="K77" i="23"/>
  <c r="K69" i="23" s="1"/>
  <c r="K67" i="23" s="1"/>
  <c r="P77" i="23"/>
  <c r="M77" i="23"/>
  <c r="M69" i="23" s="1"/>
  <c r="M67" i="23" s="1"/>
  <c r="J77" i="23"/>
  <c r="Q69" i="23"/>
  <c r="Q67" i="23" s="1"/>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P69" i="23"/>
  <c r="P67" i="23" s="1"/>
  <c r="R78" i="23"/>
  <c r="H69" i="23"/>
  <c r="H67" i="23" s="1"/>
  <c r="R79" i="23"/>
  <c r="L69" i="23"/>
  <c r="L67" i="23" s="1"/>
  <c r="R80" i="23"/>
  <c r="R81" i="23"/>
  <c r="F77" i="23"/>
  <c r="R77" i="23" s="1"/>
  <c r="R75" i="23"/>
  <c r="F74" i="23"/>
  <c r="J69" i="23"/>
  <c r="J67" i="23" s="1"/>
  <c r="R72" i="23"/>
  <c r="R73" i="23"/>
  <c r="F70" i="23"/>
  <c r="R70" i="23" s="1"/>
  <c r="R71" i="23"/>
  <c r="K137" i="25" l="1"/>
  <c r="D102" i="25"/>
  <c r="R74" i="23"/>
  <c r="I152" i="25"/>
  <c r="I155" i="25"/>
  <c r="K141" i="25"/>
  <c r="D106" i="25"/>
  <c r="O131" i="25"/>
  <c r="Q131" i="25"/>
  <c r="H138" i="25"/>
  <c r="J138" i="25"/>
  <c r="Q138" i="25"/>
  <c r="G130" i="25"/>
  <c r="J130" i="25" s="1"/>
  <c r="N130" i="25"/>
  <c r="Q135" i="25"/>
  <c r="J96" i="25"/>
  <c r="G95" i="25"/>
  <c r="J100" i="25"/>
  <c r="H96" i="25"/>
  <c r="J103" i="25"/>
  <c r="M117" i="25"/>
  <c r="F95" i="25"/>
  <c r="M113" i="25"/>
  <c r="M120" i="25"/>
  <c r="F69" i="23"/>
  <c r="H102" i="25" l="1"/>
  <c r="D100" i="25"/>
  <c r="H100" i="25" s="1"/>
  <c r="K135" i="25"/>
  <c r="O135" i="25" s="1"/>
  <c r="O137" i="25"/>
  <c r="R69" i="23"/>
  <c r="F67" i="23"/>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K28" i="25" l="1"/>
  <c r="G148" i="25"/>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G198" i="25" l="1"/>
  <c r="H198" i="25" s="1"/>
  <c r="V8" i="25"/>
  <c r="F15" i="25"/>
  <c r="K154" i="25" s="1"/>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D194" i="25" l="1"/>
  <c r="F8" i="25"/>
  <c r="K147" i="25" s="1"/>
  <c r="I195" i="25"/>
  <c r="I198" i="25"/>
  <c r="K162" i="25"/>
  <c r="H11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194" i="25" l="1"/>
  <c r="O194" i="25"/>
  <c r="L82" i="25"/>
  <c r="H88" i="25"/>
  <c r="J79" i="25"/>
  <c r="L79" i="25" s="1"/>
  <c r="O113" i="25"/>
  <c r="N112" i="25"/>
  <c r="Q112" i="25" s="1"/>
  <c r="O117" i="25"/>
  <c r="O120" i="25"/>
  <c r="Q120" i="25"/>
  <c r="J88" i="25" l="1"/>
  <c r="L88" i="25" s="1"/>
  <c r="O112" i="25"/>
  <c r="R11" i="14" l="1"/>
  <c r="E142" i="25"/>
  <c r="E141" i="25"/>
  <c r="E140" i="25"/>
  <c r="E139" i="25"/>
  <c r="E137" i="25"/>
  <c r="E136" i="25"/>
  <c r="E132" i="25"/>
  <c r="Q73" i="14"/>
  <c r="Q62" i="14"/>
  <c r="Q51" i="14"/>
  <c r="Q28" i="14"/>
  <c r="Q62" i="23"/>
  <c r="P62" i="23"/>
  <c r="O62" i="23"/>
  <c r="N62" i="23"/>
  <c r="M62" i="23"/>
  <c r="L62" i="23"/>
  <c r="K62" i="23"/>
  <c r="J62" i="23"/>
  <c r="I62" i="23"/>
  <c r="H62" i="23"/>
  <c r="G62" i="23"/>
  <c r="F62" i="23"/>
  <c r="AH61" i="23"/>
  <c r="AG61" i="23"/>
  <c r="AF61" i="23"/>
  <c r="AE61" i="23"/>
  <c r="T61" i="23"/>
  <c r="U61" i="23" s="1"/>
  <c r="V61" i="23" s="1"/>
  <c r="W61" i="23" s="1"/>
  <c r="X61" i="23" s="1"/>
  <c r="Y61" i="23" s="1"/>
  <c r="Z61" i="23" s="1"/>
  <c r="AA61" i="23" s="1"/>
  <c r="AB61" i="23" s="1"/>
  <c r="AC61" i="23" s="1"/>
  <c r="R61" i="23"/>
  <c r="AH60" i="23"/>
  <c r="AG60" i="23"/>
  <c r="AF60" i="23"/>
  <c r="AE60" i="23"/>
  <c r="T60" i="23"/>
  <c r="U60" i="23" s="1"/>
  <c r="V60" i="23" s="1"/>
  <c r="W60" i="23" s="1"/>
  <c r="X60" i="23" s="1"/>
  <c r="Y60" i="23" s="1"/>
  <c r="Z60" i="23" s="1"/>
  <c r="AA60" i="23" s="1"/>
  <c r="AB60" i="23" s="1"/>
  <c r="AC60" i="23" s="1"/>
  <c r="R60" i="23"/>
  <c r="AH59" i="23"/>
  <c r="AG59" i="23"/>
  <c r="AF59" i="23"/>
  <c r="AE59" i="23"/>
  <c r="T59" i="23"/>
  <c r="U59" i="23" s="1"/>
  <c r="V59" i="23" s="1"/>
  <c r="W59" i="23" s="1"/>
  <c r="X59" i="23" s="1"/>
  <c r="Y59" i="23" s="1"/>
  <c r="Z59" i="23" s="1"/>
  <c r="AA59" i="23" s="1"/>
  <c r="AB59" i="23" s="1"/>
  <c r="AC59" i="23" s="1"/>
  <c r="R59" i="23"/>
  <c r="AH58" i="23"/>
  <c r="AG58" i="23"/>
  <c r="AF58" i="23"/>
  <c r="AE58" i="23"/>
  <c r="T58" i="23"/>
  <c r="U58" i="23" s="1"/>
  <c r="V58" i="23" s="1"/>
  <c r="W58" i="23" s="1"/>
  <c r="X58" i="23" s="1"/>
  <c r="Y58" i="23" s="1"/>
  <c r="Z58" i="23" s="1"/>
  <c r="AA58" i="23" s="1"/>
  <c r="AB58" i="23" s="1"/>
  <c r="AC58" i="23" s="1"/>
  <c r="R58" i="23"/>
  <c r="AH57" i="23"/>
  <c r="AG57" i="23"/>
  <c r="AF57" i="23"/>
  <c r="AE57" i="23"/>
  <c r="T57" i="23"/>
  <c r="U57" i="23" s="1"/>
  <c r="V57" i="23" s="1"/>
  <c r="W57" i="23" s="1"/>
  <c r="X57" i="23" s="1"/>
  <c r="Y57" i="23" s="1"/>
  <c r="Z57" i="23" s="1"/>
  <c r="AA57" i="23" s="1"/>
  <c r="AB57" i="23" s="1"/>
  <c r="AC57" i="23" s="1"/>
  <c r="R57" i="23"/>
  <c r="AH56" i="23"/>
  <c r="AG56" i="23"/>
  <c r="AF56" i="23"/>
  <c r="AE56" i="23"/>
  <c r="T56" i="23"/>
  <c r="U56" i="23" s="1"/>
  <c r="V56" i="23" s="1"/>
  <c r="W56" i="23" s="1"/>
  <c r="X56" i="23" s="1"/>
  <c r="Y56" i="23" s="1"/>
  <c r="Z56" i="23" s="1"/>
  <c r="AA56" i="23" s="1"/>
  <c r="AB56" i="23" s="1"/>
  <c r="AC56" i="23" s="1"/>
  <c r="R56" i="23"/>
  <c r="AH55" i="23"/>
  <c r="AG55" i="23"/>
  <c r="AF55" i="23"/>
  <c r="AE55" i="23"/>
  <c r="T55" i="23"/>
  <c r="U55" i="23" s="1"/>
  <c r="V55" i="23" s="1"/>
  <c r="W55" i="23" s="1"/>
  <c r="X55" i="23" s="1"/>
  <c r="Y55" i="23" s="1"/>
  <c r="Z55" i="23" s="1"/>
  <c r="AA55" i="23" s="1"/>
  <c r="AB55" i="23" s="1"/>
  <c r="AC55" i="23" s="1"/>
  <c r="R55" i="23"/>
  <c r="AH54" i="23"/>
  <c r="AG54" i="23"/>
  <c r="AF54" i="23"/>
  <c r="AE54" i="23"/>
  <c r="T54" i="23"/>
  <c r="U54" i="23" s="1"/>
  <c r="V54" i="23" s="1"/>
  <c r="W54" i="23" s="1"/>
  <c r="X54" i="23" s="1"/>
  <c r="Y54" i="23" s="1"/>
  <c r="Z54" i="23" s="1"/>
  <c r="AA54" i="23" s="1"/>
  <c r="AB54" i="23" s="1"/>
  <c r="AC54" i="23" s="1"/>
  <c r="R54" i="23"/>
  <c r="AH53" i="23"/>
  <c r="AG53" i="23"/>
  <c r="AF53" i="23"/>
  <c r="AE53" i="23"/>
  <c r="T53" i="23"/>
  <c r="U53" i="23" s="1"/>
  <c r="V53" i="23" s="1"/>
  <c r="W53" i="23" s="1"/>
  <c r="X53" i="23" s="1"/>
  <c r="Y53" i="23" s="1"/>
  <c r="Z53" i="23" s="1"/>
  <c r="AA53" i="23" s="1"/>
  <c r="AB53" i="23" s="1"/>
  <c r="AC53" i="23" s="1"/>
  <c r="R53" i="23"/>
  <c r="AH52" i="23"/>
  <c r="AG52" i="23"/>
  <c r="AF52" i="23"/>
  <c r="AE52" i="23"/>
  <c r="T52" i="23"/>
  <c r="U52" i="23" s="1"/>
  <c r="V52" i="23" s="1"/>
  <c r="W52" i="23" s="1"/>
  <c r="X52" i="23" s="1"/>
  <c r="Y52" i="23" s="1"/>
  <c r="Z52" i="23" s="1"/>
  <c r="AA52" i="23" s="1"/>
  <c r="AB52" i="23" s="1"/>
  <c r="AC52" i="23" s="1"/>
  <c r="R52" i="23"/>
  <c r="AH51" i="23"/>
  <c r="AG51" i="23"/>
  <c r="AF51" i="23"/>
  <c r="AE51" i="23"/>
  <c r="T51" i="23"/>
  <c r="U51" i="23" s="1"/>
  <c r="V51" i="23" s="1"/>
  <c r="W51" i="23" s="1"/>
  <c r="X51" i="23" s="1"/>
  <c r="Y51" i="23" s="1"/>
  <c r="Z51" i="23" s="1"/>
  <c r="AA51" i="23" s="1"/>
  <c r="AB51" i="23" s="1"/>
  <c r="AC51" i="23" s="1"/>
  <c r="R51" i="23"/>
  <c r="AH50" i="23"/>
  <c r="AG50" i="23"/>
  <c r="AF50" i="23"/>
  <c r="AE50" i="23"/>
  <c r="T50" i="23"/>
  <c r="U50" i="23" s="1"/>
  <c r="V50" i="23" s="1"/>
  <c r="W50" i="23" s="1"/>
  <c r="X50" i="23" s="1"/>
  <c r="Y50" i="23" s="1"/>
  <c r="Z50" i="23" s="1"/>
  <c r="AA50" i="23" s="1"/>
  <c r="AB50" i="23" s="1"/>
  <c r="AC50" i="23" s="1"/>
  <c r="R50" i="23"/>
  <c r="AH49" i="23"/>
  <c r="AG49" i="23"/>
  <c r="AF49" i="23"/>
  <c r="AE49" i="23"/>
  <c r="T49" i="23"/>
  <c r="U49" i="23" s="1"/>
  <c r="V49" i="23" s="1"/>
  <c r="W49" i="23" s="1"/>
  <c r="X49" i="23" s="1"/>
  <c r="Y49" i="23" s="1"/>
  <c r="Z49" i="23" s="1"/>
  <c r="AA49" i="23" s="1"/>
  <c r="AB49" i="23" s="1"/>
  <c r="AC49" i="23" s="1"/>
  <c r="R49" i="23"/>
  <c r="AH48" i="23"/>
  <c r="AG48" i="23"/>
  <c r="AF48" i="23"/>
  <c r="AE48" i="23"/>
  <c r="T48" i="23"/>
  <c r="U48" i="23" s="1"/>
  <c r="V48" i="23" s="1"/>
  <c r="W48" i="23" s="1"/>
  <c r="X48" i="23" s="1"/>
  <c r="Y48" i="23" s="1"/>
  <c r="Z48" i="23" s="1"/>
  <c r="AA48" i="23" s="1"/>
  <c r="AB48" i="23" s="1"/>
  <c r="AC48" i="23" s="1"/>
  <c r="R48" i="23"/>
  <c r="AH47" i="23"/>
  <c r="AG47" i="23"/>
  <c r="AF47" i="23"/>
  <c r="AE47" i="23"/>
  <c r="T47" i="23"/>
  <c r="U47" i="23" s="1"/>
  <c r="V47" i="23" s="1"/>
  <c r="W47" i="23" s="1"/>
  <c r="X47" i="23" s="1"/>
  <c r="Y47" i="23" s="1"/>
  <c r="Z47" i="23" s="1"/>
  <c r="AA47" i="23" s="1"/>
  <c r="AB47" i="23" s="1"/>
  <c r="AC47" i="23" s="1"/>
  <c r="R47" i="23"/>
  <c r="AH46" i="23"/>
  <c r="AG46" i="23"/>
  <c r="AF46" i="23"/>
  <c r="AE46" i="23"/>
  <c r="T46" i="23"/>
  <c r="U46" i="23" s="1"/>
  <c r="V46" i="23" s="1"/>
  <c r="W46" i="23" s="1"/>
  <c r="X46" i="23" s="1"/>
  <c r="Y46" i="23" s="1"/>
  <c r="Z46" i="23" s="1"/>
  <c r="AA46" i="23" s="1"/>
  <c r="AB46" i="23" s="1"/>
  <c r="AC46" i="23" s="1"/>
  <c r="R46" i="23"/>
  <c r="AH45" i="23"/>
  <c r="AG45" i="23"/>
  <c r="AF45" i="23"/>
  <c r="AE45" i="23"/>
  <c r="T45" i="23"/>
  <c r="U45" i="23" s="1"/>
  <c r="V45" i="23" s="1"/>
  <c r="W45" i="23" s="1"/>
  <c r="X45" i="23" s="1"/>
  <c r="Y45" i="23" s="1"/>
  <c r="Z45" i="23" s="1"/>
  <c r="AA45" i="23" s="1"/>
  <c r="AB45" i="23" s="1"/>
  <c r="AC45" i="23" s="1"/>
  <c r="R45" i="23"/>
  <c r="AH44" i="23"/>
  <c r="AG44" i="23"/>
  <c r="AF44" i="23"/>
  <c r="AE44" i="23"/>
  <c r="T44" i="23"/>
  <c r="U44" i="23" s="1"/>
  <c r="V44" i="23" s="1"/>
  <c r="W44" i="23" s="1"/>
  <c r="X44" i="23" s="1"/>
  <c r="Y44" i="23" s="1"/>
  <c r="Z44" i="23" s="1"/>
  <c r="AA44" i="23" s="1"/>
  <c r="AB44" i="23" s="1"/>
  <c r="AC44" i="23" s="1"/>
  <c r="R44" i="23"/>
  <c r="AH43" i="23"/>
  <c r="AG43" i="23"/>
  <c r="AF43" i="23"/>
  <c r="AE43" i="23"/>
  <c r="T43" i="23"/>
  <c r="U43" i="23" s="1"/>
  <c r="V43" i="23" s="1"/>
  <c r="W43" i="23" s="1"/>
  <c r="X43" i="23" s="1"/>
  <c r="Y43" i="23" s="1"/>
  <c r="Z43" i="23" s="1"/>
  <c r="AA43" i="23" s="1"/>
  <c r="AB43" i="23" s="1"/>
  <c r="AC43" i="23" s="1"/>
  <c r="R43" i="23"/>
  <c r="AH42" i="23"/>
  <c r="AG42" i="23"/>
  <c r="AF42" i="23"/>
  <c r="AE42" i="23"/>
  <c r="T42" i="23"/>
  <c r="U42" i="23" s="1"/>
  <c r="V42" i="23" s="1"/>
  <c r="W42" i="23" s="1"/>
  <c r="X42" i="23" s="1"/>
  <c r="Y42" i="23" s="1"/>
  <c r="Z42" i="23" s="1"/>
  <c r="AA42" i="23" s="1"/>
  <c r="AB42" i="23" s="1"/>
  <c r="AC42" i="23" s="1"/>
  <c r="R42" i="23"/>
  <c r="AH41" i="23"/>
  <c r="AG41" i="23"/>
  <c r="AF41" i="23"/>
  <c r="AE41" i="23"/>
  <c r="T41" i="23"/>
  <c r="U41" i="23" s="1"/>
  <c r="V41" i="23" s="1"/>
  <c r="W41" i="23" s="1"/>
  <c r="X41" i="23" s="1"/>
  <c r="Y41" i="23" s="1"/>
  <c r="Z41" i="23" s="1"/>
  <c r="AA41" i="23" s="1"/>
  <c r="AB41" i="23" s="1"/>
  <c r="AC41" i="23" s="1"/>
  <c r="R41" i="23"/>
  <c r="AH40" i="23"/>
  <c r="AG40" i="23"/>
  <c r="AF40" i="23"/>
  <c r="AE40" i="23"/>
  <c r="T40" i="23"/>
  <c r="U40" i="23" s="1"/>
  <c r="V40" i="23" s="1"/>
  <c r="W40" i="23" s="1"/>
  <c r="X40" i="23" s="1"/>
  <c r="Y40" i="23" s="1"/>
  <c r="Z40" i="23" s="1"/>
  <c r="AA40" i="23" s="1"/>
  <c r="AB40" i="23" s="1"/>
  <c r="AC40" i="23" s="1"/>
  <c r="R40" i="23"/>
  <c r="AH39" i="23"/>
  <c r="AG39" i="23"/>
  <c r="AF39" i="23"/>
  <c r="AE39" i="23"/>
  <c r="T39" i="23"/>
  <c r="U39" i="23" s="1"/>
  <c r="V39" i="23" s="1"/>
  <c r="W39" i="23" s="1"/>
  <c r="X39" i="23" s="1"/>
  <c r="Y39" i="23" s="1"/>
  <c r="Z39" i="23" s="1"/>
  <c r="AA39" i="23" s="1"/>
  <c r="AB39" i="23" s="1"/>
  <c r="AC39" i="23" s="1"/>
  <c r="R39" i="23"/>
  <c r="AH38" i="23"/>
  <c r="AG38" i="23"/>
  <c r="AF38" i="23"/>
  <c r="AE38" i="23"/>
  <c r="T38" i="23"/>
  <c r="U38" i="23" s="1"/>
  <c r="V38" i="23" s="1"/>
  <c r="W38" i="23" s="1"/>
  <c r="X38" i="23" s="1"/>
  <c r="Y38" i="23" s="1"/>
  <c r="Z38" i="23" s="1"/>
  <c r="AA38" i="23" s="1"/>
  <c r="AB38" i="23" s="1"/>
  <c r="AC38" i="23" s="1"/>
  <c r="R38" i="23"/>
  <c r="AH37" i="23"/>
  <c r="AG37" i="23"/>
  <c r="AF37" i="23"/>
  <c r="AE37" i="23"/>
  <c r="T37" i="23"/>
  <c r="U37" i="23" s="1"/>
  <c r="V37" i="23" s="1"/>
  <c r="W37" i="23" s="1"/>
  <c r="X37" i="23" s="1"/>
  <c r="Y37" i="23" s="1"/>
  <c r="Z37" i="23" s="1"/>
  <c r="AA37" i="23" s="1"/>
  <c r="AB37" i="23" s="1"/>
  <c r="AC37" i="23" s="1"/>
  <c r="R37" i="23"/>
  <c r="AH36" i="23"/>
  <c r="AG36" i="23"/>
  <c r="AF36" i="23"/>
  <c r="AE36" i="23"/>
  <c r="T36" i="23"/>
  <c r="U36" i="23" s="1"/>
  <c r="V36" i="23" s="1"/>
  <c r="W36" i="23" s="1"/>
  <c r="X36" i="23" s="1"/>
  <c r="Y36" i="23" s="1"/>
  <c r="Z36" i="23" s="1"/>
  <c r="AA36" i="23" s="1"/>
  <c r="AB36" i="23" s="1"/>
  <c r="AC36" i="23" s="1"/>
  <c r="R36" i="23"/>
  <c r="AH35" i="23"/>
  <c r="AG35" i="23"/>
  <c r="AF35" i="23"/>
  <c r="AE35" i="23"/>
  <c r="T35" i="23"/>
  <c r="U35" i="23" s="1"/>
  <c r="V35" i="23" s="1"/>
  <c r="W35" i="23" s="1"/>
  <c r="X35" i="23" s="1"/>
  <c r="Y35" i="23" s="1"/>
  <c r="Z35" i="23" s="1"/>
  <c r="AA35" i="23" s="1"/>
  <c r="AB35" i="23" s="1"/>
  <c r="AC35" i="23" s="1"/>
  <c r="R35" i="23"/>
  <c r="AH34" i="23"/>
  <c r="AG34" i="23"/>
  <c r="AF34" i="23"/>
  <c r="AE34" i="23"/>
  <c r="T34" i="23"/>
  <c r="U34" i="23" s="1"/>
  <c r="V34" i="23" s="1"/>
  <c r="W34" i="23" s="1"/>
  <c r="X34" i="23" s="1"/>
  <c r="Y34" i="23" s="1"/>
  <c r="Z34" i="23" s="1"/>
  <c r="AA34" i="23" s="1"/>
  <c r="AB34" i="23" s="1"/>
  <c r="AC34" i="23" s="1"/>
  <c r="R34" i="23"/>
  <c r="AH33" i="23"/>
  <c r="AG33" i="23"/>
  <c r="AF33" i="23"/>
  <c r="AE33" i="23"/>
  <c r="T33" i="23"/>
  <c r="U33" i="23" s="1"/>
  <c r="V33" i="23" s="1"/>
  <c r="W33" i="23" s="1"/>
  <c r="X33" i="23" s="1"/>
  <c r="Y33" i="23" s="1"/>
  <c r="Z33" i="23" s="1"/>
  <c r="AA33" i="23" s="1"/>
  <c r="AB33" i="23" s="1"/>
  <c r="AC33" i="23" s="1"/>
  <c r="R33" i="23"/>
  <c r="AH32" i="23"/>
  <c r="AG32" i="23"/>
  <c r="AF32" i="23"/>
  <c r="AE32" i="23"/>
  <c r="T32" i="23"/>
  <c r="U32" i="23" s="1"/>
  <c r="V32" i="23" s="1"/>
  <c r="W32" i="23" s="1"/>
  <c r="X32" i="23" s="1"/>
  <c r="Y32" i="23" s="1"/>
  <c r="Z32" i="23" s="1"/>
  <c r="AA32" i="23" s="1"/>
  <c r="AB32" i="23" s="1"/>
  <c r="AC32" i="23" s="1"/>
  <c r="R32" i="23"/>
  <c r="AH31" i="23"/>
  <c r="AG31" i="23"/>
  <c r="AF31" i="23"/>
  <c r="AE31" i="23"/>
  <c r="T31" i="23"/>
  <c r="U31" i="23" s="1"/>
  <c r="V31" i="23" s="1"/>
  <c r="W31" i="23" s="1"/>
  <c r="X31" i="23" s="1"/>
  <c r="Y31" i="23" s="1"/>
  <c r="Z31" i="23" s="1"/>
  <c r="AA31" i="23" s="1"/>
  <c r="AB31" i="23" s="1"/>
  <c r="AC31" i="23" s="1"/>
  <c r="R31" i="23"/>
  <c r="AH30" i="23"/>
  <c r="AG30" i="23"/>
  <c r="AF30" i="23"/>
  <c r="AE30" i="23"/>
  <c r="T30" i="23"/>
  <c r="U30" i="23" s="1"/>
  <c r="V30" i="23" s="1"/>
  <c r="W30" i="23" s="1"/>
  <c r="X30" i="23" s="1"/>
  <c r="Y30" i="23" s="1"/>
  <c r="Z30" i="23" s="1"/>
  <c r="AA30" i="23" s="1"/>
  <c r="AB30" i="23" s="1"/>
  <c r="AC30" i="23" s="1"/>
  <c r="R30" i="23"/>
  <c r="AH29" i="23"/>
  <c r="AG29" i="23"/>
  <c r="AF29" i="23"/>
  <c r="AE29" i="23"/>
  <c r="T29" i="23"/>
  <c r="U29" i="23" s="1"/>
  <c r="V29" i="23" s="1"/>
  <c r="W29" i="23" s="1"/>
  <c r="X29" i="23" s="1"/>
  <c r="Y29" i="23" s="1"/>
  <c r="Z29" i="23" s="1"/>
  <c r="AA29" i="23" s="1"/>
  <c r="AB29" i="23" s="1"/>
  <c r="AC29" i="23" s="1"/>
  <c r="R29" i="23"/>
  <c r="AH28" i="23"/>
  <c r="AG28" i="23"/>
  <c r="AF28" i="23"/>
  <c r="AE28" i="23"/>
  <c r="T28" i="23"/>
  <c r="U28" i="23" s="1"/>
  <c r="V28" i="23" s="1"/>
  <c r="W28" i="23" s="1"/>
  <c r="X28" i="23" s="1"/>
  <c r="Y28" i="23" s="1"/>
  <c r="Z28" i="23" s="1"/>
  <c r="AA28" i="23" s="1"/>
  <c r="AB28" i="23" s="1"/>
  <c r="AC28" i="23" s="1"/>
  <c r="R28" i="23"/>
  <c r="AH27" i="23"/>
  <c r="AG27" i="23"/>
  <c r="AF27" i="23"/>
  <c r="AE27" i="23"/>
  <c r="T27" i="23"/>
  <c r="U27" i="23" s="1"/>
  <c r="V27" i="23" s="1"/>
  <c r="W27" i="23" s="1"/>
  <c r="X27" i="23" s="1"/>
  <c r="Y27" i="23" s="1"/>
  <c r="Z27" i="23" s="1"/>
  <c r="AA27" i="23" s="1"/>
  <c r="AB27" i="23" s="1"/>
  <c r="AC27" i="23" s="1"/>
  <c r="R27" i="23"/>
  <c r="AH26" i="23"/>
  <c r="AG26" i="23"/>
  <c r="AF26" i="23"/>
  <c r="AE26" i="23"/>
  <c r="T26" i="23"/>
  <c r="U26" i="23" s="1"/>
  <c r="V26" i="23" s="1"/>
  <c r="W26" i="23" s="1"/>
  <c r="X26" i="23" s="1"/>
  <c r="Y26" i="23" s="1"/>
  <c r="Z26" i="23" s="1"/>
  <c r="AA26" i="23" s="1"/>
  <c r="AB26" i="23" s="1"/>
  <c r="AC26" i="23" s="1"/>
  <c r="R26" i="23"/>
  <c r="AH25" i="23"/>
  <c r="AG25" i="23"/>
  <c r="AF25" i="23"/>
  <c r="AE25" i="23"/>
  <c r="T25" i="23"/>
  <c r="U25" i="23" s="1"/>
  <c r="V25" i="23" s="1"/>
  <c r="W25" i="23" s="1"/>
  <c r="X25" i="23" s="1"/>
  <c r="Y25" i="23" s="1"/>
  <c r="Z25" i="23" s="1"/>
  <c r="AA25" i="23" s="1"/>
  <c r="AB25" i="23" s="1"/>
  <c r="AC25" i="23" s="1"/>
  <c r="R25" i="23"/>
  <c r="AH24" i="23"/>
  <c r="AG24" i="23"/>
  <c r="AF24" i="23"/>
  <c r="AE24" i="23"/>
  <c r="T24" i="23"/>
  <c r="U24" i="23" s="1"/>
  <c r="V24" i="23" s="1"/>
  <c r="W24" i="23" s="1"/>
  <c r="X24" i="23" s="1"/>
  <c r="Y24" i="23" s="1"/>
  <c r="Z24" i="23" s="1"/>
  <c r="AA24" i="23" s="1"/>
  <c r="AB24" i="23" s="1"/>
  <c r="AC24" i="23" s="1"/>
  <c r="R24" i="23"/>
  <c r="AH23" i="23"/>
  <c r="AG23" i="23"/>
  <c r="AF23" i="23"/>
  <c r="AE23" i="23"/>
  <c r="T23" i="23"/>
  <c r="U23" i="23" s="1"/>
  <c r="V23" i="23" s="1"/>
  <c r="W23" i="23" s="1"/>
  <c r="X23" i="23" s="1"/>
  <c r="Y23" i="23" s="1"/>
  <c r="Z23" i="23" s="1"/>
  <c r="AA23" i="23" s="1"/>
  <c r="AB23" i="23" s="1"/>
  <c r="AC23" i="23" s="1"/>
  <c r="R23" i="23"/>
  <c r="AH22" i="23"/>
  <c r="AG22" i="23"/>
  <c r="AF22" i="23"/>
  <c r="AE22" i="23"/>
  <c r="T22" i="23"/>
  <c r="U22" i="23" s="1"/>
  <c r="V22" i="23" s="1"/>
  <c r="W22" i="23" s="1"/>
  <c r="X22" i="23" s="1"/>
  <c r="Y22" i="23" s="1"/>
  <c r="Z22" i="23" s="1"/>
  <c r="AA22" i="23" s="1"/>
  <c r="AB22" i="23" s="1"/>
  <c r="AC22" i="23" s="1"/>
  <c r="R22" i="23"/>
  <c r="AH21" i="23"/>
  <c r="AG21" i="23"/>
  <c r="AF21" i="23"/>
  <c r="AE21" i="23"/>
  <c r="T21" i="23"/>
  <c r="U21" i="23" s="1"/>
  <c r="V21" i="23" s="1"/>
  <c r="W21" i="23" s="1"/>
  <c r="X21" i="23" s="1"/>
  <c r="Y21" i="23" s="1"/>
  <c r="Z21" i="23" s="1"/>
  <c r="AA21" i="23" s="1"/>
  <c r="AB21" i="23" s="1"/>
  <c r="AC21" i="23" s="1"/>
  <c r="R21" i="23"/>
  <c r="AH20" i="23"/>
  <c r="AG20" i="23"/>
  <c r="AF20" i="23"/>
  <c r="AE20" i="23"/>
  <c r="T20" i="23"/>
  <c r="U20" i="23" s="1"/>
  <c r="V20" i="23" s="1"/>
  <c r="W20" i="23" s="1"/>
  <c r="X20" i="23" s="1"/>
  <c r="Y20" i="23" s="1"/>
  <c r="Z20" i="23" s="1"/>
  <c r="AA20" i="23" s="1"/>
  <c r="AB20" i="23" s="1"/>
  <c r="AC20" i="23" s="1"/>
  <c r="R20" i="23"/>
  <c r="AH19" i="23"/>
  <c r="AG19" i="23"/>
  <c r="AF19" i="23"/>
  <c r="AE19" i="23"/>
  <c r="T19" i="23"/>
  <c r="U19" i="23" s="1"/>
  <c r="V19" i="23" s="1"/>
  <c r="W19" i="23" s="1"/>
  <c r="X19" i="23" s="1"/>
  <c r="Y19" i="23" s="1"/>
  <c r="Z19" i="23" s="1"/>
  <c r="AA19" i="23" s="1"/>
  <c r="AB19" i="23" s="1"/>
  <c r="AC19" i="23" s="1"/>
  <c r="R19" i="23"/>
  <c r="AH18" i="23"/>
  <c r="AG18" i="23"/>
  <c r="AF18" i="23"/>
  <c r="AE18" i="23"/>
  <c r="T18" i="23"/>
  <c r="U18" i="23" s="1"/>
  <c r="V18" i="23" s="1"/>
  <c r="W18" i="23" s="1"/>
  <c r="X18" i="23" s="1"/>
  <c r="Y18" i="23" s="1"/>
  <c r="Z18" i="23" s="1"/>
  <c r="AA18" i="23" s="1"/>
  <c r="AB18" i="23" s="1"/>
  <c r="AC18" i="23" s="1"/>
  <c r="R18" i="23"/>
  <c r="AH17" i="23"/>
  <c r="AG17" i="23"/>
  <c r="AF17" i="23"/>
  <c r="AE17" i="23"/>
  <c r="T17" i="23"/>
  <c r="U17" i="23" s="1"/>
  <c r="V17" i="23" s="1"/>
  <c r="W17" i="23" s="1"/>
  <c r="X17" i="23" s="1"/>
  <c r="Y17" i="23" s="1"/>
  <c r="Z17" i="23" s="1"/>
  <c r="AA17" i="23" s="1"/>
  <c r="AB17" i="23" s="1"/>
  <c r="AC17" i="23" s="1"/>
  <c r="R17" i="23"/>
  <c r="AH16" i="23"/>
  <c r="AG16" i="23"/>
  <c r="AF16" i="23"/>
  <c r="AE16" i="23"/>
  <c r="T16" i="23"/>
  <c r="U16" i="23" s="1"/>
  <c r="V16" i="23" s="1"/>
  <c r="W16" i="23" s="1"/>
  <c r="X16" i="23" s="1"/>
  <c r="Y16" i="23" s="1"/>
  <c r="Z16" i="23" s="1"/>
  <c r="AA16" i="23" s="1"/>
  <c r="AB16" i="23" s="1"/>
  <c r="AC16" i="23" s="1"/>
  <c r="R16" i="23"/>
  <c r="AH15" i="23"/>
  <c r="AG15" i="23"/>
  <c r="AF15" i="23"/>
  <c r="AE15" i="23"/>
  <c r="T15" i="23"/>
  <c r="U15" i="23" s="1"/>
  <c r="V15" i="23" s="1"/>
  <c r="W15" i="23" s="1"/>
  <c r="X15" i="23" s="1"/>
  <c r="Y15" i="23" s="1"/>
  <c r="Z15" i="23" s="1"/>
  <c r="AA15" i="23" s="1"/>
  <c r="AB15" i="23" s="1"/>
  <c r="AC15" i="23" s="1"/>
  <c r="R15" i="23"/>
  <c r="AH14" i="23"/>
  <c r="AG14" i="23"/>
  <c r="AF14" i="23"/>
  <c r="AE14" i="23"/>
  <c r="T14" i="23"/>
  <c r="U14" i="23" s="1"/>
  <c r="V14" i="23" s="1"/>
  <c r="W14" i="23" s="1"/>
  <c r="X14" i="23" s="1"/>
  <c r="Y14" i="23" s="1"/>
  <c r="Z14" i="23" s="1"/>
  <c r="AA14" i="23" s="1"/>
  <c r="AB14" i="23" s="1"/>
  <c r="AC14" i="23" s="1"/>
  <c r="R14" i="23"/>
  <c r="AH13" i="23"/>
  <c r="AG13" i="23"/>
  <c r="AF13" i="23"/>
  <c r="AE13" i="23"/>
  <c r="T13" i="23"/>
  <c r="U13" i="23" s="1"/>
  <c r="V13" i="23" s="1"/>
  <c r="W13" i="23" s="1"/>
  <c r="X13" i="23" s="1"/>
  <c r="Y13" i="23" s="1"/>
  <c r="Z13" i="23" s="1"/>
  <c r="AA13" i="23" s="1"/>
  <c r="AB13" i="23" s="1"/>
  <c r="AC13" i="23" s="1"/>
  <c r="R13" i="23"/>
  <c r="AH12" i="23"/>
  <c r="AG12" i="23"/>
  <c r="AF12" i="23"/>
  <c r="AE12" i="23"/>
  <c r="T12" i="23"/>
  <c r="U12" i="23" s="1"/>
  <c r="V12" i="23" s="1"/>
  <c r="W12" i="23" s="1"/>
  <c r="X12" i="23" s="1"/>
  <c r="Y12" i="23" s="1"/>
  <c r="Z12" i="23" s="1"/>
  <c r="AA12" i="23" s="1"/>
  <c r="AB12" i="23" s="1"/>
  <c r="AC12" i="23" s="1"/>
  <c r="R12" i="23"/>
  <c r="AH11" i="23"/>
  <c r="AG11" i="23"/>
  <c r="AF11" i="23"/>
  <c r="AE11" i="23"/>
  <c r="T11" i="23"/>
  <c r="U11" i="23" s="1"/>
  <c r="V11" i="23" s="1"/>
  <c r="W11" i="23" s="1"/>
  <c r="X11" i="23" s="1"/>
  <c r="Y11" i="23" s="1"/>
  <c r="Z11" i="23" s="1"/>
  <c r="AA11" i="23" s="1"/>
  <c r="AB11" i="23" s="1"/>
  <c r="AC11" i="23" s="1"/>
  <c r="R11" i="23"/>
  <c r="AH10" i="23"/>
  <c r="AG10" i="23"/>
  <c r="AF10" i="23"/>
  <c r="AE10" i="23"/>
  <c r="T10" i="23"/>
  <c r="U10" i="23" s="1"/>
  <c r="V10" i="23" s="1"/>
  <c r="W10" i="23" s="1"/>
  <c r="X10" i="23" s="1"/>
  <c r="Y10" i="23" s="1"/>
  <c r="Z10" i="23" s="1"/>
  <c r="AA10" i="23" s="1"/>
  <c r="AB10" i="23" s="1"/>
  <c r="AC10" i="23" s="1"/>
  <c r="R10" i="23"/>
  <c r="AH9" i="23"/>
  <c r="AG9" i="23"/>
  <c r="AF9" i="23"/>
  <c r="AE9" i="23"/>
  <c r="T9" i="23"/>
  <c r="U9" i="23" s="1"/>
  <c r="V9" i="23" s="1"/>
  <c r="W9" i="23" s="1"/>
  <c r="X9" i="23" s="1"/>
  <c r="Y9" i="23" s="1"/>
  <c r="Z9" i="23" s="1"/>
  <c r="AA9" i="23" s="1"/>
  <c r="AB9" i="23" s="1"/>
  <c r="AC9" i="23" s="1"/>
  <c r="R9" i="23"/>
  <c r="AH8" i="23"/>
  <c r="AG8" i="23"/>
  <c r="AF8" i="23"/>
  <c r="AE8" i="23"/>
  <c r="T8" i="23"/>
  <c r="U8" i="23" s="1"/>
  <c r="V8" i="23" s="1"/>
  <c r="W8" i="23" s="1"/>
  <c r="X8" i="23" s="1"/>
  <c r="Y8" i="23" s="1"/>
  <c r="Z8" i="23" s="1"/>
  <c r="AA8" i="23" s="1"/>
  <c r="AB8" i="23" s="1"/>
  <c r="AC8" i="23" s="1"/>
  <c r="R8" i="23"/>
  <c r="AH7" i="23"/>
  <c r="AG7" i="23"/>
  <c r="AF7" i="23"/>
  <c r="AE7" i="23"/>
  <c r="T7" i="23"/>
  <c r="U7" i="23" s="1"/>
  <c r="V7" i="23" s="1"/>
  <c r="W7" i="23" s="1"/>
  <c r="X7" i="23" s="1"/>
  <c r="Y7" i="23" s="1"/>
  <c r="Z7" i="23" s="1"/>
  <c r="AA7" i="23" s="1"/>
  <c r="AB7" i="23" s="1"/>
  <c r="AC7" i="23" s="1"/>
  <c r="R7" i="23"/>
  <c r="AH6" i="23"/>
  <c r="AG6" i="23"/>
  <c r="AF6" i="23"/>
  <c r="AE6" i="23"/>
  <c r="T6" i="23"/>
  <c r="U6" i="23" s="1"/>
  <c r="V6" i="23" s="1"/>
  <c r="W6" i="23" s="1"/>
  <c r="X6" i="23" s="1"/>
  <c r="Y6" i="23" s="1"/>
  <c r="Z6" i="23" s="1"/>
  <c r="AA6" i="23" s="1"/>
  <c r="AB6" i="23" s="1"/>
  <c r="AC6" i="23" s="1"/>
  <c r="R6" i="23"/>
  <c r="AH5" i="23"/>
  <c r="AG5" i="23"/>
  <c r="AF5" i="23"/>
  <c r="AE5" i="23"/>
  <c r="T5" i="23"/>
  <c r="U5" i="23" s="1"/>
  <c r="R5" i="23"/>
  <c r="Q39" i="14" l="1"/>
  <c r="R20" i="25"/>
  <c r="E133" i="25"/>
  <c r="I133" i="25" s="1"/>
  <c r="E134" i="25"/>
  <c r="I134" i="25" s="1"/>
  <c r="R67" i="23"/>
  <c r="I146" i="14"/>
  <c r="I140" i="25"/>
  <c r="I141" i="25"/>
  <c r="I132" i="25"/>
  <c r="I142" i="25"/>
  <c r="I137" i="25"/>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M10" i="25"/>
  <c r="M17" i="25"/>
  <c r="M16" i="25"/>
  <c r="M18" i="25"/>
  <c r="M13" i="25"/>
  <c r="M14" i="25"/>
  <c r="L151" i="25"/>
  <c r="Q14" i="25"/>
  <c r="Q11" i="25"/>
  <c r="S11" i="14"/>
  <c r="AF62" i="23"/>
  <c r="AF63" i="23" s="1"/>
  <c r="AH62" i="23"/>
  <c r="AH63" i="23" s="1"/>
  <c r="T62" i="23"/>
  <c r="T63" i="23" s="1"/>
  <c r="U62" i="23"/>
  <c r="U63" i="23" s="1"/>
  <c r="AG62" i="23"/>
  <c r="AG63" i="23" s="1"/>
  <c r="R62" i="23"/>
  <c r="AE62" i="23"/>
  <c r="AE63" i="23" s="1"/>
  <c r="V5" i="23"/>
  <c r="J202" i="25" l="1"/>
  <c r="J196" i="25"/>
  <c r="M15" i="25"/>
  <c r="Q9" i="25"/>
  <c r="Q15" i="25"/>
  <c r="M12" i="25"/>
  <c r="M9" i="25"/>
  <c r="Q12" i="25"/>
  <c r="W8" i="25"/>
  <c r="G8" i="25" s="1"/>
  <c r="G15" i="25"/>
  <c r="L154" i="25" s="1"/>
  <c r="L148" i="25"/>
  <c r="E148" i="25"/>
  <c r="J148" i="25" s="1"/>
  <c r="E154" i="25"/>
  <c r="E151" i="25"/>
  <c r="J151" i="25" s="1"/>
  <c r="E47" i="25"/>
  <c r="J203" i="25"/>
  <c r="E114" i="25"/>
  <c r="I114" i="25" s="1"/>
  <c r="E49" i="25"/>
  <c r="J204" i="25"/>
  <c r="E46"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S98" i="25"/>
  <c r="W98" i="25" s="1"/>
  <c r="E138" i="25"/>
  <c r="I138" i="25" s="1"/>
  <c r="I139" i="25"/>
  <c r="E135" i="25"/>
  <c r="I135" i="25" s="1"/>
  <c r="I136" i="25"/>
  <c r="S97" i="25"/>
  <c r="W97" i="25" s="1"/>
  <c r="S102" i="25"/>
  <c r="W102" i="25" s="1"/>
  <c r="S104" i="25"/>
  <c r="W104" i="25" s="1"/>
  <c r="S106" i="25"/>
  <c r="W106" i="25" s="1"/>
  <c r="S101" i="25"/>
  <c r="S99" i="25"/>
  <c r="W99" i="25" s="1"/>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L103" i="25"/>
  <c r="Y18" i="25"/>
  <c r="O8" i="25"/>
  <c r="K8" i="25"/>
  <c r="L96" i="25"/>
  <c r="P96" i="25" s="1"/>
  <c r="L100" i="25"/>
  <c r="P100" i="25" s="1"/>
  <c r="E41" i="25"/>
  <c r="V62" i="23"/>
  <c r="V63" i="23" s="1"/>
  <c r="W5" i="23"/>
  <c r="J199" i="25" l="1"/>
  <c r="J198" i="25"/>
  <c r="I18" i="25"/>
  <c r="E147" i="25"/>
  <c r="L147" i="25"/>
  <c r="L114" i="25"/>
  <c r="P114" i="25" s="1"/>
  <c r="J197"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E42" i="25"/>
  <c r="E45" i="25"/>
  <c r="M8" i="25"/>
  <c r="Q8" i="25"/>
  <c r="L95" i="25"/>
  <c r="W62" i="23"/>
  <c r="W63" i="23" s="1"/>
  <c r="X5" i="23"/>
  <c r="J195" i="25" l="1"/>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Y5" i="23"/>
  <c r="X62" i="23"/>
  <c r="X63" i="23" s="1"/>
  <c r="L112" i="25" l="1"/>
  <c r="P112" i="25" s="1"/>
  <c r="Y62" i="23"/>
  <c r="Y63" i="23" s="1"/>
  <c r="Z5" i="23"/>
  <c r="Z62" i="23" l="1"/>
  <c r="Z63" i="23" s="1"/>
  <c r="AA5" i="23"/>
  <c r="AA62" i="23" l="1"/>
  <c r="AA63" i="23" s="1"/>
  <c r="AB5" i="23"/>
  <c r="AC5" i="23" l="1"/>
  <c r="AC62" i="23" s="1"/>
  <c r="AC63" i="23" s="1"/>
  <c r="AB62" i="23"/>
  <c r="AB63" i="23" s="1"/>
  <c r="M146" i="14" l="1"/>
  <c r="Q17" i="14"/>
  <c r="J146" i="14" l="1"/>
  <c r="L146" i="14" s="1"/>
  <c r="F20" i="18" l="1"/>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Y10" i="18" l="1"/>
  <c r="R29" i="18" l="1"/>
  <c r="Z10" i="18"/>
  <c r="S29" i="18" l="1"/>
  <c r="P17" i="18" l="1"/>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10" i="18" l="1"/>
  <c r="L12" i="18"/>
  <c r="L9" i="18"/>
  <c r="M12" i="18"/>
  <c r="N16" i="18"/>
  <c r="N11" i="18"/>
  <c r="N13" i="18"/>
  <c r="N19" i="18"/>
  <c r="M9" i="18"/>
  <c r="N17" i="18"/>
  <c r="N18" i="18"/>
  <c r="Y39" i="18"/>
  <c r="Z39" i="18"/>
  <c r="N14" i="18"/>
  <c r="L15" i="18"/>
  <c r="M15" i="18"/>
  <c r="N12" i="18" l="1"/>
  <c r="N9" i="18"/>
  <c r="L8" i="18"/>
  <c r="N15" i="18"/>
  <c r="M8" i="18"/>
  <c r="N8" i="18" l="1"/>
  <c r="J16" i="18" l="1"/>
  <c r="J18" i="18"/>
  <c r="J19" i="18"/>
  <c r="I18" i="18" l="1"/>
  <c r="K18" i="18" s="1"/>
  <c r="I19" i="18"/>
  <c r="K19" i="18" s="1"/>
  <c r="I11" i="18"/>
  <c r="I13" i="18"/>
  <c r="I10" i="18"/>
  <c r="I14" i="18"/>
  <c r="I16" i="18"/>
  <c r="I17" i="18"/>
  <c r="J10" i="18"/>
  <c r="S19" i="18"/>
  <c r="J14" i="18"/>
  <c r="S18" i="18"/>
  <c r="J13" i="18"/>
  <c r="S16" i="18"/>
  <c r="I12" i="18" l="1"/>
  <c r="I9" i="18"/>
  <c r="I15" i="18"/>
  <c r="K16" i="18"/>
  <c r="O38" i="18"/>
  <c r="O37" i="18"/>
  <c r="O35" i="18"/>
  <c r="V19" i="18"/>
  <c r="AC19" i="18"/>
  <c r="K10" i="18"/>
  <c r="S10" i="18"/>
  <c r="O29" i="18" s="1"/>
  <c r="K14" i="18"/>
  <c r="S14" i="18"/>
  <c r="O33" i="18" s="1"/>
  <c r="V18" i="18"/>
  <c r="AC18" i="18"/>
  <c r="V16" i="18"/>
  <c r="AC16" i="18"/>
  <c r="K13" i="18"/>
  <c r="J12" i="18"/>
  <c r="S13" i="18"/>
  <c r="O32" i="18" s="1"/>
  <c r="K12" i="18" l="1"/>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Y37" i="18" l="1"/>
  <c r="Z37" i="18"/>
  <c r="V35" i="18"/>
  <c r="Z32" i="18"/>
  <c r="Y32" i="18"/>
  <c r="X31" i="18"/>
  <c r="Z33" i="18"/>
  <c r="Y33" i="18"/>
  <c r="V32" i="18"/>
  <c r="U31" i="18"/>
  <c r="V31" i="18" s="1"/>
  <c r="Y35" i="18"/>
  <c r="Z35" i="18"/>
  <c r="Z29" i="18"/>
  <c r="Y29" i="18"/>
  <c r="Y38" i="18"/>
  <c r="Z38" i="18"/>
  <c r="V29" i="18"/>
  <c r="Z31" i="18" l="1"/>
  <c r="Y31" i="18"/>
  <c r="F19" i="18" l="1"/>
  <c r="H19" i="18" s="1"/>
  <c r="F14" i="18" l="1"/>
  <c r="F16" i="18"/>
  <c r="H16" i="18" s="1"/>
  <c r="G11" i="18"/>
  <c r="F11" i="18"/>
  <c r="F17" i="18"/>
  <c r="H17" i="18" s="1"/>
  <c r="F13" i="18"/>
  <c r="F10" i="18"/>
  <c r="F18" i="18"/>
  <c r="H18" i="18" s="1"/>
  <c r="G10" i="18"/>
  <c r="H11" i="18" l="1"/>
  <c r="F12" i="18"/>
  <c r="F9" i="18"/>
  <c r="F15" i="18"/>
  <c r="H10" i="18"/>
  <c r="AC10" i="18"/>
  <c r="G9" i="18"/>
  <c r="V10" i="18"/>
  <c r="H15" i="18"/>
  <c r="H9" i="18" l="1"/>
  <c r="F8" i="18"/>
  <c r="J17" i="18"/>
  <c r="K17" i="18" l="1"/>
  <c r="S17" i="18"/>
  <c r="J15" i="18"/>
  <c r="K15" i="18" s="1"/>
  <c r="O36" i="18" l="1"/>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AC17" i="13"/>
  <c r="AC16" i="13"/>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O18" i="18" l="1"/>
  <c r="W11" i="13"/>
  <c r="Z11" i="13"/>
  <c r="AC12" i="13"/>
  <c r="AC11" i="13" s="1"/>
  <c r="AC15" i="13"/>
  <c r="T13" i="13"/>
  <c r="T10" i="13"/>
  <c r="AC8" i="13"/>
  <c r="Q40" i="14" l="1"/>
  <c r="R21" i="25"/>
  <c r="O17" i="18"/>
  <c r="O16" i="18"/>
  <c r="O19" i="18"/>
  <c r="Q18" i="18"/>
  <c r="R18" i="18"/>
  <c r="O11" i="18"/>
  <c r="O10" i="18"/>
  <c r="O14" i="18"/>
  <c r="O13" i="18"/>
  <c r="T15" i="13"/>
  <c r="T12" i="13"/>
  <c r="T11" i="13" s="1"/>
  <c r="Q19" i="18" l="1"/>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Y11" i="18" l="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25" i="2"/>
  <c r="L24" i="2"/>
  <c r="N17" i="13"/>
  <c r="N16" i="13"/>
  <c r="N15" i="13"/>
  <c r="N13" i="13"/>
  <c r="N10" i="13"/>
  <c r="N9" i="13"/>
  <c r="K17" i="13"/>
  <c r="K16" i="13"/>
  <c r="K15" i="13"/>
  <c r="K13" i="13"/>
  <c r="K10" i="13"/>
  <c r="K9" i="13"/>
  <c r="L30" i="2"/>
  <c r="L29" i="2"/>
  <c r="L28" i="2"/>
  <c r="L27" i="2"/>
  <c r="L26" i="2"/>
  <c r="N14" i="13" l="1"/>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Z9" i="18" l="1"/>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G14" i="18" l="1"/>
  <c r="H14" i="18" l="1"/>
  <c r="AC14" i="18"/>
  <c r="V14" i="18"/>
  <c r="W14" i="18" l="1"/>
  <c r="AD14" i="18"/>
  <c r="G13" i="18"/>
  <c r="G12" i="18" l="1"/>
  <c r="G8" i="18" s="1"/>
  <c r="H13" i="18"/>
  <c r="H12" i="18" s="1"/>
  <c r="H8" i="18" s="1"/>
  <c r="AC13" i="18"/>
  <c r="V13" i="18"/>
  <c r="W13" i="18" l="1"/>
  <c r="V12" i="18"/>
  <c r="AD13" i="18"/>
  <c r="AC12" i="18"/>
  <c r="W12" i="18" l="1"/>
  <c r="V8" i="18"/>
  <c r="W8" i="18" s="1"/>
  <c r="AD12" i="18"/>
  <c r="AC8" i="18"/>
  <c r="AD8" i="18" s="1"/>
  <c r="Z18" i="13" l="1"/>
  <c r="Z17" i="13"/>
  <c r="AA17" i="13" s="1"/>
  <c r="W17" i="13"/>
  <c r="AA18" i="13" l="1"/>
  <c r="T17" i="13"/>
  <c r="U17" i="13" s="1"/>
  <c r="X17" i="13"/>
  <c r="Z16" i="13" l="1"/>
  <c r="Z14" i="13" l="1"/>
  <c r="AA14" i="13" s="1"/>
  <c r="AA16" i="13"/>
  <c r="W16" i="13" l="1"/>
  <c r="T16" i="13" l="1"/>
  <c r="W14" i="13"/>
  <c r="X14" i="13" s="1"/>
  <c r="X16" i="13"/>
  <c r="U16" i="13" l="1"/>
  <c r="W9" i="13" l="1"/>
  <c r="Z9" i="13" l="1"/>
  <c r="T9" i="13" s="1"/>
  <c r="W8" i="13"/>
  <c r="X9" i="13"/>
  <c r="Z8" i="13" l="1"/>
  <c r="AA9" i="13"/>
  <c r="W7" i="13"/>
  <c r="X7" i="13" s="1"/>
  <c r="X8" i="13"/>
  <c r="T8" i="13"/>
  <c r="U9" i="13"/>
  <c r="Z7" i="13" l="1"/>
  <c r="AA7" i="13" s="1"/>
  <c r="AA8" i="13"/>
  <c r="U8" i="13"/>
  <c r="AC18" i="13" l="1"/>
  <c r="T18" i="13" s="1"/>
  <c r="K146" i="14"/>
  <c r="N146" i="14" l="1"/>
  <c r="U18" i="13"/>
  <c r="T14" i="13"/>
  <c r="AD18" i="13"/>
  <c r="AC14" i="13"/>
  <c r="U14" i="13" l="1"/>
  <c r="T7" i="13"/>
  <c r="U7" i="13" s="1"/>
  <c r="AD14" i="13"/>
  <c r="AC7" i="13"/>
  <c r="AD7" i="13" s="1"/>
  <c r="L151" i="14" l="1"/>
  <c r="J157" i="14"/>
  <c r="J180" i="14" s="1"/>
  <c r="J283" i="14" s="1"/>
  <c r="L157" i="14" l="1"/>
  <c r="S157" i="14"/>
  <c r="L283" i="14"/>
  <c r="K32" i="25"/>
  <c r="N156" i="14"/>
  <c r="N157" i="14" s="1"/>
  <c r="N180" i="14" s="1"/>
  <c r="N283" i="14" s="1"/>
  <c r="L156" i="14"/>
  <c r="K157" i="14"/>
  <c r="K180" i="14" s="1"/>
  <c r="K283" i="14" s="1"/>
  <c r="L180" i="14" l="1"/>
  <c r="O180" i="14"/>
  <c r="T157" i="14"/>
  <c r="U108" i="25"/>
  <c r="W108" i="25" s="1"/>
  <c r="I37" i="25"/>
  <c r="K37" i="25" s="1"/>
  <c r="N108" i="25"/>
  <c r="M108" i="25"/>
  <c r="G45" i="25" l="1"/>
  <c r="K45" i="25" s="1"/>
  <c r="V108" i="25"/>
  <c r="G205" i="25"/>
  <c r="Y19" i="25"/>
  <c r="G125" i="25"/>
  <c r="M103" i="25"/>
  <c r="M95" i="25" s="1"/>
  <c r="T108" i="25"/>
  <c r="X108" i="25" s="1"/>
  <c r="I158" i="25"/>
  <c r="J158" i="25"/>
  <c r="P108" i="25"/>
  <c r="N103" i="25"/>
  <c r="O108" i="25"/>
  <c r="Q108" i="25"/>
  <c r="G201" i="25" l="1"/>
  <c r="H201" i="25" s="1"/>
  <c r="H205" i="25"/>
  <c r="I19" i="25"/>
  <c r="Y15" i="25"/>
  <c r="I15" i="25" s="1"/>
  <c r="X8" i="25"/>
  <c r="Y8" i="25" s="1"/>
  <c r="I8" i="25" s="1"/>
  <c r="H15" i="25"/>
  <c r="N154" i="25" s="1"/>
  <c r="G51" i="25"/>
  <c r="K51" i="25" s="1"/>
  <c r="N162" i="25"/>
  <c r="N95" i="25"/>
  <c r="P103" i="25"/>
  <c r="Q103" i="25"/>
  <c r="O103" i="25"/>
  <c r="I154" i="25"/>
  <c r="J154" i="25"/>
  <c r="Q158" i="25"/>
  <c r="P158" i="25"/>
  <c r="I125" i="25"/>
  <c r="N125" i="25"/>
  <c r="G120" i="25"/>
  <c r="H125" i="25"/>
  <c r="J125" i="25"/>
  <c r="I205" i="25"/>
  <c r="J205" i="25"/>
  <c r="H8" i="25" l="1"/>
  <c r="N147" i="25" s="1"/>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sharedStrings.xml><?xml version="1.0" encoding="utf-8"?>
<sst xmlns="http://schemas.openxmlformats.org/spreadsheetml/2006/main" count="5556" uniqueCount="584">
  <si>
    <t xml:space="preserve">26년 CMO 매출 예상실적 </t>
    <phoneticPr fontId="2" type="noConversion"/>
  </si>
  <si>
    <t>■ 1분기 매출</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</si>
  <si>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</si>
  <si>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</si>
  <si>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</si>
  <si>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</si>
  <si>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</si>
  <si>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</si>
  <si>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</si>
  <si>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</si>
  <si>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25년 1분기 누계</t>
    <phoneticPr fontId="2" type="noConversion"/>
  </si>
  <si>
    <t>1분기 소계</t>
    <phoneticPr fontId="2" type="noConversion"/>
  </si>
  <si>
    <t>26년 예상 실적</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</si>
  <si>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</si>
  <si>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</si>
  <si>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</si>
  <si>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</si>
  <si>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</si>
  <si>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</si>
  <si>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</si>
  <si>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</si>
  <si>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</si>
  <si>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</si>
  <si>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</si>
  <si>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</si>
  <si>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</si>
  <si>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</si>
  <si>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</si>
  <si>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</si>
  <si>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</si>
  <si>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</si>
  <si>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</si>
  <si>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</si>
  <si>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</si>
  <si>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</si>
  <si>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</si>
  <si>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</si>
  <si>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</si>
  <si>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</si>
  <si>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</si>
  <si>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</si>
  <si>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</si>
  <si>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</si>
  <si>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</si>
  <si>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</si>
  <si>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</si>
  <si>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</si>
  <si>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</si>
  <si>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</si>
  <si>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</si>
  <si>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</si>
  <si>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</si>
  <si>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</si>
  <si>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</si>
  <si>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</si>
  <si>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</si>
  <si>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</si>
  <si>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</si>
  <si>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</si>
  <si>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</si>
  <si>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</si>
  <si>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</si>
  <si>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</si>
  <si>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</si>
  <si>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</si>
  <si>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</si>
  <si>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</si>
  <si>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</si>
  <si>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</si>
  <si>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</si>
  <si>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</si>
  <si>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</si>
  <si>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</si>
  <si>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</si>
  <si>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</si>
  <si>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</si>
  <si>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</si>
  <si>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</si>
  <si>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</si>
  <si>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</si>
  <si>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</si>
  <si>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</si>
  <si>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</si>
  <si>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</si>
  <si>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</si>
  <si>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</si>
  <si>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</si>
  <si>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</si>
  <si>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</si>
  <si>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</si>
  <si>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</si>
  <si>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</si>
  <si>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</si>
  <si>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</si>
  <si>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</si>
  <si>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</si>
  <si>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</si>
  <si>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</si>
  <si>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</si>
  <si>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</si>
  <si>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</si>
  <si>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</si>
  <si>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</si>
  <si>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</si>
  <si>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</si>
  <si>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</si>
  <si>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</si>
  <si>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</si>
  <si>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</si>
  <si>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</si>
  <si>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</si>
  <si>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</si>
  <si>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</si>
  <si>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</si>
  <si>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</si>
  <si>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</si>
  <si>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</si>
  <si>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</si>
  <si>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</si>
  <si>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</si>
  <si>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</si>
  <si>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</si>
  <si>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</si>
  <si>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</si>
  <si>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</si>
  <si>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</si>
  <si>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</si>
  <si>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</si>
  <si>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</si>
  <si>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</si>
  <si>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</si>
  <si>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</si>
  <si>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</si>
  <si>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</si>
  <si>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</si>
  <si>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</si>
  <si>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</si>
  <si>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</si>
  <si>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</si>
  <si>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</si>
  <si>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</si>
  <si>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</si>
  <si>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</si>
  <si>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</si>
  <si>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</si>
  <si>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</si>
  <si>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</si>
  <si>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</si>
  <si>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</si>
  <si>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</si>
  <si>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</si>
  <si>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</si>
  <si>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</si>
  <si>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</si>
  <si>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</si>
  <si>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</si>
  <si>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</si>
  <si>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</si>
  <si>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</si>
  <si>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</si>
  <si>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</si>
  <si>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</si>
  <si>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</si>
  <si>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</si>
  <si>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</si>
  <si>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</si>
  <si>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</si>
  <si>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</si>
  <si>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</si>
  <si>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</si>
  <si>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</si>
  <si>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</si>
  <si>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</si>
  <si>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</si>
  <si>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</si>
  <si>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</si>
  <si>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</si>
  <si>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</si>
  <si>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</si>
  <si>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</si>
  <si>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</si>
  <si>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</si>
  <si>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</si>
  <si>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</si>
  <si>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</si>
  <si>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</si>
  <si>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</si>
  <si>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</si>
  <si>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</si>
  <si>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</si>
  <si>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</si>
  <si>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</si>
  <si>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</si>
  <si>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</si>
  <si>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</si>
  <si>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</si>
  <si>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</si>
  <si>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</si>
  <si>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</si>
  <si>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</si>
  <si>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</si>
  <si>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</si>
  <si>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</si>
  <si>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</si>
  <si>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</si>
  <si>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</si>
  <si>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</si>
  <si>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</si>
  <si>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</si>
  <si>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</si>
  <si>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</si>
  <si>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</si>
  <si>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</si>
  <si>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</si>
  <si>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</si>
  <si>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</si>
  <si>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</si>
  <si>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</si>
  <si>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</si>
  <si>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</si>
  <si>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</si>
  <si>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</si>
  <si>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</si>
  <si>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</si>
  <si>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</si>
  <si>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</si>
  <si>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</si>
  <si>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</si>
  <si>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</si>
  <si>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</si>
  <si>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</si>
  <si>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</si>
  <si>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</si>
  <si>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</si>
  <si>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</si>
  <si>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</si>
  <si>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</si>
  <si>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</si>
  <si>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</si>
  <si>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</si>
  <si>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</si>
  <si>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</si>
  <si>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</si>
  <si>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</si>
  <si>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</si>
  <si>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</si>
  <si>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</si>
  <si>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</si>
  <si>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</si>
  <si>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</si>
  <si>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</si>
  <si>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</si>
  <si>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</si>
  <si>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</si>
  <si>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</si>
  <si>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CMO상업_PFS 충전</t>
    <phoneticPr fontId="2" type="noConversion"/>
  </si>
  <si>
    <t>*PFS 포장 개발 일정 반영, 다품종 소량생산 진행, SAP 이슈로 공정 연기</t>
    <phoneticPr fontId="2" type="noConversion"/>
  </si>
  <si>
    <t>CMO상업_PFS 조립</t>
    <phoneticPr fontId="2" type="noConversion"/>
  </si>
  <si>
    <t>CMO상업_PFS 포장</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</si>
  <si>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</si>
  <si>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</si>
  <si>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</si>
  <si>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</si>
  <si>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</si>
  <si>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</si>
  <si>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</si>
  <si>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</si>
  <si>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</si>
  <si>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</si>
  <si>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</si>
  <si>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3월 예상실적</t>
    <phoneticPr fontId="2" type="noConversion"/>
  </si>
  <si>
    <t>1분기 예상실적</t>
    <phoneticPr fontId="2" type="noConversion"/>
  </si>
  <si>
    <t>CT-P55 75mg, 150mg PKV 단축(5월 &gt; 4월)</t>
  </si>
  <si>
    <t>일부 마일스톤 3월로 이월</t>
    <phoneticPr fontId="2" type="noConversion"/>
  </si>
  <si>
    <t>4월 예상실적</t>
    <phoneticPr fontId="2" type="noConversion"/>
  </si>
  <si>
    <t>CT-P55 75mg, 150mg PKV 단축(5월 &gt; 4월), CT-P42 PFS PKV 및 충전 PV 이월</t>
  </si>
  <si>
    <t>해당 마일스톤 3월로 이월</t>
    <phoneticPr fontId="2" type="noConversion"/>
  </si>
  <si>
    <t>5월 예상실적</t>
    <phoneticPr fontId="2" type="noConversion"/>
  </si>
  <si>
    <t>CT-P52 PKV 수행 용역비 추가, CT-P41 120mg 연기, CT-P39 300mg 연기</t>
  </si>
  <si>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</si>
  <si>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</si>
  <si>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</si>
  <si>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</si>
  <si>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</si>
  <si>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</si>
  <si>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</si>
  <si>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</si>
  <si>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</si>
  <si>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</si>
  <si>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</si>
  <si>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</si>
  <si>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</si>
  <si>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</si>
  <si>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</si>
  <si>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</si>
  <si>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</si>
  <si>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</si>
  <si>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</si>
  <si>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</si>
  <si>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</si>
  <si>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</si>
  <si>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</si>
  <si>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</si>
  <si>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</si>
  <si>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</si>
  <si>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</si>
  <si>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</si>
  <si>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</si>
  <si>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</si>
  <si>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</si>
  <si>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</si>
  <si>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</si>
  <si>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</si>
  <si>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</si>
  <si>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</si>
  <si>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</si>
  <si>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</si>
  <si>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</si>
  <si>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</si>
  <si>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</si>
  <si>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</si>
  <si>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</si>
  <si>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</si>
  <si>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</si>
  <si>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</si>
  <si>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</si>
  <si>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</si>
  <si>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</si>
  <si>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</si>
  <si>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</si>
  <si>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</si>
  <si>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</si>
  <si>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</si>
  <si>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</si>
  <si>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</si>
  <si>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</si>
  <si>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</si>
  <si>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</si>
  <si>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</si>
  <si>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</si>
  <si>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</si>
  <si>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</si>
  <si>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</si>
  <si>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</si>
  <si>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</si>
  <si>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</si>
  <si>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</si>
  <si>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</si>
  <si>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</si>
  <si>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</si>
  <si>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</si>
  <si>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</si>
  <si>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</si>
  <si>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</si>
  <si>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</si>
  <si>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</si>
  <si>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</si>
  <si>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</si>
  <si>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</si>
  <si>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</si>
  <si>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</si>
  <si>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</si>
  <si>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</si>
  <si>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</si>
  <si>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</si>
  <si>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</si>
  <si>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</si>
  <si>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</si>
  <si>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</si>
  <si>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</si>
  <si>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</si>
  <si>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</si>
  <si>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</si>
  <si>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</si>
  <si>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</si>
  <si>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</si>
  <si>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</si>
  <si>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</si>
  <si>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</si>
  <si>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</si>
  <si>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</si>
  <si>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</si>
  <si>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</si>
  <si>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환불부채</t>
  </si>
  <si>
    <t>반품부채</t>
  </si>
  <si>
    <t>□ 2023년 매출 실적</t>
    <phoneticPr fontId="2" type="noConversion"/>
  </si>
  <si>
    <t>사업계획_구분1</t>
  </si>
  <si>
    <t>경영정보통합</t>
    <phoneticPr fontId="2" type="noConversion"/>
  </si>
  <si>
    <t>2023년 실적 합계</t>
    <phoneticPr fontId="2" type="noConversion"/>
  </si>
  <si>
    <t>스텔라라 등</t>
  </si>
  <si>
    <t>APAC</t>
  </si>
  <si>
    <t>약물감시용역</t>
  </si>
  <si>
    <t>약물감시용역</t>
    <phoneticPr fontId="2" type="noConversion"/>
  </si>
  <si>
    <t>QA위임용역</t>
  </si>
  <si>
    <t>IIT용역</t>
  </si>
  <si>
    <t>API판매</t>
  </si>
  <si>
    <t>API판매</t>
    <phoneticPr fontId="2" type="noConversion"/>
  </si>
  <si>
    <t>상품매출할인</t>
  </si>
  <si>
    <t>제품매출할인</t>
  </si>
  <si>
    <t xml:space="preserve"> CMO 합계</t>
  </si>
  <si>
    <t xml:space="preserve"> 케미컬 상업</t>
  </si>
  <si>
    <t>G07</t>
  </si>
  <si>
    <t>내재화</t>
  </si>
  <si>
    <t xml:space="preserve"> 바이오 상업</t>
  </si>
  <si>
    <t>L&amp;P</t>
  </si>
  <si>
    <t>PFS</t>
  </si>
  <si>
    <t xml:space="preserve"> 개발 용역</t>
  </si>
  <si>
    <t>GCP</t>
  </si>
  <si>
    <t>LCM</t>
  </si>
  <si>
    <t>기타(QA위임등)*</t>
  </si>
  <si>
    <t>23년
실적</t>
    <phoneticPr fontId="2" type="noConversion"/>
  </si>
  <si>
    <t>연간 합계</t>
    <phoneticPr fontId="2" type="noConversion"/>
  </si>
  <si>
    <t>기타(QA위임)</t>
    <phoneticPr fontId="2" type="noConversion"/>
  </si>
  <si>
    <t>1) 3월 매출 특이사항</t>
    <phoneticPr fontId="2" type="noConversion"/>
  </si>
  <si>
    <t>3분기 소계</t>
    <phoneticPr fontId="2" type="noConversion"/>
  </si>
  <si>
    <t>증감</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</si>
  <si>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</si>
  <si>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</si>
  <si>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</si>
  <si>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</si>
  <si>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</si>
  <si>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</si>
  <si>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</si>
  <si>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</si>
  <si>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</si>
  <si>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</si>
  <si>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</si>
  <si>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</si>
  <si>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</si>
  <si>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</si>
  <si>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</si>
  <si>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</si>
  <si>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</si>
  <si>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</si>
  <si>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</si>
  <si>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</si>
  <si>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</si>
  <si>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</si>
  <si>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</si>
  <si>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</si>
  <si>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</si>
  <si>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</si>
  <si>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</si>
  <si>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</si>
  <si>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</si>
  <si>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</si>
  <si>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</si>
  <si>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</si>
  <si>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</si>
  <si>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</si>
  <si>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</si>
  <si>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</si>
  <si>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</si>
  <si>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</si>
  <si>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</si>
  <si>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</si>
  <si>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</si>
  <si>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</si>
  <si>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</si>
  <si>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</si>
  <si>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</si>
  <si>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</si>
  <si>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</si>
  <si>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</si>
  <si>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</si>
  <si>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</si>
  <si>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</si>
  <si>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</si>
  <si>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</si>
  <si>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</si>
  <si>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</si>
  <si>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</si>
  <si>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</si>
  <si>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</si>
  <si>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</si>
  <si>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</si>
  <si>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</si>
  <si>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</si>
  <si>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</si>
  <si>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</si>
  <si>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</si>
  <si>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</si>
  <si>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</si>
  <si>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</si>
  <si>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</si>
  <si>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</si>
  <si>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</si>
  <si>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</si>
  <si>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</si>
  <si>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</si>
  <si>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</si>
  <si>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</si>
  <si>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</si>
  <si>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</si>
  <si>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</si>
  <si>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</si>
  <si>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</si>
  <si>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</si>
  <si>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</si>
  <si>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</si>
  <si>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</si>
  <si>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</si>
  <si>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</si>
  <si>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</si>
  <si>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</si>
  <si>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</si>
  <si>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</si>
  <si>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</si>
  <si>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</si>
  <si>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</si>
  <si>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</si>
  <si>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</si>
  <si>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</si>
  <si>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</si>
  <si>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</si>
  <si>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</si>
  <si>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</si>
  <si>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</si>
  <si>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</si>
  <si>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</si>
  <si>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</si>
  <si>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</si>
  <si>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</si>
  <si>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</si>
  <si>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</si>
  <si>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</si>
  <si>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</si>
  <si>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</si>
  <si>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</si>
  <si>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</si>
  <si>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</si>
  <si>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</si>
  <si>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</si>
  <si>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</si>
  <si>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</si>
  <si>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</si>
  <si>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</si>
  <si>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</si>
  <si>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</si>
  <si>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</si>
  <si>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</si>
  <si>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</si>
  <si>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</si>
  <si>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</si>
  <si>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</si>
  <si>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</si>
  <si>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</si>
  <si>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</si>
  <si>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</si>
  <si>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</si>
  <si>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</si>
  <si>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</si>
  <si>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</si>
  <si>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</si>
  <si>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</si>
  <si>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</si>
  <si>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</si>
  <si>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</si>
  <si>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</si>
  <si>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</si>
  <si>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</si>
  <si>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</si>
  <si>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</si>
  <si>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</si>
  <si>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</si>
  <si>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</si>
  <si>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</si>
  <si>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</si>
  <si>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</si>
  <si>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t>CT-P42 충전 PV 프로토콜 계약 체결 전으로 연기(-3억),  CT-P42 Residual NO2 재시험 샘플 제작(+0.32억), 엔도톡신 시험 추가(+960만원)</t>
    <phoneticPr fontId="2" type="noConversion"/>
  </si>
  <si>
    <t xml:space="preserve">LCM 청구 증빙문서 수정사항 발생에 따른 청구월 이월 </t>
    <phoneticPr fontId="2" type="noConversion"/>
  </si>
  <si>
    <t>출하승인 완료예정인 2배치 추가 매출 반영</t>
  </si>
  <si>
    <t>수율 반영</t>
    <phoneticPr fontId="2" type="noConversion"/>
  </si>
  <si>
    <t>이달비클로정40/12.5mg 28T TH향 수율반영</t>
  </si>
  <si>
    <r>
      <t>사업계획 대비</t>
    </r>
    <r>
      <rPr>
        <b/>
        <sz val="13.5"/>
        <color rgb="FF0000FF"/>
        <rFont val="Pretendard"/>
        <family val="3"/>
        <charset val="129"/>
      </rPr>
      <t xml:space="preserve"> +10.9억원</t>
    </r>
    <phoneticPr fontId="2" type="noConversion"/>
  </si>
  <si>
    <t>- 선수금 반영(0.2억)</t>
    <phoneticPr fontId="2" type="noConversion"/>
  </si>
  <si>
    <r>
      <t>- 전주 대비 :</t>
    </r>
    <r>
      <rPr>
        <sz val="14"/>
        <color rgb="FFFF0000"/>
        <rFont val="Pretendard"/>
        <family val="3"/>
        <charset val="129"/>
      </rPr>
      <t xml:space="preserve"> -1.3억</t>
    </r>
    <r>
      <rPr>
        <sz val="14"/>
        <color theme="1" tint="0.249977111117893"/>
        <rFont val="Pretendard"/>
        <family val="3"/>
        <charset val="129"/>
      </rPr>
      <t xml:space="preserve">
 1) L02 EBP 청구 증빙문서 수정사항 발생에 따른 청구월 이월
 2) L06 안정성 시험일정 지연에 따른 이월</t>
    </r>
    <phoneticPr fontId="2" type="noConversion"/>
  </si>
  <si>
    <t>- 선수금 반영(0.3억)</t>
    <phoneticPr fontId="2" type="noConversion"/>
  </si>
  <si>
    <t>- 위임형(로제핀정) 4월부터 300만원씩 선수금 매출 발생 예정</t>
    <phoneticPr fontId="2" type="noConversion"/>
  </si>
  <si>
    <t>12월</t>
  </si>
  <si>
    <t>1월</t>
  </si>
  <si>
    <t>2월</t>
  </si>
  <si>
    <t>[증가] 전주 대비 : +0.6억 (수율 반영)
[감소] PFS 국내향(스토보클로) 포장 ATTP(일련번호시스템) 오류 발생으로 출하 지연(-2.4억원)</t>
    <phoneticPr fontId="2" type="noConversion"/>
  </si>
  <si>
    <t>2026.03.26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</si>
</sst>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0_);[Red]\(#,##0.0\)"/>
    <numFmt numFmtId="188" formatCode="0_);[Red]\(0\)"/>
    <numFmt numFmtId="189" formatCode="_-* #,##0_-;\-* #,##0_-;_-* &quot;-&quot;??_-;_-@_-"/>
  </numFmts>
  <fonts count="8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b/>
      <sz val="11"/>
      <color theme="0"/>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b/>
      <sz val="11"/>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b/>
      <sz val="13.5"/>
      <color theme="1" tint="0.249977111117893"/>
      <name val="Pretendard"/>
      <family val="3"/>
      <charset val="129"/>
    </font>
  </fonts>
  <fills count="1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8" tint="0.59999389629810485"/>
        <bgColor indexed="64"/>
      </patternFill>
    </fill>
  </fills>
  <borders count="40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hair">
        <color theme="0" tint="-0.34998626667073579"/>
      </bottom>
      <diagonal/>
    </border>
    <border>
      <left/>
      <right/>
      <top style="medium">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right style="hair">
        <color theme="0" tint="-0.499984740745262"/>
      </right>
      <top/>
      <bottom style="thin">
        <color theme="0" tint="-0.34998626667073579"/>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122">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cellStyleXfs>
  <cellXfs count="1272">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0" fillId="0" borderId="0" xfId="0" applyFont="1">
      <alignment vertical="center"/>
    </xf>
    <xf numFmtId="0" fontId="21" fillId="0" borderId="0" xfId="0" applyFont="1">
      <alignment vertical="center"/>
    </xf>
    <xf numFmtId="0" fontId="12" fillId="0" borderId="0" xfId="0" applyFont="1" applyAlignment="1">
      <alignment horizontal="right"/>
    </xf>
    <xf numFmtId="0" fontId="22"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0" fontId="24" fillId="5" borderId="220" xfId="0" applyFont="1" applyFill="1" applyBorder="1">
      <alignment vertical="center"/>
    </xf>
    <xf numFmtId="0" fontId="24" fillId="5" borderId="221" xfId="0" applyFont="1" applyFill="1" applyBorder="1">
      <alignment vertical="center"/>
    </xf>
    <xf numFmtId="0" fontId="20" fillId="5" borderId="228" xfId="0" applyFont="1" applyFill="1" applyBorder="1" applyAlignment="1">
      <alignment horizontal="center" vertical="center"/>
    </xf>
    <xf numFmtId="0" fontId="20" fillId="5" borderId="227" xfId="0" applyFont="1" applyFill="1" applyBorder="1" applyAlignment="1">
      <alignment horizontal="center" vertical="center"/>
    </xf>
    <xf numFmtId="0" fontId="20" fillId="5" borderId="277" xfId="0" applyFont="1" applyFill="1" applyBorder="1" applyAlignment="1">
      <alignment horizontal="center" vertical="center"/>
    </xf>
    <xf numFmtId="0" fontId="24" fillId="3" borderId="220" xfId="0" applyFont="1" applyFill="1" applyBorder="1">
      <alignment vertical="center"/>
    </xf>
    <xf numFmtId="0" fontId="24" fillId="3" borderId="221" xfId="0" applyFont="1" applyFill="1" applyBorder="1">
      <alignment vertical="center"/>
    </xf>
    <xf numFmtId="0" fontId="24" fillId="0" borderId="0" xfId="0" applyFont="1">
      <alignment vertical="center"/>
    </xf>
    <xf numFmtId="0" fontId="24" fillId="5" borderId="219" xfId="0" applyFont="1" applyFill="1" applyBorder="1" applyAlignment="1">
      <alignment horizontal="left" vertical="center" wrapText="1"/>
    </xf>
    <xf numFmtId="0" fontId="24" fillId="5" borderId="220" xfId="0" applyFont="1" applyFill="1" applyBorder="1" applyAlignment="1">
      <alignment horizontal="left" vertical="center"/>
    </xf>
    <xf numFmtId="0" fontId="24" fillId="5" borderId="221" xfId="0" applyFont="1" applyFill="1" applyBorder="1" applyAlignment="1">
      <alignment horizontal="left" vertical="center"/>
    </xf>
    <xf numFmtId="0" fontId="20" fillId="3" borderId="219" xfId="0" applyFont="1" applyFill="1" applyBorder="1">
      <alignment vertical="center"/>
    </xf>
    <xf numFmtId="0" fontId="20" fillId="3" borderId="220" xfId="0" applyFont="1" applyFill="1" applyBorder="1">
      <alignment vertical="center"/>
    </xf>
    <xf numFmtId="179" fontId="20" fillId="3" borderId="145" xfId="0" applyNumberFormat="1" applyFont="1" applyFill="1" applyBorder="1">
      <alignment vertical="center"/>
    </xf>
    <xf numFmtId="179" fontId="20" fillId="3" borderId="146" xfId="0" applyNumberFormat="1" applyFont="1" applyFill="1" applyBorder="1">
      <alignment vertical="center"/>
    </xf>
    <xf numFmtId="179" fontId="20" fillId="3" borderId="147" xfId="0" applyNumberFormat="1" applyFont="1" applyFill="1" applyBorder="1">
      <alignment vertical="center"/>
    </xf>
    <xf numFmtId="179" fontId="20" fillId="3" borderId="148" xfId="0" applyNumberFormat="1" applyFont="1" applyFill="1" applyBorder="1">
      <alignment vertical="center"/>
    </xf>
    <xf numFmtId="179" fontId="26" fillId="4" borderId="143" xfId="0" applyNumberFormat="1" applyFont="1" applyFill="1" applyBorder="1">
      <alignment vertical="center"/>
    </xf>
    <xf numFmtId="179" fontId="20" fillId="3" borderId="241" xfId="0" applyNumberFormat="1" applyFont="1" applyFill="1" applyBorder="1">
      <alignment vertical="center"/>
    </xf>
    <xf numFmtId="179" fontId="20" fillId="3" borderId="149" xfId="0" applyNumberFormat="1" applyFont="1" applyFill="1" applyBorder="1">
      <alignment vertical="center"/>
    </xf>
    <xf numFmtId="179" fontId="26" fillId="4" borderId="151" xfId="0" applyNumberFormat="1" applyFont="1" applyFill="1" applyBorder="1">
      <alignment vertical="center"/>
    </xf>
    <xf numFmtId="179" fontId="20" fillId="3" borderId="150" xfId="0" applyNumberFormat="1" applyFont="1" applyFill="1" applyBorder="1">
      <alignment vertical="center"/>
    </xf>
    <xf numFmtId="179" fontId="20" fillId="3" borderId="143" xfId="0" applyNumberFormat="1" applyFont="1" applyFill="1" applyBorder="1">
      <alignment vertical="center"/>
    </xf>
    <xf numFmtId="179" fontId="27" fillId="4" borderId="144" xfId="0" applyNumberFormat="1" applyFont="1" applyFill="1" applyBorder="1">
      <alignment vertical="center"/>
    </xf>
    <xf numFmtId="179" fontId="26" fillId="4" borderId="242" xfId="0" applyNumberFormat="1" applyFont="1" applyFill="1" applyBorder="1">
      <alignment vertical="center"/>
    </xf>
    <xf numFmtId="179" fontId="26" fillId="4" borderId="144" xfId="0" applyNumberFormat="1" applyFont="1" applyFill="1" applyBorder="1">
      <alignment vertical="center"/>
    </xf>
    <xf numFmtId="179" fontId="20" fillId="3" borderId="152" xfId="0" applyNumberFormat="1" applyFont="1" applyFill="1" applyBorder="1">
      <alignment vertical="center"/>
    </xf>
    <xf numFmtId="179" fontId="24" fillId="8" borderId="115" xfId="0" applyNumberFormat="1" applyFont="1" applyFill="1" applyBorder="1">
      <alignment vertical="center"/>
    </xf>
    <xf numFmtId="179" fontId="24" fillId="8" borderId="116" xfId="0" applyNumberFormat="1" applyFont="1" applyFill="1" applyBorder="1">
      <alignment vertical="center"/>
    </xf>
    <xf numFmtId="179" fontId="24" fillId="8" borderId="113" xfId="0" applyNumberFormat="1" applyFont="1" applyFill="1" applyBorder="1">
      <alignment vertical="center"/>
    </xf>
    <xf numFmtId="179" fontId="24" fillId="8" borderId="154" xfId="0" applyNumberFormat="1" applyFont="1" applyFill="1" applyBorder="1">
      <alignment vertical="center"/>
    </xf>
    <xf numFmtId="179" fontId="24" fillId="8" borderId="0" xfId="0" applyNumberFormat="1" applyFont="1" applyFill="1">
      <alignment vertical="center"/>
    </xf>
    <xf numFmtId="179" fontId="24" fillId="8" borderId="243" xfId="0" applyNumberFormat="1" applyFont="1" applyFill="1" applyBorder="1">
      <alignment vertical="center"/>
    </xf>
    <xf numFmtId="179" fontId="24" fillId="8" borderId="155" xfId="0" applyNumberFormat="1" applyFont="1" applyFill="1" applyBorder="1">
      <alignment vertical="center"/>
    </xf>
    <xf numFmtId="179" fontId="24" fillId="8" borderId="157" xfId="0" applyNumberFormat="1" applyFont="1" applyFill="1" applyBorder="1">
      <alignment vertical="center"/>
    </xf>
    <xf numFmtId="179" fontId="24" fillId="8" borderId="156" xfId="0" applyNumberFormat="1" applyFont="1" applyFill="1" applyBorder="1">
      <alignment vertical="center"/>
    </xf>
    <xf numFmtId="179" fontId="28" fillId="8" borderId="114" xfId="0" applyNumberFormat="1" applyFont="1" applyFill="1" applyBorder="1">
      <alignment vertical="center"/>
    </xf>
    <xf numFmtId="179" fontId="24" fillId="8" borderId="238" xfId="0" applyNumberFormat="1" applyFont="1" applyFill="1" applyBorder="1">
      <alignment vertical="center"/>
    </xf>
    <xf numFmtId="0" fontId="24" fillId="8" borderId="0" xfId="0" applyFont="1" applyFill="1">
      <alignment vertical="center"/>
    </xf>
    <xf numFmtId="179" fontId="24" fillId="8" borderId="158" xfId="0" applyNumberFormat="1" applyFont="1" applyFill="1" applyBorder="1">
      <alignment vertical="center"/>
    </xf>
    <xf numFmtId="179" fontId="24" fillId="8" borderId="114" xfId="0" applyNumberFormat="1" applyFont="1" applyFill="1" applyBorder="1">
      <alignment vertical="center"/>
    </xf>
    <xf numFmtId="179" fontId="24" fillId="0" borderId="160" xfId="0" applyNumberFormat="1" applyFont="1" applyBorder="1">
      <alignment vertical="center"/>
    </xf>
    <xf numFmtId="179" fontId="24" fillId="0" borderId="161" xfId="0" applyNumberFormat="1" applyFont="1" applyBorder="1">
      <alignment vertical="center"/>
    </xf>
    <xf numFmtId="179" fontId="24" fillId="0" borderId="162" xfId="0" applyNumberFormat="1" applyFont="1" applyBorder="1">
      <alignment vertical="center"/>
    </xf>
    <xf numFmtId="179" fontId="24" fillId="0" borderId="163" xfId="0" applyNumberFormat="1" applyFont="1" applyBorder="1">
      <alignment vertical="center"/>
    </xf>
    <xf numFmtId="179" fontId="28" fillId="0" borderId="165" xfId="0" applyNumberFormat="1" applyFont="1" applyBorder="1">
      <alignment vertical="center"/>
    </xf>
    <xf numFmtId="179" fontId="28" fillId="0" borderId="244" xfId="0" applyNumberFormat="1" applyFont="1" applyBorder="1">
      <alignment vertical="center"/>
    </xf>
    <xf numFmtId="179" fontId="28" fillId="0" borderId="101" xfId="0" applyNumberFormat="1" applyFont="1" applyBorder="1">
      <alignment vertical="center"/>
    </xf>
    <xf numFmtId="179" fontId="28" fillId="0" borderId="167" xfId="0" applyNumberFormat="1" applyFont="1" applyBorder="1">
      <alignment vertical="center"/>
    </xf>
    <xf numFmtId="179" fontId="28" fillId="0" borderId="166" xfId="0" applyNumberFormat="1" applyFont="1" applyBorder="1">
      <alignment vertical="center"/>
    </xf>
    <xf numFmtId="41" fontId="28" fillId="0" borderId="101" xfId="1" applyFont="1" applyBorder="1">
      <alignment vertical="center"/>
    </xf>
    <xf numFmtId="41" fontId="24" fillId="0" borderId="165" xfId="0" applyNumberFormat="1" applyFont="1" applyBorder="1">
      <alignment vertical="center"/>
    </xf>
    <xf numFmtId="41" fontId="24" fillId="0" borderId="101" xfId="0" applyNumberFormat="1" applyFont="1" applyBorder="1">
      <alignment vertical="center"/>
    </xf>
    <xf numFmtId="179" fontId="28" fillId="0" borderId="164" xfId="0" applyNumberFormat="1" applyFont="1" applyBorder="1">
      <alignment vertical="center"/>
    </xf>
    <xf numFmtId="179" fontId="28" fillId="0" borderId="245" xfId="0" applyNumberFormat="1" applyFont="1" applyBorder="1">
      <alignment vertical="center"/>
    </xf>
    <xf numFmtId="41" fontId="24" fillId="0" borderId="168" xfId="0" applyNumberFormat="1" applyFont="1" applyBorder="1">
      <alignment vertical="center"/>
    </xf>
    <xf numFmtId="179" fontId="24" fillId="0" borderId="164" xfId="0" applyNumberFormat="1" applyFont="1" applyBorder="1">
      <alignment vertical="center"/>
    </xf>
    <xf numFmtId="41" fontId="24" fillId="0" borderId="170" xfId="0" applyNumberFormat="1" applyFont="1" applyBorder="1">
      <alignment vertical="center"/>
    </xf>
    <xf numFmtId="179" fontId="24" fillId="0" borderId="171" xfId="0" applyNumberFormat="1" applyFont="1" applyBorder="1">
      <alignment vertical="center"/>
    </xf>
    <xf numFmtId="179" fontId="24" fillId="0" borderId="172" xfId="0" applyNumberFormat="1" applyFont="1" applyBorder="1">
      <alignment vertical="center"/>
    </xf>
    <xf numFmtId="179" fontId="24" fillId="0" borderId="173" xfId="0" applyNumberFormat="1" applyFont="1" applyBorder="1">
      <alignment vertical="center"/>
    </xf>
    <xf numFmtId="181" fontId="25" fillId="0" borderId="175" xfId="0" applyNumberFormat="1" applyFont="1" applyBorder="1">
      <alignment vertical="center"/>
    </xf>
    <xf numFmtId="41" fontId="28" fillId="0" borderId="246" xfId="1" applyFont="1" applyBorder="1">
      <alignment vertical="center"/>
    </xf>
    <xf numFmtId="41" fontId="28" fillId="0" borderId="102" xfId="1" applyFont="1" applyBorder="1">
      <alignment vertical="center"/>
    </xf>
    <xf numFmtId="41" fontId="28" fillId="0" borderId="177" xfId="1" applyFont="1" applyBorder="1">
      <alignment vertical="center"/>
    </xf>
    <xf numFmtId="41" fontId="28" fillId="0" borderId="176" xfId="1" applyFont="1" applyBorder="1">
      <alignment vertical="center"/>
    </xf>
    <xf numFmtId="41" fontId="24" fillId="0" borderId="175" xfId="0" applyNumberFormat="1" applyFont="1" applyBorder="1">
      <alignment vertical="center"/>
    </xf>
    <xf numFmtId="41" fontId="24" fillId="0" borderId="102" xfId="0" applyNumberFormat="1" applyFont="1" applyBorder="1">
      <alignment vertical="center"/>
    </xf>
    <xf numFmtId="41" fontId="28" fillId="0" borderId="174" xfId="1" applyFont="1" applyBorder="1">
      <alignment vertical="center"/>
    </xf>
    <xf numFmtId="181" fontId="25" fillId="0" borderId="247" xfId="0" applyNumberFormat="1" applyFont="1" applyBorder="1">
      <alignment vertical="center"/>
    </xf>
    <xf numFmtId="41" fontId="24" fillId="0" borderId="178" xfId="0" applyNumberFormat="1" applyFont="1" applyBorder="1">
      <alignment vertical="center"/>
    </xf>
    <xf numFmtId="179" fontId="24" fillId="0" borderId="174" xfId="0" applyNumberFormat="1" applyFont="1" applyBorder="1">
      <alignment vertical="center"/>
    </xf>
    <xf numFmtId="179" fontId="24" fillId="8" borderId="179" xfId="0" applyNumberFormat="1" applyFont="1" applyFill="1" applyBorder="1">
      <alignment vertical="center"/>
    </xf>
    <xf numFmtId="179" fontId="24" fillId="8" borderId="180" xfId="0" applyNumberFormat="1" applyFont="1" applyFill="1" applyBorder="1">
      <alignment vertical="center"/>
    </xf>
    <xf numFmtId="179" fontId="24" fillId="8" borderId="181" xfId="0" applyNumberFormat="1" applyFont="1" applyFill="1" applyBorder="1">
      <alignment vertical="center"/>
    </xf>
    <xf numFmtId="179" fontId="24" fillId="8" borderId="117" xfId="0" applyNumberFormat="1" applyFont="1" applyFill="1" applyBorder="1">
      <alignment vertical="center"/>
    </xf>
    <xf numFmtId="179" fontId="24" fillId="8" borderId="182" xfId="0" applyNumberFormat="1" applyFont="1" applyFill="1" applyBorder="1">
      <alignment vertical="center"/>
    </xf>
    <xf numFmtId="179" fontId="24" fillId="8" borderId="123" xfId="0" applyNumberFormat="1" applyFont="1" applyFill="1" applyBorder="1">
      <alignment vertical="center"/>
    </xf>
    <xf numFmtId="179" fontId="28" fillId="8" borderId="153" xfId="0" applyNumberFormat="1" applyFont="1" applyFill="1" applyBorder="1">
      <alignment vertical="center"/>
    </xf>
    <xf numFmtId="179" fontId="24" fillId="8" borderId="248" xfId="0" applyNumberFormat="1" applyFont="1" applyFill="1" applyBorder="1">
      <alignment vertical="center"/>
    </xf>
    <xf numFmtId="179" fontId="24" fillId="8" borderId="183" xfId="0" applyNumberFormat="1" applyFont="1" applyFill="1" applyBorder="1">
      <alignment vertical="center"/>
    </xf>
    <xf numFmtId="179" fontId="24" fillId="8" borderId="153" xfId="0" applyNumberFormat="1" applyFont="1" applyFill="1" applyBorder="1">
      <alignment vertical="center"/>
    </xf>
    <xf numFmtId="41" fontId="24" fillId="0" borderId="160" xfId="0" applyNumberFormat="1" applyFont="1" applyBorder="1">
      <alignment vertical="center"/>
    </xf>
    <xf numFmtId="181" fontId="28" fillId="0" borderId="165" xfId="0" applyNumberFormat="1" applyFont="1" applyBorder="1">
      <alignment vertical="center"/>
    </xf>
    <xf numFmtId="181" fontId="28" fillId="0" borderId="244" xfId="0" applyNumberFormat="1" applyFont="1" applyBorder="1">
      <alignment vertical="center"/>
    </xf>
    <xf numFmtId="181" fontId="28" fillId="0" borderId="101" xfId="0" applyNumberFormat="1" applyFont="1" applyBorder="1">
      <alignment vertical="center"/>
    </xf>
    <xf numFmtId="181" fontId="28" fillId="0" borderId="167" xfId="0" applyNumberFormat="1" applyFont="1" applyBorder="1">
      <alignment vertical="center"/>
    </xf>
    <xf numFmtId="181" fontId="28" fillId="0" borderId="166" xfId="0" applyNumberFormat="1" applyFont="1" applyBorder="1">
      <alignment vertical="center"/>
    </xf>
    <xf numFmtId="181" fontId="28" fillId="0" borderId="164" xfId="0" applyNumberFormat="1" applyFont="1" applyBorder="1">
      <alignment vertical="center"/>
    </xf>
    <xf numFmtId="181" fontId="28" fillId="0" borderId="245" xfId="0" applyNumberFormat="1" applyFont="1" applyBorder="1">
      <alignment vertical="center"/>
    </xf>
    <xf numFmtId="181" fontId="24" fillId="0" borderId="164" xfId="0" applyNumberFormat="1" applyFont="1" applyBorder="1">
      <alignment vertical="center"/>
    </xf>
    <xf numFmtId="41" fontId="24" fillId="0" borderId="115" xfId="1" applyFont="1" applyBorder="1">
      <alignment vertical="center"/>
    </xf>
    <xf numFmtId="179" fontId="24" fillId="0" borderId="116" xfId="0" applyNumberFormat="1" applyFont="1" applyBorder="1">
      <alignment vertical="center"/>
    </xf>
    <xf numFmtId="41" fontId="24" fillId="0" borderId="113" xfId="1" applyFont="1" applyBorder="1">
      <alignment vertical="center"/>
    </xf>
    <xf numFmtId="179" fontId="28" fillId="0" borderId="0" xfId="0" applyNumberFormat="1" applyFont="1">
      <alignment vertical="center"/>
    </xf>
    <xf numFmtId="179" fontId="28" fillId="0" borderId="243" xfId="0" applyNumberFormat="1" applyFont="1" applyBorder="1">
      <alignment vertical="center"/>
    </xf>
    <xf numFmtId="179" fontId="28" fillId="0" borderId="155" xfId="0" applyNumberFormat="1" applyFont="1" applyBorder="1">
      <alignment vertical="center"/>
    </xf>
    <xf numFmtId="179" fontId="28" fillId="0" borderId="157" xfId="0" applyNumberFormat="1" applyFont="1" applyBorder="1">
      <alignment vertical="center"/>
    </xf>
    <xf numFmtId="179" fontId="28" fillId="0" borderId="156" xfId="0" applyNumberFormat="1" applyFont="1" applyBorder="1">
      <alignment vertical="center"/>
    </xf>
    <xf numFmtId="41" fontId="24" fillId="0" borderId="155" xfId="1" applyFont="1" applyBorder="1">
      <alignment vertical="center"/>
    </xf>
    <xf numFmtId="181" fontId="28" fillId="0" borderId="114" xfId="1" applyNumberFormat="1" applyFont="1" applyBorder="1">
      <alignment vertical="center"/>
    </xf>
    <xf numFmtId="179" fontId="28" fillId="0" borderId="238" xfId="0" applyNumberFormat="1" applyFont="1" applyBorder="1">
      <alignment vertical="center"/>
    </xf>
    <xf numFmtId="179" fontId="24" fillId="0" borderId="114" xfId="0" applyNumberFormat="1" applyFont="1" applyBorder="1">
      <alignment vertical="center"/>
    </xf>
    <xf numFmtId="179" fontId="24" fillId="8" borderId="249" xfId="0" applyNumberFormat="1" applyFont="1" applyFill="1" applyBorder="1">
      <alignment vertical="center"/>
    </xf>
    <xf numFmtId="179" fontId="24" fillId="8" borderId="124" xfId="0" applyNumberFormat="1" applyFont="1" applyFill="1" applyBorder="1">
      <alignment vertical="center"/>
    </xf>
    <xf numFmtId="179" fontId="24" fillId="8" borderId="185" xfId="0" applyNumberFormat="1" applyFont="1" applyFill="1" applyBorder="1">
      <alignment vertical="center"/>
    </xf>
    <xf numFmtId="41" fontId="24" fillId="0" borderId="188" xfId="0" applyNumberFormat="1" applyFont="1" applyBorder="1">
      <alignment vertical="center"/>
    </xf>
    <xf numFmtId="179" fontId="24" fillId="0" borderId="189" xfId="0" applyNumberFormat="1" applyFont="1" applyBorder="1">
      <alignment vertical="center"/>
    </xf>
    <xf numFmtId="179" fontId="24" fillId="0" borderId="190" xfId="0" applyNumberFormat="1" applyFont="1" applyBorder="1">
      <alignment vertical="center"/>
    </xf>
    <xf numFmtId="179" fontId="24" fillId="0" borderId="191" xfId="0" applyNumberFormat="1" applyFont="1" applyBorder="1">
      <alignment vertical="center"/>
    </xf>
    <xf numFmtId="181" fontId="28" fillId="0" borderId="193" xfId="0" applyNumberFormat="1" applyFont="1" applyBorder="1">
      <alignment vertical="center"/>
    </xf>
    <xf numFmtId="181" fontId="28" fillId="0" borderId="250" xfId="0" applyNumberFormat="1" applyFont="1" applyBorder="1">
      <alignment vertical="center"/>
    </xf>
    <xf numFmtId="181" fontId="28" fillId="0" borderId="194" xfId="0" applyNumberFormat="1" applyFont="1" applyBorder="1">
      <alignment vertical="center"/>
    </xf>
    <xf numFmtId="181" fontId="28" fillId="0" borderId="196" xfId="0" applyNumberFormat="1" applyFont="1" applyBorder="1">
      <alignment vertical="center"/>
    </xf>
    <xf numFmtId="181" fontId="28" fillId="0" borderId="195" xfId="0" applyNumberFormat="1" applyFont="1" applyBorder="1">
      <alignment vertical="center"/>
    </xf>
    <xf numFmtId="41" fontId="24" fillId="0" borderId="193" xfId="0" applyNumberFormat="1" applyFont="1" applyBorder="1">
      <alignment vertical="center"/>
    </xf>
    <xf numFmtId="41" fontId="24" fillId="0" borderId="194" xfId="0" applyNumberFormat="1" applyFont="1" applyBorder="1">
      <alignment vertical="center"/>
    </xf>
    <xf numFmtId="181" fontId="28" fillId="0" borderId="192" xfId="0" applyNumberFormat="1" applyFont="1" applyBorder="1">
      <alignment vertical="center"/>
    </xf>
    <xf numFmtId="181" fontId="28" fillId="0" borderId="251" xfId="0" applyNumberFormat="1" applyFont="1" applyBorder="1">
      <alignment vertical="center"/>
    </xf>
    <xf numFmtId="41" fontId="24" fillId="0" borderId="197" xfId="0" applyNumberFormat="1" applyFont="1" applyBorder="1">
      <alignment vertical="center"/>
    </xf>
    <xf numFmtId="181" fontId="24" fillId="0" borderId="192" xfId="0" applyNumberFormat="1" applyFont="1" applyBorder="1">
      <alignment vertical="center"/>
    </xf>
    <xf numFmtId="179" fontId="28" fillId="0" borderId="193" xfId="0" applyNumberFormat="1" applyFont="1" applyBorder="1">
      <alignment vertical="center"/>
    </xf>
    <xf numFmtId="179" fontId="28" fillId="0" borderId="250" xfId="0" applyNumberFormat="1" applyFont="1" applyBorder="1">
      <alignment vertical="center"/>
    </xf>
    <xf numFmtId="179" fontId="28" fillId="0" borderId="194" xfId="0" applyNumberFormat="1" applyFont="1" applyBorder="1">
      <alignment vertical="center"/>
    </xf>
    <xf numFmtId="179" fontId="28" fillId="0" borderId="196" xfId="0" applyNumberFormat="1" applyFont="1" applyBorder="1">
      <alignment vertical="center"/>
    </xf>
    <xf numFmtId="179" fontId="28" fillId="0" borderId="195" xfId="0" applyNumberFormat="1" applyFont="1" applyBorder="1">
      <alignment vertical="center"/>
    </xf>
    <xf numFmtId="181" fontId="24" fillId="0" borderId="196" xfId="0" applyNumberFormat="1" applyFont="1" applyBorder="1">
      <alignment vertical="center"/>
    </xf>
    <xf numFmtId="179" fontId="28" fillId="0" borderId="251" xfId="0" applyNumberFormat="1" applyFont="1" applyBorder="1">
      <alignment vertical="center"/>
    </xf>
    <xf numFmtId="179" fontId="24" fillId="0" borderId="192" xfId="0" applyNumberFormat="1" applyFont="1" applyBorder="1">
      <alignment vertical="center"/>
    </xf>
    <xf numFmtId="41" fontId="24" fillId="0" borderId="199" xfId="0" applyNumberFormat="1" applyFont="1" applyBorder="1">
      <alignment vertical="center"/>
    </xf>
    <xf numFmtId="179" fontId="24" fillId="0" borderId="200" xfId="0" applyNumberFormat="1" applyFont="1" applyBorder="1">
      <alignment vertical="center"/>
    </xf>
    <xf numFmtId="179" fontId="24" fillId="0" borderId="201" xfId="0" applyNumberFormat="1" applyFont="1" applyBorder="1">
      <alignment vertical="center"/>
    </xf>
    <xf numFmtId="179" fontId="24" fillId="0" borderId="202" xfId="0" applyNumberFormat="1" applyFont="1" applyBorder="1">
      <alignment vertical="center"/>
    </xf>
    <xf numFmtId="179" fontId="28" fillId="0" borderId="204" xfId="0" applyNumberFormat="1" applyFont="1" applyBorder="1">
      <alignment vertical="center"/>
    </xf>
    <xf numFmtId="41" fontId="28" fillId="0" borderId="252" xfId="1" applyFont="1" applyBorder="1">
      <alignment vertical="center"/>
    </xf>
    <xf numFmtId="41" fontId="28" fillId="0" borderId="205" xfId="1" applyFont="1" applyBorder="1">
      <alignment vertical="center"/>
    </xf>
    <xf numFmtId="41" fontId="28" fillId="0" borderId="207" xfId="1" applyFont="1" applyBorder="1">
      <alignment vertical="center"/>
    </xf>
    <xf numFmtId="41" fontId="28" fillId="0" borderId="206" xfId="1" applyFont="1" applyBorder="1">
      <alignment vertical="center"/>
    </xf>
    <xf numFmtId="41" fontId="28" fillId="0" borderId="194" xfId="1" applyFont="1" applyBorder="1">
      <alignment vertical="center"/>
    </xf>
    <xf numFmtId="41" fontId="24" fillId="0" borderId="204" xfId="0" applyNumberFormat="1" applyFont="1" applyBorder="1">
      <alignment vertical="center"/>
    </xf>
    <xf numFmtId="41" fontId="24" fillId="0" borderId="205" xfId="0" applyNumberFormat="1" applyFont="1" applyBorder="1">
      <alignment vertical="center"/>
    </xf>
    <xf numFmtId="41" fontId="28" fillId="0" borderId="203" xfId="0" applyNumberFormat="1" applyFont="1" applyBorder="1">
      <alignment vertical="center"/>
    </xf>
    <xf numFmtId="179" fontId="28" fillId="0" borderId="253" xfId="0" applyNumberFormat="1" applyFont="1" applyBorder="1">
      <alignment vertical="center"/>
    </xf>
    <xf numFmtId="41" fontId="24" fillId="0" borderId="208" xfId="0" applyNumberFormat="1" applyFont="1" applyBorder="1">
      <alignment vertical="center"/>
    </xf>
    <xf numFmtId="179" fontId="24" fillId="0" borderId="203" xfId="0" applyNumberFormat="1" applyFont="1" applyBorder="1">
      <alignment vertical="center"/>
    </xf>
    <xf numFmtId="41" fontId="24" fillId="0" borderId="212" xfId="0" applyNumberFormat="1" applyFont="1" applyBorder="1">
      <alignment vertical="center"/>
    </xf>
    <xf numFmtId="41" fontId="24" fillId="0" borderId="213" xfId="1" applyFont="1" applyBorder="1">
      <alignment vertical="center"/>
    </xf>
    <xf numFmtId="41" fontId="24" fillId="0" borderId="126" xfId="1" applyFont="1" applyBorder="1">
      <alignment vertical="center"/>
    </xf>
    <xf numFmtId="179" fontId="24" fillId="0" borderId="214" xfId="0" applyNumberFormat="1" applyFont="1" applyBorder="1">
      <alignment vertical="center"/>
    </xf>
    <xf numFmtId="179" fontId="28" fillId="0" borderId="127" xfId="0" applyNumberFormat="1" applyFont="1" applyBorder="1">
      <alignment vertical="center"/>
    </xf>
    <xf numFmtId="41" fontId="28" fillId="0" borderId="254" xfId="1" applyFont="1" applyBorder="1">
      <alignment vertical="center"/>
    </xf>
    <xf numFmtId="41" fontId="28" fillId="0" borderId="255" xfId="1" applyFont="1" applyBorder="1">
      <alignment vertical="center"/>
    </xf>
    <xf numFmtId="41" fontId="28" fillId="0" borderId="256" xfId="1" applyFont="1" applyBorder="1">
      <alignment vertical="center"/>
    </xf>
    <xf numFmtId="41" fontId="28" fillId="0" borderId="257" xfId="1" applyFont="1" applyBorder="1">
      <alignment vertical="center"/>
    </xf>
    <xf numFmtId="41" fontId="24" fillId="0" borderId="258" xfId="0" applyNumberFormat="1" applyFont="1" applyBorder="1">
      <alignment vertical="center"/>
    </xf>
    <xf numFmtId="41" fontId="28" fillId="0" borderId="259" xfId="1" applyFont="1" applyBorder="1">
      <alignment vertical="center"/>
    </xf>
    <xf numFmtId="41" fontId="24" fillId="0" borderId="260" xfId="1" applyFont="1" applyBorder="1">
      <alignment vertical="center"/>
    </xf>
    <xf numFmtId="179" fontId="24" fillId="0" borderId="261" xfId="0" applyNumberFormat="1" applyFont="1" applyBorder="1">
      <alignment vertical="center"/>
    </xf>
    <xf numFmtId="179" fontId="28" fillId="0" borderId="262" xfId="0" applyNumberFormat="1" applyFont="1" applyBorder="1">
      <alignment vertical="center"/>
    </xf>
    <xf numFmtId="41" fontId="24" fillId="0" borderId="127" xfId="0" applyNumberFormat="1" applyFont="1" applyBorder="1">
      <alignment vertical="center"/>
    </xf>
    <xf numFmtId="41" fontId="24" fillId="0" borderId="215" xfId="0" applyNumberFormat="1" applyFont="1" applyBorder="1">
      <alignment vertical="center"/>
    </xf>
    <xf numFmtId="41" fontId="28" fillId="0" borderId="128" xfId="0" applyNumberFormat="1" applyFont="1" applyBorder="1">
      <alignment vertical="center"/>
    </xf>
    <xf numFmtId="41" fontId="24" fillId="0" borderId="225" xfId="0" applyNumberFormat="1" applyFont="1" applyBorder="1">
      <alignment vertical="center"/>
    </xf>
    <xf numFmtId="179" fontId="24" fillId="0" borderId="128" xfId="0" applyNumberFormat="1" applyFont="1" applyBorder="1">
      <alignment vertical="center"/>
    </xf>
    <xf numFmtId="179" fontId="20" fillId="3" borderId="270" xfId="0" applyNumberFormat="1" applyFont="1" applyFill="1" applyBorder="1">
      <alignment vertical="center"/>
    </xf>
    <xf numFmtId="181" fontId="26" fillId="4" borderId="144" xfId="0" applyNumberFormat="1" applyFont="1" applyFill="1" applyBorder="1">
      <alignment vertical="center"/>
    </xf>
    <xf numFmtId="181" fontId="26" fillId="4" borderId="143" xfId="0" applyNumberFormat="1" applyFont="1" applyFill="1" applyBorder="1">
      <alignment vertical="center"/>
    </xf>
    <xf numFmtId="9" fontId="26" fillId="3" borderId="151" xfId="2" applyFont="1" applyFill="1" applyBorder="1">
      <alignment vertical="center"/>
    </xf>
    <xf numFmtId="179" fontId="24" fillId="8" borderId="142" xfId="0" applyNumberFormat="1" applyFont="1" applyFill="1" applyBorder="1">
      <alignment vertical="center"/>
    </xf>
    <xf numFmtId="181" fontId="28" fillId="8" borderId="114" xfId="0" applyNumberFormat="1" applyFont="1" applyFill="1" applyBorder="1">
      <alignment vertical="center"/>
    </xf>
    <xf numFmtId="179" fontId="28" fillId="8" borderId="0" xfId="0" applyNumberFormat="1" applyFont="1" applyFill="1">
      <alignment vertical="center"/>
    </xf>
    <xf numFmtId="9" fontId="29" fillId="8" borderId="157" xfId="2" applyFont="1" applyFill="1" applyBorder="1">
      <alignment vertical="center"/>
    </xf>
    <xf numFmtId="9" fontId="25" fillId="0" borderId="167" xfId="2" applyFont="1" applyBorder="1">
      <alignment vertical="center"/>
    </xf>
    <xf numFmtId="181" fontId="28" fillId="0" borderId="174" xfId="0" applyNumberFormat="1" applyFont="1" applyBorder="1">
      <alignment vertical="center"/>
    </xf>
    <xf numFmtId="181" fontId="28" fillId="0" borderId="175" xfId="0" applyNumberFormat="1" applyFont="1" applyBorder="1">
      <alignment vertical="center"/>
    </xf>
    <xf numFmtId="9" fontId="25" fillId="0" borderId="177" xfId="2" applyFont="1" applyBorder="1">
      <alignment vertical="center"/>
    </xf>
    <xf numFmtId="179" fontId="28" fillId="8" borderId="182" xfId="0" applyNumberFormat="1" applyFont="1" applyFill="1" applyBorder="1">
      <alignment vertical="center"/>
    </xf>
    <xf numFmtId="9" fontId="29" fillId="8" borderId="124" xfId="2" applyFont="1" applyFill="1" applyBorder="1">
      <alignment vertical="center"/>
    </xf>
    <xf numFmtId="9" fontId="29" fillId="0" borderId="167" xfId="2" applyFont="1" applyBorder="1">
      <alignment vertical="center"/>
    </xf>
    <xf numFmtId="41" fontId="24" fillId="0" borderId="0" xfId="1" applyFont="1" applyBorder="1">
      <alignment vertical="center"/>
    </xf>
    <xf numFmtId="41" fontId="28" fillId="0" borderId="114" xfId="1" applyFont="1" applyBorder="1">
      <alignment vertical="center"/>
    </xf>
    <xf numFmtId="41" fontId="28" fillId="0" borderId="0" xfId="1" applyFont="1" applyBorder="1">
      <alignment vertical="center"/>
    </xf>
    <xf numFmtId="9" fontId="29" fillId="0" borderId="157" xfId="2" applyFont="1" applyBorder="1">
      <alignment vertical="center"/>
    </xf>
    <xf numFmtId="179" fontId="24" fillId="8" borderId="118" xfId="0" applyNumberFormat="1" applyFont="1" applyFill="1" applyBorder="1">
      <alignment vertical="center"/>
    </xf>
    <xf numFmtId="181" fontId="28" fillId="8" borderId="153" xfId="0" applyNumberFormat="1" applyFont="1" applyFill="1" applyBorder="1">
      <alignment vertical="center"/>
    </xf>
    <xf numFmtId="9" fontId="25" fillId="8" borderId="124" xfId="2" applyFont="1" applyFill="1" applyBorder="1">
      <alignment vertical="center"/>
    </xf>
    <xf numFmtId="9" fontId="25" fillId="0" borderId="196" xfId="2" applyFont="1" applyBorder="1">
      <alignment vertical="center"/>
    </xf>
    <xf numFmtId="41" fontId="28" fillId="0" borderId="192" xfId="0" applyNumberFormat="1" applyFont="1" applyBorder="1">
      <alignment vertical="center"/>
    </xf>
    <xf numFmtId="181" fontId="28" fillId="0" borderId="203" xfId="0" applyNumberFormat="1" applyFont="1" applyBorder="1">
      <alignment vertical="center"/>
    </xf>
    <xf numFmtId="183" fontId="28" fillId="0" borderId="203" xfId="0" applyNumberFormat="1" applyFont="1" applyBorder="1">
      <alignment vertical="center"/>
    </xf>
    <xf numFmtId="41" fontId="28" fillId="0" borderId="204" xfId="0" applyNumberFormat="1" applyFont="1" applyBorder="1">
      <alignment vertical="center"/>
    </xf>
    <xf numFmtId="9" fontId="29" fillId="0" borderId="207" xfId="2" applyFont="1" applyBorder="1">
      <alignment vertical="center"/>
    </xf>
    <xf numFmtId="181" fontId="28" fillId="0" borderId="128" xfId="0" applyNumberFormat="1" applyFont="1" applyBorder="1">
      <alignment vertical="center"/>
    </xf>
    <xf numFmtId="183" fontId="28" fillId="0" borderId="128" xfId="0" applyNumberFormat="1" applyFont="1" applyBorder="1">
      <alignment vertical="center"/>
    </xf>
    <xf numFmtId="181" fontId="28" fillId="0" borderId="127" xfId="0" applyNumberFormat="1" applyFont="1" applyBorder="1">
      <alignment vertical="center"/>
    </xf>
    <xf numFmtId="9" fontId="28" fillId="0" borderId="268" xfId="2" applyFont="1" applyBorder="1">
      <alignment vertical="center"/>
    </xf>
    <xf numFmtId="0" fontId="24" fillId="0" borderId="169" xfId="0" applyFont="1" applyBorder="1">
      <alignment vertical="center"/>
    </xf>
    <xf numFmtId="0" fontId="24" fillId="0" borderId="159" xfId="0" applyFont="1" applyBorder="1">
      <alignment vertical="center"/>
    </xf>
    <xf numFmtId="0" fontId="24" fillId="0" borderId="187" xfId="0" applyFont="1" applyBorder="1">
      <alignment vertical="center"/>
    </xf>
    <xf numFmtId="0" fontId="24" fillId="0" borderId="211" xfId="0" applyFont="1" applyBorder="1">
      <alignment vertical="center"/>
    </xf>
    <xf numFmtId="181" fontId="30" fillId="4" borderId="144" xfId="0" applyNumberFormat="1" applyFont="1" applyFill="1" applyBorder="1">
      <alignment vertical="center"/>
    </xf>
    <xf numFmtId="0" fontId="28" fillId="0" borderId="159" xfId="0" applyFont="1" applyBorder="1">
      <alignment vertical="center"/>
    </xf>
    <xf numFmtId="0" fontId="28" fillId="0" borderId="184" xfId="0" applyFont="1" applyBorder="1">
      <alignment vertical="center"/>
    </xf>
    <xf numFmtId="0" fontId="28" fillId="0" borderId="198" xfId="0" applyFont="1" applyBorder="1">
      <alignment vertical="center"/>
    </xf>
    <xf numFmtId="0" fontId="31" fillId="0" borderId="0" xfId="0" applyFont="1">
      <alignment vertical="center"/>
    </xf>
    <xf numFmtId="0" fontId="19" fillId="5" borderId="239" xfId="0" applyFont="1" applyFill="1" applyBorder="1" applyAlignment="1">
      <alignment horizontal="center" vertical="center" wrapText="1"/>
    </xf>
    <xf numFmtId="0" fontId="19" fillId="5" borderId="136" xfId="0" applyFont="1" applyFill="1" applyBorder="1" applyAlignment="1">
      <alignment horizontal="center" vertical="center" wrapText="1"/>
    </xf>
    <xf numFmtId="0" fontId="19" fillId="5" borderId="137" xfId="0" applyFont="1" applyFill="1" applyBorder="1" applyAlignment="1">
      <alignment horizontal="center" vertical="center" wrapText="1"/>
    </xf>
    <xf numFmtId="0" fontId="19" fillId="5" borderId="135" xfId="0" applyFont="1" applyFill="1" applyBorder="1" applyAlignment="1">
      <alignment horizontal="center" vertical="center" wrapText="1"/>
    </xf>
    <xf numFmtId="0" fontId="19" fillId="5" borderId="138" xfId="0" applyFont="1" applyFill="1" applyBorder="1" applyAlignment="1">
      <alignment horizontal="center" vertical="center" wrapText="1"/>
    </xf>
    <xf numFmtId="0" fontId="19" fillId="5" borderId="139" xfId="0" applyFont="1" applyFill="1" applyBorder="1" applyAlignment="1">
      <alignment horizontal="center" vertical="center" wrapText="1"/>
    </xf>
    <xf numFmtId="0" fontId="19" fillId="5" borderId="140" xfId="0" applyFont="1" applyFill="1" applyBorder="1" applyAlignment="1">
      <alignment horizontal="center" vertical="center" wrapText="1"/>
    </xf>
    <xf numFmtId="0" fontId="32" fillId="0" borderId="159" xfId="0" applyFont="1" applyBorder="1">
      <alignment vertical="center"/>
    </xf>
    <xf numFmtId="0" fontId="31" fillId="0" borderId="169" xfId="0" applyFont="1" applyBorder="1">
      <alignment vertical="center"/>
    </xf>
    <xf numFmtId="0" fontId="31" fillId="0" borderId="159" xfId="0" applyFont="1" applyBorder="1">
      <alignment vertical="center"/>
    </xf>
    <xf numFmtId="0" fontId="32" fillId="0" borderId="184" xfId="0" applyFont="1" applyBorder="1">
      <alignment vertical="center"/>
    </xf>
    <xf numFmtId="0" fontId="31" fillId="0" borderId="187" xfId="0" applyFont="1" applyBorder="1">
      <alignment vertical="center"/>
    </xf>
    <xf numFmtId="0" fontId="32" fillId="0" borderId="198" xfId="0" applyFont="1" applyBorder="1">
      <alignment vertical="center"/>
    </xf>
    <xf numFmtId="0" fontId="18" fillId="0" borderId="0" xfId="0" applyFont="1" applyAlignment="1">
      <alignment horizontal="center" vertical="center"/>
    </xf>
    <xf numFmtId="179" fontId="24" fillId="0" borderId="101" xfId="0" applyNumberFormat="1" applyFont="1" applyBorder="1">
      <alignment vertical="center"/>
    </xf>
    <xf numFmtId="179" fontId="24" fillId="0" borderId="194" xfId="0" applyNumberFormat="1" applyFont="1" applyBorder="1">
      <alignment vertical="center"/>
    </xf>
    <xf numFmtId="179" fontId="24" fillId="0" borderId="205" xfId="0" applyNumberFormat="1" applyFont="1" applyBorder="1">
      <alignment vertical="center"/>
    </xf>
    <xf numFmtId="179" fontId="24" fillId="0" borderId="255" xfId="1" applyNumberFormat="1" applyFont="1" applyBorder="1">
      <alignment vertical="center"/>
    </xf>
    <xf numFmtId="179" fontId="28" fillId="0" borderId="205" xfId="1" applyNumberFormat="1" applyFont="1" applyBorder="1">
      <alignment vertical="center"/>
    </xf>
    <xf numFmtId="179" fontId="28" fillId="0" borderId="255" xfId="1" applyNumberFormat="1" applyFont="1" applyBorder="1">
      <alignment vertical="center"/>
    </xf>
    <xf numFmtId="0" fontId="24" fillId="0" borderId="219" xfId="0" applyFont="1" applyBorder="1" applyAlignment="1">
      <alignment horizontal="left" vertical="center"/>
    </xf>
    <xf numFmtId="0" fontId="24" fillId="0" borderId="220" xfId="0" applyFont="1" applyBorder="1" applyAlignment="1">
      <alignment horizontal="left" vertical="center"/>
    </xf>
    <xf numFmtId="0" fontId="24" fillId="0" borderId="220" xfId="0" applyFont="1" applyBorder="1">
      <alignment vertical="center"/>
    </xf>
    <xf numFmtId="0" fontId="24" fillId="0" borderId="221" xfId="0" applyFont="1" applyBorder="1">
      <alignment vertical="center"/>
    </xf>
    <xf numFmtId="0" fontId="20" fillId="11" borderId="219" xfId="0" applyFont="1" applyFill="1" applyBorder="1" applyAlignment="1">
      <alignment horizontal="left" vertical="center"/>
    </xf>
    <xf numFmtId="0" fontId="20" fillId="11" borderId="220" xfId="0" applyFont="1" applyFill="1" applyBorder="1" applyAlignment="1">
      <alignment horizontal="left" vertical="center"/>
    </xf>
    <xf numFmtId="0" fontId="20" fillId="11" borderId="220" xfId="0" applyFont="1" applyFill="1" applyBorder="1">
      <alignment vertical="center"/>
    </xf>
    <xf numFmtId="0" fontId="20" fillId="11" borderId="221" xfId="0" applyFont="1" applyFill="1" applyBorder="1">
      <alignment vertical="center"/>
    </xf>
    <xf numFmtId="0" fontId="24" fillId="0" borderId="0" xfId="0" applyFont="1" applyAlignment="1">
      <alignment horizontal="right"/>
    </xf>
    <xf numFmtId="0" fontId="20" fillId="0" borderId="142" xfId="0" applyFont="1" applyBorder="1">
      <alignment vertical="center"/>
    </xf>
    <xf numFmtId="0" fontId="24" fillId="0" borderId="142" xfId="0" applyFont="1" applyBorder="1">
      <alignment vertical="center"/>
    </xf>
    <xf numFmtId="0" fontId="23" fillId="9" borderId="5" xfId="0" applyFont="1" applyFill="1" applyBorder="1" applyAlignment="1">
      <alignment horizontal="center" vertical="center"/>
    </xf>
    <xf numFmtId="0" fontId="23" fillId="9" borderId="48" xfId="0" applyFont="1" applyFill="1" applyBorder="1" applyAlignment="1">
      <alignment horizontal="center" vertical="center"/>
    </xf>
    <xf numFmtId="0" fontId="23" fillId="9" borderId="309" xfId="0" applyFont="1" applyFill="1" applyBorder="1" applyAlignment="1">
      <alignment horizontal="center" vertical="center"/>
    </xf>
    <xf numFmtId="0" fontId="23" fillId="9" borderId="275" xfId="0" applyFont="1" applyFill="1" applyBorder="1" applyAlignment="1">
      <alignment horizontal="center" vertical="center"/>
    </xf>
    <xf numFmtId="0" fontId="23" fillId="9" borderId="73" xfId="0" applyFont="1" applyFill="1" applyBorder="1" applyAlignment="1">
      <alignment horizontal="center" vertical="center"/>
    </xf>
    <xf numFmtId="0" fontId="23" fillId="9" borderId="276" xfId="0" applyFont="1" applyFill="1" applyBorder="1" applyAlignment="1">
      <alignment horizontal="center" vertical="center"/>
    </xf>
    <xf numFmtId="0" fontId="23" fillId="9" borderId="274" xfId="0" applyFont="1" applyFill="1" applyBorder="1" applyAlignment="1">
      <alignment horizontal="center"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10" borderId="31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10" borderId="103" xfId="0" applyNumberFormat="1" applyFont="1" applyFill="1" applyBorder="1">
      <alignment vertical="center"/>
    </xf>
    <xf numFmtId="184" fontId="6" fillId="12"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10" borderId="16" xfId="0" applyNumberFormat="1" applyFont="1" applyFill="1" applyBorder="1">
      <alignment vertical="center"/>
    </xf>
    <xf numFmtId="0" fontId="34" fillId="8" borderId="48" xfId="0" applyFont="1" applyFill="1" applyBorder="1" applyAlignment="1">
      <alignment horizontal="centerContinuous" vertical="center"/>
    </xf>
    <xf numFmtId="0" fontId="34" fillId="8" borderId="309" xfId="0" applyFont="1" applyFill="1" applyBorder="1" applyAlignment="1">
      <alignment horizontal="centerContinuous" vertical="center"/>
    </xf>
    <xf numFmtId="0" fontId="34" fillId="8" borderId="5" xfId="0" applyFont="1" applyFill="1" applyBorder="1" applyAlignment="1">
      <alignment horizontal="centerContinuous" vertical="center"/>
    </xf>
    <xf numFmtId="182" fontId="34" fillId="8" borderId="48" xfId="0" applyNumberFormat="1" applyFont="1" applyFill="1" applyBorder="1">
      <alignment vertical="center"/>
    </xf>
    <xf numFmtId="182" fontId="34" fillId="8" borderId="275" xfId="0" applyNumberFormat="1" applyFont="1" applyFill="1" applyBorder="1">
      <alignment vertical="center"/>
    </xf>
    <xf numFmtId="182" fontId="34" fillId="8" borderId="309" xfId="0" applyNumberFormat="1" applyFont="1" applyFill="1" applyBorder="1">
      <alignment vertical="center"/>
    </xf>
    <xf numFmtId="182" fontId="34" fillId="8" borderId="73" xfId="0" applyNumberFormat="1" applyFont="1" applyFill="1" applyBorder="1">
      <alignment vertical="center"/>
    </xf>
    <xf numFmtId="182" fontId="34" fillId="8" borderId="5" xfId="0" applyNumberFormat="1" applyFont="1" applyFill="1" applyBorder="1">
      <alignment vertical="center"/>
    </xf>
    <xf numFmtId="182" fontId="34"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0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11" xfId="0" applyNumberFormat="1" applyFont="1" applyBorder="1">
      <alignment vertical="center"/>
    </xf>
    <xf numFmtId="0" fontId="0" fillId="0" borderId="310" xfId="0" applyBorder="1">
      <alignment vertical="center"/>
    </xf>
    <xf numFmtId="41" fontId="0" fillId="0" borderId="310" xfId="1" applyFont="1" applyFill="1" applyBorder="1">
      <alignment vertical="center"/>
    </xf>
    <xf numFmtId="9" fontId="0" fillId="0" borderId="312" xfId="2" applyFont="1" applyFill="1" applyBorder="1">
      <alignment vertical="center"/>
    </xf>
    <xf numFmtId="41" fontId="3" fillId="0" borderId="0" xfId="1" applyFont="1">
      <alignment vertical="center"/>
    </xf>
    <xf numFmtId="0" fontId="3" fillId="0" borderId="310" xfId="0" applyFont="1" applyBorder="1" applyAlignment="1">
      <alignment horizontal="center" vertical="center"/>
    </xf>
    <xf numFmtId="41" fontId="0" fillId="3" borderId="310" xfId="1" applyFont="1" applyFill="1" applyBorder="1">
      <alignment vertical="center"/>
    </xf>
    <xf numFmtId="0" fontId="40" fillId="0" borderId="0" xfId="0" applyFont="1">
      <alignment vertical="center"/>
    </xf>
    <xf numFmtId="0" fontId="41" fillId="0" borderId="0" xfId="0" applyFont="1" applyAlignment="1">
      <alignment horizontal="center" vertical="center"/>
    </xf>
    <xf numFmtId="0" fontId="42" fillId="0" borderId="0" xfId="0" applyFont="1" applyAlignment="1">
      <alignment horizontal="right" vertical="center"/>
    </xf>
    <xf numFmtId="0" fontId="43" fillId="0" borderId="0" xfId="0" applyFont="1">
      <alignment vertical="center"/>
    </xf>
    <xf numFmtId="0" fontId="44" fillId="0" borderId="0" xfId="0" applyFont="1">
      <alignment vertical="center"/>
    </xf>
    <xf numFmtId="179" fontId="44" fillId="0" borderId="0" xfId="0" applyNumberFormat="1" applyFont="1">
      <alignment vertical="center"/>
    </xf>
    <xf numFmtId="0" fontId="40" fillId="0" borderId="0" xfId="0" applyFont="1" applyAlignment="1">
      <alignment horizontal="right" vertical="center"/>
    </xf>
    <xf numFmtId="0" fontId="45" fillId="5" borderId="294" xfId="0" applyFont="1" applyFill="1" applyBorder="1" applyAlignment="1">
      <alignment horizontal="center" vertical="center" wrapText="1"/>
    </xf>
    <xf numFmtId="0" fontId="45" fillId="5" borderId="138" xfId="0" applyFont="1" applyFill="1" applyBorder="1" applyAlignment="1">
      <alignment horizontal="center" vertical="center" wrapText="1"/>
    </xf>
    <xf numFmtId="0" fontId="45" fillId="5" borderId="139" xfId="0" applyFont="1" applyFill="1" applyBorder="1" applyAlignment="1">
      <alignment horizontal="center" vertical="center" wrapText="1"/>
    </xf>
    <xf numFmtId="0" fontId="45" fillId="5" borderId="140" xfId="0" applyFont="1" applyFill="1" applyBorder="1" applyAlignment="1">
      <alignment horizontal="center" vertical="center" wrapText="1"/>
    </xf>
    <xf numFmtId="0" fontId="45" fillId="5" borderId="289" xfId="0" applyFont="1" applyFill="1" applyBorder="1" applyAlignment="1">
      <alignment horizontal="center" vertical="center" wrapText="1"/>
    </xf>
    <xf numFmtId="0" fontId="45" fillId="5" borderId="283" xfId="0" applyFont="1" applyFill="1" applyBorder="1" applyAlignment="1">
      <alignment horizontal="center" vertical="center" wrapText="1"/>
    </xf>
    <xf numFmtId="0" fontId="45" fillId="5" borderId="136" xfId="0" applyFont="1" applyFill="1" applyBorder="1" applyAlignment="1">
      <alignment horizontal="center" vertical="center" wrapText="1"/>
    </xf>
    <xf numFmtId="0" fontId="45" fillId="5" borderId="137" xfId="0" applyFont="1" applyFill="1" applyBorder="1" applyAlignment="1">
      <alignment horizontal="center" vertical="center" wrapText="1"/>
    </xf>
    <xf numFmtId="0" fontId="45" fillId="5" borderId="300" xfId="0" applyFont="1" applyFill="1" applyBorder="1" applyAlignment="1">
      <alignment horizontal="center" vertical="center" wrapText="1"/>
    </xf>
    <xf numFmtId="0" fontId="45" fillId="5" borderId="297" xfId="0" applyFont="1" applyFill="1" applyBorder="1" applyAlignment="1">
      <alignment horizontal="center" vertical="center" wrapText="1"/>
    </xf>
    <xf numFmtId="0" fontId="40" fillId="3" borderId="305" xfId="0" applyFont="1" applyFill="1" applyBorder="1">
      <alignment vertical="center"/>
    </xf>
    <xf numFmtId="179" fontId="46" fillId="3" borderId="146" xfId="0" applyNumberFormat="1" applyFont="1" applyFill="1" applyBorder="1" applyAlignment="1">
      <alignment horizontal="right" vertical="center"/>
    </xf>
    <xf numFmtId="179" fontId="46" fillId="3" borderId="146" xfId="0" applyNumberFormat="1" applyFont="1" applyFill="1" applyBorder="1">
      <alignment vertical="center"/>
    </xf>
    <xf numFmtId="179" fontId="46" fillId="3" borderId="290" xfId="0" applyNumberFormat="1" applyFont="1" applyFill="1" applyBorder="1">
      <alignment vertical="center"/>
    </xf>
    <xf numFmtId="179" fontId="46" fillId="3" borderId="284" xfId="0" applyNumberFormat="1" applyFont="1" applyFill="1" applyBorder="1">
      <alignment vertical="center"/>
    </xf>
    <xf numFmtId="185" fontId="47" fillId="4" borderId="151" xfId="0" applyNumberFormat="1" applyFont="1" applyFill="1" applyBorder="1">
      <alignment vertical="center"/>
    </xf>
    <xf numFmtId="179" fontId="46" fillId="3" borderId="149" xfId="0" applyNumberFormat="1" applyFont="1" applyFill="1" applyBorder="1">
      <alignment vertical="center"/>
    </xf>
    <xf numFmtId="179" fontId="46" fillId="3" borderId="143" xfId="0" applyNumberFormat="1" applyFont="1" applyFill="1" applyBorder="1">
      <alignment vertical="center"/>
    </xf>
    <xf numFmtId="185" fontId="47" fillId="4" borderId="298" xfId="0" applyNumberFormat="1" applyFont="1" applyFill="1" applyBorder="1">
      <alignment vertical="center"/>
    </xf>
    <xf numFmtId="41" fontId="40" fillId="0" borderId="0" xfId="1" applyFont="1">
      <alignment vertical="center"/>
    </xf>
    <xf numFmtId="179" fontId="48" fillId="8" borderId="116" xfId="0" applyNumberFormat="1" applyFont="1" applyFill="1" applyBorder="1" applyAlignment="1">
      <alignment horizontal="right" vertical="center"/>
    </xf>
    <xf numFmtId="179" fontId="48" fillId="8" borderId="116" xfId="0" applyNumberFormat="1" applyFont="1" applyFill="1" applyBorder="1">
      <alignment vertical="center"/>
    </xf>
    <xf numFmtId="179" fontId="48" fillId="8" borderId="155" xfId="0" applyNumberFormat="1" applyFont="1" applyFill="1" applyBorder="1">
      <alignment vertical="center"/>
    </xf>
    <xf numFmtId="179" fontId="48" fillId="8" borderId="157" xfId="0" applyNumberFormat="1" applyFont="1" applyFill="1" applyBorder="1">
      <alignment vertical="center"/>
    </xf>
    <xf numFmtId="179" fontId="48" fillId="8" borderId="291" xfId="0" applyNumberFormat="1" applyFont="1" applyFill="1" applyBorder="1">
      <alignment vertical="center"/>
    </xf>
    <xf numFmtId="179" fontId="48" fillId="8" borderId="285" xfId="0" applyNumberFormat="1" applyFont="1" applyFill="1" applyBorder="1">
      <alignment vertical="center"/>
    </xf>
    <xf numFmtId="179" fontId="48" fillId="8" borderId="0" xfId="0" applyNumberFormat="1" applyFont="1" applyFill="1">
      <alignment vertical="center"/>
    </xf>
    <xf numFmtId="185" fontId="49" fillId="8" borderId="299" xfId="0" applyNumberFormat="1" applyFont="1" applyFill="1" applyBorder="1">
      <alignment vertical="center"/>
    </xf>
    <xf numFmtId="0" fontId="50" fillId="8" borderId="142" xfId="0" applyFont="1" applyFill="1" applyBorder="1" applyAlignment="1">
      <alignment horizontal="center" vertical="center"/>
    </xf>
    <xf numFmtId="0" fontId="51" fillId="0" borderId="121" xfId="0" applyFont="1" applyBorder="1">
      <alignment vertical="center"/>
    </xf>
    <xf numFmtId="41" fontId="48" fillId="0" borderId="115" xfId="0" applyNumberFormat="1" applyFont="1" applyBorder="1" applyAlignment="1">
      <alignment horizontal="right" vertical="center"/>
    </xf>
    <xf numFmtId="179" fontId="48" fillId="0" borderId="116" xfId="0" applyNumberFormat="1" applyFont="1" applyBorder="1">
      <alignment vertical="center"/>
    </xf>
    <xf numFmtId="179" fontId="49" fillId="0" borderId="334" xfId="0" applyNumberFormat="1" applyFont="1" applyBorder="1">
      <alignment vertical="center"/>
    </xf>
    <xf numFmtId="179" fontId="49" fillId="0" borderId="359" xfId="0" applyNumberFormat="1" applyFont="1" applyBorder="1">
      <alignment vertical="center"/>
    </xf>
    <xf numFmtId="179" fontId="49" fillId="0" borderId="337" xfId="1" applyNumberFormat="1" applyFont="1" applyBorder="1">
      <alignment vertical="center"/>
    </xf>
    <xf numFmtId="179" fontId="48" fillId="0" borderId="336" xfId="1" applyNumberFormat="1" applyFont="1" applyBorder="1">
      <alignment vertical="center"/>
    </xf>
    <xf numFmtId="179" fontId="48" fillId="0" borderId="393" xfId="1" applyNumberFormat="1" applyFont="1" applyBorder="1">
      <alignment vertical="center"/>
    </xf>
    <xf numFmtId="185" fontId="49" fillId="0" borderId="337" xfId="1" applyNumberFormat="1" applyFont="1" applyBorder="1">
      <alignment vertical="center"/>
    </xf>
    <xf numFmtId="179" fontId="48" fillId="0" borderId="336" xfId="0" applyNumberFormat="1" applyFont="1" applyBorder="1">
      <alignment vertical="center"/>
    </xf>
    <xf numFmtId="179" fontId="48" fillId="0" borderId="393" xfId="0" applyNumberFormat="1" applyFont="1" applyBorder="1">
      <alignment vertical="center"/>
    </xf>
    <xf numFmtId="179" fontId="48" fillId="0" borderId="359" xfId="0" applyNumberFormat="1" applyFont="1" applyBorder="1">
      <alignment vertical="center"/>
    </xf>
    <xf numFmtId="0" fontId="50" fillId="8" borderId="142" xfId="0" applyFont="1" applyFill="1" applyBorder="1">
      <alignment vertical="center"/>
    </xf>
    <xf numFmtId="0" fontId="52" fillId="0" borderId="159" xfId="0" applyFont="1" applyBorder="1">
      <alignment vertical="center"/>
    </xf>
    <xf numFmtId="179" fontId="48" fillId="0" borderId="160" xfId="0" applyNumberFormat="1" applyFont="1" applyBorder="1" applyAlignment="1">
      <alignment horizontal="right" vertical="center"/>
    </xf>
    <xf numFmtId="179" fontId="48" fillId="0" borderId="161" xfId="0" applyNumberFormat="1" applyFont="1" applyBorder="1">
      <alignment vertical="center"/>
    </xf>
    <xf numFmtId="179" fontId="49" fillId="0" borderId="335" xfId="0" applyNumberFormat="1" applyFont="1" applyBorder="1">
      <alignment vertical="center"/>
    </xf>
    <xf numFmtId="179" fontId="48" fillId="0" borderId="334" xfId="0" applyNumberFormat="1" applyFont="1" applyBorder="1">
      <alignment vertical="center"/>
    </xf>
    <xf numFmtId="185" fontId="49" fillId="0" borderId="335" xfId="0" applyNumberFormat="1" applyFont="1" applyBorder="1">
      <alignment vertical="center"/>
    </xf>
    <xf numFmtId="179" fontId="48" fillId="8" borderId="180" xfId="0" applyNumberFormat="1" applyFont="1" applyFill="1" applyBorder="1" applyAlignment="1">
      <alignment horizontal="right" vertical="center"/>
    </xf>
    <xf numFmtId="179" fontId="48" fillId="8" borderId="180" xfId="0" applyNumberFormat="1" applyFont="1" applyFill="1" applyBorder="1">
      <alignment vertical="center"/>
    </xf>
    <xf numFmtId="179" fontId="48" fillId="8" borderId="336" xfId="0" applyNumberFormat="1" applyFont="1" applyFill="1" applyBorder="1">
      <alignment vertical="center"/>
    </xf>
    <xf numFmtId="179" fontId="48" fillId="8" borderId="393" xfId="0" applyNumberFormat="1" applyFont="1" applyFill="1" applyBorder="1">
      <alignment vertical="center"/>
    </xf>
    <xf numFmtId="179" fontId="48" fillId="8" borderId="337" xfId="0" applyNumberFormat="1" applyFont="1" applyFill="1" applyBorder="1">
      <alignment vertical="center"/>
    </xf>
    <xf numFmtId="185" fontId="49" fillId="8" borderId="337" xfId="0" applyNumberFormat="1" applyFont="1" applyFill="1" applyBorder="1">
      <alignment vertical="center"/>
    </xf>
    <xf numFmtId="0" fontId="52" fillId="0" borderId="184" xfId="0" applyFont="1" applyBorder="1">
      <alignment vertical="center"/>
    </xf>
    <xf numFmtId="41" fontId="48" fillId="0" borderId="115" xfId="1" applyFont="1" applyBorder="1" applyAlignment="1">
      <alignment horizontal="right" vertical="center"/>
    </xf>
    <xf numFmtId="0" fontId="51" fillId="0" borderId="159" xfId="0" applyFont="1" applyBorder="1">
      <alignment vertical="center"/>
    </xf>
    <xf numFmtId="41" fontId="48" fillId="0" borderId="160" xfId="0" applyNumberFormat="1" applyFont="1" applyBorder="1" applyAlignment="1">
      <alignment horizontal="right" vertical="center"/>
    </xf>
    <xf numFmtId="185" fontId="48" fillId="8" borderId="336" xfId="0" applyNumberFormat="1" applyFont="1" applyFill="1" applyBorder="1">
      <alignment vertical="center"/>
    </xf>
    <xf numFmtId="185" fontId="48" fillId="8" borderId="393" xfId="0" applyNumberFormat="1" applyFont="1" applyFill="1" applyBorder="1">
      <alignment vertical="center"/>
    </xf>
    <xf numFmtId="0" fontId="50" fillId="8" borderId="186" xfId="0" applyFont="1" applyFill="1" applyBorder="1">
      <alignment vertical="center"/>
    </xf>
    <xf numFmtId="0" fontId="51" fillId="0" borderId="187" xfId="0" applyFont="1" applyBorder="1">
      <alignment vertical="center"/>
    </xf>
    <xf numFmtId="41" fontId="48" fillId="0" borderId="188" xfId="0" applyNumberFormat="1" applyFont="1" applyBorder="1" applyAlignment="1">
      <alignment horizontal="right" vertical="center"/>
    </xf>
    <xf numFmtId="179" fontId="48" fillId="0" borderId="189" xfId="0" applyNumberFormat="1" applyFont="1" applyBorder="1">
      <alignment vertical="center"/>
    </xf>
    <xf numFmtId="179" fontId="49" fillId="0" borderId="336" xfId="1" applyNumberFormat="1" applyFont="1" applyBorder="1">
      <alignment vertical="center"/>
    </xf>
    <xf numFmtId="179" fontId="49" fillId="0" borderId="393" xfId="1" applyNumberFormat="1" applyFont="1" applyBorder="1">
      <alignment vertical="center"/>
    </xf>
    <xf numFmtId="179" fontId="49" fillId="0" borderId="336" xfId="0" applyNumberFormat="1" applyFont="1" applyBorder="1">
      <alignment vertical="center"/>
    </xf>
    <xf numFmtId="179" fontId="49" fillId="0" borderId="393" xfId="0" applyNumberFormat="1" applyFont="1" applyBorder="1">
      <alignment vertical="center"/>
    </xf>
    <xf numFmtId="185" fontId="49" fillId="0" borderId="337" xfId="0" applyNumberFormat="1" applyFont="1" applyBorder="1">
      <alignment vertical="center"/>
    </xf>
    <xf numFmtId="0" fontId="52" fillId="0" borderId="198" xfId="0" applyFont="1" applyBorder="1">
      <alignment vertical="center"/>
    </xf>
    <xf numFmtId="41" fontId="48" fillId="0" borderId="199" xfId="0" applyNumberFormat="1" applyFont="1" applyBorder="1" applyAlignment="1">
      <alignment horizontal="right" vertical="center"/>
    </xf>
    <xf numFmtId="179" fontId="48" fillId="0" borderId="200" xfId="0" applyNumberFormat="1" applyFont="1" applyBorder="1">
      <alignment vertical="center"/>
    </xf>
    <xf numFmtId="0" fontId="50" fillId="8" borderId="356" xfId="0" applyFont="1" applyFill="1" applyBorder="1">
      <alignment vertical="center"/>
    </xf>
    <xf numFmtId="0" fontId="53" fillId="0" borderId="357" xfId="0" applyFont="1" applyBorder="1">
      <alignment vertical="center"/>
    </xf>
    <xf numFmtId="41" fontId="48" fillId="0" borderId="358" xfId="0" applyNumberFormat="1" applyFont="1" applyBorder="1" applyAlignment="1">
      <alignment horizontal="right" vertical="center"/>
    </xf>
    <xf numFmtId="179" fontId="48" fillId="0" borderId="37" xfId="1" applyNumberFormat="1" applyFont="1" applyBorder="1">
      <alignment vertical="center"/>
    </xf>
    <xf numFmtId="179" fontId="49" fillId="0" borderId="394" xfId="1" applyNumberFormat="1" applyFont="1" applyBorder="1">
      <alignment vertical="center"/>
    </xf>
    <xf numFmtId="179" fontId="49" fillId="0" borderId="395" xfId="1" applyNumberFormat="1" applyFont="1" applyBorder="1">
      <alignment vertical="center"/>
    </xf>
    <xf numFmtId="179" fontId="49" fillId="0" borderId="396" xfId="1" applyNumberFormat="1" applyFont="1" applyBorder="1">
      <alignment vertical="center"/>
    </xf>
    <xf numFmtId="179" fontId="49" fillId="0" borderId="394" xfId="0" applyNumberFormat="1" applyFont="1" applyBorder="1">
      <alignment vertical="center"/>
    </xf>
    <xf numFmtId="179" fontId="49" fillId="0" borderId="395" xfId="0" applyNumberFormat="1" applyFont="1" applyBorder="1">
      <alignment vertical="center"/>
    </xf>
    <xf numFmtId="179" fontId="48" fillId="0" borderId="394" xfId="0" applyNumberFormat="1" applyFont="1" applyBorder="1">
      <alignment vertical="center"/>
    </xf>
    <xf numFmtId="179" fontId="48" fillId="0" borderId="395" xfId="0" applyNumberFormat="1" applyFont="1" applyBorder="1">
      <alignment vertical="center"/>
    </xf>
    <xf numFmtId="179" fontId="48" fillId="0" borderId="395" xfId="1" applyNumberFormat="1" applyFont="1" applyBorder="1">
      <alignment vertical="center"/>
    </xf>
    <xf numFmtId="185" fontId="49" fillId="0" borderId="396" xfId="1" applyNumberFormat="1" applyFont="1" applyBorder="1">
      <alignment vertical="center"/>
    </xf>
    <xf numFmtId="41" fontId="55" fillId="8" borderId="115" xfId="1" applyFont="1" applyFill="1" applyBorder="1">
      <alignment vertical="center"/>
    </xf>
    <xf numFmtId="41" fontId="55" fillId="8" borderId="355" xfId="1" applyFont="1" applyFill="1" applyBorder="1">
      <alignment vertical="center"/>
    </xf>
    <xf numFmtId="41" fontId="48" fillId="8" borderId="339" xfId="1" applyFont="1" applyFill="1" applyBorder="1">
      <alignment vertical="center"/>
    </xf>
    <xf numFmtId="179" fontId="48" fillId="8" borderId="338" xfId="0" applyNumberFormat="1" applyFont="1" applyFill="1" applyBorder="1">
      <alignment vertical="center"/>
    </xf>
    <xf numFmtId="41" fontId="48" fillId="8" borderId="340" xfId="1" applyFont="1" applyFill="1" applyBorder="1">
      <alignment vertical="center"/>
    </xf>
    <xf numFmtId="41" fontId="49" fillId="8" borderId="340" xfId="1" applyFont="1" applyFill="1" applyBorder="1">
      <alignment vertical="center"/>
    </xf>
    <xf numFmtId="179" fontId="49" fillId="0" borderId="293" xfId="1" applyNumberFormat="1" applyFont="1" applyBorder="1">
      <alignment vertical="center"/>
    </xf>
    <xf numFmtId="179" fontId="40" fillId="0" borderId="0" xfId="0" applyNumberFormat="1" applyFont="1">
      <alignment vertical="center"/>
    </xf>
    <xf numFmtId="0" fontId="55" fillId="0" borderId="159" xfId="0" applyFont="1" applyBorder="1">
      <alignment vertical="center"/>
    </xf>
    <xf numFmtId="41" fontId="55" fillId="0" borderId="160" xfId="1" applyFont="1" applyBorder="1">
      <alignment vertical="center"/>
    </xf>
    <xf numFmtId="41" fontId="55" fillId="0" borderId="324" xfId="1" applyFont="1" applyBorder="1">
      <alignment vertical="center"/>
    </xf>
    <xf numFmtId="41" fontId="49" fillId="0" borderId="166" xfId="1" applyFont="1" applyBorder="1">
      <alignment vertical="center"/>
    </xf>
    <xf numFmtId="181" fontId="49" fillId="0" borderId="286" xfId="0" applyNumberFormat="1" applyFont="1" applyBorder="1">
      <alignment vertical="center"/>
    </xf>
    <xf numFmtId="41" fontId="49" fillId="0" borderId="167" xfId="1" applyFont="1" applyBorder="1">
      <alignment vertical="center"/>
    </xf>
    <xf numFmtId="179" fontId="49" fillId="0" borderId="292" xfId="1" applyNumberFormat="1" applyFont="1" applyBorder="1">
      <alignment vertical="center"/>
    </xf>
    <xf numFmtId="0" fontId="55" fillId="0" borderId="187" xfId="0" applyFont="1" applyBorder="1">
      <alignment vertical="center"/>
    </xf>
    <xf numFmtId="41" fontId="55" fillId="0" borderId="188" xfId="1" applyFont="1" applyBorder="1">
      <alignment vertical="center"/>
    </xf>
    <xf numFmtId="41" fontId="55" fillId="0" borderId="326" xfId="1" applyFont="1" applyBorder="1">
      <alignment vertical="center"/>
    </xf>
    <xf numFmtId="41" fontId="49" fillId="0" borderId="195" xfId="1" applyFont="1" applyBorder="1">
      <alignment vertical="center"/>
    </xf>
    <xf numFmtId="179" fontId="49" fillId="0" borderId="287" xfId="0" applyNumberFormat="1" applyFont="1" applyBorder="1">
      <alignment vertical="center"/>
    </xf>
    <xf numFmtId="179" fontId="49" fillId="0" borderId="194" xfId="0" applyNumberFormat="1" applyFont="1" applyBorder="1">
      <alignment vertical="center"/>
    </xf>
    <xf numFmtId="41" fontId="49" fillId="0" borderId="196" xfId="1" applyFont="1" applyBorder="1">
      <alignment vertical="center"/>
    </xf>
    <xf numFmtId="0" fontId="40" fillId="3" borderId="307" xfId="0" applyFont="1" applyFill="1" applyBorder="1">
      <alignment vertical="center"/>
    </xf>
    <xf numFmtId="0" fontId="55" fillId="0" borderId="327" xfId="0" applyFont="1" applyBorder="1">
      <alignment vertical="center"/>
    </xf>
    <xf numFmtId="41" fontId="55" fillId="0" borderId="328" xfId="1" applyFont="1" applyBorder="1">
      <alignment vertical="center"/>
    </xf>
    <xf numFmtId="41" fontId="55" fillId="0" borderId="329" xfId="1" applyFont="1" applyBorder="1">
      <alignment vertical="center"/>
    </xf>
    <xf numFmtId="41" fontId="49" fillId="0" borderId="330" xfId="1" applyFont="1" applyBorder="1">
      <alignment vertical="center"/>
    </xf>
    <xf numFmtId="179" fontId="49" fillId="0" borderId="331" xfId="0" applyNumberFormat="1" applyFont="1" applyBorder="1">
      <alignment vertical="center"/>
    </xf>
    <xf numFmtId="179" fontId="49" fillId="0" borderId="332" xfId="0" applyNumberFormat="1" applyFont="1" applyBorder="1">
      <alignment vertical="center"/>
    </xf>
    <xf numFmtId="41" fontId="49" fillId="0" borderId="333" xfId="1" applyFont="1" applyBorder="1">
      <alignment vertical="center"/>
    </xf>
    <xf numFmtId="0" fontId="46" fillId="0" borderId="0" xfId="0" applyFont="1">
      <alignment vertical="center"/>
    </xf>
    <xf numFmtId="179" fontId="46" fillId="0" borderId="0" xfId="0" applyNumberFormat="1" applyFont="1">
      <alignment vertical="center"/>
    </xf>
    <xf numFmtId="179" fontId="56" fillId="0" borderId="0" xfId="0" applyNumberFormat="1" applyFont="1">
      <alignment vertical="center"/>
    </xf>
    <xf numFmtId="0" fontId="57" fillId="0" borderId="0" xfId="0" applyFont="1">
      <alignment vertical="center"/>
    </xf>
    <xf numFmtId="0" fontId="51" fillId="0" borderId="0" xfId="0" applyFont="1">
      <alignment vertical="center"/>
    </xf>
    <xf numFmtId="185" fontId="46" fillId="0" borderId="0" xfId="0" applyNumberFormat="1" applyFont="1">
      <alignment vertical="center"/>
    </xf>
    <xf numFmtId="0" fontId="58" fillId="0" borderId="0" xfId="0" applyFont="1">
      <alignment vertical="center"/>
    </xf>
    <xf numFmtId="0" fontId="46" fillId="5" borderId="403" xfId="0" applyFont="1" applyFill="1" applyBorder="1" applyAlignment="1">
      <alignment horizontal="center" vertical="center"/>
    </xf>
    <xf numFmtId="0" fontId="46" fillId="5" borderId="401" xfId="0" applyFont="1" applyFill="1" applyBorder="1" applyAlignment="1">
      <alignment horizontal="center" vertical="center"/>
    </xf>
    <xf numFmtId="0" fontId="40" fillId="0" borderId="0" xfId="0" applyFont="1" applyAlignment="1">
      <alignment vertical="center" wrapText="1"/>
    </xf>
    <xf numFmtId="0" fontId="46" fillId="0" borderId="0" xfId="0" applyFont="1" applyAlignment="1">
      <alignment horizontal="center" vertical="center"/>
    </xf>
    <xf numFmtId="180" fontId="46" fillId="0" borderId="0" xfId="1" applyNumberFormat="1" applyFont="1" applyFill="1" applyBorder="1" applyAlignment="1">
      <alignment horizontal="center" vertical="center"/>
    </xf>
    <xf numFmtId="187" fontId="46" fillId="0" borderId="0" xfId="1" applyNumberFormat="1" applyFont="1" applyFill="1" applyBorder="1" applyAlignment="1">
      <alignment horizontal="right" vertical="center"/>
    </xf>
    <xf numFmtId="180" fontId="63" fillId="0" borderId="0" xfId="1" applyNumberFormat="1" applyFont="1" applyFill="1" applyBorder="1" applyAlignment="1">
      <alignment horizontal="left" vertical="top" wrapText="1"/>
    </xf>
    <xf numFmtId="43" fontId="40" fillId="0" borderId="0" xfId="0" applyNumberFormat="1" applyFont="1">
      <alignment vertical="center"/>
    </xf>
    <xf numFmtId="0" fontId="46" fillId="5" borderId="277" xfId="0" applyFont="1" applyFill="1" applyBorder="1" applyAlignment="1">
      <alignment horizontal="center" vertical="center"/>
    </xf>
    <xf numFmtId="0" fontId="65" fillId="0" borderId="0" xfId="0" applyFont="1">
      <alignment vertical="center"/>
    </xf>
    <xf numFmtId="180" fontId="46" fillId="0" borderId="0" xfId="1" applyNumberFormat="1" applyFont="1" applyFill="1" applyBorder="1" applyAlignment="1">
      <alignment horizontal="right" vertical="center"/>
    </xf>
    <xf numFmtId="180" fontId="46" fillId="0" borderId="0" xfId="1" applyNumberFormat="1" applyFont="1" applyFill="1" applyBorder="1" applyAlignment="1">
      <alignment vertical="top" wrapText="1"/>
    </xf>
    <xf numFmtId="0" fontId="46" fillId="2" borderId="364" xfId="0" applyFont="1" applyFill="1" applyBorder="1" applyAlignment="1">
      <alignment horizontal="center" vertical="center" wrapText="1"/>
    </xf>
    <xf numFmtId="0" fontId="46" fillId="2" borderId="368" xfId="0" applyFont="1" applyFill="1" applyBorder="1" applyAlignment="1">
      <alignment horizontal="center" vertical="center" wrapText="1"/>
    </xf>
    <xf numFmtId="0" fontId="46" fillId="2" borderId="371" xfId="0" applyFont="1" applyFill="1" applyBorder="1" applyAlignment="1">
      <alignment horizontal="center" vertical="center" wrapText="1"/>
    </xf>
    <xf numFmtId="0" fontId="46" fillId="2" borderId="369" xfId="0" applyFont="1" applyFill="1" applyBorder="1" applyAlignment="1">
      <alignment horizontal="center" vertical="center" wrapText="1"/>
    </xf>
    <xf numFmtId="180" fontId="48" fillId="0" borderId="365" xfId="1" applyNumberFormat="1" applyFont="1" applyFill="1" applyBorder="1" applyAlignment="1">
      <alignment vertical="center"/>
    </xf>
    <xf numFmtId="185" fontId="56" fillId="0" borderId="367" xfId="1" applyNumberFormat="1" applyFont="1" applyBorder="1" applyAlignment="1">
      <alignment vertical="center"/>
    </xf>
    <xf numFmtId="180" fontId="46" fillId="5" borderId="219" xfId="1" applyNumberFormat="1" applyFont="1" applyFill="1" applyBorder="1" applyAlignment="1">
      <alignment vertical="center"/>
    </xf>
    <xf numFmtId="185" fontId="56" fillId="5" borderId="367" xfId="1" applyNumberFormat="1" applyFont="1" applyFill="1" applyBorder="1" applyAlignment="1">
      <alignment vertical="center"/>
    </xf>
    <xf numFmtId="185" fontId="56" fillId="5" borderId="362" xfId="1" applyNumberFormat="1" applyFont="1" applyFill="1" applyBorder="1" applyAlignment="1">
      <alignment vertical="center"/>
    </xf>
    <xf numFmtId="180" fontId="48" fillId="0" borderId="219" xfId="1" applyNumberFormat="1" applyFont="1" applyFill="1" applyBorder="1" applyAlignment="1">
      <alignment vertical="center"/>
    </xf>
    <xf numFmtId="185" fontId="56" fillId="0" borderId="362" xfId="1" applyNumberFormat="1" applyFont="1" applyBorder="1" applyAlignment="1">
      <alignment vertical="center"/>
    </xf>
    <xf numFmtId="180" fontId="46" fillId="3" borderId="219" xfId="1" applyNumberFormat="1" applyFont="1" applyFill="1" applyBorder="1" applyAlignment="1">
      <alignment vertical="center"/>
    </xf>
    <xf numFmtId="185" fontId="56" fillId="3" borderId="367" xfId="1" applyNumberFormat="1" applyFont="1" applyFill="1" applyBorder="1" applyAlignment="1">
      <alignment vertical="center"/>
    </xf>
    <xf numFmtId="185" fontId="56" fillId="3" borderId="363" xfId="1" applyNumberFormat="1" applyFont="1" applyFill="1" applyBorder="1" applyAlignment="1">
      <alignment vertical="center"/>
    </xf>
    <xf numFmtId="0" fontId="40" fillId="0" borderId="0" xfId="0" applyFont="1" applyAlignment="1">
      <alignment horizontal="center" vertical="center"/>
    </xf>
    <xf numFmtId="0" fontId="67" fillId="0" borderId="0" xfId="0" applyFont="1" applyAlignment="1">
      <alignment horizontal="right" vertical="center"/>
    </xf>
    <xf numFmtId="0" fontId="48" fillId="0" borderId="0" xfId="0" applyFont="1" applyAlignment="1">
      <alignment horizontal="center" vertical="center"/>
    </xf>
    <xf numFmtId="0" fontId="48" fillId="0" borderId="0" xfId="0" applyFont="1" applyAlignment="1">
      <alignment horizontal="left" vertical="center"/>
    </xf>
    <xf numFmtId="41" fontId="40" fillId="0" borderId="0" xfId="0" applyNumberFormat="1" applyFont="1">
      <alignment vertical="center"/>
    </xf>
    <xf numFmtId="0" fontId="68" fillId="13" borderId="344" xfId="0" applyFont="1" applyFill="1" applyBorder="1" applyAlignment="1">
      <alignment horizontal="center" vertical="center" wrapText="1" readingOrder="1"/>
    </xf>
    <xf numFmtId="0" fontId="68" fillId="13" borderId="319" xfId="0" applyFont="1" applyFill="1" applyBorder="1" applyAlignment="1">
      <alignment horizontal="center" vertical="center" wrapText="1" readingOrder="1"/>
    </xf>
    <xf numFmtId="0" fontId="68" fillId="13" borderId="345" xfId="0" applyFont="1" applyFill="1" applyBorder="1" applyAlignment="1">
      <alignment horizontal="center" vertical="center" wrapText="1" readingOrder="1"/>
    </xf>
    <xf numFmtId="41" fontId="69" fillId="14" borderId="344" xfId="1" applyFont="1" applyFill="1" applyBorder="1" applyAlignment="1">
      <alignment horizontal="right" vertical="center" wrapText="1" readingOrder="1"/>
    </xf>
    <xf numFmtId="41" fontId="69" fillId="14" borderId="319" xfId="1" applyFont="1" applyFill="1" applyBorder="1" applyAlignment="1">
      <alignment horizontal="right" vertical="center" wrapText="1" readingOrder="1"/>
    </xf>
    <xf numFmtId="179" fontId="69" fillId="14" borderId="319" xfId="1" applyNumberFormat="1" applyFont="1" applyFill="1" applyBorder="1" applyAlignment="1">
      <alignment horizontal="right" vertical="center" wrapText="1" readingOrder="1"/>
    </xf>
    <xf numFmtId="41" fontId="69" fillId="14" borderId="345" xfId="1" applyFont="1" applyFill="1" applyBorder="1" applyAlignment="1">
      <alignment horizontal="right" vertical="center" wrapText="1" readingOrder="1"/>
    </xf>
    <xf numFmtId="0" fontId="71" fillId="0" borderId="320" xfId="0" applyFont="1" applyBorder="1" applyAlignment="1">
      <alignment horizontal="left" vertical="center" wrapText="1" readingOrder="1"/>
    </xf>
    <xf numFmtId="41" fontId="71" fillId="0" borderId="344" xfId="1" applyFont="1" applyBorder="1" applyAlignment="1">
      <alignment horizontal="right" vertical="center" wrapText="1" readingOrder="1"/>
    </xf>
    <xf numFmtId="41" fontId="71" fillId="0" borderId="319" xfId="1" applyFont="1" applyBorder="1" applyAlignment="1">
      <alignment horizontal="right" vertical="center" wrapText="1" readingOrder="1"/>
    </xf>
    <xf numFmtId="179" fontId="71" fillId="0" borderId="319" xfId="1" applyNumberFormat="1" applyFont="1" applyBorder="1" applyAlignment="1">
      <alignment horizontal="right" vertical="center" wrapText="1" readingOrder="1"/>
    </xf>
    <xf numFmtId="41" fontId="71" fillId="0" borderId="345" xfId="1" applyFont="1" applyBorder="1" applyAlignment="1">
      <alignment horizontal="right" vertical="center" wrapText="1" readingOrder="1"/>
    </xf>
    <xf numFmtId="180" fontId="69" fillId="14" borderId="319" xfId="1" applyNumberFormat="1" applyFont="1" applyFill="1" applyBorder="1" applyAlignment="1">
      <alignment horizontal="right" vertical="center" wrapText="1" readingOrder="1"/>
    </xf>
    <xf numFmtId="180" fontId="71" fillId="0" borderId="319" xfId="1" applyNumberFormat="1" applyFont="1" applyBorder="1" applyAlignment="1">
      <alignment horizontal="right" vertical="center" wrapText="1" readingOrder="1"/>
    </xf>
    <xf numFmtId="41" fontId="71" fillId="0" borderId="346" xfId="1" applyFont="1" applyBorder="1" applyAlignment="1">
      <alignment horizontal="right" vertical="center" wrapText="1" readingOrder="1"/>
    </xf>
    <xf numFmtId="41" fontId="71" fillId="0" borderId="347" xfId="1" applyFont="1" applyBorder="1" applyAlignment="1">
      <alignment horizontal="right" vertical="center" wrapText="1" readingOrder="1"/>
    </xf>
    <xf numFmtId="179" fontId="71" fillId="0" borderId="347" xfId="1" applyNumberFormat="1" applyFont="1" applyBorder="1" applyAlignment="1">
      <alignment horizontal="right" vertical="center" wrapText="1" readingOrder="1"/>
    </xf>
    <xf numFmtId="41" fontId="71" fillId="0" borderId="348" xfId="1" applyFont="1" applyBorder="1" applyAlignment="1">
      <alignment horizontal="right" vertical="center" wrapText="1" readingOrder="1"/>
    </xf>
    <xf numFmtId="180" fontId="40" fillId="0" borderId="0" xfId="0" applyNumberFormat="1" applyFont="1">
      <alignment vertical="center"/>
    </xf>
    <xf numFmtId="0" fontId="68" fillId="0" borderId="0" xfId="0" applyFont="1" applyAlignment="1">
      <alignment horizontal="center" vertical="center" wrapText="1" readingOrder="1"/>
    </xf>
    <xf numFmtId="41" fontId="69" fillId="0" borderId="0" xfId="1" applyFont="1" applyFill="1" applyBorder="1" applyAlignment="1">
      <alignment horizontal="right" vertical="center" wrapText="1" readingOrder="1"/>
    </xf>
    <xf numFmtId="179" fontId="69" fillId="0" borderId="0" xfId="1" applyNumberFormat="1" applyFont="1" applyFill="1" applyBorder="1" applyAlignment="1">
      <alignment horizontal="right" vertical="center" wrapText="1" readingOrder="1"/>
    </xf>
    <xf numFmtId="41" fontId="71" fillId="0" borderId="0" xfId="1" applyFont="1" applyFill="1" applyBorder="1" applyAlignment="1">
      <alignment horizontal="right" vertical="center" wrapText="1" readingOrder="1"/>
    </xf>
    <xf numFmtId="179" fontId="71" fillId="0" borderId="0" xfId="1" applyNumberFormat="1" applyFont="1" applyFill="1" applyBorder="1" applyAlignment="1">
      <alignment horizontal="right" vertical="center" wrapText="1" readingOrder="1"/>
    </xf>
    <xf numFmtId="185" fontId="69" fillId="14" borderId="319" xfId="1" applyNumberFormat="1" applyFont="1" applyFill="1" applyBorder="1" applyAlignment="1">
      <alignment horizontal="right" vertical="center" wrapText="1" readingOrder="1"/>
    </xf>
    <xf numFmtId="179" fontId="69" fillId="14" borderId="345" xfId="1" applyNumberFormat="1" applyFont="1" applyFill="1" applyBorder="1" applyAlignment="1">
      <alignment horizontal="right" vertical="center" wrapText="1" readingOrder="1"/>
    </xf>
    <xf numFmtId="185" fontId="71" fillId="0" borderId="319" xfId="1" applyNumberFormat="1" applyFont="1" applyBorder="1" applyAlignment="1">
      <alignment horizontal="right" vertical="center" wrapText="1" readingOrder="1"/>
    </xf>
    <xf numFmtId="185" fontId="71" fillId="0" borderId="345" xfId="1" applyNumberFormat="1" applyFont="1" applyBorder="1" applyAlignment="1">
      <alignment horizontal="right" vertical="center" wrapText="1" readingOrder="1"/>
    </xf>
    <xf numFmtId="180" fontId="71" fillId="0" borderId="347" xfId="1" applyNumberFormat="1" applyFont="1" applyBorder="1" applyAlignment="1">
      <alignment horizontal="right" vertical="center" wrapText="1" readingOrder="1"/>
    </xf>
    <xf numFmtId="185" fontId="71" fillId="0" borderId="347" xfId="1" applyNumberFormat="1" applyFont="1" applyBorder="1" applyAlignment="1">
      <alignment horizontal="right" vertical="center" wrapText="1" readingOrder="1"/>
    </xf>
    <xf numFmtId="185" fontId="71" fillId="0" borderId="348" xfId="1" applyNumberFormat="1" applyFont="1" applyBorder="1" applyAlignment="1">
      <alignment horizontal="right" vertical="center" wrapText="1" readingOrder="1"/>
    </xf>
    <xf numFmtId="0" fontId="68" fillId="13" borderId="364" xfId="0" applyFont="1" applyFill="1" applyBorder="1" applyAlignment="1">
      <alignment horizontal="center" vertical="center" wrapText="1" readingOrder="1"/>
    </xf>
    <xf numFmtId="0" fontId="68" fillId="13" borderId="388" xfId="0" applyFont="1" applyFill="1" applyBorder="1" applyAlignment="1">
      <alignment horizontal="center" vertical="center" wrapText="1" readingOrder="1"/>
    </xf>
    <xf numFmtId="0" fontId="68" fillId="13" borderId="369" xfId="0" applyFont="1" applyFill="1" applyBorder="1" applyAlignment="1">
      <alignment horizontal="center" vertical="center" wrapText="1" readingOrder="1"/>
    </xf>
    <xf numFmtId="0" fontId="70" fillId="0" borderId="364" xfId="0" applyFont="1" applyBorder="1" applyAlignment="1">
      <alignment vertical="center" wrapText="1"/>
    </xf>
    <xf numFmtId="0" fontId="71" fillId="0" borderId="364" xfId="0" applyFont="1" applyBorder="1" applyAlignment="1">
      <alignment horizontal="left" vertical="center" wrapText="1" readingOrder="1"/>
    </xf>
    <xf numFmtId="0" fontId="68" fillId="0" borderId="0" xfId="0" applyFont="1" applyAlignment="1">
      <alignment vertical="center" wrapText="1" readingOrder="1"/>
    </xf>
    <xf numFmtId="188" fontId="69" fillId="0" borderId="0" xfId="1" applyNumberFormat="1" applyFont="1" applyFill="1" applyBorder="1" applyAlignment="1">
      <alignment horizontal="right" vertical="center" wrapText="1" readingOrder="1"/>
    </xf>
    <xf numFmtId="188" fontId="50" fillId="0" borderId="0" xfId="0" applyNumberFormat="1" applyFont="1">
      <alignment vertical="center"/>
    </xf>
    <xf numFmtId="1" fontId="50" fillId="0" borderId="0" xfId="0" applyNumberFormat="1" applyFont="1">
      <alignment vertical="center"/>
    </xf>
    <xf numFmtId="179" fontId="50" fillId="0" borderId="0" xfId="0" applyNumberFormat="1" applyFont="1">
      <alignment vertical="center"/>
    </xf>
    <xf numFmtId="1" fontId="40" fillId="0" borderId="0" xfId="0" applyNumberFormat="1" applyFont="1">
      <alignment vertical="center"/>
    </xf>
    <xf numFmtId="0" fontId="72" fillId="0" borderId="0" xfId="0" applyFont="1" applyAlignment="1">
      <alignment horizontal="left" vertical="center"/>
    </xf>
    <xf numFmtId="0" fontId="65" fillId="0" borderId="0" xfId="0" applyFont="1" applyAlignment="1">
      <alignment horizontal="center" vertical="center"/>
    </xf>
    <xf numFmtId="0" fontId="40" fillId="0" borderId="22" xfId="0" applyFont="1" applyBorder="1">
      <alignment vertical="center"/>
    </xf>
    <xf numFmtId="0" fontId="50" fillId="5" borderId="18" xfId="0" applyFont="1" applyFill="1" applyBorder="1" applyAlignment="1">
      <alignment horizontal="center" vertical="center"/>
    </xf>
    <xf numFmtId="0" fontId="50" fillId="5" borderId="19" xfId="0" applyFont="1" applyFill="1" applyBorder="1" applyAlignment="1">
      <alignment horizontal="center" vertical="center"/>
    </xf>
    <xf numFmtId="41" fontId="50" fillId="5" borderId="19" xfId="1" applyFont="1" applyFill="1" applyBorder="1" applyAlignment="1">
      <alignment horizontal="center" vertical="center"/>
    </xf>
    <xf numFmtId="0" fontId="50" fillId="5" borderId="20" xfId="0" applyFont="1" applyFill="1" applyBorder="1" applyAlignment="1">
      <alignment horizontal="center" vertical="center"/>
    </xf>
    <xf numFmtId="41" fontId="50" fillId="5" borderId="18" xfId="1" applyFont="1" applyFill="1" applyBorder="1" applyAlignment="1">
      <alignment horizontal="center" vertical="center"/>
    </xf>
    <xf numFmtId="0" fontId="50" fillId="2" borderId="11" xfId="0" applyFont="1" applyFill="1" applyBorder="1" applyAlignment="1">
      <alignment horizontal="center" vertical="center"/>
    </xf>
    <xf numFmtId="0" fontId="40" fillId="0" borderId="64" xfId="0" applyFont="1" applyBorder="1">
      <alignment vertical="center"/>
    </xf>
    <xf numFmtId="0" fontId="40" fillId="0" borderId="2" xfId="0" applyFont="1" applyBorder="1">
      <alignment vertical="center"/>
    </xf>
    <xf numFmtId="41" fontId="40" fillId="0" borderId="2" xfId="1" applyFont="1" applyFill="1" applyBorder="1">
      <alignment vertical="center"/>
    </xf>
    <xf numFmtId="9" fontId="40" fillId="0" borderId="3" xfId="2" applyFont="1" applyFill="1" applyBorder="1">
      <alignment vertical="center"/>
    </xf>
    <xf numFmtId="41" fontId="40" fillId="0" borderId="30" xfId="1" applyFont="1" applyBorder="1">
      <alignment vertical="center"/>
    </xf>
    <xf numFmtId="0" fontId="50" fillId="2" borderId="23" xfId="0" applyFont="1" applyFill="1" applyBorder="1" applyAlignment="1">
      <alignment horizontal="center" vertical="center"/>
    </xf>
    <xf numFmtId="0" fontId="40" fillId="0" borderId="73" xfId="0" applyFont="1" applyBorder="1">
      <alignment vertical="center"/>
    </xf>
    <xf numFmtId="0" fontId="40" fillId="0" borderId="5" xfId="0" applyFont="1" applyBorder="1">
      <alignment vertical="center"/>
    </xf>
    <xf numFmtId="41" fontId="40" fillId="0" borderId="5" xfId="1" applyFont="1" applyFill="1" applyBorder="1">
      <alignment vertical="center"/>
    </xf>
    <xf numFmtId="9" fontId="40" fillId="0" borderId="6" xfId="2" applyFont="1" applyFill="1" applyBorder="1">
      <alignment vertical="center"/>
    </xf>
    <xf numFmtId="41" fontId="40" fillId="0" borderId="31" xfId="0" applyNumberFormat="1" applyFont="1" applyBorder="1">
      <alignment vertical="center"/>
    </xf>
    <xf numFmtId="41" fontId="40" fillId="0" borderId="31" xfId="1" applyFont="1" applyBorder="1">
      <alignment vertical="center"/>
    </xf>
    <xf numFmtId="41" fontId="73" fillId="0" borderId="0" xfId="1" applyFont="1">
      <alignment vertical="center"/>
    </xf>
    <xf numFmtId="179" fontId="40" fillId="0" borderId="31" xfId="0" applyNumberFormat="1" applyFont="1" applyBorder="1">
      <alignment vertical="center"/>
    </xf>
    <xf numFmtId="41" fontId="73" fillId="0" borderId="0" xfId="0" applyNumberFormat="1" applyFont="1" applyAlignment="1">
      <alignment horizontal="center" vertical="center"/>
    </xf>
    <xf numFmtId="0" fontId="73" fillId="0" borderId="0" xfId="0" applyFont="1" applyAlignment="1">
      <alignment horizontal="center" vertical="center"/>
    </xf>
    <xf numFmtId="41" fontId="73" fillId="0" borderId="0" xfId="1" applyFont="1" applyAlignment="1">
      <alignment horizontal="center" vertical="center"/>
    </xf>
    <xf numFmtId="0" fontId="40" fillId="0" borderId="271" xfId="0" applyFont="1" applyBorder="1">
      <alignment vertical="center"/>
    </xf>
    <xf numFmtId="0" fontId="40" fillId="0" borderId="310" xfId="0" applyFont="1" applyBorder="1">
      <alignment vertical="center"/>
    </xf>
    <xf numFmtId="41" fontId="40" fillId="0" borderId="310" xfId="1" applyFont="1" applyFill="1" applyBorder="1">
      <alignment vertical="center"/>
    </xf>
    <xf numFmtId="9" fontId="40" fillId="0" borderId="312" xfId="2" applyFont="1" applyFill="1" applyBorder="1">
      <alignment vertical="center"/>
    </xf>
    <xf numFmtId="41" fontId="40" fillId="0" borderId="314" xfId="0" applyNumberFormat="1" applyFont="1" applyBorder="1">
      <alignment vertical="center"/>
    </xf>
    <xf numFmtId="0" fontId="40" fillId="0" borderId="8" xfId="0" applyFont="1" applyBorder="1">
      <alignment vertical="center"/>
    </xf>
    <xf numFmtId="41" fontId="40" fillId="0" borderId="8" xfId="1" applyFont="1" applyFill="1" applyBorder="1">
      <alignment vertical="center"/>
    </xf>
    <xf numFmtId="9" fontId="40" fillId="0" borderId="9" xfId="2" applyFont="1" applyFill="1" applyBorder="1">
      <alignment vertical="center"/>
    </xf>
    <xf numFmtId="41" fontId="40" fillId="0" borderId="32" xfId="0" applyNumberFormat="1" applyFont="1" applyBorder="1">
      <alignment vertical="center"/>
    </xf>
    <xf numFmtId="0" fontId="50" fillId="2" borderId="29" xfId="0" applyFont="1" applyFill="1" applyBorder="1" applyAlignment="1">
      <alignment horizontal="center" vertical="center"/>
    </xf>
    <xf numFmtId="41" fontId="50" fillId="2" borderId="19" xfId="1" applyFont="1" applyFill="1" applyBorder="1">
      <alignment vertical="center"/>
    </xf>
    <xf numFmtId="9" fontId="50" fillId="2" borderId="20" xfId="2" applyFont="1" applyFill="1" applyBorder="1">
      <alignment vertical="center"/>
    </xf>
    <xf numFmtId="41" fontId="50" fillId="2" borderId="89" xfId="1" applyFont="1" applyFill="1" applyBorder="1">
      <alignment vertical="center"/>
    </xf>
    <xf numFmtId="41" fontId="50" fillId="2" borderId="20" xfId="1" applyFont="1" applyFill="1" applyBorder="1">
      <alignment vertical="center"/>
    </xf>
    <xf numFmtId="179" fontId="40" fillId="0" borderId="31" xfId="1" applyNumberFormat="1" applyFont="1" applyBorder="1">
      <alignment vertical="center"/>
    </xf>
    <xf numFmtId="182" fontId="40" fillId="0" borderId="0" xfId="0" applyNumberFormat="1" applyFont="1">
      <alignment vertical="center"/>
    </xf>
    <xf numFmtId="41" fontId="40" fillId="7" borderId="5" xfId="1" applyFont="1" applyFill="1" applyBorder="1">
      <alignment vertical="center"/>
    </xf>
    <xf numFmtId="41" fontId="40" fillId="0" borderId="4" xfId="1" applyFont="1" applyFill="1" applyBorder="1">
      <alignment vertical="center"/>
    </xf>
    <xf numFmtId="179" fontId="40" fillId="0" borderId="31" xfId="1" applyNumberFormat="1" applyFont="1" applyFill="1" applyBorder="1">
      <alignment vertical="center"/>
    </xf>
    <xf numFmtId="0" fontId="50" fillId="2" borderId="34" xfId="0" applyFont="1" applyFill="1" applyBorder="1" applyAlignment="1">
      <alignment horizontal="center" vertical="center"/>
    </xf>
    <xf numFmtId="41" fontId="40" fillId="0" borderId="10" xfId="1" applyFont="1" applyFill="1" applyBorder="1">
      <alignment vertical="center"/>
    </xf>
    <xf numFmtId="179" fontId="50" fillId="2" borderId="20" xfId="1" applyNumberFormat="1" applyFont="1" applyFill="1" applyBorder="1">
      <alignment vertical="center"/>
    </xf>
    <xf numFmtId="41" fontId="50" fillId="3" borderId="19" xfId="1" applyFont="1" applyFill="1" applyBorder="1">
      <alignment vertical="center"/>
    </xf>
    <xf numFmtId="9" fontId="50" fillId="3" borderId="20" xfId="2" applyFont="1" applyFill="1" applyBorder="1">
      <alignment vertical="center"/>
    </xf>
    <xf numFmtId="41" fontId="50" fillId="3" borderId="27" xfId="1" applyFont="1" applyFill="1" applyBorder="1">
      <alignment vertical="center"/>
    </xf>
    <xf numFmtId="178" fontId="50" fillId="3" borderId="20" xfId="1" applyNumberFormat="1" applyFont="1" applyFill="1" applyBorder="1">
      <alignment vertical="center"/>
    </xf>
    <xf numFmtId="0" fontId="50" fillId="2" borderId="14" xfId="0" applyFont="1" applyFill="1" applyBorder="1" applyAlignment="1">
      <alignment horizontal="center" vertical="center"/>
    </xf>
    <xf numFmtId="41" fontId="40" fillId="0" borderId="17" xfId="1" applyFont="1" applyBorder="1">
      <alignment vertical="center"/>
    </xf>
    <xf numFmtId="41" fontId="40" fillId="0" borderId="312" xfId="1" applyFont="1" applyBorder="1">
      <alignment vertical="center"/>
    </xf>
    <xf numFmtId="41" fontId="40" fillId="0" borderId="9" xfId="1" applyFont="1" applyBorder="1">
      <alignment vertical="center"/>
    </xf>
    <xf numFmtId="0" fontId="74" fillId="0" borderId="0" xfId="0" applyFont="1">
      <alignment vertical="center"/>
    </xf>
    <xf numFmtId="182" fontId="40" fillId="0" borderId="263" xfId="0" applyNumberFormat="1" applyFont="1" applyBorder="1">
      <alignment vertical="center"/>
    </xf>
    <xf numFmtId="0" fontId="75" fillId="0" borderId="0" xfId="0" applyFont="1">
      <alignment vertical="center"/>
    </xf>
    <xf numFmtId="41" fontId="50" fillId="3" borderId="27" xfId="0" applyNumberFormat="1" applyFont="1" applyFill="1" applyBorder="1">
      <alignment vertical="center"/>
    </xf>
    <xf numFmtId="3" fontId="40" fillId="3" borderId="20" xfId="0" applyNumberFormat="1" applyFont="1" applyFill="1" applyBorder="1">
      <alignment vertical="center"/>
    </xf>
    <xf numFmtId="0" fontId="76" fillId="0" borderId="0" xfId="0" applyFont="1">
      <alignment vertical="center"/>
    </xf>
    <xf numFmtId="0" fontId="77" fillId="0" borderId="0" xfId="0" applyFont="1" applyAlignment="1">
      <alignment horizontal="center" vertical="center"/>
    </xf>
    <xf numFmtId="0" fontId="77" fillId="15" borderId="0" xfId="0" applyFont="1" applyFill="1" applyAlignment="1">
      <alignment horizontal="center" vertical="center"/>
    </xf>
    <xf numFmtId="41" fontId="77" fillId="0" borderId="0" xfId="1" applyFont="1" applyFill="1" applyAlignment="1">
      <alignment horizontal="center" vertical="center"/>
    </xf>
    <xf numFmtId="41" fontId="77" fillId="15" borderId="0" xfId="1" applyFont="1" applyFill="1" applyAlignment="1">
      <alignment horizontal="center" vertical="center"/>
    </xf>
    <xf numFmtId="9" fontId="75" fillId="0" borderId="0" xfId="0" applyNumberFormat="1" applyFont="1">
      <alignment vertical="center"/>
    </xf>
    <xf numFmtId="41" fontId="40" fillId="0" borderId="24" xfId="1" applyFont="1" applyBorder="1">
      <alignment vertical="center"/>
    </xf>
    <xf numFmtId="41" fontId="50" fillId="3" borderId="100" xfId="1" applyFont="1" applyFill="1" applyBorder="1">
      <alignment vertical="center"/>
    </xf>
    <xf numFmtId="3" fontId="40" fillId="3" borderId="26" xfId="0" applyNumberFormat="1" applyFont="1" applyFill="1" applyBorder="1">
      <alignment vertical="center"/>
    </xf>
    <xf numFmtId="0" fontId="75" fillId="0" borderId="282" xfId="0" applyFont="1" applyBorder="1" applyAlignment="1">
      <alignment horizontal="center" vertical="center"/>
    </xf>
    <xf numFmtId="41" fontId="40" fillId="0" borderId="48" xfId="1" applyFont="1" applyFill="1" applyBorder="1">
      <alignment vertical="center"/>
    </xf>
    <xf numFmtId="9" fontId="40" fillId="0" borderId="31" xfId="2" applyFont="1" applyFill="1" applyBorder="1">
      <alignment vertical="center"/>
    </xf>
    <xf numFmtId="41" fontId="40" fillId="0" borderId="1" xfId="1" applyFont="1" applyFill="1" applyBorder="1">
      <alignment vertical="center"/>
    </xf>
    <xf numFmtId="41" fontId="40" fillId="0" borderId="3" xfId="1" applyFont="1" applyBorder="1">
      <alignment vertical="center"/>
    </xf>
    <xf numFmtId="41" fontId="74" fillId="0" borderId="0" xfId="0" applyNumberFormat="1" applyFont="1">
      <alignment vertical="center"/>
    </xf>
    <xf numFmtId="41" fontId="40" fillId="0" borderId="5" xfId="45" applyFont="1" applyFill="1" applyBorder="1">
      <alignment vertical="center"/>
    </xf>
    <xf numFmtId="41" fontId="40" fillId="0" borderId="4" xfId="45" applyFont="1" applyFill="1" applyBorder="1">
      <alignment vertical="center"/>
    </xf>
    <xf numFmtId="41" fontId="40" fillId="0" borderId="313" xfId="1" applyFont="1" applyFill="1" applyBorder="1">
      <alignment vertical="center"/>
    </xf>
    <xf numFmtId="9" fontId="40" fillId="0" borderId="314" xfId="2" applyFont="1" applyFill="1" applyBorder="1">
      <alignment vertical="center"/>
    </xf>
    <xf numFmtId="41" fontId="40" fillId="0" borderId="14" xfId="1" applyFont="1" applyFill="1" applyBorder="1">
      <alignment vertical="center"/>
    </xf>
    <xf numFmtId="0" fontId="74" fillId="0" borderId="282" xfId="0" applyFont="1" applyBorder="1">
      <alignment vertical="center"/>
    </xf>
    <xf numFmtId="41" fontId="50" fillId="3" borderId="89" xfId="1" applyFont="1" applyFill="1" applyBorder="1">
      <alignment vertical="center"/>
    </xf>
    <xf numFmtId="178" fontId="50" fillId="3" borderId="26" xfId="1" applyNumberFormat="1" applyFont="1" applyFill="1" applyBorder="1">
      <alignment vertical="center"/>
    </xf>
    <xf numFmtId="0" fontId="67" fillId="0" borderId="282" xfId="0" applyFont="1" applyBorder="1">
      <alignment vertical="center"/>
    </xf>
    <xf numFmtId="41" fontId="40" fillId="0" borderId="0" xfId="0" quotePrefix="1" applyNumberFormat="1" applyFont="1" applyAlignment="1">
      <alignment vertical="center" wrapText="1"/>
    </xf>
    <xf numFmtId="41" fontId="40" fillId="0" borderId="0" xfId="1" applyFont="1" applyFill="1">
      <alignment vertical="center"/>
    </xf>
    <xf numFmtId="0" fontId="40" fillId="0" borderId="16" xfId="0" applyFont="1" applyBorder="1">
      <alignment vertical="center"/>
    </xf>
    <xf numFmtId="41" fontId="40" fillId="0" borderId="16" xfId="1" applyFont="1" applyFill="1" applyBorder="1">
      <alignment vertical="center"/>
    </xf>
    <xf numFmtId="9" fontId="40" fillId="0" borderId="17" xfId="2" applyFont="1" applyFill="1" applyBorder="1">
      <alignment vertical="center"/>
    </xf>
    <xf numFmtId="41" fontId="74" fillId="0" borderId="5" xfId="1" applyFont="1" applyFill="1" applyBorder="1">
      <alignment vertical="center"/>
    </xf>
    <xf numFmtId="41" fontId="76" fillId="0" borderId="0" xfId="0" applyNumberFormat="1" applyFont="1">
      <alignment vertical="center"/>
    </xf>
    <xf numFmtId="0" fontId="50" fillId="2" borderId="15" xfId="0" applyFont="1" applyFill="1" applyBorder="1" applyAlignment="1">
      <alignment horizontal="center" vertical="center"/>
    </xf>
    <xf numFmtId="0" fontId="78" fillId="0" borderId="0" xfId="0" applyFont="1">
      <alignment vertical="center"/>
    </xf>
    <xf numFmtId="41" fontId="50" fillId="3" borderId="20" xfId="1" applyFont="1" applyFill="1" applyBorder="1">
      <alignment vertical="center"/>
    </xf>
    <xf numFmtId="41" fontId="50" fillId="16" borderId="19" xfId="1" applyFont="1" applyFill="1" applyBorder="1">
      <alignment vertical="center"/>
    </xf>
    <xf numFmtId="9" fontId="50" fillId="16" borderId="20" xfId="2" applyFont="1" applyFill="1" applyBorder="1">
      <alignment vertical="center"/>
    </xf>
    <xf numFmtId="41" fontId="50" fillId="16" borderId="18" xfId="1" applyFont="1" applyFill="1" applyBorder="1">
      <alignment vertical="center"/>
    </xf>
    <xf numFmtId="41" fontId="50" fillId="16" borderId="20" xfId="1" applyFont="1" applyFill="1" applyBorder="1">
      <alignment vertical="center"/>
    </xf>
    <xf numFmtId="41" fontId="40" fillId="4" borderId="5" xfId="1" applyFont="1" applyFill="1" applyBorder="1">
      <alignment vertical="center"/>
    </xf>
    <xf numFmtId="41" fontId="40" fillId="0" borderId="5" xfId="1" applyFont="1" applyBorder="1">
      <alignment vertical="center"/>
    </xf>
    <xf numFmtId="41" fontId="50" fillId="0" borderId="0" xfId="0" applyNumberFormat="1" applyFont="1">
      <alignment vertical="center"/>
    </xf>
    <xf numFmtId="3" fontId="40" fillId="4" borderId="0" xfId="0" applyNumberFormat="1" applyFont="1" applyFill="1">
      <alignment vertical="center"/>
    </xf>
    <xf numFmtId="41" fontId="40" fillId="4" borderId="310" xfId="1" applyFont="1" applyFill="1" applyBorder="1">
      <alignment vertical="center"/>
    </xf>
    <xf numFmtId="41" fontId="40" fillId="4" borderId="8" xfId="1" applyFont="1" applyFill="1" applyBorder="1">
      <alignment vertical="center"/>
    </xf>
    <xf numFmtId="41" fontId="40" fillId="0" borderId="0" xfId="0" quotePrefix="1" applyNumberFormat="1" applyFont="1">
      <alignment vertical="center"/>
    </xf>
    <xf numFmtId="41" fontId="40" fillId="4" borderId="0" xfId="0" applyNumberFormat="1" applyFont="1" applyFill="1">
      <alignment vertical="center"/>
    </xf>
    <xf numFmtId="41" fontId="40" fillId="0" borderId="310" xfId="1" applyFont="1" applyBorder="1">
      <alignment vertical="center"/>
    </xf>
    <xf numFmtId="186" fontId="40" fillId="0" borderId="0" xfId="0" applyNumberFormat="1" applyFont="1">
      <alignment vertical="center"/>
    </xf>
    <xf numFmtId="41" fontId="40" fillId="12" borderId="0" xfId="0" applyNumberFormat="1" applyFont="1" applyFill="1" applyAlignment="1">
      <alignment horizontal="center" vertical="center"/>
    </xf>
    <xf numFmtId="0" fontId="40" fillId="0" borderId="16" xfId="0" applyFont="1" applyBorder="1" applyAlignment="1">
      <alignment horizontal="center" vertical="center"/>
    </xf>
    <xf numFmtId="0" fontId="40" fillId="0" borderId="5" xfId="0" applyFont="1" applyBorder="1" applyAlignment="1">
      <alignment horizontal="center" vertical="center"/>
    </xf>
    <xf numFmtId="0" fontId="40" fillId="0" borderId="73" xfId="0" applyFont="1" applyBorder="1" applyAlignment="1">
      <alignment horizontal="center" vertical="center"/>
    </xf>
    <xf numFmtId="0" fontId="40" fillId="0" borderId="310" xfId="0" applyFont="1" applyBorder="1" applyAlignment="1">
      <alignment horizontal="center" vertical="center"/>
    </xf>
    <xf numFmtId="0" fontId="40" fillId="0" borderId="8" xfId="0" applyFont="1" applyBorder="1" applyAlignment="1">
      <alignment horizontal="center" vertical="center"/>
    </xf>
    <xf numFmtId="43" fontId="40" fillId="0" borderId="5" xfId="0" applyNumberFormat="1" applyFont="1" applyBorder="1">
      <alignment vertical="center"/>
    </xf>
    <xf numFmtId="41" fontId="40" fillId="0" borderId="5" xfId="0" applyNumberFormat="1" applyFont="1" applyBorder="1">
      <alignment vertical="center"/>
    </xf>
    <xf numFmtId="0" fontId="40" fillId="0" borderId="0" xfId="0" quotePrefix="1" applyFont="1">
      <alignment vertical="center"/>
    </xf>
    <xf numFmtId="189" fontId="40" fillId="0" borderId="0" xfId="0" applyNumberFormat="1" applyFont="1">
      <alignment vertical="center"/>
    </xf>
    <xf numFmtId="41" fontId="50" fillId="6" borderId="34" xfId="0" quotePrefix="1" applyNumberFormat="1" applyFont="1" applyFill="1" applyBorder="1" applyAlignment="1">
      <alignment vertical="center" wrapText="1"/>
    </xf>
    <xf numFmtId="41" fontId="50" fillId="6" borderId="0" xfId="0" quotePrefix="1" applyNumberFormat="1" applyFont="1" applyFill="1" applyAlignment="1">
      <alignment vertical="center" wrapText="1"/>
    </xf>
    <xf numFmtId="41" fontId="53" fillId="0" borderId="103" xfId="70" applyFont="1" applyBorder="1">
      <alignment vertical="center"/>
    </xf>
    <xf numFmtId="41" fontId="53" fillId="0" borderId="390" xfId="0" applyNumberFormat="1" applyFont="1" applyBorder="1" applyAlignment="1">
      <alignment vertical="center" wrapText="1"/>
    </xf>
    <xf numFmtId="41" fontId="40" fillId="0" borderId="0" xfId="0" applyNumberFormat="1" applyFont="1" applyAlignment="1">
      <alignment vertical="center" wrapText="1"/>
    </xf>
    <xf numFmtId="41" fontId="50" fillId="8" borderId="0" xfId="0" applyNumberFormat="1" applyFont="1" applyFill="1">
      <alignment vertical="center"/>
    </xf>
    <xf numFmtId="41" fontId="40" fillId="4" borderId="16" xfId="1" applyFont="1" applyFill="1" applyBorder="1">
      <alignment vertical="center"/>
    </xf>
    <xf numFmtId="41" fontId="40" fillId="17" borderId="5" xfId="1" applyFont="1" applyFill="1" applyBorder="1">
      <alignment vertical="center"/>
    </xf>
    <xf numFmtId="41" fontId="80" fillId="0" borderId="0" xfId="0" quotePrefix="1" applyNumberFormat="1" applyFont="1">
      <alignment vertical="center"/>
    </xf>
    <xf numFmtId="41" fontId="40" fillId="6" borderId="5" xfId="1" applyFont="1" applyFill="1" applyBorder="1">
      <alignment vertical="center"/>
    </xf>
    <xf numFmtId="0" fontId="40" fillId="0" borderId="5" xfId="0" applyFont="1" applyBorder="1" applyAlignment="1">
      <alignment horizontal="right" vertical="center"/>
    </xf>
    <xf numFmtId="181" fontId="40" fillId="0" borderId="5" xfId="0" applyNumberFormat="1" applyFont="1" applyBorder="1" applyAlignment="1">
      <alignment vertical="center" wrapText="1"/>
    </xf>
    <xf numFmtId="181" fontId="40" fillId="0" borderId="5" xfId="0" applyNumberFormat="1" applyFont="1" applyBorder="1">
      <alignment vertical="center"/>
    </xf>
    <xf numFmtId="179" fontId="81" fillId="14" borderId="364" xfId="1" applyNumberFormat="1" applyFont="1" applyFill="1" applyBorder="1" applyAlignment="1">
      <alignment horizontal="right" vertical="center" wrapText="1" readingOrder="1"/>
    </xf>
    <xf numFmtId="179" fontId="81" fillId="14" borderId="388" xfId="1" applyNumberFormat="1" applyFont="1" applyFill="1" applyBorder="1" applyAlignment="1">
      <alignment horizontal="right" vertical="center" wrapText="1" readingOrder="1"/>
    </xf>
    <xf numFmtId="179" fontId="81" fillId="14" borderId="369" xfId="1" applyNumberFormat="1" applyFont="1" applyFill="1" applyBorder="1" applyAlignment="1">
      <alignment horizontal="right" vertical="center" wrapText="1" readingOrder="1"/>
    </xf>
    <xf numFmtId="185" fontId="81" fillId="14" borderId="364" xfId="1" applyNumberFormat="1" applyFont="1" applyFill="1" applyBorder="1" applyAlignment="1">
      <alignment horizontal="right" vertical="center" wrapText="1" readingOrder="1"/>
    </xf>
    <xf numFmtId="179" fontId="82" fillId="0" borderId="364" xfId="1" applyNumberFormat="1" applyFont="1" applyBorder="1" applyAlignment="1">
      <alignment horizontal="right" vertical="center" wrapText="1" readingOrder="1"/>
    </xf>
    <xf numFmtId="179" fontId="82" fillId="0" borderId="369" xfId="1" applyNumberFormat="1" applyFont="1" applyBorder="1" applyAlignment="1">
      <alignment horizontal="right" vertical="center" wrapText="1" readingOrder="1"/>
    </xf>
    <xf numFmtId="185" fontId="81" fillId="14" borderId="388" xfId="1" applyNumberFormat="1" applyFont="1" applyFill="1" applyBorder="1" applyAlignment="1">
      <alignment horizontal="right" vertical="center" wrapText="1" readingOrder="1"/>
    </xf>
    <xf numFmtId="179" fontId="82" fillId="0" borderId="388" xfId="1" applyNumberFormat="1" applyFont="1" applyBorder="1" applyAlignment="1">
      <alignment horizontal="right" vertical="center" wrapText="1" readingOrder="1"/>
    </xf>
    <xf numFmtId="0" fontId="40" fillId="17" borderId="0" xfId="0" applyFont="1" applyFill="1">
      <alignment vertical="center"/>
    </xf>
    <xf numFmtId="41" fontId="40" fillId="3" borderId="5" xfId="1" applyFont="1" applyFill="1" applyBorder="1">
      <alignment vertical="center"/>
    </xf>
    <xf numFmtId="41" fontId="40" fillId="6" borderId="0" xfId="0" applyNumberFormat="1" applyFont="1" applyFill="1">
      <alignment vertical="center"/>
    </xf>
    <xf numFmtId="0" fontId="40" fillId="6" borderId="0" xfId="0" applyFont="1" applyFill="1">
      <alignment vertical="center"/>
    </xf>
    <xf numFmtId="0" fontId="50" fillId="2" borderId="27" xfId="0" applyFont="1" applyFill="1" applyBorder="1" applyAlignment="1">
      <alignment horizontal="center" vertical="center"/>
    </xf>
    <xf numFmtId="0" fontId="50" fillId="2" borderId="28" xfId="0" applyFont="1" applyFill="1" applyBorder="1" applyAlignment="1">
      <alignment horizontal="center" vertical="center"/>
    </xf>
    <xf numFmtId="0" fontId="50" fillId="2" borderId="22" xfId="0" applyFont="1" applyFill="1" applyBorder="1" applyAlignment="1">
      <alignment horizontal="center" vertical="center"/>
    </xf>
    <xf numFmtId="0" fontId="50" fillId="2" borderId="104"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22" xfId="0" applyFont="1" applyFill="1" applyBorder="1" applyAlignment="1">
      <alignment horizontal="center" vertical="center"/>
    </xf>
    <xf numFmtId="0" fontId="50" fillId="3" borderId="104" xfId="0" applyFont="1" applyFill="1" applyBorder="1" applyAlignment="1">
      <alignment horizontal="center" vertical="center"/>
    </xf>
    <xf numFmtId="0" fontId="50" fillId="3" borderId="89" xfId="0" applyFont="1" applyFill="1" applyBorder="1" applyAlignment="1">
      <alignment horizontal="center" vertical="center"/>
    </xf>
    <xf numFmtId="0" fontId="50" fillId="3" borderId="27" xfId="0" applyFont="1" applyFill="1" applyBorder="1" applyAlignment="1">
      <alignment horizontal="center" vertical="center"/>
    </xf>
    <xf numFmtId="0" fontId="50" fillId="3" borderId="28" xfId="0" applyFont="1" applyFill="1" applyBorder="1" applyAlignment="1">
      <alignment horizontal="center" vertical="center"/>
    </xf>
    <xf numFmtId="0" fontId="39" fillId="2" borderId="0" xfId="0" applyFont="1" applyFill="1" applyAlignment="1">
      <alignment horizontal="center" vertical="center"/>
    </xf>
    <xf numFmtId="41" fontId="46" fillId="0" borderId="351" xfId="1" applyFont="1" applyBorder="1" applyAlignment="1">
      <alignment horizontal="center" vertical="center"/>
    </xf>
    <xf numFmtId="41" fontId="46" fillId="0" borderId="352" xfId="1" applyFont="1" applyBorder="1" applyAlignment="1">
      <alignment horizontal="center" vertical="center"/>
    </xf>
    <xf numFmtId="0" fontId="45" fillId="5" borderId="301" xfId="0" applyFont="1" applyFill="1" applyBorder="1" applyAlignment="1">
      <alignment horizontal="center" vertical="center"/>
    </xf>
    <xf numFmtId="0" fontId="45" fillId="5" borderId="302" xfId="0" applyFont="1" applyFill="1" applyBorder="1" applyAlignment="1">
      <alignment horizontal="center" vertical="center"/>
    </xf>
    <xf numFmtId="0" fontId="45" fillId="5" borderId="391" xfId="0" applyFont="1" applyFill="1" applyBorder="1" applyAlignment="1">
      <alignment horizontal="center" vertical="center"/>
    </xf>
    <xf numFmtId="0" fontId="45" fillId="5" borderId="295" xfId="0" applyFont="1" applyFill="1" applyBorder="1" applyAlignment="1">
      <alignment horizontal="center" vertical="center"/>
    </xf>
    <xf numFmtId="0" fontId="45" fillId="5" borderId="143" xfId="0" applyFont="1" applyFill="1" applyBorder="1" applyAlignment="1">
      <alignment horizontal="center" vertical="center"/>
    </xf>
    <xf numFmtId="0" fontId="45" fillId="5" borderId="392" xfId="0" applyFont="1" applyFill="1" applyBorder="1" applyAlignment="1">
      <alignment horizontal="center" vertical="center"/>
    </xf>
    <xf numFmtId="0" fontId="68" fillId="13" borderId="369" xfId="0" applyFont="1" applyFill="1" applyBorder="1" applyAlignment="1">
      <alignment horizontal="center" vertical="center" wrapText="1" readingOrder="1"/>
    </xf>
    <xf numFmtId="0" fontId="68" fillId="13" borderId="364" xfId="0" applyFont="1" applyFill="1" applyBorder="1" applyAlignment="1">
      <alignment horizontal="center" vertical="center" wrapText="1" readingOrder="1"/>
    </xf>
    <xf numFmtId="0" fontId="68" fillId="0" borderId="0" xfId="0" applyFont="1" applyAlignment="1">
      <alignment horizontal="center" vertical="center" wrapText="1" readingOrder="1"/>
    </xf>
    <xf numFmtId="180" fontId="48" fillId="0" borderId="219" xfId="1" applyNumberFormat="1" applyFont="1" applyFill="1" applyBorder="1" applyAlignment="1">
      <alignment horizontal="center" vertical="center"/>
    </xf>
    <xf numFmtId="180" fontId="48" fillId="0" borderId="221" xfId="1" applyNumberFormat="1" applyFont="1" applyFill="1" applyBorder="1" applyAlignment="1">
      <alignment horizontal="center" vertical="center"/>
    </xf>
    <xf numFmtId="0" fontId="46" fillId="2" borderId="221" xfId="0" applyFont="1" applyFill="1" applyBorder="1" applyAlignment="1">
      <alignment horizontal="center" vertical="center"/>
    </xf>
    <xf numFmtId="0" fontId="46" fillId="2" borderId="218" xfId="0" applyFont="1" applyFill="1" applyBorder="1" applyAlignment="1">
      <alignment horizontal="center" vertical="center"/>
    </xf>
    <xf numFmtId="0" fontId="48" fillId="0" borderId="220" xfId="0" applyFont="1" applyBorder="1" applyAlignment="1">
      <alignment horizontal="left" vertical="center"/>
    </xf>
    <xf numFmtId="0" fontId="48" fillId="0" borderId="221" xfId="0" applyFont="1" applyBorder="1" applyAlignment="1">
      <alignment horizontal="left" vertical="center"/>
    </xf>
    <xf numFmtId="0" fontId="48" fillId="5" borderId="220" xfId="0" applyFont="1" applyFill="1" applyBorder="1" applyAlignment="1">
      <alignment horizontal="left" vertical="center"/>
    </xf>
    <xf numFmtId="0" fontId="48" fillId="5" borderId="221" xfId="0" applyFont="1" applyFill="1" applyBorder="1" applyAlignment="1">
      <alignment horizontal="left" vertical="center"/>
    </xf>
    <xf numFmtId="0" fontId="68" fillId="13" borderId="341" xfId="0" applyFont="1" applyFill="1" applyBorder="1" applyAlignment="1">
      <alignment horizontal="center" vertical="center" wrapText="1" readingOrder="1"/>
    </xf>
    <xf numFmtId="0" fontId="68" fillId="13" borderId="342" xfId="0" applyFont="1" applyFill="1" applyBorder="1" applyAlignment="1">
      <alignment horizontal="center" vertical="center" wrapText="1" readingOrder="1"/>
    </xf>
    <xf numFmtId="0" fontId="68" fillId="13" borderId="343" xfId="0" applyFont="1" applyFill="1" applyBorder="1" applyAlignment="1">
      <alignment horizontal="center" vertical="center" wrapText="1" readingOrder="1"/>
    </xf>
    <xf numFmtId="41" fontId="46" fillId="3" borderId="353" xfId="1" applyFont="1" applyFill="1" applyBorder="1" applyAlignment="1">
      <alignment horizontal="right" vertical="center"/>
    </xf>
    <xf numFmtId="41" fontId="46" fillId="3" borderId="354" xfId="1" applyFont="1" applyFill="1" applyBorder="1" applyAlignment="1">
      <alignment horizontal="right" vertical="center"/>
    </xf>
    <xf numFmtId="180" fontId="46" fillId="5" borderId="219" xfId="1" applyNumberFormat="1" applyFont="1" applyFill="1" applyBorder="1" applyAlignment="1">
      <alignment horizontal="center" vertical="center"/>
    </xf>
    <xf numFmtId="180" fontId="46" fillId="5" borderId="220" xfId="1" applyNumberFormat="1" applyFont="1" applyFill="1" applyBorder="1" applyAlignment="1">
      <alignment horizontal="center" vertical="center"/>
    </xf>
    <xf numFmtId="41" fontId="46" fillId="5" borderId="351" xfId="1" applyFont="1" applyFill="1" applyBorder="1" applyAlignment="1">
      <alignment horizontal="center" vertical="center"/>
    </xf>
    <xf numFmtId="41" fontId="46" fillId="5" borderId="352" xfId="1" applyFont="1" applyFill="1" applyBorder="1" applyAlignment="1">
      <alignment horizontal="center" vertical="center"/>
    </xf>
    <xf numFmtId="41" fontId="46" fillId="0" borderId="351" xfId="1" applyFont="1" applyBorder="1" applyAlignment="1">
      <alignment horizontal="right" vertical="center"/>
    </xf>
    <xf numFmtId="41" fontId="46" fillId="0" borderId="352" xfId="1" applyFont="1" applyBorder="1" applyAlignment="1">
      <alignment horizontal="right" vertical="center"/>
    </xf>
    <xf numFmtId="0" fontId="48" fillId="3" borderId="220" xfId="0" applyFont="1" applyFill="1" applyBorder="1" applyAlignment="1">
      <alignment horizontal="left" vertical="center"/>
    </xf>
    <xf numFmtId="0" fontId="48" fillId="3" borderId="221" xfId="0" applyFont="1" applyFill="1" applyBorder="1" applyAlignment="1">
      <alignment horizontal="left" vertical="center"/>
    </xf>
    <xf numFmtId="0" fontId="69" fillId="14" borderId="364" xfId="0" applyFont="1" applyFill="1" applyBorder="1" applyAlignment="1">
      <alignment horizontal="left" vertical="center" wrapText="1" readingOrder="1"/>
    </xf>
    <xf numFmtId="0" fontId="48" fillId="0" borderId="219" xfId="0" applyFont="1" applyBorder="1" applyAlignment="1">
      <alignment horizontal="center" vertical="center"/>
    </xf>
    <xf numFmtId="0" fontId="48" fillId="0" borderId="221" xfId="0" applyFont="1" applyBorder="1" applyAlignment="1">
      <alignment horizontal="center" vertical="center"/>
    </xf>
    <xf numFmtId="180" fontId="46" fillId="3" borderId="219" xfId="1" applyNumberFormat="1" applyFont="1" applyFill="1" applyBorder="1" applyAlignment="1">
      <alignment horizontal="center" vertical="center"/>
    </xf>
    <xf numFmtId="180" fontId="46" fillId="3" borderId="220" xfId="1" applyNumberFormat="1" applyFont="1" applyFill="1" applyBorder="1" applyAlignment="1">
      <alignment horizontal="center" vertical="center"/>
    </xf>
    <xf numFmtId="0" fontId="70" fillId="0" borderId="316" xfId="0" applyFont="1" applyBorder="1" applyAlignment="1">
      <alignment vertical="center" wrapText="1"/>
    </xf>
    <xf numFmtId="0" fontId="70" fillId="0" borderId="318" xfId="0" applyFont="1" applyBorder="1" applyAlignment="1">
      <alignment vertical="center" wrapText="1"/>
    </xf>
    <xf numFmtId="0" fontId="69" fillId="14" borderId="321" xfId="0" applyFont="1" applyFill="1" applyBorder="1" applyAlignment="1">
      <alignment horizontal="left" vertical="center" wrapText="1" readingOrder="1"/>
    </xf>
    <xf numFmtId="0" fontId="70" fillId="0" borderId="315" xfId="0" applyFont="1" applyBorder="1" applyAlignment="1">
      <alignment horizontal="center" vertical="center" wrapText="1"/>
    </xf>
    <xf numFmtId="0" fontId="70" fillId="0" borderId="0" xfId="0" applyFont="1" applyAlignment="1">
      <alignment horizontal="center" vertical="center" wrapText="1"/>
    </xf>
    <xf numFmtId="0" fontId="70" fillId="0" borderId="317" xfId="0" applyFont="1" applyBorder="1" applyAlignment="1">
      <alignment horizontal="center" vertical="center" wrapText="1"/>
    </xf>
    <xf numFmtId="0" fontId="68" fillId="13" borderId="315" xfId="0" applyFont="1" applyFill="1" applyBorder="1" applyAlignment="1">
      <alignment horizontal="center" vertical="center" wrapText="1" readingOrder="1"/>
    </xf>
    <xf numFmtId="0" fontId="68" fillId="13" borderId="317" xfId="0" applyFont="1" applyFill="1" applyBorder="1" applyAlignment="1">
      <alignment horizontal="center" vertical="center" wrapText="1" readingOrder="1"/>
    </xf>
    <xf numFmtId="180" fontId="48" fillId="0" borderId="220" xfId="1" applyNumberFormat="1" applyFont="1" applyFill="1" applyBorder="1" applyAlignment="1">
      <alignment horizontal="center" vertical="center"/>
    </xf>
    <xf numFmtId="0" fontId="68" fillId="13" borderId="388" xfId="0" applyFont="1" applyFill="1" applyBorder="1" applyAlignment="1">
      <alignment horizontal="center" vertical="center" wrapText="1" readingOrder="1"/>
    </xf>
    <xf numFmtId="0" fontId="70" fillId="0" borderId="322" xfId="0" applyFont="1" applyBorder="1" applyAlignment="1">
      <alignment vertical="center" wrapText="1"/>
    </xf>
    <xf numFmtId="180" fontId="46" fillId="3" borderId="221" xfId="1" applyNumberFormat="1" applyFont="1" applyFill="1" applyBorder="1" applyAlignment="1">
      <alignment horizontal="center" vertical="center"/>
    </xf>
    <xf numFmtId="0" fontId="46" fillId="3" borderId="219" xfId="0" applyFont="1" applyFill="1" applyBorder="1" applyAlignment="1">
      <alignment horizontal="center" vertical="center"/>
    </xf>
    <xf numFmtId="0" fontId="46" fillId="3" borderId="220" xfId="0" applyFont="1" applyFill="1" applyBorder="1" applyAlignment="1">
      <alignment horizontal="center" vertical="center"/>
    </xf>
    <xf numFmtId="0" fontId="46" fillId="3" borderId="221" xfId="0" applyFont="1" applyFill="1" applyBorder="1" applyAlignment="1">
      <alignment horizontal="center" vertical="center"/>
    </xf>
    <xf numFmtId="0" fontId="46" fillId="2" borderId="349" xfId="0" applyFont="1" applyFill="1" applyBorder="1" applyAlignment="1">
      <alignment horizontal="center" vertical="center" wrapText="1"/>
    </xf>
    <xf numFmtId="0" fontId="46" fillId="2" borderId="350" xfId="0" applyFont="1" applyFill="1" applyBorder="1" applyAlignment="1">
      <alignment horizontal="center" vertical="center"/>
    </xf>
    <xf numFmtId="41" fontId="46" fillId="5" borderId="351" xfId="1" applyFont="1" applyFill="1" applyBorder="1" applyAlignment="1">
      <alignment horizontal="right" vertical="center"/>
    </xf>
    <xf numFmtId="41" fontId="46" fillId="5" borderId="352" xfId="1" applyFont="1" applyFill="1" applyBorder="1" applyAlignment="1">
      <alignment horizontal="right" vertical="center"/>
    </xf>
    <xf numFmtId="179" fontId="46" fillId="0" borderId="351" xfId="1" applyNumberFormat="1" applyFont="1" applyBorder="1" applyAlignment="1">
      <alignment horizontal="right" vertical="center"/>
    </xf>
    <xf numFmtId="179" fontId="46" fillId="0" borderId="352" xfId="1" applyNumberFormat="1" applyFont="1" applyBorder="1" applyAlignment="1">
      <alignment horizontal="right" vertical="center"/>
    </xf>
    <xf numFmtId="0" fontId="55" fillId="0" borderId="219" xfId="0" quotePrefix="1" applyFont="1" applyBorder="1" applyAlignment="1">
      <alignment horizontal="left" vertical="center"/>
    </xf>
    <xf numFmtId="0" fontId="55" fillId="0" borderId="220" xfId="0" applyFont="1" applyBorder="1" applyAlignment="1">
      <alignment horizontal="left" vertical="center"/>
    </xf>
    <xf numFmtId="0" fontId="55" fillId="0" borderId="387" xfId="0" applyFont="1" applyBorder="1" applyAlignment="1">
      <alignment horizontal="left" vertical="center"/>
    </xf>
    <xf numFmtId="0" fontId="48" fillId="0" borderId="381" xfId="1" quotePrefix="1" applyNumberFormat="1" applyFont="1" applyBorder="1" applyAlignment="1">
      <alignment horizontal="left" vertical="center"/>
    </xf>
    <xf numFmtId="0" fontId="48" fillId="0" borderId="220" xfId="1" quotePrefix="1" applyNumberFormat="1" applyFont="1" applyBorder="1" applyAlignment="1">
      <alignment horizontal="left" vertical="center"/>
    </xf>
    <xf numFmtId="0" fontId="48" fillId="0" borderId="387" xfId="1" quotePrefix="1" applyNumberFormat="1" applyFont="1" applyBorder="1" applyAlignment="1">
      <alignment horizontal="left" vertical="center"/>
    </xf>
    <xf numFmtId="0" fontId="46" fillId="5" borderId="381" xfId="1" applyNumberFormat="1" applyFont="1" applyFill="1" applyBorder="1" applyAlignment="1">
      <alignment horizontal="left" vertical="center"/>
    </xf>
    <xf numFmtId="0" fontId="46" fillId="5" borderId="220" xfId="1" applyNumberFormat="1" applyFont="1" applyFill="1" applyBorder="1" applyAlignment="1">
      <alignment horizontal="left" vertical="center"/>
    </xf>
    <xf numFmtId="0" fontId="46" fillId="5" borderId="387" xfId="1" applyNumberFormat="1" applyFont="1" applyFill="1" applyBorder="1" applyAlignment="1">
      <alignment horizontal="left" vertical="center"/>
    </xf>
    <xf numFmtId="0" fontId="55" fillId="0" borderId="381" xfId="0" quotePrefix="1" applyFont="1" applyBorder="1" applyAlignment="1">
      <alignment horizontal="left" vertical="center"/>
    </xf>
    <xf numFmtId="0" fontId="48" fillId="0" borderId="381" xfId="0" applyFont="1" applyBorder="1" applyAlignment="1">
      <alignment horizontal="left" vertical="center"/>
    </xf>
    <xf numFmtId="0" fontId="48" fillId="0" borderId="381" xfId="1" quotePrefix="1" applyNumberFormat="1" applyFont="1" applyFill="1" applyBorder="1" applyAlignment="1">
      <alignment horizontal="left" vertical="center"/>
    </xf>
    <xf numFmtId="0" fontId="48" fillId="0" borderId="220" xfId="1" applyNumberFormat="1" applyFont="1" applyFill="1" applyBorder="1" applyAlignment="1">
      <alignment horizontal="left" vertical="center"/>
    </xf>
    <xf numFmtId="0" fontId="48" fillId="0" borderId="387" xfId="1" applyNumberFormat="1" applyFont="1" applyFill="1" applyBorder="1" applyAlignment="1">
      <alignment horizontal="left" vertical="center"/>
    </xf>
    <xf numFmtId="185" fontId="56" fillId="3" borderId="353" xfId="1" applyNumberFormat="1" applyFont="1" applyFill="1" applyBorder="1" applyAlignment="1">
      <alignment horizontal="right" vertical="center"/>
    </xf>
    <xf numFmtId="185" fontId="56" fillId="3" borderId="354" xfId="1" applyNumberFormat="1" applyFont="1" applyFill="1" applyBorder="1" applyAlignment="1">
      <alignment horizontal="right" vertical="center"/>
    </xf>
    <xf numFmtId="0" fontId="48" fillId="0" borderId="381" xfId="1" quotePrefix="1" applyNumberFormat="1" applyFont="1" applyBorder="1" applyAlignment="1">
      <alignment horizontal="left" vertical="center" wrapText="1"/>
    </xf>
    <xf numFmtId="180" fontId="62" fillId="3" borderId="220" xfId="1" applyNumberFormat="1" applyFont="1" applyFill="1" applyBorder="1" applyAlignment="1">
      <alignment horizontal="left" vertical="top" wrapText="1"/>
    </xf>
    <xf numFmtId="180" fontId="62" fillId="3" borderId="387" xfId="1" applyNumberFormat="1" applyFont="1" applyFill="1" applyBorder="1" applyAlignment="1">
      <alignment horizontal="left" vertical="top" wrapText="1"/>
    </xf>
    <xf numFmtId="0" fontId="46" fillId="2" borderId="219" xfId="0" applyFont="1" applyFill="1" applyBorder="1" applyAlignment="1">
      <alignment horizontal="center" vertical="center" wrapText="1"/>
    </xf>
    <xf numFmtId="0" fontId="46" fillId="2" borderId="220" xfId="0" applyFont="1" applyFill="1" applyBorder="1" applyAlignment="1">
      <alignment horizontal="center" vertical="center"/>
    </xf>
    <xf numFmtId="180" fontId="46" fillId="0" borderId="219" xfId="0" applyNumberFormat="1" applyFont="1" applyBorder="1" applyAlignment="1">
      <alignment horizontal="center" vertical="center"/>
    </xf>
    <xf numFmtId="180" fontId="46" fillId="0" borderId="220" xfId="0" applyNumberFormat="1" applyFont="1" applyBorder="1" applyAlignment="1">
      <alignment horizontal="center" vertical="center"/>
    </xf>
    <xf numFmtId="0" fontId="48" fillId="0" borderId="220" xfId="0" quotePrefix="1" applyFont="1" applyBorder="1" applyAlignment="1">
      <alignment horizontal="left" vertical="center" wrapText="1"/>
    </xf>
    <xf numFmtId="0" fontId="48" fillId="0" borderId="220" xfId="0" quotePrefix="1" applyFont="1" applyBorder="1" applyAlignment="1">
      <alignment horizontal="left" vertical="center"/>
    </xf>
    <xf numFmtId="180" fontId="56" fillId="5" borderId="397" xfId="1" quotePrefix="1" applyNumberFormat="1" applyFont="1" applyFill="1" applyBorder="1" applyAlignment="1">
      <alignment horizontal="center" vertical="center"/>
    </xf>
    <xf numFmtId="180" fontId="56" fillId="5" borderId="397" xfId="1" applyNumberFormat="1" applyFont="1" applyFill="1" applyBorder="1" applyAlignment="1">
      <alignment horizontal="center" vertical="center"/>
    </xf>
    <xf numFmtId="0" fontId="45" fillId="3" borderId="143" xfId="0" applyFont="1" applyFill="1" applyBorder="1" applyAlignment="1">
      <alignment horizontal="left" vertical="center"/>
    </xf>
    <xf numFmtId="0" fontId="45" fillId="3" borderId="144" xfId="0" applyFont="1" applyFill="1" applyBorder="1" applyAlignment="1">
      <alignment horizontal="left" vertical="center"/>
    </xf>
    <xf numFmtId="0" fontId="45" fillId="8" borderId="118" xfId="0" applyFont="1" applyFill="1" applyBorder="1" applyAlignment="1">
      <alignment horizontal="left" vertical="center"/>
    </xf>
    <xf numFmtId="0" fontId="45" fillId="8" borderId="153" xfId="0" applyFont="1" applyFill="1" applyBorder="1" applyAlignment="1">
      <alignment horizontal="left" vertical="center"/>
    </xf>
    <xf numFmtId="0" fontId="45" fillId="5" borderId="303" xfId="0" applyFont="1" applyFill="1" applyBorder="1" applyAlignment="1">
      <alignment horizontal="center" vertical="center"/>
    </xf>
    <xf numFmtId="0" fontId="45" fillId="5" borderId="305" xfId="0" applyFont="1" applyFill="1" applyBorder="1" applyAlignment="1">
      <alignment horizontal="center" vertical="center"/>
    </xf>
    <xf numFmtId="0" fontId="45" fillId="5" borderId="0" xfId="0" applyFont="1" applyFill="1" applyAlignment="1">
      <alignment horizontal="center" vertical="center"/>
    </xf>
    <xf numFmtId="0" fontId="45" fillId="5" borderId="114" xfId="0" applyFont="1" applyFill="1" applyBorder="1" applyAlignment="1">
      <alignment horizontal="center" vertical="center"/>
    </xf>
    <xf numFmtId="0" fontId="45" fillId="5" borderId="306" xfId="0" applyFont="1" applyFill="1" applyBorder="1" applyAlignment="1">
      <alignment horizontal="center" vertical="center"/>
    </xf>
    <xf numFmtId="0" fontId="45" fillId="5" borderId="127" xfId="0" applyFont="1" applyFill="1" applyBorder="1" applyAlignment="1">
      <alignment horizontal="center" vertical="center"/>
    </xf>
    <xf numFmtId="0" fontId="45" fillId="5" borderId="128" xfId="0" applyFont="1" applyFill="1" applyBorder="1" applyAlignment="1">
      <alignment horizontal="center" vertical="center"/>
    </xf>
    <xf numFmtId="0" fontId="45" fillId="5" borderId="304" xfId="0" applyFont="1" applyFill="1" applyBorder="1" applyAlignment="1">
      <alignment horizontal="center" vertical="center" wrapText="1"/>
    </xf>
    <xf numFmtId="0" fontId="45" fillId="5" borderId="115" xfId="0" applyFont="1" applyFill="1" applyBorder="1" applyAlignment="1">
      <alignment horizontal="center" vertical="center" wrapText="1"/>
    </xf>
    <xf numFmtId="0" fontId="45" fillId="5" borderId="129" xfId="0" applyFont="1" applyFill="1" applyBorder="1" applyAlignment="1">
      <alignment horizontal="center" vertical="center" wrapText="1"/>
    </xf>
    <xf numFmtId="0" fontId="45" fillId="5" borderId="372" xfId="0" applyFont="1" applyFill="1" applyBorder="1" applyAlignment="1">
      <alignment horizontal="center" vertical="center" wrapText="1"/>
    </xf>
    <xf numFmtId="0" fontId="45" fillId="5" borderId="113" xfId="0" applyFont="1" applyFill="1" applyBorder="1" applyAlignment="1">
      <alignment horizontal="center" vertical="center" wrapText="1"/>
    </xf>
    <xf numFmtId="0" fontId="45" fillId="5" borderId="308" xfId="0" applyFont="1" applyFill="1" applyBorder="1" applyAlignment="1">
      <alignment horizontal="center" vertical="center" wrapText="1"/>
    </xf>
    <xf numFmtId="0" fontId="45" fillId="5" borderId="281" xfId="0" applyFont="1" applyFill="1" applyBorder="1" applyAlignment="1">
      <alignment horizontal="center" vertical="center" wrapText="1"/>
    </xf>
    <xf numFmtId="0" fontId="45" fillId="5" borderId="117" xfId="0" applyFont="1" applyFill="1" applyBorder="1" applyAlignment="1">
      <alignment horizontal="center" vertical="center" wrapText="1"/>
    </xf>
    <xf numFmtId="0" fontId="45" fillId="5" borderId="121" xfId="0" applyFont="1" applyFill="1" applyBorder="1" applyAlignment="1">
      <alignment horizontal="center" vertical="center" wrapText="1"/>
    </xf>
    <xf numFmtId="0" fontId="46" fillId="5" borderId="402" xfId="0" applyFont="1" applyFill="1" applyBorder="1" applyAlignment="1">
      <alignment horizontal="center" vertical="center"/>
    </xf>
    <xf numFmtId="0" fontId="46" fillId="5" borderId="397" xfId="0" applyFont="1" applyFill="1" applyBorder="1" applyAlignment="1">
      <alignment horizontal="center" vertical="center"/>
    </xf>
    <xf numFmtId="0" fontId="46" fillId="2" borderId="387" xfId="0" applyFont="1" applyFill="1" applyBorder="1" applyAlignment="1">
      <alignment horizontal="center" vertical="center"/>
    </xf>
    <xf numFmtId="0" fontId="55" fillId="0" borderId="219" xfId="1" quotePrefix="1" applyNumberFormat="1" applyFont="1" applyBorder="1" applyAlignment="1">
      <alignment horizontal="left" vertical="center" wrapText="1"/>
    </xf>
    <xf numFmtId="0" fontId="55" fillId="0" borderId="220" xfId="1" applyNumberFormat="1" applyFont="1" applyBorder="1" applyAlignment="1">
      <alignment horizontal="left" vertical="center"/>
    </xf>
    <xf numFmtId="0" fontId="55" fillId="0" borderId="387" xfId="1" applyNumberFormat="1" applyFont="1" applyBorder="1" applyAlignment="1">
      <alignment horizontal="left" vertical="center"/>
    </xf>
    <xf numFmtId="185" fontId="56" fillId="0" borderId="351" xfId="1" applyNumberFormat="1" applyFont="1" applyBorder="1" applyAlignment="1">
      <alignment vertical="center"/>
    </xf>
    <xf numFmtId="185" fontId="56" fillId="0" borderId="352" xfId="1" applyNumberFormat="1" applyFont="1" applyBorder="1" applyAlignment="1">
      <alignment vertical="center"/>
    </xf>
    <xf numFmtId="0" fontId="48" fillId="0" borderId="397" xfId="0" applyFont="1" applyBorder="1" applyAlignment="1">
      <alignment horizontal="center" vertical="center"/>
    </xf>
    <xf numFmtId="180" fontId="49" fillId="0" borderId="397" xfId="1" applyNumberFormat="1" applyFont="1" applyFill="1" applyBorder="1" applyAlignment="1">
      <alignment horizontal="center" vertical="center"/>
    </xf>
    <xf numFmtId="185" fontId="46" fillId="0" borderId="397" xfId="1" applyNumberFormat="1" applyFont="1" applyBorder="1" applyAlignment="1">
      <alignment vertical="center"/>
    </xf>
    <xf numFmtId="0" fontId="45" fillId="5" borderId="119" xfId="0" applyFont="1" applyFill="1" applyBorder="1" applyAlignment="1">
      <alignment horizontal="center" vertical="center" wrapText="1"/>
    </xf>
    <xf numFmtId="0" fontId="46" fillId="2" borderId="397" xfId="0" applyFont="1" applyFill="1" applyBorder="1" applyAlignment="1">
      <alignment horizontal="center" vertical="center" wrapText="1"/>
    </xf>
    <xf numFmtId="0" fontId="46" fillId="2" borderId="397" xfId="0" applyFont="1" applyFill="1" applyBorder="1" applyAlignment="1">
      <alignment horizontal="center" vertical="center"/>
    </xf>
    <xf numFmtId="0" fontId="54" fillId="8" borderId="113" xfId="0" applyFont="1" applyFill="1" applyBorder="1" applyAlignment="1">
      <alignment horizontal="left" vertical="center"/>
    </xf>
    <xf numFmtId="0" fontId="54" fillId="8" borderId="114" xfId="0" applyFont="1" applyFill="1" applyBorder="1" applyAlignment="1">
      <alignment horizontal="left" vertical="center"/>
    </xf>
    <xf numFmtId="0" fontId="54" fillId="8" borderId="323" xfId="0" applyFont="1" applyFill="1" applyBorder="1" applyAlignment="1">
      <alignment horizontal="center" vertical="center"/>
    </xf>
    <xf numFmtId="0" fontId="54" fillId="8" borderId="325" xfId="0" applyFont="1" applyFill="1" applyBorder="1" applyAlignment="1">
      <alignment horizontal="center" vertical="center"/>
    </xf>
    <xf numFmtId="180" fontId="46" fillId="5" borderId="397" xfId="1" quotePrefix="1" applyNumberFormat="1" applyFont="1" applyFill="1" applyBorder="1" applyAlignment="1">
      <alignment horizontal="center" vertical="center"/>
    </xf>
    <xf numFmtId="0" fontId="59" fillId="2" borderId="397" xfId="0" applyFont="1" applyFill="1" applyBorder="1" applyAlignment="1">
      <alignment horizontal="center" vertical="center" wrapText="1"/>
    </xf>
    <xf numFmtId="0" fontId="59" fillId="2" borderId="397" xfId="0" applyFont="1" applyFill="1" applyBorder="1" applyAlignment="1">
      <alignment horizontal="center" vertical="center"/>
    </xf>
    <xf numFmtId="180" fontId="56" fillId="0" borderId="397" xfId="1" applyNumberFormat="1" applyFont="1" applyFill="1" applyBorder="1" applyAlignment="1">
      <alignment horizontal="center" vertical="center"/>
    </xf>
    <xf numFmtId="0" fontId="45" fillId="5" borderId="373" xfId="0" applyFont="1" applyFill="1" applyBorder="1" applyAlignment="1">
      <alignment horizontal="center" vertical="center"/>
    </xf>
    <xf numFmtId="0" fontId="45" fillId="5" borderId="374" xfId="0" applyFont="1" applyFill="1" applyBorder="1" applyAlignment="1">
      <alignment horizontal="center" vertical="center"/>
    </xf>
    <xf numFmtId="0" fontId="45" fillId="5" borderId="375" xfId="0" applyFont="1" applyFill="1" applyBorder="1" applyAlignment="1">
      <alignment horizontal="center" vertical="center"/>
    </xf>
    <xf numFmtId="0" fontId="45" fillId="5" borderId="376" xfId="0" applyFont="1" applyFill="1" applyBorder="1" applyAlignment="1">
      <alignment horizontal="center" vertical="center"/>
    </xf>
    <xf numFmtId="0" fontId="45" fillId="5" borderId="377" xfId="0" applyFont="1" applyFill="1" applyBorder="1" applyAlignment="1">
      <alignment horizontal="center" vertical="center"/>
    </xf>
    <xf numFmtId="0" fontId="45" fillId="5" borderId="378" xfId="0" applyFont="1" applyFill="1" applyBorder="1" applyAlignment="1">
      <alignment horizontal="center" vertical="center"/>
    </xf>
    <xf numFmtId="185" fontId="46" fillId="5" borderId="397" xfId="1" applyNumberFormat="1" applyFont="1" applyFill="1" applyBorder="1" applyAlignment="1">
      <alignment vertical="center"/>
    </xf>
    <xf numFmtId="0" fontId="55" fillId="0" borderId="397" xfId="1" quotePrefix="1" applyNumberFormat="1" applyFont="1" applyBorder="1" applyAlignment="1">
      <alignment horizontal="left" vertical="center" wrapText="1"/>
    </xf>
    <xf numFmtId="0" fontId="48" fillId="5" borderId="397" xfId="1" applyNumberFormat="1" applyFont="1" applyFill="1" applyBorder="1" applyAlignment="1">
      <alignment horizontal="left" vertical="center"/>
    </xf>
    <xf numFmtId="0" fontId="45" fillId="5" borderId="379" xfId="0" applyFont="1" applyFill="1" applyBorder="1" applyAlignment="1">
      <alignment horizontal="center" vertical="center"/>
    </xf>
    <xf numFmtId="0" fontId="45" fillId="5" borderId="288" xfId="0" applyFont="1" applyFill="1" applyBorder="1" applyAlignment="1">
      <alignment horizontal="center" vertical="center"/>
    </xf>
    <xf numFmtId="0" fontId="45" fillId="5" borderId="296" xfId="0" applyFont="1" applyFill="1" applyBorder="1" applyAlignment="1">
      <alignment horizontal="center" vertical="center"/>
    </xf>
    <xf numFmtId="0" fontId="46" fillId="0" borderId="365" xfId="0" applyFont="1" applyBorder="1" applyAlignment="1">
      <alignment horizontal="center" vertical="center"/>
    </xf>
    <xf numFmtId="0" fontId="46" fillId="0" borderId="361" xfId="0" applyFont="1" applyBorder="1" applyAlignment="1">
      <alignment horizontal="center" vertical="center"/>
    </xf>
    <xf numFmtId="0" fontId="46" fillId="0" borderId="366" xfId="0" applyFont="1" applyBorder="1" applyAlignment="1">
      <alignment horizontal="center" vertical="center"/>
    </xf>
    <xf numFmtId="0" fontId="46" fillId="0" borderId="219" xfId="0" applyFont="1" applyBorder="1" applyAlignment="1">
      <alignment horizontal="center" vertical="center"/>
    </xf>
    <xf numFmtId="0" fontId="46" fillId="0" borderId="220" xfId="0" applyFont="1" applyBorder="1" applyAlignment="1">
      <alignment horizontal="center" vertical="center"/>
    </xf>
    <xf numFmtId="0" fontId="46" fillId="0" borderId="221" xfId="0" applyFont="1" applyBorder="1" applyAlignment="1">
      <alignment horizontal="center" vertical="center"/>
    </xf>
    <xf numFmtId="180" fontId="46" fillId="0" borderId="219" xfId="1" applyNumberFormat="1" applyFont="1" applyFill="1" applyBorder="1" applyAlignment="1">
      <alignment horizontal="center" vertical="center"/>
    </xf>
    <xf numFmtId="180" fontId="46" fillId="0" borderId="221" xfId="1" applyNumberFormat="1" applyFont="1" applyFill="1" applyBorder="1" applyAlignment="1">
      <alignment horizontal="center" vertical="center"/>
    </xf>
    <xf numFmtId="180" fontId="46" fillId="5" borderId="221" xfId="1" applyNumberFormat="1" applyFont="1" applyFill="1" applyBorder="1" applyAlignment="1">
      <alignment horizontal="center" vertical="center"/>
    </xf>
    <xf numFmtId="0" fontId="46" fillId="0" borderId="397" xfId="0" applyFont="1" applyBorder="1" applyAlignment="1">
      <alignment horizontal="center" vertical="center"/>
    </xf>
    <xf numFmtId="0" fontId="46" fillId="5" borderId="226" xfId="0" applyFont="1" applyFill="1" applyBorder="1" applyAlignment="1">
      <alignment horizontal="center" vertical="center"/>
    </xf>
    <xf numFmtId="0" fontId="46" fillId="5" borderId="218" xfId="0" applyFont="1" applyFill="1" applyBorder="1" applyAlignment="1">
      <alignment horizontal="center" vertical="center"/>
    </xf>
    <xf numFmtId="185" fontId="46" fillId="3" borderId="397" xfId="1" applyNumberFormat="1" applyFont="1" applyFill="1" applyBorder="1" applyAlignment="1">
      <alignment horizontal="right" vertical="center"/>
    </xf>
    <xf numFmtId="180" fontId="48" fillId="0" borderId="360" xfId="1" applyNumberFormat="1" applyFont="1" applyFill="1" applyBorder="1" applyAlignment="1">
      <alignment horizontal="center" vertical="center"/>
    </xf>
    <xf numFmtId="180" fontId="46" fillId="3" borderId="397" xfId="1" applyNumberFormat="1" applyFont="1" applyFill="1" applyBorder="1" applyAlignment="1">
      <alignment horizontal="center" vertical="center"/>
    </xf>
    <xf numFmtId="180" fontId="46" fillId="5" borderId="360" xfId="1" applyNumberFormat="1" applyFont="1" applyFill="1" applyBorder="1" applyAlignment="1">
      <alignment horizontal="center" vertical="center"/>
    </xf>
    <xf numFmtId="0" fontId="46" fillId="2" borderId="364" xfId="0" applyFont="1" applyFill="1" applyBorder="1" applyAlignment="1">
      <alignment horizontal="center" vertical="center"/>
    </xf>
    <xf numFmtId="0" fontId="46" fillId="2" borderId="369" xfId="0" applyFont="1" applyFill="1" applyBorder="1" applyAlignment="1">
      <alignment horizontal="center" vertical="center"/>
    </xf>
    <xf numFmtId="180" fontId="46" fillId="5" borderId="351" xfId="1" applyNumberFormat="1" applyFont="1" applyFill="1" applyBorder="1" applyAlignment="1">
      <alignment horizontal="left" vertical="center"/>
    </xf>
    <xf numFmtId="180" fontId="46" fillId="5" borderId="220" xfId="1" applyNumberFormat="1" applyFont="1" applyFill="1" applyBorder="1" applyAlignment="1">
      <alignment horizontal="left" vertical="center"/>
    </xf>
    <xf numFmtId="180" fontId="46" fillId="5" borderId="387" xfId="1" applyNumberFormat="1" applyFont="1" applyFill="1" applyBorder="1" applyAlignment="1">
      <alignment horizontal="left" vertical="center"/>
    </xf>
    <xf numFmtId="180" fontId="48" fillId="0" borderId="220" xfId="1" applyNumberFormat="1" applyFont="1" applyFill="1" applyBorder="1" applyAlignment="1">
      <alignment horizontal="left" vertical="center"/>
    </xf>
    <xf numFmtId="180" fontId="48" fillId="0" borderId="387" xfId="1" applyNumberFormat="1" applyFont="1" applyFill="1" applyBorder="1" applyAlignment="1">
      <alignment horizontal="left" vertical="center"/>
    </xf>
    <xf numFmtId="185" fontId="56" fillId="5" borderId="351" xfId="1" applyNumberFormat="1" applyFont="1" applyFill="1" applyBorder="1" applyAlignment="1">
      <alignment horizontal="right" vertical="center"/>
    </xf>
    <xf numFmtId="185" fontId="56" fillId="5" borderId="352" xfId="1" applyNumberFormat="1" applyFont="1" applyFill="1" applyBorder="1" applyAlignment="1">
      <alignment horizontal="right" vertical="center"/>
    </xf>
    <xf numFmtId="180" fontId="48" fillId="0" borderId="380" xfId="1" applyNumberFormat="1" applyFont="1" applyFill="1" applyBorder="1" applyAlignment="1">
      <alignment horizontal="center" vertical="center"/>
    </xf>
    <xf numFmtId="180" fontId="48" fillId="0" borderId="352" xfId="1" applyNumberFormat="1" applyFont="1" applyFill="1" applyBorder="1" applyAlignment="1">
      <alignment horizontal="center" vertical="center"/>
    </xf>
    <xf numFmtId="0" fontId="46" fillId="2" borderId="219" xfId="0" applyFont="1" applyFill="1" applyBorder="1" applyAlignment="1">
      <alignment horizontal="center" vertical="center"/>
    </xf>
    <xf numFmtId="0" fontId="48" fillId="0" borderId="384" xfId="1" quotePrefix="1" applyNumberFormat="1" applyFont="1" applyBorder="1" applyAlignment="1">
      <alignment horizontal="left" vertical="center" wrapText="1"/>
    </xf>
    <xf numFmtId="0" fontId="48" fillId="0" borderId="385" xfId="1" applyNumberFormat="1" applyFont="1" applyBorder="1" applyAlignment="1">
      <alignment horizontal="left" vertical="center"/>
    </xf>
    <xf numFmtId="0" fontId="48" fillId="0" borderId="386" xfId="1" applyNumberFormat="1" applyFont="1" applyBorder="1" applyAlignment="1">
      <alignment horizontal="left" vertical="center"/>
    </xf>
    <xf numFmtId="0" fontId="60" fillId="0" borderId="219" xfId="1" quotePrefix="1" applyNumberFormat="1" applyFont="1" applyBorder="1" applyAlignment="1">
      <alignment horizontal="left" vertical="center" wrapText="1"/>
    </xf>
    <xf numFmtId="0" fontId="60" fillId="0" borderId="220" xfId="1" applyNumberFormat="1" applyFont="1" applyBorder="1" applyAlignment="1">
      <alignment horizontal="left" vertical="center"/>
    </xf>
    <xf numFmtId="0" fontId="60" fillId="0" borderId="387" xfId="1" applyNumberFormat="1" applyFont="1" applyBorder="1" applyAlignment="1">
      <alignment horizontal="left" vertical="center"/>
    </xf>
    <xf numFmtId="185" fontId="56" fillId="0" borderId="389" xfId="1" applyNumberFormat="1" applyFont="1" applyBorder="1" applyAlignment="1">
      <alignment vertical="center"/>
    </xf>
    <xf numFmtId="0" fontId="46" fillId="2" borderId="370" xfId="0" applyFont="1" applyFill="1" applyBorder="1" applyAlignment="1">
      <alignment horizontal="center" vertical="center"/>
    </xf>
    <xf numFmtId="0" fontId="55" fillId="0" borderId="220" xfId="0" quotePrefix="1" applyFont="1" applyBorder="1" applyAlignment="1">
      <alignment horizontal="left" vertical="center"/>
    </xf>
    <xf numFmtId="0" fontId="55" fillId="0" borderId="387" xfId="0" quotePrefix="1" applyFont="1" applyBorder="1" applyAlignment="1">
      <alignment horizontal="left" vertical="center"/>
    </xf>
    <xf numFmtId="180" fontId="46" fillId="0" borderId="382" xfId="1" applyNumberFormat="1" applyFont="1" applyFill="1" applyBorder="1" applyAlignment="1">
      <alignment horizontal="center" vertical="center"/>
    </xf>
    <xf numFmtId="180" fontId="46" fillId="0" borderId="383" xfId="1" applyNumberFormat="1" applyFont="1" applyFill="1" applyBorder="1" applyAlignment="1">
      <alignment horizontal="center" vertical="center"/>
    </xf>
    <xf numFmtId="180" fontId="66" fillId="3" borderId="381" xfId="1" applyNumberFormat="1" applyFont="1" applyFill="1" applyBorder="1" applyAlignment="1">
      <alignment horizontal="left" vertical="top" wrapText="1"/>
    </xf>
    <xf numFmtId="180" fontId="66" fillId="3" borderId="220" xfId="1" applyNumberFormat="1" applyFont="1" applyFill="1" applyBorder="1" applyAlignment="1">
      <alignment horizontal="left" vertical="top" wrapText="1"/>
    </xf>
    <xf numFmtId="180" fontId="66" fillId="3" borderId="387" xfId="1" applyNumberFormat="1" applyFont="1" applyFill="1" applyBorder="1" applyAlignment="1">
      <alignment horizontal="left" vertical="top" wrapText="1"/>
    </xf>
    <xf numFmtId="0" fontId="64" fillId="0" borderId="219" xfId="1" quotePrefix="1" applyNumberFormat="1" applyFont="1" applyBorder="1" applyAlignment="1">
      <alignment horizontal="left" vertical="center" wrapText="1"/>
    </xf>
    <xf numFmtId="0" fontId="64" fillId="0" borderId="220" xfId="1" quotePrefix="1" applyNumberFormat="1" applyFont="1" applyBorder="1" applyAlignment="1">
      <alignment horizontal="left" vertical="center" wrapText="1"/>
    </xf>
    <xf numFmtId="0" fontId="64" fillId="0" borderId="387" xfId="1" quotePrefix="1" applyNumberFormat="1" applyFont="1" applyBorder="1" applyAlignment="1">
      <alignment horizontal="left" vertical="center" wrapText="1"/>
    </xf>
    <xf numFmtId="180" fontId="46" fillId="5" borderId="352" xfId="1" applyNumberFormat="1" applyFont="1" applyFill="1" applyBorder="1" applyAlignment="1">
      <alignment horizontal="center" vertical="center"/>
    </xf>
    <xf numFmtId="180" fontId="46" fillId="5" borderId="397" xfId="1" applyNumberFormat="1" applyFont="1" applyFill="1" applyBorder="1" applyAlignment="1">
      <alignment horizontal="center" vertical="center"/>
    </xf>
    <xf numFmtId="0" fontId="55" fillId="0" borderId="351" xfId="0" applyFont="1" applyBorder="1" applyAlignment="1">
      <alignment horizontal="left" vertical="center"/>
    </xf>
    <xf numFmtId="0" fontId="61" fillId="0" borderId="397" xfId="0" quotePrefix="1" applyFont="1" applyBorder="1" applyAlignment="1">
      <alignment horizontal="left" vertical="center"/>
    </xf>
    <xf numFmtId="49" fontId="83" fillId="3" borderId="397" xfId="1" applyNumberFormat="1" applyFont="1" applyFill="1" applyBorder="1" applyAlignment="1">
      <alignment horizontal="left" vertical="top" wrapText="1"/>
    </xf>
    <xf numFmtId="0" fontId="61" fillId="5" borderId="398" xfId="1" applyNumberFormat="1" applyFont="1" applyFill="1" applyBorder="1" applyAlignment="1">
      <alignment horizontal="center" vertical="center"/>
    </xf>
    <xf numFmtId="0" fontId="61" fillId="5" borderId="399" xfId="1" applyNumberFormat="1" applyFont="1" applyFill="1" applyBorder="1" applyAlignment="1">
      <alignment horizontal="center" vertical="center"/>
    </xf>
    <xf numFmtId="0" fontId="61" fillId="5" borderId="400" xfId="1" applyNumberFormat="1" applyFont="1" applyFill="1" applyBorder="1" applyAlignment="1">
      <alignment horizontal="center" vertical="center"/>
    </xf>
    <xf numFmtId="0" fontId="61" fillId="0" borderId="397" xfId="1" quotePrefix="1" applyNumberFormat="1" applyFont="1" applyBorder="1" applyAlignment="1">
      <alignment horizontal="left" vertical="center" wrapText="1"/>
    </xf>
    <xf numFmtId="0" fontId="61" fillId="0" borderId="397" xfId="0" quotePrefix="1" applyFont="1" applyBorder="1" applyAlignment="1">
      <alignment horizontal="left" vertical="center" wrapText="1"/>
    </xf>
    <xf numFmtId="0" fontId="40" fillId="0" borderId="231" xfId="0" applyFont="1" applyBorder="1" applyAlignment="1">
      <alignment horizontal="center" vertical="center"/>
    </xf>
    <xf numFmtId="180" fontId="46" fillId="3" borderId="352" xfId="1" applyNumberFormat="1" applyFont="1" applyFill="1" applyBorder="1" applyAlignment="1">
      <alignment horizontal="center" vertical="center"/>
    </xf>
    <xf numFmtId="0" fontId="46" fillId="3" borderId="397" xfId="0" applyFont="1" applyFill="1" applyBorder="1" applyAlignment="1">
      <alignment horizontal="center" vertical="center"/>
    </xf>
    <xf numFmtId="180" fontId="56" fillId="3" borderId="397" xfId="1" applyNumberFormat="1" applyFont="1" applyFill="1" applyBorder="1" applyAlignment="1">
      <alignment horizontal="center" vertical="center"/>
    </xf>
    <xf numFmtId="0" fontId="40" fillId="0" borderId="5" xfId="0" applyFont="1" applyBorder="1" applyAlignment="1">
      <alignment horizontal="center" vertical="center"/>
    </xf>
    <xf numFmtId="43" fontId="40" fillId="0" borderId="310" xfId="0" applyNumberFormat="1" applyFont="1" applyBorder="1" applyAlignment="1">
      <alignment horizontal="center" vertical="center"/>
    </xf>
    <xf numFmtId="43" fontId="40" fillId="0" borderId="103" xfId="0" applyNumberFormat="1" applyFont="1" applyBorder="1" applyAlignment="1">
      <alignment horizontal="center" vertical="center"/>
    </xf>
    <xf numFmtId="43" fontId="40" fillId="0" borderId="16" xfId="0" applyNumberFormat="1" applyFont="1" applyBorder="1" applyAlignment="1">
      <alignment horizontal="center" vertical="center"/>
    </xf>
    <xf numFmtId="0" fontId="40" fillId="0" borderId="310" xfId="0" applyFont="1" applyBorder="1" applyAlignment="1">
      <alignment horizontal="center" vertical="center"/>
    </xf>
    <xf numFmtId="0" fontId="40" fillId="0" borderId="103" xfId="0" applyFont="1" applyBorder="1" applyAlignment="1">
      <alignment horizontal="center" vertical="center"/>
    </xf>
    <xf numFmtId="0" fontId="40" fillId="0" borderId="16" xfId="0" applyFont="1" applyBorder="1" applyAlignment="1">
      <alignment horizontal="center" vertical="center"/>
    </xf>
    <xf numFmtId="0" fontId="50" fillId="2" borderId="29" xfId="0" applyFont="1" applyFill="1" applyBorder="1" applyAlignment="1">
      <alignment horizontal="center" vertical="center"/>
    </xf>
    <xf numFmtId="0" fontId="50" fillId="2" borderId="22" xfId="0" applyFont="1" applyFill="1" applyBorder="1" applyAlignment="1">
      <alignment horizontal="center" vertical="center"/>
    </xf>
    <xf numFmtId="0" fontId="50" fillId="2" borderId="104"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22" xfId="0" applyFont="1" applyFill="1" applyBorder="1" applyAlignment="1">
      <alignment horizontal="center" vertical="center"/>
    </xf>
    <xf numFmtId="0" fontId="50" fillId="3" borderId="104" xfId="0" applyFont="1" applyFill="1" applyBorder="1" applyAlignment="1">
      <alignment horizontal="center" vertical="center"/>
    </xf>
    <xf numFmtId="0" fontId="50" fillId="16" borderId="29" xfId="0" applyFont="1" applyFill="1" applyBorder="1" applyAlignment="1">
      <alignment horizontal="center" vertical="center"/>
    </xf>
    <xf numFmtId="0" fontId="50" fillId="16" borderId="22" xfId="0" applyFont="1" applyFill="1" applyBorder="1" applyAlignment="1">
      <alignment horizontal="center" vertical="center"/>
    </xf>
    <xf numFmtId="0" fontId="50" fillId="16" borderId="104" xfId="0" applyFont="1" applyFill="1" applyBorder="1" applyAlignment="1">
      <alignment horizontal="center" vertical="center"/>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0" fillId="8" borderId="118" xfId="0" applyFont="1" applyFill="1" applyBorder="1" applyAlignment="1">
      <alignment horizontal="left" vertical="center"/>
    </xf>
    <xf numFmtId="0" fontId="20"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0" fillId="8" borderId="142" xfId="0" applyFont="1" applyFill="1" applyBorder="1" applyAlignment="1">
      <alignment horizontal="center" vertical="center"/>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0" fillId="8" borderId="186" xfId="0" applyFont="1" applyFill="1" applyBorder="1" applyAlignment="1">
      <alignment horizontal="center" vertical="center"/>
    </xf>
    <xf numFmtId="0" fontId="20"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20" fillId="3" borderId="219" xfId="0" applyFont="1" applyFill="1" applyBorder="1" applyAlignment="1">
      <alignment horizontal="left" vertical="center"/>
    </xf>
    <xf numFmtId="0" fontId="20" fillId="3" borderId="220" xfId="0" applyFont="1" applyFill="1" applyBorder="1" applyAlignment="1">
      <alignment horizontal="left" vertical="center"/>
    </xf>
    <xf numFmtId="0" fontId="20" fillId="5" borderId="226" xfId="0" applyFont="1" applyFill="1" applyBorder="1" applyAlignment="1">
      <alignment horizontal="center" vertical="center"/>
    </xf>
    <xf numFmtId="0" fontId="20" fillId="5" borderId="218" xfId="0" applyFont="1" applyFill="1" applyBorder="1" applyAlignment="1">
      <alignment horizontal="center" vertical="center"/>
    </xf>
    <xf numFmtId="0" fontId="24" fillId="0" borderId="219" xfId="0" quotePrefix="1" applyFont="1" applyBorder="1" applyAlignment="1">
      <alignment horizontal="center" vertical="center"/>
    </xf>
    <xf numFmtId="0" fontId="24" fillId="0" borderId="221" xfId="0" applyFont="1" applyBorder="1" applyAlignment="1">
      <alignment horizontal="center" vertical="center"/>
    </xf>
    <xf numFmtId="0" fontId="24" fillId="0" borderId="219" xfId="0" applyFont="1" applyBorder="1" applyAlignment="1">
      <alignment horizontal="left" vertical="center" wrapText="1"/>
    </xf>
    <xf numFmtId="0" fontId="24" fillId="0" borderId="220" xfId="0" applyFont="1" applyBorder="1" applyAlignment="1">
      <alignment horizontal="left" vertical="center" wrapText="1"/>
    </xf>
    <xf numFmtId="0" fontId="24" fillId="0" borderId="221" xfId="0" applyFont="1" applyBorder="1" applyAlignment="1">
      <alignment horizontal="left" vertical="center" wrapText="1"/>
    </xf>
    <xf numFmtId="0" fontId="24" fillId="0" borderId="218" xfId="0" applyFont="1" applyBorder="1" applyAlignment="1">
      <alignment horizontal="center" vertical="center"/>
    </xf>
    <xf numFmtId="0" fontId="20" fillId="5" borderId="219" xfId="0" quotePrefix="1" applyFont="1" applyFill="1" applyBorder="1" applyAlignment="1">
      <alignment horizontal="center" vertical="center"/>
    </xf>
    <xf numFmtId="0" fontId="20" fillId="5" borderId="221" xfId="0" applyFont="1" applyFill="1" applyBorder="1" applyAlignment="1">
      <alignment horizontal="center" vertical="center"/>
    </xf>
    <xf numFmtId="0" fontId="20" fillId="5" borderId="219" xfId="0" applyFont="1" applyFill="1" applyBorder="1" applyAlignment="1">
      <alignment horizontal="left" vertical="center"/>
    </xf>
    <xf numFmtId="0" fontId="20" fillId="5" borderId="220" xfId="0" applyFont="1" applyFill="1" applyBorder="1" applyAlignment="1">
      <alignment horizontal="left" vertical="center"/>
    </xf>
    <xf numFmtId="0" fontId="20" fillId="5" borderId="110" xfId="0" applyFont="1" applyFill="1" applyBorder="1" applyAlignment="1">
      <alignment horizontal="center" vertical="center"/>
    </xf>
    <xf numFmtId="0" fontId="20" fillId="5" borderId="112" xfId="0" applyFont="1" applyFill="1" applyBorder="1" applyAlignment="1">
      <alignment horizontal="center" vertical="center"/>
    </xf>
    <xf numFmtId="0" fontId="20" fillId="5" borderId="111" xfId="0" applyFont="1" applyFill="1" applyBorder="1" applyAlignment="1">
      <alignment horizontal="center" vertical="center"/>
    </xf>
    <xf numFmtId="0" fontId="20" fillId="3" borderId="147" xfId="0" applyFont="1" applyFill="1" applyBorder="1" applyAlignment="1">
      <alignment horizontal="center" vertical="center"/>
    </xf>
    <xf numFmtId="0" fontId="20" fillId="3" borderId="143" xfId="0" applyFont="1" applyFill="1" applyBorder="1" applyAlignment="1">
      <alignment horizontal="center" vertical="center"/>
    </xf>
    <xf numFmtId="0" fontId="20" fillId="3" borderId="144" xfId="0" applyFont="1" applyFill="1" applyBorder="1" applyAlignment="1">
      <alignment horizontal="center" vertical="center"/>
    </xf>
    <xf numFmtId="180" fontId="20" fillId="3" borderId="120" xfId="45" applyNumberFormat="1" applyFont="1" applyFill="1" applyBorder="1" applyAlignment="1">
      <alignment horizontal="center" vertical="center"/>
    </xf>
    <xf numFmtId="0" fontId="20" fillId="2" borderId="120" xfId="0" applyFont="1" applyFill="1" applyBorder="1" applyAlignment="1">
      <alignment horizontal="center" vertical="center"/>
    </xf>
    <xf numFmtId="0" fontId="20" fillId="2" borderId="279" xfId="0" applyFont="1" applyFill="1" applyBorder="1" applyAlignment="1">
      <alignment horizontal="center" vertical="center"/>
    </xf>
    <xf numFmtId="0" fontId="20" fillId="2" borderId="280" xfId="0" applyFont="1" applyFill="1" applyBorder="1" applyAlignment="1">
      <alignment horizontal="center" vertical="center"/>
    </xf>
    <xf numFmtId="0" fontId="20" fillId="2" borderId="281" xfId="0" applyFont="1" applyFill="1" applyBorder="1" applyAlignment="1">
      <alignment horizontal="center" vertical="center"/>
    </xf>
    <xf numFmtId="0" fontId="20" fillId="3" borderId="279" xfId="0" applyFont="1" applyFill="1" applyBorder="1" applyAlignment="1">
      <alignment horizontal="center" vertical="center"/>
    </xf>
    <xf numFmtId="0" fontId="20" fillId="3" borderId="280" xfId="0" applyFont="1" applyFill="1" applyBorder="1" applyAlignment="1">
      <alignment horizontal="center" vertical="center"/>
    </xf>
    <xf numFmtId="0" fontId="20" fillId="3" borderId="281" xfId="0" applyFont="1" applyFill="1" applyBorder="1" applyAlignment="1">
      <alignment horizontal="center" vertical="center"/>
    </xf>
    <xf numFmtId="0" fontId="20" fillId="2" borderId="218" xfId="0" applyFont="1" applyFill="1" applyBorder="1" applyAlignment="1">
      <alignment horizontal="center" vertical="center"/>
    </xf>
    <xf numFmtId="0" fontId="20" fillId="2" borderId="219" xfId="0" applyFont="1" applyFill="1" applyBorder="1" applyAlignment="1">
      <alignment horizontal="center" vertical="center"/>
    </xf>
    <xf numFmtId="0" fontId="20" fillId="2" borderId="221" xfId="0" applyFont="1" applyFill="1" applyBorder="1" applyAlignment="1">
      <alignment horizontal="center" vertical="center"/>
    </xf>
    <xf numFmtId="0" fontId="20" fillId="2" borderId="229" xfId="0" applyFont="1" applyFill="1" applyBorder="1" applyAlignment="1">
      <alignment horizontal="center" vertical="center"/>
    </xf>
    <xf numFmtId="0" fontId="20" fillId="2" borderId="231" xfId="0" applyFont="1" applyFill="1" applyBorder="1" applyAlignment="1">
      <alignment horizontal="center" vertical="center"/>
    </xf>
    <xf numFmtId="0" fontId="20" fillId="2" borderId="230" xfId="0" applyFont="1" applyFill="1" applyBorder="1" applyAlignment="1">
      <alignment horizontal="center" vertical="center"/>
    </xf>
    <xf numFmtId="0" fontId="24" fillId="0" borderId="279" xfId="0" applyFont="1" applyBorder="1" applyAlignment="1">
      <alignment horizontal="left" vertical="center" wrapText="1"/>
    </xf>
    <xf numFmtId="0" fontId="24" fillId="0" borderId="280" xfId="0" applyFont="1" applyBorder="1" applyAlignment="1">
      <alignment horizontal="left" vertical="center" wrapText="1"/>
    </xf>
    <xf numFmtId="0" fontId="24" fillId="0" borderId="281" xfId="0" applyFont="1" applyBorder="1" applyAlignment="1">
      <alignment horizontal="left" vertical="center" wrapText="1"/>
    </xf>
    <xf numFmtId="0" fontId="24" fillId="0" borderId="120" xfId="0" applyFont="1" applyBorder="1" applyAlignment="1">
      <alignment horizontal="center" vertical="center"/>
    </xf>
    <xf numFmtId="180" fontId="24" fillId="0" borderId="120" xfId="45" applyNumberFormat="1" applyFont="1" applyBorder="1" applyAlignment="1">
      <alignment horizontal="center" vertical="center"/>
    </xf>
    <xf numFmtId="0" fontId="20" fillId="5" borderId="228" xfId="0" applyFont="1" applyFill="1" applyBorder="1" applyAlignment="1">
      <alignment horizontal="center" vertical="center"/>
    </xf>
    <xf numFmtId="0" fontId="20" fillId="5" borderId="227" xfId="0" applyFont="1" applyFill="1" applyBorder="1" applyAlignment="1">
      <alignment horizontal="center" vertical="center"/>
    </xf>
    <xf numFmtId="0" fontId="20" fillId="3" borderId="120" xfId="0" applyFont="1" applyFill="1" applyBorder="1" applyAlignment="1">
      <alignment horizontal="center" vertical="center"/>
    </xf>
    <xf numFmtId="0" fontId="24" fillId="0" borderId="219" xfId="0" applyFont="1" applyBorder="1" applyAlignment="1">
      <alignment horizontal="left" vertical="center"/>
    </xf>
    <xf numFmtId="0" fontId="24" fillId="0" borderId="220" xfId="0" applyFont="1" applyBorder="1" applyAlignment="1">
      <alignment horizontal="left" vertical="center"/>
    </xf>
    <xf numFmtId="0" fontId="20" fillId="3" borderId="219" xfId="0" applyFont="1" applyFill="1" applyBorder="1" applyAlignment="1">
      <alignment horizontal="center" vertical="center"/>
    </xf>
    <xf numFmtId="0" fontId="20" fillId="3" borderId="220" xfId="0" applyFont="1" applyFill="1" applyBorder="1" applyAlignment="1">
      <alignment horizontal="center" vertical="center"/>
    </xf>
    <xf numFmtId="0" fontId="20" fillId="3" borderId="221" xfId="0" applyFont="1" applyFill="1" applyBorder="1" applyAlignment="1">
      <alignment horizontal="center" vertical="center"/>
    </xf>
    <xf numFmtId="0" fontId="20" fillId="3" borderId="219" xfId="0" quotePrefix="1" applyFont="1" applyFill="1" applyBorder="1" applyAlignment="1">
      <alignment horizontal="center" vertical="center"/>
    </xf>
    <xf numFmtId="0" fontId="33" fillId="2" borderId="0" xfId="0" applyFont="1" applyFill="1" applyAlignment="1">
      <alignment horizontal="center" vertical="center"/>
    </xf>
    <xf numFmtId="0" fontId="19" fillId="5" borderId="105" xfId="0" applyFont="1" applyFill="1" applyBorder="1" applyAlignment="1">
      <alignment horizontal="center" vertical="center"/>
    </xf>
    <xf numFmtId="0" fontId="19" fillId="5" borderId="106" xfId="0" applyFont="1" applyFill="1" applyBorder="1" applyAlignment="1">
      <alignment horizontal="center" vertical="center"/>
    </xf>
    <xf numFmtId="0" fontId="19" fillId="5" borderId="107" xfId="0" applyFont="1" applyFill="1" applyBorder="1" applyAlignment="1">
      <alignment horizontal="center" vertical="center"/>
    </xf>
    <xf numFmtId="0" fontId="19" fillId="5" borderId="113" xfId="0" applyFont="1" applyFill="1" applyBorder="1" applyAlignment="1">
      <alignment horizontal="center" vertical="center"/>
    </xf>
    <xf numFmtId="0" fontId="19" fillId="5" borderId="0" xfId="0" applyFont="1" applyFill="1" applyAlignment="1">
      <alignment horizontal="center" vertical="center"/>
    </xf>
    <xf numFmtId="0" fontId="19" fillId="5" borderId="114" xfId="0" applyFont="1" applyFill="1" applyBorder="1" applyAlignment="1">
      <alignment horizontal="center" vertical="center"/>
    </xf>
    <xf numFmtId="0" fontId="19" fillId="5" borderId="126" xfId="0" applyFont="1" applyFill="1" applyBorder="1" applyAlignment="1">
      <alignment horizontal="center" vertical="center"/>
    </xf>
    <xf numFmtId="0" fontId="19" fillId="5" borderId="127" xfId="0" applyFont="1" applyFill="1" applyBorder="1" applyAlignment="1">
      <alignment horizontal="center" vertical="center"/>
    </xf>
    <xf numFmtId="0" fontId="19" fillId="5" borderId="128" xfId="0" applyFont="1" applyFill="1" applyBorder="1" applyAlignment="1">
      <alignment horizontal="center" vertical="center"/>
    </xf>
    <xf numFmtId="0" fontId="19" fillId="5" borderId="108" xfId="0" applyFont="1" applyFill="1" applyBorder="1" applyAlignment="1">
      <alignment horizontal="center" vertical="center" wrapText="1"/>
    </xf>
    <xf numFmtId="0" fontId="19" fillId="5" borderId="115" xfId="0" applyFont="1" applyFill="1" applyBorder="1" applyAlignment="1">
      <alignment horizontal="center" vertical="center" wrapText="1"/>
    </xf>
    <xf numFmtId="0" fontId="19" fillId="5" borderId="129" xfId="0" applyFont="1" applyFill="1" applyBorder="1" applyAlignment="1">
      <alignment horizontal="center" vertical="center" wrapText="1"/>
    </xf>
    <xf numFmtId="0" fontId="19" fillId="5" borderId="109" xfId="0" applyFont="1" applyFill="1" applyBorder="1" applyAlignment="1">
      <alignment horizontal="center" vertical="center" wrapText="1"/>
    </xf>
    <xf numFmtId="0" fontId="19" fillId="5" borderId="116" xfId="0" applyFont="1" applyFill="1" applyBorder="1" applyAlignment="1">
      <alignment horizontal="center" vertical="center" wrapText="1"/>
    </xf>
    <xf numFmtId="0" fontId="19" fillId="5" borderId="130" xfId="0" applyFont="1" applyFill="1" applyBorder="1" applyAlignment="1">
      <alignment horizontal="center" vertical="center" wrapText="1"/>
    </xf>
    <xf numFmtId="0" fontId="19" fillId="5" borderId="110" xfId="0" applyFont="1" applyFill="1" applyBorder="1" applyAlignment="1">
      <alignment horizontal="center" vertical="center" wrapText="1"/>
    </xf>
    <xf numFmtId="0" fontId="19" fillId="5" borderId="106" xfId="0" applyFont="1" applyFill="1" applyBorder="1" applyAlignment="1">
      <alignment horizontal="center" vertical="center" wrapText="1"/>
    </xf>
    <xf numFmtId="0" fontId="19" fillId="5" borderId="112" xfId="0" applyFont="1" applyFill="1" applyBorder="1" applyAlignment="1">
      <alignment horizontal="center" vertical="center" wrapText="1"/>
    </xf>
    <xf numFmtId="0" fontId="19" fillId="8" borderId="232" xfId="0" applyFont="1" applyFill="1" applyBorder="1" applyAlignment="1">
      <alignment horizontal="center" vertical="center"/>
    </xf>
    <xf numFmtId="0" fontId="19" fillId="8" borderId="233" xfId="0" applyFont="1" applyFill="1" applyBorder="1" applyAlignment="1">
      <alignment horizontal="center" vertical="center"/>
    </xf>
    <xf numFmtId="0" fontId="19" fillId="8" borderId="234" xfId="0" applyFont="1" applyFill="1" applyBorder="1" applyAlignment="1">
      <alignment horizontal="center" vertical="center"/>
    </xf>
    <xf numFmtId="0" fontId="19" fillId="5" borderId="112" xfId="0" applyFont="1" applyFill="1" applyBorder="1" applyAlignment="1">
      <alignment horizontal="center" vertical="center"/>
    </xf>
    <xf numFmtId="0" fontId="19" fillId="5" borderId="111" xfId="0" applyFont="1" applyFill="1" applyBorder="1" applyAlignment="1">
      <alignment horizontal="center" vertical="center"/>
    </xf>
    <xf numFmtId="0" fontId="19" fillId="5" borderId="222" xfId="0" applyFont="1" applyFill="1" applyBorder="1" applyAlignment="1">
      <alignment horizontal="center" vertical="center" wrapText="1"/>
    </xf>
    <xf numFmtId="0" fontId="19" fillId="5" borderId="223" xfId="0" applyFont="1" applyFill="1" applyBorder="1" applyAlignment="1">
      <alignment horizontal="center" vertical="center" wrapText="1"/>
    </xf>
    <xf numFmtId="0" fontId="19" fillId="5" borderId="224" xfId="0" applyFont="1" applyFill="1" applyBorder="1" applyAlignment="1">
      <alignment horizontal="center" vertical="center" wrapText="1"/>
    </xf>
    <xf numFmtId="0" fontId="19" fillId="5" borderId="113" xfId="0" applyFont="1" applyFill="1" applyBorder="1" applyAlignment="1">
      <alignment horizontal="center" vertical="center" wrapText="1"/>
    </xf>
    <xf numFmtId="0" fontId="19" fillId="5" borderId="131" xfId="0" applyFont="1" applyFill="1" applyBorder="1" applyAlignment="1">
      <alignment horizontal="center" vertical="center" wrapText="1"/>
    </xf>
    <xf numFmtId="0" fontId="19" fillId="5" borderId="125" xfId="0" applyFont="1" applyFill="1" applyBorder="1" applyAlignment="1">
      <alignment horizontal="center" vertical="center" wrapText="1"/>
    </xf>
    <xf numFmtId="0" fontId="19" fillId="5" borderId="141" xfId="0" applyFont="1" applyFill="1" applyBorder="1" applyAlignment="1">
      <alignment horizontal="center" vertical="center" wrapText="1"/>
    </xf>
    <xf numFmtId="0" fontId="19" fillId="5" borderId="114" xfId="0" applyFont="1" applyFill="1" applyBorder="1" applyAlignment="1">
      <alignment horizontal="center" vertical="center" wrapText="1"/>
    </xf>
    <xf numFmtId="0" fontId="19" fillId="5" borderId="133" xfId="0" applyFont="1" applyFill="1" applyBorder="1" applyAlignment="1">
      <alignment horizontal="center" vertical="center" wrapText="1"/>
    </xf>
    <xf numFmtId="0" fontId="19" fillId="5" borderId="235" xfId="0" applyFont="1" applyFill="1" applyBorder="1" applyAlignment="1">
      <alignment horizontal="center" vertical="center"/>
    </xf>
    <xf numFmtId="0" fontId="19" fillId="5" borderId="233" xfId="0" applyFont="1" applyFill="1" applyBorder="1" applyAlignment="1">
      <alignment horizontal="center" vertical="center"/>
    </xf>
    <xf numFmtId="0" fontId="19" fillId="5" borderId="236" xfId="0" applyFont="1" applyFill="1" applyBorder="1" applyAlignment="1">
      <alignment horizontal="center" vertical="center"/>
    </xf>
    <xf numFmtId="0" fontId="19" fillId="5" borderId="123" xfId="0" applyFont="1" applyFill="1" applyBorder="1" applyAlignment="1">
      <alignment horizontal="center" vertical="center" wrapText="1"/>
    </xf>
    <xf numFmtId="0" fontId="19" fillId="5" borderId="139" xfId="0" applyFont="1" applyFill="1" applyBorder="1" applyAlignment="1">
      <alignment horizontal="center" vertical="center" wrapText="1"/>
    </xf>
    <xf numFmtId="0" fontId="19" fillId="5" borderId="124" xfId="0" applyFont="1" applyFill="1" applyBorder="1" applyAlignment="1">
      <alignment horizontal="center" vertical="center" wrapText="1"/>
    </xf>
    <xf numFmtId="0" fontId="19" fillId="5" borderId="140" xfId="0" applyFont="1" applyFill="1" applyBorder="1" applyAlignment="1">
      <alignment horizontal="center" vertical="center" wrapText="1"/>
    </xf>
    <xf numFmtId="0" fontId="19" fillId="5" borderId="117" xfId="0" applyFont="1" applyFill="1" applyBorder="1" applyAlignment="1">
      <alignment horizontal="center" vertical="center" wrapText="1"/>
    </xf>
    <xf numFmtId="0" fontId="19" fillId="5" borderId="132" xfId="0" applyFont="1" applyFill="1" applyBorder="1" applyAlignment="1">
      <alignment horizontal="center" vertical="center" wrapText="1"/>
    </xf>
    <xf numFmtId="0" fontId="19" fillId="5" borderId="238" xfId="0" applyFont="1" applyFill="1" applyBorder="1" applyAlignment="1">
      <alignment horizontal="center" vertical="center" wrapText="1"/>
    </xf>
    <xf numFmtId="0" fontId="19" fillId="5" borderId="240" xfId="0" applyFont="1" applyFill="1" applyBorder="1" applyAlignment="1">
      <alignment horizontal="center" vertical="center" wrapText="1"/>
    </xf>
    <xf numFmtId="0" fontId="19" fillId="8" borderId="119" xfId="0" applyFont="1" applyFill="1" applyBorder="1" applyAlignment="1">
      <alignment horizontal="center" vertical="center" wrapText="1"/>
    </xf>
    <xf numFmtId="0" fontId="19" fillId="8" borderId="120" xfId="0" applyFont="1" applyFill="1" applyBorder="1" applyAlignment="1">
      <alignment horizontal="center" vertical="center" wrapText="1"/>
    </xf>
    <xf numFmtId="0" fontId="19" fillId="8" borderId="121" xfId="0" applyFont="1" applyFill="1" applyBorder="1" applyAlignment="1">
      <alignment horizontal="center" vertical="center" wrapText="1"/>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0" fillId="5" borderId="105" xfId="0" applyFont="1" applyFill="1" applyBorder="1" applyAlignment="1">
      <alignment horizontal="center" vertical="center"/>
    </xf>
    <xf numFmtId="0" fontId="20" fillId="5" borderId="106" xfId="0" applyFont="1" applyFill="1" applyBorder="1" applyAlignment="1">
      <alignment horizontal="center" vertical="center"/>
    </xf>
    <xf numFmtId="0" fontId="20" fillId="5" borderId="107" xfId="0" applyFont="1" applyFill="1" applyBorder="1" applyAlignment="1">
      <alignment horizontal="center" vertical="center"/>
    </xf>
    <xf numFmtId="0" fontId="20" fillId="5" borderId="113" xfId="0" applyFont="1" applyFill="1" applyBorder="1" applyAlignment="1">
      <alignment horizontal="center" vertical="center"/>
    </xf>
    <xf numFmtId="0" fontId="20" fillId="5" borderId="0" xfId="0" applyFont="1" applyFill="1" applyAlignment="1">
      <alignment horizontal="center" vertical="center"/>
    </xf>
    <xf numFmtId="0" fontId="20" fillId="5" borderId="114" xfId="0" applyFont="1" applyFill="1" applyBorder="1" applyAlignment="1">
      <alignment horizontal="center" vertical="center"/>
    </xf>
    <xf numFmtId="0" fontId="20" fillId="5" borderId="126" xfId="0" applyFont="1" applyFill="1" applyBorder="1" applyAlignment="1">
      <alignment horizontal="center" vertical="center"/>
    </xf>
    <xf numFmtId="0" fontId="20" fillId="5" borderId="127" xfId="0" applyFont="1" applyFill="1" applyBorder="1" applyAlignment="1">
      <alignment horizontal="center" vertical="center"/>
    </xf>
    <xf numFmtId="0" fontId="20" fillId="5" borderId="128" xfId="0" applyFont="1" applyFill="1" applyBorder="1" applyAlignment="1">
      <alignment horizontal="center" vertical="center"/>
    </xf>
    <xf numFmtId="0" fontId="24" fillId="0" borderId="219" xfId="0" applyFont="1" applyBorder="1" applyAlignment="1">
      <alignment horizontal="center" vertical="center"/>
    </xf>
    <xf numFmtId="0" fontId="24" fillId="0" borderId="221" xfId="0" quotePrefix="1" applyFont="1" applyBorder="1" applyAlignment="1">
      <alignment horizontal="center" vertical="center"/>
    </xf>
    <xf numFmtId="0" fontId="20" fillId="5" borderId="277" xfId="0" applyFont="1" applyFill="1" applyBorder="1" applyAlignment="1">
      <alignment horizontal="center" vertical="center"/>
    </xf>
    <xf numFmtId="0" fontId="20" fillId="5" borderId="278" xfId="0" applyFont="1" applyFill="1" applyBorder="1" applyAlignment="1">
      <alignment horizontal="center" vertical="center"/>
    </xf>
    <xf numFmtId="0" fontId="24" fillId="0" borderId="219" xfId="0" applyFont="1" applyBorder="1" applyAlignment="1">
      <alignment horizontal="left" vertical="top" wrapText="1"/>
    </xf>
    <xf numFmtId="0" fontId="24" fillId="0" borderId="220" xfId="0" applyFont="1" applyBorder="1" applyAlignment="1">
      <alignment horizontal="left" vertical="top"/>
    </xf>
    <xf numFmtId="0" fontId="24" fillId="0" borderId="221" xfId="0" applyFont="1" applyBorder="1" applyAlignment="1">
      <alignment horizontal="left" vertical="top"/>
    </xf>
    <xf numFmtId="0" fontId="20" fillId="5" borderId="221" xfId="0" quotePrefix="1" applyFont="1" applyFill="1" applyBorder="1" applyAlignment="1">
      <alignment horizontal="center" vertical="center"/>
    </xf>
    <xf numFmtId="0" fontId="20" fillId="11" borderId="219" xfId="0" quotePrefix="1" applyFont="1" applyFill="1" applyBorder="1" applyAlignment="1">
      <alignment horizontal="center" vertical="center"/>
    </xf>
    <xf numFmtId="0" fontId="20" fillId="11" borderId="221" xfId="0" quotePrefix="1" applyFont="1" applyFill="1" applyBorder="1" applyAlignment="1">
      <alignment horizontal="center" vertical="center"/>
    </xf>
    <xf numFmtId="0" fontId="19" fillId="3" borderId="143" xfId="0" applyFont="1" applyFill="1" applyBorder="1" applyAlignment="1">
      <alignment horizontal="left" vertical="center"/>
    </xf>
    <xf numFmtId="0" fontId="19" fillId="3" borderId="144" xfId="0" applyFont="1" applyFill="1" applyBorder="1" applyAlignment="1">
      <alignment horizontal="left" vertical="center"/>
    </xf>
    <xf numFmtId="0" fontId="19" fillId="5" borderId="122" xfId="0" applyFont="1" applyFill="1" applyBorder="1" applyAlignment="1">
      <alignment horizontal="center" vertical="center" wrapText="1"/>
    </xf>
    <xf numFmtId="0" fontId="19" fillId="5" borderId="138" xfId="0" applyFont="1" applyFill="1" applyBorder="1" applyAlignment="1">
      <alignment horizontal="center" vertical="center" wrapText="1"/>
    </xf>
    <xf numFmtId="0" fontId="19" fillId="8" borderId="237"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134" xfId="0" applyFont="1" applyFill="1" applyBorder="1" applyAlignment="1">
      <alignment horizontal="center" vertical="center" wrapText="1"/>
    </xf>
    <xf numFmtId="0" fontId="19" fillId="8" borderId="118" xfId="0" applyFont="1" applyFill="1" applyBorder="1" applyAlignment="1">
      <alignment horizontal="left" vertical="center"/>
    </xf>
    <xf numFmtId="0" fontId="19" fillId="8" borderId="153" xfId="0" applyFont="1" applyFill="1" applyBorder="1" applyAlignment="1">
      <alignment horizontal="left" vertical="center"/>
    </xf>
    <xf numFmtId="0" fontId="3" fillId="8" borderId="142" xfId="0" applyFont="1" applyFill="1" applyBorder="1" applyAlignment="1">
      <alignment horizontal="center" vertical="center"/>
    </xf>
    <xf numFmtId="0" fontId="3" fillId="8" borderId="186" xfId="0" applyFont="1" applyFill="1" applyBorder="1" applyAlignment="1">
      <alignment horizontal="center" vertical="center"/>
    </xf>
    <xf numFmtId="0" fontId="3" fillId="8" borderId="210" xfId="0" applyFont="1" applyFill="1" applyBorder="1" applyAlignment="1">
      <alignment horizontal="center" vertical="center"/>
    </xf>
    <xf numFmtId="0" fontId="20" fillId="3" borderId="216" xfId="0" applyFont="1" applyFill="1" applyBorder="1" applyAlignment="1">
      <alignment horizontal="center" vertical="center"/>
    </xf>
    <xf numFmtId="0" fontId="20" fillId="3" borderId="217" xfId="0" applyFont="1" applyFill="1" applyBorder="1" applyAlignment="1">
      <alignment horizontal="center" vertical="center"/>
    </xf>
    <xf numFmtId="0" fontId="20" fillId="3" borderId="106" xfId="0" applyFont="1" applyFill="1" applyBorder="1" applyAlignment="1">
      <alignment horizontal="center" vertical="center"/>
    </xf>
    <xf numFmtId="0" fontId="20" fillId="3" borderId="107" xfId="0" applyFont="1" applyFill="1" applyBorder="1" applyAlignment="1">
      <alignment horizontal="center" vertical="center"/>
    </xf>
    <xf numFmtId="0" fontId="20" fillId="3" borderId="105" xfId="0" applyFont="1" applyFill="1" applyBorder="1" applyAlignment="1">
      <alignment horizontal="center" vertical="center"/>
    </xf>
    <xf numFmtId="0" fontId="20" fillId="5" borderId="264" xfId="0" applyFont="1" applyFill="1" applyBorder="1" applyAlignment="1">
      <alignment horizontal="center" vertical="center"/>
    </xf>
    <xf numFmtId="0" fontId="20" fillId="3" borderId="265" xfId="0" applyFont="1" applyFill="1" applyBorder="1" applyAlignment="1">
      <alignment horizontal="center" vertical="center"/>
    </xf>
    <xf numFmtId="0" fontId="24" fillId="0" borderId="219" xfId="0" quotePrefix="1" applyFont="1" applyBorder="1" applyAlignment="1">
      <alignment horizontal="left" vertical="center"/>
    </xf>
    <xf numFmtId="0" fontId="24" fillId="0" borderId="220" xfId="0" quotePrefix="1" applyFont="1" applyBorder="1" applyAlignment="1">
      <alignment horizontal="left" vertical="center"/>
    </xf>
    <xf numFmtId="0" fontId="24" fillId="0" borderId="221" xfId="0" quotePrefix="1" applyFont="1" applyBorder="1" applyAlignment="1">
      <alignment horizontal="left" vertical="center"/>
    </xf>
    <xf numFmtId="0" fontId="24" fillId="0" borderId="219" xfId="0" quotePrefix="1" applyFont="1" applyBorder="1" applyAlignment="1">
      <alignment horizontal="left" vertical="center" wrapText="1"/>
    </xf>
    <xf numFmtId="0" fontId="24" fillId="0" borderId="220" xfId="0" applyFont="1" applyBorder="1" applyAlignment="1">
      <alignment horizontal="center" vertical="center"/>
    </xf>
    <xf numFmtId="0" fontId="20" fillId="2" borderId="220" xfId="0" applyFont="1" applyFill="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1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14"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2" borderId="35" xfId="0" applyFont="1" applyFill="1" applyBorder="1" applyAlignment="1">
      <alignment horizontal="center" vertical="center"/>
    </xf>
    <xf numFmtId="0" fontId="3" fillId="2" borderId="314"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312" xfId="0" applyFont="1" applyFill="1" applyBorder="1" applyAlignment="1">
      <alignment horizontal="center" vertical="center"/>
    </xf>
    <xf numFmtId="0" fontId="17" fillId="8" borderId="5" xfId="0" applyFont="1" applyFill="1" applyBorder="1" applyAlignment="1">
      <alignment horizontal="center" vertical="center" wrapText="1"/>
    </xf>
    <xf numFmtId="0" fontId="17" fillId="8" borderId="5" xfId="0" applyFont="1" applyFill="1" applyBorder="1" applyAlignment="1">
      <alignment horizontal="center"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310"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90" xfId="0" applyFont="1" applyFill="1" applyBorder="1" applyAlignment="1">
      <alignment horizontal="center" vertical="center"/>
    </xf>
    <xf numFmtId="0" fontId="3" fillId="2" borderId="29" xfId="0" applyFont="1" applyFill="1" applyBorder="1" applyAlignment="1">
      <alignment horizontal="center" vertical="center"/>
    </xf>
    <xf numFmtId="0" fontId="0" fillId="0" borderId="22" xfId="0" applyBorder="1" applyAlignment="1">
      <alignment horizontal="right" vertical="center"/>
    </xf>
  </cellXfs>
  <cellStyles count="122">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0 2 2" xfId="98" xr:uid="{2A8F8553-F0B3-47F6-98A8-658B80243BD8}"/>
    <cellStyle name="쉼표 [0] 10 3" xfId="73" xr:uid="{15206524-E66F-402D-95CF-A69B081C0AC4}"/>
    <cellStyle name="쉼표 [0] 11" xfId="3" xr:uid="{00000000-0005-0000-0000-000006000000}"/>
    <cellStyle name="쉼표 [0] 11 2" xfId="44" xr:uid="{6430F737-6890-4205-93E8-5BBEFD3CBA7A}"/>
    <cellStyle name="쉼표 [0] 11 2 2" xfId="97" xr:uid="{F3A87BB4-5EC7-4764-926C-EB8218A9DADC}"/>
    <cellStyle name="쉼표 [0] 11 3" xfId="72" xr:uid="{396F3F7B-ECAE-4FE1-8C20-4A102623F9F4}"/>
    <cellStyle name="쉼표 [0] 12" xfId="40" xr:uid="{00000000-0005-0000-0000-000007000000}"/>
    <cellStyle name="쉼표 [0] 12 2" xfId="65" xr:uid="{8A343959-84CD-4BA2-95C7-EF7A7706BBCC}"/>
    <cellStyle name="쉼표 [0] 12 2 2" xfId="118" xr:uid="{AC3994F9-8EB7-4525-91E1-871E29698DA9}"/>
    <cellStyle name="쉼표 [0] 12 3" xfId="93" xr:uid="{4561BBBC-974D-476A-8E55-7C95441A530A}"/>
    <cellStyle name="쉼표 [0] 13" xfId="41" xr:uid="{869FB8A9-AE35-4DB8-918F-B6FF75176D4C}"/>
    <cellStyle name="쉼표 [0] 13 2" xfId="66" xr:uid="{CF3A17A5-1443-4D6B-92C2-57BC92360CC3}"/>
    <cellStyle name="쉼표 [0] 13 2 2" xfId="119" xr:uid="{A6FCF412-2944-487C-9C66-1BF6340A9F80}"/>
    <cellStyle name="쉼표 [0] 13 3" xfId="94" xr:uid="{A0E7CA21-791D-47B5-A97D-4AF6E355B656}"/>
    <cellStyle name="쉼표 [0] 14" xfId="43" xr:uid="{70280B63-7D3B-44E2-AFA4-01B6A344C36A}"/>
    <cellStyle name="쉼표 [0] 14 2" xfId="96" xr:uid="{6FA6DF0E-0D25-4D04-A35E-6287BE3B6B6E}"/>
    <cellStyle name="쉼표 [0] 15" xfId="70" xr:uid="{123B93A4-F9E7-474D-B94D-1E546D697451}"/>
    <cellStyle name="쉼표 [0] 15 2" xfId="121" xr:uid="{378D36D8-9C99-4721-BFF9-EDF4799420AF}"/>
    <cellStyle name="쉼표 [0] 16" xfId="71" xr:uid="{77279D05-4CBF-4C4E-A0C5-8C3F6EE534CD}"/>
    <cellStyle name="쉼표 [0] 2" xfId="11" xr:uid="{00000000-0005-0000-0000-000008000000}"/>
    <cellStyle name="쉼표 [0] 2 15" xfId="42" xr:uid="{ACE3A937-7C57-4D05-B0DA-9F758B4E1AAB}"/>
    <cellStyle name="쉼표 [0] 2 15 2" xfId="67" xr:uid="{B6FDD70E-BD83-4126-9029-D100F62B4B0A}"/>
    <cellStyle name="쉼표 [0] 2 15 2 2" xfId="120" xr:uid="{CDA43837-13BE-453C-8E74-C6AB6197C04D}"/>
    <cellStyle name="쉼표 [0] 2 15 3" xfId="95" xr:uid="{4329A885-52B2-46A4-A85E-7AB71BB7182F}"/>
    <cellStyle name="쉼표 [0] 2 2" xfId="24" xr:uid="{00000000-0005-0000-0000-000009000000}"/>
    <cellStyle name="쉼표 [0] 2 2 2" xfId="54" xr:uid="{DF87829F-AA11-4DC5-9EE6-2D77B2CDE026}"/>
    <cellStyle name="쉼표 [0] 2 2 2 2" xfId="107" xr:uid="{D23E2188-DA8B-439C-A710-1D6EBAA922D5}"/>
    <cellStyle name="쉼표 [0] 2 2 3" xfId="82" xr:uid="{3BAFF53E-C933-4C92-BC9D-C62E89B417E0}"/>
    <cellStyle name="쉼표 [0] 2 3" xfId="13" xr:uid="{00000000-0005-0000-0000-00000A000000}"/>
    <cellStyle name="쉼표 [0] 2 3 2" xfId="26" xr:uid="{00000000-0005-0000-0000-00000B000000}"/>
    <cellStyle name="쉼표 [0] 2 3 2 2" xfId="56" xr:uid="{785201BB-0B5C-4CD8-894B-A8E179F330DE}"/>
    <cellStyle name="쉼표 [0] 2 3 2 2 2" xfId="109" xr:uid="{85100356-8C3B-427C-82A0-4DA9B557D7F9}"/>
    <cellStyle name="쉼표 [0] 2 3 2 3" xfId="84" xr:uid="{FD0BDCF9-EAF4-48E9-87C4-408E46EA7045}"/>
    <cellStyle name="쉼표 [0] 2 3 3" xfId="50" xr:uid="{BBEB3442-14E3-4310-973A-34C3E4E52927}"/>
    <cellStyle name="쉼표 [0] 2 3 3 2" xfId="103" xr:uid="{E2BA880C-3E44-4959-A74F-0EB4ADDB9A29}"/>
    <cellStyle name="쉼표 [0] 2 3 4" xfId="78" xr:uid="{B68FBCE5-8679-4F35-B709-CA47123C79B6}"/>
    <cellStyle name="쉼표 [0] 2 4" xfId="36" xr:uid="{00000000-0005-0000-0000-00000C000000}"/>
    <cellStyle name="쉼표 [0] 2 4 2" xfId="62" xr:uid="{AB3792A9-8B41-4D1D-ADF8-3FDE615C597F}"/>
    <cellStyle name="쉼표 [0] 2 4 2 2" xfId="115" xr:uid="{78167AF5-8C8E-4049-BF22-A998EBC0C8D0}"/>
    <cellStyle name="쉼표 [0] 2 4 3" xfId="90" xr:uid="{052539A3-C65E-4B4B-892C-B55FE9400E88}"/>
    <cellStyle name="쉼표 [0] 2 5" xfId="48" xr:uid="{B82474B8-8CC0-4F63-AFFB-EF807C14AA50}"/>
    <cellStyle name="쉼표 [0] 2 5 2" xfId="101" xr:uid="{AE9856D8-89A5-4A1C-9657-1B9E29DBE699}"/>
    <cellStyle name="쉼표 [0] 2 6" xfId="76" xr:uid="{DFEF0DDE-DB55-4C26-9FEF-E5BE60ADD152}"/>
    <cellStyle name="쉼표 [0] 3" xfId="21" xr:uid="{00000000-0005-0000-0000-00000D000000}"/>
    <cellStyle name="쉼표 [0] 3 2" xfId="27" xr:uid="{00000000-0005-0000-0000-00000E000000}"/>
    <cellStyle name="쉼표 [0] 3 2 2" xfId="57" xr:uid="{6BA62508-951C-4202-B5FF-53B5279DF8EE}"/>
    <cellStyle name="쉼표 [0] 3 2 2 2" xfId="110" xr:uid="{0E01AF82-091F-44F6-9933-165F989B27B4}"/>
    <cellStyle name="쉼표 [0] 3 2 3" xfId="85" xr:uid="{54E6D1C0-F98E-43E8-8E9E-F95CAFBC4B00}"/>
    <cellStyle name="쉼표 [0] 3 3" xfId="51" xr:uid="{68CCA096-454E-49A1-8B5A-876D731AE3F8}"/>
    <cellStyle name="쉼표 [0] 3 3 2" xfId="104" xr:uid="{F77C255C-7C32-4F00-B03E-C65EFC6C7A99}"/>
    <cellStyle name="쉼표 [0] 3 4" xfId="79" xr:uid="{FF382AF0-52C0-444D-B99A-AA3DAA37F83B}"/>
    <cellStyle name="쉼표 [0] 3 5" xfId="34" xr:uid="{00000000-0005-0000-0000-00000F000000}"/>
    <cellStyle name="쉼표 [0] 3 5 2" xfId="60" xr:uid="{40229E62-E35C-4804-A01B-997C32E434E6}"/>
    <cellStyle name="쉼표 [0] 3 5 2 2" xfId="113" xr:uid="{C7617D7C-E2FE-40BE-807F-01E047072BB0}"/>
    <cellStyle name="쉼표 [0] 3 5 3" xfId="88" xr:uid="{49ADA8FC-396B-486E-968F-7B9778FEA4A6}"/>
    <cellStyle name="쉼표 [0] 4" xfId="12" xr:uid="{00000000-0005-0000-0000-000010000000}"/>
    <cellStyle name="쉼표 [0] 4 2" xfId="25" xr:uid="{00000000-0005-0000-0000-000011000000}"/>
    <cellStyle name="쉼표 [0] 4 2 2" xfId="55" xr:uid="{F558C5CF-680D-4C81-9B10-C1ED8A381ACD}"/>
    <cellStyle name="쉼표 [0] 4 2 2 2" xfId="108" xr:uid="{76273B21-1E6F-423E-98F7-AD50A8CC3B53}"/>
    <cellStyle name="쉼표 [0] 4 2 3" xfId="83" xr:uid="{5A26D89B-BF15-4300-8A8A-84C9438ACD95}"/>
    <cellStyle name="쉼표 [0] 4 3" xfId="49" xr:uid="{B95021B6-C751-41D0-9A67-7EF11B326E0B}"/>
    <cellStyle name="쉼표 [0] 4 3 2" xfId="102" xr:uid="{6D7F5FAB-6A6E-4318-8922-3E8FD44490DB}"/>
    <cellStyle name="쉼표 [0] 4 4" xfId="77" xr:uid="{716FA04A-1CA2-4405-984E-585CE162F5D2}"/>
    <cellStyle name="쉼표 [0] 5" xfId="7" xr:uid="{00000000-0005-0000-0000-000012000000}"/>
    <cellStyle name="쉼표 [0] 5 2" xfId="23" xr:uid="{00000000-0005-0000-0000-000013000000}"/>
    <cellStyle name="쉼표 [0] 5 2 2" xfId="53" xr:uid="{CA68BD95-ECB5-44FA-8F25-ECA56F873660}"/>
    <cellStyle name="쉼표 [0] 5 2 2 2" xfId="106" xr:uid="{7B086431-28D5-4933-B7CF-697B0D952AE6}"/>
    <cellStyle name="쉼표 [0] 5 2 3" xfId="81" xr:uid="{275E0F82-CC97-4C54-832E-1EC61A3B94A7}"/>
    <cellStyle name="쉼표 [0] 5 3" xfId="47" xr:uid="{62C95CB1-C18C-4323-A354-2B99F854A262}"/>
    <cellStyle name="쉼표 [0] 5 3 2" xfId="100" xr:uid="{E9AAB878-50AF-4F4B-9434-FA2B2469EE1A}"/>
    <cellStyle name="쉼표 [0] 5 4" xfId="75" xr:uid="{F4390064-F3DE-4310-8DFE-4AA3D16B31B1}"/>
    <cellStyle name="쉼표 [0] 6" xfId="22" xr:uid="{00000000-0005-0000-0000-000014000000}"/>
    <cellStyle name="쉼표 [0] 6 2" xfId="52" xr:uid="{EF56D885-BF1D-4389-94C6-65CC39908588}"/>
    <cellStyle name="쉼표 [0] 6 2 2" xfId="105" xr:uid="{C31541CA-425A-4481-B62F-B942789DCBC8}"/>
    <cellStyle name="쉼표 [0] 6 3" xfId="80" xr:uid="{8EA95238-9AE4-4885-AA0B-43D5AAFF39AF}"/>
    <cellStyle name="쉼표 [0] 7" xfId="33" xr:uid="{00000000-0005-0000-0000-000015000000}"/>
    <cellStyle name="쉼표 [0] 7 2" xfId="30" xr:uid="{00000000-0005-0000-0000-000016000000}"/>
    <cellStyle name="쉼표 [0] 7 2 2" xfId="58" xr:uid="{71BE0423-21F3-4B43-A43E-1C93FB152463}"/>
    <cellStyle name="쉼표 [0] 7 2 2 2" xfId="111" xr:uid="{1F078175-1864-4BA7-8239-9573DD2E0846}"/>
    <cellStyle name="쉼표 [0] 7 2 3" xfId="86" xr:uid="{0CF54230-8F98-482A-ACC0-FA3C86BD21D1}"/>
    <cellStyle name="쉼표 [0] 7 3" xfId="59" xr:uid="{E9750A01-030F-48F1-B13E-549E06F4377F}"/>
    <cellStyle name="쉼표 [0] 7 3 2" xfId="112" xr:uid="{6B5CDF1B-1EA6-486D-AD1D-F3678FFCBC55}"/>
    <cellStyle name="쉼표 [0] 7 4" xfId="87" xr:uid="{AFA354BB-11AB-49A5-BCCB-3AEC5FEFC7C6}"/>
    <cellStyle name="쉼표 [0] 8" xfId="5" xr:uid="{00000000-0005-0000-0000-000017000000}"/>
    <cellStyle name="쉼표 [0] 8 2" xfId="46" xr:uid="{B18693CB-0198-4CD0-9ABA-764C1A5C0654}"/>
    <cellStyle name="쉼표 [0] 8 2 2" xfId="99" xr:uid="{C400FEC3-311B-4D81-AF7A-B601CC8A5CC7}"/>
    <cellStyle name="쉼표 [0] 8 3" xfId="74" xr:uid="{DBA1CB8A-6BC1-49B9-9DD3-7759D744490B}"/>
    <cellStyle name="쉼표 [0] 9" xfId="38" xr:uid="{00000000-0005-0000-0000-000018000000}"/>
    <cellStyle name="쉼표 [0] 9 2" xfId="63" xr:uid="{38D57509-2894-4117-9987-C49D1249C58F}"/>
    <cellStyle name="쉼표 [0] 9 2 2" xfId="116" xr:uid="{CE542841-B2BE-454F-BAAF-2EE62152F409}"/>
    <cellStyle name="쉼표 [0] 9 3" xfId="91" xr:uid="{1FA6D1F5-70B2-4C6E-9B8E-BFBDE7BC0405}"/>
    <cellStyle name="쉼표 2" xfId="35" xr:uid="{00000000-0005-0000-0000-000019000000}"/>
    <cellStyle name="쉼표 2 2" xfId="61" xr:uid="{0DA94C6B-4677-43E6-8B3E-5816CC7F661B}"/>
    <cellStyle name="쉼표 2 2 2" xfId="114" xr:uid="{90AF945C-49BD-406F-B3C0-5F13FB477FE2}"/>
    <cellStyle name="쉼표 2 3" xfId="89" xr:uid="{B9A85F92-64BB-43BE-8CCB-3AD2B6074136}"/>
    <cellStyle name="쉼표 3" xfId="39" xr:uid="{00000000-0005-0000-0000-00001A000000}"/>
    <cellStyle name="쉼표 3 2" xfId="64" xr:uid="{EA62A71B-7CBF-4054-BE29-6561196E5BC3}"/>
    <cellStyle name="쉼표 3 2 2" xfId="117" xr:uid="{E8880686-54D8-44FE-9134-006D173512AB}"/>
    <cellStyle name="쉼표 3 3" xfId="92" xr:uid="{F0B79160-42AD-41EF-B363-83560321E4EF}"/>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711"/>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tabSelected="1" view="pageBreakPreview" zoomScale="55" zoomScaleNormal="55" zoomScaleSheetLayoutView="55" workbookViewId="0">
      <pane xSplit="5" ySplit="7" topLeftCell="L19" activePane="bottomRight" state="frozen"/>
      <selection pane="topRight" activeCell="F1" sqref="F1"/>
      <selection pane="bottomLeft" activeCell="A8" sqref="A8"/>
      <selection pane="bottomRight" activeCell="Y3" sqref="Y3"/>
    </sheetView>
  </sheetViews>
  <sheetFormatPr defaultColWidth="8.59765625" defaultRowHeight="13.8" x14ac:dyDescent="0.4"/>
  <cols>
    <col min="1" max="1" width="1.09765625" style="483" customWidth="1"/>
    <col min="2" max="2" width="3.09765625" style="483" customWidth="1"/>
    <col min="3" max="3" width="14.09765625" style="483" customWidth="1"/>
    <col min="4" max="9" width="9.59765625" style="483" customWidth="1"/>
    <col min="10" max="10" width="12.59765625" style="483" customWidth="1"/>
    <col min="11" max="22" width="9.59765625" style="483" customWidth="1"/>
    <col min="23" max="23" width="11.09765625" style="483" customWidth="1"/>
    <col min="24" max="24" width="10.59765625" style="483" customWidth="1"/>
    <col min="25" max="25" width="11.09765625" style="483" customWidth="1"/>
    <col min="26" max="26" width="13.19921875" style="483" bestFit="1" customWidth="1"/>
    <col min="27" max="27" width="12.19921875" style="483" customWidth="1"/>
    <col min="28" max="28" width="12.09765625" style="483" customWidth="1"/>
    <col min="29" max="29" width="10.59765625" style="483" customWidth="1"/>
    <col min="30" max="30" width="9.09765625" style="483" customWidth="1"/>
    <col min="31" max="31" width="17.09765625" style="483" customWidth="1"/>
    <col min="32" max="32" width="8.59765625" style="483"/>
    <col min="33" max="33" width="13.09765625" style="483" customWidth="1"/>
    <col min="34" max="37" width="8.59765625" style="483"/>
    <col min="38" max="38" width="48.59765625" style="483" customWidth="1"/>
    <col min="39" max="16384" width="8.59765625" style="483"/>
  </cols>
  <sheetData>
    <row r="1" spans="1:31" ht="37.35" customHeight="1" x14ac:dyDescent="0.4">
      <c r="A1" s="839" t="s">
        <v>0</v>
      </c>
      <c r="B1" s="839"/>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row>
    <row r="2" spans="1:31" ht="33" customHeight="1" x14ac:dyDescent="0.4">
      <c r="A2" s="484"/>
      <c r="B2" s="484"/>
      <c r="C2" s="484"/>
      <c r="D2" s="484"/>
      <c r="E2" s="484"/>
      <c r="F2" s="484"/>
      <c r="G2" s="484"/>
      <c r="H2" s="484"/>
      <c r="I2" s="484"/>
      <c r="J2" s="484"/>
      <c r="K2" s="484"/>
      <c r="L2" s="484"/>
      <c r="M2" s="484"/>
      <c r="N2" s="484"/>
      <c r="O2" s="484"/>
      <c r="P2" s="484"/>
      <c r="Q2" s="484"/>
      <c r="R2" s="484"/>
      <c r="S2" s="484"/>
      <c r="T2" s="484"/>
      <c r="W2" s="485"/>
      <c r="Y2" s="485" t="s">
        <v>583</v>
      </c>
      <c r="AB2" s="485"/>
    </row>
    <row r="3" spans="1:31" ht="27" customHeight="1" x14ac:dyDescent="0.4">
      <c r="A3" s="486" t="s">
        <v>1</v>
      </c>
      <c r="F3" s="487" t="s">
        <v>154</v>
      </c>
    </row>
    <row r="4" spans="1:31" ht="14.4" thickBot="1" x14ac:dyDescent="0.45">
      <c r="F4" s="487" t="s">
        <v>2</v>
      </c>
      <c r="J4" s="487" t="s">
        <v>3</v>
      </c>
      <c r="K4" s="487"/>
      <c r="L4" s="487"/>
      <c r="M4" s="487"/>
      <c r="N4" s="487" t="s">
        <v>4</v>
      </c>
      <c r="O4" s="487"/>
      <c r="P4" s="488"/>
      <c r="Q4" s="487"/>
      <c r="R4" s="487" t="s">
        <v>5</v>
      </c>
      <c r="Y4" s="489" t="s">
        <v>6</v>
      </c>
      <c r="AB4" s="489"/>
    </row>
    <row r="5" spans="1:31" ht="25.35" customHeight="1" x14ac:dyDescent="0.4">
      <c r="A5" s="842" t="s">
        <v>7</v>
      </c>
      <c r="B5" s="843"/>
      <c r="C5" s="929"/>
      <c r="D5" s="936" t="s">
        <v>8</v>
      </c>
      <c r="E5" s="939" t="s">
        <v>9</v>
      </c>
      <c r="F5" s="967" t="s">
        <v>10</v>
      </c>
      <c r="G5" s="968"/>
      <c r="H5" s="968"/>
      <c r="I5" s="969"/>
      <c r="J5" s="976" t="s">
        <v>2</v>
      </c>
      <c r="K5" s="977"/>
      <c r="L5" s="977"/>
      <c r="M5" s="977"/>
      <c r="N5" s="977"/>
      <c r="O5" s="977"/>
      <c r="P5" s="977"/>
      <c r="Q5" s="977"/>
      <c r="R5" s="977"/>
      <c r="S5" s="977"/>
      <c r="T5" s="977"/>
      <c r="U5" s="978"/>
      <c r="V5" s="842" t="s">
        <v>11</v>
      </c>
      <c r="W5" s="843"/>
      <c r="X5" s="843"/>
      <c r="Y5" s="843"/>
      <c r="Z5" s="842" t="s">
        <v>12</v>
      </c>
      <c r="AA5" s="843"/>
      <c r="AB5" s="843"/>
      <c r="AC5" s="844"/>
    </row>
    <row r="6" spans="1:31" ht="25.35" customHeight="1" thickBot="1" x14ac:dyDescent="0.45">
      <c r="A6" s="930"/>
      <c r="B6" s="931"/>
      <c r="C6" s="932"/>
      <c r="D6" s="937"/>
      <c r="E6" s="940"/>
      <c r="F6" s="970"/>
      <c r="G6" s="971"/>
      <c r="H6" s="971"/>
      <c r="I6" s="972"/>
      <c r="J6" s="942" t="s">
        <v>3</v>
      </c>
      <c r="K6" s="942"/>
      <c r="L6" s="943"/>
      <c r="M6" s="944"/>
      <c r="N6" s="956" t="s">
        <v>4</v>
      </c>
      <c r="O6" s="942"/>
      <c r="P6" s="943"/>
      <c r="Q6" s="944"/>
      <c r="R6" s="956" t="s">
        <v>5</v>
      </c>
      <c r="S6" s="942"/>
      <c r="T6" s="943"/>
      <c r="U6" s="944"/>
      <c r="V6" s="845"/>
      <c r="W6" s="846"/>
      <c r="X6" s="846"/>
      <c r="Y6" s="846"/>
      <c r="Z6" s="845"/>
      <c r="AA6" s="846"/>
      <c r="AB6" s="846"/>
      <c r="AC6" s="847"/>
    </row>
    <row r="7" spans="1:31" ht="46.5" customHeight="1" thickBot="1" x14ac:dyDescent="0.45">
      <c r="A7" s="933"/>
      <c r="B7" s="934"/>
      <c r="C7" s="935"/>
      <c r="D7" s="938"/>
      <c r="E7" s="941"/>
      <c r="F7" s="490" t="s">
        <v>13</v>
      </c>
      <c r="G7" s="491" t="s">
        <v>14</v>
      </c>
      <c r="H7" s="492" t="s">
        <v>15</v>
      </c>
      <c r="I7" s="493" t="s">
        <v>16</v>
      </c>
      <c r="J7" s="494" t="s">
        <v>8</v>
      </c>
      <c r="K7" s="495" t="s">
        <v>14</v>
      </c>
      <c r="L7" s="496" t="s">
        <v>15</v>
      </c>
      <c r="M7" s="497" t="s">
        <v>16</v>
      </c>
      <c r="N7" s="494" t="s">
        <v>13</v>
      </c>
      <c r="O7" s="495" t="s">
        <v>14</v>
      </c>
      <c r="P7" s="496" t="s">
        <v>15</v>
      </c>
      <c r="Q7" s="497" t="s">
        <v>16</v>
      </c>
      <c r="R7" s="494" t="s">
        <v>13</v>
      </c>
      <c r="S7" s="495" t="s">
        <v>14</v>
      </c>
      <c r="T7" s="496" t="s">
        <v>15</v>
      </c>
      <c r="U7" s="497" t="s">
        <v>16</v>
      </c>
      <c r="V7" s="498" t="s">
        <v>13</v>
      </c>
      <c r="W7" s="496" t="s">
        <v>14</v>
      </c>
      <c r="X7" s="496" t="s">
        <v>15</v>
      </c>
      <c r="Y7" s="499" t="s">
        <v>17</v>
      </c>
      <c r="Z7" s="498" t="s">
        <v>13</v>
      </c>
      <c r="AA7" s="496" t="s">
        <v>14</v>
      </c>
      <c r="AB7" s="496" t="s">
        <v>15</v>
      </c>
      <c r="AC7" s="499" t="s">
        <v>17</v>
      </c>
    </row>
    <row r="8" spans="1:31" ht="30" customHeight="1" x14ac:dyDescent="0.4">
      <c r="A8" s="500"/>
      <c r="B8" s="925" t="s">
        <v>18</v>
      </c>
      <c r="C8" s="926"/>
      <c r="D8" s="501">
        <f>SUM(D15,D12,D9)</f>
        <v>1392.7058101244002</v>
      </c>
      <c r="E8" s="502">
        <f>AA8</f>
        <v>1559.2256285199999</v>
      </c>
      <c r="F8" s="503">
        <f>V8</f>
        <v>275.49898216999998</v>
      </c>
      <c r="G8" s="504">
        <f t="shared" ref="G8:G15" si="0">W8</f>
        <v>313.38771303999999</v>
      </c>
      <c r="H8" s="504">
        <f t="shared" ref="H8:H15" si="1">X8</f>
        <v>333.85101134880006</v>
      </c>
      <c r="I8" s="505">
        <f t="shared" ref="I8:I19" si="2">Y8</f>
        <v>20.463298308800063</v>
      </c>
      <c r="J8" s="503">
        <f>J9+J12+J15</f>
        <v>112.83448178999998</v>
      </c>
      <c r="K8" s="504">
        <f>K9+K12+K15</f>
        <v>100.91694583333333</v>
      </c>
      <c r="L8" s="506">
        <f>L9+L12+L15</f>
        <v>101.87285373</v>
      </c>
      <c r="M8" s="505">
        <f t="shared" ref="M8:M19" si="3">L8-K8</f>
        <v>0.9559078966666732</v>
      </c>
      <c r="N8" s="503">
        <f>N9+N12+N15</f>
        <v>67.616612720000006</v>
      </c>
      <c r="O8" s="504">
        <f>O9+O12+O15</f>
        <v>107.72450337333332</v>
      </c>
      <c r="P8" s="506">
        <f>P9+P12+P15</f>
        <v>117.68065871</v>
      </c>
      <c r="Q8" s="505">
        <f t="shared" ref="Q8:Q19" si="4">P8-O8</f>
        <v>9.9561553366666828</v>
      </c>
      <c r="R8" s="503">
        <f>R9+R12+R15</f>
        <v>95.047887659999986</v>
      </c>
      <c r="S8" s="504">
        <f>S9+S12+S15</f>
        <v>104.74626383333334</v>
      </c>
      <c r="T8" s="506">
        <f>T9+T12+T15</f>
        <v>114.29749890880001</v>
      </c>
      <c r="U8" s="505">
        <f t="shared" ref="U8:U19" si="5">T8-S8</f>
        <v>9.5512350754666642</v>
      </c>
      <c r="V8" s="507">
        <f>V9+V12+V15</f>
        <v>275.49898216999998</v>
      </c>
      <c r="W8" s="506">
        <f>W9+W12+W15</f>
        <v>313.38771303999999</v>
      </c>
      <c r="X8" s="506">
        <f>X9+X12+X15</f>
        <v>333.85101134880006</v>
      </c>
      <c r="Y8" s="508">
        <f t="shared" ref="Y8:Y19" si="6">X8-W8</f>
        <v>20.463298308800063</v>
      </c>
      <c r="Z8" s="506">
        <f>Z9+Z12+Z15</f>
        <v>1393.0160799844</v>
      </c>
      <c r="AA8" s="506">
        <f>AA9+AA12+AA15</f>
        <v>1559.2256285199999</v>
      </c>
      <c r="AB8" s="506">
        <f>AB9+AB12+AB15</f>
        <v>1668.2023828375995</v>
      </c>
      <c r="AC8" s="508">
        <f t="shared" ref="AC8:AC19" si="7">AB8-AA8</f>
        <v>108.97675431759967</v>
      </c>
      <c r="AD8" s="509"/>
      <c r="AE8" s="483" t="s">
        <v>19</v>
      </c>
    </row>
    <row r="9" spans="1:31" ht="30" customHeight="1" x14ac:dyDescent="0.4">
      <c r="A9" s="500"/>
      <c r="B9" s="927" t="s">
        <v>20</v>
      </c>
      <c r="C9" s="928"/>
      <c r="D9" s="510">
        <f>SUM(D10:D11)</f>
        <v>152.99418834440002</v>
      </c>
      <c r="E9" s="511">
        <f t="shared" ref="E9:E19" si="8">AA9</f>
        <v>170.99973764000001</v>
      </c>
      <c r="F9" s="512">
        <f t="shared" ref="F9:F15" si="9">V9</f>
        <v>17.979459309999999</v>
      </c>
      <c r="G9" s="512">
        <f t="shared" si="0"/>
        <v>25.134453140000002</v>
      </c>
      <c r="H9" s="512">
        <f t="shared" si="1"/>
        <v>27.588819538800003</v>
      </c>
      <c r="I9" s="513">
        <f t="shared" si="2"/>
        <v>2.4543663987999995</v>
      </c>
      <c r="J9" s="514">
        <f t="shared" ref="J9:AC9" si="10">SUM(J10:J11)</f>
        <v>3.0051883799999999</v>
      </c>
      <c r="K9" s="515">
        <f t="shared" si="10"/>
        <v>3.2706278333333332</v>
      </c>
      <c r="L9" s="512">
        <f t="shared" si="10"/>
        <v>3.18512365</v>
      </c>
      <c r="M9" s="513">
        <f t="shared" si="10"/>
        <v>-8.5504183333333261E-2</v>
      </c>
      <c r="N9" s="514">
        <f t="shared" si="10"/>
        <v>12.60945478</v>
      </c>
      <c r="O9" s="515">
        <f t="shared" si="10"/>
        <v>12.254068973333336</v>
      </c>
      <c r="P9" s="512">
        <f t="shared" si="10"/>
        <v>9.6746168200000007</v>
      </c>
      <c r="Q9" s="513">
        <f t="shared" si="10"/>
        <v>-2.5794521533333357</v>
      </c>
      <c r="R9" s="514">
        <f t="shared" si="10"/>
        <v>2.3648161499999998</v>
      </c>
      <c r="S9" s="515">
        <f t="shared" si="10"/>
        <v>9.6097563333333333</v>
      </c>
      <c r="T9" s="512">
        <f t="shared" si="10"/>
        <v>14.729079068800001</v>
      </c>
      <c r="U9" s="513">
        <f t="shared" si="10"/>
        <v>5.1193227354666666</v>
      </c>
      <c r="V9" s="516">
        <f t="shared" si="10"/>
        <v>17.979459309999999</v>
      </c>
      <c r="W9" s="512">
        <f t="shared" si="10"/>
        <v>25.134453140000002</v>
      </c>
      <c r="X9" s="512">
        <f t="shared" si="10"/>
        <v>27.588819538800003</v>
      </c>
      <c r="Y9" s="517">
        <f t="shared" si="10"/>
        <v>2.4543663987999995</v>
      </c>
      <c r="Z9" s="516">
        <f t="shared" si="10"/>
        <v>152.99418834440002</v>
      </c>
      <c r="AA9" s="512">
        <f t="shared" si="10"/>
        <v>170.99973764000001</v>
      </c>
      <c r="AB9" s="512">
        <f t="shared" si="10"/>
        <v>176.5076562676</v>
      </c>
      <c r="AC9" s="517">
        <f t="shared" si="10"/>
        <v>5.507918627599997</v>
      </c>
      <c r="AD9" s="509"/>
      <c r="AE9" s="483" t="s">
        <v>21</v>
      </c>
    </row>
    <row r="10" spans="1:31" ht="30" customHeight="1" x14ac:dyDescent="0.4">
      <c r="A10" s="500"/>
      <c r="B10" s="518"/>
      <c r="C10" s="519" t="s">
        <v>22</v>
      </c>
      <c r="D10" s="520">
        <v>152.99418834440002</v>
      </c>
      <c r="E10" s="521">
        <f t="shared" si="8"/>
        <v>168.95435764000001</v>
      </c>
      <c r="F10" s="522">
        <f>SUMIFS('상세 자료 작성'!$I:$I,'상세 자료 작성'!$C:$C,'요약(보고)'!$C10,'상세 자료 작성'!$A:$A,'요약(보고)'!$AE$9,'상세 자료 작성'!$B:$B,'요약(보고)'!$F$4)/10^8</f>
        <v>17.979459309999999</v>
      </c>
      <c r="G10" s="523">
        <f>SUMIFS('상세 자료 작성'!$J:$J,'상세 자료 작성'!$C:$C,'요약(보고)'!$C10,'상세 자료 작성'!$A:$A,$AE$11,'상세 자료 작성'!$B:$B,'요약(보고)'!$F$4)/10^8</f>
        <v>24.623108139999999</v>
      </c>
      <c r="H10" s="523">
        <f>SUMIFS('상세 자료 작성'!$K:$K,'상세 자료 작성'!$C:$C,'요약(보고)'!$C10,'상세 자료 작성'!$A:$A,$AE$11,'상세 자료 작성'!$B:$B,'요약(보고)'!$F$4)/10^8</f>
        <v>27.588819538800003</v>
      </c>
      <c r="I10" s="524">
        <f>Y10</f>
        <v>2.9657113987999999</v>
      </c>
      <c r="J10" s="522">
        <f>SUMIFS('상세 자료 작성'!$I:$I,'상세 자료 작성'!$C:$C,'요약(보고)'!$C10,'상세 자료 작성'!$A:$A,'요약(보고)'!$AE$9,'상세 자료 작성'!$D:$D,$J$4)/10^8</f>
        <v>3.0051883799999999</v>
      </c>
      <c r="K10" s="523">
        <f>SUMIFS('상세 자료 작성'!$J:$J,'상세 자료 작성'!$C:$C,'요약(보고)'!$C10,'상세 자료 작성'!$A:$A,$AE$11,'상세 자료 작성'!$D:$D,'요약(보고)'!$J$4)/10^8</f>
        <v>3.1001794999999999</v>
      </c>
      <c r="L10" s="523">
        <f>SUMIFS('상세 자료 작성'!$K:$K,'상세 자료 작성'!$C:$C,'요약(보고)'!$C10,'상세 자료 작성'!$A:$A,$AE$11,'상세 자료 작성'!$D:$D,$J$4)/10^8</f>
        <v>3.18512365</v>
      </c>
      <c r="M10" s="524">
        <f>L10-K10</f>
        <v>8.4944150000000107E-2</v>
      </c>
      <c r="N10" s="522">
        <f>SUMIFS('상세 자료 작성'!$I:$I,'상세 자료 작성'!$C:$C,'요약(보고)'!$C10,'상세 자료 작성'!$A:$A,'요약(보고)'!$AE$9,'상세 자료 작성'!$D:$D,$N$4)/10^8</f>
        <v>12.60945478</v>
      </c>
      <c r="O10" s="523">
        <f>SUMIFS('상세 자료 작성'!$J:$J,'상세 자료 작성'!$C:$C,'요약(보고)'!$C10,'상세 자료 작성'!$A:$A,$AE$11,'상세 자료 작성'!$D:$D,$N$4)/10^8</f>
        <v>12.083620640000003</v>
      </c>
      <c r="P10" s="523">
        <f>SUMIFS('상세 자료 작성'!$K:$K,'상세 자료 작성'!$C:$C,'요약(보고)'!$C10,'상세 자료 작성'!$A:$A,$AE$11,'상세 자료 작성'!$D:$D,$N$4)/10^8</f>
        <v>9.6746168200000007</v>
      </c>
      <c r="Q10" s="524">
        <f>P10-O10</f>
        <v>-2.4090038200000023</v>
      </c>
      <c r="R10" s="522">
        <f>SUMIFS('상세 자료 작성'!$I:$I,'상세 자료 작성'!$C:$C,'요약(보고)'!$C10,'상세 자료 작성'!$A:$A,'요약(보고)'!$AE$9,'상세 자료 작성'!$D:$D,$R$4)/10^8</f>
        <v>2.3648161499999998</v>
      </c>
      <c r="S10" s="523">
        <f>SUMIFS('상세 자료 작성'!$J:$J,'상세 자료 작성'!$C:$C,'요약(보고)'!$C10,'상세 자료 작성'!$A:$A,$AE$11,'상세 자료 작성'!$D:$D,$R$4)/10^8</f>
        <v>9.4393080000000005</v>
      </c>
      <c r="T10" s="523">
        <f>SUMIFS('상세 자료 작성'!$K:$K,'상세 자료 작성'!$C:$C,'요약(보고)'!$C10,'상세 자료 작성'!$A:$A,$AE$11,'상세 자료 작성'!$D:$D,$R$4)/10^8</f>
        <v>14.729079068800001</v>
      </c>
      <c r="U10" s="524">
        <f>T10-S10</f>
        <v>5.2897710688000004</v>
      </c>
      <c r="V10" s="525">
        <f>R10+J10+N10</f>
        <v>17.979459309999999</v>
      </c>
      <c r="W10" s="526">
        <f>S10+K10+O10</f>
        <v>24.623108140000003</v>
      </c>
      <c r="X10" s="526">
        <f>T10+L10+P10</f>
        <v>27.588819538800003</v>
      </c>
      <c r="Y10" s="527">
        <f>X10-W10</f>
        <v>2.9657113987999999</v>
      </c>
      <c r="Z10" s="528">
        <f>SUMIFS('상세 자료 작성'!$I:$I,'상세 자료 작성'!$C:$C,'요약(보고)'!$C10,'상세 자료 작성'!$A:$A,'요약(보고)'!$AE$9)/10^8</f>
        <v>152.99418834440002</v>
      </c>
      <c r="AA10" s="529">
        <f>SUMIFS('상세 자료 작성'!$J:$J,'상세 자료 작성'!$C:$C,'요약(보고)'!$C10,'상세 자료 작성'!$A:$A,'요약(보고)'!$AE$11)/10^8</f>
        <v>168.95435764000001</v>
      </c>
      <c r="AB10" s="530">
        <f>SUMIFS('상세 자료 작성'!$K:$K,'상세 자료 작성'!$C:$C,'요약(보고)'!$C10,'상세 자료 작성'!$A:$A,'요약(보고)'!$AE$11)/10^8</f>
        <v>174.97362126760001</v>
      </c>
      <c r="AC10" s="527">
        <f>AB10-AA10</f>
        <v>6.0192636275999973</v>
      </c>
      <c r="AD10" s="509"/>
    </row>
    <row r="11" spans="1:31" ht="30" customHeight="1" x14ac:dyDescent="0.4">
      <c r="A11" s="500"/>
      <c r="B11" s="531"/>
      <c r="C11" s="532" t="s">
        <v>23</v>
      </c>
      <c r="D11" s="533">
        <v>0</v>
      </c>
      <c r="E11" s="534">
        <f t="shared" si="8"/>
        <v>2.0453800000000011</v>
      </c>
      <c r="F11" s="522">
        <f>SUMIFS('상세 자료 작성'!$I:$I,'상세 자료 작성'!$C:$C,'요약(보고)'!$C11,'상세 자료 작성'!$A:$A,'요약(보고)'!$AE$9,'상세 자료 작성'!$B:$B,'요약(보고)'!$F$4)/10^8</f>
        <v>0</v>
      </c>
      <c r="G11" s="523">
        <f>SUMIFS('상세 자료 작성'!$J:$J,'상세 자료 작성'!$C:$C,'요약(보고)'!$C11,'상세 자료 작성'!$A:$A,$AE$11,'상세 자료 작성'!$B:$B,'요약(보고)'!$F$4)/10^8</f>
        <v>0.51134500000000005</v>
      </c>
      <c r="H11" s="523">
        <f>SUMIFS('상세 자료 작성'!$K:$K,'상세 자료 작성'!$C:$C,'요약(보고)'!$C11,'상세 자료 작성'!$A:$A,$AE$11,'상세 자료 작성'!$B:$B,'요약(보고)'!$F$4)/10^8</f>
        <v>0</v>
      </c>
      <c r="I11" s="535">
        <f t="shared" si="2"/>
        <v>-0.51134500000000016</v>
      </c>
      <c r="J11" s="522">
        <f>SUMIFS('상세 자료 작성'!$I:$I,'상세 자료 작성'!$C:$C,'요약(보고)'!$C11,'상세 자료 작성'!$A:$A,'요약(보고)'!$AE$9,'상세 자료 작성'!$D:$D,$J$4)/10^8</f>
        <v>0</v>
      </c>
      <c r="K11" s="523">
        <f>SUMIFS('상세 자료 작성'!$J:$J,'상세 자료 작성'!$C:$C,'요약(보고)'!$C11,'상세 자료 작성'!$A:$A,$AE$11,'상세 자료 작성'!$D:$D,'요약(보고)'!$J$4)/10^8</f>
        <v>0.17044833333333337</v>
      </c>
      <c r="L11" s="523">
        <f>SUMIFS('상세 자료 작성'!$K:$K,'상세 자료 작성'!$C:$C,'요약(보고)'!$C11,'상세 자료 작성'!$A:$A,$AE$11,'상세 자료 작성'!$D:$D,$J$4)/10^8</f>
        <v>0</v>
      </c>
      <c r="M11" s="535">
        <f>L11-K11</f>
        <v>-0.17044833333333337</v>
      </c>
      <c r="N11" s="522">
        <f>SUMIFS('상세 자료 작성'!$I:$I,'상세 자료 작성'!$C:$C,'요약(보고)'!$C11,'상세 자료 작성'!$A:$A,'요약(보고)'!$AE$9,'상세 자료 작성'!$D:$D,$N$4)/10^8</f>
        <v>0</v>
      </c>
      <c r="O11" s="523">
        <f>SUMIFS('상세 자료 작성'!$J:$J,'상세 자료 작성'!$C:$C,'요약(보고)'!$C11,'상세 자료 작성'!$A:$A,$AE$11,'상세 자료 작성'!$D:$D,$N$4)/10^8</f>
        <v>0.17044833333333337</v>
      </c>
      <c r="P11" s="523">
        <f>SUMIFS('상세 자료 작성'!$K:$K,'상세 자료 작성'!$C:$C,'요약(보고)'!$C11,'상세 자료 작성'!$A:$A,$AE$11,'상세 자료 작성'!$D:$D,$N$4)/10^8</f>
        <v>0</v>
      </c>
      <c r="Q11" s="535">
        <f t="shared" si="4"/>
        <v>-0.17044833333333337</v>
      </c>
      <c r="R11" s="522">
        <f>SUMIFS('상세 자료 작성'!$I:$I,'상세 자료 작성'!$C:$C,'요약(보고)'!$C11,'상세 자료 작성'!$A:$A,'요약(보고)'!$AE$9,'상세 자료 작성'!$D:$D,$R$4)/10^8</f>
        <v>0</v>
      </c>
      <c r="S11" s="523">
        <f>SUMIFS('상세 자료 작성'!$J:$J,'상세 자료 작성'!$C:$C,'요약(보고)'!$C11,'상세 자료 작성'!$A:$A,$AE$11,'상세 자료 작성'!$D:$D,$R$4)/10^8</f>
        <v>0.17044833333333337</v>
      </c>
      <c r="T11" s="523">
        <f>SUMIFS('상세 자료 작성'!$K:$K,'상세 자료 작성'!$C:$C,'요약(보고)'!$C11,'상세 자료 작성'!$A:$A,$AE$11,'상세 자료 작성'!$D:$D,$R$4)/10^8</f>
        <v>0</v>
      </c>
      <c r="U11" s="535">
        <f t="shared" si="5"/>
        <v>-0.17044833333333337</v>
      </c>
      <c r="V11" s="536">
        <f>R11+J11+N11</f>
        <v>0</v>
      </c>
      <c r="W11" s="530">
        <f t="shared" ref="W11" si="11">S11+K11+O11</f>
        <v>0.51134500000000016</v>
      </c>
      <c r="X11" s="530">
        <f t="shared" ref="X11" si="12">T11+L11+P11</f>
        <v>0</v>
      </c>
      <c r="Y11" s="537">
        <f t="shared" si="6"/>
        <v>-0.51134500000000016</v>
      </c>
      <c r="Z11" s="536">
        <f>SUMIFS('상세 자료 작성'!$I:$I,'상세 자료 작성'!$C:$C,'요약(보고)'!$C11,'상세 자료 작성'!$A:$A,'요약(보고)'!$AE$9)/10^8</f>
        <v>0</v>
      </c>
      <c r="AA11" s="530">
        <f>SUMIFS('상세 자료 작성'!$J:$J,'상세 자료 작성'!$C:$C,'요약(보고)'!$C11,'상세 자료 작성'!$A:$A,'요약(보고)'!$AE$11)/10^8</f>
        <v>2.0453800000000011</v>
      </c>
      <c r="AB11" s="530">
        <f>SUMIFS('상세 자료 작성'!$K:$K,'상세 자료 작성'!$C:$C,'요약(보고)'!$C11,'상세 자료 작성'!$A:$A,'요약(보고)'!$AE$11)/10^8</f>
        <v>1.5340350000000007</v>
      </c>
      <c r="AC11" s="537">
        <f t="shared" si="7"/>
        <v>-0.51134500000000038</v>
      </c>
      <c r="AD11" s="509"/>
      <c r="AE11" s="483" t="s">
        <v>24</v>
      </c>
    </row>
    <row r="12" spans="1:31" ht="30" customHeight="1" x14ac:dyDescent="0.4">
      <c r="A12" s="500"/>
      <c r="B12" s="927" t="s">
        <v>25</v>
      </c>
      <c r="C12" s="928"/>
      <c r="D12" s="538">
        <f>SUM(D13:D14)</f>
        <v>1088.9226571000002</v>
      </c>
      <c r="E12" s="539">
        <f t="shared" si="8"/>
        <v>1191.12564088</v>
      </c>
      <c r="F12" s="540">
        <f t="shared" si="9"/>
        <v>203.63670439999996</v>
      </c>
      <c r="G12" s="541">
        <f t="shared" si="0"/>
        <v>246.45125989999997</v>
      </c>
      <c r="H12" s="541">
        <f t="shared" si="1"/>
        <v>266.20900940000001</v>
      </c>
      <c r="I12" s="542">
        <f t="shared" si="2"/>
        <v>19.757749500000017</v>
      </c>
      <c r="J12" s="540">
        <f>SUM(J13:J14)</f>
        <v>76.029622799999999</v>
      </c>
      <c r="K12" s="541">
        <f t="shared" ref="K12:AC12" si="13">SUM(K13:K14)</f>
        <v>71.643068</v>
      </c>
      <c r="L12" s="541">
        <f t="shared" si="13"/>
        <v>71.637461600000009</v>
      </c>
      <c r="M12" s="542">
        <f t="shared" si="13"/>
        <v>-5.6063999999973468E-3</v>
      </c>
      <c r="N12" s="540">
        <f t="shared" si="13"/>
        <v>54.348993800000002</v>
      </c>
      <c r="O12" s="541">
        <f t="shared" si="13"/>
        <v>90.822934399999994</v>
      </c>
      <c r="P12" s="541">
        <f t="shared" si="13"/>
        <v>102.89946260000001</v>
      </c>
      <c r="Q12" s="542">
        <f t="shared" si="13"/>
        <v>12.076528200000007</v>
      </c>
      <c r="R12" s="540">
        <f t="shared" si="13"/>
        <v>73.258087799999998</v>
      </c>
      <c r="S12" s="541">
        <f t="shared" si="13"/>
        <v>83.985257500000003</v>
      </c>
      <c r="T12" s="541">
        <f t="shared" si="13"/>
        <v>91.672085199999998</v>
      </c>
      <c r="U12" s="542">
        <f t="shared" si="13"/>
        <v>7.6868277000000056</v>
      </c>
      <c r="V12" s="540">
        <f t="shared" si="13"/>
        <v>203.63670439999996</v>
      </c>
      <c r="W12" s="541">
        <f t="shared" si="13"/>
        <v>246.45125989999997</v>
      </c>
      <c r="X12" s="541">
        <f t="shared" si="13"/>
        <v>266.20900940000001</v>
      </c>
      <c r="Y12" s="543">
        <f t="shared" si="13"/>
        <v>19.757749500000017</v>
      </c>
      <c r="Z12" s="540">
        <f t="shared" si="13"/>
        <v>1089.9126570999999</v>
      </c>
      <c r="AA12" s="541">
        <f t="shared" si="13"/>
        <v>1191.12564088</v>
      </c>
      <c r="AB12" s="541">
        <f t="shared" si="13"/>
        <v>1311.5895941599997</v>
      </c>
      <c r="AC12" s="543">
        <f t="shared" si="13"/>
        <v>120.46395327999986</v>
      </c>
      <c r="AD12" s="509"/>
    </row>
    <row r="13" spans="1:31" ht="30" customHeight="1" x14ac:dyDescent="0.4">
      <c r="A13" s="500"/>
      <c r="B13" s="531"/>
      <c r="C13" s="544" t="s">
        <v>26</v>
      </c>
      <c r="D13" s="545">
        <v>1041.781864</v>
      </c>
      <c r="E13" s="521">
        <f t="shared" si="8"/>
        <v>1143.4514922799999</v>
      </c>
      <c r="F13" s="522">
        <f>SUMIFS('상세 자료 작성'!$I:$I,'상세 자료 작성'!$C:$C,'요약(보고)'!$C13,'상세 자료 작성'!$A:$A,'요약(보고)'!$AE$9,'상세 자료 작성'!$B:$B,'요약(보고)'!$F$4)/10^8</f>
        <v>189.048058</v>
      </c>
      <c r="G13" s="523">
        <f>SUMIFS('상세 자료 작성'!$J:$J,'상세 자료 작성'!$C:$C,'요약(보고)'!$C13,'상세 자료 작성'!$A:$A,$AE$11,'상세 자료 작성'!$B:$B,'요약(보고)'!$F$4)/10^8</f>
        <v>238.3992585</v>
      </c>
      <c r="H13" s="523">
        <f>SUMIFS('상세 자료 작성'!$K:$K,'상세 자료 작성'!$C:$C,'요약(보고)'!$C13,'상세 자료 작성'!$A:$A,$AE$11,'상세 자료 작성'!$B:$B,'요약(보고)'!$F$4)/10^8</f>
        <v>256.66706099999999</v>
      </c>
      <c r="I13" s="524">
        <f>Y13</f>
        <v>18.267802500000016</v>
      </c>
      <c r="J13" s="522">
        <f>SUMIFS('상세 자료 작성'!$I:$I,'상세 자료 작성'!$C:$C,'요약(보고)'!$C13,'상세 자료 작성'!$A:$A,'요약(보고)'!$AE$9,'상세 자료 작성'!$D:$D,$J$4)/10^8</f>
        <v>69.842788999999996</v>
      </c>
      <c r="K13" s="523">
        <f>SUMIFS('상세 자료 작성'!$J:$J,'상세 자료 작성'!$C:$C,'요약(보고)'!$C13,'상세 자료 작성'!$A:$A,$AE$11,'상세 자료 작성'!$D:$D,'요약(보고)'!$J$4)/10^8</f>
        <v>68.990503000000004</v>
      </c>
      <c r="L13" s="523">
        <f>SUMIFS('상세 자료 작성'!$K:$K,'상세 자료 작성'!$C:$C,'요약(보고)'!$C13,'상세 자료 작성'!$A:$A,$AE$11,'상세 자료 작성'!$D:$D,$J$4)/10^8</f>
        <v>69.064124000000007</v>
      </c>
      <c r="M13" s="524">
        <f>L13-K13</f>
        <v>7.3621000000002823E-2</v>
      </c>
      <c r="N13" s="522">
        <f>SUMIFS('상세 자료 작성'!$I:$I,'상세 자료 작성'!$C:$C,'요약(보고)'!$C13,'상세 자료 작성'!$A:$A,'요약(보고)'!$AE$9,'상세 자료 작성'!$D:$D,$N$4)/10^8</f>
        <v>49.969541</v>
      </c>
      <c r="O13" s="523">
        <f>SUMIFS('상세 자료 작성'!$J:$J,'상세 자료 작성'!$C:$C,'요약(보고)'!$C13,'상세 자료 작성'!$A:$A,$AE$11,'상세 자료 작성'!$D:$D,$N$4)/10^8</f>
        <v>88.077117999999999</v>
      </c>
      <c r="P13" s="523">
        <f>SUMIFS('상세 자료 작성'!$K:$K,'상세 자료 작성'!$C:$C,'요약(보고)'!$C13,'상세 자료 작성'!$A:$A,$AE$11,'상세 자료 작성'!$D:$D,$N$4)/10^8</f>
        <v>100.10609100000001</v>
      </c>
      <c r="Q13" s="524">
        <f>P13-O13</f>
        <v>12.028973000000008</v>
      </c>
      <c r="R13" s="522">
        <f>SUMIFS('상세 자료 작성'!$I:$I,'상세 자료 작성'!$C:$C,'요약(보고)'!$C13,'상세 자료 작성'!$A:$A,'요약(보고)'!$AE$9,'상세 자료 작성'!$D:$D,$R$4)/10^8</f>
        <v>69.235727999999995</v>
      </c>
      <c r="S13" s="523">
        <f>SUMIFS('상세 자료 작성'!$J:$J,'상세 자료 작성'!$C:$C,'요약(보고)'!$C13,'상세 자료 작성'!$A:$A,$AE$11,'상세 자료 작성'!$D:$D,$R$4)/10^8</f>
        <v>81.331637499999999</v>
      </c>
      <c r="T13" s="523">
        <f>SUMIFS('상세 자료 작성'!$K:$K,'상세 자료 작성'!$C:$C,'요약(보고)'!$C13,'상세 자료 작성'!$A:$A,$AE$11,'상세 자료 작성'!$D:$D,$R$4)/10^8</f>
        <v>87.496846000000005</v>
      </c>
      <c r="U13" s="524">
        <f>T13-S13</f>
        <v>6.1652085000000056</v>
      </c>
      <c r="V13" s="525">
        <f>R13+J13+N13</f>
        <v>189.04805799999997</v>
      </c>
      <c r="W13" s="526">
        <f>S13+K13+O13</f>
        <v>238.39925849999997</v>
      </c>
      <c r="X13" s="526">
        <f>T13+L13+P13</f>
        <v>256.66706099999999</v>
      </c>
      <c r="Y13" s="527">
        <f>X13-W13</f>
        <v>18.267802500000016</v>
      </c>
      <c r="Z13" s="528">
        <f>SUMIFS('상세 자료 작성'!$I:$I,'상세 자료 작성'!$C:$C,'요약(보고)'!$C13,'상세 자료 작성'!$A:$A,'요약(보고)'!$AE$9)/10^8</f>
        <v>1041.781864</v>
      </c>
      <c r="AA13" s="529">
        <f>SUMIFS('상세 자료 작성'!$J:$J,'상세 자료 작성'!$C:$C,'요약(보고)'!$C13,'상세 자료 작성'!$A:$A,'요약(보고)'!$AE$11)/10^8</f>
        <v>1143.4514922799999</v>
      </c>
      <c r="AB13" s="530">
        <f>SUMIFS('상세 자료 작성'!$K:$K,'상세 자료 작성'!$C:$C,'요약(보고)'!$C13,'상세 자료 작성'!$A:$A,'요약(보고)'!$AE$11)/10^8</f>
        <v>1262.4489173599998</v>
      </c>
      <c r="AC13" s="527">
        <f>AB13-AA13</f>
        <v>118.99742507999986</v>
      </c>
      <c r="AD13" s="509"/>
    </row>
    <row r="14" spans="1:31" ht="30" customHeight="1" x14ac:dyDescent="0.4">
      <c r="A14" s="500"/>
      <c r="B14" s="531"/>
      <c r="C14" s="546" t="s">
        <v>27</v>
      </c>
      <c r="D14" s="547">
        <v>47.140793100000003</v>
      </c>
      <c r="E14" s="534">
        <f t="shared" si="8"/>
        <v>47.674148600000002</v>
      </c>
      <c r="F14" s="522">
        <f>SUMIFS('상세 자료 작성'!$I:$I,'상세 자료 작성'!$C:$C,'요약(보고)'!$C14,'상세 자료 작성'!$A:$A,'요약(보고)'!$AE$9,'상세 자료 작성'!$B:$B,'요약(보고)'!$F$4)/10^8</f>
        <v>14.5886464</v>
      </c>
      <c r="G14" s="523">
        <f>SUMIFS('상세 자료 작성'!$J:$J,'상세 자료 작성'!$C:$C,'요약(보고)'!$C14,'상세 자료 작성'!$A:$A,$AE$11,'상세 자료 작성'!$B:$B,'요약(보고)'!$F$4)/10^8</f>
        <v>8.0520014</v>
      </c>
      <c r="H14" s="523">
        <f>SUMIFS('상세 자료 작성'!$K:$K,'상세 자료 작성'!$C:$C,'요약(보고)'!$C14,'상세 자료 작성'!$A:$A,$AE$11,'상세 자료 작성'!$B:$B,'요약(보고)'!$F$4)/10^8</f>
        <v>9.5419484000000008</v>
      </c>
      <c r="I14" s="524">
        <f t="shared" si="2"/>
        <v>1.4899470000000008</v>
      </c>
      <c r="J14" s="522">
        <f>SUMIFS('상세 자료 작성'!$I:$I,'상세 자료 작성'!$C:$C,'요약(보고)'!$C14,'상세 자료 작성'!$A:$A,'요약(보고)'!$AE$9,'상세 자료 작성'!$D:$D,$J$4)/10^8</f>
        <v>6.1868337999999996</v>
      </c>
      <c r="K14" s="523">
        <f>SUMIFS('상세 자료 작성'!$J:$J,'상세 자료 작성'!$C:$C,'요약(보고)'!$C14,'상세 자료 작성'!$A:$A,$AE$11,'상세 자료 작성'!$D:$D,'요약(보고)'!$J$4)/10^8</f>
        <v>2.6525650000000001</v>
      </c>
      <c r="L14" s="523">
        <f>SUMIFS('상세 자료 작성'!$K:$K,'상세 자료 작성'!$C:$C,'요약(보고)'!$C14,'상세 자료 작성'!$A:$A,$AE$11,'상세 자료 작성'!$D:$D,$J$4)/10^8</f>
        <v>2.5733375999999999</v>
      </c>
      <c r="M14" s="524">
        <f t="shared" si="3"/>
        <v>-7.922740000000017E-2</v>
      </c>
      <c r="N14" s="522">
        <f>SUMIFS('상세 자료 작성'!$I:$I,'상세 자료 작성'!$C:$C,'요약(보고)'!$C14,'상세 자료 작성'!$A:$A,'요약(보고)'!$AE$9,'상세 자료 작성'!$D:$D,$N$4)/10^8</f>
        <v>4.3794528000000001</v>
      </c>
      <c r="O14" s="523">
        <f>SUMIFS('상세 자료 작성'!$J:$J,'상세 자료 작성'!$C:$C,'요약(보고)'!$C14,'상세 자료 작성'!$A:$A,$AE$11,'상세 자료 작성'!$D:$D,$N$4)/10^8</f>
        <v>2.7458163999999998</v>
      </c>
      <c r="P14" s="523">
        <f>SUMIFS('상세 자료 작성'!$K:$K,'상세 자료 작성'!$C:$C,'요약(보고)'!$C14,'상세 자료 작성'!$A:$A,$AE$11,'상세 자료 작성'!$D:$D,$N$4)/10^8</f>
        <v>2.7933716</v>
      </c>
      <c r="Q14" s="524">
        <f t="shared" si="4"/>
        <v>4.7555200000000131E-2</v>
      </c>
      <c r="R14" s="522">
        <f>SUMIFS('상세 자료 작성'!$I:$I,'상세 자료 작성'!$C:$C,'요약(보고)'!$C14,'상세 자료 작성'!$A:$A,'요약(보고)'!$AE$9,'상세 자료 작성'!$D:$D,$R$4)/10^8</f>
        <v>4.0223598000000003</v>
      </c>
      <c r="S14" s="523">
        <f>SUMIFS('상세 자료 작성'!$J:$J,'상세 자료 작성'!$C:$C,'요약(보고)'!$C14,'상세 자료 작성'!$A:$A,$AE$11,'상세 자료 작성'!$D:$D,$R$4)/10^8</f>
        <v>2.6536200000000001</v>
      </c>
      <c r="T14" s="523">
        <f>SUMIFS('상세 자료 작성'!$K:$K,'상세 자료 작성'!$C:$C,'요약(보고)'!$C14,'상세 자료 작성'!$A:$A,$AE$11,'상세 자료 작성'!$D:$D,$R$4)/10^8</f>
        <v>4.1752392</v>
      </c>
      <c r="U14" s="524">
        <f t="shared" si="5"/>
        <v>1.5216191999999999</v>
      </c>
      <c r="V14" s="525">
        <f t="shared" ref="V14" si="14">R14+J14+N14</f>
        <v>14.588646399999998</v>
      </c>
      <c r="W14" s="526">
        <f t="shared" ref="W14" si="15">S14+K14+O14</f>
        <v>8.0520014</v>
      </c>
      <c r="X14" s="526">
        <f t="shared" ref="X14" si="16">T14+L14+P14</f>
        <v>9.5419484000000008</v>
      </c>
      <c r="Y14" s="527">
        <f t="shared" si="6"/>
        <v>1.4899470000000008</v>
      </c>
      <c r="Z14" s="528">
        <f>SUMIFS('상세 자료 작성'!$I:$I,'상세 자료 작성'!$C:$C,'요약(보고)'!$C14,'상세 자료 작성'!$A:$A,'요약(보고)'!$AE$9)/10^8</f>
        <v>48.130793099999998</v>
      </c>
      <c r="AA14" s="529">
        <f>SUMIFS('상세 자료 작성'!$J:$J,'상세 자료 작성'!$C:$C,'요약(보고)'!$C14,'상세 자료 작성'!$A:$A,'요약(보고)'!$AE$11)/10^8</f>
        <v>47.674148600000002</v>
      </c>
      <c r="AB14" s="530">
        <f>SUMIFS('상세 자료 작성'!$K:$K,'상세 자료 작성'!$C:$C,'요약(보고)'!$C14,'상세 자료 작성'!$A:$A,'요약(보고)'!$AE$11)/10^8</f>
        <v>49.140676800000001</v>
      </c>
      <c r="AC14" s="527">
        <f t="shared" si="7"/>
        <v>1.4665281999999991</v>
      </c>
      <c r="AD14" s="509"/>
    </row>
    <row r="15" spans="1:31" ht="30" customHeight="1" x14ac:dyDescent="0.4">
      <c r="A15" s="500"/>
      <c r="B15" s="927" t="s">
        <v>28</v>
      </c>
      <c r="C15" s="928"/>
      <c r="D15" s="538">
        <f>SUM(D16:D19)</f>
        <v>150.78896467999999</v>
      </c>
      <c r="E15" s="539">
        <f t="shared" si="8"/>
        <v>197.10024999999999</v>
      </c>
      <c r="F15" s="548">
        <f t="shared" si="9"/>
        <v>53.882818460000003</v>
      </c>
      <c r="G15" s="549">
        <f t="shared" si="0"/>
        <v>41.802</v>
      </c>
      <c r="H15" s="541">
        <f t="shared" si="1"/>
        <v>40.053182410000005</v>
      </c>
      <c r="I15" s="542">
        <f t="shared" si="2"/>
        <v>-1.7488175899999976</v>
      </c>
      <c r="J15" s="540">
        <f t="shared" ref="J15:AC15" si="17">SUM(J16:J19)</f>
        <v>33.79967061</v>
      </c>
      <c r="K15" s="541">
        <f t="shared" si="17"/>
        <v>26.003250000000001</v>
      </c>
      <c r="L15" s="549">
        <f t="shared" si="17"/>
        <v>27.05026848</v>
      </c>
      <c r="M15" s="542">
        <f t="shared" si="17"/>
        <v>1.0470184799999975</v>
      </c>
      <c r="N15" s="540">
        <f t="shared" si="17"/>
        <v>0.65816414000000001</v>
      </c>
      <c r="O15" s="541">
        <f t="shared" si="17"/>
        <v>4.6475</v>
      </c>
      <c r="P15" s="541">
        <f t="shared" si="17"/>
        <v>5.10657929</v>
      </c>
      <c r="Q15" s="542">
        <f t="shared" si="17"/>
        <v>0.45907929000000014</v>
      </c>
      <c r="R15" s="540">
        <f t="shared" si="17"/>
        <v>19.424983709999996</v>
      </c>
      <c r="S15" s="541">
        <f t="shared" si="17"/>
        <v>11.151249999999999</v>
      </c>
      <c r="T15" s="541">
        <f t="shared" si="17"/>
        <v>7.8963346400000001</v>
      </c>
      <c r="U15" s="542">
        <f t="shared" si="17"/>
        <v>-3.2549153599999996</v>
      </c>
      <c r="V15" s="540">
        <f t="shared" si="17"/>
        <v>53.882818460000003</v>
      </c>
      <c r="W15" s="541">
        <f t="shared" si="17"/>
        <v>41.802</v>
      </c>
      <c r="X15" s="541">
        <f t="shared" si="17"/>
        <v>40.053182410000005</v>
      </c>
      <c r="Y15" s="543">
        <f t="shared" si="17"/>
        <v>-1.7488175899999976</v>
      </c>
      <c r="Z15" s="540">
        <f t="shared" si="17"/>
        <v>150.10923453999999</v>
      </c>
      <c r="AA15" s="541">
        <f t="shared" si="17"/>
        <v>197.10024999999999</v>
      </c>
      <c r="AB15" s="541">
        <f t="shared" si="17"/>
        <v>180.10513241000001</v>
      </c>
      <c r="AC15" s="543">
        <f t="shared" si="17"/>
        <v>-16.995117589999989</v>
      </c>
      <c r="AD15" s="509"/>
    </row>
    <row r="16" spans="1:31" ht="30" customHeight="1" x14ac:dyDescent="0.4">
      <c r="A16" s="500"/>
      <c r="B16" s="550"/>
      <c r="C16" s="551" t="s">
        <v>29</v>
      </c>
      <c r="D16" s="552">
        <v>116.21934745</v>
      </c>
      <c r="E16" s="553">
        <f t="shared" si="8"/>
        <v>179.7765</v>
      </c>
      <c r="F16" s="554">
        <f>SUMIFS('상세 자료 작성'!$I:$I,'상세 자료 작성'!$C:$C,'요약(보고)'!$C16,'상세 자료 작성'!$A:$A,'요약(보고)'!$AE$9,'상세 자료 작성'!$B:$B,'요약(보고)'!$F$4)/10^8</f>
        <v>42.274860109999999</v>
      </c>
      <c r="G16" s="555">
        <f>SUMIFS('상세 자료 작성'!$J:$J,'상세 자료 작성'!$C:$C,'요약(보고)'!$C16,'상세 자료 작성'!$A:$A,$AE$11,'상세 자료 작성'!$B:$B,'요약(보고)'!$F$4)/10^8</f>
        <v>35.326999999999998</v>
      </c>
      <c r="H16" s="555">
        <f>SUMIFS('상세 자료 작성'!$K:$K,'상세 자료 작성'!$C:$C,'요약(보고)'!$C16,'상세 자료 작성'!$A:$A,$AE$11,'상세 자료 작성'!$B:$B,'요약(보고)'!$F$4)/10^8</f>
        <v>34.321650720000001</v>
      </c>
      <c r="I16" s="524">
        <f>Y16</f>
        <v>-1.0053492799999972</v>
      </c>
      <c r="J16" s="556">
        <f>SUMIFS('상세 자료 작성'!$I:$I,'상세 자료 작성'!$C:$C,'요약(보고)'!$C16,'상세 자료 작성'!$A:$A,'요약(보고)'!$AE$9,'상세 자료 작성'!$D:$D,$J$4)/10^8</f>
        <v>29.878953370000001</v>
      </c>
      <c r="K16" s="557">
        <f>SUMIFS('상세 자료 작성'!$J:$J,'상세 자료 작성'!$C:$C,'요약(보고)'!$C16,'상세 자료 작성'!$A:$A,$AE$11,'상세 자료 작성'!$D:$D,'요약(보고)'!$J$4)/10^8</f>
        <v>24.597000000000001</v>
      </c>
      <c r="L16" s="557">
        <f>SUMIFS('상세 자료 작성'!$K:$K,'상세 자료 작성'!$C:$C,'요약(보고)'!$C16,'상세 자료 작성'!$A:$A,$AE$11,'상세 자료 작성'!$D:$D,$J$4)/10^8</f>
        <v>24.908658039999999</v>
      </c>
      <c r="M16" s="524">
        <f>L16-K16</f>
        <v>0.31165803999999753</v>
      </c>
      <c r="N16" s="554">
        <f>SUMIFS('상세 자료 작성'!$I:$I,'상세 자료 작성'!$C:$C,'요약(보고)'!$C16,'상세 자료 작성'!$A:$A,'요약(보고)'!$AE$9,'상세 자료 작성'!$D:$D,$N$4)/10^8</f>
        <v>0.26295337000000002</v>
      </c>
      <c r="O16" s="557">
        <f>SUMIFS('상세 자료 작성'!$J:$J,'상세 자료 작성'!$C:$C,'요약(보고)'!$C16,'상세 자료 작성'!$A:$A,$AE$11,'상세 자료 작성'!$D:$D,$N$4)/10^8</f>
        <v>3.71</v>
      </c>
      <c r="P16" s="557">
        <f>SUMIFS('상세 자료 작성'!$K:$K,'상세 자료 작성'!$C:$C,'요약(보고)'!$C16,'상세 자료 작성'!$A:$A,$AE$11,'상세 자료 작성'!$D:$D,$N$4)/10^8</f>
        <v>4.6912413800000001</v>
      </c>
      <c r="Q16" s="524">
        <f>P16-O16</f>
        <v>0.98124138000000016</v>
      </c>
      <c r="R16" s="556">
        <f>SUMIFS('상세 자료 작성'!$I:$I,'상세 자료 작성'!$C:$C,'요약(보고)'!$C16,'상세 자료 작성'!$A:$A,'요약(보고)'!$AE$9,'상세 자료 작성'!$D:$D,$R$4)/10^8</f>
        <v>12.132953369999999</v>
      </c>
      <c r="S16" s="557">
        <f>SUMIFS('상세 자료 작성'!$J:$J,'상세 자료 작성'!$C:$C,'요약(보고)'!$C16,'상세 자료 작성'!$A:$A,$AE$11,'상세 자료 작성'!$D:$D,$R$4)/10^8</f>
        <v>7.02</v>
      </c>
      <c r="T16" s="557">
        <f>SUMIFS('상세 자료 작성'!$K:$K,'상세 자료 작성'!$C:$C,'요약(보고)'!$C16,'상세 자료 작성'!$A:$A,$AE$11,'상세 자료 작성'!$D:$D,$R$4)/10^8</f>
        <v>4.7217513000000002</v>
      </c>
      <c r="U16" s="524">
        <f>T16-S16</f>
        <v>-2.2982486999999994</v>
      </c>
      <c r="V16" s="528">
        <f>R16+J16+N16</f>
        <v>42.274860109999999</v>
      </c>
      <c r="W16" s="529">
        <f>S16+K16+O16</f>
        <v>35.326999999999998</v>
      </c>
      <c r="X16" s="526">
        <f>T16+L16+P16</f>
        <v>34.321650720000001</v>
      </c>
      <c r="Y16" s="558">
        <f>X16-W16</f>
        <v>-1.0053492799999972</v>
      </c>
      <c r="Z16" s="528">
        <f>SUMIFS('상세 자료 작성'!$I:$I,'상세 자료 작성'!$C:$C,'요약(보고)'!$C16,'상세 자료 작성'!$A:$A,'요약(보고)'!$AE$9)/10^8</f>
        <v>116.73361731</v>
      </c>
      <c r="AA16" s="529">
        <f>SUMIFS('상세 자료 작성'!$J:$J,'상세 자료 작성'!$C:$C,'요약(보고)'!$C16,'상세 자료 작성'!$A:$A,'요약(보고)'!$AE$11)/10^8</f>
        <v>179.7765</v>
      </c>
      <c r="AB16" s="526">
        <f>SUMIFS('상세 자료 작성'!$K:$K,'상세 자료 작성'!$C:$C,'요약(보고)'!$C16,'상세 자료 작성'!$A:$A,'요약(보고)'!$AE$11)/10^8</f>
        <v>164.05285072000001</v>
      </c>
      <c r="AC16" s="558">
        <f>AB16-AA16</f>
        <v>-15.723649279999989</v>
      </c>
      <c r="AD16" s="509"/>
    </row>
    <row r="17" spans="1:30" ht="30" customHeight="1" x14ac:dyDescent="0.4">
      <c r="A17" s="500"/>
      <c r="B17" s="550"/>
      <c r="C17" s="551" t="s">
        <v>30</v>
      </c>
      <c r="D17" s="552">
        <v>14.123749999999999</v>
      </c>
      <c r="E17" s="553">
        <f t="shared" si="8"/>
        <v>11.23</v>
      </c>
      <c r="F17" s="554">
        <f>SUMIFS('상세 자료 작성'!$I:$I,'상세 자료 작성'!$C:$C,'요약(보고)'!$C17,'상세 자료 작성'!$A:$A,'요약(보고)'!$AE$9,'상세 자료 작성'!$B:$B,'요약(보고)'!$F$4)/10^8</f>
        <v>3.66</v>
      </c>
      <c r="G17" s="555">
        <f>SUMIFS('상세 자료 작성'!$J:$J,'상세 자료 작성'!$C:$C,'요약(보고)'!$C17,'상세 자료 작성'!$A:$A,$AE$11,'상세 자료 작성'!$B:$B,'요약(보고)'!$F$4)/10^8</f>
        <v>1.7875000000000001</v>
      </c>
      <c r="H17" s="555">
        <f>SUMIFS('상세 자료 작성'!$K:$K,'상세 자료 작성'!$C:$C,'요약(보고)'!$C17,'상세 자료 작성'!$A:$A,$AE$11,'상세 자료 작성'!$B:$B,'요약(보고)'!$F$4)/10^8</f>
        <v>0</v>
      </c>
      <c r="I17" s="524">
        <f t="shared" si="2"/>
        <v>-1.7875000000000001</v>
      </c>
      <c r="J17" s="556">
        <f>SUMIFS('상세 자료 작성'!$I:$I,'상세 자료 작성'!$C:$C,'요약(보고)'!$C17,'상세 자료 작성'!$A:$A,'요약(보고)'!$AE$9,'상세 자료 작성'!$D:$D,$J$4)/10^8</f>
        <v>0</v>
      </c>
      <c r="K17" s="557">
        <f>SUMIFS('상세 자료 작성'!$J:$J,'상세 자료 작성'!$C:$C,'요약(보고)'!$C17,'상세 자료 작성'!$A:$A,$AE$11,'상세 자료 작성'!$D:$D,'요약(보고)'!$J$4)/10^8</f>
        <v>0</v>
      </c>
      <c r="L17" s="557">
        <f>SUMIFS('상세 자료 작성'!$K:$K,'상세 자료 작성'!$C:$C,'요약(보고)'!$C17,'상세 자료 작성'!$A:$A,$AE$11,'상세 자료 작성'!$D:$D,$J$4)/10^8</f>
        <v>0</v>
      </c>
      <c r="M17" s="524">
        <f t="shared" si="3"/>
        <v>0</v>
      </c>
      <c r="N17" s="554">
        <f>SUMIFS('상세 자료 작성'!$I:$I,'상세 자료 작성'!$C:$C,'요약(보고)'!$C17,'상세 자료 작성'!$A:$A,'요약(보고)'!$AE$9,'상세 자료 작성'!$D:$D,$N$4)/10^8</f>
        <v>0</v>
      </c>
      <c r="O17" s="557">
        <f>SUMIFS('상세 자료 작성'!$J:$J,'상세 자료 작성'!$C:$C,'요약(보고)'!$C17,'상세 자료 작성'!$A:$A,$AE$11,'상세 자료 작성'!$D:$D,$N$4)/10^8</f>
        <v>0.46875</v>
      </c>
      <c r="P17" s="557">
        <f>SUMIFS('상세 자료 작성'!$K:$K,'상세 자료 작성'!$C:$C,'요약(보고)'!$C17,'상세 자료 작성'!$A:$A,$AE$11,'상세 자료 작성'!$D:$D,$N$4)/10^8</f>
        <v>0</v>
      </c>
      <c r="Q17" s="524">
        <f t="shared" si="4"/>
        <v>-0.46875</v>
      </c>
      <c r="R17" s="556">
        <f>SUMIFS('상세 자료 작성'!$I:$I,'상세 자료 작성'!$C:$C,'요약(보고)'!$C17,'상세 자료 작성'!$A:$A,'요약(보고)'!$AE$9,'상세 자료 작성'!$D:$D,$R$4)/10^8</f>
        <v>3.66</v>
      </c>
      <c r="S17" s="557">
        <f>SUMIFS('상세 자료 작성'!$J:$J,'상세 자료 작성'!$C:$C,'요약(보고)'!$C17,'상세 자료 작성'!$A:$A,$AE$11,'상세 자료 작성'!$D:$D,$R$4)/10^8</f>
        <v>1.3187500000000001</v>
      </c>
      <c r="T17" s="557">
        <f>SUMIFS('상세 자료 작성'!$K:$K,'상세 자료 작성'!$C:$C,'요약(보고)'!$C17,'상세 자료 작성'!$A:$A,$AE$11,'상세 자료 작성'!$D:$D,$R$4)/10^8</f>
        <v>0</v>
      </c>
      <c r="U17" s="524">
        <f t="shared" si="5"/>
        <v>-1.3187500000000001</v>
      </c>
      <c r="V17" s="528">
        <f t="shared" ref="V17:V19" si="18">R17+J17+N17</f>
        <v>3.66</v>
      </c>
      <c r="W17" s="529">
        <f t="shared" ref="W17:W19" si="19">S17+K17+O17</f>
        <v>1.7875000000000001</v>
      </c>
      <c r="X17" s="526">
        <f t="shared" ref="X17:X19" si="20">T17+L17+P17</f>
        <v>0</v>
      </c>
      <c r="Y17" s="558">
        <f t="shared" si="6"/>
        <v>-1.7875000000000001</v>
      </c>
      <c r="Z17" s="528">
        <f>SUMIFS('상세 자료 작성'!$I:$I,'상세 자료 작성'!$C:$C,'요약(보고)'!$C17,'상세 자료 작성'!$A:$A,'요약(보고)'!$AE$9)/10^8</f>
        <v>14.123749999999999</v>
      </c>
      <c r="AA17" s="529">
        <f>SUMIFS('상세 자료 작성'!$J:$J,'상세 자료 작성'!$C:$C,'요약(보고)'!$C17,'상세 자료 작성'!$A:$A,'요약(보고)'!$AE$11)/10^8</f>
        <v>11.23</v>
      </c>
      <c r="AB17" s="526">
        <f>SUMIFS('상세 자료 작성'!$K:$K,'상세 자료 작성'!$C:$C,'요약(보고)'!$C17,'상세 자료 작성'!$A:$A,'요약(보고)'!$AE$11)/10^8</f>
        <v>8.9145000000000003</v>
      </c>
      <c r="AC17" s="558">
        <f t="shared" si="7"/>
        <v>-2.3155000000000001</v>
      </c>
      <c r="AD17" s="509"/>
    </row>
    <row r="18" spans="1:30" ht="30" customHeight="1" x14ac:dyDescent="0.4">
      <c r="A18" s="500"/>
      <c r="B18" s="550"/>
      <c r="C18" s="559" t="s">
        <v>31</v>
      </c>
      <c r="D18" s="560">
        <v>13.01566674</v>
      </c>
      <c r="E18" s="561">
        <f t="shared" si="8"/>
        <v>6.09375</v>
      </c>
      <c r="F18" s="554">
        <f>SUMIFS('상세 자료 작성'!$I:$I,'상세 자료 작성'!$C:$C,'요약(보고)'!$C18,'상세 자료 작성'!$A:$A,'요약(보고)'!$AE$9,'상세 자료 작성'!$B:$B,'요약(보고)'!$F$4)/10^8</f>
        <v>5.2999166799999999</v>
      </c>
      <c r="G18" s="555">
        <f>SUMIFS('상세 자료 작성'!$J:$J,'상세 자료 작성'!$C:$C,'요약(보고)'!$C18,'상세 자료 작성'!$A:$A,$AE$11,'상세 자료 작성'!$B:$B,'요약(보고)'!$F$4)/10^8</f>
        <v>4.6875</v>
      </c>
      <c r="H18" s="555">
        <f>SUMIFS('상세 자료 작성'!$K:$K,'상세 자료 작성'!$C:$C,'요약(보고)'!$C18,'상세 자료 작성'!$A:$A,$AE$11,'상세 자료 작성'!$B:$B,'요약(보고)'!$F$4)/10^8</f>
        <v>4.9429166799999997</v>
      </c>
      <c r="I18" s="524">
        <f t="shared" si="2"/>
        <v>0.25541667999999973</v>
      </c>
      <c r="J18" s="556">
        <f>SUMIFS('상세 자료 작성'!$I:$I,'상세 자료 작성'!$C:$C,'요약(보고)'!$C18,'상세 자료 작성'!$A:$A,'요약(보고)'!$AE$9,'상세 자료 작성'!$D:$D,$J$4)/10^8</f>
        <v>2.7467916699999999</v>
      </c>
      <c r="K18" s="557">
        <f>SUMIFS('상세 자료 작성'!$J:$J,'상세 자료 작성'!$C:$C,'요약(보고)'!$C18,'상세 자료 작성'!$A:$A,$AE$11,'상세 자료 작성'!$D:$D,'요약(보고)'!$J$4)/10^8</f>
        <v>1.40625</v>
      </c>
      <c r="L18" s="557">
        <f>SUMIFS('상세 자료 작성'!$K:$K,'상세 자료 작성'!$C:$C,'요약(보고)'!$C18,'상세 자료 작성'!$A:$A,$AE$11,'상세 자료 작성'!$D:$D,$J$4)/10^8</f>
        <v>1.7683333400000001</v>
      </c>
      <c r="M18" s="524">
        <f t="shared" si="3"/>
        <v>0.36208334000000009</v>
      </c>
      <c r="N18" s="554">
        <f>SUMIFS('상세 자료 작성'!$I:$I,'상세 자료 작성'!$C:$C,'요약(보고)'!$C18,'상세 자료 작성'!$A:$A,'요약(보고)'!$AE$9,'상세 자료 작성'!$D:$D,$N$4)/10^8</f>
        <v>0.31604167</v>
      </c>
      <c r="O18" s="557">
        <f>SUMIFS('상세 자료 작성'!$J:$J,'상세 자료 작성'!$C:$C,'요약(보고)'!$C18,'상세 자료 작성'!$A:$A,$AE$11,'상세 자료 작성'!$D:$D,$N$4)/10^8</f>
        <v>0.46875</v>
      </c>
      <c r="P18" s="557">
        <f>SUMIFS('상세 자료 작성'!$K:$K,'상세 자료 작성'!$C:$C,'요약(보고)'!$C18,'상세 자료 작성'!$A:$A,$AE$11,'상세 자료 작성'!$D:$D,$N$4)/10^8</f>
        <v>0</v>
      </c>
      <c r="Q18" s="524">
        <f t="shared" si="4"/>
        <v>-0.46875</v>
      </c>
      <c r="R18" s="556">
        <f>SUMIFS('상세 자료 작성'!$I:$I,'상세 자료 작성'!$C:$C,'요약(보고)'!$C18,'상세 자료 작성'!$A:$A,'요약(보고)'!$AE$9,'상세 자료 작성'!$D:$D,$R$4)/10^8</f>
        <v>2.2370833399999999</v>
      </c>
      <c r="S18" s="557">
        <f>SUMIFS('상세 자료 작성'!$J:$J,'상세 자료 작성'!$C:$C,'요약(보고)'!$C18,'상세 자료 작성'!$A:$A,$AE$11,'상세 자료 작성'!$D:$D,$R$4)/10^8</f>
        <v>2.8125</v>
      </c>
      <c r="T18" s="557">
        <f>SUMIFS('상세 자료 작성'!$K:$K,'상세 자료 작성'!$C:$C,'요약(보고)'!$C18,'상세 자료 작성'!$A:$A,$AE$11,'상세 자료 작성'!$D:$D,$R$4)/10^8</f>
        <v>3.1745833399999999</v>
      </c>
      <c r="U18" s="524">
        <f t="shared" si="5"/>
        <v>0.36208333999999986</v>
      </c>
      <c r="V18" s="528">
        <f t="shared" si="18"/>
        <v>5.2999166799999999</v>
      </c>
      <c r="W18" s="529">
        <f t="shared" si="19"/>
        <v>4.6875</v>
      </c>
      <c r="X18" s="526">
        <f t="shared" si="20"/>
        <v>4.9429166799999997</v>
      </c>
      <c r="Y18" s="558">
        <f t="shared" si="6"/>
        <v>0.25541667999999973</v>
      </c>
      <c r="Z18" s="528">
        <f>SUMIFS('상세 자료 작성'!$I:$I,'상세 자료 작성'!$C:$C,'요약(보고)'!$C18,'상세 자료 작성'!$A:$A,'요약(보고)'!$AE$9)/10^8</f>
        <v>12.81166674</v>
      </c>
      <c r="AA18" s="529">
        <f>SUMIFS('상세 자료 작성'!$J:$J,'상세 자료 작성'!$C:$C,'요약(보고)'!$C18,'상세 자료 작성'!$A:$A,'요약(보고)'!$AE$11)/10^8</f>
        <v>6.09375</v>
      </c>
      <c r="AB18" s="526">
        <f>SUMIFS('상세 자료 작성'!$K:$K,'상세 자료 작성'!$C:$C,'요약(보고)'!$C18,'상세 자료 작성'!$A:$A,'요약(보고)'!$AE$11)/10^8</f>
        <v>6.3491666799999997</v>
      </c>
      <c r="AC18" s="558">
        <f t="shared" si="7"/>
        <v>0.25541667999999973</v>
      </c>
      <c r="AD18" s="509"/>
    </row>
    <row r="19" spans="1:30" ht="30" customHeight="1" x14ac:dyDescent="0.4">
      <c r="A19" s="500"/>
      <c r="B19" s="562"/>
      <c r="C19" s="563" t="s">
        <v>32</v>
      </c>
      <c r="D19" s="564">
        <v>7.4302004899999998</v>
      </c>
      <c r="E19" s="565">
        <f t="shared" si="8"/>
        <v>0</v>
      </c>
      <c r="F19" s="566">
        <f>SUMIFS('상세 자료 작성'!$I:$I,'상세 자료 작성'!$C:$C,'요약(보고)'!$C19,'상세 자료 작성'!$A:$A,'요약(보고)'!$AE$9,'상세 자료 작성'!$B:$B,'요약(보고)'!$F$4)/10^8</f>
        <v>2.64804167</v>
      </c>
      <c r="G19" s="567">
        <f>SUMIFS('상세 자료 작성'!$J:$J,'상세 자료 작성'!$C:$C,'요약(보고)'!$C19,'상세 자료 작성'!$A:$A,$AE$11,'상세 자료 작성'!$B:$B,'요약(보고)'!$F$4)/10^8</f>
        <v>0</v>
      </c>
      <c r="H19" s="567">
        <f>SUMIFS('상세 자료 작성'!$K:$K,'상세 자료 작성'!$C:$C,'요약(보고)'!$C19,'상세 자료 작성'!$A:$A,$AE$11,'상세 자료 작성'!$B:$B,'요약(보고)'!$F$4)/10^8</f>
        <v>0.78861501000000001</v>
      </c>
      <c r="I19" s="568">
        <f t="shared" si="2"/>
        <v>0.78861501000000001</v>
      </c>
      <c r="J19" s="569">
        <f>SUMIFS('상세 자료 작성'!$I:$I,'상세 자료 작성'!$C:$C,'요약(보고)'!$C19,'상세 자료 작성'!$A:$A,'요약(보고)'!$AE$9,'상세 자료 작성'!$D:$D,$J$4)/10^8</f>
        <v>1.17392557</v>
      </c>
      <c r="K19" s="570">
        <f>SUMIFS('상세 자료 작성'!$J:$J,'상세 자료 작성'!$C:$C,'요약(보고)'!$C19,'상세 자료 작성'!$A:$A,$AE$11,'상세 자료 작성'!$D:$D,'요약(보고)'!$J$4)/10^8</f>
        <v>0</v>
      </c>
      <c r="L19" s="570">
        <f>SUMIFS('상세 자료 작성'!$K:$K,'상세 자료 작성'!$C:$C,'요약(보고)'!$C19,'상세 자료 작성'!$A:$A,$AE$11,'상세 자료 작성'!$D:$D,$J$4)/10^8</f>
        <v>0.37327709999999997</v>
      </c>
      <c r="M19" s="568">
        <f t="shared" si="3"/>
        <v>0.37327709999999997</v>
      </c>
      <c r="N19" s="566">
        <f>SUMIFS('상세 자료 작성'!$I:$I,'상세 자료 작성'!$C:$C,'요약(보고)'!$C19,'상세 자료 작성'!$A:$A,'요약(보고)'!$AE$9,'상세 자료 작성'!$D:$D,$N$4)/10^8</f>
        <v>7.9169100000000006E-2</v>
      </c>
      <c r="O19" s="570">
        <f>SUMIFS('상세 자료 작성'!$J:$J,'상세 자료 작성'!$C:$C,'요약(보고)'!$C19,'상세 자료 작성'!$A:$A,$AE$11,'상세 자료 작성'!$D:$D,$N$4)/10^8</f>
        <v>0</v>
      </c>
      <c r="P19" s="570">
        <f>SUMIFS('상세 자료 작성'!$K:$K,'상세 자료 작성'!$C:$C,'요약(보고)'!$C19,'상세 자료 작성'!$A:$A,$AE$11,'상세 자료 작성'!$D:$D,$N$4)/10^8</f>
        <v>0.41533790999999998</v>
      </c>
      <c r="Q19" s="568">
        <f t="shared" si="4"/>
        <v>0.41533790999999998</v>
      </c>
      <c r="R19" s="569">
        <f>SUMIFS('상세 자료 작성'!$I:$I,'상세 자료 작성'!$C:$C,'요약(보고)'!$C19,'상세 자료 작성'!$A:$A,'요약(보고)'!$AE$9,'상세 자료 작성'!$D:$D,$R$4)/10^8</f>
        <v>1.3949469999999999</v>
      </c>
      <c r="S19" s="570">
        <f>SUMIFS('상세 자료 작성'!$J:$J,'상세 자료 작성'!$C:$C,'요약(보고)'!$C19,'상세 자료 작성'!$A:$A,$AE$11,'상세 자료 작성'!$D:$D,$R$4)/10^8</f>
        <v>0</v>
      </c>
      <c r="T19" s="570">
        <f>SUMIFS('상세 자료 작성'!$K:$K,'상세 자료 작성'!$C:$C,'요약(보고)'!$C19,'상세 자료 작성'!$A:$A,$AE$11,'상세 자료 작성'!$D:$D,$R$4)/10^8</f>
        <v>0</v>
      </c>
      <c r="U19" s="568">
        <f t="shared" si="5"/>
        <v>0</v>
      </c>
      <c r="V19" s="571">
        <f t="shared" si="18"/>
        <v>2.64804167</v>
      </c>
      <c r="W19" s="572">
        <f t="shared" si="19"/>
        <v>0</v>
      </c>
      <c r="X19" s="573">
        <f t="shared" si="20"/>
        <v>0.78861501000000001</v>
      </c>
      <c r="Y19" s="574">
        <f t="shared" si="6"/>
        <v>0.78861501000000001</v>
      </c>
      <c r="Z19" s="571">
        <f>SUMIFS('상세 자료 작성'!$I:$I,'상세 자료 작성'!$C:$C,'요약(보고)'!$C19,'상세 자료 작성'!$A:$A,'요약(보고)'!$AE$9)/10^8</f>
        <v>6.4402004899999996</v>
      </c>
      <c r="AA19" s="572">
        <f>SUMIFS('상세 자료 작성'!$J:$J,'상세 자료 작성'!$C:$C,'요약(보고)'!$C19,'상세 자료 작성'!$A:$A,'요약(보고)'!$AE$11)/10^8</f>
        <v>0</v>
      </c>
      <c r="AB19" s="573">
        <f>SUMIFS('상세 자료 작성'!$K:$K,'상세 자료 작성'!$C:$C,'요약(보고)'!$C19,'상세 자료 작성'!$A:$A,'요약(보고)'!$AE$11)/10^8</f>
        <v>0.78861501000000001</v>
      </c>
      <c r="AC19" s="574">
        <f t="shared" si="7"/>
        <v>0.78861501000000001</v>
      </c>
      <c r="AD19" s="509"/>
    </row>
    <row r="20" spans="1:30" ht="30.6" hidden="1" customHeight="1" thickBot="1" x14ac:dyDescent="0.45">
      <c r="A20" s="500"/>
      <c r="B20" s="959" t="s">
        <v>33</v>
      </c>
      <c r="C20" s="960"/>
      <c r="D20" s="575">
        <f t="shared" ref="D20:Y20" si="21">SUM(D21:D23)</f>
        <v>0</v>
      </c>
      <c r="E20" s="576">
        <f t="shared" si="21"/>
        <v>3392.2517261648945</v>
      </c>
      <c r="F20" s="577">
        <f t="shared" si="21"/>
        <v>0</v>
      </c>
      <c r="G20" s="578">
        <f t="shared" si="21"/>
        <v>672.24236946487065</v>
      </c>
      <c r="H20" s="578">
        <f t="shared" si="21"/>
        <v>672.24236946487065</v>
      </c>
      <c r="I20" s="579">
        <f t="shared" si="21"/>
        <v>0</v>
      </c>
      <c r="J20" s="577">
        <f t="shared" si="21"/>
        <v>0</v>
      </c>
      <c r="K20" s="578">
        <f t="shared" si="21"/>
        <v>236.81199082718717</v>
      </c>
      <c r="L20" s="578">
        <f t="shared" si="21"/>
        <v>236.81199082718717</v>
      </c>
      <c r="M20" s="580">
        <f t="shared" si="21"/>
        <v>0</v>
      </c>
      <c r="N20" s="577">
        <f t="shared" si="21"/>
        <v>0</v>
      </c>
      <c r="O20" s="578">
        <f t="shared" si="21"/>
        <v>280.61593471850972</v>
      </c>
      <c r="P20" s="578">
        <f t="shared" si="21"/>
        <v>280.61593471850972</v>
      </c>
      <c r="Q20" s="579">
        <f t="shared" si="21"/>
        <v>0</v>
      </c>
      <c r="R20" s="581">
        <f>'상세 자료 작성'!I39</f>
        <v>9532347466</v>
      </c>
      <c r="S20" s="578">
        <f t="shared" si="21"/>
        <v>364.64056625545982</v>
      </c>
      <c r="T20" s="578">
        <f t="shared" si="21"/>
        <v>364.64056625545982</v>
      </c>
      <c r="U20" s="579">
        <f t="shared" si="21"/>
        <v>0</v>
      </c>
      <c r="V20" s="577">
        <f t="shared" si="21"/>
        <v>0</v>
      </c>
      <c r="W20" s="578">
        <f t="shared" si="21"/>
        <v>882.0684918011566</v>
      </c>
      <c r="X20" s="578">
        <f t="shared" si="21"/>
        <v>882.0684918011566</v>
      </c>
      <c r="Y20" s="579">
        <f t="shared" si="21"/>
        <v>0</v>
      </c>
      <c r="AD20" s="582"/>
    </row>
    <row r="21" spans="1:30" ht="30.6" hidden="1" customHeight="1" x14ac:dyDescent="0.4">
      <c r="A21" s="500"/>
      <c r="B21" s="961"/>
      <c r="C21" s="583" t="s">
        <v>34</v>
      </c>
      <c r="D21" s="584">
        <v>0</v>
      </c>
      <c r="E21" s="585">
        <v>1869.8804545454552</v>
      </c>
      <c r="F21" s="586">
        <v>0</v>
      </c>
      <c r="G21" s="587">
        <v>404.56184402770964</v>
      </c>
      <c r="H21" s="587">
        <v>404.56184402770964</v>
      </c>
      <c r="I21" s="588">
        <f>H21-G21</f>
        <v>0</v>
      </c>
      <c r="J21" s="586">
        <v>0</v>
      </c>
      <c r="K21" s="587">
        <v>157.15481434621429</v>
      </c>
      <c r="L21" s="587">
        <v>157.15481434621429</v>
      </c>
      <c r="M21" s="588">
        <f>L21-K21</f>
        <v>0</v>
      </c>
      <c r="N21" s="586">
        <v>0</v>
      </c>
      <c r="O21" s="587">
        <v>170.53756206571185</v>
      </c>
      <c r="P21" s="587">
        <v>170.53756206571185</v>
      </c>
      <c r="Q21" s="588">
        <f>P21-O21</f>
        <v>0</v>
      </c>
      <c r="R21" s="589">
        <f>'상세 자료 작성'!I40</f>
        <v>26963794201</v>
      </c>
      <c r="S21" s="587">
        <v>194.32656691555093</v>
      </c>
      <c r="T21" s="587">
        <v>194.32656691555093</v>
      </c>
      <c r="U21" s="588">
        <f>T21-S21</f>
        <v>0</v>
      </c>
      <c r="V21" s="586">
        <v>0</v>
      </c>
      <c r="W21" s="587">
        <f>K21+O21+S21</f>
        <v>522.01894332747702</v>
      </c>
      <c r="X21" s="587">
        <f>L21+P21+T21</f>
        <v>522.01894332747702</v>
      </c>
      <c r="Y21" s="588">
        <f>X21-W21</f>
        <v>0</v>
      </c>
      <c r="AD21" s="582"/>
    </row>
    <row r="22" spans="1:30" ht="30.6" hidden="1" customHeight="1" x14ac:dyDescent="0.4">
      <c r="A22" s="500"/>
      <c r="B22" s="961"/>
      <c r="C22" s="590" t="s">
        <v>35</v>
      </c>
      <c r="D22" s="591">
        <v>0</v>
      </c>
      <c r="E22" s="592">
        <v>1000</v>
      </c>
      <c r="F22" s="593">
        <v>0</v>
      </c>
      <c r="G22" s="594">
        <v>214.70497488195741</v>
      </c>
      <c r="H22" s="595">
        <v>214.70497488195741</v>
      </c>
      <c r="I22" s="596">
        <f t="shared" ref="I22:I23" si="22">H22-G22</f>
        <v>0</v>
      </c>
      <c r="J22" s="593">
        <v>0</v>
      </c>
      <c r="K22" s="594">
        <v>57.938841686318121</v>
      </c>
      <c r="L22" s="595">
        <v>57.938841686318121</v>
      </c>
      <c r="M22" s="596">
        <f t="shared" ref="M22:M23" si="23">L22-K22</f>
        <v>0</v>
      </c>
      <c r="N22" s="593">
        <v>0</v>
      </c>
      <c r="O22" s="594">
        <v>86.90826252947717</v>
      </c>
      <c r="P22" s="595">
        <v>86.90826252947717</v>
      </c>
      <c r="Q22" s="596">
        <f t="shared" ref="Q22:Q23" si="24">P22-O22</f>
        <v>0</v>
      </c>
      <c r="R22" s="589">
        <f>'상세 자료 작성'!I41</f>
        <v>1151454672</v>
      </c>
      <c r="S22" s="594">
        <v>144.97405608963564</v>
      </c>
      <c r="T22" s="595">
        <v>144.97405608963564</v>
      </c>
      <c r="U22" s="596">
        <f t="shared" ref="U22:U23" si="25">T22-S22</f>
        <v>0</v>
      </c>
      <c r="V22" s="593">
        <v>0</v>
      </c>
      <c r="W22" s="587">
        <f>K22+O22+S22</f>
        <v>289.82116030543091</v>
      </c>
      <c r="X22" s="587">
        <f>L22+P22+T22</f>
        <v>289.82116030543091</v>
      </c>
      <c r="Y22" s="596">
        <f t="shared" ref="Y22:Y23" si="26">X22-W22</f>
        <v>0</v>
      </c>
      <c r="AD22" s="582"/>
    </row>
    <row r="23" spans="1:30" ht="30.6" hidden="1" customHeight="1" x14ac:dyDescent="0.4">
      <c r="A23" s="597"/>
      <c r="B23" s="962"/>
      <c r="C23" s="598" t="s">
        <v>36</v>
      </c>
      <c r="D23" s="599">
        <v>0</v>
      </c>
      <c r="E23" s="600">
        <v>522.37127161943931</v>
      </c>
      <c r="F23" s="601">
        <v>0</v>
      </c>
      <c r="G23" s="602">
        <v>52.975550555203561</v>
      </c>
      <c r="H23" s="603">
        <v>52.975550555203561</v>
      </c>
      <c r="I23" s="604">
        <f t="shared" si="22"/>
        <v>0</v>
      </c>
      <c r="J23" s="601">
        <v>0</v>
      </c>
      <c r="K23" s="602">
        <v>21.718334794654751</v>
      </c>
      <c r="L23" s="603">
        <v>21.718334794654751</v>
      </c>
      <c r="M23" s="604">
        <f t="shared" si="23"/>
        <v>0</v>
      </c>
      <c r="N23" s="601">
        <v>0</v>
      </c>
      <c r="O23" s="602">
        <v>23.170110123320697</v>
      </c>
      <c r="P23" s="603">
        <v>23.170110123320697</v>
      </c>
      <c r="Q23" s="604">
        <f t="shared" si="24"/>
        <v>0</v>
      </c>
      <c r="R23" s="589">
        <f>'상세 자료 작성'!I42</f>
        <v>0</v>
      </c>
      <c r="S23" s="602">
        <v>25.339943250273222</v>
      </c>
      <c r="T23" s="603">
        <v>25.339943250273222</v>
      </c>
      <c r="U23" s="604">
        <f t="shared" si="25"/>
        <v>0</v>
      </c>
      <c r="V23" s="601">
        <v>0</v>
      </c>
      <c r="W23" s="602">
        <f t="shared" ref="W23:X23" si="27">K23+O23+S23</f>
        <v>70.228388168248671</v>
      </c>
      <c r="X23" s="603">
        <f t="shared" si="27"/>
        <v>70.228388168248671</v>
      </c>
      <c r="Y23" s="604">
        <f t="shared" si="26"/>
        <v>0</v>
      </c>
      <c r="AD23" s="582"/>
    </row>
    <row r="24" spans="1:30" s="605" customFormat="1" ht="30.6" customHeight="1" x14ac:dyDescent="0.4">
      <c r="B24" s="483" t="s">
        <v>37</v>
      </c>
      <c r="G24" s="606"/>
      <c r="H24" s="606"/>
      <c r="I24" s="606"/>
      <c r="K24" s="606"/>
      <c r="L24" s="606"/>
      <c r="M24" s="607"/>
      <c r="O24" s="606"/>
      <c r="P24" s="606"/>
      <c r="Q24" s="606"/>
      <c r="R24" s="608"/>
      <c r="S24" s="606"/>
      <c r="T24" s="606"/>
      <c r="U24" s="606"/>
      <c r="V24" s="608"/>
      <c r="W24" s="606"/>
      <c r="X24" s="606"/>
      <c r="Y24" s="606"/>
    </row>
    <row r="25" spans="1:30" s="605" customFormat="1" ht="9.75" customHeight="1" x14ac:dyDescent="0.4">
      <c r="B25" s="609"/>
      <c r="G25" s="606"/>
      <c r="H25" s="606"/>
      <c r="I25" s="606"/>
      <c r="K25" s="606"/>
      <c r="L25" s="606"/>
      <c r="M25" s="610"/>
      <c r="O25" s="606"/>
      <c r="P25" s="606"/>
      <c r="Q25" s="606"/>
      <c r="R25" s="608"/>
      <c r="S25" s="606"/>
      <c r="T25" s="606"/>
      <c r="U25" s="606"/>
      <c r="V25" s="608"/>
      <c r="W25" s="606"/>
      <c r="X25" s="606"/>
      <c r="Y25" s="606"/>
    </row>
    <row r="26" spans="1:30" ht="24" customHeight="1" x14ac:dyDescent="0.4">
      <c r="B26" s="611" t="s">
        <v>413</v>
      </c>
      <c r="F26" s="487" t="s">
        <v>5</v>
      </c>
      <c r="W26" s="489" t="s">
        <v>38</v>
      </c>
      <c r="Z26" s="489"/>
    </row>
    <row r="27" spans="1:30" ht="52.35" customHeight="1" x14ac:dyDescent="0.4">
      <c r="B27" s="958" t="s">
        <v>7</v>
      </c>
      <c r="C27" s="958"/>
      <c r="D27" s="958"/>
      <c r="E27" s="958" t="s">
        <v>39</v>
      </c>
      <c r="F27" s="958"/>
      <c r="G27" s="957" t="s">
        <v>40</v>
      </c>
      <c r="H27" s="958"/>
      <c r="I27" s="957" t="s">
        <v>41</v>
      </c>
      <c r="J27" s="958"/>
      <c r="K27" s="964" t="s">
        <v>42</v>
      </c>
      <c r="L27" s="965"/>
      <c r="M27" s="958" t="s">
        <v>43</v>
      </c>
      <c r="N27" s="958"/>
      <c r="O27" s="958"/>
      <c r="P27" s="958"/>
      <c r="Q27" s="958"/>
      <c r="R27" s="958"/>
      <c r="S27" s="958"/>
      <c r="T27" s="958"/>
      <c r="U27" s="958"/>
      <c r="V27" s="958"/>
      <c r="W27" s="958"/>
      <c r="X27" s="958"/>
      <c r="Y27" s="958"/>
    </row>
    <row r="28" spans="1:30" ht="69" customHeight="1" x14ac:dyDescent="0.4">
      <c r="B28" s="988" t="s">
        <v>44</v>
      </c>
      <c r="C28" s="988"/>
      <c r="D28" s="988"/>
      <c r="E28" s="966">
        <f>(SUMIFS('상세 자료 작성'!$J:$J,'상세 자료 작성'!$A:$A,'요약(보고)'!$AE$11,'상세 자료 작성'!$D:$D,'요약(보고)'!$F$26,'상세 자료 작성'!$C:$C,'요약(보고)'!#REF!)+SUMIFS('상세 자료 작성'!$J:$J,'상세 자료 작성'!$A:$A,'요약(보고)'!$AE$11,'상세 자료 작성'!$D:$D,'요약(보고)'!$F$26,'상세 자료 작성'!$C:$C,'요약(보고)'!$C$10)+SUMIFS('상세 자료 작성'!$J:$J,'상세 자료 작성'!$A:$A,'요약(보고)'!$AE$11,'상세 자료 작성'!$D:$D,'요약(보고)'!$F$26,'상세 자료 작성'!$C:$C,'요약(보고)'!$C$11))/10^8</f>
        <v>9.6097563333333333</v>
      </c>
      <c r="F28" s="966"/>
      <c r="G28" s="966">
        <f>(SUMIFS('상세 자료 작성'!$M:$M,'상세 자료 작성'!$A:$A,'요약(보고)'!$AE$11,'상세 자료 작성'!$D:$D,'요약(보고)'!$F$26,'상세 자료 작성'!$C:$C,'요약(보고)'!#REF!)+SUMIFS('상세 자료 작성'!$M:$M,'상세 자료 작성'!$A:$A,'요약(보고)'!$AE$11,'상세 자료 작성'!$D:$D,'요약(보고)'!$F$26,'상세 자료 작성'!$C:$C,'요약(보고)'!C10)+SUMIFS('상세 자료 작성'!$M:$M,'상세 자료 작성'!$A:$A,'요약(보고)'!$AE$11,'상세 자료 작성'!$D:$D,'요약(보고)'!$F$26,'상세 자료 작성'!$C:$C,'요약(보고)'!C11))/10^8</f>
        <v>14.899527402133334</v>
      </c>
      <c r="H28" s="966"/>
      <c r="I28" s="966">
        <f>(SUMIFS('상세 자료 작성'!$K:$K,'상세 자료 작성'!$A:$A,'요약(보고)'!$AE$11,'상세 자료 작성'!$D:$D,'요약(보고)'!$F$26,'상세 자료 작성'!$C:$C,'요약(보고)'!#REF!)+SUMIFS('상세 자료 작성'!$K:$K,'상세 자료 작성'!$A:$A,'요약(보고)'!$AE$11,'상세 자료 작성'!$D:$D,'요약(보고)'!$F$26,'상세 자료 작성'!$C:$C,'요약(보고)'!$C$10)+SUMIFS('상세 자료 작성'!$K:$K,'상세 자료 작성'!$A:$A,'요약(보고)'!$AE$11,'상세 자료 작성'!$D:$D,'요약(보고)'!$F$26,'상세 자료 작성'!$C:$C,'요약(보고)'!$C$11))/10^8</f>
        <v>14.729079068800001</v>
      </c>
      <c r="J28" s="966"/>
      <c r="K28" s="955">
        <f>I28-G28</f>
        <v>-0.17044833333333287</v>
      </c>
      <c r="L28" s="955"/>
      <c r="M28" s="974" t="s">
        <v>578</v>
      </c>
      <c r="N28" s="974"/>
      <c r="O28" s="974"/>
      <c r="P28" s="974"/>
      <c r="Q28" s="974"/>
      <c r="R28" s="974"/>
      <c r="S28" s="974"/>
      <c r="T28" s="974"/>
      <c r="U28" s="974"/>
      <c r="V28" s="974"/>
      <c r="W28" s="974"/>
      <c r="X28" s="974"/>
      <c r="Y28" s="974"/>
    </row>
    <row r="29" spans="1:30" ht="19.2" x14ac:dyDescent="0.4">
      <c r="B29" s="945" t="s">
        <v>45</v>
      </c>
      <c r="C29" s="946"/>
      <c r="D29" s="946"/>
      <c r="E29" s="963">
        <f>SUM(E30:F31)</f>
        <v>83.985257500000003</v>
      </c>
      <c r="F29" s="963"/>
      <c r="G29" s="923">
        <f>SUM(G30:H31)</f>
        <v>93.466865200000001</v>
      </c>
      <c r="H29" s="924"/>
      <c r="I29" s="963">
        <f>SUM(I30:J31)</f>
        <v>91.672085199999998</v>
      </c>
      <c r="J29" s="963"/>
      <c r="K29" s="973">
        <f t="shared" ref="K29:K37" si="28">I29-G29</f>
        <v>-1.7947800000000029</v>
      </c>
      <c r="L29" s="973"/>
      <c r="M29" s="975"/>
      <c r="N29" s="975"/>
      <c r="O29" s="975"/>
      <c r="P29" s="975"/>
      <c r="Q29" s="975"/>
      <c r="R29" s="975"/>
      <c r="S29" s="975"/>
      <c r="T29" s="975"/>
      <c r="U29" s="975"/>
      <c r="V29" s="975"/>
      <c r="W29" s="975"/>
      <c r="X29" s="975"/>
      <c r="Y29" s="975"/>
    </row>
    <row r="30" spans="1:30" ht="86.55" customHeight="1" x14ac:dyDescent="0.4">
      <c r="B30" s="612"/>
      <c r="C30" s="953" t="s">
        <v>26</v>
      </c>
      <c r="D30" s="953"/>
      <c r="E30" s="954">
        <f>SUMIFS('상세 자료 작성'!$J:$J,'상세 자료 작성'!$A:$A,'요약(보고)'!$AE$11,'상세 자료 작성'!$D:$D,'요약(보고)'!$F$26,'상세 자료 작성'!$C:$C,'요약(보고)'!$C$13)/10^8</f>
        <v>81.331637499999999</v>
      </c>
      <c r="F30" s="954"/>
      <c r="G30" s="954">
        <f>SUMIFS('상세 자료 작성'!$M:$M,'상세 자료 작성'!$A:$A,'요약(보고)'!$AE$11,'상세 자료 작성'!$D:$D,'요약(보고)'!$F$26,'상세 자료 작성'!$C:$C,'요약(보고)'!$C$13)/10^8</f>
        <v>89.291625999999994</v>
      </c>
      <c r="H30" s="954"/>
      <c r="I30" s="954">
        <f>SUMIFS('상세 자료 작성'!$K:$K,'상세 자료 작성'!$A:$A,'요약(보고)'!$AE$11,'상세 자료 작성'!$D:$D,'요약(보고)'!$F$26,'상세 자료 작성'!$C:$C,'요약(보고)'!$C$13)/10^8</f>
        <v>87.496846000000005</v>
      </c>
      <c r="J30" s="954"/>
      <c r="K30" s="955">
        <f t="shared" si="28"/>
        <v>-1.7947799999999887</v>
      </c>
      <c r="L30" s="955"/>
      <c r="M30" s="974" t="s">
        <v>582</v>
      </c>
      <c r="N30" s="974"/>
      <c r="O30" s="974"/>
      <c r="P30" s="974"/>
      <c r="Q30" s="974"/>
      <c r="R30" s="974"/>
      <c r="S30" s="974"/>
      <c r="T30" s="974"/>
      <c r="U30" s="974"/>
      <c r="V30" s="974"/>
      <c r="W30" s="974"/>
      <c r="X30" s="974"/>
      <c r="Y30" s="974"/>
    </row>
    <row r="31" spans="1:30" ht="24" customHeight="1" x14ac:dyDescent="0.4">
      <c r="B31" s="613"/>
      <c r="C31" s="953" t="s">
        <v>27</v>
      </c>
      <c r="D31" s="953"/>
      <c r="E31" s="954">
        <f>SUMIFS('상세 자료 작성'!$J:$J,'상세 자료 작성'!$A:$A,'요약(보고)'!$AE$11,'상세 자료 작성'!$D:$D,'요약(보고)'!$F$26,'상세 자료 작성'!$C:$C,'요약(보고)'!$C$14)/10^8</f>
        <v>2.6536200000000001</v>
      </c>
      <c r="F31" s="954"/>
      <c r="G31" s="954">
        <f>SUMIFS('상세 자료 작성'!$M:$M,'상세 자료 작성'!$A:$A,'요약(보고)'!$AE$11,'상세 자료 작성'!$D:$D,'요약(보고)'!$F$26,'상세 자료 작성'!$C:$C,'요약(보고)'!$C$14)/10^8</f>
        <v>4.1752392</v>
      </c>
      <c r="H31" s="954"/>
      <c r="I31" s="954">
        <f>SUMIFS('상세 자료 작성'!$K:$K,'상세 자료 작성'!$A:$A,'요약(보고)'!$AE$11,'상세 자료 작성'!$D:$D,'요약(보고)'!$F$26,'상세 자료 작성'!$C:$C,$C$14)/10^8</f>
        <v>4.1752392</v>
      </c>
      <c r="J31" s="954"/>
      <c r="K31" s="955">
        <f t="shared" si="28"/>
        <v>0</v>
      </c>
      <c r="L31" s="955"/>
      <c r="M31" s="1033"/>
      <c r="N31" s="1033"/>
      <c r="O31" s="1033"/>
      <c r="P31" s="1033"/>
      <c r="Q31" s="1033"/>
      <c r="R31" s="1033"/>
      <c r="S31" s="1033"/>
      <c r="T31" s="1033"/>
      <c r="U31" s="1033"/>
      <c r="V31" s="1033"/>
      <c r="W31" s="1033"/>
      <c r="X31" s="1033"/>
      <c r="Y31" s="1033"/>
    </row>
    <row r="32" spans="1:30" ht="19.2" x14ac:dyDescent="0.4">
      <c r="B32" s="945" t="s">
        <v>46</v>
      </c>
      <c r="C32" s="946"/>
      <c r="D32" s="946"/>
      <c r="E32" s="1026">
        <f>SUM(E33:F36)</f>
        <v>11.151249999999999</v>
      </c>
      <c r="F32" s="1026"/>
      <c r="G32" s="1026">
        <f>SUM(G33:H36)</f>
        <v>8.5672499999999996</v>
      </c>
      <c r="H32" s="1026"/>
      <c r="I32" s="1026">
        <f>SUM(I33:J36)</f>
        <v>7.8963346400000001</v>
      </c>
      <c r="J32" s="1026"/>
      <c r="K32" s="973">
        <f t="shared" si="28"/>
        <v>-0.67091535999999952</v>
      </c>
      <c r="L32" s="973"/>
      <c r="M32" s="1030"/>
      <c r="N32" s="1031"/>
      <c r="O32" s="1031"/>
      <c r="P32" s="1031"/>
      <c r="Q32" s="1031"/>
      <c r="R32" s="1031"/>
      <c r="S32" s="1031"/>
      <c r="T32" s="1031"/>
      <c r="U32" s="1031"/>
      <c r="V32" s="1031"/>
      <c r="W32" s="1031"/>
      <c r="X32" s="1031"/>
      <c r="Y32" s="1032"/>
    </row>
    <row r="33" spans="2:27" ht="61.2" customHeight="1" x14ac:dyDescent="0.4">
      <c r="B33" s="612"/>
      <c r="C33" s="953" t="s">
        <v>29</v>
      </c>
      <c r="D33" s="953"/>
      <c r="E33" s="954">
        <f>SUMIFS('상세 자료 작성'!$J:$J,'상세 자료 작성'!$A:$A,'요약(보고)'!$AE$11,'상세 자료 작성'!$D:$D,'요약(보고)'!$F$26,'상세 자료 작성'!$C:$C,$C16)/10^8</f>
        <v>7.02</v>
      </c>
      <c r="F33" s="954"/>
      <c r="G33" s="954">
        <f>SUMIFS('상세 자료 작성'!$M:$M,'상세 자료 작성'!$A:$A,'요약(보고)'!$AE$11,'상세 자료 작성'!$D:$D,'요약(보고)'!$F$26,'상세 자료 작성'!$C:$C,$C16)/10^8</f>
        <v>4.4359999999999999</v>
      </c>
      <c r="H33" s="954"/>
      <c r="I33" s="954">
        <f>SUMIFS('상세 자료 작성'!$K:$K,'상세 자료 작성'!$A:$A,'요약(보고)'!$AE$11,'상세 자료 작성'!$D:$D,'요약(보고)'!$F$26,'상세 자료 작성'!$C:$C,$C16)/10^8</f>
        <v>4.7217513000000002</v>
      </c>
      <c r="J33" s="954"/>
      <c r="K33" s="955">
        <f>I33-G33</f>
        <v>0.28575130000000026</v>
      </c>
      <c r="L33" s="955"/>
      <c r="M33" s="1033" t="s">
        <v>577</v>
      </c>
      <c r="N33" s="1033"/>
      <c r="O33" s="1033"/>
      <c r="P33" s="1033"/>
      <c r="Q33" s="1033"/>
      <c r="R33" s="1033"/>
      <c r="S33" s="1033"/>
      <c r="T33" s="1033"/>
      <c r="U33" s="1033"/>
      <c r="V33" s="1033"/>
      <c r="W33" s="1033"/>
      <c r="X33" s="1033"/>
      <c r="Y33" s="1033"/>
    </row>
    <row r="34" spans="2:27" ht="64.2" customHeight="1" x14ac:dyDescent="0.4">
      <c r="B34" s="612"/>
      <c r="C34" s="953" t="s">
        <v>30</v>
      </c>
      <c r="D34" s="953"/>
      <c r="E34" s="954">
        <f>SUMIFS('상세 자료 작성'!$J:$J,'상세 자료 작성'!$A:$A,'요약(보고)'!$AE$11,'상세 자료 작성'!$D:$D,'요약(보고)'!$F$26,'상세 자료 작성'!$C:$C,$C17)/10^8</f>
        <v>1.3187500000000001</v>
      </c>
      <c r="F34" s="954"/>
      <c r="G34" s="954">
        <f>SUMIFS('상세 자료 작성'!$M:$M,'상세 자료 작성'!$A:$A,'요약(보고)'!$AE$11,'상세 자료 작성'!$D:$D,'요약(보고)'!$F$26,'상세 자료 작성'!$C:$C,$C17)/10^8</f>
        <v>1.3187500000000001</v>
      </c>
      <c r="H34" s="954"/>
      <c r="I34" s="954">
        <f>SUMIFS('상세 자료 작성'!$K:$K,'상세 자료 작성'!$A:$A,'요약(보고)'!$AE$11,'상세 자료 작성'!$D:$D,'요약(보고)'!$F$26,'상세 자료 작성'!$C:$C,$C17)/10^8</f>
        <v>0</v>
      </c>
      <c r="J34" s="954"/>
      <c r="K34" s="955">
        <f t="shared" si="28"/>
        <v>-1.3187500000000001</v>
      </c>
      <c r="L34" s="955"/>
      <c r="M34" s="1034" t="s">
        <v>576</v>
      </c>
      <c r="N34" s="1028"/>
      <c r="O34" s="1028"/>
      <c r="P34" s="1028"/>
      <c r="Q34" s="1028"/>
      <c r="R34" s="1028"/>
      <c r="S34" s="1028"/>
      <c r="T34" s="1028"/>
      <c r="U34" s="1028"/>
      <c r="V34" s="1028"/>
      <c r="W34" s="1028"/>
      <c r="X34" s="1028"/>
      <c r="Y34" s="1028"/>
    </row>
    <row r="35" spans="2:27" ht="19.2" x14ac:dyDescent="0.4">
      <c r="B35" s="612"/>
      <c r="C35" s="953" t="s">
        <v>31</v>
      </c>
      <c r="D35" s="953"/>
      <c r="E35" s="954">
        <f>SUMIFS('상세 자료 작성'!$J:$J,'상세 자료 작성'!$A:$A,'요약(보고)'!$AE$11,'상세 자료 작성'!$D:$D,'요약(보고)'!$F$26,'상세 자료 작성'!$C:$C,$C18)/10^8</f>
        <v>2.8125</v>
      </c>
      <c r="F35" s="954"/>
      <c r="G35" s="954">
        <f>SUMIFS('상세 자료 작성'!$M:$M,'상세 자료 작성'!$A:$A,'요약(보고)'!$AE$11,'상세 자료 작성'!$D:$D,'요약(보고)'!$F$26,'상세 자료 작성'!$C:$C,$C18)/10^8</f>
        <v>2.8125</v>
      </c>
      <c r="H35" s="954"/>
      <c r="I35" s="954">
        <f>SUMIFS('상세 자료 작성'!$K:$K,'상세 자료 작성'!$A:$A,'요약(보고)'!$AE$11,'상세 자료 작성'!$D:$D,'요약(보고)'!$F$26,'상세 자료 작성'!$C:$C,$C18)/10^8</f>
        <v>3.1745833399999999</v>
      </c>
      <c r="J35" s="954"/>
      <c r="K35" s="955">
        <f t="shared" si="28"/>
        <v>0.36208333999999986</v>
      </c>
      <c r="L35" s="955"/>
      <c r="M35" s="1033" t="s">
        <v>575</v>
      </c>
      <c r="N35" s="1033"/>
      <c r="O35" s="1033"/>
      <c r="P35" s="1033"/>
      <c r="Q35" s="1033"/>
      <c r="R35" s="1033"/>
      <c r="S35" s="1033"/>
      <c r="T35" s="1033"/>
      <c r="U35" s="1033"/>
      <c r="V35" s="1033"/>
      <c r="W35" s="1033"/>
      <c r="X35" s="1033"/>
      <c r="Y35" s="1033"/>
    </row>
    <row r="36" spans="2:27" ht="26.85" customHeight="1" x14ac:dyDescent="0.4">
      <c r="B36" s="613"/>
      <c r="C36" s="953" t="s">
        <v>32</v>
      </c>
      <c r="D36" s="953"/>
      <c r="E36" s="954">
        <f>SUMIFS('상세 자료 작성'!$J:$J,'상세 자료 작성'!$A:$A,'요약(보고)'!$AE$11,'상세 자료 작성'!$D:$D,'요약(보고)'!$F$26,'상세 자료 작성'!$C:$C,$C19)/10^8</f>
        <v>0</v>
      </c>
      <c r="F36" s="954"/>
      <c r="G36" s="954">
        <f>SUMIFS('상세 자료 작성'!$M:$M,'상세 자료 작성'!$A:$A,'요약(보고)'!$AE$11,'상세 자료 작성'!$D:$D,'요약(보고)'!$F$26,'상세 자료 작성'!$C:$C,$C19)/10^8</f>
        <v>0</v>
      </c>
      <c r="H36" s="954"/>
      <c r="I36" s="954">
        <f>SUMIFS('상세 자료 작성'!$K:$K,'상세 자료 작성'!$A:$A,'요약(보고)'!$AE$11,'상세 자료 작성'!$D:$D,'요약(보고)'!$F$26,'상세 자료 작성'!$C:$C,$C19)/10^8</f>
        <v>0</v>
      </c>
      <c r="J36" s="954"/>
      <c r="K36" s="955">
        <f t="shared" si="28"/>
        <v>0</v>
      </c>
      <c r="L36" s="955"/>
      <c r="M36" s="1028"/>
      <c r="N36" s="1028"/>
      <c r="O36" s="1028"/>
      <c r="P36" s="1028"/>
      <c r="Q36" s="1028"/>
      <c r="R36" s="1028"/>
      <c r="S36" s="1028"/>
      <c r="T36" s="1028"/>
      <c r="U36" s="1028"/>
      <c r="V36" s="1028"/>
      <c r="W36" s="1028"/>
      <c r="X36" s="1028"/>
      <c r="Y36" s="1028"/>
    </row>
    <row r="37" spans="2:27" ht="24.6" customHeight="1" x14ac:dyDescent="0.4">
      <c r="B37" s="1037" t="s">
        <v>47</v>
      </c>
      <c r="C37" s="1037"/>
      <c r="D37" s="1037"/>
      <c r="E37" s="993">
        <f>E28+E29+E32</f>
        <v>104.74626383333334</v>
      </c>
      <c r="F37" s="993"/>
      <c r="G37" s="1038">
        <f>SUM(G28,G29,G32)</f>
        <v>116.93364260213333</v>
      </c>
      <c r="H37" s="1038"/>
      <c r="I37" s="993">
        <f>I28+I29+I32</f>
        <v>114.29749890880001</v>
      </c>
      <c r="J37" s="993"/>
      <c r="K37" s="991">
        <f t="shared" si="28"/>
        <v>-2.6361436933333238</v>
      </c>
      <c r="L37" s="991"/>
      <c r="M37" s="1029" t="s">
        <v>574</v>
      </c>
      <c r="N37" s="1029"/>
      <c r="O37" s="1029"/>
      <c r="P37" s="1029"/>
      <c r="Q37" s="1029"/>
      <c r="R37" s="1029"/>
      <c r="S37" s="1029"/>
      <c r="T37" s="1029"/>
      <c r="U37" s="1029"/>
      <c r="V37" s="1029"/>
      <c r="W37" s="1029"/>
      <c r="X37" s="1029"/>
      <c r="Y37" s="1029"/>
      <c r="AA37" s="614"/>
    </row>
    <row r="38" spans="2:27" ht="27.6" customHeight="1" x14ac:dyDescent="0.4">
      <c r="B38" s="615"/>
      <c r="C38" s="615"/>
      <c r="D38" s="615"/>
      <c r="E38" s="616"/>
      <c r="F38" s="616"/>
      <c r="G38" s="616"/>
      <c r="H38" s="616"/>
      <c r="I38" s="616"/>
      <c r="J38" s="616"/>
      <c r="K38" s="616"/>
      <c r="M38" s="617"/>
      <c r="N38" s="617"/>
      <c r="O38" s="618"/>
      <c r="P38" s="618"/>
      <c r="R38" s="618"/>
      <c r="S38" s="618"/>
      <c r="T38" s="618"/>
      <c r="U38" s="618"/>
      <c r="V38" s="618"/>
      <c r="W38" s="618"/>
      <c r="X38" s="618"/>
      <c r="Y38" s="618"/>
    </row>
    <row r="39" spans="2:27" ht="23.4" hidden="1" thickBot="1" x14ac:dyDescent="0.45">
      <c r="B39" s="611" t="s">
        <v>48</v>
      </c>
      <c r="L39" s="616"/>
      <c r="Y39" s="486"/>
    </row>
    <row r="40" spans="2:27" ht="50.1" hidden="1" customHeight="1" x14ac:dyDescent="0.4">
      <c r="B40" s="1006" t="s">
        <v>7</v>
      </c>
      <c r="C40" s="918"/>
      <c r="D40" s="853"/>
      <c r="E40" s="1006" t="s">
        <v>39</v>
      </c>
      <c r="F40" s="853"/>
      <c r="G40" s="917" t="s">
        <v>40</v>
      </c>
      <c r="H40" s="853"/>
      <c r="I40" s="917" t="s">
        <v>41</v>
      </c>
      <c r="J40" s="853"/>
      <c r="K40" s="892" t="s">
        <v>42</v>
      </c>
      <c r="L40" s="893"/>
      <c r="M40" s="918" t="s">
        <v>43</v>
      </c>
      <c r="N40" s="918"/>
      <c r="O40" s="918"/>
      <c r="P40" s="918"/>
      <c r="Q40" s="918"/>
      <c r="R40" s="918"/>
      <c r="S40" s="918"/>
      <c r="T40" s="918"/>
      <c r="U40" s="918"/>
      <c r="V40" s="918"/>
      <c r="W40" s="947"/>
    </row>
    <row r="41" spans="2:27" ht="21.6" hidden="1" customHeight="1" x14ac:dyDescent="0.4">
      <c r="B41" s="982" t="s">
        <v>44</v>
      </c>
      <c r="C41" s="983"/>
      <c r="D41" s="984"/>
      <c r="E41" s="985">
        <f>W9</f>
        <v>25.134453140000002</v>
      </c>
      <c r="F41" s="986"/>
      <c r="G41" s="851">
        <f>SUM('상세 자료 작성'!M215:M217,'상세 자료 작성'!M226:M228,'상세 자료 작성'!M237:M239)/10^8</f>
        <v>44.62638595</v>
      </c>
      <c r="H41" s="992"/>
      <c r="I41" s="851">
        <f>X9</f>
        <v>27.588819538800003</v>
      </c>
      <c r="J41" s="992"/>
      <c r="K41" s="951">
        <f>I41-G41</f>
        <v>-17.037566411199997</v>
      </c>
      <c r="L41" s="952"/>
      <c r="M41" s="948" t="s">
        <v>49</v>
      </c>
      <c r="N41" s="949"/>
      <c r="O41" s="949"/>
      <c r="P41" s="949"/>
      <c r="Q41" s="949"/>
      <c r="R41" s="949"/>
      <c r="S41" s="949"/>
      <c r="T41" s="949"/>
      <c r="U41" s="949"/>
      <c r="V41" s="949"/>
      <c r="W41" s="950"/>
      <c r="X41" s="619"/>
      <c r="Y41" s="619"/>
    </row>
    <row r="42" spans="2:27" ht="21.6" hidden="1" customHeight="1" x14ac:dyDescent="0.4">
      <c r="B42" s="989" t="s">
        <v>45</v>
      </c>
      <c r="C42" s="990"/>
      <c r="D42" s="990"/>
      <c r="E42" s="864">
        <f>SUM(E43:F44)</f>
        <v>246.45125989999997</v>
      </c>
      <c r="F42" s="987"/>
      <c r="G42" s="864">
        <f>SUM(G43:H44)</f>
        <v>286.88216790000001</v>
      </c>
      <c r="H42" s="994"/>
      <c r="I42" s="865">
        <f>SUM(I43:J44)</f>
        <v>266.20900940000001</v>
      </c>
      <c r="J42" s="1025"/>
      <c r="K42" s="1002">
        <f t="shared" ref="K42:K51" si="29">I42-G42</f>
        <v>-20.6731585</v>
      </c>
      <c r="L42" s="1003"/>
      <c r="M42" s="998"/>
      <c r="N42" s="998"/>
      <c r="O42" s="998"/>
      <c r="P42" s="998"/>
      <c r="Q42" s="998"/>
      <c r="R42" s="998"/>
      <c r="S42" s="998"/>
      <c r="T42" s="998"/>
      <c r="U42" s="998"/>
      <c r="V42" s="998"/>
      <c r="W42" s="999"/>
    </row>
    <row r="43" spans="2:27" ht="21.6" hidden="1" customHeight="1" x14ac:dyDescent="0.4">
      <c r="B43" s="620"/>
      <c r="C43" s="873" t="s">
        <v>26</v>
      </c>
      <c r="D43" s="874"/>
      <c r="E43" s="851">
        <f>W13</f>
        <v>238.39925849999997</v>
      </c>
      <c r="F43" s="852"/>
      <c r="G43" s="851">
        <f>SUM('상세 자료 작성'!M219,'상세 자료 작성'!M230,'상세 자료 작성'!M241)/10^8</f>
        <v>280.285166</v>
      </c>
      <c r="H43" s="992"/>
      <c r="I43" s="851">
        <f>X13</f>
        <v>256.66706099999999</v>
      </c>
      <c r="J43" s="992"/>
      <c r="K43" s="951">
        <f t="shared" si="29"/>
        <v>-23.618105000000014</v>
      </c>
      <c r="L43" s="952"/>
      <c r="M43" s="1027" t="s">
        <v>49</v>
      </c>
      <c r="N43" s="899"/>
      <c r="O43" s="899"/>
      <c r="P43" s="899"/>
      <c r="Q43" s="899"/>
      <c r="R43" s="899"/>
      <c r="S43" s="899"/>
      <c r="T43" s="899"/>
      <c r="U43" s="899"/>
      <c r="V43" s="899"/>
      <c r="W43" s="900"/>
    </row>
    <row r="44" spans="2:27" ht="21.6" hidden="1" customHeight="1" x14ac:dyDescent="0.4">
      <c r="B44" s="620"/>
      <c r="C44" s="873" t="s">
        <v>27</v>
      </c>
      <c r="D44" s="874"/>
      <c r="E44" s="851">
        <f>W14</f>
        <v>8.0520014</v>
      </c>
      <c r="F44" s="852"/>
      <c r="G44" s="851">
        <f>SUM('상세 자료 작성'!M218,'상세 자료 작성'!M229,'상세 자료 작성'!M240)/10^8</f>
        <v>6.5970019000000004</v>
      </c>
      <c r="H44" s="992"/>
      <c r="I44" s="851">
        <f>X14</f>
        <v>9.5419484000000008</v>
      </c>
      <c r="J44" s="992"/>
      <c r="K44" s="951">
        <f t="shared" si="29"/>
        <v>2.9449465000000004</v>
      </c>
      <c r="L44" s="952"/>
      <c r="M44" s="1010"/>
      <c r="N44" s="1011"/>
      <c r="O44" s="1011"/>
      <c r="P44" s="1011"/>
      <c r="Q44" s="1011"/>
      <c r="R44" s="1011"/>
      <c r="S44" s="1011"/>
      <c r="T44" s="1011"/>
      <c r="U44" s="1011"/>
      <c r="V44" s="1011"/>
      <c r="W44" s="1012"/>
    </row>
    <row r="45" spans="2:27" ht="21.6" hidden="1" customHeight="1" x14ac:dyDescent="0.4">
      <c r="B45" s="989" t="s">
        <v>46</v>
      </c>
      <c r="C45" s="990"/>
      <c r="D45" s="990"/>
      <c r="E45" s="864" t="e">
        <f>SUM(E46:F50)</f>
        <v>#REF!</v>
      </c>
      <c r="F45" s="987"/>
      <c r="G45" s="864">
        <f>SUM(G46:H50)</f>
        <v>50.674777130000003</v>
      </c>
      <c r="H45" s="994"/>
      <c r="I45" s="865" t="e">
        <f>SUM(I46:J50)</f>
        <v>#REF!</v>
      </c>
      <c r="J45" s="1025"/>
      <c r="K45" s="1002" t="e">
        <f t="shared" si="29"/>
        <v>#REF!</v>
      </c>
      <c r="L45" s="1003"/>
      <c r="M45" s="997"/>
      <c r="N45" s="998"/>
      <c r="O45" s="998"/>
      <c r="P45" s="998"/>
      <c r="Q45" s="998"/>
      <c r="R45" s="998"/>
      <c r="S45" s="998"/>
      <c r="T45" s="998"/>
      <c r="U45" s="998"/>
      <c r="V45" s="998"/>
      <c r="W45" s="999"/>
    </row>
    <row r="46" spans="2:27" ht="21.6" hidden="1" customHeight="1" x14ac:dyDescent="0.4">
      <c r="B46" s="620"/>
      <c r="C46" s="873" t="s">
        <v>50</v>
      </c>
      <c r="D46" s="874"/>
      <c r="E46" s="851" t="e">
        <f>#REF!</f>
        <v>#REF!</v>
      </c>
      <c r="F46" s="852"/>
      <c r="G46" s="851">
        <f>SUM('상세 자료 작성'!M220,'상세 자료 작성'!M231,'상세 자료 작성'!M242)/10^8</f>
        <v>0</v>
      </c>
      <c r="H46" s="992"/>
      <c r="I46" s="851" t="e">
        <f>#REF!</f>
        <v>#REF!</v>
      </c>
      <c r="J46" s="992"/>
      <c r="K46" s="951" t="e">
        <f t="shared" si="29"/>
        <v>#REF!</v>
      </c>
      <c r="L46" s="952"/>
      <c r="M46" s="1000"/>
      <c r="N46" s="1000"/>
      <c r="O46" s="1000"/>
      <c r="P46" s="1000"/>
      <c r="Q46" s="1000"/>
      <c r="R46" s="1000"/>
      <c r="S46" s="1000"/>
      <c r="T46" s="1000"/>
      <c r="U46" s="1000"/>
      <c r="V46" s="1000"/>
      <c r="W46" s="1001"/>
    </row>
    <row r="47" spans="2:27" ht="21.6" hidden="1" customHeight="1" x14ac:dyDescent="0.4">
      <c r="B47" s="620"/>
      <c r="C47" s="873" t="s">
        <v>30</v>
      </c>
      <c r="D47" s="874"/>
      <c r="E47" s="851">
        <f>W17</f>
        <v>1.7875000000000001</v>
      </c>
      <c r="F47" s="852"/>
      <c r="G47" s="851">
        <f>SUM('상세 자료 작성'!M221,'상세 자료 작성'!M232,'상세 자료 작성'!M243)/10^8</f>
        <v>7.9050000000000002</v>
      </c>
      <c r="H47" s="992"/>
      <c r="I47" s="1004">
        <f>X17</f>
        <v>0</v>
      </c>
      <c r="J47" s="1005"/>
      <c r="K47" s="951">
        <f t="shared" si="29"/>
        <v>-7.9050000000000002</v>
      </c>
      <c r="L47" s="952"/>
      <c r="M47" s="1022"/>
      <c r="N47" s="1023"/>
      <c r="O47" s="1023"/>
      <c r="P47" s="1023"/>
      <c r="Q47" s="1023"/>
      <c r="R47" s="1023"/>
      <c r="S47" s="1023"/>
      <c r="T47" s="1023"/>
      <c r="U47" s="1023"/>
      <c r="V47" s="1023"/>
      <c r="W47" s="1024"/>
    </row>
    <row r="48" spans="2:27" ht="21.6" hidden="1" customHeight="1" x14ac:dyDescent="0.4">
      <c r="B48" s="620"/>
      <c r="C48" s="873" t="s">
        <v>29</v>
      </c>
      <c r="D48" s="874"/>
      <c r="E48" s="851">
        <f>W16</f>
        <v>35.326999999999998</v>
      </c>
      <c r="F48" s="852"/>
      <c r="G48" s="851">
        <f>SUM('상세 자료 작성'!M222,'상세 자료 작성'!M233,'상세 자료 작성'!M244)/10^8</f>
        <v>39.293733109999998</v>
      </c>
      <c r="H48" s="992"/>
      <c r="I48" s="1004">
        <f>X16</f>
        <v>34.321650720000001</v>
      </c>
      <c r="J48" s="1005"/>
      <c r="K48" s="951">
        <f t="shared" si="29"/>
        <v>-4.9720823899999971</v>
      </c>
      <c r="L48" s="1013"/>
      <c r="M48" s="948"/>
      <c r="N48" s="949"/>
      <c r="O48" s="949"/>
      <c r="P48" s="949"/>
      <c r="Q48" s="949"/>
      <c r="R48" s="949"/>
      <c r="S48" s="949"/>
      <c r="T48" s="949"/>
      <c r="U48" s="949"/>
      <c r="V48" s="949"/>
      <c r="W48" s="950"/>
    </row>
    <row r="49" spans="2:25" ht="21.6" hidden="1" customHeight="1" x14ac:dyDescent="0.4">
      <c r="B49" s="620"/>
      <c r="C49" s="873" t="s">
        <v>22</v>
      </c>
      <c r="D49" s="874"/>
      <c r="E49" s="851">
        <f>W18</f>
        <v>4.6875</v>
      </c>
      <c r="F49" s="852"/>
      <c r="G49" s="851">
        <f>SUM('상세 자료 작성'!M223,'상세 자료 작성'!M234,'상세 자료 작성'!M245)/10^8</f>
        <v>2.45975002</v>
      </c>
      <c r="H49" s="992"/>
      <c r="I49" s="1004">
        <f>X18</f>
        <v>4.9429166799999997</v>
      </c>
      <c r="J49" s="1005"/>
      <c r="K49" s="951">
        <f t="shared" si="29"/>
        <v>2.4831666599999997</v>
      </c>
      <c r="L49" s="952"/>
      <c r="M49" s="898"/>
      <c r="N49" s="1015"/>
      <c r="O49" s="1015"/>
      <c r="P49" s="1015"/>
      <c r="Q49" s="1015"/>
      <c r="R49" s="1015"/>
      <c r="S49" s="1015"/>
      <c r="T49" s="1015"/>
      <c r="U49" s="1015"/>
      <c r="V49" s="1015"/>
      <c r="W49" s="1016"/>
      <c r="Y49" s="621"/>
    </row>
    <row r="50" spans="2:25" ht="21.6" hidden="1" customHeight="1" x14ac:dyDescent="0.4">
      <c r="B50" s="620"/>
      <c r="C50" s="873" t="s">
        <v>51</v>
      </c>
      <c r="D50" s="874"/>
      <c r="E50" s="851">
        <f>W19</f>
        <v>0</v>
      </c>
      <c r="F50" s="852"/>
      <c r="G50" s="851">
        <f>SUM('상세 자료 작성'!M224,'상세 자료 작성'!M235,'상세 자료 작성'!M246)/10^8</f>
        <v>1.016294</v>
      </c>
      <c r="H50" s="992"/>
      <c r="I50" s="1004">
        <f>X19</f>
        <v>0.78861501000000001</v>
      </c>
      <c r="J50" s="1005"/>
      <c r="K50" s="951">
        <f t="shared" si="29"/>
        <v>-0.22767899000000003</v>
      </c>
      <c r="L50" s="952"/>
      <c r="M50" s="898"/>
      <c r="N50" s="899"/>
      <c r="O50" s="899"/>
      <c r="P50" s="899"/>
      <c r="Q50" s="899"/>
      <c r="R50" s="899"/>
      <c r="S50" s="899"/>
      <c r="T50" s="899"/>
      <c r="U50" s="899"/>
      <c r="V50" s="899"/>
      <c r="W50" s="900"/>
    </row>
    <row r="51" spans="2:25" ht="21.6" hidden="1" customHeight="1" thickBot="1" x14ac:dyDescent="0.45">
      <c r="B51" s="889" t="s">
        <v>47</v>
      </c>
      <c r="C51" s="890"/>
      <c r="D51" s="891"/>
      <c r="E51" s="875" t="e">
        <f>E41+E42+E45</f>
        <v>#REF!</v>
      </c>
      <c r="F51" s="888"/>
      <c r="G51" s="875">
        <f>G41+G42+G45</f>
        <v>382.18333097999999</v>
      </c>
      <c r="H51" s="888"/>
      <c r="I51" s="875" t="e">
        <f>I41+I42+I45</f>
        <v>#REF!</v>
      </c>
      <c r="J51" s="1036"/>
      <c r="K51" s="912" t="e">
        <f t="shared" si="29"/>
        <v>#REF!</v>
      </c>
      <c r="L51" s="913"/>
      <c r="M51" s="915" t="s">
        <v>52</v>
      </c>
      <c r="N51" s="915"/>
      <c r="O51" s="915"/>
      <c r="P51" s="915"/>
      <c r="Q51" s="915"/>
      <c r="R51" s="915"/>
      <c r="S51" s="915"/>
      <c r="T51" s="915"/>
      <c r="U51" s="915"/>
      <c r="V51" s="915"/>
      <c r="W51" s="916"/>
    </row>
    <row r="52" spans="2:25" ht="12" customHeight="1" x14ac:dyDescent="0.4">
      <c r="B52" s="1035"/>
      <c r="C52" s="1035"/>
      <c r="D52" s="1035"/>
      <c r="E52" s="616"/>
      <c r="F52" s="616"/>
      <c r="G52" s="616"/>
      <c r="H52" s="616"/>
      <c r="I52" s="616"/>
      <c r="J52" s="616"/>
      <c r="K52" s="616"/>
      <c r="L52" s="616"/>
      <c r="M52" s="622"/>
      <c r="N52" s="622"/>
      <c r="O52" s="623"/>
      <c r="P52" s="623"/>
      <c r="Q52" s="623"/>
      <c r="R52" s="623"/>
      <c r="S52" s="623"/>
      <c r="T52" s="623"/>
      <c r="U52" s="623"/>
      <c r="V52" s="623"/>
      <c r="W52" s="623"/>
      <c r="X52" s="623"/>
      <c r="Y52" s="623"/>
    </row>
    <row r="53" spans="2:25" ht="25.35" hidden="1" customHeight="1" x14ac:dyDescent="0.4">
      <c r="B53" s="611" t="s">
        <v>53</v>
      </c>
      <c r="X53" s="623"/>
      <c r="Y53" s="623"/>
    </row>
    <row r="54" spans="2:25" ht="25.35" hidden="1" customHeight="1" thickBot="1" x14ac:dyDescent="0.45">
      <c r="B54" s="995" t="s">
        <v>7</v>
      </c>
      <c r="C54" s="995"/>
      <c r="D54" s="995"/>
      <c r="E54" s="995" t="s">
        <v>54</v>
      </c>
      <c r="F54" s="995"/>
      <c r="G54" s="995" t="s">
        <v>55</v>
      </c>
      <c r="H54" s="995"/>
      <c r="I54" s="1014"/>
      <c r="J54" s="995" t="s">
        <v>56</v>
      </c>
      <c r="K54" s="995"/>
      <c r="L54" s="1014"/>
      <c r="M54" s="995" t="s">
        <v>43</v>
      </c>
      <c r="N54" s="995"/>
      <c r="O54" s="995"/>
      <c r="P54" s="995"/>
      <c r="Q54" s="995"/>
      <c r="R54" s="995"/>
      <c r="S54" s="995"/>
      <c r="T54" s="995"/>
      <c r="U54" s="995"/>
      <c r="V54" s="995"/>
      <c r="W54" s="995"/>
      <c r="X54" s="623"/>
      <c r="Y54" s="623"/>
    </row>
    <row r="55" spans="2:25" ht="24" hidden="1" customHeight="1" x14ac:dyDescent="0.4">
      <c r="B55" s="995"/>
      <c r="C55" s="995"/>
      <c r="D55" s="995"/>
      <c r="E55" s="995"/>
      <c r="F55" s="995"/>
      <c r="G55" s="624" t="s">
        <v>57</v>
      </c>
      <c r="H55" s="625" t="s">
        <v>58</v>
      </c>
      <c r="I55" s="626" t="s">
        <v>59</v>
      </c>
      <c r="J55" s="627" t="s">
        <v>57</v>
      </c>
      <c r="K55" s="625" t="s">
        <v>58</v>
      </c>
      <c r="L55" s="626" t="s">
        <v>59</v>
      </c>
      <c r="M55" s="996"/>
      <c r="N55" s="995"/>
      <c r="O55" s="995"/>
      <c r="P55" s="995"/>
      <c r="Q55" s="995"/>
      <c r="R55" s="995"/>
      <c r="S55" s="995"/>
      <c r="T55" s="995"/>
      <c r="U55" s="995"/>
      <c r="V55" s="995"/>
      <c r="W55" s="995"/>
    </row>
    <row r="56" spans="2:25" ht="72" hidden="1" customHeight="1" x14ac:dyDescent="0.4">
      <c r="B56" s="979" t="s">
        <v>44</v>
      </c>
      <c r="C56" s="980"/>
      <c r="D56" s="981"/>
      <c r="E56" s="1017">
        <v>27.901129285714283</v>
      </c>
      <c r="F56" s="1018"/>
      <c r="G56" s="628">
        <v>14.48897541</v>
      </c>
      <c r="H56" s="628">
        <v>17.33273599</v>
      </c>
      <c r="I56" s="629">
        <f>H56-G56</f>
        <v>2.8437605799999996</v>
      </c>
      <c r="J56" s="628">
        <v>29.215681419999999</v>
      </c>
      <c r="K56" s="628">
        <v>32.004119600000003</v>
      </c>
      <c r="L56" s="629">
        <f t="shared" ref="L56:L66" si="30">K56-J56</f>
        <v>2.7884381800000035</v>
      </c>
      <c r="M56" s="1007" t="s">
        <v>60</v>
      </c>
      <c r="N56" s="1008"/>
      <c r="O56" s="1008"/>
      <c r="P56" s="1008"/>
      <c r="Q56" s="1008"/>
      <c r="R56" s="1008"/>
      <c r="S56" s="1008"/>
      <c r="T56" s="1008"/>
      <c r="U56" s="1008"/>
      <c r="V56" s="1008"/>
      <c r="W56" s="1009"/>
    </row>
    <row r="57" spans="2:25" ht="19.2" hidden="1" x14ac:dyDescent="0.4">
      <c r="B57" s="989" t="s">
        <v>45</v>
      </c>
      <c r="C57" s="990"/>
      <c r="D57" s="990"/>
      <c r="E57" s="864">
        <v>303.01408400000003</v>
      </c>
      <c r="F57" s="987"/>
      <c r="G57" s="630">
        <v>78.430538099999993</v>
      </c>
      <c r="H57" s="630">
        <v>70.990869099999998</v>
      </c>
      <c r="I57" s="631">
        <f t="shared" ref="I57:I66" si="31">H57-G57</f>
        <v>-7.439668999999995</v>
      </c>
      <c r="J57" s="630">
        <v>260.9325857</v>
      </c>
      <c r="K57" s="630">
        <v>262.6940907</v>
      </c>
      <c r="L57" s="632">
        <f t="shared" si="30"/>
        <v>1.7615049999999997</v>
      </c>
      <c r="M57" s="904"/>
      <c r="N57" s="905"/>
      <c r="O57" s="905"/>
      <c r="P57" s="905"/>
      <c r="Q57" s="905"/>
      <c r="R57" s="905"/>
      <c r="S57" s="905"/>
      <c r="T57" s="905"/>
      <c r="U57" s="905"/>
      <c r="V57" s="905"/>
      <c r="W57" s="906"/>
    </row>
    <row r="58" spans="2:25" ht="72" hidden="1" customHeight="1" x14ac:dyDescent="0.4">
      <c r="B58" s="620"/>
      <c r="C58" s="873" t="s">
        <v>26</v>
      </c>
      <c r="D58" s="874"/>
      <c r="E58" s="851">
        <v>292.36850900000002</v>
      </c>
      <c r="F58" s="852"/>
      <c r="G58" s="633">
        <v>74.575491499999998</v>
      </c>
      <c r="H58" s="633">
        <v>67.135822500000003</v>
      </c>
      <c r="I58" s="629">
        <f t="shared" si="31"/>
        <v>-7.439668999999995</v>
      </c>
      <c r="J58" s="633">
        <v>244.3935635</v>
      </c>
      <c r="K58" s="633">
        <v>245.16506849999999</v>
      </c>
      <c r="L58" s="634">
        <f t="shared" si="30"/>
        <v>0.77150499999999056</v>
      </c>
      <c r="M58" s="914" t="s">
        <v>61</v>
      </c>
      <c r="N58" s="902"/>
      <c r="O58" s="902"/>
      <c r="P58" s="902"/>
      <c r="Q58" s="902"/>
      <c r="R58" s="902"/>
      <c r="S58" s="902"/>
      <c r="T58" s="902"/>
      <c r="U58" s="902"/>
      <c r="V58" s="902"/>
      <c r="W58" s="903"/>
    </row>
    <row r="59" spans="2:25" ht="19.2" hidden="1" x14ac:dyDescent="0.4">
      <c r="B59" s="620"/>
      <c r="C59" s="873" t="s">
        <v>27</v>
      </c>
      <c r="D59" s="874"/>
      <c r="E59" s="851">
        <v>10.645575000000001</v>
      </c>
      <c r="F59" s="852"/>
      <c r="G59" s="633">
        <v>3.8550466000000001</v>
      </c>
      <c r="H59" s="633">
        <v>3.8550466000000001</v>
      </c>
      <c r="I59" s="629">
        <f t="shared" si="31"/>
        <v>0</v>
      </c>
      <c r="J59" s="633">
        <v>16.539022200000002</v>
      </c>
      <c r="K59" s="633">
        <v>17.5290222</v>
      </c>
      <c r="L59" s="634">
        <f t="shared" si="30"/>
        <v>0.98999999999999844</v>
      </c>
      <c r="M59" s="901" t="s">
        <v>62</v>
      </c>
      <c r="N59" s="902"/>
      <c r="O59" s="902"/>
      <c r="P59" s="902"/>
      <c r="Q59" s="902"/>
      <c r="R59" s="902"/>
      <c r="S59" s="902"/>
      <c r="T59" s="902"/>
      <c r="U59" s="902"/>
      <c r="V59" s="902"/>
      <c r="W59" s="903"/>
    </row>
    <row r="60" spans="2:25" ht="19.2" hidden="1" x14ac:dyDescent="0.4">
      <c r="B60" s="989" t="s">
        <v>46</v>
      </c>
      <c r="C60" s="990"/>
      <c r="D60" s="990"/>
      <c r="E60" s="864">
        <v>0</v>
      </c>
      <c r="F60" s="987"/>
      <c r="G60" s="630">
        <v>13.467252030000001</v>
      </c>
      <c r="H60" s="630">
        <v>20.337252029999998</v>
      </c>
      <c r="I60" s="631">
        <f t="shared" si="31"/>
        <v>6.8699999999999974</v>
      </c>
      <c r="J60" s="630">
        <v>41.133106089999998</v>
      </c>
      <c r="K60" s="630">
        <v>40.966090770000001</v>
      </c>
      <c r="L60" s="632">
        <f t="shared" si="30"/>
        <v>-0.1670153199999973</v>
      </c>
      <c r="M60" s="904"/>
      <c r="N60" s="905"/>
      <c r="O60" s="905"/>
      <c r="P60" s="905"/>
      <c r="Q60" s="905"/>
      <c r="R60" s="905"/>
      <c r="S60" s="905"/>
      <c r="T60" s="905"/>
      <c r="U60" s="905"/>
      <c r="V60" s="905"/>
      <c r="W60" s="906"/>
    </row>
    <row r="61" spans="2:25" ht="19.2" hidden="1" x14ac:dyDescent="0.4">
      <c r="B61" s="620"/>
      <c r="C61" s="873" t="s">
        <v>50</v>
      </c>
      <c r="D61" s="874"/>
      <c r="E61" s="851">
        <v>0</v>
      </c>
      <c r="F61" s="852"/>
      <c r="G61" s="633">
        <v>0</v>
      </c>
      <c r="H61" s="633">
        <v>0</v>
      </c>
      <c r="I61" s="629">
        <f t="shared" si="31"/>
        <v>0</v>
      </c>
      <c r="J61" s="633">
        <v>0</v>
      </c>
      <c r="K61" s="633">
        <v>0</v>
      </c>
      <c r="L61" s="634">
        <f t="shared" si="30"/>
        <v>0</v>
      </c>
      <c r="M61" s="901"/>
      <c r="N61" s="902"/>
      <c r="O61" s="902"/>
      <c r="P61" s="902"/>
      <c r="Q61" s="902"/>
      <c r="R61" s="902"/>
      <c r="S61" s="902"/>
      <c r="T61" s="902"/>
      <c r="U61" s="902"/>
      <c r="V61" s="902"/>
      <c r="W61" s="903"/>
    </row>
    <row r="62" spans="2:25" ht="19.2" hidden="1" x14ac:dyDescent="0.4">
      <c r="B62" s="620"/>
      <c r="C62" s="873" t="s">
        <v>30</v>
      </c>
      <c r="D62" s="874"/>
      <c r="E62" s="851">
        <v>0</v>
      </c>
      <c r="F62" s="852"/>
      <c r="G62" s="633">
        <v>1.29</v>
      </c>
      <c r="H62" s="633">
        <v>0</v>
      </c>
      <c r="I62" s="629">
        <f t="shared" si="31"/>
        <v>-1.29</v>
      </c>
      <c r="J62" s="633">
        <v>5.49</v>
      </c>
      <c r="K62" s="633">
        <v>5.49</v>
      </c>
      <c r="L62" s="634">
        <f t="shared" si="30"/>
        <v>0</v>
      </c>
      <c r="M62" s="908" t="s">
        <v>63</v>
      </c>
      <c r="N62" s="855"/>
      <c r="O62" s="855"/>
      <c r="P62" s="855"/>
      <c r="Q62" s="855"/>
      <c r="R62" s="855"/>
      <c r="S62" s="855"/>
      <c r="T62" s="855"/>
      <c r="U62" s="855"/>
      <c r="V62" s="855"/>
      <c r="W62" s="855"/>
    </row>
    <row r="63" spans="2:25" ht="19.2" hidden="1" x14ac:dyDescent="0.4">
      <c r="B63" s="620"/>
      <c r="C63" s="873" t="s">
        <v>29</v>
      </c>
      <c r="D63" s="874"/>
      <c r="E63" s="851">
        <v>0</v>
      </c>
      <c r="F63" s="852"/>
      <c r="G63" s="633">
        <v>11.861210359999999</v>
      </c>
      <c r="H63" s="633">
        <v>18.731210359999999</v>
      </c>
      <c r="I63" s="629">
        <f t="shared" si="31"/>
        <v>6.8699999999999992</v>
      </c>
      <c r="J63" s="633">
        <v>32.10323108</v>
      </c>
      <c r="K63" s="633">
        <v>31.890174089999999</v>
      </c>
      <c r="L63" s="634">
        <f t="shared" si="30"/>
        <v>-0.21305699000000189</v>
      </c>
      <c r="M63" s="907" t="s">
        <v>64</v>
      </c>
      <c r="N63" s="899"/>
      <c r="O63" s="899"/>
      <c r="P63" s="899"/>
      <c r="Q63" s="899"/>
      <c r="R63" s="899"/>
      <c r="S63" s="899"/>
      <c r="T63" s="899"/>
      <c r="U63" s="899"/>
      <c r="V63" s="899"/>
      <c r="W63" s="900"/>
    </row>
    <row r="64" spans="2:25" ht="19.2" hidden="1" x14ac:dyDescent="0.4">
      <c r="B64" s="620"/>
      <c r="C64" s="873" t="s">
        <v>22</v>
      </c>
      <c r="D64" s="874"/>
      <c r="E64" s="851">
        <v>0</v>
      </c>
      <c r="F64" s="852"/>
      <c r="G64" s="633">
        <v>0.31604167</v>
      </c>
      <c r="H64" s="633">
        <v>0.31604167</v>
      </c>
      <c r="I64" s="629">
        <f t="shared" si="31"/>
        <v>0</v>
      </c>
      <c r="J64" s="633">
        <v>3.29187501</v>
      </c>
      <c r="K64" s="633">
        <v>3.3859166799999998</v>
      </c>
      <c r="L64" s="634">
        <f t="shared" si="30"/>
        <v>9.4041669999999744E-2</v>
      </c>
      <c r="M64" s="901" t="s">
        <v>65</v>
      </c>
      <c r="N64" s="902"/>
      <c r="O64" s="902"/>
      <c r="P64" s="902"/>
      <c r="Q64" s="902"/>
      <c r="R64" s="902"/>
      <c r="S64" s="902"/>
      <c r="T64" s="902"/>
      <c r="U64" s="902"/>
      <c r="V64" s="902"/>
      <c r="W64" s="903"/>
    </row>
    <row r="65" spans="2:25" ht="19.2" hidden="1" x14ac:dyDescent="0.4">
      <c r="B65" s="620"/>
      <c r="C65" s="873" t="s">
        <v>51</v>
      </c>
      <c r="D65" s="874"/>
      <c r="E65" s="851">
        <v>0</v>
      </c>
      <c r="F65" s="852"/>
      <c r="G65" s="633">
        <v>0</v>
      </c>
      <c r="H65" s="633">
        <v>0</v>
      </c>
      <c r="I65" s="629">
        <f t="shared" si="31"/>
        <v>0</v>
      </c>
      <c r="J65" s="633">
        <v>0.248</v>
      </c>
      <c r="K65" s="633">
        <v>0.2</v>
      </c>
      <c r="L65" s="634">
        <f t="shared" si="30"/>
        <v>-4.7999999999999987E-2</v>
      </c>
      <c r="M65" s="909"/>
      <c r="N65" s="910"/>
      <c r="O65" s="910"/>
      <c r="P65" s="910"/>
      <c r="Q65" s="910"/>
      <c r="R65" s="910"/>
      <c r="S65" s="910"/>
      <c r="T65" s="910"/>
      <c r="U65" s="910"/>
      <c r="V65" s="910"/>
      <c r="W65" s="911"/>
    </row>
    <row r="66" spans="2:25" ht="43.35" hidden="1" customHeight="1" thickBot="1" x14ac:dyDescent="0.45">
      <c r="B66" s="889" t="s">
        <v>47</v>
      </c>
      <c r="C66" s="890"/>
      <c r="D66" s="891"/>
      <c r="E66" s="875">
        <v>330.91521328571429</v>
      </c>
      <c r="F66" s="888"/>
      <c r="G66" s="635">
        <v>106.38676553999998</v>
      </c>
      <c r="H66" s="635">
        <v>107.37085712</v>
      </c>
      <c r="I66" s="636">
        <f t="shared" si="31"/>
        <v>0.98409158000001185</v>
      </c>
      <c r="J66" s="635">
        <v>331.28137321000003</v>
      </c>
      <c r="K66" s="635">
        <v>335.66430107000002</v>
      </c>
      <c r="L66" s="637">
        <f t="shared" si="30"/>
        <v>4.3829278599999952</v>
      </c>
      <c r="M66" s="1019"/>
      <c r="N66" s="1020"/>
      <c r="O66" s="1020"/>
      <c r="P66" s="1020"/>
      <c r="Q66" s="1020"/>
      <c r="R66" s="1020"/>
      <c r="S66" s="1020"/>
      <c r="T66" s="1020"/>
      <c r="U66" s="1020"/>
      <c r="V66" s="1020"/>
      <c r="W66" s="1021"/>
    </row>
    <row r="67" spans="2:25" ht="11.1" hidden="1" customHeight="1" x14ac:dyDescent="0.4">
      <c r="B67" s="638"/>
      <c r="C67" s="638"/>
      <c r="D67" s="638"/>
      <c r="E67" s="616"/>
      <c r="F67" s="616"/>
      <c r="G67" s="616"/>
      <c r="H67" s="616"/>
      <c r="I67" s="616"/>
      <c r="J67" s="616"/>
      <c r="K67" s="616"/>
      <c r="L67" s="616"/>
      <c r="M67" s="622"/>
      <c r="N67" s="622"/>
      <c r="O67" s="623"/>
      <c r="P67" s="623"/>
      <c r="Q67" s="623"/>
      <c r="R67" s="623"/>
      <c r="S67" s="623"/>
      <c r="T67" s="623"/>
      <c r="U67" s="623"/>
      <c r="V67" s="623"/>
      <c r="W67" s="623"/>
      <c r="X67" s="623"/>
      <c r="Y67" s="623"/>
    </row>
    <row r="68" spans="2:25" ht="25.35" customHeight="1" x14ac:dyDescent="0.4">
      <c r="B68" s="611" t="s">
        <v>66</v>
      </c>
      <c r="W68" s="639"/>
      <c r="X68" s="623"/>
    </row>
    <row r="69" spans="2:25" ht="233.1" customHeight="1" x14ac:dyDescent="0.4">
      <c r="B69" s="611"/>
      <c r="C69" s="638"/>
      <c r="D69" s="638"/>
      <c r="E69" s="616"/>
      <c r="F69" s="616"/>
      <c r="G69" s="616"/>
      <c r="H69" s="616"/>
      <c r="I69" s="616"/>
      <c r="J69" s="616"/>
      <c r="K69" s="616"/>
      <c r="L69" s="616"/>
      <c r="M69" s="622"/>
      <c r="N69" s="622"/>
      <c r="O69" s="623"/>
      <c r="P69" s="623"/>
      <c r="Q69" s="623"/>
      <c r="R69" s="623"/>
      <c r="S69" s="623"/>
      <c r="T69" s="623"/>
      <c r="U69" s="623"/>
      <c r="V69" s="623"/>
      <c r="W69" s="623"/>
      <c r="X69" s="623"/>
      <c r="Y69" s="623"/>
    </row>
    <row r="70" spans="2:25" ht="23.1" customHeight="1" x14ac:dyDescent="0.4">
      <c r="B70" s="611"/>
      <c r="C70" s="638"/>
      <c r="D70" s="638"/>
      <c r="E70" s="616"/>
      <c r="F70" s="616"/>
      <c r="G70" s="616"/>
      <c r="H70" s="616"/>
      <c r="I70" s="616"/>
      <c r="J70" s="616"/>
      <c r="K70" s="616"/>
      <c r="L70" s="616"/>
      <c r="M70" s="622"/>
      <c r="N70" s="622"/>
      <c r="O70" s="623"/>
      <c r="P70" s="623"/>
      <c r="Q70" s="623"/>
      <c r="R70" s="623"/>
      <c r="S70" s="623"/>
      <c r="T70" s="623"/>
      <c r="U70" s="623"/>
      <c r="V70" s="623"/>
      <c r="W70" s="623"/>
      <c r="X70" s="623"/>
      <c r="Y70" s="623"/>
    </row>
    <row r="71" spans="2:25" ht="23.1" customHeight="1" x14ac:dyDescent="0.4">
      <c r="B71" s="638"/>
      <c r="C71" s="638"/>
      <c r="D71" s="638"/>
      <c r="E71" s="616"/>
      <c r="F71" s="616"/>
      <c r="G71" s="616"/>
      <c r="H71" s="616"/>
      <c r="I71" s="616"/>
      <c r="J71" s="616"/>
      <c r="K71" s="616"/>
      <c r="L71" s="616"/>
      <c r="M71" s="622"/>
      <c r="N71" s="622"/>
      <c r="O71" s="623"/>
      <c r="P71" s="623"/>
      <c r="Q71" s="623"/>
      <c r="R71" s="623"/>
      <c r="S71" s="623"/>
      <c r="T71" s="623"/>
      <c r="U71" s="623"/>
      <c r="V71" s="623"/>
      <c r="W71" s="623"/>
      <c r="X71" s="623"/>
      <c r="Y71" s="623"/>
    </row>
    <row r="72" spans="2:25" ht="23.1" customHeight="1" x14ac:dyDescent="0.4">
      <c r="B72" s="638"/>
      <c r="C72" s="638"/>
      <c r="D72" s="638"/>
      <c r="E72" s="616"/>
      <c r="F72" s="616"/>
      <c r="G72" s="616"/>
      <c r="H72" s="616"/>
      <c r="I72" s="616"/>
      <c r="J72" s="616"/>
      <c r="K72" s="616"/>
      <c r="L72" s="616"/>
      <c r="M72" s="622"/>
      <c r="N72" s="622"/>
      <c r="O72" s="623"/>
      <c r="P72" s="623"/>
      <c r="Q72" s="623"/>
      <c r="R72" s="623"/>
      <c r="S72" s="623"/>
      <c r="T72" s="623"/>
      <c r="U72" s="623"/>
      <c r="V72" s="623"/>
      <c r="W72" s="623"/>
      <c r="X72" s="623"/>
      <c r="Y72" s="623"/>
    </row>
    <row r="73" spans="2:25" ht="23.1" customHeight="1" x14ac:dyDescent="0.4">
      <c r="B73" s="638"/>
      <c r="C73" s="638"/>
      <c r="D73" s="638"/>
      <c r="E73" s="616"/>
      <c r="F73" s="616"/>
      <c r="G73" s="616"/>
      <c r="H73" s="616"/>
      <c r="I73" s="616"/>
      <c r="J73" s="616"/>
      <c r="K73" s="616"/>
      <c r="L73" s="616"/>
      <c r="M73" s="622"/>
      <c r="N73" s="622"/>
      <c r="O73" s="623"/>
      <c r="P73" s="623"/>
      <c r="Q73" s="623"/>
      <c r="R73" s="623"/>
      <c r="S73" s="623"/>
      <c r="T73" s="623"/>
      <c r="U73" s="623"/>
      <c r="V73" s="623"/>
      <c r="W73" s="623"/>
      <c r="X73" s="623"/>
      <c r="Y73" s="623"/>
    </row>
    <row r="74" spans="2:25" ht="23.1" customHeight="1" x14ac:dyDescent="0.4">
      <c r="B74" s="638"/>
      <c r="C74" s="638"/>
      <c r="D74" s="638"/>
      <c r="E74" s="616"/>
      <c r="F74" s="616"/>
      <c r="G74" s="616"/>
      <c r="H74" s="616"/>
      <c r="I74" s="616"/>
      <c r="J74" s="616"/>
      <c r="K74" s="616"/>
      <c r="L74" s="616"/>
      <c r="M74" s="622"/>
      <c r="N74" s="622"/>
      <c r="O74" s="623"/>
      <c r="P74" s="623"/>
      <c r="Q74" s="623"/>
      <c r="R74" s="623"/>
      <c r="S74" s="623"/>
      <c r="T74" s="623"/>
      <c r="U74" s="623"/>
      <c r="V74" s="623"/>
      <c r="W74" s="623"/>
      <c r="X74" s="623"/>
      <c r="Y74" s="623"/>
    </row>
    <row r="75" spans="2:25" ht="30.6" customHeight="1" x14ac:dyDescent="0.4">
      <c r="B75" s="638"/>
      <c r="C75" s="621"/>
      <c r="D75" s="638"/>
      <c r="E75" s="616"/>
      <c r="F75" s="616"/>
      <c r="G75" s="616"/>
      <c r="H75" s="616"/>
      <c r="I75" s="616"/>
      <c r="J75" s="616"/>
      <c r="K75" s="616"/>
      <c r="L75" s="616"/>
      <c r="M75" s="622"/>
      <c r="N75" s="622"/>
      <c r="O75" s="623"/>
      <c r="P75" s="623"/>
      <c r="Q75" s="623"/>
      <c r="R75" s="623"/>
      <c r="S75" s="623"/>
      <c r="T75" s="623"/>
      <c r="U75" s="623"/>
      <c r="V75" s="623"/>
      <c r="W75" s="623"/>
      <c r="X75" s="623"/>
    </row>
    <row r="76" spans="2:25" ht="21.6" hidden="1" thickBot="1" x14ac:dyDescent="0.45">
      <c r="B76" s="611" t="s">
        <v>67</v>
      </c>
      <c r="L76" s="619"/>
      <c r="N76" s="619"/>
    </row>
    <row r="77" spans="2:25" ht="49.5" hidden="1" customHeight="1" x14ac:dyDescent="0.4">
      <c r="C77" s="1006" t="s">
        <v>7</v>
      </c>
      <c r="D77" s="918"/>
      <c r="E77" s="853"/>
      <c r="F77" s="917" t="s">
        <v>68</v>
      </c>
      <c r="G77" s="853"/>
      <c r="H77" s="917" t="s">
        <v>69</v>
      </c>
      <c r="I77" s="853"/>
      <c r="J77" s="917" t="s">
        <v>70</v>
      </c>
      <c r="K77" s="918"/>
      <c r="L77" s="892" t="s">
        <v>71</v>
      </c>
      <c r="M77" s="893"/>
      <c r="N77" s="853" t="s">
        <v>43</v>
      </c>
      <c r="O77" s="854"/>
      <c r="P77" s="854"/>
      <c r="Q77" s="854"/>
      <c r="R77" s="854"/>
      <c r="S77" s="854"/>
      <c r="T77" s="854"/>
      <c r="U77" s="854"/>
      <c r="V77" s="854"/>
      <c r="W77" s="854"/>
      <c r="X77" s="640"/>
      <c r="Y77" s="640"/>
    </row>
    <row r="78" spans="2:25" ht="19.2" hidden="1" x14ac:dyDescent="0.4">
      <c r="C78" s="982" t="s">
        <v>44</v>
      </c>
      <c r="D78" s="983"/>
      <c r="E78" s="984"/>
      <c r="F78" s="985" t="e">
        <f>#REF!</f>
        <v>#REF!</v>
      </c>
      <c r="G78" s="986"/>
      <c r="H78" s="985" t="e">
        <f>#REF!</f>
        <v>#REF!</v>
      </c>
      <c r="I78" s="986"/>
      <c r="J78" s="919" t="e">
        <f>H78</f>
        <v>#REF!</v>
      </c>
      <c r="K78" s="920"/>
      <c r="L78" s="868" t="e">
        <f>J78-H78</f>
        <v>#REF!</v>
      </c>
      <c r="M78" s="869"/>
      <c r="N78" s="855"/>
      <c r="O78" s="855"/>
      <c r="P78" s="855"/>
      <c r="Q78" s="855"/>
      <c r="R78" s="855"/>
      <c r="S78" s="855"/>
      <c r="T78" s="855"/>
      <c r="U78" s="855"/>
      <c r="V78" s="855"/>
      <c r="W78" s="856"/>
      <c r="X78" s="641"/>
      <c r="Y78" s="641"/>
    </row>
    <row r="79" spans="2:25" ht="19.2" hidden="1" x14ac:dyDescent="0.4">
      <c r="C79" s="989" t="s">
        <v>45</v>
      </c>
      <c r="D79" s="990"/>
      <c r="E79" s="990"/>
      <c r="F79" s="864" t="e">
        <f>SUM(F80:G81)</f>
        <v>#REF!</v>
      </c>
      <c r="G79" s="987"/>
      <c r="H79" s="864" t="e">
        <f>SUM(H80:I81)</f>
        <v>#REF!</v>
      </c>
      <c r="I79" s="987"/>
      <c r="J79" s="864" t="e">
        <f>SUM(J80:K81)</f>
        <v>#REF!</v>
      </c>
      <c r="K79" s="865"/>
      <c r="L79" s="894" t="e">
        <f t="shared" ref="L79:L88" si="32">J79-H79</f>
        <v>#REF!</v>
      </c>
      <c r="M79" s="895"/>
      <c r="N79" s="857"/>
      <c r="O79" s="857"/>
      <c r="P79" s="857"/>
      <c r="Q79" s="857"/>
      <c r="R79" s="857"/>
      <c r="S79" s="857"/>
      <c r="T79" s="857"/>
      <c r="U79" s="857"/>
      <c r="V79" s="857"/>
      <c r="W79" s="858"/>
      <c r="X79" s="641"/>
      <c r="Y79" s="641"/>
    </row>
    <row r="80" spans="2:25" ht="72.599999999999994" hidden="1" customHeight="1" x14ac:dyDescent="0.4">
      <c r="C80" s="620"/>
      <c r="D80" s="873" t="s">
        <v>26</v>
      </c>
      <c r="E80" s="874"/>
      <c r="F80" s="851" t="e">
        <f>#REF!</f>
        <v>#REF!</v>
      </c>
      <c r="G80" s="852"/>
      <c r="H80" s="851" t="e">
        <f>#REF!</f>
        <v>#REF!</v>
      </c>
      <c r="I80" s="852"/>
      <c r="J80" s="851" t="e">
        <f>H80+3</f>
        <v>#REF!</v>
      </c>
      <c r="K80" s="885"/>
      <c r="L80" s="896" t="e">
        <f t="shared" si="32"/>
        <v>#REF!</v>
      </c>
      <c r="M80" s="897"/>
      <c r="N80" s="921" t="s">
        <v>72</v>
      </c>
      <c r="O80" s="855"/>
      <c r="P80" s="855"/>
      <c r="Q80" s="855"/>
      <c r="R80" s="855"/>
      <c r="S80" s="855"/>
      <c r="T80" s="855"/>
      <c r="U80" s="855"/>
      <c r="V80" s="855"/>
      <c r="W80" s="856"/>
      <c r="X80" s="641"/>
      <c r="Y80" s="641"/>
    </row>
    <row r="81" spans="1:25" ht="19.2" hidden="1" x14ac:dyDescent="0.4">
      <c r="C81" s="620"/>
      <c r="D81" s="873" t="s">
        <v>27</v>
      </c>
      <c r="E81" s="874"/>
      <c r="F81" s="851" t="e">
        <f>#REF!</f>
        <v>#REF!</v>
      </c>
      <c r="G81" s="852"/>
      <c r="H81" s="851" t="e">
        <f>#REF!</f>
        <v>#REF!</v>
      </c>
      <c r="I81" s="852"/>
      <c r="J81" s="851" t="e">
        <f>H81-3</f>
        <v>#REF!</v>
      </c>
      <c r="K81" s="885"/>
      <c r="L81" s="896" t="e">
        <f t="shared" si="32"/>
        <v>#REF!</v>
      </c>
      <c r="M81" s="897"/>
      <c r="N81" s="855" t="s">
        <v>73</v>
      </c>
      <c r="O81" s="855"/>
      <c r="P81" s="855"/>
      <c r="Q81" s="855"/>
      <c r="R81" s="855"/>
      <c r="S81" s="855"/>
      <c r="T81" s="855"/>
      <c r="U81" s="855"/>
      <c r="V81" s="855"/>
      <c r="W81" s="856"/>
      <c r="X81" s="641"/>
      <c r="Y81" s="641"/>
    </row>
    <row r="82" spans="1:25" ht="19.2" hidden="1" x14ac:dyDescent="0.4">
      <c r="C82" s="989" t="s">
        <v>46</v>
      </c>
      <c r="D82" s="990"/>
      <c r="E82" s="990"/>
      <c r="F82" s="864" t="e">
        <f>SUM(F83:G87)</f>
        <v>#REF!</v>
      </c>
      <c r="G82" s="987"/>
      <c r="H82" s="864" t="e">
        <f>SUM(H83:I87)</f>
        <v>#REF!</v>
      </c>
      <c r="I82" s="987"/>
      <c r="J82" s="864" t="e">
        <f>SUM(J83:K87)</f>
        <v>#REF!</v>
      </c>
      <c r="K82" s="865"/>
      <c r="L82" s="866" t="e">
        <f t="shared" si="32"/>
        <v>#REF!</v>
      </c>
      <c r="M82" s="867"/>
      <c r="N82" s="857"/>
      <c r="O82" s="857"/>
      <c r="P82" s="857"/>
      <c r="Q82" s="857"/>
      <c r="R82" s="857"/>
      <c r="S82" s="857"/>
      <c r="T82" s="857"/>
      <c r="U82" s="857"/>
      <c r="V82" s="857"/>
      <c r="W82" s="858"/>
      <c r="X82" s="641"/>
      <c r="Y82" s="641"/>
    </row>
    <row r="83" spans="1:25" ht="19.2" hidden="1" x14ac:dyDescent="0.4">
      <c r="C83" s="620"/>
      <c r="D83" s="873" t="s">
        <v>50</v>
      </c>
      <c r="E83" s="874"/>
      <c r="F83" s="851" t="e">
        <f>#REF!</f>
        <v>#REF!</v>
      </c>
      <c r="G83" s="852"/>
      <c r="H83" s="851" t="e">
        <f>#REF!</f>
        <v>#REF!</v>
      </c>
      <c r="I83" s="852"/>
      <c r="J83" s="851" t="e">
        <f>H83</f>
        <v>#REF!</v>
      </c>
      <c r="K83" s="885"/>
      <c r="L83" s="840" t="e">
        <f t="shared" si="32"/>
        <v>#REF!</v>
      </c>
      <c r="M83" s="841"/>
      <c r="N83" s="855"/>
      <c r="O83" s="855"/>
      <c r="P83" s="855"/>
      <c r="Q83" s="855"/>
      <c r="R83" s="855"/>
      <c r="S83" s="855"/>
      <c r="T83" s="855"/>
      <c r="U83" s="855"/>
      <c r="V83" s="855"/>
      <c r="W83" s="856"/>
      <c r="X83" s="641"/>
      <c r="Y83" s="641"/>
    </row>
    <row r="84" spans="1:25" ht="19.2" hidden="1" x14ac:dyDescent="0.4">
      <c r="C84" s="620"/>
      <c r="D84" s="873" t="s">
        <v>30</v>
      </c>
      <c r="E84" s="874"/>
      <c r="F84" s="851" t="e">
        <f>#REF!</f>
        <v>#REF!</v>
      </c>
      <c r="G84" s="852"/>
      <c r="H84" s="851" t="e">
        <f>#REF!</f>
        <v>#REF!</v>
      </c>
      <c r="I84" s="852"/>
      <c r="J84" s="851" t="e">
        <f>H84</f>
        <v>#REF!</v>
      </c>
      <c r="K84" s="885"/>
      <c r="L84" s="868" t="e">
        <f t="shared" si="32"/>
        <v>#REF!</v>
      </c>
      <c r="M84" s="869"/>
      <c r="N84" s="922"/>
      <c r="O84" s="855"/>
      <c r="P84" s="855"/>
      <c r="Q84" s="855"/>
      <c r="R84" s="855"/>
      <c r="S84" s="855"/>
      <c r="T84" s="855"/>
      <c r="U84" s="855"/>
      <c r="V84" s="855"/>
      <c r="W84" s="856"/>
      <c r="X84" s="641"/>
      <c r="Y84" s="641"/>
    </row>
    <row r="85" spans="1:25" ht="19.2" hidden="1" x14ac:dyDescent="0.4">
      <c r="C85" s="620"/>
      <c r="D85" s="873" t="s">
        <v>29</v>
      </c>
      <c r="E85" s="874"/>
      <c r="F85" s="851" t="e">
        <f>#REF!</f>
        <v>#REF!</v>
      </c>
      <c r="G85" s="852"/>
      <c r="H85" s="851" t="e">
        <f>#REF!</f>
        <v>#REF!</v>
      </c>
      <c r="I85" s="852"/>
      <c r="J85" s="851" t="e">
        <f>H85</f>
        <v>#REF!</v>
      </c>
      <c r="K85" s="885"/>
      <c r="L85" s="840" t="e">
        <f t="shared" si="32"/>
        <v>#REF!</v>
      </c>
      <c r="M85" s="841"/>
      <c r="N85" s="855"/>
      <c r="O85" s="855"/>
      <c r="P85" s="855"/>
      <c r="Q85" s="855"/>
      <c r="R85" s="855"/>
      <c r="S85" s="855"/>
      <c r="T85" s="855"/>
      <c r="U85" s="855"/>
      <c r="V85" s="855"/>
      <c r="W85" s="856"/>
      <c r="X85" s="641"/>
      <c r="Y85" s="641"/>
    </row>
    <row r="86" spans="1:25" ht="19.2" hidden="1" x14ac:dyDescent="0.4">
      <c r="C86" s="620"/>
      <c r="D86" s="873" t="s">
        <v>22</v>
      </c>
      <c r="E86" s="874"/>
      <c r="F86" s="851" t="e">
        <f>#REF!</f>
        <v>#REF!</v>
      </c>
      <c r="G86" s="852"/>
      <c r="H86" s="851" t="e">
        <f>#REF!</f>
        <v>#REF!</v>
      </c>
      <c r="I86" s="852"/>
      <c r="J86" s="851" t="e">
        <f>H86</f>
        <v>#REF!</v>
      </c>
      <c r="K86" s="885"/>
      <c r="L86" s="868" t="e">
        <f t="shared" si="32"/>
        <v>#REF!</v>
      </c>
      <c r="M86" s="869"/>
      <c r="N86" s="855"/>
      <c r="O86" s="855"/>
      <c r="P86" s="855"/>
      <c r="Q86" s="855"/>
      <c r="R86" s="855"/>
      <c r="S86" s="855"/>
      <c r="T86" s="855"/>
      <c r="U86" s="855"/>
      <c r="V86" s="855"/>
      <c r="W86" s="856"/>
      <c r="X86" s="641"/>
      <c r="Y86" s="641"/>
    </row>
    <row r="87" spans="1:25" ht="19.2" hidden="1" x14ac:dyDescent="0.4">
      <c r="C87" s="620"/>
      <c r="D87" s="873" t="s">
        <v>51</v>
      </c>
      <c r="E87" s="874"/>
      <c r="F87" s="851" t="e">
        <f>#REF!</f>
        <v>#REF!</v>
      </c>
      <c r="G87" s="852"/>
      <c r="H87" s="851" t="e">
        <f>#REF!</f>
        <v>#REF!</v>
      </c>
      <c r="I87" s="852"/>
      <c r="J87" s="851" t="e">
        <f>H87</f>
        <v>#REF!</v>
      </c>
      <c r="K87" s="885"/>
      <c r="L87" s="868" t="e">
        <f t="shared" si="32"/>
        <v>#REF!</v>
      </c>
      <c r="M87" s="869"/>
      <c r="N87" s="855"/>
      <c r="O87" s="855"/>
      <c r="P87" s="855"/>
      <c r="Q87" s="855"/>
      <c r="R87" s="855"/>
      <c r="S87" s="855"/>
      <c r="T87" s="855"/>
      <c r="U87" s="855"/>
      <c r="V87" s="855"/>
      <c r="W87" s="856"/>
      <c r="X87" s="641"/>
      <c r="Y87" s="641"/>
    </row>
    <row r="88" spans="1:25" ht="19.8" hidden="1" thickBot="1" x14ac:dyDescent="0.45">
      <c r="C88" s="889" t="s">
        <v>47</v>
      </c>
      <c r="D88" s="890"/>
      <c r="E88" s="891"/>
      <c r="F88" s="875" t="e">
        <f>F78+F79+F82</f>
        <v>#REF!</v>
      </c>
      <c r="G88" s="888"/>
      <c r="H88" s="875" t="e">
        <f>H79+H78+H82</f>
        <v>#REF!</v>
      </c>
      <c r="I88" s="888"/>
      <c r="J88" s="875" t="e">
        <f>J78+J79+J82</f>
        <v>#REF!</v>
      </c>
      <c r="K88" s="876"/>
      <c r="L88" s="862" t="e">
        <f t="shared" si="32"/>
        <v>#REF!</v>
      </c>
      <c r="M88" s="863"/>
      <c r="N88" s="870"/>
      <c r="O88" s="870"/>
      <c r="P88" s="870"/>
      <c r="Q88" s="870"/>
      <c r="R88" s="870"/>
      <c r="S88" s="870"/>
      <c r="T88" s="870"/>
      <c r="U88" s="870"/>
      <c r="V88" s="870"/>
      <c r="W88" s="871"/>
      <c r="X88" s="641"/>
      <c r="Y88" s="641"/>
    </row>
    <row r="89" spans="1:25" hidden="1" x14ac:dyDescent="0.4">
      <c r="L89" s="619"/>
      <c r="N89" s="619"/>
    </row>
    <row r="90" spans="1:25" x14ac:dyDescent="0.4">
      <c r="L90" s="619"/>
      <c r="N90" s="619"/>
    </row>
    <row r="91" spans="1:25" ht="22.8" x14ac:dyDescent="0.4">
      <c r="A91" s="486" t="s">
        <v>74</v>
      </c>
      <c r="L91" s="619"/>
      <c r="N91" s="619"/>
    </row>
    <row r="92" spans="1:25" x14ac:dyDescent="0.4">
      <c r="D92" s="642"/>
      <c r="E92" s="642"/>
      <c r="F92" s="642"/>
      <c r="G92" s="642"/>
      <c r="H92" s="642"/>
      <c r="I92" s="642"/>
      <c r="J92" s="642"/>
      <c r="K92" s="642"/>
      <c r="L92" s="642"/>
      <c r="M92" s="642"/>
    </row>
    <row r="93" spans="1:25" ht="25.35" hidden="1" customHeight="1" x14ac:dyDescent="0.4">
      <c r="B93" s="883" t="s">
        <v>75</v>
      </c>
      <c r="C93" s="883"/>
      <c r="D93" s="859" t="s">
        <v>76</v>
      </c>
      <c r="E93" s="860"/>
      <c r="F93" s="860"/>
      <c r="G93" s="860"/>
      <c r="H93" s="860"/>
      <c r="I93" s="860"/>
      <c r="J93" s="861"/>
      <c r="K93" s="859" t="s">
        <v>77</v>
      </c>
      <c r="L93" s="860"/>
      <c r="M93" s="860"/>
      <c r="N93" s="860"/>
      <c r="O93" s="860"/>
      <c r="P93" s="860"/>
      <c r="Q93" s="861"/>
      <c r="R93" s="859" t="s">
        <v>78</v>
      </c>
      <c r="S93" s="860"/>
      <c r="T93" s="860"/>
      <c r="U93" s="860"/>
      <c r="V93" s="860"/>
      <c r="W93" s="860"/>
      <c r="X93" s="861"/>
    </row>
    <row r="94" spans="1:25" ht="39" hidden="1" customHeight="1" thickBot="1" x14ac:dyDescent="0.45">
      <c r="B94" s="884"/>
      <c r="C94" s="884"/>
      <c r="D94" s="643" t="s">
        <v>79</v>
      </c>
      <c r="E94" s="644" t="s">
        <v>80</v>
      </c>
      <c r="F94" s="644" t="s">
        <v>81</v>
      </c>
      <c r="G94" s="644" t="s">
        <v>15</v>
      </c>
      <c r="H94" s="644" t="s">
        <v>82</v>
      </c>
      <c r="I94" s="644" t="s">
        <v>83</v>
      </c>
      <c r="J94" s="645" t="s">
        <v>84</v>
      </c>
      <c r="K94" s="643" t="s">
        <v>79</v>
      </c>
      <c r="L94" s="644" t="s">
        <v>80</v>
      </c>
      <c r="M94" s="644" t="s">
        <v>81</v>
      </c>
      <c r="N94" s="644" t="s">
        <v>15</v>
      </c>
      <c r="O94" s="644" t="s">
        <v>82</v>
      </c>
      <c r="P94" s="644" t="s">
        <v>83</v>
      </c>
      <c r="Q94" s="645" t="s">
        <v>84</v>
      </c>
      <c r="R94" s="643" t="s">
        <v>79</v>
      </c>
      <c r="S94" s="644" t="s">
        <v>80</v>
      </c>
      <c r="T94" s="644" t="s">
        <v>81</v>
      </c>
      <c r="U94" s="644" t="s">
        <v>15</v>
      </c>
      <c r="V94" s="644" t="s">
        <v>82</v>
      </c>
      <c r="W94" s="644" t="s">
        <v>83</v>
      </c>
      <c r="X94" s="645" t="s">
        <v>84</v>
      </c>
    </row>
    <row r="95" spans="1:25" ht="25.35" hidden="1" customHeight="1" thickBot="1" x14ac:dyDescent="0.45">
      <c r="B95" s="879" t="s">
        <v>85</v>
      </c>
      <c r="C95" s="879"/>
      <c r="D95" s="646" t="e">
        <f>D96+D100+D103</f>
        <v>#REF!</v>
      </c>
      <c r="E95" s="647" t="e">
        <f>E96+E100+E103</f>
        <v>#REF!</v>
      </c>
      <c r="F95" s="647" t="e">
        <f>F96+F100+F103</f>
        <v>#REF!</v>
      </c>
      <c r="G95" s="647" t="e">
        <f>G96+G100+G103</f>
        <v>#REF!</v>
      </c>
      <c r="H95" s="648" t="e">
        <f t="shared" ref="H95:H108" si="33">G95-D95</f>
        <v>#REF!</v>
      </c>
      <c r="I95" s="648" t="e">
        <f t="shared" ref="I95:I108" si="34">G95-E95</f>
        <v>#REF!</v>
      </c>
      <c r="J95" s="649" t="e">
        <f t="shared" ref="J95:J108" si="35">G95-F95</f>
        <v>#REF!</v>
      </c>
      <c r="K95" s="646" t="e">
        <f>K96+K100+K103</f>
        <v>#REF!</v>
      </c>
      <c r="L95" s="647" t="e">
        <f>L96+L100+L103</f>
        <v>#REF!</v>
      </c>
      <c r="M95" s="647" t="e">
        <f>M96+M100+M103</f>
        <v>#REF!</v>
      </c>
      <c r="N95" s="647" t="e">
        <f>N96+N100+N103</f>
        <v>#REF!</v>
      </c>
      <c r="O95" s="648" t="e">
        <f t="shared" ref="O95:O104" si="36">N95-K95</f>
        <v>#REF!</v>
      </c>
      <c r="P95" s="648" t="e">
        <f t="shared" ref="P95:P108" si="37">N95-L95</f>
        <v>#REF!</v>
      </c>
      <c r="Q95" s="649" t="e">
        <f t="shared" ref="Q95:Q108" si="38">N95-M95</f>
        <v>#REF!</v>
      </c>
      <c r="R95" s="646" t="e">
        <f>R96+R100+R103</f>
        <v>#REF!</v>
      </c>
      <c r="S95" s="647" t="e">
        <f>S96+S100+S103</f>
        <v>#REF!</v>
      </c>
      <c r="T95" s="647" t="e">
        <f>T96+T100+T103</f>
        <v>#REF!</v>
      </c>
      <c r="U95" s="647" t="e">
        <f>U96+U100+U103</f>
        <v>#REF!</v>
      </c>
      <c r="V95" s="648" t="e">
        <f t="shared" ref="V95:V108" si="39">U95-R95</f>
        <v>#REF!</v>
      </c>
      <c r="W95" s="648" t="e">
        <f t="shared" ref="W95:W108" si="40">U95-S95</f>
        <v>#REF!</v>
      </c>
      <c r="X95" s="649" t="e">
        <f t="shared" ref="X95:X108" si="41">U95-T95</f>
        <v>#REF!</v>
      </c>
    </row>
    <row r="96" spans="1:25" ht="25.35" hidden="1" customHeight="1" thickBot="1" x14ac:dyDescent="0.45">
      <c r="B96" s="879" t="s">
        <v>86</v>
      </c>
      <c r="C96" s="879"/>
      <c r="D96" s="646" t="e">
        <f>SUM(D97:D99)</f>
        <v>#REF!</v>
      </c>
      <c r="E96" s="647" t="e">
        <f t="shared" ref="E96:F96" si="42">SUM(E97:E99)</f>
        <v>#REF!</v>
      </c>
      <c r="F96" s="647" t="e">
        <f t="shared" si="42"/>
        <v>#REF!</v>
      </c>
      <c r="G96" s="647" t="e">
        <f>SUM(G97:G99)</f>
        <v>#REF!</v>
      </c>
      <c r="H96" s="648" t="e">
        <f t="shared" si="33"/>
        <v>#REF!</v>
      </c>
      <c r="I96" s="648" t="e">
        <f t="shared" si="34"/>
        <v>#REF!</v>
      </c>
      <c r="J96" s="649" t="e">
        <f t="shared" si="35"/>
        <v>#REF!</v>
      </c>
      <c r="K96" s="646" t="e">
        <f>SUM(K97:K99)</f>
        <v>#REF!</v>
      </c>
      <c r="L96" s="647" t="e">
        <f t="shared" ref="L96" si="43">SUM(L97:L99)</f>
        <v>#REF!</v>
      </c>
      <c r="M96" s="647" t="e">
        <f t="shared" ref="M96" si="44">SUM(M97:M99)</f>
        <v>#REF!</v>
      </c>
      <c r="N96" s="647" t="e">
        <f>SUM(N97:N99)</f>
        <v>#REF!</v>
      </c>
      <c r="O96" s="648" t="e">
        <f t="shared" si="36"/>
        <v>#REF!</v>
      </c>
      <c r="P96" s="648" t="e">
        <f t="shared" si="37"/>
        <v>#REF!</v>
      </c>
      <c r="Q96" s="649" t="e">
        <f t="shared" si="38"/>
        <v>#REF!</v>
      </c>
      <c r="R96" s="646" t="e">
        <f>SUM(R97:R99)</f>
        <v>#REF!</v>
      </c>
      <c r="S96" s="647" t="e">
        <f t="shared" ref="S96:T96" si="45">SUM(S97:S99)</f>
        <v>#REF!</v>
      </c>
      <c r="T96" s="647" t="e">
        <f t="shared" si="45"/>
        <v>#REF!</v>
      </c>
      <c r="U96" s="647" t="e">
        <f>SUM(U97:U99)</f>
        <v>#REF!</v>
      </c>
      <c r="V96" s="648" t="e">
        <f t="shared" si="39"/>
        <v>#REF!</v>
      </c>
      <c r="W96" s="648" t="e">
        <f t="shared" si="40"/>
        <v>#REF!</v>
      </c>
      <c r="X96" s="649" t="e">
        <f t="shared" si="41"/>
        <v>#REF!</v>
      </c>
    </row>
    <row r="97" spans="2:24" ht="25.35" hidden="1" customHeight="1" thickBot="1" x14ac:dyDescent="0.45">
      <c r="B97" s="880"/>
      <c r="C97" s="650" t="s">
        <v>87</v>
      </c>
      <c r="D97" s="651" t="e">
        <f>#REF!</f>
        <v>#REF!</v>
      </c>
      <c r="E97" s="652" t="e">
        <f>#REF!</f>
        <v>#REF!</v>
      </c>
      <c r="F97" s="652" t="e">
        <f>#REF!</f>
        <v>#REF!</v>
      </c>
      <c r="G97" s="652" t="e">
        <f>#REF!</f>
        <v>#REF!</v>
      </c>
      <c r="H97" s="653" t="e">
        <f t="shared" si="33"/>
        <v>#REF!</v>
      </c>
      <c r="I97" s="653" t="e">
        <f t="shared" si="34"/>
        <v>#REF!</v>
      </c>
      <c r="J97" s="654" t="e">
        <f t="shared" si="35"/>
        <v>#REF!</v>
      </c>
      <c r="K97" s="651">
        <f>F11</f>
        <v>0</v>
      </c>
      <c r="L97" s="652">
        <f>G11</f>
        <v>0.51134500000000005</v>
      </c>
      <c r="M97" s="652">
        <f>H11</f>
        <v>0</v>
      </c>
      <c r="N97" s="652">
        <f>H11</f>
        <v>0</v>
      </c>
      <c r="O97" s="653">
        <f t="shared" si="36"/>
        <v>0</v>
      </c>
      <c r="P97" s="653">
        <f t="shared" si="37"/>
        <v>-0.51134500000000005</v>
      </c>
      <c r="Q97" s="654">
        <f t="shared" si="38"/>
        <v>0</v>
      </c>
      <c r="R97" s="651" t="e">
        <f>#REF!+F11</f>
        <v>#REF!</v>
      </c>
      <c r="S97" s="652" t="e">
        <f>#REF!+G11</f>
        <v>#REF!</v>
      </c>
      <c r="T97" s="652" t="e">
        <f>F97+M97</f>
        <v>#REF!</v>
      </c>
      <c r="U97" s="652" t="e">
        <f>#REF!+H11</f>
        <v>#REF!</v>
      </c>
      <c r="V97" s="653" t="e">
        <f t="shared" si="39"/>
        <v>#REF!</v>
      </c>
      <c r="W97" s="653" t="e">
        <f t="shared" si="40"/>
        <v>#REF!</v>
      </c>
      <c r="X97" s="654" t="e">
        <f t="shared" si="41"/>
        <v>#REF!</v>
      </c>
    </row>
    <row r="98" spans="2:24" ht="25.35" hidden="1" customHeight="1" thickBot="1" x14ac:dyDescent="0.45">
      <c r="B98" s="881"/>
      <c r="C98" s="650" t="s">
        <v>88</v>
      </c>
      <c r="D98" s="651" t="e">
        <f>#REF!</f>
        <v>#REF!</v>
      </c>
      <c r="E98" s="652" t="e">
        <f>#REF!</f>
        <v>#REF!</v>
      </c>
      <c r="F98" s="652" t="e">
        <f>#REF!</f>
        <v>#REF!</v>
      </c>
      <c r="G98" s="652" t="e">
        <f>#REF!</f>
        <v>#REF!</v>
      </c>
      <c r="H98" s="653" t="e">
        <f t="shared" si="33"/>
        <v>#REF!</v>
      </c>
      <c r="I98" s="652" t="e">
        <f t="shared" si="34"/>
        <v>#REF!</v>
      </c>
      <c r="J98" s="654" t="e">
        <f t="shared" si="35"/>
        <v>#REF!</v>
      </c>
      <c r="K98" s="651" t="e">
        <f>#REF!</f>
        <v>#REF!</v>
      </c>
      <c r="L98" s="652" t="e">
        <f>#REF!</f>
        <v>#REF!</v>
      </c>
      <c r="M98" s="652" t="e">
        <f>#REF!</f>
        <v>#REF!</v>
      </c>
      <c r="N98" s="652" t="e">
        <f>#REF!</f>
        <v>#REF!</v>
      </c>
      <c r="O98" s="653" t="e">
        <f t="shared" si="36"/>
        <v>#REF!</v>
      </c>
      <c r="P98" s="652" t="e">
        <f t="shared" si="37"/>
        <v>#REF!</v>
      </c>
      <c r="Q98" s="654" t="e">
        <f t="shared" si="38"/>
        <v>#REF!</v>
      </c>
      <c r="R98" s="651" t="e">
        <f>#REF!+#REF!</f>
        <v>#REF!</v>
      </c>
      <c r="S98" s="652" t="e">
        <f>#REF!+#REF!</f>
        <v>#REF!</v>
      </c>
      <c r="T98" s="652" t="e">
        <f>F98+M98</f>
        <v>#REF!</v>
      </c>
      <c r="U98" s="652" t="e">
        <f>#REF!+#REF!</f>
        <v>#REF!</v>
      </c>
      <c r="V98" s="653" t="e">
        <f t="shared" si="39"/>
        <v>#REF!</v>
      </c>
      <c r="W98" s="652" t="e">
        <f t="shared" si="40"/>
        <v>#REF!</v>
      </c>
      <c r="X98" s="654" t="e">
        <f t="shared" si="41"/>
        <v>#REF!</v>
      </c>
    </row>
    <row r="99" spans="2:24" ht="25.35" hidden="1" customHeight="1" thickBot="1" x14ac:dyDescent="0.45">
      <c r="B99" s="882"/>
      <c r="C99" s="650" t="s">
        <v>22</v>
      </c>
      <c r="D99" s="651" t="e">
        <f>#REF!</f>
        <v>#REF!</v>
      </c>
      <c r="E99" s="652" t="e">
        <f>#REF!</f>
        <v>#REF!</v>
      </c>
      <c r="F99" s="652" t="e">
        <f>#REF!</f>
        <v>#REF!</v>
      </c>
      <c r="G99" s="652" t="e">
        <f>#REF!</f>
        <v>#REF!</v>
      </c>
      <c r="H99" s="653" t="e">
        <f t="shared" si="33"/>
        <v>#REF!</v>
      </c>
      <c r="I99" s="652" t="e">
        <f t="shared" si="34"/>
        <v>#REF!</v>
      </c>
      <c r="J99" s="654" t="e">
        <f t="shared" si="35"/>
        <v>#REF!</v>
      </c>
      <c r="K99" s="651">
        <f>F10</f>
        <v>17.979459309999999</v>
      </c>
      <c r="L99" s="652">
        <f>G10</f>
        <v>24.623108139999999</v>
      </c>
      <c r="M99" s="652">
        <f>H10</f>
        <v>27.588819538800003</v>
      </c>
      <c r="N99" s="652">
        <f>H10</f>
        <v>27.588819538800003</v>
      </c>
      <c r="O99" s="653">
        <f t="shared" si="36"/>
        <v>9.6093602288000035</v>
      </c>
      <c r="P99" s="652">
        <f t="shared" si="37"/>
        <v>2.9657113988000035</v>
      </c>
      <c r="Q99" s="654">
        <f t="shared" si="38"/>
        <v>0</v>
      </c>
      <c r="R99" s="651" t="e">
        <f>#REF!+F10</f>
        <v>#REF!</v>
      </c>
      <c r="S99" s="652" t="e">
        <f>#REF!+G10</f>
        <v>#REF!</v>
      </c>
      <c r="T99" s="652" t="e">
        <f>F99+M99</f>
        <v>#REF!</v>
      </c>
      <c r="U99" s="652" t="e">
        <f>#REF!+H10</f>
        <v>#REF!</v>
      </c>
      <c r="V99" s="653" t="e">
        <f t="shared" si="39"/>
        <v>#REF!</v>
      </c>
      <c r="W99" s="652" t="e">
        <f t="shared" si="40"/>
        <v>#REF!</v>
      </c>
      <c r="X99" s="654" t="e">
        <f t="shared" si="41"/>
        <v>#REF!</v>
      </c>
    </row>
    <row r="100" spans="2:24" ht="25.35" hidden="1" customHeight="1" thickBot="1" x14ac:dyDescent="0.45">
      <c r="B100" s="879" t="s">
        <v>89</v>
      </c>
      <c r="C100" s="879"/>
      <c r="D100" s="646" t="e">
        <f>SUM(D101:D102)</f>
        <v>#REF!</v>
      </c>
      <c r="E100" s="647" t="e">
        <f>SUM(E101:E102)</f>
        <v>#REF!</v>
      </c>
      <c r="F100" s="647" t="e">
        <f>SUM(F101:F102)</f>
        <v>#REF!</v>
      </c>
      <c r="G100" s="647" t="e">
        <f>SUM(G101:G102)</f>
        <v>#REF!</v>
      </c>
      <c r="H100" s="648" t="e">
        <f t="shared" si="33"/>
        <v>#REF!</v>
      </c>
      <c r="I100" s="648" t="e">
        <f t="shared" si="34"/>
        <v>#REF!</v>
      </c>
      <c r="J100" s="649" t="e">
        <f t="shared" si="35"/>
        <v>#REF!</v>
      </c>
      <c r="K100" s="646">
        <f>SUM(K101:K102)</f>
        <v>203.63670439999999</v>
      </c>
      <c r="L100" s="647">
        <f>SUM(L101:L102)</f>
        <v>246.4512599</v>
      </c>
      <c r="M100" s="647">
        <f>SUM(M101:M102)</f>
        <v>266.20900940000001</v>
      </c>
      <c r="N100" s="647">
        <f>SUM(N101:N102)</f>
        <v>266.20900940000001</v>
      </c>
      <c r="O100" s="648">
        <f t="shared" si="36"/>
        <v>62.572305000000028</v>
      </c>
      <c r="P100" s="648">
        <f t="shared" si="37"/>
        <v>19.757749500000017</v>
      </c>
      <c r="Q100" s="649">
        <f t="shared" si="38"/>
        <v>0</v>
      </c>
      <c r="R100" s="646" t="e">
        <f>SUM(R101:R102)</f>
        <v>#REF!</v>
      </c>
      <c r="S100" s="647" t="e">
        <f>SUM(S101:S102)</f>
        <v>#REF!</v>
      </c>
      <c r="T100" s="647" t="e">
        <f>SUM(T101:T102)</f>
        <v>#REF!</v>
      </c>
      <c r="U100" s="647" t="e">
        <f>SUM(U101:U102)</f>
        <v>#REF!</v>
      </c>
      <c r="V100" s="648" t="e">
        <f t="shared" si="39"/>
        <v>#REF!</v>
      </c>
      <c r="W100" s="648" t="e">
        <f t="shared" si="40"/>
        <v>#REF!</v>
      </c>
      <c r="X100" s="649" t="e">
        <f t="shared" si="41"/>
        <v>#REF!</v>
      </c>
    </row>
    <row r="101" spans="2:24" ht="25.35" hidden="1" customHeight="1" thickBot="1" x14ac:dyDescent="0.45">
      <c r="B101" s="877"/>
      <c r="C101" s="650" t="s">
        <v>90</v>
      </c>
      <c r="D101" s="651" t="e">
        <f>#REF!</f>
        <v>#REF!</v>
      </c>
      <c r="E101" s="652" t="e">
        <f>#REF!</f>
        <v>#REF!</v>
      </c>
      <c r="F101" s="652" t="e">
        <f>#REF!</f>
        <v>#REF!</v>
      </c>
      <c r="G101" s="652" t="e">
        <f>#REF!</f>
        <v>#REF!</v>
      </c>
      <c r="H101" s="653" t="e">
        <f t="shared" si="33"/>
        <v>#REF!</v>
      </c>
      <c r="I101" s="653" t="e">
        <f t="shared" si="34"/>
        <v>#REF!</v>
      </c>
      <c r="J101" s="654" t="e">
        <f t="shared" si="35"/>
        <v>#REF!</v>
      </c>
      <c r="K101" s="651">
        <f>F14</f>
        <v>14.5886464</v>
      </c>
      <c r="L101" s="652">
        <f>G14</f>
        <v>8.0520014</v>
      </c>
      <c r="M101" s="652">
        <f>H14</f>
        <v>9.5419484000000008</v>
      </c>
      <c r="N101" s="652">
        <f>H14</f>
        <v>9.5419484000000008</v>
      </c>
      <c r="O101" s="653">
        <f t="shared" si="36"/>
        <v>-5.0466979999999992</v>
      </c>
      <c r="P101" s="653">
        <f t="shared" si="37"/>
        <v>1.4899470000000008</v>
      </c>
      <c r="Q101" s="654">
        <f t="shared" si="38"/>
        <v>0</v>
      </c>
      <c r="R101" s="651" t="e">
        <f>#REF!+F14</f>
        <v>#REF!</v>
      </c>
      <c r="S101" s="652" t="e">
        <f>#REF!+G14</f>
        <v>#REF!</v>
      </c>
      <c r="T101" s="652" t="e">
        <f>F101+M101</f>
        <v>#REF!</v>
      </c>
      <c r="U101" s="652" t="e">
        <f>#REF!+H14</f>
        <v>#REF!</v>
      </c>
      <c r="V101" s="653" t="e">
        <f t="shared" si="39"/>
        <v>#REF!</v>
      </c>
      <c r="W101" s="653" t="e">
        <f t="shared" si="40"/>
        <v>#REF!</v>
      </c>
      <c r="X101" s="654" t="e">
        <f t="shared" si="41"/>
        <v>#REF!</v>
      </c>
    </row>
    <row r="102" spans="2:24" ht="25.35" hidden="1" customHeight="1" thickBot="1" x14ac:dyDescent="0.45">
      <c r="B102" s="878"/>
      <c r="C102" s="650" t="s">
        <v>91</v>
      </c>
      <c r="D102" s="651" t="e">
        <f>#REF!</f>
        <v>#REF!</v>
      </c>
      <c r="E102" s="652" t="e">
        <f>#REF!</f>
        <v>#REF!</v>
      </c>
      <c r="F102" s="652" t="e">
        <f>#REF!</f>
        <v>#REF!</v>
      </c>
      <c r="G102" s="652" t="e">
        <f>#REF!</f>
        <v>#REF!</v>
      </c>
      <c r="H102" s="653" t="e">
        <f t="shared" si="33"/>
        <v>#REF!</v>
      </c>
      <c r="I102" s="652" t="e">
        <f t="shared" si="34"/>
        <v>#REF!</v>
      </c>
      <c r="J102" s="654" t="e">
        <f t="shared" si="35"/>
        <v>#REF!</v>
      </c>
      <c r="K102" s="651">
        <f>F13</f>
        <v>189.048058</v>
      </c>
      <c r="L102" s="652">
        <f>G13</f>
        <v>238.3992585</v>
      </c>
      <c r="M102" s="652">
        <f>H13</f>
        <v>256.66706099999999</v>
      </c>
      <c r="N102" s="652">
        <f>H13</f>
        <v>256.66706099999999</v>
      </c>
      <c r="O102" s="653">
        <f t="shared" si="36"/>
        <v>67.619002999999992</v>
      </c>
      <c r="P102" s="652">
        <f t="shared" si="37"/>
        <v>18.267802499999988</v>
      </c>
      <c r="Q102" s="654">
        <f t="shared" si="38"/>
        <v>0</v>
      </c>
      <c r="R102" s="651" t="e">
        <f>#REF!+F13</f>
        <v>#REF!</v>
      </c>
      <c r="S102" s="652" t="e">
        <f>#REF!+G13</f>
        <v>#REF!</v>
      </c>
      <c r="T102" s="652" t="e">
        <f>F102+M102</f>
        <v>#REF!</v>
      </c>
      <c r="U102" s="652" t="e">
        <f>#REF!+H13</f>
        <v>#REF!</v>
      </c>
      <c r="V102" s="653" t="e">
        <f t="shared" si="39"/>
        <v>#REF!</v>
      </c>
      <c r="W102" s="652" t="e">
        <f t="shared" si="40"/>
        <v>#REF!</v>
      </c>
      <c r="X102" s="654" t="e">
        <f t="shared" si="41"/>
        <v>#REF!</v>
      </c>
    </row>
    <row r="103" spans="2:24" ht="25.35" hidden="1" customHeight="1" thickBot="1" x14ac:dyDescent="0.45">
      <c r="B103" s="879" t="s">
        <v>92</v>
      </c>
      <c r="C103" s="879"/>
      <c r="D103" s="646" t="e">
        <f>SUM(D104:D108)</f>
        <v>#REF!</v>
      </c>
      <c r="E103" s="655" t="e">
        <f>SUM(E104:E108)</f>
        <v>#REF!</v>
      </c>
      <c r="F103" s="647" t="e">
        <f>SUM(F104:F108)</f>
        <v>#REF!</v>
      </c>
      <c r="G103" s="655" t="e">
        <f>SUM(G104:G108)</f>
        <v>#REF!</v>
      </c>
      <c r="H103" s="648" t="e">
        <f t="shared" si="33"/>
        <v>#REF!</v>
      </c>
      <c r="I103" s="648" t="e">
        <f t="shared" si="34"/>
        <v>#REF!</v>
      </c>
      <c r="J103" s="649" t="e">
        <f t="shared" si="35"/>
        <v>#REF!</v>
      </c>
      <c r="K103" s="646" t="e">
        <f>SUM(K104:K108)</f>
        <v>#REF!</v>
      </c>
      <c r="L103" s="647" t="e">
        <f>SUM(L104:L108)</f>
        <v>#REF!</v>
      </c>
      <c r="M103" s="647" t="e">
        <f>SUM(M104:M108)</f>
        <v>#REF!</v>
      </c>
      <c r="N103" s="647" t="e">
        <f>SUM(N104:N108)</f>
        <v>#REF!</v>
      </c>
      <c r="O103" s="648" t="e">
        <f t="shared" si="36"/>
        <v>#REF!</v>
      </c>
      <c r="P103" s="648" t="e">
        <f t="shared" si="37"/>
        <v>#REF!</v>
      </c>
      <c r="Q103" s="649" t="e">
        <f t="shared" si="38"/>
        <v>#REF!</v>
      </c>
      <c r="R103" s="646" t="e">
        <f>SUM(R104:R108)</f>
        <v>#REF!</v>
      </c>
      <c r="S103" s="647" t="e">
        <f>SUM(S104:S108)</f>
        <v>#REF!</v>
      </c>
      <c r="T103" s="647" t="e">
        <f>SUM(T104:T108)</f>
        <v>#REF!</v>
      </c>
      <c r="U103" s="647" t="e">
        <f>SUM(U104:U108)</f>
        <v>#REF!</v>
      </c>
      <c r="V103" s="648" t="e">
        <f t="shared" si="39"/>
        <v>#REF!</v>
      </c>
      <c r="W103" s="648" t="e">
        <f t="shared" si="40"/>
        <v>#REF!</v>
      </c>
      <c r="X103" s="649" t="e">
        <f t="shared" si="41"/>
        <v>#REF!</v>
      </c>
    </row>
    <row r="104" spans="2:24" ht="25.35" hidden="1" customHeight="1" thickBot="1" x14ac:dyDescent="0.45">
      <c r="B104" s="877"/>
      <c r="C104" s="650" t="s">
        <v>93</v>
      </c>
      <c r="D104" s="651" t="e">
        <f>#REF!</f>
        <v>#REF!</v>
      </c>
      <c r="E104" s="652" t="e">
        <f>#REF!</f>
        <v>#REF!</v>
      </c>
      <c r="F104" s="652" t="e">
        <f>#REF!</f>
        <v>#REF!</v>
      </c>
      <c r="G104" s="652" t="e">
        <f>#REF!</f>
        <v>#REF!</v>
      </c>
      <c r="H104" s="653" t="e">
        <f t="shared" si="33"/>
        <v>#REF!</v>
      </c>
      <c r="I104" s="653" t="e">
        <f t="shared" si="34"/>
        <v>#REF!</v>
      </c>
      <c r="J104" s="654" t="e">
        <f t="shared" si="35"/>
        <v>#REF!</v>
      </c>
      <c r="K104" s="651" t="e">
        <f>#REF!</f>
        <v>#REF!</v>
      </c>
      <c r="L104" s="652" t="e">
        <f>#REF!</f>
        <v>#REF!</v>
      </c>
      <c r="M104" s="652" t="e">
        <f>#REF!</f>
        <v>#REF!</v>
      </c>
      <c r="N104" s="652" t="e">
        <f>#REF!</f>
        <v>#REF!</v>
      </c>
      <c r="O104" s="653" t="e">
        <f t="shared" si="36"/>
        <v>#REF!</v>
      </c>
      <c r="P104" s="653" t="e">
        <f t="shared" si="37"/>
        <v>#REF!</v>
      </c>
      <c r="Q104" s="654" t="e">
        <f t="shared" si="38"/>
        <v>#REF!</v>
      </c>
      <c r="R104" s="651" t="e">
        <f>#REF!+#REF!</f>
        <v>#REF!</v>
      </c>
      <c r="S104" s="652" t="e">
        <f>#REF!+#REF!</f>
        <v>#REF!</v>
      </c>
      <c r="T104" s="652" t="e">
        <f>F104+M104</f>
        <v>#REF!</v>
      </c>
      <c r="U104" s="652" t="e">
        <f>#REF!+#REF!</f>
        <v>#REF!</v>
      </c>
      <c r="V104" s="653" t="e">
        <f t="shared" si="39"/>
        <v>#REF!</v>
      </c>
      <c r="W104" s="653" t="e">
        <f t="shared" si="40"/>
        <v>#REF!</v>
      </c>
      <c r="X104" s="654" t="e">
        <f t="shared" si="41"/>
        <v>#REF!</v>
      </c>
    </row>
    <row r="105" spans="2:24" ht="25.35" hidden="1" customHeight="1" thickBot="1" x14ac:dyDescent="0.45">
      <c r="B105" s="887"/>
      <c r="C105" s="650" t="s">
        <v>94</v>
      </c>
      <c r="D105" s="651" t="e">
        <f>#REF!</f>
        <v>#REF!</v>
      </c>
      <c r="E105" s="652" t="e">
        <f>#REF!</f>
        <v>#REF!</v>
      </c>
      <c r="F105" s="652" t="e">
        <f>#REF!</f>
        <v>#REF!</v>
      </c>
      <c r="G105" s="652" t="e">
        <f>#REF!</f>
        <v>#REF!</v>
      </c>
      <c r="H105" s="653" t="e">
        <f t="shared" si="33"/>
        <v>#REF!</v>
      </c>
      <c r="I105" s="653" t="e">
        <f t="shared" si="34"/>
        <v>#REF!</v>
      </c>
      <c r="J105" s="654" t="e">
        <f t="shared" si="35"/>
        <v>#REF!</v>
      </c>
      <c r="K105" s="651">
        <f>F17</f>
        <v>3.66</v>
      </c>
      <c r="L105" s="652">
        <f>G17</f>
        <v>1.7875000000000001</v>
      </c>
      <c r="M105" s="652">
        <f>H17</f>
        <v>0</v>
      </c>
      <c r="N105" s="652">
        <f>H17</f>
        <v>0</v>
      </c>
      <c r="O105" s="653">
        <f t="shared" ref="O105:O108" si="46">N105-K105</f>
        <v>-3.66</v>
      </c>
      <c r="P105" s="653">
        <f t="shared" si="37"/>
        <v>-1.7875000000000001</v>
      </c>
      <c r="Q105" s="654">
        <f t="shared" si="38"/>
        <v>0</v>
      </c>
      <c r="R105" s="651" t="e">
        <f>#REF!+F17</f>
        <v>#REF!</v>
      </c>
      <c r="S105" s="652" t="e">
        <f>#REF!+G17</f>
        <v>#REF!</v>
      </c>
      <c r="T105" s="652" t="e">
        <f>F105+M105</f>
        <v>#REF!</v>
      </c>
      <c r="U105" s="652" t="e">
        <f>#REF!+H17</f>
        <v>#REF!</v>
      </c>
      <c r="V105" s="653" t="e">
        <f t="shared" si="39"/>
        <v>#REF!</v>
      </c>
      <c r="W105" s="653" t="e">
        <f t="shared" si="40"/>
        <v>#REF!</v>
      </c>
      <c r="X105" s="654" t="e">
        <f t="shared" si="41"/>
        <v>#REF!</v>
      </c>
    </row>
    <row r="106" spans="2:24" ht="25.35" hidden="1" customHeight="1" thickBot="1" x14ac:dyDescent="0.45">
      <c r="B106" s="887"/>
      <c r="C106" s="650" t="s">
        <v>95</v>
      </c>
      <c r="D106" s="651" t="e">
        <f>#REF!</f>
        <v>#REF!</v>
      </c>
      <c r="E106" s="652" t="e">
        <f>#REF!</f>
        <v>#REF!</v>
      </c>
      <c r="F106" s="652" t="e">
        <f>#REF!</f>
        <v>#REF!</v>
      </c>
      <c r="G106" s="652" t="e">
        <f>#REF!</f>
        <v>#REF!</v>
      </c>
      <c r="H106" s="653" t="e">
        <f t="shared" si="33"/>
        <v>#REF!</v>
      </c>
      <c r="I106" s="653" t="e">
        <f t="shared" si="34"/>
        <v>#REF!</v>
      </c>
      <c r="J106" s="654" t="e">
        <f t="shared" si="35"/>
        <v>#REF!</v>
      </c>
      <c r="K106" s="651">
        <f>F16</f>
        <v>42.274860109999999</v>
      </c>
      <c r="L106" s="652">
        <f>G16</f>
        <v>35.326999999999998</v>
      </c>
      <c r="M106" s="652">
        <f>H16</f>
        <v>34.321650720000001</v>
      </c>
      <c r="N106" s="656">
        <f>H16</f>
        <v>34.321650720000001</v>
      </c>
      <c r="O106" s="653">
        <f t="shared" si="46"/>
        <v>-7.9532093899999978</v>
      </c>
      <c r="P106" s="653">
        <f t="shared" si="37"/>
        <v>-1.0053492799999972</v>
      </c>
      <c r="Q106" s="654">
        <f t="shared" si="38"/>
        <v>0</v>
      </c>
      <c r="R106" s="651" t="e">
        <f>#REF!+F16</f>
        <v>#REF!</v>
      </c>
      <c r="S106" s="652" t="e">
        <f>#REF!+G16</f>
        <v>#REF!</v>
      </c>
      <c r="T106" s="652" t="e">
        <f>F106+M106</f>
        <v>#REF!</v>
      </c>
      <c r="U106" s="652" t="e">
        <f>#REF!+H16</f>
        <v>#REF!</v>
      </c>
      <c r="V106" s="653" t="e">
        <f t="shared" si="39"/>
        <v>#REF!</v>
      </c>
      <c r="W106" s="652" t="e">
        <f t="shared" si="40"/>
        <v>#REF!</v>
      </c>
      <c r="X106" s="654" t="e">
        <f t="shared" si="41"/>
        <v>#REF!</v>
      </c>
    </row>
    <row r="107" spans="2:24" ht="25.35" hidden="1" customHeight="1" thickBot="1" x14ac:dyDescent="0.45">
      <c r="B107" s="887"/>
      <c r="C107" s="650" t="s">
        <v>96</v>
      </c>
      <c r="D107" s="651" t="e">
        <f>#REF!</f>
        <v>#REF!</v>
      </c>
      <c r="E107" s="652" t="e">
        <f>#REF!</f>
        <v>#REF!</v>
      </c>
      <c r="F107" s="652" t="e">
        <f>#REF!</f>
        <v>#REF!</v>
      </c>
      <c r="G107" s="652" t="e">
        <f>#REF!</f>
        <v>#REF!</v>
      </c>
      <c r="H107" s="653" t="e">
        <f t="shared" si="33"/>
        <v>#REF!</v>
      </c>
      <c r="I107" s="652" t="e">
        <f t="shared" si="34"/>
        <v>#REF!</v>
      </c>
      <c r="J107" s="654" t="e">
        <f t="shared" si="35"/>
        <v>#REF!</v>
      </c>
      <c r="K107" s="651">
        <f t="shared" ref="K107:M108" si="47">F18</f>
        <v>5.2999166799999999</v>
      </c>
      <c r="L107" s="652">
        <f t="shared" si="47"/>
        <v>4.6875</v>
      </c>
      <c r="M107" s="652">
        <f t="shared" si="47"/>
        <v>4.9429166799999997</v>
      </c>
      <c r="N107" s="652">
        <f>H18</f>
        <v>4.9429166799999997</v>
      </c>
      <c r="O107" s="653">
        <f t="shared" si="46"/>
        <v>-0.35700000000000021</v>
      </c>
      <c r="P107" s="652">
        <f t="shared" si="37"/>
        <v>0.25541667999999973</v>
      </c>
      <c r="Q107" s="654">
        <f t="shared" si="38"/>
        <v>0</v>
      </c>
      <c r="R107" s="651" t="e">
        <f>#REF!+F18</f>
        <v>#REF!</v>
      </c>
      <c r="S107" s="652" t="e">
        <f>#REF!+G18</f>
        <v>#REF!</v>
      </c>
      <c r="T107" s="652" t="e">
        <f>F107+M107</f>
        <v>#REF!</v>
      </c>
      <c r="U107" s="652" t="e">
        <f>#REF!+H18</f>
        <v>#REF!</v>
      </c>
      <c r="V107" s="653" t="e">
        <f t="shared" si="39"/>
        <v>#REF!</v>
      </c>
      <c r="W107" s="652" t="e">
        <f t="shared" si="40"/>
        <v>#REF!</v>
      </c>
      <c r="X107" s="654" t="e">
        <f t="shared" si="41"/>
        <v>#REF!</v>
      </c>
    </row>
    <row r="108" spans="2:24" ht="25.35" hidden="1" customHeight="1" thickBot="1" x14ac:dyDescent="0.45">
      <c r="B108" s="878"/>
      <c r="C108" s="650" t="s">
        <v>97</v>
      </c>
      <c r="D108" s="657" t="e">
        <f>#REF!</f>
        <v>#REF!</v>
      </c>
      <c r="E108" s="658" t="e">
        <f>#REF!</f>
        <v>#REF!</v>
      </c>
      <c r="F108" s="658" t="e">
        <f>#REF!</f>
        <v>#REF!</v>
      </c>
      <c r="G108" s="658" t="e">
        <f>#REF!</f>
        <v>#REF!</v>
      </c>
      <c r="H108" s="659" t="e">
        <f t="shared" si="33"/>
        <v>#REF!</v>
      </c>
      <c r="I108" s="658" t="e">
        <f t="shared" si="34"/>
        <v>#REF!</v>
      </c>
      <c r="J108" s="660" t="e">
        <f t="shared" si="35"/>
        <v>#REF!</v>
      </c>
      <c r="K108" s="657">
        <f t="shared" si="47"/>
        <v>2.64804167</v>
      </c>
      <c r="L108" s="658">
        <f t="shared" si="47"/>
        <v>0</v>
      </c>
      <c r="M108" s="658">
        <f t="shared" si="47"/>
        <v>0.78861501000000001</v>
      </c>
      <c r="N108" s="658">
        <f>H19</f>
        <v>0.78861501000000001</v>
      </c>
      <c r="O108" s="659">
        <f t="shared" si="46"/>
        <v>-1.85942666</v>
      </c>
      <c r="P108" s="658">
        <f t="shared" si="37"/>
        <v>0.78861501000000001</v>
      </c>
      <c r="Q108" s="660">
        <f t="shared" si="38"/>
        <v>0</v>
      </c>
      <c r="R108" s="657" t="e">
        <f>#REF!+F19</f>
        <v>#REF!</v>
      </c>
      <c r="S108" s="658" t="e">
        <f>#REF!+G19</f>
        <v>#REF!</v>
      </c>
      <c r="T108" s="658" t="e">
        <f>F108+M108</f>
        <v>#REF!</v>
      </c>
      <c r="U108" s="658" t="e">
        <f>#REF!+H19</f>
        <v>#REF!</v>
      </c>
      <c r="V108" s="659" t="e">
        <f t="shared" si="39"/>
        <v>#REF!</v>
      </c>
      <c r="W108" s="658" t="e">
        <f t="shared" si="40"/>
        <v>#REF!</v>
      </c>
      <c r="X108" s="660" t="e">
        <f t="shared" si="41"/>
        <v>#REF!</v>
      </c>
    </row>
    <row r="109" spans="2:24" hidden="1" x14ac:dyDescent="0.4">
      <c r="E109" s="661"/>
    </row>
    <row r="110" spans="2:24" ht="25.35" hidden="1" customHeight="1" thickBot="1" x14ac:dyDescent="0.45">
      <c r="B110" s="883" t="s">
        <v>75</v>
      </c>
      <c r="C110" s="883"/>
      <c r="D110" s="859" t="s">
        <v>98</v>
      </c>
      <c r="E110" s="860"/>
      <c r="F110" s="860"/>
      <c r="G110" s="860"/>
      <c r="H110" s="860"/>
      <c r="I110" s="860"/>
      <c r="J110" s="861"/>
      <c r="K110" s="859" t="s">
        <v>99</v>
      </c>
      <c r="L110" s="860"/>
      <c r="M110" s="860"/>
      <c r="N110" s="860"/>
      <c r="O110" s="860"/>
      <c r="P110" s="860"/>
      <c r="Q110" s="861"/>
      <c r="R110" s="850"/>
      <c r="S110" s="850"/>
      <c r="T110" s="850"/>
      <c r="U110" s="850"/>
      <c r="V110" s="850"/>
      <c r="W110" s="850"/>
      <c r="X110" s="850"/>
    </row>
    <row r="111" spans="2:24" ht="39" hidden="1" customHeight="1" thickBot="1" x14ac:dyDescent="0.45">
      <c r="B111" s="884"/>
      <c r="C111" s="884"/>
      <c r="D111" s="643" t="s">
        <v>79</v>
      </c>
      <c r="E111" s="644" t="s">
        <v>80</v>
      </c>
      <c r="F111" s="644" t="s">
        <v>81</v>
      </c>
      <c r="G111" s="644" t="s">
        <v>15</v>
      </c>
      <c r="H111" s="644" t="s">
        <v>82</v>
      </c>
      <c r="I111" s="644" t="s">
        <v>83</v>
      </c>
      <c r="J111" s="645" t="s">
        <v>84</v>
      </c>
      <c r="K111" s="643" t="s">
        <v>79</v>
      </c>
      <c r="L111" s="644" t="s">
        <v>80</v>
      </c>
      <c r="M111" s="644" t="s">
        <v>81</v>
      </c>
      <c r="N111" s="644" t="s">
        <v>15</v>
      </c>
      <c r="O111" s="644" t="s">
        <v>82</v>
      </c>
      <c r="P111" s="644" t="s">
        <v>83</v>
      </c>
      <c r="Q111" s="645" t="s">
        <v>84</v>
      </c>
      <c r="R111" s="662"/>
      <c r="S111" s="662"/>
      <c r="T111" s="662"/>
      <c r="U111" s="662"/>
      <c r="V111" s="662"/>
      <c r="W111" s="662"/>
      <c r="X111" s="662"/>
    </row>
    <row r="112" spans="2:24" ht="25.35" hidden="1" customHeight="1" thickBot="1" x14ac:dyDescent="0.45">
      <c r="B112" s="879" t="s">
        <v>85</v>
      </c>
      <c r="C112" s="879"/>
      <c r="D112" s="646" t="e">
        <f>D113+D117+D120</f>
        <v>#REF!</v>
      </c>
      <c r="E112" s="647" t="e">
        <f>E113+E117+E120</f>
        <v>#REF!</v>
      </c>
      <c r="F112" s="647" t="e">
        <f>F113+F117+F120</f>
        <v>#REF!</v>
      </c>
      <c r="G112" s="647" t="e">
        <f>G113+G117+G120</f>
        <v>#REF!</v>
      </c>
      <c r="H112" s="648" t="e">
        <f t="shared" ref="H112:H125" si="48">G112-D112</f>
        <v>#REF!</v>
      </c>
      <c r="I112" s="648" t="e">
        <f t="shared" ref="I112:I125" si="49">G112-E112</f>
        <v>#REF!</v>
      </c>
      <c r="J112" s="649" t="e">
        <f t="shared" ref="J112:J125" si="50">G112-F112</f>
        <v>#REF!</v>
      </c>
      <c r="K112" s="646" t="e">
        <f>K113+K117+K120</f>
        <v>#REF!</v>
      </c>
      <c r="L112" s="647" t="e">
        <f>L113+L117+L120</f>
        <v>#REF!</v>
      </c>
      <c r="M112" s="647" t="e">
        <f>M113+M117+M120</f>
        <v>#REF!</v>
      </c>
      <c r="N112" s="647" t="e">
        <f>N113+N117+N120</f>
        <v>#REF!</v>
      </c>
      <c r="O112" s="648" t="e">
        <f t="shared" ref="O112:O125" si="51">N112-K112</f>
        <v>#REF!</v>
      </c>
      <c r="P112" s="648" t="e">
        <f t="shared" ref="P112:P125" si="52">N112-L112</f>
        <v>#REF!</v>
      </c>
      <c r="Q112" s="649" t="e">
        <f t="shared" ref="Q112:Q125" si="53">N112-M112</f>
        <v>#REF!</v>
      </c>
      <c r="R112" s="663"/>
      <c r="S112" s="663"/>
      <c r="T112" s="663"/>
      <c r="U112" s="663"/>
      <c r="V112" s="664"/>
      <c r="W112" s="664"/>
      <c r="X112" s="664"/>
    </row>
    <row r="113" spans="2:24" ht="25.35" hidden="1" customHeight="1" thickBot="1" x14ac:dyDescent="0.45">
      <c r="B113" s="879" t="s">
        <v>86</v>
      </c>
      <c r="C113" s="879"/>
      <c r="D113" s="646" t="e">
        <f>SUM(D114:D116)</f>
        <v>#REF!</v>
      </c>
      <c r="E113" s="647" t="e">
        <f t="shared" ref="E113:F113" si="54">SUM(E114:E116)</f>
        <v>#REF!</v>
      </c>
      <c r="F113" s="647" t="e">
        <f t="shared" si="54"/>
        <v>#REF!</v>
      </c>
      <c r="G113" s="647" t="e">
        <f>SUM(G114:G116)</f>
        <v>#REF!</v>
      </c>
      <c r="H113" s="648" t="e">
        <f t="shared" si="48"/>
        <v>#REF!</v>
      </c>
      <c r="I113" s="648" t="e">
        <f t="shared" si="49"/>
        <v>#REF!</v>
      </c>
      <c r="J113" s="649" t="e">
        <f t="shared" si="50"/>
        <v>#REF!</v>
      </c>
      <c r="K113" s="646" t="e">
        <f>SUM(K114:K116)</f>
        <v>#REF!</v>
      </c>
      <c r="L113" s="647" t="e">
        <f t="shared" ref="L113:M113" si="55">SUM(L114:L116)</f>
        <v>#REF!</v>
      </c>
      <c r="M113" s="647" t="e">
        <f t="shared" si="55"/>
        <v>#REF!</v>
      </c>
      <c r="N113" s="647" t="e">
        <f>SUM(N114:N116)</f>
        <v>#REF!</v>
      </c>
      <c r="O113" s="648" t="e">
        <f t="shared" si="51"/>
        <v>#REF!</v>
      </c>
      <c r="P113" s="648" t="e">
        <f t="shared" si="52"/>
        <v>#REF!</v>
      </c>
      <c r="Q113" s="649" t="e">
        <f t="shared" si="53"/>
        <v>#REF!</v>
      </c>
      <c r="R113" s="663"/>
      <c r="S113" s="663"/>
      <c r="T113" s="663"/>
      <c r="U113" s="663"/>
      <c r="V113" s="664"/>
      <c r="W113" s="664"/>
      <c r="X113" s="664"/>
    </row>
    <row r="114" spans="2:24" ht="25.35" hidden="1" customHeight="1" thickBot="1" x14ac:dyDescent="0.45">
      <c r="B114" s="880"/>
      <c r="C114" s="650" t="s">
        <v>87</v>
      </c>
      <c r="D114" s="651">
        <f>V11</f>
        <v>0</v>
      </c>
      <c r="E114" s="652">
        <f>W11</f>
        <v>0.51134500000000016</v>
      </c>
      <c r="F114" s="652" t="e">
        <f>#REF!</f>
        <v>#REF!</v>
      </c>
      <c r="G114" s="652">
        <f>X11</f>
        <v>0</v>
      </c>
      <c r="H114" s="653">
        <f t="shared" si="48"/>
        <v>0</v>
      </c>
      <c r="I114" s="653">
        <f t="shared" si="49"/>
        <v>-0.51134500000000016</v>
      </c>
      <c r="J114" s="654" t="e">
        <f t="shared" si="50"/>
        <v>#REF!</v>
      </c>
      <c r="K114" s="651" t="e">
        <f t="shared" ref="K114:N116" si="56">D97+D114</f>
        <v>#REF!</v>
      </c>
      <c r="L114" s="652" t="e">
        <f t="shared" si="56"/>
        <v>#REF!</v>
      </c>
      <c r="M114" s="652" t="e">
        <f t="shared" si="56"/>
        <v>#REF!</v>
      </c>
      <c r="N114" s="652" t="e">
        <f t="shared" si="56"/>
        <v>#REF!</v>
      </c>
      <c r="O114" s="653" t="e">
        <f t="shared" si="51"/>
        <v>#REF!</v>
      </c>
      <c r="P114" s="653" t="e">
        <f t="shared" si="52"/>
        <v>#REF!</v>
      </c>
      <c r="Q114" s="654" t="e">
        <f t="shared" si="53"/>
        <v>#REF!</v>
      </c>
      <c r="R114" s="665"/>
      <c r="S114" s="665"/>
      <c r="T114" s="665"/>
      <c r="U114" s="665"/>
      <c r="V114" s="666"/>
      <c r="W114" s="666"/>
      <c r="X114" s="666"/>
    </row>
    <row r="115" spans="2:24" ht="25.35" hidden="1" customHeight="1" thickBot="1" x14ac:dyDescent="0.45">
      <c r="B115" s="881"/>
      <c r="C115" s="650" t="s">
        <v>88</v>
      </c>
      <c r="D115" s="651" t="e">
        <f>#REF!</f>
        <v>#REF!</v>
      </c>
      <c r="E115" s="652" t="e">
        <f>#REF!</f>
        <v>#REF!</v>
      </c>
      <c r="F115" s="652" t="e">
        <f>#REF!</f>
        <v>#REF!</v>
      </c>
      <c r="G115" s="652" t="e">
        <f>#REF!</f>
        <v>#REF!</v>
      </c>
      <c r="H115" s="653" t="e">
        <f t="shared" si="48"/>
        <v>#REF!</v>
      </c>
      <c r="I115" s="652" t="e">
        <f t="shared" si="49"/>
        <v>#REF!</v>
      </c>
      <c r="J115" s="654" t="e">
        <f t="shared" si="50"/>
        <v>#REF!</v>
      </c>
      <c r="K115" s="651" t="e">
        <f t="shared" si="56"/>
        <v>#REF!</v>
      </c>
      <c r="L115" s="652" t="e">
        <f t="shared" si="56"/>
        <v>#REF!</v>
      </c>
      <c r="M115" s="652" t="e">
        <f t="shared" si="56"/>
        <v>#REF!</v>
      </c>
      <c r="N115" s="652" t="e">
        <f t="shared" si="56"/>
        <v>#REF!</v>
      </c>
      <c r="O115" s="653" t="e">
        <f t="shared" si="51"/>
        <v>#REF!</v>
      </c>
      <c r="P115" s="653" t="e">
        <f t="shared" si="52"/>
        <v>#REF!</v>
      </c>
      <c r="Q115" s="654" t="e">
        <f t="shared" si="53"/>
        <v>#REF!</v>
      </c>
      <c r="R115" s="665"/>
      <c r="S115" s="665"/>
      <c r="T115" s="665"/>
      <c r="U115" s="665"/>
      <c r="V115" s="666"/>
      <c r="W115" s="665"/>
      <c r="X115" s="665"/>
    </row>
    <row r="116" spans="2:24" ht="25.35" hidden="1" customHeight="1" thickBot="1" x14ac:dyDescent="0.45">
      <c r="B116" s="882"/>
      <c r="C116" s="650" t="s">
        <v>22</v>
      </c>
      <c r="D116" s="651">
        <f>V10</f>
        <v>17.979459309999999</v>
      </c>
      <c r="E116" s="652">
        <f>W10</f>
        <v>24.623108140000003</v>
      </c>
      <c r="F116" s="652" t="e">
        <f>#REF!</f>
        <v>#REF!</v>
      </c>
      <c r="G116" s="652">
        <f>X10</f>
        <v>27.588819538800003</v>
      </c>
      <c r="H116" s="653">
        <f t="shared" si="48"/>
        <v>9.6093602288000035</v>
      </c>
      <c r="I116" s="652">
        <f t="shared" si="49"/>
        <v>2.9657113987999999</v>
      </c>
      <c r="J116" s="654" t="e">
        <f t="shared" si="50"/>
        <v>#REF!</v>
      </c>
      <c r="K116" s="651" t="e">
        <f t="shared" si="56"/>
        <v>#REF!</v>
      </c>
      <c r="L116" s="652" t="e">
        <f t="shared" si="56"/>
        <v>#REF!</v>
      </c>
      <c r="M116" s="652" t="e">
        <f t="shared" si="56"/>
        <v>#REF!</v>
      </c>
      <c r="N116" s="652" t="e">
        <f t="shared" si="56"/>
        <v>#REF!</v>
      </c>
      <c r="O116" s="653" t="e">
        <f t="shared" si="51"/>
        <v>#REF!</v>
      </c>
      <c r="P116" s="653" t="e">
        <f t="shared" si="52"/>
        <v>#REF!</v>
      </c>
      <c r="Q116" s="654" t="e">
        <f t="shared" si="53"/>
        <v>#REF!</v>
      </c>
      <c r="R116" s="665"/>
      <c r="S116" s="665"/>
      <c r="T116" s="665"/>
      <c r="U116" s="665"/>
      <c r="V116" s="666"/>
      <c r="W116" s="665"/>
      <c r="X116" s="666"/>
    </row>
    <row r="117" spans="2:24" ht="25.35" hidden="1" customHeight="1" thickBot="1" x14ac:dyDescent="0.45">
      <c r="B117" s="879" t="s">
        <v>89</v>
      </c>
      <c r="C117" s="879"/>
      <c r="D117" s="646">
        <f>SUM(D118:D119)</f>
        <v>203.63670439999996</v>
      </c>
      <c r="E117" s="647">
        <f>SUM(E118:E119)</f>
        <v>246.45125989999997</v>
      </c>
      <c r="F117" s="647" t="e">
        <f>SUM(F118:F119)</f>
        <v>#REF!</v>
      </c>
      <c r="G117" s="647">
        <f>SUM(G118:G119)</f>
        <v>266.20900940000001</v>
      </c>
      <c r="H117" s="648">
        <f t="shared" si="48"/>
        <v>62.572305000000057</v>
      </c>
      <c r="I117" s="648">
        <f t="shared" si="49"/>
        <v>19.757749500000045</v>
      </c>
      <c r="J117" s="649" t="e">
        <f t="shared" si="50"/>
        <v>#REF!</v>
      </c>
      <c r="K117" s="646" t="e">
        <f>SUM(K118:K119)</f>
        <v>#REF!</v>
      </c>
      <c r="L117" s="647" t="e">
        <f>SUM(L118:L119)</f>
        <v>#REF!</v>
      </c>
      <c r="M117" s="647" t="e">
        <f>SUM(M118:M119)</f>
        <v>#REF!</v>
      </c>
      <c r="N117" s="647" t="e">
        <f>SUM(N118:N119)</f>
        <v>#REF!</v>
      </c>
      <c r="O117" s="648" t="e">
        <f t="shared" si="51"/>
        <v>#REF!</v>
      </c>
      <c r="P117" s="648" t="e">
        <f t="shared" si="52"/>
        <v>#REF!</v>
      </c>
      <c r="Q117" s="649" t="e">
        <f t="shared" si="53"/>
        <v>#REF!</v>
      </c>
      <c r="R117" s="663"/>
      <c r="S117" s="663"/>
      <c r="T117" s="663"/>
      <c r="U117" s="663"/>
      <c r="V117" s="664"/>
      <c r="W117" s="664"/>
      <c r="X117" s="664"/>
    </row>
    <row r="118" spans="2:24" ht="25.35" hidden="1" customHeight="1" thickBot="1" x14ac:dyDescent="0.45">
      <c r="B118" s="877"/>
      <c r="C118" s="650" t="s">
        <v>90</v>
      </c>
      <c r="D118" s="651">
        <f>V14</f>
        <v>14.588646399999998</v>
      </c>
      <c r="E118" s="652">
        <f>W14</f>
        <v>8.0520014</v>
      </c>
      <c r="F118" s="652" t="e">
        <f>#REF!</f>
        <v>#REF!</v>
      </c>
      <c r="G118" s="652">
        <f>X14</f>
        <v>9.5419484000000008</v>
      </c>
      <c r="H118" s="653">
        <f t="shared" si="48"/>
        <v>-5.0466979999999975</v>
      </c>
      <c r="I118" s="653">
        <f t="shared" si="49"/>
        <v>1.4899470000000008</v>
      </c>
      <c r="J118" s="654" t="e">
        <f t="shared" si="50"/>
        <v>#REF!</v>
      </c>
      <c r="K118" s="651" t="e">
        <f t="shared" ref="K118:N119" si="57">D101+D118</f>
        <v>#REF!</v>
      </c>
      <c r="L118" s="652" t="e">
        <f t="shared" si="57"/>
        <v>#REF!</v>
      </c>
      <c r="M118" s="652" t="e">
        <f t="shared" si="57"/>
        <v>#REF!</v>
      </c>
      <c r="N118" s="652" t="e">
        <f t="shared" si="57"/>
        <v>#REF!</v>
      </c>
      <c r="O118" s="653" t="e">
        <f t="shared" si="51"/>
        <v>#REF!</v>
      </c>
      <c r="P118" s="653" t="e">
        <f t="shared" si="52"/>
        <v>#REF!</v>
      </c>
      <c r="Q118" s="654" t="e">
        <f t="shared" si="53"/>
        <v>#REF!</v>
      </c>
      <c r="R118" s="665"/>
      <c r="S118" s="665"/>
      <c r="T118" s="665"/>
      <c r="U118" s="665"/>
      <c r="V118" s="666"/>
      <c r="W118" s="666"/>
      <c r="X118" s="666"/>
    </row>
    <row r="119" spans="2:24" ht="25.35" hidden="1" customHeight="1" thickBot="1" x14ac:dyDescent="0.45">
      <c r="B119" s="878"/>
      <c r="C119" s="650" t="s">
        <v>91</v>
      </c>
      <c r="D119" s="651">
        <f>V13</f>
        <v>189.04805799999997</v>
      </c>
      <c r="E119" s="652">
        <f>W13</f>
        <v>238.39925849999997</v>
      </c>
      <c r="F119" s="652" t="e">
        <f>#REF!</f>
        <v>#REF!</v>
      </c>
      <c r="G119" s="652">
        <f>X13</f>
        <v>256.66706099999999</v>
      </c>
      <c r="H119" s="653">
        <f t="shared" si="48"/>
        <v>67.619003000000021</v>
      </c>
      <c r="I119" s="652">
        <f t="shared" si="49"/>
        <v>18.267802500000016</v>
      </c>
      <c r="J119" s="654" t="e">
        <f t="shared" si="50"/>
        <v>#REF!</v>
      </c>
      <c r="K119" s="651" t="e">
        <f t="shared" si="57"/>
        <v>#REF!</v>
      </c>
      <c r="L119" s="652" t="e">
        <f t="shared" si="57"/>
        <v>#REF!</v>
      </c>
      <c r="M119" s="652" t="e">
        <f t="shared" si="57"/>
        <v>#REF!</v>
      </c>
      <c r="N119" s="652" t="e">
        <f t="shared" si="57"/>
        <v>#REF!</v>
      </c>
      <c r="O119" s="653" t="e">
        <f t="shared" si="51"/>
        <v>#REF!</v>
      </c>
      <c r="P119" s="653" t="e">
        <f t="shared" si="52"/>
        <v>#REF!</v>
      </c>
      <c r="Q119" s="654" t="e">
        <f t="shared" si="53"/>
        <v>#REF!</v>
      </c>
      <c r="R119" s="665"/>
      <c r="S119" s="665"/>
      <c r="T119" s="665"/>
      <c r="U119" s="665"/>
      <c r="V119" s="666"/>
      <c r="W119" s="665"/>
      <c r="X119" s="666"/>
    </row>
    <row r="120" spans="2:24" ht="25.35" hidden="1" customHeight="1" thickBot="1" x14ac:dyDescent="0.45">
      <c r="B120" s="879" t="s">
        <v>92</v>
      </c>
      <c r="C120" s="879"/>
      <c r="D120" s="646" t="e">
        <f>SUM(D121:D125)</f>
        <v>#REF!</v>
      </c>
      <c r="E120" s="647" t="e">
        <f>SUM(E121:E125)</f>
        <v>#REF!</v>
      </c>
      <c r="F120" s="647" t="e">
        <f>SUM(F121:F125)</f>
        <v>#REF!</v>
      </c>
      <c r="G120" s="647" t="e">
        <f>SUM(G121:G125)</f>
        <v>#REF!</v>
      </c>
      <c r="H120" s="648" t="e">
        <f t="shared" si="48"/>
        <v>#REF!</v>
      </c>
      <c r="I120" s="648" t="e">
        <f t="shared" si="49"/>
        <v>#REF!</v>
      </c>
      <c r="J120" s="649" t="e">
        <f t="shared" si="50"/>
        <v>#REF!</v>
      </c>
      <c r="K120" s="646" t="e">
        <f>SUM(K121:K125)</f>
        <v>#REF!</v>
      </c>
      <c r="L120" s="655" t="e">
        <f>SUM(L121:L125)</f>
        <v>#REF!</v>
      </c>
      <c r="M120" s="647" t="e">
        <f>SUM(M121:M125)</f>
        <v>#REF!</v>
      </c>
      <c r="N120" s="655" t="e">
        <f>SUM(N121:N125)</f>
        <v>#REF!</v>
      </c>
      <c r="O120" s="667" t="e">
        <f t="shared" si="51"/>
        <v>#REF!</v>
      </c>
      <c r="P120" s="667" t="e">
        <f t="shared" si="52"/>
        <v>#REF!</v>
      </c>
      <c r="Q120" s="668" t="e">
        <f t="shared" si="53"/>
        <v>#REF!</v>
      </c>
      <c r="R120" s="663"/>
      <c r="S120" s="663"/>
      <c r="T120" s="663"/>
      <c r="U120" s="663"/>
      <c r="V120" s="664"/>
      <c r="W120" s="664"/>
      <c r="X120" s="664"/>
    </row>
    <row r="121" spans="2:24" ht="25.35" hidden="1" customHeight="1" thickBot="1" x14ac:dyDescent="0.45">
      <c r="B121" s="877"/>
      <c r="C121" s="650" t="s">
        <v>93</v>
      </c>
      <c r="D121" s="651" t="e">
        <f>#REF!</f>
        <v>#REF!</v>
      </c>
      <c r="E121" s="652" t="e">
        <f>#REF!</f>
        <v>#REF!</v>
      </c>
      <c r="F121" s="652" t="e">
        <f>#REF!</f>
        <v>#REF!</v>
      </c>
      <c r="G121" s="652" t="e">
        <f>#REF!</f>
        <v>#REF!</v>
      </c>
      <c r="H121" s="653" t="e">
        <f t="shared" si="48"/>
        <v>#REF!</v>
      </c>
      <c r="I121" s="653" t="e">
        <f t="shared" si="49"/>
        <v>#REF!</v>
      </c>
      <c r="J121" s="654" t="e">
        <f t="shared" si="50"/>
        <v>#REF!</v>
      </c>
      <c r="K121" s="651" t="e">
        <f t="shared" ref="K121:N125" si="58">D104+D121</f>
        <v>#REF!</v>
      </c>
      <c r="L121" s="656" t="e">
        <f t="shared" si="58"/>
        <v>#REF!</v>
      </c>
      <c r="M121" s="652" t="e">
        <f t="shared" si="58"/>
        <v>#REF!</v>
      </c>
      <c r="N121" s="656" t="e">
        <f t="shared" si="58"/>
        <v>#REF!</v>
      </c>
      <c r="O121" s="669" t="e">
        <f t="shared" si="51"/>
        <v>#REF!</v>
      </c>
      <c r="P121" s="669" t="e">
        <f t="shared" si="52"/>
        <v>#REF!</v>
      </c>
      <c r="Q121" s="670" t="e">
        <f t="shared" si="53"/>
        <v>#REF!</v>
      </c>
      <c r="R121" s="665"/>
      <c r="S121" s="665"/>
      <c r="T121" s="665"/>
      <c r="U121" s="665"/>
      <c r="V121" s="666"/>
      <c r="W121" s="666"/>
      <c r="X121" s="665"/>
    </row>
    <row r="122" spans="2:24" ht="25.35" hidden="1" customHeight="1" thickBot="1" x14ac:dyDescent="0.45">
      <c r="B122" s="887"/>
      <c r="C122" s="650" t="s">
        <v>94</v>
      </c>
      <c r="D122" s="651">
        <f>V17</f>
        <v>3.66</v>
      </c>
      <c r="E122" s="652">
        <f>W17</f>
        <v>1.7875000000000001</v>
      </c>
      <c r="F122" s="652" t="e">
        <f>#REF!</f>
        <v>#REF!</v>
      </c>
      <c r="G122" s="652">
        <f>X17</f>
        <v>0</v>
      </c>
      <c r="H122" s="653">
        <f t="shared" si="48"/>
        <v>-3.66</v>
      </c>
      <c r="I122" s="653">
        <f t="shared" si="49"/>
        <v>-1.7875000000000001</v>
      </c>
      <c r="J122" s="654" t="e">
        <f t="shared" si="50"/>
        <v>#REF!</v>
      </c>
      <c r="K122" s="651" t="e">
        <f t="shared" si="58"/>
        <v>#REF!</v>
      </c>
      <c r="L122" s="656" t="e">
        <f t="shared" si="58"/>
        <v>#REF!</v>
      </c>
      <c r="M122" s="652" t="e">
        <f t="shared" si="58"/>
        <v>#REF!</v>
      </c>
      <c r="N122" s="656" t="e">
        <f t="shared" si="58"/>
        <v>#REF!</v>
      </c>
      <c r="O122" s="669" t="e">
        <f t="shared" si="51"/>
        <v>#REF!</v>
      </c>
      <c r="P122" s="669" t="e">
        <f t="shared" si="52"/>
        <v>#REF!</v>
      </c>
      <c r="Q122" s="670" t="e">
        <f t="shared" si="53"/>
        <v>#REF!</v>
      </c>
      <c r="R122" s="665"/>
      <c r="S122" s="665"/>
      <c r="T122" s="665"/>
      <c r="U122" s="665"/>
      <c r="V122" s="666"/>
      <c r="W122" s="666"/>
      <c r="X122" s="665"/>
    </row>
    <row r="123" spans="2:24" ht="25.35" hidden="1" customHeight="1" thickBot="1" x14ac:dyDescent="0.45">
      <c r="B123" s="887"/>
      <c r="C123" s="650" t="s">
        <v>95</v>
      </c>
      <c r="D123" s="651">
        <f>V16</f>
        <v>42.274860109999999</v>
      </c>
      <c r="E123" s="652">
        <f>W16</f>
        <v>35.326999999999998</v>
      </c>
      <c r="F123" s="652" t="e">
        <f>#REF!</f>
        <v>#REF!</v>
      </c>
      <c r="G123" s="652">
        <f>X16</f>
        <v>34.321650720000001</v>
      </c>
      <c r="H123" s="653">
        <f t="shared" si="48"/>
        <v>-7.9532093899999978</v>
      </c>
      <c r="I123" s="653">
        <f t="shared" si="49"/>
        <v>-1.0053492799999972</v>
      </c>
      <c r="J123" s="654" t="e">
        <f t="shared" si="50"/>
        <v>#REF!</v>
      </c>
      <c r="K123" s="651" t="e">
        <f t="shared" si="58"/>
        <v>#REF!</v>
      </c>
      <c r="L123" s="656" t="e">
        <f t="shared" si="58"/>
        <v>#REF!</v>
      </c>
      <c r="M123" s="652" t="e">
        <f t="shared" si="58"/>
        <v>#REF!</v>
      </c>
      <c r="N123" s="656" t="e">
        <f t="shared" si="58"/>
        <v>#REF!</v>
      </c>
      <c r="O123" s="669" t="e">
        <f t="shared" si="51"/>
        <v>#REF!</v>
      </c>
      <c r="P123" s="669" t="e">
        <f t="shared" si="52"/>
        <v>#REF!</v>
      </c>
      <c r="Q123" s="670" t="e">
        <f t="shared" si="53"/>
        <v>#REF!</v>
      </c>
      <c r="R123" s="665"/>
      <c r="S123" s="665"/>
      <c r="T123" s="665"/>
      <c r="U123" s="665"/>
      <c r="V123" s="666"/>
      <c r="W123" s="665"/>
      <c r="X123" s="665"/>
    </row>
    <row r="124" spans="2:24" ht="25.35" hidden="1" customHeight="1" thickBot="1" x14ac:dyDescent="0.45">
      <c r="B124" s="887"/>
      <c r="C124" s="650" t="s">
        <v>96</v>
      </c>
      <c r="D124" s="651">
        <f>V18</f>
        <v>5.2999166799999999</v>
      </c>
      <c r="E124" s="652">
        <f>W18</f>
        <v>4.6875</v>
      </c>
      <c r="F124" s="652" t="e">
        <f>#REF!</f>
        <v>#REF!</v>
      </c>
      <c r="G124" s="652">
        <f>X18</f>
        <v>4.9429166799999997</v>
      </c>
      <c r="H124" s="653">
        <f t="shared" si="48"/>
        <v>-0.35700000000000021</v>
      </c>
      <c r="I124" s="653">
        <f t="shared" si="49"/>
        <v>0.25541667999999973</v>
      </c>
      <c r="J124" s="654" t="e">
        <f t="shared" si="50"/>
        <v>#REF!</v>
      </c>
      <c r="K124" s="651" t="e">
        <f t="shared" si="58"/>
        <v>#REF!</v>
      </c>
      <c r="L124" s="656" t="e">
        <f t="shared" si="58"/>
        <v>#REF!</v>
      </c>
      <c r="M124" s="652" t="e">
        <f t="shared" si="58"/>
        <v>#REF!</v>
      </c>
      <c r="N124" s="656" t="e">
        <f t="shared" si="58"/>
        <v>#REF!</v>
      </c>
      <c r="O124" s="669" t="e">
        <f t="shared" si="51"/>
        <v>#REF!</v>
      </c>
      <c r="P124" s="669" t="e">
        <f t="shared" si="52"/>
        <v>#REF!</v>
      </c>
      <c r="Q124" s="670" t="e">
        <f t="shared" si="53"/>
        <v>#REF!</v>
      </c>
      <c r="R124" s="665"/>
      <c r="S124" s="665"/>
      <c r="T124" s="665"/>
      <c r="U124" s="665"/>
      <c r="V124" s="666"/>
      <c r="W124" s="665"/>
      <c r="X124" s="666"/>
    </row>
    <row r="125" spans="2:24" ht="25.35" hidden="1" customHeight="1" thickBot="1" x14ac:dyDescent="0.45">
      <c r="B125" s="878"/>
      <c r="C125" s="650" t="s">
        <v>97</v>
      </c>
      <c r="D125" s="657">
        <f>V19</f>
        <v>2.64804167</v>
      </c>
      <c r="E125" s="658">
        <f>W19</f>
        <v>0</v>
      </c>
      <c r="F125" s="658" t="e">
        <f>#REF!</f>
        <v>#REF!</v>
      </c>
      <c r="G125" s="658">
        <f>X19</f>
        <v>0.78861501000000001</v>
      </c>
      <c r="H125" s="659">
        <f t="shared" si="48"/>
        <v>-1.85942666</v>
      </c>
      <c r="I125" s="659">
        <f t="shared" si="49"/>
        <v>0.78861501000000001</v>
      </c>
      <c r="J125" s="660" t="e">
        <f t="shared" si="50"/>
        <v>#REF!</v>
      </c>
      <c r="K125" s="657" t="e">
        <f t="shared" si="58"/>
        <v>#REF!</v>
      </c>
      <c r="L125" s="671" t="e">
        <f t="shared" si="58"/>
        <v>#REF!</v>
      </c>
      <c r="M125" s="658" t="e">
        <f t="shared" si="58"/>
        <v>#REF!</v>
      </c>
      <c r="N125" s="671" t="e">
        <f t="shared" si="58"/>
        <v>#REF!</v>
      </c>
      <c r="O125" s="672" t="e">
        <f t="shared" si="51"/>
        <v>#REF!</v>
      </c>
      <c r="P125" s="672" t="e">
        <f t="shared" si="52"/>
        <v>#REF!</v>
      </c>
      <c r="Q125" s="673" t="e">
        <f t="shared" si="53"/>
        <v>#REF!</v>
      </c>
      <c r="R125" s="665"/>
      <c r="S125" s="665"/>
      <c r="T125" s="665"/>
      <c r="U125" s="665"/>
      <c r="V125" s="666"/>
      <c r="W125" s="665"/>
      <c r="X125" s="666"/>
    </row>
    <row r="127" spans="2:24" hidden="1" x14ac:dyDescent="0.4"/>
    <row r="128" spans="2:24" ht="25.35" hidden="1" customHeight="1" thickBot="1" x14ac:dyDescent="0.45">
      <c r="B128" s="883" t="s">
        <v>75</v>
      </c>
      <c r="C128" s="883"/>
      <c r="D128" s="859" t="s">
        <v>100</v>
      </c>
      <c r="E128" s="860"/>
      <c r="F128" s="860"/>
      <c r="G128" s="860"/>
      <c r="H128" s="860"/>
      <c r="I128" s="860"/>
      <c r="J128" s="861"/>
      <c r="K128" s="859" t="s">
        <v>101</v>
      </c>
      <c r="L128" s="860"/>
      <c r="M128" s="860"/>
      <c r="N128" s="860"/>
      <c r="O128" s="860"/>
      <c r="P128" s="860"/>
      <c r="Q128" s="861"/>
      <c r="R128" s="850" t="s">
        <v>102</v>
      </c>
      <c r="S128" s="850"/>
      <c r="T128" s="850"/>
      <c r="U128" s="850"/>
      <c r="V128" s="850"/>
      <c r="W128" s="850"/>
      <c r="X128" s="850"/>
    </row>
    <row r="129" spans="2:24" ht="39" hidden="1" customHeight="1" thickBot="1" x14ac:dyDescent="0.45">
      <c r="B129" s="884"/>
      <c r="C129" s="884"/>
      <c r="D129" s="643" t="s">
        <v>79</v>
      </c>
      <c r="E129" s="644" t="s">
        <v>80</v>
      </c>
      <c r="F129" s="644" t="s">
        <v>103</v>
      </c>
      <c r="G129" s="644" t="s">
        <v>15</v>
      </c>
      <c r="H129" s="644" t="s">
        <v>82</v>
      </c>
      <c r="I129" s="644" t="s">
        <v>83</v>
      </c>
      <c r="J129" s="645" t="s">
        <v>84</v>
      </c>
      <c r="K129" s="643" t="s">
        <v>79</v>
      </c>
      <c r="L129" s="644" t="s">
        <v>80</v>
      </c>
      <c r="M129" s="644" t="s">
        <v>103</v>
      </c>
      <c r="N129" s="644" t="s">
        <v>15</v>
      </c>
      <c r="O129" s="644" t="s">
        <v>82</v>
      </c>
      <c r="P129" s="644" t="s">
        <v>83</v>
      </c>
      <c r="Q129" s="645" t="s">
        <v>84</v>
      </c>
      <c r="R129" s="662"/>
      <c r="S129" s="662"/>
      <c r="T129" s="662"/>
      <c r="U129" s="662"/>
      <c r="V129" s="662"/>
      <c r="W129" s="662"/>
      <c r="X129" s="662"/>
    </row>
    <row r="130" spans="2:24" ht="25.35" hidden="1" customHeight="1" thickBot="1" x14ac:dyDescent="0.45">
      <c r="B130" s="879" t="s">
        <v>85</v>
      </c>
      <c r="C130" s="879"/>
      <c r="D130" s="646" t="e">
        <f>D131+D135+D138</f>
        <v>#REF!</v>
      </c>
      <c r="E130" s="647" t="e">
        <f>E131+E135+E138</f>
        <v>#REF!</v>
      </c>
      <c r="F130" s="647" t="e">
        <f>F131+F135+F138</f>
        <v>#REF!</v>
      </c>
      <c r="G130" s="647" t="e">
        <f>G131+G135+G138</f>
        <v>#REF!</v>
      </c>
      <c r="H130" s="648" t="e">
        <f t="shared" ref="H130:H143" si="59">G130-D130</f>
        <v>#REF!</v>
      </c>
      <c r="I130" s="648" t="e">
        <f t="shared" ref="I130:I143" si="60">G130-E130</f>
        <v>#REF!</v>
      </c>
      <c r="J130" s="649" t="e">
        <f t="shared" ref="J130:J143" si="61">G130-F130</f>
        <v>#REF!</v>
      </c>
      <c r="K130" s="646" t="e">
        <f>K131+K135+K138</f>
        <v>#REF!</v>
      </c>
      <c r="L130" s="647" t="e">
        <f>L131+L135+L138</f>
        <v>#REF!</v>
      </c>
      <c r="M130" s="647" t="e">
        <f>M131+M135+M138</f>
        <v>#REF!</v>
      </c>
      <c r="N130" s="647" t="e">
        <f>N131+N135+N138</f>
        <v>#REF!</v>
      </c>
      <c r="O130" s="648" t="e">
        <f t="shared" ref="O130:O143" si="62">N130-K130</f>
        <v>#REF!</v>
      </c>
      <c r="P130" s="648" t="e">
        <f t="shared" ref="P130:P143" si="63">N130-L130</f>
        <v>#REF!</v>
      </c>
      <c r="Q130" s="649" t="e">
        <f t="shared" ref="Q130:Q143" si="64">N130-M130</f>
        <v>#REF!</v>
      </c>
      <c r="R130" s="663"/>
      <c r="S130" s="663"/>
      <c r="T130" s="663"/>
      <c r="U130" s="663"/>
      <c r="V130" s="664"/>
      <c r="W130" s="664"/>
      <c r="X130" s="663"/>
    </row>
    <row r="131" spans="2:24" ht="25.35" hidden="1" customHeight="1" thickBot="1" x14ac:dyDescent="0.45">
      <c r="B131" s="879" t="s">
        <v>86</v>
      </c>
      <c r="C131" s="879"/>
      <c r="D131" s="646" t="e">
        <f>SUM(D132:D134)</f>
        <v>#REF!</v>
      </c>
      <c r="E131" s="647" t="e">
        <f t="shared" ref="E131:F131" si="65">SUM(E132:E134)</f>
        <v>#REF!</v>
      </c>
      <c r="F131" s="647" t="e">
        <f t="shared" si="65"/>
        <v>#REF!</v>
      </c>
      <c r="G131" s="647" t="e">
        <f>SUM(G132:G134)</f>
        <v>#REF!</v>
      </c>
      <c r="H131" s="648" t="e">
        <f t="shared" si="59"/>
        <v>#REF!</v>
      </c>
      <c r="I131" s="648" t="e">
        <f t="shared" si="60"/>
        <v>#REF!</v>
      </c>
      <c r="J131" s="649" t="e">
        <f t="shared" si="61"/>
        <v>#REF!</v>
      </c>
      <c r="K131" s="646" t="e">
        <f>SUM(K132:K134)</f>
        <v>#REF!</v>
      </c>
      <c r="L131" s="647" t="e">
        <f t="shared" ref="L131:M131" si="66">SUM(L132:L134)</f>
        <v>#REF!</v>
      </c>
      <c r="M131" s="647" t="e">
        <f t="shared" si="66"/>
        <v>#REF!</v>
      </c>
      <c r="N131" s="647" t="e">
        <f>SUM(N132:N134)</f>
        <v>#REF!</v>
      </c>
      <c r="O131" s="648" t="e">
        <f t="shared" si="62"/>
        <v>#REF!</v>
      </c>
      <c r="P131" s="648" t="e">
        <f t="shared" si="63"/>
        <v>#REF!</v>
      </c>
      <c r="Q131" s="649" t="e">
        <f t="shared" si="64"/>
        <v>#REF!</v>
      </c>
      <c r="R131" s="663"/>
      <c r="S131" s="663"/>
      <c r="T131" s="663"/>
      <c r="U131" s="663"/>
      <c r="V131" s="664"/>
      <c r="W131" s="664"/>
      <c r="X131" s="663"/>
    </row>
    <row r="132" spans="2:24" ht="25.35" hidden="1" customHeight="1" thickBot="1" x14ac:dyDescent="0.45">
      <c r="B132" s="880"/>
      <c r="C132" s="650" t="s">
        <v>87</v>
      </c>
      <c r="D132" s="651">
        <f>N11</f>
        <v>0</v>
      </c>
      <c r="E132" s="652">
        <f>O11</f>
        <v>0.17044833333333337</v>
      </c>
      <c r="F132" s="652" t="e">
        <f>#REF!</f>
        <v>#REF!</v>
      </c>
      <c r="G132" s="652">
        <f>P11</f>
        <v>0</v>
      </c>
      <c r="H132" s="653">
        <f t="shared" si="59"/>
        <v>0</v>
      </c>
      <c r="I132" s="653">
        <f t="shared" si="60"/>
        <v>-0.17044833333333337</v>
      </c>
      <c r="J132" s="654" t="e">
        <f t="shared" si="61"/>
        <v>#REF!</v>
      </c>
      <c r="K132" s="651" t="e">
        <f>SUM(#REF!,F11,J11,N11)</f>
        <v>#REF!</v>
      </c>
      <c r="L132" s="652" t="e">
        <f>SUM(#REF!,G11,K11,O11)</f>
        <v>#REF!</v>
      </c>
      <c r="M132" s="652" t="e">
        <f>SUM(#REF!,#REF!,#REF!)</f>
        <v>#REF!</v>
      </c>
      <c r="N132" s="652" t="e">
        <f>SUM(#REF!,H11,L11,P11)</f>
        <v>#REF!</v>
      </c>
      <c r="O132" s="653" t="e">
        <f t="shared" si="62"/>
        <v>#REF!</v>
      </c>
      <c r="P132" s="653" t="e">
        <f t="shared" si="63"/>
        <v>#REF!</v>
      </c>
      <c r="Q132" s="654" t="e">
        <f t="shared" si="64"/>
        <v>#REF!</v>
      </c>
      <c r="R132" s="665"/>
      <c r="S132" s="665"/>
      <c r="T132" s="665"/>
      <c r="U132" s="665"/>
      <c r="V132" s="666"/>
      <c r="W132" s="666"/>
      <c r="X132" s="665"/>
    </row>
    <row r="133" spans="2:24" ht="25.35" hidden="1" customHeight="1" thickBot="1" x14ac:dyDescent="0.45">
      <c r="B133" s="881"/>
      <c r="C133" s="650" t="s">
        <v>88</v>
      </c>
      <c r="D133" s="651" t="e">
        <f>#REF!</f>
        <v>#REF!</v>
      </c>
      <c r="E133" s="652" t="e">
        <f>#REF!</f>
        <v>#REF!</v>
      </c>
      <c r="F133" s="652" t="e">
        <f>#REF!</f>
        <v>#REF!</v>
      </c>
      <c r="G133" s="652" t="e">
        <f>#REF!</f>
        <v>#REF!</v>
      </c>
      <c r="H133" s="653" t="e">
        <f t="shared" si="59"/>
        <v>#REF!</v>
      </c>
      <c r="I133" s="652" t="e">
        <f t="shared" si="60"/>
        <v>#REF!</v>
      </c>
      <c r="J133" s="654" t="e">
        <f t="shared" si="61"/>
        <v>#REF!</v>
      </c>
      <c r="K133" s="651" t="e">
        <f>SUM(#REF!,#REF!,#REF!,#REF!)</f>
        <v>#REF!</v>
      </c>
      <c r="L133" s="652" t="e">
        <f>SUM(#REF!,#REF!,#REF!,#REF!)</f>
        <v>#REF!</v>
      </c>
      <c r="M133" s="652" t="e">
        <f>SUM(#REF!,#REF!,#REF!)</f>
        <v>#REF!</v>
      </c>
      <c r="N133" s="652" t="e">
        <f>SUM(#REF!,#REF!,#REF!,#REF!)</f>
        <v>#REF!</v>
      </c>
      <c r="O133" s="653" t="e">
        <f t="shared" si="62"/>
        <v>#REF!</v>
      </c>
      <c r="P133" s="652" t="e">
        <f t="shared" si="63"/>
        <v>#REF!</v>
      </c>
      <c r="Q133" s="654" t="e">
        <f t="shared" si="64"/>
        <v>#REF!</v>
      </c>
      <c r="R133" s="665"/>
      <c r="S133" s="665"/>
      <c r="T133" s="665"/>
      <c r="U133" s="665"/>
      <c r="V133" s="666"/>
      <c r="W133" s="665"/>
      <c r="X133" s="665"/>
    </row>
    <row r="134" spans="2:24" ht="25.35" hidden="1" customHeight="1" thickBot="1" x14ac:dyDescent="0.45">
      <c r="B134" s="882"/>
      <c r="C134" s="650" t="s">
        <v>22</v>
      </c>
      <c r="D134" s="651">
        <f>N10</f>
        <v>12.60945478</v>
      </c>
      <c r="E134" s="652">
        <f>O10</f>
        <v>12.083620640000003</v>
      </c>
      <c r="F134" s="652" t="e">
        <f>#REF!</f>
        <v>#REF!</v>
      </c>
      <c r="G134" s="652">
        <f>P10</f>
        <v>9.6746168200000007</v>
      </c>
      <c r="H134" s="653">
        <f t="shared" si="59"/>
        <v>-2.9348379599999994</v>
      </c>
      <c r="I134" s="652">
        <f t="shared" si="60"/>
        <v>-2.4090038200000023</v>
      </c>
      <c r="J134" s="654" t="e">
        <f t="shared" si="61"/>
        <v>#REF!</v>
      </c>
      <c r="K134" s="651" t="e">
        <f>SUM(#REF!,F10,J10,N10)</f>
        <v>#REF!</v>
      </c>
      <c r="L134" s="652" t="e">
        <f>SUM(#REF!,G10,K10,O10)</f>
        <v>#REF!</v>
      </c>
      <c r="M134" s="652" t="e">
        <f>SUM(#REF!,#REF!,#REF!)</f>
        <v>#REF!</v>
      </c>
      <c r="N134" s="652" t="e">
        <f>SUM(#REF!,H10,L10,P10)</f>
        <v>#REF!</v>
      </c>
      <c r="O134" s="653" t="e">
        <f t="shared" si="62"/>
        <v>#REF!</v>
      </c>
      <c r="P134" s="652" t="e">
        <f t="shared" si="63"/>
        <v>#REF!</v>
      </c>
      <c r="Q134" s="654" t="e">
        <f t="shared" si="64"/>
        <v>#REF!</v>
      </c>
      <c r="R134" s="665"/>
      <c r="S134" s="665"/>
      <c r="T134" s="665"/>
      <c r="U134" s="665"/>
      <c r="V134" s="666"/>
      <c r="W134" s="665"/>
      <c r="X134" s="665"/>
    </row>
    <row r="135" spans="2:24" ht="25.35" hidden="1" customHeight="1" thickBot="1" x14ac:dyDescent="0.45">
      <c r="B135" s="879" t="s">
        <v>89</v>
      </c>
      <c r="C135" s="879"/>
      <c r="D135" s="646">
        <f>SUM(D136:D137)</f>
        <v>54.348993800000002</v>
      </c>
      <c r="E135" s="647">
        <f>SUM(E136:E137)</f>
        <v>90.822934399999994</v>
      </c>
      <c r="F135" s="647" t="e">
        <f>SUM(F136:F137)</f>
        <v>#REF!</v>
      </c>
      <c r="G135" s="647">
        <f>SUM(G136:G137)</f>
        <v>102.89946260000001</v>
      </c>
      <c r="H135" s="648">
        <f t="shared" si="59"/>
        <v>48.550468800000004</v>
      </c>
      <c r="I135" s="648">
        <f t="shared" si="60"/>
        <v>12.076528200000013</v>
      </c>
      <c r="J135" s="649" t="e">
        <f t="shared" si="61"/>
        <v>#REF!</v>
      </c>
      <c r="K135" s="646" t="e">
        <f>SUM(K136:K137)</f>
        <v>#REF!</v>
      </c>
      <c r="L135" s="647" t="e">
        <f>SUM(L136:L137)</f>
        <v>#REF!</v>
      </c>
      <c r="M135" s="647" t="e">
        <f>SUM(M136:M137)</f>
        <v>#REF!</v>
      </c>
      <c r="N135" s="647" t="e">
        <f>SUM(N136:N137)</f>
        <v>#REF!</v>
      </c>
      <c r="O135" s="648" t="e">
        <f t="shared" si="62"/>
        <v>#REF!</v>
      </c>
      <c r="P135" s="648" t="e">
        <f t="shared" si="63"/>
        <v>#REF!</v>
      </c>
      <c r="Q135" s="649" t="e">
        <f t="shared" si="64"/>
        <v>#REF!</v>
      </c>
      <c r="R135" s="663"/>
      <c r="S135" s="663"/>
      <c r="T135" s="663"/>
      <c r="U135" s="663"/>
      <c r="V135" s="664"/>
      <c r="W135" s="664"/>
      <c r="X135" s="663"/>
    </row>
    <row r="136" spans="2:24" ht="25.35" hidden="1" customHeight="1" thickBot="1" x14ac:dyDescent="0.45">
      <c r="B136" s="877"/>
      <c r="C136" s="650" t="s">
        <v>90</v>
      </c>
      <c r="D136" s="651">
        <f>N14</f>
        <v>4.3794528000000001</v>
      </c>
      <c r="E136" s="652">
        <f>O14</f>
        <v>2.7458163999999998</v>
      </c>
      <c r="F136" s="652" t="e">
        <f>#REF!</f>
        <v>#REF!</v>
      </c>
      <c r="G136" s="652">
        <f>P14</f>
        <v>2.7933716</v>
      </c>
      <c r="H136" s="653">
        <f t="shared" si="59"/>
        <v>-1.5860812000000002</v>
      </c>
      <c r="I136" s="653">
        <f t="shared" si="60"/>
        <v>4.7555200000000131E-2</v>
      </c>
      <c r="J136" s="654" t="e">
        <f t="shared" si="61"/>
        <v>#REF!</v>
      </c>
      <c r="K136" s="651" t="e">
        <f>SUM(#REF!,F14,J14,N14)</f>
        <v>#REF!</v>
      </c>
      <c r="L136" s="652" t="e">
        <f>SUM(#REF!,G14,K14,O14)</f>
        <v>#REF!</v>
      </c>
      <c r="M136" s="652" t="e">
        <f>SUM(#REF!,#REF!,#REF!)</f>
        <v>#REF!</v>
      </c>
      <c r="N136" s="652" t="e">
        <f>SUM(#REF!,H14,L14,P14)</f>
        <v>#REF!</v>
      </c>
      <c r="O136" s="653" t="e">
        <f t="shared" si="62"/>
        <v>#REF!</v>
      </c>
      <c r="P136" s="653" t="e">
        <f t="shared" si="63"/>
        <v>#REF!</v>
      </c>
      <c r="Q136" s="654" t="e">
        <f t="shared" si="64"/>
        <v>#REF!</v>
      </c>
      <c r="R136" s="665"/>
      <c r="S136" s="665"/>
      <c r="T136" s="665"/>
      <c r="U136" s="665"/>
      <c r="V136" s="666"/>
      <c r="W136" s="666"/>
      <c r="X136" s="665"/>
    </row>
    <row r="137" spans="2:24" ht="25.35" hidden="1" customHeight="1" thickBot="1" x14ac:dyDescent="0.45">
      <c r="B137" s="878"/>
      <c r="C137" s="650" t="s">
        <v>91</v>
      </c>
      <c r="D137" s="651">
        <f>N13</f>
        <v>49.969541</v>
      </c>
      <c r="E137" s="652">
        <f>O13</f>
        <v>88.077117999999999</v>
      </c>
      <c r="F137" s="652" t="e">
        <f>#REF!</f>
        <v>#REF!</v>
      </c>
      <c r="G137" s="652">
        <f>P13</f>
        <v>100.10609100000001</v>
      </c>
      <c r="H137" s="653">
        <f t="shared" si="59"/>
        <v>50.136550000000007</v>
      </c>
      <c r="I137" s="652">
        <f t="shared" si="60"/>
        <v>12.028973000000008</v>
      </c>
      <c r="J137" s="654" t="e">
        <f t="shared" si="61"/>
        <v>#REF!</v>
      </c>
      <c r="K137" s="651" t="e">
        <f>SUM(#REF!,F13,J13,N13)</f>
        <v>#REF!</v>
      </c>
      <c r="L137" s="652" t="e">
        <f>SUM(#REF!,G13,K13,O13)</f>
        <v>#REF!</v>
      </c>
      <c r="M137" s="652" t="e">
        <f>SUM(#REF!,#REF!,#REF!)</f>
        <v>#REF!</v>
      </c>
      <c r="N137" s="652" t="e">
        <f>SUM(#REF!,H13,L13,P13)</f>
        <v>#REF!</v>
      </c>
      <c r="O137" s="653" t="e">
        <f t="shared" si="62"/>
        <v>#REF!</v>
      </c>
      <c r="P137" s="652" t="e">
        <f t="shared" si="63"/>
        <v>#REF!</v>
      </c>
      <c r="Q137" s="654" t="e">
        <f t="shared" si="64"/>
        <v>#REF!</v>
      </c>
      <c r="R137" s="665"/>
      <c r="S137" s="665"/>
      <c r="T137" s="665"/>
      <c r="U137" s="665"/>
      <c r="V137" s="666"/>
      <c r="W137" s="665"/>
      <c r="X137" s="665"/>
    </row>
    <row r="138" spans="2:24" ht="25.35" hidden="1" customHeight="1" thickBot="1" x14ac:dyDescent="0.45">
      <c r="B138" s="879" t="s">
        <v>92</v>
      </c>
      <c r="C138" s="879"/>
      <c r="D138" s="646" t="e">
        <f>SUM(D139:D143)</f>
        <v>#REF!</v>
      </c>
      <c r="E138" s="655" t="e">
        <f>SUM(E139:E143)</f>
        <v>#REF!</v>
      </c>
      <c r="F138" s="647" t="e">
        <f>SUM(F139:F143)</f>
        <v>#REF!</v>
      </c>
      <c r="G138" s="647" t="e">
        <f>SUM(G139:G143)</f>
        <v>#REF!</v>
      </c>
      <c r="H138" s="648" t="e">
        <f t="shared" si="59"/>
        <v>#REF!</v>
      </c>
      <c r="I138" s="648" t="e">
        <f t="shared" si="60"/>
        <v>#REF!</v>
      </c>
      <c r="J138" s="649" t="e">
        <f t="shared" si="61"/>
        <v>#REF!</v>
      </c>
      <c r="K138" s="646" t="e">
        <f>SUM(K139:K143)</f>
        <v>#REF!</v>
      </c>
      <c r="L138" s="647" t="e">
        <f>SUM(L139:L143)</f>
        <v>#REF!</v>
      </c>
      <c r="M138" s="647" t="e">
        <f>SUM(M139:M143)</f>
        <v>#REF!</v>
      </c>
      <c r="N138" s="647" t="e">
        <f>SUM(N139:N143)</f>
        <v>#REF!</v>
      </c>
      <c r="O138" s="648" t="e">
        <f t="shared" si="62"/>
        <v>#REF!</v>
      </c>
      <c r="P138" s="648" t="e">
        <f t="shared" si="63"/>
        <v>#REF!</v>
      </c>
      <c r="Q138" s="649" t="e">
        <f t="shared" si="64"/>
        <v>#REF!</v>
      </c>
      <c r="R138" s="663"/>
      <c r="S138" s="663"/>
      <c r="T138" s="663"/>
      <c r="U138" s="663"/>
      <c r="V138" s="664"/>
      <c r="W138" s="664"/>
      <c r="X138" s="663"/>
    </row>
    <row r="139" spans="2:24" ht="25.35" hidden="1" customHeight="1" thickBot="1" x14ac:dyDescent="0.45">
      <c r="B139" s="877"/>
      <c r="C139" s="650" t="s">
        <v>93</v>
      </c>
      <c r="D139" s="651" t="e">
        <f>#REF!</f>
        <v>#REF!</v>
      </c>
      <c r="E139" s="656" t="e">
        <f>#REF!</f>
        <v>#REF!</v>
      </c>
      <c r="F139" s="652" t="e">
        <f>#REF!</f>
        <v>#REF!</v>
      </c>
      <c r="G139" s="652" t="e">
        <f>#REF!</f>
        <v>#REF!</v>
      </c>
      <c r="H139" s="653" t="e">
        <f t="shared" si="59"/>
        <v>#REF!</v>
      </c>
      <c r="I139" s="653" t="e">
        <f t="shared" si="60"/>
        <v>#REF!</v>
      </c>
      <c r="J139" s="654" t="e">
        <f t="shared" si="61"/>
        <v>#REF!</v>
      </c>
      <c r="K139" s="651" t="e">
        <f>SUM(#REF!,#REF!,#REF!,#REF!)</f>
        <v>#REF!</v>
      </c>
      <c r="L139" s="652" t="e">
        <f>SUM(#REF!,#REF!,#REF!,#REF!)</f>
        <v>#REF!</v>
      </c>
      <c r="M139" s="652" t="e">
        <f>SUM(#REF!,#REF!,#REF!)</f>
        <v>#REF!</v>
      </c>
      <c r="N139" s="652" t="e">
        <f>SUM(#REF!,#REF!,#REF!,#REF!)</f>
        <v>#REF!</v>
      </c>
      <c r="O139" s="653" t="e">
        <f t="shared" si="62"/>
        <v>#REF!</v>
      </c>
      <c r="P139" s="653" t="e">
        <f t="shared" si="63"/>
        <v>#REF!</v>
      </c>
      <c r="Q139" s="654" t="e">
        <f t="shared" si="64"/>
        <v>#REF!</v>
      </c>
      <c r="R139" s="665"/>
      <c r="S139" s="665"/>
      <c r="T139" s="665"/>
      <c r="U139" s="665"/>
      <c r="V139" s="666"/>
      <c r="W139" s="666"/>
      <c r="X139" s="665"/>
    </row>
    <row r="140" spans="2:24" ht="25.35" hidden="1" customHeight="1" thickBot="1" x14ac:dyDescent="0.45">
      <c r="B140" s="887"/>
      <c r="C140" s="650" t="s">
        <v>94</v>
      </c>
      <c r="D140" s="651">
        <f>N17</f>
        <v>0</v>
      </c>
      <c r="E140" s="656">
        <f>O17</f>
        <v>0.46875</v>
      </c>
      <c r="F140" s="652" t="e">
        <f>#REF!</f>
        <v>#REF!</v>
      </c>
      <c r="G140" s="652">
        <f>P17</f>
        <v>0</v>
      </c>
      <c r="H140" s="653">
        <f t="shared" si="59"/>
        <v>0</v>
      </c>
      <c r="I140" s="653">
        <f t="shared" si="60"/>
        <v>-0.46875</v>
      </c>
      <c r="J140" s="654" t="e">
        <f t="shared" si="61"/>
        <v>#REF!</v>
      </c>
      <c r="K140" s="651" t="e">
        <f>SUM(#REF!,F17,J17,N17)</f>
        <v>#REF!</v>
      </c>
      <c r="L140" s="652" t="e">
        <f>SUM(#REF!,G17,K17,O17)</f>
        <v>#REF!</v>
      </c>
      <c r="M140" s="652" t="e">
        <f>SUM(#REF!,#REF!,#REF!)</f>
        <v>#REF!</v>
      </c>
      <c r="N140" s="652" t="e">
        <f>SUM(#REF!,H17,L17,P17)</f>
        <v>#REF!</v>
      </c>
      <c r="O140" s="653" t="e">
        <f t="shared" si="62"/>
        <v>#REF!</v>
      </c>
      <c r="P140" s="653" t="e">
        <f t="shared" si="63"/>
        <v>#REF!</v>
      </c>
      <c r="Q140" s="654" t="e">
        <f t="shared" si="64"/>
        <v>#REF!</v>
      </c>
      <c r="R140" s="665"/>
      <c r="S140" s="665"/>
      <c r="T140" s="665"/>
      <c r="U140" s="665"/>
      <c r="V140" s="666"/>
      <c r="W140" s="666"/>
      <c r="X140" s="665"/>
    </row>
    <row r="141" spans="2:24" ht="25.35" hidden="1" customHeight="1" thickBot="1" x14ac:dyDescent="0.45">
      <c r="B141" s="887"/>
      <c r="C141" s="650" t="s">
        <v>95</v>
      </c>
      <c r="D141" s="651">
        <f>N16</f>
        <v>0.26295337000000002</v>
      </c>
      <c r="E141" s="656">
        <f>O16</f>
        <v>3.71</v>
      </c>
      <c r="F141" s="652" t="e">
        <f>#REF!</f>
        <v>#REF!</v>
      </c>
      <c r="G141" s="652">
        <f>P16</f>
        <v>4.6912413800000001</v>
      </c>
      <c r="H141" s="653">
        <f t="shared" si="59"/>
        <v>4.4282880100000002</v>
      </c>
      <c r="I141" s="653">
        <f t="shared" si="60"/>
        <v>0.98124138000000016</v>
      </c>
      <c r="J141" s="654" t="e">
        <f t="shared" si="61"/>
        <v>#REF!</v>
      </c>
      <c r="K141" s="651" t="e">
        <f>SUM(#REF!,F16,J16,N16)</f>
        <v>#REF!</v>
      </c>
      <c r="L141" s="652" t="e">
        <f>SUM(#REF!,G16,K16,O16)</f>
        <v>#REF!</v>
      </c>
      <c r="M141" s="652" t="e">
        <f>SUM(#REF!,#REF!,#REF!)</f>
        <v>#REF!</v>
      </c>
      <c r="N141" s="652" t="e">
        <f>SUM(#REF!,H16,L16,P16)</f>
        <v>#REF!</v>
      </c>
      <c r="O141" s="653" t="e">
        <f t="shared" si="62"/>
        <v>#REF!</v>
      </c>
      <c r="P141" s="653" t="e">
        <f t="shared" si="63"/>
        <v>#REF!</v>
      </c>
      <c r="Q141" s="654" t="e">
        <f t="shared" si="64"/>
        <v>#REF!</v>
      </c>
      <c r="R141" s="665"/>
      <c r="S141" s="665"/>
      <c r="T141" s="665"/>
      <c r="U141" s="665"/>
      <c r="V141" s="666"/>
      <c r="W141" s="665"/>
      <c r="X141" s="665"/>
    </row>
    <row r="142" spans="2:24" ht="25.35" hidden="1" customHeight="1" thickBot="1" x14ac:dyDescent="0.45">
      <c r="B142" s="887"/>
      <c r="C142" s="650" t="s">
        <v>96</v>
      </c>
      <c r="D142" s="651">
        <f>N18</f>
        <v>0.31604167</v>
      </c>
      <c r="E142" s="656">
        <f>O18</f>
        <v>0.46875</v>
      </c>
      <c r="F142" s="652" t="e">
        <f>#REF!</f>
        <v>#REF!</v>
      </c>
      <c r="G142" s="652">
        <f>P18</f>
        <v>0</v>
      </c>
      <c r="H142" s="653">
        <f t="shared" si="59"/>
        <v>-0.31604167</v>
      </c>
      <c r="I142" s="652">
        <f t="shared" si="60"/>
        <v>-0.46875</v>
      </c>
      <c r="J142" s="654" t="e">
        <f t="shared" si="61"/>
        <v>#REF!</v>
      </c>
      <c r="K142" s="651" t="e">
        <f>SUM(#REF!,F18,J18,N18)</f>
        <v>#REF!</v>
      </c>
      <c r="L142" s="652" t="e">
        <f>SUM(#REF!,G18,K18,O18)</f>
        <v>#REF!</v>
      </c>
      <c r="M142" s="652" t="e">
        <f>SUM(#REF!,#REF!,#REF!)</f>
        <v>#REF!</v>
      </c>
      <c r="N142" s="652" t="e">
        <f>SUM(#REF!,H18,L18,P18)</f>
        <v>#REF!</v>
      </c>
      <c r="O142" s="653" t="e">
        <f t="shared" si="62"/>
        <v>#REF!</v>
      </c>
      <c r="P142" s="652" t="e">
        <f t="shared" si="63"/>
        <v>#REF!</v>
      </c>
      <c r="Q142" s="654" t="e">
        <f t="shared" si="64"/>
        <v>#REF!</v>
      </c>
      <c r="R142" s="665"/>
      <c r="S142" s="665"/>
      <c r="T142" s="665"/>
      <c r="U142" s="665"/>
      <c r="V142" s="666"/>
      <c r="W142" s="665"/>
      <c r="X142" s="665"/>
    </row>
    <row r="143" spans="2:24" ht="25.35" hidden="1" customHeight="1" thickBot="1" x14ac:dyDescent="0.45">
      <c r="B143" s="878"/>
      <c r="C143" s="650" t="s">
        <v>97</v>
      </c>
      <c r="D143" s="657">
        <f>N19</f>
        <v>7.9169100000000006E-2</v>
      </c>
      <c r="E143" s="671">
        <f>O19</f>
        <v>0</v>
      </c>
      <c r="F143" s="658" t="e">
        <f>#REF!</f>
        <v>#REF!</v>
      </c>
      <c r="G143" s="658">
        <f>P19</f>
        <v>0.41533790999999998</v>
      </c>
      <c r="H143" s="659">
        <f t="shared" si="59"/>
        <v>0.33616880999999998</v>
      </c>
      <c r="I143" s="658">
        <f t="shared" si="60"/>
        <v>0.41533790999999998</v>
      </c>
      <c r="J143" s="660" t="e">
        <f t="shared" si="61"/>
        <v>#REF!</v>
      </c>
      <c r="K143" s="657" t="e">
        <f>SUM(#REF!,F19,J19,N19)</f>
        <v>#REF!</v>
      </c>
      <c r="L143" s="658" t="e">
        <f>SUM(#REF!,G19,K19,O19)</f>
        <v>#REF!</v>
      </c>
      <c r="M143" s="658" t="e">
        <f>SUM(#REF!,#REF!,#REF!)</f>
        <v>#REF!</v>
      </c>
      <c r="N143" s="658" t="e">
        <f>SUM(#REF!,H19,L19,P19)</f>
        <v>#REF!</v>
      </c>
      <c r="O143" s="659" t="e">
        <f t="shared" si="62"/>
        <v>#REF!</v>
      </c>
      <c r="P143" s="658" t="e">
        <f t="shared" si="63"/>
        <v>#REF!</v>
      </c>
      <c r="Q143" s="660" t="e">
        <f t="shared" si="64"/>
        <v>#REF!</v>
      </c>
      <c r="R143" s="665"/>
      <c r="S143" s="665"/>
      <c r="T143" s="665"/>
      <c r="U143" s="665"/>
      <c r="V143" s="666"/>
      <c r="W143" s="665"/>
      <c r="X143" s="665"/>
    </row>
    <row r="144" spans="2:24" hidden="1" x14ac:dyDescent="0.4"/>
    <row r="145" spans="2:24" ht="25.35" customHeight="1" x14ac:dyDescent="0.4">
      <c r="B145" s="849" t="s">
        <v>75</v>
      </c>
      <c r="C145" s="849"/>
      <c r="D145" s="849" t="s">
        <v>3</v>
      </c>
      <c r="E145" s="849"/>
      <c r="F145" s="849"/>
      <c r="G145" s="849"/>
      <c r="H145" s="849"/>
      <c r="I145" s="849"/>
      <c r="J145" s="886"/>
      <c r="K145" s="848" t="s">
        <v>104</v>
      </c>
      <c r="L145" s="849"/>
      <c r="M145" s="849"/>
      <c r="N145" s="849"/>
      <c r="O145" s="849"/>
      <c r="P145" s="849"/>
      <c r="Q145" s="849"/>
      <c r="R145" s="850" t="s">
        <v>102</v>
      </c>
      <c r="S145" s="850"/>
      <c r="T145" s="850"/>
      <c r="U145" s="850"/>
      <c r="V145" s="850"/>
      <c r="W145" s="850"/>
      <c r="X145" s="850"/>
    </row>
    <row r="146" spans="2:24" ht="39" customHeight="1" x14ac:dyDescent="0.4">
      <c r="B146" s="849"/>
      <c r="C146" s="849"/>
      <c r="D146" s="674" t="s">
        <v>79</v>
      </c>
      <c r="E146" s="674" t="s">
        <v>80</v>
      </c>
      <c r="F146" s="674" t="s">
        <v>57</v>
      </c>
      <c r="G146" s="674" t="s">
        <v>58</v>
      </c>
      <c r="H146" s="674" t="s">
        <v>16</v>
      </c>
      <c r="I146" s="674" t="s">
        <v>82</v>
      </c>
      <c r="J146" s="675" t="s">
        <v>83</v>
      </c>
      <c r="K146" s="676" t="s">
        <v>79</v>
      </c>
      <c r="L146" s="674" t="s">
        <v>80</v>
      </c>
      <c r="M146" s="674" t="s">
        <v>57</v>
      </c>
      <c r="N146" s="674" t="s">
        <v>58</v>
      </c>
      <c r="O146" s="674" t="s">
        <v>16</v>
      </c>
      <c r="P146" s="674" t="s">
        <v>82</v>
      </c>
      <c r="Q146" s="674" t="s">
        <v>83</v>
      </c>
      <c r="R146" s="662"/>
      <c r="S146" s="662"/>
      <c r="T146" s="662"/>
      <c r="U146" s="662"/>
      <c r="V146" s="662"/>
      <c r="W146" s="662"/>
      <c r="X146" s="662"/>
    </row>
    <row r="147" spans="2:24" ht="25.35" customHeight="1" x14ac:dyDescent="0.4">
      <c r="B147" s="872" t="s">
        <v>85</v>
      </c>
      <c r="C147" s="872"/>
      <c r="D147" s="817">
        <f t="shared" ref="D147:D158" si="67">J8</f>
        <v>112.83448178999998</v>
      </c>
      <c r="E147" s="817">
        <f t="shared" ref="E147:E158" si="68">K8</f>
        <v>100.91694583333333</v>
      </c>
      <c r="F147" s="817">
        <v>100.91694583333333</v>
      </c>
      <c r="G147" s="817">
        <f t="shared" ref="G147:G158" si="69">L8</f>
        <v>101.87285373</v>
      </c>
      <c r="H147" s="817">
        <f t="shared" ref="H147:H158" si="70">G147-F147</f>
        <v>0.9559078966666732</v>
      </c>
      <c r="I147" s="817">
        <f t="shared" ref="I147:I158" si="71">G147-D147</f>
        <v>-10.961628059999981</v>
      </c>
      <c r="J147" s="818">
        <f t="shared" ref="J147:J158" si="72">G147-E147</f>
        <v>0.9559078966666732</v>
      </c>
      <c r="K147" s="819">
        <f t="shared" ref="K147:K158" si="73">F8+J8</f>
        <v>388.33346395999996</v>
      </c>
      <c r="L147" s="817">
        <f t="shared" ref="L147:L158" si="74">G8+K8</f>
        <v>414.30465887333332</v>
      </c>
      <c r="M147" s="817">
        <v>429.41119359973328</v>
      </c>
      <c r="N147" s="817">
        <f t="shared" ref="N147:N158" si="75">H8+L8</f>
        <v>435.72386507880003</v>
      </c>
      <c r="O147" s="817">
        <f t="shared" ref="O147:O158" si="76">N147-M147</f>
        <v>6.3126714790667506</v>
      </c>
      <c r="P147" s="817">
        <f t="shared" ref="P147:P158" si="77">N147-K147</f>
        <v>47.390401118800071</v>
      </c>
      <c r="Q147" s="820">
        <f t="shared" ref="Q147:Q158" si="78">N147-L147</f>
        <v>21.419206205466708</v>
      </c>
      <c r="R147" s="663"/>
      <c r="S147" s="663"/>
      <c r="T147" s="663"/>
      <c r="U147" s="663"/>
      <c r="V147" s="664"/>
      <c r="W147" s="664"/>
      <c r="X147" s="663"/>
    </row>
    <row r="148" spans="2:24" ht="25.35" customHeight="1" x14ac:dyDescent="0.4">
      <c r="B148" s="872" t="s">
        <v>86</v>
      </c>
      <c r="C148" s="872"/>
      <c r="D148" s="817">
        <f t="shared" si="67"/>
        <v>3.0051883799999999</v>
      </c>
      <c r="E148" s="817">
        <f t="shared" si="68"/>
        <v>3.2706278333333332</v>
      </c>
      <c r="F148" s="817">
        <v>3.2706278333333332</v>
      </c>
      <c r="G148" s="817">
        <f t="shared" si="69"/>
        <v>3.18512365</v>
      </c>
      <c r="H148" s="817">
        <f t="shared" si="70"/>
        <v>-8.5504183333333206E-2</v>
      </c>
      <c r="I148" s="817">
        <f t="shared" si="71"/>
        <v>0.17993527000000009</v>
      </c>
      <c r="J148" s="818">
        <f t="shared" si="72"/>
        <v>-8.5504183333333206E-2</v>
      </c>
      <c r="K148" s="819">
        <f t="shared" si="73"/>
        <v>20.984647689999999</v>
      </c>
      <c r="L148" s="817">
        <f t="shared" si="74"/>
        <v>28.405080973333334</v>
      </c>
      <c r="M148" s="817">
        <v>28.533520899733332</v>
      </c>
      <c r="N148" s="817">
        <f t="shared" si="75"/>
        <v>30.773943188800004</v>
      </c>
      <c r="O148" s="817">
        <f t="shared" si="76"/>
        <v>2.2404222890666716</v>
      </c>
      <c r="P148" s="817">
        <f t="shared" si="77"/>
        <v>9.7892954988000049</v>
      </c>
      <c r="Q148" s="817">
        <f t="shared" si="78"/>
        <v>2.3688622154666703</v>
      </c>
      <c r="R148" s="663"/>
      <c r="S148" s="663"/>
      <c r="T148" s="663"/>
      <c r="U148" s="663"/>
      <c r="V148" s="664"/>
      <c r="W148" s="664"/>
      <c r="X148" s="663"/>
    </row>
    <row r="149" spans="2:24" ht="25.35" customHeight="1" x14ac:dyDescent="0.4">
      <c r="B149" s="677"/>
      <c r="C149" s="678" t="s">
        <v>22</v>
      </c>
      <c r="D149" s="821">
        <f t="shared" si="67"/>
        <v>3.0051883799999999</v>
      </c>
      <c r="E149" s="821">
        <f t="shared" si="68"/>
        <v>3.1001794999999999</v>
      </c>
      <c r="F149" s="821">
        <v>3.1001794999999999</v>
      </c>
      <c r="G149" s="821">
        <f t="shared" si="69"/>
        <v>3.18512365</v>
      </c>
      <c r="H149" s="821">
        <f>G149-F149</f>
        <v>8.4944150000000107E-2</v>
      </c>
      <c r="I149" s="821">
        <f>G149-D149</f>
        <v>0.17993527000000009</v>
      </c>
      <c r="J149" s="824">
        <f>G149-E149</f>
        <v>8.4944150000000107E-2</v>
      </c>
      <c r="K149" s="822">
        <f t="shared" si="73"/>
        <v>20.984647689999999</v>
      </c>
      <c r="L149" s="821">
        <f t="shared" si="74"/>
        <v>27.723287639999999</v>
      </c>
      <c r="M149" s="821">
        <v>27.851727566400005</v>
      </c>
      <c r="N149" s="821">
        <f t="shared" si="75"/>
        <v>30.773943188800004</v>
      </c>
      <c r="O149" s="821">
        <f>N149-M149</f>
        <v>2.9222156223999995</v>
      </c>
      <c r="P149" s="821">
        <f>N149-K149</f>
        <v>9.7892954988000049</v>
      </c>
      <c r="Q149" s="821">
        <f>N149-L149</f>
        <v>3.0506555488000053</v>
      </c>
      <c r="R149" s="665"/>
      <c r="S149" s="665"/>
      <c r="T149" s="665"/>
      <c r="U149" s="665"/>
      <c r="V149" s="666"/>
      <c r="W149" s="665"/>
      <c r="X149" s="665"/>
    </row>
    <row r="150" spans="2:24" ht="25.35" customHeight="1" x14ac:dyDescent="0.4">
      <c r="B150" s="677"/>
      <c r="C150" s="678" t="s">
        <v>105</v>
      </c>
      <c r="D150" s="821">
        <f t="shared" si="67"/>
        <v>0</v>
      </c>
      <c r="E150" s="821">
        <f t="shared" si="68"/>
        <v>0.17044833333333337</v>
      </c>
      <c r="F150" s="821">
        <v>0.17044833333333337</v>
      </c>
      <c r="G150" s="821">
        <f t="shared" si="69"/>
        <v>0</v>
      </c>
      <c r="H150" s="821">
        <f t="shared" si="70"/>
        <v>-0.17044833333333337</v>
      </c>
      <c r="I150" s="821">
        <f t="shared" si="71"/>
        <v>0</v>
      </c>
      <c r="J150" s="824">
        <f t="shared" si="72"/>
        <v>-0.17044833333333337</v>
      </c>
      <c r="K150" s="822">
        <f t="shared" si="73"/>
        <v>0</v>
      </c>
      <c r="L150" s="821">
        <f t="shared" si="74"/>
        <v>0.68179333333333347</v>
      </c>
      <c r="M150" s="821">
        <v>0.68179333333333347</v>
      </c>
      <c r="N150" s="821">
        <f t="shared" si="75"/>
        <v>0</v>
      </c>
      <c r="O150" s="821">
        <f t="shared" si="76"/>
        <v>-0.68179333333333347</v>
      </c>
      <c r="P150" s="821">
        <f t="shared" si="77"/>
        <v>0</v>
      </c>
      <c r="Q150" s="821">
        <f t="shared" si="78"/>
        <v>-0.68179333333333347</v>
      </c>
      <c r="R150" s="665"/>
      <c r="S150" s="665"/>
      <c r="T150" s="665"/>
      <c r="U150" s="665"/>
      <c r="V150" s="666"/>
      <c r="W150" s="666"/>
      <c r="X150" s="665"/>
    </row>
    <row r="151" spans="2:24" ht="25.35" customHeight="1" x14ac:dyDescent="0.4">
      <c r="B151" s="872" t="s">
        <v>89</v>
      </c>
      <c r="C151" s="872"/>
      <c r="D151" s="817">
        <f t="shared" si="67"/>
        <v>76.029622799999999</v>
      </c>
      <c r="E151" s="817">
        <f t="shared" si="68"/>
        <v>71.643068</v>
      </c>
      <c r="F151" s="817">
        <v>71.643068</v>
      </c>
      <c r="G151" s="817">
        <f t="shared" si="69"/>
        <v>71.637461600000009</v>
      </c>
      <c r="H151" s="817">
        <f t="shared" si="70"/>
        <v>-5.6063999999906855E-3</v>
      </c>
      <c r="I151" s="817">
        <f t="shared" si="71"/>
        <v>-4.3921611999999897</v>
      </c>
      <c r="J151" s="818">
        <f t="shared" si="72"/>
        <v>-5.6063999999906855E-3</v>
      </c>
      <c r="K151" s="819">
        <f t="shared" si="73"/>
        <v>279.66632719999996</v>
      </c>
      <c r="L151" s="817">
        <f t="shared" si="74"/>
        <v>318.09432789999994</v>
      </c>
      <c r="M151" s="817">
        <v>333.41667139999993</v>
      </c>
      <c r="N151" s="817">
        <f t="shared" si="75"/>
        <v>337.84647100000001</v>
      </c>
      <c r="O151" s="817">
        <f t="shared" si="76"/>
        <v>4.4297996000000808</v>
      </c>
      <c r="P151" s="817">
        <f t="shared" si="77"/>
        <v>58.180143800000053</v>
      </c>
      <c r="Q151" s="817">
        <f t="shared" si="78"/>
        <v>19.752143100000069</v>
      </c>
      <c r="R151" s="663"/>
      <c r="S151" s="663"/>
      <c r="T151" s="663"/>
      <c r="U151" s="663"/>
      <c r="V151" s="664"/>
      <c r="W151" s="664"/>
      <c r="X151" s="663"/>
    </row>
    <row r="152" spans="2:24" ht="25.35" customHeight="1" x14ac:dyDescent="0.4">
      <c r="B152" s="677"/>
      <c r="C152" s="678" t="s">
        <v>91</v>
      </c>
      <c r="D152" s="821">
        <f t="shared" si="67"/>
        <v>69.842788999999996</v>
      </c>
      <c r="E152" s="821">
        <f t="shared" si="68"/>
        <v>68.990503000000004</v>
      </c>
      <c r="F152" s="821">
        <v>68.990503000000004</v>
      </c>
      <c r="G152" s="821">
        <f t="shared" si="69"/>
        <v>69.064124000000007</v>
      </c>
      <c r="H152" s="821">
        <f>G152-F152</f>
        <v>7.3621000000002823E-2</v>
      </c>
      <c r="I152" s="821">
        <f>G152-D152</f>
        <v>-0.7786649999999895</v>
      </c>
      <c r="J152" s="824">
        <f>G152-E152</f>
        <v>7.3621000000002823E-2</v>
      </c>
      <c r="K152" s="822">
        <f t="shared" si="73"/>
        <v>258.89084700000001</v>
      </c>
      <c r="L152" s="821">
        <f t="shared" si="74"/>
        <v>307.38976150000002</v>
      </c>
      <c r="M152" s="821">
        <v>322.45219300000002</v>
      </c>
      <c r="N152" s="821">
        <f t="shared" si="75"/>
        <v>325.73118499999998</v>
      </c>
      <c r="O152" s="821">
        <f>N152-M152</f>
        <v>3.2789919999999597</v>
      </c>
      <c r="P152" s="821">
        <f>N152-K152</f>
        <v>66.840337999999974</v>
      </c>
      <c r="Q152" s="821">
        <f>N152-L152</f>
        <v>18.341423499999962</v>
      </c>
      <c r="R152" s="665"/>
      <c r="S152" s="665"/>
      <c r="T152" s="665"/>
      <c r="U152" s="665"/>
      <c r="V152" s="666"/>
      <c r="W152" s="665"/>
      <c r="X152" s="665"/>
    </row>
    <row r="153" spans="2:24" ht="25.35" customHeight="1" x14ac:dyDescent="0.4">
      <c r="B153" s="677"/>
      <c r="C153" s="678" t="s">
        <v>90</v>
      </c>
      <c r="D153" s="821">
        <f t="shared" si="67"/>
        <v>6.1868337999999996</v>
      </c>
      <c r="E153" s="821">
        <f t="shared" si="68"/>
        <v>2.6525650000000001</v>
      </c>
      <c r="F153" s="821">
        <v>2.6525650000000001</v>
      </c>
      <c r="G153" s="821">
        <f t="shared" si="69"/>
        <v>2.5733375999999999</v>
      </c>
      <c r="H153" s="821">
        <f t="shared" si="70"/>
        <v>-7.922740000000017E-2</v>
      </c>
      <c r="I153" s="821">
        <f t="shared" si="71"/>
        <v>-3.6134961999999997</v>
      </c>
      <c r="J153" s="824">
        <f t="shared" si="72"/>
        <v>-7.922740000000017E-2</v>
      </c>
      <c r="K153" s="822">
        <f t="shared" si="73"/>
        <v>20.775480200000001</v>
      </c>
      <c r="L153" s="821">
        <f t="shared" si="74"/>
        <v>10.704566400000001</v>
      </c>
      <c r="M153" s="821">
        <v>10.964478400000001</v>
      </c>
      <c r="N153" s="821">
        <f t="shared" si="75"/>
        <v>12.115286000000001</v>
      </c>
      <c r="O153" s="821">
        <f t="shared" si="76"/>
        <v>1.1508076000000003</v>
      </c>
      <c r="P153" s="821">
        <f t="shared" si="77"/>
        <v>-8.6601941999999994</v>
      </c>
      <c r="Q153" s="821">
        <f t="shared" si="78"/>
        <v>1.4107196000000002</v>
      </c>
      <c r="R153" s="665"/>
      <c r="S153" s="665"/>
      <c r="T153" s="665"/>
      <c r="U153" s="665"/>
      <c r="V153" s="666"/>
      <c r="W153" s="666"/>
      <c r="X153" s="665"/>
    </row>
    <row r="154" spans="2:24" ht="25.35" customHeight="1" x14ac:dyDescent="0.4">
      <c r="B154" s="872" t="s">
        <v>92</v>
      </c>
      <c r="C154" s="872"/>
      <c r="D154" s="817">
        <f t="shared" si="67"/>
        <v>33.79967061</v>
      </c>
      <c r="E154" s="817">
        <f t="shared" si="68"/>
        <v>26.003250000000001</v>
      </c>
      <c r="F154" s="817">
        <v>26.003250000000001</v>
      </c>
      <c r="G154" s="817">
        <f t="shared" si="69"/>
        <v>27.05026848</v>
      </c>
      <c r="H154" s="817">
        <f t="shared" si="70"/>
        <v>1.0470184799999984</v>
      </c>
      <c r="I154" s="817">
        <f t="shared" si="71"/>
        <v>-6.74940213</v>
      </c>
      <c r="J154" s="818">
        <f t="shared" si="72"/>
        <v>1.0470184799999984</v>
      </c>
      <c r="K154" s="819">
        <f t="shared" si="73"/>
        <v>87.682489070000003</v>
      </c>
      <c r="L154" s="817">
        <f t="shared" si="74"/>
        <v>67.805250000000001</v>
      </c>
      <c r="M154" s="817">
        <v>67.461001300000007</v>
      </c>
      <c r="N154" s="817">
        <f t="shared" si="75"/>
        <v>67.103450890000005</v>
      </c>
      <c r="O154" s="817">
        <f t="shared" si="76"/>
        <v>-0.35755041000000176</v>
      </c>
      <c r="P154" s="817">
        <f t="shared" si="77"/>
        <v>-20.579038179999998</v>
      </c>
      <c r="Q154" s="817">
        <f t="shared" si="78"/>
        <v>-0.70179910999999606</v>
      </c>
      <c r="R154" s="663"/>
      <c r="S154" s="663"/>
      <c r="T154" s="663"/>
      <c r="U154" s="663"/>
      <c r="V154" s="664"/>
      <c r="W154" s="664"/>
      <c r="X154" s="663"/>
    </row>
    <row r="155" spans="2:24" ht="25.35" customHeight="1" x14ac:dyDescent="0.4">
      <c r="B155" s="677"/>
      <c r="C155" s="678" t="s">
        <v>95</v>
      </c>
      <c r="D155" s="821">
        <f t="shared" si="67"/>
        <v>29.878953370000001</v>
      </c>
      <c r="E155" s="821">
        <f t="shared" si="68"/>
        <v>24.597000000000001</v>
      </c>
      <c r="F155" s="821">
        <v>24.597000000000001</v>
      </c>
      <c r="G155" s="821">
        <f t="shared" si="69"/>
        <v>24.908658039999999</v>
      </c>
      <c r="H155" s="821">
        <f>G155-F155</f>
        <v>0.31165803999999753</v>
      </c>
      <c r="I155" s="821">
        <f>G155-D155</f>
        <v>-4.9702953300000026</v>
      </c>
      <c r="J155" s="824">
        <f>G155-E155</f>
        <v>0.31165803999999753</v>
      </c>
      <c r="K155" s="822">
        <f t="shared" si="73"/>
        <v>72.153813479999997</v>
      </c>
      <c r="L155" s="821">
        <f t="shared" si="74"/>
        <v>59.923999999999999</v>
      </c>
      <c r="M155" s="821">
        <v>59.579751299999998</v>
      </c>
      <c r="N155" s="821">
        <f t="shared" si="75"/>
        <v>59.23030876</v>
      </c>
      <c r="O155" s="821">
        <f>N155-M155</f>
        <v>-0.3494425399999983</v>
      </c>
      <c r="P155" s="821">
        <f>N155-K155</f>
        <v>-12.923504719999997</v>
      </c>
      <c r="Q155" s="821">
        <f>N155-L155</f>
        <v>-0.69369123999999971</v>
      </c>
      <c r="R155" s="665"/>
      <c r="S155" s="665"/>
      <c r="T155" s="665"/>
      <c r="U155" s="665"/>
      <c r="V155" s="666"/>
      <c r="W155" s="665"/>
      <c r="X155" s="665"/>
    </row>
    <row r="156" spans="2:24" ht="25.35" customHeight="1" x14ac:dyDescent="0.4">
      <c r="B156" s="677"/>
      <c r="C156" s="678" t="s">
        <v>94</v>
      </c>
      <c r="D156" s="821">
        <f t="shared" si="67"/>
        <v>0</v>
      </c>
      <c r="E156" s="821">
        <f t="shared" si="68"/>
        <v>0</v>
      </c>
      <c r="F156" s="821">
        <v>0</v>
      </c>
      <c r="G156" s="821">
        <f t="shared" si="69"/>
        <v>0</v>
      </c>
      <c r="H156" s="821">
        <f t="shared" si="70"/>
        <v>0</v>
      </c>
      <c r="I156" s="821">
        <f t="shared" si="71"/>
        <v>0</v>
      </c>
      <c r="J156" s="824">
        <f t="shared" si="72"/>
        <v>0</v>
      </c>
      <c r="K156" s="822">
        <f t="shared" si="73"/>
        <v>3.66</v>
      </c>
      <c r="L156" s="821">
        <f t="shared" si="74"/>
        <v>1.7875000000000001</v>
      </c>
      <c r="M156" s="821">
        <v>1.7875000000000001</v>
      </c>
      <c r="N156" s="821">
        <f t="shared" si="75"/>
        <v>0</v>
      </c>
      <c r="O156" s="821">
        <f t="shared" si="76"/>
        <v>-1.7875000000000001</v>
      </c>
      <c r="P156" s="821">
        <f t="shared" si="77"/>
        <v>-3.66</v>
      </c>
      <c r="Q156" s="821">
        <f t="shared" si="78"/>
        <v>-1.7875000000000001</v>
      </c>
      <c r="R156" s="665"/>
      <c r="S156" s="665"/>
      <c r="T156" s="665"/>
      <c r="U156" s="665"/>
      <c r="V156" s="666"/>
      <c r="W156" s="666"/>
      <c r="X156" s="665"/>
    </row>
    <row r="157" spans="2:24" ht="25.35" customHeight="1" x14ac:dyDescent="0.4">
      <c r="B157" s="677"/>
      <c r="C157" s="678" t="s">
        <v>96</v>
      </c>
      <c r="D157" s="821">
        <f t="shared" si="67"/>
        <v>2.7467916699999999</v>
      </c>
      <c r="E157" s="821">
        <f t="shared" si="68"/>
        <v>1.40625</v>
      </c>
      <c r="F157" s="821">
        <v>1.40625</v>
      </c>
      <c r="G157" s="821">
        <f t="shared" si="69"/>
        <v>1.7683333400000001</v>
      </c>
      <c r="H157" s="821">
        <f t="shared" si="70"/>
        <v>0.36208334000000009</v>
      </c>
      <c r="I157" s="821">
        <f t="shared" si="71"/>
        <v>-0.97845832999999982</v>
      </c>
      <c r="J157" s="824">
        <f t="shared" si="72"/>
        <v>0.36208334000000009</v>
      </c>
      <c r="K157" s="822">
        <f t="shared" si="73"/>
        <v>8.0467083499999994</v>
      </c>
      <c r="L157" s="821">
        <f t="shared" si="74"/>
        <v>6.09375</v>
      </c>
      <c r="M157" s="821">
        <v>6.09375</v>
      </c>
      <c r="N157" s="821">
        <f t="shared" si="75"/>
        <v>6.7112500199999996</v>
      </c>
      <c r="O157" s="821">
        <f t="shared" si="76"/>
        <v>0.61750001999999959</v>
      </c>
      <c r="P157" s="821">
        <f t="shared" si="77"/>
        <v>-1.3354583299999998</v>
      </c>
      <c r="Q157" s="821">
        <f t="shared" si="78"/>
        <v>0.61750001999999959</v>
      </c>
      <c r="R157" s="665"/>
      <c r="S157" s="665"/>
      <c r="T157" s="665"/>
      <c r="U157" s="665"/>
      <c r="V157" s="666"/>
      <c r="W157" s="665"/>
      <c r="X157" s="665"/>
    </row>
    <row r="158" spans="2:24" ht="25.35" customHeight="1" x14ac:dyDescent="0.4">
      <c r="B158" s="677"/>
      <c r="C158" s="678" t="s">
        <v>32</v>
      </c>
      <c r="D158" s="821">
        <f t="shared" si="67"/>
        <v>1.17392557</v>
      </c>
      <c r="E158" s="821">
        <f t="shared" si="68"/>
        <v>0</v>
      </c>
      <c r="F158" s="821">
        <v>0</v>
      </c>
      <c r="G158" s="821">
        <f t="shared" si="69"/>
        <v>0.37327709999999997</v>
      </c>
      <c r="H158" s="821">
        <f t="shared" si="70"/>
        <v>0.37327709999999997</v>
      </c>
      <c r="I158" s="821">
        <f t="shared" si="71"/>
        <v>-0.80064847000000006</v>
      </c>
      <c r="J158" s="824">
        <f t="shared" si="72"/>
        <v>0.37327709999999997</v>
      </c>
      <c r="K158" s="822">
        <f t="shared" si="73"/>
        <v>3.8219672400000002</v>
      </c>
      <c r="L158" s="821">
        <f t="shared" si="74"/>
        <v>0</v>
      </c>
      <c r="M158" s="821">
        <v>0</v>
      </c>
      <c r="N158" s="821">
        <f t="shared" si="75"/>
        <v>1.1618921099999999</v>
      </c>
      <c r="O158" s="821">
        <f t="shared" si="76"/>
        <v>1.1618921099999999</v>
      </c>
      <c r="P158" s="821">
        <f t="shared" si="77"/>
        <v>-2.6600751300000001</v>
      </c>
      <c r="Q158" s="821">
        <f t="shared" si="78"/>
        <v>1.1618921099999999</v>
      </c>
      <c r="R158" s="665"/>
      <c r="S158" s="665"/>
      <c r="T158" s="665"/>
      <c r="U158" s="665"/>
      <c r="V158" s="666"/>
      <c r="W158" s="665"/>
      <c r="X158" s="665"/>
    </row>
    <row r="160" spans="2:24" ht="25.35" customHeight="1" x14ac:dyDescent="0.4">
      <c r="B160" s="849" t="s">
        <v>75</v>
      </c>
      <c r="C160" s="849"/>
      <c r="D160" s="849" t="s">
        <v>4</v>
      </c>
      <c r="E160" s="849"/>
      <c r="F160" s="849"/>
      <c r="G160" s="849"/>
      <c r="H160" s="849"/>
      <c r="I160" s="849"/>
      <c r="J160" s="886"/>
      <c r="K160" s="848" t="s">
        <v>106</v>
      </c>
      <c r="L160" s="849"/>
      <c r="M160" s="849"/>
      <c r="N160" s="849"/>
      <c r="O160" s="849"/>
      <c r="P160" s="849"/>
      <c r="Q160" s="849"/>
      <c r="R160" s="850"/>
      <c r="S160" s="850"/>
      <c r="T160" s="850"/>
      <c r="U160" s="850"/>
      <c r="V160" s="850"/>
      <c r="W160" s="850"/>
      <c r="X160" s="850"/>
    </row>
    <row r="161" spans="2:24" ht="39" customHeight="1" x14ac:dyDescent="0.4">
      <c r="B161" s="849"/>
      <c r="C161" s="849"/>
      <c r="D161" s="674" t="s">
        <v>79</v>
      </c>
      <c r="E161" s="674" t="s">
        <v>80</v>
      </c>
      <c r="F161" s="674" t="s">
        <v>57</v>
      </c>
      <c r="G161" s="674" t="s">
        <v>58</v>
      </c>
      <c r="H161" s="674" t="s">
        <v>16</v>
      </c>
      <c r="I161" s="674" t="s">
        <v>82</v>
      </c>
      <c r="J161" s="675" t="s">
        <v>83</v>
      </c>
      <c r="K161" s="676" t="s">
        <v>79</v>
      </c>
      <c r="L161" s="674" t="s">
        <v>80</v>
      </c>
      <c r="M161" s="674" t="s">
        <v>57</v>
      </c>
      <c r="N161" s="674" t="s">
        <v>58</v>
      </c>
      <c r="O161" s="674" t="s">
        <v>16</v>
      </c>
      <c r="P161" s="674" t="s">
        <v>107</v>
      </c>
      <c r="Q161" s="674" t="s">
        <v>108</v>
      </c>
      <c r="R161" s="662"/>
      <c r="S161" s="662"/>
      <c r="T161" s="662"/>
      <c r="U161" s="662"/>
      <c r="V161" s="662"/>
      <c r="W161" s="662"/>
      <c r="X161" s="662"/>
    </row>
    <row r="162" spans="2:24" ht="25.35" customHeight="1" x14ac:dyDescent="0.4">
      <c r="B162" s="872" t="s">
        <v>85</v>
      </c>
      <c r="C162" s="872"/>
      <c r="D162" s="817">
        <f>D163+D166+D169</f>
        <v>67.616612720000006</v>
      </c>
      <c r="E162" s="817">
        <f>E163+E166+E169</f>
        <v>107.72450337333332</v>
      </c>
      <c r="F162" s="817">
        <v>117.80145870999999</v>
      </c>
      <c r="G162" s="817">
        <f>G163+G166+G169</f>
        <v>117.68065871</v>
      </c>
      <c r="H162" s="817">
        <f t="shared" ref="H162:H173" si="79">G162-F162</f>
        <v>-0.12079999999998847</v>
      </c>
      <c r="I162" s="817">
        <f t="shared" ref="I162:I173" si="80">G162-D162</f>
        <v>50.064045989999997</v>
      </c>
      <c r="J162" s="818">
        <f t="shared" ref="J162:J173" si="81">G162-E162</f>
        <v>9.9561553366666828</v>
      </c>
      <c r="K162" s="819">
        <f>K163+K166+K169</f>
        <v>180.45109451000002</v>
      </c>
      <c r="L162" s="817">
        <f>L163+L166+L169</f>
        <v>208.64144920666666</v>
      </c>
      <c r="M162" s="817">
        <v>221.78255652973334</v>
      </c>
      <c r="N162" s="817">
        <f>N163+N166+N169</f>
        <v>219.55351244000002</v>
      </c>
      <c r="O162" s="817">
        <f t="shared" ref="O162:O173" si="82">N162-M162</f>
        <v>-2.2290440897333212</v>
      </c>
      <c r="P162" s="817">
        <f t="shared" ref="P162:P173" si="83">N162-K162</f>
        <v>39.102417930000001</v>
      </c>
      <c r="Q162" s="817">
        <f t="shared" ref="Q162:Q173" si="84">N162-L162</f>
        <v>10.912063233333356</v>
      </c>
      <c r="R162" s="663"/>
      <c r="S162" s="663"/>
      <c r="T162" s="663"/>
      <c r="U162" s="663"/>
      <c r="V162" s="664"/>
      <c r="W162" s="664"/>
      <c r="X162" s="663"/>
    </row>
    <row r="163" spans="2:24" ht="25.35" customHeight="1" x14ac:dyDescent="0.4">
      <c r="B163" s="872" t="s">
        <v>86</v>
      </c>
      <c r="C163" s="872"/>
      <c r="D163" s="817">
        <f>SUM(D164:D165)</f>
        <v>12.60945478</v>
      </c>
      <c r="E163" s="817">
        <f>SUM(E164:E165)</f>
        <v>12.254068973333336</v>
      </c>
      <c r="F163" s="817">
        <v>9.6746168200000007</v>
      </c>
      <c r="G163" s="817">
        <f t="shared" ref="G163:L163" si="85">SUM(G164:G165)</f>
        <v>9.6746168200000007</v>
      </c>
      <c r="H163" s="817">
        <f t="shared" si="85"/>
        <v>0</v>
      </c>
      <c r="I163" s="817">
        <f t="shared" si="85"/>
        <v>-2.9348379599999994</v>
      </c>
      <c r="J163" s="818">
        <f t="shared" si="85"/>
        <v>-2.5794521533333357</v>
      </c>
      <c r="K163" s="819">
        <f t="shared" si="85"/>
        <v>15.61464316</v>
      </c>
      <c r="L163" s="817">
        <f t="shared" si="85"/>
        <v>15.52469680666667</v>
      </c>
      <c r="M163" s="817">
        <v>15.567632549733334</v>
      </c>
      <c r="N163" s="817">
        <f>SUM(N164:N165)</f>
        <v>12.85974047</v>
      </c>
      <c r="O163" s="817">
        <f>SUM(O164:O165)</f>
        <v>-2.7078920797333343</v>
      </c>
      <c r="P163" s="817">
        <f>SUM(P164:P165)</f>
        <v>-2.7549026899999998</v>
      </c>
      <c r="Q163" s="820">
        <f>SUM(Q164:Q165)</f>
        <v>-2.6649563366666689</v>
      </c>
      <c r="R163" s="663"/>
      <c r="S163" s="663"/>
      <c r="T163" s="663"/>
      <c r="U163" s="663"/>
      <c r="V163" s="664"/>
      <c r="W163" s="664"/>
      <c r="X163" s="663"/>
    </row>
    <row r="164" spans="2:24" ht="25.35" customHeight="1" x14ac:dyDescent="0.4">
      <c r="B164" s="677"/>
      <c r="C164" s="678" t="s">
        <v>22</v>
      </c>
      <c r="D164" s="821">
        <f>N10</f>
        <v>12.60945478</v>
      </c>
      <c r="E164" s="821">
        <f>O10</f>
        <v>12.083620640000003</v>
      </c>
      <c r="F164" s="821">
        <v>9.6746168200000007</v>
      </c>
      <c r="G164" s="821">
        <f>P10</f>
        <v>9.6746168200000007</v>
      </c>
      <c r="H164" s="821">
        <f>G164-F164</f>
        <v>0</v>
      </c>
      <c r="I164" s="817">
        <f>G164-D164</f>
        <v>-2.9348379599999994</v>
      </c>
      <c r="J164" s="818">
        <f>G164-E164</f>
        <v>-2.4090038200000023</v>
      </c>
      <c r="K164" s="822">
        <f>J10+N10</f>
        <v>15.61464316</v>
      </c>
      <c r="L164" s="822">
        <f t="shared" ref="L164:L165" si="86">K10+O10</f>
        <v>15.183800140000002</v>
      </c>
      <c r="M164" s="821">
        <v>15.397184216400001</v>
      </c>
      <c r="N164" s="821">
        <f t="shared" ref="N164:N165" si="87">P10+L10</f>
        <v>12.85974047</v>
      </c>
      <c r="O164" s="817">
        <f>N164-M164</f>
        <v>-2.537443746400001</v>
      </c>
      <c r="P164" s="817">
        <f>N164-K164</f>
        <v>-2.7549026899999998</v>
      </c>
      <c r="Q164" s="820">
        <f>N164-L164</f>
        <v>-2.3240596700000022</v>
      </c>
      <c r="R164" s="665"/>
      <c r="S164" s="665"/>
      <c r="T164" s="665"/>
      <c r="U164" s="665"/>
      <c r="V164" s="666"/>
      <c r="W164" s="665"/>
      <c r="X164" s="665"/>
    </row>
    <row r="165" spans="2:24" ht="25.35" customHeight="1" x14ac:dyDescent="0.4">
      <c r="B165" s="677"/>
      <c r="C165" s="678" t="s">
        <v>105</v>
      </c>
      <c r="D165" s="821">
        <f>N11</f>
        <v>0</v>
      </c>
      <c r="E165" s="821">
        <f>O11</f>
        <v>0.17044833333333337</v>
      </c>
      <c r="F165" s="821">
        <v>0</v>
      </c>
      <c r="G165" s="821">
        <f>P11</f>
        <v>0</v>
      </c>
      <c r="H165" s="821">
        <f t="shared" si="79"/>
        <v>0</v>
      </c>
      <c r="I165" s="817">
        <f t="shared" si="80"/>
        <v>0</v>
      </c>
      <c r="J165" s="818">
        <f t="shared" si="81"/>
        <v>-0.17044833333333337</v>
      </c>
      <c r="K165" s="822">
        <f>J11+N11</f>
        <v>0</v>
      </c>
      <c r="L165" s="822">
        <f t="shared" si="86"/>
        <v>0.34089666666666674</v>
      </c>
      <c r="M165" s="821">
        <v>0.17044833333333337</v>
      </c>
      <c r="N165" s="821">
        <f t="shared" si="87"/>
        <v>0</v>
      </c>
      <c r="O165" s="817">
        <f t="shared" si="82"/>
        <v>-0.17044833333333337</v>
      </c>
      <c r="P165" s="817">
        <f t="shared" si="83"/>
        <v>0</v>
      </c>
      <c r="Q165" s="817">
        <f t="shared" si="84"/>
        <v>-0.34089666666666674</v>
      </c>
      <c r="R165" s="665"/>
      <c r="S165" s="665"/>
      <c r="T165" s="665"/>
      <c r="U165" s="665"/>
      <c r="V165" s="666"/>
      <c r="W165" s="666"/>
      <c r="X165" s="665"/>
    </row>
    <row r="166" spans="2:24" ht="25.35" customHeight="1" x14ac:dyDescent="0.4">
      <c r="B166" s="872" t="s">
        <v>89</v>
      </c>
      <c r="C166" s="872"/>
      <c r="D166" s="817">
        <f>SUM(D167:D168)</f>
        <v>54.348993800000002</v>
      </c>
      <c r="E166" s="817">
        <f t="shared" ref="E166:Q166" si="88">SUM(E167:E168)</f>
        <v>90.822934399999994</v>
      </c>
      <c r="F166" s="817">
        <v>103.0202626</v>
      </c>
      <c r="G166" s="817">
        <f t="shared" si="88"/>
        <v>102.89946260000001</v>
      </c>
      <c r="H166" s="817">
        <f t="shared" si="88"/>
        <v>-0.12079999999998847</v>
      </c>
      <c r="I166" s="817">
        <f t="shared" si="88"/>
        <v>48.550468800000004</v>
      </c>
      <c r="J166" s="818">
        <f t="shared" si="88"/>
        <v>12.076528200000007</v>
      </c>
      <c r="K166" s="819">
        <f t="shared" si="88"/>
        <v>130.37861660000002</v>
      </c>
      <c r="L166" s="817">
        <f t="shared" si="88"/>
        <v>162.46600240000001</v>
      </c>
      <c r="M166" s="817">
        <v>175.14715550000003</v>
      </c>
      <c r="N166" s="817">
        <f t="shared" si="88"/>
        <v>174.53692420000002</v>
      </c>
      <c r="O166" s="817">
        <f t="shared" si="88"/>
        <v>-0.61023130000000059</v>
      </c>
      <c r="P166" s="817">
        <f t="shared" si="88"/>
        <v>44.158307600000008</v>
      </c>
      <c r="Q166" s="817">
        <f t="shared" si="88"/>
        <v>12.070921800000011</v>
      </c>
      <c r="R166" s="663"/>
      <c r="S166" s="663"/>
      <c r="T166" s="663"/>
      <c r="U166" s="663"/>
      <c r="V166" s="664"/>
      <c r="W166" s="664"/>
      <c r="X166" s="663"/>
    </row>
    <row r="167" spans="2:24" ht="25.35" customHeight="1" x14ac:dyDescent="0.4">
      <c r="B167" s="677"/>
      <c r="C167" s="678" t="s">
        <v>91</v>
      </c>
      <c r="D167" s="821">
        <f>N13</f>
        <v>49.969541</v>
      </c>
      <c r="E167" s="821">
        <f>O13</f>
        <v>88.077117999999999</v>
      </c>
      <c r="F167" s="821">
        <v>100.22689099999999</v>
      </c>
      <c r="G167" s="821">
        <f>P13</f>
        <v>100.10609100000001</v>
      </c>
      <c r="H167" s="821">
        <f>G167-F167</f>
        <v>-0.12079999999998847</v>
      </c>
      <c r="I167" s="817">
        <f>G167-D167</f>
        <v>50.136550000000007</v>
      </c>
      <c r="J167" s="818">
        <f>G167-E167</f>
        <v>12.028973000000008</v>
      </c>
      <c r="K167" s="822">
        <f t="shared" ref="K167:K168" si="89">J13+N13</f>
        <v>119.81233</v>
      </c>
      <c r="L167" s="822">
        <f t="shared" ref="L167:L168" si="90">K13+O13</f>
        <v>157.067621</v>
      </c>
      <c r="M167" s="821">
        <v>169.56808950000001</v>
      </c>
      <c r="N167" s="821">
        <f>P13+L13</f>
        <v>169.17021500000001</v>
      </c>
      <c r="O167" s="817">
        <f>N167-M167</f>
        <v>-0.39787450000000035</v>
      </c>
      <c r="P167" s="817">
        <f>N167-K167</f>
        <v>49.35788500000001</v>
      </c>
      <c r="Q167" s="817">
        <f>N167-L167</f>
        <v>12.102594000000011</v>
      </c>
      <c r="R167" s="665"/>
      <c r="S167" s="665"/>
      <c r="T167" s="665"/>
      <c r="U167" s="665"/>
      <c r="V167" s="666"/>
      <c r="W167" s="665"/>
      <c r="X167" s="665"/>
    </row>
    <row r="168" spans="2:24" ht="25.35" customHeight="1" x14ac:dyDescent="0.4">
      <c r="B168" s="677"/>
      <c r="C168" s="678" t="s">
        <v>90</v>
      </c>
      <c r="D168" s="821">
        <f>N14</f>
        <v>4.3794528000000001</v>
      </c>
      <c r="E168" s="821">
        <f>O14</f>
        <v>2.7458163999999998</v>
      </c>
      <c r="F168" s="821">
        <v>2.7933716</v>
      </c>
      <c r="G168" s="821">
        <f>P14</f>
        <v>2.7933716</v>
      </c>
      <c r="H168" s="821">
        <f t="shared" si="79"/>
        <v>0</v>
      </c>
      <c r="I168" s="817">
        <f t="shared" si="80"/>
        <v>-1.5860812000000002</v>
      </c>
      <c r="J168" s="818">
        <f t="shared" si="81"/>
        <v>4.7555200000000131E-2</v>
      </c>
      <c r="K168" s="822">
        <f t="shared" si="89"/>
        <v>10.5662866</v>
      </c>
      <c r="L168" s="822">
        <f t="shared" si="90"/>
        <v>5.3983813999999999</v>
      </c>
      <c r="M168" s="821">
        <v>5.5790660000000001</v>
      </c>
      <c r="N168" s="821">
        <f t="shared" ref="N168" si="91">P14+L14</f>
        <v>5.3667091999999998</v>
      </c>
      <c r="O168" s="817">
        <f t="shared" si="82"/>
        <v>-0.21235680000000023</v>
      </c>
      <c r="P168" s="817">
        <f t="shared" si="83"/>
        <v>-5.1995773999999999</v>
      </c>
      <c r="Q168" s="817">
        <f t="shared" si="84"/>
        <v>-3.1672200000000039E-2</v>
      </c>
      <c r="R168" s="665"/>
      <c r="S168" s="665"/>
      <c r="T168" s="665"/>
      <c r="U168" s="665"/>
      <c r="V168" s="666"/>
      <c r="W168" s="666"/>
      <c r="X168" s="665"/>
    </row>
    <row r="169" spans="2:24" ht="25.35" customHeight="1" x14ac:dyDescent="0.4">
      <c r="B169" s="872" t="s">
        <v>92</v>
      </c>
      <c r="C169" s="872"/>
      <c r="D169" s="817">
        <f>SUM(D170:D173)</f>
        <v>0.65816414000000001</v>
      </c>
      <c r="E169" s="817">
        <f>SUM(E170:E173)</f>
        <v>4.6475</v>
      </c>
      <c r="F169" s="817">
        <v>5.10657929</v>
      </c>
      <c r="G169" s="817">
        <f t="shared" ref="G169:L169" si="92">SUM(G170:G173)</f>
        <v>5.10657929</v>
      </c>
      <c r="H169" s="817">
        <f t="shared" si="92"/>
        <v>0</v>
      </c>
      <c r="I169" s="817">
        <f t="shared" si="92"/>
        <v>4.4484151500000007</v>
      </c>
      <c r="J169" s="818">
        <f t="shared" si="92"/>
        <v>0.45907929000000014</v>
      </c>
      <c r="K169" s="819">
        <f t="shared" si="92"/>
        <v>34.457834750000004</v>
      </c>
      <c r="L169" s="817">
        <f t="shared" si="92"/>
        <v>30.650750000000002</v>
      </c>
      <c r="M169" s="817">
        <v>31.067768479999994</v>
      </c>
      <c r="N169" s="817">
        <f>SUM(N170:N173)</f>
        <v>32.156847769999999</v>
      </c>
      <c r="O169" s="817">
        <f>SUM(O170:O173)</f>
        <v>1.089079290000003</v>
      </c>
      <c r="P169" s="817">
        <f>SUM(P170:P173)</f>
        <v>-2.3009869800000033</v>
      </c>
      <c r="Q169" s="817">
        <f>SUM(Q170:Q173)</f>
        <v>1.5060977699999978</v>
      </c>
      <c r="R169" s="663"/>
      <c r="S169" s="663"/>
      <c r="T169" s="663"/>
      <c r="U169" s="663"/>
      <c r="V169" s="664"/>
      <c r="W169" s="664"/>
      <c r="X169" s="663"/>
    </row>
    <row r="170" spans="2:24" ht="25.35" customHeight="1" x14ac:dyDescent="0.4">
      <c r="B170" s="677"/>
      <c r="C170" s="678" t="s">
        <v>95</v>
      </c>
      <c r="D170" s="821">
        <f t="shared" ref="D170:E173" si="93">N16</f>
        <v>0.26295337000000002</v>
      </c>
      <c r="E170" s="821">
        <f t="shared" si="93"/>
        <v>3.71</v>
      </c>
      <c r="F170" s="821">
        <v>4.6912413800000001</v>
      </c>
      <c r="G170" s="821">
        <f>P16</f>
        <v>4.6912413800000001</v>
      </c>
      <c r="H170" s="821">
        <f>G170-F170</f>
        <v>0</v>
      </c>
      <c r="I170" s="817">
        <f>G170-D170</f>
        <v>4.4282880100000002</v>
      </c>
      <c r="J170" s="818">
        <f>G170-E170</f>
        <v>0.98124138000000016</v>
      </c>
      <c r="K170" s="822">
        <f t="shared" ref="K170:K173" si="94">J16+N16</f>
        <v>30.141906740000003</v>
      </c>
      <c r="L170" s="822">
        <f t="shared" ref="L170:L173" si="95">K16+O16</f>
        <v>28.307000000000002</v>
      </c>
      <c r="M170" s="821">
        <v>27.988658039999997</v>
      </c>
      <c r="N170" s="821">
        <f t="shared" ref="N170:N173" si="96">P16+L16</f>
        <v>29.59989942</v>
      </c>
      <c r="O170" s="817">
        <f>N170-M170</f>
        <v>1.6112413800000027</v>
      </c>
      <c r="P170" s="817">
        <f>N170-K170</f>
        <v>-0.54200732000000329</v>
      </c>
      <c r="Q170" s="817">
        <f>N170-L170</f>
        <v>1.2928994199999977</v>
      </c>
      <c r="R170" s="665"/>
      <c r="S170" s="665"/>
      <c r="T170" s="665"/>
      <c r="U170" s="665"/>
      <c r="V170" s="666"/>
      <c r="W170" s="665"/>
      <c r="X170" s="665"/>
    </row>
    <row r="171" spans="2:24" ht="25.35" customHeight="1" x14ac:dyDescent="0.4">
      <c r="B171" s="677"/>
      <c r="C171" s="678" t="s">
        <v>94</v>
      </c>
      <c r="D171" s="821">
        <f t="shared" si="93"/>
        <v>0</v>
      </c>
      <c r="E171" s="821">
        <f t="shared" si="93"/>
        <v>0.46875</v>
      </c>
      <c r="F171" s="821">
        <v>0</v>
      </c>
      <c r="G171" s="821">
        <f>P17</f>
        <v>0</v>
      </c>
      <c r="H171" s="821">
        <f t="shared" si="79"/>
        <v>0</v>
      </c>
      <c r="I171" s="817">
        <f t="shared" si="80"/>
        <v>0</v>
      </c>
      <c r="J171" s="818">
        <f t="shared" si="81"/>
        <v>-0.46875</v>
      </c>
      <c r="K171" s="822">
        <f t="shared" si="94"/>
        <v>0</v>
      </c>
      <c r="L171" s="822">
        <f t="shared" si="95"/>
        <v>0.46875</v>
      </c>
      <c r="M171" s="821">
        <v>0.46875</v>
      </c>
      <c r="N171" s="821">
        <f t="shared" si="96"/>
        <v>0</v>
      </c>
      <c r="O171" s="817">
        <f t="shared" si="82"/>
        <v>-0.46875</v>
      </c>
      <c r="P171" s="817">
        <f t="shared" si="83"/>
        <v>0</v>
      </c>
      <c r="Q171" s="817">
        <f t="shared" si="84"/>
        <v>-0.46875</v>
      </c>
      <c r="R171" s="665"/>
      <c r="S171" s="665"/>
      <c r="T171" s="665"/>
      <c r="U171" s="665"/>
      <c r="V171" s="666"/>
      <c r="W171" s="666"/>
      <c r="X171" s="665"/>
    </row>
    <row r="172" spans="2:24" ht="25.35" customHeight="1" x14ac:dyDescent="0.4">
      <c r="B172" s="677"/>
      <c r="C172" s="678" t="s">
        <v>96</v>
      </c>
      <c r="D172" s="821">
        <f t="shared" si="93"/>
        <v>0.31604167</v>
      </c>
      <c r="E172" s="821">
        <f t="shared" si="93"/>
        <v>0.46875</v>
      </c>
      <c r="F172" s="821">
        <v>0</v>
      </c>
      <c r="G172" s="821">
        <f>P18</f>
        <v>0</v>
      </c>
      <c r="H172" s="821">
        <f t="shared" si="79"/>
        <v>0</v>
      </c>
      <c r="I172" s="817">
        <f t="shared" si="80"/>
        <v>-0.31604167</v>
      </c>
      <c r="J172" s="818">
        <f t="shared" si="81"/>
        <v>-0.46875</v>
      </c>
      <c r="K172" s="822">
        <f t="shared" si="94"/>
        <v>3.0628333400000001</v>
      </c>
      <c r="L172" s="822">
        <f t="shared" si="95"/>
        <v>1.875</v>
      </c>
      <c r="M172" s="821">
        <v>2.2370833399999999</v>
      </c>
      <c r="N172" s="821">
        <f t="shared" si="96"/>
        <v>1.7683333400000001</v>
      </c>
      <c r="O172" s="817">
        <f t="shared" si="82"/>
        <v>-0.46874999999999978</v>
      </c>
      <c r="P172" s="817">
        <f t="shared" si="83"/>
        <v>-1.2945</v>
      </c>
      <c r="Q172" s="817">
        <f t="shared" si="84"/>
        <v>-0.10666665999999991</v>
      </c>
      <c r="R172" s="665"/>
      <c r="S172" s="665"/>
      <c r="T172" s="665"/>
      <c r="U172" s="665"/>
      <c r="V172" s="666"/>
      <c r="W172" s="665"/>
      <c r="X172" s="665"/>
    </row>
    <row r="173" spans="2:24" ht="25.35" customHeight="1" x14ac:dyDescent="0.4">
      <c r="B173" s="677"/>
      <c r="C173" s="678" t="s">
        <v>32</v>
      </c>
      <c r="D173" s="821">
        <f t="shared" si="93"/>
        <v>7.9169100000000006E-2</v>
      </c>
      <c r="E173" s="821">
        <f t="shared" si="93"/>
        <v>0</v>
      </c>
      <c r="F173" s="821">
        <v>0.41533790999999998</v>
      </c>
      <c r="G173" s="821">
        <f>P19</f>
        <v>0.41533790999999998</v>
      </c>
      <c r="H173" s="821">
        <f t="shared" si="79"/>
        <v>0</v>
      </c>
      <c r="I173" s="817">
        <f t="shared" si="80"/>
        <v>0.33616880999999998</v>
      </c>
      <c r="J173" s="818">
        <f t="shared" si="81"/>
        <v>0.41533790999999998</v>
      </c>
      <c r="K173" s="822">
        <f t="shared" si="94"/>
        <v>1.2530946700000001</v>
      </c>
      <c r="L173" s="822">
        <f t="shared" si="95"/>
        <v>0</v>
      </c>
      <c r="M173" s="821">
        <v>0.37327709999999997</v>
      </c>
      <c r="N173" s="821">
        <f t="shared" si="96"/>
        <v>0.78861501000000001</v>
      </c>
      <c r="O173" s="817">
        <f t="shared" si="82"/>
        <v>0.41533791000000003</v>
      </c>
      <c r="P173" s="817">
        <f t="shared" si="83"/>
        <v>-0.46447966000000007</v>
      </c>
      <c r="Q173" s="817">
        <f t="shared" si="84"/>
        <v>0.78861501000000001</v>
      </c>
      <c r="R173" s="665"/>
      <c r="S173" s="665"/>
      <c r="T173" s="665"/>
      <c r="U173" s="665"/>
      <c r="V173" s="666"/>
      <c r="W173" s="665"/>
      <c r="X173" s="665"/>
    </row>
    <row r="175" spans="2:24" ht="25.35" customHeight="1" x14ac:dyDescent="0.4">
      <c r="B175" s="849" t="s">
        <v>75</v>
      </c>
      <c r="C175" s="849"/>
      <c r="D175" s="849" t="s">
        <v>5</v>
      </c>
      <c r="E175" s="849"/>
      <c r="F175" s="849"/>
      <c r="G175" s="849"/>
      <c r="H175" s="849"/>
      <c r="I175" s="849"/>
      <c r="J175" s="886"/>
      <c r="K175" s="848" t="s">
        <v>109</v>
      </c>
      <c r="L175" s="849"/>
      <c r="M175" s="849"/>
      <c r="N175" s="849"/>
      <c r="O175" s="849"/>
      <c r="P175" s="849"/>
      <c r="Q175" s="849"/>
      <c r="R175" s="679"/>
      <c r="U175" s="679"/>
      <c r="V175" s="679"/>
      <c r="W175" s="679"/>
      <c r="X175" s="679"/>
    </row>
    <row r="176" spans="2:24" ht="39" customHeight="1" x14ac:dyDescent="0.4">
      <c r="B176" s="849"/>
      <c r="C176" s="849"/>
      <c r="D176" s="674" t="s">
        <v>79</v>
      </c>
      <c r="E176" s="674" t="s">
        <v>80</v>
      </c>
      <c r="F176" s="674" t="s">
        <v>57</v>
      </c>
      <c r="G176" s="674" t="s">
        <v>58</v>
      </c>
      <c r="H176" s="674" t="s">
        <v>16</v>
      </c>
      <c r="I176" s="674" t="s">
        <v>107</v>
      </c>
      <c r="J176" s="675" t="s">
        <v>108</v>
      </c>
      <c r="K176" s="676" t="s">
        <v>79</v>
      </c>
      <c r="L176" s="674" t="s">
        <v>80</v>
      </c>
      <c r="M176" s="674" t="s">
        <v>57</v>
      </c>
      <c r="N176" s="674" t="s">
        <v>58</v>
      </c>
      <c r="O176" s="674" t="s">
        <v>16</v>
      </c>
      <c r="P176" s="674" t="s">
        <v>107</v>
      </c>
      <c r="Q176" s="674" t="s">
        <v>108</v>
      </c>
      <c r="S176" s="680"/>
      <c r="T176" s="681"/>
      <c r="U176" s="663"/>
      <c r="V176" s="662"/>
      <c r="W176" s="662"/>
      <c r="X176" s="662"/>
    </row>
    <row r="177" spans="2:24" ht="25.35" customHeight="1" x14ac:dyDescent="0.4">
      <c r="B177" s="872" t="s">
        <v>85</v>
      </c>
      <c r="C177" s="872"/>
      <c r="D177" s="817">
        <f>D178+D181+D184</f>
        <v>95.047887659999986</v>
      </c>
      <c r="E177" s="817">
        <f>E178+E181+E184</f>
        <v>104.74626383333334</v>
      </c>
      <c r="F177" s="817">
        <v>116.93364260213333</v>
      </c>
      <c r="G177" s="817">
        <f>G178+G181+G184</f>
        <v>114.29749890880001</v>
      </c>
      <c r="H177" s="820">
        <f t="shared" ref="H177:H188" si="97">G177-F177</f>
        <v>-2.6361436933333238</v>
      </c>
      <c r="I177" s="817">
        <f t="shared" ref="I177:I188" si="98">G177-D177</f>
        <v>19.249611248800022</v>
      </c>
      <c r="J177" s="823">
        <f t="shared" ref="J177:J188" si="99">G177-E177</f>
        <v>9.5512350754666642</v>
      </c>
      <c r="K177" s="819">
        <f>K178+K181+K184</f>
        <v>465.44289484000001</v>
      </c>
      <c r="L177" s="817">
        <f>L178+L181+L184</f>
        <v>672.85504338999999</v>
      </c>
      <c r="M177" s="817">
        <v>102.94520229333334</v>
      </c>
      <c r="N177" s="817">
        <f>N178+N181+N184</f>
        <v>763.11157197760008</v>
      </c>
      <c r="O177" s="817">
        <f>N177-M177</f>
        <v>660.16636968426678</v>
      </c>
      <c r="P177" s="817">
        <f>N177-K177</f>
        <v>297.66867713760007</v>
      </c>
      <c r="Q177" s="817">
        <f>N177-L177</f>
        <v>90.256528587600087</v>
      </c>
      <c r="R177" s="663"/>
      <c r="S177" s="680"/>
      <c r="T177" s="681"/>
      <c r="U177" s="663"/>
      <c r="V177" s="664"/>
      <c r="W177" s="664"/>
      <c r="X177" s="663"/>
    </row>
    <row r="178" spans="2:24" ht="25.35" customHeight="1" x14ac:dyDescent="0.4">
      <c r="B178" s="872" t="s">
        <v>86</v>
      </c>
      <c r="C178" s="872"/>
      <c r="D178" s="817">
        <f>SUM(D179:D180)</f>
        <v>2.3648161499999998</v>
      </c>
      <c r="E178" s="817">
        <f t="shared" ref="E178:Q178" si="100">SUM(E179:E180)</f>
        <v>9.6097563333333333</v>
      </c>
      <c r="F178" s="817">
        <v>14.899527402133334</v>
      </c>
      <c r="G178" s="817">
        <f t="shared" si="100"/>
        <v>14.729079068800001</v>
      </c>
      <c r="H178" s="817">
        <f t="shared" si="100"/>
        <v>-0.17044833333333337</v>
      </c>
      <c r="I178" s="817">
        <f t="shared" si="100"/>
        <v>12.364262918800002</v>
      </c>
      <c r="J178" s="817">
        <f t="shared" si="100"/>
        <v>5.1193227354666666</v>
      </c>
      <c r="K178" s="817">
        <f t="shared" si="100"/>
        <v>35.958918619999999</v>
      </c>
      <c r="L178" s="817">
        <f t="shared" si="100"/>
        <v>50.268906279999996</v>
      </c>
      <c r="M178" s="817">
        <f t="shared" si="100"/>
        <v>50.354777766133338</v>
      </c>
      <c r="N178" s="817">
        <f t="shared" si="100"/>
        <v>55.177639077600006</v>
      </c>
      <c r="O178" s="817">
        <f t="shared" si="100"/>
        <v>4.8228613114666654</v>
      </c>
      <c r="P178" s="817">
        <f t="shared" si="100"/>
        <v>19.218720457600007</v>
      </c>
      <c r="Q178" s="817">
        <f t="shared" si="100"/>
        <v>4.908732797600007</v>
      </c>
      <c r="R178" s="663"/>
      <c r="S178" s="680"/>
      <c r="T178" s="681"/>
      <c r="U178" s="663"/>
      <c r="V178" s="664"/>
      <c r="W178" s="664"/>
      <c r="X178" s="663"/>
    </row>
    <row r="179" spans="2:24" ht="25.35" customHeight="1" x14ac:dyDescent="0.4">
      <c r="B179" s="677"/>
      <c r="C179" s="678" t="s">
        <v>22</v>
      </c>
      <c r="D179" s="821">
        <f>R10</f>
        <v>2.3648161499999998</v>
      </c>
      <c r="E179" s="821">
        <f>S10</f>
        <v>9.4393080000000005</v>
      </c>
      <c r="F179" s="821">
        <v>14.729079068800001</v>
      </c>
      <c r="G179" s="821">
        <f>T10</f>
        <v>14.729079068800001</v>
      </c>
      <c r="H179" s="821">
        <f>G179-F179</f>
        <v>0</v>
      </c>
      <c r="I179" s="821">
        <f>G179-D179</f>
        <v>12.364262918800002</v>
      </c>
      <c r="J179" s="824">
        <f>G179-E179</f>
        <v>5.2897710688000004</v>
      </c>
      <c r="K179" s="822">
        <f>J10+N10+F10+R10</f>
        <v>35.958918619999999</v>
      </c>
      <c r="L179" s="821">
        <f>K10+O10+G10+S10</f>
        <v>49.246216279999999</v>
      </c>
      <c r="M179" s="821">
        <v>49.672984432800007</v>
      </c>
      <c r="N179" s="821">
        <f>L10+P10+H10+T10</f>
        <v>55.177639077600006</v>
      </c>
      <c r="O179" s="821">
        <f>N179-M179</f>
        <v>5.5046546447999987</v>
      </c>
      <c r="P179" s="821">
        <f>N179-K179</f>
        <v>19.218720457600007</v>
      </c>
      <c r="Q179" s="821">
        <f>N179-L179</f>
        <v>5.9314227976000069</v>
      </c>
      <c r="R179" s="665"/>
      <c r="S179" s="680"/>
      <c r="T179" s="681"/>
      <c r="U179" s="665"/>
      <c r="V179" s="666"/>
      <c r="W179" s="665"/>
      <c r="X179" s="665"/>
    </row>
    <row r="180" spans="2:24" ht="25.35" customHeight="1" x14ac:dyDescent="0.4">
      <c r="B180" s="677"/>
      <c r="C180" s="678" t="s">
        <v>105</v>
      </c>
      <c r="D180" s="821">
        <f>R11</f>
        <v>0</v>
      </c>
      <c r="E180" s="821">
        <f>S11</f>
        <v>0.17044833333333337</v>
      </c>
      <c r="F180" s="821">
        <v>0.17044833333333337</v>
      </c>
      <c r="G180" s="821">
        <f>T11</f>
        <v>0</v>
      </c>
      <c r="H180" s="821">
        <f t="shared" si="97"/>
        <v>-0.17044833333333337</v>
      </c>
      <c r="I180" s="821">
        <f t="shared" si="98"/>
        <v>0</v>
      </c>
      <c r="J180" s="824">
        <f t="shared" si="99"/>
        <v>-0.17044833333333337</v>
      </c>
      <c r="K180" s="822">
        <f>J11+N11+F11+R11</f>
        <v>0</v>
      </c>
      <c r="L180" s="821">
        <f>K11+O11+G11+S11</f>
        <v>1.0226900000000001</v>
      </c>
      <c r="M180" s="821">
        <v>0.68179333333333347</v>
      </c>
      <c r="N180" s="821">
        <f>L11+P11+H11+T11</f>
        <v>0</v>
      </c>
      <c r="O180" s="821">
        <f t="shared" ref="O180:O188" si="101">N180-M180</f>
        <v>-0.68179333333333347</v>
      </c>
      <c r="P180" s="821">
        <f t="shared" ref="P180:P188" si="102">N180-K180</f>
        <v>0</v>
      </c>
      <c r="Q180" s="821">
        <f t="shared" ref="Q180:Q188" si="103">N180-L180</f>
        <v>-1.0226900000000001</v>
      </c>
      <c r="R180" s="665"/>
      <c r="S180" s="680"/>
      <c r="T180" s="681"/>
      <c r="U180" s="665"/>
      <c r="V180" s="666"/>
      <c r="W180" s="666"/>
      <c r="X180" s="665"/>
    </row>
    <row r="181" spans="2:24" ht="25.35" customHeight="1" x14ac:dyDescent="0.4">
      <c r="B181" s="872" t="s">
        <v>89</v>
      </c>
      <c r="C181" s="872"/>
      <c r="D181" s="817">
        <f>SUM(D182:D183)</f>
        <v>73.258087799999998</v>
      </c>
      <c r="E181" s="817">
        <f t="shared" ref="E181:Q181" si="104">SUM(E182:E183)</f>
        <v>83.985257500000003</v>
      </c>
      <c r="F181" s="817">
        <v>93.466865200000001</v>
      </c>
      <c r="G181" s="817">
        <f t="shared" si="104"/>
        <v>91.672085199999998</v>
      </c>
      <c r="H181" s="817">
        <f t="shared" si="104"/>
        <v>-1.7947799999999887</v>
      </c>
      <c r="I181" s="817">
        <f t="shared" si="104"/>
        <v>18.41399740000001</v>
      </c>
      <c r="J181" s="817">
        <f t="shared" si="104"/>
        <v>7.6868277000000056</v>
      </c>
      <c r="K181" s="817">
        <f t="shared" si="104"/>
        <v>407.27340879999997</v>
      </c>
      <c r="L181" s="817">
        <f t="shared" si="104"/>
        <v>492.90251979999999</v>
      </c>
      <c r="M181" s="817">
        <f t="shared" si="104"/>
        <v>490.63931522000001</v>
      </c>
      <c r="N181" s="817">
        <f t="shared" si="104"/>
        <v>532.41801880000003</v>
      </c>
      <c r="O181" s="817">
        <f t="shared" si="104"/>
        <v>41.77870357999997</v>
      </c>
      <c r="P181" s="817">
        <f t="shared" si="104"/>
        <v>125.14460999999999</v>
      </c>
      <c r="Q181" s="817">
        <f t="shared" si="104"/>
        <v>39.515498999999977</v>
      </c>
      <c r="R181" s="663"/>
      <c r="S181" s="680"/>
      <c r="T181" s="681"/>
      <c r="U181" s="663"/>
      <c r="V181" s="664"/>
      <c r="W181" s="664"/>
      <c r="X181" s="663"/>
    </row>
    <row r="182" spans="2:24" ht="25.35" customHeight="1" x14ac:dyDescent="0.4">
      <c r="B182" s="677"/>
      <c r="C182" s="678" t="s">
        <v>91</v>
      </c>
      <c r="D182" s="821">
        <f>R13</f>
        <v>69.235727999999995</v>
      </c>
      <c r="E182" s="821">
        <f>S13</f>
        <v>81.331637499999999</v>
      </c>
      <c r="F182" s="821">
        <v>89.291625999999994</v>
      </c>
      <c r="G182" s="821">
        <f>T13</f>
        <v>87.496846000000005</v>
      </c>
      <c r="H182" s="821">
        <f>G182-F182</f>
        <v>-1.7947799999999887</v>
      </c>
      <c r="I182" s="821">
        <f>G182-D182</f>
        <v>18.26111800000001</v>
      </c>
      <c r="J182" s="824">
        <f>G182-E182</f>
        <v>6.1652085000000056</v>
      </c>
      <c r="K182" s="822">
        <f>J13+N13+F13+R13</f>
        <v>378.09611599999999</v>
      </c>
      <c r="L182" s="821">
        <f>K13+O13+G13+S13</f>
        <v>476.798517</v>
      </c>
      <c r="M182" s="821">
        <v>474.17394322000001</v>
      </c>
      <c r="N182" s="821">
        <f>L13+P13+H13+T13</f>
        <v>513.33412199999998</v>
      </c>
      <c r="O182" s="821">
        <f>N182-M182</f>
        <v>39.160178779999967</v>
      </c>
      <c r="P182" s="821">
        <f>N182-K182</f>
        <v>135.23800599999998</v>
      </c>
      <c r="Q182" s="821">
        <f>N182-L182</f>
        <v>36.535604999999975</v>
      </c>
      <c r="R182" s="665"/>
      <c r="S182" s="680"/>
      <c r="T182" s="681"/>
      <c r="U182" s="665"/>
      <c r="V182" s="666"/>
      <c r="W182" s="665"/>
      <c r="X182" s="665"/>
    </row>
    <row r="183" spans="2:24" ht="25.35" customHeight="1" x14ac:dyDescent="0.4">
      <c r="B183" s="677"/>
      <c r="C183" s="678" t="s">
        <v>90</v>
      </c>
      <c r="D183" s="821">
        <f>R14</f>
        <v>4.0223598000000003</v>
      </c>
      <c r="E183" s="821">
        <f>S14</f>
        <v>2.6536200000000001</v>
      </c>
      <c r="F183" s="821">
        <v>4.1752392</v>
      </c>
      <c r="G183" s="821">
        <f>T14</f>
        <v>4.1752392</v>
      </c>
      <c r="H183" s="821">
        <f t="shared" si="97"/>
        <v>0</v>
      </c>
      <c r="I183" s="821">
        <f t="shared" si="98"/>
        <v>0.15287939999999978</v>
      </c>
      <c r="J183" s="824">
        <f t="shared" si="99"/>
        <v>1.5216191999999999</v>
      </c>
      <c r="K183" s="822">
        <f>J14+N14+F14+R14</f>
        <v>29.1772928</v>
      </c>
      <c r="L183" s="821">
        <f>K14+O14+G14+S14</f>
        <v>16.1040028</v>
      </c>
      <c r="M183" s="821">
        <v>16.465371999999999</v>
      </c>
      <c r="N183" s="821">
        <f>L14+P14+H14+T14</f>
        <v>19.083896800000002</v>
      </c>
      <c r="O183" s="821">
        <f t="shared" si="101"/>
        <v>2.618524800000003</v>
      </c>
      <c r="P183" s="821">
        <f t="shared" si="102"/>
        <v>-10.093395999999998</v>
      </c>
      <c r="Q183" s="821">
        <f t="shared" si="103"/>
        <v>2.9798940000000016</v>
      </c>
      <c r="R183" s="665"/>
      <c r="S183" s="680"/>
      <c r="T183" s="681"/>
      <c r="U183" s="665"/>
      <c r="V183" s="666"/>
      <c r="W183" s="666"/>
      <c r="X183" s="665"/>
    </row>
    <row r="184" spans="2:24" ht="25.35" customHeight="1" x14ac:dyDescent="0.4">
      <c r="B184" s="872" t="s">
        <v>92</v>
      </c>
      <c r="C184" s="872"/>
      <c r="D184" s="817">
        <f>SUM(D185:D188)</f>
        <v>19.424983709999996</v>
      </c>
      <c r="E184" s="817">
        <f t="shared" ref="E184:Q184" si="105">SUM(E185:E188)</f>
        <v>11.151249999999999</v>
      </c>
      <c r="F184" s="817">
        <v>8.5672499999999996</v>
      </c>
      <c r="G184" s="817">
        <f t="shared" si="105"/>
        <v>7.8963346400000001</v>
      </c>
      <c r="H184" s="817">
        <f t="shared" si="105"/>
        <v>-0.67091535999999996</v>
      </c>
      <c r="I184" s="817">
        <f t="shared" si="105"/>
        <v>-11.528649069999998</v>
      </c>
      <c r="J184" s="817">
        <f t="shared" si="105"/>
        <v>-3.2549153599999996</v>
      </c>
      <c r="K184" s="817">
        <f t="shared" si="105"/>
        <v>22.21056742</v>
      </c>
      <c r="L184" s="817">
        <f t="shared" si="105"/>
        <v>129.68361730999999</v>
      </c>
      <c r="M184" s="817">
        <f t="shared" si="105"/>
        <v>194.19722087999997</v>
      </c>
      <c r="N184" s="817">
        <f t="shared" si="105"/>
        <v>175.5159141</v>
      </c>
      <c r="O184" s="817">
        <f t="shared" si="105"/>
        <v>-18.681306779999989</v>
      </c>
      <c r="P184" s="817">
        <f t="shared" si="105"/>
        <v>-11.75285332</v>
      </c>
      <c r="Q184" s="817">
        <f t="shared" si="105"/>
        <v>-1.4869366200000007</v>
      </c>
      <c r="R184" s="663"/>
      <c r="S184" s="680"/>
      <c r="T184" s="681"/>
      <c r="U184" s="663"/>
      <c r="W184" s="664"/>
      <c r="X184" s="663"/>
    </row>
    <row r="185" spans="2:24" ht="25.35" customHeight="1" x14ac:dyDescent="0.4">
      <c r="B185" s="677"/>
      <c r="C185" s="678" t="s">
        <v>95</v>
      </c>
      <c r="D185" s="821">
        <f>R16</f>
        <v>12.132953369999999</v>
      </c>
      <c r="E185" s="821">
        <f t="shared" ref="E185:Q185" si="106">S16</f>
        <v>7.02</v>
      </c>
      <c r="F185" s="821">
        <v>4.4359999999999999</v>
      </c>
      <c r="G185" s="821">
        <f>T16</f>
        <v>4.7217513000000002</v>
      </c>
      <c r="H185" s="821">
        <f t="shared" si="97"/>
        <v>0.28575130000000026</v>
      </c>
      <c r="I185" s="821">
        <f t="shared" si="98"/>
        <v>-7.411202069999999</v>
      </c>
      <c r="J185" s="824">
        <f t="shared" si="99"/>
        <v>-2.2982486999999994</v>
      </c>
      <c r="K185" s="821">
        <f t="shared" si="106"/>
        <v>-1.0053492799999972</v>
      </c>
      <c r="L185" s="821">
        <f t="shared" si="106"/>
        <v>116.73361731</v>
      </c>
      <c r="M185" s="821">
        <f t="shared" si="106"/>
        <v>179.7765</v>
      </c>
      <c r="N185" s="821">
        <f t="shared" si="106"/>
        <v>164.05285072000001</v>
      </c>
      <c r="O185" s="821">
        <f t="shared" si="106"/>
        <v>-15.723649279999989</v>
      </c>
      <c r="P185" s="821">
        <f t="shared" si="106"/>
        <v>0</v>
      </c>
      <c r="Q185" s="821">
        <f t="shared" si="106"/>
        <v>0</v>
      </c>
      <c r="R185" s="665"/>
      <c r="S185" s="680"/>
      <c r="T185" s="681"/>
      <c r="U185" s="665"/>
      <c r="V185" s="666"/>
      <c r="W185" s="665"/>
      <c r="X185" s="665"/>
    </row>
    <row r="186" spans="2:24" ht="25.35" customHeight="1" x14ac:dyDescent="0.4">
      <c r="B186" s="677"/>
      <c r="C186" s="678" t="s">
        <v>94</v>
      </c>
      <c r="D186" s="821">
        <f>R17</f>
        <v>3.66</v>
      </c>
      <c r="E186" s="821">
        <f>S17</f>
        <v>1.3187500000000001</v>
      </c>
      <c r="F186" s="821">
        <v>1.3187500000000001</v>
      </c>
      <c r="G186" s="821">
        <f>T17</f>
        <v>0</v>
      </c>
      <c r="H186" s="821">
        <f t="shared" si="97"/>
        <v>-1.3187500000000001</v>
      </c>
      <c r="I186" s="821">
        <f t="shared" si="98"/>
        <v>-3.66</v>
      </c>
      <c r="J186" s="824">
        <f t="shared" si="99"/>
        <v>-1.3187500000000001</v>
      </c>
      <c r="K186" s="822">
        <f t="shared" ref="K186:L188" si="107">J17+N17+F17+R17</f>
        <v>7.32</v>
      </c>
      <c r="L186" s="821">
        <f t="shared" si="107"/>
        <v>3.5750000000000002</v>
      </c>
      <c r="M186" s="821">
        <v>3.5750000000000002</v>
      </c>
      <c r="N186" s="821">
        <f>L17+P17+H17+T17</f>
        <v>0</v>
      </c>
      <c r="O186" s="821">
        <f t="shared" si="101"/>
        <v>-3.5750000000000002</v>
      </c>
      <c r="P186" s="821">
        <f t="shared" si="102"/>
        <v>-7.32</v>
      </c>
      <c r="Q186" s="821">
        <f t="shared" si="103"/>
        <v>-3.5750000000000002</v>
      </c>
      <c r="R186" s="665"/>
      <c r="S186" s="680"/>
      <c r="T186" s="681"/>
      <c r="U186" s="665"/>
      <c r="V186" s="666"/>
      <c r="W186" s="666"/>
      <c r="X186" s="665"/>
    </row>
    <row r="187" spans="2:24" ht="25.35" customHeight="1" x14ac:dyDescent="0.4">
      <c r="B187" s="677"/>
      <c r="C187" s="678" t="s">
        <v>96</v>
      </c>
      <c r="D187" s="821">
        <f>R18</f>
        <v>2.2370833399999999</v>
      </c>
      <c r="E187" s="821">
        <f>S18</f>
        <v>2.8125</v>
      </c>
      <c r="F187" s="821">
        <v>2.8125</v>
      </c>
      <c r="G187" s="821">
        <f>T18</f>
        <v>3.1745833399999999</v>
      </c>
      <c r="H187" s="821">
        <f t="shared" si="97"/>
        <v>0.36208333999999986</v>
      </c>
      <c r="I187" s="821">
        <f t="shared" si="98"/>
        <v>0.9375</v>
      </c>
      <c r="J187" s="824">
        <f t="shared" si="99"/>
        <v>0.36208333999999986</v>
      </c>
      <c r="K187" s="822">
        <f t="shared" si="107"/>
        <v>10.59983336</v>
      </c>
      <c r="L187" s="821">
        <f t="shared" si="107"/>
        <v>9.375</v>
      </c>
      <c r="M187" s="821">
        <v>10.09916668</v>
      </c>
      <c r="N187" s="821">
        <f>L18+P18+H18+T18</f>
        <v>9.8858333599999995</v>
      </c>
      <c r="O187" s="821">
        <f t="shared" si="101"/>
        <v>-0.21333332000000027</v>
      </c>
      <c r="P187" s="821">
        <f t="shared" si="102"/>
        <v>-0.71400000000000041</v>
      </c>
      <c r="Q187" s="821">
        <f t="shared" si="103"/>
        <v>0.51083335999999946</v>
      </c>
      <c r="R187" s="665"/>
      <c r="S187" s="680"/>
      <c r="T187" s="681"/>
      <c r="U187" s="665"/>
      <c r="V187" s="666"/>
      <c r="W187" s="665"/>
      <c r="X187" s="665"/>
    </row>
    <row r="188" spans="2:24" ht="25.35" customHeight="1" x14ac:dyDescent="0.4">
      <c r="B188" s="677"/>
      <c r="C188" s="678" t="s">
        <v>32</v>
      </c>
      <c r="D188" s="821">
        <f>R19</f>
        <v>1.3949469999999999</v>
      </c>
      <c r="E188" s="821">
        <f>S19</f>
        <v>0</v>
      </c>
      <c r="F188" s="821">
        <v>0</v>
      </c>
      <c r="G188" s="821">
        <f>T19</f>
        <v>0</v>
      </c>
      <c r="H188" s="821">
        <f t="shared" si="97"/>
        <v>0</v>
      </c>
      <c r="I188" s="821">
        <f t="shared" si="98"/>
        <v>-1.3949469999999999</v>
      </c>
      <c r="J188" s="824">
        <f t="shared" si="99"/>
        <v>0</v>
      </c>
      <c r="K188" s="822">
        <f t="shared" si="107"/>
        <v>5.29608334</v>
      </c>
      <c r="L188" s="821">
        <f t="shared" si="107"/>
        <v>0</v>
      </c>
      <c r="M188" s="821">
        <v>0.74655419999999995</v>
      </c>
      <c r="N188" s="821">
        <f>L19+P19+H19+T19</f>
        <v>1.57723002</v>
      </c>
      <c r="O188" s="821">
        <f t="shared" si="101"/>
        <v>0.83067582000000006</v>
      </c>
      <c r="P188" s="821">
        <f t="shared" si="102"/>
        <v>-3.71885332</v>
      </c>
      <c r="Q188" s="821">
        <f t="shared" si="103"/>
        <v>1.57723002</v>
      </c>
      <c r="R188" s="665"/>
      <c r="S188" s="680"/>
      <c r="T188" s="681"/>
      <c r="U188" s="665"/>
      <c r="V188" s="666"/>
      <c r="W188" s="665"/>
      <c r="X188" s="665"/>
    </row>
    <row r="192" spans="2:24" ht="24.6" customHeight="1" x14ac:dyDescent="0.4">
      <c r="B192" s="849" t="s">
        <v>75</v>
      </c>
      <c r="C192" s="849"/>
      <c r="D192" s="849" t="s">
        <v>2</v>
      </c>
      <c r="E192" s="849"/>
      <c r="F192" s="849"/>
      <c r="G192" s="849"/>
      <c r="H192" s="849"/>
      <c r="I192" s="849"/>
      <c r="J192" s="886"/>
      <c r="K192" s="848" t="s">
        <v>110</v>
      </c>
      <c r="L192" s="849"/>
      <c r="M192" s="849"/>
      <c r="N192" s="849"/>
      <c r="O192" s="849"/>
      <c r="P192" s="849"/>
      <c r="Q192" s="849"/>
    </row>
    <row r="193" spans="2:22" ht="38.85" customHeight="1" x14ac:dyDescent="0.4">
      <c r="B193" s="849"/>
      <c r="C193" s="849"/>
      <c r="D193" s="674" t="s">
        <v>79</v>
      </c>
      <c r="E193" s="674" t="s">
        <v>80</v>
      </c>
      <c r="F193" s="674" t="s">
        <v>57</v>
      </c>
      <c r="G193" s="674" t="s">
        <v>58</v>
      </c>
      <c r="H193" s="674" t="s">
        <v>16</v>
      </c>
      <c r="I193" s="674" t="s">
        <v>82</v>
      </c>
      <c r="J193" s="675" t="s">
        <v>83</v>
      </c>
      <c r="K193" s="676" t="s">
        <v>79</v>
      </c>
      <c r="L193" s="674" t="s">
        <v>80</v>
      </c>
      <c r="M193" s="674" t="s">
        <v>57</v>
      </c>
      <c r="N193" s="674" t="s">
        <v>58</v>
      </c>
      <c r="O193" s="674" t="s">
        <v>16</v>
      </c>
      <c r="P193" s="674" t="s">
        <v>107</v>
      </c>
      <c r="Q193" s="674" t="s">
        <v>108</v>
      </c>
    </row>
    <row r="194" spans="2:22" ht="24.6" customHeight="1" x14ac:dyDescent="0.4">
      <c r="B194" s="872" t="s">
        <v>85</v>
      </c>
      <c r="C194" s="872"/>
      <c r="D194" s="817">
        <f>V8</f>
        <v>275.49898216999998</v>
      </c>
      <c r="E194" s="817">
        <f>E195+E198+E201</f>
        <v>313.38771303999999</v>
      </c>
      <c r="F194" s="817">
        <v>336.60795504213337</v>
      </c>
      <c r="G194" s="817">
        <f>G195+G198+G201</f>
        <v>333.85101134880006</v>
      </c>
      <c r="H194" s="817">
        <f t="shared" ref="H194:H205" si="108">G194-F194</f>
        <v>-2.7569436933333122</v>
      </c>
      <c r="I194" s="817">
        <f t="shared" ref="I194:I205" si="109">G194-D194</f>
        <v>58.35202917880008</v>
      </c>
      <c r="J194" s="818">
        <f t="shared" ref="J194:J205" si="110">G194-E194</f>
        <v>20.463298308800063</v>
      </c>
      <c r="K194" s="819">
        <f>K195+K198+K201</f>
        <v>550.99796433999995</v>
      </c>
      <c r="L194" s="817">
        <f>L195+L198+L201</f>
        <v>626.77542607999999</v>
      </c>
      <c r="M194" s="817">
        <v>626.7921299461334</v>
      </c>
      <c r="N194" s="817">
        <f>N195+N198+N201</f>
        <v>667.70202269760011</v>
      </c>
      <c r="O194" s="817">
        <f>N194-M194</f>
        <v>40.909892751466714</v>
      </c>
      <c r="P194" s="817">
        <f>N194-K194</f>
        <v>116.70405835760016</v>
      </c>
      <c r="Q194" s="817">
        <f>N194-L194</f>
        <v>40.926596617600126</v>
      </c>
      <c r="R194" s="582"/>
    </row>
    <row r="195" spans="2:22" ht="24.6" customHeight="1" x14ac:dyDescent="0.4">
      <c r="B195" s="872" t="s">
        <v>86</v>
      </c>
      <c r="C195" s="872"/>
      <c r="D195" s="817">
        <f>SUM(D196:D197)</f>
        <v>17.979459309999999</v>
      </c>
      <c r="E195" s="817">
        <f>SUM(E196:E197)</f>
        <v>25.134453140000002</v>
      </c>
      <c r="F195" s="817">
        <v>27.759267872133336</v>
      </c>
      <c r="G195" s="817">
        <f>SUM(G196:G197)</f>
        <v>27.588819538800003</v>
      </c>
      <c r="H195" s="817">
        <f t="shared" si="108"/>
        <v>-0.17044833333333287</v>
      </c>
      <c r="I195" s="817">
        <f t="shared" si="109"/>
        <v>9.6093602288000035</v>
      </c>
      <c r="J195" s="818">
        <f t="shared" si="110"/>
        <v>2.4543663988000013</v>
      </c>
      <c r="K195" s="819">
        <f t="shared" ref="K195:Q195" si="111">SUM(K196:K197)</f>
        <v>35.958918619999999</v>
      </c>
      <c r="L195" s="817">
        <f t="shared" si="111"/>
        <v>50.268906279999996</v>
      </c>
      <c r="M195" s="817">
        <v>50.354777766133338</v>
      </c>
      <c r="N195" s="817">
        <f t="shared" si="111"/>
        <v>55.177639077600006</v>
      </c>
      <c r="O195" s="817">
        <f t="shared" si="111"/>
        <v>4.8228613114666654</v>
      </c>
      <c r="P195" s="817">
        <f t="shared" si="111"/>
        <v>19.218720457600007</v>
      </c>
      <c r="Q195" s="817">
        <f t="shared" si="111"/>
        <v>4.9087327976000061</v>
      </c>
      <c r="R195" s="582"/>
      <c r="S195" s="682"/>
      <c r="T195" s="683"/>
      <c r="U195" s="684"/>
      <c r="V195" s="683"/>
    </row>
    <row r="196" spans="2:22" ht="24.6" customHeight="1" x14ac:dyDescent="0.4">
      <c r="B196" s="677"/>
      <c r="C196" s="678" t="s">
        <v>22</v>
      </c>
      <c r="D196" s="821">
        <f>V10</f>
        <v>17.979459309999999</v>
      </c>
      <c r="E196" s="821">
        <f>W10</f>
        <v>24.623108140000003</v>
      </c>
      <c r="F196" s="821">
        <v>27.588819538800003</v>
      </c>
      <c r="G196" s="821">
        <f>X10</f>
        <v>27.588819538800003</v>
      </c>
      <c r="H196" s="821">
        <f t="shared" si="108"/>
        <v>0</v>
      </c>
      <c r="I196" s="821">
        <f>G196-D196</f>
        <v>9.6093602288000035</v>
      </c>
      <c r="J196" s="824">
        <f>G196-E196</f>
        <v>2.9657113987999999</v>
      </c>
      <c r="K196" s="822">
        <f>F10+V10</f>
        <v>35.958918619999999</v>
      </c>
      <c r="L196" s="821">
        <f>G10+W10</f>
        <v>49.246216279999999</v>
      </c>
      <c r="M196" s="821">
        <v>49.672984432800007</v>
      </c>
      <c r="N196" s="821">
        <f>H10+X10</f>
        <v>55.177639077600006</v>
      </c>
      <c r="O196" s="821">
        <f>N196-M196</f>
        <v>5.5046546447999987</v>
      </c>
      <c r="P196" s="817">
        <f>N196-K196</f>
        <v>19.218720457600007</v>
      </c>
      <c r="Q196" s="821">
        <f>N196-L196</f>
        <v>5.9314227976000069</v>
      </c>
      <c r="R196" s="582"/>
      <c r="S196" s="684"/>
      <c r="T196" s="582"/>
      <c r="U196" s="684"/>
      <c r="V196" s="582"/>
    </row>
    <row r="197" spans="2:22" ht="24.6" customHeight="1" x14ac:dyDescent="0.4">
      <c r="B197" s="677"/>
      <c r="C197" s="678" t="s">
        <v>105</v>
      </c>
      <c r="D197" s="821">
        <f>V11</f>
        <v>0</v>
      </c>
      <c r="E197" s="821">
        <f>W11</f>
        <v>0.51134500000000016</v>
      </c>
      <c r="F197" s="821">
        <v>0.17044833333333337</v>
      </c>
      <c r="G197" s="821">
        <f>X11</f>
        <v>0</v>
      </c>
      <c r="H197" s="821">
        <f t="shared" si="108"/>
        <v>-0.17044833333333337</v>
      </c>
      <c r="I197" s="821">
        <f t="shared" si="109"/>
        <v>0</v>
      </c>
      <c r="J197" s="824">
        <f t="shared" si="110"/>
        <v>-0.51134500000000016</v>
      </c>
      <c r="K197" s="822">
        <f>F11+V11</f>
        <v>0</v>
      </c>
      <c r="L197" s="821">
        <f>G11+W11</f>
        <v>1.0226900000000003</v>
      </c>
      <c r="M197" s="821">
        <v>0.68179333333333347</v>
      </c>
      <c r="N197" s="821">
        <f>H11+X11</f>
        <v>0</v>
      </c>
      <c r="O197" s="821">
        <f t="shared" ref="O197:O205" si="112">N197-M197</f>
        <v>-0.68179333333333347</v>
      </c>
      <c r="P197" s="817">
        <f t="shared" ref="P197:P205" si="113">N197-K197</f>
        <v>0</v>
      </c>
      <c r="Q197" s="821">
        <f t="shared" ref="Q197:Q205" si="114">N197-L197</f>
        <v>-1.0226900000000003</v>
      </c>
      <c r="R197" s="582"/>
      <c r="S197" s="684"/>
      <c r="T197" s="582"/>
      <c r="U197" s="684"/>
      <c r="V197" s="582"/>
    </row>
    <row r="198" spans="2:22" ht="24.6" customHeight="1" x14ac:dyDescent="0.4">
      <c r="B198" s="872" t="s">
        <v>89</v>
      </c>
      <c r="C198" s="872"/>
      <c r="D198" s="817">
        <f>SUM(D199:D200)</f>
        <v>203.63670439999996</v>
      </c>
      <c r="E198" s="817">
        <f>SUM(E199:E200)</f>
        <v>246.45125989999997</v>
      </c>
      <c r="F198" s="817">
        <v>268.12458939999999</v>
      </c>
      <c r="G198" s="817">
        <f>SUM(G199:G200)</f>
        <v>266.20900940000001</v>
      </c>
      <c r="H198" s="817">
        <f t="shared" si="108"/>
        <v>-1.9155799999999772</v>
      </c>
      <c r="I198" s="817">
        <f t="shared" si="109"/>
        <v>62.572305000000057</v>
      </c>
      <c r="J198" s="818">
        <f t="shared" si="110"/>
        <v>19.757749500000045</v>
      </c>
      <c r="K198" s="819">
        <f>SUM(K199:K200)</f>
        <v>407.27340879999991</v>
      </c>
      <c r="L198" s="817">
        <f t="shared" ref="L198:Q198" si="115">SUM(L199:L200)</f>
        <v>492.90251979999994</v>
      </c>
      <c r="M198" s="817">
        <v>490.63931522000007</v>
      </c>
      <c r="N198" s="817">
        <f t="shared" si="115"/>
        <v>532.41801880000003</v>
      </c>
      <c r="O198" s="817">
        <f t="shared" si="115"/>
        <v>41.778703579999913</v>
      </c>
      <c r="P198" s="817">
        <f t="shared" si="115"/>
        <v>125.14461000000004</v>
      </c>
      <c r="Q198" s="817">
        <f t="shared" si="115"/>
        <v>39.515499000000034</v>
      </c>
      <c r="R198" s="582"/>
      <c r="S198" s="682"/>
      <c r="T198" s="683"/>
      <c r="U198" s="684"/>
      <c r="V198" s="683"/>
    </row>
    <row r="199" spans="2:22" ht="24.6" customHeight="1" x14ac:dyDescent="0.4">
      <c r="B199" s="677"/>
      <c r="C199" s="678" t="s">
        <v>91</v>
      </c>
      <c r="D199" s="821">
        <f>V13</f>
        <v>189.04805799999997</v>
      </c>
      <c r="E199" s="821">
        <f>W13</f>
        <v>238.39925849999997</v>
      </c>
      <c r="F199" s="821">
        <v>258.58264099999997</v>
      </c>
      <c r="G199" s="821">
        <f>X13</f>
        <v>256.66706099999999</v>
      </c>
      <c r="H199" s="821">
        <f t="shared" si="108"/>
        <v>-1.9155799999999772</v>
      </c>
      <c r="I199" s="821">
        <f>G199-D199</f>
        <v>67.619003000000021</v>
      </c>
      <c r="J199" s="824">
        <f>G199-E199</f>
        <v>18.267802500000016</v>
      </c>
      <c r="K199" s="822">
        <f>F13+V13</f>
        <v>378.09611599999994</v>
      </c>
      <c r="L199" s="821">
        <f>G13+W13</f>
        <v>476.79851699999995</v>
      </c>
      <c r="M199" s="821">
        <v>474.17394322000007</v>
      </c>
      <c r="N199" s="821">
        <f>H13+X13</f>
        <v>513.33412199999998</v>
      </c>
      <c r="O199" s="821">
        <f>N199-M199</f>
        <v>39.16017877999991</v>
      </c>
      <c r="P199" s="817">
        <f>N199-K199</f>
        <v>135.23800600000004</v>
      </c>
      <c r="Q199" s="821">
        <f>N199-L199</f>
        <v>36.535605000000032</v>
      </c>
      <c r="R199" s="582"/>
      <c r="S199" s="684"/>
      <c r="T199" s="582"/>
      <c r="U199" s="684"/>
      <c r="V199" s="582"/>
    </row>
    <row r="200" spans="2:22" ht="24.6" customHeight="1" x14ac:dyDescent="0.4">
      <c r="B200" s="677"/>
      <c r="C200" s="678" t="s">
        <v>90</v>
      </c>
      <c r="D200" s="821">
        <f>V14</f>
        <v>14.588646399999998</v>
      </c>
      <c r="E200" s="821">
        <f>W14</f>
        <v>8.0520014</v>
      </c>
      <c r="F200" s="821">
        <v>9.5419484000000008</v>
      </c>
      <c r="G200" s="821">
        <f>X14</f>
        <v>9.5419484000000008</v>
      </c>
      <c r="H200" s="821">
        <f t="shared" si="108"/>
        <v>0</v>
      </c>
      <c r="I200" s="821">
        <f t="shared" si="109"/>
        <v>-5.0466979999999975</v>
      </c>
      <c r="J200" s="824">
        <f t="shared" si="110"/>
        <v>1.4899470000000008</v>
      </c>
      <c r="K200" s="822">
        <f>F14+V14</f>
        <v>29.177292799999996</v>
      </c>
      <c r="L200" s="821">
        <f>G14+W14</f>
        <v>16.1040028</v>
      </c>
      <c r="M200" s="821">
        <v>16.465372000000002</v>
      </c>
      <c r="N200" s="821">
        <f>H14+X14</f>
        <v>19.083896800000002</v>
      </c>
      <c r="O200" s="821">
        <f t="shared" si="112"/>
        <v>2.6185247999999994</v>
      </c>
      <c r="P200" s="817">
        <f t="shared" si="113"/>
        <v>-10.093395999999995</v>
      </c>
      <c r="Q200" s="821">
        <f t="shared" si="114"/>
        <v>2.9798940000000016</v>
      </c>
      <c r="R200" s="582"/>
      <c r="S200" s="684"/>
      <c r="T200" s="582"/>
      <c r="U200" s="684"/>
      <c r="V200" s="582"/>
    </row>
    <row r="201" spans="2:22" ht="24.6" customHeight="1" x14ac:dyDescent="0.4">
      <c r="B201" s="872" t="s">
        <v>92</v>
      </c>
      <c r="C201" s="872"/>
      <c r="D201" s="817">
        <f>SUM(D202:D205)</f>
        <v>53.882818460000003</v>
      </c>
      <c r="E201" s="817">
        <f>SUM(E202:E205)</f>
        <v>41.802</v>
      </c>
      <c r="F201" s="817">
        <v>40.72409777</v>
      </c>
      <c r="G201" s="817">
        <f>SUM(G202:G205)</f>
        <v>40.053182410000005</v>
      </c>
      <c r="H201" s="817">
        <f t="shared" si="108"/>
        <v>-0.67091535999999508</v>
      </c>
      <c r="I201" s="817">
        <f t="shared" si="109"/>
        <v>-13.829636049999998</v>
      </c>
      <c r="J201" s="818">
        <f t="shared" si="110"/>
        <v>-1.7488175899999945</v>
      </c>
      <c r="K201" s="819">
        <f t="shared" ref="K201:Q201" si="116">SUM(K202:K205)</f>
        <v>107.76563692000001</v>
      </c>
      <c r="L201" s="817">
        <f t="shared" si="116"/>
        <v>83.603999999999999</v>
      </c>
      <c r="M201" s="817">
        <v>85.798036960000005</v>
      </c>
      <c r="N201" s="817">
        <f t="shared" si="116"/>
        <v>80.10636482000001</v>
      </c>
      <c r="O201" s="817">
        <f t="shared" si="116"/>
        <v>-5.6916721399999988</v>
      </c>
      <c r="P201" s="817">
        <f t="shared" si="116"/>
        <v>-27.659272099999995</v>
      </c>
      <c r="Q201" s="817">
        <f t="shared" si="116"/>
        <v>-3.4976351799999952</v>
      </c>
      <c r="R201" s="582"/>
      <c r="S201" s="682"/>
      <c r="T201" s="683"/>
      <c r="U201" s="684"/>
      <c r="V201" s="683"/>
    </row>
    <row r="202" spans="2:22" ht="24.6" customHeight="1" x14ac:dyDescent="0.4">
      <c r="B202" s="677"/>
      <c r="C202" s="678" t="s">
        <v>95</v>
      </c>
      <c r="D202" s="821">
        <f t="shared" ref="D202:E204" si="117">V16</f>
        <v>42.274860109999999</v>
      </c>
      <c r="E202" s="821">
        <f t="shared" si="117"/>
        <v>35.326999999999998</v>
      </c>
      <c r="F202" s="821">
        <v>34.03589942</v>
      </c>
      <c r="G202" s="821">
        <f>X16</f>
        <v>34.321650720000001</v>
      </c>
      <c r="H202" s="821">
        <f t="shared" si="108"/>
        <v>0.28575130000000115</v>
      </c>
      <c r="I202" s="821">
        <f>G202-D202</f>
        <v>-7.9532093899999978</v>
      </c>
      <c r="J202" s="824">
        <f>G202-E202</f>
        <v>-1.0053492799999972</v>
      </c>
      <c r="K202" s="822">
        <f t="shared" ref="K202:L204" si="118">F16+V16</f>
        <v>84.549720219999998</v>
      </c>
      <c r="L202" s="821">
        <f t="shared" si="118"/>
        <v>70.653999999999996</v>
      </c>
      <c r="M202" s="821">
        <v>71.37731608</v>
      </c>
      <c r="N202" s="821">
        <f>H16+X16</f>
        <v>68.643301440000002</v>
      </c>
      <c r="O202" s="821">
        <f>N202-M202</f>
        <v>-2.7340146399999981</v>
      </c>
      <c r="P202" s="817">
        <f>N202-K202</f>
        <v>-15.906418779999996</v>
      </c>
      <c r="Q202" s="821">
        <f>N202-L202</f>
        <v>-2.0106985599999945</v>
      </c>
      <c r="R202" s="582"/>
      <c r="S202" s="684"/>
      <c r="T202" s="582"/>
      <c r="U202" s="684"/>
      <c r="V202" s="582"/>
    </row>
    <row r="203" spans="2:22" ht="24.6" customHeight="1" x14ac:dyDescent="0.4">
      <c r="B203" s="677"/>
      <c r="C203" s="678" t="s">
        <v>94</v>
      </c>
      <c r="D203" s="821">
        <f t="shared" si="117"/>
        <v>3.66</v>
      </c>
      <c r="E203" s="821">
        <f t="shared" si="117"/>
        <v>1.7875000000000001</v>
      </c>
      <c r="F203" s="821">
        <v>1.3187500000000001</v>
      </c>
      <c r="G203" s="821">
        <f>X17</f>
        <v>0</v>
      </c>
      <c r="H203" s="821">
        <f t="shared" si="108"/>
        <v>-1.3187500000000001</v>
      </c>
      <c r="I203" s="821">
        <f t="shared" si="109"/>
        <v>-3.66</v>
      </c>
      <c r="J203" s="824">
        <f t="shared" si="110"/>
        <v>-1.7875000000000001</v>
      </c>
      <c r="K203" s="822">
        <f t="shared" si="118"/>
        <v>7.32</v>
      </c>
      <c r="L203" s="821">
        <f t="shared" si="118"/>
        <v>3.5750000000000002</v>
      </c>
      <c r="M203" s="821">
        <v>3.5750000000000002</v>
      </c>
      <c r="N203" s="821">
        <f>H17+X17</f>
        <v>0</v>
      </c>
      <c r="O203" s="821">
        <f t="shared" si="112"/>
        <v>-3.5750000000000002</v>
      </c>
      <c r="P203" s="817">
        <f t="shared" si="113"/>
        <v>-7.32</v>
      </c>
      <c r="Q203" s="821">
        <f t="shared" si="114"/>
        <v>-3.5750000000000002</v>
      </c>
      <c r="R203" s="582"/>
      <c r="S203" s="684"/>
      <c r="T203" s="582"/>
      <c r="U203" s="684"/>
      <c r="V203" s="582"/>
    </row>
    <row r="204" spans="2:22" ht="24.6" customHeight="1" x14ac:dyDescent="0.4">
      <c r="B204" s="677"/>
      <c r="C204" s="678" t="s">
        <v>96</v>
      </c>
      <c r="D204" s="821">
        <f t="shared" si="117"/>
        <v>5.2999166799999999</v>
      </c>
      <c r="E204" s="821">
        <f t="shared" si="117"/>
        <v>4.6875</v>
      </c>
      <c r="F204" s="821">
        <v>4.5808333399999999</v>
      </c>
      <c r="G204" s="821">
        <f>X18</f>
        <v>4.9429166799999997</v>
      </c>
      <c r="H204" s="821">
        <f t="shared" si="108"/>
        <v>0.36208333999999986</v>
      </c>
      <c r="I204" s="821">
        <f t="shared" si="109"/>
        <v>-0.35700000000000021</v>
      </c>
      <c r="J204" s="824">
        <f t="shared" si="110"/>
        <v>0.25541667999999973</v>
      </c>
      <c r="K204" s="822">
        <f t="shared" si="118"/>
        <v>10.59983336</v>
      </c>
      <c r="L204" s="821">
        <f t="shared" si="118"/>
        <v>9.375</v>
      </c>
      <c r="M204" s="821">
        <v>10.09916668</v>
      </c>
      <c r="N204" s="821">
        <f>H18+X18</f>
        <v>9.8858333599999995</v>
      </c>
      <c r="O204" s="821">
        <f t="shared" si="112"/>
        <v>-0.21333332000000027</v>
      </c>
      <c r="P204" s="817">
        <f t="shared" si="113"/>
        <v>-0.71400000000000041</v>
      </c>
      <c r="Q204" s="821">
        <f t="shared" si="114"/>
        <v>0.51083335999999946</v>
      </c>
      <c r="R204" s="582"/>
      <c r="S204" s="684"/>
      <c r="T204" s="582"/>
      <c r="U204" s="684"/>
      <c r="V204" s="582"/>
    </row>
    <row r="205" spans="2:22" ht="24.6" customHeight="1" x14ac:dyDescent="0.4">
      <c r="B205" s="677"/>
      <c r="C205" s="678" t="s">
        <v>32</v>
      </c>
      <c r="D205" s="821">
        <f t="shared" ref="D205:E205" si="119">V19</f>
        <v>2.64804167</v>
      </c>
      <c r="E205" s="821">
        <f t="shared" si="119"/>
        <v>0</v>
      </c>
      <c r="F205" s="821">
        <v>0.78861501000000001</v>
      </c>
      <c r="G205" s="821">
        <f>X19</f>
        <v>0.78861501000000001</v>
      </c>
      <c r="H205" s="821">
        <f t="shared" si="108"/>
        <v>0</v>
      </c>
      <c r="I205" s="821">
        <f t="shared" si="109"/>
        <v>-1.85942666</v>
      </c>
      <c r="J205" s="824">
        <f t="shared" si="110"/>
        <v>0.78861501000000001</v>
      </c>
      <c r="K205" s="822">
        <f t="shared" ref="K205:L205" si="120">F19+V19</f>
        <v>5.29608334</v>
      </c>
      <c r="L205" s="821">
        <f t="shared" si="120"/>
        <v>0</v>
      </c>
      <c r="M205" s="821">
        <v>0.74655419999999995</v>
      </c>
      <c r="N205" s="821">
        <f t="shared" ref="N205" si="121">H19+X19</f>
        <v>1.57723002</v>
      </c>
      <c r="O205" s="821">
        <f t="shared" si="112"/>
        <v>0.83067582000000006</v>
      </c>
      <c r="P205" s="817">
        <f t="shared" si="113"/>
        <v>-3.71885332</v>
      </c>
      <c r="Q205" s="821">
        <f t="shared" si="114"/>
        <v>1.57723002</v>
      </c>
      <c r="R205" s="582"/>
      <c r="S205" s="684"/>
      <c r="T205" s="582"/>
      <c r="U205" s="684"/>
      <c r="V205" s="582"/>
    </row>
    <row r="206" spans="2:22" ht="24.6" customHeight="1" x14ac:dyDescent="0.4">
      <c r="D206" s="661"/>
      <c r="E206" s="661"/>
      <c r="F206" s="661"/>
      <c r="G206" s="661"/>
      <c r="H206" s="661"/>
      <c r="I206" s="661"/>
      <c r="J206" s="661"/>
      <c r="K206" s="582"/>
      <c r="L206" s="582"/>
      <c r="M206" s="582"/>
      <c r="N206" s="582"/>
      <c r="O206" s="582"/>
      <c r="Q206" s="582"/>
      <c r="R206" s="582"/>
    </row>
  </sheetData>
  <mergeCells count="329">
    <mergeCell ref="G30:H30"/>
    <mergeCell ref="C33:D33"/>
    <mergeCell ref="C34:D34"/>
    <mergeCell ref="E34:F34"/>
    <mergeCell ref="E45:F45"/>
    <mergeCell ref="C48:D48"/>
    <mergeCell ref="B42:D42"/>
    <mergeCell ref="G40:H40"/>
    <mergeCell ref="G47:H47"/>
    <mergeCell ref="C36:D36"/>
    <mergeCell ref="E36:F36"/>
    <mergeCell ref="E32:F32"/>
    <mergeCell ref="E33:F33"/>
    <mergeCell ref="G34:H34"/>
    <mergeCell ref="B40:D40"/>
    <mergeCell ref="E40:F40"/>
    <mergeCell ref="B37:D37"/>
    <mergeCell ref="E37:F37"/>
    <mergeCell ref="G37:H37"/>
    <mergeCell ref="C35:D35"/>
    <mergeCell ref="C47:D47"/>
    <mergeCell ref="E47:F47"/>
    <mergeCell ref="G32:H32"/>
    <mergeCell ref="G33:H33"/>
    <mergeCell ref="C61:D61"/>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K30:L30"/>
    <mergeCell ref="I32:J32"/>
    <mergeCell ref="M42:W42"/>
    <mergeCell ref="I44:J44"/>
    <mergeCell ref="K32:L32"/>
    <mergeCell ref="K35:L35"/>
    <mergeCell ref="K36:L36"/>
    <mergeCell ref="I36:J36"/>
    <mergeCell ref="I30:J30"/>
    <mergeCell ref="M43:W43"/>
    <mergeCell ref="M36:Y36"/>
    <mergeCell ref="M37:Y37"/>
    <mergeCell ref="M32:Y32"/>
    <mergeCell ref="M30:Y30"/>
    <mergeCell ref="M31:Y31"/>
    <mergeCell ref="M33:Y33"/>
    <mergeCell ref="M34:Y34"/>
    <mergeCell ref="M35:Y35"/>
    <mergeCell ref="I43:J43"/>
    <mergeCell ref="I41:J41"/>
    <mergeCell ref="I42:J42"/>
    <mergeCell ref="K42:L42"/>
    <mergeCell ref="K43:L43"/>
    <mergeCell ref="K44:L44"/>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4:W55"/>
    <mergeCell ref="E48:F48"/>
    <mergeCell ref="G48:H48"/>
    <mergeCell ref="M45:W45"/>
    <mergeCell ref="M46:W46"/>
    <mergeCell ref="K45:L45"/>
    <mergeCell ref="K47:L47"/>
    <mergeCell ref="E49:F49"/>
    <mergeCell ref="G45:H45"/>
    <mergeCell ref="I48:J48"/>
    <mergeCell ref="I46:J46"/>
    <mergeCell ref="I47:J47"/>
    <mergeCell ref="E46:F46"/>
    <mergeCell ref="I33:J33"/>
    <mergeCell ref="K33:L33"/>
    <mergeCell ref="G36:H36"/>
    <mergeCell ref="K37:L37"/>
    <mergeCell ref="G35:H35"/>
    <mergeCell ref="G44:H44"/>
    <mergeCell ref="I35:J35"/>
    <mergeCell ref="I40:J40"/>
    <mergeCell ref="I37:J37"/>
    <mergeCell ref="G41:H41"/>
    <mergeCell ref="G42:H42"/>
    <mergeCell ref="G43:H43"/>
    <mergeCell ref="B56:D56"/>
    <mergeCell ref="B51:D51"/>
    <mergeCell ref="E51:F51"/>
    <mergeCell ref="E35:F35"/>
    <mergeCell ref="B41:D41"/>
    <mergeCell ref="E41:F41"/>
    <mergeCell ref="E43:F43"/>
    <mergeCell ref="E42:F42"/>
    <mergeCell ref="B28:D28"/>
    <mergeCell ref="C44:D44"/>
    <mergeCell ref="E44:F44"/>
    <mergeCell ref="C43:D43"/>
    <mergeCell ref="B45:D45"/>
    <mergeCell ref="C46:D46"/>
    <mergeCell ref="C30:D30"/>
    <mergeCell ref="E30:F30"/>
    <mergeCell ref="N6:Q6"/>
    <mergeCell ref="I27:J27"/>
    <mergeCell ref="B20:C20"/>
    <mergeCell ref="B21:B23"/>
    <mergeCell ref="I29:J29"/>
    <mergeCell ref="B15:C15"/>
    <mergeCell ref="K27:L27"/>
    <mergeCell ref="B27:D27"/>
    <mergeCell ref="E27:F27"/>
    <mergeCell ref="G27:H27"/>
    <mergeCell ref="G28:H28"/>
    <mergeCell ref="I28:J28"/>
    <mergeCell ref="K28:L28"/>
    <mergeCell ref="B12:C12"/>
    <mergeCell ref="E28:F28"/>
    <mergeCell ref="F5:I6"/>
    <mergeCell ref="K29:L29"/>
    <mergeCell ref="M27:Y27"/>
    <mergeCell ref="M28:Y28"/>
    <mergeCell ref="M29:Y29"/>
    <mergeCell ref="R6:U6"/>
    <mergeCell ref="V5:Y6"/>
    <mergeCell ref="J5:U5"/>
    <mergeCell ref="E29:F29"/>
    <mergeCell ref="G29:H29"/>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K31:L31"/>
    <mergeCell ref="I34:J34"/>
    <mergeCell ref="K34:L34"/>
    <mergeCell ref="B32:D32"/>
    <mergeCell ref="K50:L50"/>
    <mergeCell ref="D83:E83"/>
    <mergeCell ref="H83:I83"/>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s>
  <phoneticPr fontId="2" type="noConversion"/>
  <pageMargins left="0.25" right="0.25" top="0.75" bottom="0.75" header="0.3" footer="0.3"/>
  <pageSetup paperSize="8" scale="66"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44"/>
  <sheetViews>
    <sheetView showGridLines="0" zoomScale="70" zoomScaleNormal="70" zoomScaleSheetLayoutView="115" workbookViewId="0">
      <pane xSplit="4" ySplit="6" topLeftCell="E299" activePane="bottomRight" state="frozen"/>
      <selection pane="topRight" activeCell="C1" sqref="C1"/>
      <selection pane="bottomLeft" activeCell="A7" sqref="A7"/>
      <selection pane="bottomRight" activeCell="K318" sqref="K318"/>
    </sheetView>
  </sheetViews>
  <sheetFormatPr defaultColWidth="8.59765625" defaultRowHeight="13.8" outlineLevelRow="1" x14ac:dyDescent="0.4"/>
  <cols>
    <col min="1" max="2" width="3" style="483" customWidth="1"/>
    <col min="3" max="3" width="10.59765625" style="483" customWidth="1"/>
    <col min="4" max="4" width="8.59765625" style="638" customWidth="1"/>
    <col min="5" max="5" width="8.59765625" style="483"/>
    <col min="6" max="6" width="12.09765625" style="483" bestFit="1" customWidth="1"/>
    <col min="7" max="7" width="11.09765625" style="483" customWidth="1"/>
    <col min="8" max="8" width="18" style="483" customWidth="1"/>
    <col min="9" max="9" width="18.59765625" style="483" bestFit="1" customWidth="1"/>
    <col min="10" max="10" width="19.09765625" style="509" bestFit="1" customWidth="1"/>
    <col min="11" max="11" width="19.09765625" style="483" bestFit="1" customWidth="1"/>
    <col min="12" max="12" width="9.59765625" style="483" customWidth="1"/>
    <col min="13" max="13" width="18.59765625" style="483" customWidth="1"/>
    <col min="14" max="14" width="17.5" style="483" customWidth="1"/>
    <col min="15" max="15" width="16.59765625" style="483" customWidth="1"/>
    <col min="16" max="16" width="17.69921875" style="483" bestFit="1" customWidth="1"/>
    <col min="17" max="17" width="18.09765625" style="483" customWidth="1"/>
    <col min="18" max="18" width="19" style="483" bestFit="1" customWidth="1"/>
    <col min="19" max="20" width="16.09765625" style="483" customWidth="1"/>
    <col min="21" max="21" width="8.59765625" style="483"/>
    <col min="22" max="22" width="19.09765625" style="483" customWidth="1"/>
    <col min="23" max="16384" width="8.59765625" style="483"/>
  </cols>
  <sheetData>
    <row r="1" spans="1:21" ht="25.2" x14ac:dyDescent="0.4">
      <c r="D1" s="685" t="s">
        <v>111</v>
      </c>
      <c r="K1" s="509"/>
      <c r="O1" s="509"/>
    </row>
    <row r="2" spans="1:21" ht="15.6" hidden="1" x14ac:dyDescent="0.4">
      <c r="D2" s="686" t="s">
        <v>112</v>
      </c>
      <c r="F2" s="483" t="s">
        <v>113</v>
      </c>
      <c r="G2" s="483" t="s">
        <v>114</v>
      </c>
    </row>
    <row r="3" spans="1:21" ht="15.6" hidden="1" x14ac:dyDescent="0.4">
      <c r="D3" s="686"/>
      <c r="F3" s="483" t="s">
        <v>115</v>
      </c>
      <c r="G3" s="483" t="s">
        <v>116</v>
      </c>
    </row>
    <row r="4" spans="1:21" ht="15.6" hidden="1" x14ac:dyDescent="0.4">
      <c r="D4" s="686"/>
      <c r="F4" s="483" t="s">
        <v>117</v>
      </c>
      <c r="G4" s="483" t="s">
        <v>116</v>
      </c>
    </row>
    <row r="5" spans="1:21" ht="14.4" thickBot="1" x14ac:dyDescent="0.45">
      <c r="N5" s="687" t="s">
        <v>118</v>
      </c>
    </row>
    <row r="6" spans="1:21" ht="14.4" thickBot="1" x14ac:dyDescent="0.45">
      <c r="A6" s="483" t="s">
        <v>119</v>
      </c>
      <c r="B6" s="483" t="s">
        <v>120</v>
      </c>
      <c r="D6" s="688" t="s">
        <v>121</v>
      </c>
      <c r="E6" s="689" t="s">
        <v>122</v>
      </c>
      <c r="F6" s="689" t="s">
        <v>123</v>
      </c>
      <c r="G6" s="689" t="s">
        <v>124</v>
      </c>
      <c r="H6" s="689" t="s">
        <v>125</v>
      </c>
      <c r="I6" s="689" t="s">
        <v>126</v>
      </c>
      <c r="J6" s="690" t="s">
        <v>127</v>
      </c>
      <c r="K6" s="689" t="s">
        <v>128</v>
      </c>
      <c r="L6" s="691" t="s">
        <v>129</v>
      </c>
      <c r="M6" s="692" t="s">
        <v>130</v>
      </c>
      <c r="N6" s="691" t="s">
        <v>59</v>
      </c>
    </row>
    <row r="7" spans="1:21" hidden="1" outlineLevel="1" x14ac:dyDescent="0.4">
      <c r="A7" s="483" t="s">
        <v>19</v>
      </c>
      <c r="B7" s="483" t="s">
        <v>2</v>
      </c>
      <c r="C7" s="483" t="s">
        <v>131</v>
      </c>
      <c r="D7" s="693" t="s">
        <v>3</v>
      </c>
      <c r="E7" s="694" t="s">
        <v>132</v>
      </c>
      <c r="F7" s="695" t="s">
        <v>133</v>
      </c>
      <c r="G7" s="695" t="s">
        <v>134</v>
      </c>
      <c r="H7" s="695" t="s">
        <v>135</v>
      </c>
      <c r="I7" s="696">
        <v>302597280</v>
      </c>
      <c r="J7" s="696">
        <v>736312500</v>
      </c>
      <c r="K7" s="696">
        <v>302597280</v>
      </c>
      <c r="L7" s="697">
        <v>0.41096311688311687</v>
      </c>
      <c r="M7" s="696">
        <v>302597280</v>
      </c>
      <c r="N7" s="698">
        <v>0</v>
      </c>
      <c r="P7" s="483">
        <v>302597280</v>
      </c>
      <c r="Q7" s="642">
        <f>P7-I7</f>
        <v>0</v>
      </c>
    </row>
    <row r="8" spans="1:21" hidden="1" outlineLevel="1" x14ac:dyDescent="0.4">
      <c r="A8" s="483" t="s">
        <v>19</v>
      </c>
      <c r="B8" s="483" t="s">
        <v>2</v>
      </c>
      <c r="C8" s="483" t="s">
        <v>51</v>
      </c>
      <c r="D8" s="699" t="s">
        <v>580</v>
      </c>
      <c r="E8" s="700" t="s">
        <v>132</v>
      </c>
      <c r="F8" s="701" t="s">
        <v>133</v>
      </c>
      <c r="G8" s="701" t="s">
        <v>134</v>
      </c>
      <c r="H8" s="701" t="s">
        <v>136</v>
      </c>
      <c r="I8" s="702">
        <v>0</v>
      </c>
      <c r="J8" s="702">
        <v>0</v>
      </c>
      <c r="K8" s="702">
        <v>0</v>
      </c>
      <c r="L8" s="703"/>
      <c r="M8" s="702">
        <v>0</v>
      </c>
      <c r="N8" s="704">
        <v>0</v>
      </c>
      <c r="P8" s="483">
        <v>0</v>
      </c>
      <c r="Q8" s="642">
        <f t="shared" ref="Q8:Q71" si="0">P8-I8</f>
        <v>0</v>
      </c>
    </row>
    <row r="9" spans="1:21" hidden="1" outlineLevel="1" x14ac:dyDescent="0.4">
      <c r="A9" s="483" t="s">
        <v>19</v>
      </c>
      <c r="B9" s="483" t="s">
        <v>2</v>
      </c>
      <c r="C9" s="483" t="s">
        <v>22</v>
      </c>
      <c r="D9" s="699" t="s">
        <v>580</v>
      </c>
      <c r="E9" s="700" t="s">
        <v>132</v>
      </c>
      <c r="F9" s="701" t="s">
        <v>133</v>
      </c>
      <c r="G9" s="701" t="s">
        <v>134</v>
      </c>
      <c r="H9" s="701" t="s">
        <v>137</v>
      </c>
      <c r="I9" s="702">
        <v>0</v>
      </c>
      <c r="J9" s="702">
        <v>0</v>
      </c>
      <c r="K9" s="702">
        <v>0</v>
      </c>
      <c r="L9" s="703"/>
      <c r="M9" s="702">
        <v>0</v>
      </c>
      <c r="N9" s="704">
        <v>0</v>
      </c>
      <c r="P9" s="483">
        <v>0</v>
      </c>
      <c r="Q9" s="642">
        <f t="shared" si="0"/>
        <v>0</v>
      </c>
    </row>
    <row r="10" spans="1:21" hidden="1" outlineLevel="1" x14ac:dyDescent="0.4">
      <c r="A10" s="483" t="s">
        <v>19</v>
      </c>
      <c r="B10" s="483" t="s">
        <v>2</v>
      </c>
      <c r="C10" s="483" t="s">
        <v>27</v>
      </c>
      <c r="D10" s="699" t="s">
        <v>580</v>
      </c>
      <c r="E10" s="700" t="s">
        <v>132</v>
      </c>
      <c r="F10" s="701" t="s">
        <v>133</v>
      </c>
      <c r="G10" s="701" t="s">
        <v>134</v>
      </c>
      <c r="H10" s="701" t="s">
        <v>138</v>
      </c>
      <c r="I10" s="702">
        <v>1013747020</v>
      </c>
      <c r="J10" s="702">
        <v>959310827.99423397</v>
      </c>
      <c r="K10" s="702">
        <v>1013747020</v>
      </c>
      <c r="L10" s="703">
        <v>1.0567451032733399</v>
      </c>
      <c r="M10" s="702">
        <v>1013747020</v>
      </c>
      <c r="N10" s="705">
        <v>0</v>
      </c>
      <c r="P10" s="483">
        <v>1013747020</v>
      </c>
      <c r="Q10" s="642">
        <f t="shared" si="0"/>
        <v>0</v>
      </c>
    </row>
    <row r="11" spans="1:21" hidden="1" outlineLevel="1" x14ac:dyDescent="0.4">
      <c r="A11" s="483" t="s">
        <v>19</v>
      </c>
      <c r="B11" s="483" t="s">
        <v>2</v>
      </c>
      <c r="C11" s="483" t="s">
        <v>26</v>
      </c>
      <c r="D11" s="699" t="s">
        <v>580</v>
      </c>
      <c r="E11" s="700" t="s">
        <v>132</v>
      </c>
      <c r="F11" s="701" t="s">
        <v>133</v>
      </c>
      <c r="G11" s="701" t="s">
        <v>134</v>
      </c>
      <c r="H11" s="701" t="s">
        <v>139</v>
      </c>
      <c r="I11" s="702">
        <v>4869898150</v>
      </c>
      <c r="J11" s="702">
        <v>4405740000</v>
      </c>
      <c r="K11" s="702">
        <v>4869898150</v>
      </c>
      <c r="L11" s="703">
        <v>1.1053530507928293</v>
      </c>
      <c r="M11" s="702">
        <v>4869898150</v>
      </c>
      <c r="N11" s="705">
        <v>0</v>
      </c>
      <c r="P11" s="483">
        <v>4869898150</v>
      </c>
      <c r="Q11" s="642">
        <f t="shared" si="0"/>
        <v>0</v>
      </c>
      <c r="R11" s="642">
        <f>R12-K133</f>
        <v>0</v>
      </c>
      <c r="S11" s="642">
        <f>S12-K144</f>
        <v>0</v>
      </c>
    </row>
    <row r="12" spans="1:21" hidden="1" outlineLevel="1" x14ac:dyDescent="0.4">
      <c r="A12" s="483" t="s">
        <v>19</v>
      </c>
      <c r="B12" s="483" t="s">
        <v>2</v>
      </c>
      <c r="C12" s="483" t="s">
        <v>50</v>
      </c>
      <c r="D12" s="699" t="s">
        <v>580</v>
      </c>
      <c r="E12" s="700" t="s">
        <v>132</v>
      </c>
      <c r="F12" s="701" t="s">
        <v>133</v>
      </c>
      <c r="G12" s="701" t="s">
        <v>134</v>
      </c>
      <c r="H12" s="701" t="s">
        <v>140</v>
      </c>
      <c r="I12" s="702">
        <v>0</v>
      </c>
      <c r="J12" s="702">
        <v>0</v>
      </c>
      <c r="K12" s="702">
        <v>0</v>
      </c>
      <c r="L12" s="703"/>
      <c r="M12" s="702">
        <v>0</v>
      </c>
      <c r="N12" s="705">
        <v>0</v>
      </c>
      <c r="P12" s="483">
        <v>0</v>
      </c>
      <c r="Q12" s="642">
        <f t="shared" si="0"/>
        <v>0</v>
      </c>
      <c r="R12" s="706">
        <f t="shared" ref="R12:T12" si="1">SUM(R14:R25)</f>
        <v>12361988503</v>
      </c>
      <c r="S12" s="706">
        <f t="shared" si="1"/>
        <v>15101542896</v>
      </c>
      <c r="T12" s="706">
        <f t="shared" si="1"/>
        <v>27463531399</v>
      </c>
    </row>
    <row r="13" spans="1:21" hidden="1" outlineLevel="1" x14ac:dyDescent="0.4">
      <c r="A13" s="483" t="s">
        <v>19</v>
      </c>
      <c r="B13" s="483" t="s">
        <v>2</v>
      </c>
      <c r="C13" s="483" t="s">
        <v>30</v>
      </c>
      <c r="D13" s="699" t="s">
        <v>580</v>
      </c>
      <c r="E13" s="700" t="s">
        <v>132</v>
      </c>
      <c r="F13" s="701" t="s">
        <v>133</v>
      </c>
      <c r="G13" s="701" t="s">
        <v>134</v>
      </c>
      <c r="H13" s="701" t="s">
        <v>141</v>
      </c>
      <c r="I13" s="702">
        <v>0</v>
      </c>
      <c r="J13" s="702">
        <v>490500000</v>
      </c>
      <c r="K13" s="702">
        <v>0</v>
      </c>
      <c r="L13" s="703">
        <v>0</v>
      </c>
      <c r="M13" s="702">
        <v>0</v>
      </c>
      <c r="N13" s="707">
        <v>0</v>
      </c>
      <c r="P13" s="483">
        <v>0</v>
      </c>
      <c r="Q13" s="642">
        <f t="shared" si="0"/>
        <v>0</v>
      </c>
      <c r="R13" s="708" t="s">
        <v>142</v>
      </c>
      <c r="S13" s="708" t="s">
        <v>143</v>
      </c>
      <c r="T13" s="708" t="s">
        <v>144</v>
      </c>
      <c r="U13" s="709"/>
    </row>
    <row r="14" spans="1:21" hidden="1" outlineLevel="1" x14ac:dyDescent="0.4">
      <c r="A14" s="483" t="s">
        <v>19</v>
      </c>
      <c r="B14" s="483" t="s">
        <v>2</v>
      </c>
      <c r="C14" s="483" t="s">
        <v>29</v>
      </c>
      <c r="D14" s="699" t="s">
        <v>580</v>
      </c>
      <c r="E14" s="700" t="s">
        <v>132</v>
      </c>
      <c r="F14" s="701" t="s">
        <v>133</v>
      </c>
      <c r="G14" s="701" t="s">
        <v>134</v>
      </c>
      <c r="H14" s="701" t="s">
        <v>145</v>
      </c>
      <c r="I14" s="702">
        <v>439139429</v>
      </c>
      <c r="J14" s="702">
        <v>0</v>
      </c>
      <c r="K14" s="702">
        <v>439139429</v>
      </c>
      <c r="L14" s="703"/>
      <c r="M14" s="702">
        <v>439139429</v>
      </c>
      <c r="N14" s="704">
        <v>0</v>
      </c>
      <c r="P14" s="483">
        <v>439139429</v>
      </c>
      <c r="Q14" s="642">
        <f t="shared" si="0"/>
        <v>0</v>
      </c>
      <c r="R14" s="710">
        <f>SUM(K123:K124)</f>
        <v>0</v>
      </c>
      <c r="S14" s="710">
        <f>SUM(K134:K135)</f>
        <v>0</v>
      </c>
      <c r="T14" s="710">
        <f t="shared" ref="T14:T23" si="2">SUM(R14:S14)</f>
        <v>0</v>
      </c>
      <c r="U14" s="709"/>
    </row>
    <row r="15" spans="1:21" hidden="1" outlineLevel="1" x14ac:dyDescent="0.4">
      <c r="A15" s="483" t="s">
        <v>19</v>
      </c>
      <c r="B15" s="483" t="s">
        <v>2</v>
      </c>
      <c r="C15" s="483" t="s">
        <v>31</v>
      </c>
      <c r="D15" s="699" t="s">
        <v>580</v>
      </c>
      <c r="E15" s="711" t="s">
        <v>132</v>
      </c>
      <c r="F15" s="712" t="s">
        <v>133</v>
      </c>
      <c r="G15" s="712" t="s">
        <v>134</v>
      </c>
      <c r="H15" s="712" t="s">
        <v>146</v>
      </c>
      <c r="I15" s="713">
        <v>67266666</v>
      </c>
      <c r="J15" s="713">
        <v>0</v>
      </c>
      <c r="K15" s="713">
        <v>67266666</v>
      </c>
      <c r="L15" s="714"/>
      <c r="M15" s="713">
        <v>67266666</v>
      </c>
      <c r="N15" s="715">
        <v>0</v>
      </c>
      <c r="P15" s="483">
        <v>67266666</v>
      </c>
      <c r="Q15" s="642">
        <f t="shared" si="0"/>
        <v>0</v>
      </c>
      <c r="R15" s="710">
        <f>K126</f>
        <v>166471840</v>
      </c>
      <c r="S15" s="710">
        <f>K137</f>
        <v>190623740</v>
      </c>
      <c r="T15" s="710">
        <f t="shared" si="2"/>
        <v>357095580</v>
      </c>
      <c r="U15" s="709"/>
    </row>
    <row r="16" spans="1:21" ht="14.4" hidden="1" outlineLevel="1" thickBot="1" x14ac:dyDescent="0.45">
      <c r="A16" s="483" t="s">
        <v>19</v>
      </c>
      <c r="B16" s="483" t="s">
        <v>2</v>
      </c>
      <c r="C16" s="483" t="s">
        <v>32</v>
      </c>
      <c r="D16" s="699" t="s">
        <v>580</v>
      </c>
      <c r="E16" s="716" t="s">
        <v>132</v>
      </c>
      <c r="F16" s="716" t="s">
        <v>133</v>
      </c>
      <c r="G16" s="716" t="s">
        <v>134</v>
      </c>
      <c r="H16" s="716" t="s">
        <v>147</v>
      </c>
      <c r="I16" s="717">
        <v>39867000</v>
      </c>
      <c r="J16" s="717">
        <v>0</v>
      </c>
      <c r="K16" s="717">
        <v>39867000</v>
      </c>
      <c r="L16" s="718"/>
      <c r="M16" s="717">
        <v>39867000</v>
      </c>
      <c r="N16" s="719">
        <v>0</v>
      </c>
      <c r="P16" s="483">
        <v>39867000</v>
      </c>
      <c r="Q16" s="642">
        <f t="shared" si="0"/>
        <v>0</v>
      </c>
      <c r="R16" s="710">
        <f>K127</f>
        <v>7377697800</v>
      </c>
      <c r="S16" s="710">
        <f>K138</f>
        <v>8035017050</v>
      </c>
      <c r="T16" s="710">
        <f t="shared" si="2"/>
        <v>15412714850</v>
      </c>
      <c r="U16" s="709"/>
    </row>
    <row r="17" spans="1:21" ht="18.75" hidden="1" customHeight="1" outlineLevel="1" thickBot="1" x14ac:dyDescent="0.45">
      <c r="D17" s="720"/>
      <c r="E17" s="829" t="s">
        <v>148</v>
      </c>
      <c r="F17" s="829"/>
      <c r="G17" s="829"/>
      <c r="H17" s="830"/>
      <c r="I17" s="721">
        <v>6732515545</v>
      </c>
      <c r="J17" s="721">
        <v>6591863327.9942341</v>
      </c>
      <c r="K17" s="721">
        <v>6732515545</v>
      </c>
      <c r="L17" s="722">
        <v>1.0213372471495952</v>
      </c>
      <c r="M17" s="723">
        <v>6732515545</v>
      </c>
      <c r="N17" s="724">
        <v>0</v>
      </c>
      <c r="P17" s="483">
        <v>6732515545</v>
      </c>
      <c r="Q17" s="642">
        <f t="shared" si="0"/>
        <v>0</v>
      </c>
      <c r="R17" s="710">
        <f>K125</f>
        <v>4528225660</v>
      </c>
      <c r="S17" s="710">
        <f>K136</f>
        <v>6019051822</v>
      </c>
      <c r="T17" s="710">
        <f t="shared" si="2"/>
        <v>10547277482</v>
      </c>
      <c r="U17" s="709"/>
    </row>
    <row r="18" spans="1:21" hidden="1" outlineLevel="1" x14ac:dyDescent="0.4">
      <c r="A18" s="483" t="s">
        <v>19</v>
      </c>
      <c r="B18" s="483" t="s">
        <v>2</v>
      </c>
      <c r="C18" s="483" t="s">
        <v>131</v>
      </c>
      <c r="D18" s="693" t="s">
        <v>4</v>
      </c>
      <c r="E18" s="700" t="s">
        <v>132</v>
      </c>
      <c r="F18" s="701" t="s">
        <v>133</v>
      </c>
      <c r="G18" s="701" t="s">
        <v>134</v>
      </c>
      <c r="H18" s="701" t="s">
        <v>135</v>
      </c>
      <c r="I18" s="702">
        <v>5372064744</v>
      </c>
      <c r="J18" s="702">
        <v>3253527000</v>
      </c>
      <c r="K18" s="702">
        <v>5372064744</v>
      </c>
      <c r="L18" s="703">
        <v>1.6511511181557736</v>
      </c>
      <c r="M18" s="702">
        <v>5372064744</v>
      </c>
      <c r="N18" s="698">
        <v>0</v>
      </c>
      <c r="P18" s="483">
        <v>5372064744</v>
      </c>
      <c r="Q18" s="642">
        <f t="shared" si="0"/>
        <v>0</v>
      </c>
      <c r="R18" s="710">
        <f>K128</f>
        <v>0</v>
      </c>
      <c r="S18" s="710">
        <f>K139</f>
        <v>134600000</v>
      </c>
      <c r="T18" s="710">
        <f t="shared" si="2"/>
        <v>134600000</v>
      </c>
      <c r="U18" s="709"/>
    </row>
    <row r="19" spans="1:21" hidden="1" outlineLevel="1" x14ac:dyDescent="0.4">
      <c r="A19" s="483" t="s">
        <v>19</v>
      </c>
      <c r="B19" s="483" t="s">
        <v>2</v>
      </c>
      <c r="C19" s="483" t="s">
        <v>51</v>
      </c>
      <c r="D19" s="699" t="s">
        <v>581</v>
      </c>
      <c r="E19" s="700" t="s">
        <v>132</v>
      </c>
      <c r="F19" s="701" t="s">
        <v>133</v>
      </c>
      <c r="G19" s="701" t="s">
        <v>134</v>
      </c>
      <c r="H19" s="701" t="s">
        <v>136</v>
      </c>
      <c r="I19" s="702">
        <v>0</v>
      </c>
      <c r="J19" s="702">
        <v>0</v>
      </c>
      <c r="K19" s="702">
        <v>0</v>
      </c>
      <c r="L19" s="703"/>
      <c r="M19" s="702">
        <v>0</v>
      </c>
      <c r="N19" s="705">
        <v>0</v>
      </c>
      <c r="P19" s="483">
        <v>0</v>
      </c>
      <c r="Q19" s="642">
        <f t="shared" si="0"/>
        <v>0</v>
      </c>
      <c r="R19" s="710">
        <f>K129</f>
        <v>38500000</v>
      </c>
      <c r="S19" s="710">
        <f>K140</f>
        <v>46875000</v>
      </c>
      <c r="T19" s="710">
        <f t="shared" si="2"/>
        <v>85375000</v>
      </c>
      <c r="U19" s="709"/>
    </row>
    <row r="20" spans="1:21" hidden="1" outlineLevel="1" x14ac:dyDescent="0.4">
      <c r="A20" s="483" t="s">
        <v>19</v>
      </c>
      <c r="B20" s="483" t="s">
        <v>2</v>
      </c>
      <c r="C20" s="483" t="s">
        <v>22</v>
      </c>
      <c r="D20" s="699" t="s">
        <v>581</v>
      </c>
      <c r="E20" s="700" t="s">
        <v>132</v>
      </c>
      <c r="F20" s="701" t="s">
        <v>133</v>
      </c>
      <c r="G20" s="701" t="s">
        <v>134</v>
      </c>
      <c r="H20" s="701" t="s">
        <v>137</v>
      </c>
      <c r="I20" s="702">
        <v>0</v>
      </c>
      <c r="J20" s="702">
        <v>0</v>
      </c>
      <c r="K20" s="702">
        <v>0</v>
      </c>
      <c r="L20" s="703"/>
      <c r="M20" s="702">
        <v>0</v>
      </c>
      <c r="N20" s="705">
        <v>0</v>
      </c>
      <c r="P20" s="483">
        <v>0</v>
      </c>
      <c r="Q20" s="642">
        <f t="shared" si="0"/>
        <v>0</v>
      </c>
      <c r="R20" s="710">
        <f>K130</f>
        <v>110001036</v>
      </c>
      <c r="S20" s="710">
        <f>K141</f>
        <v>476323136</v>
      </c>
      <c r="T20" s="710">
        <f t="shared" si="2"/>
        <v>586324172</v>
      </c>
      <c r="U20" s="709"/>
    </row>
    <row r="21" spans="1:21" hidden="1" outlineLevel="1" x14ac:dyDescent="0.4">
      <c r="A21" s="483" t="s">
        <v>19</v>
      </c>
      <c r="B21" s="483" t="s">
        <v>2</v>
      </c>
      <c r="C21" s="483" t="s">
        <v>27</v>
      </c>
      <c r="D21" s="699" t="s">
        <v>581</v>
      </c>
      <c r="E21" s="700" t="s">
        <v>132</v>
      </c>
      <c r="F21" s="701" t="s">
        <v>133</v>
      </c>
      <c r="G21" s="701" t="s">
        <v>134</v>
      </c>
      <c r="H21" s="701" t="s">
        <v>138</v>
      </c>
      <c r="I21" s="702">
        <v>684982200</v>
      </c>
      <c r="J21" s="702">
        <v>959310827.9942342</v>
      </c>
      <c r="K21" s="702">
        <v>684982200</v>
      </c>
      <c r="L21" s="703">
        <v>0.71403572232389834</v>
      </c>
      <c r="M21" s="702">
        <v>684982200</v>
      </c>
      <c r="N21" s="725">
        <v>0</v>
      </c>
      <c r="P21" s="483">
        <v>684982200</v>
      </c>
      <c r="Q21" s="642">
        <f t="shared" si="0"/>
        <v>0</v>
      </c>
      <c r="R21" s="710">
        <f>K131</f>
        <v>125354167</v>
      </c>
      <c r="S21" s="710">
        <f>K142</f>
        <v>31604167</v>
      </c>
      <c r="T21" s="710">
        <f t="shared" si="2"/>
        <v>156958334</v>
      </c>
      <c r="U21" s="709"/>
    </row>
    <row r="22" spans="1:21" hidden="1" outlineLevel="1" x14ac:dyDescent="0.4">
      <c r="A22" s="483" t="s">
        <v>19</v>
      </c>
      <c r="B22" s="483" t="s">
        <v>2</v>
      </c>
      <c r="C22" s="483" t="s">
        <v>26</v>
      </c>
      <c r="D22" s="699" t="s">
        <v>581</v>
      </c>
      <c r="E22" s="700" t="s">
        <v>132</v>
      </c>
      <c r="F22" s="701" t="s">
        <v>133</v>
      </c>
      <c r="G22" s="701" t="s">
        <v>134</v>
      </c>
      <c r="H22" s="701" t="s">
        <v>139</v>
      </c>
      <c r="I22" s="702">
        <v>4437683550</v>
      </c>
      <c r="J22" s="702">
        <v>478662462.07895321</v>
      </c>
      <c r="K22" s="702">
        <v>4437683550</v>
      </c>
      <c r="L22" s="703"/>
      <c r="M22" s="702">
        <v>4437683550</v>
      </c>
      <c r="N22" s="705">
        <v>0</v>
      </c>
      <c r="P22" s="483">
        <v>4437683550</v>
      </c>
      <c r="Q22" s="642">
        <f t="shared" si="0"/>
        <v>0</v>
      </c>
      <c r="R22" s="710">
        <f>K132</f>
        <v>15738000</v>
      </c>
      <c r="S22" s="710">
        <f>K143</f>
        <v>167447981</v>
      </c>
      <c r="T22" s="710">
        <f t="shared" si="2"/>
        <v>183185981</v>
      </c>
      <c r="U22" s="709"/>
    </row>
    <row r="23" spans="1:21" hidden="1" outlineLevel="1" x14ac:dyDescent="0.4">
      <c r="A23" s="483" t="s">
        <v>19</v>
      </c>
      <c r="B23" s="483" t="s">
        <v>2</v>
      </c>
      <c r="C23" s="483" t="s">
        <v>50</v>
      </c>
      <c r="D23" s="699" t="s">
        <v>581</v>
      </c>
      <c r="E23" s="700" t="s">
        <v>132</v>
      </c>
      <c r="F23" s="701" t="s">
        <v>133</v>
      </c>
      <c r="G23" s="701" t="s">
        <v>134</v>
      </c>
      <c r="H23" s="701" t="s">
        <v>140</v>
      </c>
      <c r="I23" s="702">
        <v>40000000</v>
      </c>
      <c r="J23" s="702">
        <v>40000000</v>
      </c>
      <c r="K23" s="702">
        <v>40000000</v>
      </c>
      <c r="L23" s="703">
        <v>1</v>
      </c>
      <c r="M23" s="702">
        <v>40000000</v>
      </c>
      <c r="N23" s="705">
        <v>0</v>
      </c>
      <c r="P23" s="483">
        <v>40000000</v>
      </c>
      <c r="Q23" s="642">
        <f t="shared" si="0"/>
        <v>0</v>
      </c>
      <c r="R23" s="710"/>
      <c r="S23" s="710"/>
      <c r="T23" s="710">
        <f t="shared" si="2"/>
        <v>0</v>
      </c>
      <c r="U23" s="709"/>
    </row>
    <row r="24" spans="1:21" hidden="1" outlineLevel="1" x14ac:dyDescent="0.4">
      <c r="A24" s="483" t="s">
        <v>19</v>
      </c>
      <c r="B24" s="483" t="s">
        <v>2</v>
      </c>
      <c r="C24" s="483" t="s">
        <v>30</v>
      </c>
      <c r="D24" s="699" t="s">
        <v>581</v>
      </c>
      <c r="E24" s="700" t="s">
        <v>132</v>
      </c>
      <c r="F24" s="701" t="s">
        <v>133</v>
      </c>
      <c r="G24" s="701" t="s">
        <v>134</v>
      </c>
      <c r="H24" s="701" t="s">
        <v>141</v>
      </c>
      <c r="I24" s="702">
        <v>0</v>
      </c>
      <c r="J24" s="702">
        <v>766500000</v>
      </c>
      <c r="K24" s="702">
        <v>0</v>
      </c>
      <c r="L24" s="703">
        <v>0</v>
      </c>
      <c r="M24" s="702">
        <v>0</v>
      </c>
      <c r="N24" s="705">
        <v>0</v>
      </c>
      <c r="P24" s="483">
        <v>0</v>
      </c>
      <c r="Q24" s="642">
        <f t="shared" si="0"/>
        <v>0</v>
      </c>
      <c r="R24" s="710"/>
      <c r="S24" s="710"/>
      <c r="T24" s="710"/>
      <c r="U24" s="709"/>
    </row>
    <row r="25" spans="1:21" hidden="1" outlineLevel="1" x14ac:dyDescent="0.4">
      <c r="A25" s="483" t="s">
        <v>19</v>
      </c>
      <c r="B25" s="483" t="s">
        <v>2</v>
      </c>
      <c r="C25" s="483" t="s">
        <v>29</v>
      </c>
      <c r="D25" s="699" t="s">
        <v>581</v>
      </c>
      <c r="E25" s="700" t="s">
        <v>132</v>
      </c>
      <c r="F25" s="701" t="s">
        <v>133</v>
      </c>
      <c r="G25" s="701" t="s">
        <v>134</v>
      </c>
      <c r="H25" s="701" t="s">
        <v>145</v>
      </c>
      <c r="I25" s="702">
        <v>14069429</v>
      </c>
      <c r="J25" s="702">
        <v>162000000</v>
      </c>
      <c r="K25" s="702">
        <v>14069429</v>
      </c>
      <c r="L25" s="703">
        <v>8.684832716049383E-2</v>
      </c>
      <c r="M25" s="702">
        <v>14069429</v>
      </c>
      <c r="N25" s="725">
        <v>0</v>
      </c>
      <c r="P25" s="483">
        <v>14069429</v>
      </c>
      <c r="Q25" s="642">
        <f t="shared" si="0"/>
        <v>0</v>
      </c>
      <c r="R25" s="709"/>
      <c r="S25" s="709"/>
      <c r="T25" s="709"/>
      <c r="U25" s="709"/>
    </row>
    <row r="26" spans="1:21" hidden="1" outlineLevel="1" x14ac:dyDescent="0.4">
      <c r="A26" s="483" t="s">
        <v>19</v>
      </c>
      <c r="B26" s="483" t="s">
        <v>2</v>
      </c>
      <c r="C26" s="483" t="s">
        <v>31</v>
      </c>
      <c r="D26" s="699" t="s">
        <v>581</v>
      </c>
      <c r="E26" s="700" t="s">
        <v>132</v>
      </c>
      <c r="F26" s="701" t="s">
        <v>133</v>
      </c>
      <c r="G26" s="701" t="s">
        <v>134</v>
      </c>
      <c r="H26" s="701" t="s">
        <v>146</v>
      </c>
      <c r="I26" s="702">
        <v>119041667</v>
      </c>
      <c r="J26" s="713">
        <v>93750000</v>
      </c>
      <c r="K26" s="702">
        <v>119041667</v>
      </c>
      <c r="L26" s="714">
        <v>1.2697777813333333</v>
      </c>
      <c r="M26" s="713">
        <v>119041667</v>
      </c>
      <c r="N26" s="705">
        <v>0</v>
      </c>
      <c r="P26" s="483">
        <v>119041667</v>
      </c>
      <c r="Q26" s="642">
        <f t="shared" si="0"/>
        <v>0</v>
      </c>
      <c r="U26" s="709"/>
    </row>
    <row r="27" spans="1:21" ht="14.4" hidden="1" outlineLevel="1" thickBot="1" x14ac:dyDescent="0.45">
      <c r="A27" s="483" t="s">
        <v>19</v>
      </c>
      <c r="B27" s="483" t="s">
        <v>2</v>
      </c>
      <c r="C27" s="483" t="s">
        <v>32</v>
      </c>
      <c r="D27" s="699" t="s">
        <v>581</v>
      </c>
      <c r="E27" s="716" t="s">
        <v>132</v>
      </c>
      <c r="F27" s="716" t="s">
        <v>133</v>
      </c>
      <c r="G27" s="716" t="s">
        <v>134</v>
      </c>
      <c r="H27" s="716" t="s">
        <v>147</v>
      </c>
      <c r="I27" s="726">
        <v>31089600</v>
      </c>
      <c r="J27" s="717">
        <v>0</v>
      </c>
      <c r="K27" s="726">
        <v>31089600</v>
      </c>
      <c r="L27" s="718"/>
      <c r="M27" s="717">
        <v>31089600</v>
      </c>
      <c r="N27" s="719">
        <v>0</v>
      </c>
      <c r="P27" s="483">
        <v>31089600</v>
      </c>
      <c r="Q27" s="642">
        <f t="shared" si="0"/>
        <v>0</v>
      </c>
    </row>
    <row r="28" spans="1:21" ht="14.4" hidden="1" outlineLevel="1" thickBot="1" x14ac:dyDescent="0.45">
      <c r="D28" s="720"/>
      <c r="E28" s="829" t="s">
        <v>149</v>
      </c>
      <c r="F28" s="829"/>
      <c r="G28" s="829"/>
      <c r="H28" s="830"/>
      <c r="I28" s="721">
        <v>10698931190</v>
      </c>
      <c r="J28" s="721">
        <v>5753750290.0731869</v>
      </c>
      <c r="K28" s="721">
        <v>10698931190</v>
      </c>
      <c r="L28" s="722">
        <v>1.8594708930032331</v>
      </c>
      <c r="M28" s="723">
        <v>10698931190</v>
      </c>
      <c r="N28" s="724">
        <v>0</v>
      </c>
      <c r="P28" s="483">
        <v>10698931190</v>
      </c>
      <c r="Q28" s="642">
        <f t="shared" si="0"/>
        <v>0</v>
      </c>
    </row>
    <row r="29" spans="1:21" hidden="1" outlineLevel="1" x14ac:dyDescent="0.4">
      <c r="A29" s="483" t="s">
        <v>19</v>
      </c>
      <c r="B29" s="483" t="s">
        <v>2</v>
      </c>
      <c r="C29" s="483" t="s">
        <v>131</v>
      </c>
      <c r="D29" s="699" t="s">
        <v>5</v>
      </c>
      <c r="E29" s="701" t="s">
        <v>150</v>
      </c>
      <c r="F29" s="701" t="s">
        <v>133</v>
      </c>
      <c r="G29" s="701" t="s">
        <v>134</v>
      </c>
      <c r="H29" s="701" t="s">
        <v>135</v>
      </c>
      <c r="I29" s="727">
        <v>2967439150</v>
      </c>
      <c r="J29" s="702">
        <v>2762644500</v>
      </c>
      <c r="K29" s="702">
        <v>2967439150</v>
      </c>
      <c r="L29" s="703">
        <v>1.074129932389057</v>
      </c>
      <c r="M29" s="728">
        <v>2967439150</v>
      </c>
      <c r="N29" s="698">
        <v>0</v>
      </c>
      <c r="P29" s="483">
        <v>2967439150</v>
      </c>
      <c r="Q29" s="642">
        <f t="shared" si="0"/>
        <v>0</v>
      </c>
    </row>
    <row r="30" spans="1:21" hidden="1" outlineLevel="1" x14ac:dyDescent="0.4">
      <c r="A30" s="483" t="s">
        <v>19</v>
      </c>
      <c r="B30" s="483" t="s">
        <v>2</v>
      </c>
      <c r="C30" s="483" t="s">
        <v>51</v>
      </c>
      <c r="D30" s="699" t="s">
        <v>292</v>
      </c>
      <c r="E30" s="701" t="s">
        <v>150</v>
      </c>
      <c r="F30" s="701" t="s">
        <v>133</v>
      </c>
      <c r="G30" s="701" t="s">
        <v>134</v>
      </c>
      <c r="H30" s="701" t="s">
        <v>136</v>
      </c>
      <c r="I30" s="727">
        <v>0</v>
      </c>
      <c r="J30" s="702">
        <v>0</v>
      </c>
      <c r="K30" s="702">
        <v>0</v>
      </c>
      <c r="L30" s="703" t="e">
        <v>#DIV/0!</v>
      </c>
      <c r="M30" s="728">
        <v>0</v>
      </c>
      <c r="N30" s="705">
        <v>0</v>
      </c>
      <c r="P30" s="483">
        <v>0</v>
      </c>
      <c r="Q30" s="642">
        <f t="shared" si="0"/>
        <v>0</v>
      </c>
    </row>
    <row r="31" spans="1:21" hidden="1" outlineLevel="1" x14ac:dyDescent="0.4">
      <c r="A31" s="483" t="s">
        <v>19</v>
      </c>
      <c r="B31" s="483" t="s">
        <v>2</v>
      </c>
      <c r="C31" s="483" t="s">
        <v>22</v>
      </c>
      <c r="D31" s="699" t="s">
        <v>292</v>
      </c>
      <c r="E31" s="700" t="s">
        <v>132</v>
      </c>
      <c r="F31" s="701" t="s">
        <v>133</v>
      </c>
      <c r="G31" s="701" t="s">
        <v>134</v>
      </c>
      <c r="H31" s="701" t="s">
        <v>137</v>
      </c>
      <c r="I31" s="727">
        <v>0</v>
      </c>
      <c r="J31" s="702">
        <v>0</v>
      </c>
      <c r="K31" s="702">
        <v>0</v>
      </c>
      <c r="L31" s="703"/>
      <c r="M31" s="728">
        <v>0</v>
      </c>
      <c r="N31" s="705">
        <v>0</v>
      </c>
      <c r="P31" s="483">
        <v>0</v>
      </c>
      <c r="Q31" s="642">
        <f t="shared" si="0"/>
        <v>0</v>
      </c>
    </row>
    <row r="32" spans="1:21" hidden="1" outlineLevel="1" x14ac:dyDescent="0.4">
      <c r="A32" s="483" t="s">
        <v>19</v>
      </c>
      <c r="B32" s="483" t="s">
        <v>2</v>
      </c>
      <c r="C32" s="483" t="s">
        <v>27</v>
      </c>
      <c r="D32" s="699" t="s">
        <v>292</v>
      </c>
      <c r="E32" s="701" t="s">
        <v>151</v>
      </c>
      <c r="F32" s="701" t="s">
        <v>133</v>
      </c>
      <c r="G32" s="701" t="s">
        <v>134</v>
      </c>
      <c r="H32" s="701" t="s">
        <v>138</v>
      </c>
      <c r="I32" s="702">
        <v>1047403520</v>
      </c>
      <c r="J32" s="702">
        <v>959310827.9942342</v>
      </c>
      <c r="K32" s="702">
        <v>1047403520</v>
      </c>
      <c r="L32" s="703">
        <v>1.0918291438343852</v>
      </c>
      <c r="M32" s="728">
        <v>1047403520</v>
      </c>
      <c r="N32" s="705">
        <v>0</v>
      </c>
      <c r="P32" s="483">
        <v>1047403520</v>
      </c>
      <c r="Q32" s="642">
        <f t="shared" si="0"/>
        <v>0</v>
      </c>
    </row>
    <row r="33" spans="1:20" hidden="1" outlineLevel="1" x14ac:dyDescent="0.4">
      <c r="A33" s="483" t="s">
        <v>19</v>
      </c>
      <c r="B33" s="483" t="s">
        <v>2</v>
      </c>
      <c r="C33" s="483" t="s">
        <v>26</v>
      </c>
      <c r="D33" s="699" t="s">
        <v>292</v>
      </c>
      <c r="E33" s="701" t="s">
        <v>151</v>
      </c>
      <c r="F33" s="701" t="s">
        <v>133</v>
      </c>
      <c r="G33" s="701" t="s">
        <v>134</v>
      </c>
      <c r="H33" s="701" t="s">
        <v>139</v>
      </c>
      <c r="I33" s="727">
        <v>4508694300</v>
      </c>
      <c r="J33" s="702">
        <v>4734489924.1579056</v>
      </c>
      <c r="K33" s="702">
        <v>4508694300</v>
      </c>
      <c r="L33" s="703">
        <v>0.95230835258392355</v>
      </c>
      <c r="M33" s="728">
        <v>4508694300</v>
      </c>
      <c r="N33" s="729">
        <v>0</v>
      </c>
      <c r="P33" s="483">
        <v>4508694300</v>
      </c>
      <c r="Q33" s="642">
        <f t="shared" si="0"/>
        <v>0</v>
      </c>
    </row>
    <row r="34" spans="1:20" hidden="1" outlineLevel="1" x14ac:dyDescent="0.4">
      <c r="A34" s="483" t="s">
        <v>19</v>
      </c>
      <c r="B34" s="483" t="s">
        <v>2</v>
      </c>
      <c r="C34" s="483" t="s">
        <v>50</v>
      </c>
      <c r="D34" s="699" t="s">
        <v>292</v>
      </c>
      <c r="E34" s="701" t="s">
        <v>151</v>
      </c>
      <c r="F34" s="701" t="s">
        <v>133</v>
      </c>
      <c r="G34" s="701" t="s">
        <v>134</v>
      </c>
      <c r="H34" s="701" t="s">
        <v>140</v>
      </c>
      <c r="I34" s="702">
        <v>0</v>
      </c>
      <c r="J34" s="702">
        <v>0</v>
      </c>
      <c r="K34" s="702">
        <v>0</v>
      </c>
      <c r="L34" s="703"/>
      <c r="M34" s="728">
        <v>0</v>
      </c>
      <c r="N34" s="705">
        <v>0</v>
      </c>
      <c r="P34" s="483">
        <v>0</v>
      </c>
      <c r="Q34" s="642">
        <f t="shared" si="0"/>
        <v>0</v>
      </c>
      <c r="R34" s="708">
        <f t="shared" ref="R34:T42" si="3">R14/10^8</f>
        <v>0</v>
      </c>
      <c r="S34" s="708">
        <f t="shared" si="3"/>
        <v>0</v>
      </c>
      <c r="T34" s="708">
        <f t="shared" si="3"/>
        <v>0</v>
      </c>
    </row>
    <row r="35" spans="1:20" hidden="1" outlineLevel="1" x14ac:dyDescent="0.4">
      <c r="A35" s="483" t="s">
        <v>19</v>
      </c>
      <c r="B35" s="483" t="s">
        <v>2</v>
      </c>
      <c r="C35" s="483" t="s">
        <v>30</v>
      </c>
      <c r="D35" s="699" t="s">
        <v>292</v>
      </c>
      <c r="E35" s="701" t="s">
        <v>151</v>
      </c>
      <c r="F35" s="701" t="s">
        <v>133</v>
      </c>
      <c r="G35" s="701" t="s">
        <v>134</v>
      </c>
      <c r="H35" s="701" t="s">
        <v>141</v>
      </c>
      <c r="I35" s="702">
        <v>520375000</v>
      </c>
      <c r="J35" s="702">
        <v>1666750000</v>
      </c>
      <c r="K35" s="702">
        <v>520375000</v>
      </c>
      <c r="L35" s="703">
        <v>0.31220938953052346</v>
      </c>
      <c r="M35" s="728">
        <v>520375000</v>
      </c>
      <c r="N35" s="705">
        <v>0</v>
      </c>
      <c r="P35" s="483">
        <v>520375000</v>
      </c>
      <c r="Q35" s="642">
        <f t="shared" si="0"/>
        <v>0</v>
      </c>
      <c r="R35" s="708">
        <f t="shared" si="3"/>
        <v>1.6647183999999999</v>
      </c>
      <c r="S35" s="708">
        <f t="shared" si="3"/>
        <v>1.9062374</v>
      </c>
      <c r="T35" s="708">
        <f t="shared" si="3"/>
        <v>3.5709558000000001</v>
      </c>
    </row>
    <row r="36" spans="1:20" hidden="1" outlineLevel="1" x14ac:dyDescent="0.4">
      <c r="A36" s="483" t="s">
        <v>19</v>
      </c>
      <c r="B36" s="483" t="s">
        <v>2</v>
      </c>
      <c r="C36" s="483" t="s">
        <v>29</v>
      </c>
      <c r="D36" s="699" t="s">
        <v>292</v>
      </c>
      <c r="E36" s="701" t="s">
        <v>151</v>
      </c>
      <c r="F36" s="701" t="s">
        <v>133</v>
      </c>
      <c r="G36" s="701" t="s">
        <v>134</v>
      </c>
      <c r="H36" s="701" t="s">
        <v>145</v>
      </c>
      <c r="I36" s="727">
        <v>421269829</v>
      </c>
      <c r="J36" s="702">
        <v>505999999.99999994</v>
      </c>
      <c r="K36" s="702">
        <v>421269829</v>
      </c>
      <c r="L36" s="703">
        <v>0.83254906916996052</v>
      </c>
      <c r="M36" s="728">
        <v>421269829</v>
      </c>
      <c r="N36" s="705">
        <v>0</v>
      </c>
      <c r="P36" s="483">
        <v>421269829</v>
      </c>
      <c r="Q36" s="642">
        <f t="shared" si="0"/>
        <v>0</v>
      </c>
      <c r="R36" s="708">
        <f t="shared" si="3"/>
        <v>73.776978</v>
      </c>
      <c r="S36" s="708">
        <f t="shared" si="3"/>
        <v>80.350170500000004</v>
      </c>
      <c r="T36" s="708">
        <f t="shared" si="3"/>
        <v>154.1271485</v>
      </c>
    </row>
    <row r="37" spans="1:20" ht="17.25" hidden="1" customHeight="1" outlineLevel="1" x14ac:dyDescent="0.4">
      <c r="A37" s="483" t="s">
        <v>19</v>
      </c>
      <c r="B37" s="483" t="s">
        <v>2</v>
      </c>
      <c r="C37" s="483" t="s">
        <v>31</v>
      </c>
      <c r="D37" s="699" t="s">
        <v>292</v>
      </c>
      <c r="E37" s="701" t="s">
        <v>151</v>
      </c>
      <c r="F37" s="701" t="s">
        <v>133</v>
      </c>
      <c r="G37" s="701" t="s">
        <v>134</v>
      </c>
      <c r="H37" s="701" t="s">
        <v>146</v>
      </c>
      <c r="I37" s="702">
        <v>25291667</v>
      </c>
      <c r="J37" s="702">
        <v>361875000</v>
      </c>
      <c r="K37" s="702">
        <v>25291667</v>
      </c>
      <c r="L37" s="703">
        <v>6.989061692573402E-2</v>
      </c>
      <c r="M37" s="728">
        <v>25291667</v>
      </c>
      <c r="N37" s="705">
        <v>0</v>
      </c>
      <c r="P37" s="483">
        <v>25291667</v>
      </c>
      <c r="Q37" s="642">
        <f t="shared" si="0"/>
        <v>0</v>
      </c>
      <c r="R37" s="708">
        <f t="shared" si="3"/>
        <v>45.282256599999997</v>
      </c>
      <c r="S37" s="708">
        <f t="shared" si="3"/>
        <v>60.190518220000001</v>
      </c>
      <c r="T37" s="708">
        <f t="shared" si="3"/>
        <v>105.47277482</v>
      </c>
    </row>
    <row r="38" spans="1:20" ht="17.25" hidden="1" customHeight="1" outlineLevel="1" thickBot="1" x14ac:dyDescent="0.45">
      <c r="A38" s="483" t="s">
        <v>19</v>
      </c>
      <c r="B38" s="483" t="s">
        <v>2</v>
      </c>
      <c r="C38" s="483" t="s">
        <v>32</v>
      </c>
      <c r="D38" s="730" t="s">
        <v>292</v>
      </c>
      <c r="E38" s="716" t="s">
        <v>132</v>
      </c>
      <c r="F38" s="716" t="s">
        <v>133</v>
      </c>
      <c r="G38" s="716" t="s">
        <v>134</v>
      </c>
      <c r="H38" s="716" t="s">
        <v>147</v>
      </c>
      <c r="I38" s="717">
        <v>41874000</v>
      </c>
      <c r="J38" s="717">
        <v>0</v>
      </c>
      <c r="K38" s="717">
        <v>41874000</v>
      </c>
      <c r="L38" s="718" t="e">
        <v>#DIV/0!</v>
      </c>
      <c r="M38" s="731">
        <v>41874000</v>
      </c>
      <c r="N38" s="719">
        <v>0</v>
      </c>
      <c r="P38" s="483">
        <v>41874000</v>
      </c>
      <c r="Q38" s="642">
        <f t="shared" si="0"/>
        <v>0</v>
      </c>
      <c r="R38" s="708">
        <f t="shared" si="3"/>
        <v>0</v>
      </c>
      <c r="S38" s="708">
        <f t="shared" si="3"/>
        <v>1.3460000000000001</v>
      </c>
      <c r="T38" s="708">
        <f t="shared" si="3"/>
        <v>1.3460000000000001</v>
      </c>
    </row>
    <row r="39" spans="1:20" ht="14.4" hidden="1" outlineLevel="1" thickBot="1" x14ac:dyDescent="0.45">
      <c r="D39" s="720"/>
      <c r="E39" s="829" t="s">
        <v>152</v>
      </c>
      <c r="F39" s="829"/>
      <c r="G39" s="829"/>
      <c r="H39" s="830"/>
      <c r="I39" s="721">
        <v>9532347466</v>
      </c>
      <c r="J39" s="721">
        <v>10991070252.15214</v>
      </c>
      <c r="K39" s="721">
        <v>9532347466</v>
      </c>
      <c r="L39" s="722">
        <v>0.86728109704634904</v>
      </c>
      <c r="M39" s="723">
        <v>9532347466</v>
      </c>
      <c r="N39" s="732">
        <v>0</v>
      </c>
      <c r="P39" s="483">
        <v>9532347466</v>
      </c>
      <c r="Q39" s="642">
        <f t="shared" si="0"/>
        <v>0</v>
      </c>
      <c r="R39" s="708">
        <f t="shared" si="3"/>
        <v>0.38500000000000001</v>
      </c>
      <c r="S39" s="708">
        <f t="shared" si="3"/>
        <v>0.46875</v>
      </c>
      <c r="T39" s="708">
        <f t="shared" si="3"/>
        <v>0.85375000000000001</v>
      </c>
    </row>
    <row r="40" spans="1:20" ht="18.600000000000001" customHeight="1" collapsed="1" thickBot="1" x14ac:dyDescent="0.45">
      <c r="D40" s="836" t="s">
        <v>153</v>
      </c>
      <c r="E40" s="837"/>
      <c r="F40" s="837"/>
      <c r="G40" s="837"/>
      <c r="H40" s="838"/>
      <c r="I40" s="733">
        <v>26963794201</v>
      </c>
      <c r="J40" s="733">
        <v>23336683870.219559</v>
      </c>
      <c r="K40" s="733">
        <v>26963794201</v>
      </c>
      <c r="L40" s="734">
        <v>1.1554252674009555</v>
      </c>
      <c r="M40" s="735">
        <v>26963794201</v>
      </c>
      <c r="N40" s="736">
        <v>0</v>
      </c>
      <c r="P40" s="483">
        <v>26963794201</v>
      </c>
      <c r="Q40" s="642">
        <f t="shared" si="0"/>
        <v>0</v>
      </c>
      <c r="R40" s="708">
        <f t="shared" si="3"/>
        <v>1.10001036</v>
      </c>
      <c r="S40" s="708">
        <f t="shared" si="3"/>
        <v>4.7632313599999998</v>
      </c>
      <c r="T40" s="708">
        <f t="shared" si="3"/>
        <v>5.8632417200000004</v>
      </c>
    </row>
    <row r="41" spans="1:20" hidden="1" outlineLevel="1" x14ac:dyDescent="0.4">
      <c r="A41" s="483" t="s">
        <v>19</v>
      </c>
      <c r="B41" s="483" t="s">
        <v>154</v>
      </c>
      <c r="C41" s="483" t="s">
        <v>131</v>
      </c>
      <c r="D41" s="737" t="s">
        <v>155</v>
      </c>
      <c r="E41" s="701" t="s">
        <v>132</v>
      </c>
      <c r="F41" s="701" t="s">
        <v>133</v>
      </c>
      <c r="G41" s="701" t="s">
        <v>134</v>
      </c>
      <c r="H41" s="701" t="s">
        <v>135</v>
      </c>
      <c r="I41" s="702">
        <v>1151454672</v>
      </c>
      <c r="J41" s="702">
        <v>1339107000</v>
      </c>
      <c r="K41" s="702">
        <v>1151454672</v>
      </c>
      <c r="L41" s="703">
        <v>0.85986756248753837</v>
      </c>
      <c r="M41" s="702">
        <v>1151454672</v>
      </c>
      <c r="N41" s="698">
        <v>0</v>
      </c>
      <c r="P41" s="483">
        <v>1151454672</v>
      </c>
      <c r="Q41" s="642">
        <f t="shared" si="0"/>
        <v>0</v>
      </c>
      <c r="R41" s="708">
        <f t="shared" si="3"/>
        <v>1.2535416699999999</v>
      </c>
      <c r="S41" s="708">
        <f t="shared" si="3"/>
        <v>0.31604167</v>
      </c>
      <c r="T41" s="708">
        <f t="shared" si="3"/>
        <v>1.5695833400000001</v>
      </c>
    </row>
    <row r="42" spans="1:20" hidden="1" outlineLevel="1" x14ac:dyDescent="0.4">
      <c r="A42" s="483" t="s">
        <v>19</v>
      </c>
      <c r="B42" s="483" t="s">
        <v>154</v>
      </c>
      <c r="C42" s="483" t="s">
        <v>51</v>
      </c>
      <c r="D42" s="699" t="s">
        <v>293</v>
      </c>
      <c r="E42" s="701" t="s">
        <v>132</v>
      </c>
      <c r="F42" s="701" t="s">
        <v>133</v>
      </c>
      <c r="G42" s="701" t="s">
        <v>134</v>
      </c>
      <c r="H42" s="701" t="s">
        <v>136</v>
      </c>
      <c r="I42" s="702">
        <v>0</v>
      </c>
      <c r="J42" s="702">
        <v>0</v>
      </c>
      <c r="K42" s="702">
        <v>0</v>
      </c>
      <c r="L42" s="703"/>
      <c r="M42" s="702">
        <v>0</v>
      </c>
      <c r="N42" s="705">
        <v>0</v>
      </c>
      <c r="P42" s="483">
        <v>0</v>
      </c>
      <c r="Q42" s="642">
        <f t="shared" si="0"/>
        <v>0</v>
      </c>
      <c r="R42" s="708">
        <f t="shared" si="3"/>
        <v>0.15737999999999999</v>
      </c>
      <c r="S42" s="708">
        <f t="shared" si="3"/>
        <v>1.67447981</v>
      </c>
      <c r="T42" s="708">
        <f t="shared" si="3"/>
        <v>1.8318598100000001</v>
      </c>
    </row>
    <row r="43" spans="1:20" hidden="1" outlineLevel="1" x14ac:dyDescent="0.4">
      <c r="A43" s="483" t="s">
        <v>19</v>
      </c>
      <c r="B43" s="483" t="s">
        <v>154</v>
      </c>
      <c r="C43" s="483" t="s">
        <v>22</v>
      </c>
      <c r="D43" s="699" t="s">
        <v>293</v>
      </c>
      <c r="E43" s="700" t="s">
        <v>132</v>
      </c>
      <c r="F43" s="701" t="s">
        <v>133</v>
      </c>
      <c r="G43" s="701" t="s">
        <v>134</v>
      </c>
      <c r="H43" s="701" t="s">
        <v>137</v>
      </c>
      <c r="I43" s="702">
        <v>0</v>
      </c>
      <c r="J43" s="702">
        <v>0</v>
      </c>
      <c r="K43" s="702">
        <v>0</v>
      </c>
      <c r="L43" s="703"/>
      <c r="M43" s="702">
        <v>0</v>
      </c>
      <c r="N43" s="705">
        <v>0</v>
      </c>
      <c r="P43" s="483">
        <v>0</v>
      </c>
      <c r="Q43" s="642">
        <f t="shared" si="0"/>
        <v>0</v>
      </c>
    </row>
    <row r="44" spans="1:20" hidden="1" outlineLevel="1" x14ac:dyDescent="0.4">
      <c r="A44" s="483" t="s">
        <v>19</v>
      </c>
      <c r="B44" s="483" t="s">
        <v>154</v>
      </c>
      <c r="C44" s="483" t="s">
        <v>27</v>
      </c>
      <c r="D44" s="699" t="s">
        <v>293</v>
      </c>
      <c r="E44" s="701" t="s">
        <v>132</v>
      </c>
      <c r="F44" s="701" t="s">
        <v>133</v>
      </c>
      <c r="G44" s="701" t="s">
        <v>134</v>
      </c>
      <c r="H44" s="701" t="s">
        <v>138</v>
      </c>
      <c r="I44" s="702">
        <v>1304419840</v>
      </c>
      <c r="J44" s="702">
        <v>762190827.99423397</v>
      </c>
      <c r="K44" s="702">
        <v>1304419840</v>
      </c>
      <c r="L44" s="703">
        <v>1.7114084715932425</v>
      </c>
      <c r="M44" s="702">
        <v>1304419840</v>
      </c>
      <c r="N44" s="705">
        <v>0</v>
      </c>
      <c r="P44" s="483">
        <v>1304419840</v>
      </c>
      <c r="Q44" s="642">
        <f t="shared" si="0"/>
        <v>0</v>
      </c>
    </row>
    <row r="45" spans="1:20" hidden="1" outlineLevel="1" x14ac:dyDescent="0.4">
      <c r="A45" s="483" t="s">
        <v>19</v>
      </c>
      <c r="B45" s="483" t="s">
        <v>154</v>
      </c>
      <c r="C45" s="483" t="s">
        <v>26</v>
      </c>
      <c r="D45" s="699" t="s">
        <v>293</v>
      </c>
      <c r="E45" s="701" t="s">
        <v>132</v>
      </c>
      <c r="F45" s="701" t="s">
        <v>133</v>
      </c>
      <c r="G45" s="701" t="s">
        <v>134</v>
      </c>
      <c r="H45" s="701" t="s">
        <v>139</v>
      </c>
      <c r="I45" s="702">
        <v>6333791850</v>
      </c>
      <c r="J45" s="702">
        <v>4302583000</v>
      </c>
      <c r="K45" s="702">
        <v>6333791850</v>
      </c>
      <c r="L45" s="703">
        <v>1.4720905674568043</v>
      </c>
      <c r="M45" s="702">
        <v>6333791850</v>
      </c>
      <c r="N45" s="705">
        <v>0</v>
      </c>
      <c r="P45" s="483">
        <v>6333791850</v>
      </c>
      <c r="Q45" s="642">
        <f t="shared" si="0"/>
        <v>0</v>
      </c>
    </row>
    <row r="46" spans="1:20" hidden="1" outlineLevel="1" x14ac:dyDescent="0.4">
      <c r="A46" s="483" t="s">
        <v>19</v>
      </c>
      <c r="B46" s="483" t="s">
        <v>154</v>
      </c>
      <c r="C46" s="483" t="s">
        <v>50</v>
      </c>
      <c r="D46" s="699" t="s">
        <v>293</v>
      </c>
      <c r="E46" s="701" t="s">
        <v>132</v>
      </c>
      <c r="F46" s="701" t="s">
        <v>133</v>
      </c>
      <c r="G46" s="701" t="s">
        <v>134</v>
      </c>
      <c r="H46" s="701" t="s">
        <v>140</v>
      </c>
      <c r="I46" s="702">
        <v>60000000</v>
      </c>
      <c r="J46" s="702">
        <v>60000000</v>
      </c>
      <c r="K46" s="702">
        <v>60000000</v>
      </c>
      <c r="L46" s="703">
        <v>1</v>
      </c>
      <c r="M46" s="702">
        <v>60000000</v>
      </c>
      <c r="N46" s="705">
        <v>0</v>
      </c>
      <c r="P46" s="483">
        <v>60000000</v>
      </c>
      <c r="Q46" s="642">
        <f t="shared" si="0"/>
        <v>0</v>
      </c>
    </row>
    <row r="47" spans="1:20" hidden="1" outlineLevel="1" x14ac:dyDescent="0.4">
      <c r="A47" s="483" t="s">
        <v>19</v>
      </c>
      <c r="B47" s="483" t="s">
        <v>154</v>
      </c>
      <c r="C47" s="483" t="s">
        <v>30</v>
      </c>
      <c r="D47" s="699" t="s">
        <v>293</v>
      </c>
      <c r="E47" s="701" t="s">
        <v>132</v>
      </c>
      <c r="F47" s="701" t="s">
        <v>133</v>
      </c>
      <c r="G47" s="701" t="s">
        <v>134</v>
      </c>
      <c r="H47" s="701" t="s">
        <v>141</v>
      </c>
      <c r="I47" s="702">
        <v>0</v>
      </c>
      <c r="J47" s="702">
        <v>379000000</v>
      </c>
      <c r="K47" s="702">
        <v>0</v>
      </c>
      <c r="L47" s="703">
        <v>0</v>
      </c>
      <c r="M47" s="702">
        <v>0</v>
      </c>
      <c r="N47" s="705">
        <v>0</v>
      </c>
      <c r="P47" s="483">
        <v>0</v>
      </c>
      <c r="Q47" s="642">
        <f t="shared" si="0"/>
        <v>0</v>
      </c>
    </row>
    <row r="48" spans="1:20" hidden="1" outlineLevel="1" x14ac:dyDescent="0.4">
      <c r="A48" s="483" t="s">
        <v>19</v>
      </c>
      <c r="B48" s="483" t="s">
        <v>154</v>
      </c>
      <c r="C48" s="483" t="s">
        <v>29</v>
      </c>
      <c r="D48" s="699" t="s">
        <v>293</v>
      </c>
      <c r="E48" s="701" t="s">
        <v>132</v>
      </c>
      <c r="F48" s="701" t="s">
        <v>133</v>
      </c>
      <c r="G48" s="701" t="s">
        <v>134</v>
      </c>
      <c r="H48" s="701" t="s">
        <v>145</v>
      </c>
      <c r="I48" s="702">
        <v>211649429</v>
      </c>
      <c r="J48" s="702">
        <v>142000000</v>
      </c>
      <c r="K48" s="702">
        <v>211649429</v>
      </c>
      <c r="L48" s="703">
        <v>1.4904889366197183</v>
      </c>
      <c r="M48" s="702">
        <v>211649429</v>
      </c>
      <c r="N48" s="705">
        <v>0</v>
      </c>
      <c r="P48" s="483">
        <v>211649429</v>
      </c>
      <c r="Q48" s="642">
        <f t="shared" si="0"/>
        <v>0</v>
      </c>
    </row>
    <row r="49" spans="1:17" hidden="1" outlineLevel="1" x14ac:dyDescent="0.4">
      <c r="A49" s="483" t="s">
        <v>19</v>
      </c>
      <c r="B49" s="483" t="s">
        <v>154</v>
      </c>
      <c r="C49" s="483" t="s">
        <v>31</v>
      </c>
      <c r="D49" s="699" t="s">
        <v>293</v>
      </c>
      <c r="E49" s="701" t="s">
        <v>132</v>
      </c>
      <c r="F49" s="701" t="s">
        <v>133</v>
      </c>
      <c r="G49" s="701" t="s">
        <v>134</v>
      </c>
      <c r="H49" s="701" t="s">
        <v>146</v>
      </c>
      <c r="I49" s="702">
        <v>1000904167</v>
      </c>
      <c r="J49" s="702">
        <v>0</v>
      </c>
      <c r="K49" s="702">
        <v>1000904167</v>
      </c>
      <c r="L49" s="703"/>
      <c r="M49" s="702">
        <v>1000904167</v>
      </c>
      <c r="N49" s="705">
        <v>0</v>
      </c>
      <c r="P49" s="483">
        <v>1000904167</v>
      </c>
      <c r="Q49" s="642">
        <f t="shared" si="0"/>
        <v>0</v>
      </c>
    </row>
    <row r="50" spans="1:17" ht="14.4" hidden="1" outlineLevel="1" thickBot="1" x14ac:dyDescent="0.45">
      <c r="A50" s="483" t="s">
        <v>19</v>
      </c>
      <c r="B50" s="483" t="s">
        <v>154</v>
      </c>
      <c r="C50" s="483" t="s">
        <v>32</v>
      </c>
      <c r="D50" s="730" t="s">
        <v>293</v>
      </c>
      <c r="E50" s="716" t="s">
        <v>132</v>
      </c>
      <c r="F50" s="716" t="s">
        <v>133</v>
      </c>
      <c r="G50" s="716" t="s">
        <v>134</v>
      </c>
      <c r="H50" s="716" t="s">
        <v>147</v>
      </c>
      <c r="I50" s="717">
        <v>48705000</v>
      </c>
      <c r="J50" s="717">
        <v>0</v>
      </c>
      <c r="K50" s="717">
        <v>48705000</v>
      </c>
      <c r="L50" s="718" t="e">
        <v>#DIV/0!</v>
      </c>
      <c r="M50" s="717">
        <v>48705000</v>
      </c>
      <c r="N50" s="719">
        <v>0</v>
      </c>
      <c r="P50" s="483">
        <v>48705000</v>
      </c>
      <c r="Q50" s="642">
        <f t="shared" si="0"/>
        <v>0</v>
      </c>
    </row>
    <row r="51" spans="1:17" ht="18.75" hidden="1" customHeight="1" outlineLevel="1" thickBot="1" x14ac:dyDescent="0.45">
      <c r="D51" s="720"/>
      <c r="E51" s="829" t="s">
        <v>156</v>
      </c>
      <c r="F51" s="829"/>
      <c r="G51" s="829"/>
      <c r="H51" s="830"/>
      <c r="I51" s="721">
        <v>10110924958</v>
      </c>
      <c r="J51" s="721">
        <v>6984880827.9942341</v>
      </c>
      <c r="K51" s="721">
        <v>10110924958</v>
      </c>
      <c r="L51" s="722">
        <v>1.4475443757718964</v>
      </c>
      <c r="M51" s="723">
        <v>10110924958</v>
      </c>
      <c r="N51" s="724">
        <v>0</v>
      </c>
      <c r="P51" s="483">
        <v>10110924958</v>
      </c>
      <c r="Q51" s="642">
        <f t="shared" si="0"/>
        <v>0</v>
      </c>
    </row>
    <row r="52" spans="1:17" hidden="1" outlineLevel="1" x14ac:dyDescent="0.4">
      <c r="A52" s="483" t="s">
        <v>19</v>
      </c>
      <c r="B52" s="483" t="s">
        <v>154</v>
      </c>
      <c r="C52" s="483" t="s">
        <v>131</v>
      </c>
      <c r="D52" s="737" t="s">
        <v>157</v>
      </c>
      <c r="E52" s="701" t="s">
        <v>132</v>
      </c>
      <c r="F52" s="701" t="s">
        <v>133</v>
      </c>
      <c r="G52" s="701" t="s">
        <v>134</v>
      </c>
      <c r="H52" s="701" t="s">
        <v>135</v>
      </c>
      <c r="I52" s="702">
        <v>0</v>
      </c>
      <c r="J52" s="702">
        <v>984368000</v>
      </c>
      <c r="K52" s="702">
        <v>0</v>
      </c>
      <c r="L52" s="703">
        <v>0</v>
      </c>
      <c r="M52" s="702">
        <v>0</v>
      </c>
      <c r="N52" s="698">
        <v>0</v>
      </c>
      <c r="P52" s="483">
        <v>0</v>
      </c>
      <c r="Q52" s="642">
        <f t="shared" si="0"/>
        <v>0</v>
      </c>
    </row>
    <row r="53" spans="1:17" hidden="1" outlineLevel="1" x14ac:dyDescent="0.4">
      <c r="A53" s="483" t="s">
        <v>19</v>
      </c>
      <c r="B53" s="483" t="s">
        <v>154</v>
      </c>
      <c r="C53" s="483" t="s">
        <v>51</v>
      </c>
      <c r="D53" s="699" t="s">
        <v>294</v>
      </c>
      <c r="E53" s="701" t="s">
        <v>132</v>
      </c>
      <c r="F53" s="701" t="s">
        <v>133</v>
      </c>
      <c r="G53" s="701" t="s">
        <v>134</v>
      </c>
      <c r="H53" s="701" t="s">
        <v>136</v>
      </c>
      <c r="I53" s="702">
        <v>0</v>
      </c>
      <c r="J53" s="702">
        <v>0</v>
      </c>
      <c r="K53" s="702">
        <v>0</v>
      </c>
      <c r="L53" s="703" t="e">
        <v>#DIV/0!</v>
      </c>
      <c r="M53" s="702">
        <v>0</v>
      </c>
      <c r="N53" s="705">
        <v>0</v>
      </c>
      <c r="P53" s="483">
        <v>0</v>
      </c>
      <c r="Q53" s="642">
        <f t="shared" si="0"/>
        <v>0</v>
      </c>
    </row>
    <row r="54" spans="1:17" hidden="1" outlineLevel="1" x14ac:dyDescent="0.4">
      <c r="A54" s="483" t="s">
        <v>19</v>
      </c>
      <c r="B54" s="483" t="s">
        <v>154</v>
      </c>
      <c r="C54" s="483" t="s">
        <v>22</v>
      </c>
      <c r="D54" s="699" t="s">
        <v>294</v>
      </c>
      <c r="E54" s="700" t="s">
        <v>132</v>
      </c>
      <c r="F54" s="701" t="s">
        <v>133</v>
      </c>
      <c r="G54" s="701" t="s">
        <v>134</v>
      </c>
      <c r="H54" s="701" t="s">
        <v>137</v>
      </c>
      <c r="I54" s="702">
        <v>0</v>
      </c>
      <c r="J54" s="702">
        <v>0</v>
      </c>
      <c r="K54" s="702">
        <v>0</v>
      </c>
      <c r="L54" s="703"/>
      <c r="M54" s="702">
        <v>0</v>
      </c>
      <c r="N54" s="738">
        <v>0</v>
      </c>
      <c r="P54" s="483">
        <v>0</v>
      </c>
      <c r="Q54" s="642">
        <f t="shared" si="0"/>
        <v>0</v>
      </c>
    </row>
    <row r="55" spans="1:17" hidden="1" outlineLevel="1" x14ac:dyDescent="0.4">
      <c r="A55" s="483" t="s">
        <v>19</v>
      </c>
      <c r="B55" s="483" t="s">
        <v>154</v>
      </c>
      <c r="C55" s="483" t="s">
        <v>27</v>
      </c>
      <c r="D55" s="699" t="s">
        <v>294</v>
      </c>
      <c r="E55" s="701" t="s">
        <v>132</v>
      </c>
      <c r="F55" s="701" t="s">
        <v>133</v>
      </c>
      <c r="G55" s="701" t="s">
        <v>134</v>
      </c>
      <c r="H55" s="701" t="s">
        <v>138</v>
      </c>
      <c r="I55" s="702">
        <v>1013424600</v>
      </c>
      <c r="J55" s="702">
        <v>1156430827.9942338</v>
      </c>
      <c r="K55" s="702">
        <v>1013424600</v>
      </c>
      <c r="L55" s="703">
        <v>0.87633827762766381</v>
      </c>
      <c r="M55" s="702">
        <v>1013424600</v>
      </c>
      <c r="N55" s="705">
        <v>0</v>
      </c>
      <c r="P55" s="483">
        <v>1013424600</v>
      </c>
      <c r="Q55" s="642">
        <f t="shared" si="0"/>
        <v>0</v>
      </c>
    </row>
    <row r="56" spans="1:17" hidden="1" outlineLevel="1" x14ac:dyDescent="0.4">
      <c r="A56" s="483" t="s">
        <v>19</v>
      </c>
      <c r="B56" s="483" t="s">
        <v>154</v>
      </c>
      <c r="C56" s="483" t="s">
        <v>26</v>
      </c>
      <c r="D56" s="699" t="s">
        <v>294</v>
      </c>
      <c r="E56" s="701" t="s">
        <v>132</v>
      </c>
      <c r="F56" s="701" t="s">
        <v>133</v>
      </c>
      <c r="G56" s="701" t="s">
        <v>134</v>
      </c>
      <c r="H56" s="701" t="s">
        <v>139</v>
      </c>
      <c r="I56" s="702">
        <v>4945229200</v>
      </c>
      <c r="J56" s="702">
        <v>3604746200</v>
      </c>
      <c r="K56" s="702">
        <v>4945229200</v>
      </c>
      <c r="L56" s="703">
        <v>1.3718661247219013</v>
      </c>
      <c r="M56" s="702">
        <v>4945229200</v>
      </c>
      <c r="N56" s="705">
        <v>0</v>
      </c>
      <c r="P56" s="483">
        <v>4945229200</v>
      </c>
      <c r="Q56" s="642">
        <f t="shared" si="0"/>
        <v>0</v>
      </c>
    </row>
    <row r="57" spans="1:17" hidden="1" outlineLevel="1" x14ac:dyDescent="0.4">
      <c r="A57" s="483" t="s">
        <v>19</v>
      </c>
      <c r="B57" s="483" t="s">
        <v>154</v>
      </c>
      <c r="C57" s="483" t="s">
        <v>50</v>
      </c>
      <c r="D57" s="699" t="s">
        <v>294</v>
      </c>
      <c r="E57" s="701" t="s">
        <v>132</v>
      </c>
      <c r="F57" s="701" t="s">
        <v>133</v>
      </c>
      <c r="G57" s="701" t="s">
        <v>134</v>
      </c>
      <c r="H57" s="701" t="s">
        <v>140</v>
      </c>
      <c r="I57" s="702">
        <v>67000000.000000007</v>
      </c>
      <c r="J57" s="702">
        <v>67000000</v>
      </c>
      <c r="K57" s="702">
        <v>67000000.000000007</v>
      </c>
      <c r="L57" s="703">
        <v>1.0000000000000002</v>
      </c>
      <c r="M57" s="702">
        <v>67000000.000000007</v>
      </c>
      <c r="N57" s="705">
        <v>0</v>
      </c>
      <c r="P57" s="483">
        <v>67000000.000000007</v>
      </c>
      <c r="Q57" s="642">
        <f t="shared" si="0"/>
        <v>0</v>
      </c>
    </row>
    <row r="58" spans="1:17" hidden="1" outlineLevel="1" x14ac:dyDescent="0.4">
      <c r="A58" s="483" t="s">
        <v>19</v>
      </c>
      <c r="B58" s="483" t="s">
        <v>154</v>
      </c>
      <c r="C58" s="483" t="s">
        <v>30</v>
      </c>
      <c r="D58" s="699" t="s">
        <v>294</v>
      </c>
      <c r="E58" s="701" t="s">
        <v>132</v>
      </c>
      <c r="F58" s="701" t="s">
        <v>133</v>
      </c>
      <c r="G58" s="701" t="s">
        <v>134</v>
      </c>
      <c r="H58" s="701" t="s">
        <v>141</v>
      </c>
      <c r="I58" s="702">
        <v>1821375000</v>
      </c>
      <c r="J58" s="702">
        <v>183500000</v>
      </c>
      <c r="K58" s="702">
        <v>1821375000</v>
      </c>
      <c r="L58" s="703">
        <v>9.9257493188010901</v>
      </c>
      <c r="M58" s="702">
        <v>1821375000</v>
      </c>
      <c r="N58" s="705">
        <v>0</v>
      </c>
      <c r="P58" s="483">
        <v>1821375000</v>
      </c>
      <c r="Q58" s="642">
        <f t="shared" si="0"/>
        <v>0</v>
      </c>
    </row>
    <row r="59" spans="1:17" hidden="1" outlineLevel="1" x14ac:dyDescent="0.4">
      <c r="A59" s="483" t="s">
        <v>19</v>
      </c>
      <c r="B59" s="483" t="s">
        <v>154</v>
      </c>
      <c r="C59" s="483" t="s">
        <v>29</v>
      </c>
      <c r="D59" s="699" t="s">
        <v>294</v>
      </c>
      <c r="E59" s="701" t="s">
        <v>132</v>
      </c>
      <c r="F59" s="701" t="s">
        <v>133</v>
      </c>
      <c r="G59" s="701" t="s">
        <v>134</v>
      </c>
      <c r="H59" s="701" t="s">
        <v>145</v>
      </c>
      <c r="I59" s="702">
        <v>152579274</v>
      </c>
      <c r="J59" s="702">
        <v>79000000</v>
      </c>
      <c r="K59" s="702">
        <v>152579274</v>
      </c>
      <c r="L59" s="703">
        <v>1.9313832151898733</v>
      </c>
      <c r="M59" s="702">
        <v>152579274</v>
      </c>
      <c r="N59" s="705">
        <v>0</v>
      </c>
      <c r="P59" s="483">
        <v>152579274</v>
      </c>
      <c r="Q59" s="642">
        <f t="shared" si="0"/>
        <v>0</v>
      </c>
    </row>
    <row r="60" spans="1:17" hidden="1" outlineLevel="1" x14ac:dyDescent="0.4">
      <c r="A60" s="483" t="s">
        <v>19</v>
      </c>
      <c r="B60" s="483" t="s">
        <v>154</v>
      </c>
      <c r="C60" s="483" t="s">
        <v>31</v>
      </c>
      <c r="D60" s="699" t="s">
        <v>294</v>
      </c>
      <c r="E60" s="701" t="s">
        <v>132</v>
      </c>
      <c r="F60" s="701" t="s">
        <v>133</v>
      </c>
      <c r="G60" s="701" t="s">
        <v>134</v>
      </c>
      <c r="H60" s="701" t="s">
        <v>146</v>
      </c>
      <c r="I60" s="702">
        <v>31604167</v>
      </c>
      <c r="J60" s="702">
        <v>93750000</v>
      </c>
      <c r="K60" s="702">
        <v>31604167</v>
      </c>
      <c r="L60" s="703">
        <v>0.33711111466666666</v>
      </c>
      <c r="M60" s="702">
        <v>31604167</v>
      </c>
      <c r="N60" s="739">
        <v>0</v>
      </c>
      <c r="P60" s="483">
        <v>31604167</v>
      </c>
      <c r="Q60" s="642">
        <f t="shared" si="0"/>
        <v>0</v>
      </c>
    </row>
    <row r="61" spans="1:17" ht="14.4" hidden="1" outlineLevel="1" thickBot="1" x14ac:dyDescent="0.45">
      <c r="A61" s="483" t="s">
        <v>19</v>
      </c>
      <c r="B61" s="483" t="s">
        <v>154</v>
      </c>
      <c r="C61" s="483" t="s">
        <v>32</v>
      </c>
      <c r="D61" s="730" t="s">
        <v>294</v>
      </c>
      <c r="E61" s="716" t="s">
        <v>132</v>
      </c>
      <c r="F61" s="716" t="s">
        <v>133</v>
      </c>
      <c r="G61" s="716" t="s">
        <v>134</v>
      </c>
      <c r="H61" s="716" t="s">
        <v>147</v>
      </c>
      <c r="I61" s="717">
        <v>51613869</v>
      </c>
      <c r="J61" s="717">
        <v>0</v>
      </c>
      <c r="K61" s="717">
        <v>51613869</v>
      </c>
      <c r="L61" s="718" t="e">
        <v>#DIV/0!</v>
      </c>
      <c r="M61" s="717">
        <v>51613869</v>
      </c>
      <c r="N61" s="740">
        <v>0</v>
      </c>
      <c r="P61" s="483">
        <v>51613869</v>
      </c>
      <c r="Q61" s="642">
        <f t="shared" si="0"/>
        <v>0</v>
      </c>
    </row>
    <row r="62" spans="1:17" ht="14.4" hidden="1" outlineLevel="1" thickBot="1" x14ac:dyDescent="0.45">
      <c r="D62" s="720"/>
      <c r="E62" s="829" t="s">
        <v>158</v>
      </c>
      <c r="F62" s="829"/>
      <c r="G62" s="829"/>
      <c r="H62" s="830"/>
      <c r="I62" s="721">
        <v>8082826110</v>
      </c>
      <c r="J62" s="721">
        <v>6168795027.9942341</v>
      </c>
      <c r="K62" s="721">
        <v>8082826110</v>
      </c>
      <c r="L62" s="722">
        <v>1.3102763300320108</v>
      </c>
      <c r="M62" s="723">
        <v>8082826110</v>
      </c>
      <c r="N62" s="724">
        <v>0</v>
      </c>
      <c r="P62" s="483">
        <v>8082826110</v>
      </c>
      <c r="Q62" s="642">
        <f t="shared" si="0"/>
        <v>0</v>
      </c>
    </row>
    <row r="63" spans="1:17" hidden="1" outlineLevel="1" x14ac:dyDescent="0.4">
      <c r="A63" s="483" t="s">
        <v>19</v>
      </c>
      <c r="B63" s="483" t="s">
        <v>154</v>
      </c>
      <c r="C63" s="483" t="s">
        <v>131</v>
      </c>
      <c r="D63" s="737" t="s">
        <v>159</v>
      </c>
      <c r="E63" s="701" t="s">
        <v>132</v>
      </c>
      <c r="F63" s="701" t="s">
        <v>133</v>
      </c>
      <c r="G63" s="701" t="s">
        <v>134</v>
      </c>
      <c r="H63" s="701" t="s">
        <v>135</v>
      </c>
      <c r="I63" s="702">
        <v>0</v>
      </c>
      <c r="J63" s="702">
        <v>2588543740.4000001</v>
      </c>
      <c r="K63" s="702">
        <v>0</v>
      </c>
      <c r="L63" s="703">
        <v>0</v>
      </c>
      <c r="M63" s="702">
        <v>0</v>
      </c>
      <c r="N63" s="698">
        <v>0</v>
      </c>
      <c r="P63" s="483">
        <v>0</v>
      </c>
      <c r="Q63" s="642">
        <f t="shared" si="0"/>
        <v>0</v>
      </c>
    </row>
    <row r="64" spans="1:17" hidden="1" outlineLevel="1" x14ac:dyDescent="0.4">
      <c r="A64" s="483" t="s">
        <v>19</v>
      </c>
      <c r="B64" s="483" t="s">
        <v>154</v>
      </c>
      <c r="C64" s="483" t="s">
        <v>51</v>
      </c>
      <c r="D64" s="699" t="s">
        <v>295</v>
      </c>
      <c r="E64" s="701" t="s">
        <v>132</v>
      </c>
      <c r="F64" s="701" t="s">
        <v>133</v>
      </c>
      <c r="G64" s="701" t="s">
        <v>134</v>
      </c>
      <c r="H64" s="701" t="s">
        <v>136</v>
      </c>
      <c r="I64" s="702">
        <v>0</v>
      </c>
      <c r="J64" s="702">
        <v>0</v>
      </c>
      <c r="K64" s="702">
        <v>0</v>
      </c>
      <c r="L64" s="703"/>
      <c r="M64" s="702">
        <v>0</v>
      </c>
      <c r="N64" s="705">
        <v>0</v>
      </c>
      <c r="P64" s="483">
        <v>0</v>
      </c>
      <c r="Q64" s="642">
        <f t="shared" si="0"/>
        <v>0</v>
      </c>
    </row>
    <row r="65" spans="1:17" hidden="1" outlineLevel="1" x14ac:dyDescent="0.4">
      <c r="A65" s="483" t="s">
        <v>19</v>
      </c>
      <c r="B65" s="483" t="s">
        <v>154</v>
      </c>
      <c r="C65" s="483" t="s">
        <v>22</v>
      </c>
      <c r="D65" s="699" t="s">
        <v>295</v>
      </c>
      <c r="E65" s="700" t="s">
        <v>132</v>
      </c>
      <c r="F65" s="701" t="s">
        <v>133</v>
      </c>
      <c r="G65" s="701" t="s">
        <v>134</v>
      </c>
      <c r="H65" s="701" t="s">
        <v>137</v>
      </c>
      <c r="I65" s="702">
        <v>490916584</v>
      </c>
      <c r="J65" s="702">
        <v>137760000</v>
      </c>
      <c r="K65" s="702">
        <v>490916584</v>
      </c>
      <c r="L65" s="703"/>
      <c r="M65" s="702">
        <v>490916584</v>
      </c>
      <c r="N65" s="738">
        <v>0</v>
      </c>
      <c r="P65" s="483">
        <v>490916584</v>
      </c>
      <c r="Q65" s="642">
        <f t="shared" si="0"/>
        <v>0</v>
      </c>
    </row>
    <row r="66" spans="1:17" hidden="1" outlineLevel="1" x14ac:dyDescent="0.4">
      <c r="A66" s="483" t="s">
        <v>19</v>
      </c>
      <c r="B66" s="483" t="s">
        <v>154</v>
      </c>
      <c r="C66" s="483" t="s">
        <v>27</v>
      </c>
      <c r="D66" s="699" t="s">
        <v>295</v>
      </c>
      <c r="E66" s="701" t="s">
        <v>132</v>
      </c>
      <c r="F66" s="701" t="s">
        <v>133</v>
      </c>
      <c r="G66" s="701" t="s">
        <v>134</v>
      </c>
      <c r="H66" s="701" t="s">
        <v>138</v>
      </c>
      <c r="I66" s="702">
        <v>569738700</v>
      </c>
      <c r="J66" s="702">
        <v>959310827.9942342</v>
      </c>
      <c r="K66" s="702">
        <v>569738700</v>
      </c>
      <c r="L66" s="703">
        <v>0.59390416888260578</v>
      </c>
      <c r="M66" s="702">
        <v>569738700</v>
      </c>
      <c r="N66" s="705">
        <v>0</v>
      </c>
      <c r="P66" s="483">
        <v>569738700</v>
      </c>
      <c r="Q66" s="642">
        <f t="shared" si="0"/>
        <v>0</v>
      </c>
    </row>
    <row r="67" spans="1:17" hidden="1" outlineLevel="1" x14ac:dyDescent="0.4">
      <c r="A67" s="483" t="s">
        <v>19</v>
      </c>
      <c r="B67" s="483" t="s">
        <v>154</v>
      </c>
      <c r="C67" s="483" t="s">
        <v>26</v>
      </c>
      <c r="D67" s="699" t="s">
        <v>295</v>
      </c>
      <c r="E67" s="701" t="s">
        <v>132</v>
      </c>
      <c r="F67" s="701" t="s">
        <v>133</v>
      </c>
      <c r="G67" s="701" t="s">
        <v>134</v>
      </c>
      <c r="H67" s="701" t="s">
        <v>139</v>
      </c>
      <c r="I67" s="702">
        <v>7345815300</v>
      </c>
      <c r="J67" s="702">
        <v>3590929395</v>
      </c>
      <c r="K67" s="702">
        <v>7345815300</v>
      </c>
      <c r="L67" s="703">
        <v>2.045658516769584</v>
      </c>
      <c r="M67" s="702">
        <v>7345815300</v>
      </c>
      <c r="N67" s="705">
        <v>0</v>
      </c>
      <c r="P67" s="642">
        <v>7345815300</v>
      </c>
      <c r="Q67" s="642">
        <f t="shared" si="0"/>
        <v>0</v>
      </c>
    </row>
    <row r="68" spans="1:17" hidden="1" outlineLevel="1" x14ac:dyDescent="0.4">
      <c r="A68" s="483" t="s">
        <v>19</v>
      </c>
      <c r="B68" s="483" t="s">
        <v>154</v>
      </c>
      <c r="C68" s="483" t="s">
        <v>50</v>
      </c>
      <c r="D68" s="699" t="s">
        <v>295</v>
      </c>
      <c r="E68" s="701" t="s">
        <v>132</v>
      </c>
      <c r="F68" s="701" t="s">
        <v>133</v>
      </c>
      <c r="G68" s="701" t="s">
        <v>134</v>
      </c>
      <c r="H68" s="701" t="s">
        <v>140</v>
      </c>
      <c r="I68" s="702">
        <v>67000000</v>
      </c>
      <c r="J68" s="702">
        <v>67000000</v>
      </c>
      <c r="K68" s="702">
        <v>67000000</v>
      </c>
      <c r="L68" s="703">
        <v>1</v>
      </c>
      <c r="M68" s="702">
        <v>67000000</v>
      </c>
      <c r="N68" s="705">
        <v>0</v>
      </c>
      <c r="P68" s="483">
        <v>67000000</v>
      </c>
      <c r="Q68" s="642">
        <f t="shared" si="0"/>
        <v>0</v>
      </c>
    </row>
    <row r="69" spans="1:17" hidden="1" outlineLevel="1" x14ac:dyDescent="0.4">
      <c r="A69" s="483" t="s">
        <v>19</v>
      </c>
      <c r="B69" s="483" t="s">
        <v>154</v>
      </c>
      <c r="C69" s="483" t="s">
        <v>30</v>
      </c>
      <c r="D69" s="699" t="s">
        <v>295</v>
      </c>
      <c r="E69" s="701" t="s">
        <v>132</v>
      </c>
      <c r="F69" s="701" t="s">
        <v>133</v>
      </c>
      <c r="G69" s="701" t="s">
        <v>134</v>
      </c>
      <c r="H69" s="701" t="s">
        <v>141</v>
      </c>
      <c r="I69" s="702">
        <v>350250000</v>
      </c>
      <c r="J69" s="702">
        <v>48000000</v>
      </c>
      <c r="K69" s="702">
        <v>350250000</v>
      </c>
      <c r="L69" s="703">
        <v>7.296875</v>
      </c>
      <c r="M69" s="702">
        <v>350250000</v>
      </c>
      <c r="N69" s="705">
        <v>0</v>
      </c>
      <c r="P69" s="483">
        <v>350250000</v>
      </c>
      <c r="Q69" s="642">
        <f t="shared" si="0"/>
        <v>0</v>
      </c>
    </row>
    <row r="70" spans="1:17" hidden="1" outlineLevel="1" x14ac:dyDescent="0.4">
      <c r="A70" s="483" t="s">
        <v>19</v>
      </c>
      <c r="B70" s="483" t="s">
        <v>154</v>
      </c>
      <c r="C70" s="483" t="s">
        <v>29</v>
      </c>
      <c r="D70" s="699" t="s">
        <v>295</v>
      </c>
      <c r="E70" s="701" t="s">
        <v>132</v>
      </c>
      <c r="F70" s="701" t="s">
        <v>133</v>
      </c>
      <c r="G70" s="701" t="s">
        <v>134</v>
      </c>
      <c r="H70" s="701" t="s">
        <v>145</v>
      </c>
      <c r="I70" s="702">
        <v>154620726</v>
      </c>
      <c r="J70" s="702">
        <v>0</v>
      </c>
      <c r="K70" s="702">
        <v>154620726</v>
      </c>
      <c r="L70" s="703" t="e">
        <v>#DIV/0!</v>
      </c>
      <c r="M70" s="702">
        <v>154620726</v>
      </c>
      <c r="N70" s="705">
        <v>0</v>
      </c>
      <c r="P70" s="483">
        <v>154620726</v>
      </c>
      <c r="Q70" s="642">
        <f t="shared" si="0"/>
        <v>0</v>
      </c>
    </row>
    <row r="71" spans="1:17" hidden="1" outlineLevel="1" x14ac:dyDescent="0.4">
      <c r="A71" s="483" t="s">
        <v>19</v>
      </c>
      <c r="B71" s="483" t="s">
        <v>154</v>
      </c>
      <c r="C71" s="483" t="s">
        <v>31</v>
      </c>
      <c r="D71" s="699" t="s">
        <v>295</v>
      </c>
      <c r="E71" s="701" t="s">
        <v>132</v>
      </c>
      <c r="F71" s="701" t="s">
        <v>133</v>
      </c>
      <c r="G71" s="701" t="s">
        <v>134</v>
      </c>
      <c r="H71" s="701" t="s">
        <v>146</v>
      </c>
      <c r="I71" s="702">
        <v>440354167</v>
      </c>
      <c r="J71" s="702">
        <v>395625000</v>
      </c>
      <c r="K71" s="702">
        <v>440354167</v>
      </c>
      <c r="L71" s="703"/>
      <c r="M71" s="702">
        <v>440354167</v>
      </c>
      <c r="N71" s="739">
        <v>0</v>
      </c>
      <c r="P71" s="483">
        <v>440354167</v>
      </c>
      <c r="Q71" s="642">
        <f t="shared" si="0"/>
        <v>0</v>
      </c>
    </row>
    <row r="72" spans="1:17" ht="14.4" hidden="1" outlineLevel="1" thickBot="1" x14ac:dyDescent="0.45">
      <c r="A72" s="483" t="s">
        <v>19</v>
      </c>
      <c r="B72" s="483" t="s">
        <v>154</v>
      </c>
      <c r="C72" s="483" t="s">
        <v>32</v>
      </c>
      <c r="D72" s="730" t="s">
        <v>295</v>
      </c>
      <c r="E72" s="716" t="s">
        <v>132</v>
      </c>
      <c r="F72" s="716" t="s">
        <v>133</v>
      </c>
      <c r="G72" s="716" t="s">
        <v>134</v>
      </c>
      <c r="H72" s="716" t="s">
        <v>147</v>
      </c>
      <c r="I72" s="717">
        <v>15204000</v>
      </c>
      <c r="J72" s="717">
        <v>0</v>
      </c>
      <c r="K72" s="717">
        <v>15204000</v>
      </c>
      <c r="L72" s="718" t="e">
        <v>#DIV/0!</v>
      </c>
      <c r="M72" s="717">
        <v>15204000</v>
      </c>
      <c r="N72" s="740">
        <v>0</v>
      </c>
      <c r="P72" s="642">
        <v>15204000</v>
      </c>
      <c r="Q72" s="642">
        <f t="shared" ref="Q72:Q73" si="4">P72-I72</f>
        <v>0</v>
      </c>
    </row>
    <row r="73" spans="1:17" ht="14.4" hidden="1" outlineLevel="1" thickBot="1" x14ac:dyDescent="0.45">
      <c r="D73" s="720"/>
      <c r="E73" s="829" t="s">
        <v>160</v>
      </c>
      <c r="F73" s="829"/>
      <c r="G73" s="829"/>
      <c r="H73" s="830"/>
      <c r="I73" s="721">
        <v>9433899477</v>
      </c>
      <c r="J73" s="721">
        <v>7787168963.3942337</v>
      </c>
      <c r="K73" s="721">
        <v>9433899477</v>
      </c>
      <c r="L73" s="722">
        <v>1.2114671610885399</v>
      </c>
      <c r="M73" s="723">
        <v>9433899477</v>
      </c>
      <c r="N73" s="724">
        <v>0</v>
      </c>
      <c r="P73" s="483">
        <v>9433899477</v>
      </c>
      <c r="Q73" s="642">
        <f t="shared" si="4"/>
        <v>0</v>
      </c>
    </row>
    <row r="74" spans="1:17" ht="14.4" collapsed="1" thickBot="1" x14ac:dyDescent="0.45">
      <c r="D74" s="836" t="s">
        <v>161</v>
      </c>
      <c r="E74" s="837"/>
      <c r="F74" s="837"/>
      <c r="G74" s="837"/>
      <c r="H74" s="838"/>
      <c r="I74" s="733">
        <v>27627650545</v>
      </c>
      <c r="J74" s="733">
        <v>20940844819.382702</v>
      </c>
      <c r="K74" s="733">
        <v>27627650545</v>
      </c>
      <c r="L74" s="734">
        <v>1.3193188137007748</v>
      </c>
      <c r="M74" s="735">
        <v>27627650545</v>
      </c>
      <c r="N74" s="736">
        <v>0</v>
      </c>
      <c r="P74" s="483">
        <v>27627650545</v>
      </c>
    </row>
    <row r="75" spans="1:17" ht="14.4" thickBot="1" x14ac:dyDescent="0.45">
      <c r="D75" s="836" t="s">
        <v>162</v>
      </c>
      <c r="E75" s="837"/>
      <c r="F75" s="837"/>
      <c r="G75" s="837"/>
      <c r="H75" s="838"/>
      <c r="I75" s="733">
        <v>54591444746</v>
      </c>
      <c r="J75" s="733">
        <v>44277528689.602264</v>
      </c>
      <c r="K75" s="733">
        <v>54591444746</v>
      </c>
      <c r="L75" s="734">
        <v>1.2329379340184305</v>
      </c>
      <c r="M75" s="735">
        <v>54591444746</v>
      </c>
      <c r="N75" s="736">
        <v>0</v>
      </c>
      <c r="P75" s="483">
        <v>54591444746</v>
      </c>
    </row>
    <row r="76" spans="1:17" hidden="1" outlineLevel="1" x14ac:dyDescent="0.4">
      <c r="A76" s="483" t="s">
        <v>19</v>
      </c>
      <c r="B76" s="483" t="s">
        <v>98</v>
      </c>
      <c r="C76" s="483" t="s">
        <v>131</v>
      </c>
      <c r="D76" s="737" t="s">
        <v>77</v>
      </c>
      <c r="E76" s="701" t="s">
        <v>132</v>
      </c>
      <c r="F76" s="701" t="s">
        <v>133</v>
      </c>
      <c r="G76" s="701" t="s">
        <v>134</v>
      </c>
      <c r="H76" s="701" t="s">
        <v>135</v>
      </c>
      <c r="I76" s="702">
        <v>0</v>
      </c>
      <c r="J76" s="702">
        <v>0</v>
      </c>
      <c r="K76" s="702">
        <v>0</v>
      </c>
      <c r="L76" s="703" t="e">
        <v>#DIV/0!</v>
      </c>
      <c r="M76" s="702">
        <v>0</v>
      </c>
      <c r="N76" s="738">
        <v>0</v>
      </c>
    </row>
    <row r="77" spans="1:17" hidden="1" outlineLevel="1" x14ac:dyDescent="0.4">
      <c r="A77" s="483" t="s">
        <v>19</v>
      </c>
      <c r="B77" s="483" t="s">
        <v>98</v>
      </c>
      <c r="C77" s="483" t="s">
        <v>51</v>
      </c>
      <c r="D77" s="699" t="s">
        <v>296</v>
      </c>
      <c r="E77" s="701" t="s">
        <v>132</v>
      </c>
      <c r="F77" s="701" t="s">
        <v>133</v>
      </c>
      <c r="G77" s="701" t="s">
        <v>134</v>
      </c>
      <c r="H77" s="701" t="s">
        <v>136</v>
      </c>
      <c r="I77" s="702">
        <v>0</v>
      </c>
      <c r="J77" s="702">
        <v>0</v>
      </c>
      <c r="K77" s="702">
        <v>0</v>
      </c>
      <c r="L77" s="703"/>
      <c r="M77" s="702">
        <v>0</v>
      </c>
      <c r="N77" s="738">
        <v>0</v>
      </c>
    </row>
    <row r="78" spans="1:17" hidden="1" outlineLevel="1" x14ac:dyDescent="0.4">
      <c r="A78" s="483" t="s">
        <v>19</v>
      </c>
      <c r="B78" s="483" t="s">
        <v>98</v>
      </c>
      <c r="C78" s="483" t="s">
        <v>22</v>
      </c>
      <c r="D78" s="699" t="s">
        <v>296</v>
      </c>
      <c r="E78" s="700" t="s">
        <v>132</v>
      </c>
      <c r="F78" s="701" t="s">
        <v>133</v>
      </c>
      <c r="G78" s="701" t="s">
        <v>134</v>
      </c>
      <c r="H78" s="701" t="s">
        <v>137</v>
      </c>
      <c r="I78" s="702"/>
      <c r="J78" s="702">
        <v>46760000</v>
      </c>
      <c r="K78" s="702"/>
      <c r="L78" s="703"/>
      <c r="M78" s="702"/>
      <c r="N78" s="738">
        <v>0</v>
      </c>
    </row>
    <row r="79" spans="1:17" hidden="1" outlineLevel="1" x14ac:dyDescent="0.4">
      <c r="A79" s="483" t="s">
        <v>19</v>
      </c>
      <c r="B79" s="483" t="s">
        <v>98</v>
      </c>
      <c r="C79" s="483" t="s">
        <v>27</v>
      </c>
      <c r="D79" s="699" t="s">
        <v>296</v>
      </c>
      <c r="E79" s="701" t="s">
        <v>132</v>
      </c>
      <c r="F79" s="701" t="s">
        <v>133</v>
      </c>
      <c r="G79" s="701" t="s">
        <v>134</v>
      </c>
      <c r="H79" s="701" t="s">
        <v>138</v>
      </c>
      <c r="I79" s="702">
        <v>353775280</v>
      </c>
      <c r="J79" s="702">
        <v>959310827.9942342</v>
      </c>
      <c r="K79" s="702">
        <v>353775280</v>
      </c>
      <c r="L79" s="703">
        <v>0.36878065969471818</v>
      </c>
      <c r="M79" s="702">
        <v>353775280</v>
      </c>
      <c r="N79" s="738">
        <v>0</v>
      </c>
      <c r="O79" s="741"/>
      <c r="Q79" s="509"/>
    </row>
    <row r="80" spans="1:17" hidden="1" outlineLevel="1" x14ac:dyDescent="0.4">
      <c r="A80" s="483" t="s">
        <v>19</v>
      </c>
      <c r="B80" s="483" t="s">
        <v>98</v>
      </c>
      <c r="C80" s="483" t="s">
        <v>26</v>
      </c>
      <c r="D80" s="699" t="s">
        <v>296</v>
      </c>
      <c r="E80" s="701" t="s">
        <v>132</v>
      </c>
      <c r="F80" s="701" t="s">
        <v>133</v>
      </c>
      <c r="G80" s="701" t="s">
        <v>134</v>
      </c>
      <c r="H80" s="701" t="s">
        <v>139</v>
      </c>
      <c r="I80" s="742">
        <v>9941539250</v>
      </c>
      <c r="J80" s="702">
        <v>6395629100</v>
      </c>
      <c r="K80" s="742">
        <v>9941539250</v>
      </c>
      <c r="L80" s="703">
        <v>1.5544271086639467</v>
      </c>
      <c r="M80" s="742">
        <v>9941539250</v>
      </c>
      <c r="N80" s="738">
        <v>0</v>
      </c>
      <c r="O80" s="741"/>
      <c r="Q80" s="509"/>
    </row>
    <row r="81" spans="1:17" ht="17.25" hidden="1" customHeight="1" outlineLevel="1" x14ac:dyDescent="0.4">
      <c r="A81" s="483" t="s">
        <v>19</v>
      </c>
      <c r="B81" s="483" t="s">
        <v>98</v>
      </c>
      <c r="C81" s="483" t="s">
        <v>50</v>
      </c>
      <c r="D81" s="699" t="s">
        <v>296</v>
      </c>
      <c r="E81" s="701" t="s">
        <v>132</v>
      </c>
      <c r="F81" s="701" t="s">
        <v>133</v>
      </c>
      <c r="G81" s="701" t="s">
        <v>134</v>
      </c>
      <c r="H81" s="701" t="s">
        <v>140</v>
      </c>
      <c r="I81" s="702">
        <v>0</v>
      </c>
      <c r="J81" s="702">
        <v>0</v>
      </c>
      <c r="K81" s="702">
        <v>0</v>
      </c>
      <c r="L81" s="703"/>
      <c r="M81" s="702">
        <v>0</v>
      </c>
      <c r="N81" s="738">
        <v>0</v>
      </c>
      <c r="Q81" s="509"/>
    </row>
    <row r="82" spans="1:17" hidden="1" outlineLevel="1" x14ac:dyDescent="0.4">
      <c r="A82" s="483" t="s">
        <v>19</v>
      </c>
      <c r="B82" s="483" t="s">
        <v>98</v>
      </c>
      <c r="C82" s="483" t="s">
        <v>30</v>
      </c>
      <c r="D82" s="699" t="s">
        <v>296</v>
      </c>
      <c r="E82" s="701" t="s">
        <v>132</v>
      </c>
      <c r="F82" s="701" t="s">
        <v>133</v>
      </c>
      <c r="G82" s="701" t="s">
        <v>134</v>
      </c>
      <c r="H82" s="701" t="s">
        <v>141</v>
      </c>
      <c r="I82" s="702">
        <v>0</v>
      </c>
      <c r="J82" s="702">
        <v>306250000</v>
      </c>
      <c r="K82" s="702">
        <v>0</v>
      </c>
      <c r="L82" s="703">
        <v>0</v>
      </c>
      <c r="M82" s="702">
        <v>0</v>
      </c>
      <c r="N82" s="738">
        <v>0</v>
      </c>
      <c r="P82" s="509"/>
    </row>
    <row r="83" spans="1:17" hidden="1" outlineLevel="1" x14ac:dyDescent="0.4">
      <c r="A83" s="483" t="s">
        <v>19</v>
      </c>
      <c r="B83" s="483" t="s">
        <v>98</v>
      </c>
      <c r="C83" s="483" t="s">
        <v>29</v>
      </c>
      <c r="D83" s="699" t="s">
        <v>296</v>
      </c>
      <c r="E83" s="701" t="s">
        <v>132</v>
      </c>
      <c r="F83" s="701" t="s">
        <v>133</v>
      </c>
      <c r="G83" s="701" t="s">
        <v>134</v>
      </c>
      <c r="H83" s="701" t="s">
        <v>145</v>
      </c>
      <c r="I83" s="702">
        <v>39754430</v>
      </c>
      <c r="J83" s="702">
        <v>0</v>
      </c>
      <c r="K83" s="702">
        <v>39754430</v>
      </c>
      <c r="L83" s="703" t="e">
        <v>#DIV/0!</v>
      </c>
      <c r="M83" s="702">
        <v>39754430</v>
      </c>
      <c r="N83" s="738">
        <v>0</v>
      </c>
    </row>
    <row r="84" spans="1:17" hidden="1" outlineLevel="1" x14ac:dyDescent="0.4">
      <c r="A84" s="483" t="s">
        <v>19</v>
      </c>
      <c r="B84" s="483" t="s">
        <v>98</v>
      </c>
      <c r="C84" s="483" t="s">
        <v>31</v>
      </c>
      <c r="D84" s="699" t="s">
        <v>296</v>
      </c>
      <c r="E84" s="701" t="s">
        <v>132</v>
      </c>
      <c r="F84" s="701" t="s">
        <v>133</v>
      </c>
      <c r="G84" s="701" t="s">
        <v>134</v>
      </c>
      <c r="H84" s="701" t="s">
        <v>146</v>
      </c>
      <c r="I84" s="702">
        <v>514454167</v>
      </c>
      <c r="J84" s="702">
        <v>0</v>
      </c>
      <c r="K84" s="702">
        <v>514454167</v>
      </c>
      <c r="L84" s="703"/>
      <c r="M84" s="702">
        <v>514454167</v>
      </c>
      <c r="N84" s="738">
        <v>0</v>
      </c>
      <c r="O84" s="743"/>
      <c r="Q84" s="642"/>
    </row>
    <row r="85" spans="1:17" ht="14.4" hidden="1" outlineLevel="1" thickBot="1" x14ac:dyDescent="0.45">
      <c r="A85" s="483" t="s">
        <v>19</v>
      </c>
      <c r="B85" s="483" t="s">
        <v>98</v>
      </c>
      <c r="C85" s="483" t="s">
        <v>32</v>
      </c>
      <c r="D85" s="730" t="s">
        <v>296</v>
      </c>
      <c r="E85" s="716" t="s">
        <v>132</v>
      </c>
      <c r="F85" s="716" t="s">
        <v>133</v>
      </c>
      <c r="G85" s="716" t="s">
        <v>134</v>
      </c>
      <c r="H85" s="716" t="s">
        <v>147</v>
      </c>
      <c r="I85" s="717">
        <v>61027000</v>
      </c>
      <c r="J85" s="717">
        <v>0</v>
      </c>
      <c r="K85" s="717">
        <v>61027000</v>
      </c>
      <c r="L85" s="718" t="e">
        <v>#DIV/0!</v>
      </c>
      <c r="M85" s="717">
        <v>61027000</v>
      </c>
      <c r="N85" s="740">
        <v>0</v>
      </c>
      <c r="O85" s="743"/>
    </row>
    <row r="86" spans="1:17" ht="14.4" hidden="1" outlineLevel="1" thickBot="1" x14ac:dyDescent="0.45">
      <c r="D86" s="720"/>
      <c r="E86" s="829" t="s">
        <v>163</v>
      </c>
      <c r="F86" s="829"/>
      <c r="G86" s="829"/>
      <c r="H86" s="830"/>
      <c r="I86" s="721">
        <v>10910550127</v>
      </c>
      <c r="J86" s="721">
        <v>7707949927.9942341</v>
      </c>
      <c r="K86" s="721">
        <v>10910550127</v>
      </c>
      <c r="L86" s="722">
        <v>1.4154931244914233</v>
      </c>
      <c r="M86" s="723">
        <v>10910550127</v>
      </c>
      <c r="N86" s="724">
        <v>0</v>
      </c>
    </row>
    <row r="87" spans="1:17" ht="14.4" hidden="1" outlineLevel="1" thickBot="1" x14ac:dyDescent="0.45">
      <c r="D87" s="836" t="s">
        <v>164</v>
      </c>
      <c r="E87" s="837"/>
      <c r="F87" s="837"/>
      <c r="G87" s="837"/>
      <c r="H87" s="838"/>
      <c r="I87" s="733">
        <v>65501994873</v>
      </c>
      <c r="J87" s="733">
        <v>51985478617.596497</v>
      </c>
      <c r="K87" s="733">
        <v>65501994873</v>
      </c>
      <c r="L87" s="734">
        <v>1.2600056133912041</v>
      </c>
      <c r="M87" s="744">
        <v>65501994873</v>
      </c>
      <c r="N87" s="745"/>
      <c r="O87" s="746"/>
      <c r="P87" s="642"/>
    </row>
    <row r="88" spans="1:17" hidden="1" outlineLevel="1" x14ac:dyDescent="0.4">
      <c r="A88" s="483" t="s">
        <v>19</v>
      </c>
      <c r="B88" s="483" t="s">
        <v>98</v>
      </c>
      <c r="C88" s="483" t="s">
        <v>131</v>
      </c>
      <c r="D88" s="737" t="s">
        <v>165</v>
      </c>
      <c r="E88" s="701" t="s">
        <v>132</v>
      </c>
      <c r="F88" s="701" t="s">
        <v>133</v>
      </c>
      <c r="G88" s="701" t="s">
        <v>134</v>
      </c>
      <c r="H88" s="701" t="s">
        <v>135</v>
      </c>
      <c r="I88" s="702">
        <v>0</v>
      </c>
      <c r="J88" s="702">
        <v>0</v>
      </c>
      <c r="K88" s="702">
        <v>0</v>
      </c>
      <c r="L88" s="703" t="e">
        <v>#DIV/0!</v>
      </c>
      <c r="M88" s="702">
        <v>0</v>
      </c>
      <c r="N88" s="738">
        <v>0</v>
      </c>
    </row>
    <row r="89" spans="1:17" hidden="1" outlineLevel="1" x14ac:dyDescent="0.4">
      <c r="A89" s="483" t="s">
        <v>19</v>
      </c>
      <c r="B89" s="483" t="s">
        <v>98</v>
      </c>
      <c r="C89" s="483" t="s">
        <v>51</v>
      </c>
      <c r="D89" s="699" t="s">
        <v>297</v>
      </c>
      <c r="E89" s="701" t="s">
        <v>132</v>
      </c>
      <c r="F89" s="701" t="s">
        <v>133</v>
      </c>
      <c r="G89" s="701" t="s">
        <v>134</v>
      </c>
      <c r="H89" s="701" t="s">
        <v>136</v>
      </c>
      <c r="I89" s="702">
        <v>0</v>
      </c>
      <c r="J89" s="702">
        <v>0</v>
      </c>
      <c r="K89" s="702">
        <v>0</v>
      </c>
      <c r="L89" s="703"/>
      <c r="M89" s="702">
        <v>0</v>
      </c>
      <c r="N89" s="738">
        <v>0</v>
      </c>
      <c r="O89" s="743"/>
    </row>
    <row r="90" spans="1:17" hidden="1" outlineLevel="1" x14ac:dyDescent="0.4">
      <c r="A90" s="483" t="s">
        <v>19</v>
      </c>
      <c r="B90" s="483" t="s">
        <v>98</v>
      </c>
      <c r="C90" s="483" t="s">
        <v>22</v>
      </c>
      <c r="D90" s="699" t="s">
        <v>297</v>
      </c>
      <c r="E90" s="700" t="s">
        <v>132</v>
      </c>
      <c r="F90" s="701" t="s">
        <v>133</v>
      </c>
      <c r="G90" s="701" t="s">
        <v>134</v>
      </c>
      <c r="H90" s="701" t="s">
        <v>137</v>
      </c>
      <c r="I90" s="702">
        <v>1058000169</v>
      </c>
      <c r="J90" s="702">
        <v>322280000</v>
      </c>
      <c r="K90" s="702">
        <v>1058000169</v>
      </c>
      <c r="L90" s="703"/>
      <c r="M90" s="702">
        <v>1058000169</v>
      </c>
      <c r="N90" s="738">
        <v>0</v>
      </c>
      <c r="O90" s="741"/>
      <c r="P90" s="509"/>
      <c r="Q90" s="509"/>
    </row>
    <row r="91" spans="1:17" hidden="1" outlineLevel="1" x14ac:dyDescent="0.4">
      <c r="A91" s="483" t="s">
        <v>19</v>
      </c>
      <c r="B91" s="483" t="s">
        <v>98</v>
      </c>
      <c r="C91" s="483" t="s">
        <v>27</v>
      </c>
      <c r="D91" s="699" t="s">
        <v>297</v>
      </c>
      <c r="E91" s="701" t="s">
        <v>132</v>
      </c>
      <c r="F91" s="701" t="s">
        <v>133</v>
      </c>
      <c r="G91" s="701" t="s">
        <v>134</v>
      </c>
      <c r="H91" s="701" t="s">
        <v>138</v>
      </c>
      <c r="I91" s="702">
        <v>0</v>
      </c>
      <c r="J91" s="702">
        <v>960406827.9942342</v>
      </c>
      <c r="K91" s="702">
        <v>0</v>
      </c>
      <c r="L91" s="703">
        <v>0</v>
      </c>
      <c r="M91" s="702">
        <v>0</v>
      </c>
      <c r="N91" s="738">
        <v>0</v>
      </c>
      <c r="O91" s="747"/>
      <c r="P91" s="748" t="s">
        <v>59</v>
      </c>
    </row>
    <row r="92" spans="1:17" hidden="1" outlineLevel="1" x14ac:dyDescent="0.4">
      <c r="A92" s="483" t="s">
        <v>19</v>
      </c>
      <c r="B92" s="483" t="s">
        <v>98</v>
      </c>
      <c r="C92" s="483" t="s">
        <v>26</v>
      </c>
      <c r="D92" s="699" t="s">
        <v>297</v>
      </c>
      <c r="E92" s="701" t="s">
        <v>132</v>
      </c>
      <c r="F92" s="701" t="s">
        <v>133</v>
      </c>
      <c r="G92" s="701" t="s">
        <v>134</v>
      </c>
      <c r="H92" s="701" t="s">
        <v>139</v>
      </c>
      <c r="I92" s="702">
        <v>13647383900</v>
      </c>
      <c r="J92" s="702">
        <v>8000557900</v>
      </c>
      <c r="K92" s="702">
        <v>13647383900</v>
      </c>
      <c r="L92" s="703">
        <v>1.7058040289915282</v>
      </c>
      <c r="M92" s="702">
        <v>13647383900</v>
      </c>
      <c r="N92" s="738">
        <v>0</v>
      </c>
      <c r="O92" s="749"/>
      <c r="P92" s="750">
        <f>+O92-K92</f>
        <v>-13647383900</v>
      </c>
    </row>
    <row r="93" spans="1:17" hidden="1" outlineLevel="1" x14ac:dyDescent="0.4">
      <c r="A93" s="483" t="s">
        <v>19</v>
      </c>
      <c r="B93" s="483" t="s">
        <v>98</v>
      </c>
      <c r="C93" s="483" t="s">
        <v>50</v>
      </c>
      <c r="D93" s="699" t="s">
        <v>297</v>
      </c>
      <c r="E93" s="701" t="s">
        <v>132</v>
      </c>
      <c r="F93" s="701" t="s">
        <v>133</v>
      </c>
      <c r="G93" s="701" t="s">
        <v>134</v>
      </c>
      <c r="H93" s="701" t="s">
        <v>140</v>
      </c>
      <c r="I93" s="702">
        <v>0</v>
      </c>
      <c r="J93" s="702">
        <v>0</v>
      </c>
      <c r="K93" s="702">
        <v>0</v>
      </c>
      <c r="L93" s="703" t="e">
        <v>#DIV/0!</v>
      </c>
      <c r="M93" s="702">
        <v>0</v>
      </c>
      <c r="N93" s="738">
        <v>0</v>
      </c>
      <c r="O93" s="751"/>
    </row>
    <row r="94" spans="1:17" hidden="1" outlineLevel="1" x14ac:dyDescent="0.4">
      <c r="A94" s="483" t="s">
        <v>19</v>
      </c>
      <c r="B94" s="483" t="s">
        <v>98</v>
      </c>
      <c r="C94" s="483" t="s">
        <v>30</v>
      </c>
      <c r="D94" s="699" t="s">
        <v>297</v>
      </c>
      <c r="E94" s="701" t="s">
        <v>132</v>
      </c>
      <c r="F94" s="701" t="s">
        <v>133</v>
      </c>
      <c r="G94" s="701" t="s">
        <v>134</v>
      </c>
      <c r="H94" s="701" t="s">
        <v>141</v>
      </c>
      <c r="I94" s="702">
        <v>143875000</v>
      </c>
      <c r="J94" s="702">
        <v>0</v>
      </c>
      <c r="K94" s="702">
        <v>143875000</v>
      </c>
      <c r="L94" s="703" t="e">
        <v>#DIV/0!</v>
      </c>
      <c r="M94" s="702">
        <v>143875000</v>
      </c>
      <c r="N94" s="738">
        <v>0</v>
      </c>
      <c r="O94" s="743"/>
      <c r="P94" s="483" t="s">
        <v>166</v>
      </c>
    </row>
    <row r="95" spans="1:17" hidden="1" outlineLevel="1" x14ac:dyDescent="0.4">
      <c r="A95" s="483" t="s">
        <v>19</v>
      </c>
      <c r="B95" s="483" t="s">
        <v>98</v>
      </c>
      <c r="C95" s="483" t="s">
        <v>29</v>
      </c>
      <c r="D95" s="699" t="s">
        <v>297</v>
      </c>
      <c r="E95" s="701" t="s">
        <v>132</v>
      </c>
      <c r="F95" s="701" t="s">
        <v>133</v>
      </c>
      <c r="G95" s="701" t="s">
        <v>134</v>
      </c>
      <c r="H95" s="701" t="s">
        <v>145</v>
      </c>
      <c r="I95" s="702">
        <v>186269430</v>
      </c>
      <c r="J95" s="702">
        <v>0</v>
      </c>
      <c r="K95" s="702">
        <v>186269430</v>
      </c>
      <c r="L95" s="703" t="e">
        <v>#DIV/0!</v>
      </c>
      <c r="M95" s="702">
        <v>186269430</v>
      </c>
      <c r="N95" s="738">
        <v>0</v>
      </c>
      <c r="O95" s="743"/>
      <c r="P95" s="483" t="s">
        <v>167</v>
      </c>
    </row>
    <row r="96" spans="1:17" hidden="1" outlineLevel="1" x14ac:dyDescent="0.4">
      <c r="A96" s="483" t="s">
        <v>19</v>
      </c>
      <c r="B96" s="483" t="s">
        <v>98</v>
      </c>
      <c r="C96" s="483" t="s">
        <v>31</v>
      </c>
      <c r="D96" s="699" t="s">
        <v>297</v>
      </c>
      <c r="E96" s="712" t="s">
        <v>132</v>
      </c>
      <c r="F96" s="712" t="s">
        <v>133</v>
      </c>
      <c r="G96" s="712" t="s">
        <v>134</v>
      </c>
      <c r="H96" s="712" t="s">
        <v>146</v>
      </c>
      <c r="I96" s="713">
        <v>333479167</v>
      </c>
      <c r="J96" s="713">
        <v>0</v>
      </c>
      <c r="K96" s="713">
        <v>333479167</v>
      </c>
      <c r="L96" s="714"/>
      <c r="M96" s="713">
        <v>333479167</v>
      </c>
      <c r="N96" s="752">
        <v>0</v>
      </c>
      <c r="O96" s="743"/>
    </row>
    <row r="97" spans="1:16" ht="14.4" hidden="1" outlineLevel="1" thickBot="1" x14ac:dyDescent="0.45">
      <c r="A97" s="483" t="s">
        <v>19</v>
      </c>
      <c r="B97" s="483" t="s">
        <v>98</v>
      </c>
      <c r="C97" s="483" t="s">
        <v>32</v>
      </c>
      <c r="D97" s="730" t="s">
        <v>297</v>
      </c>
      <c r="E97" s="716" t="s">
        <v>132</v>
      </c>
      <c r="F97" s="716" t="s">
        <v>133</v>
      </c>
      <c r="G97" s="716" t="s">
        <v>134</v>
      </c>
      <c r="H97" s="716" t="s">
        <v>147</v>
      </c>
      <c r="I97" s="717">
        <v>31683200</v>
      </c>
      <c r="J97" s="717">
        <v>0</v>
      </c>
      <c r="K97" s="717">
        <v>31683200</v>
      </c>
      <c r="L97" s="718" t="e">
        <v>#DIV/0!</v>
      </c>
      <c r="M97" s="717">
        <v>31683200</v>
      </c>
      <c r="N97" s="740">
        <v>0</v>
      </c>
      <c r="O97" s="743"/>
    </row>
    <row r="98" spans="1:16" ht="14.4" hidden="1" outlineLevel="1" thickBot="1" x14ac:dyDescent="0.45">
      <c r="D98" s="720" t="s">
        <v>168</v>
      </c>
      <c r="E98" s="831"/>
      <c r="F98" s="831"/>
      <c r="G98" s="831"/>
      <c r="H98" s="832"/>
      <c r="I98" s="721">
        <v>15400690866</v>
      </c>
      <c r="J98" s="721">
        <v>9283244727.9942341</v>
      </c>
      <c r="K98" s="721">
        <v>15400690866</v>
      </c>
      <c r="L98" s="722">
        <v>1.6589771483195099</v>
      </c>
      <c r="M98" s="723">
        <v>15400690866</v>
      </c>
      <c r="N98" s="724">
        <v>0</v>
      </c>
      <c r="O98" s="743"/>
    </row>
    <row r="99" spans="1:16" ht="14.4" hidden="1" outlineLevel="1" thickBot="1" x14ac:dyDescent="0.45">
      <c r="D99" s="833" t="s">
        <v>169</v>
      </c>
      <c r="E99" s="834"/>
      <c r="F99" s="834"/>
      <c r="G99" s="834"/>
      <c r="H99" s="835"/>
      <c r="I99" s="753">
        <v>80902685739</v>
      </c>
      <c r="J99" s="753">
        <v>61268723345.590729</v>
      </c>
      <c r="K99" s="753">
        <v>80902685739</v>
      </c>
      <c r="L99" s="734">
        <v>1.3204565285727021</v>
      </c>
      <c r="M99" s="744">
        <v>80902685739</v>
      </c>
      <c r="N99" s="754">
        <v>0</v>
      </c>
      <c r="O99" s="755"/>
    </row>
    <row r="100" spans="1:16" hidden="1" outlineLevel="1" x14ac:dyDescent="0.4">
      <c r="A100" s="483" t="s">
        <v>19</v>
      </c>
      <c r="B100" s="483" t="s">
        <v>98</v>
      </c>
      <c r="C100" s="483" t="s">
        <v>131</v>
      </c>
      <c r="D100" s="737" t="s">
        <v>100</v>
      </c>
      <c r="E100" s="701" t="s">
        <v>132</v>
      </c>
      <c r="F100" s="701" t="s">
        <v>133</v>
      </c>
      <c r="G100" s="701" t="s">
        <v>134</v>
      </c>
      <c r="H100" s="701" t="s">
        <v>135</v>
      </c>
      <c r="I100" s="702">
        <v>603655560</v>
      </c>
      <c r="J100" s="756">
        <v>0</v>
      </c>
      <c r="K100" s="702">
        <v>603655560</v>
      </c>
      <c r="L100" s="757" t="e">
        <v>#DIV/0!</v>
      </c>
      <c r="M100" s="758">
        <v>603655560</v>
      </c>
      <c r="N100" s="759">
        <v>0</v>
      </c>
      <c r="O100" s="760">
        <f t="shared" ref="O100:O107" si="5">I100-K100</f>
        <v>0</v>
      </c>
    </row>
    <row r="101" spans="1:16" hidden="1" outlineLevel="1" x14ac:dyDescent="0.4">
      <c r="A101" s="483" t="s">
        <v>19</v>
      </c>
      <c r="B101" s="483" t="s">
        <v>98</v>
      </c>
      <c r="C101" s="483" t="s">
        <v>51</v>
      </c>
      <c r="D101" s="699" t="s">
        <v>298</v>
      </c>
      <c r="E101" s="701" t="s">
        <v>132</v>
      </c>
      <c r="F101" s="701" t="s">
        <v>133</v>
      </c>
      <c r="G101" s="701" t="s">
        <v>134</v>
      </c>
      <c r="H101" s="701" t="s">
        <v>136</v>
      </c>
      <c r="I101" s="702"/>
      <c r="J101" s="756">
        <v>0</v>
      </c>
      <c r="K101" s="702">
        <v>0</v>
      </c>
      <c r="L101" s="757"/>
      <c r="M101" s="728">
        <v>0</v>
      </c>
      <c r="N101" s="738">
        <v>0</v>
      </c>
      <c r="O101" s="760">
        <f t="shared" si="5"/>
        <v>0</v>
      </c>
    </row>
    <row r="102" spans="1:16" hidden="1" outlineLevel="1" x14ac:dyDescent="0.4">
      <c r="A102" s="483" t="s">
        <v>19</v>
      </c>
      <c r="B102" s="483" t="s">
        <v>98</v>
      </c>
      <c r="C102" s="483" t="s">
        <v>22</v>
      </c>
      <c r="D102" s="699" t="s">
        <v>298</v>
      </c>
      <c r="E102" s="700" t="s">
        <v>132</v>
      </c>
      <c r="F102" s="701" t="s">
        <v>133</v>
      </c>
      <c r="G102" s="701" t="s">
        <v>134</v>
      </c>
      <c r="H102" s="701" t="s">
        <v>137</v>
      </c>
      <c r="I102" s="702">
        <v>1265402524</v>
      </c>
      <c r="J102" s="702">
        <v>1579200000</v>
      </c>
      <c r="K102" s="702">
        <v>1265402524</v>
      </c>
      <c r="L102" s="703"/>
      <c r="M102" s="728">
        <v>1265402524</v>
      </c>
      <c r="N102" s="738">
        <v>0</v>
      </c>
      <c r="O102" s="760">
        <f t="shared" si="5"/>
        <v>0</v>
      </c>
    </row>
    <row r="103" spans="1:16" hidden="1" outlineLevel="1" x14ac:dyDescent="0.4">
      <c r="A103" s="483" t="s">
        <v>19</v>
      </c>
      <c r="B103" s="483" t="s">
        <v>98</v>
      </c>
      <c r="C103" s="483" t="s">
        <v>27</v>
      </c>
      <c r="D103" s="699" t="s">
        <v>298</v>
      </c>
      <c r="E103" s="701" t="s">
        <v>132</v>
      </c>
      <c r="F103" s="701" t="s">
        <v>133</v>
      </c>
      <c r="G103" s="701" t="s">
        <v>134</v>
      </c>
      <c r="H103" s="701" t="s">
        <v>138</v>
      </c>
      <c r="I103" s="702">
        <v>363059300</v>
      </c>
      <c r="J103" s="756">
        <v>958214827.99423397</v>
      </c>
      <c r="K103" s="702">
        <v>363059300</v>
      </c>
      <c r="L103" s="757">
        <v>0.37889133980525785</v>
      </c>
      <c r="M103" s="728">
        <v>363059300</v>
      </c>
      <c r="N103" s="738">
        <v>0</v>
      </c>
      <c r="O103" s="760">
        <f t="shared" si="5"/>
        <v>0</v>
      </c>
    </row>
    <row r="104" spans="1:16" hidden="1" outlineLevel="1" x14ac:dyDescent="0.4">
      <c r="A104" s="483" t="s">
        <v>19</v>
      </c>
      <c r="B104" s="483" t="s">
        <v>98</v>
      </c>
      <c r="C104" s="483" t="s">
        <v>26</v>
      </c>
      <c r="D104" s="699" t="s">
        <v>298</v>
      </c>
      <c r="E104" s="701" t="s">
        <v>132</v>
      </c>
      <c r="F104" s="701" t="s">
        <v>133</v>
      </c>
      <c r="G104" s="701" t="s">
        <v>134</v>
      </c>
      <c r="H104" s="701" t="s">
        <v>139</v>
      </c>
      <c r="I104" s="761">
        <v>11205080550</v>
      </c>
      <c r="J104" s="756">
        <v>9421993233</v>
      </c>
      <c r="K104" s="761">
        <v>11205080550</v>
      </c>
      <c r="L104" s="757">
        <v>1.1892473569981814</v>
      </c>
      <c r="M104" s="762">
        <v>11205080550</v>
      </c>
      <c r="N104" s="738">
        <v>0</v>
      </c>
      <c r="O104" s="760">
        <f t="shared" si="5"/>
        <v>0</v>
      </c>
    </row>
    <row r="105" spans="1:16" hidden="1" outlineLevel="1" x14ac:dyDescent="0.4">
      <c r="A105" s="483" t="s">
        <v>19</v>
      </c>
      <c r="B105" s="483" t="s">
        <v>98</v>
      </c>
      <c r="C105" s="483" t="s">
        <v>50</v>
      </c>
      <c r="D105" s="699" t="s">
        <v>298</v>
      </c>
      <c r="E105" s="701" t="s">
        <v>132</v>
      </c>
      <c r="F105" s="701" t="s">
        <v>133</v>
      </c>
      <c r="G105" s="701" t="s">
        <v>134</v>
      </c>
      <c r="H105" s="701" t="s">
        <v>140</v>
      </c>
      <c r="I105" s="702">
        <v>30000000</v>
      </c>
      <c r="J105" s="756">
        <v>0</v>
      </c>
      <c r="K105" s="702">
        <v>30000000</v>
      </c>
      <c r="L105" s="757" t="e">
        <v>#DIV/0!</v>
      </c>
      <c r="M105" s="728">
        <v>30000000</v>
      </c>
      <c r="N105" s="738">
        <v>0</v>
      </c>
      <c r="O105" s="760">
        <f t="shared" si="5"/>
        <v>0</v>
      </c>
    </row>
    <row r="106" spans="1:16" hidden="1" outlineLevel="1" x14ac:dyDescent="0.4">
      <c r="A106" s="483" t="s">
        <v>19</v>
      </c>
      <c r="B106" s="483" t="s">
        <v>98</v>
      </c>
      <c r="C106" s="483" t="s">
        <v>30</v>
      </c>
      <c r="D106" s="699" t="s">
        <v>298</v>
      </c>
      <c r="E106" s="701" t="s">
        <v>132</v>
      </c>
      <c r="F106" s="701" t="s">
        <v>133</v>
      </c>
      <c r="G106" s="701" t="s">
        <v>134</v>
      </c>
      <c r="H106" s="701" t="s">
        <v>141</v>
      </c>
      <c r="I106" s="702">
        <v>230000000</v>
      </c>
      <c r="J106" s="756">
        <v>0</v>
      </c>
      <c r="K106" s="702">
        <v>230000000</v>
      </c>
      <c r="L106" s="757" t="e">
        <v>#DIV/0!</v>
      </c>
      <c r="M106" s="728">
        <v>230000000</v>
      </c>
      <c r="N106" s="738">
        <v>0</v>
      </c>
      <c r="O106" s="760">
        <f t="shared" si="5"/>
        <v>0</v>
      </c>
    </row>
    <row r="107" spans="1:16" hidden="1" outlineLevel="1" x14ac:dyDescent="0.4">
      <c r="A107" s="483" t="s">
        <v>19</v>
      </c>
      <c r="B107" s="483" t="s">
        <v>98</v>
      </c>
      <c r="C107" s="483" t="s">
        <v>29</v>
      </c>
      <c r="D107" s="699" t="s">
        <v>298</v>
      </c>
      <c r="E107" s="701" t="s">
        <v>132</v>
      </c>
      <c r="F107" s="701" t="s">
        <v>133</v>
      </c>
      <c r="G107" s="701" t="s">
        <v>134</v>
      </c>
      <c r="H107" s="701" t="s">
        <v>145</v>
      </c>
      <c r="I107" s="702">
        <v>670649430</v>
      </c>
      <c r="J107" s="756">
        <v>0</v>
      </c>
      <c r="K107" s="702">
        <v>670649430</v>
      </c>
      <c r="L107" s="757" t="e">
        <v>#DIV/0!</v>
      </c>
      <c r="M107" s="728">
        <v>670649430</v>
      </c>
      <c r="N107" s="738">
        <v>0</v>
      </c>
      <c r="O107" s="760">
        <f t="shared" si="5"/>
        <v>0</v>
      </c>
    </row>
    <row r="108" spans="1:16" hidden="1" outlineLevel="1" x14ac:dyDescent="0.4">
      <c r="A108" s="483" t="s">
        <v>19</v>
      </c>
      <c r="B108" s="483" t="s">
        <v>98</v>
      </c>
      <c r="C108" s="483" t="s">
        <v>31</v>
      </c>
      <c r="D108" s="699" t="s">
        <v>298</v>
      </c>
      <c r="E108" s="712" t="s">
        <v>132</v>
      </c>
      <c r="F108" s="712" t="s">
        <v>133</v>
      </c>
      <c r="G108" s="712" t="s">
        <v>134</v>
      </c>
      <c r="H108" s="712" t="s">
        <v>146</v>
      </c>
      <c r="I108" s="713">
        <v>294129167</v>
      </c>
      <c r="J108" s="763">
        <v>0</v>
      </c>
      <c r="K108" s="713">
        <v>294129167</v>
      </c>
      <c r="L108" s="764"/>
      <c r="M108" s="765">
        <v>294129167</v>
      </c>
      <c r="N108" s="752">
        <v>0</v>
      </c>
      <c r="O108" s="760" t="s">
        <v>170</v>
      </c>
    </row>
    <row r="109" spans="1:16" ht="14.4" hidden="1" outlineLevel="1" thickBot="1" x14ac:dyDescent="0.45">
      <c r="A109" s="483" t="s">
        <v>19</v>
      </c>
      <c r="B109" s="483" t="s">
        <v>98</v>
      </c>
      <c r="C109" s="483" t="s">
        <v>32</v>
      </c>
      <c r="D109" s="730" t="s">
        <v>298</v>
      </c>
      <c r="E109" s="716" t="s">
        <v>132</v>
      </c>
      <c r="F109" s="716" t="s">
        <v>133</v>
      </c>
      <c r="G109" s="716" t="s">
        <v>134</v>
      </c>
      <c r="H109" s="716" t="s">
        <v>147</v>
      </c>
      <c r="I109" s="717">
        <v>58253000</v>
      </c>
      <c r="J109" s="717">
        <v>0</v>
      </c>
      <c r="K109" s="717">
        <v>58253000</v>
      </c>
      <c r="L109" s="718" t="e">
        <v>#DIV/0!</v>
      </c>
      <c r="M109" s="731">
        <v>58253000</v>
      </c>
      <c r="N109" s="740">
        <v>0</v>
      </c>
      <c r="O109" s="760">
        <f>I109-K109</f>
        <v>0</v>
      </c>
      <c r="P109" s="642"/>
    </row>
    <row r="110" spans="1:16" ht="14.4" hidden="1" outlineLevel="1" thickBot="1" x14ac:dyDescent="0.45">
      <c r="D110" s="720" t="s">
        <v>171</v>
      </c>
      <c r="E110" s="831"/>
      <c r="F110" s="831"/>
      <c r="G110" s="831"/>
      <c r="H110" s="832"/>
      <c r="I110" s="721">
        <v>14720229531</v>
      </c>
      <c r="J110" s="721">
        <v>11959408060.994234</v>
      </c>
      <c r="K110" s="721">
        <v>14720229531</v>
      </c>
      <c r="L110" s="722">
        <v>1.2308493410313694</v>
      </c>
      <c r="M110" s="723">
        <v>14720229531</v>
      </c>
      <c r="N110" s="724">
        <v>0</v>
      </c>
      <c r="O110" s="766"/>
    </row>
    <row r="111" spans="1:16" ht="14.4" collapsed="1" thickBot="1" x14ac:dyDescent="0.45">
      <c r="D111" s="836" t="s">
        <v>172</v>
      </c>
      <c r="E111" s="837"/>
      <c r="F111" s="837"/>
      <c r="G111" s="837"/>
      <c r="H111" s="838"/>
      <c r="I111" s="733">
        <v>41031470524</v>
      </c>
      <c r="J111" s="733">
        <v>28950602716.982704</v>
      </c>
      <c r="K111" s="733">
        <v>41031470524</v>
      </c>
      <c r="L111" s="734"/>
      <c r="M111" s="767">
        <v>41031470524</v>
      </c>
      <c r="N111" s="768">
        <v>0</v>
      </c>
      <c r="O111" s="769"/>
    </row>
    <row r="112" spans="1:16" hidden="1" outlineLevel="1" x14ac:dyDescent="0.4">
      <c r="A112" s="483" t="s">
        <v>19</v>
      </c>
      <c r="B112" s="483" t="s">
        <v>173</v>
      </c>
      <c r="C112" s="483" t="s">
        <v>131</v>
      </c>
      <c r="D112" s="737" t="s">
        <v>174</v>
      </c>
      <c r="E112" s="701" t="s">
        <v>132</v>
      </c>
      <c r="F112" s="701" t="s">
        <v>133</v>
      </c>
      <c r="G112" s="701" t="s">
        <v>134</v>
      </c>
      <c r="H112" s="701" t="s">
        <v>135</v>
      </c>
      <c r="I112" s="702">
        <v>892967400</v>
      </c>
      <c r="J112" s="702">
        <v>0</v>
      </c>
      <c r="K112" s="702">
        <v>892967400</v>
      </c>
      <c r="L112" s="703" t="e">
        <v>#DIV/0!</v>
      </c>
      <c r="M112" s="702">
        <v>892967400</v>
      </c>
      <c r="N112" s="738">
        <v>0</v>
      </c>
      <c r="O112" s="642"/>
    </row>
    <row r="113" spans="1:18" hidden="1" outlineLevel="1" x14ac:dyDescent="0.4">
      <c r="A113" s="483" t="s">
        <v>19</v>
      </c>
      <c r="B113" s="483" t="s">
        <v>173</v>
      </c>
      <c r="C113" s="483" t="s">
        <v>51</v>
      </c>
      <c r="D113" s="699" t="s">
        <v>299</v>
      </c>
      <c r="E113" s="701" t="s">
        <v>132</v>
      </c>
      <c r="F113" s="701" t="s">
        <v>133</v>
      </c>
      <c r="G113" s="701" t="s">
        <v>134</v>
      </c>
      <c r="H113" s="701" t="s">
        <v>136</v>
      </c>
      <c r="I113" s="702">
        <v>0</v>
      </c>
      <c r="J113" s="702">
        <v>0</v>
      </c>
      <c r="K113" s="702">
        <v>0</v>
      </c>
      <c r="L113" s="703" t="e">
        <v>#DIV/0!</v>
      </c>
      <c r="M113" s="702">
        <v>0</v>
      </c>
      <c r="N113" s="738">
        <v>0</v>
      </c>
      <c r="O113" s="642"/>
    </row>
    <row r="114" spans="1:18" hidden="1" outlineLevel="1" x14ac:dyDescent="0.4">
      <c r="A114" s="483" t="s">
        <v>19</v>
      </c>
      <c r="B114" s="483" t="s">
        <v>173</v>
      </c>
      <c r="C114" s="483" t="s">
        <v>22</v>
      </c>
      <c r="D114" s="699" t="s">
        <v>299</v>
      </c>
      <c r="E114" s="700" t="s">
        <v>132</v>
      </c>
      <c r="F114" s="701" t="s">
        <v>133</v>
      </c>
      <c r="G114" s="701" t="s">
        <v>134</v>
      </c>
      <c r="H114" s="701" t="s">
        <v>137</v>
      </c>
      <c r="I114" s="702">
        <v>1228260646</v>
      </c>
      <c r="J114" s="702">
        <v>2868404000</v>
      </c>
      <c r="K114" s="702">
        <v>1228260646</v>
      </c>
      <c r="L114" s="703"/>
      <c r="M114" s="702">
        <v>1228260646</v>
      </c>
      <c r="N114" s="738">
        <v>0</v>
      </c>
      <c r="O114" s="642"/>
    </row>
    <row r="115" spans="1:18" hidden="1" outlineLevel="1" x14ac:dyDescent="0.4">
      <c r="A115" s="483" t="s">
        <v>19</v>
      </c>
      <c r="B115" s="483" t="s">
        <v>173</v>
      </c>
      <c r="C115" s="483" t="s">
        <v>27</v>
      </c>
      <c r="D115" s="699" t="s">
        <v>299</v>
      </c>
      <c r="E115" s="701" t="s">
        <v>132</v>
      </c>
      <c r="F115" s="701" t="s">
        <v>133</v>
      </c>
      <c r="G115" s="701" t="s">
        <v>134</v>
      </c>
      <c r="H115" s="701" t="s">
        <v>138</v>
      </c>
      <c r="I115" s="702">
        <v>97554120</v>
      </c>
      <c r="J115" s="702">
        <v>959310827.9942342</v>
      </c>
      <c r="K115" s="702">
        <v>97554120</v>
      </c>
      <c r="L115" s="703">
        <v>0.10169187832891462</v>
      </c>
      <c r="M115" s="702">
        <v>97554120</v>
      </c>
      <c r="N115" s="738">
        <v>0</v>
      </c>
      <c r="O115" s="642"/>
    </row>
    <row r="116" spans="1:18" hidden="1" outlineLevel="1" x14ac:dyDescent="0.4">
      <c r="A116" s="483" t="s">
        <v>19</v>
      </c>
      <c r="B116" s="483" t="s">
        <v>173</v>
      </c>
      <c r="C116" s="483" t="s">
        <v>26</v>
      </c>
      <c r="D116" s="699" t="s">
        <v>299</v>
      </c>
      <c r="E116" s="701" t="s">
        <v>132</v>
      </c>
      <c r="F116" s="701" t="s">
        <v>133</v>
      </c>
      <c r="G116" s="701" t="s">
        <v>134</v>
      </c>
      <c r="H116" s="701" t="s">
        <v>139</v>
      </c>
      <c r="I116" s="702">
        <v>10008669200</v>
      </c>
      <c r="J116" s="702">
        <v>6504544700</v>
      </c>
      <c r="K116" s="702">
        <v>10008669200</v>
      </c>
      <c r="L116" s="703">
        <v>1.5387194125977794</v>
      </c>
      <c r="M116" s="702">
        <v>10008669200</v>
      </c>
      <c r="N116" s="738">
        <v>0</v>
      </c>
      <c r="O116" s="642"/>
      <c r="R116" s="642"/>
    </row>
    <row r="117" spans="1:18" hidden="1" outlineLevel="1" x14ac:dyDescent="0.4">
      <c r="A117" s="483" t="s">
        <v>19</v>
      </c>
      <c r="B117" s="483" t="s">
        <v>173</v>
      </c>
      <c r="C117" s="483" t="s">
        <v>50</v>
      </c>
      <c r="D117" s="699" t="s">
        <v>299</v>
      </c>
      <c r="E117" s="701" t="s">
        <v>132</v>
      </c>
      <c r="F117" s="701" t="s">
        <v>133</v>
      </c>
      <c r="G117" s="701" t="s">
        <v>134</v>
      </c>
      <c r="H117" s="701" t="s">
        <v>140</v>
      </c>
      <c r="I117" s="702"/>
      <c r="J117" s="702">
        <v>0</v>
      </c>
      <c r="K117" s="702"/>
      <c r="L117" s="703" t="e">
        <v>#DIV/0!</v>
      </c>
      <c r="M117" s="702"/>
      <c r="N117" s="738">
        <v>0</v>
      </c>
      <c r="O117" s="642"/>
    </row>
    <row r="118" spans="1:18" hidden="1" outlineLevel="1" x14ac:dyDescent="0.4">
      <c r="A118" s="483" t="s">
        <v>19</v>
      </c>
      <c r="B118" s="483" t="s">
        <v>173</v>
      </c>
      <c r="C118" s="483" t="s">
        <v>30</v>
      </c>
      <c r="D118" s="699" t="s">
        <v>299</v>
      </c>
      <c r="E118" s="701" t="s">
        <v>132</v>
      </c>
      <c r="F118" s="701" t="s">
        <v>133</v>
      </c>
      <c r="G118" s="701" t="s">
        <v>134</v>
      </c>
      <c r="H118" s="701" t="s">
        <v>141</v>
      </c>
      <c r="I118" s="702"/>
      <c r="J118" s="702">
        <v>0</v>
      </c>
      <c r="K118" s="702"/>
      <c r="L118" s="703" t="e">
        <v>#DIV/0!</v>
      </c>
      <c r="M118" s="702"/>
      <c r="N118" s="738">
        <v>0</v>
      </c>
      <c r="O118" s="642"/>
    </row>
    <row r="119" spans="1:18" hidden="1" outlineLevel="1" x14ac:dyDescent="0.4">
      <c r="A119" s="483" t="s">
        <v>19</v>
      </c>
      <c r="B119" s="483" t="s">
        <v>173</v>
      </c>
      <c r="C119" s="483" t="s">
        <v>29</v>
      </c>
      <c r="D119" s="699" t="s">
        <v>299</v>
      </c>
      <c r="E119" s="701" t="s">
        <v>132</v>
      </c>
      <c r="F119" s="701" t="s">
        <v>133</v>
      </c>
      <c r="G119" s="701" t="s">
        <v>134</v>
      </c>
      <c r="H119" s="701" t="s">
        <v>145</v>
      </c>
      <c r="I119" s="702">
        <v>428891930</v>
      </c>
      <c r="J119" s="702">
        <v>363000000</v>
      </c>
      <c r="K119" s="702">
        <v>428891930</v>
      </c>
      <c r="L119" s="703">
        <v>1.1815204683195593</v>
      </c>
      <c r="M119" s="702">
        <v>428891930</v>
      </c>
      <c r="N119" s="738">
        <v>0</v>
      </c>
      <c r="O119" s="642" t="s">
        <v>175</v>
      </c>
    </row>
    <row r="120" spans="1:18" hidden="1" outlineLevel="1" x14ac:dyDescent="0.4">
      <c r="A120" s="483" t="s">
        <v>19</v>
      </c>
      <c r="B120" s="483" t="s">
        <v>173</v>
      </c>
      <c r="C120" s="483" t="s">
        <v>31</v>
      </c>
      <c r="D120" s="699" t="s">
        <v>299</v>
      </c>
      <c r="E120" s="712" t="s">
        <v>132</v>
      </c>
      <c r="F120" s="712" t="s">
        <v>133</v>
      </c>
      <c r="G120" s="712" t="s">
        <v>134</v>
      </c>
      <c r="H120" s="712" t="s">
        <v>146</v>
      </c>
      <c r="I120" s="713">
        <v>31604167</v>
      </c>
      <c r="J120" s="713">
        <v>0</v>
      </c>
      <c r="K120" s="713">
        <v>31604167</v>
      </c>
      <c r="L120" s="714" t="e">
        <v>#DIV/0!</v>
      </c>
      <c r="M120" s="713">
        <v>31604167</v>
      </c>
      <c r="N120" s="738">
        <v>0</v>
      </c>
      <c r="O120" s="642"/>
    </row>
    <row r="121" spans="1:18" ht="14.4" hidden="1" outlineLevel="1" thickBot="1" x14ac:dyDescent="0.45">
      <c r="A121" s="483" t="s">
        <v>19</v>
      </c>
      <c r="B121" s="483" t="s">
        <v>173</v>
      </c>
      <c r="C121" s="483" t="s">
        <v>32</v>
      </c>
      <c r="D121" s="730" t="s">
        <v>299</v>
      </c>
      <c r="E121" s="716" t="s">
        <v>132</v>
      </c>
      <c r="F121" s="716" t="s">
        <v>133</v>
      </c>
      <c r="G121" s="716" t="s">
        <v>134</v>
      </c>
      <c r="H121" s="716" t="s">
        <v>147</v>
      </c>
      <c r="I121" s="717">
        <v>14136000</v>
      </c>
      <c r="J121" s="717">
        <v>0</v>
      </c>
      <c r="K121" s="717">
        <v>14136000</v>
      </c>
      <c r="L121" s="718" t="e">
        <v>#DIV/0!</v>
      </c>
      <c r="M121" s="717">
        <v>14136000</v>
      </c>
      <c r="N121" s="738">
        <v>0</v>
      </c>
      <c r="O121" s="483" t="s">
        <v>176</v>
      </c>
    </row>
    <row r="122" spans="1:18" ht="14.4" hidden="1" outlineLevel="1" thickBot="1" x14ac:dyDescent="0.45">
      <c r="D122" s="720" t="s">
        <v>177</v>
      </c>
      <c r="E122" s="831"/>
      <c r="F122" s="831"/>
      <c r="G122" s="831"/>
      <c r="H122" s="832"/>
      <c r="I122" s="721">
        <v>12702083463</v>
      </c>
      <c r="J122" s="721">
        <v>10695259527.994234</v>
      </c>
      <c r="K122" s="721">
        <v>12702083463</v>
      </c>
      <c r="L122" s="722">
        <v>1.1876367683975333</v>
      </c>
      <c r="M122" s="723">
        <v>12702083463</v>
      </c>
      <c r="N122" s="724">
        <v>0</v>
      </c>
      <c r="O122" s="642"/>
    </row>
    <row r="123" spans="1:18" hidden="1" outlineLevel="1" x14ac:dyDescent="0.4">
      <c r="A123" s="483" t="s">
        <v>19</v>
      </c>
      <c r="B123" s="483" t="s">
        <v>173</v>
      </c>
      <c r="C123" s="483" t="s">
        <v>131</v>
      </c>
      <c r="D123" s="737" t="s">
        <v>142</v>
      </c>
      <c r="E123" s="701" t="s">
        <v>132</v>
      </c>
      <c r="F123" s="701" t="s">
        <v>133</v>
      </c>
      <c r="G123" s="701" t="s">
        <v>134</v>
      </c>
      <c r="H123" s="701" t="s">
        <v>135</v>
      </c>
      <c r="I123" s="702"/>
      <c r="J123" s="702">
        <v>0</v>
      </c>
      <c r="K123" s="702">
        <v>0</v>
      </c>
      <c r="L123" s="703" t="e">
        <v>#DIV/0!</v>
      </c>
      <c r="M123" s="702">
        <v>0</v>
      </c>
      <c r="N123" s="738">
        <v>0</v>
      </c>
      <c r="O123" s="642"/>
    </row>
    <row r="124" spans="1:18" hidden="1" outlineLevel="1" x14ac:dyDescent="0.4">
      <c r="A124" s="483" t="s">
        <v>19</v>
      </c>
      <c r="B124" s="483" t="s">
        <v>173</v>
      </c>
      <c r="C124" s="483" t="s">
        <v>51</v>
      </c>
      <c r="D124" s="699" t="s">
        <v>300</v>
      </c>
      <c r="E124" s="701" t="s">
        <v>132</v>
      </c>
      <c r="F124" s="701" t="s">
        <v>133</v>
      </c>
      <c r="G124" s="701" t="s">
        <v>134</v>
      </c>
      <c r="H124" s="701" t="s">
        <v>136</v>
      </c>
      <c r="I124" s="702"/>
      <c r="J124" s="702">
        <v>0</v>
      </c>
      <c r="K124" s="702">
        <v>0</v>
      </c>
      <c r="L124" s="703"/>
      <c r="M124" s="702">
        <v>0</v>
      </c>
      <c r="N124" s="738">
        <v>0</v>
      </c>
      <c r="O124" s="642"/>
    </row>
    <row r="125" spans="1:18" hidden="1" outlineLevel="1" x14ac:dyDescent="0.4">
      <c r="A125" s="483" t="s">
        <v>19</v>
      </c>
      <c r="B125" s="483" t="s">
        <v>173</v>
      </c>
      <c r="C125" s="483" t="s">
        <v>22</v>
      </c>
      <c r="D125" s="699" t="s">
        <v>300</v>
      </c>
      <c r="E125" s="700" t="s">
        <v>132</v>
      </c>
      <c r="F125" s="701" t="s">
        <v>133</v>
      </c>
      <c r="G125" s="701" t="s">
        <v>134</v>
      </c>
      <c r="H125" s="701" t="s">
        <v>137</v>
      </c>
      <c r="I125" s="702">
        <v>4528225660</v>
      </c>
      <c r="J125" s="702">
        <v>2142252000</v>
      </c>
      <c r="K125" s="702">
        <v>4528225660</v>
      </c>
      <c r="L125" s="703"/>
      <c r="M125" s="702">
        <v>4528225660</v>
      </c>
      <c r="N125" s="738">
        <v>0</v>
      </c>
      <c r="O125" s="770"/>
      <c r="P125" s="642"/>
    </row>
    <row r="126" spans="1:18" hidden="1" outlineLevel="1" x14ac:dyDescent="0.4">
      <c r="A126" s="483" t="s">
        <v>19</v>
      </c>
      <c r="B126" s="483" t="s">
        <v>173</v>
      </c>
      <c r="C126" s="483" t="s">
        <v>27</v>
      </c>
      <c r="D126" s="699" t="s">
        <v>300</v>
      </c>
      <c r="E126" s="701" t="s">
        <v>132</v>
      </c>
      <c r="F126" s="701" t="s">
        <v>133</v>
      </c>
      <c r="G126" s="701" t="s">
        <v>134</v>
      </c>
      <c r="H126" s="701" t="s">
        <v>138</v>
      </c>
      <c r="I126" s="702">
        <v>166471840</v>
      </c>
      <c r="J126" s="702">
        <v>959310827.9942342</v>
      </c>
      <c r="K126" s="702">
        <v>166471840</v>
      </c>
      <c r="L126" s="703">
        <v>0.1735327436552197</v>
      </c>
      <c r="M126" s="702">
        <v>166471840</v>
      </c>
      <c r="N126" s="738">
        <v>0</v>
      </c>
      <c r="O126" s="642"/>
    </row>
    <row r="127" spans="1:18" hidden="1" outlineLevel="1" x14ac:dyDescent="0.4">
      <c r="A127" s="483" t="s">
        <v>19</v>
      </c>
      <c r="B127" s="483" t="s">
        <v>173</v>
      </c>
      <c r="C127" s="483" t="s">
        <v>26</v>
      </c>
      <c r="D127" s="699" t="s">
        <v>300</v>
      </c>
      <c r="E127" s="701" t="s">
        <v>132</v>
      </c>
      <c r="F127" s="701" t="s">
        <v>133</v>
      </c>
      <c r="G127" s="701" t="s">
        <v>134</v>
      </c>
      <c r="H127" s="701" t="s">
        <v>139</v>
      </c>
      <c r="I127" s="702">
        <v>7377697800</v>
      </c>
      <c r="J127" s="702">
        <v>4201715500</v>
      </c>
      <c r="K127" s="702">
        <v>7377697800</v>
      </c>
      <c r="L127" s="703">
        <v>1.7558775219312208</v>
      </c>
      <c r="M127" s="702">
        <v>7377697800</v>
      </c>
      <c r="N127" s="738">
        <v>0</v>
      </c>
      <c r="O127" s="642" t="s">
        <v>178</v>
      </c>
    </row>
    <row r="128" spans="1:18" hidden="1" outlineLevel="1" x14ac:dyDescent="0.4">
      <c r="A128" s="483" t="s">
        <v>19</v>
      </c>
      <c r="B128" s="483" t="s">
        <v>173</v>
      </c>
      <c r="C128" s="483" t="s">
        <v>50</v>
      </c>
      <c r="D128" s="699" t="s">
        <v>300</v>
      </c>
      <c r="E128" s="701" t="s">
        <v>132</v>
      </c>
      <c r="F128" s="701" t="s">
        <v>133</v>
      </c>
      <c r="G128" s="701" t="s">
        <v>134</v>
      </c>
      <c r="H128" s="701" t="s">
        <v>140</v>
      </c>
      <c r="I128" s="702"/>
      <c r="J128" s="702">
        <v>107000000</v>
      </c>
      <c r="K128" s="702"/>
      <c r="L128" s="703">
        <v>0</v>
      </c>
      <c r="M128" s="702"/>
      <c r="N128" s="738">
        <v>0</v>
      </c>
      <c r="O128" s="642"/>
    </row>
    <row r="129" spans="1:16" hidden="1" outlineLevel="1" x14ac:dyDescent="0.4">
      <c r="A129" s="483" t="s">
        <v>19</v>
      </c>
      <c r="B129" s="483" t="s">
        <v>173</v>
      </c>
      <c r="C129" s="483" t="s">
        <v>30</v>
      </c>
      <c r="D129" s="699" t="s">
        <v>300</v>
      </c>
      <c r="E129" s="701" t="s">
        <v>132</v>
      </c>
      <c r="F129" s="701" t="s">
        <v>133</v>
      </c>
      <c r="G129" s="701" t="s">
        <v>134</v>
      </c>
      <c r="H129" s="701" t="s">
        <v>141</v>
      </c>
      <c r="I129" s="702">
        <v>38500000</v>
      </c>
      <c r="J129" s="702">
        <v>720875000</v>
      </c>
      <c r="K129" s="702">
        <v>38500000</v>
      </c>
      <c r="L129" s="703">
        <v>5.3407317496098491E-2</v>
      </c>
      <c r="M129" s="702">
        <v>38500000</v>
      </c>
      <c r="N129" s="738">
        <v>0</v>
      </c>
      <c r="O129" s="642"/>
    </row>
    <row r="130" spans="1:16" hidden="1" outlineLevel="1" x14ac:dyDescent="0.4">
      <c r="A130" s="483" t="s">
        <v>19</v>
      </c>
      <c r="B130" s="483" t="s">
        <v>173</v>
      </c>
      <c r="C130" s="483" t="s">
        <v>29</v>
      </c>
      <c r="D130" s="699" t="s">
        <v>300</v>
      </c>
      <c r="E130" s="701" t="s">
        <v>132</v>
      </c>
      <c r="F130" s="701" t="s">
        <v>133</v>
      </c>
      <c r="G130" s="701" t="s">
        <v>134</v>
      </c>
      <c r="H130" s="701" t="s">
        <v>145</v>
      </c>
      <c r="I130" s="702">
        <v>110001036</v>
      </c>
      <c r="J130" s="702">
        <v>724900000</v>
      </c>
      <c r="K130" s="702">
        <v>110001036</v>
      </c>
      <c r="L130" s="703">
        <v>0.15174649744792384</v>
      </c>
      <c r="M130" s="702">
        <v>110001036</v>
      </c>
      <c r="N130" s="738">
        <v>0</v>
      </c>
      <c r="O130" s="642" t="s">
        <v>179</v>
      </c>
    </row>
    <row r="131" spans="1:16" hidden="1" outlineLevel="1" x14ac:dyDescent="0.4">
      <c r="A131" s="483" t="s">
        <v>19</v>
      </c>
      <c r="B131" s="483" t="s">
        <v>173</v>
      </c>
      <c r="C131" s="483" t="s">
        <v>31</v>
      </c>
      <c r="D131" s="699" t="s">
        <v>300</v>
      </c>
      <c r="E131" s="712" t="s">
        <v>132</v>
      </c>
      <c r="F131" s="712" t="s">
        <v>133</v>
      </c>
      <c r="G131" s="712" t="s">
        <v>134</v>
      </c>
      <c r="H131" s="712" t="s">
        <v>146</v>
      </c>
      <c r="I131" s="713">
        <v>125354167</v>
      </c>
      <c r="J131" s="713">
        <v>234375000</v>
      </c>
      <c r="K131" s="713">
        <v>125354167</v>
      </c>
      <c r="L131" s="714"/>
      <c r="M131" s="713">
        <v>125354167</v>
      </c>
      <c r="N131" s="738">
        <v>0</v>
      </c>
      <c r="O131" s="642"/>
      <c r="P131" s="509">
        <v>109103480</v>
      </c>
    </row>
    <row r="132" spans="1:16" ht="14.4" hidden="1" outlineLevel="1" thickBot="1" x14ac:dyDescent="0.45">
      <c r="A132" s="483" t="s">
        <v>19</v>
      </c>
      <c r="B132" s="483" t="s">
        <v>173</v>
      </c>
      <c r="C132" s="483" t="s">
        <v>32</v>
      </c>
      <c r="D132" s="730" t="s">
        <v>300</v>
      </c>
      <c r="E132" s="716" t="s">
        <v>132</v>
      </c>
      <c r="F132" s="716" t="s">
        <v>133</v>
      </c>
      <c r="G132" s="716" t="s">
        <v>134</v>
      </c>
      <c r="H132" s="716" t="s">
        <v>147</v>
      </c>
      <c r="I132" s="717">
        <v>15738000</v>
      </c>
      <c r="J132" s="717">
        <v>0</v>
      </c>
      <c r="K132" s="717">
        <v>15738000</v>
      </c>
      <c r="L132" s="718" t="e">
        <v>#DIV/0!</v>
      </c>
      <c r="M132" s="717">
        <v>15738000</v>
      </c>
      <c r="N132" s="738">
        <v>0</v>
      </c>
      <c r="O132" s="483" t="s">
        <v>176</v>
      </c>
    </row>
    <row r="133" spans="1:16" ht="14.4" hidden="1" outlineLevel="1" thickBot="1" x14ac:dyDescent="0.45">
      <c r="D133" s="720" t="s">
        <v>180</v>
      </c>
      <c r="E133" s="831"/>
      <c r="F133" s="831"/>
      <c r="G133" s="831"/>
      <c r="H133" s="832"/>
      <c r="I133" s="721">
        <v>12361988503</v>
      </c>
      <c r="J133" s="721">
        <v>9090428327.9942341</v>
      </c>
      <c r="K133" s="721">
        <v>12361988503</v>
      </c>
      <c r="L133" s="722">
        <v>1.3598906516792946</v>
      </c>
      <c r="M133" s="723">
        <v>12361988503</v>
      </c>
      <c r="N133" s="724">
        <v>0</v>
      </c>
      <c r="P133" s="771"/>
    </row>
    <row r="134" spans="1:16" hidden="1" outlineLevel="1" x14ac:dyDescent="0.4">
      <c r="A134" s="483" t="s">
        <v>19</v>
      </c>
      <c r="B134" s="483" t="s">
        <v>173</v>
      </c>
      <c r="C134" s="483" t="s">
        <v>131</v>
      </c>
      <c r="D134" s="693" t="s">
        <v>143</v>
      </c>
      <c r="E134" s="772" t="s">
        <v>132</v>
      </c>
      <c r="F134" s="772" t="s">
        <v>133</v>
      </c>
      <c r="G134" s="772" t="s">
        <v>134</v>
      </c>
      <c r="H134" s="772" t="s">
        <v>135</v>
      </c>
      <c r="I134" s="773"/>
      <c r="J134" s="773">
        <v>0</v>
      </c>
      <c r="K134" s="773"/>
      <c r="L134" s="774" t="e">
        <v>#DIV/0!</v>
      </c>
      <c r="M134" s="773"/>
      <c r="N134" s="759">
        <v>0</v>
      </c>
      <c r="O134" s="642"/>
    </row>
    <row r="135" spans="1:16" hidden="1" outlineLevel="1" x14ac:dyDescent="0.4">
      <c r="A135" s="483" t="s">
        <v>19</v>
      </c>
      <c r="B135" s="483" t="s">
        <v>173</v>
      </c>
      <c r="C135" s="483" t="s">
        <v>51</v>
      </c>
      <c r="D135" s="699" t="s">
        <v>579</v>
      </c>
      <c r="E135" s="701" t="s">
        <v>132</v>
      </c>
      <c r="F135" s="701" t="s">
        <v>133</v>
      </c>
      <c r="G135" s="701" t="s">
        <v>134</v>
      </c>
      <c r="H135" s="701" t="s">
        <v>136</v>
      </c>
      <c r="I135" s="702"/>
      <c r="J135" s="702">
        <v>0</v>
      </c>
      <c r="K135" s="702"/>
      <c r="L135" s="703"/>
      <c r="M135" s="702"/>
      <c r="N135" s="738">
        <v>0</v>
      </c>
      <c r="O135" s="642"/>
    </row>
    <row r="136" spans="1:16" hidden="1" outlineLevel="1" x14ac:dyDescent="0.4">
      <c r="A136" s="483" t="s">
        <v>19</v>
      </c>
      <c r="B136" s="483" t="s">
        <v>173</v>
      </c>
      <c r="C136" s="483" t="s">
        <v>22</v>
      </c>
      <c r="D136" s="699" t="s">
        <v>579</v>
      </c>
      <c r="E136" s="700" t="s">
        <v>132</v>
      </c>
      <c r="F136" s="701" t="s">
        <v>133</v>
      </c>
      <c r="G136" s="701" t="s">
        <v>134</v>
      </c>
      <c r="H136" s="701" t="s">
        <v>137</v>
      </c>
      <c r="I136" s="702">
        <v>6019051822</v>
      </c>
      <c r="J136" s="702">
        <v>495684000</v>
      </c>
      <c r="K136" s="702">
        <v>6019051822</v>
      </c>
      <c r="L136" s="703"/>
      <c r="M136" s="702">
        <v>6019051822</v>
      </c>
      <c r="N136" s="738">
        <v>0</v>
      </c>
      <c r="O136" s="760" t="s">
        <v>181</v>
      </c>
      <c r="P136" s="642"/>
    </row>
    <row r="137" spans="1:16" hidden="1" outlineLevel="1" x14ac:dyDescent="0.4">
      <c r="A137" s="483" t="s">
        <v>19</v>
      </c>
      <c r="B137" s="483" t="s">
        <v>173</v>
      </c>
      <c r="C137" s="483" t="s">
        <v>27</v>
      </c>
      <c r="D137" s="699" t="s">
        <v>579</v>
      </c>
      <c r="E137" s="701" t="s">
        <v>132</v>
      </c>
      <c r="F137" s="701" t="s">
        <v>133</v>
      </c>
      <c r="G137" s="701" t="s">
        <v>134</v>
      </c>
      <c r="H137" s="701" t="s">
        <v>138</v>
      </c>
      <c r="I137" s="702">
        <v>190623740</v>
      </c>
      <c r="J137" s="702">
        <v>959310827.9942342</v>
      </c>
      <c r="K137" s="702">
        <v>190623740</v>
      </c>
      <c r="L137" s="703">
        <v>0.19870904657520005</v>
      </c>
      <c r="M137" s="702">
        <v>190623740</v>
      </c>
      <c r="N137" s="738">
        <v>0</v>
      </c>
      <c r="O137" s="642"/>
    </row>
    <row r="138" spans="1:16" hidden="1" outlineLevel="1" x14ac:dyDescent="0.4">
      <c r="A138" s="483" t="s">
        <v>19</v>
      </c>
      <c r="B138" s="483" t="s">
        <v>173</v>
      </c>
      <c r="C138" s="483" t="s">
        <v>26</v>
      </c>
      <c r="D138" s="699" t="s">
        <v>579</v>
      </c>
      <c r="E138" s="701" t="s">
        <v>132</v>
      </c>
      <c r="F138" s="701" t="s">
        <v>133</v>
      </c>
      <c r="G138" s="701" t="s">
        <v>134</v>
      </c>
      <c r="H138" s="701" t="s">
        <v>139</v>
      </c>
      <c r="I138" s="702">
        <v>8035017050</v>
      </c>
      <c r="J138" s="702">
        <v>14634343765</v>
      </c>
      <c r="K138" s="702">
        <v>8035017050</v>
      </c>
      <c r="L138" s="703">
        <v>0.54905209136994737</v>
      </c>
      <c r="M138" s="771">
        <v>8035017050</v>
      </c>
      <c r="N138" s="738">
        <v>0</v>
      </c>
      <c r="O138" s="642"/>
    </row>
    <row r="139" spans="1:16" hidden="1" outlineLevel="1" x14ac:dyDescent="0.4">
      <c r="A139" s="483" t="s">
        <v>19</v>
      </c>
      <c r="B139" s="483" t="s">
        <v>173</v>
      </c>
      <c r="C139" s="483" t="s">
        <v>50</v>
      </c>
      <c r="D139" s="699" t="s">
        <v>579</v>
      </c>
      <c r="E139" s="701" t="s">
        <v>132</v>
      </c>
      <c r="F139" s="701" t="s">
        <v>133</v>
      </c>
      <c r="G139" s="701" t="s">
        <v>134</v>
      </c>
      <c r="H139" s="701" t="s">
        <v>140</v>
      </c>
      <c r="I139" s="702">
        <v>134600000</v>
      </c>
      <c r="J139" s="702">
        <v>67000000</v>
      </c>
      <c r="K139" s="702">
        <v>134600000</v>
      </c>
      <c r="L139" s="703">
        <v>2.008955223880597</v>
      </c>
      <c r="M139" s="702">
        <v>134600000</v>
      </c>
      <c r="N139" s="738">
        <v>0</v>
      </c>
      <c r="O139" s="642"/>
    </row>
    <row r="140" spans="1:16" hidden="1" outlineLevel="1" x14ac:dyDescent="0.4">
      <c r="A140" s="483" t="s">
        <v>19</v>
      </c>
      <c r="B140" s="483" t="s">
        <v>173</v>
      </c>
      <c r="C140" s="483" t="s">
        <v>30</v>
      </c>
      <c r="D140" s="699" t="s">
        <v>579</v>
      </c>
      <c r="E140" s="701" t="s">
        <v>132</v>
      </c>
      <c r="F140" s="701" t="s">
        <v>133</v>
      </c>
      <c r="G140" s="701" t="s">
        <v>134</v>
      </c>
      <c r="H140" s="701" t="s">
        <v>141</v>
      </c>
      <c r="I140" s="702">
        <v>46875000</v>
      </c>
      <c r="J140" s="702">
        <v>257375000</v>
      </c>
      <c r="K140" s="702">
        <v>46875000</v>
      </c>
      <c r="L140" s="703">
        <v>0.1821272462360369</v>
      </c>
      <c r="M140" s="775">
        <v>46875000</v>
      </c>
      <c r="N140" s="738">
        <v>0</v>
      </c>
      <c r="O140" s="642"/>
    </row>
    <row r="141" spans="1:16" hidden="1" outlineLevel="1" x14ac:dyDescent="0.4">
      <c r="A141" s="483" t="s">
        <v>19</v>
      </c>
      <c r="B141" s="483" t="s">
        <v>173</v>
      </c>
      <c r="C141" s="483" t="s">
        <v>29</v>
      </c>
      <c r="D141" s="699" t="s">
        <v>579</v>
      </c>
      <c r="E141" s="701" t="s">
        <v>132</v>
      </c>
      <c r="F141" s="701" t="s">
        <v>133</v>
      </c>
      <c r="G141" s="701" t="s">
        <v>134</v>
      </c>
      <c r="H141" s="701" t="s">
        <v>145</v>
      </c>
      <c r="I141" s="702">
        <v>476323136</v>
      </c>
      <c r="J141" s="702">
        <v>437000000</v>
      </c>
      <c r="K141" s="702">
        <v>476323136</v>
      </c>
      <c r="L141" s="703">
        <v>1.0899842929061785</v>
      </c>
      <c r="M141" s="775">
        <v>476323136</v>
      </c>
      <c r="N141" s="738">
        <v>0</v>
      </c>
      <c r="O141" s="760" t="s">
        <v>182</v>
      </c>
    </row>
    <row r="142" spans="1:16" hidden="1" outlineLevel="1" x14ac:dyDescent="0.4">
      <c r="A142" s="483" t="s">
        <v>19</v>
      </c>
      <c r="B142" s="483" t="s">
        <v>173</v>
      </c>
      <c r="C142" s="483" t="s">
        <v>31</v>
      </c>
      <c r="D142" s="699" t="s">
        <v>579</v>
      </c>
      <c r="E142" s="712" t="s">
        <v>132</v>
      </c>
      <c r="F142" s="712" t="s">
        <v>133</v>
      </c>
      <c r="G142" s="712" t="s">
        <v>134</v>
      </c>
      <c r="H142" s="712" t="s">
        <v>146</v>
      </c>
      <c r="I142" s="713">
        <v>31604167</v>
      </c>
      <c r="J142" s="713">
        <v>234375000</v>
      </c>
      <c r="K142" s="713">
        <v>31604167</v>
      </c>
      <c r="L142" s="714"/>
      <c r="M142" s="713">
        <v>31604167</v>
      </c>
      <c r="N142" s="738">
        <v>0</v>
      </c>
      <c r="O142" s="776"/>
    </row>
    <row r="143" spans="1:16" ht="14.4" hidden="1" outlineLevel="1" thickBot="1" x14ac:dyDescent="0.45">
      <c r="A143" s="483" t="s">
        <v>19</v>
      </c>
      <c r="B143" s="483" t="s">
        <v>173</v>
      </c>
      <c r="C143" s="483" t="s">
        <v>32</v>
      </c>
      <c r="D143" s="777" t="s">
        <v>579</v>
      </c>
      <c r="E143" s="716" t="s">
        <v>132</v>
      </c>
      <c r="F143" s="716" t="s">
        <v>133</v>
      </c>
      <c r="G143" s="716" t="s">
        <v>134</v>
      </c>
      <c r="H143" s="716" t="s">
        <v>147</v>
      </c>
      <c r="I143" s="717">
        <v>167447981</v>
      </c>
      <c r="J143" s="717">
        <v>0</v>
      </c>
      <c r="K143" s="717">
        <v>167447981</v>
      </c>
      <c r="L143" s="718" t="e">
        <v>#DIV/0!</v>
      </c>
      <c r="M143" s="717">
        <v>167447981</v>
      </c>
      <c r="N143" s="738">
        <v>0</v>
      </c>
    </row>
    <row r="144" spans="1:16" ht="14.4" hidden="1" outlineLevel="1" thickBot="1" x14ac:dyDescent="0.45">
      <c r="D144" s="720" t="s">
        <v>183</v>
      </c>
      <c r="E144" s="831"/>
      <c r="F144" s="831"/>
      <c r="G144" s="831"/>
      <c r="H144" s="832"/>
      <c r="I144" s="721">
        <v>15101542896</v>
      </c>
      <c r="J144" s="721">
        <v>17085088592.994234</v>
      </c>
      <c r="K144" s="721">
        <v>15101542896</v>
      </c>
      <c r="L144" s="722">
        <v>0.88390193669773598</v>
      </c>
      <c r="M144" s="723">
        <v>15101542896</v>
      </c>
      <c r="N144" s="724">
        <v>0</v>
      </c>
      <c r="O144" s="778"/>
    </row>
    <row r="145" spans="1:20" ht="17.850000000000001" customHeight="1" collapsed="1" thickBot="1" x14ac:dyDescent="0.45">
      <c r="D145" s="833" t="s">
        <v>184</v>
      </c>
      <c r="E145" s="834"/>
      <c r="F145" s="834"/>
      <c r="G145" s="834"/>
      <c r="H145" s="835"/>
      <c r="I145" s="733">
        <v>30203085792</v>
      </c>
      <c r="J145" s="733">
        <v>36870776448.982704</v>
      </c>
      <c r="K145" s="733">
        <v>40165614862</v>
      </c>
      <c r="L145" s="734">
        <v>0.81916055751609562</v>
      </c>
      <c r="M145" s="767">
        <v>40165614862</v>
      </c>
      <c r="N145" s="779">
        <v>0</v>
      </c>
    </row>
    <row r="146" spans="1:20" ht="14.4" thickBot="1" x14ac:dyDescent="0.45">
      <c r="D146" s="1052" t="s">
        <v>185</v>
      </c>
      <c r="E146" s="1053"/>
      <c r="F146" s="1053"/>
      <c r="G146" s="1053"/>
      <c r="H146" s="1054"/>
      <c r="I146" s="780">
        <f>SUM(I136:I145)</f>
        <v>60406171584</v>
      </c>
      <c r="J146" s="780">
        <f>SUM(J17,J28,J39,J51,J62,J73,J86,J98,J110,J122,J133,J144)</f>
        <v>110098907855.56766</v>
      </c>
      <c r="K146" s="780">
        <f>SUM(K17,K28,K39,K51,K62,K73,K86,K98,K110,K122,K133,K144)</f>
        <v>135788530132</v>
      </c>
      <c r="L146" s="781">
        <f>I146/J146</f>
        <v>0.54865368567727613</v>
      </c>
      <c r="M146" s="782">
        <f>SUM(M17,M28,M39,M51,M62,M73,M86,M98,M110,M122,M133,M144)</f>
        <v>135788530132</v>
      </c>
      <c r="N146" s="783">
        <f>SUM(N17,N28,N39,N51,N62,N73,N86,N98,N110,N122,N133,N144)</f>
        <v>0</v>
      </c>
    </row>
    <row r="147" spans="1:20" hidden="1" outlineLevel="1" x14ac:dyDescent="0.4">
      <c r="A147" s="483" t="s">
        <v>21</v>
      </c>
      <c r="B147" s="483" t="s">
        <v>2</v>
      </c>
      <c r="C147" s="483" t="s">
        <v>105</v>
      </c>
      <c r="D147" s="693" t="s">
        <v>3</v>
      </c>
      <c r="E147" s="772" t="s">
        <v>132</v>
      </c>
      <c r="F147" s="772" t="s">
        <v>133</v>
      </c>
      <c r="G147" s="772" t="s">
        <v>134</v>
      </c>
      <c r="H147" s="772" t="s">
        <v>135</v>
      </c>
      <c r="I147" s="773"/>
      <c r="J147" s="773"/>
      <c r="K147" s="773"/>
      <c r="L147" s="774" t="e">
        <f t="shared" ref="L147" si="6">+I147/J147</f>
        <v>#DIV/0!</v>
      </c>
      <c r="M147" s="773"/>
      <c r="N147" s="759">
        <f>K147-M147</f>
        <v>0</v>
      </c>
      <c r="O147" s="642"/>
    </row>
    <row r="148" spans="1:20" hidden="1" outlineLevel="1" x14ac:dyDescent="0.4">
      <c r="A148" s="483" t="s">
        <v>21</v>
      </c>
      <c r="B148" s="483" t="s">
        <v>2</v>
      </c>
      <c r="C148" s="483" t="s">
        <v>105</v>
      </c>
      <c r="D148" s="699" t="str">
        <f t="shared" ref="D148:D156" si="7">D147</f>
        <v>1월</v>
      </c>
      <c r="E148" s="701" t="s">
        <v>132</v>
      </c>
      <c r="F148" s="701" t="s">
        <v>133</v>
      </c>
      <c r="G148" s="701" t="s">
        <v>134</v>
      </c>
      <c r="H148" s="701" t="s">
        <v>136</v>
      </c>
      <c r="I148" s="702"/>
      <c r="J148" s="702"/>
      <c r="K148" s="702"/>
      <c r="L148" s="703"/>
      <c r="M148" s="702"/>
      <c r="N148" s="738">
        <f t="shared" ref="N148:N156" si="8">K148-M148</f>
        <v>0</v>
      </c>
      <c r="O148" s="642"/>
    </row>
    <row r="149" spans="1:20" hidden="1" outlineLevel="1" x14ac:dyDescent="0.4">
      <c r="A149" s="483" t="s">
        <v>21</v>
      </c>
      <c r="B149" s="483" t="s">
        <v>2</v>
      </c>
      <c r="C149" s="483" t="s">
        <v>22</v>
      </c>
      <c r="D149" s="699" t="str">
        <f t="shared" si="7"/>
        <v>1월</v>
      </c>
      <c r="E149" s="700" t="s">
        <v>132</v>
      </c>
      <c r="F149" s="701" t="s">
        <v>133</v>
      </c>
      <c r="G149" s="701" t="s">
        <v>134</v>
      </c>
      <c r="H149" s="701" t="s">
        <v>137</v>
      </c>
      <c r="I149" s="702">
        <v>300518838</v>
      </c>
      <c r="J149" s="702">
        <f>14.1927964285714*10^8</f>
        <v>1419279642.8571401</v>
      </c>
      <c r="K149" s="702">
        <v>300518838</v>
      </c>
      <c r="L149" s="703"/>
      <c r="M149" s="702">
        <v>300518838</v>
      </c>
      <c r="N149" s="738">
        <f t="shared" si="8"/>
        <v>0</v>
      </c>
      <c r="O149" s="642" t="s">
        <v>186</v>
      </c>
      <c r="P149" s="642"/>
      <c r="Q149" s="784">
        <v>300518838</v>
      </c>
      <c r="S149" s="619">
        <f>J149/10^8</f>
        <v>14.1927964285714</v>
      </c>
      <c r="T149" s="619">
        <f>K149/10^8</f>
        <v>3.0051883799999999</v>
      </c>
    </row>
    <row r="150" spans="1:20" hidden="1" outlineLevel="1" x14ac:dyDescent="0.4">
      <c r="A150" s="483" t="s">
        <v>21</v>
      </c>
      <c r="B150" s="483" t="s">
        <v>2</v>
      </c>
      <c r="C150" s="483" t="s">
        <v>27</v>
      </c>
      <c r="D150" s="699" t="str">
        <f t="shared" si="7"/>
        <v>1월</v>
      </c>
      <c r="E150" s="701" t="s">
        <v>132</v>
      </c>
      <c r="F150" s="701" t="s">
        <v>133</v>
      </c>
      <c r="G150" s="701" t="s">
        <v>134</v>
      </c>
      <c r="H150" s="701" t="s">
        <v>138</v>
      </c>
      <c r="I150" s="702">
        <v>618683380</v>
      </c>
      <c r="J150" s="702">
        <f>9.134775*10^8</f>
        <v>913477500</v>
      </c>
      <c r="K150" s="702">
        <v>618683380</v>
      </c>
      <c r="L150" s="703">
        <f t="shared" ref="L150:L154" si="9">+I150/J150</f>
        <v>0.6772836550435013</v>
      </c>
      <c r="M150" s="702">
        <v>618683380</v>
      </c>
      <c r="N150" s="738">
        <f t="shared" si="8"/>
        <v>0</v>
      </c>
      <c r="O150" s="642"/>
      <c r="Q150" s="784">
        <v>570578960</v>
      </c>
      <c r="S150" s="619">
        <f t="shared" ref="S150:T157" si="10">J150/10^8</f>
        <v>9.1347749999999994</v>
      </c>
      <c r="T150" s="619">
        <f t="shared" si="10"/>
        <v>6.1868337999999996</v>
      </c>
    </row>
    <row r="151" spans="1:20" hidden="1" outlineLevel="1" x14ac:dyDescent="0.4">
      <c r="A151" s="483" t="s">
        <v>21</v>
      </c>
      <c r="B151" s="483" t="s">
        <v>2</v>
      </c>
      <c r="C151" s="483" t="s">
        <v>26</v>
      </c>
      <c r="D151" s="699" t="str">
        <f t="shared" si="7"/>
        <v>1월</v>
      </c>
      <c r="E151" s="701" t="s">
        <v>132</v>
      </c>
      <c r="F151" s="701" t="s">
        <v>133</v>
      </c>
      <c r="G151" s="701" t="s">
        <v>134</v>
      </c>
      <c r="H151" s="701" t="s">
        <v>139</v>
      </c>
      <c r="I151" s="702">
        <v>6984278900</v>
      </c>
      <c r="J151" s="702">
        <f>67.310097*10^8</f>
        <v>6731009700</v>
      </c>
      <c r="K151" s="702">
        <v>6984278900</v>
      </c>
      <c r="L151" s="703">
        <f t="shared" si="9"/>
        <v>1.037627222554738</v>
      </c>
      <c r="M151" s="785">
        <v>6984278900</v>
      </c>
      <c r="N151" s="738">
        <f t="shared" si="8"/>
        <v>0</v>
      </c>
      <c r="O151" s="786">
        <v>6808202300</v>
      </c>
      <c r="P151" s="483" t="s">
        <v>187</v>
      </c>
      <c r="Q151" s="787">
        <v>6731009700</v>
      </c>
      <c r="S151" s="619">
        <f t="shared" si="10"/>
        <v>67.310096999999999</v>
      </c>
      <c r="T151" s="619">
        <f t="shared" si="10"/>
        <v>69.842788999999996</v>
      </c>
    </row>
    <row r="152" spans="1:20" hidden="1" outlineLevel="1" x14ac:dyDescent="0.4">
      <c r="A152" s="483" t="s">
        <v>21</v>
      </c>
      <c r="B152" s="483" t="s">
        <v>2</v>
      </c>
      <c r="C152" s="483" t="s">
        <v>32</v>
      </c>
      <c r="D152" s="699" t="str">
        <f t="shared" si="7"/>
        <v>1월</v>
      </c>
      <c r="E152" s="701" t="s">
        <v>132</v>
      </c>
      <c r="F152" s="701" t="s">
        <v>133</v>
      </c>
      <c r="G152" s="701" t="s">
        <v>134</v>
      </c>
      <c r="H152" s="701" t="s">
        <v>140</v>
      </c>
      <c r="I152" s="702">
        <v>67000000</v>
      </c>
      <c r="J152" s="702"/>
      <c r="K152" s="702">
        <v>67000000</v>
      </c>
      <c r="L152" s="703" t="e">
        <f t="shared" si="9"/>
        <v>#DIV/0!</v>
      </c>
      <c r="M152" s="702">
        <v>67000000</v>
      </c>
      <c r="N152" s="738">
        <f t="shared" si="8"/>
        <v>0</v>
      </c>
      <c r="O152" s="642"/>
      <c r="Q152" s="784">
        <v>67000000</v>
      </c>
      <c r="S152" s="619">
        <f t="shared" si="10"/>
        <v>0</v>
      </c>
      <c r="T152" s="619">
        <f t="shared" si="10"/>
        <v>0.67</v>
      </c>
    </row>
    <row r="153" spans="1:20" hidden="1" outlineLevel="1" x14ac:dyDescent="0.4">
      <c r="A153" s="483" t="s">
        <v>21</v>
      </c>
      <c r="B153" s="483" t="s">
        <v>2</v>
      </c>
      <c r="C153" s="483" t="s">
        <v>30</v>
      </c>
      <c r="D153" s="699" t="str">
        <f t="shared" si="7"/>
        <v>1월</v>
      </c>
      <c r="E153" s="701" t="s">
        <v>132</v>
      </c>
      <c r="F153" s="701" t="s">
        <v>133</v>
      </c>
      <c r="G153" s="701" t="s">
        <v>134</v>
      </c>
      <c r="H153" s="701" t="s">
        <v>141</v>
      </c>
      <c r="I153" s="702">
        <v>0</v>
      </c>
      <c r="J153" s="702"/>
      <c r="K153" s="702">
        <v>0</v>
      </c>
      <c r="L153" s="703" t="e">
        <f t="shared" si="9"/>
        <v>#DIV/0!</v>
      </c>
      <c r="M153" s="702">
        <v>0</v>
      </c>
      <c r="N153" s="738">
        <f t="shared" si="8"/>
        <v>0</v>
      </c>
      <c r="O153" s="642"/>
      <c r="Q153" s="784">
        <v>93750000</v>
      </c>
      <c r="S153" s="619">
        <f t="shared" si="10"/>
        <v>0</v>
      </c>
      <c r="T153" s="619">
        <f t="shared" si="10"/>
        <v>0</v>
      </c>
    </row>
    <row r="154" spans="1:20" hidden="1" outlineLevel="1" x14ac:dyDescent="0.4">
      <c r="A154" s="483" t="s">
        <v>21</v>
      </c>
      <c r="B154" s="483" t="s">
        <v>2</v>
      </c>
      <c r="C154" s="483" t="s">
        <v>29</v>
      </c>
      <c r="D154" s="699" t="str">
        <f t="shared" si="7"/>
        <v>1월</v>
      </c>
      <c r="E154" s="701" t="s">
        <v>132</v>
      </c>
      <c r="F154" s="701" t="s">
        <v>133</v>
      </c>
      <c r="G154" s="701" t="s">
        <v>134</v>
      </c>
      <c r="H154" s="701" t="s">
        <v>145</v>
      </c>
      <c r="I154" s="702">
        <v>2987895337</v>
      </c>
      <c r="J154" s="702">
        <f>18.87*10^8</f>
        <v>1887000000</v>
      </c>
      <c r="K154" s="702">
        <v>2987895337</v>
      </c>
      <c r="L154" s="703">
        <f t="shared" si="9"/>
        <v>1.5834103534711181</v>
      </c>
      <c r="M154" s="702">
        <v>2987895337</v>
      </c>
      <c r="N154" s="738">
        <f t="shared" si="8"/>
        <v>0</v>
      </c>
      <c r="O154" s="642"/>
      <c r="Q154" s="784">
        <v>2886321036</v>
      </c>
      <c r="S154" s="619">
        <f t="shared" si="10"/>
        <v>18.87</v>
      </c>
      <c r="T154" s="619">
        <f t="shared" si="10"/>
        <v>29.878953370000001</v>
      </c>
    </row>
    <row r="155" spans="1:20" hidden="1" outlineLevel="1" x14ac:dyDescent="0.4">
      <c r="A155" s="483" t="s">
        <v>21</v>
      </c>
      <c r="B155" s="483" t="s">
        <v>2</v>
      </c>
      <c r="C155" s="483" t="s">
        <v>31</v>
      </c>
      <c r="D155" s="699" t="str">
        <f t="shared" si="7"/>
        <v>1월</v>
      </c>
      <c r="E155" s="712" t="s">
        <v>132</v>
      </c>
      <c r="F155" s="712" t="s">
        <v>133</v>
      </c>
      <c r="G155" s="712" t="s">
        <v>134</v>
      </c>
      <c r="H155" s="712" t="s">
        <v>146</v>
      </c>
      <c r="I155" s="713">
        <v>274679167</v>
      </c>
      <c r="J155" s="713"/>
      <c r="K155" s="713">
        <v>274679167</v>
      </c>
      <c r="L155" s="714"/>
      <c r="M155" s="713">
        <v>274679167</v>
      </c>
      <c r="N155" s="738">
        <f t="shared" si="8"/>
        <v>0</v>
      </c>
      <c r="O155" s="642" t="s">
        <v>188</v>
      </c>
      <c r="Q155" s="788">
        <v>274679167</v>
      </c>
      <c r="S155" s="619">
        <f t="shared" si="10"/>
        <v>0</v>
      </c>
      <c r="T155" s="619">
        <f t="shared" si="10"/>
        <v>2.7467916699999999</v>
      </c>
    </row>
    <row r="156" spans="1:20" ht="14.4" hidden="1" outlineLevel="1" thickBot="1" x14ac:dyDescent="0.45">
      <c r="A156" s="483" t="s">
        <v>21</v>
      </c>
      <c r="B156" s="483" t="s">
        <v>2</v>
      </c>
      <c r="C156" s="483" t="s">
        <v>32</v>
      </c>
      <c r="D156" s="699" t="str">
        <f t="shared" si="7"/>
        <v>1월</v>
      </c>
      <c r="E156" s="716" t="s">
        <v>132</v>
      </c>
      <c r="F156" s="716" t="s">
        <v>133</v>
      </c>
      <c r="G156" s="716" t="s">
        <v>134</v>
      </c>
      <c r="H156" s="716" t="s">
        <v>147</v>
      </c>
      <c r="I156" s="717">
        <v>50392557</v>
      </c>
      <c r="J156" s="717">
        <v>0</v>
      </c>
      <c r="K156" s="717">
        <v>50392557</v>
      </c>
      <c r="L156" s="718" t="e">
        <f t="shared" ref="L156" si="11">+K156/J156</f>
        <v>#DIV/0!</v>
      </c>
      <c r="M156" s="717">
        <v>50392557</v>
      </c>
      <c r="N156" s="738">
        <f t="shared" si="8"/>
        <v>0</v>
      </c>
      <c r="O156" s="483" t="s">
        <v>189</v>
      </c>
      <c r="Q156" s="789">
        <f>50370059.8</f>
        <v>50370059.799999997</v>
      </c>
      <c r="S156" s="619">
        <f t="shared" si="10"/>
        <v>0</v>
      </c>
      <c r="T156" s="619">
        <f t="shared" si="10"/>
        <v>0.50392557000000004</v>
      </c>
    </row>
    <row r="157" spans="1:20" ht="14.4" collapsed="1" thickBot="1" x14ac:dyDescent="0.45">
      <c r="D157" s="1046" t="s">
        <v>190</v>
      </c>
      <c r="E157" s="1047"/>
      <c r="F157" s="1047"/>
      <c r="G157" s="1047"/>
      <c r="H157" s="1048"/>
      <c r="I157" s="721">
        <f>SUM(I147:I156)</f>
        <v>11283448179</v>
      </c>
      <c r="J157" s="721">
        <f>SUM(J147:J156)</f>
        <v>10950766842.85714</v>
      </c>
      <c r="K157" s="721">
        <f>SUM(K147:K156)</f>
        <v>11283448179</v>
      </c>
      <c r="L157" s="722">
        <f>I157/J157</f>
        <v>1.0303797296496966</v>
      </c>
      <c r="M157" s="723">
        <f>SUM(M147:M156)</f>
        <v>11283448179</v>
      </c>
      <c r="N157" s="724">
        <f>SUM(N147:N156)</f>
        <v>0</v>
      </c>
      <c r="O157" s="778"/>
      <c r="S157" s="619">
        <f t="shared" si="10"/>
        <v>109.50766842857139</v>
      </c>
      <c r="T157" s="619">
        <f t="shared" si="10"/>
        <v>112.83448179</v>
      </c>
    </row>
    <row r="158" spans="1:20" hidden="1" outlineLevel="1" x14ac:dyDescent="0.4">
      <c r="A158" s="483" t="s">
        <v>21</v>
      </c>
      <c r="B158" s="483" t="s">
        <v>2</v>
      </c>
      <c r="C158" s="483" t="s">
        <v>105</v>
      </c>
      <c r="D158" s="693" t="s">
        <v>4</v>
      </c>
      <c r="E158" s="772" t="s">
        <v>132</v>
      </c>
      <c r="F158" s="772" t="s">
        <v>133</v>
      </c>
      <c r="G158" s="772" t="s">
        <v>134</v>
      </c>
      <c r="H158" s="772" t="s">
        <v>135</v>
      </c>
      <c r="I158" s="773"/>
      <c r="J158" s="773"/>
      <c r="K158" s="773"/>
      <c r="L158" s="774" t="e">
        <f t="shared" ref="L158" si="12">+I158/J158</f>
        <v>#DIV/0!</v>
      </c>
      <c r="M158" s="773"/>
      <c r="N158" s="759">
        <f>K158-M158</f>
        <v>0</v>
      </c>
      <c r="O158" s="642"/>
    </row>
    <row r="159" spans="1:20" hidden="1" outlineLevel="1" x14ac:dyDescent="0.4">
      <c r="A159" s="483" t="s">
        <v>21</v>
      </c>
      <c r="B159" s="483" t="s">
        <v>2</v>
      </c>
      <c r="C159" s="483" t="s">
        <v>105</v>
      </c>
      <c r="D159" s="699" t="str">
        <f t="shared" ref="D159:D167" si="13">D158</f>
        <v>2월</v>
      </c>
      <c r="E159" s="701" t="s">
        <v>132</v>
      </c>
      <c r="F159" s="701" t="s">
        <v>133</v>
      </c>
      <c r="G159" s="701" t="s">
        <v>134</v>
      </c>
      <c r="H159" s="701" t="s">
        <v>136</v>
      </c>
      <c r="I159" s="702"/>
      <c r="J159" s="702"/>
      <c r="K159" s="702"/>
      <c r="L159" s="703"/>
      <c r="M159" s="702"/>
      <c r="N159" s="738">
        <f t="shared" ref="N159:N167" si="14">K159-M159</f>
        <v>0</v>
      </c>
      <c r="O159" s="790"/>
    </row>
    <row r="160" spans="1:20" hidden="1" outlineLevel="1" x14ac:dyDescent="0.4">
      <c r="A160" s="483" t="s">
        <v>21</v>
      </c>
      <c r="B160" s="483" t="s">
        <v>2</v>
      </c>
      <c r="C160" s="483" t="s">
        <v>22</v>
      </c>
      <c r="D160" s="699" t="str">
        <f t="shared" si="13"/>
        <v>2월</v>
      </c>
      <c r="E160" s="700" t="s">
        <v>132</v>
      </c>
      <c r="F160" s="701" t="s">
        <v>133</v>
      </c>
      <c r="G160" s="701" t="s">
        <v>134</v>
      </c>
      <c r="H160" s="701" t="s">
        <v>137</v>
      </c>
      <c r="I160" s="785">
        <v>1260945478</v>
      </c>
      <c r="J160" s="702">
        <f>8.77043142857143*10^8</f>
        <v>877043142.85714293</v>
      </c>
      <c r="K160" s="702">
        <v>1260945478</v>
      </c>
      <c r="L160" s="703"/>
      <c r="M160" s="702">
        <v>1260945478</v>
      </c>
      <c r="N160" s="738">
        <f t="shared" si="14"/>
        <v>0</v>
      </c>
      <c r="O160" s="642"/>
      <c r="P160" s="642"/>
      <c r="Q160" s="619"/>
      <c r="T160" s="619">
        <f>K160/10^8</f>
        <v>12.60945478</v>
      </c>
    </row>
    <row r="161" spans="1:20" hidden="1" outlineLevel="1" x14ac:dyDescent="0.4">
      <c r="A161" s="483" t="s">
        <v>21</v>
      </c>
      <c r="B161" s="483" t="s">
        <v>2</v>
      </c>
      <c r="C161" s="483" t="s">
        <v>27</v>
      </c>
      <c r="D161" s="699" t="str">
        <f t="shared" si="13"/>
        <v>2월</v>
      </c>
      <c r="E161" s="701" t="s">
        <v>132</v>
      </c>
      <c r="F161" s="701" t="s">
        <v>133</v>
      </c>
      <c r="G161" s="701" t="s">
        <v>134</v>
      </c>
      <c r="H161" s="701" t="s">
        <v>138</v>
      </c>
      <c r="I161" s="785">
        <v>437945280</v>
      </c>
      <c r="J161" s="702">
        <f>0.99225*10^8</f>
        <v>99225000</v>
      </c>
      <c r="K161" s="702">
        <v>437945280</v>
      </c>
      <c r="L161" s="703">
        <f>+I161/J161</f>
        <v>4.4136586545729406</v>
      </c>
      <c r="M161" s="702">
        <v>437945280</v>
      </c>
      <c r="N161" s="738">
        <f t="shared" si="14"/>
        <v>0</v>
      </c>
      <c r="O161" s="642"/>
      <c r="Q161" s="619"/>
      <c r="T161" s="619">
        <f t="shared" ref="T161:T168" si="15">K161/10^8</f>
        <v>4.3794528000000001</v>
      </c>
    </row>
    <row r="162" spans="1:20" hidden="1" outlineLevel="1" x14ac:dyDescent="0.4">
      <c r="A162" s="483" t="s">
        <v>21</v>
      </c>
      <c r="B162" s="483" t="s">
        <v>2</v>
      </c>
      <c r="C162" s="483" t="s">
        <v>26</v>
      </c>
      <c r="D162" s="699" t="str">
        <f t="shared" si="13"/>
        <v>2월</v>
      </c>
      <c r="E162" s="701" t="s">
        <v>132</v>
      </c>
      <c r="F162" s="701" t="s">
        <v>133</v>
      </c>
      <c r="G162" s="701" t="s">
        <v>134</v>
      </c>
      <c r="H162" s="701" t="s">
        <v>139</v>
      </c>
      <c r="I162" s="785">
        <v>4996954100</v>
      </c>
      <c r="J162" s="702">
        <f>32.736848*10^8</f>
        <v>3273684800</v>
      </c>
      <c r="K162" s="702">
        <v>4996954100</v>
      </c>
      <c r="L162" s="703">
        <f t="shared" ref="L162:L165" si="16">+I162/J162</f>
        <v>1.5264004952462131</v>
      </c>
      <c r="M162" s="702">
        <v>4996954100</v>
      </c>
      <c r="N162" s="738">
        <f t="shared" si="14"/>
        <v>0</v>
      </c>
      <c r="O162" s="642"/>
      <c r="Q162" s="619"/>
      <c r="T162" s="619">
        <f t="shared" si="15"/>
        <v>49.969541</v>
      </c>
    </row>
    <row r="163" spans="1:20" hidden="1" outlineLevel="1" x14ac:dyDescent="0.4">
      <c r="A163" s="483" t="s">
        <v>21</v>
      </c>
      <c r="B163" s="483" t="s">
        <v>2</v>
      </c>
      <c r="C163" s="483" t="s">
        <v>32</v>
      </c>
      <c r="D163" s="699" t="str">
        <f t="shared" si="13"/>
        <v>2월</v>
      </c>
      <c r="E163" s="701" t="s">
        <v>132</v>
      </c>
      <c r="F163" s="701" t="s">
        <v>133</v>
      </c>
      <c r="G163" s="701" t="s">
        <v>134</v>
      </c>
      <c r="H163" s="701" t="s">
        <v>140</v>
      </c>
      <c r="I163" s="702"/>
      <c r="J163" s="702"/>
      <c r="K163" s="702"/>
      <c r="L163" s="703" t="e">
        <f t="shared" si="16"/>
        <v>#DIV/0!</v>
      </c>
      <c r="M163" s="702"/>
      <c r="N163" s="738">
        <f t="shared" si="14"/>
        <v>0</v>
      </c>
      <c r="O163" s="642"/>
      <c r="Q163" s="619"/>
      <c r="T163" s="619">
        <f t="shared" si="15"/>
        <v>0</v>
      </c>
    </row>
    <row r="164" spans="1:20" hidden="1" outlineLevel="1" x14ac:dyDescent="0.4">
      <c r="A164" s="483" t="s">
        <v>21</v>
      </c>
      <c r="B164" s="483" t="s">
        <v>2</v>
      </c>
      <c r="C164" s="483" t="s">
        <v>30</v>
      </c>
      <c r="D164" s="699" t="str">
        <f t="shared" si="13"/>
        <v>2월</v>
      </c>
      <c r="E164" s="701" t="s">
        <v>132</v>
      </c>
      <c r="F164" s="701" t="s">
        <v>133</v>
      </c>
      <c r="G164" s="701" t="s">
        <v>134</v>
      </c>
      <c r="H164" s="701" t="s">
        <v>141</v>
      </c>
      <c r="I164" s="702"/>
      <c r="J164" s="702">
        <f>2.075*10^8</f>
        <v>207500000.00000003</v>
      </c>
      <c r="K164" s="702"/>
      <c r="L164" s="703">
        <f t="shared" si="16"/>
        <v>0</v>
      </c>
      <c r="M164" s="702"/>
      <c r="N164" s="738">
        <f t="shared" si="14"/>
        <v>0</v>
      </c>
      <c r="O164" s="791" t="s">
        <v>191</v>
      </c>
      <c r="Q164" s="619"/>
      <c r="T164" s="619">
        <f t="shared" si="15"/>
        <v>0</v>
      </c>
    </row>
    <row r="165" spans="1:20" hidden="1" outlineLevel="1" x14ac:dyDescent="0.4">
      <c r="A165" s="483" t="s">
        <v>21</v>
      </c>
      <c r="B165" s="483" t="s">
        <v>2</v>
      </c>
      <c r="C165" s="483" t="s">
        <v>29</v>
      </c>
      <c r="D165" s="699" t="str">
        <f t="shared" si="13"/>
        <v>2월</v>
      </c>
      <c r="E165" s="701" t="s">
        <v>132</v>
      </c>
      <c r="F165" s="701" t="s">
        <v>133</v>
      </c>
      <c r="G165" s="701" t="s">
        <v>134</v>
      </c>
      <c r="H165" s="701" t="s">
        <v>145</v>
      </c>
      <c r="I165" s="785">
        <v>26295337</v>
      </c>
      <c r="J165" s="702">
        <f>10.62*10^8</f>
        <v>1061999999.9999999</v>
      </c>
      <c r="K165" s="702">
        <v>26295337</v>
      </c>
      <c r="L165" s="703">
        <f t="shared" si="16"/>
        <v>2.4760204331450097E-2</v>
      </c>
      <c r="M165" s="702">
        <v>26295337</v>
      </c>
      <c r="N165" s="738">
        <f t="shared" si="14"/>
        <v>0</v>
      </c>
      <c r="O165" s="642"/>
      <c r="Q165" s="619"/>
      <c r="T165" s="619">
        <f t="shared" si="15"/>
        <v>0.26295337000000002</v>
      </c>
    </row>
    <row r="166" spans="1:20" hidden="1" outlineLevel="1" x14ac:dyDescent="0.4">
      <c r="A166" s="483" t="s">
        <v>21</v>
      </c>
      <c r="B166" s="483" t="s">
        <v>2</v>
      </c>
      <c r="C166" s="483" t="s">
        <v>31</v>
      </c>
      <c r="D166" s="699" t="str">
        <f t="shared" si="13"/>
        <v>2월</v>
      </c>
      <c r="E166" s="712" t="s">
        <v>132</v>
      </c>
      <c r="F166" s="712" t="s">
        <v>133</v>
      </c>
      <c r="G166" s="712" t="s">
        <v>134</v>
      </c>
      <c r="H166" s="712" t="s">
        <v>146</v>
      </c>
      <c r="I166" s="792">
        <v>31604167</v>
      </c>
      <c r="J166" s="713">
        <f>0.46875*10^8</f>
        <v>46875000</v>
      </c>
      <c r="K166" s="713">
        <v>31604167</v>
      </c>
      <c r="L166" s="714"/>
      <c r="M166" s="713">
        <v>31604167</v>
      </c>
      <c r="N166" s="738">
        <f>K166-M166</f>
        <v>0</v>
      </c>
      <c r="O166" s="642"/>
      <c r="Q166" s="619"/>
      <c r="T166" s="619">
        <f t="shared" si="15"/>
        <v>0.31604167</v>
      </c>
    </row>
    <row r="167" spans="1:20" ht="14.4" hidden="1" outlineLevel="1" thickBot="1" x14ac:dyDescent="0.45">
      <c r="A167" s="483" t="s">
        <v>21</v>
      </c>
      <c r="B167" s="483" t="s">
        <v>2</v>
      </c>
      <c r="C167" s="483" t="s">
        <v>32</v>
      </c>
      <c r="D167" s="777" t="str">
        <f t="shared" si="13"/>
        <v>2월</v>
      </c>
      <c r="E167" s="716" t="s">
        <v>132</v>
      </c>
      <c r="F167" s="716" t="s">
        <v>133</v>
      </c>
      <c r="G167" s="716" t="s">
        <v>134</v>
      </c>
      <c r="H167" s="716" t="s">
        <v>147</v>
      </c>
      <c r="I167" s="717">
        <v>7916910</v>
      </c>
      <c r="J167" s="717"/>
      <c r="K167" s="717">
        <v>7916910</v>
      </c>
      <c r="L167" s="718" t="e">
        <f t="shared" ref="L167" si="17">+K167/J167</f>
        <v>#DIV/0!</v>
      </c>
      <c r="M167" s="717">
        <v>7916910</v>
      </c>
      <c r="N167" s="738">
        <f t="shared" si="14"/>
        <v>0</v>
      </c>
      <c r="O167" s="483" t="s">
        <v>192</v>
      </c>
      <c r="T167" s="619">
        <f t="shared" si="15"/>
        <v>7.9169100000000006E-2</v>
      </c>
    </row>
    <row r="168" spans="1:20" ht="14.4" collapsed="1" thickBot="1" x14ac:dyDescent="0.45">
      <c r="D168" s="1046" t="s">
        <v>193</v>
      </c>
      <c r="E168" s="1047"/>
      <c r="F168" s="1047"/>
      <c r="G168" s="1047"/>
      <c r="H168" s="1048"/>
      <c r="I168" s="721">
        <f>SUM(I158:I167)</f>
        <v>6761661272</v>
      </c>
      <c r="J168" s="721">
        <f>SUM(J158:J167)</f>
        <v>5566327942.8571434</v>
      </c>
      <c r="K168" s="721">
        <f>SUM(K158:K167)</f>
        <v>6761661272</v>
      </c>
      <c r="L168" s="722">
        <f>I168/J168</f>
        <v>1.2147436050146379</v>
      </c>
      <c r="M168" s="723">
        <f>SUM(M158:M167)</f>
        <v>6761661272</v>
      </c>
      <c r="N168" s="724">
        <f>SUM(N158:N167)</f>
        <v>0</v>
      </c>
      <c r="O168" s="778"/>
      <c r="T168" s="619">
        <f t="shared" si="15"/>
        <v>67.616612720000006</v>
      </c>
    </row>
    <row r="169" spans="1:20" hidden="1" outlineLevel="1" x14ac:dyDescent="0.4">
      <c r="A169" s="483" t="s">
        <v>21</v>
      </c>
      <c r="B169" s="483" t="s">
        <v>2</v>
      </c>
      <c r="C169" s="483" t="s">
        <v>105</v>
      </c>
      <c r="D169" s="693" t="s">
        <v>5</v>
      </c>
      <c r="E169" s="772" t="s">
        <v>132</v>
      </c>
      <c r="F169" s="772" t="s">
        <v>133</v>
      </c>
      <c r="G169" s="772" t="s">
        <v>134</v>
      </c>
      <c r="H169" s="772" t="s">
        <v>135</v>
      </c>
      <c r="I169" s="773"/>
      <c r="J169" s="773" t="e">
        <f>#REF!</f>
        <v>#REF!</v>
      </c>
      <c r="K169" s="773">
        <v>0</v>
      </c>
      <c r="L169" s="774" t="e">
        <f t="shared" ref="L169" si="18">+I169/J169</f>
        <v>#REF!</v>
      </c>
      <c r="M169" s="773">
        <v>0</v>
      </c>
      <c r="N169" s="759">
        <f>K169-M169</f>
        <v>0</v>
      </c>
      <c r="O169" s="642"/>
    </row>
    <row r="170" spans="1:20" hidden="1" outlineLevel="1" x14ac:dyDescent="0.4">
      <c r="A170" s="483" t="s">
        <v>21</v>
      </c>
      <c r="B170" s="483" t="s">
        <v>2</v>
      </c>
      <c r="C170" s="483" t="s">
        <v>105</v>
      </c>
      <c r="D170" s="699" t="str">
        <f t="shared" ref="D170:D178" si="19">D169</f>
        <v>3월</v>
      </c>
      <c r="E170" s="701" t="s">
        <v>132</v>
      </c>
      <c r="F170" s="701" t="s">
        <v>133</v>
      </c>
      <c r="G170" s="701" t="s">
        <v>134</v>
      </c>
      <c r="H170" s="701" t="s">
        <v>136</v>
      </c>
      <c r="I170" s="702"/>
      <c r="J170" s="702" t="e">
        <f>#REF!</f>
        <v>#REF!</v>
      </c>
      <c r="K170" s="702">
        <v>0</v>
      </c>
      <c r="L170" s="703"/>
      <c r="M170" s="785">
        <v>0</v>
      </c>
      <c r="N170" s="738">
        <f t="shared" ref="N170:N178" si="20">K170-M170</f>
        <v>0</v>
      </c>
      <c r="O170" s="642"/>
    </row>
    <row r="171" spans="1:20" hidden="1" outlineLevel="1" x14ac:dyDescent="0.4">
      <c r="A171" s="483" t="s">
        <v>21</v>
      </c>
      <c r="B171" s="483" t="s">
        <v>2</v>
      </c>
      <c r="C171" s="483" t="s">
        <v>22</v>
      </c>
      <c r="D171" s="699" t="str">
        <f t="shared" si="19"/>
        <v>3월</v>
      </c>
      <c r="E171" s="700" t="s">
        <v>132</v>
      </c>
      <c r="F171" s="701" t="s">
        <v>133</v>
      </c>
      <c r="G171" s="701" t="s">
        <v>134</v>
      </c>
      <c r="H171" s="701" t="s">
        <v>137</v>
      </c>
      <c r="I171" s="702">
        <v>236481614.99999997</v>
      </c>
      <c r="J171" s="702">
        <f>9.436245*10^8</f>
        <v>943624500</v>
      </c>
      <c r="K171" s="702">
        <v>236481614.99999997</v>
      </c>
      <c r="L171" s="703"/>
      <c r="M171" s="702">
        <v>236481614.99999997</v>
      </c>
      <c r="N171" s="738">
        <f t="shared" si="20"/>
        <v>0</v>
      </c>
      <c r="O171" s="642" t="s">
        <v>194</v>
      </c>
      <c r="P171" s="793">
        <f>J171/10^8</f>
        <v>9.4362449999999995</v>
      </c>
      <c r="Q171" s="661">
        <f>K171/10^8</f>
        <v>2.3648161499999998</v>
      </c>
      <c r="T171" s="619">
        <f>K171/10^8</f>
        <v>2.3648161499999998</v>
      </c>
    </row>
    <row r="172" spans="1:20" hidden="1" outlineLevel="1" x14ac:dyDescent="0.4">
      <c r="A172" s="483" t="s">
        <v>21</v>
      </c>
      <c r="B172" s="483" t="s">
        <v>2</v>
      </c>
      <c r="C172" s="483" t="s">
        <v>27</v>
      </c>
      <c r="D172" s="699" t="str">
        <f t="shared" si="19"/>
        <v>3월</v>
      </c>
      <c r="E172" s="701" t="s">
        <v>132</v>
      </c>
      <c r="F172" s="701" t="s">
        <v>133</v>
      </c>
      <c r="G172" s="701" t="s">
        <v>134</v>
      </c>
      <c r="H172" s="701" t="s">
        <v>138</v>
      </c>
      <c r="I172" s="702">
        <v>402235980</v>
      </c>
      <c r="J172" s="702">
        <f>7.7927*10^8</f>
        <v>779270000</v>
      </c>
      <c r="K172" s="702">
        <v>402235980</v>
      </c>
      <c r="L172" s="703">
        <f t="shared" ref="L172:L176" si="21">+I172/J172</f>
        <v>0.51617023624674374</v>
      </c>
      <c r="M172" s="702">
        <v>402235980</v>
      </c>
      <c r="N172" s="738">
        <f t="shared" si="20"/>
        <v>0</v>
      </c>
      <c r="O172" s="794" t="s">
        <v>195</v>
      </c>
      <c r="P172" s="793">
        <f t="shared" ref="P172:P178" si="22">J172/10^8</f>
        <v>7.7927</v>
      </c>
      <c r="Q172" s="661">
        <f t="shared" ref="Q172:Q178" si="23">K172/10^8</f>
        <v>4.0223598000000003</v>
      </c>
      <c r="T172" s="619">
        <f t="shared" ref="T172:T179" si="24">K172/10^8</f>
        <v>4.0223598000000003</v>
      </c>
    </row>
    <row r="173" spans="1:20" hidden="1" outlineLevel="1" x14ac:dyDescent="0.4">
      <c r="A173" s="483" t="s">
        <v>21</v>
      </c>
      <c r="B173" s="483" t="s">
        <v>2</v>
      </c>
      <c r="C173" s="483" t="s">
        <v>26</v>
      </c>
      <c r="D173" s="699" t="str">
        <f t="shared" si="19"/>
        <v>3월</v>
      </c>
      <c r="E173" s="701" t="s">
        <v>132</v>
      </c>
      <c r="F173" s="701" t="s">
        <v>133</v>
      </c>
      <c r="G173" s="701" t="s">
        <v>134</v>
      </c>
      <c r="H173" s="701" t="s">
        <v>139</v>
      </c>
      <c r="I173" s="702">
        <v>6923572799.999999</v>
      </c>
      <c r="J173" s="702">
        <f>76.82012*10^8</f>
        <v>7682012000</v>
      </c>
      <c r="K173" s="702">
        <v>6923572799.999999</v>
      </c>
      <c r="L173" s="703">
        <f t="shared" si="21"/>
        <v>0.90127076083713475</v>
      </c>
      <c r="M173" s="702">
        <v>6923572799.999999</v>
      </c>
      <c r="N173" s="738">
        <f t="shared" si="20"/>
        <v>0</v>
      </c>
      <c r="O173" s="794">
        <v>1416002000</v>
      </c>
      <c r="P173" s="793">
        <f t="shared" si="22"/>
        <v>76.820120000000003</v>
      </c>
      <c r="Q173" s="661">
        <f t="shared" si="23"/>
        <v>69.235727999999995</v>
      </c>
      <c r="T173" s="619">
        <f t="shared" si="24"/>
        <v>69.235727999999995</v>
      </c>
    </row>
    <row r="174" spans="1:20" hidden="1" outlineLevel="1" x14ac:dyDescent="0.4">
      <c r="A174" s="483" t="s">
        <v>21</v>
      </c>
      <c r="B174" s="483" t="s">
        <v>2</v>
      </c>
      <c r="C174" s="483" t="s">
        <v>32</v>
      </c>
      <c r="D174" s="699" t="str">
        <f t="shared" si="19"/>
        <v>3월</v>
      </c>
      <c r="E174" s="701" t="s">
        <v>132</v>
      </c>
      <c r="F174" s="701" t="s">
        <v>133</v>
      </c>
      <c r="G174" s="701" t="s">
        <v>134</v>
      </c>
      <c r="H174" s="701" t="s">
        <v>140</v>
      </c>
      <c r="I174" s="702"/>
      <c r="J174" s="702" t="e">
        <f>#REF!</f>
        <v>#REF!</v>
      </c>
      <c r="K174" s="702"/>
      <c r="L174" s="703" t="e">
        <f t="shared" si="21"/>
        <v>#REF!</v>
      </c>
      <c r="M174" s="702"/>
      <c r="N174" s="738">
        <f t="shared" si="20"/>
        <v>0</v>
      </c>
      <c r="O174" s="642"/>
      <c r="P174" s="793" t="e">
        <f t="shared" si="22"/>
        <v>#REF!</v>
      </c>
      <c r="Q174" s="661">
        <f t="shared" si="23"/>
        <v>0</v>
      </c>
      <c r="T174" s="619">
        <f t="shared" si="24"/>
        <v>0</v>
      </c>
    </row>
    <row r="175" spans="1:20" hidden="1" outlineLevel="1" x14ac:dyDescent="0.4">
      <c r="A175" s="483" t="s">
        <v>21</v>
      </c>
      <c r="B175" s="483" t="s">
        <v>2</v>
      </c>
      <c r="C175" s="483" t="s">
        <v>30</v>
      </c>
      <c r="D175" s="699" t="str">
        <f t="shared" si="19"/>
        <v>3월</v>
      </c>
      <c r="E175" s="701" t="s">
        <v>132</v>
      </c>
      <c r="F175" s="701" t="s">
        <v>133</v>
      </c>
      <c r="G175" s="701" t="s">
        <v>134</v>
      </c>
      <c r="H175" s="701" t="s">
        <v>141</v>
      </c>
      <c r="I175" s="702">
        <v>366000000</v>
      </c>
      <c r="J175" s="702">
        <f>3.5025*10^8</f>
        <v>350250000</v>
      </c>
      <c r="K175" s="702">
        <v>366000000</v>
      </c>
      <c r="L175" s="703">
        <f t="shared" si="21"/>
        <v>1.044967880085653</v>
      </c>
      <c r="M175" s="702">
        <v>366000000</v>
      </c>
      <c r="N175" s="738">
        <f t="shared" si="20"/>
        <v>0</v>
      </c>
      <c r="O175" s="642" t="s">
        <v>196</v>
      </c>
      <c r="P175" s="793">
        <f t="shared" si="22"/>
        <v>3.5024999999999999</v>
      </c>
      <c r="Q175" s="661">
        <f t="shared" si="23"/>
        <v>3.66</v>
      </c>
      <c r="T175" s="619">
        <f t="shared" si="24"/>
        <v>3.66</v>
      </c>
    </row>
    <row r="176" spans="1:20" hidden="1" outlineLevel="1" x14ac:dyDescent="0.4">
      <c r="A176" s="483" t="s">
        <v>21</v>
      </c>
      <c r="B176" s="483" t="s">
        <v>2</v>
      </c>
      <c r="C176" s="483" t="s">
        <v>29</v>
      </c>
      <c r="D176" s="699" t="str">
        <f t="shared" si="19"/>
        <v>3월</v>
      </c>
      <c r="E176" s="701" t="s">
        <v>132</v>
      </c>
      <c r="F176" s="701" t="s">
        <v>133</v>
      </c>
      <c r="G176" s="701" t="s">
        <v>134</v>
      </c>
      <c r="H176" s="701" t="s">
        <v>145</v>
      </c>
      <c r="I176" s="702">
        <v>1213295337</v>
      </c>
      <c r="J176" s="702">
        <f>9.9*10^8</f>
        <v>990000000</v>
      </c>
      <c r="K176" s="702">
        <v>1213295337</v>
      </c>
      <c r="L176" s="703">
        <f t="shared" si="21"/>
        <v>1.2255508454545454</v>
      </c>
      <c r="M176" s="702">
        <v>1213295337</v>
      </c>
      <c r="N176" s="738">
        <f t="shared" si="20"/>
        <v>0</v>
      </c>
      <c r="O176" s="642"/>
      <c r="P176" s="793">
        <f t="shared" si="22"/>
        <v>9.9</v>
      </c>
      <c r="Q176" s="661">
        <f t="shared" si="23"/>
        <v>12.132953369999999</v>
      </c>
      <c r="T176" s="619">
        <f t="shared" si="24"/>
        <v>12.132953369999999</v>
      </c>
    </row>
    <row r="177" spans="1:20" hidden="1" outlineLevel="1" x14ac:dyDescent="0.4">
      <c r="A177" s="483" t="s">
        <v>21</v>
      </c>
      <c r="B177" s="483" t="s">
        <v>2</v>
      </c>
      <c r="C177" s="483" t="s">
        <v>31</v>
      </c>
      <c r="D177" s="699" t="str">
        <f t="shared" si="19"/>
        <v>3월</v>
      </c>
      <c r="E177" s="712" t="s">
        <v>132</v>
      </c>
      <c r="F177" s="712" t="s">
        <v>133</v>
      </c>
      <c r="G177" s="712" t="s">
        <v>134</v>
      </c>
      <c r="H177" s="712" t="s">
        <v>146</v>
      </c>
      <c r="I177" s="713">
        <v>223708334</v>
      </c>
      <c r="J177" s="713">
        <f>1.40625*10^8</f>
        <v>140625000</v>
      </c>
      <c r="K177" s="713">
        <v>223708334</v>
      </c>
      <c r="L177" s="714"/>
      <c r="M177" s="713">
        <v>223708334</v>
      </c>
      <c r="N177" s="738">
        <f t="shared" si="20"/>
        <v>0</v>
      </c>
      <c r="O177" s="642"/>
      <c r="P177" s="793">
        <f t="shared" si="22"/>
        <v>1.40625</v>
      </c>
      <c r="Q177" s="661">
        <f t="shared" si="23"/>
        <v>2.2370833399999999</v>
      </c>
      <c r="T177" s="619">
        <f t="shared" si="24"/>
        <v>2.2370833399999999</v>
      </c>
    </row>
    <row r="178" spans="1:20" ht="14.4" hidden="1" outlineLevel="1" thickBot="1" x14ac:dyDescent="0.45">
      <c r="A178" s="483" t="s">
        <v>21</v>
      </c>
      <c r="B178" s="483" t="s">
        <v>2</v>
      </c>
      <c r="C178" s="483" t="s">
        <v>32</v>
      </c>
      <c r="D178" s="777" t="str">
        <f t="shared" si="19"/>
        <v>3월</v>
      </c>
      <c r="E178" s="716" t="s">
        <v>132</v>
      </c>
      <c r="F178" s="716" t="s">
        <v>133</v>
      </c>
      <c r="G178" s="716" t="s">
        <v>134</v>
      </c>
      <c r="H178" s="716" t="s">
        <v>147</v>
      </c>
      <c r="I178" s="717">
        <v>139494700</v>
      </c>
      <c r="J178" s="717">
        <v>0</v>
      </c>
      <c r="K178" s="717">
        <v>139494700</v>
      </c>
      <c r="L178" s="718" t="e">
        <f t="shared" ref="L178" si="25">+K178/J178</f>
        <v>#DIV/0!</v>
      </c>
      <c r="M178" s="717">
        <v>139494700</v>
      </c>
      <c r="N178" s="738">
        <f t="shared" si="20"/>
        <v>0</v>
      </c>
      <c r="O178" s="509"/>
      <c r="P178" s="793">
        <f t="shared" si="22"/>
        <v>0</v>
      </c>
      <c r="Q178" s="661">
        <f t="shared" si="23"/>
        <v>1.3949469999999999</v>
      </c>
      <c r="T178" s="619">
        <f t="shared" si="24"/>
        <v>1.3949469999999999</v>
      </c>
    </row>
    <row r="179" spans="1:20" ht="14.4" collapsed="1" thickBot="1" x14ac:dyDescent="0.45">
      <c r="D179" s="1046" t="s">
        <v>197</v>
      </c>
      <c r="E179" s="1047"/>
      <c r="F179" s="1047"/>
      <c r="G179" s="1047"/>
      <c r="H179" s="1048"/>
      <c r="I179" s="721">
        <f>SUM(I169:I178)</f>
        <v>9504788766</v>
      </c>
      <c r="J179" s="721" t="e">
        <f>SUM(J169:J178)</f>
        <v>#REF!</v>
      </c>
      <c r="K179" s="721">
        <f>SUM(K169:K178)</f>
        <v>9504788766</v>
      </c>
      <c r="L179" s="722" t="e">
        <f>I179/J179</f>
        <v>#REF!</v>
      </c>
      <c r="M179" s="723">
        <f>SUM(M169:M178)</f>
        <v>9504788766</v>
      </c>
      <c r="N179" s="724">
        <f>SUM(N169:N178)</f>
        <v>0</v>
      </c>
      <c r="O179" s="778"/>
      <c r="P179" s="793"/>
      <c r="T179" s="619">
        <f t="shared" si="24"/>
        <v>95.047887660000001</v>
      </c>
    </row>
    <row r="180" spans="1:20" ht="14.4" thickBot="1" x14ac:dyDescent="0.45">
      <c r="D180" s="1049" t="s">
        <v>198</v>
      </c>
      <c r="E180" s="1050"/>
      <c r="F180" s="1050"/>
      <c r="G180" s="1050"/>
      <c r="H180" s="1051"/>
      <c r="I180" s="733">
        <f>SUM(I157,I168,I179)</f>
        <v>27549898217</v>
      </c>
      <c r="J180" s="733" t="e">
        <f>SUM(J157,J168,J179)</f>
        <v>#REF!</v>
      </c>
      <c r="K180" s="733">
        <f>SUM(K157,K168,K179)</f>
        <v>27549898217</v>
      </c>
      <c r="L180" s="734" t="e">
        <f>I180/J180</f>
        <v>#REF!</v>
      </c>
      <c r="M180" s="733">
        <f>SUM(M157,M168,M179)</f>
        <v>27549898217</v>
      </c>
      <c r="N180" s="733">
        <f>SUM(N157,N168,N179)</f>
        <v>0</v>
      </c>
      <c r="O180" s="642" t="e">
        <f>J180-K180</f>
        <v>#REF!</v>
      </c>
    </row>
    <row r="181" spans="1:20" hidden="1" outlineLevel="1" x14ac:dyDescent="0.4">
      <c r="A181" s="483" t="s">
        <v>21</v>
      </c>
      <c r="B181" s="483" t="s">
        <v>154</v>
      </c>
      <c r="C181" s="483" t="s">
        <v>105</v>
      </c>
      <c r="D181" s="693" t="s">
        <v>155</v>
      </c>
      <c r="E181" s="795" t="s">
        <v>132</v>
      </c>
      <c r="F181" s="772" t="s">
        <v>133</v>
      </c>
      <c r="G181" s="795" t="s">
        <v>134</v>
      </c>
      <c r="H181" s="772" t="s">
        <v>135</v>
      </c>
      <c r="I181" s="773"/>
      <c r="J181" s="773"/>
      <c r="K181" s="773"/>
      <c r="L181" s="774" t="e">
        <f t="shared" ref="L181" si="26">+I181/J181</f>
        <v>#DIV/0!</v>
      </c>
      <c r="M181" s="773"/>
      <c r="N181" s="759">
        <f>K181-M181</f>
        <v>0</v>
      </c>
      <c r="O181" s="642"/>
    </row>
    <row r="182" spans="1:20" hidden="1" outlineLevel="1" x14ac:dyDescent="0.4">
      <c r="A182" s="483" t="s">
        <v>21</v>
      </c>
      <c r="B182" s="483" t="s">
        <v>154</v>
      </c>
      <c r="C182" s="483" t="s">
        <v>105</v>
      </c>
      <c r="D182" s="699" t="str">
        <f t="shared" ref="D182:D190" si="27">D181</f>
        <v>4월</v>
      </c>
      <c r="E182" s="796" t="s">
        <v>132</v>
      </c>
      <c r="F182" s="701" t="s">
        <v>133</v>
      </c>
      <c r="G182" s="796" t="s">
        <v>134</v>
      </c>
      <c r="H182" s="701" t="s">
        <v>136</v>
      </c>
      <c r="I182" s="702"/>
      <c r="J182" s="702"/>
      <c r="K182" s="702"/>
      <c r="L182" s="703"/>
      <c r="M182" s="702"/>
      <c r="N182" s="738">
        <f t="shared" ref="N182:N190" si="28">K182-M182</f>
        <v>0</v>
      </c>
      <c r="O182" s="642"/>
    </row>
    <row r="183" spans="1:20" hidden="1" outlineLevel="1" x14ac:dyDescent="0.4">
      <c r="A183" s="483" t="s">
        <v>21</v>
      </c>
      <c r="B183" s="483" t="s">
        <v>154</v>
      </c>
      <c r="C183" s="483" t="s">
        <v>22</v>
      </c>
      <c r="D183" s="699" t="str">
        <f t="shared" si="27"/>
        <v>4월</v>
      </c>
      <c r="E183" s="797" t="s">
        <v>132</v>
      </c>
      <c r="F183" s="701" t="s">
        <v>133</v>
      </c>
      <c r="G183" s="796" t="s">
        <v>134</v>
      </c>
      <c r="H183" s="701" t="s">
        <v>137</v>
      </c>
      <c r="I183" s="702">
        <v>604729361</v>
      </c>
      <c r="J183" s="702">
        <v>606572571.42857146</v>
      </c>
      <c r="K183" s="702">
        <v>604729361</v>
      </c>
      <c r="L183" s="703"/>
      <c r="M183" s="702">
        <v>604729361</v>
      </c>
      <c r="N183" s="738">
        <f t="shared" si="28"/>
        <v>0</v>
      </c>
      <c r="O183" s="642" t="s">
        <v>199</v>
      </c>
    </row>
    <row r="184" spans="1:20" hidden="1" outlineLevel="1" x14ac:dyDescent="0.4">
      <c r="A184" s="483" t="s">
        <v>21</v>
      </c>
      <c r="B184" s="483" t="s">
        <v>154</v>
      </c>
      <c r="C184" s="483" t="s">
        <v>27</v>
      </c>
      <c r="D184" s="699" t="str">
        <f t="shared" si="27"/>
        <v>4월</v>
      </c>
      <c r="E184" s="796" t="s">
        <v>132</v>
      </c>
      <c r="F184" s="701" t="s">
        <v>133</v>
      </c>
      <c r="G184" s="796" t="s">
        <v>134</v>
      </c>
      <c r="H184" s="701" t="s">
        <v>138</v>
      </c>
      <c r="I184" s="702">
        <v>703284880</v>
      </c>
      <c r="J184" s="702">
        <v>468200000.00000006</v>
      </c>
      <c r="K184" s="702">
        <v>604284880</v>
      </c>
      <c r="L184" s="703">
        <f t="shared" ref="L184:L188" si="29">+I184/J184</f>
        <v>1.5021035454933787</v>
      </c>
      <c r="M184" s="702">
        <v>604284880</v>
      </c>
      <c r="N184" s="738">
        <f t="shared" si="28"/>
        <v>0</v>
      </c>
      <c r="O184" s="642"/>
    </row>
    <row r="185" spans="1:20" hidden="1" outlineLevel="1" x14ac:dyDescent="0.4">
      <c r="A185" s="483" t="s">
        <v>21</v>
      </c>
      <c r="B185" s="483" t="s">
        <v>154</v>
      </c>
      <c r="C185" s="483" t="s">
        <v>26</v>
      </c>
      <c r="D185" s="699" t="str">
        <f t="shared" si="27"/>
        <v>4월</v>
      </c>
      <c r="E185" s="796" t="s">
        <v>132</v>
      </c>
      <c r="F185" s="701" t="s">
        <v>133</v>
      </c>
      <c r="G185" s="796" t="s">
        <v>134</v>
      </c>
      <c r="H185" s="701" t="s">
        <v>139</v>
      </c>
      <c r="I185" s="702">
        <v>8006977500</v>
      </c>
      <c r="J185" s="702">
        <v>11989700000</v>
      </c>
      <c r="K185" s="702">
        <v>8006977500</v>
      </c>
      <c r="L185" s="703">
        <f>+I185/J185</f>
        <v>0.66782133831538737</v>
      </c>
      <c r="M185" s="785">
        <v>8006977500</v>
      </c>
      <c r="N185" s="738">
        <f t="shared" si="28"/>
        <v>0</v>
      </c>
      <c r="O185" s="642"/>
    </row>
    <row r="186" spans="1:20" hidden="1" outlineLevel="1" x14ac:dyDescent="0.4">
      <c r="A186" s="483" t="s">
        <v>21</v>
      </c>
      <c r="B186" s="483" t="s">
        <v>154</v>
      </c>
      <c r="C186" s="483" t="s">
        <v>32</v>
      </c>
      <c r="D186" s="699" t="str">
        <f t="shared" si="27"/>
        <v>4월</v>
      </c>
      <c r="E186" s="796" t="s">
        <v>132</v>
      </c>
      <c r="F186" s="701" t="s">
        <v>133</v>
      </c>
      <c r="G186" s="796" t="s">
        <v>134</v>
      </c>
      <c r="H186" s="701" t="s">
        <v>140</v>
      </c>
      <c r="I186" s="702"/>
      <c r="J186" s="702"/>
      <c r="K186" s="702"/>
      <c r="L186" s="703" t="e">
        <f t="shared" si="29"/>
        <v>#DIV/0!</v>
      </c>
      <c r="M186" s="702"/>
      <c r="N186" s="738">
        <f t="shared" si="28"/>
        <v>0</v>
      </c>
      <c r="O186" s="642"/>
    </row>
    <row r="187" spans="1:20" hidden="1" outlineLevel="1" x14ac:dyDescent="0.4">
      <c r="A187" s="483" t="s">
        <v>21</v>
      </c>
      <c r="B187" s="483" t="s">
        <v>154</v>
      </c>
      <c r="C187" s="483" t="s">
        <v>30</v>
      </c>
      <c r="D187" s="699" t="str">
        <f t="shared" si="27"/>
        <v>4월</v>
      </c>
      <c r="E187" s="796" t="s">
        <v>132</v>
      </c>
      <c r="F187" s="701" t="s">
        <v>133</v>
      </c>
      <c r="G187" s="796" t="s">
        <v>134</v>
      </c>
      <c r="H187" s="701" t="s">
        <v>141</v>
      </c>
      <c r="I187" s="702"/>
      <c r="J187" s="702"/>
      <c r="K187" s="702"/>
      <c r="L187" s="703" t="e">
        <f t="shared" si="29"/>
        <v>#DIV/0!</v>
      </c>
      <c r="M187" s="702"/>
      <c r="N187" s="738">
        <f t="shared" si="28"/>
        <v>0</v>
      </c>
      <c r="O187" s="642" t="s">
        <v>200</v>
      </c>
    </row>
    <row r="188" spans="1:20" hidden="1" outlineLevel="1" x14ac:dyDescent="0.4">
      <c r="A188" s="483" t="s">
        <v>21</v>
      </c>
      <c r="B188" s="483" t="s">
        <v>154</v>
      </c>
      <c r="C188" s="483" t="s">
        <v>29</v>
      </c>
      <c r="D188" s="699" t="str">
        <f t="shared" si="27"/>
        <v>4월</v>
      </c>
      <c r="E188" s="796" t="s">
        <v>132</v>
      </c>
      <c r="F188" s="701" t="s">
        <v>133</v>
      </c>
      <c r="G188" s="796" t="s">
        <v>134</v>
      </c>
      <c r="H188" s="701" t="s">
        <v>145</v>
      </c>
      <c r="I188" s="702">
        <v>44295337</v>
      </c>
      <c r="J188" s="702"/>
      <c r="K188" s="702">
        <v>44295337</v>
      </c>
      <c r="L188" s="703" t="e">
        <f t="shared" si="29"/>
        <v>#DIV/0!</v>
      </c>
      <c r="M188" s="702">
        <v>44295337</v>
      </c>
      <c r="N188" s="738">
        <f t="shared" si="28"/>
        <v>0</v>
      </c>
      <c r="O188" s="642" t="s">
        <v>201</v>
      </c>
    </row>
    <row r="189" spans="1:20" hidden="1" outlineLevel="1" x14ac:dyDescent="0.4">
      <c r="A189" s="483" t="s">
        <v>21</v>
      </c>
      <c r="B189" s="483" t="s">
        <v>154</v>
      </c>
      <c r="C189" s="483" t="s">
        <v>31</v>
      </c>
      <c r="D189" s="699" t="str">
        <f t="shared" si="27"/>
        <v>4월</v>
      </c>
      <c r="E189" s="798" t="s">
        <v>132</v>
      </c>
      <c r="F189" s="712" t="s">
        <v>133</v>
      </c>
      <c r="G189" s="798" t="s">
        <v>134</v>
      </c>
      <c r="H189" s="712" t="s">
        <v>146</v>
      </c>
      <c r="I189" s="713">
        <v>41008334</v>
      </c>
      <c r="J189" s="713"/>
      <c r="K189" s="713">
        <v>41008334</v>
      </c>
      <c r="L189" s="714"/>
      <c r="M189" s="713">
        <v>41008334</v>
      </c>
      <c r="N189" s="738">
        <f t="shared" si="28"/>
        <v>0</v>
      </c>
      <c r="O189" s="642"/>
    </row>
    <row r="190" spans="1:20" ht="14.4" hidden="1" outlineLevel="1" thickBot="1" x14ac:dyDescent="0.45">
      <c r="A190" s="483" t="s">
        <v>21</v>
      </c>
      <c r="B190" s="483" t="s">
        <v>154</v>
      </c>
      <c r="C190" s="483" t="s">
        <v>32</v>
      </c>
      <c r="D190" s="777" t="str">
        <f t="shared" si="27"/>
        <v>4월</v>
      </c>
      <c r="E190" s="799" t="s">
        <v>132</v>
      </c>
      <c r="F190" s="716" t="s">
        <v>133</v>
      </c>
      <c r="G190" s="799" t="s">
        <v>134</v>
      </c>
      <c r="H190" s="716" t="s">
        <v>147</v>
      </c>
      <c r="I190" s="717"/>
      <c r="J190" s="717"/>
      <c r="K190" s="717">
        <v>99000000</v>
      </c>
      <c r="L190" s="718" t="e">
        <f t="shared" ref="L190" si="30">+K190/J190</f>
        <v>#DIV/0!</v>
      </c>
      <c r="M190" s="717">
        <v>99000000</v>
      </c>
      <c r="N190" s="738">
        <f t="shared" si="28"/>
        <v>0</v>
      </c>
      <c r="O190" s="642"/>
    </row>
    <row r="191" spans="1:20" ht="14.4" collapsed="1" thickBot="1" x14ac:dyDescent="0.45">
      <c r="D191" s="1046" t="s">
        <v>202</v>
      </c>
      <c r="E191" s="1047"/>
      <c r="F191" s="1047"/>
      <c r="G191" s="1047"/>
      <c r="H191" s="1048"/>
      <c r="I191" s="721">
        <f>SUM(I181:I190)</f>
        <v>9400295412</v>
      </c>
      <c r="J191" s="721">
        <f>SUM(J181:J190)</f>
        <v>13064472571.428572</v>
      </c>
      <c r="K191" s="721">
        <f>SUM(K181:K190)</f>
        <v>9400295412</v>
      </c>
      <c r="L191" s="722">
        <f>I191/J191</f>
        <v>0.71953118356710655</v>
      </c>
      <c r="M191" s="723">
        <f>SUM(M181:M190)</f>
        <v>9400295412</v>
      </c>
      <c r="N191" s="724">
        <f>SUM(N181:N190)</f>
        <v>0</v>
      </c>
      <c r="O191" s="642"/>
    </row>
    <row r="192" spans="1:20" hidden="1" outlineLevel="1" x14ac:dyDescent="0.4">
      <c r="A192" s="483" t="s">
        <v>21</v>
      </c>
      <c r="B192" s="483" t="s">
        <v>154</v>
      </c>
      <c r="C192" s="483" t="s">
        <v>105</v>
      </c>
      <c r="D192" s="693" t="s">
        <v>157</v>
      </c>
      <c r="E192" s="795" t="s">
        <v>132</v>
      </c>
      <c r="F192" s="772" t="s">
        <v>133</v>
      </c>
      <c r="G192" s="795" t="s">
        <v>134</v>
      </c>
      <c r="H192" s="772" t="s">
        <v>135</v>
      </c>
      <c r="I192" s="773"/>
      <c r="J192" s="773"/>
      <c r="K192" s="773"/>
      <c r="L192" s="774" t="e">
        <f t="shared" ref="L192" si="31">+I192/J192</f>
        <v>#DIV/0!</v>
      </c>
      <c r="M192" s="773"/>
      <c r="N192" s="759">
        <f>K192-M192</f>
        <v>0</v>
      </c>
      <c r="O192" s="642"/>
      <c r="T192" s="483" t="s">
        <v>203</v>
      </c>
    </row>
    <row r="193" spans="1:22" hidden="1" outlineLevel="1" x14ac:dyDescent="0.4">
      <c r="A193" s="483" t="s">
        <v>21</v>
      </c>
      <c r="B193" s="483" t="s">
        <v>154</v>
      </c>
      <c r="C193" s="483" t="s">
        <v>105</v>
      </c>
      <c r="D193" s="699" t="str">
        <f t="shared" ref="D193:D201" si="32">D192</f>
        <v>5월</v>
      </c>
      <c r="E193" s="796" t="s">
        <v>132</v>
      </c>
      <c r="F193" s="701" t="s">
        <v>133</v>
      </c>
      <c r="G193" s="796" t="s">
        <v>134</v>
      </c>
      <c r="H193" s="701" t="s">
        <v>136</v>
      </c>
      <c r="I193" s="702"/>
      <c r="J193" s="702"/>
      <c r="K193" s="702"/>
      <c r="L193" s="703"/>
      <c r="M193" s="702"/>
      <c r="N193" s="738">
        <f t="shared" ref="N193:N199" si="33">K193-M193</f>
        <v>0</v>
      </c>
    </row>
    <row r="194" spans="1:22" hidden="1" outlineLevel="1" x14ac:dyDescent="0.4">
      <c r="A194" s="483" t="s">
        <v>21</v>
      </c>
      <c r="B194" s="483" t="s">
        <v>154</v>
      </c>
      <c r="C194" s="483" t="s">
        <v>22</v>
      </c>
      <c r="D194" s="699" t="str">
        <f t="shared" si="32"/>
        <v>5월</v>
      </c>
      <c r="E194" s="797" t="s">
        <v>132</v>
      </c>
      <c r="F194" s="701" t="s">
        <v>133</v>
      </c>
      <c r="G194" s="796" t="s">
        <v>134</v>
      </c>
      <c r="H194" s="701" t="s">
        <v>137</v>
      </c>
      <c r="I194" s="785">
        <v>1785541321</v>
      </c>
      <c r="J194" s="702">
        <v>1552701428.5714285</v>
      </c>
      <c r="K194" s="702">
        <v>1785541321</v>
      </c>
      <c r="L194" s="703"/>
      <c r="M194" s="702">
        <v>1785541321</v>
      </c>
      <c r="N194" s="738">
        <f t="shared" si="33"/>
        <v>0</v>
      </c>
      <c r="P194" s="642"/>
      <c r="Q194" s="619"/>
      <c r="T194" s="1043" t="s">
        <v>204</v>
      </c>
      <c r="U194" s="800" t="s">
        <v>22</v>
      </c>
      <c r="V194" s="801">
        <f>K183+K194+K205</f>
        <v>3585998123</v>
      </c>
    </row>
    <row r="195" spans="1:22" hidden="1" outlineLevel="1" x14ac:dyDescent="0.4">
      <c r="A195" s="483" t="s">
        <v>21</v>
      </c>
      <c r="B195" s="483" t="s">
        <v>154</v>
      </c>
      <c r="C195" s="483" t="s">
        <v>27</v>
      </c>
      <c r="D195" s="699" t="str">
        <f t="shared" si="32"/>
        <v>5월</v>
      </c>
      <c r="E195" s="796" t="s">
        <v>132</v>
      </c>
      <c r="F195" s="701" t="s">
        <v>133</v>
      </c>
      <c r="G195" s="796" t="s">
        <v>134</v>
      </c>
      <c r="H195" s="701" t="s">
        <v>138</v>
      </c>
      <c r="I195" s="785">
        <v>405380500</v>
      </c>
      <c r="J195" s="702">
        <v>382037500</v>
      </c>
      <c r="K195" s="702">
        <v>405380500</v>
      </c>
      <c r="L195" s="703">
        <f>+I195/J195</f>
        <v>1.0611013316755553</v>
      </c>
      <c r="M195" s="702">
        <v>405380500</v>
      </c>
      <c r="N195" s="738">
        <f t="shared" si="33"/>
        <v>0</v>
      </c>
      <c r="O195" s="802">
        <v>513484180</v>
      </c>
      <c r="P195" s="642">
        <f>O195-K195</f>
        <v>108103680</v>
      </c>
      <c r="Q195" s="619"/>
      <c r="T195" s="1044"/>
      <c r="U195" s="800" t="s">
        <v>27</v>
      </c>
      <c r="V195" s="801">
        <f t="shared" ref="V195:V201" si="34">K184+K195+K206</f>
        <v>1540590380</v>
      </c>
    </row>
    <row r="196" spans="1:22" hidden="1" outlineLevel="1" x14ac:dyDescent="0.4">
      <c r="A196" s="483" t="s">
        <v>21</v>
      </c>
      <c r="B196" s="483" t="s">
        <v>154</v>
      </c>
      <c r="C196" s="483" t="s">
        <v>26</v>
      </c>
      <c r="D196" s="699" t="str">
        <f t="shared" si="32"/>
        <v>5월</v>
      </c>
      <c r="E196" s="796" t="s">
        <v>132</v>
      </c>
      <c r="F196" s="701" t="s">
        <v>133</v>
      </c>
      <c r="G196" s="796" t="s">
        <v>134</v>
      </c>
      <c r="H196" s="701" t="s">
        <v>139</v>
      </c>
      <c r="I196" s="785">
        <v>5697118800</v>
      </c>
      <c r="J196" s="702">
        <v>6790607900.000001</v>
      </c>
      <c r="K196" s="702">
        <v>5697118800</v>
      </c>
      <c r="L196" s="703">
        <f t="shared" ref="L196:L199" si="35">+I196/J196</f>
        <v>0.83897036670310465</v>
      </c>
      <c r="M196" s="702">
        <v>5697118800</v>
      </c>
      <c r="N196" s="738">
        <f t="shared" si="33"/>
        <v>0</v>
      </c>
      <c r="Q196" s="619"/>
      <c r="T196" s="1045"/>
      <c r="U196" s="701" t="s">
        <v>26</v>
      </c>
      <c r="V196" s="801">
        <f t="shared" si="34"/>
        <v>23211357200</v>
      </c>
    </row>
    <row r="197" spans="1:22" hidden="1" outlineLevel="1" x14ac:dyDescent="0.4">
      <c r="A197" s="483" t="s">
        <v>21</v>
      </c>
      <c r="B197" s="483" t="s">
        <v>154</v>
      </c>
      <c r="C197" s="483" t="s">
        <v>32</v>
      </c>
      <c r="D197" s="699" t="str">
        <f t="shared" si="32"/>
        <v>5월</v>
      </c>
      <c r="E197" s="796" t="s">
        <v>132</v>
      </c>
      <c r="F197" s="701" t="s">
        <v>133</v>
      </c>
      <c r="G197" s="796" t="s">
        <v>134</v>
      </c>
      <c r="H197" s="701" t="s">
        <v>140</v>
      </c>
      <c r="I197" s="702">
        <v>0</v>
      </c>
      <c r="J197" s="702"/>
      <c r="K197" s="702">
        <v>0</v>
      </c>
      <c r="L197" s="703" t="e">
        <f t="shared" si="35"/>
        <v>#DIV/0!</v>
      </c>
      <c r="M197" s="702">
        <v>0</v>
      </c>
      <c r="N197" s="738">
        <f t="shared" si="33"/>
        <v>0</v>
      </c>
      <c r="Q197" s="619"/>
      <c r="T197" s="1040" t="s">
        <v>205</v>
      </c>
      <c r="U197" s="701" t="s">
        <v>50</v>
      </c>
      <c r="V197" s="801">
        <f t="shared" si="34"/>
        <v>0</v>
      </c>
    </row>
    <row r="198" spans="1:22" hidden="1" outlineLevel="1" x14ac:dyDescent="0.4">
      <c r="A198" s="483" t="s">
        <v>21</v>
      </c>
      <c r="B198" s="483" t="s">
        <v>154</v>
      </c>
      <c r="C198" s="483" t="s">
        <v>30</v>
      </c>
      <c r="D198" s="699" t="str">
        <f t="shared" si="32"/>
        <v>5월</v>
      </c>
      <c r="E198" s="796" t="s">
        <v>132</v>
      </c>
      <c r="F198" s="701" t="s">
        <v>133</v>
      </c>
      <c r="G198" s="796" t="s">
        <v>134</v>
      </c>
      <c r="H198" s="701" t="s">
        <v>141</v>
      </c>
      <c r="I198" s="702"/>
      <c r="J198" s="702"/>
      <c r="K198" s="702"/>
      <c r="L198" s="703" t="e">
        <f t="shared" si="35"/>
        <v>#DIV/0!</v>
      </c>
      <c r="M198" s="702"/>
      <c r="N198" s="738">
        <f t="shared" si="33"/>
        <v>0</v>
      </c>
      <c r="Q198" s="619"/>
      <c r="T198" s="1041"/>
      <c r="U198" s="701" t="s">
        <v>30</v>
      </c>
      <c r="V198" s="801">
        <f t="shared" si="34"/>
        <v>209000000</v>
      </c>
    </row>
    <row r="199" spans="1:22" hidden="1" outlineLevel="1" x14ac:dyDescent="0.4">
      <c r="A199" s="483" t="s">
        <v>21</v>
      </c>
      <c r="B199" s="483" t="s">
        <v>154</v>
      </c>
      <c r="C199" s="483" t="s">
        <v>29</v>
      </c>
      <c r="D199" s="699" t="str">
        <f t="shared" si="32"/>
        <v>5월</v>
      </c>
      <c r="E199" s="796" t="s">
        <v>132</v>
      </c>
      <c r="F199" s="701" t="s">
        <v>133</v>
      </c>
      <c r="G199" s="796" t="s">
        <v>134</v>
      </c>
      <c r="H199" s="701" t="s">
        <v>145</v>
      </c>
      <c r="I199" s="785">
        <v>2576695337</v>
      </c>
      <c r="J199" s="702"/>
      <c r="K199" s="702">
        <v>2576695337</v>
      </c>
      <c r="L199" s="703" t="e">
        <f t="shared" si="35"/>
        <v>#DIV/0!</v>
      </c>
      <c r="M199" s="702">
        <v>2576695337</v>
      </c>
      <c r="N199" s="738">
        <f t="shared" si="33"/>
        <v>0</v>
      </c>
      <c r="O199" s="483" t="s">
        <v>206</v>
      </c>
      <c r="Q199" s="803"/>
      <c r="T199" s="1041"/>
      <c r="U199" s="701" t="s">
        <v>26</v>
      </c>
      <c r="V199" s="801">
        <f t="shared" si="34"/>
        <v>3300286011</v>
      </c>
    </row>
    <row r="200" spans="1:22" hidden="1" outlineLevel="1" x14ac:dyDescent="0.4">
      <c r="A200" s="483" t="s">
        <v>21</v>
      </c>
      <c r="B200" s="483" t="s">
        <v>154</v>
      </c>
      <c r="C200" s="483" t="s">
        <v>31</v>
      </c>
      <c r="D200" s="699" t="str">
        <f t="shared" si="32"/>
        <v>5월</v>
      </c>
      <c r="E200" s="798" t="s">
        <v>132</v>
      </c>
      <c r="F200" s="712" t="s">
        <v>133</v>
      </c>
      <c r="G200" s="798" t="s">
        <v>134</v>
      </c>
      <c r="H200" s="712" t="s">
        <v>146</v>
      </c>
      <c r="I200" s="792">
        <v>270583334</v>
      </c>
      <c r="J200" s="713"/>
      <c r="K200" s="713">
        <v>270583334</v>
      </c>
      <c r="L200" s="714"/>
      <c r="M200" s="713">
        <v>270583334</v>
      </c>
      <c r="N200" s="738">
        <f>K200-M200</f>
        <v>0</v>
      </c>
      <c r="Q200" s="619"/>
      <c r="T200" s="1041"/>
      <c r="U200" s="701" t="s">
        <v>22</v>
      </c>
      <c r="V200" s="801">
        <f t="shared" si="34"/>
        <v>347800002</v>
      </c>
    </row>
    <row r="201" spans="1:22" ht="14.4" hidden="1" outlineLevel="1" thickBot="1" x14ac:dyDescent="0.45">
      <c r="A201" s="483" t="s">
        <v>21</v>
      </c>
      <c r="B201" s="483" t="s">
        <v>154</v>
      </c>
      <c r="C201" s="483" t="s">
        <v>32</v>
      </c>
      <c r="D201" s="777" t="str">
        <f t="shared" si="32"/>
        <v>5월</v>
      </c>
      <c r="E201" s="799" t="s">
        <v>132</v>
      </c>
      <c r="F201" s="716" t="s">
        <v>133</v>
      </c>
      <c r="G201" s="799" t="s">
        <v>134</v>
      </c>
      <c r="H201" s="716" t="s">
        <v>147</v>
      </c>
      <c r="I201" s="717"/>
      <c r="J201" s="717"/>
      <c r="K201" s="717"/>
      <c r="L201" s="718" t="e">
        <f t="shared" ref="L201" si="36">+K201/J201</f>
        <v>#DIV/0!</v>
      </c>
      <c r="M201" s="717"/>
      <c r="N201" s="738">
        <f t="shared" ref="N201" si="37">K201-M201</f>
        <v>0</v>
      </c>
      <c r="T201" s="1042"/>
      <c r="U201" s="701" t="s">
        <v>51</v>
      </c>
      <c r="V201" s="801">
        <f t="shared" si="34"/>
        <v>196321600</v>
      </c>
    </row>
    <row r="202" spans="1:22" ht="14.4" collapsed="1" thickBot="1" x14ac:dyDescent="0.45">
      <c r="D202" s="1046" t="s">
        <v>207</v>
      </c>
      <c r="E202" s="1047"/>
      <c r="F202" s="1047"/>
      <c r="G202" s="1047"/>
      <c r="H202" s="1048"/>
      <c r="I202" s="721">
        <f>SUM(I192:I201)</f>
        <v>10735319292</v>
      </c>
      <c r="J202" s="721">
        <f>SUM(J192:J201)</f>
        <v>8725346828.5714302</v>
      </c>
      <c r="K202" s="721">
        <f>SUM(K192:K201)</f>
        <v>10735319292</v>
      </c>
      <c r="L202" s="722">
        <f>I202/J202</f>
        <v>1.2303601797061923</v>
      </c>
      <c r="M202" s="723">
        <f>SUM(M192:M201)</f>
        <v>10735319292</v>
      </c>
      <c r="N202" s="724">
        <f>SUM(N192:N201)</f>
        <v>0</v>
      </c>
      <c r="T202" s="619"/>
    </row>
    <row r="203" spans="1:22" hidden="1" outlineLevel="1" x14ac:dyDescent="0.4">
      <c r="A203" s="483" t="s">
        <v>21</v>
      </c>
      <c r="B203" s="483" t="s">
        <v>154</v>
      </c>
      <c r="C203" s="483" t="s">
        <v>105</v>
      </c>
      <c r="D203" s="693" t="s">
        <v>159</v>
      </c>
      <c r="E203" s="795" t="s">
        <v>132</v>
      </c>
      <c r="F203" s="772" t="s">
        <v>133</v>
      </c>
      <c r="G203" s="795" t="s">
        <v>134</v>
      </c>
      <c r="H203" s="772" t="s">
        <v>135</v>
      </c>
      <c r="I203" s="773"/>
      <c r="J203" s="773"/>
      <c r="K203" s="773"/>
      <c r="L203" s="774" t="e">
        <f t="shared" ref="L203" si="38">+I203/J203</f>
        <v>#DIV/0!</v>
      </c>
      <c r="M203" s="773"/>
      <c r="N203" s="759">
        <f>K203-M203</f>
        <v>0</v>
      </c>
    </row>
    <row r="204" spans="1:22" hidden="1" outlineLevel="1" x14ac:dyDescent="0.4">
      <c r="A204" s="483" t="s">
        <v>21</v>
      </c>
      <c r="B204" s="483" t="s">
        <v>154</v>
      </c>
      <c r="C204" s="483" t="s">
        <v>105</v>
      </c>
      <c r="D204" s="699" t="str">
        <f t="shared" ref="D204:D212" si="39">D203</f>
        <v>6월</v>
      </c>
      <c r="E204" s="796" t="s">
        <v>132</v>
      </c>
      <c r="F204" s="701" t="s">
        <v>133</v>
      </c>
      <c r="G204" s="796" t="s">
        <v>134</v>
      </c>
      <c r="H204" s="701" t="s">
        <v>136</v>
      </c>
      <c r="I204" s="702"/>
      <c r="J204" s="702"/>
      <c r="K204" s="702"/>
      <c r="L204" s="703"/>
      <c r="M204" s="702"/>
      <c r="N204" s="738">
        <f t="shared" ref="N204:N212" si="40">K204-M204</f>
        <v>0</v>
      </c>
    </row>
    <row r="205" spans="1:22" hidden="1" outlineLevel="1" x14ac:dyDescent="0.4">
      <c r="A205" s="483" t="s">
        <v>21</v>
      </c>
      <c r="B205" s="483" t="s">
        <v>154</v>
      </c>
      <c r="C205" s="483" t="s">
        <v>22</v>
      </c>
      <c r="D205" s="699" t="str">
        <f t="shared" si="39"/>
        <v>6월</v>
      </c>
      <c r="E205" s="797" t="s">
        <v>132</v>
      </c>
      <c r="F205" s="701" t="s">
        <v>133</v>
      </c>
      <c r="G205" s="796" t="s">
        <v>134</v>
      </c>
      <c r="H205" s="701" t="s">
        <v>137</v>
      </c>
      <c r="I205" s="702">
        <v>1195727441</v>
      </c>
      <c r="J205" s="702">
        <v>630838928.57142854</v>
      </c>
      <c r="K205" s="702">
        <v>1195727441</v>
      </c>
      <c r="L205" s="703"/>
      <c r="M205" s="702">
        <v>1195727441</v>
      </c>
      <c r="N205" s="738">
        <f t="shared" si="40"/>
        <v>0</v>
      </c>
      <c r="O205" s="483" t="s">
        <v>208</v>
      </c>
      <c r="P205" s="793"/>
      <c r="Q205" s="661"/>
      <c r="T205" s="619"/>
    </row>
    <row r="206" spans="1:22" hidden="1" outlineLevel="1" x14ac:dyDescent="0.4">
      <c r="A206" s="483" t="s">
        <v>21</v>
      </c>
      <c r="B206" s="483" t="s">
        <v>154</v>
      </c>
      <c r="C206" s="483" t="s">
        <v>27</v>
      </c>
      <c r="D206" s="699" t="str">
        <f t="shared" si="39"/>
        <v>6월</v>
      </c>
      <c r="E206" s="796" t="s">
        <v>132</v>
      </c>
      <c r="F206" s="701" t="s">
        <v>133</v>
      </c>
      <c r="G206" s="796" t="s">
        <v>134</v>
      </c>
      <c r="H206" s="701" t="s">
        <v>138</v>
      </c>
      <c r="I206" s="702">
        <v>530925000</v>
      </c>
      <c r="J206" s="702">
        <v>214320000.00000003</v>
      </c>
      <c r="K206" s="702">
        <v>530925000</v>
      </c>
      <c r="L206" s="703">
        <f t="shared" ref="L206:L210" si="41">+I206/J206</f>
        <v>2.4772536394176927</v>
      </c>
      <c r="M206" s="702">
        <v>530925000</v>
      </c>
      <c r="N206" s="738">
        <f t="shared" si="40"/>
        <v>0</v>
      </c>
      <c r="O206" s="483" t="s">
        <v>209</v>
      </c>
      <c r="P206" s="793"/>
      <c r="Q206" s="661"/>
      <c r="T206" s="619"/>
    </row>
    <row r="207" spans="1:22" hidden="1" outlineLevel="1" x14ac:dyDescent="0.4">
      <c r="A207" s="483" t="s">
        <v>21</v>
      </c>
      <c r="B207" s="483" t="s">
        <v>154</v>
      </c>
      <c r="C207" s="483" t="s">
        <v>26</v>
      </c>
      <c r="D207" s="699" t="str">
        <f t="shared" si="39"/>
        <v>6월</v>
      </c>
      <c r="E207" s="796" t="s">
        <v>132</v>
      </c>
      <c r="F207" s="701" t="s">
        <v>133</v>
      </c>
      <c r="G207" s="796" t="s">
        <v>134</v>
      </c>
      <c r="H207" s="701" t="s">
        <v>139</v>
      </c>
      <c r="I207" s="702">
        <v>9507260900</v>
      </c>
      <c r="J207" s="702">
        <v>10456543000</v>
      </c>
      <c r="K207" s="702">
        <v>9507260900</v>
      </c>
      <c r="L207" s="703">
        <f t="shared" si="41"/>
        <v>0.90921644945179303</v>
      </c>
      <c r="M207" s="702">
        <v>9507260900</v>
      </c>
      <c r="N207" s="738">
        <f t="shared" si="40"/>
        <v>0</v>
      </c>
      <c r="O207" s="741" t="s">
        <v>210</v>
      </c>
      <c r="P207" s="793"/>
      <c r="Q207" s="661"/>
      <c r="T207" s="619"/>
    </row>
    <row r="208" spans="1:22" hidden="1" outlineLevel="1" x14ac:dyDescent="0.4">
      <c r="A208" s="483" t="s">
        <v>21</v>
      </c>
      <c r="B208" s="483" t="s">
        <v>154</v>
      </c>
      <c r="C208" s="483" t="s">
        <v>32</v>
      </c>
      <c r="D208" s="699" t="str">
        <f t="shared" si="39"/>
        <v>6월</v>
      </c>
      <c r="E208" s="796" t="s">
        <v>132</v>
      </c>
      <c r="F208" s="701" t="s">
        <v>133</v>
      </c>
      <c r="G208" s="796" t="s">
        <v>134</v>
      </c>
      <c r="H208" s="701" t="s">
        <v>140</v>
      </c>
      <c r="I208" s="702"/>
      <c r="J208" s="702"/>
      <c r="K208" s="702"/>
      <c r="L208" s="703" t="e">
        <f t="shared" si="41"/>
        <v>#DIV/0!</v>
      </c>
      <c r="M208" s="702"/>
      <c r="N208" s="738">
        <f t="shared" si="40"/>
        <v>0</v>
      </c>
      <c r="P208" s="793"/>
      <c r="Q208" s="661"/>
      <c r="T208" s="619"/>
    </row>
    <row r="209" spans="1:20" hidden="1" outlineLevel="1" x14ac:dyDescent="0.4">
      <c r="A209" s="483" t="s">
        <v>21</v>
      </c>
      <c r="B209" s="483" t="s">
        <v>154</v>
      </c>
      <c r="C209" s="483" t="s">
        <v>30</v>
      </c>
      <c r="D209" s="699" t="str">
        <f t="shared" si="39"/>
        <v>6월</v>
      </c>
      <c r="E209" s="796" t="s">
        <v>132</v>
      </c>
      <c r="F209" s="701" t="s">
        <v>133</v>
      </c>
      <c r="G209" s="796" t="s">
        <v>134</v>
      </c>
      <c r="H209" s="701" t="s">
        <v>141</v>
      </c>
      <c r="I209" s="702">
        <v>209000000</v>
      </c>
      <c r="J209" s="702"/>
      <c r="K209" s="702">
        <v>209000000</v>
      </c>
      <c r="L209" s="703" t="e">
        <f t="shared" si="41"/>
        <v>#DIV/0!</v>
      </c>
      <c r="M209" s="702">
        <v>209000000</v>
      </c>
      <c r="N209" s="738">
        <f t="shared" si="40"/>
        <v>0</v>
      </c>
      <c r="O209" s="483" t="s">
        <v>211</v>
      </c>
      <c r="P209" s="793"/>
      <c r="Q209" s="661"/>
      <c r="T209" s="619"/>
    </row>
    <row r="210" spans="1:20" hidden="1" outlineLevel="1" x14ac:dyDescent="0.4">
      <c r="A210" s="483" t="s">
        <v>21</v>
      </c>
      <c r="B210" s="483" t="s">
        <v>154</v>
      </c>
      <c r="C210" s="483" t="s">
        <v>29</v>
      </c>
      <c r="D210" s="699" t="str">
        <f t="shared" si="39"/>
        <v>6월</v>
      </c>
      <c r="E210" s="796" t="s">
        <v>132</v>
      </c>
      <c r="F210" s="701" t="s">
        <v>133</v>
      </c>
      <c r="G210" s="796" t="s">
        <v>134</v>
      </c>
      <c r="H210" s="701" t="s">
        <v>145</v>
      </c>
      <c r="I210" s="702">
        <v>679295337</v>
      </c>
      <c r="J210" s="702"/>
      <c r="K210" s="702">
        <v>679295337</v>
      </c>
      <c r="L210" s="703" t="e">
        <f t="shared" si="41"/>
        <v>#DIV/0!</v>
      </c>
      <c r="M210" s="702">
        <v>679295337</v>
      </c>
      <c r="N210" s="738">
        <f t="shared" si="40"/>
        <v>0</v>
      </c>
      <c r="O210" s="802" t="s">
        <v>212</v>
      </c>
      <c r="P210" s="793"/>
      <c r="Q210" s="661"/>
      <c r="T210" s="619"/>
    </row>
    <row r="211" spans="1:20" hidden="1" outlineLevel="1" x14ac:dyDescent="0.4">
      <c r="A211" s="483" t="s">
        <v>21</v>
      </c>
      <c r="B211" s="483" t="s">
        <v>154</v>
      </c>
      <c r="C211" s="483" t="s">
        <v>31</v>
      </c>
      <c r="D211" s="699" t="str">
        <f t="shared" si="39"/>
        <v>6월</v>
      </c>
      <c r="E211" s="798" t="s">
        <v>132</v>
      </c>
      <c r="F211" s="712" t="s">
        <v>133</v>
      </c>
      <c r="G211" s="798" t="s">
        <v>134</v>
      </c>
      <c r="H211" s="712" t="s">
        <v>146</v>
      </c>
      <c r="I211" s="713">
        <v>36208334</v>
      </c>
      <c r="J211" s="713"/>
      <c r="K211" s="713">
        <v>36208334</v>
      </c>
      <c r="L211" s="714"/>
      <c r="M211" s="713">
        <v>36208334</v>
      </c>
      <c r="N211" s="738">
        <f t="shared" si="40"/>
        <v>0</v>
      </c>
      <c r="P211" s="793"/>
      <c r="Q211" s="661"/>
      <c r="T211" s="619"/>
    </row>
    <row r="212" spans="1:20" ht="14.4" hidden="1" outlineLevel="1" thickBot="1" x14ac:dyDescent="0.45">
      <c r="A212" s="483" t="s">
        <v>21</v>
      </c>
      <c r="B212" s="483" t="s">
        <v>154</v>
      </c>
      <c r="C212" s="483" t="s">
        <v>32</v>
      </c>
      <c r="D212" s="777" t="str">
        <f t="shared" si="39"/>
        <v>6월</v>
      </c>
      <c r="E212" s="799" t="s">
        <v>132</v>
      </c>
      <c r="F212" s="716" t="s">
        <v>133</v>
      </c>
      <c r="G212" s="799" t="s">
        <v>134</v>
      </c>
      <c r="H212" s="716" t="s">
        <v>147</v>
      </c>
      <c r="I212" s="717">
        <v>97321600</v>
      </c>
      <c r="J212" s="717"/>
      <c r="K212" s="717">
        <v>97321600</v>
      </c>
      <c r="L212" s="718" t="e">
        <f t="shared" ref="L212" si="42">+K212/J212</f>
        <v>#DIV/0!</v>
      </c>
      <c r="M212" s="717">
        <v>97321600</v>
      </c>
      <c r="N212" s="738">
        <f t="shared" si="40"/>
        <v>0</v>
      </c>
      <c r="O212" s="483" t="s">
        <v>213</v>
      </c>
      <c r="P212" s="793"/>
      <c r="Q212" s="661" t="s">
        <v>214</v>
      </c>
      <c r="T212" s="619"/>
    </row>
    <row r="213" spans="1:20" ht="14.4" collapsed="1" thickBot="1" x14ac:dyDescent="0.45">
      <c r="D213" s="1046" t="s">
        <v>215</v>
      </c>
      <c r="E213" s="1047"/>
      <c r="F213" s="1047"/>
      <c r="G213" s="1047"/>
      <c r="H213" s="1048"/>
      <c r="I213" s="721">
        <f>SUM(I203:I212)</f>
        <v>12255738612</v>
      </c>
      <c r="J213" s="721">
        <f>SUM(J203:J212)</f>
        <v>11301701928.571428</v>
      </c>
      <c r="K213" s="721">
        <f>SUM(K203:K212)</f>
        <v>12255738612</v>
      </c>
      <c r="L213" s="722">
        <f>I213/J213</f>
        <v>1.0844153110264487</v>
      </c>
      <c r="M213" s="723">
        <f>SUM(M203:M212)</f>
        <v>12255738612</v>
      </c>
      <c r="N213" s="724">
        <f>SUM(N203:N212)</f>
        <v>0</v>
      </c>
      <c r="P213" s="793"/>
      <c r="T213" s="619"/>
    </row>
    <row r="214" spans="1:20" ht="14.4" thickBot="1" x14ac:dyDescent="0.45">
      <c r="D214" s="1049" t="s">
        <v>216</v>
      </c>
      <c r="E214" s="1050"/>
      <c r="F214" s="1050"/>
      <c r="G214" s="1050"/>
      <c r="H214" s="1051"/>
      <c r="I214" s="733">
        <f>SUM(I191,I202,I213)</f>
        <v>32391353316</v>
      </c>
      <c r="J214" s="733">
        <f t="shared" ref="J214:K214" si="43">SUM(J191,J202,J213)</f>
        <v>33091521328.571426</v>
      </c>
      <c r="K214" s="733">
        <f t="shared" si="43"/>
        <v>32391353316</v>
      </c>
      <c r="L214" s="734">
        <f>I214/J214</f>
        <v>0.97884146801172001</v>
      </c>
      <c r="M214" s="733">
        <f>SUM(M191,M202,M213)</f>
        <v>32391353316</v>
      </c>
      <c r="N214" s="733">
        <f>SUM(N191,N202,N213)</f>
        <v>0</v>
      </c>
      <c r="O214" s="642">
        <f>J214-K214</f>
        <v>700168012.57142639</v>
      </c>
    </row>
    <row r="215" spans="1:20" hidden="1" outlineLevel="1" x14ac:dyDescent="0.4">
      <c r="A215" s="483" t="s">
        <v>21</v>
      </c>
      <c r="B215" s="483" t="s">
        <v>98</v>
      </c>
      <c r="C215" s="483" t="s">
        <v>105</v>
      </c>
      <c r="D215" s="693" t="s">
        <v>77</v>
      </c>
      <c r="E215" s="795" t="s">
        <v>132</v>
      </c>
      <c r="F215" s="772" t="s">
        <v>133</v>
      </c>
      <c r="G215" s="795" t="s">
        <v>134</v>
      </c>
      <c r="H215" s="772" t="s">
        <v>135</v>
      </c>
      <c r="I215" s="773"/>
      <c r="J215" s="773"/>
      <c r="K215" s="773"/>
      <c r="L215" s="774" t="e">
        <f t="shared" ref="L215" si="44">+I215/J215</f>
        <v>#DIV/0!</v>
      </c>
      <c r="M215" s="773"/>
      <c r="N215" s="759">
        <f>K215-M215</f>
        <v>0</v>
      </c>
      <c r="O215" s="642"/>
    </row>
    <row r="216" spans="1:20" hidden="1" outlineLevel="1" x14ac:dyDescent="0.4">
      <c r="A216" s="483" t="s">
        <v>21</v>
      </c>
      <c r="B216" s="483" t="s">
        <v>98</v>
      </c>
      <c r="C216" s="483" t="s">
        <v>105</v>
      </c>
      <c r="D216" s="699" t="str">
        <f t="shared" ref="D216:D224" si="45">D215</f>
        <v>7월</v>
      </c>
      <c r="E216" s="796" t="s">
        <v>132</v>
      </c>
      <c r="F216" s="701" t="s">
        <v>133</v>
      </c>
      <c r="G216" s="796" t="s">
        <v>134</v>
      </c>
      <c r="H216" s="701" t="s">
        <v>136</v>
      </c>
      <c r="I216" s="702"/>
      <c r="J216" s="702"/>
      <c r="K216" s="702"/>
      <c r="L216" s="703"/>
      <c r="M216" s="702"/>
      <c r="N216" s="738">
        <f t="shared" ref="N216:N224" si="46">K216-M216</f>
        <v>0</v>
      </c>
      <c r="O216" s="642"/>
    </row>
    <row r="217" spans="1:20" hidden="1" outlineLevel="1" x14ac:dyDescent="0.4">
      <c r="A217" s="483" t="s">
        <v>21</v>
      </c>
      <c r="B217" s="483" t="s">
        <v>98</v>
      </c>
      <c r="C217" s="483" t="s">
        <v>22</v>
      </c>
      <c r="D217" s="699" t="str">
        <f t="shared" si="45"/>
        <v>7월</v>
      </c>
      <c r="E217" s="797" t="s">
        <v>132</v>
      </c>
      <c r="F217" s="701" t="s">
        <v>133</v>
      </c>
      <c r="G217" s="796" t="s">
        <v>134</v>
      </c>
      <c r="H217" s="701" t="s">
        <v>137</v>
      </c>
      <c r="I217" s="702">
        <v>1099305556</v>
      </c>
      <c r="J217" s="702">
        <v>1243154250.0000002</v>
      </c>
      <c r="K217" s="702">
        <v>1099305556</v>
      </c>
      <c r="L217" s="703"/>
      <c r="M217" s="702">
        <v>1099305556</v>
      </c>
      <c r="N217" s="738">
        <f t="shared" si="46"/>
        <v>0</v>
      </c>
      <c r="O217" s="642" t="s">
        <v>217</v>
      </c>
      <c r="P217" s="642"/>
      <c r="S217" s="619"/>
      <c r="T217" s="619"/>
    </row>
    <row r="218" spans="1:20" hidden="1" outlineLevel="1" x14ac:dyDescent="0.4">
      <c r="A218" s="483" t="s">
        <v>21</v>
      </c>
      <c r="B218" s="483" t="s">
        <v>98</v>
      </c>
      <c r="C218" s="483" t="s">
        <v>27</v>
      </c>
      <c r="D218" s="699" t="str">
        <f t="shared" si="45"/>
        <v>7월</v>
      </c>
      <c r="E218" s="796" t="s">
        <v>132</v>
      </c>
      <c r="F218" s="701" t="s">
        <v>133</v>
      </c>
      <c r="G218" s="796" t="s">
        <v>134</v>
      </c>
      <c r="H218" s="701" t="s">
        <v>138</v>
      </c>
      <c r="I218" s="702">
        <v>459160000</v>
      </c>
      <c r="J218" s="702">
        <v>470950000</v>
      </c>
      <c r="K218" s="702">
        <v>459160000</v>
      </c>
      <c r="L218" s="703">
        <f t="shared" ref="L218:L222" si="47">+I218/J218</f>
        <v>0.97496549527550691</v>
      </c>
      <c r="M218" s="702">
        <v>459160000</v>
      </c>
      <c r="N218" s="738">
        <f t="shared" si="46"/>
        <v>0</v>
      </c>
      <c r="O218" s="642" t="s">
        <v>218</v>
      </c>
      <c r="S218" s="619"/>
      <c r="T218" s="619"/>
    </row>
    <row r="219" spans="1:20" ht="17.100000000000001" hidden="1" customHeight="1" outlineLevel="1" x14ac:dyDescent="0.4">
      <c r="A219" s="483" t="s">
        <v>21</v>
      </c>
      <c r="B219" s="483" t="s">
        <v>98</v>
      </c>
      <c r="C219" s="483" t="s">
        <v>26</v>
      </c>
      <c r="D219" s="699" t="str">
        <f t="shared" si="45"/>
        <v>7월</v>
      </c>
      <c r="E219" s="796" t="s">
        <v>132</v>
      </c>
      <c r="F219" s="701" t="s">
        <v>133</v>
      </c>
      <c r="G219" s="796" t="s">
        <v>134</v>
      </c>
      <c r="H219" s="701" t="s">
        <v>139</v>
      </c>
      <c r="I219" s="702">
        <v>7886136900</v>
      </c>
      <c r="J219" s="702">
        <v>6873718600.000001</v>
      </c>
      <c r="K219" s="702">
        <v>7886136900</v>
      </c>
      <c r="L219" s="703">
        <f t="shared" si="47"/>
        <v>1.1472882960323687</v>
      </c>
      <c r="M219" s="785">
        <v>7886136900</v>
      </c>
      <c r="N219" s="738">
        <f t="shared" si="46"/>
        <v>0</v>
      </c>
      <c r="O219" s="804" t="s">
        <v>219</v>
      </c>
      <c r="P219" s="805"/>
      <c r="Q219" s="805"/>
      <c r="R219" s="805"/>
      <c r="S219" s="619"/>
      <c r="T219" s="619"/>
    </row>
    <row r="220" spans="1:20" hidden="1" outlineLevel="1" x14ac:dyDescent="0.4">
      <c r="A220" s="483" t="s">
        <v>21</v>
      </c>
      <c r="B220" s="483" t="s">
        <v>98</v>
      </c>
      <c r="C220" s="483" t="s">
        <v>32</v>
      </c>
      <c r="D220" s="699" t="str">
        <f t="shared" si="45"/>
        <v>7월</v>
      </c>
      <c r="E220" s="796" t="s">
        <v>132</v>
      </c>
      <c r="F220" s="701" t="s">
        <v>133</v>
      </c>
      <c r="G220" s="796" t="s">
        <v>134</v>
      </c>
      <c r="H220" s="701" t="s">
        <v>140</v>
      </c>
      <c r="I220" s="702"/>
      <c r="J220" s="702">
        <v>30000000</v>
      </c>
      <c r="K220" s="702"/>
      <c r="L220" s="703">
        <f t="shared" si="47"/>
        <v>0</v>
      </c>
      <c r="M220" s="702"/>
      <c r="N220" s="738">
        <f t="shared" si="46"/>
        <v>0</v>
      </c>
      <c r="O220" s="642" t="s">
        <v>220</v>
      </c>
      <c r="S220" s="619"/>
      <c r="T220" s="619"/>
    </row>
    <row r="221" spans="1:20" hidden="1" outlineLevel="1" x14ac:dyDescent="0.4">
      <c r="A221" s="483" t="s">
        <v>21</v>
      </c>
      <c r="B221" s="483" t="s">
        <v>98</v>
      </c>
      <c r="C221" s="483" t="s">
        <v>30</v>
      </c>
      <c r="D221" s="699" t="str">
        <f t="shared" si="45"/>
        <v>7월</v>
      </c>
      <c r="E221" s="796" t="s">
        <v>132</v>
      </c>
      <c r="F221" s="701" t="s">
        <v>133</v>
      </c>
      <c r="G221" s="796" t="s">
        <v>134</v>
      </c>
      <c r="H221" s="701" t="s">
        <v>141</v>
      </c>
      <c r="I221" s="702">
        <v>285625000</v>
      </c>
      <c r="J221" s="702">
        <v>372500000</v>
      </c>
      <c r="K221" s="702">
        <v>285625000</v>
      </c>
      <c r="L221" s="703">
        <f t="shared" si="47"/>
        <v>0.76677852348993292</v>
      </c>
      <c r="M221" s="702">
        <v>285625000</v>
      </c>
      <c r="N221" s="738">
        <f t="shared" si="46"/>
        <v>0</v>
      </c>
      <c r="O221" s="642" t="s">
        <v>221</v>
      </c>
      <c r="S221" s="619"/>
      <c r="T221" s="619"/>
    </row>
    <row r="222" spans="1:20" hidden="1" outlineLevel="1" x14ac:dyDescent="0.4">
      <c r="A222" s="483" t="s">
        <v>21</v>
      </c>
      <c r="B222" s="483" t="s">
        <v>98</v>
      </c>
      <c r="C222" s="483" t="s">
        <v>29</v>
      </c>
      <c r="D222" s="699" t="str">
        <f t="shared" si="45"/>
        <v>7월</v>
      </c>
      <c r="E222" s="796" t="s">
        <v>132</v>
      </c>
      <c r="F222" s="701" t="s">
        <v>133</v>
      </c>
      <c r="G222" s="796" t="s">
        <v>134</v>
      </c>
      <c r="H222" s="701" t="s">
        <v>145</v>
      </c>
      <c r="I222" s="702">
        <v>160295337</v>
      </c>
      <c r="J222" s="702">
        <v>119000000</v>
      </c>
      <c r="K222" s="702">
        <v>160295337</v>
      </c>
      <c r="L222" s="703">
        <f t="shared" si="47"/>
        <v>1.3470196386554623</v>
      </c>
      <c r="M222" s="702">
        <v>160295337</v>
      </c>
      <c r="N222" s="738">
        <f t="shared" si="46"/>
        <v>0</v>
      </c>
      <c r="O222" s="642" t="s">
        <v>222</v>
      </c>
      <c r="S222" s="619"/>
      <c r="T222" s="619"/>
    </row>
    <row r="223" spans="1:20" hidden="1" outlineLevel="1" x14ac:dyDescent="0.4">
      <c r="A223" s="483" t="s">
        <v>21</v>
      </c>
      <c r="B223" s="483" t="s">
        <v>98</v>
      </c>
      <c r="C223" s="483" t="s">
        <v>31</v>
      </c>
      <c r="D223" s="699" t="str">
        <f t="shared" si="45"/>
        <v>7월</v>
      </c>
      <c r="E223" s="798" t="s">
        <v>132</v>
      </c>
      <c r="F223" s="712" t="s">
        <v>133</v>
      </c>
      <c r="G223" s="798" t="s">
        <v>134</v>
      </c>
      <c r="H223" s="712" t="s">
        <v>146</v>
      </c>
      <c r="I223" s="713">
        <v>79808334</v>
      </c>
      <c r="J223" s="702">
        <v>234375000</v>
      </c>
      <c r="K223" s="713">
        <v>79808334</v>
      </c>
      <c r="L223" s="714"/>
      <c r="M223" s="713">
        <v>79808334</v>
      </c>
      <c r="N223" s="738">
        <f t="shared" si="46"/>
        <v>0</v>
      </c>
      <c r="O223" s="642" t="s">
        <v>223</v>
      </c>
      <c r="S223" s="619"/>
      <c r="T223" s="619"/>
    </row>
    <row r="224" spans="1:20" ht="14.4" hidden="1" outlineLevel="1" thickBot="1" x14ac:dyDescent="0.45">
      <c r="A224" s="483" t="s">
        <v>21</v>
      </c>
      <c r="B224" s="483" t="s">
        <v>98</v>
      </c>
      <c r="C224" s="483" t="s">
        <v>32</v>
      </c>
      <c r="D224" s="777" t="str">
        <f t="shared" si="45"/>
        <v>7월</v>
      </c>
      <c r="E224" s="799" t="s">
        <v>132</v>
      </c>
      <c r="F224" s="716" t="s">
        <v>133</v>
      </c>
      <c r="G224" s="799" t="s">
        <v>134</v>
      </c>
      <c r="H224" s="716" t="s">
        <v>147</v>
      </c>
      <c r="I224" s="717"/>
      <c r="J224" s="717"/>
      <c r="K224" s="717"/>
      <c r="L224" s="718" t="e">
        <f t="shared" ref="L224" si="48">+K224/J224</f>
        <v>#DIV/0!</v>
      </c>
      <c r="M224" s="717"/>
      <c r="N224" s="738">
        <f t="shared" si="46"/>
        <v>0</v>
      </c>
      <c r="Q224" s="642"/>
      <c r="S224" s="619"/>
      <c r="T224" s="619"/>
    </row>
    <row r="225" spans="1:20" ht="14.4" collapsed="1" thickBot="1" x14ac:dyDescent="0.45">
      <c r="D225" s="1046" t="s">
        <v>224</v>
      </c>
      <c r="E225" s="1047"/>
      <c r="F225" s="1047"/>
      <c r="G225" s="1047"/>
      <c r="H225" s="1048"/>
      <c r="I225" s="721">
        <f>SUM(I215:I224)</f>
        <v>9970331127</v>
      </c>
      <c r="J225" s="721">
        <f>SUM(J215:J224)</f>
        <v>9343697850</v>
      </c>
      <c r="K225" s="721">
        <f>SUM(K215:K224)</f>
        <v>9970331127</v>
      </c>
      <c r="L225" s="722">
        <f>I225/J225</f>
        <v>1.0670648052901239</v>
      </c>
      <c r="M225" s="723">
        <f>SUM(M215:M224)</f>
        <v>9970331127</v>
      </c>
      <c r="N225" s="724">
        <f>SUM(N215:N224)</f>
        <v>0</v>
      </c>
      <c r="O225" s="778"/>
      <c r="S225" s="619"/>
      <c r="T225" s="619"/>
    </row>
    <row r="226" spans="1:20" hidden="1" outlineLevel="1" x14ac:dyDescent="0.4">
      <c r="A226" s="483" t="s">
        <v>21</v>
      </c>
      <c r="B226" s="483" t="s">
        <v>98</v>
      </c>
      <c r="C226" s="483" t="s">
        <v>105</v>
      </c>
      <c r="D226" s="693" t="s">
        <v>165</v>
      </c>
      <c r="E226" s="795" t="s">
        <v>132</v>
      </c>
      <c r="F226" s="772" t="s">
        <v>133</v>
      </c>
      <c r="G226" s="795" t="s">
        <v>134</v>
      </c>
      <c r="H226" s="772" t="s">
        <v>135</v>
      </c>
      <c r="I226" s="773"/>
      <c r="J226" s="773"/>
      <c r="K226" s="773"/>
      <c r="L226" s="774" t="e">
        <f t="shared" ref="L226" si="49">+I226/J226</f>
        <v>#DIV/0!</v>
      </c>
      <c r="M226" s="773"/>
      <c r="N226" s="759">
        <f>K226-M226</f>
        <v>0</v>
      </c>
      <c r="O226" s="642"/>
    </row>
    <row r="227" spans="1:20" hidden="1" outlineLevel="1" x14ac:dyDescent="0.4">
      <c r="A227" s="483" t="s">
        <v>21</v>
      </c>
      <c r="B227" s="483" t="s">
        <v>98</v>
      </c>
      <c r="C227" s="483" t="s">
        <v>105</v>
      </c>
      <c r="D227" s="699" t="str">
        <f t="shared" ref="D227:D235" si="50">D226</f>
        <v>8월</v>
      </c>
      <c r="E227" s="796" t="s">
        <v>132</v>
      </c>
      <c r="F227" s="701" t="s">
        <v>133</v>
      </c>
      <c r="G227" s="796" t="s">
        <v>134</v>
      </c>
      <c r="H227" s="701" t="s">
        <v>136</v>
      </c>
      <c r="I227" s="702"/>
      <c r="J227" s="702"/>
      <c r="K227" s="702"/>
      <c r="L227" s="703"/>
      <c r="M227" s="702"/>
      <c r="N227" s="738">
        <f t="shared" ref="N227:N233" si="51">K227-M227</f>
        <v>0</v>
      </c>
      <c r="O227" s="790"/>
    </row>
    <row r="228" spans="1:20" hidden="1" outlineLevel="1" x14ac:dyDescent="0.4">
      <c r="A228" s="483" t="s">
        <v>21</v>
      </c>
      <c r="B228" s="483" t="s">
        <v>98</v>
      </c>
      <c r="C228" s="483" t="s">
        <v>22</v>
      </c>
      <c r="D228" s="699" t="str">
        <f t="shared" si="50"/>
        <v>8월</v>
      </c>
      <c r="E228" s="797" t="s">
        <v>132</v>
      </c>
      <c r="F228" s="701" t="s">
        <v>133</v>
      </c>
      <c r="G228" s="796" t="s">
        <v>134</v>
      </c>
      <c r="H228" s="701" t="s">
        <v>137</v>
      </c>
      <c r="I228" s="785">
        <v>2799032515</v>
      </c>
      <c r="J228" s="702">
        <v>2029392857.1428571</v>
      </c>
      <c r="K228" s="702">
        <v>2799032515</v>
      </c>
      <c r="L228" s="703"/>
      <c r="M228" s="702">
        <v>2799032515</v>
      </c>
      <c r="N228" s="738">
        <f t="shared" si="51"/>
        <v>0</v>
      </c>
      <c r="O228" s="642" t="s">
        <v>225</v>
      </c>
      <c r="P228" s="642"/>
      <c r="T228" s="619"/>
    </row>
    <row r="229" spans="1:20" ht="14.4" hidden="1" outlineLevel="1" thickBot="1" x14ac:dyDescent="0.45">
      <c r="A229" s="483" t="s">
        <v>21</v>
      </c>
      <c r="B229" s="483" t="s">
        <v>98</v>
      </c>
      <c r="C229" s="483" t="s">
        <v>27</v>
      </c>
      <c r="D229" s="699" t="str">
        <f t="shared" si="50"/>
        <v>8월</v>
      </c>
      <c r="E229" s="796" t="s">
        <v>132</v>
      </c>
      <c r="F229" s="701" t="s">
        <v>133</v>
      </c>
      <c r="G229" s="796" t="s">
        <v>134</v>
      </c>
      <c r="H229" s="701" t="s">
        <v>138</v>
      </c>
      <c r="I229" s="785">
        <v>129330570</v>
      </c>
      <c r="J229" s="702">
        <v>524570000</v>
      </c>
      <c r="K229" s="702">
        <v>129330570</v>
      </c>
      <c r="L229" s="703">
        <f>+I229/J229</f>
        <v>0.24654587566959604</v>
      </c>
      <c r="M229" s="702">
        <v>129330570</v>
      </c>
      <c r="N229" s="738">
        <f t="shared" si="51"/>
        <v>0</v>
      </c>
      <c r="O229" s="806" t="s">
        <v>226</v>
      </c>
      <c r="Q229" s="619"/>
      <c r="T229" s="619"/>
    </row>
    <row r="230" spans="1:20" ht="24" hidden="1" customHeight="1" outlineLevel="1" x14ac:dyDescent="0.4">
      <c r="A230" s="483" t="s">
        <v>21</v>
      </c>
      <c r="B230" s="483" t="s">
        <v>98</v>
      </c>
      <c r="C230" s="483" t="s">
        <v>26</v>
      </c>
      <c r="D230" s="699" t="str">
        <f t="shared" si="50"/>
        <v>8월</v>
      </c>
      <c r="E230" s="796" t="s">
        <v>132</v>
      </c>
      <c r="F230" s="701" t="s">
        <v>133</v>
      </c>
      <c r="G230" s="796" t="s">
        <v>134</v>
      </c>
      <c r="H230" s="701" t="s">
        <v>139</v>
      </c>
      <c r="I230" s="785">
        <v>9145801500</v>
      </c>
      <c r="J230" s="702">
        <v>9114117900</v>
      </c>
      <c r="K230" s="702">
        <v>9145801500</v>
      </c>
      <c r="L230" s="703">
        <f t="shared" ref="L230:L233" si="52">+I230/J230</f>
        <v>1.0034763210600994</v>
      </c>
      <c r="M230" s="702">
        <v>9145801500</v>
      </c>
      <c r="N230" s="738">
        <f t="shared" si="51"/>
        <v>0</v>
      </c>
      <c r="O230" s="807" t="s">
        <v>227</v>
      </c>
      <c r="Q230" s="619"/>
      <c r="T230" s="619"/>
    </row>
    <row r="231" spans="1:20" hidden="1" outlineLevel="1" x14ac:dyDescent="0.4">
      <c r="A231" s="483" t="s">
        <v>21</v>
      </c>
      <c r="B231" s="483" t="s">
        <v>98</v>
      </c>
      <c r="C231" s="483" t="s">
        <v>32</v>
      </c>
      <c r="D231" s="699" t="str">
        <f t="shared" si="50"/>
        <v>8월</v>
      </c>
      <c r="E231" s="796" t="s">
        <v>132</v>
      </c>
      <c r="F231" s="701" t="s">
        <v>133</v>
      </c>
      <c r="G231" s="796" t="s">
        <v>134</v>
      </c>
      <c r="H231" s="701" t="s">
        <v>140</v>
      </c>
      <c r="I231" s="702"/>
      <c r="J231" s="702">
        <v>0</v>
      </c>
      <c r="K231" s="702">
        <v>0</v>
      </c>
      <c r="L231" s="703" t="e">
        <f t="shared" si="52"/>
        <v>#DIV/0!</v>
      </c>
      <c r="M231" s="702"/>
      <c r="N231" s="738">
        <f t="shared" si="51"/>
        <v>0</v>
      </c>
      <c r="O231" s="642"/>
      <c r="Q231" s="619"/>
      <c r="T231" s="619"/>
    </row>
    <row r="232" spans="1:20" hidden="1" outlineLevel="1" x14ac:dyDescent="0.4">
      <c r="A232" s="483" t="s">
        <v>21</v>
      </c>
      <c r="B232" s="483" t="s">
        <v>98</v>
      </c>
      <c r="C232" s="483" t="s">
        <v>30</v>
      </c>
      <c r="D232" s="699" t="str">
        <f t="shared" si="50"/>
        <v>8월</v>
      </c>
      <c r="E232" s="796" t="s">
        <v>132</v>
      </c>
      <c r="F232" s="701" t="s">
        <v>133</v>
      </c>
      <c r="G232" s="796" t="s">
        <v>134</v>
      </c>
      <c r="H232" s="701" t="s">
        <v>141</v>
      </c>
      <c r="I232" s="702">
        <v>118000000</v>
      </c>
      <c r="J232" s="702">
        <v>198000000</v>
      </c>
      <c r="K232" s="702">
        <v>118000000</v>
      </c>
      <c r="L232" s="703">
        <f t="shared" si="52"/>
        <v>0.59595959595959591</v>
      </c>
      <c r="M232" s="702">
        <v>118000000</v>
      </c>
      <c r="N232" s="738">
        <f t="shared" si="51"/>
        <v>0</v>
      </c>
      <c r="O232" s="642" t="s">
        <v>228</v>
      </c>
      <c r="Q232" s="619"/>
      <c r="T232" s="619"/>
    </row>
    <row r="233" spans="1:20" hidden="1" outlineLevel="1" x14ac:dyDescent="0.4">
      <c r="A233" s="483" t="s">
        <v>21</v>
      </c>
      <c r="B233" s="483" t="s">
        <v>98</v>
      </c>
      <c r="C233" s="483" t="s">
        <v>29</v>
      </c>
      <c r="D233" s="699" t="str">
        <f t="shared" si="50"/>
        <v>8월</v>
      </c>
      <c r="E233" s="796" t="s">
        <v>132</v>
      </c>
      <c r="F233" s="701" t="s">
        <v>133</v>
      </c>
      <c r="G233" s="796" t="s">
        <v>134</v>
      </c>
      <c r="H233" s="701" t="s">
        <v>145</v>
      </c>
      <c r="I233" s="785">
        <v>2043355337</v>
      </c>
      <c r="J233" s="702">
        <v>1787000000</v>
      </c>
      <c r="K233" s="702">
        <v>2043355337</v>
      </c>
      <c r="L233" s="703">
        <f t="shared" si="52"/>
        <v>1.1434557006155568</v>
      </c>
      <c r="M233" s="702">
        <v>2043355337</v>
      </c>
      <c r="N233" s="738">
        <f t="shared" si="51"/>
        <v>0</v>
      </c>
      <c r="O233" s="642"/>
      <c r="Q233" s="619"/>
      <c r="T233" s="619"/>
    </row>
    <row r="234" spans="1:20" hidden="1" outlineLevel="1" x14ac:dyDescent="0.4">
      <c r="A234" s="483" t="s">
        <v>21</v>
      </c>
      <c r="B234" s="483" t="s">
        <v>98</v>
      </c>
      <c r="C234" s="483" t="s">
        <v>31</v>
      </c>
      <c r="D234" s="699" t="str">
        <f t="shared" si="50"/>
        <v>8월</v>
      </c>
      <c r="E234" s="798" t="s">
        <v>132</v>
      </c>
      <c r="F234" s="712" t="s">
        <v>133</v>
      </c>
      <c r="G234" s="798" t="s">
        <v>134</v>
      </c>
      <c r="H234" s="712" t="s">
        <v>146</v>
      </c>
      <c r="I234" s="792">
        <v>36208334</v>
      </c>
      <c r="J234" s="702">
        <v>46875000</v>
      </c>
      <c r="K234" s="713">
        <v>36208334</v>
      </c>
      <c r="L234" s="714"/>
      <c r="M234" s="702">
        <v>36208334</v>
      </c>
      <c r="N234" s="738">
        <f>K234-M234</f>
        <v>0</v>
      </c>
      <c r="O234" s="642"/>
      <c r="Q234" s="619"/>
      <c r="T234" s="619"/>
    </row>
    <row r="235" spans="1:20" ht="14.4" hidden="1" outlineLevel="1" thickBot="1" x14ac:dyDescent="0.45">
      <c r="A235" s="483" t="s">
        <v>21</v>
      </c>
      <c r="B235" s="483" t="s">
        <v>98</v>
      </c>
      <c r="C235" s="483" t="s">
        <v>32</v>
      </c>
      <c r="D235" s="777" t="str">
        <f t="shared" si="50"/>
        <v>8월</v>
      </c>
      <c r="E235" s="799" t="s">
        <v>132</v>
      </c>
      <c r="F235" s="716" t="s">
        <v>133</v>
      </c>
      <c r="G235" s="799" t="s">
        <v>134</v>
      </c>
      <c r="H235" s="716" t="s">
        <v>147</v>
      </c>
      <c r="I235" s="717"/>
      <c r="J235" s="717"/>
      <c r="K235" s="717"/>
      <c r="L235" s="718" t="e">
        <f t="shared" ref="L235" si="53">+K235/J235</f>
        <v>#DIV/0!</v>
      </c>
      <c r="M235" s="717"/>
      <c r="N235" s="738">
        <f t="shared" ref="N235" si="54">K235-M235</f>
        <v>0</v>
      </c>
      <c r="O235" s="642"/>
      <c r="T235" s="619"/>
    </row>
    <row r="236" spans="1:20" ht="14.4" collapsed="1" thickBot="1" x14ac:dyDescent="0.45">
      <c r="D236" s="1046" t="s">
        <v>229</v>
      </c>
      <c r="E236" s="1047"/>
      <c r="F236" s="1047"/>
      <c r="G236" s="1047"/>
      <c r="H236" s="1048"/>
      <c r="I236" s="721">
        <f>SUM(I226:I235)</f>
        <v>14271728256</v>
      </c>
      <c r="J236" s="721">
        <f>SUM(J226:J235)</f>
        <v>13699955757.142857</v>
      </c>
      <c r="K236" s="721">
        <f>SUM(K226:K235)</f>
        <v>14271728256</v>
      </c>
      <c r="L236" s="722">
        <f>I236/J236</f>
        <v>1.0417353536750682</v>
      </c>
      <c r="M236" s="723">
        <f>SUM(M226:M235)</f>
        <v>14271728256</v>
      </c>
      <c r="N236" s="724">
        <f>SUM(N226:N235)</f>
        <v>0</v>
      </c>
      <c r="O236" s="642"/>
      <c r="T236" s="619"/>
    </row>
    <row r="237" spans="1:20" hidden="1" outlineLevel="1" x14ac:dyDescent="0.4">
      <c r="A237" s="483" t="s">
        <v>21</v>
      </c>
      <c r="B237" s="483" t="s">
        <v>98</v>
      </c>
      <c r="C237" s="483" t="s">
        <v>105</v>
      </c>
      <c r="D237" s="693" t="s">
        <v>100</v>
      </c>
      <c r="E237" s="795" t="s">
        <v>132</v>
      </c>
      <c r="F237" s="772" t="s">
        <v>133</v>
      </c>
      <c r="G237" s="795" t="s">
        <v>134</v>
      </c>
      <c r="H237" s="772" t="s">
        <v>135</v>
      </c>
      <c r="I237" s="773"/>
      <c r="J237" s="773"/>
      <c r="K237" s="773"/>
      <c r="L237" s="774" t="e">
        <f t="shared" ref="L237" si="55">+I237/J237</f>
        <v>#DIV/0!</v>
      </c>
      <c r="M237" s="773"/>
      <c r="N237" s="759">
        <f>K237-M237</f>
        <v>0</v>
      </c>
      <c r="O237" s="642"/>
      <c r="P237" s="483" t="s">
        <v>98</v>
      </c>
      <c r="Q237" s="483" t="s">
        <v>230</v>
      </c>
      <c r="R237" s="483" t="s">
        <v>231</v>
      </c>
    </row>
    <row r="238" spans="1:20" hidden="1" outlineLevel="1" x14ac:dyDescent="0.4">
      <c r="A238" s="483" t="s">
        <v>21</v>
      </c>
      <c r="B238" s="483" t="s">
        <v>98</v>
      </c>
      <c r="C238" s="483" t="s">
        <v>105</v>
      </c>
      <c r="D238" s="699" t="str">
        <f t="shared" ref="D238:D246" si="56">D237</f>
        <v>9월</v>
      </c>
      <c r="E238" s="796" t="s">
        <v>132</v>
      </c>
      <c r="F238" s="701" t="s">
        <v>133</v>
      </c>
      <c r="G238" s="796" t="s">
        <v>134</v>
      </c>
      <c r="H238" s="701" t="s">
        <v>136</v>
      </c>
      <c r="I238" s="702"/>
      <c r="J238" s="702"/>
      <c r="K238" s="702"/>
      <c r="L238" s="703"/>
      <c r="M238" s="785"/>
      <c r="N238" s="738">
        <f t="shared" ref="N238:N246" si="57">K238-M238</f>
        <v>0</v>
      </c>
      <c r="O238" s="642"/>
    </row>
    <row r="239" spans="1:20" hidden="1" outlineLevel="1" x14ac:dyDescent="0.4">
      <c r="A239" s="483" t="s">
        <v>21</v>
      </c>
      <c r="B239" s="483" t="s">
        <v>98</v>
      </c>
      <c r="C239" s="483" t="s">
        <v>22</v>
      </c>
      <c r="D239" s="699" t="str">
        <f t="shared" si="56"/>
        <v>9월</v>
      </c>
      <c r="E239" s="797" t="s">
        <v>132</v>
      </c>
      <c r="F239" s="701" t="s">
        <v>133</v>
      </c>
      <c r="G239" s="796" t="s">
        <v>134</v>
      </c>
      <c r="H239" s="701" t="s">
        <v>137</v>
      </c>
      <c r="I239" s="702">
        <v>564300524</v>
      </c>
      <c r="J239" s="702">
        <v>1854951428.5714285</v>
      </c>
      <c r="K239" s="702">
        <v>564300524</v>
      </c>
      <c r="L239" s="703"/>
      <c r="M239" s="785">
        <v>564300524</v>
      </c>
      <c r="N239" s="738">
        <f t="shared" si="57"/>
        <v>0</v>
      </c>
      <c r="O239" s="642" t="s">
        <v>232</v>
      </c>
      <c r="P239" s="793">
        <v>46.443669849999999</v>
      </c>
      <c r="Q239" s="661">
        <f>P239*10^8</f>
        <v>4644366985</v>
      </c>
      <c r="R239" s="619">
        <f>Q239-SUM(K217,K228)</f>
        <v>746028914</v>
      </c>
      <c r="T239" s="619"/>
    </row>
    <row r="240" spans="1:20" hidden="1" outlineLevel="1" x14ac:dyDescent="0.4">
      <c r="A240" s="483" t="s">
        <v>21</v>
      </c>
      <c r="B240" s="483" t="s">
        <v>98</v>
      </c>
      <c r="C240" s="483" t="s">
        <v>27</v>
      </c>
      <c r="D240" s="699" t="str">
        <f t="shared" si="56"/>
        <v>9월</v>
      </c>
      <c r="E240" s="796" t="s">
        <v>132</v>
      </c>
      <c r="F240" s="701" t="s">
        <v>133</v>
      </c>
      <c r="G240" s="796" t="s">
        <v>134</v>
      </c>
      <c r="H240" s="701" t="s">
        <v>138</v>
      </c>
      <c r="I240" s="702">
        <v>71209620</v>
      </c>
      <c r="J240" s="702">
        <v>274170000</v>
      </c>
      <c r="K240" s="702">
        <v>71209620</v>
      </c>
      <c r="L240" s="703">
        <f t="shared" ref="L240:L244" si="58">+I240/J240</f>
        <v>0.25972797899113687</v>
      </c>
      <c r="M240" s="785">
        <v>71209620</v>
      </c>
      <c r="N240" s="738">
        <f t="shared" si="57"/>
        <v>0</v>
      </c>
      <c r="O240" s="642"/>
      <c r="P240" s="793">
        <v>7.6828614999999996</v>
      </c>
      <c r="Q240" s="661">
        <f t="shared" ref="Q240:Q245" si="59">P240*10^8</f>
        <v>768286150</v>
      </c>
      <c r="R240" s="619">
        <f>Q240-SUM(K218,K229)</f>
        <v>179795580</v>
      </c>
      <c r="T240" s="619"/>
    </row>
    <row r="241" spans="1:20" ht="96.6" hidden="1" outlineLevel="1" x14ac:dyDescent="0.4">
      <c r="A241" s="483" t="s">
        <v>21</v>
      </c>
      <c r="B241" s="483" t="s">
        <v>98</v>
      </c>
      <c r="C241" s="483" t="s">
        <v>26</v>
      </c>
      <c r="D241" s="699" t="str">
        <f t="shared" si="56"/>
        <v>9월</v>
      </c>
      <c r="E241" s="796" t="s">
        <v>132</v>
      </c>
      <c r="F241" s="701" t="s">
        <v>133</v>
      </c>
      <c r="G241" s="796" t="s">
        <v>134</v>
      </c>
      <c r="H241" s="701" t="s">
        <v>139</v>
      </c>
      <c r="I241" s="702">
        <v>10996578200</v>
      </c>
      <c r="J241" s="702">
        <v>6752588200</v>
      </c>
      <c r="K241" s="702">
        <v>10996578200</v>
      </c>
      <c r="L241" s="703">
        <f t="shared" si="58"/>
        <v>1.6284982697449253</v>
      </c>
      <c r="M241" s="785">
        <v>10996578200</v>
      </c>
      <c r="N241" s="738">
        <f t="shared" si="57"/>
        <v>0</v>
      </c>
      <c r="O241" s="808" t="s">
        <v>233</v>
      </c>
      <c r="P241" s="793">
        <v>287.54060820000001</v>
      </c>
      <c r="Q241" s="661">
        <f t="shared" si="59"/>
        <v>28754060820</v>
      </c>
      <c r="R241" s="619">
        <f t="shared" ref="R241:R245" si="60">Q241-SUM(K219,K230)</f>
        <v>11722122420</v>
      </c>
      <c r="T241" s="619"/>
    </row>
    <row r="242" spans="1:20" hidden="1" outlineLevel="1" x14ac:dyDescent="0.4">
      <c r="A242" s="483" t="s">
        <v>21</v>
      </c>
      <c r="B242" s="483" t="s">
        <v>98</v>
      </c>
      <c r="C242" s="483" t="s">
        <v>32</v>
      </c>
      <c r="D242" s="699" t="str">
        <f t="shared" si="56"/>
        <v>9월</v>
      </c>
      <c r="E242" s="796" t="s">
        <v>132</v>
      </c>
      <c r="F242" s="701" t="s">
        <v>133</v>
      </c>
      <c r="G242" s="796" t="s">
        <v>134</v>
      </c>
      <c r="H242" s="701" t="s">
        <v>140</v>
      </c>
      <c r="I242" s="702"/>
      <c r="J242" s="702">
        <v>0</v>
      </c>
      <c r="K242" s="702"/>
      <c r="L242" s="703" t="e">
        <f t="shared" si="58"/>
        <v>#DIV/0!</v>
      </c>
      <c r="M242" s="785"/>
      <c r="N242" s="738">
        <f t="shared" si="57"/>
        <v>0</v>
      </c>
      <c r="O242" s="642"/>
      <c r="P242" s="793"/>
      <c r="Q242" s="661">
        <f t="shared" si="59"/>
        <v>0</v>
      </c>
      <c r="R242" s="619">
        <f t="shared" si="60"/>
        <v>0</v>
      </c>
      <c r="T242" s="619"/>
    </row>
    <row r="243" spans="1:20" hidden="1" outlineLevel="1" x14ac:dyDescent="0.4">
      <c r="A243" s="483" t="s">
        <v>21</v>
      </c>
      <c r="B243" s="483" t="s">
        <v>98</v>
      </c>
      <c r="C243" s="483" t="s">
        <v>30</v>
      </c>
      <c r="D243" s="699" t="str">
        <f t="shared" si="56"/>
        <v>9월</v>
      </c>
      <c r="E243" s="796" t="s">
        <v>132</v>
      </c>
      <c r="F243" s="701" t="s">
        <v>133</v>
      </c>
      <c r="G243" s="796" t="s">
        <v>134</v>
      </c>
      <c r="H243" s="701" t="s">
        <v>141</v>
      </c>
      <c r="I243" s="702">
        <v>386875000</v>
      </c>
      <c r="J243" s="702">
        <v>131875000.00000001</v>
      </c>
      <c r="K243" s="702">
        <v>386875000</v>
      </c>
      <c r="L243" s="703">
        <f t="shared" si="58"/>
        <v>2.9336492890995256</v>
      </c>
      <c r="M243" s="785">
        <v>386875000</v>
      </c>
      <c r="N243" s="738">
        <f t="shared" si="57"/>
        <v>0</v>
      </c>
      <c r="O243" s="642" t="s">
        <v>234</v>
      </c>
      <c r="P243" s="793">
        <v>4.9737499999999999</v>
      </c>
      <c r="Q243" s="661">
        <f t="shared" si="59"/>
        <v>497375000</v>
      </c>
      <c r="R243" s="619">
        <f t="shared" si="60"/>
        <v>93750000</v>
      </c>
      <c r="T243" s="619"/>
    </row>
    <row r="244" spans="1:20" hidden="1" outlineLevel="1" x14ac:dyDescent="0.4">
      <c r="A244" s="483" t="s">
        <v>21</v>
      </c>
      <c r="B244" s="483" t="s">
        <v>98</v>
      </c>
      <c r="C244" s="483" t="s">
        <v>29</v>
      </c>
      <c r="D244" s="699" t="str">
        <f t="shared" si="56"/>
        <v>9월</v>
      </c>
      <c r="E244" s="796" t="s">
        <v>132</v>
      </c>
      <c r="F244" s="701" t="s">
        <v>133</v>
      </c>
      <c r="G244" s="796" t="s">
        <v>134</v>
      </c>
      <c r="H244" s="701" t="s">
        <v>145</v>
      </c>
      <c r="I244" s="702">
        <v>1725722637</v>
      </c>
      <c r="J244" s="702">
        <v>766000000</v>
      </c>
      <c r="K244" s="702">
        <v>1725722637</v>
      </c>
      <c r="L244" s="703">
        <f t="shared" si="58"/>
        <v>2.2529016148825067</v>
      </c>
      <c r="M244" s="785">
        <v>1725722637</v>
      </c>
      <c r="N244" s="738">
        <f t="shared" si="57"/>
        <v>0</v>
      </c>
      <c r="O244" s="642"/>
      <c r="P244" s="793">
        <v>24.738031079999999</v>
      </c>
      <c r="Q244" s="661">
        <f t="shared" si="59"/>
        <v>2473803108</v>
      </c>
      <c r="R244" s="619">
        <f t="shared" si="60"/>
        <v>270152434</v>
      </c>
      <c r="T244" s="619"/>
    </row>
    <row r="245" spans="1:20" hidden="1" outlineLevel="1" x14ac:dyDescent="0.4">
      <c r="A245" s="483" t="s">
        <v>21</v>
      </c>
      <c r="B245" s="483" t="s">
        <v>98</v>
      </c>
      <c r="C245" s="483" t="s">
        <v>31</v>
      </c>
      <c r="D245" s="699" t="str">
        <f t="shared" si="56"/>
        <v>9월</v>
      </c>
      <c r="E245" s="798" t="s">
        <v>132</v>
      </c>
      <c r="F245" s="712" t="s">
        <v>133</v>
      </c>
      <c r="G245" s="798" t="s">
        <v>134</v>
      </c>
      <c r="H245" s="712" t="s">
        <v>146</v>
      </c>
      <c r="I245" s="713">
        <v>129958334</v>
      </c>
      <c r="J245" s="702">
        <v>0</v>
      </c>
      <c r="K245" s="713">
        <v>129958334</v>
      </c>
      <c r="L245" s="714"/>
      <c r="M245" s="792">
        <v>129958334</v>
      </c>
      <c r="N245" s="738">
        <f t="shared" si="57"/>
        <v>0</v>
      </c>
      <c r="O245" s="642"/>
      <c r="P245" s="793">
        <v>2.02375002</v>
      </c>
      <c r="Q245" s="661">
        <f t="shared" si="59"/>
        <v>202375002</v>
      </c>
      <c r="R245" s="619">
        <f t="shared" si="60"/>
        <v>86358334</v>
      </c>
      <c r="T245" s="619"/>
    </row>
    <row r="246" spans="1:20" ht="14.4" hidden="1" outlineLevel="1" thickBot="1" x14ac:dyDescent="0.45">
      <c r="A246" s="483" t="s">
        <v>21</v>
      </c>
      <c r="B246" s="483" t="s">
        <v>98</v>
      </c>
      <c r="C246" s="483" t="s">
        <v>32</v>
      </c>
      <c r="D246" s="777" t="str">
        <f t="shared" si="56"/>
        <v>9월</v>
      </c>
      <c r="E246" s="799" t="s">
        <v>132</v>
      </c>
      <c r="F246" s="716" t="s">
        <v>133</v>
      </c>
      <c r="G246" s="799" t="s">
        <v>134</v>
      </c>
      <c r="H246" s="716" t="s">
        <v>147</v>
      </c>
      <c r="I246" s="717">
        <v>101629400</v>
      </c>
      <c r="J246" s="717"/>
      <c r="K246" s="717">
        <v>101629400</v>
      </c>
      <c r="L246" s="718" t="e">
        <f t="shared" ref="L246" si="61">+K246/J246</f>
        <v>#DIV/0!</v>
      </c>
      <c r="M246" s="717">
        <v>101629400</v>
      </c>
      <c r="N246" s="738">
        <f t="shared" si="57"/>
        <v>0</v>
      </c>
      <c r="P246" s="793"/>
      <c r="Q246" s="661"/>
      <c r="T246" s="619"/>
    </row>
    <row r="247" spans="1:20" ht="14.4" collapsed="1" thickBot="1" x14ac:dyDescent="0.45">
      <c r="D247" s="1046" t="s">
        <v>235</v>
      </c>
      <c r="E247" s="1047"/>
      <c r="F247" s="1047"/>
      <c r="G247" s="1047"/>
      <c r="H247" s="1048"/>
      <c r="I247" s="721">
        <f>SUM(I237:I246)</f>
        <v>13976273715</v>
      </c>
      <c r="J247" s="721">
        <f>SUM(J237:J246)</f>
        <v>9779584628.5714283</v>
      </c>
      <c r="K247" s="721">
        <f>SUM(K237:K246)</f>
        <v>13976273715</v>
      </c>
      <c r="L247" s="722">
        <f>I247/J247</f>
        <v>1.4291275392379943</v>
      </c>
      <c r="M247" s="723">
        <f>SUM(M237:M246)</f>
        <v>13976273715</v>
      </c>
      <c r="N247" s="724">
        <f>SUM(N237:N246)</f>
        <v>0</v>
      </c>
      <c r="P247" s="793"/>
      <c r="T247" s="619"/>
    </row>
    <row r="248" spans="1:20" ht="14.4" thickBot="1" x14ac:dyDescent="0.45">
      <c r="D248" s="1049" t="s">
        <v>236</v>
      </c>
      <c r="E248" s="1050"/>
      <c r="F248" s="1050"/>
      <c r="G248" s="1050"/>
      <c r="H248" s="1051"/>
      <c r="I248" s="733">
        <f>SUM(I225,I236,I247)</f>
        <v>38218333098</v>
      </c>
      <c r="J248" s="733">
        <f t="shared" ref="J248:K248" si="62">SUM(J225,J236,J247)</f>
        <v>32823238235.714287</v>
      </c>
      <c r="K248" s="733">
        <f t="shared" si="62"/>
        <v>38218333098</v>
      </c>
      <c r="L248" s="734">
        <f>I248/J248</f>
        <v>1.1643681474552203</v>
      </c>
      <c r="M248" s="733">
        <f>SUM(M225,M236,M247)</f>
        <v>38218333098</v>
      </c>
      <c r="N248" s="733">
        <f>SUM(N225,N236,N247)</f>
        <v>0</v>
      </c>
      <c r="O248" s="778"/>
    </row>
    <row r="249" spans="1:20" hidden="1" outlineLevel="1" x14ac:dyDescent="0.4">
      <c r="A249" s="483" t="s">
        <v>21</v>
      </c>
      <c r="B249" s="483" t="s">
        <v>173</v>
      </c>
      <c r="C249" s="483" t="s">
        <v>105</v>
      </c>
      <c r="D249" s="693" t="s">
        <v>174</v>
      </c>
      <c r="E249" s="795" t="s">
        <v>132</v>
      </c>
      <c r="F249" s="772" t="s">
        <v>133</v>
      </c>
      <c r="G249" s="795" t="s">
        <v>134</v>
      </c>
      <c r="H249" s="772" t="s">
        <v>135</v>
      </c>
      <c r="I249" s="773"/>
      <c r="J249" s="773"/>
      <c r="K249" s="773"/>
      <c r="L249" s="774" t="e">
        <f t="shared" ref="L249" si="63">+I249/J249</f>
        <v>#DIV/0!</v>
      </c>
      <c r="M249" s="773"/>
      <c r="N249" s="759">
        <f>K249-M249</f>
        <v>0</v>
      </c>
      <c r="O249" s="642"/>
    </row>
    <row r="250" spans="1:20" hidden="1" outlineLevel="1" x14ac:dyDescent="0.4">
      <c r="A250" s="483" t="s">
        <v>21</v>
      </c>
      <c r="B250" s="483" t="s">
        <v>173</v>
      </c>
      <c r="C250" s="483" t="s">
        <v>105</v>
      </c>
      <c r="D250" s="699" t="str">
        <f t="shared" ref="D250:D258" si="64">D249</f>
        <v>10월</v>
      </c>
      <c r="E250" s="796" t="s">
        <v>132</v>
      </c>
      <c r="F250" s="701" t="s">
        <v>133</v>
      </c>
      <c r="G250" s="796" t="s">
        <v>134</v>
      </c>
      <c r="H250" s="701" t="s">
        <v>136</v>
      </c>
      <c r="I250" s="702"/>
      <c r="J250" s="702"/>
      <c r="K250" s="702"/>
      <c r="L250" s="703"/>
      <c r="M250" s="702"/>
      <c r="N250" s="738">
        <f t="shared" ref="N250:N258" si="65">K250-M250</f>
        <v>0</v>
      </c>
      <c r="O250" s="642"/>
    </row>
    <row r="251" spans="1:20" hidden="1" outlineLevel="1" x14ac:dyDescent="0.4">
      <c r="A251" s="483" t="s">
        <v>21</v>
      </c>
      <c r="B251" s="483" t="s">
        <v>173</v>
      </c>
      <c r="C251" s="483" t="s">
        <v>22</v>
      </c>
      <c r="D251" s="699" t="str">
        <f t="shared" si="64"/>
        <v>10월</v>
      </c>
      <c r="E251" s="797" t="s">
        <v>132</v>
      </c>
      <c r="F251" s="701" t="s">
        <v>133</v>
      </c>
      <c r="G251" s="796" t="s">
        <v>134</v>
      </c>
      <c r="H251" s="701" t="s">
        <v>137</v>
      </c>
      <c r="I251" s="702">
        <v>1367600932</v>
      </c>
      <c r="J251" s="702">
        <v>2135396250.0000002</v>
      </c>
      <c r="K251" s="702">
        <v>1367600932</v>
      </c>
      <c r="L251" s="703"/>
      <c r="M251" s="702">
        <v>1367600932</v>
      </c>
      <c r="N251" s="738">
        <f t="shared" si="65"/>
        <v>0</v>
      </c>
      <c r="O251" s="642" t="s">
        <v>189</v>
      </c>
      <c r="P251" s="642"/>
      <c r="S251" s="619"/>
      <c r="T251" s="619"/>
    </row>
    <row r="252" spans="1:20" hidden="1" outlineLevel="1" x14ac:dyDescent="0.4">
      <c r="A252" s="483" t="s">
        <v>21</v>
      </c>
      <c r="B252" s="483" t="s">
        <v>173</v>
      </c>
      <c r="C252" s="483" t="s">
        <v>27</v>
      </c>
      <c r="D252" s="699" t="str">
        <f t="shared" si="64"/>
        <v>10월</v>
      </c>
      <c r="E252" s="796" t="s">
        <v>132</v>
      </c>
      <c r="F252" s="701" t="s">
        <v>133</v>
      </c>
      <c r="G252" s="796" t="s">
        <v>134</v>
      </c>
      <c r="H252" s="701" t="s">
        <v>138</v>
      </c>
      <c r="I252" s="702">
        <v>172612880</v>
      </c>
      <c r="J252" s="702">
        <v>552764102.56410241</v>
      </c>
      <c r="K252" s="702">
        <v>172612880</v>
      </c>
      <c r="L252" s="703">
        <f t="shared" ref="L252:L256" si="66">+I252/J252</f>
        <v>0.31227223186039399</v>
      </c>
      <c r="M252" s="702">
        <v>172612880</v>
      </c>
      <c r="N252" s="738">
        <f t="shared" si="65"/>
        <v>0</v>
      </c>
      <c r="O252" s="642"/>
      <c r="S252" s="619"/>
      <c r="T252" s="619"/>
    </row>
    <row r="253" spans="1:20" hidden="1" outlineLevel="1" x14ac:dyDescent="0.4">
      <c r="A253" s="483" t="s">
        <v>21</v>
      </c>
      <c r="B253" s="483" t="s">
        <v>173</v>
      </c>
      <c r="C253" s="483" t="s">
        <v>26</v>
      </c>
      <c r="D253" s="699" t="str">
        <f t="shared" si="64"/>
        <v>10월</v>
      </c>
      <c r="E253" s="796" t="s">
        <v>132</v>
      </c>
      <c r="F253" s="701" t="s">
        <v>133</v>
      </c>
      <c r="G253" s="796" t="s">
        <v>134</v>
      </c>
      <c r="H253" s="701" t="s">
        <v>139</v>
      </c>
      <c r="I253" s="702">
        <v>10198247500</v>
      </c>
      <c r="J253" s="702">
        <v>8858448600.0000019</v>
      </c>
      <c r="K253" s="702">
        <v>10198247500</v>
      </c>
      <c r="L253" s="703">
        <f t="shared" si="66"/>
        <v>1.1512453207664373</v>
      </c>
      <c r="M253" s="702">
        <v>10198247500</v>
      </c>
      <c r="N253" s="738">
        <f t="shared" si="65"/>
        <v>0</v>
      </c>
      <c r="O253" s="809" t="s">
        <v>237</v>
      </c>
      <c r="S253" s="619"/>
      <c r="T253" s="619"/>
    </row>
    <row r="254" spans="1:20" hidden="1" outlineLevel="1" x14ac:dyDescent="0.4">
      <c r="A254" s="483" t="s">
        <v>21</v>
      </c>
      <c r="B254" s="483" t="s">
        <v>173</v>
      </c>
      <c r="C254" s="483" t="s">
        <v>32</v>
      </c>
      <c r="D254" s="699" t="str">
        <f t="shared" si="64"/>
        <v>10월</v>
      </c>
      <c r="E254" s="796" t="s">
        <v>132</v>
      </c>
      <c r="F254" s="701" t="s">
        <v>133</v>
      </c>
      <c r="G254" s="796" t="s">
        <v>134</v>
      </c>
      <c r="H254" s="701" t="s">
        <v>140</v>
      </c>
      <c r="I254" s="702"/>
      <c r="J254" s="702">
        <v>0</v>
      </c>
      <c r="K254" s="702"/>
      <c r="L254" s="703" t="e">
        <f t="shared" si="66"/>
        <v>#DIV/0!</v>
      </c>
      <c r="M254" s="702"/>
      <c r="N254" s="738">
        <f t="shared" si="65"/>
        <v>0</v>
      </c>
      <c r="O254" s="642"/>
      <c r="S254" s="619"/>
      <c r="T254" s="619"/>
    </row>
    <row r="255" spans="1:20" hidden="1" outlineLevel="1" x14ac:dyDescent="0.4">
      <c r="A255" s="483" t="s">
        <v>21</v>
      </c>
      <c r="B255" s="483" t="s">
        <v>173</v>
      </c>
      <c r="C255" s="483" t="s">
        <v>30</v>
      </c>
      <c r="D255" s="699" t="str">
        <f t="shared" si="64"/>
        <v>10월</v>
      </c>
      <c r="E255" s="796" t="s">
        <v>132</v>
      </c>
      <c r="F255" s="701" t="s">
        <v>133</v>
      </c>
      <c r="G255" s="796" t="s">
        <v>134</v>
      </c>
      <c r="H255" s="701" t="s">
        <v>141</v>
      </c>
      <c r="I255" s="702">
        <v>46875000</v>
      </c>
      <c r="J255" s="702">
        <v>85000000</v>
      </c>
      <c r="K255" s="702">
        <v>46875000</v>
      </c>
      <c r="L255" s="703">
        <f t="shared" si="66"/>
        <v>0.55147058823529416</v>
      </c>
      <c r="M255" s="702">
        <v>46875000</v>
      </c>
      <c r="N255" s="738">
        <f t="shared" si="65"/>
        <v>0</v>
      </c>
      <c r="O255" s="642"/>
      <c r="S255" s="619"/>
      <c r="T255" s="619"/>
    </row>
    <row r="256" spans="1:20" hidden="1" outlineLevel="1" x14ac:dyDescent="0.4">
      <c r="A256" s="483" t="s">
        <v>21</v>
      </c>
      <c r="B256" s="483" t="s">
        <v>173</v>
      </c>
      <c r="C256" s="483" t="s">
        <v>29</v>
      </c>
      <c r="D256" s="699" t="str">
        <f t="shared" si="64"/>
        <v>10월</v>
      </c>
      <c r="E256" s="796" t="s">
        <v>132</v>
      </c>
      <c r="F256" s="701" t="s">
        <v>133</v>
      </c>
      <c r="G256" s="796" t="s">
        <v>134</v>
      </c>
      <c r="H256" s="701" t="s">
        <v>145</v>
      </c>
      <c r="I256" s="702">
        <v>81867130</v>
      </c>
      <c r="J256" s="702">
        <v>0</v>
      </c>
      <c r="K256" s="702">
        <v>81867130</v>
      </c>
      <c r="L256" s="703" t="e">
        <f t="shared" si="66"/>
        <v>#DIV/0!</v>
      </c>
      <c r="M256" s="702">
        <v>81867130</v>
      </c>
      <c r="N256" s="738">
        <f t="shared" si="65"/>
        <v>0</v>
      </c>
      <c r="O256" s="642" t="s">
        <v>238</v>
      </c>
      <c r="S256" s="619"/>
      <c r="T256" s="619"/>
    </row>
    <row r="257" spans="1:20" hidden="1" outlineLevel="1" x14ac:dyDescent="0.4">
      <c r="A257" s="483" t="s">
        <v>21</v>
      </c>
      <c r="B257" s="483" t="s">
        <v>173</v>
      </c>
      <c r="C257" s="483" t="s">
        <v>31</v>
      </c>
      <c r="D257" s="699" t="str">
        <f t="shared" si="64"/>
        <v>10월</v>
      </c>
      <c r="E257" s="798" t="s">
        <v>132</v>
      </c>
      <c r="F257" s="712" t="s">
        <v>133</v>
      </c>
      <c r="G257" s="798" t="s">
        <v>134</v>
      </c>
      <c r="H257" s="712" t="s">
        <v>146</v>
      </c>
      <c r="I257" s="713">
        <v>36208334</v>
      </c>
      <c r="J257" s="702">
        <v>0</v>
      </c>
      <c r="K257" s="713">
        <v>36208334</v>
      </c>
      <c r="L257" s="714"/>
      <c r="M257" s="702">
        <v>36208334</v>
      </c>
      <c r="N257" s="738">
        <f t="shared" si="65"/>
        <v>0</v>
      </c>
      <c r="O257" s="642"/>
      <c r="S257" s="619"/>
      <c r="T257" s="619"/>
    </row>
    <row r="258" spans="1:20" ht="14.4" hidden="1" outlineLevel="1" thickBot="1" x14ac:dyDescent="0.45">
      <c r="A258" s="483" t="s">
        <v>21</v>
      </c>
      <c r="B258" s="483" t="s">
        <v>173</v>
      </c>
      <c r="C258" s="483" t="s">
        <v>32</v>
      </c>
      <c r="D258" s="777" t="str">
        <f t="shared" si="64"/>
        <v>10월</v>
      </c>
      <c r="E258" s="799" t="s">
        <v>132</v>
      </c>
      <c r="F258" s="716" t="s">
        <v>133</v>
      </c>
      <c r="G258" s="799" t="s">
        <v>134</v>
      </c>
      <c r="H258" s="716" t="s">
        <v>147</v>
      </c>
      <c r="I258" s="717">
        <v>10065044</v>
      </c>
      <c r="J258" s="717"/>
      <c r="K258" s="717">
        <v>10065044</v>
      </c>
      <c r="L258" s="718" t="e">
        <f t="shared" ref="L258" si="67">+K258/J258</f>
        <v>#DIV/0!</v>
      </c>
      <c r="M258" s="717">
        <v>10065044</v>
      </c>
      <c r="N258" s="738">
        <f t="shared" si="65"/>
        <v>0</v>
      </c>
      <c r="S258" s="619"/>
      <c r="T258" s="619"/>
    </row>
    <row r="259" spans="1:20" ht="14.4" collapsed="1" thickBot="1" x14ac:dyDescent="0.45">
      <c r="D259" s="1046" t="s">
        <v>239</v>
      </c>
      <c r="E259" s="1047"/>
      <c r="F259" s="1047"/>
      <c r="G259" s="1047"/>
      <c r="H259" s="1048"/>
      <c r="I259" s="721">
        <f>SUM(I249:I258)</f>
        <v>11913476820</v>
      </c>
      <c r="J259" s="721">
        <f>SUM(J249:J258)</f>
        <v>11631608952.564104</v>
      </c>
      <c r="K259" s="721">
        <f>SUM(K249:K258)</f>
        <v>11913476820</v>
      </c>
      <c r="L259" s="722">
        <f>I259/J259</f>
        <v>1.0242329215661743</v>
      </c>
      <c r="M259" s="723">
        <f>SUM(M249:M258)</f>
        <v>11913476820</v>
      </c>
      <c r="N259" s="724">
        <f>SUM(N249:N258)</f>
        <v>0</v>
      </c>
      <c r="O259" s="778"/>
      <c r="S259" s="619"/>
      <c r="T259" s="619"/>
    </row>
    <row r="260" spans="1:20" hidden="1" outlineLevel="1" x14ac:dyDescent="0.4">
      <c r="A260" s="483" t="s">
        <v>21</v>
      </c>
      <c r="B260" s="483" t="s">
        <v>173</v>
      </c>
      <c r="C260" s="483" t="s">
        <v>105</v>
      </c>
      <c r="D260" s="693" t="s">
        <v>142</v>
      </c>
      <c r="E260" s="795" t="s">
        <v>132</v>
      </c>
      <c r="F260" s="772" t="s">
        <v>133</v>
      </c>
      <c r="G260" s="795" t="s">
        <v>134</v>
      </c>
      <c r="H260" s="772" t="s">
        <v>135</v>
      </c>
      <c r="I260" s="773"/>
      <c r="J260" s="773"/>
      <c r="K260" s="810"/>
      <c r="L260" s="774" t="e">
        <f t="shared" ref="L260" si="68">+I260/J260</f>
        <v>#DIV/0!</v>
      </c>
      <c r="M260" s="773"/>
      <c r="N260" s="759">
        <f>K260-M260</f>
        <v>0</v>
      </c>
      <c r="O260" s="642"/>
    </row>
    <row r="261" spans="1:20" hidden="1" outlineLevel="1" x14ac:dyDescent="0.4">
      <c r="A261" s="483" t="s">
        <v>21</v>
      </c>
      <c r="B261" s="483" t="s">
        <v>173</v>
      </c>
      <c r="C261" s="483" t="s">
        <v>105</v>
      </c>
      <c r="D261" s="699" t="str">
        <f t="shared" ref="D261:D269" si="69">D260</f>
        <v>11월</v>
      </c>
      <c r="E261" s="796" t="s">
        <v>132</v>
      </c>
      <c r="F261" s="701" t="s">
        <v>133</v>
      </c>
      <c r="G261" s="796" t="s">
        <v>134</v>
      </c>
      <c r="H261" s="701" t="s">
        <v>136</v>
      </c>
      <c r="I261" s="702"/>
      <c r="J261" s="702"/>
      <c r="K261" s="784"/>
      <c r="L261" s="703"/>
      <c r="M261" s="702"/>
      <c r="N261" s="738">
        <f t="shared" ref="N261:N267" si="70">K261-M261</f>
        <v>0</v>
      </c>
      <c r="O261" s="790"/>
    </row>
    <row r="262" spans="1:20" hidden="1" outlineLevel="1" x14ac:dyDescent="0.4">
      <c r="A262" s="483" t="s">
        <v>21</v>
      </c>
      <c r="B262" s="483" t="s">
        <v>173</v>
      </c>
      <c r="C262" s="483" t="s">
        <v>22</v>
      </c>
      <c r="D262" s="699" t="str">
        <f t="shared" si="69"/>
        <v>11월</v>
      </c>
      <c r="E262" s="797" t="s">
        <v>132</v>
      </c>
      <c r="F262" s="701" t="s">
        <v>133</v>
      </c>
      <c r="G262" s="796" t="s">
        <v>134</v>
      </c>
      <c r="H262" s="701" t="s">
        <v>137</v>
      </c>
      <c r="I262" s="785">
        <v>1363011488.4400001</v>
      </c>
      <c r="J262" s="702">
        <v>561580500</v>
      </c>
      <c r="K262" s="784">
        <v>1363011488.4400001</v>
      </c>
      <c r="L262" s="703"/>
      <c r="M262" s="702">
        <v>1363011488.4400001</v>
      </c>
      <c r="N262" s="738">
        <f t="shared" si="70"/>
        <v>0</v>
      </c>
      <c r="O262" s="642" t="s">
        <v>240</v>
      </c>
      <c r="P262" s="642"/>
      <c r="T262" s="619"/>
    </row>
    <row r="263" spans="1:20" hidden="1" outlineLevel="1" x14ac:dyDescent="0.4">
      <c r="A263" s="483" t="s">
        <v>21</v>
      </c>
      <c r="B263" s="483" t="s">
        <v>173</v>
      </c>
      <c r="C263" s="483" t="s">
        <v>27</v>
      </c>
      <c r="D263" s="699" t="str">
        <f t="shared" si="69"/>
        <v>11월</v>
      </c>
      <c r="E263" s="796" t="s">
        <v>132</v>
      </c>
      <c r="F263" s="701" t="s">
        <v>133</v>
      </c>
      <c r="G263" s="796" t="s">
        <v>134</v>
      </c>
      <c r="H263" s="701" t="s">
        <v>138</v>
      </c>
      <c r="I263" s="785">
        <v>206100820</v>
      </c>
      <c r="J263" s="702">
        <v>254591602.56410235</v>
      </c>
      <c r="K263" s="784">
        <v>206100820</v>
      </c>
      <c r="L263" s="703">
        <f>+I263/J263</f>
        <v>0.80953502756677487</v>
      </c>
      <c r="M263" s="702">
        <v>206100820</v>
      </c>
      <c r="N263" s="738">
        <f t="shared" si="70"/>
        <v>0</v>
      </c>
      <c r="O263" s="642" t="s">
        <v>241</v>
      </c>
      <c r="Q263" s="619"/>
      <c r="T263" s="619"/>
    </row>
    <row r="264" spans="1:20" hidden="1" outlineLevel="1" x14ac:dyDescent="0.4">
      <c r="A264" s="483" t="s">
        <v>21</v>
      </c>
      <c r="B264" s="483" t="s">
        <v>173</v>
      </c>
      <c r="C264" s="483" t="s">
        <v>26</v>
      </c>
      <c r="D264" s="699" t="str">
        <f t="shared" si="69"/>
        <v>11월</v>
      </c>
      <c r="E264" s="796" t="s">
        <v>132</v>
      </c>
      <c r="F264" s="701" t="s">
        <v>133</v>
      </c>
      <c r="G264" s="796" t="s">
        <v>134</v>
      </c>
      <c r="H264" s="701" t="s">
        <v>139</v>
      </c>
      <c r="I264" s="785">
        <v>13721557600</v>
      </c>
      <c r="J264" s="702">
        <v>11779757100</v>
      </c>
      <c r="K264" s="811">
        <v>13721557600</v>
      </c>
      <c r="L264" s="703">
        <f t="shared" ref="L264:L267" si="71">+I264/J264</f>
        <v>1.1648421511170208</v>
      </c>
      <c r="M264" s="702">
        <v>13721557600</v>
      </c>
      <c r="N264" s="738">
        <f t="shared" si="70"/>
        <v>0</v>
      </c>
      <c r="O264" s="642">
        <v>503181900</v>
      </c>
      <c r="P264" s="483" t="s">
        <v>242</v>
      </c>
      <c r="Q264" s="619"/>
      <c r="T264" s="619"/>
    </row>
    <row r="265" spans="1:20" hidden="1" outlineLevel="1" x14ac:dyDescent="0.4">
      <c r="A265" s="483" t="s">
        <v>21</v>
      </c>
      <c r="B265" s="483" t="s">
        <v>173</v>
      </c>
      <c r="C265" s="483" t="s">
        <v>32</v>
      </c>
      <c r="D265" s="699" t="str">
        <f t="shared" si="69"/>
        <v>11월</v>
      </c>
      <c r="E265" s="796" t="s">
        <v>132</v>
      </c>
      <c r="F265" s="701" t="s">
        <v>133</v>
      </c>
      <c r="G265" s="796" t="s">
        <v>134</v>
      </c>
      <c r="H265" s="701" t="s">
        <v>140</v>
      </c>
      <c r="I265" s="702"/>
      <c r="J265" s="702">
        <v>67000000.000000007</v>
      </c>
      <c r="K265" s="784"/>
      <c r="L265" s="703">
        <f t="shared" si="71"/>
        <v>0</v>
      </c>
      <c r="M265" s="702"/>
      <c r="N265" s="738">
        <f>K265-M265</f>
        <v>0</v>
      </c>
      <c r="O265" s="642"/>
      <c r="Q265" s="619"/>
      <c r="T265" s="619"/>
    </row>
    <row r="266" spans="1:20" hidden="1" outlineLevel="1" x14ac:dyDescent="0.4">
      <c r="A266" s="483" t="s">
        <v>21</v>
      </c>
      <c r="B266" s="483" t="s">
        <v>173</v>
      </c>
      <c r="C266" s="483" t="s">
        <v>30</v>
      </c>
      <c r="D266" s="699" t="str">
        <f t="shared" si="69"/>
        <v>11월</v>
      </c>
      <c r="E266" s="796" t="s">
        <v>132</v>
      </c>
      <c r="F266" s="701" t="s">
        <v>133</v>
      </c>
      <c r="G266" s="796" t="s">
        <v>134</v>
      </c>
      <c r="H266" s="701" t="s">
        <v>141</v>
      </c>
      <c r="I266" s="702">
        <v>0</v>
      </c>
      <c r="J266" s="702">
        <v>131875000.00000001</v>
      </c>
      <c r="K266" s="784">
        <v>0</v>
      </c>
      <c r="L266" s="703">
        <f t="shared" si="71"/>
        <v>0</v>
      </c>
      <c r="M266" s="702">
        <v>0</v>
      </c>
      <c r="N266" s="738">
        <f>K266-M266</f>
        <v>0</v>
      </c>
      <c r="O266" s="642"/>
      <c r="Q266" s="619"/>
      <c r="T266" s="619"/>
    </row>
    <row r="267" spans="1:20" hidden="1" outlineLevel="1" x14ac:dyDescent="0.4">
      <c r="A267" s="483" t="s">
        <v>21</v>
      </c>
      <c r="B267" s="483" t="s">
        <v>173</v>
      </c>
      <c r="C267" s="483" t="s">
        <v>29</v>
      </c>
      <c r="D267" s="699" t="str">
        <f t="shared" si="69"/>
        <v>11월</v>
      </c>
      <c r="E267" s="796" t="s">
        <v>132</v>
      </c>
      <c r="F267" s="701" t="s">
        <v>133</v>
      </c>
      <c r="G267" s="796" t="s">
        <v>134</v>
      </c>
      <c r="H267" s="701" t="s">
        <v>145</v>
      </c>
      <c r="I267" s="785">
        <v>28575130</v>
      </c>
      <c r="J267" s="702">
        <v>0</v>
      </c>
      <c r="K267" s="784">
        <v>28575130</v>
      </c>
      <c r="L267" s="703" t="e">
        <f t="shared" si="71"/>
        <v>#DIV/0!</v>
      </c>
      <c r="M267" s="702">
        <v>28575130</v>
      </c>
      <c r="N267" s="738">
        <f t="shared" si="70"/>
        <v>0</v>
      </c>
      <c r="O267" s="642"/>
      <c r="Q267" s="619"/>
      <c r="T267" s="619"/>
    </row>
    <row r="268" spans="1:20" hidden="1" outlineLevel="1" x14ac:dyDescent="0.4">
      <c r="A268" s="483" t="s">
        <v>21</v>
      </c>
      <c r="B268" s="483" t="s">
        <v>173</v>
      </c>
      <c r="C268" s="483" t="s">
        <v>31</v>
      </c>
      <c r="D268" s="699" t="str">
        <f t="shared" si="69"/>
        <v>11월</v>
      </c>
      <c r="E268" s="798" t="s">
        <v>132</v>
      </c>
      <c r="F268" s="712" t="s">
        <v>133</v>
      </c>
      <c r="G268" s="798" t="s">
        <v>134</v>
      </c>
      <c r="H268" s="712" t="s">
        <v>146</v>
      </c>
      <c r="I268" s="792">
        <v>83083334</v>
      </c>
      <c r="J268" s="702">
        <v>46875000</v>
      </c>
      <c r="K268" s="788">
        <v>83083334</v>
      </c>
      <c r="L268" s="714"/>
      <c r="M268" s="713">
        <v>83083334</v>
      </c>
      <c r="N268" s="738">
        <f>K268-M268</f>
        <v>0</v>
      </c>
      <c r="Q268" s="619"/>
      <c r="T268" s="619"/>
    </row>
    <row r="269" spans="1:20" ht="14.4" hidden="1" outlineLevel="1" thickBot="1" x14ac:dyDescent="0.45">
      <c r="A269" s="483" t="s">
        <v>21</v>
      </c>
      <c r="B269" s="483" t="s">
        <v>173</v>
      </c>
      <c r="C269" s="483" t="s">
        <v>32</v>
      </c>
      <c r="D269" s="777" t="str">
        <f t="shared" si="69"/>
        <v>11월</v>
      </c>
      <c r="E269" s="799" t="s">
        <v>132</v>
      </c>
      <c r="F269" s="716" t="s">
        <v>133</v>
      </c>
      <c r="G269" s="799" t="s">
        <v>134</v>
      </c>
      <c r="H269" s="716" t="s">
        <v>147</v>
      </c>
      <c r="I269" s="717">
        <v>4000000</v>
      </c>
      <c r="J269" s="717"/>
      <c r="K269" s="789">
        <v>4000000</v>
      </c>
      <c r="L269" s="718" t="e">
        <f t="shared" ref="L269" si="72">+K269/J269</f>
        <v>#DIV/0!</v>
      </c>
      <c r="M269" s="717">
        <v>4000000</v>
      </c>
      <c r="N269" s="738">
        <f t="shared" ref="N269" si="73">K269-M269</f>
        <v>0</v>
      </c>
      <c r="O269" s="642"/>
      <c r="T269" s="619"/>
    </row>
    <row r="270" spans="1:20" ht="23.4" collapsed="1" thickBot="1" x14ac:dyDescent="0.45">
      <c r="D270" s="1046" t="s">
        <v>243</v>
      </c>
      <c r="E270" s="1047"/>
      <c r="F270" s="1047"/>
      <c r="G270" s="1047"/>
      <c r="H270" s="1048"/>
      <c r="I270" s="721">
        <f>SUM(I260:I269)</f>
        <v>15406328372.440001</v>
      </c>
      <c r="J270" s="721">
        <f>SUM(J260:J269)</f>
        <v>12841679202.564102</v>
      </c>
      <c r="K270" s="721">
        <f>SUM(K260:K269)</f>
        <v>15406328372.440001</v>
      </c>
      <c r="L270" s="722">
        <f>I270/J270</f>
        <v>1.1997129136634883</v>
      </c>
      <c r="M270" s="723">
        <f>SUM(M260:M269)</f>
        <v>15406328372.440001</v>
      </c>
      <c r="N270" s="724">
        <f>SUM(N260:N269)</f>
        <v>0</v>
      </c>
      <c r="O270" s="812" t="s">
        <v>244</v>
      </c>
      <c r="T270" s="619"/>
    </row>
    <row r="271" spans="1:20" hidden="1" outlineLevel="1" x14ac:dyDescent="0.4">
      <c r="A271" s="483" t="s">
        <v>21</v>
      </c>
      <c r="B271" s="483" t="s">
        <v>173</v>
      </c>
      <c r="C271" s="483" t="s">
        <v>105</v>
      </c>
      <c r="D271" s="693" t="s">
        <v>143</v>
      </c>
      <c r="E271" s="795" t="s">
        <v>132</v>
      </c>
      <c r="F271" s="772" t="s">
        <v>133</v>
      </c>
      <c r="G271" s="795" t="s">
        <v>134</v>
      </c>
      <c r="H271" s="772" t="s">
        <v>135</v>
      </c>
      <c r="I271" s="773"/>
      <c r="J271" s="773"/>
      <c r="K271" s="810"/>
      <c r="L271" s="774" t="e">
        <f t="shared" ref="L271" si="74">+I271/J271</f>
        <v>#DIV/0!</v>
      </c>
      <c r="M271" s="773"/>
      <c r="N271" s="759">
        <f>K271-M271</f>
        <v>0</v>
      </c>
      <c r="O271" s="642"/>
    </row>
    <row r="272" spans="1:20" hidden="1" outlineLevel="1" x14ac:dyDescent="0.4">
      <c r="A272" s="483" t="s">
        <v>21</v>
      </c>
      <c r="B272" s="483" t="s">
        <v>173</v>
      </c>
      <c r="C272" s="483" t="s">
        <v>105</v>
      </c>
      <c r="D272" s="699" t="str">
        <f t="shared" ref="D272:D280" si="75">D271</f>
        <v>12월</v>
      </c>
      <c r="E272" s="796" t="s">
        <v>132</v>
      </c>
      <c r="F272" s="701" t="s">
        <v>133</v>
      </c>
      <c r="G272" s="796" t="s">
        <v>134</v>
      </c>
      <c r="H272" s="701" t="s">
        <v>136</v>
      </c>
      <c r="I272" s="702"/>
      <c r="J272" s="702"/>
      <c r="K272" s="784"/>
      <c r="L272" s="703"/>
      <c r="M272" s="785"/>
      <c r="N272" s="738">
        <f t="shared" ref="N272:N280" si="76">K272-M272</f>
        <v>0</v>
      </c>
      <c r="O272" s="642"/>
    </row>
    <row r="273" spans="1:20" hidden="1" outlineLevel="1" x14ac:dyDescent="0.4">
      <c r="A273" s="483" t="s">
        <v>21</v>
      </c>
      <c r="B273" s="483" t="s">
        <v>173</v>
      </c>
      <c r="C273" s="483" t="s">
        <v>22</v>
      </c>
      <c r="D273" s="699" t="str">
        <f t="shared" si="75"/>
        <v>12월</v>
      </c>
      <c r="E273" s="797" t="s">
        <v>132</v>
      </c>
      <c r="F273" s="701" t="s">
        <v>133</v>
      </c>
      <c r="G273" s="796" t="s">
        <v>134</v>
      </c>
      <c r="H273" s="701" t="s">
        <v>137</v>
      </c>
      <c r="I273" s="702">
        <v>2722223765</v>
      </c>
      <c r="J273" s="702">
        <v>1751927357.1428573</v>
      </c>
      <c r="K273" s="784">
        <v>2722223765</v>
      </c>
      <c r="L273" s="703"/>
      <c r="M273" s="785">
        <v>2722223765</v>
      </c>
      <c r="N273" s="738">
        <f t="shared" si="76"/>
        <v>0</v>
      </c>
      <c r="O273" s="790" t="s">
        <v>245</v>
      </c>
      <c r="P273" s="793"/>
      <c r="Q273" s="661"/>
      <c r="S273" s="489" t="s">
        <v>115</v>
      </c>
      <c r="T273" s="619">
        <v>868832000</v>
      </c>
    </row>
    <row r="274" spans="1:20" hidden="1" outlineLevel="1" x14ac:dyDescent="0.4">
      <c r="A274" s="483" t="s">
        <v>21</v>
      </c>
      <c r="B274" s="483" t="s">
        <v>173</v>
      </c>
      <c r="C274" s="483" t="s">
        <v>27</v>
      </c>
      <c r="D274" s="699" t="str">
        <f t="shared" si="75"/>
        <v>12월</v>
      </c>
      <c r="E274" s="796" t="s">
        <v>132</v>
      </c>
      <c r="F274" s="701" t="s">
        <v>133</v>
      </c>
      <c r="G274" s="796" t="s">
        <v>134</v>
      </c>
      <c r="H274" s="701" t="s">
        <v>138</v>
      </c>
      <c r="I274" s="702">
        <v>676210400</v>
      </c>
      <c r="J274" s="702">
        <v>361684102.56410235</v>
      </c>
      <c r="K274" s="787">
        <v>676210400</v>
      </c>
      <c r="L274" s="703">
        <f t="shared" ref="L274:L278" si="77">+I274/J274</f>
        <v>1.8696160411975895</v>
      </c>
      <c r="M274" s="785">
        <v>676210400</v>
      </c>
      <c r="N274" s="738">
        <f>K274-M274</f>
        <v>0</v>
      </c>
      <c r="O274" s="642"/>
      <c r="P274" s="793"/>
      <c r="Q274" s="661"/>
      <c r="T274" s="619"/>
    </row>
    <row r="275" spans="1:20" hidden="1" outlineLevel="1" x14ac:dyDescent="0.4">
      <c r="A275" s="483" t="s">
        <v>21</v>
      </c>
      <c r="B275" s="483" t="s">
        <v>173</v>
      </c>
      <c r="C275" s="483" t="s">
        <v>26</v>
      </c>
      <c r="D275" s="699" t="str">
        <f t="shared" si="75"/>
        <v>12월</v>
      </c>
      <c r="E275" s="796" t="s">
        <v>132</v>
      </c>
      <c r="F275" s="701" t="s">
        <v>133</v>
      </c>
      <c r="G275" s="796" t="s">
        <v>134</v>
      </c>
      <c r="H275" s="701" t="s">
        <v>139</v>
      </c>
      <c r="I275" s="702">
        <v>10113701700</v>
      </c>
      <c r="J275" s="702">
        <v>9746519150</v>
      </c>
      <c r="K275" s="813">
        <v>10113701700</v>
      </c>
      <c r="L275" s="703">
        <f t="shared" si="77"/>
        <v>1.0376731984361822</v>
      </c>
      <c r="M275" s="785">
        <v>10113701700</v>
      </c>
      <c r="N275" s="738">
        <f t="shared" si="76"/>
        <v>0</v>
      </c>
      <c r="O275" s="786" t="s">
        <v>246</v>
      </c>
      <c r="P275" s="793"/>
      <c r="Q275" s="661"/>
      <c r="T275" s="619"/>
    </row>
    <row r="276" spans="1:20" hidden="1" outlineLevel="1" x14ac:dyDescent="0.4">
      <c r="A276" s="483" t="s">
        <v>21</v>
      </c>
      <c r="B276" s="483" t="s">
        <v>173</v>
      </c>
      <c r="C276" s="483" t="s">
        <v>32</v>
      </c>
      <c r="D276" s="699" t="str">
        <f t="shared" si="75"/>
        <v>12월</v>
      </c>
      <c r="E276" s="796" t="s">
        <v>132</v>
      </c>
      <c r="F276" s="701" t="s">
        <v>133</v>
      </c>
      <c r="G276" s="796" t="s">
        <v>134</v>
      </c>
      <c r="H276" s="701" t="s">
        <v>140</v>
      </c>
      <c r="I276" s="702">
        <v>0</v>
      </c>
      <c r="J276" s="702">
        <v>67000000.000000007</v>
      </c>
      <c r="K276" s="784">
        <v>0</v>
      </c>
      <c r="L276" s="703">
        <f t="shared" si="77"/>
        <v>0</v>
      </c>
      <c r="M276" s="785">
        <v>0</v>
      </c>
      <c r="N276" s="738">
        <f t="shared" si="76"/>
        <v>0</v>
      </c>
      <c r="O276" s="642"/>
      <c r="P276" s="793"/>
      <c r="Q276" s="661"/>
      <c r="T276" s="619"/>
    </row>
    <row r="277" spans="1:20" hidden="1" outlineLevel="1" x14ac:dyDescent="0.4">
      <c r="A277" s="483" t="s">
        <v>21</v>
      </c>
      <c r="B277" s="483" t="s">
        <v>173</v>
      </c>
      <c r="C277" s="483" t="s">
        <v>30</v>
      </c>
      <c r="D277" s="699" t="str">
        <f t="shared" si="75"/>
        <v>12월</v>
      </c>
      <c r="E277" s="796" t="s">
        <v>132</v>
      </c>
      <c r="F277" s="701" t="s">
        <v>133</v>
      </c>
      <c r="G277" s="796" t="s">
        <v>134</v>
      </c>
      <c r="H277" s="701" t="s">
        <v>141</v>
      </c>
      <c r="I277" s="702">
        <v>0</v>
      </c>
      <c r="J277" s="702">
        <v>46875000</v>
      </c>
      <c r="K277" s="784">
        <v>0</v>
      </c>
      <c r="L277" s="703">
        <f t="shared" si="77"/>
        <v>0</v>
      </c>
      <c r="M277" s="785">
        <v>0</v>
      </c>
      <c r="N277" s="738">
        <f t="shared" si="76"/>
        <v>0</v>
      </c>
      <c r="O277" s="642"/>
      <c r="P277" s="793"/>
      <c r="Q277" s="661"/>
      <c r="T277" s="619"/>
    </row>
    <row r="278" spans="1:20" hidden="1" outlineLevel="1" x14ac:dyDescent="0.4">
      <c r="A278" s="483" t="s">
        <v>21</v>
      </c>
      <c r="B278" s="483" t="s">
        <v>173</v>
      </c>
      <c r="C278" s="483" t="s">
        <v>29</v>
      </c>
      <c r="D278" s="699" t="str">
        <f t="shared" si="75"/>
        <v>12월</v>
      </c>
      <c r="E278" s="796" t="s">
        <v>132</v>
      </c>
      <c r="F278" s="701" t="s">
        <v>133</v>
      </c>
      <c r="G278" s="796" t="s">
        <v>134</v>
      </c>
      <c r="H278" s="701" t="s">
        <v>145</v>
      </c>
      <c r="I278" s="702">
        <v>105774138</v>
      </c>
      <c r="J278" s="702">
        <v>1429000000</v>
      </c>
      <c r="K278" s="784">
        <v>105774138</v>
      </c>
      <c r="L278" s="703">
        <f t="shared" si="77"/>
        <v>7.4019690692792156E-2</v>
      </c>
      <c r="M278" s="785">
        <v>105774138</v>
      </c>
      <c r="N278" s="738">
        <f t="shared" si="76"/>
        <v>0</v>
      </c>
      <c r="O278" s="642" t="s">
        <v>247</v>
      </c>
      <c r="P278" s="793"/>
      <c r="Q278" s="661"/>
      <c r="T278" s="619"/>
    </row>
    <row r="279" spans="1:20" hidden="1" outlineLevel="1" x14ac:dyDescent="0.4">
      <c r="A279" s="483" t="s">
        <v>21</v>
      </c>
      <c r="B279" s="483" t="s">
        <v>173</v>
      </c>
      <c r="C279" s="483" t="s">
        <v>31</v>
      </c>
      <c r="D279" s="699" t="str">
        <f t="shared" si="75"/>
        <v>12월</v>
      </c>
      <c r="E279" s="798" t="s">
        <v>132</v>
      </c>
      <c r="F279" s="712" t="s">
        <v>133</v>
      </c>
      <c r="G279" s="798" t="s">
        <v>134</v>
      </c>
      <c r="H279" s="712" t="s">
        <v>146</v>
      </c>
      <c r="I279" s="713">
        <v>38108334</v>
      </c>
      <c r="J279" s="702">
        <v>140625000</v>
      </c>
      <c r="K279" s="788">
        <v>38108334</v>
      </c>
      <c r="L279" s="714"/>
      <c r="M279" s="792">
        <v>38108334</v>
      </c>
      <c r="N279" s="738">
        <f t="shared" si="76"/>
        <v>0</v>
      </c>
      <c r="O279" s="642"/>
      <c r="P279" s="793"/>
      <c r="Q279" s="661"/>
      <c r="T279" s="619"/>
    </row>
    <row r="280" spans="1:20" ht="14.4" hidden="1" outlineLevel="1" thickBot="1" x14ac:dyDescent="0.45">
      <c r="A280" s="483" t="s">
        <v>21</v>
      </c>
      <c r="B280" s="483" t="s">
        <v>173</v>
      </c>
      <c r="C280" s="483" t="s">
        <v>32</v>
      </c>
      <c r="D280" s="777" t="str">
        <f t="shared" si="75"/>
        <v>12월</v>
      </c>
      <c r="E280" s="799" t="s">
        <v>132</v>
      </c>
      <c r="F280" s="716" t="s">
        <v>133</v>
      </c>
      <c r="G280" s="799" t="s">
        <v>134</v>
      </c>
      <c r="H280" s="716" t="s">
        <v>147</v>
      </c>
      <c r="I280" s="717">
        <v>166199838</v>
      </c>
      <c r="J280" s="717"/>
      <c r="K280" s="789">
        <v>166199838</v>
      </c>
      <c r="L280" s="718" t="e">
        <f t="shared" ref="L280" si="78">+K280/J280</f>
        <v>#DIV/0!</v>
      </c>
      <c r="M280" s="717">
        <v>166199838</v>
      </c>
      <c r="N280" s="738">
        <f t="shared" si="76"/>
        <v>0</v>
      </c>
      <c r="O280" s="802" t="s">
        <v>248</v>
      </c>
      <c r="P280" s="793"/>
      <c r="Q280" s="661"/>
      <c r="T280" s="619"/>
    </row>
    <row r="281" spans="1:20" ht="14.4" collapsed="1" thickBot="1" x14ac:dyDescent="0.45">
      <c r="D281" s="1046" t="s">
        <v>249</v>
      </c>
      <c r="E281" s="1047"/>
      <c r="F281" s="1047"/>
      <c r="G281" s="1047"/>
      <c r="H281" s="1048"/>
      <c r="I281" s="721">
        <f>SUM(I271:I280)</f>
        <v>13822218175</v>
      </c>
      <c r="J281" s="721">
        <f>SUM(J271:J280)</f>
        <v>13543630609.706959</v>
      </c>
      <c r="K281" s="721">
        <f>SUM(K271:K280)</f>
        <v>13822218175</v>
      </c>
      <c r="L281" s="722">
        <f>I281/J281</f>
        <v>1.0205696369992086</v>
      </c>
      <c r="M281" s="723">
        <f>SUM(M271:M280)</f>
        <v>13822218175</v>
      </c>
      <c r="N281" s="724">
        <f>SUM(N271:N280)</f>
        <v>0</v>
      </c>
      <c r="P281" s="793"/>
      <c r="S281" s="489" t="s">
        <v>27</v>
      </c>
      <c r="T281" s="619">
        <v>154498560</v>
      </c>
    </row>
    <row r="282" spans="1:20" ht="14.4" thickBot="1" x14ac:dyDescent="0.45">
      <c r="D282" s="1049" t="s">
        <v>250</v>
      </c>
      <c r="E282" s="1050"/>
      <c r="F282" s="1050"/>
      <c r="G282" s="1050"/>
      <c r="H282" s="1051"/>
      <c r="I282" s="733">
        <f>SUM(I259,I270,I281)</f>
        <v>41142023367.440002</v>
      </c>
      <c r="J282" s="733">
        <f t="shared" ref="J282:K282" si="79">SUM(J259,J270,J281)</f>
        <v>38016918764.835159</v>
      </c>
      <c r="K282" s="733">
        <f t="shared" si="79"/>
        <v>41142023367.440002</v>
      </c>
      <c r="L282" s="734">
        <f>I282/J282</f>
        <v>1.0822029955119745</v>
      </c>
      <c r="M282" s="733">
        <f t="shared" ref="M282:N282" si="80">SUM(M259,M270,M281)</f>
        <v>41142023367.440002</v>
      </c>
      <c r="N282" s="733">
        <f t="shared" si="80"/>
        <v>0</v>
      </c>
      <c r="O282" s="778"/>
    </row>
    <row r="283" spans="1:20" ht="14.4" thickBot="1" x14ac:dyDescent="0.45">
      <c r="D283" s="1052" t="s">
        <v>251</v>
      </c>
      <c r="E283" s="1053"/>
      <c r="F283" s="1053"/>
      <c r="G283" s="1053"/>
      <c r="H283" s="1054"/>
      <c r="I283" s="780">
        <f>SUM(I180,I214,I248,I282)</f>
        <v>139301607998.44</v>
      </c>
      <c r="J283" s="780" t="e">
        <f t="shared" ref="J283:K283" si="81">SUM(J180,J214,J248,J282)</f>
        <v>#REF!</v>
      </c>
      <c r="K283" s="780">
        <f t="shared" si="81"/>
        <v>139301607998.44</v>
      </c>
      <c r="L283" s="781" t="e">
        <f>I283/J283</f>
        <v>#REF!</v>
      </c>
      <c r="M283" s="782">
        <f t="shared" ref="M283:N283" si="82">SUM(M180,M214,M248,M282)</f>
        <v>139301607998.44</v>
      </c>
      <c r="N283" s="783">
        <f t="shared" si="82"/>
        <v>0</v>
      </c>
    </row>
    <row r="284" spans="1:20" x14ac:dyDescent="0.4">
      <c r="A284" s="483" t="s">
        <v>24</v>
      </c>
      <c r="B284" s="483" t="s">
        <v>2</v>
      </c>
      <c r="C284" s="483" t="s">
        <v>105</v>
      </c>
      <c r="D284" s="693" t="s">
        <v>3</v>
      </c>
      <c r="E284" s="772" t="s">
        <v>132</v>
      </c>
      <c r="F284" s="772" t="s">
        <v>133</v>
      </c>
      <c r="G284" s="772" t="s">
        <v>134</v>
      </c>
      <c r="H284" s="772" t="s">
        <v>252</v>
      </c>
      <c r="I284" s="773">
        <v>0</v>
      </c>
      <c r="J284" s="773">
        <v>17044833.333333336</v>
      </c>
      <c r="K284" s="773">
        <v>0</v>
      </c>
      <c r="L284" s="774">
        <f t="shared" ref="L284" si="83">+I284/J284</f>
        <v>0</v>
      </c>
      <c r="M284" s="773">
        <v>0</v>
      </c>
      <c r="N284" s="759">
        <f>K284-M284</f>
        <v>0</v>
      </c>
      <c r="S284" s="489" t="s">
        <v>34</v>
      </c>
      <c r="T284" s="483">
        <v>93750000</v>
      </c>
    </row>
    <row r="285" spans="1:20" x14ac:dyDescent="0.4">
      <c r="A285" s="483" t="s">
        <v>24</v>
      </c>
      <c r="B285" s="483" t="s">
        <v>2</v>
      </c>
      <c r="C285" s="483" t="s">
        <v>105</v>
      </c>
      <c r="D285" s="699" t="str">
        <f t="shared" ref="D285:D295" si="84">D284</f>
        <v>1월</v>
      </c>
      <c r="E285" s="701" t="s">
        <v>132</v>
      </c>
      <c r="F285" s="701" t="s">
        <v>133</v>
      </c>
      <c r="G285" s="701" t="s">
        <v>134</v>
      </c>
      <c r="H285" s="701" t="s">
        <v>136</v>
      </c>
      <c r="I285" s="702">
        <v>0</v>
      </c>
      <c r="J285" s="702">
        <v>0</v>
      </c>
      <c r="K285" s="702">
        <v>0</v>
      </c>
      <c r="L285" s="703"/>
      <c r="M285" s="702">
        <v>0</v>
      </c>
      <c r="N285" s="738">
        <f t="shared" ref="N285:N295" si="85">K285-M285</f>
        <v>0</v>
      </c>
    </row>
    <row r="286" spans="1:20" x14ac:dyDescent="0.4">
      <c r="A286" s="483" t="s">
        <v>24</v>
      </c>
      <c r="B286" s="483" t="s">
        <v>2</v>
      </c>
      <c r="C286" s="483" t="s">
        <v>22</v>
      </c>
      <c r="D286" s="699" t="str">
        <f t="shared" si="84"/>
        <v>1월</v>
      </c>
      <c r="E286" s="700" t="s">
        <v>132</v>
      </c>
      <c r="F286" s="701" t="s">
        <v>133</v>
      </c>
      <c r="G286" s="701" t="s">
        <v>134</v>
      </c>
      <c r="H286" s="701" t="s">
        <v>137</v>
      </c>
      <c r="I286" s="702">
        <v>318512365</v>
      </c>
      <c r="J286" s="702">
        <v>310017950</v>
      </c>
      <c r="K286" s="702">
        <v>318512365</v>
      </c>
      <c r="L286" s="703"/>
      <c r="M286" s="702">
        <v>318512365</v>
      </c>
      <c r="N286" s="738">
        <f t="shared" si="85"/>
        <v>0</v>
      </c>
      <c r="O286" s="802" t="s">
        <v>253</v>
      </c>
    </row>
    <row r="287" spans="1:20" x14ac:dyDescent="0.4">
      <c r="A287" s="483" t="s">
        <v>24</v>
      </c>
      <c r="B287" s="483" t="s">
        <v>2</v>
      </c>
      <c r="C287" s="483" t="s">
        <v>27</v>
      </c>
      <c r="D287" s="699" t="str">
        <f t="shared" si="84"/>
        <v>1월</v>
      </c>
      <c r="E287" s="701" t="s">
        <v>132</v>
      </c>
      <c r="F287" s="701" t="s">
        <v>133</v>
      </c>
      <c r="G287" s="701" t="s">
        <v>134</v>
      </c>
      <c r="H287" s="701" t="s">
        <v>138</v>
      </c>
      <c r="I287" s="702">
        <v>257333760</v>
      </c>
      <c r="J287" s="702">
        <v>265256500</v>
      </c>
      <c r="K287" s="702">
        <v>257333760</v>
      </c>
      <c r="L287" s="703">
        <f t="shared" ref="L287:L293" si="86">+I287/J287</f>
        <v>0.97013177810911322</v>
      </c>
      <c r="M287" s="702">
        <v>257333760</v>
      </c>
      <c r="N287" s="738">
        <f t="shared" si="85"/>
        <v>0</v>
      </c>
      <c r="O287" s="802" t="s">
        <v>254</v>
      </c>
    </row>
    <row r="288" spans="1:20" x14ac:dyDescent="0.4">
      <c r="A288" s="483" t="s">
        <v>24</v>
      </c>
      <c r="B288" s="483" t="s">
        <v>2</v>
      </c>
      <c r="C288" s="483" t="s">
        <v>26</v>
      </c>
      <c r="D288" s="699" t="str">
        <f>D287</f>
        <v>1월</v>
      </c>
      <c r="E288" s="701" t="s">
        <v>132</v>
      </c>
      <c r="F288" s="701" t="s">
        <v>133</v>
      </c>
      <c r="G288" s="701" t="s">
        <v>134</v>
      </c>
      <c r="H288" s="701" t="s">
        <v>255</v>
      </c>
      <c r="I288" s="702">
        <v>2702489700</v>
      </c>
      <c r="J288" s="702">
        <v>2725867600</v>
      </c>
      <c r="K288" s="813">
        <v>2702489700</v>
      </c>
      <c r="L288" s="703">
        <f t="shared" si="86"/>
        <v>0.99142368470134057</v>
      </c>
      <c r="M288" s="785">
        <v>2702489700</v>
      </c>
      <c r="N288" s="738">
        <f t="shared" si="85"/>
        <v>0</v>
      </c>
      <c r="O288" s="483" t="s">
        <v>256</v>
      </c>
    </row>
    <row r="289" spans="1:20" x14ac:dyDescent="0.4">
      <c r="A289" s="483" t="s">
        <v>24</v>
      </c>
      <c r="B289" s="483" t="s">
        <v>2</v>
      </c>
      <c r="C289" s="483" t="s">
        <v>26</v>
      </c>
      <c r="D289" s="699" t="str">
        <f t="shared" ref="D289:D290" si="87">D288</f>
        <v>1월</v>
      </c>
      <c r="E289" s="701" t="s">
        <v>132</v>
      </c>
      <c r="F289" s="701" t="s">
        <v>133</v>
      </c>
      <c r="G289" s="701" t="s">
        <v>134</v>
      </c>
      <c r="H289" s="701" t="s">
        <v>257</v>
      </c>
      <c r="I289" s="702">
        <v>3006123600</v>
      </c>
      <c r="J289" s="702">
        <v>3008279200</v>
      </c>
      <c r="K289" s="813">
        <v>3006123600</v>
      </c>
      <c r="L289" s="703"/>
      <c r="M289" s="785">
        <v>3006123600</v>
      </c>
      <c r="N289" s="738"/>
    </row>
    <row r="290" spans="1:20" x14ac:dyDescent="0.4">
      <c r="A290" s="483" t="s">
        <v>24</v>
      </c>
      <c r="B290" s="483" t="s">
        <v>2</v>
      </c>
      <c r="C290" s="483" t="s">
        <v>26</v>
      </c>
      <c r="D290" s="699" t="str">
        <f t="shared" si="87"/>
        <v>1월</v>
      </c>
      <c r="E290" s="701" t="s">
        <v>132</v>
      </c>
      <c r="F290" s="701" t="s">
        <v>133</v>
      </c>
      <c r="G290" s="701" t="s">
        <v>134</v>
      </c>
      <c r="H290" s="701" t="s">
        <v>258</v>
      </c>
      <c r="I290" s="702">
        <v>1197799100</v>
      </c>
      <c r="J290" s="702">
        <v>1164903500</v>
      </c>
      <c r="K290" s="813">
        <v>1197799100</v>
      </c>
      <c r="L290" s="703"/>
      <c r="M290" s="785">
        <v>1197799100</v>
      </c>
      <c r="N290" s="738"/>
    </row>
    <row r="291" spans="1:20" x14ac:dyDescent="0.4">
      <c r="A291" s="483" t="s">
        <v>24</v>
      </c>
      <c r="B291" s="483" t="s">
        <v>2</v>
      </c>
      <c r="C291" s="483" t="s">
        <v>32</v>
      </c>
      <c r="D291" s="699" t="str">
        <f>D288</f>
        <v>1월</v>
      </c>
      <c r="E291" s="701" t="s">
        <v>132</v>
      </c>
      <c r="F291" s="701" t="s">
        <v>133</v>
      </c>
      <c r="G291" s="701" t="s">
        <v>134</v>
      </c>
      <c r="H291" s="701" t="s">
        <v>140</v>
      </c>
      <c r="I291" s="702">
        <v>0</v>
      </c>
      <c r="J291" s="702">
        <v>0</v>
      </c>
      <c r="K291" s="702">
        <v>0</v>
      </c>
      <c r="L291" s="703" t="e">
        <f t="shared" si="86"/>
        <v>#DIV/0!</v>
      </c>
      <c r="M291" s="702">
        <v>0</v>
      </c>
      <c r="N291" s="738">
        <f t="shared" si="85"/>
        <v>0</v>
      </c>
      <c r="S291" s="489" t="s">
        <v>35</v>
      </c>
      <c r="T291" s="483">
        <v>119960500</v>
      </c>
    </row>
    <row r="292" spans="1:20" x14ac:dyDescent="0.4">
      <c r="A292" s="483" t="s">
        <v>24</v>
      </c>
      <c r="B292" s="483" t="s">
        <v>2</v>
      </c>
      <c r="C292" s="483" t="s">
        <v>30</v>
      </c>
      <c r="D292" s="699" t="str">
        <f t="shared" si="84"/>
        <v>1월</v>
      </c>
      <c r="E292" s="701" t="s">
        <v>132</v>
      </c>
      <c r="F292" s="701" t="s">
        <v>133</v>
      </c>
      <c r="G292" s="701" t="s">
        <v>134</v>
      </c>
      <c r="H292" s="701" t="s">
        <v>141</v>
      </c>
      <c r="I292" s="702"/>
      <c r="J292" s="702"/>
      <c r="K292" s="702"/>
      <c r="L292" s="703" t="e">
        <f t="shared" si="86"/>
        <v>#DIV/0!</v>
      </c>
      <c r="M292" s="702"/>
      <c r="N292" s="738">
        <f t="shared" si="85"/>
        <v>0</v>
      </c>
    </row>
    <row r="293" spans="1:20" x14ac:dyDescent="0.4">
      <c r="A293" s="483" t="s">
        <v>24</v>
      </c>
      <c r="B293" s="483" t="s">
        <v>2</v>
      </c>
      <c r="C293" s="483" t="s">
        <v>29</v>
      </c>
      <c r="D293" s="699" t="str">
        <f t="shared" si="84"/>
        <v>1월</v>
      </c>
      <c r="E293" s="701" t="s">
        <v>132</v>
      </c>
      <c r="F293" s="701" t="s">
        <v>133</v>
      </c>
      <c r="G293" s="701" t="s">
        <v>134</v>
      </c>
      <c r="H293" s="701" t="s">
        <v>145</v>
      </c>
      <c r="I293" s="702">
        <v>2490865804</v>
      </c>
      <c r="J293" s="702">
        <v>2459700000</v>
      </c>
      <c r="K293" s="702">
        <v>2490865804</v>
      </c>
      <c r="L293" s="703">
        <f t="shared" si="86"/>
        <v>1.012670571207871</v>
      </c>
      <c r="M293" s="702">
        <v>2490865804</v>
      </c>
      <c r="N293" s="738">
        <f t="shared" si="85"/>
        <v>0</v>
      </c>
    </row>
    <row r="294" spans="1:20" x14ac:dyDescent="0.4">
      <c r="A294" s="483" t="s">
        <v>24</v>
      </c>
      <c r="B294" s="483" t="s">
        <v>2</v>
      </c>
      <c r="C294" s="483" t="s">
        <v>31</v>
      </c>
      <c r="D294" s="699" t="str">
        <f t="shared" si="84"/>
        <v>1월</v>
      </c>
      <c r="E294" s="712" t="s">
        <v>132</v>
      </c>
      <c r="F294" s="712" t="s">
        <v>133</v>
      </c>
      <c r="G294" s="712" t="s">
        <v>134</v>
      </c>
      <c r="H294" s="712" t="s">
        <v>146</v>
      </c>
      <c r="I294" s="713">
        <v>176833334</v>
      </c>
      <c r="J294" s="713">
        <v>140625000</v>
      </c>
      <c r="K294" s="713">
        <v>176833334</v>
      </c>
      <c r="L294" s="714"/>
      <c r="M294" s="713">
        <v>176833334</v>
      </c>
      <c r="N294" s="738">
        <f t="shared" si="85"/>
        <v>0</v>
      </c>
    </row>
    <row r="295" spans="1:20" ht="14.4" thickBot="1" x14ac:dyDescent="0.45">
      <c r="A295" s="483" t="s">
        <v>24</v>
      </c>
      <c r="B295" s="483" t="s">
        <v>2</v>
      </c>
      <c r="C295" s="483" t="s">
        <v>32</v>
      </c>
      <c r="D295" s="777" t="str">
        <f t="shared" si="84"/>
        <v>1월</v>
      </c>
      <c r="E295" s="716" t="s">
        <v>132</v>
      </c>
      <c r="F295" s="716" t="s">
        <v>133</v>
      </c>
      <c r="G295" s="716" t="s">
        <v>134</v>
      </c>
      <c r="H295" s="716" t="s">
        <v>147</v>
      </c>
      <c r="I295" s="717">
        <v>37327710</v>
      </c>
      <c r="J295" s="717"/>
      <c r="K295" s="717">
        <v>37327710</v>
      </c>
      <c r="L295" s="718" t="e">
        <f t="shared" ref="L295" si="88">+K295/J295</f>
        <v>#DIV/0!</v>
      </c>
      <c r="M295" s="717">
        <v>37327710</v>
      </c>
      <c r="N295" s="738">
        <f t="shared" si="85"/>
        <v>0</v>
      </c>
    </row>
    <row r="296" spans="1:20" ht="14.4" thickBot="1" x14ac:dyDescent="0.45">
      <c r="D296" s="1046" t="s">
        <v>259</v>
      </c>
      <c r="E296" s="1047"/>
      <c r="F296" s="1047"/>
      <c r="G296" s="1047"/>
      <c r="H296" s="1048"/>
      <c r="I296" s="721">
        <f>SUM(I284:I295)</f>
        <v>10187285373</v>
      </c>
      <c r="J296" s="721">
        <f>SUM(J284:J295)</f>
        <v>10091694583.333332</v>
      </c>
      <c r="K296" s="721">
        <f>SUM(K284:K295)</f>
        <v>10187285373</v>
      </c>
      <c r="L296" s="722">
        <f>I296/J296</f>
        <v>1.0094722238051614</v>
      </c>
      <c r="M296" s="723">
        <f>SUM(M284:M295)</f>
        <v>10187285373</v>
      </c>
      <c r="N296" s="724">
        <f>SUM(N284:N295)</f>
        <v>0</v>
      </c>
    </row>
    <row r="297" spans="1:20" x14ac:dyDescent="0.4">
      <c r="A297" s="483" t="s">
        <v>24</v>
      </c>
      <c r="B297" s="483" t="s">
        <v>2</v>
      </c>
      <c r="C297" s="483" t="s">
        <v>105</v>
      </c>
      <c r="D297" s="693" t="s">
        <v>4</v>
      </c>
      <c r="E297" s="772" t="s">
        <v>132</v>
      </c>
      <c r="F297" s="772" t="s">
        <v>133</v>
      </c>
      <c r="G297" s="772" t="s">
        <v>134</v>
      </c>
      <c r="H297" s="772" t="s">
        <v>252</v>
      </c>
      <c r="I297" s="773"/>
      <c r="J297" s="773">
        <v>17044833.333333336</v>
      </c>
      <c r="K297" s="773"/>
      <c r="L297" s="774">
        <f t="shared" ref="L297" si="89">+I297/J297</f>
        <v>0</v>
      </c>
      <c r="M297" s="773"/>
      <c r="N297" s="759">
        <f>K297-M297</f>
        <v>0</v>
      </c>
    </row>
    <row r="298" spans="1:20" x14ac:dyDescent="0.4">
      <c r="A298" s="483" t="s">
        <v>24</v>
      </c>
      <c r="B298" s="483" t="s">
        <v>2</v>
      </c>
      <c r="C298" s="483" t="s">
        <v>105</v>
      </c>
      <c r="D298" s="699" t="str">
        <f t="shared" ref="D298:D308" si="90">D297</f>
        <v>2월</v>
      </c>
      <c r="E298" s="701" t="s">
        <v>132</v>
      </c>
      <c r="F298" s="701" t="s">
        <v>133</v>
      </c>
      <c r="G298" s="701" t="s">
        <v>134</v>
      </c>
      <c r="H298" s="701" t="s">
        <v>136</v>
      </c>
      <c r="I298" s="702"/>
      <c r="J298" s="702">
        <v>0</v>
      </c>
      <c r="K298" s="702"/>
      <c r="L298" s="703"/>
      <c r="M298" s="702"/>
      <c r="N298" s="738">
        <f t="shared" ref="N298:N306" si="91">K298-M298</f>
        <v>0</v>
      </c>
    </row>
    <row r="299" spans="1:20" ht="35.25" customHeight="1" x14ac:dyDescent="0.4">
      <c r="A299" s="483" t="s">
        <v>24</v>
      </c>
      <c r="B299" s="483" t="s">
        <v>2</v>
      </c>
      <c r="C299" s="483" t="s">
        <v>22</v>
      </c>
      <c r="D299" s="699" t="str">
        <f t="shared" si="90"/>
        <v>2월</v>
      </c>
      <c r="E299" s="700" t="s">
        <v>132</v>
      </c>
      <c r="F299" s="701" t="s">
        <v>133</v>
      </c>
      <c r="G299" s="701" t="s">
        <v>134</v>
      </c>
      <c r="H299" s="701" t="s">
        <v>137</v>
      </c>
      <c r="I299" s="785">
        <v>967461682.00000012</v>
      </c>
      <c r="J299" s="702">
        <v>1208362064.0000002</v>
      </c>
      <c r="K299" s="702">
        <v>967461682.00000012</v>
      </c>
      <c r="L299" s="703"/>
      <c r="M299" s="702">
        <v>967461682.00000012</v>
      </c>
      <c r="N299" s="738">
        <f t="shared" si="91"/>
        <v>0</v>
      </c>
      <c r="O299" s="825" t="s">
        <v>260</v>
      </c>
    </row>
    <row r="300" spans="1:20" x14ac:dyDescent="0.4">
      <c r="A300" s="483" t="s">
        <v>24</v>
      </c>
      <c r="B300" s="483" t="s">
        <v>2</v>
      </c>
      <c r="C300" s="483" t="s">
        <v>27</v>
      </c>
      <c r="D300" s="699" t="str">
        <f t="shared" si="90"/>
        <v>2월</v>
      </c>
      <c r="E300" s="701" t="s">
        <v>132</v>
      </c>
      <c r="F300" s="701" t="s">
        <v>133</v>
      </c>
      <c r="G300" s="701" t="s">
        <v>134</v>
      </c>
      <c r="H300" s="701" t="s">
        <v>138</v>
      </c>
      <c r="I300" s="702">
        <v>279337160</v>
      </c>
      <c r="J300" s="702">
        <v>274581640</v>
      </c>
      <c r="K300" s="702">
        <v>279337160</v>
      </c>
      <c r="L300" s="703">
        <f>+I300/J300</f>
        <v>1.0173191477769599</v>
      </c>
      <c r="M300" s="702">
        <v>279337160</v>
      </c>
      <c r="N300" s="738">
        <f t="shared" si="91"/>
        <v>0</v>
      </c>
      <c r="O300" s="825"/>
    </row>
    <row r="301" spans="1:20" x14ac:dyDescent="0.4">
      <c r="A301" s="483" t="s">
        <v>24</v>
      </c>
      <c r="B301" s="483" t="s">
        <v>2</v>
      </c>
      <c r="C301" s="483" t="s">
        <v>26</v>
      </c>
      <c r="D301" s="699" t="str">
        <f t="shared" si="90"/>
        <v>2월</v>
      </c>
      <c r="E301" s="701" t="s">
        <v>132</v>
      </c>
      <c r="F301" s="701" t="s">
        <v>133</v>
      </c>
      <c r="G301" s="701" t="s">
        <v>134</v>
      </c>
      <c r="H301" s="701" t="s">
        <v>255</v>
      </c>
      <c r="I301" s="702">
        <v>3139479600</v>
      </c>
      <c r="J301" s="702">
        <v>2413214000</v>
      </c>
      <c r="K301" s="784">
        <v>3139479600</v>
      </c>
      <c r="L301" s="703">
        <f t="shared" ref="L301:L306" si="92">+I301/J301</f>
        <v>1.3009536659409402</v>
      </c>
      <c r="M301" s="702">
        <v>3139479600</v>
      </c>
      <c r="N301" s="738">
        <f t="shared" si="91"/>
        <v>0</v>
      </c>
      <c r="O301" s="825" t="s">
        <v>261</v>
      </c>
    </row>
    <row r="302" spans="1:20" x14ac:dyDescent="0.4">
      <c r="A302" s="483" t="s">
        <v>24</v>
      </c>
      <c r="B302" s="483" t="s">
        <v>2</v>
      </c>
      <c r="C302" s="483" t="s">
        <v>26</v>
      </c>
      <c r="D302" s="699" t="str">
        <f t="shared" si="90"/>
        <v>2월</v>
      </c>
      <c r="E302" s="701" t="s">
        <v>132</v>
      </c>
      <c r="F302" s="701" t="s">
        <v>133</v>
      </c>
      <c r="G302" s="701" t="s">
        <v>134</v>
      </c>
      <c r="H302" s="701" t="s">
        <v>257</v>
      </c>
      <c r="I302" s="702">
        <v>3981287600</v>
      </c>
      <c r="J302" s="702">
        <v>3848242200</v>
      </c>
      <c r="K302" s="784">
        <v>3981287600</v>
      </c>
      <c r="L302" s="703"/>
      <c r="M302" s="702">
        <v>3981287600</v>
      </c>
      <c r="N302" s="738">
        <f t="shared" si="91"/>
        <v>0</v>
      </c>
      <c r="O302" s="825"/>
    </row>
    <row r="303" spans="1:20" x14ac:dyDescent="0.4">
      <c r="A303" s="483" t="s">
        <v>24</v>
      </c>
      <c r="B303" s="483" t="s">
        <v>2</v>
      </c>
      <c r="C303" s="483" t="s">
        <v>26</v>
      </c>
      <c r="D303" s="699" t="str">
        <f t="shared" si="90"/>
        <v>2월</v>
      </c>
      <c r="E303" s="701" t="s">
        <v>132</v>
      </c>
      <c r="F303" s="701" t="s">
        <v>133</v>
      </c>
      <c r="G303" s="701" t="s">
        <v>134</v>
      </c>
      <c r="H303" s="701" t="s">
        <v>258</v>
      </c>
      <c r="I303" s="702">
        <v>2889841900</v>
      </c>
      <c r="J303" s="702">
        <v>2546255600</v>
      </c>
      <c r="K303" s="784">
        <v>2889841900</v>
      </c>
      <c r="L303" s="703"/>
      <c r="M303" s="702">
        <v>2889841900</v>
      </c>
      <c r="N303" s="738">
        <f t="shared" si="91"/>
        <v>0</v>
      </c>
      <c r="O303" s="825"/>
    </row>
    <row r="304" spans="1:20" x14ac:dyDescent="0.4">
      <c r="A304" s="483" t="s">
        <v>24</v>
      </c>
      <c r="B304" s="483" t="s">
        <v>2</v>
      </c>
      <c r="C304" s="483" t="s">
        <v>32</v>
      </c>
      <c r="D304" s="699" t="str">
        <f>D301</f>
        <v>2월</v>
      </c>
      <c r="E304" s="701" t="s">
        <v>132</v>
      </c>
      <c r="F304" s="701" t="s">
        <v>133</v>
      </c>
      <c r="G304" s="701" t="s">
        <v>134</v>
      </c>
      <c r="H304" s="701" t="s">
        <v>140</v>
      </c>
      <c r="I304" s="702"/>
      <c r="J304" s="702">
        <v>0</v>
      </c>
      <c r="K304" s="702"/>
      <c r="L304" s="703" t="e">
        <f t="shared" si="92"/>
        <v>#DIV/0!</v>
      </c>
      <c r="M304" s="702"/>
      <c r="N304" s="738">
        <f t="shared" si="91"/>
        <v>0</v>
      </c>
      <c r="Q304" s="1039" t="s">
        <v>262</v>
      </c>
      <c r="R304" s="1039"/>
      <c r="S304" s="1039" t="s">
        <v>263</v>
      </c>
      <c r="T304" s="1039"/>
    </row>
    <row r="305" spans="1:20" x14ac:dyDescent="0.4">
      <c r="A305" s="483" t="s">
        <v>24</v>
      </c>
      <c r="B305" s="483" t="s">
        <v>2</v>
      </c>
      <c r="C305" s="483" t="s">
        <v>30</v>
      </c>
      <c r="D305" s="699" t="str">
        <f t="shared" si="90"/>
        <v>2월</v>
      </c>
      <c r="E305" s="701" t="s">
        <v>132</v>
      </c>
      <c r="F305" s="701" t="s">
        <v>133</v>
      </c>
      <c r="G305" s="701" t="s">
        <v>134</v>
      </c>
      <c r="H305" s="701" t="s">
        <v>141</v>
      </c>
      <c r="I305" s="702"/>
      <c r="J305" s="702">
        <v>46875000</v>
      </c>
      <c r="K305" s="702"/>
      <c r="L305" s="703">
        <f t="shared" si="92"/>
        <v>0</v>
      </c>
      <c r="M305" s="702"/>
      <c r="N305" s="738">
        <f t="shared" si="91"/>
        <v>0</v>
      </c>
      <c r="Q305" s="814" t="s">
        <v>264</v>
      </c>
      <c r="R305" s="815">
        <v>3168944000</v>
      </c>
      <c r="S305" s="814" t="s">
        <v>264</v>
      </c>
      <c r="T305" s="815">
        <v>3168944000</v>
      </c>
    </row>
    <row r="306" spans="1:20" x14ac:dyDescent="0.4">
      <c r="A306" s="483" t="s">
        <v>24</v>
      </c>
      <c r="B306" s="483" t="s">
        <v>2</v>
      </c>
      <c r="C306" s="483" t="s">
        <v>29</v>
      </c>
      <c r="D306" s="699" t="str">
        <f t="shared" si="90"/>
        <v>2월</v>
      </c>
      <c r="E306" s="701" t="s">
        <v>132</v>
      </c>
      <c r="F306" s="701" t="s">
        <v>133</v>
      </c>
      <c r="G306" s="701" t="s">
        <v>134</v>
      </c>
      <c r="H306" s="701" t="s">
        <v>145</v>
      </c>
      <c r="I306" s="785">
        <v>469124138</v>
      </c>
      <c r="J306" s="702">
        <v>371000000</v>
      </c>
      <c r="K306" s="727">
        <v>469124138</v>
      </c>
      <c r="L306" s="703">
        <f t="shared" si="92"/>
        <v>1.2644855471698113</v>
      </c>
      <c r="M306" s="702">
        <v>469124138</v>
      </c>
      <c r="N306" s="738">
        <f t="shared" si="91"/>
        <v>0</v>
      </c>
      <c r="O306" s="483" t="s">
        <v>265</v>
      </c>
      <c r="Q306" s="814" t="s">
        <v>266</v>
      </c>
      <c r="R306" s="815">
        <v>3861753800</v>
      </c>
      <c r="S306" s="814" t="s">
        <v>266</v>
      </c>
      <c r="T306" s="815">
        <v>3861753800</v>
      </c>
    </row>
    <row r="307" spans="1:20" x14ac:dyDescent="0.4">
      <c r="A307" s="483" t="s">
        <v>24</v>
      </c>
      <c r="B307" s="483" t="s">
        <v>2</v>
      </c>
      <c r="C307" s="483" t="s">
        <v>31</v>
      </c>
      <c r="D307" s="699" t="str">
        <f t="shared" si="90"/>
        <v>2월</v>
      </c>
      <c r="E307" s="712" t="s">
        <v>132</v>
      </c>
      <c r="F307" s="712" t="s">
        <v>133</v>
      </c>
      <c r="G307" s="712" t="s">
        <v>134</v>
      </c>
      <c r="H307" s="712" t="s">
        <v>146</v>
      </c>
      <c r="I307" s="792"/>
      <c r="J307" s="713">
        <v>46875000</v>
      </c>
      <c r="K307" s="713"/>
      <c r="L307" s="714"/>
      <c r="M307" s="702"/>
      <c r="N307" s="738">
        <f>K307-M307</f>
        <v>0</v>
      </c>
      <c r="Q307" s="814" t="s">
        <v>267</v>
      </c>
      <c r="R307" s="815">
        <v>3019698750</v>
      </c>
      <c r="S307" s="814" t="s">
        <v>267</v>
      </c>
      <c r="T307" s="816">
        <v>3283257150</v>
      </c>
    </row>
    <row r="308" spans="1:20" ht="14.4" thickBot="1" x14ac:dyDescent="0.45">
      <c r="A308" s="483" t="s">
        <v>24</v>
      </c>
      <c r="B308" s="483" t="s">
        <v>2</v>
      </c>
      <c r="C308" s="483" t="s">
        <v>32</v>
      </c>
      <c r="D308" s="777" t="str">
        <f t="shared" si="90"/>
        <v>2월</v>
      </c>
      <c r="E308" s="716" t="s">
        <v>132</v>
      </c>
      <c r="F308" s="716" t="s">
        <v>133</v>
      </c>
      <c r="G308" s="716" t="s">
        <v>134</v>
      </c>
      <c r="H308" s="716" t="s">
        <v>147</v>
      </c>
      <c r="I308" s="717">
        <v>41533791</v>
      </c>
      <c r="J308" s="717"/>
      <c r="K308" s="717">
        <v>41533791</v>
      </c>
      <c r="L308" s="718" t="e">
        <f t="shared" ref="L308" si="93">+K308/J308</f>
        <v>#DIV/0!</v>
      </c>
      <c r="M308" s="717">
        <v>41533791</v>
      </c>
      <c r="N308" s="738">
        <f t="shared" ref="N308" si="94">K308-M308</f>
        <v>0</v>
      </c>
      <c r="O308" s="642"/>
      <c r="Q308" s="796" t="s">
        <v>268</v>
      </c>
      <c r="R308" s="785">
        <f>SUM(R305:R307)</f>
        <v>10050396550</v>
      </c>
      <c r="S308" s="796" t="s">
        <v>268</v>
      </c>
      <c r="T308" s="785">
        <v>10313954950</v>
      </c>
    </row>
    <row r="309" spans="1:20" ht="14.4" thickBot="1" x14ac:dyDescent="0.45">
      <c r="D309" s="1046" t="s">
        <v>269</v>
      </c>
      <c r="E309" s="1047"/>
      <c r="F309" s="1047"/>
      <c r="G309" s="1047"/>
      <c r="H309" s="1048"/>
      <c r="I309" s="721">
        <f>SUM(I297:I308)</f>
        <v>11768065871</v>
      </c>
      <c r="J309" s="721">
        <f>SUM(J297:J308)</f>
        <v>10772450337.333334</v>
      </c>
      <c r="K309" s="721">
        <f>SUM(K297:K308)</f>
        <v>11768065871</v>
      </c>
      <c r="L309" s="722">
        <f>I309/J309</f>
        <v>1.0924223832544606</v>
      </c>
      <c r="M309" s="723">
        <f>SUM(M297:M308)</f>
        <v>11768065871</v>
      </c>
      <c r="N309" s="724">
        <f>SUM(N297:N308)</f>
        <v>0</v>
      </c>
    </row>
    <row r="310" spans="1:20" x14ac:dyDescent="0.4">
      <c r="A310" s="483" t="s">
        <v>24</v>
      </c>
      <c r="B310" s="483" t="s">
        <v>2</v>
      </c>
      <c r="C310" s="483" t="s">
        <v>105</v>
      </c>
      <c r="D310" s="693" t="s">
        <v>5</v>
      </c>
      <c r="E310" s="772" t="s">
        <v>132</v>
      </c>
      <c r="F310" s="772" t="s">
        <v>133</v>
      </c>
      <c r="G310" s="772" t="s">
        <v>134</v>
      </c>
      <c r="H310" s="772" t="s">
        <v>252</v>
      </c>
      <c r="I310" s="773"/>
      <c r="J310" s="773">
        <v>17044833.333333336</v>
      </c>
      <c r="K310" s="810"/>
      <c r="L310" s="774">
        <f t="shared" ref="L310" si="95">+I310/J310</f>
        <v>0</v>
      </c>
      <c r="M310" s="773">
        <v>17044833.333333336</v>
      </c>
      <c r="N310" s="759">
        <f>K310-M310</f>
        <v>-17044833.333333336</v>
      </c>
    </row>
    <row r="311" spans="1:20" x14ac:dyDescent="0.4">
      <c r="A311" s="483" t="s">
        <v>24</v>
      </c>
      <c r="B311" s="483" t="s">
        <v>2</v>
      </c>
      <c r="C311" s="483" t="s">
        <v>105</v>
      </c>
      <c r="D311" s="699" t="str">
        <f t="shared" ref="D311:D321" si="96">D310</f>
        <v>3월</v>
      </c>
      <c r="E311" s="701" t="s">
        <v>132</v>
      </c>
      <c r="F311" s="701" t="s">
        <v>133</v>
      </c>
      <c r="G311" s="701" t="s">
        <v>134</v>
      </c>
      <c r="H311" s="701" t="s">
        <v>136</v>
      </c>
      <c r="I311" s="702"/>
      <c r="J311" s="702">
        <v>0</v>
      </c>
      <c r="K311" s="784">
        <v>0</v>
      </c>
      <c r="L311" s="703"/>
      <c r="M311" s="785">
        <v>0</v>
      </c>
      <c r="N311" s="738">
        <f t="shared" ref="N311:N321" si="97">K311-M311</f>
        <v>0</v>
      </c>
      <c r="P311" s="483">
        <v>95590789.666667596</v>
      </c>
    </row>
    <row r="312" spans="1:20" x14ac:dyDescent="0.4">
      <c r="A312" s="483" t="s">
        <v>24</v>
      </c>
      <c r="B312" s="483" t="s">
        <v>2</v>
      </c>
      <c r="C312" s="483" t="s">
        <v>22</v>
      </c>
      <c r="D312" s="699" t="str">
        <f t="shared" si="96"/>
        <v>3월</v>
      </c>
      <c r="E312" s="700" t="s">
        <v>132</v>
      </c>
      <c r="F312" s="701" t="s">
        <v>133</v>
      </c>
      <c r="G312" s="701" t="s">
        <v>134</v>
      </c>
      <c r="H312" s="701" t="s">
        <v>137</v>
      </c>
      <c r="I312" s="702"/>
      <c r="J312" s="702">
        <v>943930800</v>
      </c>
      <c r="K312" s="784">
        <v>1472907906.8800001</v>
      </c>
      <c r="L312" s="703"/>
      <c r="M312" s="702">
        <v>1472907906.8800001</v>
      </c>
      <c r="N312" s="738">
        <f t="shared" si="97"/>
        <v>0</v>
      </c>
    </row>
    <row r="313" spans="1:20" x14ac:dyDescent="0.4">
      <c r="A313" s="483" t="s">
        <v>24</v>
      </c>
      <c r="B313" s="483" t="s">
        <v>2</v>
      </c>
      <c r="C313" s="483" t="s">
        <v>27</v>
      </c>
      <c r="D313" s="699" t="str">
        <f t="shared" si="96"/>
        <v>3월</v>
      </c>
      <c r="E313" s="701" t="s">
        <v>132</v>
      </c>
      <c r="F313" s="701" t="s">
        <v>133</v>
      </c>
      <c r="G313" s="701" t="s">
        <v>134</v>
      </c>
      <c r="H313" s="701" t="s">
        <v>138</v>
      </c>
      <c r="I313" s="702"/>
      <c r="J313" s="702">
        <v>265362000</v>
      </c>
      <c r="K313" s="784">
        <v>417523920</v>
      </c>
      <c r="L313" s="703">
        <f t="shared" ref="L313:L319" si="98">+I313/J313</f>
        <v>0</v>
      </c>
      <c r="M313" s="702">
        <v>417523920</v>
      </c>
      <c r="N313" s="738">
        <f t="shared" si="97"/>
        <v>0</v>
      </c>
    </row>
    <row r="314" spans="1:20" x14ac:dyDescent="0.4">
      <c r="A314" s="483" t="s">
        <v>24</v>
      </c>
      <c r="B314" s="483" t="s">
        <v>2</v>
      </c>
      <c r="C314" s="483" t="s">
        <v>26</v>
      </c>
      <c r="D314" s="699" t="str">
        <f t="shared" si="96"/>
        <v>3월</v>
      </c>
      <c r="E314" s="701" t="s">
        <v>132</v>
      </c>
      <c r="F314" s="701" t="s">
        <v>133</v>
      </c>
      <c r="G314" s="701" t="s">
        <v>134</v>
      </c>
      <c r="H314" s="701" t="s">
        <v>255</v>
      </c>
      <c r="I314" s="702"/>
      <c r="J314" s="702">
        <v>2307312000</v>
      </c>
      <c r="K314" s="784">
        <v>2201855400</v>
      </c>
      <c r="L314" s="703">
        <f t="shared" si="98"/>
        <v>0</v>
      </c>
      <c r="M314" s="702">
        <v>2233672200</v>
      </c>
      <c r="N314" s="738">
        <f t="shared" si="97"/>
        <v>-31816800</v>
      </c>
      <c r="O314" s="827" t="s">
        <v>572</v>
      </c>
      <c r="P314" s="642">
        <f>K314-J314</f>
        <v>-105456600</v>
      </c>
    </row>
    <row r="315" spans="1:20" x14ac:dyDescent="0.4">
      <c r="A315" s="483" t="s">
        <v>24</v>
      </c>
      <c r="B315" s="483" t="s">
        <v>2</v>
      </c>
      <c r="C315" s="483" t="s">
        <v>26</v>
      </c>
      <c r="D315" s="699" t="str">
        <f t="shared" si="96"/>
        <v>3월</v>
      </c>
      <c r="E315" s="701" t="s">
        <v>132</v>
      </c>
      <c r="F315" s="701" t="s">
        <v>133</v>
      </c>
      <c r="G315" s="701" t="s">
        <v>134</v>
      </c>
      <c r="H315" s="701" t="s">
        <v>257</v>
      </c>
      <c r="I315" s="702"/>
      <c r="J315" s="702">
        <v>2393882400</v>
      </c>
      <c r="K315" s="784">
        <v>2578672400</v>
      </c>
      <c r="L315" s="703"/>
      <c r="M315" s="702">
        <v>2578672400</v>
      </c>
      <c r="N315" s="738">
        <f t="shared" si="97"/>
        <v>0</v>
      </c>
      <c r="O315" s="642"/>
      <c r="P315" s="642">
        <f t="shared" ref="P315:P316" si="99">K315-J315</f>
        <v>184790000</v>
      </c>
    </row>
    <row r="316" spans="1:20" x14ac:dyDescent="0.4">
      <c r="A316" s="483" t="s">
        <v>24</v>
      </c>
      <c r="B316" s="483" t="s">
        <v>2</v>
      </c>
      <c r="C316" s="483" t="s">
        <v>26</v>
      </c>
      <c r="D316" s="699" t="str">
        <f t="shared" si="96"/>
        <v>3월</v>
      </c>
      <c r="E316" s="701" t="s">
        <v>132</v>
      </c>
      <c r="F316" s="701" t="s">
        <v>133</v>
      </c>
      <c r="G316" s="701" t="s">
        <v>134</v>
      </c>
      <c r="H316" s="701" t="s">
        <v>258</v>
      </c>
      <c r="I316" s="702"/>
      <c r="J316" s="702">
        <v>3431969350</v>
      </c>
      <c r="K316" s="784">
        <v>3969156800</v>
      </c>
      <c r="L316" s="703"/>
      <c r="M316" s="702">
        <v>4116818000</v>
      </c>
      <c r="N316" s="738">
        <f t="shared" si="97"/>
        <v>-147661200</v>
      </c>
      <c r="O316" s="827" t="s">
        <v>571</v>
      </c>
      <c r="P316" s="642">
        <f t="shared" si="99"/>
        <v>537187450</v>
      </c>
    </row>
    <row r="317" spans="1:20" x14ac:dyDescent="0.4">
      <c r="A317" s="483" t="s">
        <v>24</v>
      </c>
      <c r="B317" s="483" t="s">
        <v>2</v>
      </c>
      <c r="C317" s="483" t="s">
        <v>32</v>
      </c>
      <c r="D317" s="699" t="str">
        <f>D314</f>
        <v>3월</v>
      </c>
      <c r="E317" s="701" t="s">
        <v>132</v>
      </c>
      <c r="F317" s="701" t="s">
        <v>133</v>
      </c>
      <c r="G317" s="701" t="s">
        <v>134</v>
      </c>
      <c r="H317" s="701" t="s">
        <v>140</v>
      </c>
      <c r="I317" s="702"/>
      <c r="J317" s="702">
        <v>0</v>
      </c>
      <c r="K317" s="784">
        <v>0</v>
      </c>
      <c r="L317" s="703" t="e">
        <f t="shared" si="98"/>
        <v>#DIV/0!</v>
      </c>
      <c r="M317" s="702">
        <v>0</v>
      </c>
      <c r="N317" s="738">
        <f t="shared" si="97"/>
        <v>0</v>
      </c>
    </row>
    <row r="318" spans="1:20" x14ac:dyDescent="0.4">
      <c r="A318" s="483" t="s">
        <v>24</v>
      </c>
      <c r="B318" s="483" t="s">
        <v>2</v>
      </c>
      <c r="C318" s="483" t="s">
        <v>30</v>
      </c>
      <c r="D318" s="699" t="str">
        <f t="shared" si="96"/>
        <v>3월</v>
      </c>
      <c r="E318" s="701" t="s">
        <v>132</v>
      </c>
      <c r="F318" s="701" t="s">
        <v>133</v>
      </c>
      <c r="G318" s="701" t="s">
        <v>134</v>
      </c>
      <c r="H318" s="701" t="s">
        <v>141</v>
      </c>
      <c r="I318" s="702"/>
      <c r="J318" s="702">
        <v>131875000</v>
      </c>
      <c r="K318" s="784">
        <v>0</v>
      </c>
      <c r="L318" s="703">
        <f t="shared" si="98"/>
        <v>0</v>
      </c>
      <c r="M318" s="702">
        <v>131875000</v>
      </c>
      <c r="N318" s="738">
        <f t="shared" si="97"/>
        <v>-131875000</v>
      </c>
      <c r="O318" s="483" t="s">
        <v>570</v>
      </c>
    </row>
    <row r="319" spans="1:20" x14ac:dyDescent="0.4">
      <c r="A319" s="483" t="s">
        <v>24</v>
      </c>
      <c r="B319" s="483" t="s">
        <v>2</v>
      </c>
      <c r="C319" s="483" t="s">
        <v>29</v>
      </c>
      <c r="D319" s="699" t="str">
        <f t="shared" si="96"/>
        <v>3월</v>
      </c>
      <c r="E319" s="701" t="s">
        <v>132</v>
      </c>
      <c r="F319" s="701" t="s">
        <v>133</v>
      </c>
      <c r="G319" s="701" t="s">
        <v>134</v>
      </c>
      <c r="H319" s="701" t="s">
        <v>145</v>
      </c>
      <c r="I319" s="702"/>
      <c r="J319" s="702">
        <v>702000000</v>
      </c>
      <c r="K319" s="826">
        <f>443600000+28575130</f>
        <v>472175130</v>
      </c>
      <c r="L319" s="703">
        <f t="shared" si="98"/>
        <v>0</v>
      </c>
      <c r="M319" s="702">
        <v>443600000</v>
      </c>
      <c r="N319" s="738">
        <f t="shared" si="97"/>
        <v>28575130</v>
      </c>
      <c r="O319" s="483" t="s">
        <v>569</v>
      </c>
    </row>
    <row r="320" spans="1:20" x14ac:dyDescent="0.4">
      <c r="A320" s="483" t="s">
        <v>24</v>
      </c>
      <c r="B320" s="483" t="s">
        <v>2</v>
      </c>
      <c r="C320" s="483" t="s">
        <v>31</v>
      </c>
      <c r="D320" s="699" t="str">
        <f t="shared" si="96"/>
        <v>3월</v>
      </c>
      <c r="E320" s="712" t="s">
        <v>132</v>
      </c>
      <c r="F320" s="712" t="s">
        <v>133</v>
      </c>
      <c r="G320" s="712" t="s">
        <v>134</v>
      </c>
      <c r="H320" s="712" t="s">
        <v>146</v>
      </c>
      <c r="I320" s="713"/>
      <c r="J320" s="713">
        <v>281250000</v>
      </c>
      <c r="K320" s="788">
        <f>281250000+36208334</f>
        <v>317458334</v>
      </c>
      <c r="L320" s="714"/>
      <c r="M320" s="713">
        <v>281250000</v>
      </c>
      <c r="N320" s="738">
        <f t="shared" si="97"/>
        <v>36208334</v>
      </c>
    </row>
    <row r="321" spans="1:15" ht="14.4" thickBot="1" x14ac:dyDescent="0.45">
      <c r="A321" s="483" t="s">
        <v>24</v>
      </c>
      <c r="B321" s="483" t="s">
        <v>2</v>
      </c>
      <c r="C321" s="483" t="s">
        <v>32</v>
      </c>
      <c r="D321" s="777" t="str">
        <f t="shared" si="96"/>
        <v>3월</v>
      </c>
      <c r="E321" s="716" t="s">
        <v>132</v>
      </c>
      <c r="F321" s="716" t="s">
        <v>133</v>
      </c>
      <c r="G321" s="716" t="s">
        <v>134</v>
      </c>
      <c r="H321" s="716" t="s">
        <v>147</v>
      </c>
      <c r="I321" s="717"/>
      <c r="J321" s="717"/>
      <c r="K321" s="789"/>
      <c r="L321" s="718" t="e">
        <f>+K321/J321</f>
        <v>#DIV/0!</v>
      </c>
      <c r="M321" s="717"/>
      <c r="N321" s="738">
        <f t="shared" si="97"/>
        <v>0</v>
      </c>
    </row>
    <row r="322" spans="1:15" ht="14.4" thickBot="1" x14ac:dyDescent="0.45">
      <c r="D322" s="1046" t="s">
        <v>270</v>
      </c>
      <c r="E322" s="1047"/>
      <c r="F322" s="1047"/>
      <c r="G322" s="1047"/>
      <c r="H322" s="1048"/>
      <c r="I322" s="721">
        <f>SUM(I310:I321)</f>
        <v>0</v>
      </c>
      <c r="J322" s="721">
        <f>SUM(J310:J321)</f>
        <v>10474626383.333334</v>
      </c>
      <c r="K322" s="721">
        <f>SUM(K310:K321)</f>
        <v>11429749890.880001</v>
      </c>
      <c r="L322" s="722">
        <f>I322/J322</f>
        <v>0</v>
      </c>
      <c r="M322" s="723">
        <f>SUM(M310:M321)</f>
        <v>11693364260.213333</v>
      </c>
      <c r="N322" s="724">
        <f>SUM(N310:N321)</f>
        <v>-263614369.33333337</v>
      </c>
    </row>
    <row r="323" spans="1:15" ht="14.4" thickBot="1" x14ac:dyDescent="0.45">
      <c r="D323" s="1049" t="s">
        <v>271</v>
      </c>
      <c r="E323" s="1050"/>
      <c r="F323" s="1050"/>
      <c r="G323" s="1050"/>
      <c r="H323" s="1051"/>
      <c r="I323" s="733">
        <f>SUM(I296,I309,I322)</f>
        <v>21955351244</v>
      </c>
      <c r="J323" s="733">
        <f>SUM(J296,J309,J322)</f>
        <v>31338771304</v>
      </c>
      <c r="K323" s="733">
        <f>SUM(K296,K309,K322)</f>
        <v>33385101134.880001</v>
      </c>
      <c r="L323" s="734">
        <f>I323/J323</f>
        <v>0.70058111184460115</v>
      </c>
      <c r="M323" s="733">
        <f>SUM(M296,M309,M322)</f>
        <v>33648715504.213333</v>
      </c>
      <c r="N323" s="733">
        <f>SUM(N296,N309,N322)</f>
        <v>-263614369.33333337</v>
      </c>
    </row>
    <row r="324" spans="1:15" x14ac:dyDescent="0.4">
      <c r="A324" s="483" t="s">
        <v>24</v>
      </c>
      <c r="B324" s="483" t="s">
        <v>154</v>
      </c>
      <c r="C324" s="483" t="s">
        <v>105</v>
      </c>
      <c r="D324" s="693" t="s">
        <v>155</v>
      </c>
      <c r="E324" s="795" t="s">
        <v>132</v>
      </c>
      <c r="F324" s="772" t="s">
        <v>133</v>
      </c>
      <c r="G324" s="795" t="s">
        <v>134</v>
      </c>
      <c r="H324" s="772" t="s">
        <v>252</v>
      </c>
      <c r="I324" s="773"/>
      <c r="J324" s="773">
        <v>17044833.333333336</v>
      </c>
      <c r="K324" s="810">
        <v>17044833.333333336</v>
      </c>
      <c r="L324" s="774">
        <f t="shared" ref="L324" si="100">+I324/J324</f>
        <v>0</v>
      </c>
      <c r="M324" s="773"/>
      <c r="N324" s="759">
        <f>K324-M324</f>
        <v>17044833.333333336</v>
      </c>
    </row>
    <row r="325" spans="1:15" x14ac:dyDescent="0.4">
      <c r="A325" s="483" t="s">
        <v>24</v>
      </c>
      <c r="B325" s="483" t="s">
        <v>154</v>
      </c>
      <c r="C325" s="483" t="s">
        <v>105</v>
      </c>
      <c r="D325" s="699" t="str">
        <f t="shared" ref="D325:D335" si="101">D324</f>
        <v>4월</v>
      </c>
      <c r="E325" s="796" t="s">
        <v>132</v>
      </c>
      <c r="F325" s="701" t="s">
        <v>133</v>
      </c>
      <c r="G325" s="796" t="s">
        <v>134</v>
      </c>
      <c r="H325" s="701" t="s">
        <v>136</v>
      </c>
      <c r="I325" s="702"/>
      <c r="J325" s="702">
        <v>0</v>
      </c>
      <c r="K325" s="784">
        <v>0</v>
      </c>
      <c r="L325" s="703"/>
      <c r="M325" s="702"/>
      <c r="N325" s="738">
        <f t="shared" ref="N325:N335" si="102">K325-M325</f>
        <v>0</v>
      </c>
    </row>
    <row r="326" spans="1:15" x14ac:dyDescent="0.4">
      <c r="A326" s="483" t="s">
        <v>24</v>
      </c>
      <c r="B326" s="483" t="s">
        <v>154</v>
      </c>
      <c r="C326" s="483" t="s">
        <v>22</v>
      </c>
      <c r="D326" s="699" t="str">
        <f t="shared" si="101"/>
        <v>4월</v>
      </c>
      <c r="E326" s="797" t="s">
        <v>132</v>
      </c>
      <c r="F326" s="701" t="s">
        <v>133</v>
      </c>
      <c r="G326" s="796" t="s">
        <v>134</v>
      </c>
      <c r="H326" s="701" t="s">
        <v>137</v>
      </c>
      <c r="I326" s="702"/>
      <c r="J326" s="702">
        <v>1216144800</v>
      </c>
      <c r="K326" s="813">
        <v>1521500022.8800001</v>
      </c>
      <c r="L326" s="703"/>
      <c r="M326" s="702"/>
      <c r="N326" s="738">
        <f t="shared" si="102"/>
        <v>1521500022.8800001</v>
      </c>
      <c r="O326" s="828" t="s">
        <v>573</v>
      </c>
    </row>
    <row r="327" spans="1:15" x14ac:dyDescent="0.4">
      <c r="A327" s="483" t="s">
        <v>24</v>
      </c>
      <c r="B327" s="483" t="s">
        <v>154</v>
      </c>
      <c r="C327" s="483" t="s">
        <v>27</v>
      </c>
      <c r="D327" s="699" t="str">
        <f t="shared" si="101"/>
        <v>4월</v>
      </c>
      <c r="E327" s="796" t="s">
        <v>132</v>
      </c>
      <c r="F327" s="701" t="s">
        <v>133</v>
      </c>
      <c r="G327" s="796" t="s">
        <v>134</v>
      </c>
      <c r="H327" s="701" t="s">
        <v>138</v>
      </c>
      <c r="I327" s="702"/>
      <c r="J327" s="702">
        <v>419865800</v>
      </c>
      <c r="K327" s="813">
        <v>417523920</v>
      </c>
      <c r="L327" s="703">
        <f t="shared" ref="L327" si="103">+I327/J327</f>
        <v>0</v>
      </c>
      <c r="M327" s="702"/>
      <c r="N327" s="738">
        <f t="shared" si="102"/>
        <v>417523920</v>
      </c>
    </row>
    <row r="328" spans="1:15" x14ac:dyDescent="0.4">
      <c r="A328" s="483" t="s">
        <v>24</v>
      </c>
      <c r="B328" s="483" t="s">
        <v>154</v>
      </c>
      <c r="C328" s="483" t="s">
        <v>26</v>
      </c>
      <c r="D328" s="699" t="str">
        <f t="shared" si="101"/>
        <v>4월</v>
      </c>
      <c r="E328" s="796" t="s">
        <v>132</v>
      </c>
      <c r="F328" s="701" t="s">
        <v>133</v>
      </c>
      <c r="G328" s="796" t="s">
        <v>134</v>
      </c>
      <c r="H328" s="701" t="s">
        <v>255</v>
      </c>
      <c r="I328" s="702"/>
      <c r="J328" s="702">
        <v>2996330400</v>
      </c>
      <c r="K328" s="813">
        <v>2201855400</v>
      </c>
      <c r="L328" s="703">
        <f>+I328/J328</f>
        <v>0</v>
      </c>
      <c r="M328" s="785"/>
      <c r="N328" s="738">
        <f t="shared" si="102"/>
        <v>2201855400</v>
      </c>
      <c r="O328" s="828" t="s">
        <v>572</v>
      </c>
    </row>
    <row r="329" spans="1:15" x14ac:dyDescent="0.4">
      <c r="A329" s="483" t="s">
        <v>24</v>
      </c>
      <c r="B329" s="483" t="s">
        <v>154</v>
      </c>
      <c r="C329" s="483" t="s">
        <v>26</v>
      </c>
      <c r="D329" s="699" t="str">
        <f t="shared" si="101"/>
        <v>4월</v>
      </c>
      <c r="E329" s="796" t="s">
        <v>132</v>
      </c>
      <c r="F329" s="701" t="s">
        <v>133</v>
      </c>
      <c r="G329" s="796" t="s">
        <v>134</v>
      </c>
      <c r="H329" s="701" t="s">
        <v>257</v>
      </c>
      <c r="I329" s="702"/>
      <c r="J329" s="702">
        <v>1851511057.5999999</v>
      </c>
      <c r="K329" s="813">
        <v>2578672400</v>
      </c>
      <c r="L329" s="703"/>
      <c r="M329" s="785"/>
      <c r="N329" s="738"/>
    </row>
    <row r="330" spans="1:15" x14ac:dyDescent="0.4">
      <c r="A330" s="483" t="s">
        <v>24</v>
      </c>
      <c r="B330" s="483" t="s">
        <v>154</v>
      </c>
      <c r="C330" s="483" t="s">
        <v>26</v>
      </c>
      <c r="D330" s="699" t="str">
        <f t="shared" si="101"/>
        <v>4월</v>
      </c>
      <c r="E330" s="796" t="s">
        <v>132</v>
      </c>
      <c r="F330" s="701" t="s">
        <v>133</v>
      </c>
      <c r="G330" s="796" t="s">
        <v>134</v>
      </c>
      <c r="H330" s="701" t="s">
        <v>258</v>
      </c>
      <c r="I330" s="702"/>
      <c r="J330" s="702">
        <v>3087108900</v>
      </c>
      <c r="K330" s="813">
        <v>4213630400</v>
      </c>
      <c r="L330" s="703"/>
      <c r="M330" s="785"/>
      <c r="N330" s="738"/>
      <c r="O330" s="828" t="s">
        <v>571</v>
      </c>
    </row>
    <row r="331" spans="1:15" x14ac:dyDescent="0.4">
      <c r="A331" s="483" t="s">
        <v>24</v>
      </c>
      <c r="B331" s="483" t="s">
        <v>154</v>
      </c>
      <c r="C331" s="483" t="s">
        <v>32</v>
      </c>
      <c r="D331" s="699" t="str">
        <f>D328</f>
        <v>4월</v>
      </c>
      <c r="E331" s="796" t="s">
        <v>132</v>
      </c>
      <c r="F331" s="701" t="s">
        <v>133</v>
      </c>
      <c r="G331" s="796" t="s">
        <v>134</v>
      </c>
      <c r="H331" s="701" t="s">
        <v>140</v>
      </c>
      <c r="I331" s="702"/>
      <c r="J331" s="702">
        <v>0</v>
      </c>
      <c r="K331" s="784">
        <v>0</v>
      </c>
      <c r="L331" s="703" t="e">
        <f t="shared" ref="L331:L333" si="104">+I331/J331</f>
        <v>#DIV/0!</v>
      </c>
      <c r="M331" s="702"/>
      <c r="N331" s="738">
        <f t="shared" si="102"/>
        <v>0</v>
      </c>
    </row>
    <row r="332" spans="1:15" x14ac:dyDescent="0.4">
      <c r="A332" s="483" t="s">
        <v>24</v>
      </c>
      <c r="B332" s="483" t="s">
        <v>154</v>
      </c>
      <c r="C332" s="483" t="s">
        <v>30</v>
      </c>
      <c r="D332" s="699" t="str">
        <f t="shared" si="101"/>
        <v>4월</v>
      </c>
      <c r="E332" s="796" t="s">
        <v>132</v>
      </c>
      <c r="F332" s="701" t="s">
        <v>133</v>
      </c>
      <c r="G332" s="796" t="s">
        <v>134</v>
      </c>
      <c r="H332" s="701" t="s">
        <v>141</v>
      </c>
      <c r="I332" s="702"/>
      <c r="J332" s="702">
        <v>203000000</v>
      </c>
      <c r="K332" s="784">
        <v>249875000</v>
      </c>
      <c r="L332" s="703">
        <f t="shared" si="104"/>
        <v>0</v>
      </c>
      <c r="M332" s="702"/>
      <c r="N332" s="738">
        <f t="shared" si="102"/>
        <v>249875000</v>
      </c>
    </row>
    <row r="333" spans="1:15" x14ac:dyDescent="0.4">
      <c r="A333" s="483" t="s">
        <v>24</v>
      </c>
      <c r="B333" s="483" t="s">
        <v>154</v>
      </c>
      <c r="C333" s="483" t="s">
        <v>29</v>
      </c>
      <c r="D333" s="699" t="str">
        <f t="shared" si="101"/>
        <v>4월</v>
      </c>
      <c r="E333" s="796" t="s">
        <v>132</v>
      </c>
      <c r="F333" s="701" t="s">
        <v>133</v>
      </c>
      <c r="G333" s="796" t="s">
        <v>134</v>
      </c>
      <c r="H333" s="701" t="s">
        <v>145</v>
      </c>
      <c r="I333" s="702"/>
      <c r="J333" s="702">
        <v>834000000</v>
      </c>
      <c r="K333" s="826">
        <v>3014320000</v>
      </c>
      <c r="L333" s="703">
        <f t="shared" si="104"/>
        <v>0</v>
      </c>
      <c r="M333" s="702"/>
      <c r="N333" s="738">
        <f t="shared" si="102"/>
        <v>3014320000</v>
      </c>
      <c r="O333" s="483" t="s">
        <v>272</v>
      </c>
    </row>
    <row r="334" spans="1:15" x14ac:dyDescent="0.4">
      <c r="A334" s="483" t="s">
        <v>24</v>
      </c>
      <c r="B334" s="483" t="s">
        <v>154</v>
      </c>
      <c r="C334" s="483" t="s">
        <v>31</v>
      </c>
      <c r="D334" s="699" t="str">
        <f t="shared" si="101"/>
        <v>4월</v>
      </c>
      <c r="E334" s="798" t="s">
        <v>132</v>
      </c>
      <c r="F334" s="712" t="s">
        <v>133</v>
      </c>
      <c r="G334" s="798" t="s">
        <v>134</v>
      </c>
      <c r="H334" s="712" t="s">
        <v>146</v>
      </c>
      <c r="I334" s="713"/>
      <c r="J334" s="713">
        <v>46875000</v>
      </c>
      <c r="K334" s="788">
        <v>46875000</v>
      </c>
      <c r="L334" s="714"/>
      <c r="M334" s="713"/>
      <c r="N334" s="738">
        <f t="shared" si="102"/>
        <v>46875000</v>
      </c>
      <c r="O334" s="483" t="s">
        <v>273</v>
      </c>
    </row>
    <row r="335" spans="1:15" ht="14.4" thickBot="1" x14ac:dyDescent="0.45">
      <c r="A335" s="483" t="s">
        <v>24</v>
      </c>
      <c r="B335" s="483" t="s">
        <v>154</v>
      </c>
      <c r="C335" s="483" t="s">
        <v>32</v>
      </c>
      <c r="D335" s="777" t="str">
        <f t="shared" si="101"/>
        <v>4월</v>
      </c>
      <c r="E335" s="799" t="s">
        <v>132</v>
      </c>
      <c r="F335" s="716" t="s">
        <v>133</v>
      </c>
      <c r="G335" s="799" t="s">
        <v>134</v>
      </c>
      <c r="H335" s="716" t="s">
        <v>147</v>
      </c>
      <c r="I335" s="717"/>
      <c r="J335" s="717"/>
      <c r="K335" s="789"/>
      <c r="L335" s="718" t="e">
        <f t="shared" ref="L335" si="105">+K335/J335</f>
        <v>#DIV/0!</v>
      </c>
      <c r="M335" s="717"/>
      <c r="N335" s="738">
        <f t="shared" si="102"/>
        <v>0</v>
      </c>
    </row>
    <row r="336" spans="1:15" ht="14.4" thickBot="1" x14ac:dyDescent="0.45">
      <c r="D336" s="1046" t="s">
        <v>274</v>
      </c>
      <c r="E336" s="1047"/>
      <c r="F336" s="1047"/>
      <c r="G336" s="1047"/>
      <c r="H336" s="1048"/>
      <c r="I336" s="721">
        <f>SUM(I324:I335)</f>
        <v>0</v>
      </c>
      <c r="J336" s="721">
        <f>SUM(J324:J335)</f>
        <v>10671880790.933332</v>
      </c>
      <c r="K336" s="721">
        <f>SUM(K324:K335)</f>
        <v>14261296976.213333</v>
      </c>
      <c r="L336" s="722">
        <f>I336/J336</f>
        <v>0</v>
      </c>
      <c r="M336" s="723">
        <f>SUM(M324:M335)</f>
        <v>0</v>
      </c>
      <c r="N336" s="724">
        <f>SUM(N324:N335)</f>
        <v>7468994176.2133331</v>
      </c>
    </row>
    <row r="337" spans="1:15" x14ac:dyDescent="0.4">
      <c r="A337" s="483" t="s">
        <v>24</v>
      </c>
      <c r="B337" s="483" t="s">
        <v>154</v>
      </c>
      <c r="C337" s="483" t="s">
        <v>105</v>
      </c>
      <c r="D337" s="693" t="s">
        <v>157</v>
      </c>
      <c r="E337" s="795" t="s">
        <v>132</v>
      </c>
      <c r="F337" s="772" t="s">
        <v>133</v>
      </c>
      <c r="G337" s="795" t="s">
        <v>134</v>
      </c>
      <c r="H337" s="772" t="s">
        <v>252</v>
      </c>
      <c r="I337" s="773"/>
      <c r="J337" s="773">
        <v>17044833.333333336</v>
      </c>
      <c r="K337" s="810">
        <v>17044833.333333336</v>
      </c>
      <c r="L337" s="774">
        <f t="shared" ref="L337" si="106">+I337/J337</f>
        <v>0</v>
      </c>
      <c r="M337" s="773"/>
      <c r="N337" s="759">
        <f>K337-M337</f>
        <v>17044833.333333336</v>
      </c>
    </row>
    <row r="338" spans="1:15" x14ac:dyDescent="0.4">
      <c r="A338" s="483" t="s">
        <v>24</v>
      </c>
      <c r="B338" s="483" t="s">
        <v>154</v>
      </c>
      <c r="C338" s="483" t="s">
        <v>105</v>
      </c>
      <c r="D338" s="699" t="str">
        <f t="shared" ref="D338:D348" si="107">D337</f>
        <v>5월</v>
      </c>
      <c r="E338" s="796" t="s">
        <v>132</v>
      </c>
      <c r="F338" s="701" t="s">
        <v>133</v>
      </c>
      <c r="G338" s="796" t="s">
        <v>134</v>
      </c>
      <c r="H338" s="701" t="s">
        <v>136</v>
      </c>
      <c r="I338" s="702"/>
      <c r="J338" s="702">
        <v>0</v>
      </c>
      <c r="K338" s="784">
        <v>0</v>
      </c>
      <c r="L338" s="703"/>
      <c r="M338" s="702"/>
      <c r="N338" s="738">
        <f t="shared" ref="N338:N346" si="108">K338-M338</f>
        <v>0</v>
      </c>
    </row>
    <row r="339" spans="1:15" x14ac:dyDescent="0.4">
      <c r="A339" s="483" t="s">
        <v>24</v>
      </c>
      <c r="B339" s="483" t="s">
        <v>154</v>
      </c>
      <c r="C339" s="483" t="s">
        <v>22</v>
      </c>
      <c r="D339" s="699" t="str">
        <f t="shared" si="107"/>
        <v>5월</v>
      </c>
      <c r="E339" s="797" t="s">
        <v>132</v>
      </c>
      <c r="F339" s="701" t="s">
        <v>133</v>
      </c>
      <c r="G339" s="796" t="s">
        <v>134</v>
      </c>
      <c r="H339" s="701" t="s">
        <v>137</v>
      </c>
      <c r="I339" s="785"/>
      <c r="J339" s="702">
        <v>1797251400</v>
      </c>
      <c r="K339" s="784">
        <v>1797251400</v>
      </c>
      <c r="L339" s="703"/>
      <c r="M339" s="702"/>
      <c r="N339" s="738">
        <f t="shared" si="108"/>
        <v>1797251400</v>
      </c>
    </row>
    <row r="340" spans="1:15" x14ac:dyDescent="0.4">
      <c r="A340" s="483" t="s">
        <v>24</v>
      </c>
      <c r="B340" s="483" t="s">
        <v>154</v>
      </c>
      <c r="C340" s="483" t="s">
        <v>27</v>
      </c>
      <c r="D340" s="699" t="str">
        <f t="shared" si="107"/>
        <v>5월</v>
      </c>
      <c r="E340" s="796" t="s">
        <v>132</v>
      </c>
      <c r="F340" s="701" t="s">
        <v>133</v>
      </c>
      <c r="G340" s="796" t="s">
        <v>134</v>
      </c>
      <c r="H340" s="701" t="s">
        <v>138</v>
      </c>
      <c r="I340" s="785"/>
      <c r="J340" s="702">
        <v>479189440</v>
      </c>
      <c r="K340" s="784">
        <v>479189440</v>
      </c>
      <c r="L340" s="703">
        <f>+I340/J340</f>
        <v>0</v>
      </c>
      <c r="M340" s="702"/>
      <c r="N340" s="738">
        <f t="shared" si="108"/>
        <v>479189440</v>
      </c>
    </row>
    <row r="341" spans="1:15" x14ac:dyDescent="0.4">
      <c r="A341" s="483" t="s">
        <v>24</v>
      </c>
      <c r="B341" s="483" t="s">
        <v>154</v>
      </c>
      <c r="C341" s="483" t="s">
        <v>26</v>
      </c>
      <c r="D341" s="699" t="str">
        <f t="shared" si="107"/>
        <v>5월</v>
      </c>
      <c r="E341" s="796" t="s">
        <v>132</v>
      </c>
      <c r="F341" s="701" t="s">
        <v>133</v>
      </c>
      <c r="G341" s="796" t="s">
        <v>134</v>
      </c>
      <c r="H341" s="701" t="s">
        <v>255</v>
      </c>
      <c r="I341" s="785"/>
      <c r="J341" s="702">
        <v>4559338800</v>
      </c>
      <c r="K341" s="813">
        <v>5921694000</v>
      </c>
      <c r="L341" s="703">
        <f t="shared" ref="L341:L346" si="109">+I341/J341</f>
        <v>0</v>
      </c>
      <c r="M341" s="702"/>
      <c r="N341" s="738">
        <f t="shared" si="108"/>
        <v>5921694000</v>
      </c>
    </row>
    <row r="342" spans="1:15" x14ac:dyDescent="0.4">
      <c r="A342" s="483" t="s">
        <v>24</v>
      </c>
      <c r="B342" s="483" t="s">
        <v>154</v>
      </c>
      <c r="C342" s="483" t="s">
        <v>26</v>
      </c>
      <c r="D342" s="699" t="str">
        <f t="shared" si="107"/>
        <v>5월</v>
      </c>
      <c r="E342" s="796" t="s">
        <v>132</v>
      </c>
      <c r="F342" s="701" t="s">
        <v>133</v>
      </c>
      <c r="G342" s="796" t="s">
        <v>134</v>
      </c>
      <c r="H342" s="701" t="s">
        <v>257</v>
      </c>
      <c r="I342" s="785"/>
      <c r="J342" s="702">
        <v>2649036050</v>
      </c>
      <c r="K342" s="813">
        <v>4221100500</v>
      </c>
      <c r="L342" s="703"/>
      <c r="M342" s="702"/>
      <c r="N342" s="738"/>
    </row>
    <row r="343" spans="1:15" x14ac:dyDescent="0.4">
      <c r="A343" s="483" t="s">
        <v>24</v>
      </c>
      <c r="B343" s="483" t="s">
        <v>154</v>
      </c>
      <c r="C343" s="483" t="s">
        <v>26</v>
      </c>
      <c r="D343" s="699" t="str">
        <f t="shared" si="107"/>
        <v>5월</v>
      </c>
      <c r="E343" s="796" t="s">
        <v>132</v>
      </c>
      <c r="F343" s="701" t="s">
        <v>133</v>
      </c>
      <c r="G343" s="796" t="s">
        <v>134</v>
      </c>
      <c r="H343" s="701" t="s">
        <v>258</v>
      </c>
      <c r="I343" s="785"/>
      <c r="J343" s="702">
        <v>2949724700</v>
      </c>
      <c r="K343" s="813">
        <v>2949724700</v>
      </c>
      <c r="L343" s="703"/>
      <c r="M343" s="702"/>
      <c r="N343" s="738"/>
    </row>
    <row r="344" spans="1:15" x14ac:dyDescent="0.4">
      <c r="A344" s="483" t="s">
        <v>24</v>
      </c>
      <c r="B344" s="483" t="s">
        <v>154</v>
      </c>
      <c r="C344" s="483" t="s">
        <v>32</v>
      </c>
      <c r="D344" s="699" t="str">
        <f>D341</f>
        <v>5월</v>
      </c>
      <c r="E344" s="796" t="s">
        <v>132</v>
      </c>
      <c r="F344" s="701" t="s">
        <v>133</v>
      </c>
      <c r="G344" s="796" t="s">
        <v>134</v>
      </c>
      <c r="H344" s="701" t="s">
        <v>140</v>
      </c>
      <c r="I344" s="702"/>
      <c r="J344" s="702">
        <v>0</v>
      </c>
      <c r="K344" s="784">
        <v>0</v>
      </c>
      <c r="L344" s="703" t="e">
        <f t="shared" si="109"/>
        <v>#DIV/0!</v>
      </c>
      <c r="M344" s="702"/>
      <c r="N344" s="738">
        <f t="shared" si="108"/>
        <v>0</v>
      </c>
    </row>
    <row r="345" spans="1:15" x14ac:dyDescent="0.4">
      <c r="A345" s="483" t="s">
        <v>24</v>
      </c>
      <c r="B345" s="483" t="s">
        <v>154</v>
      </c>
      <c r="C345" s="483" t="s">
        <v>30</v>
      </c>
      <c r="D345" s="699" t="str">
        <f t="shared" si="107"/>
        <v>5월</v>
      </c>
      <c r="E345" s="796" t="s">
        <v>132</v>
      </c>
      <c r="F345" s="701" t="s">
        <v>133</v>
      </c>
      <c r="G345" s="796" t="s">
        <v>134</v>
      </c>
      <c r="H345" s="701" t="s">
        <v>141</v>
      </c>
      <c r="I345" s="702"/>
      <c r="J345" s="702">
        <v>171875000</v>
      </c>
      <c r="K345" s="784">
        <v>85000000</v>
      </c>
      <c r="L345" s="703">
        <f t="shared" si="109"/>
        <v>0</v>
      </c>
      <c r="M345" s="702"/>
      <c r="N345" s="738">
        <f t="shared" si="108"/>
        <v>85000000</v>
      </c>
    </row>
    <row r="346" spans="1:15" x14ac:dyDescent="0.4">
      <c r="A346" s="483" t="s">
        <v>24</v>
      </c>
      <c r="B346" s="483" t="s">
        <v>154</v>
      </c>
      <c r="C346" s="483" t="s">
        <v>29</v>
      </c>
      <c r="D346" s="699" t="str">
        <f t="shared" si="107"/>
        <v>5월</v>
      </c>
      <c r="E346" s="796" t="s">
        <v>132</v>
      </c>
      <c r="F346" s="701" t="s">
        <v>133</v>
      </c>
      <c r="G346" s="796" t="s">
        <v>134</v>
      </c>
      <c r="H346" s="701" t="s">
        <v>145</v>
      </c>
      <c r="I346" s="785"/>
      <c r="J346" s="702">
        <v>3617750000</v>
      </c>
      <c r="K346" s="826">
        <v>807200000</v>
      </c>
      <c r="L346" s="703">
        <f t="shared" si="109"/>
        <v>0</v>
      </c>
      <c r="M346" s="702"/>
      <c r="N346" s="738">
        <f t="shared" si="108"/>
        <v>807200000</v>
      </c>
      <c r="O346" s="483" t="s">
        <v>275</v>
      </c>
    </row>
    <row r="347" spans="1:15" x14ac:dyDescent="0.4">
      <c r="A347" s="483" t="s">
        <v>24</v>
      </c>
      <c r="B347" s="483" t="s">
        <v>154</v>
      </c>
      <c r="C347" s="483" t="s">
        <v>31</v>
      </c>
      <c r="D347" s="699" t="str">
        <f t="shared" si="107"/>
        <v>5월</v>
      </c>
      <c r="E347" s="798" t="s">
        <v>132</v>
      </c>
      <c r="F347" s="712" t="s">
        <v>133</v>
      </c>
      <c r="G347" s="798" t="s">
        <v>134</v>
      </c>
      <c r="H347" s="712" t="s">
        <v>146</v>
      </c>
      <c r="I347" s="792"/>
      <c r="J347" s="713"/>
      <c r="K347" s="788">
        <v>0</v>
      </c>
      <c r="L347" s="714"/>
      <c r="M347" s="713"/>
      <c r="N347" s="738">
        <f>K347-M347</f>
        <v>0</v>
      </c>
      <c r="O347" s="483" t="s">
        <v>276</v>
      </c>
    </row>
    <row r="348" spans="1:15" ht="14.4" thickBot="1" x14ac:dyDescent="0.45">
      <c r="A348" s="483" t="s">
        <v>24</v>
      </c>
      <c r="B348" s="483" t="s">
        <v>154</v>
      </c>
      <c r="C348" s="483" t="s">
        <v>32</v>
      </c>
      <c r="D348" s="777" t="str">
        <f t="shared" si="107"/>
        <v>5월</v>
      </c>
      <c r="E348" s="799" t="s">
        <v>132</v>
      </c>
      <c r="F348" s="716" t="s">
        <v>133</v>
      </c>
      <c r="G348" s="799" t="s">
        <v>134</v>
      </c>
      <c r="H348" s="716" t="s">
        <v>147</v>
      </c>
      <c r="I348" s="717"/>
      <c r="J348" s="717"/>
      <c r="K348" s="789"/>
      <c r="L348" s="718" t="e">
        <f t="shared" ref="L348" si="110">+K348/J348</f>
        <v>#DIV/0!</v>
      </c>
      <c r="M348" s="717"/>
      <c r="N348" s="738">
        <f t="shared" ref="N348" si="111">K348-M348</f>
        <v>0</v>
      </c>
    </row>
    <row r="349" spans="1:15" ht="14.4" thickBot="1" x14ac:dyDescent="0.45">
      <c r="D349" s="1046" t="s">
        <v>277</v>
      </c>
      <c r="E349" s="1047"/>
      <c r="F349" s="1047"/>
      <c r="G349" s="1047"/>
      <c r="H349" s="1048"/>
      <c r="I349" s="721">
        <f>SUM(I337:I348)</f>
        <v>0</v>
      </c>
      <c r="J349" s="721">
        <f>SUM(J337:J348)</f>
        <v>16241210223.333332</v>
      </c>
      <c r="K349" s="721">
        <f>SUM(K337:K348)</f>
        <v>16278204873.333332</v>
      </c>
      <c r="L349" s="722">
        <f>I349/J349</f>
        <v>0</v>
      </c>
      <c r="M349" s="723">
        <f>SUM(M337:M348)</f>
        <v>0</v>
      </c>
      <c r="N349" s="724">
        <f>SUM(N337:N348)</f>
        <v>9107379673.3333321</v>
      </c>
    </row>
    <row r="350" spans="1:15" x14ac:dyDescent="0.4">
      <c r="A350" s="483" t="s">
        <v>24</v>
      </c>
      <c r="B350" s="483" t="s">
        <v>154</v>
      </c>
      <c r="C350" s="483" t="s">
        <v>105</v>
      </c>
      <c r="D350" s="693" t="s">
        <v>159</v>
      </c>
      <c r="E350" s="795" t="s">
        <v>132</v>
      </c>
      <c r="F350" s="772" t="s">
        <v>133</v>
      </c>
      <c r="G350" s="795" t="s">
        <v>134</v>
      </c>
      <c r="H350" s="772" t="s">
        <v>252</v>
      </c>
      <c r="I350" s="773"/>
      <c r="J350" s="773">
        <v>17044833.333333336</v>
      </c>
      <c r="K350" s="810">
        <v>17044833.333333336</v>
      </c>
      <c r="L350" s="774">
        <f t="shared" ref="L350" si="112">+I350/J350</f>
        <v>0</v>
      </c>
      <c r="M350" s="773"/>
      <c r="N350" s="759">
        <f>K350-M350</f>
        <v>17044833.333333336</v>
      </c>
    </row>
    <row r="351" spans="1:15" x14ac:dyDescent="0.4">
      <c r="A351" s="483" t="s">
        <v>24</v>
      </c>
      <c r="B351" s="483" t="s">
        <v>154</v>
      </c>
      <c r="C351" s="483" t="s">
        <v>105</v>
      </c>
      <c r="D351" s="699" t="str">
        <f t="shared" ref="D351:D361" si="113">D350</f>
        <v>6월</v>
      </c>
      <c r="E351" s="796" t="s">
        <v>132</v>
      </c>
      <c r="F351" s="701" t="s">
        <v>133</v>
      </c>
      <c r="G351" s="796" t="s">
        <v>134</v>
      </c>
      <c r="H351" s="701" t="s">
        <v>136</v>
      </c>
      <c r="I351" s="702"/>
      <c r="J351" s="702">
        <v>0</v>
      </c>
      <c r="K351" s="784">
        <v>0</v>
      </c>
      <c r="L351" s="703"/>
      <c r="M351" s="702"/>
      <c r="N351" s="738">
        <f t="shared" ref="N351:N361" si="114">K351-M351</f>
        <v>0</v>
      </c>
    </row>
    <row r="352" spans="1:15" x14ac:dyDescent="0.4">
      <c r="A352" s="483" t="s">
        <v>24</v>
      </c>
      <c r="B352" s="483" t="s">
        <v>154</v>
      </c>
      <c r="C352" s="483" t="s">
        <v>22</v>
      </c>
      <c r="D352" s="699" t="str">
        <f t="shared" si="113"/>
        <v>6월</v>
      </c>
      <c r="E352" s="797" t="s">
        <v>132</v>
      </c>
      <c r="F352" s="701" t="s">
        <v>133</v>
      </c>
      <c r="G352" s="796" t="s">
        <v>134</v>
      </c>
      <c r="H352" s="701" t="s">
        <v>137</v>
      </c>
      <c r="I352" s="702"/>
      <c r="J352" s="702">
        <v>308413350</v>
      </c>
      <c r="K352" s="784">
        <v>308413350</v>
      </c>
      <c r="L352" s="703"/>
      <c r="M352" s="702"/>
      <c r="N352" s="738">
        <f t="shared" si="114"/>
        <v>308413350</v>
      </c>
    </row>
    <row r="353" spans="1:15" x14ac:dyDescent="0.4">
      <c r="A353" s="483" t="s">
        <v>24</v>
      </c>
      <c r="B353" s="483" t="s">
        <v>154</v>
      </c>
      <c r="C353" s="483" t="s">
        <v>27</v>
      </c>
      <c r="D353" s="699" t="str">
        <f t="shared" si="113"/>
        <v>6월</v>
      </c>
      <c r="E353" s="796" t="s">
        <v>132</v>
      </c>
      <c r="F353" s="701" t="s">
        <v>133</v>
      </c>
      <c r="G353" s="796" t="s">
        <v>134</v>
      </c>
      <c r="H353" s="701" t="s">
        <v>138</v>
      </c>
      <c r="I353" s="702"/>
      <c r="J353" s="702">
        <v>322014360</v>
      </c>
      <c r="K353" s="784">
        <v>322014360</v>
      </c>
      <c r="L353" s="703">
        <f t="shared" ref="L353:L359" si="115">+I353/J353</f>
        <v>0</v>
      </c>
      <c r="M353" s="702"/>
      <c r="N353" s="738">
        <f t="shared" si="114"/>
        <v>322014360</v>
      </c>
    </row>
    <row r="354" spans="1:15" x14ac:dyDescent="0.4">
      <c r="A354" s="483" t="s">
        <v>24</v>
      </c>
      <c r="B354" s="483" t="s">
        <v>154</v>
      </c>
      <c r="C354" s="483" t="s">
        <v>26</v>
      </c>
      <c r="D354" s="699" t="str">
        <f>D353</f>
        <v>6월</v>
      </c>
      <c r="E354" s="796" t="s">
        <v>132</v>
      </c>
      <c r="F354" s="701" t="s">
        <v>133</v>
      </c>
      <c r="G354" s="796" t="s">
        <v>134</v>
      </c>
      <c r="H354" s="701" t="s">
        <v>255</v>
      </c>
      <c r="I354" s="702"/>
      <c r="J354" s="702">
        <v>2916678600</v>
      </c>
      <c r="K354" s="813">
        <v>5486662000</v>
      </c>
      <c r="L354" s="703">
        <f t="shared" si="115"/>
        <v>0</v>
      </c>
      <c r="M354" s="702"/>
      <c r="N354" s="738">
        <f t="shared" si="114"/>
        <v>5486662000</v>
      </c>
    </row>
    <row r="355" spans="1:15" x14ac:dyDescent="0.4">
      <c r="A355" s="483" t="s">
        <v>24</v>
      </c>
      <c r="B355" s="483" t="s">
        <v>154</v>
      </c>
      <c r="C355" s="483" t="s">
        <v>26</v>
      </c>
      <c r="D355" s="699" t="str">
        <f t="shared" ref="D355:D356" si="116">D354</f>
        <v>6월</v>
      </c>
      <c r="E355" s="796" t="s">
        <v>132</v>
      </c>
      <c r="F355" s="701" t="s">
        <v>133</v>
      </c>
      <c r="G355" s="796" t="s">
        <v>134</v>
      </c>
      <c r="H355" s="701" t="s">
        <v>257</v>
      </c>
      <c r="I355" s="702"/>
      <c r="J355" s="702">
        <v>1556374694.3999999</v>
      </c>
      <c r="K355" s="813">
        <v>5065726060</v>
      </c>
      <c r="L355" s="703"/>
      <c r="M355" s="702"/>
      <c r="N355" s="738"/>
    </row>
    <row r="356" spans="1:15" x14ac:dyDescent="0.4">
      <c r="A356" s="483" t="s">
        <v>24</v>
      </c>
      <c r="B356" s="483" t="s">
        <v>154</v>
      </c>
      <c r="C356" s="483" t="s">
        <v>26</v>
      </c>
      <c r="D356" s="699" t="str">
        <f t="shared" si="116"/>
        <v>6월</v>
      </c>
      <c r="E356" s="796" t="s">
        <v>132</v>
      </c>
      <c r="F356" s="701" t="s">
        <v>133</v>
      </c>
      <c r="G356" s="796" t="s">
        <v>134</v>
      </c>
      <c r="H356" s="701" t="s">
        <v>258</v>
      </c>
      <c r="I356" s="702"/>
      <c r="J356" s="702">
        <v>4093202000</v>
      </c>
      <c r="K356" s="813">
        <v>4093202000</v>
      </c>
      <c r="L356" s="703"/>
      <c r="M356" s="702"/>
      <c r="N356" s="738"/>
    </row>
    <row r="357" spans="1:15" x14ac:dyDescent="0.4">
      <c r="A357" s="483" t="s">
        <v>24</v>
      </c>
      <c r="B357" s="483" t="s">
        <v>154</v>
      </c>
      <c r="C357" s="483" t="s">
        <v>32</v>
      </c>
      <c r="D357" s="699" t="str">
        <f>D354</f>
        <v>6월</v>
      </c>
      <c r="E357" s="796" t="s">
        <v>132</v>
      </c>
      <c r="F357" s="701" t="s">
        <v>133</v>
      </c>
      <c r="G357" s="796" t="s">
        <v>134</v>
      </c>
      <c r="H357" s="701" t="s">
        <v>140</v>
      </c>
      <c r="I357" s="702"/>
      <c r="J357" s="702">
        <v>0</v>
      </c>
      <c r="K357" s="784">
        <v>0</v>
      </c>
      <c r="L357" s="703" t="e">
        <f t="shared" si="115"/>
        <v>#DIV/0!</v>
      </c>
      <c r="M357" s="702"/>
      <c r="N357" s="738">
        <f t="shared" si="114"/>
        <v>0</v>
      </c>
    </row>
    <row r="358" spans="1:15" x14ac:dyDescent="0.4">
      <c r="A358" s="483" t="s">
        <v>24</v>
      </c>
      <c r="B358" s="483" t="s">
        <v>154</v>
      </c>
      <c r="C358" s="483" t="s">
        <v>30</v>
      </c>
      <c r="D358" s="699" t="str">
        <f t="shared" si="113"/>
        <v>6월</v>
      </c>
      <c r="E358" s="796" t="s">
        <v>132</v>
      </c>
      <c r="F358" s="701" t="s">
        <v>133</v>
      </c>
      <c r="G358" s="796" t="s">
        <v>134</v>
      </c>
      <c r="H358" s="701" t="s">
        <v>141</v>
      </c>
      <c r="I358" s="702"/>
      <c r="J358" s="702">
        <v>173750000</v>
      </c>
      <c r="K358" s="784">
        <v>160950000</v>
      </c>
      <c r="L358" s="703">
        <f t="shared" si="115"/>
        <v>0</v>
      </c>
      <c r="M358" s="702"/>
      <c r="N358" s="738">
        <f t="shared" si="114"/>
        <v>160950000</v>
      </c>
    </row>
    <row r="359" spans="1:15" x14ac:dyDescent="0.4">
      <c r="A359" s="483" t="s">
        <v>24</v>
      </c>
      <c r="B359" s="483" t="s">
        <v>154</v>
      </c>
      <c r="C359" s="483" t="s">
        <v>29</v>
      </c>
      <c r="D359" s="699" t="str">
        <f t="shared" si="113"/>
        <v>6월</v>
      </c>
      <c r="E359" s="796" t="s">
        <v>132</v>
      </c>
      <c r="F359" s="701" t="s">
        <v>133</v>
      </c>
      <c r="G359" s="796" t="s">
        <v>134</v>
      </c>
      <c r="H359" s="701" t="s">
        <v>145</v>
      </c>
      <c r="I359" s="702"/>
      <c r="J359" s="702">
        <v>1951600000</v>
      </c>
      <c r="K359" s="826">
        <v>1110000000</v>
      </c>
      <c r="L359" s="703">
        <f t="shared" si="115"/>
        <v>0</v>
      </c>
      <c r="M359" s="702"/>
      <c r="N359" s="738">
        <f t="shared" si="114"/>
        <v>1110000000</v>
      </c>
      <c r="O359" s="483" t="s">
        <v>278</v>
      </c>
    </row>
    <row r="360" spans="1:15" x14ac:dyDescent="0.4">
      <c r="A360" s="483" t="s">
        <v>24</v>
      </c>
      <c r="B360" s="483" t="s">
        <v>154</v>
      </c>
      <c r="C360" s="483" t="s">
        <v>31</v>
      </c>
      <c r="D360" s="699" t="str">
        <f t="shared" si="113"/>
        <v>6월</v>
      </c>
      <c r="E360" s="798" t="s">
        <v>132</v>
      </c>
      <c r="F360" s="712" t="s">
        <v>133</v>
      </c>
      <c r="G360" s="798" t="s">
        <v>134</v>
      </c>
      <c r="H360" s="712" t="s">
        <v>146</v>
      </c>
      <c r="I360" s="713"/>
      <c r="J360" s="713"/>
      <c r="K360" s="788">
        <v>0</v>
      </c>
      <c r="L360" s="714"/>
      <c r="M360" s="713"/>
      <c r="N360" s="738">
        <f t="shared" si="114"/>
        <v>0</v>
      </c>
      <c r="O360" s="483" t="s">
        <v>276</v>
      </c>
    </row>
    <row r="361" spans="1:15" ht="14.4" thickBot="1" x14ac:dyDescent="0.45">
      <c r="A361" s="483" t="s">
        <v>24</v>
      </c>
      <c r="B361" s="483" t="s">
        <v>154</v>
      </c>
      <c r="C361" s="483" t="s">
        <v>32</v>
      </c>
      <c r="D361" s="777" t="str">
        <f t="shared" si="113"/>
        <v>6월</v>
      </c>
      <c r="E361" s="799" t="s">
        <v>132</v>
      </c>
      <c r="F361" s="716" t="s">
        <v>133</v>
      </c>
      <c r="G361" s="799" t="s">
        <v>134</v>
      </c>
      <c r="H361" s="716" t="s">
        <v>147</v>
      </c>
      <c r="I361" s="717"/>
      <c r="J361" s="717"/>
      <c r="K361" s="789"/>
      <c r="L361" s="718" t="e">
        <f t="shared" ref="L361" si="117">+K361/J361</f>
        <v>#DIV/0!</v>
      </c>
      <c r="M361" s="717"/>
      <c r="N361" s="738">
        <f t="shared" si="114"/>
        <v>0</v>
      </c>
    </row>
    <row r="362" spans="1:15" ht="14.4" thickBot="1" x14ac:dyDescent="0.45">
      <c r="D362" s="1046" t="s">
        <v>279</v>
      </c>
      <c r="E362" s="1047"/>
      <c r="F362" s="1047"/>
      <c r="G362" s="1047"/>
      <c r="H362" s="1048"/>
      <c r="I362" s="721">
        <f>SUM(I350:I361)</f>
        <v>0</v>
      </c>
      <c r="J362" s="721">
        <f>SUM(J350:J361)</f>
        <v>11339077837.733334</v>
      </c>
      <c r="K362" s="721">
        <f>SUM(K350:K361)</f>
        <v>16564012603.333332</v>
      </c>
      <c r="L362" s="722">
        <f>I362/J362</f>
        <v>0</v>
      </c>
      <c r="M362" s="723">
        <f>SUM(M350:M361)</f>
        <v>0</v>
      </c>
      <c r="N362" s="724">
        <f>SUM(N350:N361)</f>
        <v>7405084543.333333</v>
      </c>
    </row>
    <row r="363" spans="1:15" ht="14.4" thickBot="1" x14ac:dyDescent="0.45">
      <c r="D363" s="1049" t="s">
        <v>280</v>
      </c>
      <c r="E363" s="1050"/>
      <c r="F363" s="1050"/>
      <c r="G363" s="1050"/>
      <c r="H363" s="1051"/>
      <c r="I363" s="733">
        <f>SUM(I336,I349,I362)</f>
        <v>0</v>
      </c>
      <c r="J363" s="733">
        <f>SUM(J336,J349,J362)</f>
        <v>38252168852</v>
      </c>
      <c r="K363" s="733">
        <f>SUM(K336,K349,K362)</f>
        <v>47103514452.879997</v>
      </c>
      <c r="L363" s="734">
        <f>I363/J363</f>
        <v>0</v>
      </c>
      <c r="M363" s="733">
        <f>SUM(M336,M349,M362)</f>
        <v>0</v>
      </c>
      <c r="N363" s="733">
        <f>SUM(N336,N349,N362)</f>
        <v>23981458392.879997</v>
      </c>
    </row>
    <row r="364" spans="1:15" x14ac:dyDescent="0.4">
      <c r="A364" s="483" t="s">
        <v>24</v>
      </c>
      <c r="B364" s="483" t="s">
        <v>98</v>
      </c>
      <c r="C364" s="483" t="s">
        <v>105</v>
      </c>
      <c r="D364" s="693" t="s">
        <v>77</v>
      </c>
      <c r="E364" s="795" t="s">
        <v>132</v>
      </c>
      <c r="F364" s="772" t="s">
        <v>133</v>
      </c>
      <c r="G364" s="795" t="s">
        <v>134</v>
      </c>
      <c r="H364" s="772" t="s">
        <v>252</v>
      </c>
      <c r="I364" s="773"/>
      <c r="J364" s="773">
        <v>17044833.333333336</v>
      </c>
      <c r="K364" s="773">
        <v>17044833.333333336</v>
      </c>
      <c r="L364" s="774">
        <f t="shared" ref="L364" si="118">+I364/J364</f>
        <v>0</v>
      </c>
      <c r="M364" s="773"/>
      <c r="N364" s="759">
        <f>K364-M364</f>
        <v>17044833.333333336</v>
      </c>
    </row>
    <row r="365" spans="1:15" x14ac:dyDescent="0.4">
      <c r="A365" s="483" t="s">
        <v>24</v>
      </c>
      <c r="B365" s="483" t="s">
        <v>98</v>
      </c>
      <c r="C365" s="483" t="s">
        <v>105</v>
      </c>
      <c r="D365" s="699" t="str">
        <f t="shared" ref="D365:D375" si="119">D364</f>
        <v>7월</v>
      </c>
      <c r="E365" s="796" t="s">
        <v>132</v>
      </c>
      <c r="F365" s="701" t="s">
        <v>133</v>
      </c>
      <c r="G365" s="796" t="s">
        <v>134</v>
      </c>
      <c r="H365" s="701" t="s">
        <v>136</v>
      </c>
      <c r="I365" s="702"/>
      <c r="J365" s="702">
        <v>0</v>
      </c>
      <c r="K365" s="702">
        <v>0</v>
      </c>
      <c r="L365" s="703"/>
      <c r="M365" s="702"/>
      <c r="N365" s="738">
        <f t="shared" ref="N365:N375" si="120">K365-M365</f>
        <v>0</v>
      </c>
    </row>
    <row r="366" spans="1:15" x14ac:dyDescent="0.4">
      <c r="A366" s="483" t="s">
        <v>24</v>
      </c>
      <c r="B366" s="483" t="s">
        <v>98</v>
      </c>
      <c r="C366" s="483" t="s">
        <v>22</v>
      </c>
      <c r="D366" s="699" t="str">
        <f t="shared" si="119"/>
        <v>7월</v>
      </c>
      <c r="E366" s="797" t="s">
        <v>132</v>
      </c>
      <c r="F366" s="701" t="s">
        <v>133</v>
      </c>
      <c r="G366" s="796" t="s">
        <v>134</v>
      </c>
      <c r="H366" s="701" t="s">
        <v>137</v>
      </c>
      <c r="I366" s="702"/>
      <c r="J366" s="702">
        <v>3331490400</v>
      </c>
      <c r="K366" s="702">
        <v>3331490400</v>
      </c>
      <c r="L366" s="703"/>
      <c r="M366" s="702"/>
      <c r="N366" s="738">
        <f t="shared" si="120"/>
        <v>3331490400</v>
      </c>
    </row>
    <row r="367" spans="1:15" x14ac:dyDescent="0.4">
      <c r="A367" s="483" t="s">
        <v>24</v>
      </c>
      <c r="B367" s="483" t="s">
        <v>98</v>
      </c>
      <c r="C367" s="483" t="s">
        <v>27</v>
      </c>
      <c r="D367" s="699" t="str">
        <f t="shared" si="119"/>
        <v>7월</v>
      </c>
      <c r="E367" s="796" t="s">
        <v>132</v>
      </c>
      <c r="F367" s="701" t="s">
        <v>133</v>
      </c>
      <c r="G367" s="796" t="s">
        <v>134</v>
      </c>
      <c r="H367" s="701" t="s">
        <v>138</v>
      </c>
      <c r="I367" s="702"/>
      <c r="J367" s="702">
        <v>502854360</v>
      </c>
      <c r="K367" s="702">
        <v>502854360</v>
      </c>
      <c r="L367" s="703">
        <f t="shared" ref="L367:L373" si="121">+I367/J367</f>
        <v>0</v>
      </c>
      <c r="M367" s="702"/>
      <c r="N367" s="738">
        <f t="shared" si="120"/>
        <v>502854360</v>
      </c>
    </row>
    <row r="368" spans="1:15" x14ac:dyDescent="0.4">
      <c r="A368" s="483" t="s">
        <v>24</v>
      </c>
      <c r="B368" s="483" t="s">
        <v>98</v>
      </c>
      <c r="C368" s="483" t="s">
        <v>26</v>
      </c>
      <c r="D368" s="699" t="str">
        <f t="shared" si="119"/>
        <v>7월</v>
      </c>
      <c r="E368" s="796" t="s">
        <v>132</v>
      </c>
      <c r="F368" s="701" t="s">
        <v>133</v>
      </c>
      <c r="G368" s="796" t="s">
        <v>134</v>
      </c>
      <c r="H368" s="701" t="s">
        <v>255</v>
      </c>
      <c r="I368" s="702"/>
      <c r="J368" s="702">
        <v>4577240600</v>
      </c>
      <c r="K368" s="702">
        <v>10823497696</v>
      </c>
      <c r="L368" s="703">
        <f t="shared" si="121"/>
        <v>0</v>
      </c>
      <c r="M368" s="785"/>
      <c r="N368" s="738">
        <f t="shared" si="120"/>
        <v>10823497696</v>
      </c>
    </row>
    <row r="369" spans="1:14" x14ac:dyDescent="0.4">
      <c r="A369" s="483" t="s">
        <v>24</v>
      </c>
      <c r="B369" s="483" t="s">
        <v>98</v>
      </c>
      <c r="C369" s="483" t="s">
        <v>26</v>
      </c>
      <c r="D369" s="699" t="str">
        <f t="shared" si="119"/>
        <v>7월</v>
      </c>
      <c r="E369" s="796" t="s">
        <v>132</v>
      </c>
      <c r="F369" s="701" t="s">
        <v>133</v>
      </c>
      <c r="G369" s="796" t="s">
        <v>134</v>
      </c>
      <c r="H369" s="701" t="s">
        <v>257</v>
      </c>
      <c r="I369" s="702"/>
      <c r="J369" s="702">
        <v>3562433195.999999</v>
      </c>
      <c r="K369" s="702"/>
      <c r="L369" s="703"/>
      <c r="M369" s="785"/>
      <c r="N369" s="738"/>
    </row>
    <row r="370" spans="1:14" x14ac:dyDescent="0.4">
      <c r="A370" s="483" t="s">
        <v>24</v>
      </c>
      <c r="B370" s="483" t="s">
        <v>98</v>
      </c>
      <c r="C370" s="483" t="s">
        <v>26</v>
      </c>
      <c r="D370" s="699" t="str">
        <f t="shared" si="119"/>
        <v>7월</v>
      </c>
      <c r="E370" s="796" t="s">
        <v>132</v>
      </c>
      <c r="F370" s="701" t="s">
        <v>133</v>
      </c>
      <c r="G370" s="796" t="s">
        <v>134</v>
      </c>
      <c r="H370" s="701" t="s">
        <v>258</v>
      </c>
      <c r="I370" s="702"/>
      <c r="J370" s="702">
        <v>2683823900</v>
      </c>
      <c r="K370" s="702"/>
      <c r="L370" s="703"/>
      <c r="M370" s="785"/>
      <c r="N370" s="738"/>
    </row>
    <row r="371" spans="1:14" x14ac:dyDescent="0.4">
      <c r="A371" s="483" t="s">
        <v>24</v>
      </c>
      <c r="B371" s="483" t="s">
        <v>98</v>
      </c>
      <c r="C371" s="483" t="s">
        <v>32</v>
      </c>
      <c r="D371" s="699" t="str">
        <f>D368</f>
        <v>7월</v>
      </c>
      <c r="E371" s="796" t="s">
        <v>132</v>
      </c>
      <c r="F371" s="701" t="s">
        <v>133</v>
      </c>
      <c r="G371" s="796" t="s">
        <v>134</v>
      </c>
      <c r="H371" s="701" t="s">
        <v>140</v>
      </c>
      <c r="I371" s="702"/>
      <c r="J371" s="702">
        <v>0</v>
      </c>
      <c r="K371" s="702">
        <v>0</v>
      </c>
      <c r="L371" s="703" t="e">
        <f t="shared" si="121"/>
        <v>#DIV/0!</v>
      </c>
      <c r="M371" s="702"/>
      <c r="N371" s="738">
        <f t="shared" si="120"/>
        <v>0</v>
      </c>
    </row>
    <row r="372" spans="1:14" x14ac:dyDescent="0.4">
      <c r="A372" s="483" t="s">
        <v>24</v>
      </c>
      <c r="B372" s="483" t="s">
        <v>98</v>
      </c>
      <c r="C372" s="483" t="s">
        <v>30</v>
      </c>
      <c r="D372" s="699" t="str">
        <f t="shared" si="119"/>
        <v>7월</v>
      </c>
      <c r="E372" s="796" t="s">
        <v>132</v>
      </c>
      <c r="F372" s="701" t="s">
        <v>133</v>
      </c>
      <c r="G372" s="796" t="s">
        <v>134</v>
      </c>
      <c r="H372" s="701" t="s">
        <v>141</v>
      </c>
      <c r="I372" s="702"/>
      <c r="J372" s="702">
        <v>85000000</v>
      </c>
      <c r="K372" s="702">
        <v>85000000</v>
      </c>
      <c r="L372" s="703">
        <f t="shared" si="121"/>
        <v>0</v>
      </c>
      <c r="M372" s="702"/>
      <c r="N372" s="738">
        <f t="shared" si="120"/>
        <v>85000000</v>
      </c>
    </row>
    <row r="373" spans="1:14" x14ac:dyDescent="0.4">
      <c r="A373" s="483" t="s">
        <v>24</v>
      </c>
      <c r="B373" s="483" t="s">
        <v>98</v>
      </c>
      <c r="C373" s="483" t="s">
        <v>29</v>
      </c>
      <c r="D373" s="699" t="str">
        <f t="shared" si="119"/>
        <v>7월</v>
      </c>
      <c r="E373" s="796" t="s">
        <v>132</v>
      </c>
      <c r="F373" s="701" t="s">
        <v>133</v>
      </c>
      <c r="G373" s="796" t="s">
        <v>134</v>
      </c>
      <c r="H373" s="701" t="s">
        <v>145</v>
      </c>
      <c r="I373" s="702"/>
      <c r="J373" s="702">
        <v>272000000</v>
      </c>
      <c r="K373" s="702">
        <v>272000000</v>
      </c>
      <c r="L373" s="703">
        <f t="shared" si="121"/>
        <v>0</v>
      </c>
      <c r="M373" s="702"/>
      <c r="N373" s="738">
        <f t="shared" si="120"/>
        <v>272000000</v>
      </c>
    </row>
    <row r="374" spans="1:14" x14ac:dyDescent="0.4">
      <c r="A374" s="483" t="s">
        <v>24</v>
      </c>
      <c r="B374" s="483" t="s">
        <v>98</v>
      </c>
      <c r="C374" s="483" t="s">
        <v>31</v>
      </c>
      <c r="D374" s="699" t="str">
        <f t="shared" si="119"/>
        <v>7월</v>
      </c>
      <c r="E374" s="798" t="s">
        <v>132</v>
      </c>
      <c r="F374" s="712" t="s">
        <v>133</v>
      </c>
      <c r="G374" s="798" t="s">
        <v>134</v>
      </c>
      <c r="H374" s="712" t="s">
        <v>146</v>
      </c>
      <c r="I374" s="713"/>
      <c r="J374" s="702">
        <v>0</v>
      </c>
      <c r="K374" s="702">
        <v>0</v>
      </c>
      <c r="L374" s="714"/>
      <c r="M374" s="713"/>
      <c r="N374" s="738">
        <f t="shared" si="120"/>
        <v>0</v>
      </c>
    </row>
    <row r="375" spans="1:14" ht="14.4" thickBot="1" x14ac:dyDescent="0.45">
      <c r="A375" s="483" t="s">
        <v>24</v>
      </c>
      <c r="B375" s="483" t="s">
        <v>98</v>
      </c>
      <c r="C375" s="483" t="s">
        <v>32</v>
      </c>
      <c r="D375" s="777" t="str">
        <f t="shared" si="119"/>
        <v>7월</v>
      </c>
      <c r="E375" s="799" t="s">
        <v>132</v>
      </c>
      <c r="F375" s="716" t="s">
        <v>133</v>
      </c>
      <c r="G375" s="799" t="s">
        <v>134</v>
      </c>
      <c r="H375" s="716" t="s">
        <v>147</v>
      </c>
      <c r="I375" s="717"/>
      <c r="J375" s="717"/>
      <c r="K375" s="717"/>
      <c r="L375" s="718" t="e">
        <f t="shared" ref="L375" si="122">+K375/J375</f>
        <v>#DIV/0!</v>
      </c>
      <c r="M375" s="717"/>
      <c r="N375" s="738">
        <f t="shared" si="120"/>
        <v>0</v>
      </c>
    </row>
    <row r="376" spans="1:14" ht="14.4" thickBot="1" x14ac:dyDescent="0.45">
      <c r="D376" s="1046" t="s">
        <v>281</v>
      </c>
      <c r="E376" s="1047"/>
      <c r="F376" s="1047"/>
      <c r="G376" s="1047"/>
      <c r="H376" s="1048"/>
      <c r="I376" s="721">
        <f>SUM(I364:I375)</f>
        <v>0</v>
      </c>
      <c r="J376" s="721">
        <f>SUM(J364:J375)</f>
        <v>15031887289.333332</v>
      </c>
      <c r="K376" s="721">
        <f>SUM(K364:K375)</f>
        <v>15031887289.333334</v>
      </c>
      <c r="L376" s="722">
        <f>I376/J376</f>
        <v>0</v>
      </c>
      <c r="M376" s="723">
        <f>SUM(M364:M375)</f>
        <v>0</v>
      </c>
      <c r="N376" s="724">
        <f>SUM(N364:N375)</f>
        <v>15031887289.333334</v>
      </c>
    </row>
    <row r="377" spans="1:14" x14ac:dyDescent="0.4">
      <c r="A377" s="483" t="s">
        <v>24</v>
      </c>
      <c r="B377" s="483" t="s">
        <v>98</v>
      </c>
      <c r="C377" s="483" t="s">
        <v>105</v>
      </c>
      <c r="D377" s="693" t="s">
        <v>165</v>
      </c>
      <c r="E377" s="795" t="s">
        <v>132</v>
      </c>
      <c r="F377" s="772" t="s">
        <v>133</v>
      </c>
      <c r="G377" s="795" t="s">
        <v>134</v>
      </c>
      <c r="H377" s="772" t="s">
        <v>252</v>
      </c>
      <c r="I377" s="773"/>
      <c r="J377" s="773">
        <v>17044833.333333336</v>
      </c>
      <c r="K377" s="773">
        <v>17044833.333333336</v>
      </c>
      <c r="L377" s="774">
        <f t="shared" ref="L377" si="123">+I377/J377</f>
        <v>0</v>
      </c>
      <c r="M377" s="773"/>
      <c r="N377" s="759">
        <f>K377-M377</f>
        <v>17044833.333333336</v>
      </c>
    </row>
    <row r="378" spans="1:14" x14ac:dyDescent="0.4">
      <c r="A378" s="483" t="s">
        <v>24</v>
      </c>
      <c r="B378" s="483" t="s">
        <v>98</v>
      </c>
      <c r="C378" s="483" t="s">
        <v>105</v>
      </c>
      <c r="D378" s="699" t="str">
        <f t="shared" ref="D378:D388" si="124">D377</f>
        <v>8월</v>
      </c>
      <c r="E378" s="796" t="s">
        <v>132</v>
      </c>
      <c r="F378" s="701" t="s">
        <v>133</v>
      </c>
      <c r="G378" s="796" t="s">
        <v>134</v>
      </c>
      <c r="H378" s="701" t="s">
        <v>136</v>
      </c>
      <c r="I378" s="702"/>
      <c r="J378" s="702">
        <v>0</v>
      </c>
      <c r="K378" s="702">
        <v>0</v>
      </c>
      <c r="L378" s="703"/>
      <c r="M378" s="702"/>
      <c r="N378" s="738">
        <f t="shared" ref="N378:N386" si="125">K378-M378</f>
        <v>0</v>
      </c>
    </row>
    <row r="379" spans="1:14" x14ac:dyDescent="0.4">
      <c r="A379" s="483" t="s">
        <v>24</v>
      </c>
      <c r="B379" s="483" t="s">
        <v>98</v>
      </c>
      <c r="C379" s="483" t="s">
        <v>22</v>
      </c>
      <c r="D379" s="699" t="str">
        <f t="shared" si="124"/>
        <v>8월</v>
      </c>
      <c r="E379" s="797" t="s">
        <v>132</v>
      </c>
      <c r="F379" s="701" t="s">
        <v>133</v>
      </c>
      <c r="G379" s="796" t="s">
        <v>134</v>
      </c>
      <c r="H379" s="701" t="s">
        <v>137</v>
      </c>
      <c r="I379" s="785"/>
      <c r="J379" s="702">
        <v>193233600</v>
      </c>
      <c r="K379" s="702">
        <v>193233600</v>
      </c>
      <c r="L379" s="703"/>
      <c r="M379" s="702"/>
      <c r="N379" s="738">
        <f t="shared" si="125"/>
        <v>193233600</v>
      </c>
    </row>
    <row r="380" spans="1:14" x14ac:dyDescent="0.4">
      <c r="A380" s="483" t="s">
        <v>24</v>
      </c>
      <c r="B380" s="483" t="s">
        <v>98</v>
      </c>
      <c r="C380" s="483" t="s">
        <v>27</v>
      </c>
      <c r="D380" s="699" t="str">
        <f t="shared" si="124"/>
        <v>8월</v>
      </c>
      <c r="E380" s="796" t="s">
        <v>132</v>
      </c>
      <c r="F380" s="701" t="s">
        <v>133</v>
      </c>
      <c r="G380" s="796" t="s">
        <v>134</v>
      </c>
      <c r="H380" s="701" t="s">
        <v>138</v>
      </c>
      <c r="I380" s="785"/>
      <c r="J380" s="702">
        <v>561278780</v>
      </c>
      <c r="K380" s="702">
        <v>561278780</v>
      </c>
      <c r="L380" s="703">
        <f>+I380/J380</f>
        <v>0</v>
      </c>
      <c r="M380" s="702"/>
      <c r="N380" s="738">
        <f t="shared" si="125"/>
        <v>561278780</v>
      </c>
    </row>
    <row r="381" spans="1:14" x14ac:dyDescent="0.4">
      <c r="A381" s="483" t="s">
        <v>24</v>
      </c>
      <c r="B381" s="483" t="s">
        <v>98</v>
      </c>
      <c r="C381" s="483" t="s">
        <v>26</v>
      </c>
      <c r="D381" s="699" t="str">
        <f t="shared" si="124"/>
        <v>8월</v>
      </c>
      <c r="E381" s="796" t="s">
        <v>132</v>
      </c>
      <c r="F381" s="701" t="s">
        <v>133</v>
      </c>
      <c r="G381" s="796" t="s">
        <v>134</v>
      </c>
      <c r="H381" s="701" t="s">
        <v>255</v>
      </c>
      <c r="I381" s="785"/>
      <c r="J381" s="702">
        <v>3939942600</v>
      </c>
      <c r="K381" s="702">
        <v>10823458674.4</v>
      </c>
      <c r="L381" s="703">
        <f t="shared" ref="L381:L386" si="126">+I381/J381</f>
        <v>0</v>
      </c>
      <c r="M381" s="702"/>
      <c r="N381" s="738">
        <f t="shared" si="125"/>
        <v>10823458674.4</v>
      </c>
    </row>
    <row r="382" spans="1:14" x14ac:dyDescent="0.4">
      <c r="A382" s="483" t="s">
        <v>24</v>
      </c>
      <c r="B382" s="483" t="s">
        <v>98</v>
      </c>
      <c r="C382" s="483" t="s">
        <v>26</v>
      </c>
      <c r="D382" s="699" t="str">
        <f t="shared" si="124"/>
        <v>8월</v>
      </c>
      <c r="E382" s="796" t="s">
        <v>132</v>
      </c>
      <c r="F382" s="701" t="s">
        <v>133</v>
      </c>
      <c r="G382" s="796" t="s">
        <v>134</v>
      </c>
      <c r="H382" s="701" t="s">
        <v>257</v>
      </c>
      <c r="I382" s="785"/>
      <c r="J382" s="702">
        <v>3532734174.3999996</v>
      </c>
      <c r="K382" s="702"/>
      <c r="L382" s="703"/>
      <c r="M382" s="702"/>
      <c r="N382" s="738"/>
    </row>
    <row r="383" spans="1:14" x14ac:dyDescent="0.4">
      <c r="A383" s="483" t="s">
        <v>24</v>
      </c>
      <c r="B383" s="483" t="s">
        <v>98</v>
      </c>
      <c r="C383" s="483" t="s">
        <v>26</v>
      </c>
      <c r="D383" s="699" t="str">
        <f t="shared" si="124"/>
        <v>8월</v>
      </c>
      <c r="E383" s="796" t="s">
        <v>132</v>
      </c>
      <c r="F383" s="701" t="s">
        <v>133</v>
      </c>
      <c r="G383" s="796" t="s">
        <v>134</v>
      </c>
      <c r="H383" s="701" t="s">
        <v>258</v>
      </c>
      <c r="I383" s="785"/>
      <c r="J383" s="702">
        <v>3350781900</v>
      </c>
      <c r="K383" s="702"/>
      <c r="L383" s="703"/>
      <c r="M383" s="702"/>
      <c r="N383" s="738"/>
    </row>
    <row r="384" spans="1:14" x14ac:dyDescent="0.4">
      <c r="A384" s="483" t="s">
        <v>24</v>
      </c>
      <c r="B384" s="483" t="s">
        <v>98</v>
      </c>
      <c r="C384" s="483" t="s">
        <v>32</v>
      </c>
      <c r="D384" s="699" t="str">
        <f>D381</f>
        <v>8월</v>
      </c>
      <c r="E384" s="796" t="s">
        <v>132</v>
      </c>
      <c r="F384" s="701" t="s">
        <v>133</v>
      </c>
      <c r="G384" s="796" t="s">
        <v>134</v>
      </c>
      <c r="H384" s="701" t="s">
        <v>140</v>
      </c>
      <c r="I384" s="702"/>
      <c r="J384" s="702">
        <v>0</v>
      </c>
      <c r="K384" s="702">
        <v>0</v>
      </c>
      <c r="L384" s="703" t="e">
        <f t="shared" si="126"/>
        <v>#DIV/0!</v>
      </c>
      <c r="M384" s="702"/>
      <c r="N384" s="738">
        <f t="shared" si="125"/>
        <v>0</v>
      </c>
    </row>
    <row r="385" spans="1:14" x14ac:dyDescent="0.4">
      <c r="A385" s="483" t="s">
        <v>24</v>
      </c>
      <c r="B385" s="483" t="s">
        <v>98</v>
      </c>
      <c r="C385" s="483" t="s">
        <v>30</v>
      </c>
      <c r="D385" s="699" t="str">
        <f t="shared" si="124"/>
        <v>8월</v>
      </c>
      <c r="E385" s="796" t="s">
        <v>132</v>
      </c>
      <c r="F385" s="701" t="s">
        <v>133</v>
      </c>
      <c r="G385" s="796" t="s">
        <v>134</v>
      </c>
      <c r="H385" s="701" t="s">
        <v>141</v>
      </c>
      <c r="I385" s="702"/>
      <c r="J385" s="702">
        <v>46875000</v>
      </c>
      <c r="K385" s="702">
        <v>46875000</v>
      </c>
      <c r="L385" s="703">
        <f t="shared" si="126"/>
        <v>0</v>
      </c>
      <c r="M385" s="702"/>
      <c r="N385" s="738">
        <f t="shared" si="125"/>
        <v>46875000</v>
      </c>
    </row>
    <row r="386" spans="1:14" x14ac:dyDescent="0.4">
      <c r="A386" s="483" t="s">
        <v>24</v>
      </c>
      <c r="B386" s="483" t="s">
        <v>98</v>
      </c>
      <c r="C386" s="483" t="s">
        <v>29</v>
      </c>
      <c r="D386" s="699" t="str">
        <f t="shared" si="124"/>
        <v>8월</v>
      </c>
      <c r="E386" s="796" t="s">
        <v>132</v>
      </c>
      <c r="F386" s="701" t="s">
        <v>133</v>
      </c>
      <c r="G386" s="796" t="s">
        <v>134</v>
      </c>
      <c r="H386" s="701" t="s">
        <v>145</v>
      </c>
      <c r="I386" s="785"/>
      <c r="J386" s="702">
        <v>444000000</v>
      </c>
      <c r="K386" s="702">
        <v>444000000</v>
      </c>
      <c r="L386" s="703">
        <f t="shared" si="126"/>
        <v>0</v>
      </c>
      <c r="M386" s="702"/>
      <c r="N386" s="738">
        <f t="shared" si="125"/>
        <v>444000000</v>
      </c>
    </row>
    <row r="387" spans="1:14" x14ac:dyDescent="0.4">
      <c r="A387" s="483" t="s">
        <v>24</v>
      </c>
      <c r="B387" s="483" t="s">
        <v>98</v>
      </c>
      <c r="C387" s="483" t="s">
        <v>31</v>
      </c>
      <c r="D387" s="699" t="str">
        <f t="shared" si="124"/>
        <v>8월</v>
      </c>
      <c r="E387" s="798" t="s">
        <v>132</v>
      </c>
      <c r="F387" s="712" t="s">
        <v>133</v>
      </c>
      <c r="G387" s="798" t="s">
        <v>134</v>
      </c>
      <c r="H387" s="712" t="s">
        <v>146</v>
      </c>
      <c r="I387" s="792"/>
      <c r="J387" s="702">
        <v>0</v>
      </c>
      <c r="K387" s="702">
        <v>0</v>
      </c>
      <c r="L387" s="714"/>
      <c r="M387" s="702"/>
      <c r="N387" s="738">
        <f>K387-M387</f>
        <v>0</v>
      </c>
    </row>
    <row r="388" spans="1:14" ht="14.4" thickBot="1" x14ac:dyDescent="0.45">
      <c r="A388" s="483" t="s">
        <v>24</v>
      </c>
      <c r="B388" s="483" t="s">
        <v>98</v>
      </c>
      <c r="C388" s="483" t="s">
        <v>32</v>
      </c>
      <c r="D388" s="777" t="str">
        <f t="shared" si="124"/>
        <v>8월</v>
      </c>
      <c r="E388" s="799" t="s">
        <v>132</v>
      </c>
      <c r="F388" s="716" t="s">
        <v>133</v>
      </c>
      <c r="G388" s="799" t="s">
        <v>134</v>
      </c>
      <c r="H388" s="716" t="s">
        <v>147</v>
      </c>
      <c r="I388" s="717"/>
      <c r="J388" s="717"/>
      <c r="K388" s="717"/>
      <c r="L388" s="718" t="e">
        <f t="shared" ref="L388" si="127">+K388/J388</f>
        <v>#DIV/0!</v>
      </c>
      <c r="M388" s="717"/>
      <c r="N388" s="738">
        <f t="shared" ref="N388" si="128">K388-M388</f>
        <v>0</v>
      </c>
    </row>
    <row r="389" spans="1:14" ht="14.4" thickBot="1" x14ac:dyDescent="0.45">
      <c r="D389" s="1046" t="s">
        <v>168</v>
      </c>
      <c r="E389" s="1047"/>
      <c r="F389" s="1047"/>
      <c r="G389" s="1047"/>
      <c r="H389" s="1048"/>
      <c r="I389" s="721">
        <f>SUM(I377:I388)</f>
        <v>0</v>
      </c>
      <c r="J389" s="721">
        <f>SUM(J377:J388)</f>
        <v>12085890887.733334</v>
      </c>
      <c r="K389" s="721">
        <f>SUM(K377:K388)</f>
        <v>12085890887.733334</v>
      </c>
      <c r="L389" s="722">
        <f>I389/J389</f>
        <v>0</v>
      </c>
      <c r="M389" s="723">
        <f>SUM(M377:M388)</f>
        <v>0</v>
      </c>
      <c r="N389" s="724">
        <f>SUM(N377:N388)</f>
        <v>12085890887.733334</v>
      </c>
    </row>
    <row r="390" spans="1:14" x14ac:dyDescent="0.4">
      <c r="A390" s="483" t="s">
        <v>24</v>
      </c>
      <c r="B390" s="483" t="s">
        <v>98</v>
      </c>
      <c r="C390" s="483" t="s">
        <v>105</v>
      </c>
      <c r="D390" s="693" t="s">
        <v>100</v>
      </c>
      <c r="E390" s="795" t="s">
        <v>132</v>
      </c>
      <c r="F390" s="772" t="s">
        <v>133</v>
      </c>
      <c r="G390" s="795" t="s">
        <v>134</v>
      </c>
      <c r="H390" s="772" t="s">
        <v>252</v>
      </c>
      <c r="I390" s="773"/>
      <c r="J390" s="773">
        <v>17044833.333333336</v>
      </c>
      <c r="K390" s="773">
        <v>17044833.333333336</v>
      </c>
      <c r="L390" s="774">
        <f t="shared" ref="L390" si="129">+I390/J390</f>
        <v>0</v>
      </c>
      <c r="M390" s="773"/>
      <c r="N390" s="759">
        <f>K390-M390</f>
        <v>17044833.333333336</v>
      </c>
    </row>
    <row r="391" spans="1:14" x14ac:dyDescent="0.4">
      <c r="A391" s="483" t="s">
        <v>24</v>
      </c>
      <c r="B391" s="483" t="s">
        <v>98</v>
      </c>
      <c r="C391" s="483" t="s">
        <v>105</v>
      </c>
      <c r="D391" s="699" t="str">
        <f t="shared" ref="D391:D401" si="130">D390</f>
        <v>9월</v>
      </c>
      <c r="E391" s="796" t="s">
        <v>132</v>
      </c>
      <c r="F391" s="701" t="s">
        <v>133</v>
      </c>
      <c r="G391" s="796" t="s">
        <v>134</v>
      </c>
      <c r="H391" s="701" t="s">
        <v>136</v>
      </c>
      <c r="I391" s="702"/>
      <c r="J391" s="702">
        <v>0</v>
      </c>
      <c r="K391" s="702">
        <v>0</v>
      </c>
      <c r="L391" s="703"/>
      <c r="M391" s="785"/>
      <c r="N391" s="738">
        <f t="shared" ref="N391:N401" si="131">K391-M391</f>
        <v>0</v>
      </c>
    </row>
    <row r="392" spans="1:14" x14ac:dyDescent="0.4">
      <c r="A392" s="483" t="s">
        <v>24</v>
      </c>
      <c r="B392" s="483" t="s">
        <v>98</v>
      </c>
      <c r="C392" s="483" t="s">
        <v>22</v>
      </c>
      <c r="D392" s="699" t="str">
        <f t="shared" si="130"/>
        <v>9월</v>
      </c>
      <c r="E392" s="797" t="s">
        <v>132</v>
      </c>
      <c r="F392" s="701" t="s">
        <v>133</v>
      </c>
      <c r="G392" s="796" t="s">
        <v>134</v>
      </c>
      <c r="H392" s="701" t="s">
        <v>137</v>
      </c>
      <c r="I392" s="702"/>
      <c r="J392" s="702">
        <v>1002079800</v>
      </c>
      <c r="K392" s="702">
        <v>1002079800</v>
      </c>
      <c r="L392" s="703"/>
      <c r="M392" s="785"/>
      <c r="N392" s="738">
        <f t="shared" si="131"/>
        <v>1002079800</v>
      </c>
    </row>
    <row r="393" spans="1:14" x14ac:dyDescent="0.4">
      <c r="A393" s="483" t="s">
        <v>24</v>
      </c>
      <c r="B393" s="483" t="s">
        <v>98</v>
      </c>
      <c r="C393" s="483" t="s">
        <v>27</v>
      </c>
      <c r="D393" s="699" t="str">
        <f t="shared" si="130"/>
        <v>9월</v>
      </c>
      <c r="E393" s="796" t="s">
        <v>132</v>
      </c>
      <c r="F393" s="701" t="s">
        <v>133</v>
      </c>
      <c r="G393" s="796" t="s">
        <v>134</v>
      </c>
      <c r="H393" s="701" t="s">
        <v>138</v>
      </c>
      <c r="I393" s="702"/>
      <c r="J393" s="702">
        <v>233127620</v>
      </c>
      <c r="K393" s="702">
        <v>233127620</v>
      </c>
      <c r="L393" s="703">
        <f t="shared" ref="L393:L399" si="132">+I393/J393</f>
        <v>0</v>
      </c>
      <c r="M393" s="785"/>
      <c r="N393" s="738">
        <f t="shared" si="131"/>
        <v>233127620</v>
      </c>
    </row>
    <row r="394" spans="1:14" x14ac:dyDescent="0.4">
      <c r="A394" s="483" t="s">
        <v>24</v>
      </c>
      <c r="B394" s="483" t="s">
        <v>98</v>
      </c>
      <c r="C394" s="483" t="s">
        <v>26</v>
      </c>
      <c r="D394" s="699" t="str">
        <f t="shared" si="130"/>
        <v>9월</v>
      </c>
      <c r="E394" s="796" t="s">
        <v>132</v>
      </c>
      <c r="F394" s="701" t="s">
        <v>133</v>
      </c>
      <c r="G394" s="796" t="s">
        <v>134</v>
      </c>
      <c r="H394" s="701" t="s">
        <v>255</v>
      </c>
      <c r="I394" s="702"/>
      <c r="J394" s="702">
        <v>1812531599.9999998</v>
      </c>
      <c r="K394" s="702">
        <v>10672234979.999998</v>
      </c>
      <c r="L394" s="703">
        <f t="shared" si="132"/>
        <v>0</v>
      </c>
      <c r="M394" s="785"/>
      <c r="N394" s="738">
        <f t="shared" si="131"/>
        <v>10672234979.999998</v>
      </c>
    </row>
    <row r="395" spans="1:14" x14ac:dyDescent="0.4">
      <c r="A395" s="483" t="s">
        <v>24</v>
      </c>
      <c r="B395" s="483" t="s">
        <v>98</v>
      </c>
      <c r="C395" s="483" t="s">
        <v>26</v>
      </c>
      <c r="D395" s="699" t="str">
        <f t="shared" si="130"/>
        <v>9월</v>
      </c>
      <c r="E395" s="796" t="s">
        <v>132</v>
      </c>
      <c r="F395" s="701" t="s">
        <v>133</v>
      </c>
      <c r="G395" s="796" t="s">
        <v>134</v>
      </c>
      <c r="H395" s="701" t="s">
        <v>257</v>
      </c>
      <c r="I395" s="702"/>
      <c r="J395" s="702">
        <v>4704576880</v>
      </c>
      <c r="K395" s="702"/>
      <c r="L395" s="703"/>
      <c r="M395" s="785"/>
      <c r="N395" s="738"/>
    </row>
    <row r="396" spans="1:14" x14ac:dyDescent="0.4">
      <c r="A396" s="483" t="s">
        <v>24</v>
      </c>
      <c r="B396" s="483" t="s">
        <v>98</v>
      </c>
      <c r="C396" s="483" t="s">
        <v>26</v>
      </c>
      <c r="D396" s="699" t="str">
        <f t="shared" si="130"/>
        <v>9월</v>
      </c>
      <c r="E396" s="796" t="s">
        <v>132</v>
      </c>
      <c r="F396" s="701" t="s">
        <v>133</v>
      </c>
      <c r="G396" s="796" t="s">
        <v>134</v>
      </c>
      <c r="H396" s="701" t="s">
        <v>258</v>
      </c>
      <c r="I396" s="702"/>
      <c r="J396" s="702">
        <v>4155126500</v>
      </c>
      <c r="K396" s="702"/>
      <c r="L396" s="703"/>
      <c r="M396" s="785"/>
      <c r="N396" s="738"/>
    </row>
    <row r="397" spans="1:14" x14ac:dyDescent="0.4">
      <c r="A397" s="483" t="s">
        <v>24</v>
      </c>
      <c r="B397" s="483" t="s">
        <v>98</v>
      </c>
      <c r="C397" s="483" t="s">
        <v>32</v>
      </c>
      <c r="D397" s="699" t="str">
        <f>D394</f>
        <v>9월</v>
      </c>
      <c r="E397" s="796" t="s">
        <v>132</v>
      </c>
      <c r="F397" s="701" t="s">
        <v>133</v>
      </c>
      <c r="G397" s="796" t="s">
        <v>134</v>
      </c>
      <c r="H397" s="701" t="s">
        <v>140</v>
      </c>
      <c r="I397" s="702"/>
      <c r="J397" s="702">
        <v>0</v>
      </c>
      <c r="K397" s="702">
        <v>0</v>
      </c>
      <c r="L397" s="703" t="e">
        <f t="shared" si="132"/>
        <v>#DIV/0!</v>
      </c>
      <c r="M397" s="785"/>
      <c r="N397" s="738">
        <f t="shared" si="131"/>
        <v>0</v>
      </c>
    </row>
    <row r="398" spans="1:14" x14ac:dyDescent="0.4">
      <c r="A398" s="483" t="s">
        <v>24</v>
      </c>
      <c r="B398" s="483" t="s">
        <v>98</v>
      </c>
      <c r="C398" s="483" t="s">
        <v>30</v>
      </c>
      <c r="D398" s="699" t="str">
        <f t="shared" si="130"/>
        <v>9월</v>
      </c>
      <c r="E398" s="796" t="s">
        <v>132</v>
      </c>
      <c r="F398" s="701" t="s">
        <v>133</v>
      </c>
      <c r="G398" s="796" t="s">
        <v>134</v>
      </c>
      <c r="H398" s="701" t="s">
        <v>141</v>
      </c>
      <c r="I398" s="702"/>
      <c r="J398" s="702">
        <v>46875000</v>
      </c>
      <c r="K398" s="702">
        <v>46875000</v>
      </c>
      <c r="L398" s="703">
        <f t="shared" si="132"/>
        <v>0</v>
      </c>
      <c r="M398" s="785"/>
      <c r="N398" s="738">
        <f t="shared" si="131"/>
        <v>46875000</v>
      </c>
    </row>
    <row r="399" spans="1:14" x14ac:dyDescent="0.4">
      <c r="A399" s="483" t="s">
        <v>24</v>
      </c>
      <c r="B399" s="483" t="s">
        <v>98</v>
      </c>
      <c r="C399" s="483" t="s">
        <v>29</v>
      </c>
      <c r="D399" s="699" t="str">
        <f t="shared" si="130"/>
        <v>9월</v>
      </c>
      <c r="E399" s="796" t="s">
        <v>132</v>
      </c>
      <c r="F399" s="701" t="s">
        <v>133</v>
      </c>
      <c r="G399" s="796" t="s">
        <v>134</v>
      </c>
      <c r="H399" s="701" t="s">
        <v>145</v>
      </c>
      <c r="I399" s="702"/>
      <c r="J399" s="702">
        <v>2107000000</v>
      </c>
      <c r="K399" s="702">
        <v>2107000000</v>
      </c>
      <c r="L399" s="703">
        <f t="shared" si="132"/>
        <v>0</v>
      </c>
      <c r="M399" s="785"/>
      <c r="N399" s="738">
        <f t="shared" si="131"/>
        <v>2107000000</v>
      </c>
    </row>
    <row r="400" spans="1:14" x14ac:dyDescent="0.4">
      <c r="A400" s="483" t="s">
        <v>24</v>
      </c>
      <c r="B400" s="483" t="s">
        <v>98</v>
      </c>
      <c r="C400" s="483" t="s">
        <v>31</v>
      </c>
      <c r="D400" s="699" t="str">
        <f t="shared" si="130"/>
        <v>9월</v>
      </c>
      <c r="E400" s="798" t="s">
        <v>132</v>
      </c>
      <c r="F400" s="712" t="s">
        <v>133</v>
      </c>
      <c r="G400" s="798" t="s">
        <v>134</v>
      </c>
      <c r="H400" s="712" t="s">
        <v>146</v>
      </c>
      <c r="I400" s="713"/>
      <c r="J400" s="702">
        <v>0</v>
      </c>
      <c r="K400" s="702">
        <v>0</v>
      </c>
      <c r="L400" s="714"/>
      <c r="M400" s="792"/>
      <c r="N400" s="738">
        <f t="shared" si="131"/>
        <v>0</v>
      </c>
    </row>
    <row r="401" spans="1:14" ht="14.4" thickBot="1" x14ac:dyDescent="0.45">
      <c r="A401" s="483" t="s">
        <v>24</v>
      </c>
      <c r="B401" s="483" t="s">
        <v>98</v>
      </c>
      <c r="C401" s="483" t="s">
        <v>32</v>
      </c>
      <c r="D401" s="777" t="str">
        <f t="shared" si="130"/>
        <v>9월</v>
      </c>
      <c r="E401" s="799" t="s">
        <v>132</v>
      </c>
      <c r="F401" s="716" t="s">
        <v>133</v>
      </c>
      <c r="G401" s="799" t="s">
        <v>134</v>
      </c>
      <c r="H401" s="716" t="s">
        <v>147</v>
      </c>
      <c r="I401" s="717"/>
      <c r="J401" s="717"/>
      <c r="K401" s="717"/>
      <c r="L401" s="718" t="e">
        <f t="shared" ref="L401" si="133">+K401/J401</f>
        <v>#DIV/0!</v>
      </c>
      <c r="M401" s="717"/>
      <c r="N401" s="738">
        <f t="shared" si="131"/>
        <v>0</v>
      </c>
    </row>
    <row r="402" spans="1:14" ht="14.4" thickBot="1" x14ac:dyDescent="0.45">
      <c r="D402" s="1046" t="s">
        <v>282</v>
      </c>
      <c r="E402" s="1047"/>
      <c r="F402" s="1047"/>
      <c r="G402" s="1047"/>
      <c r="H402" s="1048"/>
      <c r="I402" s="721">
        <f>SUM(I390:I401)</f>
        <v>0</v>
      </c>
      <c r="J402" s="721">
        <f>SUM(J390:J401)</f>
        <v>14078362233.333332</v>
      </c>
      <c r="K402" s="721">
        <f>SUM(K390:K401)</f>
        <v>14078362233.333332</v>
      </c>
      <c r="L402" s="722">
        <f>I402/J402</f>
        <v>0</v>
      </c>
      <c r="M402" s="723">
        <f>SUM(M390:M401)</f>
        <v>0</v>
      </c>
      <c r="N402" s="724">
        <f>SUM(N390:N401)</f>
        <v>14078362233.333332</v>
      </c>
    </row>
    <row r="403" spans="1:14" ht="14.4" thickBot="1" x14ac:dyDescent="0.45">
      <c r="D403" s="1049" t="s">
        <v>283</v>
      </c>
      <c r="E403" s="1050"/>
      <c r="F403" s="1050"/>
      <c r="G403" s="1050"/>
      <c r="H403" s="1051"/>
      <c r="I403" s="733">
        <f>SUM(I376,I389,I402)</f>
        <v>0</v>
      </c>
      <c r="J403" s="733">
        <f t="shared" ref="J403" si="134">SUM(J376,J389,J402)</f>
        <v>41196140410.399994</v>
      </c>
      <c r="K403" s="733">
        <f t="shared" ref="K403" si="135">SUM(K376,K389,K402)</f>
        <v>41196140410.399994</v>
      </c>
      <c r="L403" s="734">
        <f>I403/J403</f>
        <v>0</v>
      </c>
      <c r="M403" s="733">
        <f>SUM(M376,M389,M402)</f>
        <v>0</v>
      </c>
      <c r="N403" s="733">
        <f>SUM(N376,N389,N402)</f>
        <v>41196140410.399994</v>
      </c>
    </row>
    <row r="404" spans="1:14" x14ac:dyDescent="0.4">
      <c r="A404" s="483" t="s">
        <v>24</v>
      </c>
      <c r="B404" s="483" t="s">
        <v>173</v>
      </c>
      <c r="C404" s="483" t="s">
        <v>105</v>
      </c>
      <c r="D404" s="693" t="s">
        <v>174</v>
      </c>
      <c r="E404" s="795" t="s">
        <v>132</v>
      </c>
      <c r="F404" s="772" t="s">
        <v>133</v>
      </c>
      <c r="G404" s="795" t="s">
        <v>134</v>
      </c>
      <c r="H404" s="772" t="s">
        <v>252</v>
      </c>
      <c r="I404" s="773"/>
      <c r="J404" s="773">
        <v>17044833.333333336</v>
      </c>
      <c r="K404" s="773">
        <v>17044833.333333336</v>
      </c>
      <c r="L404" s="774">
        <f t="shared" ref="L404" si="136">+I404/J404</f>
        <v>0</v>
      </c>
      <c r="M404" s="773"/>
      <c r="N404" s="759">
        <f>K404-M404</f>
        <v>17044833.333333336</v>
      </c>
    </row>
    <row r="405" spans="1:14" x14ac:dyDescent="0.4">
      <c r="A405" s="483" t="s">
        <v>24</v>
      </c>
      <c r="B405" s="483" t="s">
        <v>173</v>
      </c>
      <c r="C405" s="483" t="s">
        <v>105</v>
      </c>
      <c r="D405" s="699" t="str">
        <f t="shared" ref="D405:D415" si="137">D404</f>
        <v>10월</v>
      </c>
      <c r="E405" s="796" t="s">
        <v>132</v>
      </c>
      <c r="F405" s="701" t="s">
        <v>133</v>
      </c>
      <c r="G405" s="796" t="s">
        <v>134</v>
      </c>
      <c r="H405" s="701" t="s">
        <v>136</v>
      </c>
      <c r="I405" s="702"/>
      <c r="J405" s="702">
        <v>0</v>
      </c>
      <c r="K405" s="702">
        <v>0</v>
      </c>
      <c r="L405" s="703"/>
      <c r="M405" s="702"/>
      <c r="N405" s="738">
        <f t="shared" ref="N405:N415" si="138">K405-M405</f>
        <v>0</v>
      </c>
    </row>
    <row r="406" spans="1:14" x14ac:dyDescent="0.4">
      <c r="A406" s="483" t="s">
        <v>24</v>
      </c>
      <c r="B406" s="483" t="s">
        <v>173</v>
      </c>
      <c r="C406" s="483" t="s">
        <v>22</v>
      </c>
      <c r="D406" s="699" t="str">
        <f t="shared" si="137"/>
        <v>10월</v>
      </c>
      <c r="E406" s="797" t="s">
        <v>132</v>
      </c>
      <c r="F406" s="701" t="s">
        <v>133</v>
      </c>
      <c r="G406" s="796" t="s">
        <v>134</v>
      </c>
      <c r="H406" s="701" t="s">
        <v>137</v>
      </c>
      <c r="I406" s="702"/>
      <c r="J406" s="702">
        <v>1858978800</v>
      </c>
      <c r="K406" s="702">
        <v>1858978800</v>
      </c>
      <c r="L406" s="703"/>
      <c r="M406" s="702"/>
      <c r="N406" s="738">
        <f t="shared" si="138"/>
        <v>1858978800</v>
      </c>
    </row>
    <row r="407" spans="1:14" x14ac:dyDescent="0.4">
      <c r="A407" s="483" t="s">
        <v>24</v>
      </c>
      <c r="B407" s="483" t="s">
        <v>173</v>
      </c>
      <c r="C407" s="483" t="s">
        <v>27</v>
      </c>
      <c r="D407" s="699" t="str">
        <f t="shared" si="137"/>
        <v>10월</v>
      </c>
      <c r="E407" s="796" t="s">
        <v>132</v>
      </c>
      <c r="F407" s="701" t="s">
        <v>133</v>
      </c>
      <c r="G407" s="796" t="s">
        <v>134</v>
      </c>
      <c r="H407" s="701" t="s">
        <v>138</v>
      </c>
      <c r="I407" s="702"/>
      <c r="J407" s="702">
        <v>523955680</v>
      </c>
      <c r="K407" s="702">
        <v>523955680</v>
      </c>
      <c r="L407" s="703">
        <f t="shared" ref="L407:L413" si="139">+I407/J407</f>
        <v>0</v>
      </c>
      <c r="M407" s="702"/>
      <c r="N407" s="738">
        <f t="shared" si="138"/>
        <v>523955680</v>
      </c>
    </row>
    <row r="408" spans="1:14" x14ac:dyDescent="0.4">
      <c r="A408" s="483" t="s">
        <v>24</v>
      </c>
      <c r="B408" s="483" t="s">
        <v>173</v>
      </c>
      <c r="C408" s="483" t="s">
        <v>26</v>
      </c>
      <c r="D408" s="699" t="str">
        <f t="shared" si="137"/>
        <v>10월</v>
      </c>
      <c r="E408" s="796" t="s">
        <v>132</v>
      </c>
      <c r="F408" s="701" t="s">
        <v>133</v>
      </c>
      <c r="G408" s="796" t="s">
        <v>134</v>
      </c>
      <c r="H408" s="701" t="s">
        <v>255</v>
      </c>
      <c r="I408" s="702"/>
      <c r="J408" s="702">
        <v>3361415400</v>
      </c>
      <c r="K408" s="702">
        <v>9062783716</v>
      </c>
      <c r="L408" s="703">
        <f t="shared" si="139"/>
        <v>0</v>
      </c>
      <c r="M408" s="702"/>
      <c r="N408" s="738">
        <f t="shared" si="138"/>
        <v>9062783716</v>
      </c>
    </row>
    <row r="409" spans="1:14" x14ac:dyDescent="0.4">
      <c r="A409" s="483" t="s">
        <v>24</v>
      </c>
      <c r="B409" s="483" t="s">
        <v>173</v>
      </c>
      <c r="C409" s="483" t="s">
        <v>26</v>
      </c>
      <c r="D409" s="699" t="str">
        <f t="shared" si="137"/>
        <v>10월</v>
      </c>
      <c r="E409" s="796" t="s">
        <v>132</v>
      </c>
      <c r="F409" s="701" t="s">
        <v>133</v>
      </c>
      <c r="G409" s="796" t="s">
        <v>134</v>
      </c>
      <c r="H409" s="701" t="s">
        <v>257</v>
      </c>
      <c r="I409" s="702"/>
      <c r="J409" s="702">
        <v>2534755016</v>
      </c>
      <c r="K409" s="702"/>
      <c r="L409" s="703"/>
      <c r="M409" s="702"/>
      <c r="N409" s="738"/>
    </row>
    <row r="410" spans="1:14" x14ac:dyDescent="0.4">
      <c r="A410" s="483" t="s">
        <v>24</v>
      </c>
      <c r="B410" s="483" t="s">
        <v>173</v>
      </c>
      <c r="C410" s="483" t="s">
        <v>26</v>
      </c>
      <c r="D410" s="699" t="str">
        <f t="shared" si="137"/>
        <v>10월</v>
      </c>
      <c r="E410" s="796" t="s">
        <v>132</v>
      </c>
      <c r="F410" s="701" t="s">
        <v>133</v>
      </c>
      <c r="G410" s="796" t="s">
        <v>134</v>
      </c>
      <c r="H410" s="701" t="s">
        <v>258</v>
      </c>
      <c r="I410" s="702"/>
      <c r="J410" s="702">
        <v>3166613300</v>
      </c>
      <c r="K410" s="702"/>
      <c r="L410" s="703"/>
      <c r="M410" s="702"/>
      <c r="N410" s="738"/>
    </row>
    <row r="411" spans="1:14" x14ac:dyDescent="0.4">
      <c r="A411" s="483" t="s">
        <v>24</v>
      </c>
      <c r="B411" s="483" t="s">
        <v>173</v>
      </c>
      <c r="C411" s="483" t="s">
        <v>32</v>
      </c>
      <c r="D411" s="699" t="str">
        <f>D408</f>
        <v>10월</v>
      </c>
      <c r="E411" s="796" t="s">
        <v>132</v>
      </c>
      <c r="F411" s="701" t="s">
        <v>133</v>
      </c>
      <c r="G411" s="796" t="s">
        <v>134</v>
      </c>
      <c r="H411" s="701" t="s">
        <v>140</v>
      </c>
      <c r="I411" s="702"/>
      <c r="J411" s="702">
        <v>0</v>
      </c>
      <c r="K411" s="702">
        <v>0</v>
      </c>
      <c r="L411" s="703" t="e">
        <f t="shared" si="139"/>
        <v>#DIV/0!</v>
      </c>
      <c r="M411" s="702"/>
      <c r="N411" s="738">
        <f t="shared" si="138"/>
        <v>0</v>
      </c>
    </row>
    <row r="412" spans="1:14" x14ac:dyDescent="0.4">
      <c r="A412" s="483" t="s">
        <v>24</v>
      </c>
      <c r="B412" s="483" t="s">
        <v>173</v>
      </c>
      <c r="C412" s="483" t="s">
        <v>30</v>
      </c>
      <c r="D412" s="699" t="str">
        <f t="shared" si="137"/>
        <v>10월</v>
      </c>
      <c r="E412" s="796" t="s">
        <v>132</v>
      </c>
      <c r="F412" s="701" t="s">
        <v>133</v>
      </c>
      <c r="G412" s="796" t="s">
        <v>134</v>
      </c>
      <c r="H412" s="701" t="s">
        <v>141</v>
      </c>
      <c r="I412" s="702"/>
      <c r="J412" s="702">
        <v>85000000</v>
      </c>
      <c r="K412" s="702">
        <v>85000000</v>
      </c>
      <c r="L412" s="703">
        <f t="shared" si="139"/>
        <v>0</v>
      </c>
      <c r="M412" s="702"/>
      <c r="N412" s="738">
        <f t="shared" si="138"/>
        <v>85000000</v>
      </c>
    </row>
    <row r="413" spans="1:14" x14ac:dyDescent="0.4">
      <c r="A413" s="483" t="s">
        <v>24</v>
      </c>
      <c r="B413" s="483" t="s">
        <v>173</v>
      </c>
      <c r="C413" s="483" t="s">
        <v>29</v>
      </c>
      <c r="D413" s="699" t="str">
        <f t="shared" si="137"/>
        <v>10월</v>
      </c>
      <c r="E413" s="796" t="s">
        <v>132</v>
      </c>
      <c r="F413" s="701" t="s">
        <v>133</v>
      </c>
      <c r="G413" s="796" t="s">
        <v>134</v>
      </c>
      <c r="H413" s="701" t="s">
        <v>145</v>
      </c>
      <c r="I413" s="702"/>
      <c r="J413" s="702">
        <v>300000000</v>
      </c>
      <c r="K413" s="702">
        <v>300000000</v>
      </c>
      <c r="L413" s="703">
        <f t="shared" si="139"/>
        <v>0</v>
      </c>
      <c r="M413" s="702"/>
      <c r="N413" s="738">
        <f t="shared" si="138"/>
        <v>300000000</v>
      </c>
    </row>
    <row r="414" spans="1:14" x14ac:dyDescent="0.4">
      <c r="A414" s="483" t="s">
        <v>24</v>
      </c>
      <c r="B414" s="483" t="s">
        <v>173</v>
      </c>
      <c r="C414" s="483" t="s">
        <v>31</v>
      </c>
      <c r="D414" s="699" t="str">
        <f t="shared" si="137"/>
        <v>10월</v>
      </c>
      <c r="E414" s="798" t="s">
        <v>132</v>
      </c>
      <c r="F414" s="712" t="s">
        <v>133</v>
      </c>
      <c r="G414" s="798" t="s">
        <v>134</v>
      </c>
      <c r="H414" s="712" t="s">
        <v>146</v>
      </c>
      <c r="I414" s="713"/>
      <c r="J414" s="702">
        <v>93750000</v>
      </c>
      <c r="K414" s="702">
        <v>93750000</v>
      </c>
      <c r="L414" s="714"/>
      <c r="M414" s="702"/>
      <c r="N414" s="738">
        <f t="shared" si="138"/>
        <v>93750000</v>
      </c>
    </row>
    <row r="415" spans="1:14" ht="14.4" thickBot="1" x14ac:dyDescent="0.45">
      <c r="A415" s="483" t="s">
        <v>24</v>
      </c>
      <c r="B415" s="483" t="s">
        <v>173</v>
      </c>
      <c r="C415" s="483" t="s">
        <v>32</v>
      </c>
      <c r="D415" s="777" t="str">
        <f t="shared" si="137"/>
        <v>10월</v>
      </c>
      <c r="E415" s="799" t="s">
        <v>132</v>
      </c>
      <c r="F415" s="716" t="s">
        <v>133</v>
      </c>
      <c r="G415" s="799" t="s">
        <v>134</v>
      </c>
      <c r="H415" s="716" t="s">
        <v>147</v>
      </c>
      <c r="I415" s="717"/>
      <c r="J415" s="717"/>
      <c r="K415" s="717"/>
      <c r="L415" s="718" t="e">
        <f t="shared" ref="L415" si="140">+K415/J415</f>
        <v>#DIV/0!</v>
      </c>
      <c r="M415" s="717"/>
      <c r="N415" s="738">
        <f t="shared" si="138"/>
        <v>0</v>
      </c>
    </row>
    <row r="416" spans="1:14" ht="14.4" thickBot="1" x14ac:dyDescent="0.45">
      <c r="D416" s="1046" t="s">
        <v>284</v>
      </c>
      <c r="E416" s="1047"/>
      <c r="F416" s="1047"/>
      <c r="G416" s="1047"/>
      <c r="H416" s="1048"/>
      <c r="I416" s="721">
        <f>SUM(I404:I415)</f>
        <v>0</v>
      </c>
      <c r="J416" s="721">
        <f>SUM(J404:J415)</f>
        <v>11941513029.333332</v>
      </c>
      <c r="K416" s="721">
        <f>SUM(K404:K415)</f>
        <v>11941513029.333332</v>
      </c>
      <c r="L416" s="722">
        <f>I416/J416</f>
        <v>0</v>
      </c>
      <c r="M416" s="723">
        <f>SUM(M404:M415)</f>
        <v>0</v>
      </c>
      <c r="N416" s="724">
        <f>SUM(N404:N415)</f>
        <v>11941513029.333332</v>
      </c>
    </row>
    <row r="417" spans="1:14" x14ac:dyDescent="0.4">
      <c r="A417" s="483" t="s">
        <v>24</v>
      </c>
      <c r="B417" s="483" t="s">
        <v>173</v>
      </c>
      <c r="C417" s="483" t="s">
        <v>105</v>
      </c>
      <c r="D417" s="693" t="s">
        <v>142</v>
      </c>
      <c r="E417" s="795" t="s">
        <v>132</v>
      </c>
      <c r="F417" s="772" t="s">
        <v>133</v>
      </c>
      <c r="G417" s="795" t="s">
        <v>134</v>
      </c>
      <c r="H417" s="772" t="s">
        <v>252</v>
      </c>
      <c r="I417" s="773"/>
      <c r="J417" s="773">
        <v>17044833.333333336</v>
      </c>
      <c r="K417" s="773">
        <v>17044833.333333336</v>
      </c>
      <c r="L417" s="774">
        <f t="shared" ref="L417" si="141">+I417/J417</f>
        <v>0</v>
      </c>
      <c r="M417" s="773"/>
      <c r="N417" s="759">
        <f>K417-M417</f>
        <v>17044833.333333336</v>
      </c>
    </row>
    <row r="418" spans="1:14" x14ac:dyDescent="0.4">
      <c r="A418" s="483" t="s">
        <v>24</v>
      </c>
      <c r="B418" s="483" t="s">
        <v>173</v>
      </c>
      <c r="C418" s="483" t="s">
        <v>105</v>
      </c>
      <c r="D418" s="699" t="str">
        <f t="shared" ref="D418:D428" si="142">D417</f>
        <v>11월</v>
      </c>
      <c r="E418" s="796" t="s">
        <v>132</v>
      </c>
      <c r="F418" s="701" t="s">
        <v>133</v>
      </c>
      <c r="G418" s="796" t="s">
        <v>134</v>
      </c>
      <c r="H418" s="701" t="s">
        <v>136</v>
      </c>
      <c r="I418" s="702"/>
      <c r="J418" s="702">
        <v>0</v>
      </c>
      <c r="K418" s="702">
        <v>0</v>
      </c>
      <c r="L418" s="703"/>
      <c r="M418" s="702"/>
      <c r="N418" s="738">
        <f t="shared" ref="N418:N421" si="143">K418-M418</f>
        <v>0</v>
      </c>
    </row>
    <row r="419" spans="1:14" x14ac:dyDescent="0.4">
      <c r="A419" s="483" t="s">
        <v>24</v>
      </c>
      <c r="B419" s="483" t="s">
        <v>173</v>
      </c>
      <c r="C419" s="483" t="s">
        <v>22</v>
      </c>
      <c r="D419" s="699" t="str">
        <f t="shared" si="142"/>
        <v>11월</v>
      </c>
      <c r="E419" s="797" t="s">
        <v>132</v>
      </c>
      <c r="F419" s="701" t="s">
        <v>133</v>
      </c>
      <c r="G419" s="796" t="s">
        <v>134</v>
      </c>
      <c r="H419" s="701" t="s">
        <v>137</v>
      </c>
      <c r="I419" s="785"/>
      <c r="J419" s="702">
        <v>1882494000</v>
      </c>
      <c r="K419" s="702">
        <v>1882494000</v>
      </c>
      <c r="L419" s="703"/>
      <c r="M419" s="702"/>
      <c r="N419" s="738">
        <f t="shared" si="143"/>
        <v>1882494000</v>
      </c>
    </row>
    <row r="420" spans="1:14" x14ac:dyDescent="0.4">
      <c r="A420" s="483" t="s">
        <v>24</v>
      </c>
      <c r="B420" s="483" t="s">
        <v>173</v>
      </c>
      <c r="C420" s="483" t="s">
        <v>27</v>
      </c>
      <c r="D420" s="699" t="str">
        <f t="shared" si="142"/>
        <v>11월</v>
      </c>
      <c r="E420" s="796" t="s">
        <v>132</v>
      </c>
      <c r="F420" s="701" t="s">
        <v>133</v>
      </c>
      <c r="G420" s="796" t="s">
        <v>134</v>
      </c>
      <c r="H420" s="701" t="s">
        <v>138</v>
      </c>
      <c r="I420" s="785"/>
      <c r="J420" s="702">
        <v>537439360</v>
      </c>
      <c r="K420" s="702">
        <v>537439360</v>
      </c>
      <c r="L420" s="703">
        <f>+I420/J420</f>
        <v>0</v>
      </c>
      <c r="M420" s="702"/>
      <c r="N420" s="738">
        <f t="shared" si="143"/>
        <v>537439360</v>
      </c>
    </row>
    <row r="421" spans="1:14" x14ac:dyDescent="0.4">
      <c r="A421" s="483" t="s">
        <v>24</v>
      </c>
      <c r="B421" s="483" t="s">
        <v>173</v>
      </c>
      <c r="C421" s="483" t="s">
        <v>26</v>
      </c>
      <c r="D421" s="699" t="str">
        <f t="shared" si="142"/>
        <v>11월</v>
      </c>
      <c r="E421" s="796" t="s">
        <v>132</v>
      </c>
      <c r="F421" s="701" t="s">
        <v>133</v>
      </c>
      <c r="G421" s="796" t="s">
        <v>134</v>
      </c>
      <c r="H421" s="701" t="s">
        <v>255</v>
      </c>
      <c r="I421" s="785"/>
      <c r="J421" s="702">
        <v>4705954200</v>
      </c>
      <c r="K421" s="702">
        <v>10091420494.4</v>
      </c>
      <c r="L421" s="703">
        <f t="shared" ref="L421:L426" si="144">+I421/J421</f>
        <v>0</v>
      </c>
      <c r="M421" s="702"/>
      <c r="N421" s="738">
        <f t="shared" si="143"/>
        <v>10091420494.4</v>
      </c>
    </row>
    <row r="422" spans="1:14" x14ac:dyDescent="0.4">
      <c r="A422" s="483" t="s">
        <v>24</v>
      </c>
      <c r="B422" s="483" t="s">
        <v>173</v>
      </c>
      <c r="C422" s="483" t="s">
        <v>26</v>
      </c>
      <c r="D422" s="699" t="str">
        <f t="shared" si="142"/>
        <v>11월</v>
      </c>
      <c r="E422" s="796" t="s">
        <v>132</v>
      </c>
      <c r="F422" s="701" t="s">
        <v>133</v>
      </c>
      <c r="G422" s="796" t="s">
        <v>134</v>
      </c>
      <c r="H422" s="701" t="s">
        <v>257</v>
      </c>
      <c r="I422" s="785"/>
      <c r="J422" s="702">
        <v>1556374694.3999999</v>
      </c>
      <c r="K422" s="702"/>
      <c r="L422" s="703"/>
      <c r="M422" s="702"/>
      <c r="N422" s="738"/>
    </row>
    <row r="423" spans="1:14" x14ac:dyDescent="0.4">
      <c r="A423" s="483" t="s">
        <v>24</v>
      </c>
      <c r="B423" s="483" t="s">
        <v>173</v>
      </c>
      <c r="C423" s="483" t="s">
        <v>26</v>
      </c>
      <c r="D423" s="699" t="str">
        <f t="shared" si="142"/>
        <v>11월</v>
      </c>
      <c r="E423" s="796" t="s">
        <v>132</v>
      </c>
      <c r="F423" s="701" t="s">
        <v>133</v>
      </c>
      <c r="G423" s="796" t="s">
        <v>134</v>
      </c>
      <c r="H423" s="701" t="s">
        <v>258</v>
      </c>
      <c r="I423" s="785"/>
      <c r="J423" s="702">
        <v>3829091599.9999995</v>
      </c>
      <c r="K423" s="702"/>
      <c r="L423" s="703"/>
      <c r="M423" s="702"/>
      <c r="N423" s="738"/>
    </row>
    <row r="424" spans="1:14" x14ac:dyDescent="0.4">
      <c r="A424" s="483" t="s">
        <v>24</v>
      </c>
      <c r="B424" s="483" t="s">
        <v>173</v>
      </c>
      <c r="C424" s="483" t="s">
        <v>32</v>
      </c>
      <c r="D424" s="699" t="str">
        <f>D421</f>
        <v>11월</v>
      </c>
      <c r="E424" s="796" t="s">
        <v>132</v>
      </c>
      <c r="F424" s="701" t="s">
        <v>133</v>
      </c>
      <c r="G424" s="796" t="s">
        <v>134</v>
      </c>
      <c r="H424" s="701" t="s">
        <v>140</v>
      </c>
      <c r="I424" s="702"/>
      <c r="J424" s="702">
        <v>0</v>
      </c>
      <c r="K424" s="702">
        <v>0</v>
      </c>
      <c r="L424" s="703" t="e">
        <f t="shared" si="144"/>
        <v>#DIV/0!</v>
      </c>
      <c r="M424" s="702"/>
      <c r="N424" s="738">
        <f>K424-M424</f>
        <v>0</v>
      </c>
    </row>
    <row r="425" spans="1:14" x14ac:dyDescent="0.4">
      <c r="A425" s="483" t="s">
        <v>24</v>
      </c>
      <c r="B425" s="483" t="s">
        <v>173</v>
      </c>
      <c r="C425" s="483" t="s">
        <v>30</v>
      </c>
      <c r="D425" s="699" t="str">
        <f t="shared" si="142"/>
        <v>11월</v>
      </c>
      <c r="E425" s="796" t="s">
        <v>132</v>
      </c>
      <c r="F425" s="701" t="s">
        <v>133</v>
      </c>
      <c r="G425" s="796" t="s">
        <v>134</v>
      </c>
      <c r="H425" s="701" t="s">
        <v>141</v>
      </c>
      <c r="I425" s="702"/>
      <c r="J425" s="702">
        <v>131875000</v>
      </c>
      <c r="K425" s="702">
        <v>131875000</v>
      </c>
      <c r="L425" s="703">
        <f t="shared" si="144"/>
        <v>0</v>
      </c>
      <c r="M425" s="702"/>
      <c r="N425" s="738">
        <f>K425-M425</f>
        <v>131875000</v>
      </c>
    </row>
    <row r="426" spans="1:14" x14ac:dyDescent="0.4">
      <c r="A426" s="483" t="s">
        <v>24</v>
      </c>
      <c r="B426" s="483" t="s">
        <v>173</v>
      </c>
      <c r="C426" s="483" t="s">
        <v>29</v>
      </c>
      <c r="D426" s="699" t="str">
        <f t="shared" si="142"/>
        <v>11월</v>
      </c>
      <c r="E426" s="796" t="s">
        <v>132</v>
      </c>
      <c r="F426" s="701" t="s">
        <v>133</v>
      </c>
      <c r="G426" s="796" t="s">
        <v>134</v>
      </c>
      <c r="H426" s="701" t="s">
        <v>145</v>
      </c>
      <c r="I426" s="785"/>
      <c r="J426" s="702">
        <v>2616600000</v>
      </c>
      <c r="K426" s="702">
        <v>2616600000</v>
      </c>
      <c r="L426" s="703">
        <f t="shared" si="144"/>
        <v>0</v>
      </c>
      <c r="M426" s="702"/>
      <c r="N426" s="738">
        <f t="shared" ref="N426" si="145">K426-M426</f>
        <v>2616600000</v>
      </c>
    </row>
    <row r="427" spans="1:14" x14ac:dyDescent="0.4">
      <c r="A427" s="483" t="s">
        <v>24</v>
      </c>
      <c r="B427" s="483" t="s">
        <v>173</v>
      </c>
      <c r="C427" s="483" t="s">
        <v>31</v>
      </c>
      <c r="D427" s="699" t="str">
        <f t="shared" si="142"/>
        <v>11월</v>
      </c>
      <c r="E427" s="798" t="s">
        <v>132</v>
      </c>
      <c r="F427" s="712" t="s">
        <v>133</v>
      </c>
      <c r="G427" s="798" t="s">
        <v>134</v>
      </c>
      <c r="H427" s="712" t="s">
        <v>146</v>
      </c>
      <c r="I427" s="792"/>
      <c r="J427" s="702">
        <v>0</v>
      </c>
      <c r="K427" s="702">
        <v>0</v>
      </c>
      <c r="L427" s="714"/>
      <c r="M427" s="713"/>
      <c r="N427" s="738">
        <f>K427-M427</f>
        <v>0</v>
      </c>
    </row>
    <row r="428" spans="1:14" ht="14.4" thickBot="1" x14ac:dyDescent="0.45">
      <c r="A428" s="483" t="s">
        <v>24</v>
      </c>
      <c r="B428" s="483" t="s">
        <v>173</v>
      </c>
      <c r="C428" s="483" t="s">
        <v>32</v>
      </c>
      <c r="D428" s="777" t="str">
        <f t="shared" si="142"/>
        <v>11월</v>
      </c>
      <c r="E428" s="799" t="s">
        <v>132</v>
      </c>
      <c r="F428" s="716" t="s">
        <v>133</v>
      </c>
      <c r="G428" s="799" t="s">
        <v>134</v>
      </c>
      <c r="H428" s="716" t="s">
        <v>147</v>
      </c>
      <c r="I428" s="717"/>
      <c r="J428" s="717"/>
      <c r="K428" s="717"/>
      <c r="L428" s="718" t="e">
        <f t="shared" ref="L428" si="146">+K428/J428</f>
        <v>#DIV/0!</v>
      </c>
      <c r="M428" s="717"/>
      <c r="N428" s="738">
        <f t="shared" ref="N428" si="147">K428-M428</f>
        <v>0</v>
      </c>
    </row>
    <row r="429" spans="1:14" ht="14.4" thickBot="1" x14ac:dyDescent="0.45">
      <c r="D429" s="1046" t="s">
        <v>180</v>
      </c>
      <c r="E429" s="1047"/>
      <c r="F429" s="1047"/>
      <c r="G429" s="1047"/>
      <c r="H429" s="1048"/>
      <c r="I429" s="721">
        <f>SUM(I417:I428)</f>
        <v>0</v>
      </c>
      <c r="J429" s="721">
        <f>SUM(J417:J428)</f>
        <v>15276873687.733334</v>
      </c>
      <c r="K429" s="721">
        <f>SUM(K417:K428)</f>
        <v>15276873687.733334</v>
      </c>
      <c r="L429" s="722">
        <f>I429/J429</f>
        <v>0</v>
      </c>
      <c r="M429" s="723">
        <f>SUM(M417:M428)</f>
        <v>0</v>
      </c>
      <c r="N429" s="724">
        <f>SUM(N417:N428)</f>
        <v>15276873687.733334</v>
      </c>
    </row>
    <row r="430" spans="1:14" x14ac:dyDescent="0.4">
      <c r="A430" s="483" t="s">
        <v>24</v>
      </c>
      <c r="B430" s="483" t="s">
        <v>173</v>
      </c>
      <c r="C430" s="483" t="s">
        <v>105</v>
      </c>
      <c r="D430" s="693" t="s">
        <v>143</v>
      </c>
      <c r="E430" s="795" t="s">
        <v>132</v>
      </c>
      <c r="F430" s="772" t="s">
        <v>133</v>
      </c>
      <c r="G430" s="795" t="s">
        <v>134</v>
      </c>
      <c r="H430" s="772" t="s">
        <v>285</v>
      </c>
      <c r="I430" s="773"/>
      <c r="J430" s="773">
        <v>17044833.333333336</v>
      </c>
      <c r="K430" s="773">
        <v>17044833.333333336</v>
      </c>
      <c r="L430" s="774">
        <f t="shared" ref="L430" si="148">+I430/J430</f>
        <v>0</v>
      </c>
      <c r="M430" s="773"/>
      <c r="N430" s="759">
        <f>K430-M430</f>
        <v>17044833.333333336</v>
      </c>
    </row>
    <row r="431" spans="1:14" x14ac:dyDescent="0.4">
      <c r="A431" s="483" t="s">
        <v>24</v>
      </c>
      <c r="B431" s="483" t="s">
        <v>173</v>
      </c>
      <c r="C431" s="483" t="s">
        <v>105</v>
      </c>
      <c r="D431" s="699" t="str">
        <f t="shared" ref="D431:D441" si="149">D430</f>
        <v>12월</v>
      </c>
      <c r="E431" s="796" t="s">
        <v>132</v>
      </c>
      <c r="F431" s="701" t="s">
        <v>133</v>
      </c>
      <c r="G431" s="796" t="s">
        <v>134</v>
      </c>
      <c r="H431" s="701" t="s">
        <v>136</v>
      </c>
      <c r="I431" s="702"/>
      <c r="J431" s="702">
        <v>0</v>
      </c>
      <c r="K431" s="702">
        <v>0</v>
      </c>
      <c r="L431" s="703"/>
      <c r="M431" s="785"/>
      <c r="N431" s="738">
        <f t="shared" ref="N431:N432" si="150">K431-M431</f>
        <v>0</v>
      </c>
    </row>
    <row r="432" spans="1:14" x14ac:dyDescent="0.4">
      <c r="A432" s="483" t="s">
        <v>24</v>
      </c>
      <c r="B432" s="483" t="s">
        <v>173</v>
      </c>
      <c r="C432" s="483" t="s">
        <v>22</v>
      </c>
      <c r="D432" s="699" t="str">
        <f t="shared" si="149"/>
        <v>12월</v>
      </c>
      <c r="E432" s="797" t="s">
        <v>132</v>
      </c>
      <c r="F432" s="701" t="s">
        <v>133</v>
      </c>
      <c r="G432" s="796" t="s">
        <v>134</v>
      </c>
      <c r="H432" s="701" t="s">
        <v>137</v>
      </c>
      <c r="I432" s="702"/>
      <c r="J432" s="702">
        <v>2843038800</v>
      </c>
      <c r="K432" s="702">
        <v>2843038800</v>
      </c>
      <c r="L432" s="703"/>
      <c r="M432" s="785"/>
      <c r="N432" s="738">
        <f t="shared" si="150"/>
        <v>2843038800</v>
      </c>
    </row>
    <row r="433" spans="1:14" x14ac:dyDescent="0.4">
      <c r="A433" s="483" t="s">
        <v>24</v>
      </c>
      <c r="B433" s="483" t="s">
        <v>173</v>
      </c>
      <c r="C433" s="483" t="s">
        <v>27</v>
      </c>
      <c r="D433" s="699" t="str">
        <f t="shared" si="149"/>
        <v>12월</v>
      </c>
      <c r="E433" s="796" t="s">
        <v>132</v>
      </c>
      <c r="F433" s="701" t="s">
        <v>133</v>
      </c>
      <c r="G433" s="796" t="s">
        <v>134</v>
      </c>
      <c r="H433" s="701" t="s">
        <v>138</v>
      </c>
      <c r="I433" s="702"/>
      <c r="J433" s="702">
        <v>382489320</v>
      </c>
      <c r="K433" s="702">
        <v>382489320</v>
      </c>
      <c r="L433" s="703">
        <f t="shared" ref="L433:L439" si="151">+I433/J433</f>
        <v>0</v>
      </c>
      <c r="M433" s="785"/>
      <c r="N433" s="738">
        <f>K433-M433</f>
        <v>382489320</v>
      </c>
    </row>
    <row r="434" spans="1:14" x14ac:dyDescent="0.4">
      <c r="A434" s="483" t="s">
        <v>24</v>
      </c>
      <c r="B434" s="483" t="s">
        <v>173</v>
      </c>
      <c r="C434" s="483" t="s">
        <v>26</v>
      </c>
      <c r="D434" s="699" t="str">
        <f t="shared" si="149"/>
        <v>12월</v>
      </c>
      <c r="E434" s="796" t="s">
        <v>132</v>
      </c>
      <c r="F434" s="701" t="s">
        <v>133</v>
      </c>
      <c r="G434" s="796" t="s">
        <v>134</v>
      </c>
      <c r="H434" s="701" t="s">
        <v>255</v>
      </c>
      <c r="I434" s="702"/>
      <c r="J434" s="702">
        <v>3763162800</v>
      </c>
      <c r="K434" s="702">
        <v>12372522615.199999</v>
      </c>
      <c r="L434" s="703">
        <f t="shared" si="151"/>
        <v>0</v>
      </c>
      <c r="M434" s="785"/>
      <c r="N434" s="738">
        <f t="shared" ref="N434:N441" si="152">K434-M434</f>
        <v>12372522615.199999</v>
      </c>
    </row>
    <row r="435" spans="1:14" x14ac:dyDescent="0.4">
      <c r="A435" s="483" t="s">
        <v>24</v>
      </c>
      <c r="B435" s="483" t="s">
        <v>173</v>
      </c>
      <c r="C435" s="483" t="s">
        <v>26</v>
      </c>
      <c r="D435" s="699" t="str">
        <f t="shared" si="149"/>
        <v>12월</v>
      </c>
      <c r="E435" s="796" t="s">
        <v>132</v>
      </c>
      <c r="F435" s="701" t="s">
        <v>133</v>
      </c>
      <c r="G435" s="796" t="s">
        <v>134</v>
      </c>
      <c r="H435" s="701" t="s">
        <v>257</v>
      </c>
      <c r="I435" s="702"/>
      <c r="J435" s="702">
        <v>4192489015.1999998</v>
      </c>
      <c r="K435" s="702"/>
      <c r="L435" s="703"/>
      <c r="M435" s="785"/>
      <c r="N435" s="738"/>
    </row>
    <row r="436" spans="1:14" x14ac:dyDescent="0.4">
      <c r="A436" s="483" t="s">
        <v>24</v>
      </c>
      <c r="B436" s="483" t="s">
        <v>173</v>
      </c>
      <c r="C436" s="483" t="s">
        <v>26</v>
      </c>
      <c r="D436" s="699" t="str">
        <f t="shared" si="149"/>
        <v>12월</v>
      </c>
      <c r="E436" s="796" t="s">
        <v>132</v>
      </c>
      <c r="F436" s="701" t="s">
        <v>133</v>
      </c>
      <c r="G436" s="796" t="s">
        <v>134</v>
      </c>
      <c r="H436" s="701" t="s">
        <v>258</v>
      </c>
      <c r="I436" s="702"/>
      <c r="J436" s="702">
        <v>4416870799.999999</v>
      </c>
      <c r="K436" s="702"/>
      <c r="L436" s="703"/>
      <c r="M436" s="785"/>
      <c r="N436" s="738"/>
    </row>
    <row r="437" spans="1:14" x14ac:dyDescent="0.4">
      <c r="A437" s="483" t="s">
        <v>24</v>
      </c>
      <c r="B437" s="483" t="s">
        <v>173</v>
      </c>
      <c r="C437" s="483" t="s">
        <v>32</v>
      </c>
      <c r="D437" s="699" t="str">
        <f>D434</f>
        <v>12월</v>
      </c>
      <c r="E437" s="796" t="s">
        <v>132</v>
      </c>
      <c r="F437" s="701" t="s">
        <v>133</v>
      </c>
      <c r="G437" s="796" t="s">
        <v>134</v>
      </c>
      <c r="H437" s="701" t="s">
        <v>140</v>
      </c>
      <c r="I437" s="702"/>
      <c r="J437" s="702">
        <v>0</v>
      </c>
      <c r="K437" s="702">
        <v>0</v>
      </c>
      <c r="L437" s="703" t="e">
        <f t="shared" si="151"/>
        <v>#DIV/0!</v>
      </c>
      <c r="M437" s="785"/>
      <c r="N437" s="738">
        <f t="shared" si="152"/>
        <v>0</v>
      </c>
    </row>
    <row r="438" spans="1:14" x14ac:dyDescent="0.4">
      <c r="A438" s="483" t="s">
        <v>24</v>
      </c>
      <c r="B438" s="483" t="s">
        <v>173</v>
      </c>
      <c r="C438" s="483" t="s">
        <v>30</v>
      </c>
      <c r="D438" s="699" t="str">
        <f t="shared" si="149"/>
        <v>12월</v>
      </c>
      <c r="E438" s="796" t="s">
        <v>132</v>
      </c>
      <c r="F438" s="701" t="s">
        <v>133</v>
      </c>
      <c r="G438" s="796" t="s">
        <v>134</v>
      </c>
      <c r="H438" s="701" t="s">
        <v>141</v>
      </c>
      <c r="I438" s="702"/>
      <c r="J438" s="702">
        <v>0</v>
      </c>
      <c r="K438" s="702">
        <v>0</v>
      </c>
      <c r="L438" s="703" t="e">
        <f t="shared" si="151"/>
        <v>#DIV/0!</v>
      </c>
      <c r="M438" s="785"/>
      <c r="N438" s="738">
        <f t="shared" si="152"/>
        <v>0</v>
      </c>
    </row>
    <row r="439" spans="1:14" x14ac:dyDescent="0.4">
      <c r="A439" s="483" t="s">
        <v>24</v>
      </c>
      <c r="B439" s="483" t="s">
        <v>173</v>
      </c>
      <c r="C439" s="483" t="s">
        <v>29</v>
      </c>
      <c r="D439" s="699" t="str">
        <f t="shared" si="149"/>
        <v>12월</v>
      </c>
      <c r="E439" s="796" t="s">
        <v>132</v>
      </c>
      <c r="F439" s="701" t="s">
        <v>133</v>
      </c>
      <c r="G439" s="796" t="s">
        <v>134</v>
      </c>
      <c r="H439" s="701" t="s">
        <v>145</v>
      </c>
      <c r="I439" s="702"/>
      <c r="J439" s="702">
        <v>2302000000</v>
      </c>
      <c r="K439" s="702">
        <v>2302000000</v>
      </c>
      <c r="L439" s="703">
        <f t="shared" si="151"/>
        <v>0</v>
      </c>
      <c r="M439" s="785"/>
      <c r="N439" s="738">
        <f t="shared" si="152"/>
        <v>2302000000</v>
      </c>
    </row>
    <row r="440" spans="1:14" x14ac:dyDescent="0.4">
      <c r="A440" s="483" t="s">
        <v>24</v>
      </c>
      <c r="B440" s="483" t="s">
        <v>173</v>
      </c>
      <c r="C440" s="483" t="s">
        <v>31</v>
      </c>
      <c r="D440" s="699" t="str">
        <f t="shared" si="149"/>
        <v>12월</v>
      </c>
      <c r="E440" s="798" t="s">
        <v>132</v>
      </c>
      <c r="F440" s="712" t="s">
        <v>133</v>
      </c>
      <c r="G440" s="798" t="s">
        <v>134</v>
      </c>
      <c r="H440" s="712" t="s">
        <v>146</v>
      </c>
      <c r="I440" s="713"/>
      <c r="J440" s="702">
        <v>0</v>
      </c>
      <c r="K440" s="702">
        <v>0</v>
      </c>
      <c r="L440" s="714"/>
      <c r="M440" s="792"/>
      <c r="N440" s="738">
        <f t="shared" si="152"/>
        <v>0</v>
      </c>
    </row>
    <row r="441" spans="1:14" ht="14.4" thickBot="1" x14ac:dyDescent="0.45">
      <c r="A441" s="483" t="s">
        <v>24</v>
      </c>
      <c r="B441" s="483" t="s">
        <v>173</v>
      </c>
      <c r="C441" s="483" t="s">
        <v>32</v>
      </c>
      <c r="D441" s="777" t="str">
        <f t="shared" si="149"/>
        <v>12월</v>
      </c>
      <c r="E441" s="799" t="s">
        <v>132</v>
      </c>
      <c r="F441" s="716" t="s">
        <v>133</v>
      </c>
      <c r="G441" s="799" t="s">
        <v>134</v>
      </c>
      <c r="H441" s="716" t="s">
        <v>147</v>
      </c>
      <c r="I441" s="717"/>
      <c r="J441" s="717"/>
      <c r="K441" s="717"/>
      <c r="L441" s="718" t="e">
        <f t="shared" ref="L441" si="153">+K441/J441</f>
        <v>#DIV/0!</v>
      </c>
      <c r="M441" s="717"/>
      <c r="N441" s="738">
        <f t="shared" si="152"/>
        <v>0</v>
      </c>
    </row>
    <row r="442" spans="1:14" ht="14.4" thickBot="1" x14ac:dyDescent="0.45">
      <c r="D442" s="1046" t="s">
        <v>183</v>
      </c>
      <c r="E442" s="1047"/>
      <c r="F442" s="1047"/>
      <c r="G442" s="1047"/>
      <c r="H442" s="1048"/>
      <c r="I442" s="721">
        <f>SUM(I430:I441)</f>
        <v>0</v>
      </c>
      <c r="J442" s="721">
        <f>SUM(J430:J441)</f>
        <v>17917095568.533333</v>
      </c>
      <c r="K442" s="721">
        <f>SUM(K430:K441)</f>
        <v>17917095568.533333</v>
      </c>
      <c r="L442" s="722">
        <f>I442/J442</f>
        <v>0</v>
      </c>
      <c r="M442" s="723">
        <f>SUM(M430:M441)</f>
        <v>0</v>
      </c>
      <c r="N442" s="724">
        <f>SUM(N430:N441)</f>
        <v>17917095568.533333</v>
      </c>
    </row>
    <row r="443" spans="1:14" ht="14.4" thickBot="1" x14ac:dyDescent="0.45">
      <c r="D443" s="1049" t="s">
        <v>184</v>
      </c>
      <c r="E443" s="1050"/>
      <c r="F443" s="1050"/>
      <c r="G443" s="1050"/>
      <c r="H443" s="1051"/>
      <c r="I443" s="733">
        <f>SUM(I416,I429,I442)</f>
        <v>0</v>
      </c>
      <c r="J443" s="733">
        <f t="shared" ref="J443:K443" si="154">SUM(J416,J429,J442)</f>
        <v>45135482285.599998</v>
      </c>
      <c r="K443" s="733">
        <f t="shared" si="154"/>
        <v>45135482285.599998</v>
      </c>
      <c r="L443" s="734">
        <f>I443/J443</f>
        <v>0</v>
      </c>
      <c r="M443" s="733">
        <f t="shared" ref="M443:N443" si="155">SUM(M416,M429,M442)</f>
        <v>0</v>
      </c>
      <c r="N443" s="733">
        <f t="shared" si="155"/>
        <v>45135482285.599998</v>
      </c>
    </row>
    <row r="444" spans="1:14" ht="14.4" thickBot="1" x14ac:dyDescent="0.45">
      <c r="D444" s="1052" t="s">
        <v>286</v>
      </c>
      <c r="E444" s="1053"/>
      <c r="F444" s="1053"/>
      <c r="G444" s="1053"/>
      <c r="H444" s="1054"/>
      <c r="I444" s="780">
        <f>SUM(I323,I363,I403,I443)</f>
        <v>21955351244</v>
      </c>
      <c r="J444" s="780">
        <f>SUM(J323,J363,J403,J443)</f>
        <v>155922562852</v>
      </c>
      <c r="K444" s="780">
        <f>SUM(K323,K363,K403,K443)</f>
        <v>166820238283.75998</v>
      </c>
      <c r="L444" s="781">
        <f>I444/J444</f>
        <v>0.14080932767145304</v>
      </c>
      <c r="M444" s="782">
        <f>SUM(M323,M363,M403,M443)</f>
        <v>33648715504.213333</v>
      </c>
      <c r="N444" s="783">
        <f>SUM(N323,N363,N403,N443)</f>
        <v>110049466719.54666</v>
      </c>
    </row>
  </sheetData>
  <mergeCells count="39">
    <mergeCell ref="D442:H442"/>
    <mergeCell ref="D443:H443"/>
    <mergeCell ref="D444:H444"/>
    <mergeCell ref="D296:H296"/>
    <mergeCell ref="D309:H309"/>
    <mergeCell ref="D322:H322"/>
    <mergeCell ref="D323:H323"/>
    <mergeCell ref="D336:H336"/>
    <mergeCell ref="D349:H349"/>
    <mergeCell ref="D362:H362"/>
    <mergeCell ref="D402:H402"/>
    <mergeCell ref="D403:H403"/>
    <mergeCell ref="D416:H416"/>
    <mergeCell ref="D429:H429"/>
    <mergeCell ref="D376:H376"/>
    <mergeCell ref="D389:H389"/>
    <mergeCell ref="D363:H363"/>
    <mergeCell ref="D236:H236"/>
    <mergeCell ref="D247:H247"/>
    <mergeCell ref="D248:H248"/>
    <mergeCell ref="D282:H282"/>
    <mergeCell ref="D259:H259"/>
    <mergeCell ref="D270:H270"/>
    <mergeCell ref="D281:H281"/>
    <mergeCell ref="D283:H283"/>
    <mergeCell ref="D146:H146"/>
    <mergeCell ref="D168:H168"/>
    <mergeCell ref="D179:H179"/>
    <mergeCell ref="D180:H180"/>
    <mergeCell ref="D191:H191"/>
    <mergeCell ref="Q304:R304"/>
    <mergeCell ref="S304:T304"/>
    <mergeCell ref="T197:T201"/>
    <mergeCell ref="T194:T196"/>
    <mergeCell ref="D157:H157"/>
    <mergeCell ref="D202:H202"/>
    <mergeCell ref="D213:H213"/>
    <mergeCell ref="D214:H214"/>
    <mergeCell ref="D225:H225"/>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x14ac:dyDescent="0.4"/>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x14ac:dyDescent="0.4">
      <c r="B2" s="34" t="s">
        <v>287</v>
      </c>
    </row>
    <row r="3" spans="2:34" ht="20.100000000000001" customHeight="1" x14ac:dyDescent="0.4"/>
    <row r="4" spans="2:34" ht="25.35" customHeight="1" x14ac:dyDescent="0.4">
      <c r="B4" s="200" t="s">
        <v>288</v>
      </c>
      <c r="C4" s="200" t="s">
        <v>289</v>
      </c>
      <c r="D4" s="472" t="s">
        <v>290</v>
      </c>
      <c r="E4" s="200" t="s">
        <v>291</v>
      </c>
      <c r="F4" s="473" t="s">
        <v>3</v>
      </c>
      <c r="G4" s="204" t="s">
        <v>4</v>
      </c>
      <c r="H4" s="204" t="s">
        <v>292</v>
      </c>
      <c r="I4" s="204" t="s">
        <v>293</v>
      </c>
      <c r="J4" s="204" t="s">
        <v>294</v>
      </c>
      <c r="K4" s="204" t="s">
        <v>295</v>
      </c>
      <c r="L4" s="204" t="s">
        <v>296</v>
      </c>
      <c r="M4" s="204" t="s">
        <v>297</v>
      </c>
      <c r="N4" s="204" t="s">
        <v>298</v>
      </c>
      <c r="O4" s="204" t="s">
        <v>299</v>
      </c>
      <c r="P4" s="204" t="s">
        <v>300</v>
      </c>
      <c r="Q4" s="474" t="s">
        <v>143</v>
      </c>
      <c r="R4" s="200" t="s">
        <v>301</v>
      </c>
      <c r="T4" s="472" t="s">
        <v>106</v>
      </c>
      <c r="U4" s="204" t="s">
        <v>109</v>
      </c>
      <c r="V4" s="204" t="s">
        <v>302</v>
      </c>
      <c r="W4" s="204" t="s">
        <v>303</v>
      </c>
      <c r="X4" s="204" t="s">
        <v>304</v>
      </c>
      <c r="Y4" s="204" t="s">
        <v>305</v>
      </c>
      <c r="Z4" s="204" t="s">
        <v>306</v>
      </c>
      <c r="AA4" s="204" t="s">
        <v>307</v>
      </c>
      <c r="AB4" s="204" t="s">
        <v>308</v>
      </c>
      <c r="AC4" s="475" t="s">
        <v>309</v>
      </c>
      <c r="AE4" s="203" t="s">
        <v>310</v>
      </c>
      <c r="AF4" s="204" t="s">
        <v>311</v>
      </c>
      <c r="AG4" s="204" t="s">
        <v>312</v>
      </c>
      <c r="AH4" s="475" t="s">
        <v>313</v>
      </c>
    </row>
    <row r="5" spans="2:34" ht="20.100000000000001" hidden="1" customHeight="1" x14ac:dyDescent="0.4">
      <c r="B5" s="450" t="s">
        <v>314</v>
      </c>
      <c r="C5" s="451" t="s">
        <v>315</v>
      </c>
      <c r="D5" s="452" t="s">
        <v>315</v>
      </c>
      <c r="E5" s="451" t="s">
        <v>316</v>
      </c>
      <c r="F5" s="205">
        <v>2821544822.4468293</v>
      </c>
      <c r="G5" s="199">
        <v>4232317233.6702433</v>
      </c>
      <c r="H5" s="205">
        <v>7053862056.1170731</v>
      </c>
      <c r="I5" s="199">
        <v>3775694961.3618598</v>
      </c>
      <c r="J5" s="205">
        <v>5663542442.0427885</v>
      </c>
      <c r="K5" s="199">
        <v>9439237403.4046478</v>
      </c>
      <c r="L5" s="199">
        <v>3083797564.5866461</v>
      </c>
      <c r="M5" s="205">
        <v>4625696346.8799696</v>
      </c>
      <c r="N5" s="199">
        <v>7709493911.4666157</v>
      </c>
      <c r="O5" s="205">
        <v>3318962651.6046638</v>
      </c>
      <c r="P5" s="199">
        <v>4978443977.4069948</v>
      </c>
      <c r="Q5" s="205">
        <v>8297406629.0116596</v>
      </c>
      <c r="R5" s="453">
        <f t="shared" ref="R5:R55" si="0">SUM(F5:Q5)</f>
        <v>64999999999.999985</v>
      </c>
      <c r="T5" s="454">
        <f>SUM(F5:G5)</f>
        <v>7053862056.1170731</v>
      </c>
      <c r="U5" s="199">
        <f>T5+H5</f>
        <v>14107724112.234146</v>
      </c>
      <c r="V5" s="205">
        <f t="shared" ref="V5:AC5" si="1">U5+I5</f>
        <v>17883419073.596004</v>
      </c>
      <c r="W5" s="199">
        <f t="shared" si="1"/>
        <v>23546961515.638794</v>
      </c>
      <c r="X5" s="205">
        <f t="shared" si="1"/>
        <v>32986198919.043442</v>
      </c>
      <c r="Y5" s="199">
        <f t="shared" si="1"/>
        <v>36069996483.630089</v>
      </c>
      <c r="Z5" s="199">
        <f t="shared" si="1"/>
        <v>40695692830.510056</v>
      </c>
      <c r="AA5" s="205">
        <f t="shared" si="1"/>
        <v>48405186741.976669</v>
      </c>
      <c r="AB5" s="199">
        <f t="shared" si="1"/>
        <v>51724149393.581329</v>
      </c>
      <c r="AC5" s="455">
        <f t="shared" si="1"/>
        <v>56702593370.988327</v>
      </c>
      <c r="AE5" s="456">
        <f>SUM(F5:H5)</f>
        <v>14107724112.234146</v>
      </c>
      <c r="AF5" s="205">
        <f>SUM(I5:K5)</f>
        <v>18878474806.809296</v>
      </c>
      <c r="AG5" s="199">
        <f>SUM(L5:N5)</f>
        <v>15418987822.933231</v>
      </c>
      <c r="AH5" s="455">
        <f>SUM(O5:Q5)</f>
        <v>16594813258.023319</v>
      </c>
    </row>
    <row r="6" spans="2:34" ht="20.100000000000001" hidden="1" customHeight="1" x14ac:dyDescent="0.4">
      <c r="B6" s="450" t="s">
        <v>314</v>
      </c>
      <c r="C6" s="451" t="s">
        <v>315</v>
      </c>
      <c r="D6" s="452" t="s">
        <v>315</v>
      </c>
      <c r="E6" s="451" t="s">
        <v>317</v>
      </c>
      <c r="F6" s="205">
        <v>0</v>
      </c>
      <c r="G6" s="199">
        <v>0</v>
      </c>
      <c r="H6" s="205">
        <v>0</v>
      </c>
      <c r="I6" s="199">
        <v>0</v>
      </c>
      <c r="J6" s="205">
        <v>0</v>
      </c>
      <c r="K6" s="199">
        <v>0</v>
      </c>
      <c r="L6" s="199">
        <v>0</v>
      </c>
      <c r="M6" s="205">
        <v>0</v>
      </c>
      <c r="N6" s="199">
        <v>0</v>
      </c>
      <c r="O6" s="205">
        <v>0</v>
      </c>
      <c r="P6" s="199">
        <v>0</v>
      </c>
      <c r="Q6" s="205">
        <v>0</v>
      </c>
      <c r="R6" s="457">
        <f t="shared" si="0"/>
        <v>0</v>
      </c>
      <c r="T6" s="454">
        <f t="shared" ref="T6:T55" si="2">SUM(F6:G6)</f>
        <v>0</v>
      </c>
      <c r="U6" s="199">
        <f t="shared" ref="U6:AC21" si="3">T6+H6</f>
        <v>0</v>
      </c>
      <c r="V6" s="205">
        <f t="shared" si="3"/>
        <v>0</v>
      </c>
      <c r="W6" s="199">
        <f t="shared" si="3"/>
        <v>0</v>
      </c>
      <c r="X6" s="205">
        <f t="shared" si="3"/>
        <v>0</v>
      </c>
      <c r="Y6" s="199">
        <f t="shared" si="3"/>
        <v>0</v>
      </c>
      <c r="Z6" s="199">
        <f t="shared" si="3"/>
        <v>0</v>
      </c>
      <c r="AA6" s="205">
        <f t="shared" si="3"/>
        <v>0</v>
      </c>
      <c r="AB6" s="199">
        <f t="shared" si="3"/>
        <v>0</v>
      </c>
      <c r="AC6" s="455">
        <f t="shared" si="3"/>
        <v>0</v>
      </c>
      <c r="AE6" s="456">
        <f t="shared" ref="AE6:AE55" si="4">SUM(F6:H6)</f>
        <v>0</v>
      </c>
      <c r="AF6" s="205">
        <f t="shared" ref="AF6:AF55" si="5">SUM(I6:K6)</f>
        <v>0</v>
      </c>
      <c r="AG6" s="199">
        <f t="shared" ref="AG6:AG55" si="6">SUM(L6:N6)</f>
        <v>0</v>
      </c>
      <c r="AH6" s="455">
        <f t="shared" ref="AH6:AH55" si="7">SUM(O6:Q6)</f>
        <v>0</v>
      </c>
    </row>
    <row r="7" spans="2:34" ht="20.100000000000001" hidden="1" customHeight="1" x14ac:dyDescent="0.4">
      <c r="B7" s="450" t="s">
        <v>34</v>
      </c>
      <c r="C7" s="451" t="s">
        <v>318</v>
      </c>
      <c r="D7" s="452" t="s">
        <v>319</v>
      </c>
      <c r="E7" s="451" t="s">
        <v>319</v>
      </c>
      <c r="F7" s="205">
        <v>0</v>
      </c>
      <c r="G7" s="199">
        <v>0</v>
      </c>
      <c r="H7" s="205">
        <v>0</v>
      </c>
      <c r="I7" s="199">
        <v>0</v>
      </c>
      <c r="J7" s="205">
        <v>0</v>
      </c>
      <c r="K7" s="199">
        <v>0</v>
      </c>
      <c r="L7" s="199">
        <v>0</v>
      </c>
      <c r="M7" s="205">
        <v>0</v>
      </c>
      <c r="N7" s="199">
        <v>0</v>
      </c>
      <c r="O7" s="205">
        <v>0</v>
      </c>
      <c r="P7" s="199">
        <v>0</v>
      </c>
      <c r="Q7" s="205">
        <v>0</v>
      </c>
      <c r="R7" s="457">
        <f t="shared" si="0"/>
        <v>0</v>
      </c>
      <c r="T7" s="454">
        <f t="shared" si="2"/>
        <v>0</v>
      </c>
      <c r="U7" s="199">
        <f t="shared" si="3"/>
        <v>0</v>
      </c>
      <c r="V7" s="205">
        <f t="shared" si="3"/>
        <v>0</v>
      </c>
      <c r="W7" s="199">
        <f t="shared" si="3"/>
        <v>0</v>
      </c>
      <c r="X7" s="205">
        <f t="shared" si="3"/>
        <v>0</v>
      </c>
      <c r="Y7" s="199">
        <f t="shared" si="3"/>
        <v>0</v>
      </c>
      <c r="Z7" s="199">
        <f t="shared" si="3"/>
        <v>0</v>
      </c>
      <c r="AA7" s="205">
        <f t="shared" si="3"/>
        <v>0</v>
      </c>
      <c r="AB7" s="199">
        <f t="shared" si="3"/>
        <v>0</v>
      </c>
      <c r="AC7" s="455">
        <f t="shared" si="3"/>
        <v>0</v>
      </c>
      <c r="AE7" s="456">
        <f t="shared" si="4"/>
        <v>0</v>
      </c>
      <c r="AF7" s="205">
        <f t="shared" si="5"/>
        <v>0</v>
      </c>
      <c r="AG7" s="199">
        <f t="shared" si="6"/>
        <v>0</v>
      </c>
      <c r="AH7" s="455">
        <f t="shared" si="7"/>
        <v>0</v>
      </c>
    </row>
    <row r="8" spans="2:34" ht="20.100000000000001" hidden="1" customHeight="1" x14ac:dyDescent="0.4">
      <c r="B8" s="450" t="s">
        <v>314</v>
      </c>
      <c r="C8" s="451" t="s">
        <v>320</v>
      </c>
      <c r="D8" s="452" t="s">
        <v>320</v>
      </c>
      <c r="E8" s="451" t="s">
        <v>320</v>
      </c>
      <c r="F8" s="205">
        <v>99309184.135645196</v>
      </c>
      <c r="G8" s="199">
        <v>148963776.20346782</v>
      </c>
      <c r="H8" s="205">
        <v>248272960.33911303</v>
      </c>
      <c r="I8" s="199">
        <v>132892160.05888158</v>
      </c>
      <c r="J8" s="205">
        <v>199338240.0883224</v>
      </c>
      <c r="K8" s="199">
        <v>332230400.14720392</v>
      </c>
      <c r="L8" s="199">
        <v>108539626.14459252</v>
      </c>
      <c r="M8" s="205">
        <v>162809439.21688879</v>
      </c>
      <c r="N8" s="199">
        <v>271349065.36148131</v>
      </c>
      <c r="O8" s="205">
        <v>116868120.56997171</v>
      </c>
      <c r="P8" s="199">
        <v>175302180.85495758</v>
      </c>
      <c r="Q8" s="205">
        <v>292170301.42492926</v>
      </c>
      <c r="R8" s="457">
        <f t="shared" si="0"/>
        <v>2288045454.545455</v>
      </c>
      <c r="T8" s="454">
        <f t="shared" si="2"/>
        <v>248272960.339113</v>
      </c>
      <c r="U8" s="199">
        <f t="shared" si="3"/>
        <v>496545920.67822599</v>
      </c>
      <c r="V8" s="205">
        <f t="shared" si="3"/>
        <v>629438080.73710752</v>
      </c>
      <c r="W8" s="199">
        <f t="shared" si="3"/>
        <v>828776320.82542992</v>
      </c>
      <c r="X8" s="205">
        <f t="shared" si="3"/>
        <v>1161006720.9726338</v>
      </c>
      <c r="Y8" s="199">
        <f t="shared" si="3"/>
        <v>1269546347.1172264</v>
      </c>
      <c r="Z8" s="199">
        <f t="shared" si="3"/>
        <v>1432355786.334115</v>
      </c>
      <c r="AA8" s="205">
        <f t="shared" si="3"/>
        <v>1703704851.6955962</v>
      </c>
      <c r="AB8" s="199">
        <f t="shared" si="3"/>
        <v>1820572972.265568</v>
      </c>
      <c r="AC8" s="455">
        <f t="shared" si="3"/>
        <v>1995875153.1205256</v>
      </c>
      <c r="AE8" s="456">
        <f t="shared" si="4"/>
        <v>496545920.67822599</v>
      </c>
      <c r="AF8" s="205">
        <f t="shared" si="5"/>
        <v>664460800.29440784</v>
      </c>
      <c r="AG8" s="199">
        <f t="shared" si="6"/>
        <v>542698130.72296262</v>
      </c>
      <c r="AH8" s="455">
        <f t="shared" si="7"/>
        <v>584340602.84985852</v>
      </c>
    </row>
    <row r="9" spans="2:34" ht="20.100000000000001" hidden="1" customHeight="1" x14ac:dyDescent="0.4">
      <c r="B9" s="450" t="s">
        <v>314</v>
      </c>
      <c r="C9" s="458" t="s">
        <v>321</v>
      </c>
      <c r="D9" s="451" t="s">
        <v>322</v>
      </c>
      <c r="E9" s="451" t="s">
        <v>323</v>
      </c>
      <c r="F9" s="205">
        <v>911576019.55974495</v>
      </c>
      <c r="G9" s="199">
        <v>1367364029.3396173</v>
      </c>
      <c r="H9" s="205">
        <v>2278940048.8993621</v>
      </c>
      <c r="I9" s="199">
        <v>1219839910.5938315</v>
      </c>
      <c r="J9" s="205">
        <v>1829759865.8907471</v>
      </c>
      <c r="K9" s="199">
        <v>3049599776.4845786</v>
      </c>
      <c r="L9" s="199">
        <v>996303828.55876279</v>
      </c>
      <c r="M9" s="205">
        <v>1494455742.8381441</v>
      </c>
      <c r="N9" s="199">
        <v>2490759571.3969069</v>
      </c>
      <c r="O9" s="205">
        <v>1072280241.2876606</v>
      </c>
      <c r="P9" s="199">
        <v>1608420361.9314909</v>
      </c>
      <c r="Q9" s="205">
        <v>2680700603.2191515</v>
      </c>
      <c r="R9" s="457">
        <f t="shared" si="0"/>
        <v>20999999999.999996</v>
      </c>
      <c r="T9" s="454">
        <f t="shared" si="2"/>
        <v>2278940048.8993621</v>
      </c>
      <c r="U9" s="199">
        <f t="shared" si="3"/>
        <v>4557880097.7987242</v>
      </c>
      <c r="V9" s="205">
        <f t="shared" si="3"/>
        <v>5777720008.3925552</v>
      </c>
      <c r="W9" s="199">
        <f t="shared" si="3"/>
        <v>7607479874.2833023</v>
      </c>
      <c r="X9" s="205">
        <f t="shared" si="3"/>
        <v>10657079650.767881</v>
      </c>
      <c r="Y9" s="199">
        <f t="shared" si="3"/>
        <v>11653383479.326645</v>
      </c>
      <c r="Z9" s="199">
        <f t="shared" si="3"/>
        <v>13147839222.164789</v>
      </c>
      <c r="AA9" s="205">
        <f t="shared" si="3"/>
        <v>15638598793.561695</v>
      </c>
      <c r="AB9" s="199">
        <f t="shared" si="3"/>
        <v>16710879034.849356</v>
      </c>
      <c r="AC9" s="455">
        <f t="shared" si="3"/>
        <v>18319299396.780846</v>
      </c>
      <c r="AE9" s="456">
        <f t="shared" si="4"/>
        <v>4557880097.7987242</v>
      </c>
      <c r="AF9" s="205">
        <f t="shared" si="5"/>
        <v>6099199552.9691572</v>
      </c>
      <c r="AG9" s="199">
        <f t="shared" si="6"/>
        <v>4981519142.7938137</v>
      </c>
      <c r="AH9" s="455">
        <f t="shared" si="7"/>
        <v>5361401206.438303</v>
      </c>
    </row>
    <row r="10" spans="2:34" ht="20.100000000000001" hidden="1" customHeight="1" x14ac:dyDescent="0.4">
      <c r="B10" s="450" t="s">
        <v>314</v>
      </c>
      <c r="C10" s="451" t="s">
        <v>324</v>
      </c>
      <c r="D10" s="452" t="s">
        <v>324</v>
      </c>
      <c r="E10" s="451" t="s">
        <v>325</v>
      </c>
      <c r="F10" s="205">
        <v>1584035680.1248732</v>
      </c>
      <c r="G10" s="199">
        <v>2376053520.1873088</v>
      </c>
      <c r="H10" s="205">
        <v>3838640825.870522</v>
      </c>
      <c r="I10" s="199">
        <v>2119702472.3776443</v>
      </c>
      <c r="J10" s="205">
        <v>3179553708.5664673</v>
      </c>
      <c r="K10" s="199">
        <v>4226249680.6550364</v>
      </c>
      <c r="L10" s="199">
        <v>1731266267.2327566</v>
      </c>
      <c r="M10" s="205">
        <v>2596899400.8491359</v>
      </c>
      <c r="N10" s="199">
        <v>4328165668.081893</v>
      </c>
      <c r="O10" s="205">
        <v>2221779131.6183634</v>
      </c>
      <c r="P10" s="199">
        <v>3153834280.7126975</v>
      </c>
      <c r="Q10" s="205">
        <v>4410702706.6930733</v>
      </c>
      <c r="R10" s="457">
        <f t="shared" si="0"/>
        <v>35766883342.969772</v>
      </c>
      <c r="T10" s="454">
        <f t="shared" si="2"/>
        <v>3960089200.3121819</v>
      </c>
      <c r="U10" s="199">
        <f t="shared" si="3"/>
        <v>7798730026.182704</v>
      </c>
      <c r="V10" s="205">
        <f t="shared" si="3"/>
        <v>9918432498.5603485</v>
      </c>
      <c r="W10" s="199">
        <f t="shared" si="3"/>
        <v>13097986207.126816</v>
      </c>
      <c r="X10" s="205">
        <f t="shared" si="3"/>
        <v>17324235887.781853</v>
      </c>
      <c r="Y10" s="199">
        <f t="shared" si="3"/>
        <v>19055502155.01461</v>
      </c>
      <c r="Z10" s="199">
        <f t="shared" si="3"/>
        <v>21652401555.863747</v>
      </c>
      <c r="AA10" s="205">
        <f t="shared" si="3"/>
        <v>25980567223.945641</v>
      </c>
      <c r="AB10" s="199">
        <f t="shared" si="3"/>
        <v>28202346355.564003</v>
      </c>
      <c r="AC10" s="455">
        <f t="shared" si="3"/>
        <v>31356180636.276699</v>
      </c>
      <c r="AE10" s="456">
        <f t="shared" si="4"/>
        <v>7798730026.182704</v>
      </c>
      <c r="AF10" s="205">
        <f t="shared" si="5"/>
        <v>9525505861.5991478</v>
      </c>
      <c r="AG10" s="199">
        <f t="shared" si="6"/>
        <v>8656331336.163784</v>
      </c>
      <c r="AH10" s="455">
        <f t="shared" si="7"/>
        <v>9786316119.0241337</v>
      </c>
    </row>
    <row r="11" spans="2:34" ht="20.100000000000001" hidden="1" customHeight="1" x14ac:dyDescent="0.4">
      <c r="B11" s="450" t="s">
        <v>314</v>
      </c>
      <c r="C11" s="451" t="s">
        <v>324</v>
      </c>
      <c r="D11" s="452" t="s">
        <v>324</v>
      </c>
      <c r="E11" s="451" t="s">
        <v>326</v>
      </c>
      <c r="F11" s="205">
        <v>2375176475.3720059</v>
      </c>
      <c r="G11" s="199">
        <v>3533135307.0478215</v>
      </c>
      <c r="H11" s="205">
        <v>5683574609.2833958</v>
      </c>
      <c r="I11" s="199">
        <v>3156222854.5486794</v>
      </c>
      <c r="J11" s="205">
        <v>4708687191.5312452</v>
      </c>
      <c r="K11" s="199">
        <v>6247642265.9563551</v>
      </c>
      <c r="L11" s="199">
        <v>2579272952.3427191</v>
      </c>
      <c r="M11" s="205">
        <v>3852011683.6394825</v>
      </c>
      <c r="N11" s="199">
        <v>6363693656.4838104</v>
      </c>
      <c r="O11" s="205">
        <v>3266677583.5902147</v>
      </c>
      <c r="P11" s="199">
        <v>4637076476.4803934</v>
      </c>
      <c r="Q11" s="205">
        <v>6485047705.5924978</v>
      </c>
      <c r="R11" s="457">
        <f t="shared" si="0"/>
        <v>52888218761.868629</v>
      </c>
      <c r="T11" s="454">
        <f t="shared" si="2"/>
        <v>5908311782.4198275</v>
      </c>
      <c r="U11" s="199">
        <f t="shared" si="3"/>
        <v>11591886391.703224</v>
      </c>
      <c r="V11" s="205">
        <f t="shared" si="3"/>
        <v>14748109246.251904</v>
      </c>
      <c r="W11" s="199">
        <f t="shared" si="3"/>
        <v>19456796437.78315</v>
      </c>
      <c r="X11" s="205">
        <f t="shared" si="3"/>
        <v>25704438703.739506</v>
      </c>
      <c r="Y11" s="199">
        <f t="shared" si="3"/>
        <v>28283711656.082226</v>
      </c>
      <c r="Z11" s="199">
        <f t="shared" si="3"/>
        <v>32135723339.72171</v>
      </c>
      <c r="AA11" s="205">
        <f t="shared" si="3"/>
        <v>38499416996.205521</v>
      </c>
      <c r="AB11" s="199">
        <f t="shared" si="3"/>
        <v>41766094579.795738</v>
      </c>
      <c r="AC11" s="455">
        <f t="shared" si="3"/>
        <v>46403171056.276131</v>
      </c>
      <c r="AE11" s="456">
        <f t="shared" si="4"/>
        <v>11591886391.703224</v>
      </c>
      <c r="AF11" s="205">
        <f t="shared" si="5"/>
        <v>14112552312.03628</v>
      </c>
      <c r="AG11" s="199">
        <f t="shared" si="6"/>
        <v>12794978292.466011</v>
      </c>
      <c r="AH11" s="455">
        <f t="shared" si="7"/>
        <v>14388801765.663105</v>
      </c>
    </row>
    <row r="12" spans="2:34" ht="20.100000000000001" hidden="1" customHeight="1" x14ac:dyDescent="0.4">
      <c r="B12" s="450" t="s">
        <v>34</v>
      </c>
      <c r="C12" s="451" t="s">
        <v>324</v>
      </c>
      <c r="D12" s="452" t="s">
        <v>327</v>
      </c>
      <c r="E12" s="451" t="s">
        <v>327</v>
      </c>
      <c r="F12" s="205">
        <v>-150832625.14545399</v>
      </c>
      <c r="G12" s="199">
        <v>0</v>
      </c>
      <c r="H12" s="205">
        <v>0</v>
      </c>
      <c r="I12" s="199">
        <v>0</v>
      </c>
      <c r="J12" s="205">
        <v>0</v>
      </c>
      <c r="K12" s="199">
        <v>0</v>
      </c>
      <c r="L12" s="199">
        <v>0</v>
      </c>
      <c r="M12" s="205">
        <v>0</v>
      </c>
      <c r="N12" s="199">
        <v>0</v>
      </c>
      <c r="O12" s="205">
        <v>0</v>
      </c>
      <c r="P12" s="199">
        <v>0</v>
      </c>
      <c r="Q12" s="205">
        <v>0</v>
      </c>
      <c r="R12" s="457">
        <f t="shared" si="0"/>
        <v>-150832625.14545399</v>
      </c>
      <c r="T12" s="454">
        <f t="shared" si="2"/>
        <v>-150832625.14545399</v>
      </c>
      <c r="U12" s="199">
        <f t="shared" si="3"/>
        <v>-150832625.14545399</v>
      </c>
      <c r="V12" s="205">
        <f t="shared" si="3"/>
        <v>-150832625.14545399</v>
      </c>
      <c r="W12" s="199">
        <f t="shared" si="3"/>
        <v>-150832625.14545399</v>
      </c>
      <c r="X12" s="205">
        <f t="shared" si="3"/>
        <v>-150832625.14545399</v>
      </c>
      <c r="Y12" s="199">
        <f t="shared" si="3"/>
        <v>-150832625.14545399</v>
      </c>
      <c r="Z12" s="199">
        <f t="shared" si="3"/>
        <v>-150832625.14545399</v>
      </c>
      <c r="AA12" s="205">
        <f t="shared" si="3"/>
        <v>-150832625.14545399</v>
      </c>
      <c r="AB12" s="199">
        <f t="shared" si="3"/>
        <v>-150832625.14545399</v>
      </c>
      <c r="AC12" s="455">
        <f t="shared" si="3"/>
        <v>-150832625.14545399</v>
      </c>
      <c r="AE12" s="456">
        <f t="shared" si="4"/>
        <v>-150832625.14545399</v>
      </c>
      <c r="AF12" s="205">
        <f t="shared" si="5"/>
        <v>0</v>
      </c>
      <c r="AG12" s="199">
        <f t="shared" si="6"/>
        <v>0</v>
      </c>
      <c r="AH12" s="455">
        <f t="shared" si="7"/>
        <v>0</v>
      </c>
    </row>
    <row r="13" spans="2:34" ht="20.100000000000001" hidden="1" customHeight="1" x14ac:dyDescent="0.4">
      <c r="B13" s="450" t="s">
        <v>314</v>
      </c>
      <c r="C13" s="451" t="s">
        <v>328</v>
      </c>
      <c r="D13" s="452" t="s">
        <v>329</v>
      </c>
      <c r="E13" s="451" t="s">
        <v>329</v>
      </c>
      <c r="F13" s="205">
        <v>66242576.667891666</v>
      </c>
      <c r="G13" s="199">
        <v>99363865.001837432</v>
      </c>
      <c r="H13" s="205">
        <v>160527608.31004861</v>
      </c>
      <c r="I13" s="199">
        <v>88643554.751573801</v>
      </c>
      <c r="J13" s="205">
        <v>132965332.12736067</v>
      </c>
      <c r="K13" s="199">
        <v>176736971.26972178</v>
      </c>
      <c r="L13" s="199">
        <v>72399592.937616006</v>
      </c>
      <c r="M13" s="205">
        <v>108599389.40642399</v>
      </c>
      <c r="N13" s="199">
        <v>180998982.34404001</v>
      </c>
      <c r="O13" s="205">
        <v>92912284.939029261</v>
      </c>
      <c r="P13" s="199">
        <v>131889774.80700836</v>
      </c>
      <c r="Q13" s="205">
        <v>184450587.74456412</v>
      </c>
      <c r="R13" s="457">
        <f t="shared" si="0"/>
        <v>1495730520.3071153</v>
      </c>
      <c r="T13" s="454">
        <f t="shared" si="2"/>
        <v>165606441.66972911</v>
      </c>
      <c r="U13" s="199">
        <f t="shared" si="3"/>
        <v>326134049.97977769</v>
      </c>
      <c r="V13" s="205">
        <f t="shared" si="3"/>
        <v>414777604.73135149</v>
      </c>
      <c r="W13" s="199">
        <f t="shared" si="3"/>
        <v>547742936.8587122</v>
      </c>
      <c r="X13" s="205">
        <f t="shared" si="3"/>
        <v>724479908.12843394</v>
      </c>
      <c r="Y13" s="199">
        <f t="shared" si="3"/>
        <v>796879501.06604993</v>
      </c>
      <c r="Z13" s="199">
        <f t="shared" si="3"/>
        <v>905478890.47247386</v>
      </c>
      <c r="AA13" s="205">
        <f t="shared" si="3"/>
        <v>1086477872.8165138</v>
      </c>
      <c r="AB13" s="199">
        <f t="shared" si="3"/>
        <v>1179390157.755543</v>
      </c>
      <c r="AC13" s="455">
        <f t="shared" si="3"/>
        <v>1311279932.5625513</v>
      </c>
      <c r="AE13" s="456">
        <f t="shared" si="4"/>
        <v>326134049.97977769</v>
      </c>
      <c r="AF13" s="205">
        <f t="shared" si="5"/>
        <v>398345858.14865625</v>
      </c>
      <c r="AG13" s="199">
        <f t="shared" si="6"/>
        <v>361997964.68807995</v>
      </c>
      <c r="AH13" s="455">
        <f t="shared" si="7"/>
        <v>409252647.49060172</v>
      </c>
    </row>
    <row r="14" spans="2:34" ht="20.100000000000001" hidden="1" customHeight="1" x14ac:dyDescent="0.4">
      <c r="B14" s="450" t="s">
        <v>314</v>
      </c>
      <c r="C14" s="451" t="s">
        <v>318</v>
      </c>
      <c r="D14" s="452" t="s">
        <v>318</v>
      </c>
      <c r="E14" s="451" t="s">
        <v>330</v>
      </c>
      <c r="F14" s="205">
        <v>79656085.827537</v>
      </c>
      <c r="G14" s="199">
        <v>119484128.7413055</v>
      </c>
      <c r="H14" s="205">
        <v>199140214.5688425</v>
      </c>
      <c r="I14" s="199">
        <v>106593054.80748105</v>
      </c>
      <c r="J14" s="205">
        <v>159889582.21122158</v>
      </c>
      <c r="K14" s="199">
        <v>266482637.01870263</v>
      </c>
      <c r="L14" s="199">
        <v>87059840.9513987</v>
      </c>
      <c r="M14" s="205">
        <v>130589761.42709805</v>
      </c>
      <c r="N14" s="199">
        <v>217649602.37849674</v>
      </c>
      <c r="O14" s="205">
        <v>93698874.365336418</v>
      </c>
      <c r="P14" s="199">
        <v>140548311.5480046</v>
      </c>
      <c r="Q14" s="205">
        <v>234247185.91334099</v>
      </c>
      <c r="R14" s="457">
        <f t="shared" si="0"/>
        <v>1835039279.7587657</v>
      </c>
      <c r="T14" s="454">
        <f t="shared" si="2"/>
        <v>199140214.5688425</v>
      </c>
      <c r="U14" s="199">
        <f t="shared" si="3"/>
        <v>398280429.137685</v>
      </c>
      <c r="V14" s="205">
        <f t="shared" si="3"/>
        <v>504873483.94516605</v>
      </c>
      <c r="W14" s="199">
        <f t="shared" si="3"/>
        <v>664763066.15638757</v>
      </c>
      <c r="X14" s="205">
        <f t="shared" si="3"/>
        <v>931245703.17509019</v>
      </c>
      <c r="Y14" s="199">
        <f t="shared" si="3"/>
        <v>1018305544.1264889</v>
      </c>
      <c r="Z14" s="199">
        <f t="shared" si="3"/>
        <v>1148895305.553587</v>
      </c>
      <c r="AA14" s="205">
        <f t="shared" si="3"/>
        <v>1366544907.9320836</v>
      </c>
      <c r="AB14" s="199">
        <f t="shared" si="3"/>
        <v>1460243782.29742</v>
      </c>
      <c r="AC14" s="455">
        <f t="shared" si="3"/>
        <v>1600792093.8454247</v>
      </c>
      <c r="AE14" s="456">
        <f t="shared" si="4"/>
        <v>398280429.137685</v>
      </c>
      <c r="AF14" s="205">
        <f t="shared" si="5"/>
        <v>532965274.03740525</v>
      </c>
      <c r="AG14" s="199">
        <f t="shared" si="6"/>
        <v>435299204.75699353</v>
      </c>
      <c r="AH14" s="455">
        <f t="shared" si="7"/>
        <v>468494371.82668197</v>
      </c>
    </row>
    <row r="15" spans="2:34" ht="20.100000000000001" hidden="1" customHeight="1" x14ac:dyDescent="0.4">
      <c r="B15" s="450" t="s">
        <v>314</v>
      </c>
      <c r="C15" s="451" t="s">
        <v>318</v>
      </c>
      <c r="D15" s="452" t="s">
        <v>318</v>
      </c>
      <c r="E15" s="451" t="s">
        <v>331</v>
      </c>
      <c r="F15" s="205">
        <v>193816720.04038644</v>
      </c>
      <c r="G15" s="199">
        <v>290725080.06057966</v>
      </c>
      <c r="H15" s="205">
        <v>484541800.1009661</v>
      </c>
      <c r="I15" s="199">
        <v>259358918.37066841</v>
      </c>
      <c r="J15" s="205">
        <v>389038377.55600256</v>
      </c>
      <c r="K15" s="199">
        <v>648397295.92667103</v>
      </c>
      <c r="L15" s="199">
        <v>211831307.61623007</v>
      </c>
      <c r="M15" s="205">
        <v>317746961.42434514</v>
      </c>
      <c r="N15" s="199">
        <v>529578269.04057515</v>
      </c>
      <c r="O15" s="205">
        <v>227985198.02096173</v>
      </c>
      <c r="P15" s="199">
        <v>341977797.03144258</v>
      </c>
      <c r="Q15" s="205">
        <v>569962995.05240428</v>
      </c>
      <c r="R15" s="457">
        <f t="shared" si="0"/>
        <v>4464960720.2412329</v>
      </c>
      <c r="T15" s="454">
        <f t="shared" si="2"/>
        <v>484541800.1009661</v>
      </c>
      <c r="U15" s="199">
        <f t="shared" si="3"/>
        <v>969083600.20193219</v>
      </c>
      <c r="V15" s="205">
        <f t="shared" si="3"/>
        <v>1228442518.5726006</v>
      </c>
      <c r="W15" s="199">
        <f t="shared" si="3"/>
        <v>1617480896.1286032</v>
      </c>
      <c r="X15" s="205">
        <f t="shared" si="3"/>
        <v>2265878192.055274</v>
      </c>
      <c r="Y15" s="199">
        <f t="shared" si="3"/>
        <v>2477709499.671504</v>
      </c>
      <c r="Z15" s="199">
        <f t="shared" si="3"/>
        <v>2795456461.095849</v>
      </c>
      <c r="AA15" s="205">
        <f t="shared" si="3"/>
        <v>3325034730.1364241</v>
      </c>
      <c r="AB15" s="199">
        <f t="shared" si="3"/>
        <v>3553019928.1573858</v>
      </c>
      <c r="AC15" s="455">
        <f t="shared" si="3"/>
        <v>3894997725.1888285</v>
      </c>
      <c r="AE15" s="456">
        <f t="shared" si="4"/>
        <v>969083600.20193219</v>
      </c>
      <c r="AF15" s="205">
        <f t="shared" si="5"/>
        <v>1296794591.8533421</v>
      </c>
      <c r="AG15" s="199">
        <f t="shared" si="6"/>
        <v>1059156538.0811503</v>
      </c>
      <c r="AH15" s="455">
        <f t="shared" si="7"/>
        <v>1139925990.1048086</v>
      </c>
    </row>
    <row r="16" spans="2:34" ht="20.100000000000001" hidden="1" customHeight="1" x14ac:dyDescent="0.4">
      <c r="B16" s="450" t="s">
        <v>314</v>
      </c>
      <c r="C16" s="451" t="s">
        <v>318</v>
      </c>
      <c r="D16" s="452" t="s">
        <v>332</v>
      </c>
      <c r="E16" s="451" t="s">
        <v>333</v>
      </c>
      <c r="F16" s="205">
        <v>66819000</v>
      </c>
      <c r="G16" s="199">
        <v>66819000</v>
      </c>
      <c r="H16" s="205">
        <v>106910400</v>
      </c>
      <c r="I16" s="199">
        <v>22273000</v>
      </c>
      <c r="J16" s="205">
        <v>60600937.5</v>
      </c>
      <c r="K16" s="199">
        <v>51691737.5</v>
      </c>
      <c r="L16" s="199">
        <v>69510137.5</v>
      </c>
      <c r="M16" s="205">
        <v>69510137.5</v>
      </c>
      <c r="N16" s="199">
        <v>69510137.5</v>
      </c>
      <c r="O16" s="205">
        <v>71737437.5</v>
      </c>
      <c r="P16" s="199">
        <v>71737437.5</v>
      </c>
      <c r="Q16" s="205">
        <v>71737437.5</v>
      </c>
      <c r="R16" s="457">
        <f t="shared" si="0"/>
        <v>798856800</v>
      </c>
      <c r="T16" s="454">
        <f t="shared" si="2"/>
        <v>133638000</v>
      </c>
      <c r="U16" s="199">
        <f t="shared" si="3"/>
        <v>240548400</v>
      </c>
      <c r="V16" s="205">
        <f t="shared" si="3"/>
        <v>262821400</v>
      </c>
      <c r="W16" s="199">
        <f t="shared" si="3"/>
        <v>323422337.5</v>
      </c>
      <c r="X16" s="205">
        <f t="shared" si="3"/>
        <v>375114075</v>
      </c>
      <c r="Y16" s="199">
        <f t="shared" si="3"/>
        <v>444624212.5</v>
      </c>
      <c r="Z16" s="199">
        <f t="shared" si="3"/>
        <v>514134350</v>
      </c>
      <c r="AA16" s="205">
        <f t="shared" si="3"/>
        <v>583644487.5</v>
      </c>
      <c r="AB16" s="199">
        <f t="shared" si="3"/>
        <v>655381925</v>
      </c>
      <c r="AC16" s="455">
        <f t="shared" si="3"/>
        <v>727119362.5</v>
      </c>
      <c r="AE16" s="456">
        <f t="shared" si="4"/>
        <v>240548400</v>
      </c>
      <c r="AF16" s="205">
        <f t="shared" si="5"/>
        <v>134565675</v>
      </c>
      <c r="AG16" s="199">
        <f t="shared" si="6"/>
        <v>208530412.5</v>
      </c>
      <c r="AH16" s="455">
        <f t="shared" si="7"/>
        <v>215212312.5</v>
      </c>
    </row>
    <row r="17" spans="2:34" ht="20.100000000000001" hidden="1" customHeight="1" x14ac:dyDescent="0.4">
      <c r="B17" s="450" t="s">
        <v>314</v>
      </c>
      <c r="C17" s="451" t="s">
        <v>318</v>
      </c>
      <c r="D17" s="452" t="s">
        <v>332</v>
      </c>
      <c r="E17" s="451" t="s">
        <v>334</v>
      </c>
      <c r="F17" s="205">
        <v>0</v>
      </c>
      <c r="G17" s="199">
        <v>0</v>
      </c>
      <c r="H17" s="205">
        <v>0</v>
      </c>
      <c r="I17" s="199">
        <v>0</v>
      </c>
      <c r="J17" s="205">
        <v>0</v>
      </c>
      <c r="K17" s="199">
        <v>0</v>
      </c>
      <c r="L17" s="199">
        <v>0</v>
      </c>
      <c r="M17" s="205">
        <v>0</v>
      </c>
      <c r="N17" s="199">
        <v>0</v>
      </c>
      <c r="O17" s="205">
        <v>0</v>
      </c>
      <c r="P17" s="199">
        <v>0</v>
      </c>
      <c r="Q17" s="205">
        <v>0</v>
      </c>
      <c r="R17" s="457">
        <f t="shared" si="0"/>
        <v>0</v>
      </c>
      <c r="T17" s="454">
        <f t="shared" si="2"/>
        <v>0</v>
      </c>
      <c r="U17" s="199">
        <f t="shared" si="3"/>
        <v>0</v>
      </c>
      <c r="V17" s="205">
        <f t="shared" si="3"/>
        <v>0</v>
      </c>
      <c r="W17" s="199">
        <f t="shared" si="3"/>
        <v>0</v>
      </c>
      <c r="X17" s="205">
        <f t="shared" si="3"/>
        <v>0</v>
      </c>
      <c r="Y17" s="199">
        <f t="shared" si="3"/>
        <v>0</v>
      </c>
      <c r="Z17" s="199">
        <f t="shared" si="3"/>
        <v>0</v>
      </c>
      <c r="AA17" s="205">
        <f t="shared" si="3"/>
        <v>0</v>
      </c>
      <c r="AB17" s="199">
        <f t="shared" si="3"/>
        <v>0</v>
      </c>
      <c r="AC17" s="455">
        <f t="shared" si="3"/>
        <v>0</v>
      </c>
      <c r="AE17" s="456">
        <f t="shared" si="4"/>
        <v>0</v>
      </c>
      <c r="AF17" s="205">
        <f t="shared" si="5"/>
        <v>0</v>
      </c>
      <c r="AG17" s="199">
        <f t="shared" si="6"/>
        <v>0</v>
      </c>
      <c r="AH17" s="455">
        <f t="shared" si="7"/>
        <v>0</v>
      </c>
    </row>
    <row r="18" spans="2:34" ht="20.100000000000001" hidden="1" customHeight="1" x14ac:dyDescent="0.4">
      <c r="B18" s="450" t="s">
        <v>314</v>
      </c>
      <c r="C18" s="451" t="s">
        <v>318</v>
      </c>
      <c r="D18" s="452" t="s">
        <v>335</v>
      </c>
      <c r="E18" s="451" t="s">
        <v>336</v>
      </c>
      <c r="F18" s="205">
        <v>41148000</v>
      </c>
      <c r="G18" s="199">
        <v>28512000</v>
      </c>
      <c r="H18" s="205">
        <v>50544000</v>
      </c>
      <c r="I18" s="199">
        <v>0</v>
      </c>
      <c r="J18" s="205">
        <v>70243200</v>
      </c>
      <c r="K18" s="199">
        <v>488786400</v>
      </c>
      <c r="L18" s="199">
        <v>0</v>
      </c>
      <c r="M18" s="205">
        <v>50544000</v>
      </c>
      <c r="N18" s="199">
        <v>70243200</v>
      </c>
      <c r="O18" s="205">
        <v>246240000</v>
      </c>
      <c r="P18" s="199">
        <v>0</v>
      </c>
      <c r="Q18" s="205">
        <v>525333600</v>
      </c>
      <c r="R18" s="457">
        <f t="shared" si="0"/>
        <v>1571594400</v>
      </c>
      <c r="T18" s="454">
        <f t="shared" si="2"/>
        <v>69660000</v>
      </c>
      <c r="U18" s="199">
        <f t="shared" si="3"/>
        <v>120204000</v>
      </c>
      <c r="V18" s="205">
        <f t="shared" si="3"/>
        <v>120204000</v>
      </c>
      <c r="W18" s="199">
        <f t="shared" si="3"/>
        <v>190447200</v>
      </c>
      <c r="X18" s="205">
        <f t="shared" si="3"/>
        <v>679233600</v>
      </c>
      <c r="Y18" s="199">
        <f t="shared" si="3"/>
        <v>679233600</v>
      </c>
      <c r="Z18" s="199">
        <f t="shared" si="3"/>
        <v>729777600</v>
      </c>
      <c r="AA18" s="205">
        <f t="shared" si="3"/>
        <v>800020800</v>
      </c>
      <c r="AB18" s="199">
        <f t="shared" si="3"/>
        <v>1046260800</v>
      </c>
      <c r="AC18" s="455">
        <f t="shared" si="3"/>
        <v>1046260800</v>
      </c>
      <c r="AE18" s="456">
        <f t="shared" si="4"/>
        <v>120204000</v>
      </c>
      <c r="AF18" s="205">
        <f t="shared" si="5"/>
        <v>559029600</v>
      </c>
      <c r="AG18" s="199">
        <f t="shared" si="6"/>
        <v>120787200</v>
      </c>
      <c r="AH18" s="455">
        <f t="shared" si="7"/>
        <v>771573600</v>
      </c>
    </row>
    <row r="19" spans="2:34" ht="20.100000000000001" hidden="1" customHeight="1" x14ac:dyDescent="0.4">
      <c r="B19" s="450" t="s">
        <v>314</v>
      </c>
      <c r="C19" s="451" t="s">
        <v>318</v>
      </c>
      <c r="D19" s="452" t="s">
        <v>335</v>
      </c>
      <c r="E19" s="451" t="s">
        <v>337</v>
      </c>
      <c r="F19" s="205">
        <v>0</v>
      </c>
      <c r="G19" s="199">
        <v>0</v>
      </c>
      <c r="H19" s="205">
        <v>0</v>
      </c>
      <c r="I19" s="199">
        <v>0</v>
      </c>
      <c r="J19" s="205">
        <v>0</v>
      </c>
      <c r="K19" s="199">
        <v>0</v>
      </c>
      <c r="L19" s="199">
        <v>0</v>
      </c>
      <c r="M19" s="205">
        <v>0</v>
      </c>
      <c r="N19" s="199">
        <v>0</v>
      </c>
      <c r="O19" s="205">
        <v>0</v>
      </c>
      <c r="P19" s="199">
        <v>0</v>
      </c>
      <c r="Q19" s="205">
        <v>29548800</v>
      </c>
      <c r="R19" s="457">
        <f t="shared" si="0"/>
        <v>29548800</v>
      </c>
      <c r="T19" s="454">
        <f t="shared" si="2"/>
        <v>0</v>
      </c>
      <c r="U19" s="199">
        <f t="shared" si="3"/>
        <v>0</v>
      </c>
      <c r="V19" s="205">
        <f t="shared" si="3"/>
        <v>0</v>
      </c>
      <c r="W19" s="199">
        <f t="shared" si="3"/>
        <v>0</v>
      </c>
      <c r="X19" s="205">
        <f t="shared" si="3"/>
        <v>0</v>
      </c>
      <c r="Y19" s="199">
        <f t="shared" si="3"/>
        <v>0</v>
      </c>
      <c r="Z19" s="199">
        <f t="shared" si="3"/>
        <v>0</v>
      </c>
      <c r="AA19" s="205">
        <f t="shared" si="3"/>
        <v>0</v>
      </c>
      <c r="AB19" s="199">
        <f t="shared" si="3"/>
        <v>0</v>
      </c>
      <c r="AC19" s="455">
        <f t="shared" si="3"/>
        <v>0</v>
      </c>
      <c r="AE19" s="456">
        <f t="shared" si="4"/>
        <v>0</v>
      </c>
      <c r="AF19" s="205">
        <f t="shared" si="5"/>
        <v>0</v>
      </c>
      <c r="AG19" s="199">
        <f t="shared" si="6"/>
        <v>0</v>
      </c>
      <c r="AH19" s="455">
        <f t="shared" si="7"/>
        <v>29548800</v>
      </c>
    </row>
    <row r="20" spans="2:34" ht="20.100000000000001" hidden="1" customHeight="1" x14ac:dyDescent="0.4">
      <c r="B20" s="450" t="s">
        <v>314</v>
      </c>
      <c r="C20" s="451" t="s">
        <v>318</v>
      </c>
      <c r="D20" s="452" t="s">
        <v>338</v>
      </c>
      <c r="E20" s="451" t="s">
        <v>339</v>
      </c>
      <c r="F20" s="205">
        <v>0</v>
      </c>
      <c r="G20" s="199">
        <v>0</v>
      </c>
      <c r="H20" s="205">
        <v>0</v>
      </c>
      <c r="I20" s="199">
        <v>0</v>
      </c>
      <c r="J20" s="205">
        <v>0</v>
      </c>
      <c r="K20" s="199">
        <v>0</v>
      </c>
      <c r="L20" s="199">
        <v>0</v>
      </c>
      <c r="M20" s="205">
        <v>0</v>
      </c>
      <c r="N20" s="199">
        <v>0</v>
      </c>
      <c r="O20" s="205">
        <v>0</v>
      </c>
      <c r="P20" s="199">
        <v>31448558.585382201</v>
      </c>
      <c r="Q20" s="205">
        <v>47172837.878073305</v>
      </c>
      <c r="R20" s="457">
        <f t="shared" si="0"/>
        <v>78621396.463455498</v>
      </c>
      <c r="T20" s="454">
        <f t="shared" si="2"/>
        <v>0</v>
      </c>
      <c r="U20" s="199">
        <f t="shared" si="3"/>
        <v>0</v>
      </c>
      <c r="V20" s="205">
        <f t="shared" si="3"/>
        <v>0</v>
      </c>
      <c r="W20" s="199">
        <f t="shared" si="3"/>
        <v>0</v>
      </c>
      <c r="X20" s="205">
        <f t="shared" si="3"/>
        <v>0</v>
      </c>
      <c r="Y20" s="199">
        <f t="shared" si="3"/>
        <v>0</v>
      </c>
      <c r="Z20" s="199">
        <f t="shared" si="3"/>
        <v>0</v>
      </c>
      <c r="AA20" s="205">
        <f t="shared" si="3"/>
        <v>0</v>
      </c>
      <c r="AB20" s="199">
        <f t="shared" si="3"/>
        <v>0</v>
      </c>
      <c r="AC20" s="455">
        <f t="shared" si="3"/>
        <v>31448558.585382201</v>
      </c>
      <c r="AE20" s="456">
        <f t="shared" si="4"/>
        <v>0</v>
      </c>
      <c r="AF20" s="205">
        <f t="shared" si="5"/>
        <v>0</v>
      </c>
      <c r="AG20" s="199">
        <f t="shared" si="6"/>
        <v>0</v>
      </c>
      <c r="AH20" s="455">
        <f t="shared" si="7"/>
        <v>78621396.463455498</v>
      </c>
    </row>
    <row r="21" spans="2:34" ht="20.100000000000001" hidden="1" customHeight="1" x14ac:dyDescent="0.4">
      <c r="B21" s="450" t="s">
        <v>314</v>
      </c>
      <c r="C21" s="451" t="s">
        <v>318</v>
      </c>
      <c r="D21" s="452" t="s">
        <v>338</v>
      </c>
      <c r="E21" s="451" t="s">
        <v>340</v>
      </c>
      <c r="F21" s="205">
        <v>0</v>
      </c>
      <c r="G21" s="199">
        <v>0</v>
      </c>
      <c r="H21" s="205">
        <v>0</v>
      </c>
      <c r="I21" s="199">
        <v>0</v>
      </c>
      <c r="J21" s="205">
        <v>0</v>
      </c>
      <c r="K21" s="199">
        <v>0</v>
      </c>
      <c r="L21" s="199">
        <v>0</v>
      </c>
      <c r="M21" s="205">
        <v>0</v>
      </c>
      <c r="N21" s="199">
        <v>0</v>
      </c>
      <c r="O21" s="205">
        <v>0</v>
      </c>
      <c r="P21" s="199">
        <v>0</v>
      </c>
      <c r="Q21" s="205">
        <v>0</v>
      </c>
      <c r="R21" s="457">
        <f t="shared" si="0"/>
        <v>0</v>
      </c>
      <c r="T21" s="454">
        <f t="shared" si="2"/>
        <v>0</v>
      </c>
      <c r="U21" s="199">
        <f t="shared" si="3"/>
        <v>0</v>
      </c>
      <c r="V21" s="205">
        <f t="shared" si="3"/>
        <v>0</v>
      </c>
      <c r="W21" s="199">
        <f t="shared" si="3"/>
        <v>0</v>
      </c>
      <c r="X21" s="205">
        <f t="shared" si="3"/>
        <v>0</v>
      </c>
      <c r="Y21" s="199">
        <f t="shared" si="3"/>
        <v>0</v>
      </c>
      <c r="Z21" s="199">
        <f t="shared" si="3"/>
        <v>0</v>
      </c>
      <c r="AA21" s="205">
        <f t="shared" si="3"/>
        <v>0</v>
      </c>
      <c r="AB21" s="199">
        <f t="shared" si="3"/>
        <v>0</v>
      </c>
      <c r="AC21" s="455">
        <f t="shared" si="3"/>
        <v>0</v>
      </c>
      <c r="AE21" s="456">
        <f t="shared" si="4"/>
        <v>0</v>
      </c>
      <c r="AF21" s="205">
        <f t="shared" si="5"/>
        <v>0</v>
      </c>
      <c r="AG21" s="199">
        <f t="shared" si="6"/>
        <v>0</v>
      </c>
      <c r="AH21" s="455">
        <f t="shared" si="7"/>
        <v>0</v>
      </c>
    </row>
    <row r="22" spans="2:34" ht="20.100000000000001" hidden="1" customHeight="1" x14ac:dyDescent="0.4">
      <c r="B22" s="450" t="s">
        <v>314</v>
      </c>
      <c r="C22" s="451" t="s">
        <v>318</v>
      </c>
      <c r="D22" s="452" t="s">
        <v>341</v>
      </c>
      <c r="E22" s="451" t="s">
        <v>341</v>
      </c>
      <c r="F22" s="205">
        <v>0</v>
      </c>
      <c r="G22" s="199">
        <v>0</v>
      </c>
      <c r="H22" s="205">
        <v>0</v>
      </c>
      <c r="I22" s="199">
        <v>0</v>
      </c>
      <c r="J22" s="205">
        <v>0</v>
      </c>
      <c r="K22" s="199">
        <v>0</v>
      </c>
      <c r="L22" s="199">
        <v>0</v>
      </c>
      <c r="M22" s="205">
        <v>0</v>
      </c>
      <c r="N22" s="199">
        <v>0</v>
      </c>
      <c r="O22" s="205">
        <v>0</v>
      </c>
      <c r="P22" s="199">
        <v>0</v>
      </c>
      <c r="Q22" s="205">
        <v>0</v>
      </c>
      <c r="R22" s="457">
        <f t="shared" si="0"/>
        <v>0</v>
      </c>
      <c r="T22" s="454">
        <f t="shared" si="2"/>
        <v>0</v>
      </c>
      <c r="U22" s="199">
        <f t="shared" ref="U22:AC37" si="8">T22+H22</f>
        <v>0</v>
      </c>
      <c r="V22" s="205">
        <f t="shared" si="8"/>
        <v>0</v>
      </c>
      <c r="W22" s="199">
        <f t="shared" si="8"/>
        <v>0</v>
      </c>
      <c r="X22" s="205">
        <f t="shared" si="8"/>
        <v>0</v>
      </c>
      <c r="Y22" s="199">
        <f t="shared" si="8"/>
        <v>0</v>
      </c>
      <c r="Z22" s="199">
        <f t="shared" si="8"/>
        <v>0</v>
      </c>
      <c r="AA22" s="205">
        <f t="shared" si="8"/>
        <v>0</v>
      </c>
      <c r="AB22" s="199">
        <f t="shared" si="8"/>
        <v>0</v>
      </c>
      <c r="AC22" s="455">
        <f t="shared" si="8"/>
        <v>0</v>
      </c>
      <c r="AE22" s="456">
        <f t="shared" si="4"/>
        <v>0</v>
      </c>
      <c r="AF22" s="205">
        <f t="shared" si="5"/>
        <v>0</v>
      </c>
      <c r="AG22" s="199">
        <f t="shared" si="6"/>
        <v>0</v>
      </c>
      <c r="AH22" s="455">
        <f t="shared" si="7"/>
        <v>0</v>
      </c>
    </row>
    <row r="23" spans="2:34" ht="20.100000000000001" hidden="1" customHeight="1" x14ac:dyDescent="0.4">
      <c r="B23" s="450" t="s">
        <v>342</v>
      </c>
      <c r="C23" s="451" t="s">
        <v>343</v>
      </c>
      <c r="D23" s="452" t="s">
        <v>344</v>
      </c>
      <c r="E23" s="451" t="s">
        <v>344</v>
      </c>
      <c r="F23" s="205">
        <v>1271865589.1952631</v>
      </c>
      <c r="G23" s="199">
        <v>1907798383.7928946</v>
      </c>
      <c r="H23" s="205">
        <v>3179663972.9881577</v>
      </c>
      <c r="I23" s="199">
        <v>1701967113.3523459</v>
      </c>
      <c r="J23" s="205">
        <v>2552950670.0285187</v>
      </c>
      <c r="K23" s="199">
        <v>4254917783.3808641</v>
      </c>
      <c r="L23" s="199">
        <v>1390081056.0367498</v>
      </c>
      <c r="M23" s="205">
        <v>2085121584.0551248</v>
      </c>
      <c r="N23" s="199">
        <v>3475202640.0918746</v>
      </c>
      <c r="O23" s="205">
        <v>1496086241.4156408</v>
      </c>
      <c r="P23" s="199">
        <v>2244129362.1234612</v>
      </c>
      <c r="Q23" s="205">
        <v>3740215603.5391021</v>
      </c>
      <c r="R23" s="457">
        <f t="shared" si="0"/>
        <v>29300000000</v>
      </c>
      <c r="T23" s="454">
        <f t="shared" si="2"/>
        <v>3179663972.9881577</v>
      </c>
      <c r="U23" s="199">
        <f t="shared" si="8"/>
        <v>6359327945.9763155</v>
      </c>
      <c r="V23" s="205">
        <f t="shared" si="8"/>
        <v>8061295059.328661</v>
      </c>
      <c r="W23" s="199">
        <f t="shared" si="8"/>
        <v>10614245729.35718</v>
      </c>
      <c r="X23" s="205">
        <f t="shared" si="8"/>
        <v>14869163512.738045</v>
      </c>
      <c r="Y23" s="199">
        <f t="shared" si="8"/>
        <v>16259244568.774796</v>
      </c>
      <c r="Z23" s="199">
        <f t="shared" si="8"/>
        <v>18344366152.829922</v>
      </c>
      <c r="AA23" s="205">
        <f t="shared" si="8"/>
        <v>21819568792.921795</v>
      </c>
      <c r="AB23" s="199">
        <f t="shared" si="8"/>
        <v>23315655034.337437</v>
      </c>
      <c r="AC23" s="455">
        <f t="shared" si="8"/>
        <v>25559784396.460899</v>
      </c>
      <c r="AE23" s="456">
        <f t="shared" si="4"/>
        <v>6359327945.9763155</v>
      </c>
      <c r="AF23" s="205">
        <f t="shared" si="5"/>
        <v>8509835566.7617283</v>
      </c>
      <c r="AG23" s="199">
        <f t="shared" si="6"/>
        <v>6950405280.1837492</v>
      </c>
      <c r="AH23" s="455">
        <f t="shared" si="7"/>
        <v>7480431207.0782042</v>
      </c>
    </row>
    <row r="24" spans="2:34" ht="20.100000000000001" hidden="1" customHeight="1" x14ac:dyDescent="0.4">
      <c r="B24" s="450" t="s">
        <v>342</v>
      </c>
      <c r="C24" s="451" t="s">
        <v>343</v>
      </c>
      <c r="D24" s="452" t="s">
        <v>345</v>
      </c>
      <c r="E24" s="451" t="s">
        <v>345</v>
      </c>
      <c r="F24" s="205">
        <v>998392783.32733989</v>
      </c>
      <c r="G24" s="199">
        <v>1497589174.9910095</v>
      </c>
      <c r="H24" s="205">
        <v>2495981958.3183494</v>
      </c>
      <c r="I24" s="199">
        <v>1336015140.1741967</v>
      </c>
      <c r="J24" s="205">
        <v>2004022710.2612946</v>
      </c>
      <c r="K24" s="199">
        <v>3340037850.4354911</v>
      </c>
      <c r="L24" s="199">
        <v>1091189907.4691212</v>
      </c>
      <c r="M24" s="205">
        <v>1636784861.2036817</v>
      </c>
      <c r="N24" s="199">
        <v>2727974768.6728029</v>
      </c>
      <c r="O24" s="205">
        <v>1174402169.0293429</v>
      </c>
      <c r="P24" s="199">
        <v>1761603253.544014</v>
      </c>
      <c r="Q24" s="205">
        <v>2936005422.5733566</v>
      </c>
      <c r="R24" s="457">
        <f t="shared" si="0"/>
        <v>23000000000</v>
      </c>
      <c r="T24" s="454">
        <f t="shared" si="2"/>
        <v>2495981958.3183494</v>
      </c>
      <c r="U24" s="199">
        <f t="shared" si="8"/>
        <v>4991963916.6366987</v>
      </c>
      <c r="V24" s="205">
        <f t="shared" si="8"/>
        <v>6327979056.8108959</v>
      </c>
      <c r="W24" s="199">
        <f t="shared" si="8"/>
        <v>8332001767.0721903</v>
      </c>
      <c r="X24" s="205">
        <f t="shared" si="8"/>
        <v>11672039617.507681</v>
      </c>
      <c r="Y24" s="199">
        <f t="shared" si="8"/>
        <v>12763229524.976803</v>
      </c>
      <c r="Z24" s="199">
        <f t="shared" si="8"/>
        <v>14400014386.180485</v>
      </c>
      <c r="AA24" s="205">
        <f t="shared" si="8"/>
        <v>17127989154.853287</v>
      </c>
      <c r="AB24" s="199">
        <f t="shared" si="8"/>
        <v>18302391323.882629</v>
      </c>
      <c r="AC24" s="455">
        <f t="shared" si="8"/>
        <v>20063994577.426643</v>
      </c>
      <c r="AE24" s="456">
        <f t="shared" si="4"/>
        <v>4991963916.6366987</v>
      </c>
      <c r="AF24" s="205">
        <f t="shared" si="5"/>
        <v>6680075700.8709831</v>
      </c>
      <c r="AG24" s="199">
        <f t="shared" si="6"/>
        <v>5455949537.3456059</v>
      </c>
      <c r="AH24" s="455">
        <f t="shared" si="7"/>
        <v>5872010845.1467133</v>
      </c>
    </row>
    <row r="25" spans="2:34" ht="20.100000000000001" hidden="1" customHeight="1" x14ac:dyDescent="0.4">
      <c r="B25" s="450" t="s">
        <v>342</v>
      </c>
      <c r="C25" s="451" t="s">
        <v>346</v>
      </c>
      <c r="D25" s="452" t="s">
        <v>346</v>
      </c>
      <c r="E25" s="451" t="s">
        <v>347</v>
      </c>
      <c r="F25" s="205">
        <v>199815254.34699887</v>
      </c>
      <c r="G25" s="199">
        <v>356787654.09670466</v>
      </c>
      <c r="H25" s="205">
        <v>594646090.16117454</v>
      </c>
      <c r="I25" s="199">
        <v>318294039.28703833</v>
      </c>
      <c r="J25" s="205">
        <v>477441058.93055749</v>
      </c>
      <c r="K25" s="199">
        <v>795735098.2175957</v>
      </c>
      <c r="L25" s="199">
        <v>259966547.4092688</v>
      </c>
      <c r="M25" s="205">
        <v>389949821.11390316</v>
      </c>
      <c r="N25" s="199">
        <v>649916368.5231719</v>
      </c>
      <c r="O25" s="205">
        <v>279791148.23434556</v>
      </c>
      <c r="P25" s="199">
        <v>419686722.35151833</v>
      </c>
      <c r="Q25" s="205">
        <v>699477870.58586395</v>
      </c>
      <c r="R25" s="457">
        <f t="shared" si="0"/>
        <v>5441507673.2581415</v>
      </c>
      <c r="T25" s="454">
        <f t="shared" si="2"/>
        <v>556602908.44370353</v>
      </c>
      <c r="U25" s="199">
        <f t="shared" si="8"/>
        <v>1151248998.6048779</v>
      </c>
      <c r="V25" s="205">
        <f t="shared" si="8"/>
        <v>1469543037.8919163</v>
      </c>
      <c r="W25" s="199">
        <f t="shared" si="8"/>
        <v>1946984096.8224738</v>
      </c>
      <c r="X25" s="205">
        <f t="shared" si="8"/>
        <v>2742719195.0400696</v>
      </c>
      <c r="Y25" s="199">
        <f t="shared" si="8"/>
        <v>3002685742.4493384</v>
      </c>
      <c r="Z25" s="199">
        <f t="shared" si="8"/>
        <v>3392635563.5632415</v>
      </c>
      <c r="AA25" s="205">
        <f t="shared" si="8"/>
        <v>4042551932.0864134</v>
      </c>
      <c r="AB25" s="199">
        <f t="shared" si="8"/>
        <v>4322343080.3207588</v>
      </c>
      <c r="AC25" s="455">
        <f t="shared" si="8"/>
        <v>4742029802.6722775</v>
      </c>
      <c r="AE25" s="456">
        <f t="shared" si="4"/>
        <v>1151248998.6048779</v>
      </c>
      <c r="AF25" s="205">
        <f t="shared" si="5"/>
        <v>1591470196.4351916</v>
      </c>
      <c r="AG25" s="199">
        <f t="shared" si="6"/>
        <v>1299832737.0463438</v>
      </c>
      <c r="AH25" s="455">
        <f t="shared" si="7"/>
        <v>1398955741.1717277</v>
      </c>
    </row>
    <row r="26" spans="2:34" ht="20.100000000000001" hidden="1" customHeight="1" x14ac:dyDescent="0.4">
      <c r="B26" s="450" t="s">
        <v>342</v>
      </c>
      <c r="C26" s="451" t="s">
        <v>346</v>
      </c>
      <c r="D26" s="452" t="s">
        <v>346</v>
      </c>
      <c r="E26" s="451" t="s">
        <v>348</v>
      </c>
      <c r="F26" s="205">
        <v>0</v>
      </c>
      <c r="G26" s="199">
        <v>0</v>
      </c>
      <c r="H26" s="205">
        <v>0</v>
      </c>
      <c r="I26" s="199">
        <v>0</v>
      </c>
      <c r="J26" s="205">
        <v>0</v>
      </c>
      <c r="K26" s="199">
        <v>0</v>
      </c>
      <c r="L26" s="199">
        <v>0</v>
      </c>
      <c r="M26" s="205">
        <v>0</v>
      </c>
      <c r="N26" s="199">
        <v>0</v>
      </c>
      <c r="O26" s="205">
        <v>0</v>
      </c>
      <c r="P26" s="199">
        <v>0</v>
      </c>
      <c r="Q26" s="205">
        <v>0</v>
      </c>
      <c r="R26" s="457">
        <f t="shared" si="0"/>
        <v>0</v>
      </c>
      <c r="T26" s="454">
        <f t="shared" si="2"/>
        <v>0</v>
      </c>
      <c r="U26" s="199">
        <f t="shared" si="8"/>
        <v>0</v>
      </c>
      <c r="V26" s="205">
        <f t="shared" si="8"/>
        <v>0</v>
      </c>
      <c r="W26" s="199">
        <f t="shared" si="8"/>
        <v>0</v>
      </c>
      <c r="X26" s="205">
        <f t="shared" si="8"/>
        <v>0</v>
      </c>
      <c r="Y26" s="199">
        <f t="shared" si="8"/>
        <v>0</v>
      </c>
      <c r="Z26" s="199">
        <f t="shared" si="8"/>
        <v>0</v>
      </c>
      <c r="AA26" s="205">
        <f t="shared" si="8"/>
        <v>0</v>
      </c>
      <c r="AB26" s="199">
        <f t="shared" si="8"/>
        <v>0</v>
      </c>
      <c r="AC26" s="455">
        <f t="shared" si="8"/>
        <v>0</v>
      </c>
      <c r="AE26" s="456">
        <f t="shared" si="4"/>
        <v>0</v>
      </c>
      <c r="AF26" s="205">
        <f t="shared" si="5"/>
        <v>0</v>
      </c>
      <c r="AG26" s="199">
        <f t="shared" si="6"/>
        <v>0</v>
      </c>
      <c r="AH26" s="455">
        <f t="shared" si="7"/>
        <v>0</v>
      </c>
    </row>
    <row r="27" spans="2:34" ht="20.100000000000001" hidden="1" customHeight="1" x14ac:dyDescent="0.4">
      <c r="B27" s="450" t="s">
        <v>342</v>
      </c>
      <c r="C27" s="451" t="s">
        <v>346</v>
      </c>
      <c r="D27" s="452" t="s">
        <v>346</v>
      </c>
      <c r="E27" s="451" t="s">
        <v>349</v>
      </c>
      <c r="F27" s="205">
        <v>526571185.63534772</v>
      </c>
      <c r="G27" s="199">
        <v>887047197.87326086</v>
      </c>
      <c r="H27" s="205">
        <v>1478411996.4554348</v>
      </c>
      <c r="I27" s="199">
        <v>791344185.84114528</v>
      </c>
      <c r="J27" s="205">
        <v>1187016278.7617178</v>
      </c>
      <c r="K27" s="199">
        <v>1978360464.6028633</v>
      </c>
      <c r="L27" s="199">
        <v>646330092.34583819</v>
      </c>
      <c r="M27" s="205">
        <v>969495138.51875722</v>
      </c>
      <c r="N27" s="199">
        <v>1615825230.8645954</v>
      </c>
      <c r="O27" s="205">
        <v>695618111.16857994</v>
      </c>
      <c r="P27" s="199">
        <v>1043427166.7528698</v>
      </c>
      <c r="Q27" s="205">
        <v>1739045277.9214501</v>
      </c>
      <c r="R27" s="457">
        <f t="shared" si="0"/>
        <v>13558492326.741859</v>
      </c>
      <c r="T27" s="454">
        <f t="shared" si="2"/>
        <v>1413618383.5086086</v>
      </c>
      <c r="U27" s="199">
        <f t="shared" si="8"/>
        <v>2892030379.9640436</v>
      </c>
      <c r="V27" s="205">
        <f t="shared" si="8"/>
        <v>3683374565.8051891</v>
      </c>
      <c r="W27" s="199">
        <f t="shared" si="8"/>
        <v>4870390844.5669069</v>
      </c>
      <c r="X27" s="205">
        <f t="shared" si="8"/>
        <v>6848751309.1697702</v>
      </c>
      <c r="Y27" s="199">
        <f t="shared" si="8"/>
        <v>7495081401.5156088</v>
      </c>
      <c r="Z27" s="199">
        <f t="shared" si="8"/>
        <v>8464576540.0343657</v>
      </c>
      <c r="AA27" s="205">
        <f t="shared" si="8"/>
        <v>10080401770.89896</v>
      </c>
      <c r="AB27" s="199">
        <f t="shared" si="8"/>
        <v>10776019882.067539</v>
      </c>
      <c r="AC27" s="455">
        <f t="shared" si="8"/>
        <v>11819447048.82041</v>
      </c>
      <c r="AE27" s="456">
        <f t="shared" si="4"/>
        <v>2892030379.9640436</v>
      </c>
      <c r="AF27" s="205">
        <f t="shared" si="5"/>
        <v>3956720929.2057266</v>
      </c>
      <c r="AG27" s="199">
        <f t="shared" si="6"/>
        <v>3231650461.7291908</v>
      </c>
      <c r="AH27" s="455">
        <f t="shared" si="7"/>
        <v>3478090555.8428998</v>
      </c>
    </row>
    <row r="28" spans="2:34" ht="20.100000000000001" hidden="1" customHeight="1" x14ac:dyDescent="0.4">
      <c r="B28" s="450" t="s">
        <v>342</v>
      </c>
      <c r="C28" s="451" t="s">
        <v>350</v>
      </c>
      <c r="D28" s="452" t="s">
        <v>350</v>
      </c>
      <c r="E28" s="451" t="s">
        <v>351</v>
      </c>
      <c r="F28" s="205">
        <v>115078723.9693771</v>
      </c>
      <c r="G28" s="199">
        <v>198564803.77638495</v>
      </c>
      <c r="H28" s="205">
        <v>330941339.62730831</v>
      </c>
      <c r="I28" s="199">
        <v>177141761.2928201</v>
      </c>
      <c r="J28" s="205">
        <v>265712641.93923011</v>
      </c>
      <c r="K28" s="199">
        <v>442854403.23205024</v>
      </c>
      <c r="L28" s="199">
        <v>144680472.77430305</v>
      </c>
      <c r="M28" s="205">
        <v>217020709.16145456</v>
      </c>
      <c r="N28" s="199">
        <v>361701181.93575764</v>
      </c>
      <c r="O28" s="205">
        <v>155713556.25568828</v>
      </c>
      <c r="P28" s="199">
        <v>233570334.38353238</v>
      </c>
      <c r="Q28" s="205">
        <v>389283890.63922065</v>
      </c>
      <c r="R28" s="457">
        <f t="shared" si="0"/>
        <v>3032263818.9871273</v>
      </c>
      <c r="T28" s="454">
        <f t="shared" si="2"/>
        <v>313643527.74576205</v>
      </c>
      <c r="U28" s="199">
        <f t="shared" si="8"/>
        <v>644584867.37307036</v>
      </c>
      <c r="V28" s="205">
        <f t="shared" si="8"/>
        <v>821726628.66589046</v>
      </c>
      <c r="W28" s="199">
        <f t="shared" si="8"/>
        <v>1087439270.6051207</v>
      </c>
      <c r="X28" s="205">
        <f t="shared" si="8"/>
        <v>1530293673.8371708</v>
      </c>
      <c r="Y28" s="199">
        <f t="shared" si="8"/>
        <v>1674974146.6114738</v>
      </c>
      <c r="Z28" s="199">
        <f t="shared" si="8"/>
        <v>1891994855.7729282</v>
      </c>
      <c r="AA28" s="205">
        <f t="shared" si="8"/>
        <v>2253696037.7086859</v>
      </c>
      <c r="AB28" s="199">
        <f t="shared" si="8"/>
        <v>2409409593.9643741</v>
      </c>
      <c r="AC28" s="455">
        <f t="shared" si="8"/>
        <v>2642979928.3479066</v>
      </c>
      <c r="AE28" s="456">
        <f t="shared" si="4"/>
        <v>644584867.37307036</v>
      </c>
      <c r="AF28" s="205">
        <f t="shared" si="5"/>
        <v>885708806.46410036</v>
      </c>
      <c r="AG28" s="199">
        <f t="shared" si="6"/>
        <v>723402363.87151527</v>
      </c>
      <c r="AH28" s="455">
        <f t="shared" si="7"/>
        <v>778567781.27844131</v>
      </c>
    </row>
    <row r="29" spans="2:34" ht="20.100000000000001" hidden="1" customHeight="1" x14ac:dyDescent="0.4">
      <c r="B29" s="450" t="s">
        <v>342</v>
      </c>
      <c r="C29" s="451" t="s">
        <v>350</v>
      </c>
      <c r="D29" s="452" t="s">
        <v>350</v>
      </c>
      <c r="E29" s="451" t="s">
        <v>352</v>
      </c>
      <c r="F29" s="205">
        <v>493180667.60342109</v>
      </c>
      <c r="G29" s="199">
        <v>835495392.84467709</v>
      </c>
      <c r="H29" s="205">
        <v>1392492321.4077952</v>
      </c>
      <c r="I29" s="199">
        <v>745354275.40932775</v>
      </c>
      <c r="J29" s="205">
        <v>1118031413.1139913</v>
      </c>
      <c r="K29" s="199">
        <v>1863385688.523319</v>
      </c>
      <c r="L29" s="199">
        <v>608767848.77570534</v>
      </c>
      <c r="M29" s="205">
        <v>913151773.16355801</v>
      </c>
      <c r="N29" s="199">
        <v>1521919621.9392633</v>
      </c>
      <c r="O29" s="205">
        <v>655191435.64636278</v>
      </c>
      <c r="P29" s="199">
        <v>982787153.46954417</v>
      </c>
      <c r="Q29" s="205">
        <v>1637978589.115907</v>
      </c>
      <c r="R29" s="457">
        <f t="shared" si="0"/>
        <v>12767736181.012871</v>
      </c>
      <c r="T29" s="454">
        <f t="shared" si="2"/>
        <v>1328676060.4480982</v>
      </c>
      <c r="U29" s="199">
        <f t="shared" si="8"/>
        <v>2721168381.8558931</v>
      </c>
      <c r="V29" s="205">
        <f t="shared" si="8"/>
        <v>3466522657.2652206</v>
      </c>
      <c r="W29" s="199">
        <f t="shared" si="8"/>
        <v>4584554070.3792114</v>
      </c>
      <c r="X29" s="205">
        <f t="shared" si="8"/>
        <v>6447939758.9025307</v>
      </c>
      <c r="Y29" s="199">
        <f t="shared" si="8"/>
        <v>7056707607.678236</v>
      </c>
      <c r="Z29" s="199">
        <f t="shared" si="8"/>
        <v>7969859380.841794</v>
      </c>
      <c r="AA29" s="205">
        <f t="shared" si="8"/>
        <v>9491779002.7810574</v>
      </c>
      <c r="AB29" s="199">
        <f t="shared" si="8"/>
        <v>10146970438.42742</v>
      </c>
      <c r="AC29" s="455">
        <f t="shared" si="8"/>
        <v>11129757591.896963</v>
      </c>
      <c r="AE29" s="456">
        <f t="shared" si="4"/>
        <v>2721168381.8558931</v>
      </c>
      <c r="AF29" s="205">
        <f t="shared" si="5"/>
        <v>3726771377.046638</v>
      </c>
      <c r="AG29" s="199">
        <f t="shared" si="6"/>
        <v>3043839243.8785267</v>
      </c>
      <c r="AH29" s="455">
        <f t="shared" si="7"/>
        <v>3275957178.2318139</v>
      </c>
    </row>
    <row r="30" spans="2:34" ht="20.100000000000001" hidden="1" customHeight="1" x14ac:dyDescent="0.4">
      <c r="B30" s="450" t="s">
        <v>342</v>
      </c>
      <c r="C30" s="451" t="s">
        <v>353</v>
      </c>
      <c r="D30" s="452" t="s">
        <v>353</v>
      </c>
      <c r="E30" s="451" t="s">
        <v>353</v>
      </c>
      <c r="F30" s="205">
        <v>278671386.10748053</v>
      </c>
      <c r="G30" s="199">
        <v>423468808.18629038</v>
      </c>
      <c r="H30" s="205">
        <v>705781346.9771508</v>
      </c>
      <c r="I30" s="199">
        <v>377781002.0106504</v>
      </c>
      <c r="J30" s="205">
        <v>566671503.01597548</v>
      </c>
      <c r="K30" s="199">
        <v>944452505.02662575</v>
      </c>
      <c r="L30" s="199">
        <v>308552503.80908459</v>
      </c>
      <c r="M30" s="205">
        <v>462828755.71362686</v>
      </c>
      <c r="N30" s="199">
        <v>771381259.5227114</v>
      </c>
      <c r="O30" s="205">
        <v>332082185.9260807</v>
      </c>
      <c r="P30" s="199">
        <v>498123278.889121</v>
      </c>
      <c r="Q30" s="205">
        <v>830205464.81520152</v>
      </c>
      <c r="R30" s="457">
        <f t="shared" si="0"/>
        <v>6499999999.999999</v>
      </c>
      <c r="T30" s="454">
        <f t="shared" si="2"/>
        <v>702140194.29377091</v>
      </c>
      <c r="U30" s="199">
        <f t="shared" si="8"/>
        <v>1407921541.2709217</v>
      </c>
      <c r="V30" s="205">
        <f t="shared" si="8"/>
        <v>1785702543.2815721</v>
      </c>
      <c r="W30" s="199">
        <f t="shared" si="8"/>
        <v>2352374046.2975473</v>
      </c>
      <c r="X30" s="205">
        <f t="shared" si="8"/>
        <v>3296826551.324173</v>
      </c>
      <c r="Y30" s="199">
        <f t="shared" si="8"/>
        <v>3605379055.1332574</v>
      </c>
      <c r="Z30" s="199">
        <f t="shared" si="8"/>
        <v>4068207810.8468843</v>
      </c>
      <c r="AA30" s="205">
        <f t="shared" si="8"/>
        <v>4839589070.3695955</v>
      </c>
      <c r="AB30" s="199">
        <f t="shared" si="8"/>
        <v>5171671256.2956762</v>
      </c>
      <c r="AC30" s="455">
        <f t="shared" si="8"/>
        <v>5669794535.1847973</v>
      </c>
      <c r="AE30" s="456">
        <f t="shared" si="4"/>
        <v>1407921541.2709217</v>
      </c>
      <c r="AF30" s="205">
        <f t="shared" si="5"/>
        <v>1888905010.0532517</v>
      </c>
      <c r="AG30" s="199">
        <f t="shared" si="6"/>
        <v>1542762519.045423</v>
      </c>
      <c r="AH30" s="455">
        <f t="shared" si="7"/>
        <v>1660410929.6304033</v>
      </c>
    </row>
    <row r="31" spans="2:34" ht="20.100000000000001" hidden="1" customHeight="1" x14ac:dyDescent="0.4">
      <c r="B31" s="450" t="s">
        <v>342</v>
      </c>
      <c r="C31" s="451" t="s">
        <v>354</v>
      </c>
      <c r="D31" s="452" t="s">
        <v>354</v>
      </c>
      <c r="E31" s="451" t="s">
        <v>354</v>
      </c>
      <c r="F31" s="205">
        <v>260450291.30278426</v>
      </c>
      <c r="G31" s="199">
        <v>390675436.95417631</v>
      </c>
      <c r="H31" s="205">
        <v>651125728.25696063</v>
      </c>
      <c r="I31" s="199">
        <v>348525688.74109471</v>
      </c>
      <c r="J31" s="205">
        <v>522788533.111642</v>
      </c>
      <c r="K31" s="199">
        <v>871314221.85273671</v>
      </c>
      <c r="L31" s="199">
        <v>284658236.73107505</v>
      </c>
      <c r="M31" s="205">
        <v>426987355.09661257</v>
      </c>
      <c r="N31" s="199">
        <v>711645591.8276875</v>
      </c>
      <c r="O31" s="205">
        <v>306365783.22504586</v>
      </c>
      <c r="P31" s="199">
        <v>459548674.83756876</v>
      </c>
      <c r="Q31" s="205">
        <v>765914458.06261468</v>
      </c>
      <c r="R31" s="457">
        <f t="shared" si="0"/>
        <v>6000000000</v>
      </c>
      <c r="T31" s="454">
        <f t="shared" si="2"/>
        <v>651125728.25696063</v>
      </c>
      <c r="U31" s="199">
        <f t="shared" si="8"/>
        <v>1302251456.5139213</v>
      </c>
      <c r="V31" s="205">
        <f t="shared" si="8"/>
        <v>1650777145.2550159</v>
      </c>
      <c r="W31" s="199">
        <f t="shared" si="8"/>
        <v>2173565678.3666577</v>
      </c>
      <c r="X31" s="205">
        <f t="shared" si="8"/>
        <v>3044879900.2193947</v>
      </c>
      <c r="Y31" s="199">
        <f t="shared" si="8"/>
        <v>3329538136.95047</v>
      </c>
      <c r="Z31" s="199">
        <f t="shared" si="8"/>
        <v>3756525492.0470824</v>
      </c>
      <c r="AA31" s="205">
        <f t="shared" si="8"/>
        <v>4468171083.8747702</v>
      </c>
      <c r="AB31" s="199">
        <f t="shared" si="8"/>
        <v>4774536867.0998163</v>
      </c>
      <c r="AC31" s="455">
        <f t="shared" si="8"/>
        <v>5234085541.9373856</v>
      </c>
      <c r="AE31" s="456">
        <f t="shared" si="4"/>
        <v>1302251456.5139213</v>
      </c>
      <c r="AF31" s="205">
        <f t="shared" si="5"/>
        <v>1742628443.7054734</v>
      </c>
      <c r="AG31" s="199">
        <f t="shared" si="6"/>
        <v>1423291183.655375</v>
      </c>
      <c r="AH31" s="455">
        <f t="shared" si="7"/>
        <v>1531828916.1252294</v>
      </c>
    </row>
    <row r="32" spans="2:34" ht="20.100000000000001" hidden="1" customHeight="1" x14ac:dyDescent="0.4">
      <c r="B32" s="450" t="s">
        <v>342</v>
      </c>
      <c r="C32" s="458" t="s">
        <v>355</v>
      </c>
      <c r="D32" s="452" t="s">
        <v>355</v>
      </c>
      <c r="E32" s="451" t="s">
        <v>355</v>
      </c>
      <c r="F32" s="205">
        <v>0</v>
      </c>
      <c r="G32" s="199">
        <v>0</v>
      </c>
      <c r="H32" s="205">
        <v>0</v>
      </c>
      <c r="I32" s="199">
        <v>0</v>
      </c>
      <c r="J32" s="205">
        <v>0</v>
      </c>
      <c r="K32" s="199">
        <v>0</v>
      </c>
      <c r="L32" s="199">
        <v>0</v>
      </c>
      <c r="M32" s="205">
        <v>0</v>
      </c>
      <c r="N32" s="199">
        <v>25000000</v>
      </c>
      <c r="O32" s="205">
        <v>25000000</v>
      </c>
      <c r="P32" s="199">
        <v>25000000</v>
      </c>
      <c r="Q32" s="205">
        <v>25000000</v>
      </c>
      <c r="R32" s="457">
        <f t="shared" si="0"/>
        <v>100000000</v>
      </c>
      <c r="T32" s="454">
        <f t="shared" si="2"/>
        <v>0</v>
      </c>
      <c r="U32" s="199">
        <f t="shared" si="8"/>
        <v>0</v>
      </c>
      <c r="V32" s="205">
        <f t="shared" si="8"/>
        <v>0</v>
      </c>
      <c r="W32" s="199">
        <f t="shared" si="8"/>
        <v>0</v>
      </c>
      <c r="X32" s="205">
        <f t="shared" si="8"/>
        <v>0</v>
      </c>
      <c r="Y32" s="199">
        <f t="shared" si="8"/>
        <v>0</v>
      </c>
      <c r="Z32" s="199">
        <f t="shared" si="8"/>
        <v>0</v>
      </c>
      <c r="AA32" s="205">
        <f t="shared" si="8"/>
        <v>25000000</v>
      </c>
      <c r="AB32" s="199">
        <f t="shared" si="8"/>
        <v>50000000</v>
      </c>
      <c r="AC32" s="455">
        <f t="shared" si="8"/>
        <v>75000000</v>
      </c>
      <c r="AE32" s="456">
        <f t="shared" si="4"/>
        <v>0</v>
      </c>
      <c r="AF32" s="205">
        <f t="shared" si="5"/>
        <v>0</v>
      </c>
      <c r="AG32" s="199">
        <f t="shared" si="6"/>
        <v>25000000</v>
      </c>
      <c r="AH32" s="455">
        <f t="shared" si="7"/>
        <v>75000000</v>
      </c>
    </row>
    <row r="33" spans="2:34" ht="20.100000000000001" hidden="1" customHeight="1" x14ac:dyDescent="0.4">
      <c r="B33" s="450" t="s">
        <v>342</v>
      </c>
      <c r="C33" s="458" t="s">
        <v>356</v>
      </c>
      <c r="D33" s="452" t="s">
        <v>356</v>
      </c>
      <c r="E33" s="451" t="s">
        <v>356</v>
      </c>
      <c r="F33" s="205">
        <v>0</v>
      </c>
      <c r="G33" s="199">
        <v>0</v>
      </c>
      <c r="H33" s="205">
        <v>0</v>
      </c>
      <c r="I33" s="199">
        <v>0</v>
      </c>
      <c r="J33" s="205">
        <v>0</v>
      </c>
      <c r="K33" s="199">
        <v>0</v>
      </c>
      <c r="L33" s="199">
        <v>0</v>
      </c>
      <c r="M33" s="205">
        <v>0</v>
      </c>
      <c r="N33" s="199">
        <v>0</v>
      </c>
      <c r="O33" s="205">
        <v>66666666.666666664</v>
      </c>
      <c r="P33" s="199">
        <v>66666666.666666664</v>
      </c>
      <c r="Q33" s="205">
        <v>66666666.666666664</v>
      </c>
      <c r="R33" s="457">
        <f t="shared" si="0"/>
        <v>200000000</v>
      </c>
      <c r="T33" s="454">
        <f t="shared" si="2"/>
        <v>0</v>
      </c>
      <c r="U33" s="199">
        <f t="shared" si="8"/>
        <v>0</v>
      </c>
      <c r="V33" s="205">
        <f t="shared" si="8"/>
        <v>0</v>
      </c>
      <c r="W33" s="199">
        <f t="shared" si="8"/>
        <v>0</v>
      </c>
      <c r="X33" s="205">
        <f t="shared" si="8"/>
        <v>0</v>
      </c>
      <c r="Y33" s="199">
        <f t="shared" si="8"/>
        <v>0</v>
      </c>
      <c r="Z33" s="199">
        <f t="shared" si="8"/>
        <v>0</v>
      </c>
      <c r="AA33" s="205">
        <f t="shared" si="8"/>
        <v>0</v>
      </c>
      <c r="AB33" s="199">
        <f t="shared" si="8"/>
        <v>66666666.666666664</v>
      </c>
      <c r="AC33" s="455">
        <f t="shared" si="8"/>
        <v>133333333.33333333</v>
      </c>
      <c r="AE33" s="456">
        <f t="shared" si="4"/>
        <v>0</v>
      </c>
      <c r="AF33" s="205">
        <f t="shared" si="5"/>
        <v>0</v>
      </c>
      <c r="AG33" s="199">
        <f t="shared" si="6"/>
        <v>0</v>
      </c>
      <c r="AH33" s="455">
        <f t="shared" si="7"/>
        <v>200000000</v>
      </c>
    </row>
    <row r="34" spans="2:34" ht="20.100000000000001" hidden="1" customHeight="1" x14ac:dyDescent="0.4">
      <c r="B34" s="450" t="s">
        <v>342</v>
      </c>
      <c r="C34" s="458" t="s">
        <v>357</v>
      </c>
      <c r="D34" s="452" t="s">
        <v>357</v>
      </c>
      <c r="E34" s="451" t="s">
        <v>357</v>
      </c>
      <c r="F34" s="205">
        <v>0</v>
      </c>
      <c r="G34" s="199">
        <v>0</v>
      </c>
      <c r="H34" s="205">
        <v>0</v>
      </c>
      <c r="I34" s="199">
        <v>0</v>
      </c>
      <c r="J34" s="205">
        <v>0</v>
      </c>
      <c r="K34" s="199">
        <v>0</v>
      </c>
      <c r="L34" s="199">
        <v>0</v>
      </c>
      <c r="M34" s="205">
        <v>20000000</v>
      </c>
      <c r="N34" s="199">
        <v>20000000</v>
      </c>
      <c r="O34" s="205">
        <v>20000000</v>
      </c>
      <c r="P34" s="199">
        <v>20000000</v>
      </c>
      <c r="Q34" s="205">
        <v>20000000</v>
      </c>
      <c r="R34" s="457">
        <f t="shared" si="0"/>
        <v>100000000</v>
      </c>
      <c r="T34" s="454">
        <f t="shared" si="2"/>
        <v>0</v>
      </c>
      <c r="U34" s="199">
        <f t="shared" si="8"/>
        <v>0</v>
      </c>
      <c r="V34" s="205">
        <f t="shared" si="8"/>
        <v>0</v>
      </c>
      <c r="W34" s="199">
        <f t="shared" si="8"/>
        <v>0</v>
      </c>
      <c r="X34" s="205">
        <f t="shared" si="8"/>
        <v>0</v>
      </c>
      <c r="Y34" s="199">
        <f t="shared" si="8"/>
        <v>0</v>
      </c>
      <c r="Z34" s="199">
        <f t="shared" si="8"/>
        <v>20000000</v>
      </c>
      <c r="AA34" s="205">
        <f t="shared" si="8"/>
        <v>40000000</v>
      </c>
      <c r="AB34" s="199">
        <f t="shared" si="8"/>
        <v>60000000</v>
      </c>
      <c r="AC34" s="455">
        <f t="shared" si="8"/>
        <v>80000000</v>
      </c>
      <c r="AE34" s="456">
        <f t="shared" si="4"/>
        <v>0</v>
      </c>
      <c r="AF34" s="205">
        <f t="shared" si="5"/>
        <v>0</v>
      </c>
      <c r="AG34" s="199">
        <f t="shared" si="6"/>
        <v>40000000</v>
      </c>
      <c r="AH34" s="455">
        <f t="shared" si="7"/>
        <v>60000000</v>
      </c>
    </row>
    <row r="35" spans="2:34" ht="20.100000000000001" hidden="1" customHeight="1" x14ac:dyDescent="0.4">
      <c r="B35" s="450" t="s">
        <v>342</v>
      </c>
      <c r="C35" s="458" t="s">
        <v>358</v>
      </c>
      <c r="D35" s="452" t="s">
        <v>358</v>
      </c>
      <c r="E35" s="451" t="s">
        <v>358</v>
      </c>
      <c r="F35" s="205">
        <v>0</v>
      </c>
      <c r="G35" s="199">
        <v>0</v>
      </c>
      <c r="H35" s="205">
        <v>0</v>
      </c>
      <c r="I35" s="199">
        <v>0</v>
      </c>
      <c r="J35" s="205">
        <v>0</v>
      </c>
      <c r="K35" s="199">
        <v>0</v>
      </c>
      <c r="L35" s="199">
        <v>0</v>
      </c>
      <c r="M35" s="205">
        <v>0</v>
      </c>
      <c r="N35" s="199">
        <v>0</v>
      </c>
      <c r="O35" s="205">
        <v>0</v>
      </c>
      <c r="P35" s="199">
        <v>0</v>
      </c>
      <c r="Q35" s="205">
        <v>0</v>
      </c>
      <c r="R35" s="457">
        <f t="shared" si="0"/>
        <v>0</v>
      </c>
      <c r="T35" s="454">
        <f t="shared" si="2"/>
        <v>0</v>
      </c>
      <c r="U35" s="199">
        <f t="shared" si="8"/>
        <v>0</v>
      </c>
      <c r="V35" s="205">
        <f t="shared" si="8"/>
        <v>0</v>
      </c>
      <c r="W35" s="199">
        <f t="shared" si="8"/>
        <v>0</v>
      </c>
      <c r="X35" s="205">
        <f t="shared" si="8"/>
        <v>0</v>
      </c>
      <c r="Y35" s="199">
        <f t="shared" si="8"/>
        <v>0</v>
      </c>
      <c r="Z35" s="199">
        <f t="shared" si="8"/>
        <v>0</v>
      </c>
      <c r="AA35" s="205">
        <f t="shared" si="8"/>
        <v>0</v>
      </c>
      <c r="AB35" s="199">
        <f t="shared" si="8"/>
        <v>0</v>
      </c>
      <c r="AC35" s="455">
        <f t="shared" si="8"/>
        <v>0</v>
      </c>
      <c r="AE35" s="456">
        <f t="shared" si="4"/>
        <v>0</v>
      </c>
      <c r="AF35" s="205">
        <f t="shared" si="5"/>
        <v>0</v>
      </c>
      <c r="AG35" s="199">
        <f t="shared" si="6"/>
        <v>0</v>
      </c>
      <c r="AH35" s="455">
        <f t="shared" si="7"/>
        <v>0</v>
      </c>
    </row>
    <row r="36" spans="2:34" ht="20.100000000000001" hidden="1" customHeight="1" x14ac:dyDescent="0.4">
      <c r="B36" s="450" t="s">
        <v>342</v>
      </c>
      <c r="C36" s="458" t="s">
        <v>359</v>
      </c>
      <c r="D36" s="452" t="s">
        <v>359</v>
      </c>
      <c r="E36" s="451" t="s">
        <v>359</v>
      </c>
      <c r="F36" s="205">
        <v>0</v>
      </c>
      <c r="G36" s="199">
        <v>0</v>
      </c>
      <c r="H36" s="205">
        <v>0</v>
      </c>
      <c r="I36" s="199">
        <v>0</v>
      </c>
      <c r="J36" s="205">
        <v>0</v>
      </c>
      <c r="K36" s="199">
        <v>0</v>
      </c>
      <c r="L36" s="199">
        <v>0</v>
      </c>
      <c r="M36" s="205">
        <v>0</v>
      </c>
      <c r="N36" s="199">
        <v>0</v>
      </c>
      <c r="O36" s="205">
        <v>0</v>
      </c>
      <c r="P36" s="199">
        <v>0</v>
      </c>
      <c r="Q36" s="205">
        <v>0</v>
      </c>
      <c r="R36" s="457">
        <f t="shared" si="0"/>
        <v>0</v>
      </c>
      <c r="T36" s="454">
        <f t="shared" si="2"/>
        <v>0</v>
      </c>
      <c r="U36" s="199">
        <f t="shared" si="8"/>
        <v>0</v>
      </c>
      <c r="V36" s="205">
        <f t="shared" si="8"/>
        <v>0</v>
      </c>
      <c r="W36" s="199">
        <f t="shared" si="8"/>
        <v>0</v>
      </c>
      <c r="X36" s="205">
        <f t="shared" si="8"/>
        <v>0</v>
      </c>
      <c r="Y36" s="199">
        <f t="shared" si="8"/>
        <v>0</v>
      </c>
      <c r="Z36" s="199">
        <f t="shared" si="8"/>
        <v>0</v>
      </c>
      <c r="AA36" s="205">
        <f t="shared" si="8"/>
        <v>0</v>
      </c>
      <c r="AB36" s="199">
        <f t="shared" si="8"/>
        <v>0</v>
      </c>
      <c r="AC36" s="455">
        <f t="shared" si="8"/>
        <v>0</v>
      </c>
      <c r="AE36" s="456">
        <f t="shared" si="4"/>
        <v>0</v>
      </c>
      <c r="AF36" s="205">
        <f t="shared" si="5"/>
        <v>0</v>
      </c>
      <c r="AG36" s="199">
        <f t="shared" si="6"/>
        <v>0</v>
      </c>
      <c r="AH36" s="455">
        <f t="shared" si="7"/>
        <v>0</v>
      </c>
    </row>
    <row r="37" spans="2:34" ht="20.100000000000001" hidden="1" customHeight="1" x14ac:dyDescent="0.4">
      <c r="B37" s="450" t="s">
        <v>342</v>
      </c>
      <c r="C37" s="451" t="s">
        <v>360</v>
      </c>
      <c r="D37" s="452" t="s">
        <v>361</v>
      </c>
      <c r="E37" s="451" t="s">
        <v>361</v>
      </c>
      <c r="F37" s="205">
        <v>0</v>
      </c>
      <c r="G37" s="199">
        <v>0</v>
      </c>
      <c r="H37" s="205">
        <v>0</v>
      </c>
      <c r="I37" s="199">
        <v>0</v>
      </c>
      <c r="J37" s="205">
        <v>0</v>
      </c>
      <c r="K37" s="199">
        <v>0</v>
      </c>
      <c r="L37" s="199">
        <v>0</v>
      </c>
      <c r="M37" s="205">
        <v>0</v>
      </c>
      <c r="N37" s="199">
        <v>0</v>
      </c>
      <c r="O37" s="205">
        <v>0</v>
      </c>
      <c r="P37" s="199">
        <v>0</v>
      </c>
      <c r="Q37" s="205">
        <v>0</v>
      </c>
      <c r="R37" s="457">
        <f t="shared" si="0"/>
        <v>0</v>
      </c>
      <c r="T37" s="454">
        <f t="shared" si="2"/>
        <v>0</v>
      </c>
      <c r="U37" s="199">
        <f t="shared" si="8"/>
        <v>0</v>
      </c>
      <c r="V37" s="205">
        <f t="shared" si="8"/>
        <v>0</v>
      </c>
      <c r="W37" s="199">
        <f t="shared" si="8"/>
        <v>0</v>
      </c>
      <c r="X37" s="205">
        <f t="shared" si="8"/>
        <v>0</v>
      </c>
      <c r="Y37" s="199">
        <f t="shared" si="8"/>
        <v>0</v>
      </c>
      <c r="Z37" s="199">
        <f t="shared" si="8"/>
        <v>0</v>
      </c>
      <c r="AA37" s="205">
        <f t="shared" si="8"/>
        <v>0</v>
      </c>
      <c r="AB37" s="199">
        <f t="shared" si="8"/>
        <v>0</v>
      </c>
      <c r="AC37" s="455">
        <f t="shared" si="8"/>
        <v>0</v>
      </c>
      <c r="AE37" s="456">
        <f t="shared" si="4"/>
        <v>0</v>
      </c>
      <c r="AF37" s="205">
        <f t="shared" si="5"/>
        <v>0</v>
      </c>
      <c r="AG37" s="199">
        <f t="shared" si="6"/>
        <v>0</v>
      </c>
      <c r="AH37" s="455">
        <f t="shared" si="7"/>
        <v>0</v>
      </c>
    </row>
    <row r="38" spans="2:34" ht="20.100000000000001" hidden="1" customHeight="1" x14ac:dyDescent="0.4">
      <c r="B38" s="450" t="s">
        <v>36</v>
      </c>
      <c r="C38" s="451" t="s">
        <v>362</v>
      </c>
      <c r="D38" s="452" t="s">
        <v>362</v>
      </c>
      <c r="E38" s="451" t="s">
        <v>363</v>
      </c>
      <c r="F38" s="205">
        <v>527771676.37675929</v>
      </c>
      <c r="G38" s="199">
        <v>971342514.56513941</v>
      </c>
      <c r="H38" s="205">
        <v>1219604190.9418988</v>
      </c>
      <c r="I38" s="199">
        <v>1129657522.9580364</v>
      </c>
      <c r="J38" s="205">
        <v>1015676284.4370548</v>
      </c>
      <c r="K38" s="199">
        <v>1426593807.3950915</v>
      </c>
      <c r="L38" s="199">
        <v>3388395187.2948098</v>
      </c>
      <c r="M38" s="205">
        <v>5082592780.9422188</v>
      </c>
      <c r="N38" s="199">
        <v>7832107968.2370453</v>
      </c>
      <c r="O38" s="205">
        <v>3986411613.3703899</v>
      </c>
      <c r="P38" s="199">
        <v>5377218861.4702044</v>
      </c>
      <c r="Q38" s="205">
        <v>8164006195.5478916</v>
      </c>
      <c r="R38" s="457">
        <f t="shared" si="0"/>
        <v>40121378603.536545</v>
      </c>
      <c r="T38" s="454">
        <f t="shared" si="2"/>
        <v>1499114190.9418988</v>
      </c>
      <c r="U38" s="199">
        <f t="shared" ref="U38:AC53" si="9">T38+H38</f>
        <v>2718718381.8837976</v>
      </c>
      <c r="V38" s="205">
        <f t="shared" si="9"/>
        <v>3848375904.8418341</v>
      </c>
      <c r="W38" s="199">
        <f t="shared" si="9"/>
        <v>4864052189.2788887</v>
      </c>
      <c r="X38" s="205">
        <f t="shared" si="9"/>
        <v>6290645996.6739807</v>
      </c>
      <c r="Y38" s="199">
        <f t="shared" si="9"/>
        <v>9679041183.9687901</v>
      </c>
      <c r="Z38" s="199">
        <f t="shared" si="9"/>
        <v>14761633964.911009</v>
      </c>
      <c r="AA38" s="205">
        <f t="shared" si="9"/>
        <v>22593741933.148056</v>
      </c>
      <c r="AB38" s="199">
        <f t="shared" si="9"/>
        <v>26580153546.518448</v>
      </c>
      <c r="AC38" s="455">
        <f t="shared" si="9"/>
        <v>31957372407.988651</v>
      </c>
      <c r="AE38" s="456">
        <f t="shared" si="4"/>
        <v>2718718381.8837976</v>
      </c>
      <c r="AF38" s="205">
        <f t="shared" si="5"/>
        <v>3571927614.7901826</v>
      </c>
      <c r="AG38" s="199">
        <f t="shared" si="6"/>
        <v>16303095936.474073</v>
      </c>
      <c r="AH38" s="455">
        <f t="shared" si="7"/>
        <v>17527636670.388489</v>
      </c>
    </row>
    <row r="39" spans="2:34" ht="20.100000000000001" hidden="1" customHeight="1" x14ac:dyDescent="0.4">
      <c r="B39" s="450" t="s">
        <v>36</v>
      </c>
      <c r="C39" s="451" t="s">
        <v>362</v>
      </c>
      <c r="D39" s="452" t="s">
        <v>362</v>
      </c>
      <c r="E39" s="451" t="s">
        <v>364</v>
      </c>
      <c r="F39" s="205">
        <v>515767334.72731161</v>
      </c>
      <c r="G39" s="199">
        <v>773651002.09096742</v>
      </c>
      <c r="H39" s="205">
        <v>1289418336.818279</v>
      </c>
      <c r="I39" s="199">
        <v>690182240.40693724</v>
      </c>
      <c r="J39" s="205">
        <v>1035273360.6104056</v>
      </c>
      <c r="K39" s="199">
        <v>1725455601.0173426</v>
      </c>
      <c r="L39" s="199">
        <v>563706108.11212873</v>
      </c>
      <c r="M39" s="205">
        <v>845559162.16819286</v>
      </c>
      <c r="N39" s="199">
        <v>1448110751.3226511</v>
      </c>
      <c r="O39" s="205">
        <v>645538845.35087585</v>
      </c>
      <c r="P39" s="199">
        <v>948885527.50514936</v>
      </c>
      <c r="Q39" s="205">
        <v>1555578891.8136959</v>
      </c>
      <c r="R39" s="457">
        <f t="shared" si="0"/>
        <v>12037127161.943939</v>
      </c>
      <c r="T39" s="454">
        <f t="shared" si="2"/>
        <v>1289418336.818279</v>
      </c>
      <c r="U39" s="199">
        <f t="shared" si="9"/>
        <v>2578836673.6365581</v>
      </c>
      <c r="V39" s="205">
        <f t="shared" si="9"/>
        <v>3269018914.0434952</v>
      </c>
      <c r="W39" s="199">
        <f t="shared" si="9"/>
        <v>4304292274.6539011</v>
      </c>
      <c r="X39" s="205">
        <f t="shared" si="9"/>
        <v>6029747875.6712437</v>
      </c>
      <c r="Y39" s="199">
        <f t="shared" si="9"/>
        <v>6593453983.7833729</v>
      </c>
      <c r="Z39" s="199">
        <f t="shared" si="9"/>
        <v>7439013145.9515657</v>
      </c>
      <c r="AA39" s="205">
        <f t="shared" si="9"/>
        <v>8887123897.2742176</v>
      </c>
      <c r="AB39" s="199">
        <f t="shared" si="9"/>
        <v>9532662742.6250935</v>
      </c>
      <c r="AC39" s="455">
        <f t="shared" si="9"/>
        <v>10481548270.130243</v>
      </c>
      <c r="AE39" s="456">
        <f t="shared" si="4"/>
        <v>2578836673.6365581</v>
      </c>
      <c r="AF39" s="205">
        <f t="shared" si="5"/>
        <v>3450911202.0346851</v>
      </c>
      <c r="AG39" s="199">
        <f t="shared" si="6"/>
        <v>2857376021.602973</v>
      </c>
      <c r="AH39" s="455">
        <f t="shared" si="7"/>
        <v>3150003264.6697211</v>
      </c>
    </row>
    <row r="40" spans="2:34" ht="20.100000000000001" hidden="1" customHeight="1" x14ac:dyDescent="0.4">
      <c r="B40" s="450" t="s">
        <v>36</v>
      </c>
      <c r="C40" s="451" t="s">
        <v>362</v>
      </c>
      <c r="D40" s="452" t="s">
        <v>362</v>
      </c>
      <c r="E40" s="451" t="s">
        <v>365</v>
      </c>
      <c r="F40" s="205">
        <v>0</v>
      </c>
      <c r="G40" s="199">
        <v>0</v>
      </c>
      <c r="H40" s="205">
        <v>0</v>
      </c>
      <c r="I40" s="199">
        <v>0</v>
      </c>
      <c r="J40" s="205">
        <v>0</v>
      </c>
      <c r="K40" s="199">
        <v>0</v>
      </c>
      <c r="L40" s="199">
        <v>0</v>
      </c>
      <c r="M40" s="205">
        <v>0</v>
      </c>
      <c r="N40" s="199">
        <v>0</v>
      </c>
      <c r="O40" s="205">
        <v>0</v>
      </c>
      <c r="P40" s="199">
        <v>0</v>
      </c>
      <c r="Q40" s="205">
        <v>0</v>
      </c>
      <c r="R40" s="457">
        <f t="shared" si="0"/>
        <v>0</v>
      </c>
      <c r="T40" s="454">
        <f t="shared" si="2"/>
        <v>0</v>
      </c>
      <c r="U40" s="199">
        <f t="shared" si="9"/>
        <v>0</v>
      </c>
      <c r="V40" s="205">
        <f t="shared" si="9"/>
        <v>0</v>
      </c>
      <c r="W40" s="199">
        <f t="shared" si="9"/>
        <v>0</v>
      </c>
      <c r="X40" s="205">
        <f t="shared" si="9"/>
        <v>0</v>
      </c>
      <c r="Y40" s="199">
        <f t="shared" si="9"/>
        <v>0</v>
      </c>
      <c r="Z40" s="199">
        <f t="shared" si="9"/>
        <v>0</v>
      </c>
      <c r="AA40" s="205">
        <f t="shared" si="9"/>
        <v>0</v>
      </c>
      <c r="AB40" s="199">
        <f t="shared" si="9"/>
        <v>0</v>
      </c>
      <c r="AC40" s="455">
        <f t="shared" si="9"/>
        <v>0</v>
      </c>
      <c r="AE40" s="456">
        <f t="shared" si="4"/>
        <v>0</v>
      </c>
      <c r="AF40" s="205">
        <f t="shared" si="5"/>
        <v>0</v>
      </c>
      <c r="AG40" s="199">
        <f t="shared" si="6"/>
        <v>0</v>
      </c>
      <c r="AH40" s="455">
        <f t="shared" si="7"/>
        <v>0</v>
      </c>
    </row>
    <row r="41" spans="2:34" ht="20.100000000000001" hidden="1" customHeight="1" x14ac:dyDescent="0.4">
      <c r="B41" s="450" t="s">
        <v>36</v>
      </c>
      <c r="C41" s="451" t="s">
        <v>366</v>
      </c>
      <c r="D41" s="452" t="s">
        <v>366</v>
      </c>
      <c r="E41" s="451" t="s">
        <v>367</v>
      </c>
      <c r="F41" s="205">
        <v>0</v>
      </c>
      <c r="G41" s="199">
        <v>0</v>
      </c>
      <c r="H41" s="205">
        <v>0</v>
      </c>
      <c r="I41" s="199">
        <v>0</v>
      </c>
      <c r="J41" s="205">
        <v>0</v>
      </c>
      <c r="K41" s="199">
        <v>0</v>
      </c>
      <c r="L41" s="199">
        <v>0</v>
      </c>
      <c r="M41" s="205">
        <v>0</v>
      </c>
      <c r="N41" s="199">
        <v>0</v>
      </c>
      <c r="O41" s="205">
        <v>0</v>
      </c>
      <c r="P41" s="199">
        <v>0</v>
      </c>
      <c r="Q41" s="205">
        <v>0</v>
      </c>
      <c r="R41" s="457">
        <f t="shared" si="0"/>
        <v>0</v>
      </c>
      <c r="T41" s="454">
        <f t="shared" si="2"/>
        <v>0</v>
      </c>
      <c r="U41" s="199">
        <f t="shared" si="9"/>
        <v>0</v>
      </c>
      <c r="V41" s="205">
        <f t="shared" si="9"/>
        <v>0</v>
      </c>
      <c r="W41" s="199">
        <f t="shared" si="9"/>
        <v>0</v>
      </c>
      <c r="X41" s="205">
        <f t="shared" si="9"/>
        <v>0</v>
      </c>
      <c r="Y41" s="199">
        <f t="shared" si="9"/>
        <v>0</v>
      </c>
      <c r="Z41" s="199">
        <f t="shared" si="9"/>
        <v>0</v>
      </c>
      <c r="AA41" s="205">
        <f t="shared" si="9"/>
        <v>0</v>
      </c>
      <c r="AB41" s="199">
        <f t="shared" si="9"/>
        <v>0</v>
      </c>
      <c r="AC41" s="455">
        <f t="shared" si="9"/>
        <v>0</v>
      </c>
      <c r="AE41" s="456">
        <f t="shared" si="4"/>
        <v>0</v>
      </c>
      <c r="AF41" s="205">
        <f t="shared" si="5"/>
        <v>0</v>
      </c>
      <c r="AG41" s="199">
        <f t="shared" si="6"/>
        <v>0</v>
      </c>
      <c r="AH41" s="455">
        <f t="shared" si="7"/>
        <v>0</v>
      </c>
    </row>
    <row r="42" spans="2:34" ht="20.100000000000001" hidden="1" customHeight="1" x14ac:dyDescent="0.4">
      <c r="B42" s="450" t="s">
        <v>36</v>
      </c>
      <c r="C42" s="451" t="s">
        <v>366</v>
      </c>
      <c r="D42" s="452" t="s">
        <v>366</v>
      </c>
      <c r="E42" s="451" t="s">
        <v>368</v>
      </c>
      <c r="F42" s="205">
        <v>0</v>
      </c>
      <c r="G42" s="199">
        <v>0</v>
      </c>
      <c r="H42" s="205">
        <v>0</v>
      </c>
      <c r="I42" s="199">
        <v>0</v>
      </c>
      <c r="J42" s="205">
        <v>0</v>
      </c>
      <c r="K42" s="199">
        <v>0</v>
      </c>
      <c r="L42" s="199">
        <v>0</v>
      </c>
      <c r="M42" s="205">
        <v>0</v>
      </c>
      <c r="N42" s="199">
        <v>0</v>
      </c>
      <c r="O42" s="205">
        <v>0</v>
      </c>
      <c r="P42" s="199">
        <v>0</v>
      </c>
      <c r="Q42" s="205">
        <v>0</v>
      </c>
      <c r="R42" s="457">
        <f t="shared" si="0"/>
        <v>0</v>
      </c>
      <c r="T42" s="454">
        <f t="shared" si="2"/>
        <v>0</v>
      </c>
      <c r="U42" s="199">
        <f t="shared" si="9"/>
        <v>0</v>
      </c>
      <c r="V42" s="205">
        <f t="shared" si="9"/>
        <v>0</v>
      </c>
      <c r="W42" s="199">
        <f t="shared" si="9"/>
        <v>0</v>
      </c>
      <c r="X42" s="205">
        <f t="shared" si="9"/>
        <v>0</v>
      </c>
      <c r="Y42" s="199">
        <f t="shared" si="9"/>
        <v>0</v>
      </c>
      <c r="Z42" s="199">
        <f t="shared" si="9"/>
        <v>0</v>
      </c>
      <c r="AA42" s="205">
        <f t="shared" si="9"/>
        <v>0</v>
      </c>
      <c r="AB42" s="199">
        <f t="shared" si="9"/>
        <v>0</v>
      </c>
      <c r="AC42" s="455">
        <f t="shared" si="9"/>
        <v>0</v>
      </c>
      <c r="AE42" s="456">
        <f t="shared" si="4"/>
        <v>0</v>
      </c>
      <c r="AF42" s="205">
        <f t="shared" si="5"/>
        <v>0</v>
      </c>
      <c r="AG42" s="199">
        <f t="shared" si="6"/>
        <v>0</v>
      </c>
      <c r="AH42" s="455">
        <f t="shared" si="7"/>
        <v>0</v>
      </c>
    </row>
    <row r="43" spans="2:34" ht="20.100000000000001" hidden="1" customHeight="1" x14ac:dyDescent="0.4">
      <c r="B43" s="450" t="s">
        <v>36</v>
      </c>
      <c r="C43" s="451" t="s">
        <v>369</v>
      </c>
      <c r="D43" s="451" t="s">
        <v>369</v>
      </c>
      <c r="E43" s="451" t="s">
        <v>369</v>
      </c>
      <c r="F43" s="205">
        <v>0</v>
      </c>
      <c r="G43" s="199">
        <v>0</v>
      </c>
      <c r="H43" s="205">
        <v>0</v>
      </c>
      <c r="I43" s="199">
        <v>0</v>
      </c>
      <c r="J43" s="205">
        <v>0</v>
      </c>
      <c r="K43" s="199">
        <v>0</v>
      </c>
      <c r="L43" s="199">
        <v>0</v>
      </c>
      <c r="M43" s="205">
        <v>0</v>
      </c>
      <c r="N43" s="199">
        <v>0</v>
      </c>
      <c r="O43" s="205">
        <v>0</v>
      </c>
      <c r="P43" s="199">
        <v>0</v>
      </c>
      <c r="Q43" s="205">
        <v>0</v>
      </c>
      <c r="R43" s="457">
        <f t="shared" si="0"/>
        <v>0</v>
      </c>
      <c r="T43" s="454">
        <f t="shared" si="2"/>
        <v>0</v>
      </c>
      <c r="U43" s="199">
        <f t="shared" si="9"/>
        <v>0</v>
      </c>
      <c r="V43" s="205">
        <f t="shared" si="9"/>
        <v>0</v>
      </c>
      <c r="W43" s="199">
        <f t="shared" si="9"/>
        <v>0</v>
      </c>
      <c r="X43" s="205">
        <f t="shared" si="9"/>
        <v>0</v>
      </c>
      <c r="Y43" s="199">
        <f t="shared" si="9"/>
        <v>0</v>
      </c>
      <c r="Z43" s="199">
        <f t="shared" si="9"/>
        <v>0</v>
      </c>
      <c r="AA43" s="205">
        <f t="shared" si="9"/>
        <v>0</v>
      </c>
      <c r="AB43" s="199">
        <f t="shared" si="9"/>
        <v>0</v>
      </c>
      <c r="AC43" s="455">
        <f t="shared" si="9"/>
        <v>0</v>
      </c>
      <c r="AE43" s="456">
        <f t="shared" si="4"/>
        <v>0</v>
      </c>
      <c r="AF43" s="205">
        <f t="shared" si="5"/>
        <v>0</v>
      </c>
      <c r="AG43" s="199">
        <f t="shared" si="6"/>
        <v>0</v>
      </c>
      <c r="AH43" s="455">
        <f t="shared" si="7"/>
        <v>0</v>
      </c>
    </row>
    <row r="44" spans="2:34" ht="20.100000000000001" customHeight="1" x14ac:dyDescent="0.4">
      <c r="B44" s="450" t="s">
        <v>370</v>
      </c>
      <c r="C44" s="451" t="s">
        <v>371</v>
      </c>
      <c r="D44" s="452" t="s">
        <v>372</v>
      </c>
      <c r="E44" s="451" t="s">
        <v>372</v>
      </c>
      <c r="F44" s="205">
        <v>0</v>
      </c>
      <c r="G44" s="199">
        <v>0</v>
      </c>
      <c r="H44" s="205">
        <v>0</v>
      </c>
      <c r="I44" s="199">
        <v>0</v>
      </c>
      <c r="J44" s="205">
        <v>0</v>
      </c>
      <c r="K44" s="199">
        <v>0</v>
      </c>
      <c r="L44" s="199">
        <v>0</v>
      </c>
      <c r="M44" s="205">
        <v>0</v>
      </c>
      <c r="N44" s="199">
        <v>0</v>
      </c>
      <c r="O44" s="205">
        <v>0</v>
      </c>
      <c r="P44" s="199">
        <v>0</v>
      </c>
      <c r="Q44" s="205">
        <v>0</v>
      </c>
      <c r="R44" s="457">
        <f t="shared" si="0"/>
        <v>0</v>
      </c>
      <c r="T44" s="454">
        <f t="shared" si="2"/>
        <v>0</v>
      </c>
      <c r="U44" s="199">
        <f t="shared" si="9"/>
        <v>0</v>
      </c>
      <c r="V44" s="205">
        <f t="shared" si="9"/>
        <v>0</v>
      </c>
      <c r="W44" s="199">
        <f t="shared" si="9"/>
        <v>0</v>
      </c>
      <c r="X44" s="205">
        <f t="shared" si="9"/>
        <v>0</v>
      </c>
      <c r="Y44" s="199">
        <f t="shared" si="9"/>
        <v>0</v>
      </c>
      <c r="Z44" s="199">
        <f t="shared" si="9"/>
        <v>0</v>
      </c>
      <c r="AA44" s="205">
        <f t="shared" si="9"/>
        <v>0</v>
      </c>
      <c r="AB44" s="199">
        <f t="shared" si="9"/>
        <v>0</v>
      </c>
      <c r="AC44" s="455">
        <f t="shared" si="9"/>
        <v>0</v>
      </c>
      <c r="AE44" s="456">
        <f t="shared" si="4"/>
        <v>0</v>
      </c>
      <c r="AF44" s="205">
        <f t="shared" si="5"/>
        <v>0</v>
      </c>
      <c r="AG44" s="199">
        <f t="shared" si="6"/>
        <v>0</v>
      </c>
      <c r="AH44" s="455">
        <f t="shared" si="7"/>
        <v>0</v>
      </c>
    </row>
    <row r="45" spans="2:34" ht="20.100000000000001" customHeight="1" x14ac:dyDescent="0.4">
      <c r="B45" s="450" t="s">
        <v>370</v>
      </c>
      <c r="C45" s="451" t="s">
        <v>371</v>
      </c>
      <c r="D45" s="452" t="s">
        <v>373</v>
      </c>
      <c r="E45" s="451" t="s">
        <v>373</v>
      </c>
      <c r="F45" s="205">
        <v>736312500</v>
      </c>
      <c r="G45" s="199">
        <v>3253527000</v>
      </c>
      <c r="H45" s="205">
        <v>2762644500</v>
      </c>
      <c r="I45" s="199">
        <v>736966980</v>
      </c>
      <c r="J45" s="205">
        <v>859354740</v>
      </c>
      <c r="K45" s="199">
        <v>3315697020</v>
      </c>
      <c r="L45" s="199">
        <v>0</v>
      </c>
      <c r="M45" s="205">
        <v>0</v>
      </c>
      <c r="N45" s="199">
        <v>0</v>
      </c>
      <c r="O45" s="205">
        <v>0</v>
      </c>
      <c r="P45" s="199">
        <v>0</v>
      </c>
      <c r="Q45" s="205">
        <v>0</v>
      </c>
      <c r="R45" s="457">
        <f t="shared" si="0"/>
        <v>11664502740</v>
      </c>
      <c r="T45" s="454">
        <f t="shared" si="2"/>
        <v>3989839500</v>
      </c>
      <c r="U45" s="199">
        <f t="shared" si="9"/>
        <v>6752484000</v>
      </c>
      <c r="V45" s="205">
        <f t="shared" si="9"/>
        <v>7489450980</v>
      </c>
      <c r="W45" s="199">
        <f t="shared" si="9"/>
        <v>8348805720</v>
      </c>
      <c r="X45" s="205">
        <f t="shared" si="9"/>
        <v>11664502740</v>
      </c>
      <c r="Y45" s="199">
        <f t="shared" si="9"/>
        <v>11664502740</v>
      </c>
      <c r="Z45" s="199">
        <f t="shared" si="9"/>
        <v>11664502740</v>
      </c>
      <c r="AA45" s="205">
        <f t="shared" si="9"/>
        <v>11664502740</v>
      </c>
      <c r="AB45" s="199">
        <f t="shared" si="9"/>
        <v>11664502740</v>
      </c>
      <c r="AC45" s="455">
        <f t="shared" si="9"/>
        <v>11664502740</v>
      </c>
      <c r="AE45" s="456">
        <f t="shared" si="4"/>
        <v>6752484000</v>
      </c>
      <c r="AF45" s="205">
        <f t="shared" si="5"/>
        <v>4912018740</v>
      </c>
      <c r="AG45" s="199">
        <f t="shared" si="6"/>
        <v>0</v>
      </c>
      <c r="AH45" s="455">
        <f t="shared" si="7"/>
        <v>0</v>
      </c>
    </row>
    <row r="46" spans="2:34" ht="20.100000000000001" customHeight="1" x14ac:dyDescent="0.4">
      <c r="B46" s="450" t="s">
        <v>370</v>
      </c>
      <c r="C46" s="451" t="s">
        <v>374</v>
      </c>
      <c r="D46" s="452" t="s">
        <v>374</v>
      </c>
      <c r="E46" s="451" t="s">
        <v>374</v>
      </c>
      <c r="F46" s="205">
        <v>959310827.99423397</v>
      </c>
      <c r="G46" s="199">
        <v>959310827.9942342</v>
      </c>
      <c r="H46" s="205">
        <v>959310827.9942342</v>
      </c>
      <c r="I46" s="199">
        <v>762190827.99423397</v>
      </c>
      <c r="J46" s="205">
        <v>1156430827.9942338</v>
      </c>
      <c r="K46" s="199">
        <v>959310827.9942342</v>
      </c>
      <c r="L46" s="199">
        <v>959310827.9942342</v>
      </c>
      <c r="M46" s="205">
        <v>959310827.9942342</v>
      </c>
      <c r="N46" s="199">
        <v>959310827.9942342</v>
      </c>
      <c r="O46" s="205">
        <v>959310827.9942342</v>
      </c>
      <c r="P46" s="199">
        <v>959310827.9942342</v>
      </c>
      <c r="Q46" s="205">
        <v>959310827.9942342</v>
      </c>
      <c r="R46" s="457">
        <f t="shared" si="0"/>
        <v>11511729935.930809</v>
      </c>
      <c r="T46" s="454">
        <f t="shared" si="2"/>
        <v>1918621655.9884682</v>
      </c>
      <c r="U46" s="199">
        <f t="shared" si="9"/>
        <v>2877932483.9827023</v>
      </c>
      <c r="V46" s="205">
        <f t="shared" si="9"/>
        <v>3640123311.9769363</v>
      </c>
      <c r="W46" s="199">
        <f t="shared" si="9"/>
        <v>4796554139.9711704</v>
      </c>
      <c r="X46" s="205">
        <f t="shared" si="9"/>
        <v>5755864967.9654045</v>
      </c>
      <c r="Y46" s="199">
        <f t="shared" si="9"/>
        <v>6715175795.9596386</v>
      </c>
      <c r="Z46" s="199">
        <f t="shared" si="9"/>
        <v>7674486623.9538727</v>
      </c>
      <c r="AA46" s="205">
        <f t="shared" si="9"/>
        <v>8633797451.9481068</v>
      </c>
      <c r="AB46" s="199">
        <f t="shared" si="9"/>
        <v>9593108279.9423409</v>
      </c>
      <c r="AC46" s="455">
        <f t="shared" si="9"/>
        <v>10552419107.936575</v>
      </c>
      <c r="AE46" s="456">
        <f t="shared" si="4"/>
        <v>2877932483.9827023</v>
      </c>
      <c r="AF46" s="205">
        <f t="shared" si="5"/>
        <v>2877932483.9827018</v>
      </c>
      <c r="AG46" s="199">
        <f t="shared" si="6"/>
        <v>2877932483.9827027</v>
      </c>
      <c r="AH46" s="455">
        <f t="shared" si="7"/>
        <v>2877932483.9827027</v>
      </c>
    </row>
    <row r="47" spans="2:34" ht="20.100000000000001" customHeight="1" x14ac:dyDescent="0.4">
      <c r="B47" s="450" t="s">
        <v>370</v>
      </c>
      <c r="C47" s="451" t="s">
        <v>375</v>
      </c>
      <c r="D47" s="452" t="s">
        <v>375</v>
      </c>
      <c r="E47" s="451" t="s">
        <v>375</v>
      </c>
      <c r="F47" s="205">
        <v>4405740000</v>
      </c>
      <c r="G47" s="199">
        <v>478662462.07895321</v>
      </c>
      <c r="H47" s="205">
        <v>4734489924.1579056</v>
      </c>
      <c r="I47" s="199">
        <v>3085914924.1579065</v>
      </c>
      <c r="J47" s="205">
        <v>2937036835.5432677</v>
      </c>
      <c r="K47" s="199">
        <v>5475306835.5432682</v>
      </c>
      <c r="L47" s="199">
        <v>3366606835.5432677</v>
      </c>
      <c r="M47" s="205">
        <v>10725861132.459711</v>
      </c>
      <c r="N47" s="199">
        <v>9725712264.9194241</v>
      </c>
      <c r="O47" s="205">
        <v>5305812264.919425</v>
      </c>
      <c r="P47" s="199">
        <v>5525090850.0595312</v>
      </c>
      <c r="Q47" s="205">
        <v>14509700850.059532</v>
      </c>
      <c r="R47" s="457">
        <f t="shared" si="0"/>
        <v>70275935179.4422</v>
      </c>
      <c r="T47" s="454">
        <f t="shared" si="2"/>
        <v>4884402462.0789528</v>
      </c>
      <c r="U47" s="199">
        <f t="shared" si="9"/>
        <v>9618892386.2368584</v>
      </c>
      <c r="V47" s="205">
        <f t="shared" si="9"/>
        <v>12704807310.394764</v>
      </c>
      <c r="W47" s="199">
        <f t="shared" si="9"/>
        <v>15641844145.938032</v>
      </c>
      <c r="X47" s="205">
        <f t="shared" si="9"/>
        <v>21117150981.4813</v>
      </c>
      <c r="Y47" s="199">
        <f t="shared" si="9"/>
        <v>24483757817.024567</v>
      </c>
      <c r="Z47" s="199">
        <f t="shared" si="9"/>
        <v>35209618949.484276</v>
      </c>
      <c r="AA47" s="205">
        <f t="shared" si="9"/>
        <v>44935331214.403702</v>
      </c>
      <c r="AB47" s="199">
        <f t="shared" si="9"/>
        <v>50241143479.323128</v>
      </c>
      <c r="AC47" s="455">
        <f t="shared" si="9"/>
        <v>55766234329.38266</v>
      </c>
      <c r="AE47" s="456">
        <f t="shared" si="4"/>
        <v>9618892386.2368584</v>
      </c>
      <c r="AF47" s="205">
        <f t="shared" si="5"/>
        <v>11498258595.244442</v>
      </c>
      <c r="AG47" s="199">
        <f t="shared" si="6"/>
        <v>23818180232.922401</v>
      </c>
      <c r="AH47" s="455">
        <f t="shared" si="7"/>
        <v>25340603965.03849</v>
      </c>
    </row>
    <row r="48" spans="2:34" ht="20.100000000000001" customHeight="1" x14ac:dyDescent="0.4">
      <c r="B48" s="450" t="s">
        <v>370</v>
      </c>
      <c r="C48" s="451" t="s">
        <v>376</v>
      </c>
      <c r="D48" s="452" t="s">
        <v>376</v>
      </c>
      <c r="E48" s="451" t="s">
        <v>376</v>
      </c>
      <c r="F48" s="205">
        <v>0</v>
      </c>
      <c r="G48" s="199">
        <v>0</v>
      </c>
      <c r="H48" s="205">
        <v>0</v>
      </c>
      <c r="I48" s="199">
        <v>0</v>
      </c>
      <c r="J48" s="205">
        <v>0</v>
      </c>
      <c r="K48" s="199">
        <v>137760000</v>
      </c>
      <c r="L48" s="199">
        <v>46760000</v>
      </c>
      <c r="M48" s="205">
        <v>322280000</v>
      </c>
      <c r="N48" s="199">
        <v>1579200000</v>
      </c>
      <c r="O48" s="205">
        <v>2868404000</v>
      </c>
      <c r="P48" s="199">
        <v>2142252000</v>
      </c>
      <c r="Q48" s="205">
        <v>495684000</v>
      </c>
      <c r="R48" s="457">
        <f t="shared" si="0"/>
        <v>7592340000</v>
      </c>
      <c r="T48" s="454">
        <f t="shared" si="2"/>
        <v>0</v>
      </c>
      <c r="U48" s="199">
        <f t="shared" si="9"/>
        <v>0</v>
      </c>
      <c r="V48" s="205">
        <f t="shared" si="9"/>
        <v>0</v>
      </c>
      <c r="W48" s="199">
        <f t="shared" si="9"/>
        <v>0</v>
      </c>
      <c r="X48" s="205">
        <f t="shared" si="9"/>
        <v>137760000</v>
      </c>
      <c r="Y48" s="199">
        <f t="shared" si="9"/>
        <v>184520000</v>
      </c>
      <c r="Z48" s="199">
        <f t="shared" si="9"/>
        <v>506800000</v>
      </c>
      <c r="AA48" s="205">
        <f t="shared" si="9"/>
        <v>2086000000</v>
      </c>
      <c r="AB48" s="199">
        <f t="shared" si="9"/>
        <v>4954404000</v>
      </c>
      <c r="AC48" s="455">
        <f t="shared" si="9"/>
        <v>7096656000</v>
      </c>
      <c r="AE48" s="456">
        <f t="shared" si="4"/>
        <v>0</v>
      </c>
      <c r="AF48" s="205">
        <f t="shared" si="5"/>
        <v>137760000</v>
      </c>
      <c r="AG48" s="199">
        <f t="shared" si="6"/>
        <v>1948240000</v>
      </c>
      <c r="AH48" s="455">
        <f t="shared" si="7"/>
        <v>5506340000</v>
      </c>
    </row>
    <row r="49" spans="2:34" ht="20.100000000000001" customHeight="1" x14ac:dyDescent="0.4">
      <c r="B49" s="450" t="s">
        <v>370</v>
      </c>
      <c r="C49" s="451" t="s">
        <v>377</v>
      </c>
      <c r="D49" s="452" t="s">
        <v>377</v>
      </c>
      <c r="E49" s="451" t="s">
        <v>377</v>
      </c>
      <c r="F49" s="205">
        <v>0</v>
      </c>
      <c r="G49" s="199">
        <v>0</v>
      </c>
      <c r="H49" s="205">
        <v>0</v>
      </c>
      <c r="I49" s="199">
        <v>0</v>
      </c>
      <c r="J49" s="205">
        <v>0</v>
      </c>
      <c r="K49" s="199">
        <v>0</v>
      </c>
      <c r="L49" s="199">
        <v>0</v>
      </c>
      <c r="M49" s="205">
        <v>0</v>
      </c>
      <c r="N49" s="199">
        <v>0</v>
      </c>
      <c r="O49" s="205">
        <v>0</v>
      </c>
      <c r="P49" s="199">
        <v>0</v>
      </c>
      <c r="Q49" s="205">
        <v>0</v>
      </c>
      <c r="R49" s="457">
        <f t="shared" si="0"/>
        <v>0</v>
      </c>
      <c r="T49" s="454">
        <f t="shared" si="2"/>
        <v>0</v>
      </c>
      <c r="U49" s="199">
        <f t="shared" si="9"/>
        <v>0</v>
      </c>
      <c r="V49" s="205">
        <f t="shared" si="9"/>
        <v>0</v>
      </c>
      <c r="W49" s="199">
        <f t="shared" si="9"/>
        <v>0</v>
      </c>
      <c r="X49" s="205">
        <f t="shared" si="9"/>
        <v>0</v>
      </c>
      <c r="Y49" s="199">
        <f t="shared" si="9"/>
        <v>0</v>
      </c>
      <c r="Z49" s="199">
        <f t="shared" si="9"/>
        <v>0</v>
      </c>
      <c r="AA49" s="205">
        <f t="shared" si="9"/>
        <v>0</v>
      </c>
      <c r="AB49" s="199">
        <f t="shared" si="9"/>
        <v>0</v>
      </c>
      <c r="AC49" s="455">
        <f t="shared" si="9"/>
        <v>0</v>
      </c>
      <c r="AE49" s="456">
        <f t="shared" si="4"/>
        <v>0</v>
      </c>
      <c r="AF49" s="205">
        <f t="shared" si="5"/>
        <v>0</v>
      </c>
      <c r="AG49" s="199">
        <f t="shared" si="6"/>
        <v>0</v>
      </c>
      <c r="AH49" s="455">
        <f t="shared" si="7"/>
        <v>0</v>
      </c>
    </row>
    <row r="50" spans="2:34" ht="20.100000000000001" customHeight="1" x14ac:dyDescent="0.4">
      <c r="B50" s="450" t="s">
        <v>370</v>
      </c>
      <c r="C50" s="458" t="s">
        <v>46</v>
      </c>
      <c r="D50" s="452" t="s">
        <v>378</v>
      </c>
      <c r="E50" s="451" t="s">
        <v>378</v>
      </c>
      <c r="F50" s="205">
        <v>0</v>
      </c>
      <c r="G50" s="199">
        <v>40000000</v>
      </c>
      <c r="H50" s="205">
        <v>0</v>
      </c>
      <c r="I50" s="199">
        <v>60000000</v>
      </c>
      <c r="J50" s="205">
        <v>67000000</v>
      </c>
      <c r="K50" s="199">
        <v>67000000</v>
      </c>
      <c r="L50" s="199">
        <v>0</v>
      </c>
      <c r="M50" s="205">
        <v>0</v>
      </c>
      <c r="N50" s="199">
        <v>0</v>
      </c>
      <c r="O50" s="205">
        <v>0</v>
      </c>
      <c r="P50" s="199">
        <v>107000000</v>
      </c>
      <c r="Q50" s="205">
        <v>67000000</v>
      </c>
      <c r="R50" s="457">
        <f t="shared" si="0"/>
        <v>408000000</v>
      </c>
      <c r="T50" s="454">
        <f t="shared" si="2"/>
        <v>40000000</v>
      </c>
      <c r="U50" s="199">
        <f t="shared" si="9"/>
        <v>40000000</v>
      </c>
      <c r="V50" s="205">
        <f t="shared" si="9"/>
        <v>100000000</v>
      </c>
      <c r="W50" s="199">
        <f t="shared" si="9"/>
        <v>167000000</v>
      </c>
      <c r="X50" s="205">
        <f t="shared" si="9"/>
        <v>234000000</v>
      </c>
      <c r="Y50" s="199">
        <f t="shared" si="9"/>
        <v>234000000</v>
      </c>
      <c r="Z50" s="199">
        <f t="shared" si="9"/>
        <v>234000000</v>
      </c>
      <c r="AA50" s="205">
        <f t="shared" si="9"/>
        <v>234000000</v>
      </c>
      <c r="AB50" s="199">
        <f t="shared" si="9"/>
        <v>234000000</v>
      </c>
      <c r="AC50" s="455">
        <f t="shared" si="9"/>
        <v>341000000</v>
      </c>
      <c r="AE50" s="456">
        <f>SUM(F50:H50)</f>
        <v>40000000</v>
      </c>
      <c r="AF50" s="205">
        <f>SUM(I50:K50)</f>
        <v>194000000</v>
      </c>
      <c r="AG50" s="199">
        <f>SUM(L50:N50)</f>
        <v>0</v>
      </c>
      <c r="AH50" s="455">
        <f>SUM(O50:Q50)</f>
        <v>174000000</v>
      </c>
    </row>
    <row r="51" spans="2:34" ht="20.100000000000001" customHeight="1" x14ac:dyDescent="0.4">
      <c r="B51" s="450" t="s">
        <v>370</v>
      </c>
      <c r="C51" s="458" t="s">
        <v>379</v>
      </c>
      <c r="D51" s="452" t="s">
        <v>380</v>
      </c>
      <c r="E51" s="451" t="s">
        <v>380</v>
      </c>
      <c r="F51" s="205">
        <v>0</v>
      </c>
      <c r="G51" s="199">
        <v>162000000</v>
      </c>
      <c r="H51" s="205">
        <v>506000000</v>
      </c>
      <c r="I51" s="199">
        <v>142000000</v>
      </c>
      <c r="J51" s="205">
        <v>79000000</v>
      </c>
      <c r="K51" s="199">
        <v>0</v>
      </c>
      <c r="L51" s="199">
        <v>0</v>
      </c>
      <c r="M51" s="205">
        <v>0</v>
      </c>
      <c r="N51" s="199">
        <v>0</v>
      </c>
      <c r="O51" s="205">
        <v>363000000</v>
      </c>
      <c r="P51" s="199">
        <v>724900000</v>
      </c>
      <c r="Q51" s="205">
        <v>437000000</v>
      </c>
      <c r="R51" s="457">
        <f t="shared" si="0"/>
        <v>2413900000</v>
      </c>
      <c r="T51" s="454">
        <f t="shared" si="2"/>
        <v>162000000</v>
      </c>
      <c r="U51" s="199">
        <f t="shared" si="9"/>
        <v>668000000</v>
      </c>
      <c r="V51" s="205">
        <f t="shared" si="9"/>
        <v>810000000</v>
      </c>
      <c r="W51" s="199">
        <f t="shared" si="9"/>
        <v>889000000</v>
      </c>
      <c r="X51" s="205">
        <f t="shared" si="9"/>
        <v>889000000</v>
      </c>
      <c r="Y51" s="199">
        <f t="shared" si="9"/>
        <v>889000000</v>
      </c>
      <c r="Z51" s="199">
        <f t="shared" si="9"/>
        <v>889000000</v>
      </c>
      <c r="AA51" s="205">
        <f t="shared" si="9"/>
        <v>889000000</v>
      </c>
      <c r="AB51" s="199">
        <f t="shared" si="9"/>
        <v>1252000000</v>
      </c>
      <c r="AC51" s="455">
        <f t="shared" si="9"/>
        <v>1976900000</v>
      </c>
      <c r="AE51" s="456">
        <f t="shared" si="4"/>
        <v>668000000</v>
      </c>
      <c r="AF51" s="205">
        <f t="shared" si="5"/>
        <v>221000000</v>
      </c>
      <c r="AG51" s="199">
        <f t="shared" si="6"/>
        <v>0</v>
      </c>
      <c r="AH51" s="455">
        <f t="shared" si="7"/>
        <v>1524900000</v>
      </c>
    </row>
    <row r="52" spans="2:34" ht="20.100000000000001" customHeight="1" x14ac:dyDescent="0.4">
      <c r="B52" s="450" t="s">
        <v>370</v>
      </c>
      <c r="C52" s="458" t="s">
        <v>379</v>
      </c>
      <c r="D52" s="452" t="s">
        <v>381</v>
      </c>
      <c r="E52" s="451" t="s">
        <v>381</v>
      </c>
      <c r="F52" s="205">
        <v>0</v>
      </c>
      <c r="G52" s="199">
        <v>93750000</v>
      </c>
      <c r="H52" s="205">
        <v>361875000</v>
      </c>
      <c r="I52" s="199">
        <v>0</v>
      </c>
      <c r="J52" s="205">
        <v>93750000</v>
      </c>
      <c r="K52" s="199">
        <v>395625000</v>
      </c>
      <c r="L52" s="199">
        <v>0</v>
      </c>
      <c r="M52" s="205">
        <v>0</v>
      </c>
      <c r="N52" s="199">
        <v>0</v>
      </c>
      <c r="O52" s="205">
        <v>0</v>
      </c>
      <c r="P52" s="199">
        <v>234375000</v>
      </c>
      <c r="Q52" s="205">
        <v>234375000</v>
      </c>
      <c r="R52" s="457">
        <f t="shared" si="0"/>
        <v>1413750000</v>
      </c>
      <c r="T52" s="454">
        <f t="shared" si="2"/>
        <v>93750000</v>
      </c>
      <c r="U52" s="199">
        <f t="shared" si="9"/>
        <v>455625000</v>
      </c>
      <c r="V52" s="205">
        <f t="shared" si="9"/>
        <v>455625000</v>
      </c>
      <c r="W52" s="199">
        <f t="shared" si="9"/>
        <v>549375000</v>
      </c>
      <c r="X52" s="205">
        <f t="shared" si="9"/>
        <v>945000000</v>
      </c>
      <c r="Y52" s="199">
        <f t="shared" si="9"/>
        <v>945000000</v>
      </c>
      <c r="Z52" s="199">
        <f t="shared" si="9"/>
        <v>945000000</v>
      </c>
      <c r="AA52" s="205">
        <f t="shared" si="9"/>
        <v>945000000</v>
      </c>
      <c r="AB52" s="199">
        <f t="shared" si="9"/>
        <v>945000000</v>
      </c>
      <c r="AC52" s="455">
        <f t="shared" si="9"/>
        <v>1179375000</v>
      </c>
      <c r="AE52" s="456">
        <f t="shared" si="4"/>
        <v>455625000</v>
      </c>
      <c r="AF52" s="205">
        <f t="shared" si="5"/>
        <v>489375000</v>
      </c>
      <c r="AG52" s="199">
        <f t="shared" si="6"/>
        <v>0</v>
      </c>
      <c r="AH52" s="455">
        <f t="shared" si="7"/>
        <v>468750000</v>
      </c>
    </row>
    <row r="53" spans="2:34" ht="20.100000000000001" customHeight="1" x14ac:dyDescent="0.4">
      <c r="B53" s="450" t="s">
        <v>370</v>
      </c>
      <c r="C53" s="458" t="s">
        <v>379</v>
      </c>
      <c r="D53" s="452" t="s">
        <v>382</v>
      </c>
      <c r="E53" s="451" t="s">
        <v>382</v>
      </c>
      <c r="F53" s="205">
        <v>490500000</v>
      </c>
      <c r="G53" s="199">
        <v>766500000</v>
      </c>
      <c r="H53" s="205">
        <v>1666750000</v>
      </c>
      <c r="I53" s="199">
        <v>379000000</v>
      </c>
      <c r="J53" s="205">
        <v>183500000</v>
      </c>
      <c r="K53" s="199">
        <v>48000000</v>
      </c>
      <c r="L53" s="199">
        <v>306250000</v>
      </c>
      <c r="M53" s="205">
        <v>0</v>
      </c>
      <c r="N53" s="199">
        <v>0</v>
      </c>
      <c r="O53" s="205">
        <v>0</v>
      </c>
      <c r="P53" s="199">
        <v>720875000</v>
      </c>
      <c r="Q53" s="205">
        <v>257375000</v>
      </c>
      <c r="R53" s="457">
        <f t="shared" si="0"/>
        <v>4818750000</v>
      </c>
      <c r="T53" s="454">
        <f t="shared" si="2"/>
        <v>1257000000</v>
      </c>
      <c r="U53" s="199">
        <f t="shared" si="9"/>
        <v>2923750000</v>
      </c>
      <c r="V53" s="205">
        <f t="shared" si="9"/>
        <v>3302750000</v>
      </c>
      <c r="W53" s="199">
        <f t="shared" si="9"/>
        <v>3486250000</v>
      </c>
      <c r="X53" s="205">
        <f t="shared" si="9"/>
        <v>3534250000</v>
      </c>
      <c r="Y53" s="199">
        <f t="shared" si="9"/>
        <v>3840500000</v>
      </c>
      <c r="Z53" s="199">
        <f t="shared" si="9"/>
        <v>3840500000</v>
      </c>
      <c r="AA53" s="205">
        <f t="shared" si="9"/>
        <v>3840500000</v>
      </c>
      <c r="AB53" s="199">
        <f t="shared" si="9"/>
        <v>3840500000</v>
      </c>
      <c r="AC53" s="455">
        <f t="shared" si="9"/>
        <v>4561375000</v>
      </c>
      <c r="AE53" s="456">
        <f t="shared" si="4"/>
        <v>2923750000</v>
      </c>
      <c r="AF53" s="205">
        <f t="shared" si="5"/>
        <v>610500000</v>
      </c>
      <c r="AG53" s="199">
        <f t="shared" si="6"/>
        <v>306250000</v>
      </c>
      <c r="AH53" s="455">
        <f t="shared" si="7"/>
        <v>978250000</v>
      </c>
    </row>
    <row r="54" spans="2:34" ht="20.100000000000001" hidden="1" customHeight="1" x14ac:dyDescent="0.4">
      <c r="B54" s="450" t="s">
        <v>51</v>
      </c>
      <c r="C54" s="451" t="s">
        <v>318</v>
      </c>
      <c r="D54" s="452" t="s">
        <v>383</v>
      </c>
      <c r="E54" s="451" t="s">
        <v>383</v>
      </c>
      <c r="F54" s="205">
        <v>0</v>
      </c>
      <c r="G54" s="199">
        <v>0</v>
      </c>
      <c r="H54" s="205">
        <v>-100000000</v>
      </c>
      <c r="I54" s="199">
        <v>0</v>
      </c>
      <c r="J54" s="205">
        <v>0</v>
      </c>
      <c r="K54" s="199">
        <v>-100000000</v>
      </c>
      <c r="L54" s="199">
        <v>0</v>
      </c>
      <c r="M54" s="205">
        <v>0</v>
      </c>
      <c r="N54" s="199">
        <v>-100000000</v>
      </c>
      <c r="O54" s="205">
        <v>0</v>
      </c>
      <c r="P54" s="199">
        <v>0</v>
      </c>
      <c r="Q54" s="205">
        <v>-100000000</v>
      </c>
      <c r="R54" s="457">
        <f t="shared" si="0"/>
        <v>-400000000</v>
      </c>
      <c r="T54" s="454">
        <f t="shared" si="2"/>
        <v>0</v>
      </c>
      <c r="U54" s="199">
        <f t="shared" ref="U54:AC55" si="10">T54+H54</f>
        <v>-100000000</v>
      </c>
      <c r="V54" s="205">
        <f t="shared" si="10"/>
        <v>-100000000</v>
      </c>
      <c r="W54" s="199">
        <f t="shared" si="10"/>
        <v>-100000000</v>
      </c>
      <c r="X54" s="205">
        <f t="shared" si="10"/>
        <v>-200000000</v>
      </c>
      <c r="Y54" s="199">
        <f t="shared" si="10"/>
        <v>-200000000</v>
      </c>
      <c r="Z54" s="199">
        <f t="shared" si="10"/>
        <v>-200000000</v>
      </c>
      <c r="AA54" s="205">
        <f t="shared" si="10"/>
        <v>-300000000</v>
      </c>
      <c r="AB54" s="199">
        <f t="shared" si="10"/>
        <v>-300000000</v>
      </c>
      <c r="AC54" s="455">
        <f t="shared" si="10"/>
        <v>-300000000</v>
      </c>
      <c r="AE54" s="456">
        <f t="shared" si="4"/>
        <v>-100000000</v>
      </c>
      <c r="AF54" s="205">
        <f t="shared" si="5"/>
        <v>-100000000</v>
      </c>
      <c r="AG54" s="199">
        <f t="shared" si="6"/>
        <v>-100000000</v>
      </c>
      <c r="AH54" s="455">
        <f t="shared" si="7"/>
        <v>-100000000</v>
      </c>
    </row>
    <row r="55" spans="2:34" ht="20.100000000000001" hidden="1" customHeight="1" x14ac:dyDescent="0.4">
      <c r="B55" s="459" t="s">
        <v>51</v>
      </c>
      <c r="C55" s="460" t="s">
        <v>318</v>
      </c>
      <c r="D55" s="461" t="s">
        <v>384</v>
      </c>
      <c r="E55" s="460" t="s">
        <v>384</v>
      </c>
      <c r="F55" s="205">
        <v>0</v>
      </c>
      <c r="G55" s="199">
        <v>0</v>
      </c>
      <c r="H55" s="205">
        <v>-100000000</v>
      </c>
      <c r="I55" s="199">
        <v>0</v>
      </c>
      <c r="J55" s="205">
        <v>0</v>
      </c>
      <c r="K55" s="199">
        <v>-100000000</v>
      </c>
      <c r="L55" s="199">
        <v>0</v>
      </c>
      <c r="M55" s="205">
        <v>0</v>
      </c>
      <c r="N55" s="199">
        <v>-100000000</v>
      </c>
      <c r="O55" s="205">
        <v>0</v>
      </c>
      <c r="P55" s="199">
        <v>0</v>
      </c>
      <c r="Q55" s="205">
        <v>-100000000</v>
      </c>
      <c r="R55" s="462">
        <f t="shared" si="0"/>
        <v>-400000000</v>
      </c>
      <c r="T55" s="454">
        <f t="shared" si="2"/>
        <v>0</v>
      </c>
      <c r="U55" s="199">
        <f t="shared" si="10"/>
        <v>-100000000</v>
      </c>
      <c r="V55" s="205">
        <f t="shared" si="10"/>
        <v>-100000000</v>
      </c>
      <c r="W55" s="199">
        <f t="shared" si="10"/>
        <v>-100000000</v>
      </c>
      <c r="X55" s="205">
        <f t="shared" si="10"/>
        <v>-200000000</v>
      </c>
      <c r="Y55" s="199">
        <f t="shared" si="10"/>
        <v>-200000000</v>
      </c>
      <c r="Z55" s="199">
        <f t="shared" si="10"/>
        <v>-200000000</v>
      </c>
      <c r="AA55" s="205">
        <f t="shared" si="10"/>
        <v>-300000000</v>
      </c>
      <c r="AB55" s="199">
        <f t="shared" si="10"/>
        <v>-300000000</v>
      </c>
      <c r="AC55" s="455">
        <f t="shared" si="10"/>
        <v>-300000000</v>
      </c>
      <c r="AE55" s="456">
        <f t="shared" si="4"/>
        <v>-100000000</v>
      </c>
      <c r="AF55" s="205">
        <f t="shared" si="5"/>
        <v>-100000000</v>
      </c>
      <c r="AG55" s="199">
        <f t="shared" si="6"/>
        <v>-100000000</v>
      </c>
      <c r="AH55" s="455">
        <f t="shared" si="7"/>
        <v>-100000000</v>
      </c>
    </row>
    <row r="56" spans="2:34" ht="25.35" hidden="1" customHeight="1" x14ac:dyDescent="0.4">
      <c r="B56" s="463" t="s">
        <v>144</v>
      </c>
      <c r="C56" s="464"/>
      <c r="D56" s="464"/>
      <c r="E56" s="465"/>
      <c r="F56" s="466">
        <f t="shared" ref="F56:R56" si="11">SUM(F5:F55)</f>
        <v>19867920159.615776</v>
      </c>
      <c r="G56" s="467">
        <f t="shared" si="11"/>
        <v>26258908599.496876</v>
      </c>
      <c r="H56" s="468">
        <f t="shared" si="11"/>
        <v>44234092057.593971</v>
      </c>
      <c r="I56" s="467">
        <f t="shared" si="11"/>
        <v>23663556588.496353</v>
      </c>
      <c r="J56" s="468">
        <f t="shared" si="11"/>
        <v>32515275735.262043</v>
      </c>
      <c r="K56" s="467">
        <f t="shared" si="11"/>
        <v>52768861675.584381</v>
      </c>
      <c r="L56" s="467">
        <f t="shared" si="11"/>
        <v>22305236742.166309</v>
      </c>
      <c r="M56" s="468">
        <f t="shared" si="11"/>
        <v>38465806764.77256</v>
      </c>
      <c r="N56" s="467">
        <f t="shared" si="11"/>
        <v>55456450539.905037</v>
      </c>
      <c r="O56" s="468">
        <f t="shared" si="11"/>
        <v>30064536372.698879</v>
      </c>
      <c r="P56" s="467">
        <f t="shared" si="11"/>
        <v>39765129836.905792</v>
      </c>
      <c r="Q56" s="469">
        <f t="shared" si="11"/>
        <v>63158305399.364426</v>
      </c>
      <c r="R56" s="470">
        <f t="shared" si="11"/>
        <v>448524080471.86249</v>
      </c>
      <c r="T56" s="466">
        <f t="shared" ref="T56:AC56" si="12">SUM(T5:T55)</f>
        <v>46126828759.11264</v>
      </c>
      <c r="U56" s="467">
        <f t="shared" si="12"/>
        <v>90360920816.706635</v>
      </c>
      <c r="V56" s="468">
        <f t="shared" si="12"/>
        <v>114024477405.20296</v>
      </c>
      <c r="W56" s="467">
        <f t="shared" si="12"/>
        <v>146539753140.46503</v>
      </c>
      <c r="X56" s="468">
        <f t="shared" si="12"/>
        <v>199308614816.04938</v>
      </c>
      <c r="Y56" s="467">
        <f t="shared" si="12"/>
        <v>221613851558.21576</v>
      </c>
      <c r="Z56" s="467">
        <f t="shared" si="12"/>
        <v>260079658322.98831</v>
      </c>
      <c r="AA56" s="468">
        <f t="shared" si="12"/>
        <v>315536108862.89337</v>
      </c>
      <c r="AB56" s="467">
        <f t="shared" si="12"/>
        <v>345600645235.59222</v>
      </c>
      <c r="AC56" s="469">
        <f t="shared" si="12"/>
        <v>385365775072.49805</v>
      </c>
      <c r="AE56" s="471">
        <f t="shared" ref="AE56:AH56" si="13">SUM(AE5:AE55)</f>
        <v>90360920816.706635</v>
      </c>
      <c r="AF56" s="468">
        <f t="shared" si="13"/>
        <v>108947693999.34279</v>
      </c>
      <c r="AG56" s="467">
        <f t="shared" si="13"/>
        <v>116227494046.8439</v>
      </c>
      <c r="AH56" s="469">
        <f t="shared" si="13"/>
        <v>132987971608.96909</v>
      </c>
    </row>
    <row r="57" spans="2:34" ht="20.100000000000001" customHeight="1" x14ac:dyDescent="0.4">
      <c r="T57" s="205"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476" t="b">
        <f>ROUND(AE56,0)=ROUND(SUM(F56:H56),0)</f>
        <v>1</v>
      </c>
      <c r="AF57" s="476" t="b">
        <f>ROUND(AF56,0)=ROUND(SUM(I56:K56),0)</f>
        <v>1</v>
      </c>
      <c r="AG57" s="476" t="b">
        <f>ROUND(AG56,0)=ROUND(SUM(L56:N56),0)</f>
        <v>1</v>
      </c>
      <c r="AH57" s="476" t="b">
        <f>ROUND(AH56,0)=ROUND(SUM(O56:Q56),0)</f>
        <v>1</v>
      </c>
    </row>
    <row r="60" spans="2:34" x14ac:dyDescent="0.4">
      <c r="Q60" s="206"/>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212F-949F-470E-B9BA-C207F9E7E7AE}">
  <sheetPr codeName="Sheet8"/>
  <dimension ref="B2:AH82"/>
  <sheetViews>
    <sheetView showGridLines="0" zoomScale="70" zoomScaleNormal="70" workbookViewId="0">
      <pane xSplit="5" ySplit="4" topLeftCell="F36" activePane="bottomRight" state="frozen"/>
      <selection pane="topRight" activeCell="F1" sqref="F1"/>
      <selection pane="bottomLeft" activeCell="A5" sqref="A5"/>
      <selection pane="bottomRight" activeCell="Q40" sqref="Q40"/>
    </sheetView>
  </sheetViews>
  <sheetFormatPr defaultRowHeight="17.399999999999999" x14ac:dyDescent="0.4"/>
  <cols>
    <col min="1" max="1" width="3.59765625" customWidth="1"/>
    <col min="2" max="2" width="15.09765625" bestFit="1" customWidth="1"/>
    <col min="3" max="3" width="17.09765625" bestFit="1" customWidth="1"/>
    <col min="4" max="4" width="23.09765625" bestFit="1" customWidth="1"/>
    <col min="5" max="5" width="24.59765625" bestFit="1" customWidth="1"/>
    <col min="6" max="17" width="16.59765625" customWidth="1"/>
    <col min="18" max="18" width="18.59765625" customWidth="1"/>
    <col min="20" max="29" width="18.59765625" customWidth="1"/>
    <col min="31" max="34" width="18.59765625" customWidth="1"/>
  </cols>
  <sheetData>
    <row r="2" spans="2:34" ht="22.35" customHeight="1" x14ac:dyDescent="0.4">
      <c r="B2" s="34" t="s">
        <v>385</v>
      </c>
    </row>
    <row r="3" spans="2:34" ht="20.100000000000001" customHeight="1" x14ac:dyDescent="0.4"/>
    <row r="4" spans="2:34" ht="25.35" customHeight="1" x14ac:dyDescent="0.4">
      <c r="B4" s="443" t="s">
        <v>386</v>
      </c>
      <c r="C4" s="443" t="s">
        <v>387</v>
      </c>
      <c r="D4" s="444" t="s">
        <v>290</v>
      </c>
      <c r="E4" s="443" t="s">
        <v>291</v>
      </c>
      <c r="F4" s="445" t="s">
        <v>3</v>
      </c>
      <c r="G4" s="446" t="s">
        <v>4</v>
      </c>
      <c r="H4" s="446" t="s">
        <v>292</v>
      </c>
      <c r="I4" s="446" t="s">
        <v>293</v>
      </c>
      <c r="J4" s="446" t="s">
        <v>294</v>
      </c>
      <c r="K4" s="446" t="s">
        <v>295</v>
      </c>
      <c r="L4" s="446" t="s">
        <v>296</v>
      </c>
      <c r="M4" s="446" t="s">
        <v>297</v>
      </c>
      <c r="N4" s="446" t="s">
        <v>298</v>
      </c>
      <c r="O4" s="446" t="s">
        <v>299</v>
      </c>
      <c r="P4" s="446" t="s">
        <v>142</v>
      </c>
      <c r="Q4" s="447" t="s">
        <v>143</v>
      </c>
      <c r="R4" s="443" t="s">
        <v>388</v>
      </c>
      <c r="T4" s="444" t="s">
        <v>106</v>
      </c>
      <c r="U4" s="446" t="s">
        <v>109</v>
      </c>
      <c r="V4" s="446" t="s">
        <v>302</v>
      </c>
      <c r="W4" s="446" t="s">
        <v>303</v>
      </c>
      <c r="X4" s="446" t="s">
        <v>304</v>
      </c>
      <c r="Y4" s="446" t="s">
        <v>305</v>
      </c>
      <c r="Z4" s="446" t="s">
        <v>306</v>
      </c>
      <c r="AA4" s="446" t="s">
        <v>307</v>
      </c>
      <c r="AB4" s="446" t="s">
        <v>308</v>
      </c>
      <c r="AC4" s="448" t="s">
        <v>309</v>
      </c>
      <c r="AE4" s="449" t="s">
        <v>310</v>
      </c>
      <c r="AF4" s="446" t="s">
        <v>311</v>
      </c>
      <c r="AG4" s="446" t="s">
        <v>312</v>
      </c>
      <c r="AH4" s="448" t="s">
        <v>313</v>
      </c>
    </row>
    <row r="5" spans="2:34" ht="20.100000000000001" customHeight="1" x14ac:dyDescent="0.4">
      <c r="B5" s="450" t="s">
        <v>314</v>
      </c>
      <c r="C5" s="451" t="s">
        <v>315</v>
      </c>
      <c r="D5" s="452" t="s">
        <v>315</v>
      </c>
      <c r="E5" s="451" t="s">
        <v>316</v>
      </c>
      <c r="F5" s="205">
        <v>3687570806</v>
      </c>
      <c r="G5" s="199">
        <v>5128395870</v>
      </c>
      <c r="H5" s="205">
        <v>6281751224</v>
      </c>
      <c r="I5" s="199">
        <v>5798431443</v>
      </c>
      <c r="J5" s="205">
        <v>5901964958</v>
      </c>
      <c r="K5" s="199">
        <v>7051975865</v>
      </c>
      <c r="L5" s="199">
        <v>5400074996</v>
      </c>
      <c r="M5" s="205">
        <v>5200429656</v>
      </c>
      <c r="N5" s="199">
        <v>7001025491</v>
      </c>
      <c r="O5" s="205">
        <v>4656527400</v>
      </c>
      <c r="P5" s="199">
        <v>6000933183</v>
      </c>
      <c r="Q5" s="205">
        <v>7006565759</v>
      </c>
      <c r="R5" s="453">
        <f>SUM(F5:Q5)</f>
        <v>69115646651</v>
      </c>
      <c r="T5" s="454">
        <f>SUM(F5:G5)</f>
        <v>8815966676</v>
      </c>
      <c r="U5" s="199">
        <f>SUM(T5, H5)</f>
        <v>15097717900</v>
      </c>
      <c r="V5" s="205">
        <f t="shared" ref="V5:AC20" si="0">SUM(U5, I5)</f>
        <v>20896149343</v>
      </c>
      <c r="W5" s="199">
        <f t="shared" si="0"/>
        <v>26798114301</v>
      </c>
      <c r="X5" s="205">
        <f t="shared" si="0"/>
        <v>33850090166</v>
      </c>
      <c r="Y5" s="199">
        <f t="shared" si="0"/>
        <v>39250165162</v>
      </c>
      <c r="Z5" s="199">
        <f t="shared" si="0"/>
        <v>44450594818</v>
      </c>
      <c r="AA5" s="205">
        <f t="shared" si="0"/>
        <v>51451620309</v>
      </c>
      <c r="AB5" s="199">
        <f t="shared" si="0"/>
        <v>56108147709</v>
      </c>
      <c r="AC5" s="455">
        <f t="shared" si="0"/>
        <v>62109080892</v>
      </c>
      <c r="AE5" s="456">
        <f>SUM(F5:H5)</f>
        <v>15097717900</v>
      </c>
      <c r="AF5" s="205">
        <f>SUM(I5:K5)</f>
        <v>18752372266</v>
      </c>
      <c r="AG5" s="199">
        <f>SUM(L5:N5)</f>
        <v>17601530143</v>
      </c>
      <c r="AH5" s="455">
        <f>SUM(O5:Q5)</f>
        <v>17664026342</v>
      </c>
    </row>
    <row r="6" spans="2:34" ht="20.100000000000001" customHeight="1" x14ac:dyDescent="0.4">
      <c r="B6" s="450" t="s">
        <v>314</v>
      </c>
      <c r="C6" s="451" t="s">
        <v>315</v>
      </c>
      <c r="D6" s="452" t="s">
        <v>315</v>
      </c>
      <c r="E6" s="451" t="s">
        <v>317</v>
      </c>
      <c r="F6" s="205">
        <v>0</v>
      </c>
      <c r="G6" s="199">
        <v>0</v>
      </c>
      <c r="H6" s="205">
        <v>0</v>
      </c>
      <c r="I6" s="199">
        <v>0</v>
      </c>
      <c r="J6" s="205">
        <v>0</v>
      </c>
      <c r="K6" s="199">
        <v>0</v>
      </c>
      <c r="L6" s="199">
        <v>0</v>
      </c>
      <c r="M6" s="205">
        <v>0</v>
      </c>
      <c r="N6" s="199">
        <v>0</v>
      </c>
      <c r="O6" s="205">
        <v>0</v>
      </c>
      <c r="P6" s="199">
        <v>0</v>
      </c>
      <c r="Q6" s="205">
        <v>0</v>
      </c>
      <c r="R6" s="457">
        <f t="shared" ref="R6:R61" si="1">SUM(F6:Q6)</f>
        <v>0</v>
      </c>
      <c r="T6" s="454">
        <f t="shared" ref="T6:T61" si="2">SUM(F6:G6)</f>
        <v>0</v>
      </c>
      <c r="U6" s="199">
        <f t="shared" ref="U6:AC47" si="3">SUM(T6, H6)</f>
        <v>0</v>
      </c>
      <c r="V6" s="205">
        <f t="shared" si="0"/>
        <v>0</v>
      </c>
      <c r="W6" s="199">
        <f t="shared" si="0"/>
        <v>0</v>
      </c>
      <c r="X6" s="205">
        <f t="shared" si="0"/>
        <v>0</v>
      </c>
      <c r="Y6" s="199">
        <f t="shared" si="0"/>
        <v>0</v>
      </c>
      <c r="Z6" s="199">
        <f t="shared" si="0"/>
        <v>0</v>
      </c>
      <c r="AA6" s="205">
        <f t="shared" si="0"/>
        <v>0</v>
      </c>
      <c r="AB6" s="199">
        <f t="shared" si="0"/>
        <v>0</v>
      </c>
      <c r="AC6" s="455">
        <f t="shared" si="0"/>
        <v>0</v>
      </c>
      <c r="AE6" s="456">
        <f t="shared" ref="AE6:AE61" si="4">SUM(F6:H6)</f>
        <v>0</v>
      </c>
      <c r="AF6" s="205">
        <f t="shared" ref="AF6:AF61" si="5">SUM(I6:K6)</f>
        <v>0</v>
      </c>
      <c r="AG6" s="199">
        <f t="shared" ref="AG6:AG61" si="6">SUM(L6:N6)</f>
        <v>0</v>
      </c>
      <c r="AH6" s="455">
        <f t="shared" ref="AH6:AH61" si="7">SUM(O6:Q6)</f>
        <v>0</v>
      </c>
    </row>
    <row r="7" spans="2:34" ht="20.100000000000001" customHeight="1" x14ac:dyDescent="0.4">
      <c r="B7" s="450" t="s">
        <v>314</v>
      </c>
      <c r="C7" s="451" t="s">
        <v>318</v>
      </c>
      <c r="D7" s="452" t="s">
        <v>319</v>
      </c>
      <c r="E7" s="451" t="s">
        <v>319</v>
      </c>
      <c r="F7" s="205">
        <v>0</v>
      </c>
      <c r="G7" s="199">
        <v>0</v>
      </c>
      <c r="H7" s="205">
        <v>0</v>
      </c>
      <c r="I7" s="199">
        <v>0</v>
      </c>
      <c r="J7" s="205">
        <v>0</v>
      </c>
      <c r="K7" s="199">
        <v>0</v>
      </c>
      <c r="L7" s="199">
        <v>0</v>
      </c>
      <c r="M7" s="205">
        <v>0</v>
      </c>
      <c r="N7" s="199">
        <v>0</v>
      </c>
      <c r="O7" s="205">
        <v>0</v>
      </c>
      <c r="P7" s="199">
        <v>0</v>
      </c>
      <c r="Q7" s="205">
        <v>0</v>
      </c>
      <c r="R7" s="457">
        <f t="shared" si="1"/>
        <v>0</v>
      </c>
      <c r="T7" s="454">
        <f t="shared" si="2"/>
        <v>0</v>
      </c>
      <c r="U7" s="199">
        <f t="shared" si="3"/>
        <v>0</v>
      </c>
      <c r="V7" s="205">
        <f t="shared" si="0"/>
        <v>0</v>
      </c>
      <c r="W7" s="199">
        <f t="shared" si="0"/>
        <v>0</v>
      </c>
      <c r="X7" s="205">
        <f t="shared" si="0"/>
        <v>0</v>
      </c>
      <c r="Y7" s="199">
        <f t="shared" si="0"/>
        <v>0</v>
      </c>
      <c r="Z7" s="199">
        <f t="shared" si="0"/>
        <v>0</v>
      </c>
      <c r="AA7" s="205">
        <f t="shared" si="0"/>
        <v>0</v>
      </c>
      <c r="AB7" s="199">
        <f t="shared" si="0"/>
        <v>0</v>
      </c>
      <c r="AC7" s="455">
        <f t="shared" si="0"/>
        <v>0</v>
      </c>
      <c r="AE7" s="456">
        <f t="shared" si="4"/>
        <v>0</v>
      </c>
      <c r="AF7" s="205">
        <f t="shared" si="5"/>
        <v>0</v>
      </c>
      <c r="AG7" s="199">
        <f t="shared" si="6"/>
        <v>0</v>
      </c>
      <c r="AH7" s="455">
        <f t="shared" si="7"/>
        <v>0</v>
      </c>
    </row>
    <row r="8" spans="2:34" ht="20.100000000000001" customHeight="1" x14ac:dyDescent="0.4">
      <c r="B8" s="450" t="s">
        <v>314</v>
      </c>
      <c r="C8" s="451" t="s">
        <v>320</v>
      </c>
      <c r="D8" s="452" t="s">
        <v>320</v>
      </c>
      <c r="E8" s="451" t="s">
        <v>320</v>
      </c>
      <c r="F8" s="205">
        <v>78413972</v>
      </c>
      <c r="G8" s="199">
        <v>174469864</v>
      </c>
      <c r="H8" s="205">
        <v>97871605</v>
      </c>
      <c r="I8" s="199">
        <v>0</v>
      </c>
      <c r="J8" s="205">
        <v>152109262</v>
      </c>
      <c r="K8" s="199">
        <v>235302271</v>
      </c>
      <c r="L8" s="199">
        <v>65189684</v>
      </c>
      <c r="M8" s="205">
        <v>1629519</v>
      </c>
      <c r="N8" s="199">
        <v>-146768102</v>
      </c>
      <c r="O8" s="205">
        <v>0</v>
      </c>
      <c r="P8" s="199">
        <v>87360761</v>
      </c>
      <c r="Q8" s="205">
        <v>198189177</v>
      </c>
      <c r="R8" s="457">
        <f t="shared" si="1"/>
        <v>943768013</v>
      </c>
      <c r="T8" s="454">
        <f t="shared" si="2"/>
        <v>252883836</v>
      </c>
      <c r="U8" s="199">
        <f t="shared" si="3"/>
        <v>350755441</v>
      </c>
      <c r="V8" s="205">
        <f t="shared" si="0"/>
        <v>350755441</v>
      </c>
      <c r="W8" s="199">
        <f t="shared" si="0"/>
        <v>502864703</v>
      </c>
      <c r="X8" s="205">
        <f t="shared" si="0"/>
        <v>738166974</v>
      </c>
      <c r="Y8" s="199">
        <f t="shared" si="0"/>
        <v>803356658</v>
      </c>
      <c r="Z8" s="199">
        <f t="shared" si="0"/>
        <v>804986177</v>
      </c>
      <c r="AA8" s="205">
        <f t="shared" si="0"/>
        <v>658218075</v>
      </c>
      <c r="AB8" s="199">
        <f t="shared" si="0"/>
        <v>658218075</v>
      </c>
      <c r="AC8" s="455">
        <f t="shared" si="0"/>
        <v>745578836</v>
      </c>
      <c r="AE8" s="456">
        <f t="shared" si="4"/>
        <v>350755441</v>
      </c>
      <c r="AF8" s="205">
        <f t="shared" si="5"/>
        <v>387411533</v>
      </c>
      <c r="AG8" s="199">
        <f t="shared" si="6"/>
        <v>-79948899</v>
      </c>
      <c r="AH8" s="455">
        <f t="shared" si="7"/>
        <v>285549938</v>
      </c>
    </row>
    <row r="9" spans="2:34" ht="20.100000000000001" customHeight="1" x14ac:dyDescent="0.4">
      <c r="B9" s="450" t="s">
        <v>314</v>
      </c>
      <c r="C9" s="458" t="s">
        <v>321</v>
      </c>
      <c r="D9" s="451" t="s">
        <v>322</v>
      </c>
      <c r="E9" s="451" t="s">
        <v>322</v>
      </c>
      <c r="F9" s="205">
        <v>0</v>
      </c>
      <c r="G9" s="199">
        <v>0</v>
      </c>
      <c r="H9" s="205">
        <v>0</v>
      </c>
      <c r="I9" s="199">
        <v>0</v>
      </c>
      <c r="J9" s="205">
        <v>0</v>
      </c>
      <c r="K9" s="199">
        <v>0</v>
      </c>
      <c r="L9" s="199">
        <v>0</v>
      </c>
      <c r="M9" s="205">
        <v>0</v>
      </c>
      <c r="N9" s="199">
        <v>0</v>
      </c>
      <c r="O9" s="205">
        <v>0</v>
      </c>
      <c r="P9" s="199">
        <v>0</v>
      </c>
      <c r="Q9" s="205">
        <v>0</v>
      </c>
      <c r="R9" s="457">
        <f t="shared" si="1"/>
        <v>0</v>
      </c>
      <c r="T9" s="454">
        <f t="shared" si="2"/>
        <v>0</v>
      </c>
      <c r="U9" s="199">
        <f t="shared" si="3"/>
        <v>0</v>
      </c>
      <c r="V9" s="205">
        <f t="shared" si="0"/>
        <v>0</v>
      </c>
      <c r="W9" s="199">
        <f t="shared" si="0"/>
        <v>0</v>
      </c>
      <c r="X9" s="205">
        <f t="shared" si="0"/>
        <v>0</v>
      </c>
      <c r="Y9" s="199">
        <f t="shared" si="0"/>
        <v>0</v>
      </c>
      <c r="Z9" s="199">
        <f t="shared" si="0"/>
        <v>0</v>
      </c>
      <c r="AA9" s="205">
        <f t="shared" si="0"/>
        <v>0</v>
      </c>
      <c r="AB9" s="199">
        <f t="shared" si="0"/>
        <v>0</v>
      </c>
      <c r="AC9" s="455">
        <f t="shared" si="0"/>
        <v>0</v>
      </c>
      <c r="AE9" s="456">
        <f t="shared" si="4"/>
        <v>0</v>
      </c>
      <c r="AF9" s="205">
        <f t="shared" si="5"/>
        <v>0</v>
      </c>
      <c r="AG9" s="199">
        <f t="shared" si="6"/>
        <v>0</v>
      </c>
      <c r="AH9" s="455">
        <f t="shared" si="7"/>
        <v>0</v>
      </c>
    </row>
    <row r="10" spans="2:34" ht="20.100000000000001" customHeight="1" x14ac:dyDescent="0.4">
      <c r="B10" s="450" t="s">
        <v>314</v>
      </c>
      <c r="C10" s="451" t="s">
        <v>324</v>
      </c>
      <c r="D10" s="452" t="s">
        <v>324</v>
      </c>
      <c r="E10" s="451" t="s">
        <v>325</v>
      </c>
      <c r="F10" s="205">
        <v>2082552804</v>
      </c>
      <c r="G10" s="199">
        <v>3078554523</v>
      </c>
      <c r="H10" s="205">
        <v>3374653549</v>
      </c>
      <c r="I10" s="199">
        <v>3421659154</v>
      </c>
      <c r="J10" s="205">
        <v>3818044303</v>
      </c>
      <c r="K10" s="199">
        <v>5453887816</v>
      </c>
      <c r="L10" s="199">
        <v>2440478062</v>
      </c>
      <c r="M10" s="205">
        <v>1763116059</v>
      </c>
      <c r="N10" s="199">
        <v>4365284485</v>
      </c>
      <c r="O10" s="205">
        <v>372233390</v>
      </c>
      <c r="P10" s="199">
        <v>1085193190</v>
      </c>
      <c r="Q10" s="205">
        <v>3727708513</v>
      </c>
      <c r="R10" s="457">
        <f t="shared" si="1"/>
        <v>34983365848</v>
      </c>
      <c r="T10" s="454">
        <f t="shared" si="2"/>
        <v>5161107327</v>
      </c>
      <c r="U10" s="199">
        <f t="shared" si="3"/>
        <v>8535760876</v>
      </c>
      <c r="V10" s="205">
        <f t="shared" si="0"/>
        <v>11957420030</v>
      </c>
      <c r="W10" s="199">
        <f t="shared" si="0"/>
        <v>15775464333</v>
      </c>
      <c r="X10" s="205">
        <f t="shared" si="0"/>
        <v>21229352149</v>
      </c>
      <c r="Y10" s="199">
        <f t="shared" si="0"/>
        <v>23669830211</v>
      </c>
      <c r="Z10" s="199">
        <f t="shared" si="0"/>
        <v>25432946270</v>
      </c>
      <c r="AA10" s="205">
        <f t="shared" si="0"/>
        <v>29798230755</v>
      </c>
      <c r="AB10" s="199">
        <f t="shared" si="0"/>
        <v>30170464145</v>
      </c>
      <c r="AC10" s="455">
        <f t="shared" si="0"/>
        <v>31255657335</v>
      </c>
      <c r="AE10" s="456">
        <f t="shared" si="4"/>
        <v>8535760876</v>
      </c>
      <c r="AF10" s="205">
        <f t="shared" si="5"/>
        <v>12693591273</v>
      </c>
      <c r="AG10" s="199">
        <f t="shared" si="6"/>
        <v>8568878606</v>
      </c>
      <c r="AH10" s="455">
        <f t="shared" si="7"/>
        <v>5185135093</v>
      </c>
    </row>
    <row r="11" spans="2:34" ht="20.100000000000001" customHeight="1" x14ac:dyDescent="0.4">
      <c r="B11" s="450" t="s">
        <v>314</v>
      </c>
      <c r="C11" s="451" t="s">
        <v>324</v>
      </c>
      <c r="D11" s="452" t="s">
        <v>324</v>
      </c>
      <c r="E11" s="451" t="s">
        <v>326</v>
      </c>
      <c r="F11" s="205">
        <v>3550311181</v>
      </c>
      <c r="G11" s="199">
        <v>4314388140</v>
      </c>
      <c r="H11" s="205">
        <v>4706859695</v>
      </c>
      <c r="I11" s="199">
        <v>3622453855</v>
      </c>
      <c r="J11" s="205">
        <v>3353317521</v>
      </c>
      <c r="K11" s="199">
        <v>7767470382</v>
      </c>
      <c r="L11" s="199">
        <v>3577063318</v>
      </c>
      <c r="M11" s="205">
        <v>1210863033</v>
      </c>
      <c r="N11" s="199">
        <v>5161208709</v>
      </c>
      <c r="O11" s="205">
        <v>5561380944</v>
      </c>
      <c r="P11" s="199">
        <v>6283475731</v>
      </c>
      <c r="Q11" s="205">
        <v>2637064333</v>
      </c>
      <c r="R11" s="457">
        <f t="shared" si="1"/>
        <v>51745856842</v>
      </c>
      <c r="T11" s="454">
        <f t="shared" si="2"/>
        <v>7864699321</v>
      </c>
      <c r="U11" s="199">
        <f t="shared" si="3"/>
        <v>12571559016</v>
      </c>
      <c r="V11" s="205">
        <f t="shared" si="0"/>
        <v>16194012871</v>
      </c>
      <c r="W11" s="199">
        <f t="shared" si="0"/>
        <v>19547330392</v>
      </c>
      <c r="X11" s="205">
        <f t="shared" si="0"/>
        <v>27314800774</v>
      </c>
      <c r="Y11" s="199">
        <f t="shared" si="0"/>
        <v>30891864092</v>
      </c>
      <c r="Z11" s="199">
        <f t="shared" si="0"/>
        <v>32102727125</v>
      </c>
      <c r="AA11" s="205">
        <f t="shared" si="0"/>
        <v>37263935834</v>
      </c>
      <c r="AB11" s="199">
        <f t="shared" si="0"/>
        <v>42825316778</v>
      </c>
      <c r="AC11" s="455">
        <f t="shared" si="0"/>
        <v>49108792509</v>
      </c>
      <c r="AE11" s="456">
        <f t="shared" si="4"/>
        <v>12571559016</v>
      </c>
      <c r="AF11" s="205">
        <f t="shared" si="5"/>
        <v>14743241758</v>
      </c>
      <c r="AG11" s="199">
        <f t="shared" si="6"/>
        <v>9949135060</v>
      </c>
      <c r="AH11" s="455">
        <f t="shared" si="7"/>
        <v>14481921008</v>
      </c>
    </row>
    <row r="12" spans="2:34" ht="20.100000000000001" customHeight="1" x14ac:dyDescent="0.4">
      <c r="B12" s="450" t="s">
        <v>314</v>
      </c>
      <c r="C12" s="451" t="s">
        <v>324</v>
      </c>
      <c r="D12" s="452" t="s">
        <v>327</v>
      </c>
      <c r="E12" s="451" t="s">
        <v>327</v>
      </c>
      <c r="F12" s="205">
        <v>0</v>
      </c>
      <c r="G12" s="199">
        <v>0</v>
      </c>
      <c r="H12" s="205">
        <v>0</v>
      </c>
      <c r="I12" s="199">
        <v>0</v>
      </c>
      <c r="J12" s="205">
        <v>0</v>
      </c>
      <c r="K12" s="199">
        <v>0</v>
      </c>
      <c r="L12" s="199">
        <v>0</v>
      </c>
      <c r="M12" s="205">
        <v>0</v>
      </c>
      <c r="N12" s="199">
        <v>0</v>
      </c>
      <c r="O12" s="205">
        <v>0</v>
      </c>
      <c r="P12" s="199">
        <v>0</v>
      </c>
      <c r="Q12" s="205">
        <v>0</v>
      </c>
      <c r="R12" s="457">
        <f t="shared" si="1"/>
        <v>0</v>
      </c>
      <c r="T12" s="454">
        <f t="shared" si="2"/>
        <v>0</v>
      </c>
      <c r="U12" s="199">
        <f t="shared" si="3"/>
        <v>0</v>
      </c>
      <c r="V12" s="205">
        <f t="shared" si="0"/>
        <v>0</v>
      </c>
      <c r="W12" s="199">
        <f t="shared" si="0"/>
        <v>0</v>
      </c>
      <c r="X12" s="205">
        <f t="shared" si="0"/>
        <v>0</v>
      </c>
      <c r="Y12" s="199">
        <f t="shared" si="0"/>
        <v>0</v>
      </c>
      <c r="Z12" s="199">
        <f t="shared" si="0"/>
        <v>0</v>
      </c>
      <c r="AA12" s="205">
        <f t="shared" si="0"/>
        <v>0</v>
      </c>
      <c r="AB12" s="199">
        <f t="shared" si="0"/>
        <v>0</v>
      </c>
      <c r="AC12" s="455">
        <f t="shared" si="0"/>
        <v>0</v>
      </c>
      <c r="AE12" s="456">
        <f t="shared" si="4"/>
        <v>0</v>
      </c>
      <c r="AF12" s="205">
        <f t="shared" si="5"/>
        <v>0</v>
      </c>
      <c r="AG12" s="199">
        <f t="shared" si="6"/>
        <v>0</v>
      </c>
      <c r="AH12" s="455">
        <f t="shared" si="7"/>
        <v>0</v>
      </c>
    </row>
    <row r="13" spans="2:34" ht="20.100000000000001" customHeight="1" x14ac:dyDescent="0.4">
      <c r="B13" s="450" t="s">
        <v>314</v>
      </c>
      <c r="C13" s="451" t="s">
        <v>318</v>
      </c>
      <c r="D13" s="452" t="s">
        <v>329</v>
      </c>
      <c r="E13" s="451" t="s">
        <v>329</v>
      </c>
      <c r="F13" s="205">
        <v>122256299</v>
      </c>
      <c r="G13" s="199">
        <v>115002196</v>
      </c>
      <c r="H13" s="205">
        <v>160733439</v>
      </c>
      <c r="I13" s="199">
        <v>151488284</v>
      </c>
      <c r="J13" s="205">
        <v>132601048</v>
      </c>
      <c r="K13" s="199">
        <v>155419708</v>
      </c>
      <c r="L13" s="199">
        <v>123640163</v>
      </c>
      <c r="M13" s="205">
        <v>154064407</v>
      </c>
      <c r="N13" s="199">
        <v>132619393</v>
      </c>
      <c r="O13" s="205">
        <v>577824845</v>
      </c>
      <c r="P13" s="199">
        <v>48540053</v>
      </c>
      <c r="Q13" s="205">
        <v>-3296712</v>
      </c>
      <c r="R13" s="457">
        <f t="shared" si="1"/>
        <v>1870893123</v>
      </c>
      <c r="T13" s="454">
        <f t="shared" si="2"/>
        <v>237258495</v>
      </c>
      <c r="U13" s="199">
        <f t="shared" si="3"/>
        <v>397991934</v>
      </c>
      <c r="V13" s="205">
        <f t="shared" si="0"/>
        <v>549480218</v>
      </c>
      <c r="W13" s="199">
        <f t="shared" si="0"/>
        <v>682081266</v>
      </c>
      <c r="X13" s="205">
        <f t="shared" si="0"/>
        <v>837500974</v>
      </c>
      <c r="Y13" s="199">
        <f t="shared" si="0"/>
        <v>961141137</v>
      </c>
      <c r="Z13" s="199">
        <f t="shared" si="0"/>
        <v>1115205544</v>
      </c>
      <c r="AA13" s="205">
        <f t="shared" si="0"/>
        <v>1247824937</v>
      </c>
      <c r="AB13" s="199">
        <f t="shared" si="0"/>
        <v>1825649782</v>
      </c>
      <c r="AC13" s="455">
        <f t="shared" si="0"/>
        <v>1874189835</v>
      </c>
      <c r="AE13" s="456">
        <f t="shared" si="4"/>
        <v>397991934</v>
      </c>
      <c r="AF13" s="205">
        <f t="shared" si="5"/>
        <v>439509040</v>
      </c>
      <c r="AG13" s="199">
        <f t="shared" si="6"/>
        <v>410323963</v>
      </c>
      <c r="AH13" s="455">
        <f t="shared" si="7"/>
        <v>623068186</v>
      </c>
    </row>
    <row r="14" spans="2:34" ht="20.100000000000001" customHeight="1" x14ac:dyDescent="0.4">
      <c r="B14" s="450" t="s">
        <v>314</v>
      </c>
      <c r="C14" s="451" t="s">
        <v>318</v>
      </c>
      <c r="D14" s="452" t="s">
        <v>318</v>
      </c>
      <c r="E14" s="451" t="s">
        <v>330</v>
      </c>
      <c r="F14" s="205">
        <v>993095217</v>
      </c>
      <c r="G14" s="199">
        <v>111229065</v>
      </c>
      <c r="H14" s="205">
        <v>152159254</v>
      </c>
      <c r="I14" s="199">
        <v>132642303</v>
      </c>
      <c r="J14" s="205">
        <v>106199151</v>
      </c>
      <c r="K14" s="199">
        <v>159502544</v>
      </c>
      <c r="L14" s="199">
        <v>150908911</v>
      </c>
      <c r="M14" s="205">
        <v>161877803</v>
      </c>
      <c r="N14" s="199">
        <v>158616763</v>
      </c>
      <c r="O14" s="205">
        <v>123596675</v>
      </c>
      <c r="P14" s="199">
        <v>159663857</v>
      </c>
      <c r="Q14" s="205">
        <v>193618626</v>
      </c>
      <c r="R14" s="457">
        <f t="shared" si="1"/>
        <v>2603110169</v>
      </c>
      <c r="T14" s="454">
        <f t="shared" si="2"/>
        <v>1104324282</v>
      </c>
      <c r="U14" s="199">
        <f t="shared" si="3"/>
        <v>1256483536</v>
      </c>
      <c r="V14" s="205">
        <f t="shared" si="0"/>
        <v>1389125839</v>
      </c>
      <c r="W14" s="199">
        <f t="shared" si="0"/>
        <v>1495324990</v>
      </c>
      <c r="X14" s="205">
        <f t="shared" si="0"/>
        <v>1654827534</v>
      </c>
      <c r="Y14" s="199">
        <f t="shared" si="0"/>
        <v>1805736445</v>
      </c>
      <c r="Z14" s="199">
        <f t="shared" si="0"/>
        <v>1967614248</v>
      </c>
      <c r="AA14" s="205">
        <f t="shared" si="0"/>
        <v>2126231011</v>
      </c>
      <c r="AB14" s="199">
        <f t="shared" si="0"/>
        <v>2249827686</v>
      </c>
      <c r="AC14" s="455">
        <f t="shared" si="0"/>
        <v>2409491543</v>
      </c>
      <c r="AE14" s="456">
        <f t="shared" si="4"/>
        <v>1256483536</v>
      </c>
      <c r="AF14" s="205">
        <f t="shared" si="5"/>
        <v>398343998</v>
      </c>
      <c r="AG14" s="199">
        <f t="shared" si="6"/>
        <v>471403477</v>
      </c>
      <c r="AH14" s="455">
        <f t="shared" si="7"/>
        <v>476879158</v>
      </c>
    </row>
    <row r="15" spans="2:34" ht="20.100000000000001" customHeight="1" x14ac:dyDescent="0.4">
      <c r="B15" s="450" t="s">
        <v>314</v>
      </c>
      <c r="C15" s="451" t="s">
        <v>318</v>
      </c>
      <c r="D15" s="452" t="s">
        <v>318</v>
      </c>
      <c r="E15" s="451" t="s">
        <v>331</v>
      </c>
      <c r="F15" s="205">
        <v>377237676</v>
      </c>
      <c r="G15" s="199">
        <v>305394957</v>
      </c>
      <c r="H15" s="205">
        <v>265246016</v>
      </c>
      <c r="I15" s="199">
        <v>351047272</v>
      </c>
      <c r="J15" s="205">
        <v>358518885</v>
      </c>
      <c r="K15" s="199">
        <v>364448917</v>
      </c>
      <c r="L15" s="199">
        <v>392769844</v>
      </c>
      <c r="M15" s="205">
        <v>356446483</v>
      </c>
      <c r="N15" s="199">
        <v>373624129</v>
      </c>
      <c r="O15" s="205">
        <v>294627291</v>
      </c>
      <c r="P15" s="199">
        <v>205841671</v>
      </c>
      <c r="Q15" s="205">
        <v>502333703</v>
      </c>
      <c r="R15" s="457">
        <f t="shared" si="1"/>
        <v>4147536844</v>
      </c>
      <c r="T15" s="454">
        <f t="shared" si="2"/>
        <v>682632633</v>
      </c>
      <c r="U15" s="199">
        <f t="shared" si="3"/>
        <v>947878649</v>
      </c>
      <c r="V15" s="205">
        <f t="shared" si="0"/>
        <v>1298925921</v>
      </c>
      <c r="W15" s="199">
        <f t="shared" si="0"/>
        <v>1657444806</v>
      </c>
      <c r="X15" s="205">
        <f t="shared" si="0"/>
        <v>2021893723</v>
      </c>
      <c r="Y15" s="199">
        <f t="shared" si="0"/>
        <v>2414663567</v>
      </c>
      <c r="Z15" s="199">
        <f t="shared" si="0"/>
        <v>2771110050</v>
      </c>
      <c r="AA15" s="205">
        <f t="shared" si="0"/>
        <v>3144734179</v>
      </c>
      <c r="AB15" s="199">
        <f t="shared" si="0"/>
        <v>3439361470</v>
      </c>
      <c r="AC15" s="455">
        <f t="shared" si="0"/>
        <v>3645203141</v>
      </c>
      <c r="AE15" s="456">
        <f t="shared" si="4"/>
        <v>947878649</v>
      </c>
      <c r="AF15" s="205">
        <f t="shared" si="5"/>
        <v>1074015074</v>
      </c>
      <c r="AG15" s="199">
        <f t="shared" si="6"/>
        <v>1122840456</v>
      </c>
      <c r="AH15" s="455">
        <f t="shared" si="7"/>
        <v>1002802665</v>
      </c>
    </row>
    <row r="16" spans="2:34" ht="20.100000000000001" customHeight="1" x14ac:dyDescent="0.4">
      <c r="B16" s="450" t="s">
        <v>314</v>
      </c>
      <c r="C16" s="451" t="s">
        <v>318</v>
      </c>
      <c r="D16" s="452" t="s">
        <v>332</v>
      </c>
      <c r="E16" s="451" t="s">
        <v>333</v>
      </c>
      <c r="F16" s="205">
        <v>57082000</v>
      </c>
      <c r="G16" s="199">
        <v>33409500</v>
      </c>
      <c r="H16" s="205">
        <v>12080069.099999998</v>
      </c>
      <c r="I16" s="199">
        <v>34809000</v>
      </c>
      <c r="J16" s="205">
        <v>3734212</v>
      </c>
      <c r="K16" s="199">
        <v>31048200</v>
      </c>
      <c r="L16" s="199">
        <v>54500000</v>
      </c>
      <c r="M16" s="205">
        <v>67901300</v>
      </c>
      <c r="N16" s="199">
        <v>74340600</v>
      </c>
      <c r="O16" s="205">
        <v>93291560</v>
      </c>
      <c r="P16" s="199">
        <v>43877810</v>
      </c>
      <c r="Q16" s="205">
        <v>44546000</v>
      </c>
      <c r="R16" s="457">
        <f t="shared" si="1"/>
        <v>550620251.10000002</v>
      </c>
      <c r="T16" s="454">
        <f t="shared" si="2"/>
        <v>90491500</v>
      </c>
      <c r="U16" s="199">
        <f t="shared" si="3"/>
        <v>102571569.09999999</v>
      </c>
      <c r="V16" s="205">
        <f t="shared" si="0"/>
        <v>137380569.09999999</v>
      </c>
      <c r="W16" s="199">
        <f t="shared" si="0"/>
        <v>141114781.09999999</v>
      </c>
      <c r="X16" s="205">
        <f t="shared" si="0"/>
        <v>172162981.09999999</v>
      </c>
      <c r="Y16" s="199">
        <f t="shared" si="0"/>
        <v>226662981.09999999</v>
      </c>
      <c r="Z16" s="199">
        <f t="shared" si="0"/>
        <v>294564281.10000002</v>
      </c>
      <c r="AA16" s="205">
        <f t="shared" si="0"/>
        <v>368904881.10000002</v>
      </c>
      <c r="AB16" s="199">
        <f t="shared" si="0"/>
        <v>462196441.10000002</v>
      </c>
      <c r="AC16" s="455">
        <f t="shared" si="0"/>
        <v>506074251.10000002</v>
      </c>
      <c r="AE16" s="456">
        <f t="shared" si="4"/>
        <v>102571569.09999999</v>
      </c>
      <c r="AF16" s="205">
        <f t="shared" si="5"/>
        <v>69591412</v>
      </c>
      <c r="AG16" s="199">
        <f t="shared" si="6"/>
        <v>196741900</v>
      </c>
      <c r="AH16" s="455">
        <f t="shared" si="7"/>
        <v>181715370</v>
      </c>
    </row>
    <row r="17" spans="2:34" ht="20.100000000000001" customHeight="1" x14ac:dyDescent="0.4">
      <c r="B17" s="450" t="s">
        <v>314</v>
      </c>
      <c r="C17" s="451" t="s">
        <v>318</v>
      </c>
      <c r="D17" s="452" t="s">
        <v>332</v>
      </c>
      <c r="E17" s="451" t="s">
        <v>334</v>
      </c>
      <c r="F17" s="205">
        <v>0</v>
      </c>
      <c r="G17" s="199">
        <v>0</v>
      </c>
      <c r="H17" s="205">
        <v>0</v>
      </c>
      <c r="I17" s="199">
        <v>0</v>
      </c>
      <c r="J17" s="205">
        <v>0</v>
      </c>
      <c r="K17" s="199">
        <v>0</v>
      </c>
      <c r="L17" s="199">
        <v>0</v>
      </c>
      <c r="M17" s="205">
        <v>0</v>
      </c>
      <c r="N17" s="199">
        <v>0</v>
      </c>
      <c r="O17" s="205">
        <v>0</v>
      </c>
      <c r="P17" s="199">
        <v>0</v>
      </c>
      <c r="Q17" s="205">
        <v>0</v>
      </c>
      <c r="R17" s="457">
        <f t="shared" si="1"/>
        <v>0</v>
      </c>
      <c r="T17" s="454">
        <f t="shared" si="2"/>
        <v>0</v>
      </c>
      <c r="U17" s="199">
        <f t="shared" si="3"/>
        <v>0</v>
      </c>
      <c r="V17" s="205">
        <f t="shared" si="0"/>
        <v>0</v>
      </c>
      <c r="W17" s="199">
        <f t="shared" si="0"/>
        <v>0</v>
      </c>
      <c r="X17" s="205">
        <f t="shared" si="0"/>
        <v>0</v>
      </c>
      <c r="Y17" s="199">
        <f t="shared" si="0"/>
        <v>0</v>
      </c>
      <c r="Z17" s="199">
        <f t="shared" si="0"/>
        <v>0</v>
      </c>
      <c r="AA17" s="205">
        <f t="shared" si="0"/>
        <v>0</v>
      </c>
      <c r="AB17" s="199">
        <f t="shared" si="0"/>
        <v>0</v>
      </c>
      <c r="AC17" s="455">
        <f t="shared" si="0"/>
        <v>0</v>
      </c>
      <c r="AE17" s="456">
        <f t="shared" si="4"/>
        <v>0</v>
      </c>
      <c r="AF17" s="205">
        <f t="shared" si="5"/>
        <v>0</v>
      </c>
      <c r="AG17" s="199">
        <f t="shared" si="6"/>
        <v>0</v>
      </c>
      <c r="AH17" s="455">
        <f t="shared" si="7"/>
        <v>0</v>
      </c>
    </row>
    <row r="18" spans="2:34" ht="20.100000000000001" customHeight="1" x14ac:dyDescent="0.4">
      <c r="B18" s="450" t="s">
        <v>314</v>
      </c>
      <c r="C18" s="451" t="s">
        <v>318</v>
      </c>
      <c r="D18" s="452" t="s">
        <v>335</v>
      </c>
      <c r="E18" s="451" t="s">
        <v>336</v>
      </c>
      <c r="F18" s="205">
        <v>461640654</v>
      </c>
      <c r="G18" s="199">
        <v>16353720</v>
      </c>
      <c r="H18" s="205">
        <v>7622775</v>
      </c>
      <c r="I18" s="199">
        <v>28826600</v>
      </c>
      <c r="J18" s="205">
        <v>90431335</v>
      </c>
      <c r="K18" s="199">
        <v>33813000</v>
      </c>
      <c r="L18" s="199">
        <v>0</v>
      </c>
      <c r="M18" s="205">
        <v>291942333</v>
      </c>
      <c r="N18" s="199">
        <v>37947117</v>
      </c>
      <c r="O18" s="205">
        <v>0</v>
      </c>
      <c r="P18" s="199">
        <v>487901125</v>
      </c>
      <c r="Q18" s="205">
        <v>37261660</v>
      </c>
      <c r="R18" s="457">
        <f t="shared" si="1"/>
        <v>1493740319</v>
      </c>
      <c r="T18" s="454">
        <f t="shared" si="2"/>
        <v>477994374</v>
      </c>
      <c r="U18" s="199">
        <f t="shared" si="3"/>
        <v>485617149</v>
      </c>
      <c r="V18" s="205">
        <f t="shared" si="0"/>
        <v>514443749</v>
      </c>
      <c r="W18" s="199">
        <f t="shared" si="0"/>
        <v>604875084</v>
      </c>
      <c r="X18" s="205">
        <f t="shared" si="0"/>
        <v>638688084</v>
      </c>
      <c r="Y18" s="199">
        <f t="shared" si="0"/>
        <v>638688084</v>
      </c>
      <c r="Z18" s="199">
        <f t="shared" si="0"/>
        <v>930630417</v>
      </c>
      <c r="AA18" s="205">
        <f t="shared" si="0"/>
        <v>968577534</v>
      </c>
      <c r="AB18" s="199">
        <f t="shared" si="0"/>
        <v>968577534</v>
      </c>
      <c r="AC18" s="455">
        <f t="shared" si="0"/>
        <v>1456478659</v>
      </c>
      <c r="AE18" s="456">
        <f t="shared" si="4"/>
        <v>485617149</v>
      </c>
      <c r="AF18" s="205">
        <f t="shared" si="5"/>
        <v>153070935</v>
      </c>
      <c r="AG18" s="199">
        <f t="shared" si="6"/>
        <v>329889450</v>
      </c>
      <c r="AH18" s="455">
        <f t="shared" si="7"/>
        <v>525162785</v>
      </c>
    </row>
    <row r="19" spans="2:34" ht="20.100000000000001" customHeight="1" x14ac:dyDescent="0.4">
      <c r="B19" s="450" t="s">
        <v>314</v>
      </c>
      <c r="C19" s="451" t="s">
        <v>318</v>
      </c>
      <c r="D19" s="452" t="s">
        <v>335</v>
      </c>
      <c r="E19" s="451" t="s">
        <v>337</v>
      </c>
      <c r="F19" s="205">
        <v>0</v>
      </c>
      <c r="G19" s="199">
        <v>0</v>
      </c>
      <c r="H19" s="205">
        <v>0</v>
      </c>
      <c r="I19" s="199">
        <v>29477115</v>
      </c>
      <c r="J19" s="205">
        <v>0</v>
      </c>
      <c r="K19" s="199">
        <v>0</v>
      </c>
      <c r="L19" s="199">
        <v>0</v>
      </c>
      <c r="M19" s="205">
        <v>0</v>
      </c>
      <c r="N19" s="199">
        <v>29563846</v>
      </c>
      <c r="O19" s="205">
        <v>0</v>
      </c>
      <c r="P19" s="199">
        <v>0</v>
      </c>
      <c r="Q19" s="205">
        <v>0</v>
      </c>
      <c r="R19" s="457">
        <f t="shared" si="1"/>
        <v>59040961</v>
      </c>
      <c r="T19" s="454">
        <f t="shared" si="2"/>
        <v>0</v>
      </c>
      <c r="U19" s="199">
        <f t="shared" si="3"/>
        <v>0</v>
      </c>
      <c r="V19" s="205">
        <f t="shared" si="0"/>
        <v>29477115</v>
      </c>
      <c r="W19" s="199">
        <f t="shared" si="0"/>
        <v>29477115</v>
      </c>
      <c r="X19" s="205">
        <f t="shared" si="0"/>
        <v>29477115</v>
      </c>
      <c r="Y19" s="199">
        <f t="shared" si="0"/>
        <v>29477115</v>
      </c>
      <c r="Z19" s="199">
        <f t="shared" si="0"/>
        <v>29477115</v>
      </c>
      <c r="AA19" s="205">
        <f t="shared" si="0"/>
        <v>59040961</v>
      </c>
      <c r="AB19" s="199">
        <f t="shared" si="0"/>
        <v>59040961</v>
      </c>
      <c r="AC19" s="455">
        <f t="shared" si="0"/>
        <v>59040961</v>
      </c>
      <c r="AE19" s="456">
        <f t="shared" si="4"/>
        <v>0</v>
      </c>
      <c r="AF19" s="205">
        <f t="shared" si="5"/>
        <v>29477115</v>
      </c>
      <c r="AG19" s="199">
        <f t="shared" si="6"/>
        <v>29563846</v>
      </c>
      <c r="AH19" s="455">
        <f t="shared" si="7"/>
        <v>0</v>
      </c>
    </row>
    <row r="20" spans="2:34" ht="20.100000000000001" customHeight="1" x14ac:dyDescent="0.4">
      <c r="B20" s="450" t="s">
        <v>314</v>
      </c>
      <c r="C20" s="451" t="s">
        <v>318</v>
      </c>
      <c r="D20" s="452" t="s">
        <v>338</v>
      </c>
      <c r="E20" s="451" t="s">
        <v>339</v>
      </c>
      <c r="F20" s="205">
        <v>0</v>
      </c>
      <c r="G20" s="199">
        <v>0</v>
      </c>
      <c r="H20" s="205">
        <v>0</v>
      </c>
      <c r="I20" s="199">
        <v>0</v>
      </c>
      <c r="J20" s="205">
        <v>0</v>
      </c>
      <c r="K20" s="199">
        <v>0</v>
      </c>
      <c r="L20" s="199">
        <v>0</v>
      </c>
      <c r="M20" s="205">
        <v>0</v>
      </c>
      <c r="N20" s="199">
        <v>0</v>
      </c>
      <c r="O20" s="205">
        <v>0</v>
      </c>
      <c r="P20" s="199">
        <v>0</v>
      </c>
      <c r="Q20" s="205">
        <v>0</v>
      </c>
      <c r="R20" s="457">
        <f t="shared" si="1"/>
        <v>0</v>
      </c>
      <c r="T20" s="454">
        <f t="shared" si="2"/>
        <v>0</v>
      </c>
      <c r="U20" s="199">
        <f t="shared" si="3"/>
        <v>0</v>
      </c>
      <c r="V20" s="205">
        <f t="shared" si="0"/>
        <v>0</v>
      </c>
      <c r="W20" s="199">
        <f t="shared" si="0"/>
        <v>0</v>
      </c>
      <c r="X20" s="205">
        <f t="shared" si="0"/>
        <v>0</v>
      </c>
      <c r="Y20" s="199">
        <f t="shared" si="0"/>
        <v>0</v>
      </c>
      <c r="Z20" s="199">
        <f t="shared" si="0"/>
        <v>0</v>
      </c>
      <c r="AA20" s="205">
        <f t="shared" si="0"/>
        <v>0</v>
      </c>
      <c r="AB20" s="199">
        <f t="shared" si="0"/>
        <v>0</v>
      </c>
      <c r="AC20" s="455">
        <f t="shared" si="0"/>
        <v>0</v>
      </c>
      <c r="AE20" s="456">
        <f t="shared" si="4"/>
        <v>0</v>
      </c>
      <c r="AF20" s="205">
        <f t="shared" si="5"/>
        <v>0</v>
      </c>
      <c r="AG20" s="199">
        <f t="shared" si="6"/>
        <v>0</v>
      </c>
      <c r="AH20" s="455">
        <f t="shared" si="7"/>
        <v>0</v>
      </c>
    </row>
    <row r="21" spans="2:34" ht="20.100000000000001" customHeight="1" x14ac:dyDescent="0.4">
      <c r="B21" s="450" t="s">
        <v>314</v>
      </c>
      <c r="C21" s="451" t="s">
        <v>318</v>
      </c>
      <c r="D21" s="452" t="s">
        <v>338</v>
      </c>
      <c r="E21" s="451" t="s">
        <v>340</v>
      </c>
      <c r="F21" s="205">
        <v>0</v>
      </c>
      <c r="G21" s="199">
        <v>0</v>
      </c>
      <c r="H21" s="205">
        <v>0</v>
      </c>
      <c r="I21" s="199">
        <v>0</v>
      </c>
      <c r="J21" s="205">
        <v>0</v>
      </c>
      <c r="K21" s="199">
        <v>0</v>
      </c>
      <c r="L21" s="199">
        <v>0</v>
      </c>
      <c r="M21" s="205">
        <v>0</v>
      </c>
      <c r="N21" s="199">
        <v>0</v>
      </c>
      <c r="O21" s="205">
        <v>0</v>
      </c>
      <c r="P21" s="199">
        <v>0</v>
      </c>
      <c r="Q21" s="205">
        <v>0</v>
      </c>
      <c r="R21" s="457">
        <f t="shared" si="1"/>
        <v>0</v>
      </c>
      <c r="T21" s="454">
        <f t="shared" si="2"/>
        <v>0</v>
      </c>
      <c r="U21" s="199">
        <f t="shared" si="3"/>
        <v>0</v>
      </c>
      <c r="V21" s="205">
        <f t="shared" si="3"/>
        <v>0</v>
      </c>
      <c r="W21" s="199">
        <f t="shared" si="3"/>
        <v>0</v>
      </c>
      <c r="X21" s="205">
        <f t="shared" si="3"/>
        <v>0</v>
      </c>
      <c r="Y21" s="199">
        <f t="shared" si="3"/>
        <v>0</v>
      </c>
      <c r="Z21" s="199">
        <f t="shared" si="3"/>
        <v>0</v>
      </c>
      <c r="AA21" s="205">
        <f t="shared" si="3"/>
        <v>0</v>
      </c>
      <c r="AB21" s="199">
        <f t="shared" si="3"/>
        <v>0</v>
      </c>
      <c r="AC21" s="455">
        <f t="shared" si="3"/>
        <v>0</v>
      </c>
      <c r="AE21" s="456">
        <f t="shared" si="4"/>
        <v>0</v>
      </c>
      <c r="AF21" s="205">
        <f t="shared" si="5"/>
        <v>0</v>
      </c>
      <c r="AG21" s="199">
        <f t="shared" si="6"/>
        <v>0</v>
      </c>
      <c r="AH21" s="455">
        <f t="shared" si="7"/>
        <v>0</v>
      </c>
    </row>
    <row r="22" spans="2:34" ht="20.100000000000001" customHeight="1" x14ac:dyDescent="0.4">
      <c r="B22" s="450" t="s">
        <v>314</v>
      </c>
      <c r="C22" s="451" t="s">
        <v>318</v>
      </c>
      <c r="D22" s="452" t="s">
        <v>341</v>
      </c>
      <c r="E22" s="451" t="s">
        <v>341</v>
      </c>
      <c r="F22" s="205">
        <v>0</v>
      </c>
      <c r="G22" s="199">
        <v>0</v>
      </c>
      <c r="H22" s="205">
        <v>0</v>
      </c>
      <c r="I22" s="199">
        <v>0</v>
      </c>
      <c r="J22" s="205">
        <v>0</v>
      </c>
      <c r="K22" s="199">
        <v>0</v>
      </c>
      <c r="L22" s="199">
        <v>0</v>
      </c>
      <c r="M22" s="205">
        <v>0</v>
      </c>
      <c r="N22" s="199">
        <v>0</v>
      </c>
      <c r="O22" s="205">
        <v>0</v>
      </c>
      <c r="P22" s="199">
        <v>0</v>
      </c>
      <c r="Q22" s="205">
        <v>0</v>
      </c>
      <c r="R22" s="457">
        <f t="shared" si="1"/>
        <v>0</v>
      </c>
      <c r="T22" s="454">
        <f t="shared" si="2"/>
        <v>0</v>
      </c>
      <c r="U22" s="199">
        <f t="shared" si="3"/>
        <v>0</v>
      </c>
      <c r="V22" s="205">
        <f t="shared" si="3"/>
        <v>0</v>
      </c>
      <c r="W22" s="199">
        <f t="shared" si="3"/>
        <v>0</v>
      </c>
      <c r="X22" s="205">
        <f t="shared" si="3"/>
        <v>0</v>
      </c>
      <c r="Y22" s="199">
        <f t="shared" si="3"/>
        <v>0</v>
      </c>
      <c r="Z22" s="199">
        <f t="shared" si="3"/>
        <v>0</v>
      </c>
      <c r="AA22" s="205">
        <f t="shared" si="3"/>
        <v>0</v>
      </c>
      <c r="AB22" s="199">
        <f t="shared" si="3"/>
        <v>0</v>
      </c>
      <c r="AC22" s="455">
        <f t="shared" si="3"/>
        <v>0</v>
      </c>
      <c r="AE22" s="456">
        <f t="shared" si="4"/>
        <v>0</v>
      </c>
      <c r="AF22" s="205">
        <f t="shared" si="5"/>
        <v>0</v>
      </c>
      <c r="AG22" s="199">
        <f t="shared" si="6"/>
        <v>0</v>
      </c>
      <c r="AH22" s="455">
        <f t="shared" si="7"/>
        <v>0</v>
      </c>
    </row>
    <row r="23" spans="2:34" ht="20.100000000000001" customHeight="1" x14ac:dyDescent="0.4">
      <c r="B23" s="450" t="s">
        <v>342</v>
      </c>
      <c r="C23" s="451" t="s">
        <v>343</v>
      </c>
      <c r="D23" s="452" t="s">
        <v>344</v>
      </c>
      <c r="E23" s="451" t="s">
        <v>344</v>
      </c>
      <c r="F23" s="205">
        <v>1470485488</v>
      </c>
      <c r="G23" s="199">
        <v>1036432061</v>
      </c>
      <c r="H23" s="205">
        <v>3044545719</v>
      </c>
      <c r="I23" s="199">
        <v>1408834840</v>
      </c>
      <c r="J23" s="205">
        <v>2771406643</v>
      </c>
      <c r="K23" s="199">
        <v>4047041438</v>
      </c>
      <c r="L23" s="199">
        <v>2685406301</v>
      </c>
      <c r="M23" s="205">
        <v>2090313474</v>
      </c>
      <c r="N23" s="199">
        <v>2081683359</v>
      </c>
      <c r="O23" s="205">
        <v>1569922462</v>
      </c>
      <c r="P23" s="199">
        <v>2297052927</v>
      </c>
      <c r="Q23" s="205">
        <v>2246689673</v>
      </c>
      <c r="R23" s="457">
        <f t="shared" si="1"/>
        <v>26749814385</v>
      </c>
      <c r="T23" s="454">
        <f t="shared" si="2"/>
        <v>2506917549</v>
      </c>
      <c r="U23" s="199">
        <f t="shared" si="3"/>
        <v>5551463268</v>
      </c>
      <c r="V23" s="205">
        <f t="shared" si="3"/>
        <v>6960298108</v>
      </c>
      <c r="W23" s="199">
        <f t="shared" si="3"/>
        <v>9731704751</v>
      </c>
      <c r="X23" s="205">
        <f t="shared" si="3"/>
        <v>13778746189</v>
      </c>
      <c r="Y23" s="199">
        <f t="shared" si="3"/>
        <v>16464152490</v>
      </c>
      <c r="Z23" s="199">
        <f t="shared" si="3"/>
        <v>18554465964</v>
      </c>
      <c r="AA23" s="205">
        <f t="shared" si="3"/>
        <v>20636149323</v>
      </c>
      <c r="AB23" s="199">
        <f t="shared" si="3"/>
        <v>22206071785</v>
      </c>
      <c r="AC23" s="455">
        <f t="shared" si="3"/>
        <v>24503124712</v>
      </c>
      <c r="AE23" s="456">
        <f t="shared" si="4"/>
        <v>5551463268</v>
      </c>
      <c r="AF23" s="205">
        <f t="shared" si="5"/>
        <v>8227282921</v>
      </c>
      <c r="AG23" s="199">
        <f t="shared" si="6"/>
        <v>6857403134</v>
      </c>
      <c r="AH23" s="455">
        <f t="shared" si="7"/>
        <v>6113665062</v>
      </c>
    </row>
    <row r="24" spans="2:34" ht="20.100000000000001" customHeight="1" x14ac:dyDescent="0.4">
      <c r="B24" s="450" t="s">
        <v>342</v>
      </c>
      <c r="C24" s="451" t="s">
        <v>343</v>
      </c>
      <c r="D24" s="452" t="s">
        <v>345</v>
      </c>
      <c r="E24" s="451" t="s">
        <v>345</v>
      </c>
      <c r="F24" s="205">
        <v>426946397</v>
      </c>
      <c r="G24" s="199">
        <v>1103856684</v>
      </c>
      <c r="H24" s="205">
        <v>1105731956</v>
      </c>
      <c r="I24" s="199">
        <v>796589201</v>
      </c>
      <c r="J24" s="205">
        <v>1309969668</v>
      </c>
      <c r="K24" s="199">
        <v>3041280133</v>
      </c>
      <c r="L24" s="199">
        <v>674706491</v>
      </c>
      <c r="M24" s="205">
        <v>314580885</v>
      </c>
      <c r="N24" s="199">
        <v>2058489916</v>
      </c>
      <c r="O24" s="205">
        <v>866561795</v>
      </c>
      <c r="P24" s="199">
        <v>692341960</v>
      </c>
      <c r="Q24" s="205">
        <v>1304124496</v>
      </c>
      <c r="R24" s="457">
        <f t="shared" si="1"/>
        <v>13695179582</v>
      </c>
      <c r="T24" s="454">
        <f t="shared" si="2"/>
        <v>1530803081</v>
      </c>
      <c r="U24" s="199">
        <f t="shared" si="3"/>
        <v>2636535037</v>
      </c>
      <c r="V24" s="205">
        <f t="shared" si="3"/>
        <v>3433124238</v>
      </c>
      <c r="W24" s="199">
        <f t="shared" si="3"/>
        <v>4743093906</v>
      </c>
      <c r="X24" s="205">
        <f t="shared" si="3"/>
        <v>7784374039</v>
      </c>
      <c r="Y24" s="199">
        <f t="shared" si="3"/>
        <v>8459080530</v>
      </c>
      <c r="Z24" s="199">
        <f t="shared" si="3"/>
        <v>8773661415</v>
      </c>
      <c r="AA24" s="205">
        <f t="shared" si="3"/>
        <v>10832151331</v>
      </c>
      <c r="AB24" s="199">
        <f t="shared" si="3"/>
        <v>11698713126</v>
      </c>
      <c r="AC24" s="455">
        <f t="shared" si="3"/>
        <v>12391055086</v>
      </c>
      <c r="AE24" s="456">
        <f t="shared" si="4"/>
        <v>2636535037</v>
      </c>
      <c r="AF24" s="205">
        <f t="shared" si="5"/>
        <v>5147839002</v>
      </c>
      <c r="AG24" s="199">
        <f t="shared" si="6"/>
        <v>3047777292</v>
      </c>
      <c r="AH24" s="455">
        <f t="shared" si="7"/>
        <v>2863028251</v>
      </c>
    </row>
    <row r="25" spans="2:34" ht="20.100000000000001" customHeight="1" x14ac:dyDescent="0.4">
      <c r="B25" s="450" t="s">
        <v>342</v>
      </c>
      <c r="C25" s="451" t="s">
        <v>346</v>
      </c>
      <c r="D25" s="452" t="s">
        <v>346</v>
      </c>
      <c r="E25" s="451" t="s">
        <v>347</v>
      </c>
      <c r="F25" s="205">
        <v>132838731</v>
      </c>
      <c r="G25" s="199">
        <v>415072524</v>
      </c>
      <c r="H25" s="205">
        <v>618859011</v>
      </c>
      <c r="I25" s="199">
        <v>224168381</v>
      </c>
      <c r="J25" s="205">
        <v>355636477</v>
      </c>
      <c r="K25" s="199">
        <v>235874583</v>
      </c>
      <c r="L25" s="199">
        <v>322494451</v>
      </c>
      <c r="M25" s="205">
        <v>331261652</v>
      </c>
      <c r="N25" s="199">
        <v>384642114</v>
      </c>
      <c r="O25" s="205">
        <v>306791701</v>
      </c>
      <c r="P25" s="199">
        <v>325537649</v>
      </c>
      <c r="Q25" s="205">
        <v>424423735</v>
      </c>
      <c r="R25" s="457">
        <f t="shared" si="1"/>
        <v>4077601009</v>
      </c>
      <c r="T25" s="454">
        <f t="shared" si="2"/>
        <v>547911255</v>
      </c>
      <c r="U25" s="199">
        <f t="shared" si="3"/>
        <v>1166770266</v>
      </c>
      <c r="V25" s="205">
        <f t="shared" si="3"/>
        <v>1390938647</v>
      </c>
      <c r="W25" s="199">
        <f t="shared" si="3"/>
        <v>1746575124</v>
      </c>
      <c r="X25" s="205">
        <f t="shared" si="3"/>
        <v>1982449707</v>
      </c>
      <c r="Y25" s="199">
        <f t="shared" si="3"/>
        <v>2304944158</v>
      </c>
      <c r="Z25" s="199">
        <f t="shared" si="3"/>
        <v>2636205810</v>
      </c>
      <c r="AA25" s="205">
        <f t="shared" si="3"/>
        <v>3020847924</v>
      </c>
      <c r="AB25" s="199">
        <f t="shared" si="3"/>
        <v>3327639625</v>
      </c>
      <c r="AC25" s="455">
        <f t="shared" si="3"/>
        <v>3653177274</v>
      </c>
      <c r="AE25" s="456">
        <f t="shared" si="4"/>
        <v>1166770266</v>
      </c>
      <c r="AF25" s="205">
        <f t="shared" si="5"/>
        <v>815679441</v>
      </c>
      <c r="AG25" s="199">
        <f t="shared" si="6"/>
        <v>1038398217</v>
      </c>
      <c r="AH25" s="455">
        <f t="shared" si="7"/>
        <v>1056753085</v>
      </c>
    </row>
    <row r="26" spans="2:34" ht="20.100000000000001" customHeight="1" x14ac:dyDescent="0.4">
      <c r="B26" s="450" t="s">
        <v>342</v>
      </c>
      <c r="C26" s="451" t="s">
        <v>346</v>
      </c>
      <c r="D26" s="452" t="s">
        <v>346</v>
      </c>
      <c r="E26" s="451" t="s">
        <v>348</v>
      </c>
      <c r="F26" s="205">
        <v>0</v>
      </c>
      <c r="G26" s="199">
        <v>0</v>
      </c>
      <c r="H26" s="205">
        <v>0</v>
      </c>
      <c r="I26" s="199">
        <v>0</v>
      </c>
      <c r="J26" s="205">
        <v>0</v>
      </c>
      <c r="K26" s="199">
        <v>0</v>
      </c>
      <c r="L26" s="199">
        <v>0</v>
      </c>
      <c r="M26" s="205">
        <v>0</v>
      </c>
      <c r="N26" s="199">
        <v>0</v>
      </c>
      <c r="O26" s="205">
        <v>0</v>
      </c>
      <c r="P26" s="199">
        <v>0</v>
      </c>
      <c r="Q26" s="205">
        <v>0</v>
      </c>
      <c r="R26" s="457">
        <f t="shared" si="1"/>
        <v>0</v>
      </c>
      <c r="T26" s="454">
        <f t="shared" si="2"/>
        <v>0</v>
      </c>
      <c r="U26" s="199">
        <f t="shared" si="3"/>
        <v>0</v>
      </c>
      <c r="V26" s="205">
        <f t="shared" si="3"/>
        <v>0</v>
      </c>
      <c r="W26" s="199">
        <f t="shared" si="3"/>
        <v>0</v>
      </c>
      <c r="X26" s="205">
        <f t="shared" si="3"/>
        <v>0</v>
      </c>
      <c r="Y26" s="199">
        <f t="shared" si="3"/>
        <v>0</v>
      </c>
      <c r="Z26" s="199">
        <f t="shared" si="3"/>
        <v>0</v>
      </c>
      <c r="AA26" s="205">
        <f t="shared" si="3"/>
        <v>0</v>
      </c>
      <c r="AB26" s="199">
        <f t="shared" si="3"/>
        <v>0</v>
      </c>
      <c r="AC26" s="455">
        <f t="shared" si="3"/>
        <v>0</v>
      </c>
      <c r="AE26" s="456">
        <f t="shared" si="4"/>
        <v>0</v>
      </c>
      <c r="AF26" s="205">
        <f t="shared" si="5"/>
        <v>0</v>
      </c>
      <c r="AG26" s="199">
        <f t="shared" si="6"/>
        <v>0</v>
      </c>
      <c r="AH26" s="455">
        <f t="shared" si="7"/>
        <v>0</v>
      </c>
    </row>
    <row r="27" spans="2:34" ht="20.100000000000001" customHeight="1" x14ac:dyDescent="0.4">
      <c r="B27" s="450" t="s">
        <v>342</v>
      </c>
      <c r="C27" s="451" t="s">
        <v>346</v>
      </c>
      <c r="D27" s="452" t="s">
        <v>346</v>
      </c>
      <c r="E27" s="451" t="s">
        <v>349</v>
      </c>
      <c r="F27" s="205">
        <v>733741548</v>
      </c>
      <c r="G27" s="199">
        <v>657137675</v>
      </c>
      <c r="H27" s="205">
        <v>888964877</v>
      </c>
      <c r="I27" s="199">
        <v>354555421</v>
      </c>
      <c r="J27" s="205">
        <v>758353123</v>
      </c>
      <c r="K27" s="199">
        <v>1003157691</v>
      </c>
      <c r="L27" s="199">
        <v>1176586965</v>
      </c>
      <c r="M27" s="205">
        <v>981650384</v>
      </c>
      <c r="N27" s="199">
        <v>1326038174</v>
      </c>
      <c r="O27" s="205">
        <v>816956771</v>
      </c>
      <c r="P27" s="199">
        <v>1215118369</v>
      </c>
      <c r="Q27" s="205">
        <v>932372083</v>
      </c>
      <c r="R27" s="457">
        <f t="shared" si="1"/>
        <v>10844633081</v>
      </c>
      <c r="T27" s="454">
        <f t="shared" si="2"/>
        <v>1390879223</v>
      </c>
      <c r="U27" s="199">
        <f t="shared" si="3"/>
        <v>2279844100</v>
      </c>
      <c r="V27" s="205">
        <f t="shared" si="3"/>
        <v>2634399521</v>
      </c>
      <c r="W27" s="199">
        <f t="shared" si="3"/>
        <v>3392752644</v>
      </c>
      <c r="X27" s="205">
        <f t="shared" si="3"/>
        <v>4395910335</v>
      </c>
      <c r="Y27" s="199">
        <f t="shared" si="3"/>
        <v>5572497300</v>
      </c>
      <c r="Z27" s="199">
        <f t="shared" si="3"/>
        <v>6554147684</v>
      </c>
      <c r="AA27" s="205">
        <f t="shared" si="3"/>
        <v>7880185858</v>
      </c>
      <c r="AB27" s="199">
        <f t="shared" si="3"/>
        <v>8697142629</v>
      </c>
      <c r="AC27" s="455">
        <f t="shared" si="3"/>
        <v>9912260998</v>
      </c>
      <c r="AE27" s="456">
        <f t="shared" si="4"/>
        <v>2279844100</v>
      </c>
      <c r="AF27" s="205">
        <f t="shared" si="5"/>
        <v>2116066235</v>
      </c>
      <c r="AG27" s="199">
        <f t="shared" si="6"/>
        <v>3484275523</v>
      </c>
      <c r="AH27" s="455">
        <f t="shared" si="7"/>
        <v>2964447223</v>
      </c>
    </row>
    <row r="28" spans="2:34" ht="20.100000000000001" customHeight="1" x14ac:dyDescent="0.4">
      <c r="B28" s="450" t="s">
        <v>342</v>
      </c>
      <c r="C28" s="451" t="s">
        <v>350</v>
      </c>
      <c r="D28" s="452" t="s">
        <v>350</v>
      </c>
      <c r="E28" s="451" t="s">
        <v>351</v>
      </c>
      <c r="F28" s="205">
        <v>92776800</v>
      </c>
      <c r="G28" s="199">
        <v>171022133</v>
      </c>
      <c r="H28" s="205">
        <v>613476445</v>
      </c>
      <c r="I28" s="199">
        <v>284710375</v>
      </c>
      <c r="J28" s="205">
        <v>373527614</v>
      </c>
      <c r="K28" s="199">
        <v>63891449</v>
      </c>
      <c r="L28" s="199">
        <v>94421626</v>
      </c>
      <c r="M28" s="205">
        <v>201243704</v>
      </c>
      <c r="N28" s="199">
        <v>250050111</v>
      </c>
      <c r="O28" s="205">
        <v>300176663</v>
      </c>
      <c r="P28" s="199">
        <v>246690381</v>
      </c>
      <c r="Q28" s="205">
        <v>358186489</v>
      </c>
      <c r="R28" s="457">
        <f t="shared" si="1"/>
        <v>3050173790</v>
      </c>
      <c r="T28" s="454">
        <f t="shared" si="2"/>
        <v>263798933</v>
      </c>
      <c r="U28" s="199">
        <f t="shared" si="3"/>
        <v>877275378</v>
      </c>
      <c r="V28" s="205">
        <f t="shared" si="3"/>
        <v>1161985753</v>
      </c>
      <c r="W28" s="199">
        <f t="shared" si="3"/>
        <v>1535513367</v>
      </c>
      <c r="X28" s="205">
        <f t="shared" si="3"/>
        <v>1599404816</v>
      </c>
      <c r="Y28" s="199">
        <f t="shared" si="3"/>
        <v>1693826442</v>
      </c>
      <c r="Z28" s="199">
        <f t="shared" si="3"/>
        <v>1895070146</v>
      </c>
      <c r="AA28" s="205">
        <f t="shared" si="3"/>
        <v>2145120257</v>
      </c>
      <c r="AB28" s="199">
        <f t="shared" si="3"/>
        <v>2445296920</v>
      </c>
      <c r="AC28" s="455">
        <f t="shared" si="3"/>
        <v>2691987301</v>
      </c>
      <c r="AE28" s="456">
        <f t="shared" si="4"/>
        <v>877275378</v>
      </c>
      <c r="AF28" s="205">
        <f t="shared" si="5"/>
        <v>722129438</v>
      </c>
      <c r="AG28" s="199">
        <f t="shared" si="6"/>
        <v>545715441</v>
      </c>
      <c r="AH28" s="455">
        <f t="shared" si="7"/>
        <v>905053533</v>
      </c>
    </row>
    <row r="29" spans="2:34" ht="20.100000000000001" customHeight="1" x14ac:dyDescent="0.4">
      <c r="B29" s="450" t="s">
        <v>342</v>
      </c>
      <c r="C29" s="451" t="s">
        <v>350</v>
      </c>
      <c r="D29" s="452" t="s">
        <v>350</v>
      </c>
      <c r="E29" s="451" t="s">
        <v>352</v>
      </c>
      <c r="F29" s="205">
        <v>525689652</v>
      </c>
      <c r="G29" s="199">
        <v>718032444</v>
      </c>
      <c r="H29" s="205">
        <v>1629665091</v>
      </c>
      <c r="I29" s="199">
        <v>1022347021</v>
      </c>
      <c r="J29" s="205">
        <v>1398736766</v>
      </c>
      <c r="K29" s="199">
        <v>1368407802</v>
      </c>
      <c r="L29" s="199">
        <v>506118851</v>
      </c>
      <c r="M29" s="205">
        <v>804834321</v>
      </c>
      <c r="N29" s="199">
        <v>885319883</v>
      </c>
      <c r="O29" s="205">
        <v>888829881</v>
      </c>
      <c r="P29" s="199">
        <v>843823036</v>
      </c>
      <c r="Q29" s="205">
        <v>1264258088</v>
      </c>
      <c r="R29" s="457">
        <f t="shared" si="1"/>
        <v>11856062836</v>
      </c>
      <c r="T29" s="454">
        <f t="shared" si="2"/>
        <v>1243722096</v>
      </c>
      <c r="U29" s="199">
        <f t="shared" si="3"/>
        <v>2873387187</v>
      </c>
      <c r="V29" s="205">
        <f t="shared" si="3"/>
        <v>3895734208</v>
      </c>
      <c r="W29" s="199">
        <f t="shared" si="3"/>
        <v>5294470974</v>
      </c>
      <c r="X29" s="205">
        <f t="shared" si="3"/>
        <v>6662878776</v>
      </c>
      <c r="Y29" s="199">
        <f t="shared" si="3"/>
        <v>7168997627</v>
      </c>
      <c r="Z29" s="199">
        <f t="shared" si="3"/>
        <v>7973831948</v>
      </c>
      <c r="AA29" s="205">
        <f t="shared" si="3"/>
        <v>8859151831</v>
      </c>
      <c r="AB29" s="199">
        <f t="shared" si="3"/>
        <v>9747981712</v>
      </c>
      <c r="AC29" s="455">
        <f t="shared" si="3"/>
        <v>10591804748</v>
      </c>
      <c r="AE29" s="456">
        <f t="shared" si="4"/>
        <v>2873387187</v>
      </c>
      <c r="AF29" s="205">
        <f t="shared" si="5"/>
        <v>3789491589</v>
      </c>
      <c r="AG29" s="199">
        <f t="shared" si="6"/>
        <v>2196273055</v>
      </c>
      <c r="AH29" s="455">
        <f t="shared" si="7"/>
        <v>2996911005</v>
      </c>
    </row>
    <row r="30" spans="2:34" ht="20.100000000000001" customHeight="1" x14ac:dyDescent="0.4">
      <c r="B30" s="450" t="s">
        <v>342</v>
      </c>
      <c r="C30" s="451" t="s">
        <v>353</v>
      </c>
      <c r="D30" s="452" t="s">
        <v>353</v>
      </c>
      <c r="E30" s="451" t="s">
        <v>353</v>
      </c>
      <c r="F30" s="205">
        <v>101417037</v>
      </c>
      <c r="G30" s="199">
        <v>74104295</v>
      </c>
      <c r="H30" s="205">
        <v>83463069</v>
      </c>
      <c r="I30" s="199">
        <v>88547613</v>
      </c>
      <c r="J30" s="205">
        <v>181146817</v>
      </c>
      <c r="K30" s="199">
        <v>133584923</v>
      </c>
      <c r="L30" s="199">
        <v>132743412</v>
      </c>
      <c r="M30" s="205">
        <v>172173083</v>
      </c>
      <c r="N30" s="199">
        <v>168655765</v>
      </c>
      <c r="O30" s="205">
        <v>166743498</v>
      </c>
      <c r="P30" s="199">
        <v>336802060</v>
      </c>
      <c r="Q30" s="205">
        <v>386311612</v>
      </c>
      <c r="R30" s="457">
        <f t="shared" si="1"/>
        <v>2025693184</v>
      </c>
      <c r="T30" s="454">
        <f t="shared" si="2"/>
        <v>175521332</v>
      </c>
      <c r="U30" s="199">
        <f t="shared" si="3"/>
        <v>258984401</v>
      </c>
      <c r="V30" s="205">
        <f t="shared" si="3"/>
        <v>347532014</v>
      </c>
      <c r="W30" s="199">
        <f t="shared" si="3"/>
        <v>528678831</v>
      </c>
      <c r="X30" s="205">
        <f t="shared" si="3"/>
        <v>662263754</v>
      </c>
      <c r="Y30" s="199">
        <f t="shared" si="3"/>
        <v>795007166</v>
      </c>
      <c r="Z30" s="199">
        <f t="shared" si="3"/>
        <v>967180249</v>
      </c>
      <c r="AA30" s="205">
        <f t="shared" si="3"/>
        <v>1135836014</v>
      </c>
      <c r="AB30" s="199">
        <f t="shared" si="3"/>
        <v>1302579512</v>
      </c>
      <c r="AC30" s="455">
        <f t="shared" si="3"/>
        <v>1639381572</v>
      </c>
      <c r="AE30" s="456">
        <f t="shared" si="4"/>
        <v>258984401</v>
      </c>
      <c r="AF30" s="205">
        <f t="shared" si="5"/>
        <v>403279353</v>
      </c>
      <c r="AG30" s="199">
        <f t="shared" si="6"/>
        <v>473572260</v>
      </c>
      <c r="AH30" s="455">
        <f t="shared" si="7"/>
        <v>889857170</v>
      </c>
    </row>
    <row r="31" spans="2:34" ht="20.100000000000001" customHeight="1" x14ac:dyDescent="0.4">
      <c r="B31" s="450" t="s">
        <v>342</v>
      </c>
      <c r="C31" s="451" t="s">
        <v>354</v>
      </c>
      <c r="D31" s="452" t="s">
        <v>354</v>
      </c>
      <c r="E31" s="451" t="s">
        <v>354</v>
      </c>
      <c r="F31" s="205">
        <v>33324320</v>
      </c>
      <c r="G31" s="199">
        <v>45583802</v>
      </c>
      <c r="H31" s="205">
        <v>66153366</v>
      </c>
      <c r="I31" s="199">
        <v>102683525</v>
      </c>
      <c r="J31" s="205">
        <v>56144525</v>
      </c>
      <c r="K31" s="199">
        <v>77431230</v>
      </c>
      <c r="L31" s="199">
        <v>107007191</v>
      </c>
      <c r="M31" s="205">
        <v>107713468</v>
      </c>
      <c r="N31" s="199">
        <v>92690913</v>
      </c>
      <c r="O31" s="205">
        <v>94361102</v>
      </c>
      <c r="P31" s="199">
        <v>114455585</v>
      </c>
      <c r="Q31" s="205">
        <v>80929531</v>
      </c>
      <c r="R31" s="457">
        <f t="shared" si="1"/>
        <v>978478558</v>
      </c>
      <c r="T31" s="454">
        <f t="shared" si="2"/>
        <v>78908122</v>
      </c>
      <c r="U31" s="199">
        <f t="shared" si="3"/>
        <v>145061488</v>
      </c>
      <c r="V31" s="205">
        <f t="shared" si="3"/>
        <v>247745013</v>
      </c>
      <c r="W31" s="199">
        <f t="shared" si="3"/>
        <v>303889538</v>
      </c>
      <c r="X31" s="205">
        <f t="shared" si="3"/>
        <v>381320768</v>
      </c>
      <c r="Y31" s="199">
        <f t="shared" si="3"/>
        <v>488327959</v>
      </c>
      <c r="Z31" s="199">
        <f t="shared" si="3"/>
        <v>596041427</v>
      </c>
      <c r="AA31" s="205">
        <f t="shared" si="3"/>
        <v>688732340</v>
      </c>
      <c r="AB31" s="199">
        <f t="shared" si="3"/>
        <v>783093442</v>
      </c>
      <c r="AC31" s="455">
        <f t="shared" si="3"/>
        <v>897549027</v>
      </c>
      <c r="AE31" s="456">
        <f t="shared" si="4"/>
        <v>145061488</v>
      </c>
      <c r="AF31" s="205">
        <f t="shared" si="5"/>
        <v>236259280</v>
      </c>
      <c r="AG31" s="199">
        <f t="shared" si="6"/>
        <v>307411572</v>
      </c>
      <c r="AH31" s="455">
        <f t="shared" si="7"/>
        <v>289746218</v>
      </c>
    </row>
    <row r="32" spans="2:34" ht="20.100000000000001" customHeight="1" x14ac:dyDescent="0.4">
      <c r="B32" s="450" t="s">
        <v>342</v>
      </c>
      <c r="C32" s="451" t="s">
        <v>389</v>
      </c>
      <c r="D32" s="452" t="s">
        <v>355</v>
      </c>
      <c r="E32" s="451" t="s">
        <v>355</v>
      </c>
      <c r="F32" s="205">
        <v>0</v>
      </c>
      <c r="G32" s="199">
        <v>0</v>
      </c>
      <c r="H32" s="205">
        <v>0</v>
      </c>
      <c r="I32" s="199">
        <v>0</v>
      </c>
      <c r="J32" s="205">
        <v>0</v>
      </c>
      <c r="K32" s="199">
        <v>0</v>
      </c>
      <c r="L32" s="199">
        <v>0</v>
      </c>
      <c r="M32" s="205">
        <v>0</v>
      </c>
      <c r="N32" s="199">
        <v>0</v>
      </c>
      <c r="O32" s="205">
        <v>0</v>
      </c>
      <c r="P32" s="199">
        <v>0</v>
      </c>
      <c r="Q32" s="205">
        <v>0</v>
      </c>
      <c r="R32" s="457">
        <f t="shared" si="1"/>
        <v>0</v>
      </c>
      <c r="T32" s="454">
        <f t="shared" si="2"/>
        <v>0</v>
      </c>
      <c r="U32" s="199">
        <f t="shared" si="3"/>
        <v>0</v>
      </c>
      <c r="V32" s="205">
        <f t="shared" si="3"/>
        <v>0</v>
      </c>
      <c r="W32" s="199">
        <f t="shared" si="3"/>
        <v>0</v>
      </c>
      <c r="X32" s="205">
        <f t="shared" si="3"/>
        <v>0</v>
      </c>
      <c r="Y32" s="199">
        <f t="shared" si="3"/>
        <v>0</v>
      </c>
      <c r="Z32" s="199">
        <f t="shared" si="3"/>
        <v>0</v>
      </c>
      <c r="AA32" s="205">
        <f t="shared" si="3"/>
        <v>0</v>
      </c>
      <c r="AB32" s="199">
        <f t="shared" si="3"/>
        <v>0</v>
      </c>
      <c r="AC32" s="455">
        <f t="shared" si="3"/>
        <v>0</v>
      </c>
      <c r="AE32" s="456">
        <f t="shared" si="4"/>
        <v>0</v>
      </c>
      <c r="AF32" s="205">
        <f t="shared" si="5"/>
        <v>0</v>
      </c>
      <c r="AG32" s="199">
        <f t="shared" si="6"/>
        <v>0</v>
      </c>
      <c r="AH32" s="455">
        <f t="shared" si="7"/>
        <v>0</v>
      </c>
    </row>
    <row r="33" spans="2:34" ht="20.100000000000001" customHeight="1" x14ac:dyDescent="0.4">
      <c r="B33" s="450" t="s">
        <v>342</v>
      </c>
      <c r="C33" s="451" t="s">
        <v>389</v>
      </c>
      <c r="D33" s="452" t="s">
        <v>356</v>
      </c>
      <c r="E33" s="451" t="s">
        <v>356</v>
      </c>
      <c r="F33" s="205">
        <v>0</v>
      </c>
      <c r="G33" s="199">
        <v>0</v>
      </c>
      <c r="H33" s="205">
        <v>0</v>
      </c>
      <c r="I33" s="199">
        <v>0</v>
      </c>
      <c r="J33" s="205">
        <v>0</v>
      </c>
      <c r="K33" s="199">
        <v>0</v>
      </c>
      <c r="L33" s="199">
        <v>0</v>
      </c>
      <c r="M33" s="205">
        <v>0</v>
      </c>
      <c r="N33" s="199">
        <v>0</v>
      </c>
      <c r="O33" s="205">
        <v>0</v>
      </c>
      <c r="P33" s="199">
        <v>0</v>
      </c>
      <c r="Q33" s="205">
        <v>0</v>
      </c>
      <c r="R33" s="457">
        <f t="shared" si="1"/>
        <v>0</v>
      </c>
      <c r="T33" s="454">
        <f t="shared" si="2"/>
        <v>0</v>
      </c>
      <c r="U33" s="199">
        <f t="shared" si="3"/>
        <v>0</v>
      </c>
      <c r="V33" s="205">
        <f t="shared" si="3"/>
        <v>0</v>
      </c>
      <c r="W33" s="199">
        <f t="shared" si="3"/>
        <v>0</v>
      </c>
      <c r="X33" s="205">
        <f t="shared" si="3"/>
        <v>0</v>
      </c>
      <c r="Y33" s="199">
        <f t="shared" si="3"/>
        <v>0</v>
      </c>
      <c r="Z33" s="199">
        <f t="shared" si="3"/>
        <v>0</v>
      </c>
      <c r="AA33" s="205">
        <f t="shared" si="3"/>
        <v>0</v>
      </c>
      <c r="AB33" s="199">
        <f t="shared" si="3"/>
        <v>0</v>
      </c>
      <c r="AC33" s="455">
        <f t="shared" si="3"/>
        <v>0</v>
      </c>
      <c r="AE33" s="456">
        <f t="shared" si="4"/>
        <v>0</v>
      </c>
      <c r="AF33" s="205">
        <f t="shared" si="5"/>
        <v>0</v>
      </c>
      <c r="AG33" s="199">
        <f t="shared" si="6"/>
        <v>0</v>
      </c>
      <c r="AH33" s="455">
        <f t="shared" si="7"/>
        <v>0</v>
      </c>
    </row>
    <row r="34" spans="2:34" ht="20.100000000000001" customHeight="1" x14ac:dyDescent="0.4">
      <c r="B34" s="450" t="s">
        <v>342</v>
      </c>
      <c r="C34" s="451" t="s">
        <v>389</v>
      </c>
      <c r="D34" s="452" t="s">
        <v>357</v>
      </c>
      <c r="E34" s="451" t="s">
        <v>357</v>
      </c>
      <c r="F34" s="205">
        <v>0</v>
      </c>
      <c r="G34" s="199">
        <v>0</v>
      </c>
      <c r="H34" s="205">
        <v>0</v>
      </c>
      <c r="I34" s="199">
        <v>0</v>
      </c>
      <c r="J34" s="205">
        <v>0</v>
      </c>
      <c r="K34" s="199">
        <v>0</v>
      </c>
      <c r="L34" s="199">
        <v>0</v>
      </c>
      <c r="M34" s="205">
        <v>0</v>
      </c>
      <c r="N34" s="199">
        <v>0</v>
      </c>
      <c r="O34" s="205">
        <v>0</v>
      </c>
      <c r="P34" s="199">
        <v>0</v>
      </c>
      <c r="Q34" s="205">
        <v>0</v>
      </c>
      <c r="R34" s="457">
        <f t="shared" si="1"/>
        <v>0</v>
      </c>
      <c r="T34" s="454">
        <f t="shared" si="2"/>
        <v>0</v>
      </c>
      <c r="U34" s="199">
        <f t="shared" si="3"/>
        <v>0</v>
      </c>
      <c r="V34" s="205">
        <f t="shared" si="3"/>
        <v>0</v>
      </c>
      <c r="W34" s="199">
        <f t="shared" si="3"/>
        <v>0</v>
      </c>
      <c r="X34" s="205">
        <f t="shared" si="3"/>
        <v>0</v>
      </c>
      <c r="Y34" s="199">
        <f t="shared" si="3"/>
        <v>0</v>
      </c>
      <c r="Z34" s="199">
        <f t="shared" si="3"/>
        <v>0</v>
      </c>
      <c r="AA34" s="205">
        <f t="shared" si="3"/>
        <v>0</v>
      </c>
      <c r="AB34" s="199">
        <f t="shared" si="3"/>
        <v>0</v>
      </c>
      <c r="AC34" s="455">
        <f t="shared" si="3"/>
        <v>0</v>
      </c>
      <c r="AE34" s="456">
        <f t="shared" si="4"/>
        <v>0</v>
      </c>
      <c r="AF34" s="205">
        <f t="shared" si="5"/>
        <v>0</v>
      </c>
      <c r="AG34" s="199">
        <f t="shared" si="6"/>
        <v>0</v>
      </c>
      <c r="AH34" s="455">
        <f t="shared" si="7"/>
        <v>0</v>
      </c>
    </row>
    <row r="35" spans="2:34" ht="20.100000000000001" customHeight="1" x14ac:dyDescent="0.4">
      <c r="B35" s="450" t="s">
        <v>342</v>
      </c>
      <c r="C35" s="451" t="s">
        <v>389</v>
      </c>
      <c r="D35" s="452" t="s">
        <v>358</v>
      </c>
      <c r="E35" s="451" t="s">
        <v>358</v>
      </c>
      <c r="F35" s="205">
        <v>0</v>
      </c>
      <c r="G35" s="199">
        <v>0</v>
      </c>
      <c r="H35" s="205">
        <v>0</v>
      </c>
      <c r="I35" s="199">
        <v>0</v>
      </c>
      <c r="J35" s="205">
        <v>0</v>
      </c>
      <c r="K35" s="199">
        <v>0</v>
      </c>
      <c r="L35" s="199">
        <v>0</v>
      </c>
      <c r="M35" s="205">
        <v>0</v>
      </c>
      <c r="N35" s="199">
        <v>0</v>
      </c>
      <c r="O35" s="205">
        <v>0</v>
      </c>
      <c r="P35" s="199">
        <v>0</v>
      </c>
      <c r="Q35" s="205">
        <v>0</v>
      </c>
      <c r="R35" s="457">
        <f t="shared" si="1"/>
        <v>0</v>
      </c>
      <c r="T35" s="454">
        <f t="shared" si="2"/>
        <v>0</v>
      </c>
      <c r="U35" s="199">
        <f t="shared" si="3"/>
        <v>0</v>
      </c>
      <c r="V35" s="205">
        <f t="shared" si="3"/>
        <v>0</v>
      </c>
      <c r="W35" s="199">
        <f t="shared" si="3"/>
        <v>0</v>
      </c>
      <c r="X35" s="205">
        <f t="shared" si="3"/>
        <v>0</v>
      </c>
      <c r="Y35" s="199">
        <f t="shared" si="3"/>
        <v>0</v>
      </c>
      <c r="Z35" s="199">
        <f t="shared" si="3"/>
        <v>0</v>
      </c>
      <c r="AA35" s="205">
        <f t="shared" si="3"/>
        <v>0</v>
      </c>
      <c r="AB35" s="199">
        <f t="shared" si="3"/>
        <v>0</v>
      </c>
      <c r="AC35" s="455">
        <f t="shared" si="3"/>
        <v>0</v>
      </c>
      <c r="AE35" s="456">
        <f t="shared" si="4"/>
        <v>0</v>
      </c>
      <c r="AF35" s="205">
        <f t="shared" si="5"/>
        <v>0</v>
      </c>
      <c r="AG35" s="199">
        <f t="shared" si="6"/>
        <v>0</v>
      </c>
      <c r="AH35" s="455">
        <f t="shared" si="7"/>
        <v>0</v>
      </c>
    </row>
    <row r="36" spans="2:34" ht="20.100000000000001" customHeight="1" x14ac:dyDescent="0.4">
      <c r="B36" s="450" t="s">
        <v>342</v>
      </c>
      <c r="C36" s="451" t="s">
        <v>389</v>
      </c>
      <c r="D36" s="452" t="s">
        <v>359</v>
      </c>
      <c r="E36" s="451" t="s">
        <v>359</v>
      </c>
      <c r="F36" s="205">
        <v>0</v>
      </c>
      <c r="G36" s="199">
        <v>0</v>
      </c>
      <c r="H36" s="205">
        <v>0</v>
      </c>
      <c r="I36" s="199">
        <v>0</v>
      </c>
      <c r="J36" s="205">
        <v>0</v>
      </c>
      <c r="K36" s="199">
        <v>0</v>
      </c>
      <c r="L36" s="199">
        <v>0</v>
      </c>
      <c r="M36" s="205">
        <v>0</v>
      </c>
      <c r="N36" s="199">
        <v>0</v>
      </c>
      <c r="O36" s="205">
        <v>0</v>
      </c>
      <c r="P36" s="199">
        <v>0</v>
      </c>
      <c r="Q36" s="205">
        <v>0</v>
      </c>
      <c r="R36" s="457">
        <f t="shared" si="1"/>
        <v>0</v>
      </c>
      <c r="T36" s="454">
        <f t="shared" si="2"/>
        <v>0</v>
      </c>
      <c r="U36" s="199">
        <f t="shared" si="3"/>
        <v>0</v>
      </c>
      <c r="V36" s="205">
        <f t="shared" si="3"/>
        <v>0</v>
      </c>
      <c r="W36" s="199">
        <f t="shared" si="3"/>
        <v>0</v>
      </c>
      <c r="X36" s="205">
        <f t="shared" si="3"/>
        <v>0</v>
      </c>
      <c r="Y36" s="199">
        <f t="shared" si="3"/>
        <v>0</v>
      </c>
      <c r="Z36" s="199">
        <f t="shared" si="3"/>
        <v>0</v>
      </c>
      <c r="AA36" s="205">
        <f t="shared" si="3"/>
        <v>0</v>
      </c>
      <c r="AB36" s="199">
        <f t="shared" si="3"/>
        <v>0</v>
      </c>
      <c r="AC36" s="455">
        <f t="shared" si="3"/>
        <v>0</v>
      </c>
      <c r="AE36" s="456">
        <f t="shared" si="4"/>
        <v>0</v>
      </c>
      <c r="AF36" s="205">
        <f t="shared" si="5"/>
        <v>0</v>
      </c>
      <c r="AG36" s="199">
        <f t="shared" si="6"/>
        <v>0</v>
      </c>
      <c r="AH36" s="455">
        <f t="shared" si="7"/>
        <v>0</v>
      </c>
    </row>
    <row r="37" spans="2:34" ht="20.100000000000001" customHeight="1" x14ac:dyDescent="0.4">
      <c r="B37" s="450" t="s">
        <v>342</v>
      </c>
      <c r="C37" s="451" t="s">
        <v>360</v>
      </c>
      <c r="D37" s="452" t="s">
        <v>361</v>
      </c>
      <c r="E37" s="451" t="s">
        <v>361</v>
      </c>
      <c r="F37" s="205">
        <v>0</v>
      </c>
      <c r="G37" s="199">
        <v>0</v>
      </c>
      <c r="H37" s="205">
        <v>0</v>
      </c>
      <c r="I37" s="199">
        <v>0</v>
      </c>
      <c r="J37" s="205">
        <v>0</v>
      </c>
      <c r="K37" s="199">
        <v>0</v>
      </c>
      <c r="L37" s="199">
        <v>0</v>
      </c>
      <c r="M37" s="205">
        <v>0</v>
      </c>
      <c r="N37" s="199">
        <v>0</v>
      </c>
      <c r="O37" s="205">
        <v>0</v>
      </c>
      <c r="P37" s="199">
        <v>0</v>
      </c>
      <c r="Q37" s="205">
        <v>0</v>
      </c>
      <c r="R37" s="457">
        <f t="shared" si="1"/>
        <v>0</v>
      </c>
      <c r="T37" s="454">
        <f t="shared" si="2"/>
        <v>0</v>
      </c>
      <c r="U37" s="199">
        <f t="shared" si="3"/>
        <v>0</v>
      </c>
      <c r="V37" s="205">
        <f t="shared" si="3"/>
        <v>0</v>
      </c>
      <c r="W37" s="199">
        <f t="shared" si="3"/>
        <v>0</v>
      </c>
      <c r="X37" s="205">
        <f t="shared" si="3"/>
        <v>0</v>
      </c>
      <c r="Y37" s="199">
        <f t="shared" si="3"/>
        <v>0</v>
      </c>
      <c r="Z37" s="199">
        <f t="shared" si="3"/>
        <v>0</v>
      </c>
      <c r="AA37" s="205">
        <f t="shared" si="3"/>
        <v>0</v>
      </c>
      <c r="AB37" s="199">
        <f t="shared" si="3"/>
        <v>0</v>
      </c>
      <c r="AC37" s="455">
        <f t="shared" si="3"/>
        <v>0</v>
      </c>
      <c r="AE37" s="456">
        <f t="shared" si="4"/>
        <v>0</v>
      </c>
      <c r="AF37" s="205">
        <f t="shared" si="5"/>
        <v>0</v>
      </c>
      <c r="AG37" s="199">
        <f t="shared" si="6"/>
        <v>0</v>
      </c>
      <c r="AH37" s="455">
        <f t="shared" si="7"/>
        <v>0</v>
      </c>
    </row>
    <row r="38" spans="2:34" ht="20.100000000000001" customHeight="1" x14ac:dyDescent="0.4">
      <c r="B38" s="450" t="s">
        <v>390</v>
      </c>
      <c r="C38" s="451" t="s">
        <v>362</v>
      </c>
      <c r="D38" s="452" t="s">
        <v>362</v>
      </c>
      <c r="E38" s="451" t="s">
        <v>363</v>
      </c>
      <c r="F38" s="205">
        <v>78008832</v>
      </c>
      <c r="G38" s="199">
        <v>1287536530</v>
      </c>
      <c r="H38" s="205">
        <v>3674100140</v>
      </c>
      <c r="I38" s="199">
        <v>2392479113</v>
      </c>
      <c r="J38" s="205">
        <v>4581985161</v>
      </c>
      <c r="K38" s="199">
        <v>4690274301</v>
      </c>
      <c r="L38" s="199">
        <v>502471532</v>
      </c>
      <c r="M38" s="205">
        <v>4336168051</v>
      </c>
      <c r="N38" s="199">
        <v>6764326808</v>
      </c>
      <c r="O38" s="205">
        <v>983825811</v>
      </c>
      <c r="P38" s="199">
        <v>1583997556</v>
      </c>
      <c r="Q38" s="205">
        <v>3796863138</v>
      </c>
      <c r="R38" s="457">
        <f t="shared" si="1"/>
        <v>34672036973</v>
      </c>
      <c r="T38" s="454">
        <f t="shared" si="2"/>
        <v>1365545362</v>
      </c>
      <c r="U38" s="199">
        <f t="shared" si="3"/>
        <v>5039645502</v>
      </c>
      <c r="V38" s="205">
        <f t="shared" si="3"/>
        <v>7432124615</v>
      </c>
      <c r="W38" s="199">
        <f t="shared" si="3"/>
        <v>12014109776</v>
      </c>
      <c r="X38" s="205">
        <f t="shared" si="3"/>
        <v>16704384077</v>
      </c>
      <c r="Y38" s="199">
        <f t="shared" si="3"/>
        <v>17206855609</v>
      </c>
      <c r="Z38" s="199">
        <f t="shared" si="3"/>
        <v>21543023660</v>
      </c>
      <c r="AA38" s="205">
        <f t="shared" si="3"/>
        <v>28307350468</v>
      </c>
      <c r="AB38" s="199">
        <f t="shared" si="3"/>
        <v>29291176279</v>
      </c>
      <c r="AC38" s="455">
        <f t="shared" si="3"/>
        <v>30875173835</v>
      </c>
      <c r="AE38" s="456">
        <f t="shared" si="4"/>
        <v>5039645502</v>
      </c>
      <c r="AF38" s="205">
        <f t="shared" si="5"/>
        <v>11664738575</v>
      </c>
      <c r="AG38" s="199">
        <f t="shared" si="6"/>
        <v>11602966391</v>
      </c>
      <c r="AH38" s="455">
        <f t="shared" si="7"/>
        <v>6364686505</v>
      </c>
    </row>
    <row r="39" spans="2:34" ht="20.100000000000001" customHeight="1" x14ac:dyDescent="0.4">
      <c r="B39" s="450" t="s">
        <v>390</v>
      </c>
      <c r="C39" s="451" t="s">
        <v>362</v>
      </c>
      <c r="D39" s="452" t="s">
        <v>362</v>
      </c>
      <c r="E39" s="451" t="s">
        <v>364</v>
      </c>
      <c r="F39" s="205">
        <v>676686055</v>
      </c>
      <c r="G39" s="199">
        <v>960050339</v>
      </c>
      <c r="H39" s="205">
        <v>761457380</v>
      </c>
      <c r="I39" s="199">
        <v>1047234671</v>
      </c>
      <c r="J39" s="205">
        <v>874672373</v>
      </c>
      <c r="K39" s="199">
        <v>1641025659</v>
      </c>
      <c r="L39" s="199">
        <v>81400650</v>
      </c>
      <c r="M39" s="205">
        <v>830656896</v>
      </c>
      <c r="N39" s="199">
        <v>772569687</v>
      </c>
      <c r="O39" s="205">
        <v>811014379</v>
      </c>
      <c r="P39" s="199">
        <v>822283646</v>
      </c>
      <c r="Q39" s="205">
        <v>945887885</v>
      </c>
      <c r="R39" s="457">
        <f t="shared" si="1"/>
        <v>10224939620</v>
      </c>
      <c r="T39" s="454">
        <f t="shared" si="2"/>
        <v>1636736394</v>
      </c>
      <c r="U39" s="199">
        <f t="shared" si="3"/>
        <v>2398193774</v>
      </c>
      <c r="V39" s="205">
        <f t="shared" si="3"/>
        <v>3445428445</v>
      </c>
      <c r="W39" s="199">
        <f t="shared" si="3"/>
        <v>4320100818</v>
      </c>
      <c r="X39" s="205">
        <f t="shared" si="3"/>
        <v>5961126477</v>
      </c>
      <c r="Y39" s="199">
        <f t="shared" si="3"/>
        <v>6042527127</v>
      </c>
      <c r="Z39" s="199">
        <f t="shared" si="3"/>
        <v>6873184023</v>
      </c>
      <c r="AA39" s="205">
        <f t="shared" si="3"/>
        <v>7645753710</v>
      </c>
      <c r="AB39" s="199">
        <f t="shared" si="3"/>
        <v>8456768089</v>
      </c>
      <c r="AC39" s="455">
        <f t="shared" si="3"/>
        <v>9279051735</v>
      </c>
      <c r="AE39" s="456">
        <f t="shared" si="4"/>
        <v>2398193774</v>
      </c>
      <c r="AF39" s="205">
        <f t="shared" si="5"/>
        <v>3562932703</v>
      </c>
      <c r="AG39" s="199">
        <f t="shared" si="6"/>
        <v>1684627233</v>
      </c>
      <c r="AH39" s="455">
        <f t="shared" si="7"/>
        <v>2579185910</v>
      </c>
    </row>
    <row r="40" spans="2:34" ht="20.100000000000001" customHeight="1" x14ac:dyDescent="0.4">
      <c r="B40" s="450" t="s">
        <v>390</v>
      </c>
      <c r="C40" s="451" t="s">
        <v>362</v>
      </c>
      <c r="D40" s="452" t="s">
        <v>362</v>
      </c>
      <c r="E40" s="451" t="s">
        <v>365</v>
      </c>
      <c r="F40" s="205">
        <v>569485207</v>
      </c>
      <c r="G40" s="199">
        <v>881660727</v>
      </c>
      <c r="H40" s="205">
        <v>1088624213</v>
      </c>
      <c r="I40" s="199">
        <v>333116022</v>
      </c>
      <c r="J40" s="205">
        <v>967104069</v>
      </c>
      <c r="K40" s="199">
        <v>1186217406</v>
      </c>
      <c r="L40" s="199">
        <v>322805557</v>
      </c>
      <c r="M40" s="205">
        <v>288991422</v>
      </c>
      <c r="N40" s="199">
        <v>919752489</v>
      </c>
      <c r="O40" s="205">
        <v>565887638</v>
      </c>
      <c r="P40" s="199">
        <v>493002858</v>
      </c>
      <c r="Q40" s="205">
        <v>560412697</v>
      </c>
      <c r="R40" s="457">
        <f t="shared" si="1"/>
        <v>8177060305</v>
      </c>
      <c r="T40" s="454">
        <f t="shared" si="2"/>
        <v>1451145934</v>
      </c>
      <c r="U40" s="199">
        <f t="shared" si="3"/>
        <v>2539770147</v>
      </c>
      <c r="V40" s="205">
        <f t="shared" si="3"/>
        <v>2872886169</v>
      </c>
      <c r="W40" s="199">
        <f t="shared" si="3"/>
        <v>3839990238</v>
      </c>
      <c r="X40" s="205">
        <f t="shared" si="3"/>
        <v>5026207644</v>
      </c>
      <c r="Y40" s="199">
        <f t="shared" si="3"/>
        <v>5349013201</v>
      </c>
      <c r="Z40" s="199">
        <f t="shared" si="3"/>
        <v>5638004623</v>
      </c>
      <c r="AA40" s="205">
        <f t="shared" si="3"/>
        <v>6557757112</v>
      </c>
      <c r="AB40" s="199">
        <f t="shared" si="3"/>
        <v>7123644750</v>
      </c>
      <c r="AC40" s="455">
        <f t="shared" si="3"/>
        <v>7616647608</v>
      </c>
      <c r="AE40" s="456">
        <f t="shared" si="4"/>
        <v>2539770147</v>
      </c>
      <c r="AF40" s="205">
        <f t="shared" si="5"/>
        <v>2486437497</v>
      </c>
      <c r="AG40" s="199">
        <f t="shared" si="6"/>
        <v>1531549468</v>
      </c>
      <c r="AH40" s="455">
        <f t="shared" si="7"/>
        <v>1619303193</v>
      </c>
    </row>
    <row r="41" spans="2:34" ht="20.100000000000001" customHeight="1" x14ac:dyDescent="0.4">
      <c r="B41" s="450" t="s">
        <v>390</v>
      </c>
      <c r="C41" s="451" t="s">
        <v>366</v>
      </c>
      <c r="D41" s="452" t="s">
        <v>366</v>
      </c>
      <c r="E41" s="451" t="s">
        <v>367</v>
      </c>
      <c r="F41" s="205">
        <v>217450560</v>
      </c>
      <c r="G41" s="199">
        <v>416699920</v>
      </c>
      <c r="H41" s="205">
        <v>186387148.27333331</v>
      </c>
      <c r="I41" s="199">
        <v>658562920</v>
      </c>
      <c r="J41" s="205">
        <v>41683920</v>
      </c>
      <c r="K41" s="199">
        <v>285854480</v>
      </c>
      <c r="L41" s="199">
        <v>267630800</v>
      </c>
      <c r="M41" s="205">
        <v>252010000</v>
      </c>
      <c r="N41" s="199">
        <v>397105000</v>
      </c>
      <c r="O41" s="205">
        <v>399840000</v>
      </c>
      <c r="P41" s="199">
        <v>435729365</v>
      </c>
      <c r="Q41" s="205">
        <v>532910355</v>
      </c>
      <c r="R41" s="457">
        <f t="shared" si="1"/>
        <v>4091864468.2733335</v>
      </c>
      <c r="T41" s="454">
        <f t="shared" si="2"/>
        <v>634150480</v>
      </c>
      <c r="U41" s="199">
        <f t="shared" si="3"/>
        <v>820537628.27333331</v>
      </c>
      <c r="V41" s="205">
        <f t="shared" si="3"/>
        <v>1479100548.2733333</v>
      </c>
      <c r="W41" s="199">
        <f t="shared" si="3"/>
        <v>1520784468.2733333</v>
      </c>
      <c r="X41" s="205">
        <f t="shared" si="3"/>
        <v>1806638948.2733333</v>
      </c>
      <c r="Y41" s="199">
        <f t="shared" si="3"/>
        <v>2074269748.2733333</v>
      </c>
      <c r="Z41" s="199">
        <f t="shared" si="3"/>
        <v>2326279748.2733335</v>
      </c>
      <c r="AA41" s="205">
        <f t="shared" si="3"/>
        <v>2723384748.2733335</v>
      </c>
      <c r="AB41" s="199">
        <f t="shared" si="3"/>
        <v>3123224748.2733335</v>
      </c>
      <c r="AC41" s="455">
        <f t="shared" si="3"/>
        <v>3558954113.2733335</v>
      </c>
      <c r="AE41" s="456">
        <f t="shared" si="4"/>
        <v>820537628.27333331</v>
      </c>
      <c r="AF41" s="205">
        <f t="shared" si="5"/>
        <v>986101320</v>
      </c>
      <c r="AG41" s="199">
        <f t="shared" si="6"/>
        <v>916745800</v>
      </c>
      <c r="AH41" s="455">
        <f t="shared" si="7"/>
        <v>1368479720</v>
      </c>
    </row>
    <row r="42" spans="2:34" ht="20.100000000000001" customHeight="1" x14ac:dyDescent="0.4">
      <c r="B42" s="450" t="s">
        <v>390</v>
      </c>
      <c r="C42" s="451" t="s">
        <v>366</v>
      </c>
      <c r="D42" s="452" t="s">
        <v>366</v>
      </c>
      <c r="E42" s="451" t="s">
        <v>368</v>
      </c>
      <c r="F42" s="205">
        <v>556891200</v>
      </c>
      <c r="G42" s="199">
        <v>0</v>
      </c>
      <c r="H42" s="205">
        <v>163915000</v>
      </c>
      <c r="I42" s="199">
        <v>0</v>
      </c>
      <c r="J42" s="205">
        <v>330578967</v>
      </c>
      <c r="K42" s="199">
        <v>467259000</v>
      </c>
      <c r="L42" s="199">
        <v>342429000</v>
      </c>
      <c r="M42" s="205">
        <v>325376000</v>
      </c>
      <c r="N42" s="199">
        <v>325376000</v>
      </c>
      <c r="O42" s="205">
        <v>359482000</v>
      </c>
      <c r="P42" s="199">
        <v>291270000</v>
      </c>
      <c r="Q42" s="205">
        <v>325376000</v>
      </c>
      <c r="R42" s="457">
        <f t="shared" si="1"/>
        <v>3487953167</v>
      </c>
      <c r="T42" s="454">
        <f t="shared" si="2"/>
        <v>556891200</v>
      </c>
      <c r="U42" s="199">
        <f t="shared" si="3"/>
        <v>720806200</v>
      </c>
      <c r="V42" s="205">
        <f t="shared" si="3"/>
        <v>720806200</v>
      </c>
      <c r="W42" s="199">
        <f t="shared" si="3"/>
        <v>1051385167</v>
      </c>
      <c r="X42" s="205">
        <f t="shared" si="3"/>
        <v>1518644167</v>
      </c>
      <c r="Y42" s="199">
        <f t="shared" si="3"/>
        <v>1861073167</v>
      </c>
      <c r="Z42" s="199">
        <f t="shared" si="3"/>
        <v>2186449167</v>
      </c>
      <c r="AA42" s="205">
        <f t="shared" si="3"/>
        <v>2511825167</v>
      </c>
      <c r="AB42" s="199">
        <f t="shared" si="3"/>
        <v>2871307167</v>
      </c>
      <c r="AC42" s="455">
        <f t="shared" si="3"/>
        <v>3162577167</v>
      </c>
      <c r="AE42" s="456">
        <f t="shared" si="4"/>
        <v>720806200</v>
      </c>
      <c r="AF42" s="205">
        <f t="shared" si="5"/>
        <v>797837967</v>
      </c>
      <c r="AG42" s="199">
        <f t="shared" si="6"/>
        <v>993181000</v>
      </c>
      <c r="AH42" s="455">
        <f t="shared" si="7"/>
        <v>976128000</v>
      </c>
    </row>
    <row r="43" spans="2:34" ht="20.100000000000001" customHeight="1" x14ac:dyDescent="0.4">
      <c r="B43" s="450" t="s">
        <v>390</v>
      </c>
      <c r="C43" s="451" t="s">
        <v>369</v>
      </c>
      <c r="D43" s="451" t="s">
        <v>369</v>
      </c>
      <c r="E43" s="451" t="s">
        <v>369</v>
      </c>
      <c r="F43" s="205">
        <v>0</v>
      </c>
      <c r="G43" s="199">
        <v>0</v>
      </c>
      <c r="H43" s="205">
        <v>0</v>
      </c>
      <c r="I43" s="199">
        <v>0</v>
      </c>
      <c r="J43" s="205">
        <v>0</v>
      </c>
      <c r="K43" s="199">
        <v>0</v>
      </c>
      <c r="L43" s="199">
        <v>0</v>
      </c>
      <c r="M43" s="205">
        <v>0</v>
      </c>
      <c r="N43" s="199">
        <v>0</v>
      </c>
      <c r="O43" s="205">
        <v>0</v>
      </c>
      <c r="P43" s="199">
        <v>0</v>
      </c>
      <c r="Q43" s="205">
        <v>0</v>
      </c>
      <c r="R43" s="457">
        <f t="shared" si="1"/>
        <v>0</v>
      </c>
      <c r="T43" s="454">
        <f t="shared" si="2"/>
        <v>0</v>
      </c>
      <c r="U43" s="199">
        <f t="shared" si="3"/>
        <v>0</v>
      </c>
      <c r="V43" s="205">
        <f t="shared" si="3"/>
        <v>0</v>
      </c>
      <c r="W43" s="199">
        <f t="shared" si="3"/>
        <v>0</v>
      </c>
      <c r="X43" s="205">
        <f t="shared" si="3"/>
        <v>0</v>
      </c>
      <c r="Y43" s="199">
        <f t="shared" si="3"/>
        <v>0</v>
      </c>
      <c r="Z43" s="199">
        <f t="shared" si="3"/>
        <v>0</v>
      </c>
      <c r="AA43" s="205">
        <f t="shared" si="3"/>
        <v>0</v>
      </c>
      <c r="AB43" s="199">
        <f t="shared" si="3"/>
        <v>0</v>
      </c>
      <c r="AC43" s="455">
        <f t="shared" si="3"/>
        <v>0</v>
      </c>
      <c r="AE43" s="456">
        <f t="shared" si="4"/>
        <v>0</v>
      </c>
      <c r="AF43" s="205">
        <f t="shared" si="5"/>
        <v>0</v>
      </c>
      <c r="AG43" s="199">
        <f t="shared" si="6"/>
        <v>0</v>
      </c>
      <c r="AH43" s="455">
        <f t="shared" si="7"/>
        <v>0</v>
      </c>
    </row>
    <row r="44" spans="2:34" ht="20.100000000000001" customHeight="1" x14ac:dyDescent="0.4">
      <c r="B44" s="450" t="s">
        <v>370</v>
      </c>
      <c r="C44" s="451" t="s">
        <v>371</v>
      </c>
      <c r="D44" s="452" t="s">
        <v>372</v>
      </c>
      <c r="E44" s="451" t="s">
        <v>372</v>
      </c>
      <c r="F44" s="205">
        <v>156595400</v>
      </c>
      <c r="G44" s="199">
        <v>0</v>
      </c>
      <c r="H44" s="205">
        <v>0</v>
      </c>
      <c r="I44" s="199">
        <v>0</v>
      </c>
      <c r="J44" s="205">
        <v>0</v>
      </c>
      <c r="K44" s="199">
        <v>0</v>
      </c>
      <c r="L44" s="199">
        <v>0</v>
      </c>
      <c r="M44" s="205">
        <v>0</v>
      </c>
      <c r="N44" s="199">
        <v>0</v>
      </c>
      <c r="O44" s="205">
        <v>0</v>
      </c>
      <c r="P44" s="199">
        <v>0</v>
      </c>
      <c r="Q44" s="205">
        <v>0</v>
      </c>
      <c r="R44" s="457">
        <f t="shared" si="1"/>
        <v>156595400</v>
      </c>
      <c r="T44" s="454">
        <f t="shared" si="2"/>
        <v>156595400</v>
      </c>
      <c r="U44" s="199">
        <f t="shared" si="3"/>
        <v>156595400</v>
      </c>
      <c r="V44" s="205">
        <f t="shared" si="3"/>
        <v>156595400</v>
      </c>
      <c r="W44" s="199">
        <f t="shared" si="3"/>
        <v>156595400</v>
      </c>
      <c r="X44" s="205">
        <f t="shared" si="3"/>
        <v>156595400</v>
      </c>
      <c r="Y44" s="199">
        <f t="shared" si="3"/>
        <v>156595400</v>
      </c>
      <c r="Z44" s="199">
        <f t="shared" si="3"/>
        <v>156595400</v>
      </c>
      <c r="AA44" s="205">
        <f t="shared" si="3"/>
        <v>156595400</v>
      </c>
      <c r="AB44" s="199">
        <f t="shared" si="3"/>
        <v>156595400</v>
      </c>
      <c r="AC44" s="455">
        <f t="shared" si="3"/>
        <v>156595400</v>
      </c>
      <c r="AE44" s="456">
        <f t="shared" si="4"/>
        <v>156595400</v>
      </c>
      <c r="AF44" s="205">
        <f t="shared" si="5"/>
        <v>0</v>
      </c>
      <c r="AG44" s="199">
        <f t="shared" si="6"/>
        <v>0</v>
      </c>
      <c r="AH44" s="455">
        <f t="shared" si="7"/>
        <v>0</v>
      </c>
    </row>
    <row r="45" spans="2:34" ht="20.100000000000001" customHeight="1" x14ac:dyDescent="0.4">
      <c r="B45" s="450" t="s">
        <v>370</v>
      </c>
      <c r="C45" s="451" t="s">
        <v>371</v>
      </c>
      <c r="D45" s="452" t="s">
        <v>373</v>
      </c>
      <c r="E45" s="451" t="s">
        <v>373</v>
      </c>
      <c r="F45" s="205">
        <v>5126482260</v>
      </c>
      <c r="G45" s="199">
        <v>6178659360</v>
      </c>
      <c r="H45" s="205">
        <v>5064525780</v>
      </c>
      <c r="I45" s="199">
        <v>4514293080</v>
      </c>
      <c r="J45" s="205">
        <v>4964650080</v>
      </c>
      <c r="K45" s="199">
        <v>2439488340</v>
      </c>
      <c r="L45" s="199">
        <v>2625820020</v>
      </c>
      <c r="M45" s="205">
        <v>1800537660</v>
      </c>
      <c r="N45" s="199">
        <v>3896420760</v>
      </c>
      <c r="O45" s="205">
        <v>1133002260</v>
      </c>
      <c r="P45" s="199">
        <v>2175223500</v>
      </c>
      <c r="Q45" s="205">
        <v>183933540</v>
      </c>
      <c r="R45" s="457">
        <f t="shared" si="1"/>
        <v>40103036640</v>
      </c>
      <c r="T45" s="454">
        <f t="shared" si="2"/>
        <v>11305141620</v>
      </c>
      <c r="U45" s="199">
        <f t="shared" si="3"/>
        <v>16369667400</v>
      </c>
      <c r="V45" s="205">
        <f t="shared" si="3"/>
        <v>20883960480</v>
      </c>
      <c r="W45" s="199">
        <f t="shared" si="3"/>
        <v>25848610560</v>
      </c>
      <c r="X45" s="205">
        <f t="shared" si="3"/>
        <v>28288098900</v>
      </c>
      <c r="Y45" s="199">
        <f t="shared" si="3"/>
        <v>30913918920</v>
      </c>
      <c r="Z45" s="199">
        <f t="shared" si="3"/>
        <v>32714456580</v>
      </c>
      <c r="AA45" s="205">
        <f t="shared" si="3"/>
        <v>36610877340</v>
      </c>
      <c r="AB45" s="199">
        <f t="shared" si="3"/>
        <v>37743879600</v>
      </c>
      <c r="AC45" s="455">
        <f t="shared" si="3"/>
        <v>39919103100</v>
      </c>
      <c r="AE45" s="456">
        <f t="shared" si="4"/>
        <v>16369667400</v>
      </c>
      <c r="AF45" s="205">
        <f t="shared" si="5"/>
        <v>11918431500</v>
      </c>
      <c r="AG45" s="199">
        <f t="shared" si="6"/>
        <v>8322778440</v>
      </c>
      <c r="AH45" s="455">
        <f t="shared" si="7"/>
        <v>3492159300</v>
      </c>
    </row>
    <row r="46" spans="2:34" ht="20.100000000000001" customHeight="1" x14ac:dyDescent="0.4">
      <c r="B46" s="450" t="s">
        <v>370</v>
      </c>
      <c r="C46" s="451" t="s">
        <v>374</v>
      </c>
      <c r="D46" s="452" t="s">
        <v>374</v>
      </c>
      <c r="E46" s="451" t="s">
        <v>374</v>
      </c>
      <c r="F46" s="205">
        <v>670443570</v>
      </c>
      <c r="G46" s="199">
        <v>678710580</v>
      </c>
      <c r="H46" s="205">
        <v>672176480</v>
      </c>
      <c r="I46" s="199">
        <v>799032650</v>
      </c>
      <c r="J46" s="205">
        <v>454620400</v>
      </c>
      <c r="K46" s="199">
        <v>806854580</v>
      </c>
      <c r="L46" s="199">
        <v>1017805510</v>
      </c>
      <c r="M46" s="205">
        <v>671369780</v>
      </c>
      <c r="N46" s="199">
        <v>1203003500</v>
      </c>
      <c r="O46" s="205">
        <v>762501260</v>
      </c>
      <c r="P46" s="199">
        <v>615935260</v>
      </c>
      <c r="Q46" s="205">
        <v>1261232640</v>
      </c>
      <c r="R46" s="457">
        <f t="shared" si="1"/>
        <v>9613686210</v>
      </c>
      <c r="T46" s="454">
        <f t="shared" si="2"/>
        <v>1349154150</v>
      </c>
      <c r="U46" s="199">
        <f t="shared" si="3"/>
        <v>2021330630</v>
      </c>
      <c r="V46" s="205">
        <f t="shared" si="3"/>
        <v>2820363280</v>
      </c>
      <c r="W46" s="199">
        <f t="shared" si="3"/>
        <v>3274983680</v>
      </c>
      <c r="X46" s="205">
        <f t="shared" si="3"/>
        <v>4081838260</v>
      </c>
      <c r="Y46" s="199">
        <f t="shared" si="3"/>
        <v>5099643770</v>
      </c>
      <c r="Z46" s="199">
        <f t="shared" si="3"/>
        <v>5771013550</v>
      </c>
      <c r="AA46" s="205">
        <f t="shared" si="3"/>
        <v>6974017050</v>
      </c>
      <c r="AB46" s="199">
        <f t="shared" si="3"/>
        <v>7736518310</v>
      </c>
      <c r="AC46" s="455">
        <f t="shared" si="3"/>
        <v>8352453570</v>
      </c>
      <c r="AE46" s="456">
        <f t="shared" si="4"/>
        <v>2021330630</v>
      </c>
      <c r="AF46" s="205">
        <f t="shared" si="5"/>
        <v>2060507630</v>
      </c>
      <c r="AG46" s="199">
        <f t="shared" si="6"/>
        <v>2892178790</v>
      </c>
      <c r="AH46" s="455">
        <f t="shared" si="7"/>
        <v>2639669160</v>
      </c>
    </row>
    <row r="47" spans="2:34" ht="20.100000000000001" customHeight="1" x14ac:dyDescent="0.4">
      <c r="B47" s="450" t="s">
        <v>370</v>
      </c>
      <c r="C47" s="451" t="s">
        <v>375</v>
      </c>
      <c r="D47" s="452" t="s">
        <v>375</v>
      </c>
      <c r="E47" s="451" t="s">
        <v>375</v>
      </c>
      <c r="F47" s="205">
        <v>536928300</v>
      </c>
      <c r="G47" s="199">
        <v>1024337300</v>
      </c>
      <c r="H47" s="205">
        <v>400558600</v>
      </c>
      <c r="I47" s="199">
        <v>1198782200</v>
      </c>
      <c r="J47" s="205">
        <v>1003124400</v>
      </c>
      <c r="K47" s="199">
        <v>1566648800</v>
      </c>
      <c r="L47" s="199">
        <v>1302986780</v>
      </c>
      <c r="M47" s="205">
        <v>1010159600</v>
      </c>
      <c r="N47" s="199">
        <v>2825075520</v>
      </c>
      <c r="O47" s="205">
        <v>2508241300</v>
      </c>
      <c r="P47" s="199">
        <v>5840332600</v>
      </c>
      <c r="Q47" s="205">
        <v>6134273000</v>
      </c>
      <c r="R47" s="457">
        <f t="shared" si="1"/>
        <v>25351448400</v>
      </c>
      <c r="T47" s="454">
        <f t="shared" si="2"/>
        <v>1561265600</v>
      </c>
      <c r="U47" s="199">
        <f t="shared" si="3"/>
        <v>1961824200</v>
      </c>
      <c r="V47" s="205">
        <f t="shared" si="3"/>
        <v>3160606400</v>
      </c>
      <c r="W47" s="199">
        <f t="shared" si="3"/>
        <v>4163730800</v>
      </c>
      <c r="X47" s="205">
        <f t="shared" si="3"/>
        <v>5730379600</v>
      </c>
      <c r="Y47" s="199">
        <f t="shared" si="3"/>
        <v>7033366380</v>
      </c>
      <c r="Z47" s="199">
        <f t="shared" si="3"/>
        <v>8043525980</v>
      </c>
      <c r="AA47" s="205">
        <f t="shared" ref="AA47:AC61" si="8">SUM(Z47, N47)</f>
        <v>10868601500</v>
      </c>
      <c r="AB47" s="199">
        <f t="shared" si="8"/>
        <v>13376842800</v>
      </c>
      <c r="AC47" s="455">
        <f t="shared" si="8"/>
        <v>19217175400</v>
      </c>
      <c r="AE47" s="456">
        <f t="shared" si="4"/>
        <v>1961824200</v>
      </c>
      <c r="AF47" s="205">
        <f t="shared" si="5"/>
        <v>3768555400</v>
      </c>
      <c r="AG47" s="199">
        <f t="shared" si="6"/>
        <v>5138221900</v>
      </c>
      <c r="AH47" s="455">
        <f t="shared" si="7"/>
        <v>14482846900</v>
      </c>
    </row>
    <row r="48" spans="2:34" ht="20.100000000000001" customHeight="1" x14ac:dyDescent="0.4">
      <c r="B48" s="450" t="s">
        <v>370</v>
      </c>
      <c r="C48" s="451" t="s">
        <v>376</v>
      </c>
      <c r="D48" s="452" t="s">
        <v>376</v>
      </c>
      <c r="E48" s="451" t="s">
        <v>376</v>
      </c>
      <c r="F48" s="205">
        <v>0</v>
      </c>
      <c r="G48" s="199">
        <v>0</v>
      </c>
      <c r="H48" s="205">
        <v>0</v>
      </c>
      <c r="I48" s="199">
        <v>0</v>
      </c>
      <c r="J48" s="205">
        <v>0</v>
      </c>
      <c r="K48" s="199">
        <v>0</v>
      </c>
      <c r="L48" s="199">
        <v>0</v>
      </c>
      <c r="M48" s="205">
        <v>0</v>
      </c>
      <c r="N48" s="199">
        <v>0</v>
      </c>
      <c r="O48" s="205">
        <v>0</v>
      </c>
      <c r="P48" s="199">
        <v>0</v>
      </c>
      <c r="Q48" s="205">
        <v>0</v>
      </c>
      <c r="R48" s="457">
        <f t="shared" si="1"/>
        <v>0</v>
      </c>
      <c r="T48" s="454">
        <f t="shared" si="2"/>
        <v>0</v>
      </c>
      <c r="U48" s="199">
        <f t="shared" ref="U48:Z61" si="9">SUM(T48, H48)</f>
        <v>0</v>
      </c>
      <c r="V48" s="205">
        <f t="shared" si="9"/>
        <v>0</v>
      </c>
      <c r="W48" s="199">
        <f t="shared" si="9"/>
        <v>0</v>
      </c>
      <c r="X48" s="205">
        <f t="shared" si="9"/>
        <v>0</v>
      </c>
      <c r="Y48" s="199">
        <f t="shared" si="9"/>
        <v>0</v>
      </c>
      <c r="Z48" s="199">
        <f t="shared" si="9"/>
        <v>0</v>
      </c>
      <c r="AA48" s="205">
        <f t="shared" si="8"/>
        <v>0</v>
      </c>
      <c r="AB48" s="199">
        <f t="shared" si="8"/>
        <v>0</v>
      </c>
      <c r="AC48" s="455">
        <f t="shared" si="8"/>
        <v>0</v>
      </c>
      <c r="AE48" s="456">
        <f t="shared" si="4"/>
        <v>0</v>
      </c>
      <c r="AF48" s="205">
        <f t="shared" si="5"/>
        <v>0</v>
      </c>
      <c r="AG48" s="199">
        <f t="shared" si="6"/>
        <v>0</v>
      </c>
      <c r="AH48" s="455">
        <f t="shared" si="7"/>
        <v>0</v>
      </c>
    </row>
    <row r="49" spans="2:34" ht="20.100000000000001" customHeight="1" x14ac:dyDescent="0.4">
      <c r="B49" s="450" t="s">
        <v>370</v>
      </c>
      <c r="C49" s="451" t="s">
        <v>377</v>
      </c>
      <c r="D49" s="452" t="s">
        <v>377</v>
      </c>
      <c r="E49" s="451" t="s">
        <v>377</v>
      </c>
      <c r="F49" s="205">
        <v>0</v>
      </c>
      <c r="G49" s="199">
        <v>0</v>
      </c>
      <c r="H49" s="205">
        <v>0</v>
      </c>
      <c r="I49" s="199">
        <v>0</v>
      </c>
      <c r="J49" s="205">
        <v>0</v>
      </c>
      <c r="K49" s="199">
        <v>0</v>
      </c>
      <c r="L49" s="199">
        <v>0</v>
      </c>
      <c r="M49" s="205">
        <v>0</v>
      </c>
      <c r="N49" s="199">
        <v>0</v>
      </c>
      <c r="O49" s="205">
        <v>0</v>
      </c>
      <c r="P49" s="199">
        <v>0</v>
      </c>
      <c r="Q49" s="205">
        <v>0</v>
      </c>
      <c r="R49" s="457">
        <f t="shared" si="1"/>
        <v>0</v>
      </c>
      <c r="T49" s="454">
        <f t="shared" si="2"/>
        <v>0</v>
      </c>
      <c r="U49" s="199">
        <f t="shared" si="9"/>
        <v>0</v>
      </c>
      <c r="V49" s="205">
        <f t="shared" si="9"/>
        <v>0</v>
      </c>
      <c r="W49" s="199">
        <f t="shared" si="9"/>
        <v>0</v>
      </c>
      <c r="X49" s="205">
        <f t="shared" si="9"/>
        <v>0</v>
      </c>
      <c r="Y49" s="199">
        <f t="shared" si="9"/>
        <v>0</v>
      </c>
      <c r="Z49" s="199">
        <f t="shared" si="9"/>
        <v>0</v>
      </c>
      <c r="AA49" s="205">
        <f t="shared" si="8"/>
        <v>0</v>
      </c>
      <c r="AB49" s="199">
        <f t="shared" si="8"/>
        <v>0</v>
      </c>
      <c r="AC49" s="455">
        <f t="shared" si="8"/>
        <v>0</v>
      </c>
      <c r="AE49" s="456">
        <f t="shared" si="4"/>
        <v>0</v>
      </c>
      <c r="AF49" s="205">
        <f t="shared" si="5"/>
        <v>0</v>
      </c>
      <c r="AG49" s="199">
        <f t="shared" si="6"/>
        <v>0</v>
      </c>
      <c r="AH49" s="455">
        <f t="shared" si="7"/>
        <v>0</v>
      </c>
    </row>
    <row r="50" spans="2:34" ht="20.100000000000001" customHeight="1" x14ac:dyDescent="0.4">
      <c r="B50" s="450" t="s">
        <v>370</v>
      </c>
      <c r="C50" s="458" t="s">
        <v>46</v>
      </c>
      <c r="D50" s="452" t="s">
        <v>378</v>
      </c>
      <c r="E50" s="451" t="s">
        <v>378</v>
      </c>
      <c r="F50" s="205">
        <v>0</v>
      </c>
      <c r="G50" s="199">
        <v>147000000</v>
      </c>
      <c r="H50" s="205">
        <v>0</v>
      </c>
      <c r="I50" s="199">
        <v>62800000</v>
      </c>
      <c r="J50" s="205">
        <v>119500000</v>
      </c>
      <c r="K50" s="199">
        <v>184000000</v>
      </c>
      <c r="L50" s="199">
        <v>0</v>
      </c>
      <c r="M50" s="205">
        <v>107000000</v>
      </c>
      <c r="N50" s="199">
        <v>415300000</v>
      </c>
      <c r="O50" s="205">
        <v>0</v>
      </c>
      <c r="P50" s="199">
        <v>67000000</v>
      </c>
      <c r="Q50" s="205">
        <v>67000000</v>
      </c>
      <c r="R50" s="457">
        <f t="shared" si="1"/>
        <v>1169600000</v>
      </c>
      <c r="T50" s="454">
        <f t="shared" si="2"/>
        <v>147000000</v>
      </c>
      <c r="U50" s="199">
        <f t="shared" si="9"/>
        <v>147000000</v>
      </c>
      <c r="V50" s="205">
        <f t="shared" si="9"/>
        <v>209800000</v>
      </c>
      <c r="W50" s="199">
        <f t="shared" si="9"/>
        <v>329300000</v>
      </c>
      <c r="X50" s="205">
        <f t="shared" si="9"/>
        <v>513300000</v>
      </c>
      <c r="Y50" s="199">
        <f t="shared" si="9"/>
        <v>513300000</v>
      </c>
      <c r="Z50" s="199">
        <f t="shared" si="9"/>
        <v>620300000</v>
      </c>
      <c r="AA50" s="205">
        <f t="shared" si="8"/>
        <v>1035600000</v>
      </c>
      <c r="AB50" s="199">
        <f t="shared" si="8"/>
        <v>1035600000</v>
      </c>
      <c r="AC50" s="455">
        <f t="shared" si="8"/>
        <v>1102600000</v>
      </c>
      <c r="AE50" s="456">
        <f t="shared" si="4"/>
        <v>147000000</v>
      </c>
      <c r="AF50" s="205">
        <f t="shared" si="5"/>
        <v>366300000</v>
      </c>
      <c r="AG50" s="199">
        <f t="shared" si="6"/>
        <v>522300000</v>
      </c>
      <c r="AH50" s="455">
        <f t="shared" si="7"/>
        <v>134000000</v>
      </c>
    </row>
    <row r="51" spans="2:34" ht="20.100000000000001" customHeight="1" x14ac:dyDescent="0.4">
      <c r="B51" s="450" t="s">
        <v>370</v>
      </c>
      <c r="C51" s="458" t="s">
        <v>379</v>
      </c>
      <c r="D51" s="452" t="s">
        <v>380</v>
      </c>
      <c r="E51" s="451" t="s">
        <v>380</v>
      </c>
      <c r="F51" s="205">
        <v>162069429</v>
      </c>
      <c r="G51" s="199">
        <v>30069429</v>
      </c>
      <c r="H51" s="205">
        <v>137569429</v>
      </c>
      <c r="I51" s="199">
        <v>718469429</v>
      </c>
      <c r="J51" s="205">
        <v>14069429</v>
      </c>
      <c r="K51" s="199">
        <v>160319429</v>
      </c>
      <c r="L51" s="199">
        <v>1322769429</v>
      </c>
      <c r="M51" s="205">
        <v>353609429</v>
      </c>
      <c r="N51" s="199">
        <v>853069429</v>
      </c>
      <c r="O51" s="205">
        <v>371069429</v>
      </c>
      <c r="P51" s="199">
        <v>1136027429</v>
      </c>
      <c r="Q51" s="205">
        <v>769328089</v>
      </c>
      <c r="R51" s="457">
        <f t="shared" si="1"/>
        <v>6028439808</v>
      </c>
      <c r="T51" s="454">
        <f t="shared" si="2"/>
        <v>192138858</v>
      </c>
      <c r="U51" s="199">
        <f t="shared" si="9"/>
        <v>329708287</v>
      </c>
      <c r="V51" s="205">
        <f t="shared" si="9"/>
        <v>1048177716</v>
      </c>
      <c r="W51" s="199">
        <f t="shared" si="9"/>
        <v>1062247145</v>
      </c>
      <c r="X51" s="205">
        <f t="shared" si="9"/>
        <v>1222566574</v>
      </c>
      <c r="Y51" s="199">
        <f t="shared" si="9"/>
        <v>2545336003</v>
      </c>
      <c r="Z51" s="199">
        <f t="shared" si="9"/>
        <v>2898945432</v>
      </c>
      <c r="AA51" s="205">
        <f t="shared" si="8"/>
        <v>3752014861</v>
      </c>
      <c r="AB51" s="199">
        <f t="shared" si="8"/>
        <v>4123084290</v>
      </c>
      <c r="AC51" s="455">
        <f t="shared" si="8"/>
        <v>5259111719</v>
      </c>
      <c r="AE51" s="456">
        <f t="shared" si="4"/>
        <v>329708287</v>
      </c>
      <c r="AF51" s="205">
        <f t="shared" si="5"/>
        <v>892858287</v>
      </c>
      <c r="AG51" s="199">
        <f t="shared" si="6"/>
        <v>2529448287</v>
      </c>
      <c r="AH51" s="455">
        <f t="shared" si="7"/>
        <v>2276424947</v>
      </c>
    </row>
    <row r="52" spans="2:34" ht="20.100000000000001" customHeight="1" x14ac:dyDescent="0.4">
      <c r="B52" s="450" t="s">
        <v>370</v>
      </c>
      <c r="C52" s="458" t="s">
        <v>379</v>
      </c>
      <c r="D52" s="452" t="s">
        <v>381</v>
      </c>
      <c r="E52" s="451" t="s">
        <v>381</v>
      </c>
      <c r="F52" s="205">
        <v>1140000000</v>
      </c>
      <c r="G52" s="199">
        <v>344375000</v>
      </c>
      <c r="H52" s="205">
        <v>386875000</v>
      </c>
      <c r="I52" s="199">
        <v>595000000</v>
      </c>
      <c r="J52" s="205">
        <v>93750000</v>
      </c>
      <c r="K52" s="199">
        <v>93750000</v>
      </c>
      <c r="L52" s="199">
        <v>46875000</v>
      </c>
      <c r="M52" s="205">
        <v>187500000</v>
      </c>
      <c r="N52" s="199">
        <v>282075000</v>
      </c>
      <c r="O52" s="205">
        <v>28632175</v>
      </c>
      <c r="P52" s="199">
        <v>240929167</v>
      </c>
      <c r="Q52" s="205">
        <v>339929167</v>
      </c>
      <c r="R52" s="457">
        <f t="shared" si="1"/>
        <v>3779690509</v>
      </c>
      <c r="T52" s="454">
        <f t="shared" si="2"/>
        <v>1484375000</v>
      </c>
      <c r="U52" s="199">
        <f t="shared" si="9"/>
        <v>1871250000</v>
      </c>
      <c r="V52" s="205">
        <f t="shared" si="9"/>
        <v>2466250000</v>
      </c>
      <c r="W52" s="199">
        <f t="shared" si="9"/>
        <v>2560000000</v>
      </c>
      <c r="X52" s="205">
        <f t="shared" si="9"/>
        <v>2653750000</v>
      </c>
      <c r="Y52" s="199">
        <f t="shared" si="9"/>
        <v>2700625000</v>
      </c>
      <c r="Z52" s="199">
        <f t="shared" si="9"/>
        <v>2888125000</v>
      </c>
      <c r="AA52" s="205">
        <f t="shared" si="8"/>
        <v>3170200000</v>
      </c>
      <c r="AB52" s="199">
        <f t="shared" si="8"/>
        <v>3198832175</v>
      </c>
      <c r="AC52" s="455">
        <f t="shared" si="8"/>
        <v>3439761342</v>
      </c>
      <c r="AE52" s="456">
        <f t="shared" si="4"/>
        <v>1871250000</v>
      </c>
      <c r="AF52" s="205">
        <f t="shared" si="5"/>
        <v>782500000</v>
      </c>
      <c r="AG52" s="199">
        <f t="shared" si="6"/>
        <v>516450000</v>
      </c>
      <c r="AH52" s="455">
        <f t="shared" si="7"/>
        <v>609490509</v>
      </c>
    </row>
    <row r="53" spans="2:34" ht="20.100000000000001" customHeight="1" x14ac:dyDescent="0.4">
      <c r="B53" s="450" t="s">
        <v>370</v>
      </c>
      <c r="C53" s="458" t="s">
        <v>379</v>
      </c>
      <c r="D53" s="452" t="s">
        <v>382</v>
      </c>
      <c r="E53" s="451" t="s">
        <v>382</v>
      </c>
      <c r="F53" s="205">
        <v>0</v>
      </c>
      <c r="G53" s="199">
        <v>38500000</v>
      </c>
      <c r="H53" s="205">
        <v>0</v>
      </c>
      <c r="I53" s="199">
        <v>54875000</v>
      </c>
      <c r="J53" s="205">
        <v>38500000</v>
      </c>
      <c r="K53" s="199">
        <v>614875000</v>
      </c>
      <c r="L53" s="199">
        <v>0</v>
      </c>
      <c r="M53" s="205">
        <v>38500000</v>
      </c>
      <c r="N53" s="199">
        <v>161000000</v>
      </c>
      <c r="O53" s="205">
        <v>0</v>
      </c>
      <c r="P53" s="199">
        <v>140500000</v>
      </c>
      <c r="Q53" s="205">
        <v>0</v>
      </c>
      <c r="R53" s="457">
        <f t="shared" si="1"/>
        <v>1086750000</v>
      </c>
      <c r="T53" s="454">
        <f t="shared" si="2"/>
        <v>38500000</v>
      </c>
      <c r="U53" s="199">
        <f t="shared" si="9"/>
        <v>38500000</v>
      </c>
      <c r="V53" s="205">
        <f t="shared" si="9"/>
        <v>93375000</v>
      </c>
      <c r="W53" s="199">
        <f t="shared" si="9"/>
        <v>131875000</v>
      </c>
      <c r="X53" s="205">
        <f t="shared" si="9"/>
        <v>746750000</v>
      </c>
      <c r="Y53" s="199">
        <f t="shared" si="9"/>
        <v>746750000</v>
      </c>
      <c r="Z53" s="199">
        <f t="shared" si="9"/>
        <v>785250000</v>
      </c>
      <c r="AA53" s="205">
        <f t="shared" si="8"/>
        <v>946250000</v>
      </c>
      <c r="AB53" s="199">
        <f t="shared" si="8"/>
        <v>946250000</v>
      </c>
      <c r="AC53" s="455">
        <f t="shared" si="8"/>
        <v>1086750000</v>
      </c>
      <c r="AE53" s="456">
        <f t="shared" si="4"/>
        <v>38500000</v>
      </c>
      <c r="AF53" s="205">
        <f t="shared" si="5"/>
        <v>708250000</v>
      </c>
      <c r="AG53" s="199">
        <f t="shared" si="6"/>
        <v>199500000</v>
      </c>
      <c r="AH53" s="455">
        <f t="shared" si="7"/>
        <v>140500000</v>
      </c>
    </row>
    <row r="54" spans="2:34" ht="20.100000000000001" customHeight="1" x14ac:dyDescent="0.4">
      <c r="B54" s="450" t="s">
        <v>370</v>
      </c>
      <c r="C54" s="458" t="s">
        <v>379</v>
      </c>
      <c r="D54" s="452" t="s">
        <v>391</v>
      </c>
      <c r="E54" s="451" t="s">
        <v>392</v>
      </c>
      <c r="F54" s="205">
        <v>14848000</v>
      </c>
      <c r="G54" s="199">
        <v>14136000</v>
      </c>
      <c r="H54" s="205">
        <v>14136000</v>
      </c>
      <c r="I54" s="199">
        <v>15026000</v>
      </c>
      <c r="J54" s="205">
        <v>13602000</v>
      </c>
      <c r="K54" s="199">
        <v>14314000</v>
      </c>
      <c r="L54" s="199">
        <v>13246000</v>
      </c>
      <c r="M54" s="205">
        <v>14848000</v>
      </c>
      <c r="N54" s="199">
        <v>14314000</v>
      </c>
      <c r="O54" s="205">
        <v>14314000</v>
      </c>
      <c r="P54" s="199">
        <v>17162000</v>
      </c>
      <c r="Q54" s="205">
        <v>23592000</v>
      </c>
      <c r="R54" s="457">
        <f t="shared" si="1"/>
        <v>183538000</v>
      </c>
      <c r="T54" s="454">
        <f t="shared" si="2"/>
        <v>28984000</v>
      </c>
      <c r="U54" s="199">
        <f t="shared" si="9"/>
        <v>43120000</v>
      </c>
      <c r="V54" s="205">
        <f t="shared" si="9"/>
        <v>58146000</v>
      </c>
      <c r="W54" s="199">
        <f t="shared" si="9"/>
        <v>71748000</v>
      </c>
      <c r="X54" s="205">
        <f t="shared" si="9"/>
        <v>86062000</v>
      </c>
      <c r="Y54" s="199">
        <f t="shared" si="9"/>
        <v>99308000</v>
      </c>
      <c r="Z54" s="199">
        <f t="shared" si="9"/>
        <v>114156000</v>
      </c>
      <c r="AA54" s="205">
        <f t="shared" si="8"/>
        <v>128470000</v>
      </c>
      <c r="AB54" s="199">
        <f t="shared" si="8"/>
        <v>142784000</v>
      </c>
      <c r="AC54" s="455">
        <f t="shared" si="8"/>
        <v>159946000</v>
      </c>
      <c r="AE54" s="456">
        <f t="shared" si="4"/>
        <v>43120000</v>
      </c>
      <c r="AF54" s="205">
        <f t="shared" si="5"/>
        <v>42942000</v>
      </c>
      <c r="AG54" s="199">
        <f t="shared" si="6"/>
        <v>42408000</v>
      </c>
      <c r="AH54" s="455">
        <f t="shared" si="7"/>
        <v>55068000</v>
      </c>
    </row>
    <row r="55" spans="2:34" ht="20.100000000000001" customHeight="1" x14ac:dyDescent="0.4">
      <c r="B55" s="450" t="s">
        <v>370</v>
      </c>
      <c r="C55" s="458" t="s">
        <v>379</v>
      </c>
      <c r="D55" s="452" t="s">
        <v>393</v>
      </c>
      <c r="E55" s="451" t="s">
        <v>393</v>
      </c>
      <c r="F55" s="205">
        <v>1281252</v>
      </c>
      <c r="G55" s="199">
        <v>13953989</v>
      </c>
      <c r="H55" s="205">
        <v>0</v>
      </c>
      <c r="I55" s="199">
        <v>0</v>
      </c>
      <c r="J55" s="205">
        <v>38756000</v>
      </c>
      <c r="K55" s="199">
        <v>0</v>
      </c>
      <c r="L55" s="199">
        <v>0</v>
      </c>
      <c r="M55" s="205">
        <v>27252000</v>
      </c>
      <c r="N55" s="199">
        <v>0</v>
      </c>
      <c r="O55" s="205">
        <v>45308000</v>
      </c>
      <c r="P55" s="199">
        <v>0</v>
      </c>
      <c r="Q55" s="205">
        <v>2240000</v>
      </c>
      <c r="R55" s="457">
        <f t="shared" si="1"/>
        <v>128791241</v>
      </c>
      <c r="T55" s="454">
        <f t="shared" si="2"/>
        <v>15235241</v>
      </c>
      <c r="U55" s="199">
        <f t="shared" si="9"/>
        <v>15235241</v>
      </c>
      <c r="V55" s="205">
        <f t="shared" si="9"/>
        <v>15235241</v>
      </c>
      <c r="W55" s="199">
        <f t="shared" si="9"/>
        <v>53991241</v>
      </c>
      <c r="X55" s="205">
        <f t="shared" si="9"/>
        <v>53991241</v>
      </c>
      <c r="Y55" s="199">
        <f t="shared" si="9"/>
        <v>53991241</v>
      </c>
      <c r="Z55" s="199">
        <f t="shared" si="9"/>
        <v>81243241</v>
      </c>
      <c r="AA55" s="205">
        <f t="shared" si="8"/>
        <v>81243241</v>
      </c>
      <c r="AB55" s="199">
        <f t="shared" si="8"/>
        <v>126551241</v>
      </c>
      <c r="AC55" s="455">
        <f t="shared" si="8"/>
        <v>126551241</v>
      </c>
      <c r="AE55" s="456">
        <f t="shared" si="4"/>
        <v>15235241</v>
      </c>
      <c r="AF55" s="205">
        <f t="shared" si="5"/>
        <v>38756000</v>
      </c>
      <c r="AG55" s="199">
        <f t="shared" si="6"/>
        <v>27252000</v>
      </c>
      <c r="AH55" s="455">
        <f t="shared" si="7"/>
        <v>47548000</v>
      </c>
    </row>
    <row r="56" spans="2:34" ht="20.100000000000001" customHeight="1" x14ac:dyDescent="0.4">
      <c r="B56" s="450" t="s">
        <v>370</v>
      </c>
      <c r="C56" s="458" t="s">
        <v>379</v>
      </c>
      <c r="D56" s="452" t="s">
        <v>394</v>
      </c>
      <c r="E56" s="451" t="s">
        <v>394</v>
      </c>
      <c r="F56" s="205">
        <v>0</v>
      </c>
      <c r="G56" s="199">
        <v>84660880</v>
      </c>
      <c r="H56" s="205">
        <v>0</v>
      </c>
      <c r="I56" s="199">
        <v>46400065</v>
      </c>
      <c r="J56" s="205">
        <v>0</v>
      </c>
      <c r="K56" s="199">
        <v>0</v>
      </c>
      <c r="L56" s="199">
        <v>31702967</v>
      </c>
      <c r="M56" s="205">
        <v>0</v>
      </c>
      <c r="N56" s="199">
        <v>0</v>
      </c>
      <c r="O56" s="205">
        <v>40679689</v>
      </c>
      <c r="P56" s="199">
        <v>0</v>
      </c>
      <c r="Q56" s="205">
        <v>0</v>
      </c>
      <c r="R56" s="457">
        <f t="shared" si="1"/>
        <v>203443601</v>
      </c>
      <c r="T56" s="454">
        <f t="shared" si="2"/>
        <v>84660880</v>
      </c>
      <c r="U56" s="199">
        <f t="shared" si="9"/>
        <v>84660880</v>
      </c>
      <c r="V56" s="205">
        <f t="shared" si="9"/>
        <v>131060945</v>
      </c>
      <c r="W56" s="199">
        <f t="shared" si="9"/>
        <v>131060945</v>
      </c>
      <c r="X56" s="205">
        <f t="shared" si="9"/>
        <v>131060945</v>
      </c>
      <c r="Y56" s="199">
        <f t="shared" si="9"/>
        <v>162763912</v>
      </c>
      <c r="Z56" s="199">
        <f t="shared" si="9"/>
        <v>162763912</v>
      </c>
      <c r="AA56" s="205">
        <f t="shared" si="8"/>
        <v>162763912</v>
      </c>
      <c r="AB56" s="199">
        <f t="shared" si="8"/>
        <v>203443601</v>
      </c>
      <c r="AC56" s="455">
        <f t="shared" si="8"/>
        <v>203443601</v>
      </c>
      <c r="AE56" s="456">
        <f t="shared" si="4"/>
        <v>84660880</v>
      </c>
      <c r="AF56" s="205">
        <f t="shared" si="5"/>
        <v>46400065</v>
      </c>
      <c r="AG56" s="199">
        <f t="shared" si="6"/>
        <v>31702967</v>
      </c>
      <c r="AH56" s="455">
        <f t="shared" si="7"/>
        <v>40679689</v>
      </c>
    </row>
    <row r="57" spans="2:34" ht="20.100000000000001" customHeight="1" x14ac:dyDescent="0.4">
      <c r="B57" s="450" t="s">
        <v>88</v>
      </c>
      <c r="C57" s="451" t="s">
        <v>318</v>
      </c>
      <c r="D57" s="452" t="s">
        <v>395</v>
      </c>
      <c r="E57" s="451" t="s">
        <v>396</v>
      </c>
      <c r="F57" s="205">
        <v>0</v>
      </c>
      <c r="G57" s="199">
        <v>0</v>
      </c>
      <c r="H57" s="205">
        <v>0</v>
      </c>
      <c r="I57" s="199">
        <v>104680</v>
      </c>
      <c r="J57" s="205">
        <v>0</v>
      </c>
      <c r="K57" s="199">
        <v>0</v>
      </c>
      <c r="L57" s="199">
        <v>0</v>
      </c>
      <c r="M57" s="205">
        <v>0</v>
      </c>
      <c r="N57" s="199">
        <v>0</v>
      </c>
      <c r="O57" s="205">
        <v>0</v>
      </c>
      <c r="P57" s="199">
        <v>0</v>
      </c>
      <c r="Q57" s="205">
        <v>0</v>
      </c>
      <c r="R57" s="457">
        <f t="shared" si="1"/>
        <v>104680</v>
      </c>
      <c r="T57" s="454">
        <f t="shared" si="2"/>
        <v>0</v>
      </c>
      <c r="U57" s="199">
        <f t="shared" si="9"/>
        <v>0</v>
      </c>
      <c r="V57" s="205">
        <f t="shared" si="9"/>
        <v>104680</v>
      </c>
      <c r="W57" s="199">
        <f t="shared" si="9"/>
        <v>104680</v>
      </c>
      <c r="X57" s="205">
        <f t="shared" si="9"/>
        <v>104680</v>
      </c>
      <c r="Y57" s="199">
        <f t="shared" si="9"/>
        <v>104680</v>
      </c>
      <c r="Z57" s="199">
        <f t="shared" si="9"/>
        <v>104680</v>
      </c>
      <c r="AA57" s="205">
        <f t="shared" si="8"/>
        <v>104680</v>
      </c>
      <c r="AB57" s="199">
        <f t="shared" si="8"/>
        <v>104680</v>
      </c>
      <c r="AC57" s="455">
        <f t="shared" si="8"/>
        <v>104680</v>
      </c>
      <c r="AE57" s="456">
        <f t="shared" si="4"/>
        <v>0</v>
      </c>
      <c r="AF57" s="205">
        <f t="shared" si="5"/>
        <v>104680</v>
      </c>
      <c r="AG57" s="199">
        <f t="shared" si="6"/>
        <v>0</v>
      </c>
      <c r="AH57" s="455">
        <f t="shared" si="7"/>
        <v>0</v>
      </c>
    </row>
    <row r="58" spans="2:34" ht="20.100000000000001" customHeight="1" x14ac:dyDescent="0.4">
      <c r="B58" s="450" t="s">
        <v>88</v>
      </c>
      <c r="C58" s="451" t="s">
        <v>318</v>
      </c>
      <c r="D58" s="452" t="s">
        <v>383</v>
      </c>
      <c r="E58" s="451" t="s">
        <v>397</v>
      </c>
      <c r="F58" s="205">
        <v>-843000</v>
      </c>
      <c r="G58" s="199">
        <v>-2170000</v>
      </c>
      <c r="H58" s="205">
        <v>0</v>
      </c>
      <c r="I58" s="199">
        <v>-1046000</v>
      </c>
      <c r="J58" s="205">
        <v>-1126000</v>
      </c>
      <c r="K58" s="199">
        <v>-1513000</v>
      </c>
      <c r="L58" s="199">
        <v>-1841000</v>
      </c>
      <c r="M58" s="205">
        <v>-1118000</v>
      </c>
      <c r="N58" s="199">
        <v>-456000</v>
      </c>
      <c r="O58" s="205">
        <v>-1690000</v>
      </c>
      <c r="P58" s="199">
        <v>-1977000</v>
      </c>
      <c r="Q58" s="205">
        <v>-1045000</v>
      </c>
      <c r="R58" s="457">
        <f t="shared" si="1"/>
        <v>-14825000</v>
      </c>
      <c r="T58" s="454">
        <f t="shared" si="2"/>
        <v>-3013000</v>
      </c>
      <c r="U58" s="199">
        <f t="shared" si="9"/>
        <v>-3013000</v>
      </c>
      <c r="V58" s="205">
        <f t="shared" si="9"/>
        <v>-4059000</v>
      </c>
      <c r="W58" s="199">
        <f t="shared" si="9"/>
        <v>-5185000</v>
      </c>
      <c r="X58" s="205">
        <f t="shared" si="9"/>
        <v>-6698000</v>
      </c>
      <c r="Y58" s="199">
        <f t="shared" si="9"/>
        <v>-8539000</v>
      </c>
      <c r="Z58" s="199">
        <f t="shared" si="9"/>
        <v>-9657000</v>
      </c>
      <c r="AA58" s="205">
        <f t="shared" si="8"/>
        <v>-10113000</v>
      </c>
      <c r="AB58" s="199">
        <f t="shared" si="8"/>
        <v>-11803000</v>
      </c>
      <c r="AC58" s="455">
        <f t="shared" si="8"/>
        <v>-13780000</v>
      </c>
      <c r="AE58" s="456">
        <f t="shared" si="4"/>
        <v>-3013000</v>
      </c>
      <c r="AF58" s="205">
        <f t="shared" si="5"/>
        <v>-3685000</v>
      </c>
      <c r="AG58" s="199">
        <f t="shared" si="6"/>
        <v>-3415000</v>
      </c>
      <c r="AH58" s="455">
        <f t="shared" si="7"/>
        <v>-4712000</v>
      </c>
    </row>
    <row r="59" spans="2:34" ht="20.100000000000001" customHeight="1" x14ac:dyDescent="0.4">
      <c r="B59" s="450" t="s">
        <v>88</v>
      </c>
      <c r="C59" s="451" t="s">
        <v>318</v>
      </c>
      <c r="D59" s="452" t="s">
        <v>383</v>
      </c>
      <c r="E59" s="451" t="s">
        <v>398</v>
      </c>
      <c r="F59" s="205">
        <v>-5670171</v>
      </c>
      <c r="G59" s="199">
        <v>-8983495</v>
      </c>
      <c r="H59" s="205">
        <v>-12279308</v>
      </c>
      <c r="I59" s="199">
        <v>-3156645</v>
      </c>
      <c r="J59" s="205">
        <v>-2493390</v>
      </c>
      <c r="K59" s="199">
        <v>-8193620</v>
      </c>
      <c r="L59" s="199">
        <v>-10157209</v>
      </c>
      <c r="M59" s="205">
        <v>-2872463</v>
      </c>
      <c r="N59" s="199">
        <v>-3279640</v>
      </c>
      <c r="O59" s="205">
        <v>-1781254</v>
      </c>
      <c r="P59" s="199">
        <v>-6397558</v>
      </c>
      <c r="Q59" s="205">
        <v>-2431315</v>
      </c>
      <c r="R59" s="457">
        <f t="shared" si="1"/>
        <v>-67696068</v>
      </c>
      <c r="T59" s="454">
        <f t="shared" si="2"/>
        <v>-14653666</v>
      </c>
      <c r="U59" s="199">
        <f t="shared" si="9"/>
        <v>-26932974</v>
      </c>
      <c r="V59" s="205">
        <f t="shared" si="9"/>
        <v>-30089619</v>
      </c>
      <c r="W59" s="199">
        <f t="shared" si="9"/>
        <v>-32583009</v>
      </c>
      <c r="X59" s="205">
        <f t="shared" si="9"/>
        <v>-40776629</v>
      </c>
      <c r="Y59" s="199">
        <f t="shared" si="9"/>
        <v>-50933838</v>
      </c>
      <c r="Z59" s="199">
        <f t="shared" si="9"/>
        <v>-53806301</v>
      </c>
      <c r="AA59" s="205">
        <f t="shared" si="8"/>
        <v>-57085941</v>
      </c>
      <c r="AB59" s="199">
        <f t="shared" si="8"/>
        <v>-58867195</v>
      </c>
      <c r="AC59" s="455">
        <f t="shared" si="8"/>
        <v>-65264753</v>
      </c>
      <c r="AE59" s="456">
        <f t="shared" si="4"/>
        <v>-26932974</v>
      </c>
      <c r="AF59" s="205">
        <f t="shared" si="5"/>
        <v>-13843655</v>
      </c>
      <c r="AG59" s="199">
        <f t="shared" si="6"/>
        <v>-16309312</v>
      </c>
      <c r="AH59" s="455">
        <f t="shared" si="7"/>
        <v>-10610127</v>
      </c>
    </row>
    <row r="60" spans="2:34" ht="20.100000000000001" customHeight="1" x14ac:dyDescent="0.4">
      <c r="B60" s="450" t="s">
        <v>88</v>
      </c>
      <c r="C60" s="451" t="s">
        <v>318</v>
      </c>
      <c r="D60" s="452" t="s">
        <v>383</v>
      </c>
      <c r="E60" s="451" t="s">
        <v>383</v>
      </c>
      <c r="F60" s="205">
        <v>0</v>
      </c>
      <c r="G60" s="199">
        <v>0</v>
      </c>
      <c r="H60" s="205">
        <v>-1565509</v>
      </c>
      <c r="I60" s="199">
        <v>0</v>
      </c>
      <c r="J60" s="205">
        <v>0</v>
      </c>
      <c r="K60" s="199">
        <v>-30031683</v>
      </c>
      <c r="L60" s="199">
        <v>0</v>
      </c>
      <c r="M60" s="205">
        <v>0</v>
      </c>
      <c r="N60" s="199">
        <v>-41453982</v>
      </c>
      <c r="O60" s="205">
        <v>0</v>
      </c>
      <c r="P60" s="199">
        <v>0</v>
      </c>
      <c r="Q60" s="205">
        <v>-152611036</v>
      </c>
      <c r="R60" s="457">
        <f t="shared" si="1"/>
        <v>-225662210</v>
      </c>
      <c r="T60" s="454">
        <f t="shared" si="2"/>
        <v>0</v>
      </c>
      <c r="U60" s="199">
        <f t="shared" si="9"/>
        <v>-1565509</v>
      </c>
      <c r="V60" s="205">
        <f t="shared" si="9"/>
        <v>-1565509</v>
      </c>
      <c r="W60" s="199">
        <f t="shared" si="9"/>
        <v>-1565509</v>
      </c>
      <c r="X60" s="205">
        <f t="shared" si="9"/>
        <v>-31597192</v>
      </c>
      <c r="Y60" s="199">
        <f t="shared" si="9"/>
        <v>-31597192</v>
      </c>
      <c r="Z60" s="199">
        <f t="shared" si="9"/>
        <v>-31597192</v>
      </c>
      <c r="AA60" s="205">
        <f t="shared" si="8"/>
        <v>-73051174</v>
      </c>
      <c r="AB60" s="199">
        <f t="shared" si="8"/>
        <v>-73051174</v>
      </c>
      <c r="AC60" s="455">
        <f t="shared" si="8"/>
        <v>-73051174</v>
      </c>
      <c r="AE60" s="456">
        <f t="shared" si="4"/>
        <v>-1565509</v>
      </c>
      <c r="AF60" s="205">
        <f t="shared" si="5"/>
        <v>-30031683</v>
      </c>
      <c r="AG60" s="199">
        <f t="shared" si="6"/>
        <v>-41453982</v>
      </c>
      <c r="AH60" s="455">
        <f t="shared" si="7"/>
        <v>-152611036</v>
      </c>
    </row>
    <row r="61" spans="2:34" ht="20.100000000000001" customHeight="1" x14ac:dyDescent="0.4">
      <c r="B61" s="459" t="s">
        <v>88</v>
      </c>
      <c r="C61" s="460" t="s">
        <v>318</v>
      </c>
      <c r="D61" s="461" t="s">
        <v>384</v>
      </c>
      <c r="E61" s="460" t="s">
        <v>384</v>
      </c>
      <c r="F61" s="205">
        <v>0</v>
      </c>
      <c r="G61" s="199">
        <v>0</v>
      </c>
      <c r="H61" s="205">
        <v>-51496272</v>
      </c>
      <c r="I61" s="199">
        <v>0</v>
      </c>
      <c r="J61" s="205">
        <v>0</v>
      </c>
      <c r="K61" s="199">
        <v>-30026898</v>
      </c>
      <c r="L61" s="199">
        <v>0</v>
      </c>
      <c r="M61" s="205">
        <v>0</v>
      </c>
      <c r="N61" s="199">
        <v>-56641149</v>
      </c>
      <c r="O61" s="205">
        <v>0</v>
      </c>
      <c r="P61" s="199">
        <v>0</v>
      </c>
      <c r="Q61" s="205">
        <v>-9511381</v>
      </c>
      <c r="R61" s="462">
        <f t="shared" si="1"/>
        <v>-147675700</v>
      </c>
      <c r="T61" s="454">
        <f t="shared" si="2"/>
        <v>0</v>
      </c>
      <c r="U61" s="199">
        <f t="shared" si="9"/>
        <v>-51496272</v>
      </c>
      <c r="V61" s="205">
        <f t="shared" si="9"/>
        <v>-51496272</v>
      </c>
      <c r="W61" s="199">
        <f t="shared" si="9"/>
        <v>-51496272</v>
      </c>
      <c r="X61" s="205">
        <f t="shared" si="9"/>
        <v>-81523170</v>
      </c>
      <c r="Y61" s="199">
        <f t="shared" si="9"/>
        <v>-81523170</v>
      </c>
      <c r="Z61" s="199">
        <f t="shared" si="9"/>
        <v>-81523170</v>
      </c>
      <c r="AA61" s="205">
        <f t="shared" si="8"/>
        <v>-138164319</v>
      </c>
      <c r="AB61" s="199">
        <f t="shared" si="8"/>
        <v>-138164319</v>
      </c>
      <c r="AC61" s="455">
        <f t="shared" si="8"/>
        <v>-138164319</v>
      </c>
      <c r="AE61" s="456">
        <f t="shared" si="4"/>
        <v>-51496272</v>
      </c>
      <c r="AF61" s="205">
        <f t="shared" si="5"/>
        <v>-30026898</v>
      </c>
      <c r="AG61" s="199">
        <f t="shared" si="6"/>
        <v>-56641149</v>
      </c>
      <c r="AH61" s="455">
        <f t="shared" si="7"/>
        <v>-9511381</v>
      </c>
    </row>
    <row r="62" spans="2:34" ht="25.35" customHeight="1" x14ac:dyDescent="0.4">
      <c r="B62" s="463" t="s">
        <v>85</v>
      </c>
      <c r="C62" s="464"/>
      <c r="D62" s="464"/>
      <c r="E62" s="465"/>
      <c r="F62" s="466">
        <f>SUM(F5:F61)</f>
        <v>24828037476</v>
      </c>
      <c r="G62" s="467">
        <f t="shared" ref="G62:R62" si="10">SUM(G5:G61)</f>
        <v>29587636012</v>
      </c>
      <c r="H62" s="468">
        <f t="shared" si="10"/>
        <v>35594821241.373337</v>
      </c>
      <c r="I62" s="467">
        <f t="shared" si="10"/>
        <v>30285244588</v>
      </c>
      <c r="J62" s="468">
        <f t="shared" si="10"/>
        <v>34654819717</v>
      </c>
      <c r="K62" s="467">
        <f t="shared" si="10"/>
        <v>45304653746</v>
      </c>
      <c r="L62" s="467">
        <f t="shared" si="10"/>
        <v>25770055302</v>
      </c>
      <c r="M62" s="468">
        <f t="shared" si="10"/>
        <v>24452029939</v>
      </c>
      <c r="N62" s="467">
        <f t="shared" si="10"/>
        <v>43162590088</v>
      </c>
      <c r="O62" s="468">
        <f t="shared" si="10"/>
        <v>24710152665</v>
      </c>
      <c r="P62" s="467">
        <f t="shared" si="10"/>
        <v>34325628171</v>
      </c>
      <c r="Q62" s="469">
        <f t="shared" si="10"/>
        <v>36118666545</v>
      </c>
      <c r="R62" s="470">
        <f t="shared" si="10"/>
        <v>388794335490.37329</v>
      </c>
      <c r="T62" s="466">
        <f>SUM(T5:T61)</f>
        <v>54415673488</v>
      </c>
      <c r="U62" s="467">
        <f t="shared" ref="U62:AC62" si="11">SUM(U5:U61)</f>
        <v>90010494729.373322</v>
      </c>
      <c r="V62" s="468">
        <f t="shared" si="11"/>
        <v>120295739317.37334</v>
      </c>
      <c r="W62" s="467">
        <f t="shared" si="11"/>
        <v>154950559034.37335</v>
      </c>
      <c r="X62" s="468">
        <f t="shared" si="11"/>
        <v>200255212780.37335</v>
      </c>
      <c r="Y62" s="467">
        <f t="shared" si="11"/>
        <v>226025268082.37335</v>
      </c>
      <c r="Z62" s="467">
        <f t="shared" si="11"/>
        <v>250477298021.37335</v>
      </c>
      <c r="AA62" s="468">
        <f t="shared" si="11"/>
        <v>293639888109.37335</v>
      </c>
      <c r="AB62" s="467">
        <f t="shared" si="11"/>
        <v>318350040774.37335</v>
      </c>
      <c r="AC62" s="469">
        <f t="shared" si="11"/>
        <v>352675668945.37335</v>
      </c>
      <c r="AE62" s="471">
        <f t="shared" ref="AE62:AH62" si="12">SUM(AE5:AE61)</f>
        <v>90010494729.373322</v>
      </c>
      <c r="AF62" s="468">
        <f t="shared" si="12"/>
        <v>110244718051</v>
      </c>
      <c r="AG62" s="467">
        <f t="shared" si="12"/>
        <v>93384675329</v>
      </c>
      <c r="AH62" s="469">
        <f t="shared" si="12"/>
        <v>95154447381</v>
      </c>
    </row>
    <row r="63" spans="2:34" ht="20.100000000000001" customHeight="1" x14ac:dyDescent="0.4">
      <c r="F63" t="b">
        <v>1</v>
      </c>
      <c r="G63" t="b">
        <v>1</v>
      </c>
      <c r="H63" t="b">
        <v>1</v>
      </c>
      <c r="I63" t="b">
        <v>1</v>
      </c>
      <c r="J63" t="b">
        <v>1</v>
      </c>
      <c r="K63" t="b">
        <v>1</v>
      </c>
      <c r="L63" t="b">
        <v>1</v>
      </c>
      <c r="M63" t="b">
        <v>1</v>
      </c>
      <c r="N63" t="b">
        <v>1</v>
      </c>
      <c r="O63" t="b">
        <v>1</v>
      </c>
      <c r="P63" t="b">
        <v>1</v>
      </c>
      <c r="Q63" t="b">
        <v>1</v>
      </c>
      <c r="R63" t="b">
        <v>1</v>
      </c>
      <c r="T63" t="b">
        <f>ROUND(T62,0)=ROUND(SUM($F$62:G$62),0)</f>
        <v>1</v>
      </c>
      <c r="U63" t="b">
        <f>ROUND(U62,0)=ROUND(SUM($F$62:H$62),0)</f>
        <v>1</v>
      </c>
      <c r="V63" t="b">
        <f>ROUND(V62,0)=ROUND(SUM($F$62:I$62),0)</f>
        <v>1</v>
      </c>
      <c r="W63" t="b">
        <f>ROUND(W62,0)=ROUND(SUM($F$62:J$62),0)</f>
        <v>1</v>
      </c>
      <c r="X63" t="b">
        <f>ROUND(X62,0)=ROUND(SUM($F$62:K$62),0)</f>
        <v>1</v>
      </c>
      <c r="Y63" t="b">
        <f>ROUND(Y62,0)=ROUND(SUM($F$62:L$62),0)</f>
        <v>1</v>
      </c>
      <c r="Z63" t="b">
        <f>ROUND(Z62,0)=ROUND(SUM($F$62:M$62),0)</f>
        <v>1</v>
      </c>
      <c r="AA63" t="b">
        <f>ROUND(AA62,0)=ROUND(SUM($F$62:N$62),0)</f>
        <v>1</v>
      </c>
      <c r="AB63" t="b">
        <f>ROUND(AB62,0)=ROUND(SUM($F$62:O$62),0)</f>
        <v>1</v>
      </c>
      <c r="AC63" t="b">
        <f>ROUND(AC62,0)=ROUND(SUM($F$62:P$62),0)</f>
        <v>1</v>
      </c>
      <c r="AE63" t="b">
        <f>ROUND(AE62,0)=ROUND(SUM(F62:H62),0)</f>
        <v>1</v>
      </c>
      <c r="AF63" t="b">
        <f>ROUND(AF62,0)=ROUND(SUM(I62:K62),0)</f>
        <v>1</v>
      </c>
      <c r="AG63" t="b">
        <f>ROUND(AG62,0)=ROUND(SUM(L62:N62),0)</f>
        <v>1</v>
      </c>
      <c r="AH63" t="b">
        <f>ROUND(AH62,0)=ROUND(SUM(O62:Q62),0)</f>
        <v>1</v>
      </c>
    </row>
    <row r="64" spans="2:34" x14ac:dyDescent="0.4">
      <c r="E64" s="452"/>
    </row>
    <row r="65" spans="4:22" x14ac:dyDescent="0.4">
      <c r="H65" s="206"/>
      <c r="V65" s="206"/>
    </row>
    <row r="67" spans="4:22" x14ac:dyDescent="0.4">
      <c r="F67" t="b">
        <f>F69=SUM(F44:F56)</f>
        <v>1</v>
      </c>
      <c r="G67" t="b">
        <f t="shared" ref="G67:R67" si="13">G69=SUM(G44:G56)</f>
        <v>1</v>
      </c>
      <c r="H67" t="b">
        <f t="shared" si="13"/>
        <v>1</v>
      </c>
      <c r="I67" t="b">
        <f t="shared" si="13"/>
        <v>1</v>
      </c>
      <c r="J67" t="b">
        <f t="shared" si="13"/>
        <v>1</v>
      </c>
      <c r="K67" t="b">
        <f t="shared" si="13"/>
        <v>1</v>
      </c>
      <c r="L67" t="b">
        <f t="shared" si="13"/>
        <v>1</v>
      </c>
      <c r="M67" t="b">
        <f t="shared" si="13"/>
        <v>1</v>
      </c>
      <c r="N67" t="b">
        <f t="shared" si="13"/>
        <v>1</v>
      </c>
      <c r="O67" t="b">
        <f t="shared" si="13"/>
        <v>1</v>
      </c>
      <c r="P67" t="b">
        <f t="shared" si="13"/>
        <v>1</v>
      </c>
      <c r="Q67" t="b">
        <f t="shared" si="13"/>
        <v>1</v>
      </c>
      <c r="R67" t="b">
        <f t="shared" si="13"/>
        <v>1</v>
      </c>
    </row>
    <row r="68" spans="4:22" x14ac:dyDescent="0.4">
      <c r="F68" s="445" t="s">
        <v>3</v>
      </c>
      <c r="G68" s="446" t="s">
        <v>4</v>
      </c>
      <c r="H68" s="446" t="s">
        <v>292</v>
      </c>
      <c r="I68" s="446" t="s">
        <v>293</v>
      </c>
      <c r="J68" s="446" t="s">
        <v>294</v>
      </c>
      <c r="K68" s="446" t="s">
        <v>295</v>
      </c>
      <c r="L68" s="446" t="s">
        <v>296</v>
      </c>
      <c r="M68" s="446" t="s">
        <v>297</v>
      </c>
      <c r="N68" s="446" t="s">
        <v>298</v>
      </c>
      <c r="O68" s="446" t="s">
        <v>299</v>
      </c>
      <c r="P68" s="446" t="s">
        <v>142</v>
      </c>
      <c r="Q68" s="447" t="s">
        <v>143</v>
      </c>
      <c r="R68" s="443" t="s">
        <v>388</v>
      </c>
    </row>
    <row r="69" spans="4:22" s="184" customFormat="1" x14ac:dyDescent="0.4">
      <c r="D69" s="184" t="s">
        <v>399</v>
      </c>
      <c r="F69" s="480">
        <f>SUM(F70,F74,F77)</f>
        <v>7808648211</v>
      </c>
      <c r="G69" s="480">
        <f t="shared" ref="G69:Q69" si="14">SUM(G70,G74,G77)</f>
        <v>8554402538</v>
      </c>
      <c r="H69" s="480">
        <f t="shared" si="14"/>
        <v>6675841289</v>
      </c>
      <c r="I69" s="480">
        <f t="shared" si="14"/>
        <v>8004678424</v>
      </c>
      <c r="J69" s="480">
        <f t="shared" si="14"/>
        <v>6740572309</v>
      </c>
      <c r="K69" s="480">
        <f t="shared" si="14"/>
        <v>5880250149</v>
      </c>
      <c r="L69" s="480">
        <f t="shared" si="14"/>
        <v>6361205706</v>
      </c>
      <c r="M69" s="480">
        <f t="shared" si="14"/>
        <v>4210776469</v>
      </c>
      <c r="N69" s="480">
        <f t="shared" si="14"/>
        <v>9650258209</v>
      </c>
      <c r="O69" s="480">
        <f t="shared" si="14"/>
        <v>4903748113</v>
      </c>
      <c r="P69" s="480">
        <f t="shared" si="14"/>
        <v>10233109956</v>
      </c>
      <c r="Q69" s="480">
        <f t="shared" si="14"/>
        <v>8781528436</v>
      </c>
      <c r="R69" s="480">
        <f>SUM(F69:Q69)</f>
        <v>87805019809</v>
      </c>
    </row>
    <row r="70" spans="4:22" s="184" customFormat="1" x14ac:dyDescent="0.4">
      <c r="D70" s="184" t="s">
        <v>400</v>
      </c>
      <c r="F70" s="480">
        <f>SUM(F71:F73)</f>
        <v>5283077660</v>
      </c>
      <c r="G70" s="480">
        <f t="shared" ref="G70:Q70" si="15">SUM(G71:G73)</f>
        <v>6178659360</v>
      </c>
      <c r="H70" s="480">
        <f t="shared" si="15"/>
        <v>5064525780</v>
      </c>
      <c r="I70" s="480">
        <f t="shared" si="15"/>
        <v>4514293080</v>
      </c>
      <c r="J70" s="480">
        <f t="shared" si="15"/>
        <v>4964650080</v>
      </c>
      <c r="K70" s="480">
        <f t="shared" si="15"/>
        <v>2439488340</v>
      </c>
      <c r="L70" s="480">
        <f t="shared" si="15"/>
        <v>2625820020</v>
      </c>
      <c r="M70" s="480">
        <f t="shared" si="15"/>
        <v>1800537660</v>
      </c>
      <c r="N70" s="480">
        <f t="shared" si="15"/>
        <v>3896420760</v>
      </c>
      <c r="O70" s="480">
        <f t="shared" si="15"/>
        <v>1133002260</v>
      </c>
      <c r="P70" s="480">
        <f t="shared" si="15"/>
        <v>2175223500</v>
      </c>
      <c r="Q70" s="480">
        <f t="shared" si="15"/>
        <v>183933540</v>
      </c>
      <c r="R70" s="480">
        <f t="shared" ref="R70:R82" si="16">SUM(F70:Q70)</f>
        <v>40259632040</v>
      </c>
    </row>
    <row r="71" spans="4:22" x14ac:dyDescent="0.4">
      <c r="E71" t="s">
        <v>401</v>
      </c>
      <c r="F71" s="1">
        <f>F45</f>
        <v>5126482260</v>
      </c>
      <c r="G71" s="1">
        <f t="shared" ref="G71:Q71" si="17">G45</f>
        <v>6178659360</v>
      </c>
      <c r="H71" s="1">
        <f t="shared" si="17"/>
        <v>5064525780</v>
      </c>
      <c r="I71" s="1">
        <f t="shared" si="17"/>
        <v>4514293080</v>
      </c>
      <c r="J71" s="1">
        <f t="shared" si="17"/>
        <v>4964650080</v>
      </c>
      <c r="K71" s="1">
        <f t="shared" si="17"/>
        <v>2439488340</v>
      </c>
      <c r="L71" s="1">
        <f t="shared" si="17"/>
        <v>2625820020</v>
      </c>
      <c r="M71" s="1">
        <f t="shared" si="17"/>
        <v>1800537660</v>
      </c>
      <c r="N71" s="1">
        <f t="shared" si="17"/>
        <v>3896420760</v>
      </c>
      <c r="O71" s="1">
        <f t="shared" si="17"/>
        <v>1133002260</v>
      </c>
      <c r="P71" s="1">
        <f t="shared" si="17"/>
        <v>2175223500</v>
      </c>
      <c r="Q71" s="1">
        <f t="shared" si="17"/>
        <v>183933540</v>
      </c>
      <c r="R71" s="1">
        <f t="shared" si="16"/>
        <v>40103036640</v>
      </c>
    </row>
    <row r="72" spans="4:22" x14ac:dyDescent="0.4">
      <c r="E72" t="s">
        <v>88</v>
      </c>
      <c r="F72" s="1">
        <f>F44</f>
        <v>156595400</v>
      </c>
      <c r="G72" s="1">
        <f t="shared" ref="G72:Q72" si="18">G44</f>
        <v>0</v>
      </c>
      <c r="H72" s="1">
        <f t="shared" si="18"/>
        <v>0</v>
      </c>
      <c r="I72" s="1">
        <f t="shared" si="18"/>
        <v>0</v>
      </c>
      <c r="J72" s="1">
        <f t="shared" si="18"/>
        <v>0</v>
      </c>
      <c r="K72" s="1">
        <f t="shared" si="18"/>
        <v>0</v>
      </c>
      <c r="L72" s="1">
        <f t="shared" si="18"/>
        <v>0</v>
      </c>
      <c r="M72" s="1">
        <f t="shared" si="18"/>
        <v>0</v>
      </c>
      <c r="N72" s="1">
        <f t="shared" si="18"/>
        <v>0</v>
      </c>
      <c r="O72" s="1">
        <f t="shared" si="18"/>
        <v>0</v>
      </c>
      <c r="P72" s="1">
        <f t="shared" si="18"/>
        <v>0</v>
      </c>
      <c r="Q72" s="1">
        <f t="shared" si="18"/>
        <v>0</v>
      </c>
      <c r="R72" s="1">
        <f t="shared" si="16"/>
        <v>156595400</v>
      </c>
    </row>
    <row r="73" spans="4:22" x14ac:dyDescent="0.4">
      <c r="E73" t="s">
        <v>402</v>
      </c>
      <c r="F73" s="1">
        <f>F48</f>
        <v>0</v>
      </c>
      <c r="G73" s="1">
        <f t="shared" ref="G73:Q73" si="19">G48</f>
        <v>0</v>
      </c>
      <c r="H73" s="1">
        <f t="shared" si="19"/>
        <v>0</v>
      </c>
      <c r="I73" s="1">
        <f t="shared" si="19"/>
        <v>0</v>
      </c>
      <c r="J73" s="1">
        <f t="shared" si="19"/>
        <v>0</v>
      </c>
      <c r="K73" s="1">
        <f t="shared" si="19"/>
        <v>0</v>
      </c>
      <c r="L73" s="1">
        <f t="shared" si="19"/>
        <v>0</v>
      </c>
      <c r="M73" s="1">
        <f t="shared" si="19"/>
        <v>0</v>
      </c>
      <c r="N73" s="1">
        <f t="shared" si="19"/>
        <v>0</v>
      </c>
      <c r="O73" s="1">
        <f t="shared" si="19"/>
        <v>0</v>
      </c>
      <c r="P73" s="1">
        <f t="shared" si="19"/>
        <v>0</v>
      </c>
      <c r="Q73" s="1">
        <f t="shared" si="19"/>
        <v>0</v>
      </c>
      <c r="R73" s="1">
        <f t="shared" si="16"/>
        <v>0</v>
      </c>
    </row>
    <row r="74" spans="4:22" s="184" customFormat="1" x14ac:dyDescent="0.4">
      <c r="D74" s="184" t="s">
        <v>403</v>
      </c>
      <c r="F74" s="480">
        <f>SUM(F75:F76)</f>
        <v>1207371870</v>
      </c>
      <c r="G74" s="480">
        <f t="shared" ref="G74:Q74" si="20">SUM(G75:G76)</f>
        <v>1703047880</v>
      </c>
      <c r="H74" s="480">
        <f t="shared" si="20"/>
        <v>1072735080</v>
      </c>
      <c r="I74" s="480">
        <f t="shared" si="20"/>
        <v>1997814850</v>
      </c>
      <c r="J74" s="480">
        <f t="shared" si="20"/>
        <v>1457744800</v>
      </c>
      <c r="K74" s="480">
        <f t="shared" si="20"/>
        <v>2373503380</v>
      </c>
      <c r="L74" s="480">
        <f t="shared" si="20"/>
        <v>2320792290</v>
      </c>
      <c r="M74" s="480">
        <f t="shared" si="20"/>
        <v>1681529380</v>
      </c>
      <c r="N74" s="480">
        <f t="shared" si="20"/>
        <v>4028079020</v>
      </c>
      <c r="O74" s="480">
        <f t="shared" si="20"/>
        <v>3270742560</v>
      </c>
      <c r="P74" s="480">
        <f t="shared" si="20"/>
        <v>6456267860</v>
      </c>
      <c r="Q74" s="480">
        <f t="shared" si="20"/>
        <v>7395505640</v>
      </c>
      <c r="R74" s="480">
        <f t="shared" si="16"/>
        <v>34965134610</v>
      </c>
    </row>
    <row r="75" spans="4:22" x14ac:dyDescent="0.4">
      <c r="E75" t="s">
        <v>404</v>
      </c>
      <c r="F75" s="1">
        <f>F46</f>
        <v>670443570</v>
      </c>
      <c r="G75" s="1">
        <f t="shared" ref="G75:Q75" si="21">G46</f>
        <v>678710580</v>
      </c>
      <c r="H75" s="1">
        <f t="shared" si="21"/>
        <v>672176480</v>
      </c>
      <c r="I75" s="1">
        <f t="shared" si="21"/>
        <v>799032650</v>
      </c>
      <c r="J75" s="1">
        <f t="shared" si="21"/>
        <v>454620400</v>
      </c>
      <c r="K75" s="1">
        <f t="shared" si="21"/>
        <v>806854580</v>
      </c>
      <c r="L75" s="1">
        <f t="shared" si="21"/>
        <v>1017805510</v>
      </c>
      <c r="M75" s="1">
        <f t="shared" si="21"/>
        <v>671369780</v>
      </c>
      <c r="N75" s="1">
        <f t="shared" si="21"/>
        <v>1203003500</v>
      </c>
      <c r="O75" s="1">
        <f t="shared" si="21"/>
        <v>762501260</v>
      </c>
      <c r="P75" s="1">
        <f t="shared" si="21"/>
        <v>615935260</v>
      </c>
      <c r="Q75" s="1">
        <f t="shared" si="21"/>
        <v>1261232640</v>
      </c>
      <c r="R75" s="1">
        <f t="shared" si="16"/>
        <v>9613686210</v>
      </c>
    </row>
    <row r="76" spans="4:22" x14ac:dyDescent="0.4">
      <c r="E76" t="s">
        <v>405</v>
      </c>
      <c r="F76" s="1">
        <f>F47</f>
        <v>536928300</v>
      </c>
      <c r="G76" s="1">
        <f t="shared" ref="G76:Q76" si="22">G47</f>
        <v>1024337300</v>
      </c>
      <c r="H76" s="1">
        <f t="shared" si="22"/>
        <v>400558600</v>
      </c>
      <c r="I76" s="1">
        <f t="shared" si="22"/>
        <v>1198782200</v>
      </c>
      <c r="J76" s="1">
        <f t="shared" si="22"/>
        <v>1003124400</v>
      </c>
      <c r="K76" s="1">
        <f t="shared" si="22"/>
        <v>1566648800</v>
      </c>
      <c r="L76" s="1">
        <f t="shared" si="22"/>
        <v>1302986780</v>
      </c>
      <c r="M76" s="1">
        <f t="shared" si="22"/>
        <v>1010159600</v>
      </c>
      <c r="N76" s="1">
        <f t="shared" si="22"/>
        <v>2825075520</v>
      </c>
      <c r="O76" s="1">
        <f t="shared" si="22"/>
        <v>2508241300</v>
      </c>
      <c r="P76" s="1">
        <f t="shared" si="22"/>
        <v>5840332600</v>
      </c>
      <c r="Q76" s="1">
        <f t="shared" si="22"/>
        <v>6134273000</v>
      </c>
      <c r="R76" s="1">
        <f t="shared" si="16"/>
        <v>25351448400</v>
      </c>
    </row>
    <row r="77" spans="4:22" s="184" customFormat="1" x14ac:dyDescent="0.4">
      <c r="D77" s="184" t="s">
        <v>406</v>
      </c>
      <c r="F77" s="480">
        <f>SUM(F78:F82)</f>
        <v>1318198681</v>
      </c>
      <c r="G77" s="480">
        <f t="shared" ref="G77:Q77" si="23">SUM(G78:G82)</f>
        <v>672695298</v>
      </c>
      <c r="H77" s="480">
        <f t="shared" si="23"/>
        <v>538580429</v>
      </c>
      <c r="I77" s="480">
        <f t="shared" si="23"/>
        <v>1492570494</v>
      </c>
      <c r="J77" s="480">
        <f t="shared" si="23"/>
        <v>318177429</v>
      </c>
      <c r="K77" s="480">
        <f t="shared" si="23"/>
        <v>1067258429</v>
      </c>
      <c r="L77" s="480">
        <f t="shared" si="23"/>
        <v>1414593396</v>
      </c>
      <c r="M77" s="480">
        <f t="shared" si="23"/>
        <v>728709429</v>
      </c>
      <c r="N77" s="480">
        <f t="shared" si="23"/>
        <v>1725758429</v>
      </c>
      <c r="O77" s="480">
        <f t="shared" si="23"/>
        <v>500003293</v>
      </c>
      <c r="P77" s="480">
        <f t="shared" si="23"/>
        <v>1601618596</v>
      </c>
      <c r="Q77" s="480">
        <f t="shared" si="23"/>
        <v>1202089256</v>
      </c>
      <c r="R77" s="480">
        <f t="shared" si="16"/>
        <v>12580253159</v>
      </c>
    </row>
    <row r="78" spans="4:22" x14ac:dyDescent="0.4">
      <c r="E78" t="s">
        <v>407</v>
      </c>
      <c r="F78" s="1">
        <f>F50</f>
        <v>0</v>
      </c>
      <c r="G78" s="1">
        <f t="shared" ref="G78:Q78" si="24">G50</f>
        <v>147000000</v>
      </c>
      <c r="H78" s="1">
        <f t="shared" si="24"/>
        <v>0</v>
      </c>
      <c r="I78" s="1">
        <f t="shared" si="24"/>
        <v>62800000</v>
      </c>
      <c r="J78" s="1">
        <f t="shared" si="24"/>
        <v>119500000</v>
      </c>
      <c r="K78" s="1">
        <f t="shared" si="24"/>
        <v>184000000</v>
      </c>
      <c r="L78" s="1">
        <f t="shared" si="24"/>
        <v>0</v>
      </c>
      <c r="M78" s="1">
        <f t="shared" si="24"/>
        <v>107000000</v>
      </c>
      <c r="N78" s="1">
        <f t="shared" si="24"/>
        <v>415300000</v>
      </c>
      <c r="O78" s="1">
        <f t="shared" si="24"/>
        <v>0</v>
      </c>
      <c r="P78" s="1">
        <f t="shared" si="24"/>
        <v>67000000</v>
      </c>
      <c r="Q78" s="1">
        <f t="shared" si="24"/>
        <v>67000000</v>
      </c>
      <c r="R78" s="1">
        <f t="shared" si="16"/>
        <v>1169600000</v>
      </c>
    </row>
    <row r="79" spans="4:22" x14ac:dyDescent="0.4">
      <c r="E79" t="s">
        <v>408</v>
      </c>
      <c r="F79" s="1">
        <f>F53</f>
        <v>0</v>
      </c>
      <c r="G79" s="1">
        <f t="shared" ref="G79:Q79" si="25">G53</f>
        <v>38500000</v>
      </c>
      <c r="H79" s="1">
        <f t="shared" si="25"/>
        <v>0</v>
      </c>
      <c r="I79" s="1">
        <f t="shared" si="25"/>
        <v>54875000</v>
      </c>
      <c r="J79" s="1">
        <f t="shared" si="25"/>
        <v>38500000</v>
      </c>
      <c r="K79" s="1">
        <f t="shared" si="25"/>
        <v>614875000</v>
      </c>
      <c r="L79" s="1">
        <f t="shared" si="25"/>
        <v>0</v>
      </c>
      <c r="M79" s="1">
        <f t="shared" si="25"/>
        <v>38500000</v>
      </c>
      <c r="N79" s="1">
        <f t="shared" si="25"/>
        <v>161000000</v>
      </c>
      <c r="O79" s="1">
        <f t="shared" si="25"/>
        <v>0</v>
      </c>
      <c r="P79" s="1">
        <f t="shared" si="25"/>
        <v>140500000</v>
      </c>
      <c r="Q79" s="1">
        <f t="shared" si="25"/>
        <v>0</v>
      </c>
      <c r="R79" s="1">
        <f t="shared" si="16"/>
        <v>1086750000</v>
      </c>
    </row>
    <row r="80" spans="4:22" x14ac:dyDescent="0.4">
      <c r="E80" t="s">
        <v>95</v>
      </c>
      <c r="F80" s="1">
        <f>F51</f>
        <v>162069429</v>
      </c>
      <c r="G80" s="1">
        <f t="shared" ref="G80:Q80" si="26">G51</f>
        <v>30069429</v>
      </c>
      <c r="H80" s="1">
        <f t="shared" si="26"/>
        <v>137569429</v>
      </c>
      <c r="I80" s="1">
        <f t="shared" si="26"/>
        <v>718469429</v>
      </c>
      <c r="J80" s="1">
        <f t="shared" si="26"/>
        <v>14069429</v>
      </c>
      <c r="K80" s="1">
        <f t="shared" si="26"/>
        <v>160319429</v>
      </c>
      <c r="L80" s="1">
        <f t="shared" si="26"/>
        <v>1322769429</v>
      </c>
      <c r="M80" s="1">
        <f t="shared" si="26"/>
        <v>353609429</v>
      </c>
      <c r="N80" s="1">
        <f t="shared" si="26"/>
        <v>853069429</v>
      </c>
      <c r="O80" s="1">
        <f t="shared" si="26"/>
        <v>371069429</v>
      </c>
      <c r="P80" s="1">
        <f t="shared" si="26"/>
        <v>1136027429</v>
      </c>
      <c r="Q80" s="1">
        <f t="shared" si="26"/>
        <v>769328089</v>
      </c>
      <c r="R80" s="1">
        <f t="shared" si="16"/>
        <v>6028439808</v>
      </c>
    </row>
    <row r="81" spans="5:18" x14ac:dyDescent="0.4">
      <c r="E81" t="s">
        <v>402</v>
      </c>
      <c r="F81" s="1">
        <f>F52</f>
        <v>1140000000</v>
      </c>
      <c r="G81" s="1">
        <f t="shared" ref="G81:Q81" si="27">G52</f>
        <v>344375000</v>
      </c>
      <c r="H81" s="1">
        <f t="shared" si="27"/>
        <v>386875000</v>
      </c>
      <c r="I81" s="1">
        <f t="shared" si="27"/>
        <v>595000000</v>
      </c>
      <c r="J81" s="1">
        <f t="shared" si="27"/>
        <v>93750000</v>
      </c>
      <c r="K81" s="1">
        <f t="shared" si="27"/>
        <v>93750000</v>
      </c>
      <c r="L81" s="1">
        <f t="shared" si="27"/>
        <v>46875000</v>
      </c>
      <c r="M81" s="1">
        <f t="shared" si="27"/>
        <v>187500000</v>
      </c>
      <c r="N81" s="1">
        <f t="shared" si="27"/>
        <v>282075000</v>
      </c>
      <c r="O81" s="1">
        <f t="shared" si="27"/>
        <v>28632175</v>
      </c>
      <c r="P81" s="1">
        <f t="shared" si="27"/>
        <v>240929167</v>
      </c>
      <c r="Q81" s="1">
        <f t="shared" si="27"/>
        <v>339929167</v>
      </c>
      <c r="R81" s="1">
        <f t="shared" si="16"/>
        <v>3779690509</v>
      </c>
    </row>
    <row r="82" spans="5:18" x14ac:dyDescent="0.4">
      <c r="E82" t="s">
        <v>409</v>
      </c>
      <c r="F82" s="1">
        <f>SUM(F54:F56)</f>
        <v>16129252</v>
      </c>
      <c r="G82" s="1">
        <f t="shared" ref="G82:Q82" si="28">SUM(G54:G56)</f>
        <v>112750869</v>
      </c>
      <c r="H82" s="1">
        <f t="shared" si="28"/>
        <v>14136000</v>
      </c>
      <c r="I82" s="1">
        <f t="shared" si="28"/>
        <v>61426065</v>
      </c>
      <c r="J82" s="1">
        <f t="shared" si="28"/>
        <v>52358000</v>
      </c>
      <c r="K82" s="1">
        <f t="shared" si="28"/>
        <v>14314000</v>
      </c>
      <c r="L82" s="1">
        <f t="shared" si="28"/>
        <v>44948967</v>
      </c>
      <c r="M82" s="1">
        <f t="shared" si="28"/>
        <v>42100000</v>
      </c>
      <c r="N82" s="1">
        <f t="shared" si="28"/>
        <v>14314000</v>
      </c>
      <c r="O82" s="1">
        <f t="shared" si="28"/>
        <v>100301689</v>
      </c>
      <c r="P82" s="1">
        <f t="shared" si="28"/>
        <v>17162000</v>
      </c>
      <c r="Q82" s="1">
        <f t="shared" si="28"/>
        <v>25832000</v>
      </c>
      <c r="R82" s="1">
        <f t="shared" si="16"/>
        <v>515772842</v>
      </c>
    </row>
  </sheetData>
  <autoFilter ref="B4:AH63" xr:uid="{03E5B634-BE03-4B61-AEE4-DFC63D1F1CE3}"/>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x14ac:dyDescent="0.4"/>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x14ac:dyDescent="0.4">
      <c r="A1" s="1116" t="s">
        <v>416</v>
      </c>
      <c r="B1" s="1116"/>
      <c r="C1" s="1116"/>
      <c r="D1" s="1116"/>
      <c r="E1" s="1116"/>
      <c r="F1" s="1116"/>
      <c r="G1" s="1116"/>
      <c r="H1" s="1116"/>
      <c r="I1" s="1116"/>
      <c r="J1" s="1116"/>
      <c r="K1" s="1116"/>
      <c r="L1" s="1116"/>
      <c r="M1" s="1116"/>
      <c r="N1" s="1116"/>
      <c r="O1" s="1116"/>
      <c r="P1" s="1116"/>
      <c r="Q1" s="1116"/>
      <c r="R1" s="1116"/>
      <c r="S1" s="1116"/>
      <c r="T1" s="1116"/>
      <c r="U1" s="1116"/>
      <c r="V1" s="1116"/>
      <c r="W1" s="1116"/>
      <c r="X1" s="1116"/>
      <c r="Y1" s="1116"/>
      <c r="Z1" s="1116"/>
      <c r="AA1" s="1116"/>
      <c r="AB1" s="1116"/>
      <c r="AC1" s="1116"/>
      <c r="AD1" s="1116"/>
    </row>
    <row r="2" spans="1:32" ht="22.5" customHeight="1" x14ac:dyDescent="0.4">
      <c r="A2" s="425"/>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198" t="s">
        <v>417</v>
      </c>
    </row>
    <row r="3" spans="1:32" ht="27" customHeight="1" x14ac:dyDescent="0.4">
      <c r="A3" s="195" t="s">
        <v>418</v>
      </c>
      <c r="AD3" s="198"/>
    </row>
    <row r="4" spans="1:32" ht="18" thickBot="1" x14ac:dyDescent="0.45">
      <c r="AD4" s="190" t="s">
        <v>6</v>
      </c>
    </row>
    <row r="5" spans="1:32" ht="25.35" customHeight="1" thickTop="1" x14ac:dyDescent="0.4">
      <c r="A5" s="1117" t="s">
        <v>7</v>
      </c>
      <c r="B5" s="1118"/>
      <c r="C5" s="1119"/>
      <c r="D5" s="1126" t="s">
        <v>419</v>
      </c>
      <c r="E5" s="1129" t="s">
        <v>420</v>
      </c>
      <c r="F5" s="1132" t="s">
        <v>421</v>
      </c>
      <c r="G5" s="1133"/>
      <c r="H5" s="1134"/>
      <c r="I5" s="1135" t="s">
        <v>98</v>
      </c>
      <c r="J5" s="1136"/>
      <c r="K5" s="1136"/>
      <c r="L5" s="1136"/>
      <c r="M5" s="1136"/>
      <c r="N5" s="1136"/>
      <c r="O5" s="1136"/>
      <c r="P5" s="1136"/>
      <c r="Q5" s="1136"/>
      <c r="R5" s="1136"/>
      <c r="S5" s="1136"/>
      <c r="T5" s="1137"/>
      <c r="U5" s="1149" t="s">
        <v>422</v>
      </c>
      <c r="V5" s="1150"/>
      <c r="W5" s="1151"/>
      <c r="X5" s="1138" t="s">
        <v>173</v>
      </c>
      <c r="Y5" s="1138"/>
      <c r="Z5" s="1139"/>
      <c r="AA5" s="411"/>
      <c r="AB5" s="1140" t="s">
        <v>411</v>
      </c>
      <c r="AC5" s="1141"/>
      <c r="AD5" s="1142"/>
    </row>
    <row r="6" spans="1:32" ht="25.35" customHeight="1" x14ac:dyDescent="0.4">
      <c r="A6" s="1120"/>
      <c r="B6" s="1121"/>
      <c r="C6" s="1122"/>
      <c r="D6" s="1127"/>
      <c r="E6" s="1130"/>
      <c r="F6" s="1143" t="s">
        <v>423</v>
      </c>
      <c r="G6" s="1156" t="s">
        <v>15</v>
      </c>
      <c r="H6" s="1189" t="s">
        <v>16</v>
      </c>
      <c r="I6" s="1188" t="s">
        <v>77</v>
      </c>
      <c r="J6" s="1161"/>
      <c r="K6" s="1161"/>
      <c r="L6" s="1160" t="s">
        <v>165</v>
      </c>
      <c r="M6" s="1161"/>
      <c r="N6" s="1161"/>
      <c r="O6" s="1160" t="s">
        <v>100</v>
      </c>
      <c r="P6" s="1161"/>
      <c r="Q6" s="1162"/>
      <c r="R6" s="1160" t="s">
        <v>414</v>
      </c>
      <c r="S6" s="1161"/>
      <c r="T6" s="1162"/>
      <c r="U6" s="1143" t="s">
        <v>423</v>
      </c>
      <c r="V6" s="1156" t="s">
        <v>424</v>
      </c>
      <c r="W6" s="1158" t="s">
        <v>16</v>
      </c>
      <c r="X6" s="1186" t="s">
        <v>423</v>
      </c>
      <c r="Y6" s="1152" t="s">
        <v>424</v>
      </c>
      <c r="Z6" s="1154" t="s">
        <v>16</v>
      </c>
      <c r="AA6" s="411"/>
      <c r="AB6" s="1143" t="s">
        <v>423</v>
      </c>
      <c r="AC6" s="1145" t="s">
        <v>424</v>
      </c>
      <c r="AD6" s="1147" t="s">
        <v>16</v>
      </c>
    </row>
    <row r="7" spans="1:32" ht="25.35" customHeight="1" thickBot="1" x14ac:dyDescent="0.45">
      <c r="A7" s="1123"/>
      <c r="B7" s="1124"/>
      <c r="C7" s="1125"/>
      <c r="D7" s="1128"/>
      <c r="E7" s="1131"/>
      <c r="F7" s="1144"/>
      <c r="G7" s="1157"/>
      <c r="H7" s="1190"/>
      <c r="I7" s="412" t="s">
        <v>423</v>
      </c>
      <c r="J7" s="413" t="s">
        <v>15</v>
      </c>
      <c r="K7" s="414" t="s">
        <v>16</v>
      </c>
      <c r="L7" s="415" t="s">
        <v>423</v>
      </c>
      <c r="M7" s="413" t="s">
        <v>15</v>
      </c>
      <c r="N7" s="414" t="s">
        <v>16</v>
      </c>
      <c r="O7" s="415" t="s">
        <v>423</v>
      </c>
      <c r="P7" s="413" t="s">
        <v>424</v>
      </c>
      <c r="Q7" s="414" t="s">
        <v>16</v>
      </c>
      <c r="R7" s="416" t="s">
        <v>425</v>
      </c>
      <c r="S7" s="417" t="s">
        <v>424</v>
      </c>
      <c r="T7" s="418" t="s">
        <v>17</v>
      </c>
      <c r="U7" s="1144"/>
      <c r="V7" s="1157"/>
      <c r="W7" s="1159"/>
      <c r="X7" s="1187"/>
      <c r="Y7" s="1153"/>
      <c r="Z7" s="1155"/>
      <c r="AA7" s="411"/>
      <c r="AB7" s="1144"/>
      <c r="AC7" s="1146"/>
      <c r="AD7" s="1148"/>
    </row>
    <row r="8" spans="1:32" ht="29.25" customHeight="1" x14ac:dyDescent="0.4">
      <c r="A8" s="191"/>
      <c r="B8" s="1184" t="s">
        <v>18</v>
      </c>
      <c r="C8" s="1185"/>
      <c r="D8" s="220" t="e">
        <f>D9+D12+D15</f>
        <v>#REF!</v>
      </c>
      <c r="E8" s="221" t="e">
        <f>E9+E12+E15</f>
        <v>#REF!</v>
      </c>
      <c r="F8" s="222" t="e">
        <f>F9+F12+F15</f>
        <v>#REF!</v>
      </c>
      <c r="G8" s="223" t="e">
        <f t="shared" ref="G8:H8" si="0">G9+G12+G15</f>
        <v>#REF!</v>
      </c>
      <c r="H8" s="224" t="e">
        <f t="shared" si="0"/>
        <v>#REF!</v>
      </c>
      <c r="I8" s="225" t="e">
        <f>I9+I12+I15</f>
        <v>#REF!</v>
      </c>
      <c r="J8" s="226" t="e">
        <f t="shared" ref="J8" si="1">J9+J12+J15</f>
        <v>#REF!</v>
      </c>
      <c r="K8" s="227" t="e">
        <f>J8-I8</f>
        <v>#REF!</v>
      </c>
      <c r="L8" s="228" t="e">
        <f>L9+L12+L15</f>
        <v>#REF!</v>
      </c>
      <c r="M8" s="226" t="e">
        <f t="shared" ref="M8" si="2">M9+M12+M15</f>
        <v>#REF!</v>
      </c>
      <c r="N8" s="227" t="e">
        <f>M8-L8</f>
        <v>#REF!</v>
      </c>
      <c r="O8" s="228" t="e">
        <f>O9+O12+O15</f>
        <v>#REF!</v>
      </c>
      <c r="P8" s="226" t="e">
        <f t="shared" ref="P8" si="3">P9+P12+P15</f>
        <v>#REF!</v>
      </c>
      <c r="Q8" s="227" t="e">
        <f>P8-O8</f>
        <v>#REF!</v>
      </c>
      <c r="R8" s="229" t="e">
        <f>R9+R12+R15</f>
        <v>#REF!</v>
      </c>
      <c r="S8" s="226" t="e">
        <f t="shared" ref="S8" si="4">S9+S12+S15</f>
        <v>#REF!</v>
      </c>
      <c r="T8" s="230" t="e">
        <f>S8-R8</f>
        <v>#REF!</v>
      </c>
      <c r="U8" s="229" t="e">
        <f>U9+U12+U15</f>
        <v>#REF!</v>
      </c>
      <c r="V8" s="223" t="e">
        <f t="shared" ref="V8" si="5">V9+V12+V15</f>
        <v>#REF!</v>
      </c>
      <c r="W8" s="231" t="e">
        <f>V8-U8</f>
        <v>#REF!</v>
      </c>
      <c r="X8" s="229" t="e">
        <f>X9+X12+X15</f>
        <v>#REF!</v>
      </c>
      <c r="Y8" s="226" t="e">
        <f t="shared" ref="Y8" si="6">Y9+Y12+Y15</f>
        <v>#REF!</v>
      </c>
      <c r="Z8" s="232" t="e">
        <f>Y8-X8</f>
        <v>#REF!</v>
      </c>
      <c r="AA8" s="214"/>
      <c r="AB8" s="222" t="e">
        <f>AB9+AB12+AB15</f>
        <v>#REF!</v>
      </c>
      <c r="AC8" s="233" t="e">
        <f t="shared" ref="AC8" si="7">AC9+AC12+AC15</f>
        <v>#REF!</v>
      </c>
      <c r="AD8" s="232" t="e">
        <f>AC8-AB8</f>
        <v>#REF!</v>
      </c>
    </row>
    <row r="9" spans="1:32" ht="25.35" customHeight="1" x14ac:dyDescent="0.4">
      <c r="A9" s="191"/>
      <c r="B9" s="1191" t="s">
        <v>20</v>
      </c>
      <c r="C9" s="1192"/>
      <c r="D9" s="234">
        <f>SUM(D10:D11)</f>
        <v>549.53105600000004</v>
      </c>
      <c r="E9" s="235">
        <f>SUM(E10:E11)</f>
        <v>595.19047599999999</v>
      </c>
      <c r="F9" s="236" t="e">
        <f>SUM(F10:F11)</f>
        <v>#REF!</v>
      </c>
      <c r="G9" s="237" t="e">
        <f t="shared" ref="G9:H9" si="8">SUM(G10:G11)</f>
        <v>#REF!</v>
      </c>
      <c r="H9" s="238" t="e">
        <f t="shared" si="8"/>
        <v>#REF!</v>
      </c>
      <c r="I9" s="239" t="e">
        <f t="shared" ref="I9:P9" si="9">SUM(I10:I11)</f>
        <v>#REF!</v>
      </c>
      <c r="J9" s="240" t="e">
        <f t="shared" si="9"/>
        <v>#REF!</v>
      </c>
      <c r="K9" s="241" t="e">
        <f t="shared" ref="K9:K20" si="10">J9-I9</f>
        <v>#REF!</v>
      </c>
      <c r="L9" s="242" t="e">
        <f t="shared" si="9"/>
        <v>#REF!</v>
      </c>
      <c r="M9" s="240" t="e">
        <f t="shared" si="9"/>
        <v>#REF!</v>
      </c>
      <c r="N9" s="241" t="e">
        <f t="shared" ref="N9:N20" si="11">M9-L9</f>
        <v>#REF!</v>
      </c>
      <c r="O9" s="242" t="e">
        <f t="shared" si="9"/>
        <v>#REF!</v>
      </c>
      <c r="P9" s="240" t="e">
        <f t="shared" si="9"/>
        <v>#REF!</v>
      </c>
      <c r="Q9" s="241" t="e">
        <f t="shared" ref="Q9:Q20" si="12">P9-O9</f>
        <v>#REF!</v>
      </c>
      <c r="R9" s="238" t="e">
        <f t="shared" ref="R9:V9" si="13">SUM(R10:R11)</f>
        <v>#REF!</v>
      </c>
      <c r="S9" s="240" t="e">
        <f t="shared" si="13"/>
        <v>#REF!</v>
      </c>
      <c r="T9" s="243" t="e">
        <f t="shared" ref="T9:T20" si="14">S9-R9</f>
        <v>#REF!</v>
      </c>
      <c r="U9" s="238" t="e">
        <f t="shared" si="13"/>
        <v>#REF!</v>
      </c>
      <c r="V9" s="237" t="e">
        <f t="shared" si="13"/>
        <v>#REF!</v>
      </c>
      <c r="W9" s="244" t="e">
        <f t="shared" ref="W9:W20" si="15">V9-U9</f>
        <v>#REF!</v>
      </c>
      <c r="X9" s="238" t="e">
        <f t="shared" ref="X9:Y9" si="16">SUM(X10:X11)</f>
        <v>#REF!</v>
      </c>
      <c r="Y9" s="240" t="e">
        <f t="shared" si="16"/>
        <v>#REF!</v>
      </c>
      <c r="Z9" s="243" t="e">
        <f t="shared" ref="Z9:Z20" si="17">Y9-X9</f>
        <v>#REF!</v>
      </c>
      <c r="AA9" s="245"/>
      <c r="AB9" s="236" t="e">
        <f>SUM(AB10:AB11)</f>
        <v>#REF!</v>
      </c>
      <c r="AC9" s="246" t="e">
        <f t="shared" ref="AC9" si="18">SUM(AC10:AC11)</f>
        <v>#REF!</v>
      </c>
      <c r="AD9" s="247" t="e">
        <f t="shared" ref="AD9:AD20" si="19">AC9-AB9</f>
        <v>#REF!</v>
      </c>
    </row>
    <row r="10" spans="1:32" ht="25.35" customHeight="1" x14ac:dyDescent="0.4">
      <c r="A10" s="191"/>
      <c r="B10" s="1193"/>
      <c r="C10" s="419" t="s">
        <v>131</v>
      </c>
      <c r="D10" s="248">
        <v>529.03660160000004</v>
      </c>
      <c r="E10" s="249">
        <v>586.22558800000002</v>
      </c>
      <c r="F10" s="250" t="e">
        <f>#REF!+#REF!</f>
        <v>#REF!</v>
      </c>
      <c r="G10" s="251" t="e">
        <f>#REF!+#REF!</f>
        <v>#REF!</v>
      </c>
      <c r="H10" s="252" t="e">
        <f>G10-F10</f>
        <v>#REF!</v>
      </c>
      <c r="I10" s="253" t="e">
        <f>#REF!</f>
        <v>#REF!</v>
      </c>
      <c r="J10" s="254" t="e">
        <f>#REF!</f>
        <v>#REF!</v>
      </c>
      <c r="K10" s="255" t="e">
        <f t="shared" si="10"/>
        <v>#REF!</v>
      </c>
      <c r="L10" s="256" t="e">
        <f>#REF!</f>
        <v>#REF!</v>
      </c>
      <c r="M10" s="257" t="e">
        <f>#REF!</f>
        <v>#REF!</v>
      </c>
      <c r="N10" s="255" t="e">
        <f t="shared" si="11"/>
        <v>#REF!</v>
      </c>
      <c r="O10" s="256" t="e">
        <f>#REF!</f>
        <v>#REF!</v>
      </c>
      <c r="P10" s="254" t="e">
        <f>#REF!</f>
        <v>#REF!</v>
      </c>
      <c r="Q10" s="255" t="e">
        <f t="shared" si="12"/>
        <v>#REF!</v>
      </c>
      <c r="R10" s="258" t="e">
        <f>I10+L10+O10</f>
        <v>#REF!</v>
      </c>
      <c r="S10" s="259" t="e">
        <f>J10+M10+P10</f>
        <v>#REF!</v>
      </c>
      <c r="T10" s="260" t="e">
        <f t="shared" si="14"/>
        <v>#REF!</v>
      </c>
      <c r="U10" s="250" t="e">
        <f>R10+F10</f>
        <v>#REF!</v>
      </c>
      <c r="V10" s="251" t="e">
        <f>S10+G10</f>
        <v>#REF!</v>
      </c>
      <c r="W10" s="261" t="e">
        <f t="shared" si="15"/>
        <v>#REF!</v>
      </c>
      <c r="X10" s="258" t="e">
        <f>#REF!</f>
        <v>#REF!</v>
      </c>
      <c r="Y10" s="259" t="e">
        <f>#REF!</f>
        <v>#REF!</v>
      </c>
      <c r="Z10" s="260" t="e">
        <f t="shared" si="17"/>
        <v>#REF!</v>
      </c>
      <c r="AA10" s="214"/>
      <c r="AB10" s="250" t="e">
        <f>F10+R10+X10</f>
        <v>#REF!</v>
      </c>
      <c r="AC10" s="262" t="e">
        <f>G10+S10+Y10</f>
        <v>#REF!</v>
      </c>
      <c r="AD10" s="263" t="e">
        <f t="shared" si="19"/>
        <v>#REF!</v>
      </c>
    </row>
    <row r="11" spans="1:32" ht="25.35" customHeight="1" x14ac:dyDescent="0.4">
      <c r="A11" s="191"/>
      <c r="B11" s="1193"/>
      <c r="C11" s="420" t="s">
        <v>51</v>
      </c>
      <c r="D11" s="264">
        <v>20.494454400000002</v>
      </c>
      <c r="E11" s="265">
        <v>8.9648879999999984</v>
      </c>
      <c r="F11" s="266" t="e">
        <f>#REF!+#REF!</f>
        <v>#REF!</v>
      </c>
      <c r="G11" s="267" t="e">
        <f>#REF!+#REF!</f>
        <v>#REF!</v>
      </c>
      <c r="H11" s="268" t="e">
        <f>G11-F11</f>
        <v>#REF!</v>
      </c>
      <c r="I11" s="269" t="e">
        <f>#REF!</f>
        <v>#REF!</v>
      </c>
      <c r="J11" s="270" t="e">
        <f>#REF!</f>
        <v>#REF!</v>
      </c>
      <c r="K11" s="271" t="e">
        <f t="shared" si="10"/>
        <v>#REF!</v>
      </c>
      <c r="L11" s="272" t="e">
        <f>#REF!</f>
        <v>#REF!</v>
      </c>
      <c r="M11" s="270" t="e">
        <f>#REF!</f>
        <v>#REF!</v>
      </c>
      <c r="N11" s="271" t="e">
        <f t="shared" si="11"/>
        <v>#REF!</v>
      </c>
      <c r="O11" s="272" t="e">
        <f>#REF!</f>
        <v>#REF!</v>
      </c>
      <c r="P11" s="270" t="e">
        <f>#REF!</f>
        <v>#REF!</v>
      </c>
      <c r="Q11" s="271" t="e">
        <f t="shared" si="12"/>
        <v>#REF!</v>
      </c>
      <c r="R11" s="273" t="e">
        <f>I11+L11+O11</f>
        <v>#REF!</v>
      </c>
      <c r="S11" s="274" t="e">
        <f>J11+M11+P11</f>
        <v>#REF!</v>
      </c>
      <c r="T11" s="275" t="e">
        <f t="shared" si="14"/>
        <v>#REF!</v>
      </c>
      <c r="U11" s="266" t="e">
        <f>R11+F11</f>
        <v>#REF!</v>
      </c>
      <c r="V11" s="267" t="e">
        <f>S11+G11</f>
        <v>#REF!</v>
      </c>
      <c r="W11" s="276" t="e">
        <f t="shared" si="15"/>
        <v>#REF!</v>
      </c>
      <c r="X11" s="273" t="e">
        <f>#REF!</f>
        <v>#REF!</v>
      </c>
      <c r="Y11" s="274" t="e">
        <f>#REF!</f>
        <v>#REF!</v>
      </c>
      <c r="Z11" s="275" t="e">
        <f t="shared" si="17"/>
        <v>#REF!</v>
      </c>
      <c r="AA11" s="214"/>
      <c r="AB11" s="266" t="e">
        <f>F11+R11+X11</f>
        <v>#REF!</v>
      </c>
      <c r="AC11" s="277" t="e">
        <f>G11+S11+Y11</f>
        <v>#REF!</v>
      </c>
      <c r="AD11" s="278" t="e">
        <f t="shared" si="19"/>
        <v>#REF!</v>
      </c>
      <c r="AF11" s="5"/>
    </row>
    <row r="12" spans="1:32" ht="25.35" customHeight="1" x14ac:dyDescent="0.4">
      <c r="A12" s="191"/>
      <c r="B12" s="1191" t="s">
        <v>25</v>
      </c>
      <c r="C12" s="1192"/>
      <c r="D12" s="279">
        <f>SUM(D13:D14)</f>
        <v>75.481552700000009</v>
      </c>
      <c r="E12" s="280">
        <f>SUM(E13:E14)</f>
        <v>118.82992159999999</v>
      </c>
      <c r="F12" s="281" t="e">
        <f>SUM(F13:F14)</f>
        <v>#REF!</v>
      </c>
      <c r="G12" s="282" t="e">
        <f t="shared" ref="G12:H12" si="20">SUM(G13:G14)</f>
        <v>#REF!</v>
      </c>
      <c r="H12" s="283" t="e">
        <f t="shared" si="20"/>
        <v>#REF!</v>
      </c>
      <c r="I12" s="239" t="e">
        <f t="shared" ref="I12:P12" si="21">SUM(I13:I14)</f>
        <v>#REF!</v>
      </c>
      <c r="J12" s="240" t="e">
        <f t="shared" si="21"/>
        <v>#REF!</v>
      </c>
      <c r="K12" s="241" t="e">
        <f t="shared" si="10"/>
        <v>#REF!</v>
      </c>
      <c r="L12" s="242" t="e">
        <f t="shared" si="21"/>
        <v>#REF!</v>
      </c>
      <c r="M12" s="240" t="e">
        <f t="shared" si="21"/>
        <v>#REF!</v>
      </c>
      <c r="N12" s="241" t="e">
        <f t="shared" si="11"/>
        <v>#REF!</v>
      </c>
      <c r="O12" s="242" t="e">
        <f t="shared" si="21"/>
        <v>#REF!</v>
      </c>
      <c r="P12" s="240" t="e">
        <f t="shared" si="21"/>
        <v>#REF!</v>
      </c>
      <c r="Q12" s="241" t="e">
        <f t="shared" si="12"/>
        <v>#REF!</v>
      </c>
      <c r="R12" s="238" t="e">
        <f t="shared" ref="R12:V12" si="22">SUM(R13:R14)</f>
        <v>#REF!</v>
      </c>
      <c r="S12" s="284" t="e">
        <f t="shared" si="22"/>
        <v>#REF!</v>
      </c>
      <c r="T12" s="285" t="e">
        <f t="shared" si="14"/>
        <v>#REF!</v>
      </c>
      <c r="U12" s="238" t="e">
        <f t="shared" si="22"/>
        <v>#REF!</v>
      </c>
      <c r="V12" s="282" t="e">
        <f t="shared" si="22"/>
        <v>#REF!</v>
      </c>
      <c r="W12" s="286" t="e">
        <f t="shared" si="15"/>
        <v>#REF!</v>
      </c>
      <c r="X12" s="238" t="e">
        <f t="shared" ref="X12:Y12" si="23">SUM(X13:X14)</f>
        <v>#REF!</v>
      </c>
      <c r="Y12" s="284" t="e">
        <f t="shared" si="23"/>
        <v>#REF!</v>
      </c>
      <c r="Z12" s="285" t="e">
        <f t="shared" si="17"/>
        <v>#REF!</v>
      </c>
      <c r="AA12" s="245"/>
      <c r="AB12" s="281" t="e">
        <f>SUM(AB13:AB14)</f>
        <v>#REF!</v>
      </c>
      <c r="AC12" s="287" t="e">
        <f t="shared" ref="AC12" si="24">SUM(AC13:AC14)</f>
        <v>#REF!</v>
      </c>
      <c r="AD12" s="288" t="e">
        <f t="shared" si="19"/>
        <v>#REF!</v>
      </c>
      <c r="AF12" s="197" t="s">
        <v>426</v>
      </c>
    </row>
    <row r="13" spans="1:32" ht="25.35" customHeight="1" x14ac:dyDescent="0.4">
      <c r="A13" s="191"/>
      <c r="B13" s="1193"/>
      <c r="C13" s="421" t="s">
        <v>27</v>
      </c>
      <c r="D13" s="289">
        <v>65.199321700000013</v>
      </c>
      <c r="E13" s="249">
        <v>85.205764599999995</v>
      </c>
      <c r="F13" s="250" t="e">
        <f>#REF!+#REF!</f>
        <v>#REF!</v>
      </c>
      <c r="G13" s="251" t="e">
        <f>#REF!+#REF!</f>
        <v>#REF!</v>
      </c>
      <c r="H13" s="290" t="e">
        <f t="shared" ref="H13:H14" si="25">G13-F13</f>
        <v>#REF!</v>
      </c>
      <c r="I13" s="291" t="e">
        <f>#REF!</f>
        <v>#REF!</v>
      </c>
      <c r="J13" s="292" t="e">
        <f>#REF!</f>
        <v>#REF!</v>
      </c>
      <c r="K13" s="293" t="e">
        <f t="shared" si="10"/>
        <v>#REF!</v>
      </c>
      <c r="L13" s="294" t="e">
        <f>#REF!</f>
        <v>#REF!</v>
      </c>
      <c r="M13" s="292" t="e">
        <f>#REF!</f>
        <v>#REF!</v>
      </c>
      <c r="N13" s="293" t="e">
        <f t="shared" si="11"/>
        <v>#REF!</v>
      </c>
      <c r="O13" s="294" t="e">
        <f>#REF!</f>
        <v>#REF!</v>
      </c>
      <c r="P13" s="292" t="e">
        <f>#REF!</f>
        <v>#REF!</v>
      </c>
      <c r="Q13" s="293" t="e">
        <f t="shared" si="12"/>
        <v>#REF!</v>
      </c>
      <c r="R13" s="258" t="e">
        <f>I13+L13+O13</f>
        <v>#REF!</v>
      </c>
      <c r="S13" s="259" t="e">
        <f>J13+M13+P13</f>
        <v>#REF!</v>
      </c>
      <c r="T13" s="295" t="e">
        <f t="shared" si="14"/>
        <v>#REF!</v>
      </c>
      <c r="U13" s="250" t="e">
        <f>R13+F13</f>
        <v>#REF!</v>
      </c>
      <c r="V13" s="251" t="e">
        <f>S13+G13</f>
        <v>#REF!</v>
      </c>
      <c r="W13" s="296" t="e">
        <f t="shared" si="15"/>
        <v>#REF!</v>
      </c>
      <c r="X13" s="258" t="e">
        <f>#REF!</f>
        <v>#REF!</v>
      </c>
      <c r="Y13" s="259" t="e">
        <f>#REF!</f>
        <v>#REF!</v>
      </c>
      <c r="Z13" s="295" t="e">
        <f t="shared" si="17"/>
        <v>#REF!</v>
      </c>
      <c r="AA13" s="214"/>
      <c r="AB13" s="250" t="e">
        <f>F13+R13+X13</f>
        <v>#REF!</v>
      </c>
      <c r="AC13" s="262" t="e">
        <f>G13+S13+Y13</f>
        <v>#REF!</v>
      </c>
      <c r="AD13" s="297" t="e">
        <f t="shared" si="19"/>
        <v>#REF!</v>
      </c>
      <c r="AF13" t="s">
        <v>427</v>
      </c>
    </row>
    <row r="14" spans="1:32" ht="25.35" customHeight="1" x14ac:dyDescent="0.4">
      <c r="A14" s="191"/>
      <c r="B14" s="1193"/>
      <c r="C14" s="422" t="s">
        <v>26</v>
      </c>
      <c r="D14" s="298">
        <v>10.282230999999999</v>
      </c>
      <c r="E14" s="299">
        <v>33.624156999999997</v>
      </c>
      <c r="F14" s="300" t="e">
        <f>#REF!+#REF!</f>
        <v>#REF!</v>
      </c>
      <c r="G14" s="267" t="e">
        <f>#REF!+#REF!</f>
        <v>#REF!</v>
      </c>
      <c r="H14" s="301" t="e">
        <f t="shared" si="25"/>
        <v>#REF!</v>
      </c>
      <c r="I14" s="302" t="e">
        <f>#REF!</f>
        <v>#REF!</v>
      </c>
      <c r="J14" s="303" t="e">
        <f>#REF!</f>
        <v>#REF!</v>
      </c>
      <c r="K14" s="304" t="e">
        <f t="shared" si="10"/>
        <v>#REF!</v>
      </c>
      <c r="L14" s="305" t="e">
        <f>#REF!</f>
        <v>#REF!</v>
      </c>
      <c r="M14" s="303" t="e">
        <f>#REF!</f>
        <v>#REF!</v>
      </c>
      <c r="N14" s="304" t="e">
        <f t="shared" si="11"/>
        <v>#REF!</v>
      </c>
      <c r="O14" s="305" t="e">
        <f>#REF!</f>
        <v>#REF!</v>
      </c>
      <c r="P14" s="303" t="e">
        <f>#REF!</f>
        <v>#REF!</v>
      </c>
      <c r="Q14" s="304" t="e">
        <f t="shared" si="12"/>
        <v>#REF!</v>
      </c>
      <c r="R14" s="273" t="e">
        <f>I14+L14+O14</f>
        <v>#REF!</v>
      </c>
      <c r="S14" s="306" t="e">
        <f>J14+M14+P14</f>
        <v>#REF!</v>
      </c>
      <c r="T14" s="307" t="e">
        <f t="shared" si="14"/>
        <v>#REF!</v>
      </c>
      <c r="U14" s="266" t="e">
        <f>R14+F14</f>
        <v>#REF!</v>
      </c>
      <c r="V14" s="267" t="e">
        <f>S14+G14</f>
        <v>#REF!</v>
      </c>
      <c r="W14" s="308" t="e">
        <f t="shared" si="15"/>
        <v>#REF!</v>
      </c>
      <c r="X14" s="273" t="e">
        <f>#REF!</f>
        <v>#REF!</v>
      </c>
      <c r="Y14" s="306" t="e">
        <f>#REF!</f>
        <v>#REF!</v>
      </c>
      <c r="Z14" s="307" t="e">
        <f t="shared" si="17"/>
        <v>#REF!</v>
      </c>
      <c r="AA14" s="214"/>
      <c r="AB14" s="266" t="e">
        <f>F14+R14+X14</f>
        <v>#REF!</v>
      </c>
      <c r="AC14" s="277" t="e">
        <f>G14+S14+Y14</f>
        <v>#REF!</v>
      </c>
      <c r="AD14" s="309" t="e">
        <f t="shared" si="19"/>
        <v>#REF!</v>
      </c>
      <c r="AF14" t="s">
        <v>428</v>
      </c>
    </row>
    <row r="15" spans="1:32" ht="25.35" customHeight="1" x14ac:dyDescent="0.4">
      <c r="A15" s="191"/>
      <c r="B15" s="1191" t="s">
        <v>28</v>
      </c>
      <c r="C15" s="1192"/>
      <c r="D15" s="279" t="e">
        <f>SUM(D16:D20)</f>
        <v>#REF!</v>
      </c>
      <c r="E15" s="280" t="e">
        <f>SUM(E16:E20)</f>
        <v>#REF!</v>
      </c>
      <c r="F15" s="281" t="e">
        <f>SUM(F16:F20)</f>
        <v>#REF!</v>
      </c>
      <c r="G15" s="282" t="e">
        <f t="shared" ref="G15:H15" si="26">SUM(G16:G20)</f>
        <v>#REF!</v>
      </c>
      <c r="H15" s="283" t="e">
        <f t="shared" si="26"/>
        <v>#REF!</v>
      </c>
      <c r="I15" s="310" t="e">
        <f>SUM(I16:I20)</f>
        <v>#REF!</v>
      </c>
      <c r="J15" s="284" t="e">
        <f t="shared" ref="J15" si="27">SUM(J16:J20)</f>
        <v>#REF!</v>
      </c>
      <c r="K15" s="311" t="e">
        <f t="shared" si="10"/>
        <v>#REF!</v>
      </c>
      <c r="L15" s="312" t="e">
        <f>SUM(L16:L20)</f>
        <v>#REF!</v>
      </c>
      <c r="M15" s="284" t="e">
        <f t="shared" ref="M15" si="28">SUM(M16:M20)</f>
        <v>#REF!</v>
      </c>
      <c r="N15" s="311" t="e">
        <f t="shared" si="11"/>
        <v>#REF!</v>
      </c>
      <c r="O15" s="312" t="e">
        <f>SUM(O16:O20)</f>
        <v>#REF!</v>
      </c>
      <c r="P15" s="284" t="e">
        <f t="shared" ref="P15" si="29">SUM(P16:P20)</f>
        <v>#REF!</v>
      </c>
      <c r="Q15" s="311" t="e">
        <f t="shared" si="12"/>
        <v>#REF!</v>
      </c>
      <c r="R15" s="283" t="e">
        <f>SUM(R16:R20)</f>
        <v>#REF!</v>
      </c>
      <c r="S15" s="284" t="e">
        <f t="shared" ref="S15" si="30">SUM(S16:S20)</f>
        <v>#REF!</v>
      </c>
      <c r="T15" s="285" t="e">
        <f t="shared" si="14"/>
        <v>#REF!</v>
      </c>
      <c r="U15" s="283" t="e">
        <f>SUM(U16:U20)</f>
        <v>#REF!</v>
      </c>
      <c r="V15" s="282" t="e">
        <f t="shared" ref="V15" si="31">SUM(V16:V20)</f>
        <v>#REF!</v>
      </c>
      <c r="W15" s="286" t="e">
        <f t="shared" si="15"/>
        <v>#REF!</v>
      </c>
      <c r="X15" s="283" t="e">
        <f>SUM(X16:X20)</f>
        <v>#REF!</v>
      </c>
      <c r="Y15" s="284" t="e">
        <f t="shared" ref="Y15" si="32">SUM(Y16:Y20)</f>
        <v>#REF!</v>
      </c>
      <c r="Z15" s="285" t="e">
        <f t="shared" si="17"/>
        <v>#REF!</v>
      </c>
      <c r="AA15" s="245"/>
      <c r="AB15" s="281" t="e">
        <f>SUM(AB16:AB20)</f>
        <v>#REF!</v>
      </c>
      <c r="AC15" s="287" t="e">
        <f t="shared" ref="AC15" si="33">SUM(AC16:AC20)</f>
        <v>#REF!</v>
      </c>
      <c r="AD15" s="288" t="e">
        <f t="shared" si="19"/>
        <v>#REF!</v>
      </c>
      <c r="AF15" s="197" t="s">
        <v>429</v>
      </c>
    </row>
    <row r="16" spans="1:32" ht="25.35" customHeight="1" x14ac:dyDescent="0.4">
      <c r="A16" s="191"/>
      <c r="B16" s="1194"/>
      <c r="C16" s="421" t="s">
        <v>50</v>
      </c>
      <c r="D16" s="289">
        <v>29.709</v>
      </c>
      <c r="E16" s="249">
        <v>11.77</v>
      </c>
      <c r="F16" s="250" t="e">
        <f>#REF!+#REF!</f>
        <v>#REF!</v>
      </c>
      <c r="G16" s="251">
        <v>5.08</v>
      </c>
      <c r="H16" s="290" t="e">
        <f t="shared" ref="H16:H19" si="34">G16-F16</f>
        <v>#REF!</v>
      </c>
      <c r="I16" s="291" t="e">
        <f>#REF!</f>
        <v>#REF!</v>
      </c>
      <c r="J16" s="292" t="e">
        <f>#REF!</f>
        <v>#REF!</v>
      </c>
      <c r="K16" s="293" t="e">
        <f t="shared" si="10"/>
        <v>#REF!</v>
      </c>
      <c r="L16" s="294" t="e">
        <f>#REF!</f>
        <v>#REF!</v>
      </c>
      <c r="M16" s="292" t="e">
        <f>#REF!</f>
        <v>#REF!</v>
      </c>
      <c r="N16" s="293" t="e">
        <f t="shared" si="11"/>
        <v>#REF!</v>
      </c>
      <c r="O16" s="294" t="e">
        <f>#REF!</f>
        <v>#REF!</v>
      </c>
      <c r="P16" s="254" t="e">
        <f>#REF!</f>
        <v>#REF!</v>
      </c>
      <c r="Q16" s="293" t="e">
        <f t="shared" si="12"/>
        <v>#REF!</v>
      </c>
      <c r="R16" s="258" t="e">
        <f>I16+L16+O16</f>
        <v>#REF!</v>
      </c>
      <c r="S16" s="426" t="e">
        <f>J16+M16+P16</f>
        <v>#REF!</v>
      </c>
      <c r="T16" s="295" t="e">
        <f t="shared" si="14"/>
        <v>#REF!</v>
      </c>
      <c r="U16" s="250" t="e">
        <f>R16+F16</f>
        <v>#REF!</v>
      </c>
      <c r="V16" s="251" t="e">
        <f>S16+G16</f>
        <v>#REF!</v>
      </c>
      <c r="W16" s="296" t="e">
        <f t="shared" si="15"/>
        <v>#REF!</v>
      </c>
      <c r="X16" s="258" t="e">
        <f>#REF!</f>
        <v>#REF!</v>
      </c>
      <c r="Y16" s="259" t="e">
        <f>#REF!</f>
        <v>#REF!</v>
      </c>
      <c r="Z16" s="295" t="e">
        <f t="shared" si="17"/>
        <v>#REF!</v>
      </c>
      <c r="AA16" s="214"/>
      <c r="AB16" s="250" t="e">
        <f>F16+R16+X16</f>
        <v>#REF!</v>
      </c>
      <c r="AC16" s="262" t="e">
        <f>G16+S16+Y16</f>
        <v>#REF!</v>
      </c>
      <c r="AD16" s="263" t="e">
        <f t="shared" si="19"/>
        <v>#REF!</v>
      </c>
      <c r="AF16" t="s">
        <v>430</v>
      </c>
    </row>
    <row r="17" spans="1:32" ht="25.35" customHeight="1" x14ac:dyDescent="0.4">
      <c r="A17" s="191"/>
      <c r="B17" s="1194"/>
      <c r="C17" s="423" t="s">
        <v>30</v>
      </c>
      <c r="D17" s="313">
        <v>27.535000000000004</v>
      </c>
      <c r="E17" s="314">
        <v>19.098750000000003</v>
      </c>
      <c r="F17" s="315" t="e">
        <f>#REF!+#REF!</f>
        <v>#REF!</v>
      </c>
      <c r="G17" s="316">
        <v>7.4675000000000002</v>
      </c>
      <c r="H17" s="317" t="e">
        <f t="shared" si="34"/>
        <v>#REF!</v>
      </c>
      <c r="I17" s="318" t="e">
        <f>#REF!</f>
        <v>#REF!</v>
      </c>
      <c r="J17" s="319" t="e">
        <f>#REF!</f>
        <v>#REF!</v>
      </c>
      <c r="K17" s="320" t="e">
        <f t="shared" si="10"/>
        <v>#REF!</v>
      </c>
      <c r="L17" s="321" t="e">
        <f>#REF!</f>
        <v>#REF!</v>
      </c>
      <c r="M17" s="319" t="e">
        <f>#REF!</f>
        <v>#REF!</v>
      </c>
      <c r="N17" s="320" t="e">
        <f t="shared" si="11"/>
        <v>#REF!</v>
      </c>
      <c r="O17" s="321" t="e">
        <f>#REF!</f>
        <v>#REF!</v>
      </c>
      <c r="P17" s="330" t="e">
        <f>#REF!</f>
        <v>#REF!</v>
      </c>
      <c r="Q17" s="320" t="e">
        <f t="shared" si="12"/>
        <v>#REF!</v>
      </c>
      <c r="R17" s="322" t="e">
        <f t="shared" ref="R17:S20" si="35">I17+L17+O17</f>
        <v>#REF!</v>
      </c>
      <c r="S17" s="427" t="e">
        <f t="shared" si="35"/>
        <v>#REF!</v>
      </c>
      <c r="T17" s="324" t="e">
        <f t="shared" si="14"/>
        <v>#REF!</v>
      </c>
      <c r="U17" s="315" t="e">
        <f t="shared" ref="U17:U20" si="36">R17+F17</f>
        <v>#REF!</v>
      </c>
      <c r="V17" s="316" t="e">
        <f t="shared" ref="V17:V20" si="37">S17+G17</f>
        <v>#REF!</v>
      </c>
      <c r="W17" s="325" t="e">
        <f t="shared" si="15"/>
        <v>#REF!</v>
      </c>
      <c r="X17" s="322" t="e">
        <f>#REF!</f>
        <v>#REF!</v>
      </c>
      <c r="Y17" s="323" t="e">
        <f>#REF!</f>
        <v>#REF!</v>
      </c>
      <c r="Z17" s="324" t="e">
        <f t="shared" si="17"/>
        <v>#REF!</v>
      </c>
      <c r="AA17" s="214"/>
      <c r="AB17" s="315" t="e">
        <f t="shared" ref="AB17:AB20" si="38">F17+R17+X17</f>
        <v>#REF!</v>
      </c>
      <c r="AC17" s="326" t="e">
        <f t="shared" ref="AC17:AC20" si="39">G17+S17+Y17</f>
        <v>#REF!</v>
      </c>
      <c r="AD17" s="327" t="e">
        <f t="shared" si="19"/>
        <v>#REF!</v>
      </c>
      <c r="AF17" t="s">
        <v>431</v>
      </c>
    </row>
    <row r="18" spans="1:32" ht="25.35" customHeight="1" x14ac:dyDescent="0.4">
      <c r="A18" s="191"/>
      <c r="B18" s="1194"/>
      <c r="C18" s="423" t="s">
        <v>29</v>
      </c>
      <c r="D18" s="313">
        <v>75.070822480000004</v>
      </c>
      <c r="E18" s="314">
        <v>30.988331480000006</v>
      </c>
      <c r="F18" s="315" t="e">
        <f>#REF!+#REF!</f>
        <v>#REF!</v>
      </c>
      <c r="G18" s="316">
        <v>12.22566574</v>
      </c>
      <c r="H18" s="328" t="e">
        <f t="shared" si="34"/>
        <v>#REF!</v>
      </c>
      <c r="I18" s="329" t="e">
        <f>#REF!</f>
        <v>#REF!</v>
      </c>
      <c r="J18" s="330" t="e">
        <f>#REF!</f>
        <v>#REF!</v>
      </c>
      <c r="K18" s="331" t="e">
        <f t="shared" si="10"/>
        <v>#REF!</v>
      </c>
      <c r="L18" s="332" t="e">
        <f>#REF!</f>
        <v>#REF!</v>
      </c>
      <c r="M18" s="330" t="e">
        <f>#REF!</f>
        <v>#REF!</v>
      </c>
      <c r="N18" s="331" t="e">
        <f t="shared" si="11"/>
        <v>#REF!</v>
      </c>
      <c r="O18" s="332" t="e">
        <f>#REF!</f>
        <v>#REF!</v>
      </c>
      <c r="P18" s="330" t="e">
        <f>#REF!</f>
        <v>#REF!</v>
      </c>
      <c r="Q18" s="333" t="e">
        <f t="shared" si="12"/>
        <v>#REF!</v>
      </c>
      <c r="R18" s="322" t="e">
        <f t="shared" si="35"/>
        <v>#REF!</v>
      </c>
      <c r="S18" s="427" t="e">
        <f t="shared" si="35"/>
        <v>#REF!</v>
      </c>
      <c r="T18" s="324" t="e">
        <f t="shared" si="14"/>
        <v>#REF!</v>
      </c>
      <c r="U18" s="315" t="e">
        <f t="shared" si="36"/>
        <v>#REF!</v>
      </c>
      <c r="V18" s="316" t="e">
        <f t="shared" si="37"/>
        <v>#REF!</v>
      </c>
      <c r="W18" s="334" t="e">
        <f t="shared" si="15"/>
        <v>#REF!</v>
      </c>
      <c r="X18" s="322" t="e">
        <f>#REF!</f>
        <v>#REF!</v>
      </c>
      <c r="Y18" s="323" t="e">
        <f>#REF!</f>
        <v>#REF!</v>
      </c>
      <c r="Z18" s="324" t="e">
        <f t="shared" si="17"/>
        <v>#REF!</v>
      </c>
      <c r="AA18" s="214"/>
      <c r="AB18" s="315" t="e">
        <f t="shared" si="38"/>
        <v>#REF!</v>
      </c>
      <c r="AC18" s="326" t="e">
        <f t="shared" si="39"/>
        <v>#REF!</v>
      </c>
      <c r="AD18" s="335" t="e">
        <f t="shared" si="19"/>
        <v>#REF!</v>
      </c>
      <c r="AF18" t="s">
        <v>432</v>
      </c>
    </row>
    <row r="19" spans="1:32" ht="25.35" customHeight="1" x14ac:dyDescent="0.4">
      <c r="A19" s="191"/>
      <c r="B19" s="1194"/>
      <c r="C19" s="424" t="s">
        <v>22</v>
      </c>
      <c r="D19" s="336">
        <v>11.9</v>
      </c>
      <c r="E19" s="337">
        <v>5.9499999999999993</v>
      </c>
      <c r="F19" s="338" t="e">
        <f>#REF!+#REF!</f>
        <v>#REF!</v>
      </c>
      <c r="G19" s="339">
        <v>27.006250000000001</v>
      </c>
      <c r="H19" s="340" t="e">
        <f t="shared" si="34"/>
        <v>#REF!</v>
      </c>
      <c r="I19" s="341" t="e">
        <f>#REF!</f>
        <v>#REF!</v>
      </c>
      <c r="J19" s="342" t="e">
        <f>#REF!</f>
        <v>#REF!</v>
      </c>
      <c r="K19" s="343" t="e">
        <f t="shared" si="10"/>
        <v>#REF!</v>
      </c>
      <c r="L19" s="344" t="e">
        <f>#REF!</f>
        <v>#REF!</v>
      </c>
      <c r="M19" s="345" t="e">
        <f>#REF!-0.27252</f>
        <v>#REF!</v>
      </c>
      <c r="N19" s="343" t="e">
        <f t="shared" si="11"/>
        <v>#REF!</v>
      </c>
      <c r="O19" s="344" t="e">
        <f>#REF!</f>
        <v>#REF!</v>
      </c>
      <c r="P19" s="430" t="e">
        <f>#REF!</f>
        <v>#REF!</v>
      </c>
      <c r="Q19" s="343" t="e">
        <f t="shared" si="12"/>
        <v>#REF!</v>
      </c>
      <c r="R19" s="346" t="e">
        <f t="shared" si="35"/>
        <v>#REF!</v>
      </c>
      <c r="S19" s="428" t="e">
        <f t="shared" si="35"/>
        <v>#REF!</v>
      </c>
      <c r="T19" s="348" t="e">
        <f t="shared" si="14"/>
        <v>#REF!</v>
      </c>
      <c r="U19" s="338" t="e">
        <f t="shared" si="36"/>
        <v>#REF!</v>
      </c>
      <c r="V19" s="339" t="e">
        <f t="shared" si="37"/>
        <v>#REF!</v>
      </c>
      <c r="W19" s="349" t="e">
        <f t="shared" si="15"/>
        <v>#REF!</v>
      </c>
      <c r="X19" s="346" t="e">
        <f>#REF!</f>
        <v>#REF!</v>
      </c>
      <c r="Y19" s="347" t="e">
        <f>#REF!</f>
        <v>#REF!</v>
      </c>
      <c r="Z19" s="348" t="e">
        <f t="shared" si="17"/>
        <v>#REF!</v>
      </c>
      <c r="AA19" s="214"/>
      <c r="AB19" s="338" t="e">
        <f t="shared" si="38"/>
        <v>#REF!</v>
      </c>
      <c r="AC19" s="350" t="e">
        <f t="shared" si="39"/>
        <v>#REF!</v>
      </c>
      <c r="AD19" s="351" t="e">
        <f t="shared" si="19"/>
        <v>#REF!</v>
      </c>
      <c r="AF19" t="s">
        <v>433</v>
      </c>
    </row>
    <row r="20" spans="1:32" ht="25.35" customHeight="1" thickBot="1" x14ac:dyDescent="0.45">
      <c r="A20" s="192"/>
      <c r="B20" s="1195"/>
      <c r="C20" s="193" t="s">
        <v>412</v>
      </c>
      <c r="D20" s="352" t="e">
        <f>W39</f>
        <v>#REF!</v>
      </c>
      <c r="E20" s="353" t="e">
        <f>AB20</f>
        <v>#REF!</v>
      </c>
      <c r="F20" s="354" t="e">
        <f>SUM(#REF!)/10^8</f>
        <v>#REF!</v>
      </c>
      <c r="G20" s="355" t="e">
        <f>L39</f>
        <v>#REF!</v>
      </c>
      <c r="H20" s="356" t="e">
        <f>G20-F20</f>
        <v>#REF!</v>
      </c>
      <c r="I20" s="357" t="e">
        <f>#REF!/10^8</f>
        <v>#REF!</v>
      </c>
      <c r="J20" s="358" t="e">
        <f>#REF!/10^8</f>
        <v>#REF!</v>
      </c>
      <c r="K20" s="359" t="e">
        <f t="shared" si="10"/>
        <v>#REF!</v>
      </c>
      <c r="L20" s="360" t="e">
        <f>#REF!/10^8</f>
        <v>#REF!</v>
      </c>
      <c r="M20" s="358" t="e">
        <f>#REF!</f>
        <v>#REF!</v>
      </c>
      <c r="N20" s="359" t="e">
        <f t="shared" si="11"/>
        <v>#REF!</v>
      </c>
      <c r="O20" s="360" t="e">
        <f>#REF!/10^8</f>
        <v>#REF!</v>
      </c>
      <c r="P20" s="431" t="e">
        <f>#REF!</f>
        <v>#REF!</v>
      </c>
      <c r="Q20" s="359" t="e">
        <f t="shared" si="12"/>
        <v>#REF!</v>
      </c>
      <c r="R20" s="361" t="e">
        <f t="shared" si="35"/>
        <v>#REF!</v>
      </c>
      <c r="S20" s="429" t="e">
        <f t="shared" si="35"/>
        <v>#REF!</v>
      </c>
      <c r="T20" s="362" t="e">
        <f t="shared" si="14"/>
        <v>#REF!</v>
      </c>
      <c r="U20" s="363" t="e">
        <f t="shared" si="36"/>
        <v>#REF!</v>
      </c>
      <c r="V20" s="364" t="e">
        <f t="shared" si="37"/>
        <v>#REF!</v>
      </c>
      <c r="W20" s="365" t="e">
        <f t="shared" si="15"/>
        <v>#REF!</v>
      </c>
      <c r="X20" s="366" t="e">
        <f>SUM(#REF!)/10^8</f>
        <v>#REF!</v>
      </c>
      <c r="Y20" s="367" t="e">
        <f>X20</f>
        <v>#REF!</v>
      </c>
      <c r="Z20" s="368" t="e">
        <f t="shared" si="17"/>
        <v>#REF!</v>
      </c>
      <c r="AA20" s="214"/>
      <c r="AB20" s="354" t="e">
        <f t="shared" si="38"/>
        <v>#REF!</v>
      </c>
      <c r="AC20" s="369" t="e">
        <f t="shared" si="39"/>
        <v>#REF!</v>
      </c>
      <c r="AD20" s="370" t="e">
        <f t="shared" si="19"/>
        <v>#REF!</v>
      </c>
    </row>
    <row r="21" spans="1:32" ht="22.5" customHeight="1" x14ac:dyDescent="0.4">
      <c r="B21" t="s">
        <v>434</v>
      </c>
    </row>
    <row r="22" spans="1:32" ht="31.5" customHeight="1" thickBot="1" x14ac:dyDescent="0.4">
      <c r="A22" s="195" t="s">
        <v>435</v>
      </c>
      <c r="Z22" s="196" t="s">
        <v>6</v>
      </c>
      <c r="AD22" s="196"/>
      <c r="AF22" s="197" t="s">
        <v>436</v>
      </c>
    </row>
    <row r="23" spans="1:32" ht="30.75" customHeight="1" thickBot="1" x14ac:dyDescent="0.45">
      <c r="B23" s="1165" t="s">
        <v>7</v>
      </c>
      <c r="C23" s="1166"/>
      <c r="D23" s="1167"/>
      <c r="E23" s="1196" t="s">
        <v>421</v>
      </c>
      <c r="F23" s="1197"/>
      <c r="G23" s="1197"/>
      <c r="H23" s="1197"/>
      <c r="I23" s="1197"/>
      <c r="J23" s="1197"/>
      <c r="K23" s="1198"/>
      <c r="L23" s="1198"/>
      <c r="M23" s="1199"/>
      <c r="N23" s="1196" t="s">
        <v>437</v>
      </c>
      <c r="O23" s="1197"/>
      <c r="P23" s="1197"/>
      <c r="Q23" s="1197"/>
      <c r="R23" s="1197"/>
      <c r="S23" s="1197"/>
      <c r="T23" s="1198"/>
      <c r="U23" s="1198"/>
      <c r="V23" s="1199"/>
      <c r="W23" s="1200" t="s">
        <v>438</v>
      </c>
      <c r="X23" s="1198"/>
      <c r="Y23" s="1198"/>
      <c r="Z23" s="1199"/>
    </row>
    <row r="24" spans="1:32" ht="30.75" customHeight="1" x14ac:dyDescent="0.4">
      <c r="B24" s="1168"/>
      <c r="C24" s="1169"/>
      <c r="D24" s="1170"/>
      <c r="E24" s="1201" t="s">
        <v>2</v>
      </c>
      <c r="F24" s="1201"/>
      <c r="G24" s="1201"/>
      <c r="H24" s="1201" t="s">
        <v>154</v>
      </c>
      <c r="I24" s="1201"/>
      <c r="J24" s="1201"/>
      <c r="K24" s="1202" t="s">
        <v>421</v>
      </c>
      <c r="L24" s="1202"/>
      <c r="M24" s="1202"/>
      <c r="N24" s="1201" t="s">
        <v>98</v>
      </c>
      <c r="O24" s="1201"/>
      <c r="P24" s="1201"/>
      <c r="Q24" s="1082" t="s">
        <v>173</v>
      </c>
      <c r="R24" s="1083"/>
      <c r="S24" s="1084"/>
      <c r="T24" s="1085" t="s">
        <v>437</v>
      </c>
      <c r="U24" s="1086"/>
      <c r="V24" s="1087"/>
      <c r="W24" s="1085"/>
      <c r="X24" s="1086"/>
      <c r="Y24" s="1086"/>
      <c r="Z24" s="1087"/>
    </row>
    <row r="25" spans="1:32" ht="21" customHeight="1" x14ac:dyDescent="0.4">
      <c r="B25" s="1168"/>
      <c r="C25" s="1169"/>
      <c r="D25" s="1170"/>
      <c r="E25" s="1066" t="s">
        <v>419</v>
      </c>
      <c r="F25" s="1062" t="s">
        <v>410</v>
      </c>
      <c r="G25" s="1059" t="s">
        <v>16</v>
      </c>
      <c r="H25" s="1066" t="s">
        <v>419</v>
      </c>
      <c r="I25" s="1062" t="s">
        <v>410</v>
      </c>
      <c r="J25" s="1059" t="s">
        <v>16</v>
      </c>
      <c r="K25" s="1066" t="s">
        <v>419</v>
      </c>
      <c r="L25" s="1062" t="s">
        <v>410</v>
      </c>
      <c r="M25" s="1059" t="s">
        <v>16</v>
      </c>
      <c r="N25" s="1066" t="s">
        <v>419</v>
      </c>
      <c r="O25" s="1062" t="s">
        <v>439</v>
      </c>
      <c r="P25" s="1059" t="s">
        <v>16</v>
      </c>
      <c r="Q25" s="1066" t="s">
        <v>419</v>
      </c>
      <c r="R25" s="1062" t="s">
        <v>439</v>
      </c>
      <c r="S25" s="1059" t="s">
        <v>16</v>
      </c>
      <c r="T25" s="1066" t="s">
        <v>419</v>
      </c>
      <c r="U25" s="1062" t="s">
        <v>439</v>
      </c>
      <c r="V25" s="1059" t="s">
        <v>16</v>
      </c>
      <c r="W25" s="1066" t="s">
        <v>419</v>
      </c>
      <c r="X25" s="1062" t="s">
        <v>439</v>
      </c>
      <c r="Y25" s="1055" t="s">
        <v>16</v>
      </c>
      <c r="Z25" s="1163" t="s">
        <v>415</v>
      </c>
    </row>
    <row r="26" spans="1:32" ht="21" customHeight="1" thickBot="1" x14ac:dyDescent="0.45">
      <c r="B26" s="1171"/>
      <c r="C26" s="1172"/>
      <c r="D26" s="1173"/>
      <c r="E26" s="1067"/>
      <c r="F26" s="1063"/>
      <c r="G26" s="1060"/>
      <c r="H26" s="1067"/>
      <c r="I26" s="1063"/>
      <c r="J26" s="1060"/>
      <c r="K26" s="1067"/>
      <c r="L26" s="1063"/>
      <c r="M26" s="1060"/>
      <c r="N26" s="1067"/>
      <c r="O26" s="1063"/>
      <c r="P26" s="1060"/>
      <c r="Q26" s="1067"/>
      <c r="R26" s="1063"/>
      <c r="S26" s="1060"/>
      <c r="T26" s="1067"/>
      <c r="U26" s="1063"/>
      <c r="V26" s="1060"/>
      <c r="W26" s="1067"/>
      <c r="X26" s="1063"/>
      <c r="Y26" s="1056"/>
      <c r="Z26" s="1164"/>
    </row>
    <row r="27" spans="1:32" ht="25.35" customHeight="1" x14ac:dyDescent="0.4">
      <c r="B27" s="201"/>
      <c r="C27" s="1184" t="s">
        <v>18</v>
      </c>
      <c r="D27" s="1185"/>
      <c r="E27" s="371" t="e">
        <f>E28+E31+E34</f>
        <v>#REF!</v>
      </c>
      <c r="F27" s="226" t="e">
        <f t="shared" ref="F27" si="40">F28+F31+F34</f>
        <v>#REF!</v>
      </c>
      <c r="G27" s="372" t="e">
        <f>F27-E27</f>
        <v>#REF!</v>
      </c>
      <c r="H27" s="371" t="e">
        <f>H28+H31+H34</f>
        <v>#REF!</v>
      </c>
      <c r="I27" s="226" t="e">
        <f t="shared" ref="I27" si="41">I28+I31+I34</f>
        <v>#REF!</v>
      </c>
      <c r="J27" s="407" t="e">
        <f>I27-H27</f>
        <v>#REF!</v>
      </c>
      <c r="K27" s="371" t="e">
        <f>K28+K31+K34</f>
        <v>#REF!</v>
      </c>
      <c r="L27" s="226" t="e">
        <f t="shared" ref="L27" si="42">L28+L31+L34</f>
        <v>#REF!</v>
      </c>
      <c r="M27" s="372" t="e">
        <f>L27-K27</f>
        <v>#REF!</v>
      </c>
      <c r="N27" s="371" t="e">
        <f>N28+N31+N34</f>
        <v>#REF!</v>
      </c>
      <c r="O27" s="226" t="e">
        <f t="shared" ref="O27" si="43">O28+O31+O34</f>
        <v>#REF!</v>
      </c>
      <c r="P27" s="230" t="e">
        <f>O27-N27</f>
        <v>#REF!</v>
      </c>
      <c r="Q27" s="371" t="e">
        <f>Q28+Q31+Q34</f>
        <v>#REF!</v>
      </c>
      <c r="R27" s="226" t="e">
        <f t="shared" ref="R27" si="44">R28+R31+R34</f>
        <v>#REF!</v>
      </c>
      <c r="S27" s="372" t="e">
        <f>R27-Q27</f>
        <v>#REF!</v>
      </c>
      <c r="T27" s="371" t="e">
        <f>T28+T31+T34</f>
        <v>#REF!</v>
      </c>
      <c r="U27" s="226" t="e">
        <f t="shared" ref="U27" si="45">U28+U31+U34</f>
        <v>#REF!</v>
      </c>
      <c r="V27" s="407" t="e">
        <f>U27-T27</f>
        <v>#REF!</v>
      </c>
      <c r="W27" s="371" t="e">
        <f>W28+W31+W34</f>
        <v>#REF!</v>
      </c>
      <c r="X27" s="226" t="e">
        <f t="shared" ref="X27" si="46">X28+X31+X34</f>
        <v>#REF!</v>
      </c>
      <c r="Y27" s="373" t="e">
        <f>X27-W27</f>
        <v>#REF!</v>
      </c>
      <c r="Z27" s="374" t="e">
        <f>X27/W27-1</f>
        <v>#REF!</v>
      </c>
    </row>
    <row r="28" spans="1:32" ht="25.35" customHeight="1" x14ac:dyDescent="0.4">
      <c r="B28" s="201"/>
      <c r="C28" s="1057" t="s">
        <v>20</v>
      </c>
      <c r="D28" s="1058"/>
      <c r="E28" s="375" t="e">
        <f t="shared" ref="E28:F28" si="47">SUM(E29:E30)</f>
        <v>#REF!</v>
      </c>
      <c r="F28" s="240" t="e">
        <f t="shared" si="47"/>
        <v>#REF!</v>
      </c>
      <c r="G28" s="243" t="e">
        <f t="shared" ref="G28:G39" si="48">F28-E28</f>
        <v>#REF!</v>
      </c>
      <c r="H28" s="375" t="e">
        <f t="shared" ref="H28:I28" si="49">SUM(H29:H30)</f>
        <v>#REF!</v>
      </c>
      <c r="I28" s="240" t="e">
        <f t="shared" si="49"/>
        <v>#REF!</v>
      </c>
      <c r="J28" s="376" t="e">
        <f t="shared" ref="J28:J39" si="50">I28-H28</f>
        <v>#REF!</v>
      </c>
      <c r="K28" s="375" t="e">
        <f t="shared" ref="K28:L28" si="51">SUM(K29:K30)</f>
        <v>#REF!</v>
      </c>
      <c r="L28" s="240" t="e">
        <f t="shared" si="51"/>
        <v>#REF!</v>
      </c>
      <c r="M28" s="243" t="e">
        <f t="shared" ref="M28:M39" si="52">L28-K28</f>
        <v>#REF!</v>
      </c>
      <c r="N28" s="375" t="e">
        <f t="shared" ref="N28:O28" si="53">SUM(N29:N30)</f>
        <v>#REF!</v>
      </c>
      <c r="O28" s="240" t="e">
        <f t="shared" si="53"/>
        <v>#REF!</v>
      </c>
      <c r="P28" s="376" t="e">
        <f t="shared" ref="P28:P39" si="54">O28-N28</f>
        <v>#REF!</v>
      </c>
      <c r="Q28" s="375" t="e">
        <f t="shared" ref="Q28:R28" si="55">SUM(Q29:Q30)</f>
        <v>#REF!</v>
      </c>
      <c r="R28" s="240" t="e">
        <f t="shared" si="55"/>
        <v>#REF!</v>
      </c>
      <c r="S28" s="243" t="e">
        <f t="shared" ref="S28:S39" si="56">R28-Q28</f>
        <v>#REF!</v>
      </c>
      <c r="T28" s="375" t="e">
        <f t="shared" ref="T28:U28" si="57">SUM(T29:T30)</f>
        <v>#REF!</v>
      </c>
      <c r="U28" s="240" t="e">
        <f t="shared" si="57"/>
        <v>#REF!</v>
      </c>
      <c r="V28" s="243" t="e">
        <f t="shared" ref="V28:V39" si="58">U28-T28</f>
        <v>#REF!</v>
      </c>
      <c r="W28" s="375" t="e">
        <f t="shared" ref="W28:X28" si="59">SUM(W29:W30)</f>
        <v>#REF!</v>
      </c>
      <c r="X28" s="240" t="e">
        <f t="shared" si="59"/>
        <v>#REF!</v>
      </c>
      <c r="Y28" s="377" t="e">
        <f t="shared" ref="Y28:Y39" si="60">X28-W28</f>
        <v>#REF!</v>
      </c>
      <c r="Z28" s="378" t="e">
        <f t="shared" ref="Z28:Z39" si="61">X28/W28-1</f>
        <v>#REF!</v>
      </c>
    </row>
    <row r="29" spans="1:32" ht="25.35" customHeight="1" x14ac:dyDescent="0.4">
      <c r="B29" s="201"/>
      <c r="C29" s="1061"/>
      <c r="D29" s="408" t="s">
        <v>131</v>
      </c>
      <c r="E29" s="258" t="e">
        <f>#REF!</f>
        <v>#REF!</v>
      </c>
      <c r="F29" s="259" t="e">
        <f>#REF!</f>
        <v>#REF!</v>
      </c>
      <c r="G29" s="295" t="e">
        <f t="shared" si="48"/>
        <v>#REF!</v>
      </c>
      <c r="H29" s="258" t="e">
        <f>#REF!</f>
        <v>#REF!</v>
      </c>
      <c r="I29" s="259" t="e">
        <f>#REF!</f>
        <v>#REF!</v>
      </c>
      <c r="J29" s="295" t="e">
        <f t="shared" si="50"/>
        <v>#REF!</v>
      </c>
      <c r="K29" s="258" t="e">
        <f>E29+H29</f>
        <v>#REF!</v>
      </c>
      <c r="L29" s="259" t="e">
        <f>F29+I29</f>
        <v>#REF!</v>
      </c>
      <c r="M29" s="295" t="e">
        <f t="shared" si="52"/>
        <v>#REF!</v>
      </c>
      <c r="N29" s="258" t="e">
        <f>#REF!</f>
        <v>#REF!</v>
      </c>
      <c r="O29" s="259" t="e">
        <f>S10</f>
        <v>#REF!</v>
      </c>
      <c r="P29" s="295" t="e">
        <f t="shared" si="54"/>
        <v>#REF!</v>
      </c>
      <c r="Q29" s="258" t="e">
        <f>#REF!</f>
        <v>#REF!</v>
      </c>
      <c r="R29" s="259" t="e">
        <f>Y10</f>
        <v>#REF!</v>
      </c>
      <c r="S29" s="295" t="e">
        <f t="shared" si="56"/>
        <v>#REF!</v>
      </c>
      <c r="T29" s="258" t="e">
        <f>N29+Q29</f>
        <v>#REF!</v>
      </c>
      <c r="U29" s="259" t="e">
        <f>O29+R29</f>
        <v>#REF!</v>
      </c>
      <c r="V29" s="295" t="e">
        <f t="shared" si="58"/>
        <v>#REF!</v>
      </c>
      <c r="W29" s="258" t="e">
        <f>E29+H29+N29+Q29</f>
        <v>#REF!</v>
      </c>
      <c r="X29" s="259" t="e">
        <f>F29+I29+O29+R29</f>
        <v>#REF!</v>
      </c>
      <c r="Y29" s="290" t="e">
        <f t="shared" si="60"/>
        <v>#REF!</v>
      </c>
      <c r="Z29" s="379" t="e">
        <f t="shared" si="61"/>
        <v>#REF!</v>
      </c>
    </row>
    <row r="30" spans="1:32" ht="25.35" customHeight="1" x14ac:dyDescent="0.4">
      <c r="B30" s="201"/>
      <c r="C30" s="1061"/>
      <c r="D30" s="403" t="s">
        <v>51</v>
      </c>
      <c r="E30" s="273" t="e">
        <f>#REF!</f>
        <v>#REF!</v>
      </c>
      <c r="F30" s="274" t="e">
        <f>#REF!</f>
        <v>#REF!</v>
      </c>
      <c r="G30" s="380" t="e">
        <f t="shared" si="48"/>
        <v>#REF!</v>
      </c>
      <c r="H30" s="273" t="e">
        <f>#REF!</f>
        <v>#REF!</v>
      </c>
      <c r="I30" s="274" t="e">
        <f>#REF!</f>
        <v>#REF!</v>
      </c>
      <c r="J30" s="380" t="e">
        <f t="shared" si="50"/>
        <v>#REF!</v>
      </c>
      <c r="K30" s="273" t="e">
        <f>E30+H30</f>
        <v>#REF!</v>
      </c>
      <c r="L30" s="274" t="e">
        <f>F30+I30</f>
        <v>#REF!</v>
      </c>
      <c r="M30" s="380" t="e">
        <f t="shared" si="52"/>
        <v>#REF!</v>
      </c>
      <c r="N30" s="273" t="e">
        <f>#REF!</f>
        <v>#REF!</v>
      </c>
      <c r="O30" s="274" t="e">
        <f>S11</f>
        <v>#REF!</v>
      </c>
      <c r="P30" s="380" t="e">
        <f t="shared" si="54"/>
        <v>#REF!</v>
      </c>
      <c r="Q30" s="273" t="e">
        <f>#REF!</f>
        <v>#REF!</v>
      </c>
      <c r="R30" s="274" t="e">
        <f>Y11</f>
        <v>#REF!</v>
      </c>
      <c r="S30" s="380" t="e">
        <f t="shared" si="56"/>
        <v>#REF!</v>
      </c>
      <c r="T30" s="273" t="e">
        <f>N30+Q30</f>
        <v>#REF!</v>
      </c>
      <c r="U30" s="274" t="e">
        <f>O30+R30</f>
        <v>#REF!</v>
      </c>
      <c r="V30" s="380" t="e">
        <f t="shared" si="58"/>
        <v>#REF!</v>
      </c>
      <c r="W30" s="273" t="e">
        <f>E30+H30+N30+Q30</f>
        <v>#REF!</v>
      </c>
      <c r="X30" s="274" t="e">
        <f>F30+I30+O30+R30</f>
        <v>#REF!</v>
      </c>
      <c r="Y30" s="381" t="e">
        <f t="shared" si="60"/>
        <v>#REF!</v>
      </c>
      <c r="Z30" s="382" t="e">
        <f t="shared" si="61"/>
        <v>#REF!</v>
      </c>
    </row>
    <row r="31" spans="1:32" ht="25.35" customHeight="1" x14ac:dyDescent="0.4">
      <c r="B31" s="201"/>
      <c r="C31" s="1057" t="s">
        <v>25</v>
      </c>
      <c r="D31" s="1058"/>
      <c r="E31" s="375" t="e">
        <f t="shared" ref="E31:F31" si="62">SUM(E32:E33)</f>
        <v>#REF!</v>
      </c>
      <c r="F31" s="284" t="e">
        <f t="shared" si="62"/>
        <v>#REF!</v>
      </c>
      <c r="G31" s="285" t="e">
        <f t="shared" si="48"/>
        <v>#REF!</v>
      </c>
      <c r="H31" s="375" t="e">
        <f t="shared" ref="H31:I31" si="63">SUM(H32:H33)</f>
        <v>#REF!</v>
      </c>
      <c r="I31" s="284" t="e">
        <f t="shared" si="63"/>
        <v>#REF!</v>
      </c>
      <c r="J31" s="285" t="e">
        <f t="shared" si="50"/>
        <v>#REF!</v>
      </c>
      <c r="K31" s="375" t="e">
        <f t="shared" ref="K31:L31" si="64">SUM(K32:K33)</f>
        <v>#REF!</v>
      </c>
      <c r="L31" s="284" t="e">
        <f t="shared" si="64"/>
        <v>#REF!</v>
      </c>
      <c r="M31" s="285" t="e">
        <f t="shared" si="52"/>
        <v>#REF!</v>
      </c>
      <c r="N31" s="375" t="e">
        <f t="shared" ref="N31:O31" si="65">SUM(N32:N33)</f>
        <v>#REF!</v>
      </c>
      <c r="O31" s="284" t="e">
        <f t="shared" si="65"/>
        <v>#REF!</v>
      </c>
      <c r="P31" s="285" t="e">
        <f t="shared" si="54"/>
        <v>#REF!</v>
      </c>
      <c r="Q31" s="375" t="e">
        <f t="shared" ref="Q31:R31" si="66">SUM(Q32:Q33)</f>
        <v>#REF!</v>
      </c>
      <c r="R31" s="284" t="e">
        <f t="shared" si="66"/>
        <v>#REF!</v>
      </c>
      <c r="S31" s="285" t="e">
        <f t="shared" si="56"/>
        <v>#REF!</v>
      </c>
      <c r="T31" s="375" t="e">
        <f t="shared" ref="T31:U31" si="67">SUM(T32:T33)</f>
        <v>#REF!</v>
      </c>
      <c r="U31" s="284" t="e">
        <f t="shared" si="67"/>
        <v>#REF!</v>
      </c>
      <c r="V31" s="285" t="e">
        <f t="shared" si="58"/>
        <v>#REF!</v>
      </c>
      <c r="W31" s="375" t="e">
        <f t="shared" ref="W31:X31" si="68">SUM(W32:W33)</f>
        <v>#REF!</v>
      </c>
      <c r="X31" s="284" t="e">
        <f t="shared" si="68"/>
        <v>#REF!</v>
      </c>
      <c r="Y31" s="383" t="e">
        <f t="shared" si="60"/>
        <v>#REF!</v>
      </c>
      <c r="Z31" s="384" t="e">
        <f t="shared" si="61"/>
        <v>#REF!</v>
      </c>
    </row>
    <row r="32" spans="1:32" ht="25.35" customHeight="1" x14ac:dyDescent="0.4">
      <c r="B32" s="201"/>
      <c r="C32" s="1061"/>
      <c r="D32" s="404" t="s">
        <v>27</v>
      </c>
      <c r="E32" s="258" t="e">
        <f>#REF!</f>
        <v>#REF!</v>
      </c>
      <c r="F32" s="259" t="e">
        <f>#REF!</f>
        <v>#REF!</v>
      </c>
      <c r="G32" s="295" t="e">
        <f t="shared" si="48"/>
        <v>#REF!</v>
      </c>
      <c r="H32" s="258" t="e">
        <f>#REF!</f>
        <v>#REF!</v>
      </c>
      <c r="I32" s="259" t="e">
        <f>#REF!</f>
        <v>#REF!</v>
      </c>
      <c r="J32" s="295" t="e">
        <f t="shared" si="50"/>
        <v>#REF!</v>
      </c>
      <c r="K32" s="258" t="e">
        <f>E32+H32</f>
        <v>#REF!</v>
      </c>
      <c r="L32" s="259" t="e">
        <f>F32+I32</f>
        <v>#REF!</v>
      </c>
      <c r="M32" s="295" t="e">
        <f t="shared" si="52"/>
        <v>#REF!</v>
      </c>
      <c r="N32" s="258" t="e">
        <f>#REF!</f>
        <v>#REF!</v>
      </c>
      <c r="O32" s="259" t="e">
        <f>S13</f>
        <v>#REF!</v>
      </c>
      <c r="P32" s="295" t="e">
        <f t="shared" si="54"/>
        <v>#REF!</v>
      </c>
      <c r="Q32" s="258" t="e">
        <f>#REF!</f>
        <v>#REF!</v>
      </c>
      <c r="R32" s="259" t="e">
        <f>Y13</f>
        <v>#REF!</v>
      </c>
      <c r="S32" s="295" t="e">
        <f t="shared" si="56"/>
        <v>#REF!</v>
      </c>
      <c r="T32" s="258" t="e">
        <f>N32+Q32</f>
        <v>#REF!</v>
      </c>
      <c r="U32" s="259" t="e">
        <f>O32+R32</f>
        <v>#REF!</v>
      </c>
      <c r="V32" s="295" t="e">
        <f t="shared" si="58"/>
        <v>#REF!</v>
      </c>
      <c r="W32" s="258" t="e">
        <f>E32+H32+N32+Q32</f>
        <v>#REF!</v>
      </c>
      <c r="X32" s="259" t="e">
        <f>F32+I32+O32+R32</f>
        <v>#REF!</v>
      </c>
      <c r="Y32" s="290" t="e">
        <f t="shared" si="60"/>
        <v>#REF!</v>
      </c>
      <c r="Z32" s="385" t="e">
        <f t="shared" si="61"/>
        <v>#REF!</v>
      </c>
    </row>
    <row r="33" spans="1:26" ht="25.35" customHeight="1" x14ac:dyDescent="0.4">
      <c r="B33" s="201"/>
      <c r="C33" s="1061"/>
      <c r="D33" s="409" t="s">
        <v>26</v>
      </c>
      <c r="E33" s="386" t="e">
        <f>#REF!</f>
        <v>#REF!</v>
      </c>
      <c r="F33" s="306" t="e">
        <f>#REF!</f>
        <v>#REF!</v>
      </c>
      <c r="G33" s="387" t="e">
        <f t="shared" si="48"/>
        <v>#REF!</v>
      </c>
      <c r="H33" s="386" t="e">
        <f>#REF!</f>
        <v>#REF!</v>
      </c>
      <c r="I33" s="306" t="e">
        <f>#REF!</f>
        <v>#REF!</v>
      </c>
      <c r="J33" s="387" t="e">
        <f t="shared" si="50"/>
        <v>#REF!</v>
      </c>
      <c r="K33" s="273" t="e">
        <f>E33+H33</f>
        <v>#REF!</v>
      </c>
      <c r="L33" s="274" t="e">
        <f>F33+I33</f>
        <v>#REF!</v>
      </c>
      <c r="M33" s="380" t="e">
        <f t="shared" si="52"/>
        <v>#REF!</v>
      </c>
      <c r="N33" s="386" t="e">
        <f>#REF!</f>
        <v>#REF!</v>
      </c>
      <c r="O33" s="306" t="e">
        <f>S14</f>
        <v>#REF!</v>
      </c>
      <c r="P33" s="387" t="e">
        <f t="shared" si="54"/>
        <v>#REF!</v>
      </c>
      <c r="Q33" s="386" t="e">
        <f>#REF!</f>
        <v>#REF!</v>
      </c>
      <c r="R33" s="306" t="e">
        <f>Y14</f>
        <v>#REF!</v>
      </c>
      <c r="S33" s="387" t="e">
        <f t="shared" si="56"/>
        <v>#REF!</v>
      </c>
      <c r="T33" s="273" t="e">
        <f>N33+Q33</f>
        <v>#REF!</v>
      </c>
      <c r="U33" s="274" t="e">
        <f>O33+R33</f>
        <v>#REF!</v>
      </c>
      <c r="V33" s="380" t="e">
        <f t="shared" si="58"/>
        <v>#REF!</v>
      </c>
      <c r="W33" s="273" t="e">
        <f>E33+H33+N33+Q33</f>
        <v>#REF!</v>
      </c>
      <c r="X33" s="274" t="e">
        <f>F33+I33+O33+R33</f>
        <v>#REF!</v>
      </c>
      <c r="Y33" s="388" t="e">
        <f t="shared" si="60"/>
        <v>#REF!</v>
      </c>
      <c r="Z33" s="389" t="e">
        <f t="shared" si="61"/>
        <v>#REF!</v>
      </c>
    </row>
    <row r="34" spans="1:26" ht="25.35" customHeight="1" x14ac:dyDescent="0.4">
      <c r="B34" s="201"/>
      <c r="C34" s="1057" t="s">
        <v>28</v>
      </c>
      <c r="D34" s="1058"/>
      <c r="E34" s="390" t="e">
        <f>SUM(E35:E39)</f>
        <v>#REF!</v>
      </c>
      <c r="F34" s="284" t="e">
        <f t="shared" ref="F34" si="69">SUM(F35:F39)</f>
        <v>#REF!</v>
      </c>
      <c r="G34" s="285" t="e">
        <f t="shared" si="48"/>
        <v>#REF!</v>
      </c>
      <c r="H34" s="390" t="e">
        <f>SUM(H35:H39)</f>
        <v>#REF!</v>
      </c>
      <c r="I34" s="284" t="e">
        <f t="shared" ref="I34" si="70">SUM(I35:I39)</f>
        <v>#REF!</v>
      </c>
      <c r="J34" s="285" t="e">
        <f t="shared" si="50"/>
        <v>#REF!</v>
      </c>
      <c r="K34" s="390" t="e">
        <f>SUM(K35:K39)</f>
        <v>#REF!</v>
      </c>
      <c r="L34" s="284" t="e">
        <f t="shared" ref="L34" si="71">SUM(L35:L39)</f>
        <v>#REF!</v>
      </c>
      <c r="M34" s="285" t="e">
        <f t="shared" si="52"/>
        <v>#REF!</v>
      </c>
      <c r="N34" s="390" t="e">
        <f>SUM(N35:N39)</f>
        <v>#REF!</v>
      </c>
      <c r="O34" s="284" t="e">
        <f t="shared" ref="O34" si="72">SUM(O35:O39)</f>
        <v>#REF!</v>
      </c>
      <c r="P34" s="391" t="e">
        <f t="shared" si="54"/>
        <v>#REF!</v>
      </c>
      <c r="Q34" s="390" t="e">
        <f>SUM(Q35:Q39)</f>
        <v>#REF!</v>
      </c>
      <c r="R34" s="284" t="e">
        <f t="shared" ref="R34" si="73">SUM(R35:R39)</f>
        <v>#REF!</v>
      </c>
      <c r="S34" s="391" t="e">
        <f t="shared" si="56"/>
        <v>#REF!</v>
      </c>
      <c r="T34" s="390" t="e">
        <f>SUM(T35:T39)</f>
        <v>#REF!</v>
      </c>
      <c r="U34" s="284" t="e">
        <f t="shared" ref="U34" si="74">SUM(U35:U39)</f>
        <v>#REF!</v>
      </c>
      <c r="V34" s="391" t="e">
        <f t="shared" si="58"/>
        <v>#REF!</v>
      </c>
      <c r="W34" s="390" t="e">
        <f>SUM(W35:W39)</f>
        <v>#REF!</v>
      </c>
      <c r="X34" s="284" t="e">
        <f t="shared" ref="X34" si="75">SUM(X35:X39)</f>
        <v>#REF!</v>
      </c>
      <c r="Y34" s="383" t="e">
        <f t="shared" si="60"/>
        <v>#REF!</v>
      </c>
      <c r="Z34" s="392" t="e">
        <f t="shared" si="61"/>
        <v>#REF!</v>
      </c>
    </row>
    <row r="35" spans="1:26" ht="25.35" customHeight="1" x14ac:dyDescent="0.4">
      <c r="B35" s="201"/>
      <c r="C35" s="1064"/>
      <c r="D35" s="404" t="s">
        <v>50</v>
      </c>
      <c r="E35" s="258" t="e">
        <f>#REF!</f>
        <v>#REF!</v>
      </c>
      <c r="F35" s="259" t="e">
        <f>#REF!</f>
        <v>#REF!</v>
      </c>
      <c r="G35" s="295" t="e">
        <f t="shared" si="48"/>
        <v>#REF!</v>
      </c>
      <c r="H35" s="258" t="e">
        <f>#REF!</f>
        <v>#REF!</v>
      </c>
      <c r="I35" s="259" t="e">
        <f>#REF!</f>
        <v>#REF!</v>
      </c>
      <c r="J35" s="295" t="e">
        <f t="shared" si="50"/>
        <v>#REF!</v>
      </c>
      <c r="K35" s="258" t="e">
        <f>E35+H35</f>
        <v>#REF!</v>
      </c>
      <c r="L35" s="259" t="e">
        <f>F35+I35</f>
        <v>#REF!</v>
      </c>
      <c r="M35" s="295" t="e">
        <f t="shared" si="52"/>
        <v>#REF!</v>
      </c>
      <c r="N35" s="258" t="e">
        <f>#REF!</f>
        <v>#REF!</v>
      </c>
      <c r="O35" s="259" t="e">
        <f>S16</f>
        <v>#REF!</v>
      </c>
      <c r="P35" s="295" t="e">
        <f t="shared" si="54"/>
        <v>#REF!</v>
      </c>
      <c r="Q35" s="258" t="e">
        <f>#REF!</f>
        <v>#REF!</v>
      </c>
      <c r="R35" s="259" t="e">
        <f>Y16</f>
        <v>#REF!</v>
      </c>
      <c r="S35" s="295" t="e">
        <f t="shared" si="56"/>
        <v>#REF!</v>
      </c>
      <c r="T35" s="258" t="e">
        <f>N35+Q35</f>
        <v>#REF!</v>
      </c>
      <c r="U35" s="259" t="e">
        <f>O35+R35</f>
        <v>#REF!</v>
      </c>
      <c r="V35" s="295" t="e">
        <f t="shared" si="58"/>
        <v>#REF!</v>
      </c>
      <c r="W35" s="258" t="e">
        <f t="shared" ref="W35:X39" si="76">E35+H35+N35+Q35</f>
        <v>#REF!</v>
      </c>
      <c r="X35" s="259" t="e">
        <f t="shared" si="76"/>
        <v>#REF!</v>
      </c>
      <c r="Y35" s="290" t="e">
        <f t="shared" si="60"/>
        <v>#REF!</v>
      </c>
      <c r="Z35" s="379" t="e">
        <f t="shared" si="61"/>
        <v>#REF!</v>
      </c>
    </row>
    <row r="36" spans="1:26" ht="25.35" customHeight="1" x14ac:dyDescent="0.4">
      <c r="B36" s="201"/>
      <c r="C36" s="1064"/>
      <c r="D36" s="405" t="s">
        <v>30</v>
      </c>
      <c r="E36" s="322" t="e">
        <f>#REF!</f>
        <v>#REF!</v>
      </c>
      <c r="F36" s="323" t="e">
        <f>#REF!</f>
        <v>#REF!</v>
      </c>
      <c r="G36" s="324" t="e">
        <f t="shared" si="48"/>
        <v>#REF!</v>
      </c>
      <c r="H36" s="322" t="e">
        <f>#REF!</f>
        <v>#REF!</v>
      </c>
      <c r="I36" s="323" t="e">
        <f>#REF!</f>
        <v>#REF!</v>
      </c>
      <c r="J36" s="324" t="e">
        <f t="shared" si="50"/>
        <v>#REF!</v>
      </c>
      <c r="K36" s="322" t="e">
        <f>E36+H36</f>
        <v>#REF!</v>
      </c>
      <c r="L36" s="323" t="e">
        <f>F36+I36</f>
        <v>#REF!</v>
      </c>
      <c r="M36" s="324" t="e">
        <f t="shared" si="52"/>
        <v>#REF!</v>
      </c>
      <c r="N36" s="322" t="e">
        <f>#REF!</f>
        <v>#REF!</v>
      </c>
      <c r="O36" s="323" t="e">
        <f>S17</f>
        <v>#REF!</v>
      </c>
      <c r="P36" s="324" t="e">
        <f t="shared" si="54"/>
        <v>#REF!</v>
      </c>
      <c r="Q36" s="322" t="e">
        <f>#REF!</f>
        <v>#REF!</v>
      </c>
      <c r="R36" s="323" t="e">
        <f>Y17</f>
        <v>#REF!</v>
      </c>
      <c r="S36" s="324" t="e">
        <f t="shared" si="56"/>
        <v>#REF!</v>
      </c>
      <c r="T36" s="322" t="e">
        <f>N36+Q36</f>
        <v>#REF!</v>
      </c>
      <c r="U36" s="323" t="e">
        <f>O36+R36</f>
        <v>#REF!</v>
      </c>
      <c r="V36" s="324" t="e">
        <f t="shared" si="58"/>
        <v>#REF!</v>
      </c>
      <c r="W36" s="322" t="e">
        <f t="shared" si="76"/>
        <v>#REF!</v>
      </c>
      <c r="X36" s="323" t="e">
        <f t="shared" si="76"/>
        <v>#REF!</v>
      </c>
      <c r="Y36" s="317" t="e">
        <f t="shared" si="60"/>
        <v>#REF!</v>
      </c>
      <c r="Z36" s="393" t="e">
        <f t="shared" si="61"/>
        <v>#REF!</v>
      </c>
    </row>
    <row r="37" spans="1:26" ht="25.35" customHeight="1" x14ac:dyDescent="0.4">
      <c r="B37" s="201"/>
      <c r="C37" s="1064"/>
      <c r="D37" s="405" t="s">
        <v>29</v>
      </c>
      <c r="E37" s="322" t="e">
        <f>#REF!</f>
        <v>#REF!</v>
      </c>
      <c r="F37" s="323" t="e">
        <f>#REF!</f>
        <v>#REF!</v>
      </c>
      <c r="G37" s="394" t="e">
        <f t="shared" si="48"/>
        <v>#REF!</v>
      </c>
      <c r="H37" s="322" t="e">
        <f>#REF!</f>
        <v>#REF!</v>
      </c>
      <c r="I37" s="323" t="e">
        <f>#REF!</f>
        <v>#REF!</v>
      </c>
      <c r="J37" s="324" t="e">
        <f t="shared" si="50"/>
        <v>#REF!</v>
      </c>
      <c r="K37" s="322" t="e">
        <f t="shared" ref="K37:L39" si="77">E37+H37</f>
        <v>#REF!</v>
      </c>
      <c r="L37" s="323" t="e">
        <f t="shared" si="77"/>
        <v>#REF!</v>
      </c>
      <c r="M37" s="324" t="e">
        <f t="shared" si="52"/>
        <v>#REF!</v>
      </c>
      <c r="N37" s="322" t="e">
        <f>#REF!</f>
        <v>#REF!</v>
      </c>
      <c r="O37" s="323" t="e">
        <f>S18</f>
        <v>#REF!</v>
      </c>
      <c r="P37" s="324" t="e">
        <f t="shared" si="54"/>
        <v>#REF!</v>
      </c>
      <c r="Q37" s="322" t="e">
        <f>#REF!</f>
        <v>#REF!</v>
      </c>
      <c r="R37" s="323" t="e">
        <f>Y18</f>
        <v>#REF!</v>
      </c>
      <c r="S37" s="324" t="e">
        <f t="shared" si="56"/>
        <v>#REF!</v>
      </c>
      <c r="T37" s="322" t="e">
        <f t="shared" ref="T37:U39" si="78">N37+Q37</f>
        <v>#REF!</v>
      </c>
      <c r="U37" s="323" t="e">
        <f t="shared" si="78"/>
        <v>#REF!</v>
      </c>
      <c r="V37" s="324" t="e">
        <f t="shared" si="58"/>
        <v>#REF!</v>
      </c>
      <c r="W37" s="322" t="e">
        <f t="shared" si="76"/>
        <v>#REF!</v>
      </c>
      <c r="X37" s="323" t="e">
        <f t="shared" si="76"/>
        <v>#REF!</v>
      </c>
      <c r="Y37" s="317" t="e">
        <f t="shared" si="60"/>
        <v>#REF!</v>
      </c>
      <c r="Z37" s="393" t="e">
        <f t="shared" si="61"/>
        <v>#REF!</v>
      </c>
    </row>
    <row r="38" spans="1:26" ht="25.35" customHeight="1" x14ac:dyDescent="0.4">
      <c r="B38" s="201"/>
      <c r="C38" s="1064"/>
      <c r="D38" s="410" t="s">
        <v>22</v>
      </c>
      <c r="E38" s="346" t="e">
        <f>#REF!</f>
        <v>#REF!</v>
      </c>
      <c r="F38" s="347" t="e">
        <f>#REF!</f>
        <v>#REF!</v>
      </c>
      <c r="G38" s="348" t="e">
        <f t="shared" si="48"/>
        <v>#REF!</v>
      </c>
      <c r="H38" s="346" t="e">
        <f>#REF!</f>
        <v>#REF!</v>
      </c>
      <c r="I38" s="347" t="e">
        <f>#REF!</f>
        <v>#REF!</v>
      </c>
      <c r="J38" s="348" t="e">
        <f t="shared" si="50"/>
        <v>#REF!</v>
      </c>
      <c r="K38" s="346" t="e">
        <f t="shared" si="77"/>
        <v>#REF!</v>
      </c>
      <c r="L38" s="347" t="e">
        <f t="shared" si="77"/>
        <v>#REF!</v>
      </c>
      <c r="M38" s="348" t="e">
        <f t="shared" si="52"/>
        <v>#REF!</v>
      </c>
      <c r="N38" s="346" t="e">
        <f>#REF!</f>
        <v>#REF!</v>
      </c>
      <c r="O38" s="347" t="e">
        <f>S19</f>
        <v>#REF!</v>
      </c>
      <c r="P38" s="348" t="e">
        <f t="shared" si="54"/>
        <v>#REF!</v>
      </c>
      <c r="Q38" s="346" t="e">
        <f>#REF!</f>
        <v>#REF!</v>
      </c>
      <c r="R38" s="347" t="e">
        <f>Y19</f>
        <v>#REF!</v>
      </c>
      <c r="S38" s="395" t="e">
        <f t="shared" si="56"/>
        <v>#REF!</v>
      </c>
      <c r="T38" s="346" t="e">
        <f t="shared" si="78"/>
        <v>#REF!</v>
      </c>
      <c r="U38" s="347" t="e">
        <f t="shared" si="78"/>
        <v>#REF!</v>
      </c>
      <c r="V38" s="396" t="e">
        <f t="shared" si="58"/>
        <v>#REF!</v>
      </c>
      <c r="W38" s="346" t="e">
        <f t="shared" si="76"/>
        <v>#REF!</v>
      </c>
      <c r="X38" s="347" t="e">
        <f t="shared" si="76"/>
        <v>#REF!</v>
      </c>
      <c r="Y38" s="397" t="e">
        <f t="shared" si="60"/>
        <v>#REF!</v>
      </c>
      <c r="Z38" s="398" t="e">
        <f t="shared" si="61"/>
        <v>#REF!</v>
      </c>
    </row>
    <row r="39" spans="1:26" ht="25.35" customHeight="1" thickBot="1" x14ac:dyDescent="0.45">
      <c r="B39" s="202"/>
      <c r="C39" s="1065"/>
      <c r="D39" s="406" t="s">
        <v>51</v>
      </c>
      <c r="E39" s="366" t="e">
        <f>#REF!</f>
        <v>#REF!</v>
      </c>
      <c r="F39" s="367" t="e">
        <f>#REF!</f>
        <v>#REF!</v>
      </c>
      <c r="G39" s="399" t="e">
        <f t="shared" si="48"/>
        <v>#REF!</v>
      </c>
      <c r="H39" s="366" t="e">
        <f>#REF!</f>
        <v>#REF!</v>
      </c>
      <c r="I39" s="367" t="e">
        <f>#REF!</f>
        <v>#REF!</v>
      </c>
      <c r="J39" s="399" t="e">
        <f t="shared" si="50"/>
        <v>#REF!</v>
      </c>
      <c r="K39" s="366" t="e">
        <f t="shared" si="77"/>
        <v>#REF!</v>
      </c>
      <c r="L39" s="367" t="e">
        <f t="shared" si="77"/>
        <v>#REF!</v>
      </c>
      <c r="M39" s="399" t="e">
        <f t="shared" si="52"/>
        <v>#REF!</v>
      </c>
      <c r="N39" s="366" t="e">
        <f>#REF!</f>
        <v>#REF!</v>
      </c>
      <c r="O39" s="367" t="e">
        <f>S20</f>
        <v>#REF!</v>
      </c>
      <c r="P39" s="399" t="e">
        <f t="shared" si="54"/>
        <v>#REF!</v>
      </c>
      <c r="Q39" s="366" t="e">
        <f>#REF!</f>
        <v>#REF!</v>
      </c>
      <c r="R39" s="367" t="e">
        <f>Y20</f>
        <v>#REF!</v>
      </c>
      <c r="S39" s="399" t="e">
        <f t="shared" si="56"/>
        <v>#REF!</v>
      </c>
      <c r="T39" s="366" t="e">
        <f t="shared" si="78"/>
        <v>#REF!</v>
      </c>
      <c r="U39" s="367" t="e">
        <f t="shared" si="78"/>
        <v>#REF!</v>
      </c>
      <c r="V39" s="400" t="e">
        <f t="shared" si="58"/>
        <v>#REF!</v>
      </c>
      <c r="W39" s="366" t="e">
        <f t="shared" si="76"/>
        <v>#REF!</v>
      </c>
      <c r="X39" s="367" t="e">
        <f t="shared" si="76"/>
        <v>#REF!</v>
      </c>
      <c r="Y39" s="401" t="e">
        <f t="shared" si="60"/>
        <v>#REF!</v>
      </c>
      <c r="Z39" s="402" t="e">
        <f t="shared" si="61"/>
        <v>#REF!</v>
      </c>
    </row>
    <row r="41" spans="1:26" ht="5.25" customHeight="1" x14ac:dyDescent="0.4"/>
    <row r="42" spans="1:26" ht="25.2" x14ac:dyDescent="0.4">
      <c r="A42" s="195" t="s">
        <v>440</v>
      </c>
    </row>
    <row r="43" spans="1:26" ht="24.75" customHeight="1" x14ac:dyDescent="0.4">
      <c r="B43" s="195" t="s">
        <v>441</v>
      </c>
    </row>
    <row r="44" spans="1:26" ht="25.35" customHeight="1" x14ac:dyDescent="0.4">
      <c r="B44" s="1096" t="s">
        <v>124</v>
      </c>
      <c r="C44" s="1096"/>
      <c r="D44" s="1096"/>
      <c r="E44" s="1097" t="s">
        <v>442</v>
      </c>
      <c r="F44" s="1098"/>
      <c r="G44" s="1099" t="s">
        <v>443</v>
      </c>
      <c r="H44" s="1100"/>
      <c r="I44" s="1100"/>
      <c r="J44" s="1100"/>
      <c r="K44" s="1100"/>
      <c r="L44" s="1100"/>
      <c r="M44" s="1100"/>
      <c r="N44" s="1100"/>
      <c r="O44" s="1100"/>
      <c r="P44" s="1100"/>
      <c r="Q44" s="1100"/>
      <c r="R44" s="1100"/>
      <c r="S44" s="1100"/>
      <c r="T44" s="1100"/>
      <c r="U44" s="1100"/>
      <c r="V44" s="1100"/>
      <c r="W44" s="1101"/>
    </row>
    <row r="45" spans="1:26" ht="25.35" customHeight="1" x14ac:dyDescent="0.4">
      <c r="B45" s="1070" t="s">
        <v>444</v>
      </c>
      <c r="C45" s="1071"/>
      <c r="D45" s="1071"/>
      <c r="E45" s="1078" t="s">
        <v>445</v>
      </c>
      <c r="F45" s="1079"/>
      <c r="G45" s="1080"/>
      <c r="H45" s="1081"/>
      <c r="I45" s="1081"/>
      <c r="J45" s="1081"/>
      <c r="K45" s="1081"/>
      <c r="L45" s="1081"/>
      <c r="M45" s="1081"/>
      <c r="N45" s="207"/>
      <c r="O45" s="207"/>
      <c r="P45" s="207"/>
      <c r="Q45" s="207"/>
      <c r="R45" s="207"/>
      <c r="S45" s="207"/>
      <c r="T45" s="207"/>
      <c r="U45" s="207"/>
      <c r="V45" s="207"/>
      <c r="W45" s="208"/>
    </row>
    <row r="46" spans="1:26" ht="62.25" customHeight="1" x14ac:dyDescent="0.4">
      <c r="B46" s="1107"/>
      <c r="C46" s="1077" t="s">
        <v>404</v>
      </c>
      <c r="D46" s="1077"/>
      <c r="E46" s="1072" t="s">
        <v>446</v>
      </c>
      <c r="F46" s="1073"/>
      <c r="G46" s="1074" t="s">
        <v>447</v>
      </c>
      <c r="H46" s="1075"/>
      <c r="I46" s="1075"/>
      <c r="J46" s="1075"/>
      <c r="K46" s="1075"/>
      <c r="L46" s="1075"/>
      <c r="M46" s="1075"/>
      <c r="N46" s="1075"/>
      <c r="O46" s="1075"/>
      <c r="P46" s="1075"/>
      <c r="Q46" s="1075"/>
      <c r="R46" s="1075"/>
      <c r="S46" s="1075"/>
      <c r="T46" s="1075"/>
      <c r="U46" s="1075"/>
      <c r="V46" s="1075"/>
      <c r="W46" s="1076"/>
    </row>
    <row r="47" spans="1:26" ht="72.75" customHeight="1" x14ac:dyDescent="0.4">
      <c r="B47" s="1108"/>
      <c r="C47" s="1077" t="s">
        <v>405</v>
      </c>
      <c r="D47" s="1077"/>
      <c r="E47" s="1072" t="s">
        <v>448</v>
      </c>
      <c r="F47" s="1073"/>
      <c r="G47" s="1074" t="s">
        <v>449</v>
      </c>
      <c r="H47" s="1075"/>
      <c r="I47" s="1075"/>
      <c r="J47" s="1075"/>
      <c r="K47" s="1075"/>
      <c r="L47" s="1075"/>
      <c r="M47" s="1075"/>
      <c r="N47" s="1075"/>
      <c r="O47" s="1075"/>
      <c r="P47" s="1075"/>
      <c r="Q47" s="1075"/>
      <c r="R47" s="1075"/>
      <c r="S47" s="1075"/>
      <c r="T47" s="1075"/>
      <c r="U47" s="1075"/>
      <c r="V47" s="1075"/>
      <c r="W47" s="1076"/>
    </row>
    <row r="48" spans="1:26" ht="25.35" customHeight="1" x14ac:dyDescent="0.4">
      <c r="B48" s="1070" t="s">
        <v>86</v>
      </c>
      <c r="C48" s="1071"/>
      <c r="D48" s="1071"/>
      <c r="E48" s="1078" t="s">
        <v>450</v>
      </c>
      <c r="F48" s="1079"/>
      <c r="G48" s="1080"/>
      <c r="H48" s="1081"/>
      <c r="I48" s="1081"/>
      <c r="J48" s="1081"/>
      <c r="K48" s="1081"/>
      <c r="L48" s="1081"/>
      <c r="M48" s="1081"/>
      <c r="N48" s="207"/>
      <c r="O48" s="207"/>
      <c r="P48" s="207"/>
      <c r="Q48" s="207"/>
      <c r="R48" s="207"/>
      <c r="S48" s="207"/>
      <c r="T48" s="207"/>
      <c r="U48" s="207"/>
      <c r="V48" s="207"/>
      <c r="W48" s="208"/>
    </row>
    <row r="49" spans="1:30" ht="25.35" customHeight="1" x14ac:dyDescent="0.4">
      <c r="B49" s="209"/>
      <c r="C49" s="1077" t="s">
        <v>451</v>
      </c>
      <c r="D49" s="1077"/>
      <c r="E49" s="1072" t="s">
        <v>450</v>
      </c>
      <c r="F49" s="1073"/>
      <c r="G49" s="1110" t="s">
        <v>452</v>
      </c>
      <c r="H49" s="1111"/>
      <c r="I49" s="1111"/>
      <c r="J49" s="1111"/>
      <c r="K49" s="1111"/>
      <c r="L49" s="1111"/>
      <c r="M49" s="1111"/>
      <c r="N49" s="434"/>
      <c r="O49" s="434"/>
      <c r="P49" s="434"/>
      <c r="Q49" s="434"/>
      <c r="R49" s="434"/>
      <c r="S49" s="434"/>
      <c r="T49" s="434"/>
      <c r="U49" s="434"/>
      <c r="V49" s="434"/>
      <c r="W49" s="435"/>
    </row>
    <row r="50" spans="1:30" ht="25.35" customHeight="1" x14ac:dyDescent="0.4">
      <c r="B50" s="1070" t="s">
        <v>92</v>
      </c>
      <c r="C50" s="1071"/>
      <c r="D50" s="1071"/>
      <c r="E50" s="1182" t="s">
        <v>453</v>
      </c>
      <c r="F50" s="1183"/>
      <c r="G50" s="436"/>
      <c r="H50" s="437"/>
      <c r="I50" s="437"/>
      <c r="J50" s="437"/>
      <c r="K50" s="437"/>
      <c r="L50" s="437"/>
      <c r="M50" s="437"/>
      <c r="N50" s="438"/>
      <c r="O50" s="438"/>
      <c r="P50" s="438"/>
      <c r="Q50" s="438"/>
      <c r="R50" s="438"/>
      <c r="S50" s="438"/>
      <c r="T50" s="438"/>
      <c r="U50" s="438"/>
      <c r="V50" s="438"/>
      <c r="W50" s="439"/>
    </row>
    <row r="51" spans="1:30" ht="25.35" customHeight="1" x14ac:dyDescent="0.4">
      <c r="B51" s="211"/>
      <c r="C51" s="1174" t="s">
        <v>95</v>
      </c>
      <c r="D51" s="1073"/>
      <c r="E51" s="1072" t="s">
        <v>454</v>
      </c>
      <c r="F51" s="1175"/>
      <c r="G51" s="432" t="s">
        <v>455</v>
      </c>
      <c r="H51" s="433"/>
      <c r="I51" s="433"/>
      <c r="J51" s="433"/>
      <c r="K51" s="433"/>
      <c r="L51" s="433"/>
      <c r="M51" s="433"/>
      <c r="N51" s="434"/>
      <c r="O51" s="434"/>
      <c r="P51" s="434"/>
      <c r="Q51" s="434"/>
      <c r="R51" s="434"/>
      <c r="S51" s="434"/>
      <c r="T51" s="434"/>
      <c r="U51" s="434"/>
      <c r="V51" s="434"/>
      <c r="W51" s="435"/>
    </row>
    <row r="52" spans="1:30" ht="25.35" customHeight="1" x14ac:dyDescent="0.4">
      <c r="B52" s="211"/>
      <c r="C52" s="1174" t="s">
        <v>402</v>
      </c>
      <c r="D52" s="1073"/>
      <c r="E52" s="1072" t="s">
        <v>456</v>
      </c>
      <c r="F52" s="1175"/>
      <c r="G52" s="432" t="s">
        <v>457</v>
      </c>
      <c r="H52" s="433"/>
      <c r="I52" s="433"/>
      <c r="J52" s="433"/>
      <c r="K52" s="433"/>
      <c r="L52" s="433"/>
      <c r="M52" s="433"/>
      <c r="N52" s="434"/>
      <c r="O52" s="434"/>
      <c r="P52" s="434"/>
      <c r="Q52" s="434"/>
      <c r="R52" s="434"/>
      <c r="S52" s="434"/>
      <c r="T52" s="434"/>
      <c r="U52" s="434"/>
      <c r="V52" s="434"/>
      <c r="W52" s="435"/>
    </row>
    <row r="53" spans="1:30" ht="25.35" customHeight="1" x14ac:dyDescent="0.4">
      <c r="B53" s="1112" t="s">
        <v>458</v>
      </c>
      <c r="C53" s="1113"/>
      <c r="D53" s="1114"/>
      <c r="E53" s="1115" t="s">
        <v>459</v>
      </c>
      <c r="F53" s="1114"/>
      <c r="G53" s="1068"/>
      <c r="H53" s="1069"/>
      <c r="I53" s="1069"/>
      <c r="J53" s="1069"/>
      <c r="K53" s="1069"/>
      <c r="L53" s="1069"/>
      <c r="M53" s="1069"/>
      <c r="N53" s="212"/>
      <c r="O53" s="212"/>
      <c r="P53" s="212"/>
      <c r="Q53" s="212"/>
      <c r="R53" s="212"/>
      <c r="S53" s="212"/>
      <c r="T53" s="212"/>
      <c r="U53" s="212"/>
      <c r="V53" s="212"/>
      <c r="W53" s="213"/>
    </row>
    <row r="54" spans="1:30" ht="13.5" customHeight="1" x14ac:dyDescent="0.4"/>
    <row r="55" spans="1:30" ht="24.75" customHeight="1" x14ac:dyDescent="0.45">
      <c r="B55" s="195" t="s">
        <v>460</v>
      </c>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440"/>
    </row>
    <row r="56" spans="1:30" ht="24.75" customHeight="1" x14ac:dyDescent="0.4">
      <c r="B56" s="1089" t="s">
        <v>124</v>
      </c>
      <c r="C56" s="1089"/>
      <c r="D56" s="1089"/>
      <c r="E56" s="1089" t="s">
        <v>461</v>
      </c>
      <c r="F56" s="1089"/>
      <c r="G56" s="1090" t="s">
        <v>443</v>
      </c>
      <c r="H56" s="1091"/>
      <c r="I56" s="1091"/>
      <c r="J56" s="1091"/>
      <c r="K56" s="1091"/>
      <c r="L56" s="1091"/>
      <c r="M56" s="1091"/>
      <c r="N56" s="1091"/>
      <c r="O56" s="1091"/>
      <c r="P56" s="1091"/>
      <c r="Q56" s="1091"/>
      <c r="R56" s="1091"/>
      <c r="S56" s="1091"/>
      <c r="T56" s="1091"/>
      <c r="U56" s="1091"/>
      <c r="V56" s="1091"/>
      <c r="W56" s="1092"/>
      <c r="X56" s="441"/>
      <c r="Y56" s="194"/>
      <c r="Z56" s="194"/>
      <c r="AA56" s="194"/>
      <c r="AB56" s="194"/>
      <c r="AC56" s="194"/>
      <c r="AD56" s="194"/>
    </row>
    <row r="57" spans="1:30" ht="62.25" customHeight="1" x14ac:dyDescent="0.4">
      <c r="B57" s="1105" t="s">
        <v>462</v>
      </c>
      <c r="C57" s="1105"/>
      <c r="D57" s="1105"/>
      <c r="E57" s="1106" t="s">
        <v>463</v>
      </c>
      <c r="F57" s="1106"/>
      <c r="G57" s="1102" t="s">
        <v>464</v>
      </c>
      <c r="H57" s="1103"/>
      <c r="I57" s="1103"/>
      <c r="J57" s="1103"/>
      <c r="K57" s="1103"/>
      <c r="L57" s="1103"/>
      <c r="M57" s="1103"/>
      <c r="N57" s="1103"/>
      <c r="O57" s="1103"/>
      <c r="P57" s="1103"/>
      <c r="Q57" s="1103"/>
      <c r="R57" s="1103"/>
      <c r="S57" s="1103"/>
      <c r="T57" s="1103"/>
      <c r="U57" s="1103"/>
      <c r="V57" s="1103"/>
      <c r="W57" s="1104"/>
      <c r="X57" s="442"/>
      <c r="Y57" s="214"/>
      <c r="Z57" s="214"/>
      <c r="AA57" s="214"/>
      <c r="AB57" s="214"/>
      <c r="AC57" s="214"/>
      <c r="AD57" s="214"/>
    </row>
    <row r="58" spans="1:30" ht="26.25" customHeight="1" x14ac:dyDescent="0.4">
      <c r="B58" s="1109" t="s">
        <v>85</v>
      </c>
      <c r="C58" s="1109"/>
      <c r="D58" s="1109"/>
      <c r="E58" s="1088" t="s">
        <v>463</v>
      </c>
      <c r="F58" s="1088"/>
      <c r="G58" s="1093"/>
      <c r="H58" s="1094"/>
      <c r="I58" s="1094"/>
      <c r="J58" s="1094"/>
      <c r="K58" s="1094"/>
      <c r="L58" s="1094"/>
      <c r="M58" s="1094"/>
      <c r="N58" s="1094"/>
      <c r="O58" s="1094"/>
      <c r="P58" s="1094"/>
      <c r="Q58" s="1094"/>
      <c r="R58" s="1094"/>
      <c r="S58" s="1094"/>
      <c r="T58" s="1094"/>
      <c r="U58" s="1094"/>
      <c r="V58" s="1094"/>
      <c r="W58" s="1095"/>
      <c r="X58" s="441"/>
      <c r="Y58" s="194"/>
      <c r="Z58" s="194"/>
      <c r="AA58" s="194"/>
      <c r="AB58" s="194"/>
      <c r="AC58" s="194"/>
      <c r="AD58" s="194"/>
    </row>
    <row r="59" spans="1:30" ht="18.75" customHeight="1" x14ac:dyDescent="0.4"/>
    <row r="60" spans="1:30" ht="25.2" x14ac:dyDescent="0.4">
      <c r="A60" s="195" t="s">
        <v>465</v>
      </c>
      <c r="B60" s="195"/>
    </row>
    <row r="61" spans="1:30" ht="24" customHeight="1" x14ac:dyDescent="0.4">
      <c r="B61" s="195" t="s">
        <v>466</v>
      </c>
    </row>
    <row r="62" spans="1:30" ht="25.35" customHeight="1" x14ac:dyDescent="0.4">
      <c r="B62" s="1096" t="s">
        <v>7</v>
      </c>
      <c r="C62" s="1096"/>
      <c r="D62" s="1096"/>
      <c r="E62" s="1097" t="s">
        <v>467</v>
      </c>
      <c r="F62" s="1098"/>
      <c r="G62" s="1099" t="s">
        <v>468</v>
      </c>
      <c r="H62" s="1100"/>
      <c r="I62" s="1100"/>
      <c r="J62" s="1100"/>
      <c r="K62" s="1100"/>
      <c r="L62" s="1100"/>
      <c r="M62" s="1100"/>
      <c r="N62" s="1100"/>
      <c r="O62" s="1100"/>
      <c r="P62" s="1100"/>
      <c r="Q62" s="1100"/>
      <c r="R62" s="1100"/>
      <c r="S62" s="1100"/>
      <c r="T62" s="1100"/>
      <c r="U62" s="1100"/>
      <c r="V62" s="1100"/>
      <c r="W62" s="1101"/>
    </row>
    <row r="63" spans="1:30" ht="25.35" customHeight="1" x14ac:dyDescent="0.4">
      <c r="B63" s="1070" t="s">
        <v>44</v>
      </c>
      <c r="C63" s="1071"/>
      <c r="D63" s="1071"/>
      <c r="E63" s="1078" t="s">
        <v>469</v>
      </c>
      <c r="F63" s="1079"/>
      <c r="G63" s="1080"/>
      <c r="H63" s="1081"/>
      <c r="I63" s="1081"/>
      <c r="J63" s="1081"/>
      <c r="K63" s="1081"/>
      <c r="L63" s="1081"/>
      <c r="M63" s="1081"/>
      <c r="N63" s="207"/>
      <c r="O63" s="207"/>
      <c r="P63" s="207"/>
      <c r="Q63" s="207"/>
      <c r="R63" s="207"/>
      <c r="S63" s="207"/>
      <c r="T63" s="207"/>
      <c r="U63" s="207"/>
      <c r="V63" s="207"/>
      <c r="W63" s="208"/>
    </row>
    <row r="64" spans="1:30" ht="80.25" customHeight="1" x14ac:dyDescent="0.4">
      <c r="B64" s="209"/>
      <c r="C64" s="1077" t="s">
        <v>470</v>
      </c>
      <c r="D64" s="1077"/>
      <c r="E64" s="1072" t="s">
        <v>469</v>
      </c>
      <c r="F64" s="1073"/>
      <c r="G64" s="1074" t="s">
        <v>471</v>
      </c>
      <c r="H64" s="1075"/>
      <c r="I64" s="1075"/>
      <c r="J64" s="1075"/>
      <c r="K64" s="1075"/>
      <c r="L64" s="1075"/>
      <c r="M64" s="1075"/>
      <c r="N64" s="1075"/>
      <c r="O64" s="1075"/>
      <c r="P64" s="1075"/>
      <c r="Q64" s="1075"/>
      <c r="R64" s="1075"/>
      <c r="S64" s="1075"/>
      <c r="T64" s="1075"/>
      <c r="U64" s="1075"/>
      <c r="V64" s="1075"/>
      <c r="W64" s="1076"/>
    </row>
    <row r="65" spans="2:23" ht="25.35" customHeight="1" x14ac:dyDescent="0.4">
      <c r="B65" s="1070" t="s">
        <v>472</v>
      </c>
      <c r="C65" s="1071"/>
      <c r="D65" s="1071"/>
      <c r="E65" s="1078" t="s">
        <v>473</v>
      </c>
      <c r="F65" s="1079"/>
      <c r="G65" s="1080"/>
      <c r="H65" s="1081"/>
      <c r="I65" s="1081"/>
      <c r="J65" s="1081"/>
      <c r="K65" s="1081"/>
      <c r="L65" s="1081"/>
      <c r="M65" s="1081"/>
      <c r="N65" s="207"/>
      <c r="O65" s="207"/>
      <c r="P65" s="207"/>
      <c r="Q65" s="207"/>
      <c r="R65" s="207"/>
      <c r="S65" s="207"/>
      <c r="T65" s="207"/>
      <c r="U65" s="207"/>
      <c r="V65" s="207"/>
      <c r="W65" s="208"/>
    </row>
    <row r="66" spans="2:23" ht="177" customHeight="1" x14ac:dyDescent="0.4">
      <c r="B66" s="210"/>
      <c r="C66" s="1077" t="s">
        <v>26</v>
      </c>
      <c r="D66" s="1077"/>
      <c r="E66" s="1072" t="s">
        <v>473</v>
      </c>
      <c r="F66" s="1073"/>
      <c r="G66" s="1178" t="s">
        <v>474</v>
      </c>
      <c r="H66" s="1179"/>
      <c r="I66" s="1179"/>
      <c r="J66" s="1179"/>
      <c r="K66" s="1179"/>
      <c r="L66" s="1179"/>
      <c r="M66" s="1179"/>
      <c r="N66" s="1179"/>
      <c r="O66" s="1179"/>
      <c r="P66" s="1179"/>
      <c r="Q66" s="1179"/>
      <c r="R66" s="1179"/>
      <c r="S66" s="1179"/>
      <c r="T66" s="1179"/>
      <c r="U66" s="1179"/>
      <c r="V66" s="1179"/>
      <c r="W66" s="1180"/>
    </row>
    <row r="67" spans="2:23" ht="25.35" customHeight="1" x14ac:dyDescent="0.4">
      <c r="B67" s="1176" t="s">
        <v>475</v>
      </c>
      <c r="C67" s="1169"/>
      <c r="D67" s="1177"/>
      <c r="E67" s="1078" t="s">
        <v>476</v>
      </c>
      <c r="F67" s="1181"/>
      <c r="G67" s="215"/>
      <c r="H67" s="216"/>
      <c r="I67" s="216"/>
      <c r="J67" s="216"/>
      <c r="K67" s="216"/>
      <c r="L67" s="216"/>
      <c r="M67" s="216"/>
      <c r="N67" s="216"/>
      <c r="O67" s="216"/>
      <c r="P67" s="216"/>
      <c r="Q67" s="216"/>
      <c r="R67" s="216"/>
      <c r="S67" s="216"/>
      <c r="T67" s="216"/>
      <c r="U67" s="216"/>
      <c r="V67" s="216"/>
      <c r="W67" s="217"/>
    </row>
    <row r="68" spans="2:23" ht="30.75" customHeight="1" x14ac:dyDescent="0.4">
      <c r="B68" s="211"/>
      <c r="C68" s="1174" t="s">
        <v>29</v>
      </c>
      <c r="D68" s="1073"/>
      <c r="E68" s="1072" t="s">
        <v>477</v>
      </c>
      <c r="F68" s="1175"/>
      <c r="G68" s="1074" t="s">
        <v>478</v>
      </c>
      <c r="H68" s="1075"/>
      <c r="I68" s="1075"/>
      <c r="J68" s="1075"/>
      <c r="K68" s="1075"/>
      <c r="L68" s="1075"/>
      <c r="M68" s="1075"/>
      <c r="N68" s="1075"/>
      <c r="O68" s="1075"/>
      <c r="P68" s="1075"/>
      <c r="Q68" s="1075"/>
      <c r="R68" s="1075"/>
      <c r="S68" s="1075"/>
      <c r="T68" s="1075"/>
      <c r="U68" s="1075"/>
      <c r="V68" s="1075"/>
      <c r="W68" s="1076"/>
    </row>
    <row r="69" spans="2:23" ht="25.35" customHeight="1" x14ac:dyDescent="0.4">
      <c r="B69" s="211"/>
      <c r="C69" s="1174" t="s">
        <v>22</v>
      </c>
      <c r="D69" s="1073"/>
      <c r="E69" s="1072" t="s">
        <v>479</v>
      </c>
      <c r="F69" s="1175"/>
      <c r="G69" s="1074" t="s">
        <v>480</v>
      </c>
      <c r="H69" s="1075"/>
      <c r="I69" s="1075"/>
      <c r="J69" s="1075"/>
      <c r="K69" s="1075"/>
      <c r="L69" s="1075"/>
      <c r="M69" s="1075"/>
      <c r="N69" s="1075"/>
      <c r="O69" s="1075"/>
      <c r="P69" s="1075"/>
      <c r="Q69" s="1075"/>
      <c r="R69" s="1075"/>
      <c r="S69" s="1075"/>
      <c r="T69" s="1075"/>
      <c r="U69" s="1075"/>
      <c r="V69" s="1075"/>
      <c r="W69" s="1076"/>
    </row>
    <row r="70" spans="2:23" ht="25.35" customHeight="1" x14ac:dyDescent="0.4">
      <c r="B70" s="211"/>
      <c r="C70" s="1174" t="s">
        <v>481</v>
      </c>
      <c r="D70" s="1073"/>
      <c r="E70" s="1072" t="s">
        <v>482</v>
      </c>
      <c r="F70" s="1175"/>
      <c r="G70" s="1074" t="s">
        <v>483</v>
      </c>
      <c r="H70" s="1075"/>
      <c r="I70" s="1075"/>
      <c r="J70" s="1075"/>
      <c r="K70" s="1075"/>
      <c r="L70" s="1075"/>
      <c r="M70" s="1075"/>
      <c r="N70" s="1075"/>
      <c r="O70" s="1075"/>
      <c r="P70" s="1075"/>
      <c r="Q70" s="1075"/>
      <c r="R70" s="1075"/>
      <c r="S70" s="1075"/>
      <c r="T70" s="1075"/>
      <c r="U70" s="1075"/>
      <c r="V70" s="1075"/>
      <c r="W70" s="1076"/>
    </row>
    <row r="71" spans="2:23" ht="25.35" customHeight="1" x14ac:dyDescent="0.4">
      <c r="B71" s="1112" t="s">
        <v>47</v>
      </c>
      <c r="C71" s="1113"/>
      <c r="D71" s="1114"/>
      <c r="E71" s="1115" t="s">
        <v>484</v>
      </c>
      <c r="F71" s="1114"/>
      <c r="G71" s="218" t="s">
        <v>485</v>
      </c>
      <c r="H71" s="219"/>
      <c r="I71" s="219"/>
      <c r="J71" s="219"/>
      <c r="K71" s="219"/>
      <c r="L71" s="219"/>
      <c r="M71" s="219"/>
      <c r="N71" s="212"/>
      <c r="O71" s="212"/>
      <c r="P71" s="212"/>
      <c r="Q71" s="212"/>
      <c r="R71" s="212"/>
      <c r="S71" s="212"/>
      <c r="T71" s="212"/>
      <c r="U71" s="212"/>
      <c r="V71" s="212"/>
      <c r="W71" s="213"/>
    </row>
    <row r="72" spans="2:23" x14ac:dyDescent="0.4">
      <c r="B72" s="197"/>
    </row>
    <row r="73" spans="2:23" ht="25.35" customHeight="1" x14ac:dyDescent="0.4">
      <c r="B73" s="194" t="s">
        <v>486</v>
      </c>
    </row>
    <row r="74" spans="2:23" ht="25.35" customHeight="1" x14ac:dyDescent="0.4">
      <c r="B74" s="1096" t="s">
        <v>7</v>
      </c>
      <c r="C74" s="1096"/>
      <c r="D74" s="1096"/>
      <c r="E74" s="1097" t="s">
        <v>487</v>
      </c>
      <c r="F74" s="1208"/>
      <c r="G74" s="1208"/>
      <c r="H74" s="1208"/>
      <c r="I74" s="1208"/>
      <c r="J74" s="1208"/>
      <c r="K74" s="1208"/>
      <c r="L74" s="1208"/>
      <c r="M74" s="1208"/>
      <c r="N74" s="1208"/>
      <c r="O74" s="1208"/>
      <c r="P74" s="1208"/>
      <c r="Q74" s="1208"/>
      <c r="R74" s="1208"/>
      <c r="S74" s="1208"/>
      <c r="T74" s="1208"/>
      <c r="U74" s="1208"/>
      <c r="V74" s="1208"/>
      <c r="W74" s="1098"/>
    </row>
    <row r="75" spans="2:23" ht="29.25" customHeight="1" x14ac:dyDescent="0.4">
      <c r="B75" s="1077" t="s">
        <v>113</v>
      </c>
      <c r="C75" s="1077"/>
      <c r="D75" s="1077"/>
      <c r="E75" s="1203" t="s">
        <v>488</v>
      </c>
      <c r="F75" s="1204"/>
      <c r="G75" s="1204"/>
      <c r="H75" s="1204"/>
      <c r="I75" s="1204"/>
      <c r="J75" s="1204"/>
      <c r="K75" s="1204"/>
      <c r="L75" s="1204"/>
      <c r="M75" s="1204"/>
      <c r="N75" s="1204"/>
      <c r="O75" s="1204"/>
      <c r="P75" s="1204"/>
      <c r="Q75" s="1204"/>
      <c r="R75" s="1204"/>
      <c r="S75" s="1204"/>
      <c r="T75" s="1204"/>
      <c r="U75" s="1204"/>
      <c r="V75" s="1204"/>
      <c r="W75" s="1205"/>
    </row>
    <row r="76" spans="2:23" ht="146.25" customHeight="1" x14ac:dyDescent="0.4">
      <c r="B76" s="1077" t="s">
        <v>115</v>
      </c>
      <c r="C76" s="1077"/>
      <c r="D76" s="1077"/>
      <c r="E76" s="1206" t="s">
        <v>489</v>
      </c>
      <c r="F76" s="1204"/>
      <c r="G76" s="1204"/>
      <c r="H76" s="1204"/>
      <c r="I76" s="1204"/>
      <c r="J76" s="1204"/>
      <c r="K76" s="1204"/>
      <c r="L76" s="1204"/>
      <c r="M76" s="1204"/>
      <c r="N76" s="1204"/>
      <c r="O76" s="1204"/>
      <c r="P76" s="1204"/>
      <c r="Q76" s="1204"/>
      <c r="R76" s="1204"/>
      <c r="S76" s="1204"/>
      <c r="T76" s="1204"/>
      <c r="U76" s="1204"/>
      <c r="V76" s="1204"/>
      <c r="W76" s="1205"/>
    </row>
    <row r="77" spans="2:23" ht="69.75" customHeight="1" x14ac:dyDescent="0.4">
      <c r="B77" s="1174" t="s">
        <v>27</v>
      </c>
      <c r="C77" s="1207"/>
      <c r="D77" s="1073"/>
      <c r="E77" s="1206" t="s">
        <v>490</v>
      </c>
      <c r="F77" s="1204"/>
      <c r="G77" s="1204"/>
      <c r="H77" s="1204"/>
      <c r="I77" s="1204"/>
      <c r="J77" s="1204"/>
      <c r="K77" s="1204"/>
      <c r="L77" s="1204"/>
      <c r="M77" s="1204"/>
      <c r="N77" s="1204"/>
      <c r="O77" s="1204"/>
      <c r="P77" s="1204"/>
      <c r="Q77" s="1204"/>
      <c r="R77" s="1204"/>
      <c r="S77" s="1204"/>
      <c r="T77" s="1204"/>
      <c r="U77" s="1204"/>
      <c r="V77" s="1204"/>
      <c r="W77" s="1205"/>
    </row>
    <row r="82" spans="2:2" x14ac:dyDescent="0.4">
      <c r="B82" s="197"/>
    </row>
  </sheetData>
  <mergeCells count="14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G53:M53"/>
    <mergeCell ref="B50:D50"/>
    <mergeCell ref="E46:F46"/>
    <mergeCell ref="G46:W46"/>
    <mergeCell ref="C47:D47"/>
    <mergeCell ref="E47:F47"/>
    <mergeCell ref="G47:W47"/>
    <mergeCell ref="B48:D48"/>
    <mergeCell ref="E48:F48"/>
    <mergeCell ref="G48:M48"/>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s>
  <phoneticPr fontId="2" type="noConversion"/>
  <pageMargins left="0.38" right="0.32" top="0.35" bottom="0.19" header="0.3" footer="0.17"/>
  <pageSetup paperSize="8" scale="48"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x14ac:dyDescent="0.4"/>
  <cols>
    <col min="1" max="1" width="1" customWidth="1"/>
    <col min="2" max="2" width="4.59765625" customWidth="1"/>
    <col min="9" max="27" width="9" style="41"/>
  </cols>
  <sheetData>
    <row r="2" spans="2:30" ht="27.6" x14ac:dyDescent="0.4">
      <c r="B2" s="40" t="s">
        <v>491</v>
      </c>
      <c r="Q2" s="40" t="s">
        <v>492</v>
      </c>
    </row>
    <row r="3" spans="2:30" ht="18" thickBot="1" x14ac:dyDescent="0.45">
      <c r="O3" s="42" t="s">
        <v>6</v>
      </c>
      <c r="AD3" s="42" t="s">
        <v>6</v>
      </c>
    </row>
    <row r="4" spans="2:30" ht="18" thickBot="1" x14ac:dyDescent="0.45">
      <c r="B4" s="1217" t="s">
        <v>7</v>
      </c>
      <c r="C4" s="1218"/>
      <c r="D4" s="1233" t="s">
        <v>2</v>
      </c>
      <c r="E4" s="1234"/>
      <c r="F4" s="1234"/>
      <c r="G4" s="1234"/>
      <c r="H4" s="1234"/>
      <c r="I4" s="1234"/>
      <c r="J4" s="1234"/>
      <c r="K4" s="1234"/>
      <c r="L4" s="1234"/>
      <c r="M4" s="1234"/>
      <c r="N4" s="1234"/>
      <c r="O4" s="1235"/>
      <c r="Q4" s="1217" t="s">
        <v>7</v>
      </c>
      <c r="R4" s="1218"/>
      <c r="S4" s="1233" t="s">
        <v>2</v>
      </c>
      <c r="T4" s="1234"/>
      <c r="U4" s="1234"/>
      <c r="V4" s="1234"/>
      <c r="W4" s="1234"/>
      <c r="X4" s="1234"/>
      <c r="Y4" s="1234"/>
      <c r="Z4" s="1234"/>
      <c r="AA4" s="1234"/>
      <c r="AB4" s="1234"/>
      <c r="AC4" s="1234"/>
      <c r="AD4" s="1235"/>
    </row>
    <row r="5" spans="2:30" ht="18" thickTop="1" x14ac:dyDescent="0.4">
      <c r="B5" s="1219"/>
      <c r="C5" s="1220"/>
      <c r="D5" s="1236" t="s">
        <v>493</v>
      </c>
      <c r="E5" s="1237"/>
      <c r="F5" s="1238"/>
      <c r="G5" s="1239" t="s">
        <v>3</v>
      </c>
      <c r="H5" s="1239"/>
      <c r="I5" s="1240"/>
      <c r="J5" s="1241" t="s">
        <v>4</v>
      </c>
      <c r="K5" s="1239"/>
      <c r="L5" s="1240"/>
      <c r="M5" s="1241" t="s">
        <v>5</v>
      </c>
      <c r="N5" s="1239"/>
      <c r="O5" s="1242"/>
      <c r="Q5" s="1219"/>
      <c r="R5" s="1220"/>
      <c r="S5" s="1236" t="s">
        <v>493</v>
      </c>
      <c r="T5" s="1237"/>
      <c r="U5" s="1238"/>
      <c r="V5" s="1239" t="s">
        <v>3</v>
      </c>
      <c r="W5" s="1239"/>
      <c r="X5" s="1240"/>
      <c r="Y5" s="1241" t="s">
        <v>4</v>
      </c>
      <c r="Z5" s="1239"/>
      <c r="AA5" s="1240"/>
      <c r="AB5" s="1241" t="s">
        <v>5</v>
      </c>
      <c r="AC5" s="1239"/>
      <c r="AD5" s="1242"/>
    </row>
    <row r="6" spans="2:30" ht="18" thickBot="1" x14ac:dyDescent="0.45">
      <c r="B6" s="1231"/>
      <c r="C6" s="1232"/>
      <c r="D6" s="99" t="s">
        <v>39</v>
      </c>
      <c r="E6" s="100" t="s">
        <v>494</v>
      </c>
      <c r="F6" s="101" t="s">
        <v>59</v>
      </c>
      <c r="G6" s="102" t="s">
        <v>39</v>
      </c>
      <c r="H6" s="100" t="s">
        <v>494</v>
      </c>
      <c r="I6" s="100" t="s">
        <v>59</v>
      </c>
      <c r="J6" s="103" t="s">
        <v>39</v>
      </c>
      <c r="K6" s="100" t="s">
        <v>494</v>
      </c>
      <c r="L6" s="100" t="s">
        <v>59</v>
      </c>
      <c r="M6" s="103" t="s">
        <v>39</v>
      </c>
      <c r="N6" s="100" t="s">
        <v>494</v>
      </c>
      <c r="O6" s="104" t="s">
        <v>59</v>
      </c>
      <c r="Q6" s="1231"/>
      <c r="R6" s="1232"/>
      <c r="S6" s="99" t="s">
        <v>39</v>
      </c>
      <c r="T6" s="100" t="s">
        <v>494</v>
      </c>
      <c r="U6" s="101" t="s">
        <v>59</v>
      </c>
      <c r="V6" s="102" t="s">
        <v>39</v>
      </c>
      <c r="W6" s="100" t="s">
        <v>494</v>
      </c>
      <c r="X6" s="100" t="s">
        <v>59</v>
      </c>
      <c r="Y6" s="103" t="s">
        <v>39</v>
      </c>
      <c r="Z6" s="100" t="s">
        <v>494</v>
      </c>
      <c r="AA6" s="100" t="s">
        <v>59</v>
      </c>
      <c r="AB6" s="103" t="s">
        <v>39</v>
      </c>
      <c r="AC6" s="100" t="s">
        <v>494</v>
      </c>
      <c r="AD6" s="104" t="s">
        <v>59</v>
      </c>
    </row>
    <row r="7" spans="2:30" x14ac:dyDescent="0.4">
      <c r="B7" s="1213" t="s">
        <v>495</v>
      </c>
      <c r="C7" s="1214"/>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213" t="s">
        <v>495</v>
      </c>
      <c r="R7" s="1214"/>
      <c r="S7" s="105" t="e">
        <f>S8+S11+S14</f>
        <v>#REF!</v>
      </c>
      <c r="T7" s="106">
        <f t="shared" ref="T7" si="4">T8+T11+T14</f>
        <v>269.57963601</v>
      </c>
      <c r="U7" s="155"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x14ac:dyDescent="0.4">
      <c r="B8" s="1211" t="s">
        <v>44</v>
      </c>
      <c r="C8" s="1212"/>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211" t="s">
        <v>44</v>
      </c>
      <c r="R8" s="1212"/>
      <c r="S8" s="110" t="e">
        <f>SUM(S9:S10)</f>
        <v>#REF!</v>
      </c>
      <c r="T8" s="111">
        <f t="shared" ref="T8" si="13">SUM(T9:T10)</f>
        <v>86.421011739999997</v>
      </c>
      <c r="U8" s="156"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x14ac:dyDescent="0.4">
      <c r="B9" s="1215"/>
      <c r="C9" s="59" t="s">
        <v>470</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215"/>
      <c r="R9" s="59" t="s">
        <v>470</v>
      </c>
      <c r="S9" s="114" t="e">
        <f>D9</f>
        <v>#REF!</v>
      </c>
      <c r="T9" s="115">
        <f>W9+Z9+AC9</f>
        <v>86.421011739999997</v>
      </c>
      <c r="U9" s="157"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x14ac:dyDescent="0.4">
      <c r="B10" s="1216"/>
      <c r="C10" s="67" t="s">
        <v>496</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216"/>
      <c r="R10" s="67" t="s">
        <v>496</v>
      </c>
      <c r="S10" s="118" t="e">
        <f>D10</f>
        <v>#REF!</v>
      </c>
      <c r="T10" s="119">
        <f>W10+Z10+AC10</f>
        <v>0</v>
      </c>
      <c r="U10" s="158"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x14ac:dyDescent="0.4">
      <c r="B11" s="1211" t="s">
        <v>472</v>
      </c>
      <c r="C11" s="1212"/>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211" t="s">
        <v>472</v>
      </c>
      <c r="R11" s="1212"/>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x14ac:dyDescent="0.4">
      <c r="B12" s="1215"/>
      <c r="C12" s="59" t="s">
        <v>27</v>
      </c>
      <c r="D12" s="114" t="e">
        <f>L32</f>
        <v>#REF!</v>
      </c>
      <c r="E12" s="115">
        <f>H12+K12+N12</f>
        <v>20.9431437</v>
      </c>
      <c r="F12" s="141" t="e">
        <f t="shared" si="9"/>
        <v>#REF!</v>
      </c>
      <c r="G12" s="116" t="e">
        <f>I32</f>
        <v>#REF!</v>
      </c>
      <c r="H12" s="115">
        <f>셀트리온제약!I17/10^8</f>
        <v>6.7044357000000003</v>
      </c>
      <c r="I12" s="159"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215"/>
      <c r="R12" s="59" t="s">
        <v>27</v>
      </c>
      <c r="S12" s="114" t="e">
        <f>D12</f>
        <v>#REF!</v>
      </c>
      <c r="T12" s="115">
        <f>W12+Z12+AC12</f>
        <v>27.461327399999998</v>
      </c>
      <c r="U12" s="157" t="e">
        <f t="shared" si="14"/>
        <v>#REF!</v>
      </c>
      <c r="V12" s="116" t="e">
        <f>G12</f>
        <v>#REF!</v>
      </c>
      <c r="W12" s="115">
        <f>'상세 자료 작성'!K10/10^8</f>
        <v>10.137470199999999</v>
      </c>
      <c r="X12" s="159"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x14ac:dyDescent="0.4">
      <c r="B13" s="1216"/>
      <c r="C13" s="67" t="s">
        <v>26</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216"/>
      <c r="R13" s="67" t="s">
        <v>26</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x14ac:dyDescent="0.4">
      <c r="B14" s="1211" t="s">
        <v>497</v>
      </c>
      <c r="C14" s="1212"/>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211" t="s">
        <v>497</v>
      </c>
      <c r="R14" s="1212"/>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x14ac:dyDescent="0.4">
      <c r="B15" s="1209"/>
      <c r="C15" s="82" t="s">
        <v>50</v>
      </c>
      <c r="D15" s="114">
        <f>L35</f>
        <v>2.14</v>
      </c>
      <c r="E15" s="115">
        <f>H15+K15+N15</f>
        <v>1.4783999999999999</v>
      </c>
      <c r="F15" s="141">
        <f t="shared" si="9"/>
        <v>-0.66160000000000019</v>
      </c>
      <c r="G15" s="116">
        <f>I35</f>
        <v>0.4</v>
      </c>
      <c r="H15" s="115">
        <f>셀트리온제약!I19/10^8</f>
        <v>8.3999999999999995E-3</v>
      </c>
      <c r="I15" s="159">
        <f t="shared" si="26"/>
        <v>-0.3916</v>
      </c>
      <c r="J15" s="115">
        <f>J35</f>
        <v>1.7400000000000002</v>
      </c>
      <c r="K15" s="115">
        <f>셀트리온제약!I28/10^8</f>
        <v>1.47</v>
      </c>
      <c r="L15" s="115">
        <f t="shared" si="27"/>
        <v>-0.27000000000000024</v>
      </c>
      <c r="M15" s="115">
        <f>K35</f>
        <v>0</v>
      </c>
      <c r="N15" s="117">
        <f>셀트리온제약!I37/10^8</f>
        <v>0</v>
      </c>
      <c r="O15" s="137">
        <f t="shared" si="28"/>
        <v>0</v>
      </c>
      <c r="Q15" s="1209"/>
      <c r="R15" s="82" t="s">
        <v>50</v>
      </c>
      <c r="S15" s="114">
        <f>D15</f>
        <v>2.14</v>
      </c>
      <c r="T15" s="115">
        <f>W15+Z15+AC15</f>
        <v>1.47</v>
      </c>
      <c r="U15" s="141">
        <f t="shared" si="14"/>
        <v>-0.67000000000000015</v>
      </c>
      <c r="V15" s="116">
        <f>G15</f>
        <v>0.4</v>
      </c>
      <c r="W15" s="115">
        <f>'상세 자료 작성'!K12/10^8</f>
        <v>0</v>
      </c>
      <c r="X15" s="159">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x14ac:dyDescent="0.4">
      <c r="B16" s="1209"/>
      <c r="C16" s="83" t="s">
        <v>30</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209"/>
      <c r="R16" s="83" t="s">
        <v>30</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x14ac:dyDescent="0.4">
      <c r="B17" s="1209"/>
      <c r="C17" s="162" t="s">
        <v>26</v>
      </c>
      <c r="D17" s="163">
        <f>L37</f>
        <v>3.1020828700000003</v>
      </c>
      <c r="E17" s="164">
        <f t="shared" si="32"/>
        <v>3.1020828700000003</v>
      </c>
      <c r="F17" s="165">
        <f t="shared" si="9"/>
        <v>0</v>
      </c>
      <c r="G17" s="166">
        <f>I37</f>
        <v>1.6206942900000001</v>
      </c>
      <c r="H17" s="164">
        <f>셀트리온제약!I21/10^8</f>
        <v>1.6206942900000001</v>
      </c>
      <c r="I17" s="164">
        <f t="shared" si="26"/>
        <v>0</v>
      </c>
      <c r="J17" s="164">
        <f>J37</f>
        <v>0.14069429</v>
      </c>
      <c r="K17" s="164">
        <f>셀트리온제약!I30/10^8</f>
        <v>0.14069429</v>
      </c>
      <c r="L17" s="164">
        <f t="shared" si="27"/>
        <v>0</v>
      </c>
      <c r="M17" s="164">
        <f>K37</f>
        <v>1.3406942900000001</v>
      </c>
      <c r="N17" s="167">
        <f>셀트리온제약!I39/10^8</f>
        <v>1.3406942900000001</v>
      </c>
      <c r="O17" s="168">
        <f t="shared" si="28"/>
        <v>0</v>
      </c>
      <c r="Q17" s="1209"/>
      <c r="R17" s="162" t="s">
        <v>26</v>
      </c>
      <c r="S17" s="163">
        <f>D17</f>
        <v>3.1020828700000003</v>
      </c>
      <c r="T17" s="164">
        <f t="shared" si="33"/>
        <v>8.7447868699999987</v>
      </c>
      <c r="U17" s="165">
        <f t="shared" si="14"/>
        <v>5.6427039999999984</v>
      </c>
      <c r="V17" s="166">
        <f t="shared" si="34"/>
        <v>1.6206942900000001</v>
      </c>
      <c r="W17" s="164">
        <f>'상세 자료 작성'!K14/10^8</f>
        <v>4.39139429</v>
      </c>
      <c r="X17" s="164">
        <f t="shared" si="29"/>
        <v>2.7706999999999997</v>
      </c>
      <c r="Y17" s="164">
        <f>J17</f>
        <v>0.14069429</v>
      </c>
      <c r="Z17" s="164">
        <f>'상세 자료 작성'!K25/10^8</f>
        <v>0.14069429</v>
      </c>
      <c r="AA17" s="164">
        <f t="shared" si="30"/>
        <v>0</v>
      </c>
      <c r="AB17" s="164">
        <f>M17</f>
        <v>1.3406942900000001</v>
      </c>
      <c r="AC17" s="167">
        <f>'상세 자료 작성'!K36/10^8</f>
        <v>4.2126982899999996</v>
      </c>
      <c r="AD17" s="168">
        <f t="shared" si="31"/>
        <v>2.8720039999999996</v>
      </c>
    </row>
    <row r="18" spans="2:30" ht="18" thickBot="1" x14ac:dyDescent="0.45">
      <c r="B18" s="1210"/>
      <c r="C18" s="91" t="s">
        <v>22</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210"/>
      <c r="R18" s="91" t="s">
        <v>22</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x14ac:dyDescent="0.4">
      <c r="Q19" s="160" t="s">
        <v>498</v>
      </c>
    </row>
    <row r="20" spans="2:30" ht="8.25" customHeight="1" x14ac:dyDescent="0.4"/>
    <row r="21" spans="2:30" ht="27.6" x14ac:dyDescent="0.4">
      <c r="B21" s="40" t="s">
        <v>499</v>
      </c>
    </row>
    <row r="22" spans="2:30" ht="18" thickBot="1" x14ac:dyDescent="0.45">
      <c r="AA22" s="42" t="s">
        <v>6</v>
      </c>
    </row>
    <row r="23" spans="2:30" ht="19.8" thickBot="1" x14ac:dyDescent="0.45">
      <c r="B23" s="1217" t="s">
        <v>7</v>
      </c>
      <c r="C23" s="1218"/>
      <c r="D23" s="1221" t="s">
        <v>500</v>
      </c>
      <c r="E23" s="1222"/>
      <c r="F23" s="1222"/>
      <c r="G23" s="1222"/>
      <c r="H23" s="1223"/>
      <c r="I23" s="1224" t="s">
        <v>501</v>
      </c>
      <c r="J23" s="1225"/>
      <c r="K23" s="1225"/>
      <c r="L23" s="1225"/>
      <c r="M23" s="1225"/>
      <c r="N23" s="1225"/>
      <c r="O23" s="1225"/>
      <c r="P23" s="1225"/>
      <c r="Q23" s="1225"/>
      <c r="R23" s="1225"/>
      <c r="S23" s="1225"/>
      <c r="T23" s="1225"/>
      <c r="U23" s="1225"/>
      <c r="V23" s="1225"/>
      <c r="W23" s="1225"/>
      <c r="X23" s="1225"/>
      <c r="Y23" s="1225"/>
      <c r="Z23" s="1225"/>
      <c r="AA23" s="1226"/>
    </row>
    <row r="24" spans="2:30" ht="18" thickBot="1" x14ac:dyDescent="0.45">
      <c r="B24" s="1219"/>
      <c r="C24" s="1220"/>
      <c r="D24" s="1227" t="s">
        <v>2</v>
      </c>
      <c r="E24" s="1229" t="s">
        <v>154</v>
      </c>
      <c r="F24" s="1229" t="s">
        <v>98</v>
      </c>
      <c r="G24" s="1229" t="s">
        <v>173</v>
      </c>
      <c r="H24" s="1258" t="s">
        <v>502</v>
      </c>
      <c r="I24" s="1243" t="s">
        <v>421</v>
      </c>
      <c r="J24" s="1244"/>
      <c r="K24" s="1244"/>
      <c r="L24" s="1244"/>
      <c r="M24" s="1244"/>
      <c r="N24" s="1244"/>
      <c r="O24" s="1244"/>
      <c r="P24" s="1244"/>
      <c r="Q24" s="1245"/>
      <c r="R24" s="1243" t="s">
        <v>437</v>
      </c>
      <c r="S24" s="1244"/>
      <c r="T24" s="1244"/>
      <c r="U24" s="1244"/>
      <c r="V24" s="1244"/>
      <c r="W24" s="1244"/>
      <c r="X24" s="1244"/>
      <c r="Y24" s="1244"/>
      <c r="Z24" s="1245"/>
      <c r="AA24" s="1246" t="s">
        <v>502</v>
      </c>
    </row>
    <row r="25" spans="2:30" x14ac:dyDescent="0.4">
      <c r="B25" s="1219"/>
      <c r="C25" s="1220"/>
      <c r="D25" s="1227"/>
      <c r="E25" s="1229"/>
      <c r="F25" s="1229"/>
      <c r="G25" s="1229"/>
      <c r="H25" s="1258"/>
      <c r="I25" s="1249" t="s">
        <v>2</v>
      </c>
      <c r="J25" s="1250"/>
      <c r="K25" s="1250"/>
      <c r="L25" s="1251"/>
      <c r="M25" s="1249" t="s">
        <v>154</v>
      </c>
      <c r="N25" s="1250"/>
      <c r="O25" s="1250"/>
      <c r="P25" s="1251"/>
      <c r="Q25" s="1252" t="s">
        <v>421</v>
      </c>
      <c r="R25" s="1249" t="s">
        <v>98</v>
      </c>
      <c r="S25" s="1250"/>
      <c r="T25" s="1250"/>
      <c r="U25" s="1251"/>
      <c r="V25" s="1249" t="s">
        <v>173</v>
      </c>
      <c r="W25" s="1250"/>
      <c r="X25" s="1250"/>
      <c r="Y25" s="1251"/>
      <c r="Z25" s="1252" t="s">
        <v>437</v>
      </c>
      <c r="AA25" s="1247"/>
    </row>
    <row r="26" spans="2:30" ht="18" thickBot="1" x14ac:dyDescent="0.45">
      <c r="B26" s="1219"/>
      <c r="C26" s="1220"/>
      <c r="D26" s="1228"/>
      <c r="E26" s="1230"/>
      <c r="F26" s="1230"/>
      <c r="G26" s="1230"/>
      <c r="H26" s="1259"/>
      <c r="I26" s="43" t="s">
        <v>3</v>
      </c>
      <c r="J26" s="481" t="s">
        <v>4</v>
      </c>
      <c r="K26" s="481" t="s">
        <v>5</v>
      </c>
      <c r="L26" s="44" t="s">
        <v>268</v>
      </c>
      <c r="M26" s="43" t="s">
        <v>155</v>
      </c>
      <c r="N26" s="481" t="s">
        <v>157</v>
      </c>
      <c r="O26" s="481" t="s">
        <v>159</v>
      </c>
      <c r="P26" s="44" t="s">
        <v>268</v>
      </c>
      <c r="Q26" s="1253"/>
      <c r="R26" s="43" t="s">
        <v>77</v>
      </c>
      <c r="S26" s="481" t="s">
        <v>165</v>
      </c>
      <c r="T26" s="481" t="s">
        <v>100</v>
      </c>
      <c r="U26" s="44" t="s">
        <v>268</v>
      </c>
      <c r="V26" s="43" t="s">
        <v>174</v>
      </c>
      <c r="W26" s="481" t="s">
        <v>142</v>
      </c>
      <c r="X26" s="481" t="s">
        <v>143</v>
      </c>
      <c r="Y26" s="44" t="s">
        <v>268</v>
      </c>
      <c r="Z26" s="1253"/>
      <c r="AA26" s="1248"/>
    </row>
    <row r="27" spans="2:30" ht="19.8" thickBot="1" x14ac:dyDescent="0.45">
      <c r="B27" s="1256" t="s">
        <v>495</v>
      </c>
      <c r="C27" s="1257"/>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x14ac:dyDescent="0.4">
      <c r="B28" s="1254" t="s">
        <v>44</v>
      </c>
      <c r="C28" s="1255"/>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x14ac:dyDescent="0.4">
      <c r="B29" s="1215"/>
      <c r="C29" s="59" t="s">
        <v>470</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x14ac:dyDescent="0.4">
      <c r="B30" s="1216"/>
      <c r="C30" s="67" t="s">
        <v>496</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x14ac:dyDescent="0.4">
      <c r="B31" s="1211" t="s">
        <v>472</v>
      </c>
      <c r="C31" s="1212"/>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x14ac:dyDescent="0.4">
      <c r="B32" s="1215"/>
      <c r="C32" s="59" t="s">
        <v>27</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x14ac:dyDescent="0.4">
      <c r="B33" s="1216"/>
      <c r="C33" s="67" t="s">
        <v>26</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x14ac:dyDescent="0.4">
      <c r="B34" s="1211" t="s">
        <v>497</v>
      </c>
      <c r="C34" s="1212"/>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x14ac:dyDescent="0.4">
      <c r="B35" s="1209"/>
      <c r="C35" s="82" t="s">
        <v>50</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x14ac:dyDescent="0.4">
      <c r="B36" s="1209"/>
      <c r="C36" s="83" t="s">
        <v>30</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x14ac:dyDescent="0.4">
      <c r="B37" s="1209"/>
      <c r="C37" s="162" t="s">
        <v>26</v>
      </c>
      <c r="D37" s="169">
        <v>3.1320828700000001</v>
      </c>
      <c r="E37" s="170">
        <v>14.562393869999999</v>
      </c>
      <c r="F37" s="170">
        <v>32.21816287</v>
      </c>
      <c r="G37" s="170">
        <v>25.158182870000001</v>
      </c>
      <c r="H37" s="171">
        <f t="shared" si="71"/>
        <v>75.070822480000004</v>
      </c>
      <c r="I37" s="172">
        <v>1.6206942900000001</v>
      </c>
      <c r="J37" s="173">
        <v>0.14069429</v>
      </c>
      <c r="K37" s="173">
        <v>1.3406942900000001</v>
      </c>
      <c r="L37" s="174">
        <f t="shared" si="47"/>
        <v>3.1020828700000003</v>
      </c>
      <c r="M37" s="172">
        <v>8.5846942899999998</v>
      </c>
      <c r="N37" s="173">
        <v>0.14069429</v>
      </c>
      <c r="O37" s="173">
        <v>0.14069429</v>
      </c>
      <c r="P37" s="174">
        <f t="shared" si="49"/>
        <v>8.8660828700000014</v>
      </c>
      <c r="Q37" s="175">
        <f t="shared" si="50"/>
        <v>11.968165740000002</v>
      </c>
      <c r="R37" s="172">
        <v>11.42669429</v>
      </c>
      <c r="S37" s="173">
        <v>0.14069429</v>
      </c>
      <c r="T37" s="173">
        <v>6.3706942900000003</v>
      </c>
      <c r="U37" s="174">
        <f t="shared" si="52"/>
        <v>17.938082870000002</v>
      </c>
      <c r="V37" s="172">
        <v>0.80069429000000003</v>
      </c>
      <c r="W37" s="173">
        <v>0.14069429</v>
      </c>
      <c r="X37" s="173">
        <v>0.14069429</v>
      </c>
      <c r="Y37" s="174">
        <f t="shared" si="54"/>
        <v>1.08208287</v>
      </c>
      <c r="Z37" s="175">
        <f t="shared" si="55"/>
        <v>19.020165740000003</v>
      </c>
      <c r="AA37" s="175">
        <f t="shared" si="56"/>
        <v>30.988331480000006</v>
      </c>
    </row>
    <row r="38" spans="2:27" ht="19.8" thickBot="1" x14ac:dyDescent="0.45">
      <c r="B38" s="1210"/>
      <c r="C38" s="91" t="s">
        <v>22</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 ref="B28:C28"/>
    <mergeCell ref="B29:B30"/>
    <mergeCell ref="B31:C31"/>
    <mergeCell ref="B32:B33"/>
    <mergeCell ref="B34:C34"/>
    <mergeCell ref="R24:Z24"/>
    <mergeCell ref="AA24:AA26"/>
    <mergeCell ref="I25:L25"/>
    <mergeCell ref="M25:P25"/>
    <mergeCell ref="Q25:Q26"/>
    <mergeCell ref="R25:U25"/>
    <mergeCell ref="V25:Y25"/>
    <mergeCell ref="Q4:R6"/>
    <mergeCell ref="S4:AD4"/>
    <mergeCell ref="S5:U5"/>
    <mergeCell ref="V5:X5"/>
    <mergeCell ref="Y5:AA5"/>
    <mergeCell ref="AB5:AD5"/>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s>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x14ac:dyDescent="0.4"/>
  <cols>
    <col min="1" max="1" width="1" customWidth="1"/>
    <col min="2" max="2" width="9.59765625" customWidth="1"/>
    <col min="3" max="38" width="6.59765625" customWidth="1"/>
  </cols>
  <sheetData>
    <row r="2" spans="2:38" x14ac:dyDescent="0.4">
      <c r="B2" s="184" t="s">
        <v>503</v>
      </c>
    </row>
    <row r="3" spans="2:38" x14ac:dyDescent="0.4">
      <c r="B3" t="s">
        <v>504</v>
      </c>
    </row>
    <row r="4" spans="2:38" x14ac:dyDescent="0.4">
      <c r="B4" t="s">
        <v>505</v>
      </c>
    </row>
    <row r="5" spans="2:38" x14ac:dyDescent="0.4">
      <c r="B5" t="s">
        <v>506</v>
      </c>
    </row>
    <row r="6" spans="2:38" x14ac:dyDescent="0.4">
      <c r="C6" t="s">
        <v>507</v>
      </c>
    </row>
    <row r="8" spans="2:38" x14ac:dyDescent="0.4">
      <c r="B8" s="184" t="s">
        <v>508</v>
      </c>
    </row>
    <row r="9" spans="2:38" s="187" customFormat="1" ht="30" customHeight="1" x14ac:dyDescent="0.4">
      <c r="B9" s="1262" t="s">
        <v>7</v>
      </c>
      <c r="C9" s="186" t="s">
        <v>509</v>
      </c>
      <c r="D9" s="1263" t="s">
        <v>510</v>
      </c>
      <c r="E9" s="1263"/>
      <c r="F9" s="1263"/>
      <c r="G9" s="1263"/>
      <c r="H9" s="1263"/>
      <c r="I9" s="1263"/>
      <c r="J9" s="1263"/>
      <c r="K9" s="1263"/>
      <c r="L9" s="1263"/>
      <c r="M9" s="1263"/>
      <c r="N9" s="1263"/>
      <c r="O9" s="1263"/>
      <c r="P9" s="1263"/>
      <c r="Q9" s="1263"/>
      <c r="R9" s="1263"/>
      <c r="S9" s="1263"/>
      <c r="T9" s="1263"/>
      <c r="U9" s="1263"/>
      <c r="V9" s="1263"/>
      <c r="W9" s="1263"/>
      <c r="X9" s="1263"/>
      <c r="Y9" s="1263"/>
      <c r="Z9" s="1263"/>
      <c r="AA9" s="1263"/>
      <c r="AB9" s="1263"/>
      <c r="AC9" s="1263"/>
      <c r="AD9" s="1263"/>
      <c r="AE9" s="1263"/>
      <c r="AF9" s="1263"/>
      <c r="AG9" s="1263"/>
      <c r="AH9" s="1263"/>
      <c r="AI9" s="1263"/>
      <c r="AJ9" s="1263"/>
      <c r="AK9" s="1263"/>
      <c r="AL9" s="1263"/>
    </row>
    <row r="10" spans="2:38" s="187" customFormat="1" ht="30" customHeight="1" x14ac:dyDescent="0.4">
      <c r="B10" s="1262"/>
      <c r="C10" s="1260" t="s">
        <v>511</v>
      </c>
      <c r="D10" s="1261" t="s">
        <v>2</v>
      </c>
      <c r="E10" s="1261"/>
      <c r="F10" s="1261"/>
      <c r="G10" s="1261"/>
      <c r="H10" s="1261"/>
      <c r="I10" s="1261"/>
      <c r="J10" s="1265"/>
      <c r="K10" s="1265"/>
      <c r="L10" s="1261" t="s">
        <v>154</v>
      </c>
      <c r="M10" s="1261"/>
      <c r="N10" s="1261"/>
      <c r="O10" s="1261"/>
      <c r="P10" s="1261"/>
      <c r="Q10" s="1261"/>
      <c r="R10" s="1265"/>
      <c r="S10" s="1265"/>
      <c r="T10" s="1261" t="s">
        <v>98</v>
      </c>
      <c r="U10" s="1261"/>
      <c r="V10" s="1261"/>
      <c r="W10" s="1261"/>
      <c r="X10" s="1261"/>
      <c r="Y10" s="1261"/>
      <c r="Z10" s="1265"/>
      <c r="AA10" s="1265"/>
      <c r="AB10" s="1261" t="s">
        <v>173</v>
      </c>
      <c r="AC10" s="1261"/>
      <c r="AD10" s="1261"/>
      <c r="AE10" s="1261"/>
      <c r="AF10" s="1261"/>
      <c r="AG10" s="1261"/>
      <c r="AH10" s="1265"/>
      <c r="AI10" s="1265"/>
      <c r="AJ10" s="1263" t="s">
        <v>39</v>
      </c>
      <c r="AK10" s="1263" t="s">
        <v>512</v>
      </c>
      <c r="AL10" s="1263" t="s">
        <v>59</v>
      </c>
    </row>
    <row r="11" spans="2:38" s="187" customFormat="1" ht="30" customHeight="1" x14ac:dyDescent="0.4">
      <c r="B11" s="1262"/>
      <c r="C11" s="1261"/>
      <c r="D11" s="1262" t="s">
        <v>3</v>
      </c>
      <c r="E11" s="1262"/>
      <c r="F11" s="1262" t="s">
        <v>4</v>
      </c>
      <c r="G11" s="1262"/>
      <c r="H11" s="1262" t="s">
        <v>5</v>
      </c>
      <c r="I11" s="1262"/>
      <c r="J11" s="1264" t="s">
        <v>39</v>
      </c>
      <c r="K11" s="1264" t="s">
        <v>512</v>
      </c>
      <c r="L11" s="1262" t="s">
        <v>155</v>
      </c>
      <c r="M11" s="1262"/>
      <c r="N11" s="1262" t="s">
        <v>157</v>
      </c>
      <c r="O11" s="1262"/>
      <c r="P11" s="1262" t="s">
        <v>159</v>
      </c>
      <c r="Q11" s="1262"/>
      <c r="R11" s="1264" t="s">
        <v>39</v>
      </c>
      <c r="S11" s="1264" t="s">
        <v>512</v>
      </c>
      <c r="T11" s="1262" t="s">
        <v>77</v>
      </c>
      <c r="U11" s="1262"/>
      <c r="V11" s="1262" t="s">
        <v>165</v>
      </c>
      <c r="W11" s="1262"/>
      <c r="X11" s="1262" t="s">
        <v>100</v>
      </c>
      <c r="Y11" s="1262"/>
      <c r="Z11" s="1264" t="s">
        <v>39</v>
      </c>
      <c r="AA11" s="1264" t="s">
        <v>512</v>
      </c>
      <c r="AB11" s="1262" t="s">
        <v>174</v>
      </c>
      <c r="AC11" s="1262"/>
      <c r="AD11" s="1262" t="s">
        <v>142</v>
      </c>
      <c r="AE11" s="1262"/>
      <c r="AF11" s="1262" t="s">
        <v>143</v>
      </c>
      <c r="AG11" s="1262"/>
      <c r="AH11" s="1264" t="s">
        <v>39</v>
      </c>
      <c r="AI11" s="1264" t="s">
        <v>512</v>
      </c>
      <c r="AJ11" s="1263"/>
      <c r="AK11" s="1263"/>
      <c r="AL11" s="1263"/>
    </row>
    <row r="12" spans="2:38" s="187" customFormat="1" ht="30" customHeight="1" x14ac:dyDescent="0.4">
      <c r="B12" s="1262"/>
      <c r="C12" s="1261"/>
      <c r="D12" s="185" t="s">
        <v>39</v>
      </c>
      <c r="E12" s="185" t="s">
        <v>512</v>
      </c>
      <c r="F12" s="185" t="s">
        <v>39</v>
      </c>
      <c r="G12" s="185" t="s">
        <v>512</v>
      </c>
      <c r="H12" s="185" t="s">
        <v>39</v>
      </c>
      <c r="I12" s="185" t="s">
        <v>512</v>
      </c>
      <c r="J12" s="1261"/>
      <c r="K12" s="1261"/>
      <c r="L12" s="185" t="s">
        <v>39</v>
      </c>
      <c r="M12" s="185" t="s">
        <v>512</v>
      </c>
      <c r="N12" s="185" t="s">
        <v>39</v>
      </c>
      <c r="O12" s="185" t="s">
        <v>512</v>
      </c>
      <c r="P12" s="185" t="s">
        <v>39</v>
      </c>
      <c r="Q12" s="185" t="s">
        <v>512</v>
      </c>
      <c r="R12" s="1261"/>
      <c r="S12" s="1261"/>
      <c r="T12" s="185" t="s">
        <v>39</v>
      </c>
      <c r="U12" s="185" t="s">
        <v>512</v>
      </c>
      <c r="V12" s="185" t="s">
        <v>39</v>
      </c>
      <c r="W12" s="185" t="s">
        <v>512</v>
      </c>
      <c r="X12" s="185" t="s">
        <v>39</v>
      </c>
      <c r="Y12" s="185" t="s">
        <v>512</v>
      </c>
      <c r="Z12" s="1261"/>
      <c r="AA12" s="1261"/>
      <c r="AB12" s="185" t="s">
        <v>39</v>
      </c>
      <c r="AC12" s="185" t="s">
        <v>512</v>
      </c>
      <c r="AD12" s="185" t="s">
        <v>39</v>
      </c>
      <c r="AE12" s="185" t="s">
        <v>512</v>
      </c>
      <c r="AF12" s="185" t="s">
        <v>39</v>
      </c>
      <c r="AG12" s="185" t="s">
        <v>512</v>
      </c>
      <c r="AH12" s="1261"/>
      <c r="AI12" s="1261"/>
      <c r="AJ12" s="1263"/>
      <c r="AK12" s="1263"/>
      <c r="AL12" s="1263"/>
    </row>
    <row r="13" spans="2:38" ht="30" customHeight="1" x14ac:dyDescent="0.4">
      <c r="B13" s="180" t="s">
        <v>268</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x14ac:dyDescent="0.4">
      <c r="B14" s="177" t="s">
        <v>513</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1">
        <f t="shared" ref="AJ14:AJ18" si="1">AH14+Z14+R14+J14</f>
        <v>0</v>
      </c>
      <c r="AK14" s="181">
        <f t="shared" ref="AK14:AK18" si="2">AI14+AA14+S14+K14</f>
        <v>2.8125</v>
      </c>
      <c r="AL14" s="181">
        <f t="shared" ref="AL14:AL18" si="3">AK14-AJ14</f>
        <v>2.8125</v>
      </c>
    </row>
    <row r="15" spans="2:38" ht="30" customHeight="1" x14ac:dyDescent="0.4">
      <c r="B15" s="178" t="s">
        <v>514</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2">
        <f t="shared" si="1"/>
        <v>0</v>
      </c>
      <c r="AK15" s="182">
        <f t="shared" si="2"/>
        <v>6.59375</v>
      </c>
      <c r="AL15" s="182">
        <f t="shared" si="3"/>
        <v>6.59375</v>
      </c>
    </row>
    <row r="16" spans="2:38" ht="30" customHeight="1" x14ac:dyDescent="0.4">
      <c r="B16" s="178" t="s">
        <v>515</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2">
        <f t="shared" si="1"/>
        <v>1.7</v>
      </c>
      <c r="AK16" s="182">
        <f t="shared" si="2"/>
        <v>6.59375</v>
      </c>
      <c r="AL16" s="182">
        <f t="shared" si="3"/>
        <v>4.8937499999999998</v>
      </c>
    </row>
    <row r="17" spans="2:38" ht="30" customHeight="1" x14ac:dyDescent="0.4">
      <c r="B17" s="178" t="s">
        <v>516</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2">
        <f t="shared" si="1"/>
        <v>1.7</v>
      </c>
      <c r="AK17" s="182">
        <f t="shared" si="2"/>
        <v>7.9125000000000005</v>
      </c>
      <c r="AL17" s="182">
        <f t="shared" si="3"/>
        <v>6.2125000000000004</v>
      </c>
    </row>
    <row r="18" spans="2:38" ht="30" customHeight="1" x14ac:dyDescent="0.4">
      <c r="B18" s="179" t="s">
        <v>517</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3">
        <f t="shared" si="1"/>
        <v>2.5499999999999998</v>
      </c>
      <c r="AK18" s="183">
        <f t="shared" si="2"/>
        <v>8.2501250000000006</v>
      </c>
      <c r="AL18" s="183">
        <f t="shared" si="3"/>
        <v>5.7001250000000008</v>
      </c>
    </row>
    <row r="19" spans="2:38" x14ac:dyDescent="0.4">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x14ac:dyDescent="0.4">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x14ac:dyDescent="0.4">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x14ac:dyDescent="0.4">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x14ac:dyDescent="0.4">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x14ac:dyDescent="0.4">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x14ac:dyDescent="0.4">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s>
  <phoneticPr fontId="2" type="noConversion"/>
  <pageMargins left="0.37" right="0.36" top="0.75" bottom="0.75" header="0.3" footer="0.3"/>
  <pageSetup paperSize="9" scale="51" fitToHeight="0"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x14ac:dyDescent="0.4"/>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x14ac:dyDescent="0.4">
      <c r="B1" s="34" t="s">
        <v>518</v>
      </c>
    </row>
    <row r="2" spans="2:19" ht="18" thickBot="1" x14ac:dyDescent="0.45">
      <c r="K2" s="1271" t="s">
        <v>519</v>
      </c>
      <c r="L2" s="1271"/>
    </row>
    <row r="3" spans="2:19" ht="18" thickBot="1" x14ac:dyDescent="0.45">
      <c r="B3" s="27" t="s">
        <v>121</v>
      </c>
      <c r="C3" s="28" t="s">
        <v>122</v>
      </c>
      <c r="D3" s="28" t="s">
        <v>123</v>
      </c>
      <c r="E3" s="28" t="s">
        <v>124</v>
      </c>
      <c r="F3" s="28" t="s">
        <v>125</v>
      </c>
      <c r="G3" s="28" t="s">
        <v>126</v>
      </c>
      <c r="H3" s="29" t="s">
        <v>127</v>
      </c>
      <c r="I3" s="28" t="s">
        <v>128</v>
      </c>
      <c r="J3" s="30" t="s">
        <v>129</v>
      </c>
      <c r="K3" s="31" t="s">
        <v>520</v>
      </c>
      <c r="L3" s="30" t="s">
        <v>59</v>
      </c>
    </row>
    <row r="4" spans="2:19" hidden="1" x14ac:dyDescent="0.4">
      <c r="B4" s="7" t="s">
        <v>3</v>
      </c>
      <c r="C4" s="8" t="s">
        <v>132</v>
      </c>
      <c r="D4" s="8" t="s">
        <v>133</v>
      </c>
      <c r="E4" s="8" t="s">
        <v>314</v>
      </c>
      <c r="F4" s="8" t="s">
        <v>315</v>
      </c>
      <c r="G4" s="24"/>
      <c r="H4" s="9" t="e">
        <f>INDEX(#REF!,MATCH(셀트리온제약!$F4,#REF!,0),MATCH(셀트리온제약!$B4,#REF!,0))</f>
        <v>#REF!</v>
      </c>
      <c r="I4" s="24" t="e">
        <f>H4</f>
        <v>#REF!</v>
      </c>
      <c r="J4" s="20" t="e">
        <f>+G4/H4</f>
        <v>#REF!</v>
      </c>
      <c r="L4" s="32"/>
      <c r="O4" s="10"/>
      <c r="R4" s="10"/>
      <c r="S4" s="10"/>
    </row>
    <row r="5" spans="2:19" hidden="1" x14ac:dyDescent="0.4">
      <c r="B5" s="2" t="s">
        <v>3</v>
      </c>
      <c r="C5" s="3" t="s">
        <v>132</v>
      </c>
      <c r="D5" s="3" t="s">
        <v>133</v>
      </c>
      <c r="E5" s="3" t="s">
        <v>314</v>
      </c>
      <c r="F5" s="3" t="s">
        <v>521</v>
      </c>
      <c r="G5" s="25"/>
      <c r="H5" s="11" t="e">
        <f>INDEX(#REF!,MATCH(셀트리온제약!$F5,#REF!,0),MATCH(셀트리온제약!$B5,#REF!,0))</f>
        <v>#REF!</v>
      </c>
      <c r="I5" s="25" t="e">
        <f t="shared" ref="I5:I43" si="0">H5</f>
        <v>#REF!</v>
      </c>
      <c r="J5" s="21" t="e">
        <f t="shared" ref="J5:J14" si="1">+G5/H5</f>
        <v>#REF!</v>
      </c>
      <c r="L5" s="32"/>
      <c r="O5" s="10"/>
      <c r="R5" s="10"/>
      <c r="S5" s="10"/>
    </row>
    <row r="6" spans="2:19" hidden="1" x14ac:dyDescent="0.4">
      <c r="B6" s="2" t="s">
        <v>3</v>
      </c>
      <c r="C6" s="3" t="s">
        <v>132</v>
      </c>
      <c r="D6" s="3" t="s">
        <v>133</v>
      </c>
      <c r="E6" s="3" t="s">
        <v>314</v>
      </c>
      <c r="F6" s="3" t="s">
        <v>88</v>
      </c>
      <c r="G6" s="25"/>
      <c r="H6" s="11" t="e">
        <f>INDEX(#REF!,MATCH(셀트리온제약!$F6,#REF!,0),MATCH(셀트리온제약!$B6,#REF!,0))</f>
        <v>#REF!</v>
      </c>
      <c r="I6" s="25" t="e">
        <f t="shared" si="0"/>
        <v>#REF!</v>
      </c>
      <c r="J6" s="21" t="e">
        <f t="shared" si="1"/>
        <v>#REF!</v>
      </c>
      <c r="L6" s="32"/>
      <c r="O6" s="10"/>
      <c r="R6" s="10"/>
      <c r="S6" s="10"/>
    </row>
    <row r="7" spans="2:19" hidden="1" x14ac:dyDescent="0.4">
      <c r="B7" s="2" t="s">
        <v>3</v>
      </c>
      <c r="C7" s="3" t="s">
        <v>132</v>
      </c>
      <c r="D7" s="3" t="s">
        <v>133</v>
      </c>
      <c r="E7" s="3" t="s">
        <v>342</v>
      </c>
      <c r="F7" s="3" t="s">
        <v>344</v>
      </c>
      <c r="G7" s="25"/>
      <c r="H7" s="11" t="e">
        <f>INDEX(#REF!,MATCH(셀트리온제약!$F7,#REF!,0),MATCH(셀트리온제약!$B7,#REF!,0))</f>
        <v>#REF!</v>
      </c>
      <c r="I7" s="25" t="e">
        <f t="shared" si="0"/>
        <v>#REF!</v>
      </c>
      <c r="J7" s="21" t="e">
        <f t="shared" si="1"/>
        <v>#REF!</v>
      </c>
      <c r="L7" s="32"/>
      <c r="O7" s="10"/>
      <c r="R7" s="10"/>
      <c r="S7" s="10"/>
    </row>
    <row r="8" spans="2:19" hidden="1" x14ac:dyDescent="0.4">
      <c r="B8" s="2" t="s">
        <v>3</v>
      </c>
      <c r="C8" s="3" t="s">
        <v>132</v>
      </c>
      <c r="D8" s="3" t="s">
        <v>133</v>
      </c>
      <c r="E8" s="3" t="s">
        <v>342</v>
      </c>
      <c r="F8" s="3" t="s">
        <v>345</v>
      </c>
      <c r="G8" s="25"/>
      <c r="H8" s="11" t="e">
        <f>INDEX(#REF!,MATCH(셀트리온제약!$F8,#REF!,0),MATCH(셀트리온제약!$B8,#REF!,0))</f>
        <v>#REF!</v>
      </c>
      <c r="I8" s="25" t="e">
        <f t="shared" si="0"/>
        <v>#REF!</v>
      </c>
      <c r="J8" s="21" t="e">
        <f t="shared" si="1"/>
        <v>#REF!</v>
      </c>
      <c r="L8" s="32"/>
      <c r="O8" s="10"/>
      <c r="R8" s="10"/>
      <c r="S8" s="10"/>
    </row>
    <row r="9" spans="2:19" hidden="1" x14ac:dyDescent="0.4">
      <c r="B9" s="2" t="s">
        <v>3</v>
      </c>
      <c r="C9" s="3" t="s">
        <v>132</v>
      </c>
      <c r="D9" s="3" t="s">
        <v>133</v>
      </c>
      <c r="E9" s="3" t="s">
        <v>342</v>
      </c>
      <c r="F9" s="3" t="s">
        <v>350</v>
      </c>
      <c r="G9" s="25"/>
      <c r="H9" s="11" t="e">
        <f>INDEX(#REF!,MATCH(셀트리온제약!$F9,#REF!,0),MATCH(셀트리온제약!$B9,#REF!,0))</f>
        <v>#REF!</v>
      </c>
      <c r="I9" s="25" t="e">
        <f t="shared" si="0"/>
        <v>#REF!</v>
      </c>
      <c r="J9" s="21" t="e">
        <f t="shared" si="1"/>
        <v>#REF!</v>
      </c>
      <c r="L9" s="32"/>
      <c r="O9" s="10"/>
      <c r="R9" s="10"/>
      <c r="S9" s="10"/>
    </row>
    <row r="10" spans="2:19" hidden="1" x14ac:dyDescent="0.4">
      <c r="B10" s="2" t="s">
        <v>3</v>
      </c>
      <c r="C10" s="3" t="s">
        <v>132</v>
      </c>
      <c r="D10" s="3" t="s">
        <v>133</v>
      </c>
      <c r="E10" s="3" t="s">
        <v>342</v>
      </c>
      <c r="F10" s="3" t="s">
        <v>346</v>
      </c>
      <c r="G10" s="26"/>
      <c r="H10" s="4" t="e">
        <f>INDEX(#REF!,MATCH(셀트리온제약!$F10,#REF!,0),MATCH(셀트리온제약!$B10,#REF!,0))</f>
        <v>#REF!</v>
      </c>
      <c r="I10" s="26" t="e">
        <f t="shared" si="0"/>
        <v>#REF!</v>
      </c>
      <c r="J10" s="21" t="e">
        <f t="shared" si="1"/>
        <v>#REF!</v>
      </c>
      <c r="L10" s="32"/>
      <c r="O10" s="10"/>
      <c r="R10" s="10"/>
      <c r="S10" s="10"/>
    </row>
    <row r="11" spans="2:19" hidden="1" x14ac:dyDescent="0.4">
      <c r="B11" s="2" t="s">
        <v>3</v>
      </c>
      <c r="C11" s="3" t="s">
        <v>132</v>
      </c>
      <c r="D11" s="3" t="s">
        <v>133</v>
      </c>
      <c r="E11" s="3" t="s">
        <v>342</v>
      </c>
      <c r="F11" s="3" t="s">
        <v>353</v>
      </c>
      <c r="G11" s="25"/>
      <c r="H11" s="11" t="e">
        <f>INDEX(#REF!,MATCH(셀트리온제약!$F11,#REF!,0),MATCH(셀트리온제약!$B11,#REF!,0))</f>
        <v>#REF!</v>
      </c>
      <c r="I11" s="25" t="e">
        <f t="shared" si="0"/>
        <v>#REF!</v>
      </c>
      <c r="J11" s="21" t="e">
        <f t="shared" si="1"/>
        <v>#REF!</v>
      </c>
      <c r="L11" s="32"/>
      <c r="O11" s="10"/>
      <c r="R11" s="10"/>
      <c r="S11" s="10"/>
    </row>
    <row r="12" spans="2:19" hidden="1" x14ac:dyDescent="0.4">
      <c r="B12" s="2" t="s">
        <v>3</v>
      </c>
      <c r="C12" s="3" t="s">
        <v>132</v>
      </c>
      <c r="D12" s="3" t="s">
        <v>133</v>
      </c>
      <c r="E12" s="3" t="s">
        <v>342</v>
      </c>
      <c r="F12" s="3" t="s">
        <v>522</v>
      </c>
      <c r="G12" s="26"/>
      <c r="H12" s="4" t="e">
        <f>INDEX(#REF!,MATCH(셀트리온제약!$F12,#REF!,0),MATCH(셀트리온제약!$B12,#REF!,0))</f>
        <v>#REF!</v>
      </c>
      <c r="I12" s="26" t="e">
        <f t="shared" si="0"/>
        <v>#REF!</v>
      </c>
      <c r="J12" s="21" t="e">
        <f t="shared" si="1"/>
        <v>#REF!</v>
      </c>
      <c r="L12" s="32"/>
      <c r="O12" s="10"/>
      <c r="R12" s="10"/>
      <c r="S12" s="10"/>
    </row>
    <row r="13" spans="2:19" hidden="1" x14ac:dyDescent="0.4">
      <c r="B13" s="2" t="s">
        <v>3</v>
      </c>
      <c r="C13" s="3" t="s">
        <v>132</v>
      </c>
      <c r="D13" s="3" t="s">
        <v>133</v>
      </c>
      <c r="E13" s="3" t="s">
        <v>324</v>
      </c>
      <c r="F13" s="3" t="s">
        <v>324</v>
      </c>
      <c r="G13" s="26"/>
      <c r="H13" s="4" t="e">
        <f>INDEX(#REF!,MATCH(셀트리온제약!$F13,#REF!,0),MATCH(셀트리온제약!$B13,#REF!,0))</f>
        <v>#REF!</v>
      </c>
      <c r="I13" s="26" t="e">
        <f t="shared" si="0"/>
        <v>#REF!</v>
      </c>
      <c r="J13" s="21" t="e">
        <f t="shared" si="1"/>
        <v>#REF!</v>
      </c>
      <c r="L13" s="32"/>
      <c r="O13" s="10"/>
    </row>
    <row r="14" spans="2:19" hidden="1" x14ac:dyDescent="0.4">
      <c r="B14" s="12" t="s">
        <v>3</v>
      </c>
      <c r="C14" s="477" t="s">
        <v>132</v>
      </c>
      <c r="D14" s="477" t="s">
        <v>133</v>
      </c>
      <c r="E14" s="477" t="s">
        <v>335</v>
      </c>
      <c r="F14" s="477" t="s">
        <v>335</v>
      </c>
      <c r="G14" s="482"/>
      <c r="H14" s="478" t="e">
        <f>INDEX(#REF!,MATCH(셀트리온제약!$F14,#REF!,0),MATCH(셀트리온제약!$B14,#REF!,0))</f>
        <v>#REF!</v>
      </c>
      <c r="I14" s="482" t="e">
        <f t="shared" si="0"/>
        <v>#REF!</v>
      </c>
      <c r="J14" s="479" t="e">
        <f t="shared" si="1"/>
        <v>#REF!</v>
      </c>
      <c r="L14" s="32"/>
      <c r="O14" s="10"/>
    </row>
    <row r="15" spans="2:19" x14ac:dyDescent="0.4">
      <c r="B15" s="1243" t="s">
        <v>3</v>
      </c>
      <c r="C15" s="8" t="s">
        <v>132</v>
      </c>
      <c r="D15" s="8" t="s">
        <v>133</v>
      </c>
      <c r="E15" s="8" t="s">
        <v>134</v>
      </c>
      <c r="F15" s="8" t="s">
        <v>135</v>
      </c>
      <c r="G15" s="33">
        <v>5126482260</v>
      </c>
      <c r="H15" s="33">
        <v>3844520000.0000005</v>
      </c>
      <c r="I15" s="33">
        <v>5126482260</v>
      </c>
      <c r="J15" s="20">
        <f>+I15/H15</f>
        <v>1.3334518379407572</v>
      </c>
      <c r="K15" s="4">
        <v>5129494020</v>
      </c>
      <c r="L15" s="148">
        <f>I15-K15</f>
        <v>-3011760</v>
      </c>
      <c r="O15" s="10"/>
    </row>
    <row r="16" spans="2:19" x14ac:dyDescent="0.4">
      <c r="B16" s="1268"/>
      <c r="C16" s="3" t="s">
        <v>132</v>
      </c>
      <c r="D16" s="3" t="s">
        <v>133</v>
      </c>
      <c r="E16" s="3" t="s">
        <v>134</v>
      </c>
      <c r="F16" s="3" t="s">
        <v>136</v>
      </c>
      <c r="G16" s="4">
        <v>156595400</v>
      </c>
      <c r="H16" s="4">
        <v>155480000</v>
      </c>
      <c r="I16" s="4">
        <v>156595400</v>
      </c>
      <c r="J16" s="21">
        <f t="shared" ref="J16:J21" si="2">+I16/H16</f>
        <v>1.0071739130434783</v>
      </c>
      <c r="K16" s="4">
        <v>156595400</v>
      </c>
      <c r="L16" s="35">
        <f t="shared" ref="L16:L22" si="3">I16-K16</f>
        <v>0</v>
      </c>
      <c r="M16" s="15"/>
      <c r="O16" s="10"/>
    </row>
    <row r="17" spans="2:19" x14ac:dyDescent="0.4">
      <c r="B17" s="1268"/>
      <c r="C17" s="3" t="s">
        <v>132</v>
      </c>
      <c r="D17" s="3" t="s">
        <v>133</v>
      </c>
      <c r="E17" s="3" t="s">
        <v>134</v>
      </c>
      <c r="F17" s="3" t="s">
        <v>138</v>
      </c>
      <c r="G17" s="4">
        <v>670443570</v>
      </c>
      <c r="H17" s="4">
        <v>709659920</v>
      </c>
      <c r="I17" s="4">
        <v>670443570</v>
      </c>
      <c r="J17" s="21">
        <f t="shared" si="2"/>
        <v>0.9447392350972843</v>
      </c>
      <c r="K17" s="4">
        <v>670443570</v>
      </c>
      <c r="L17" s="35">
        <f t="shared" si="3"/>
        <v>0</v>
      </c>
      <c r="M17" s="15"/>
      <c r="O17" s="10"/>
    </row>
    <row r="18" spans="2:19" x14ac:dyDescent="0.4">
      <c r="B18" s="1268"/>
      <c r="C18" s="3" t="s">
        <v>132</v>
      </c>
      <c r="D18" s="3" t="s">
        <v>133</v>
      </c>
      <c r="E18" s="3" t="s">
        <v>134</v>
      </c>
      <c r="F18" s="3" t="s">
        <v>139</v>
      </c>
      <c r="G18" s="4">
        <v>536928300</v>
      </c>
      <c r="H18" s="4">
        <v>0</v>
      </c>
      <c r="I18" s="4">
        <v>536928300</v>
      </c>
      <c r="J18" s="21"/>
      <c r="K18" s="4">
        <v>536928300</v>
      </c>
      <c r="L18" s="35">
        <f t="shared" si="3"/>
        <v>0</v>
      </c>
      <c r="O18" s="10"/>
    </row>
    <row r="19" spans="2:19" x14ac:dyDescent="0.4">
      <c r="B19" s="1268"/>
      <c r="C19" s="3" t="s">
        <v>132</v>
      </c>
      <c r="D19" s="3" t="s">
        <v>133</v>
      </c>
      <c r="E19" s="3" t="s">
        <v>134</v>
      </c>
      <c r="F19" s="3" t="s">
        <v>140</v>
      </c>
      <c r="G19" s="4">
        <v>1271730</v>
      </c>
      <c r="H19" s="4">
        <v>40000000</v>
      </c>
      <c r="I19" s="4">
        <v>840000</v>
      </c>
      <c r="J19" s="21">
        <f t="shared" si="2"/>
        <v>2.1000000000000001E-2</v>
      </c>
      <c r="K19" s="38">
        <v>840000</v>
      </c>
      <c r="L19" s="154">
        <f t="shared" si="3"/>
        <v>0</v>
      </c>
      <c r="O19" s="10"/>
    </row>
    <row r="20" spans="2:19" x14ac:dyDescent="0.4">
      <c r="B20" s="1268"/>
      <c r="C20" s="3" t="s">
        <v>132</v>
      </c>
      <c r="D20" s="3" t="s">
        <v>133</v>
      </c>
      <c r="E20" s="3" t="s">
        <v>134</v>
      </c>
      <c r="F20" s="3" t="s">
        <v>141</v>
      </c>
      <c r="G20" s="4">
        <v>0</v>
      </c>
      <c r="H20" s="4">
        <v>0</v>
      </c>
      <c r="I20" s="4">
        <v>0</v>
      </c>
      <c r="J20" s="21"/>
      <c r="K20" s="38">
        <v>0</v>
      </c>
      <c r="L20" s="35">
        <f t="shared" si="3"/>
        <v>0</v>
      </c>
      <c r="O20" s="10"/>
      <c r="R20" s="10"/>
      <c r="S20" s="10"/>
    </row>
    <row r="21" spans="2:19" x14ac:dyDescent="0.4">
      <c r="B21" s="1268"/>
      <c r="C21" s="3" t="s">
        <v>132</v>
      </c>
      <c r="D21" s="3" t="s">
        <v>133</v>
      </c>
      <c r="E21" s="3" t="s">
        <v>134</v>
      </c>
      <c r="F21" s="3" t="s">
        <v>145</v>
      </c>
      <c r="G21" s="4">
        <v>162069429</v>
      </c>
      <c r="H21" s="4">
        <v>162069429</v>
      </c>
      <c r="I21" s="4">
        <v>162069429</v>
      </c>
      <c r="J21" s="21">
        <f t="shared" si="2"/>
        <v>1</v>
      </c>
      <c r="K21" s="38">
        <v>162069429</v>
      </c>
      <c r="L21" s="35">
        <f t="shared" si="3"/>
        <v>0</v>
      </c>
      <c r="O21" s="10"/>
      <c r="R21" s="10"/>
      <c r="S21" s="10"/>
    </row>
    <row r="22" spans="2:19" ht="18" thickBot="1" x14ac:dyDescent="0.45">
      <c r="B22" s="1268"/>
      <c r="C22" s="17" t="s">
        <v>132</v>
      </c>
      <c r="D22" s="17" t="s">
        <v>133</v>
      </c>
      <c r="E22" s="17" t="s">
        <v>134</v>
      </c>
      <c r="F22" s="17" t="s">
        <v>146</v>
      </c>
      <c r="G22" s="6">
        <v>858750000</v>
      </c>
      <c r="H22" s="6">
        <v>0</v>
      </c>
      <c r="I22" s="6">
        <v>858750000</v>
      </c>
      <c r="J22" s="22"/>
      <c r="K22" s="6">
        <v>858750000</v>
      </c>
      <c r="L22" s="36">
        <f t="shared" si="3"/>
        <v>0</v>
      </c>
      <c r="O22" s="10"/>
      <c r="R22" s="10"/>
      <c r="S22" s="10"/>
    </row>
    <row r="23" spans="2:19" ht="21" customHeight="1" thickBot="1" x14ac:dyDescent="0.45">
      <c r="B23" s="1270"/>
      <c r="C23" s="1266" t="s">
        <v>148</v>
      </c>
      <c r="D23" s="1266"/>
      <c r="E23" s="1266"/>
      <c r="F23" s="1267"/>
      <c r="G23" s="144">
        <f>SUM(G15:G22)</f>
        <v>7512540689</v>
      </c>
      <c r="H23" s="144">
        <f>SUM(H15:H22)</f>
        <v>4911729349</v>
      </c>
      <c r="I23" s="144">
        <f>SUM(I15:I22)</f>
        <v>7512108959</v>
      </c>
      <c r="J23" s="145">
        <f>I23/H23</f>
        <v>1.5294224142316437</v>
      </c>
      <c r="K23" s="146">
        <f>SUM(K15:K22)</f>
        <v>7515120719</v>
      </c>
      <c r="L23" s="189">
        <f>SUM(L15:L22)</f>
        <v>-3011760</v>
      </c>
      <c r="O23" s="10"/>
      <c r="R23" s="10"/>
      <c r="S23" s="10"/>
    </row>
    <row r="24" spans="2:19" x14ac:dyDescent="0.4">
      <c r="B24" s="1243" t="s">
        <v>4</v>
      </c>
      <c r="C24" s="3" t="s">
        <v>132</v>
      </c>
      <c r="D24" s="3" t="s">
        <v>133</v>
      </c>
      <c r="E24" s="3" t="s">
        <v>134</v>
      </c>
      <c r="F24" s="3" t="s">
        <v>135</v>
      </c>
      <c r="G24" s="4"/>
      <c r="H24" s="4">
        <v>3922041600.0000005</v>
      </c>
      <c r="I24" s="4">
        <v>6267053200</v>
      </c>
      <c r="J24" s="21">
        <f t="shared" ref="J24:J31" si="4">+G24/H24</f>
        <v>0</v>
      </c>
      <c r="K24" s="4">
        <v>6267053200</v>
      </c>
      <c r="L24" s="176">
        <f>I24-K24</f>
        <v>0</v>
      </c>
      <c r="O24" s="10"/>
    </row>
    <row r="25" spans="2:19" x14ac:dyDescent="0.4">
      <c r="B25" s="1268"/>
      <c r="C25" s="3" t="s">
        <v>132</v>
      </c>
      <c r="D25" s="3" t="s">
        <v>133</v>
      </c>
      <c r="E25" s="3" t="s">
        <v>134</v>
      </c>
      <c r="F25" s="3" t="s">
        <v>136</v>
      </c>
      <c r="G25" s="4"/>
      <c r="H25" s="4">
        <v>77958400</v>
      </c>
      <c r="I25" s="4">
        <v>0</v>
      </c>
      <c r="J25" s="21">
        <f t="shared" si="4"/>
        <v>0</v>
      </c>
      <c r="K25" s="4">
        <v>0</v>
      </c>
      <c r="L25" s="35">
        <f t="shared" ref="L25:L31" si="5">I25-K25</f>
        <v>0</v>
      </c>
      <c r="O25" s="10"/>
    </row>
    <row r="26" spans="2:19" x14ac:dyDescent="0.4">
      <c r="B26" s="1268"/>
      <c r="C26" s="3" t="s">
        <v>132</v>
      </c>
      <c r="D26" s="3" t="s">
        <v>133</v>
      </c>
      <c r="E26" s="3" t="s">
        <v>134</v>
      </c>
      <c r="F26" s="3" t="s">
        <v>138</v>
      </c>
      <c r="G26" s="4"/>
      <c r="H26" s="4">
        <v>706930160</v>
      </c>
      <c r="I26" s="4">
        <v>637351360</v>
      </c>
      <c r="J26" s="21">
        <f t="shared" si="4"/>
        <v>0</v>
      </c>
      <c r="K26" s="4">
        <v>720000000</v>
      </c>
      <c r="L26" s="147">
        <f t="shared" si="5"/>
        <v>-82648640</v>
      </c>
      <c r="O26" s="10"/>
    </row>
    <row r="27" spans="2:19" x14ac:dyDescent="0.4">
      <c r="B27" s="1268"/>
      <c r="C27" s="3" t="s">
        <v>132</v>
      </c>
      <c r="D27" s="3" t="s">
        <v>133</v>
      </c>
      <c r="E27" s="3" t="s">
        <v>134</v>
      </c>
      <c r="F27" s="3" t="s">
        <v>139</v>
      </c>
      <c r="G27" s="4"/>
      <c r="H27" s="4">
        <v>0</v>
      </c>
      <c r="I27" s="4">
        <v>750626800</v>
      </c>
      <c r="J27" s="21"/>
      <c r="K27" s="4">
        <v>750626800</v>
      </c>
      <c r="L27" s="35">
        <f t="shared" si="5"/>
        <v>0</v>
      </c>
      <c r="O27" s="10"/>
    </row>
    <row r="28" spans="2:19" x14ac:dyDescent="0.4">
      <c r="B28" s="1268"/>
      <c r="C28" s="3" t="s">
        <v>132</v>
      </c>
      <c r="D28" s="3" t="s">
        <v>133</v>
      </c>
      <c r="E28" s="3" t="s">
        <v>134</v>
      </c>
      <c r="F28" s="3" t="s">
        <v>140</v>
      </c>
      <c r="G28" s="4"/>
      <c r="H28" s="4">
        <v>174000000</v>
      </c>
      <c r="I28" s="4">
        <v>147000000</v>
      </c>
      <c r="J28" s="21">
        <f t="shared" si="4"/>
        <v>0</v>
      </c>
      <c r="K28" s="4">
        <v>214000000</v>
      </c>
      <c r="L28" s="188">
        <f t="shared" si="5"/>
        <v>-67000000</v>
      </c>
      <c r="O28" s="10"/>
    </row>
    <row r="29" spans="2:19" x14ac:dyDescent="0.4">
      <c r="B29" s="1268"/>
      <c r="C29" s="3" t="s">
        <v>132</v>
      </c>
      <c r="D29" s="3" t="s">
        <v>133</v>
      </c>
      <c r="E29" s="3" t="s">
        <v>134</v>
      </c>
      <c r="F29" s="3" t="s">
        <v>141</v>
      </c>
      <c r="G29" s="4"/>
      <c r="H29" s="4">
        <v>67500000</v>
      </c>
      <c r="I29" s="4">
        <v>38500000</v>
      </c>
      <c r="J29" s="21">
        <f t="shared" si="4"/>
        <v>0</v>
      </c>
      <c r="K29" s="4">
        <v>67500000</v>
      </c>
      <c r="L29" s="147">
        <f t="shared" si="5"/>
        <v>-29000000</v>
      </c>
      <c r="O29" s="10"/>
      <c r="R29" s="10"/>
      <c r="S29" s="10"/>
    </row>
    <row r="30" spans="2:19" x14ac:dyDescent="0.4">
      <c r="B30" s="1268"/>
      <c r="C30" s="3" t="s">
        <v>132</v>
      </c>
      <c r="D30" s="3" t="s">
        <v>133</v>
      </c>
      <c r="E30" s="3" t="s">
        <v>134</v>
      </c>
      <c r="F30" s="3" t="s">
        <v>145</v>
      </c>
      <c r="G30" s="4"/>
      <c r="H30" s="4">
        <v>14069429</v>
      </c>
      <c r="I30" s="4">
        <f t="shared" ref="I30" si="6">H30</f>
        <v>14069429</v>
      </c>
      <c r="J30" s="21">
        <f t="shared" si="4"/>
        <v>0</v>
      </c>
      <c r="K30" s="4">
        <v>14069429</v>
      </c>
      <c r="L30" s="35">
        <f t="shared" si="5"/>
        <v>0</v>
      </c>
      <c r="O30" s="10"/>
      <c r="R30" s="10"/>
      <c r="S30" s="10"/>
    </row>
    <row r="31" spans="2:19" ht="18" thickBot="1" x14ac:dyDescent="0.45">
      <c r="B31" s="1268"/>
      <c r="C31" s="3" t="s">
        <v>132</v>
      </c>
      <c r="D31" s="3" t="s">
        <v>133</v>
      </c>
      <c r="E31" s="3" t="s">
        <v>134</v>
      </c>
      <c r="F31" s="3" t="s">
        <v>146</v>
      </c>
      <c r="G31" s="478"/>
      <c r="H31" s="478">
        <v>170000000</v>
      </c>
      <c r="I31" s="478">
        <v>344375000</v>
      </c>
      <c r="J31" s="479">
        <f t="shared" si="4"/>
        <v>0</v>
      </c>
      <c r="K31" s="478">
        <v>344375000</v>
      </c>
      <c r="L31" s="161">
        <f t="shared" si="5"/>
        <v>0</v>
      </c>
      <c r="O31" s="10"/>
      <c r="R31" s="10"/>
      <c r="S31" s="10"/>
    </row>
    <row r="32" spans="2:19" ht="18" thickBot="1" x14ac:dyDescent="0.45">
      <c r="B32" s="1270"/>
      <c r="C32" s="1266" t="s">
        <v>523</v>
      </c>
      <c r="D32" s="1266"/>
      <c r="E32" s="1266"/>
      <c r="F32" s="1267"/>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x14ac:dyDescent="0.4">
      <c r="B33" s="1268" t="s">
        <v>5</v>
      </c>
      <c r="C33" s="3" t="s">
        <v>132</v>
      </c>
      <c r="D33" s="3" t="s">
        <v>133</v>
      </c>
      <c r="E33" s="3" t="s">
        <v>134</v>
      </c>
      <c r="F33" s="3" t="s">
        <v>135</v>
      </c>
      <c r="G33" s="4"/>
      <c r="H33" s="4">
        <v>5612097600</v>
      </c>
      <c r="I33" s="4">
        <v>1983837820</v>
      </c>
      <c r="J33" s="21">
        <f t="shared" ref="J33:J44" si="7">+G33/H33</f>
        <v>0</v>
      </c>
      <c r="K33" s="37">
        <v>1983837820</v>
      </c>
      <c r="L33" s="176">
        <f>I33-K33</f>
        <v>0</v>
      </c>
      <c r="O33" s="10"/>
    </row>
    <row r="34" spans="2:19" x14ac:dyDescent="0.4">
      <c r="B34" s="1268"/>
      <c r="C34" s="3" t="s">
        <v>132</v>
      </c>
      <c r="D34" s="3" t="s">
        <v>133</v>
      </c>
      <c r="E34" s="3" t="s">
        <v>134</v>
      </c>
      <c r="F34" s="3" t="s">
        <v>136</v>
      </c>
      <c r="G34" s="4"/>
      <c r="H34" s="4">
        <v>387902400</v>
      </c>
      <c r="I34" s="4">
        <v>464745400</v>
      </c>
      <c r="J34" s="21">
        <f t="shared" si="7"/>
        <v>0</v>
      </c>
      <c r="K34" s="38">
        <v>464745400</v>
      </c>
      <c r="L34" s="35">
        <f t="shared" ref="L34:L40" si="8">I34-K34</f>
        <v>0</v>
      </c>
      <c r="O34" s="10"/>
      <c r="R34" s="10"/>
      <c r="S34" s="10"/>
    </row>
    <row r="35" spans="2:19" x14ac:dyDescent="0.4">
      <c r="B35" s="1268"/>
      <c r="C35" s="3" t="s">
        <v>132</v>
      </c>
      <c r="D35" s="3" t="s">
        <v>133</v>
      </c>
      <c r="E35" s="3" t="s">
        <v>134</v>
      </c>
      <c r="F35" s="3" t="s">
        <v>138</v>
      </c>
      <c r="G35" s="4"/>
      <c r="H35" s="4">
        <v>759929360</v>
      </c>
      <c r="I35" s="4">
        <v>786519440</v>
      </c>
      <c r="J35" s="21">
        <f t="shared" si="7"/>
        <v>0</v>
      </c>
      <c r="K35" s="38">
        <v>786519440</v>
      </c>
      <c r="L35" s="35">
        <f t="shared" si="8"/>
        <v>0</v>
      </c>
      <c r="O35" s="10"/>
      <c r="R35" s="10"/>
      <c r="S35" s="10"/>
    </row>
    <row r="36" spans="2:19" x14ac:dyDescent="0.4">
      <c r="B36" s="1268"/>
      <c r="C36" s="3" t="s">
        <v>132</v>
      </c>
      <c r="D36" s="3" t="s">
        <v>133</v>
      </c>
      <c r="E36" s="3" t="s">
        <v>134</v>
      </c>
      <c r="F36" s="3" t="s">
        <v>139</v>
      </c>
      <c r="G36" s="4"/>
      <c r="H36" s="4">
        <v>61667600</v>
      </c>
      <c r="I36" s="4">
        <v>549400800</v>
      </c>
      <c r="J36" s="21">
        <f t="shared" si="7"/>
        <v>0</v>
      </c>
      <c r="K36" s="38">
        <v>0</v>
      </c>
      <c r="L36" s="35">
        <f t="shared" si="8"/>
        <v>549400800</v>
      </c>
      <c r="O36" s="10"/>
      <c r="R36" s="10"/>
      <c r="S36" s="10"/>
    </row>
    <row r="37" spans="2:19" x14ac:dyDescent="0.4">
      <c r="B37" s="1268"/>
      <c r="C37" s="3" t="s">
        <v>132</v>
      </c>
      <c r="D37" s="3" t="s">
        <v>133</v>
      </c>
      <c r="E37" s="3" t="s">
        <v>134</v>
      </c>
      <c r="F37" s="3" t="s">
        <v>140</v>
      </c>
      <c r="G37" s="4"/>
      <c r="H37" s="4">
        <v>0</v>
      </c>
      <c r="I37" s="4">
        <v>0</v>
      </c>
      <c r="J37" s="21"/>
      <c r="K37" s="38">
        <v>0</v>
      </c>
      <c r="L37" s="154">
        <f t="shared" si="8"/>
        <v>0</v>
      </c>
      <c r="O37" s="10"/>
      <c r="R37" s="10"/>
      <c r="S37" s="10"/>
    </row>
    <row r="38" spans="2:19" x14ac:dyDescent="0.4">
      <c r="B38" s="1268"/>
      <c r="C38" s="3" t="s">
        <v>132</v>
      </c>
      <c r="D38" s="3" t="s">
        <v>133</v>
      </c>
      <c r="E38" s="3" t="s">
        <v>134</v>
      </c>
      <c r="F38" s="3" t="s">
        <v>141</v>
      </c>
      <c r="G38" s="4"/>
      <c r="H38" s="4">
        <v>245375000</v>
      </c>
      <c r="I38" s="4">
        <v>245375000</v>
      </c>
      <c r="J38" s="21">
        <f t="shared" si="7"/>
        <v>0</v>
      </c>
      <c r="K38" s="38">
        <v>245375000</v>
      </c>
      <c r="L38" s="35">
        <f t="shared" si="8"/>
        <v>0</v>
      </c>
      <c r="O38" s="10"/>
      <c r="R38" s="10"/>
      <c r="S38" s="10"/>
    </row>
    <row r="39" spans="2:19" x14ac:dyDescent="0.4">
      <c r="B39" s="1268"/>
      <c r="C39" s="3" t="s">
        <v>132</v>
      </c>
      <c r="D39" s="3" t="s">
        <v>133</v>
      </c>
      <c r="E39" s="3" t="s">
        <v>134</v>
      </c>
      <c r="F39" s="3" t="s">
        <v>145</v>
      </c>
      <c r="G39" s="4"/>
      <c r="H39" s="4">
        <v>134069429</v>
      </c>
      <c r="I39" s="4">
        <v>134069429</v>
      </c>
      <c r="J39" s="21">
        <f t="shared" si="7"/>
        <v>0</v>
      </c>
      <c r="K39" s="38">
        <v>134069429</v>
      </c>
      <c r="L39" s="35">
        <f t="shared" si="8"/>
        <v>0</v>
      </c>
      <c r="O39" s="10"/>
      <c r="R39" s="10"/>
      <c r="S39" s="10"/>
    </row>
    <row r="40" spans="2:19" ht="17.25" customHeight="1" thickBot="1" x14ac:dyDescent="0.45">
      <c r="B40" s="1268"/>
      <c r="C40" s="3" t="s">
        <v>132</v>
      </c>
      <c r="D40" s="3" t="s">
        <v>133</v>
      </c>
      <c r="E40" s="3" t="s">
        <v>134</v>
      </c>
      <c r="F40" s="3" t="s">
        <v>146</v>
      </c>
      <c r="G40" s="4"/>
      <c r="H40" s="4">
        <v>85000000</v>
      </c>
      <c r="I40" s="4">
        <v>386875000</v>
      </c>
      <c r="J40" s="21">
        <f t="shared" si="7"/>
        <v>0</v>
      </c>
      <c r="K40" s="13">
        <v>85000000</v>
      </c>
      <c r="L40" s="161">
        <f t="shared" si="8"/>
        <v>301875000</v>
      </c>
      <c r="O40" s="10"/>
      <c r="R40" s="10"/>
      <c r="S40" s="10"/>
    </row>
    <row r="41" spans="2:19" ht="18" thickBot="1" x14ac:dyDescent="0.45">
      <c r="B41" s="1269"/>
      <c r="C41" s="1266" t="s">
        <v>524</v>
      </c>
      <c r="D41" s="1266"/>
      <c r="E41" s="1266"/>
      <c r="F41" s="1267"/>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x14ac:dyDescent="0.4">
      <c r="B42" s="14" t="s">
        <v>5</v>
      </c>
      <c r="C42" s="3" t="s">
        <v>132</v>
      </c>
      <c r="D42" s="3" t="s">
        <v>133</v>
      </c>
      <c r="E42" s="3" t="s">
        <v>134</v>
      </c>
      <c r="F42" s="3" t="s">
        <v>525</v>
      </c>
      <c r="G42" s="4"/>
      <c r="H42" s="4" t="e">
        <f>INDEX(#REF!,MATCH(셀트리온제약!$F42,#REF!,0),MATCH(셀트리온제약!$B42,#REF!,0))</f>
        <v>#REF!</v>
      </c>
      <c r="I42" s="4" t="e">
        <f t="shared" si="0"/>
        <v>#REF!</v>
      </c>
      <c r="J42" s="21" t="e">
        <f t="shared" si="7"/>
        <v>#REF!</v>
      </c>
      <c r="L42" s="15"/>
      <c r="O42" s="10"/>
      <c r="R42" s="10"/>
      <c r="S42" s="10"/>
    </row>
    <row r="43" spans="2:19" hidden="1" x14ac:dyDescent="0.4">
      <c r="B43" s="2" t="s">
        <v>5</v>
      </c>
      <c r="C43" s="3" t="s">
        <v>132</v>
      </c>
      <c r="D43" s="3" t="s">
        <v>133</v>
      </c>
      <c r="E43" s="3" t="s">
        <v>526</v>
      </c>
      <c r="F43" s="3" t="s">
        <v>362</v>
      </c>
      <c r="G43" s="4"/>
      <c r="H43" s="4" t="e">
        <f>INDEX(#REF!,MATCH(셀트리온제약!$F43,#REF!,0),MATCH(셀트리온제약!$B43,#REF!,0))</f>
        <v>#REF!</v>
      </c>
      <c r="I43" s="4" t="e">
        <f t="shared" si="0"/>
        <v>#REF!</v>
      </c>
      <c r="J43" s="21" t="e">
        <f t="shared" si="7"/>
        <v>#REF!</v>
      </c>
      <c r="L43" s="15"/>
      <c r="O43" s="10"/>
      <c r="R43" s="10"/>
      <c r="S43" s="10"/>
    </row>
    <row r="44" spans="2:19" ht="18" hidden="1" thickBot="1" x14ac:dyDescent="0.45">
      <c r="B44" s="12" t="s">
        <v>5</v>
      </c>
      <c r="C44" s="477" t="s">
        <v>132</v>
      </c>
      <c r="D44" s="477" t="s">
        <v>133</v>
      </c>
      <c r="E44" s="477" t="s">
        <v>526</v>
      </c>
      <c r="F44" s="477" t="s">
        <v>366</v>
      </c>
      <c r="G44" s="478"/>
      <c r="H44" s="478" t="e">
        <f>INDEX(#REF!,MATCH(셀트리온제약!$F44,#REF!,0),MATCH(셀트리온제약!$B44,#REF!,0))</f>
        <v>#REF!</v>
      </c>
      <c r="I44" s="478" t="e">
        <f t="shared" ref="I44:I107" si="9">H44</f>
        <v>#REF!</v>
      </c>
      <c r="J44" s="479" t="e">
        <f t="shared" si="7"/>
        <v>#REF!</v>
      </c>
      <c r="L44" s="15"/>
      <c r="O44" s="10"/>
      <c r="R44" s="10"/>
      <c r="S44" s="10"/>
    </row>
    <row r="45" spans="2:19" hidden="1" x14ac:dyDescent="0.4">
      <c r="B45" s="7" t="s">
        <v>155</v>
      </c>
      <c r="C45" s="8" t="s">
        <v>132</v>
      </c>
      <c r="D45" s="8" t="s">
        <v>133</v>
      </c>
      <c r="E45" s="8" t="s">
        <v>314</v>
      </c>
      <c r="F45" s="8" t="s">
        <v>315</v>
      </c>
      <c r="G45" s="9"/>
      <c r="H45" s="9" t="e">
        <f>INDEX(#REF!,MATCH(셀트리온제약!$F45,#REF!,0),MATCH(셀트리온제약!$B45,#REF!,0))</f>
        <v>#REF!</v>
      </c>
      <c r="I45" s="9" t="e">
        <f t="shared" si="9"/>
        <v>#REF!</v>
      </c>
      <c r="J45" s="20" t="e">
        <f>+G45/H45</f>
        <v>#REF!</v>
      </c>
      <c r="L45" s="15"/>
      <c r="O45" s="10"/>
      <c r="R45" s="10"/>
      <c r="S45" s="10"/>
    </row>
    <row r="46" spans="2:19" hidden="1" x14ac:dyDescent="0.4">
      <c r="B46" s="2" t="s">
        <v>155</v>
      </c>
      <c r="C46" s="3" t="s">
        <v>132</v>
      </c>
      <c r="D46" s="3" t="s">
        <v>133</v>
      </c>
      <c r="E46" s="3" t="s">
        <v>314</v>
      </c>
      <c r="F46" s="3" t="s">
        <v>521</v>
      </c>
      <c r="G46" s="11"/>
      <c r="H46" s="11" t="e">
        <f>INDEX(#REF!,MATCH(셀트리온제약!$F46,#REF!,0),MATCH(셀트리온제약!$B46,#REF!,0))</f>
        <v>#REF!</v>
      </c>
      <c r="I46" s="11" t="e">
        <f t="shared" si="9"/>
        <v>#REF!</v>
      </c>
      <c r="J46" s="21" t="e">
        <f t="shared" ref="J46:J66" si="10">+G46/H46</f>
        <v>#REF!</v>
      </c>
      <c r="L46" s="15"/>
    </row>
    <row r="47" spans="2:19" hidden="1" x14ac:dyDescent="0.4">
      <c r="B47" s="2" t="s">
        <v>155</v>
      </c>
      <c r="C47" s="3" t="s">
        <v>132</v>
      </c>
      <c r="D47" s="3" t="s">
        <v>133</v>
      </c>
      <c r="E47" s="3" t="s">
        <v>314</v>
      </c>
      <c r="F47" s="3" t="s">
        <v>88</v>
      </c>
      <c r="G47" s="11"/>
      <c r="H47" s="11" t="e">
        <f>INDEX(#REF!,MATCH(셀트리온제약!$F47,#REF!,0),MATCH(셀트리온제약!$B47,#REF!,0))</f>
        <v>#REF!</v>
      </c>
      <c r="I47" s="11" t="e">
        <f t="shared" si="9"/>
        <v>#REF!</v>
      </c>
      <c r="J47" s="21" t="e">
        <f t="shared" si="10"/>
        <v>#REF!</v>
      </c>
      <c r="L47" s="15"/>
    </row>
    <row r="48" spans="2:19" hidden="1" x14ac:dyDescent="0.4">
      <c r="B48" s="2" t="s">
        <v>155</v>
      </c>
      <c r="C48" s="3" t="s">
        <v>132</v>
      </c>
      <c r="D48" s="3" t="s">
        <v>133</v>
      </c>
      <c r="E48" s="3" t="s">
        <v>342</v>
      </c>
      <c r="F48" s="3" t="s">
        <v>344</v>
      </c>
      <c r="G48" s="11"/>
      <c r="H48" s="11" t="e">
        <f>INDEX(#REF!,MATCH(셀트리온제약!$F48,#REF!,0),MATCH(셀트리온제약!$B48,#REF!,0))</f>
        <v>#REF!</v>
      </c>
      <c r="I48" s="11" t="e">
        <f t="shared" si="9"/>
        <v>#REF!</v>
      </c>
      <c r="J48" s="21" t="e">
        <f t="shared" si="10"/>
        <v>#REF!</v>
      </c>
      <c r="L48" s="15"/>
      <c r="O48" s="10"/>
    </row>
    <row r="49" spans="2:19" hidden="1" x14ac:dyDescent="0.4">
      <c r="B49" s="2" t="s">
        <v>155</v>
      </c>
      <c r="C49" s="3" t="s">
        <v>132</v>
      </c>
      <c r="D49" s="3" t="s">
        <v>133</v>
      </c>
      <c r="E49" s="3" t="s">
        <v>342</v>
      </c>
      <c r="F49" s="3" t="s">
        <v>345</v>
      </c>
      <c r="G49" s="11"/>
      <c r="H49" s="11" t="e">
        <f>INDEX(#REF!,MATCH(셀트리온제약!$F49,#REF!,0),MATCH(셀트리온제약!$B49,#REF!,0))</f>
        <v>#REF!</v>
      </c>
      <c r="I49" s="11" t="e">
        <f t="shared" si="9"/>
        <v>#REF!</v>
      </c>
      <c r="J49" s="21" t="e">
        <f t="shared" si="10"/>
        <v>#REF!</v>
      </c>
      <c r="L49" s="15"/>
      <c r="O49" s="10"/>
    </row>
    <row r="50" spans="2:19" hidden="1" x14ac:dyDescent="0.4">
      <c r="B50" s="2" t="s">
        <v>155</v>
      </c>
      <c r="C50" s="3" t="s">
        <v>132</v>
      </c>
      <c r="D50" s="3" t="s">
        <v>133</v>
      </c>
      <c r="E50" s="3" t="s">
        <v>342</v>
      </c>
      <c r="F50" s="3" t="s">
        <v>350</v>
      </c>
      <c r="G50" s="11"/>
      <c r="H50" s="11" t="e">
        <f>INDEX(#REF!,MATCH(셀트리온제약!$F50,#REF!,0),MATCH(셀트리온제약!$B50,#REF!,0))</f>
        <v>#REF!</v>
      </c>
      <c r="I50" s="11" t="e">
        <f t="shared" si="9"/>
        <v>#REF!</v>
      </c>
      <c r="J50" s="21" t="e">
        <f t="shared" si="10"/>
        <v>#REF!</v>
      </c>
      <c r="L50" s="15"/>
      <c r="O50" s="10"/>
    </row>
    <row r="51" spans="2:19" hidden="1" x14ac:dyDescent="0.4">
      <c r="B51" s="2" t="s">
        <v>155</v>
      </c>
      <c r="C51" s="3" t="s">
        <v>132</v>
      </c>
      <c r="D51" s="3" t="s">
        <v>133</v>
      </c>
      <c r="E51" s="3" t="s">
        <v>342</v>
      </c>
      <c r="F51" s="3" t="s">
        <v>346</v>
      </c>
      <c r="G51" s="4"/>
      <c r="H51" s="4" t="e">
        <f>INDEX(#REF!,MATCH(셀트리온제약!$F51,#REF!,0),MATCH(셀트리온제약!$B51,#REF!,0))</f>
        <v>#REF!</v>
      </c>
      <c r="I51" s="4" t="e">
        <f t="shared" si="9"/>
        <v>#REF!</v>
      </c>
      <c r="J51" s="21" t="e">
        <f t="shared" si="10"/>
        <v>#REF!</v>
      </c>
      <c r="L51" s="15"/>
      <c r="O51" s="10"/>
    </row>
    <row r="52" spans="2:19" hidden="1" x14ac:dyDescent="0.4">
      <c r="B52" s="2" t="s">
        <v>155</v>
      </c>
      <c r="C52" s="3" t="s">
        <v>132</v>
      </c>
      <c r="D52" s="3" t="s">
        <v>133</v>
      </c>
      <c r="E52" s="3" t="s">
        <v>342</v>
      </c>
      <c r="F52" s="3" t="s">
        <v>353</v>
      </c>
      <c r="G52" s="11"/>
      <c r="H52" s="11" t="e">
        <f>INDEX(#REF!,MATCH(셀트리온제약!$F52,#REF!,0),MATCH(셀트리온제약!$B52,#REF!,0))</f>
        <v>#REF!</v>
      </c>
      <c r="I52" s="11" t="e">
        <f t="shared" si="9"/>
        <v>#REF!</v>
      </c>
      <c r="J52" s="21" t="e">
        <f t="shared" si="10"/>
        <v>#REF!</v>
      </c>
      <c r="L52" s="15"/>
      <c r="O52" s="10"/>
    </row>
    <row r="53" spans="2:19" hidden="1" x14ac:dyDescent="0.4">
      <c r="B53" s="2" t="s">
        <v>155</v>
      </c>
      <c r="C53" s="3" t="s">
        <v>132</v>
      </c>
      <c r="D53" s="3" t="s">
        <v>133</v>
      </c>
      <c r="E53" s="3" t="s">
        <v>342</v>
      </c>
      <c r="F53" s="3" t="s">
        <v>522</v>
      </c>
      <c r="G53" s="4"/>
      <c r="H53" s="4" t="e">
        <f>INDEX(#REF!,MATCH(셀트리온제약!$F53,#REF!,0),MATCH(셀트리온제약!$B53,#REF!,0))</f>
        <v>#REF!</v>
      </c>
      <c r="I53" s="4" t="e">
        <f t="shared" si="9"/>
        <v>#REF!</v>
      </c>
      <c r="J53" s="21" t="e">
        <f t="shared" si="10"/>
        <v>#REF!</v>
      </c>
      <c r="L53" s="15"/>
      <c r="N53" s="1"/>
      <c r="O53" s="10"/>
      <c r="R53" s="10"/>
      <c r="S53" s="10"/>
    </row>
    <row r="54" spans="2:19" hidden="1" x14ac:dyDescent="0.4">
      <c r="B54" s="2" t="s">
        <v>155</v>
      </c>
      <c r="C54" s="3" t="s">
        <v>132</v>
      </c>
      <c r="D54" s="3" t="s">
        <v>133</v>
      </c>
      <c r="E54" s="3" t="s">
        <v>324</v>
      </c>
      <c r="F54" s="3" t="s">
        <v>324</v>
      </c>
      <c r="G54" s="4"/>
      <c r="H54" s="4" t="e">
        <f>INDEX(#REF!,MATCH(셀트리온제약!$F54,#REF!,0),MATCH(셀트리온제약!$B54,#REF!,0))</f>
        <v>#REF!</v>
      </c>
      <c r="I54" s="4" t="e">
        <f t="shared" si="9"/>
        <v>#REF!</v>
      </c>
      <c r="J54" s="21" t="e">
        <f t="shared" si="10"/>
        <v>#REF!</v>
      </c>
      <c r="L54" s="15"/>
      <c r="N54" s="1"/>
      <c r="O54" s="10"/>
      <c r="R54" s="10"/>
      <c r="S54" s="10"/>
    </row>
    <row r="55" spans="2:19" hidden="1" x14ac:dyDescent="0.4">
      <c r="B55" s="2" t="s">
        <v>155</v>
      </c>
      <c r="C55" s="3" t="s">
        <v>132</v>
      </c>
      <c r="D55" s="3" t="s">
        <v>133</v>
      </c>
      <c r="E55" s="3" t="s">
        <v>335</v>
      </c>
      <c r="F55" s="3" t="s">
        <v>335</v>
      </c>
      <c r="G55" s="4"/>
      <c r="H55" s="4" t="e">
        <f>INDEX(#REF!,MATCH(셀트리온제약!$F55,#REF!,0),MATCH(셀트리온제약!$B55,#REF!,0))</f>
        <v>#REF!</v>
      </c>
      <c r="I55" s="4" t="e">
        <f t="shared" si="9"/>
        <v>#REF!</v>
      </c>
      <c r="J55" s="21" t="e">
        <f t="shared" si="10"/>
        <v>#REF!</v>
      </c>
      <c r="L55" s="15"/>
      <c r="N55" s="1"/>
      <c r="O55" s="10"/>
      <c r="R55" s="10"/>
      <c r="S55" s="10"/>
    </row>
    <row r="56" spans="2:19" hidden="1" x14ac:dyDescent="0.4">
      <c r="B56" s="2" t="s">
        <v>155</v>
      </c>
      <c r="C56" s="3" t="s">
        <v>132</v>
      </c>
      <c r="D56" s="3" t="s">
        <v>133</v>
      </c>
      <c r="E56" s="3" t="s">
        <v>134</v>
      </c>
      <c r="F56" s="3" t="s">
        <v>135</v>
      </c>
      <c r="G56" s="4"/>
      <c r="H56" s="4" t="e">
        <f>INDEX(#REF!,MATCH(셀트리온제약!$F56,#REF!,0),MATCH(셀트리온제약!$B56,#REF!,0))</f>
        <v>#REF!</v>
      </c>
      <c r="I56" s="4" t="e">
        <f t="shared" si="9"/>
        <v>#REF!</v>
      </c>
      <c r="J56" s="21" t="e">
        <f t="shared" si="10"/>
        <v>#REF!</v>
      </c>
      <c r="L56" s="15"/>
      <c r="N56" s="1"/>
      <c r="O56" s="10"/>
      <c r="R56" s="10"/>
      <c r="S56" s="10"/>
    </row>
    <row r="57" spans="2:19" hidden="1" x14ac:dyDescent="0.4">
      <c r="B57" s="2" t="s">
        <v>155</v>
      </c>
      <c r="C57" s="3" t="s">
        <v>132</v>
      </c>
      <c r="D57" s="3" t="s">
        <v>133</v>
      </c>
      <c r="E57" s="3" t="s">
        <v>134</v>
      </c>
      <c r="F57" s="3" t="s">
        <v>136</v>
      </c>
      <c r="G57" s="4"/>
      <c r="H57" s="4" t="e">
        <f>INDEX(#REF!,MATCH(셀트리온제약!$F57,#REF!,0),MATCH(셀트리온제약!$B57,#REF!,0))</f>
        <v>#REF!</v>
      </c>
      <c r="I57" s="4" t="e">
        <f t="shared" si="9"/>
        <v>#REF!</v>
      </c>
      <c r="J57" s="21" t="e">
        <f t="shared" si="10"/>
        <v>#REF!</v>
      </c>
      <c r="L57" s="15"/>
      <c r="N57" s="1"/>
      <c r="O57" s="10"/>
      <c r="R57" s="10"/>
      <c r="S57" s="10"/>
    </row>
    <row r="58" spans="2:19" hidden="1" x14ac:dyDescent="0.4">
      <c r="B58" s="2" t="s">
        <v>155</v>
      </c>
      <c r="C58" s="3" t="s">
        <v>132</v>
      </c>
      <c r="D58" s="3" t="s">
        <v>133</v>
      </c>
      <c r="E58" s="3" t="s">
        <v>134</v>
      </c>
      <c r="F58" s="3" t="s">
        <v>138</v>
      </c>
      <c r="G58" s="4"/>
      <c r="H58" s="4" t="e">
        <f>INDEX(#REF!,MATCH(셀트리온제약!$F58,#REF!,0),MATCH(셀트리온제약!$B58,#REF!,0))</f>
        <v>#REF!</v>
      </c>
      <c r="I58" s="4" t="e">
        <f t="shared" si="9"/>
        <v>#REF!</v>
      </c>
      <c r="J58" s="21" t="e">
        <f t="shared" si="10"/>
        <v>#REF!</v>
      </c>
      <c r="L58" s="15"/>
      <c r="N58" s="1"/>
      <c r="O58" s="10"/>
      <c r="R58" s="10"/>
      <c r="S58" s="10"/>
    </row>
    <row r="59" spans="2:19" hidden="1" x14ac:dyDescent="0.4">
      <c r="B59" s="2" t="s">
        <v>155</v>
      </c>
      <c r="C59" s="3" t="s">
        <v>132</v>
      </c>
      <c r="D59" s="3" t="s">
        <v>133</v>
      </c>
      <c r="E59" s="3" t="s">
        <v>134</v>
      </c>
      <c r="F59" s="3" t="s">
        <v>139</v>
      </c>
      <c r="G59" s="4"/>
      <c r="H59" s="4" t="e">
        <f>INDEX(#REF!,MATCH(셀트리온제약!$F59,#REF!,0),MATCH(셀트리온제약!$B59,#REF!,0))</f>
        <v>#REF!</v>
      </c>
      <c r="I59" s="4" t="e">
        <f t="shared" si="9"/>
        <v>#REF!</v>
      </c>
      <c r="J59" s="21" t="e">
        <f t="shared" si="10"/>
        <v>#REF!</v>
      </c>
      <c r="L59" s="15"/>
      <c r="N59" s="1"/>
      <c r="O59" s="10"/>
      <c r="R59" s="10"/>
      <c r="S59" s="10"/>
    </row>
    <row r="60" spans="2:19" hidden="1" x14ac:dyDescent="0.4">
      <c r="B60" s="2" t="s">
        <v>155</v>
      </c>
      <c r="C60" s="3" t="s">
        <v>132</v>
      </c>
      <c r="D60" s="3" t="s">
        <v>133</v>
      </c>
      <c r="E60" s="3" t="s">
        <v>134</v>
      </c>
      <c r="F60" s="3" t="s">
        <v>140</v>
      </c>
      <c r="G60" s="4"/>
      <c r="H60" s="4" t="e">
        <f>INDEX(#REF!,MATCH(셀트리온제약!$F60,#REF!,0),MATCH(셀트리온제약!$B60,#REF!,0))</f>
        <v>#REF!</v>
      </c>
      <c r="I60" s="4" t="e">
        <f t="shared" si="9"/>
        <v>#REF!</v>
      </c>
      <c r="J60" s="21" t="e">
        <f t="shared" si="10"/>
        <v>#REF!</v>
      </c>
      <c r="L60" s="15"/>
      <c r="N60" s="1"/>
      <c r="O60" s="10"/>
      <c r="R60" s="10"/>
      <c r="S60" s="10"/>
    </row>
    <row r="61" spans="2:19" hidden="1" x14ac:dyDescent="0.4">
      <c r="B61" s="2" t="s">
        <v>155</v>
      </c>
      <c r="C61" s="3" t="s">
        <v>132</v>
      </c>
      <c r="D61" s="3" t="s">
        <v>133</v>
      </c>
      <c r="E61" s="3" t="s">
        <v>134</v>
      </c>
      <c r="F61" s="3" t="s">
        <v>141</v>
      </c>
      <c r="G61" s="4"/>
      <c r="H61" s="4" t="e">
        <f>INDEX(#REF!,MATCH(셀트리온제약!$F61,#REF!,0),MATCH(셀트리온제약!$B61,#REF!,0))</f>
        <v>#REF!</v>
      </c>
      <c r="I61" s="4" t="e">
        <f t="shared" si="9"/>
        <v>#REF!</v>
      </c>
      <c r="J61" s="21" t="e">
        <f t="shared" si="10"/>
        <v>#REF!</v>
      </c>
      <c r="L61" s="15"/>
      <c r="N61" s="1"/>
      <c r="O61" s="10"/>
      <c r="R61" s="10"/>
      <c r="S61" s="10"/>
    </row>
    <row r="62" spans="2:19" hidden="1" x14ac:dyDescent="0.4">
      <c r="B62" s="2" t="s">
        <v>155</v>
      </c>
      <c r="C62" s="3" t="s">
        <v>132</v>
      </c>
      <c r="D62" s="3" t="s">
        <v>133</v>
      </c>
      <c r="E62" s="3" t="s">
        <v>134</v>
      </c>
      <c r="F62" s="3" t="s">
        <v>145</v>
      </c>
      <c r="G62" s="4"/>
      <c r="H62" s="4" t="e">
        <f>INDEX(#REF!,MATCH(셀트리온제약!$F62,#REF!,0),MATCH(셀트리온제약!$B62,#REF!,0))</f>
        <v>#REF!</v>
      </c>
      <c r="I62" s="4" t="e">
        <f t="shared" si="9"/>
        <v>#REF!</v>
      </c>
      <c r="J62" s="21" t="e">
        <f t="shared" si="10"/>
        <v>#REF!</v>
      </c>
      <c r="L62" s="15"/>
      <c r="N62" s="1"/>
      <c r="O62" s="10"/>
      <c r="R62" s="10"/>
      <c r="S62" s="10"/>
    </row>
    <row r="63" spans="2:19" hidden="1" x14ac:dyDescent="0.4">
      <c r="B63" s="2" t="s">
        <v>155</v>
      </c>
      <c r="C63" s="3" t="s">
        <v>132</v>
      </c>
      <c r="D63" s="3" t="s">
        <v>133</v>
      </c>
      <c r="E63" s="3" t="s">
        <v>134</v>
      </c>
      <c r="F63" s="3" t="s">
        <v>146</v>
      </c>
      <c r="G63" s="4"/>
      <c r="H63" s="4" t="e">
        <f>INDEX(#REF!,MATCH(셀트리온제약!$F63,#REF!,0),MATCH(셀트리온제약!$B63,#REF!,0))</f>
        <v>#REF!</v>
      </c>
      <c r="I63" s="4" t="e">
        <f t="shared" si="9"/>
        <v>#REF!</v>
      </c>
      <c r="J63" s="21" t="e">
        <f t="shared" si="10"/>
        <v>#REF!</v>
      </c>
      <c r="L63" s="15"/>
      <c r="N63" s="1"/>
      <c r="O63" s="10"/>
      <c r="R63" s="10"/>
      <c r="S63" s="10"/>
    </row>
    <row r="64" spans="2:19" hidden="1" x14ac:dyDescent="0.4">
      <c r="B64" s="2" t="s">
        <v>155</v>
      </c>
      <c r="C64" s="3" t="s">
        <v>132</v>
      </c>
      <c r="D64" s="3" t="s">
        <v>133</v>
      </c>
      <c r="E64" s="3" t="s">
        <v>134</v>
      </c>
      <c r="F64" s="3" t="s">
        <v>525</v>
      </c>
      <c r="G64" s="4"/>
      <c r="H64" s="4" t="e">
        <f>INDEX(#REF!,MATCH(셀트리온제약!$F64,#REF!,0),MATCH(셀트리온제약!$B64,#REF!,0))</f>
        <v>#REF!</v>
      </c>
      <c r="I64" s="4" t="e">
        <f t="shared" si="9"/>
        <v>#REF!</v>
      </c>
      <c r="J64" s="21" t="e">
        <f t="shared" si="10"/>
        <v>#REF!</v>
      </c>
      <c r="L64" s="15"/>
      <c r="O64" s="10"/>
    </row>
    <row r="65" spans="2:19" hidden="1" x14ac:dyDescent="0.4">
      <c r="B65" s="2" t="s">
        <v>155</v>
      </c>
      <c r="C65" s="3" t="s">
        <v>132</v>
      </c>
      <c r="D65" s="3" t="s">
        <v>133</v>
      </c>
      <c r="E65" s="3" t="s">
        <v>526</v>
      </c>
      <c r="F65" s="3" t="s">
        <v>362</v>
      </c>
      <c r="G65" s="4"/>
      <c r="H65" s="4" t="e">
        <f>INDEX(#REF!,MATCH(셀트리온제약!$F65,#REF!,0),MATCH(셀트리온제약!$B65,#REF!,0))</f>
        <v>#REF!</v>
      </c>
      <c r="I65" s="4" t="e">
        <f t="shared" si="9"/>
        <v>#REF!</v>
      </c>
      <c r="J65" s="21" t="e">
        <f t="shared" si="10"/>
        <v>#REF!</v>
      </c>
      <c r="L65" s="15"/>
      <c r="O65" s="10"/>
    </row>
    <row r="66" spans="2:19" ht="18" hidden="1" thickBot="1" x14ac:dyDescent="0.45">
      <c r="B66" s="13" t="s">
        <v>155</v>
      </c>
      <c r="C66" s="17" t="s">
        <v>132</v>
      </c>
      <c r="D66" s="17" t="s">
        <v>133</v>
      </c>
      <c r="E66" s="17" t="s">
        <v>526</v>
      </c>
      <c r="F66" s="17" t="s">
        <v>366</v>
      </c>
      <c r="G66" s="6"/>
      <c r="H66" s="6" t="e">
        <f>INDEX(#REF!,MATCH(셀트리온제약!$F66,#REF!,0),MATCH(셀트리온제약!$B66,#REF!,0))</f>
        <v>#REF!</v>
      </c>
      <c r="I66" s="6" t="e">
        <f t="shared" si="9"/>
        <v>#REF!</v>
      </c>
      <c r="J66" s="22" t="e">
        <f t="shared" si="10"/>
        <v>#REF!</v>
      </c>
      <c r="L66" s="15"/>
      <c r="O66" s="10"/>
    </row>
    <row r="67" spans="2:19" hidden="1" x14ac:dyDescent="0.4">
      <c r="B67" s="14" t="s">
        <v>157</v>
      </c>
      <c r="C67" s="16" t="s">
        <v>132</v>
      </c>
      <c r="D67" s="16" t="s">
        <v>133</v>
      </c>
      <c r="E67" s="16" t="s">
        <v>314</v>
      </c>
      <c r="F67" s="16" t="s">
        <v>315</v>
      </c>
      <c r="G67" s="19"/>
      <c r="H67" s="19" t="e">
        <f>INDEX(#REF!,MATCH(셀트리온제약!$F67,#REF!,0),MATCH(셀트리온제약!$B67,#REF!,0))</f>
        <v>#REF!</v>
      </c>
      <c r="I67" s="19" t="e">
        <f t="shared" si="9"/>
        <v>#REF!</v>
      </c>
      <c r="J67" s="23" t="e">
        <f>+G67/H67</f>
        <v>#REF!</v>
      </c>
      <c r="L67" s="15"/>
      <c r="O67" s="10"/>
    </row>
    <row r="68" spans="2:19" hidden="1" x14ac:dyDescent="0.4">
      <c r="B68" s="2" t="s">
        <v>157</v>
      </c>
      <c r="C68" s="3" t="s">
        <v>132</v>
      </c>
      <c r="D68" s="3" t="s">
        <v>133</v>
      </c>
      <c r="E68" s="3" t="s">
        <v>314</v>
      </c>
      <c r="F68" s="3" t="s">
        <v>521</v>
      </c>
      <c r="G68" s="11"/>
      <c r="H68" s="11" t="e">
        <f>INDEX(#REF!,MATCH(셀트리온제약!$F68,#REF!,0),MATCH(셀트리온제약!$B68,#REF!,0))</f>
        <v>#REF!</v>
      </c>
      <c r="I68" s="11" t="e">
        <f t="shared" si="9"/>
        <v>#REF!</v>
      </c>
      <c r="J68" s="21" t="e">
        <f t="shared" ref="J68:J88" si="11">+G68/H68</f>
        <v>#REF!</v>
      </c>
      <c r="L68" s="15"/>
      <c r="O68" s="10"/>
    </row>
    <row r="69" spans="2:19" hidden="1" x14ac:dyDescent="0.4">
      <c r="B69" s="2" t="s">
        <v>157</v>
      </c>
      <c r="C69" s="3" t="s">
        <v>132</v>
      </c>
      <c r="D69" s="3" t="s">
        <v>133</v>
      </c>
      <c r="E69" s="3" t="s">
        <v>314</v>
      </c>
      <c r="F69" s="3" t="s">
        <v>88</v>
      </c>
      <c r="G69" s="11"/>
      <c r="H69" s="11" t="e">
        <f>INDEX(#REF!,MATCH(셀트리온제약!$F69,#REF!,0),MATCH(셀트리온제약!$B69,#REF!,0))</f>
        <v>#REF!</v>
      </c>
      <c r="I69" s="11" t="e">
        <f t="shared" si="9"/>
        <v>#REF!</v>
      </c>
      <c r="J69" s="21" t="e">
        <f t="shared" si="11"/>
        <v>#REF!</v>
      </c>
      <c r="L69" s="15"/>
      <c r="O69" s="10"/>
    </row>
    <row r="70" spans="2:19" hidden="1" x14ac:dyDescent="0.4">
      <c r="B70" s="2" t="s">
        <v>157</v>
      </c>
      <c r="C70" s="3" t="s">
        <v>132</v>
      </c>
      <c r="D70" s="3" t="s">
        <v>133</v>
      </c>
      <c r="E70" s="3" t="s">
        <v>342</v>
      </c>
      <c r="F70" s="3" t="s">
        <v>344</v>
      </c>
      <c r="G70" s="11"/>
      <c r="H70" s="11" t="e">
        <f>INDEX(#REF!,MATCH(셀트리온제약!$F70,#REF!,0),MATCH(셀트리온제약!$B70,#REF!,0))</f>
        <v>#REF!</v>
      </c>
      <c r="I70" s="11" t="e">
        <f t="shared" si="9"/>
        <v>#REF!</v>
      </c>
      <c r="J70" s="21" t="e">
        <f t="shared" si="11"/>
        <v>#REF!</v>
      </c>
      <c r="L70" s="15"/>
      <c r="O70" s="10"/>
    </row>
    <row r="71" spans="2:19" hidden="1" x14ac:dyDescent="0.4">
      <c r="B71" s="2" t="s">
        <v>157</v>
      </c>
      <c r="C71" s="3" t="s">
        <v>132</v>
      </c>
      <c r="D71" s="3" t="s">
        <v>133</v>
      </c>
      <c r="E71" s="3" t="s">
        <v>342</v>
      </c>
      <c r="F71" s="3" t="s">
        <v>345</v>
      </c>
      <c r="G71" s="11"/>
      <c r="H71" s="11" t="e">
        <f>INDEX(#REF!,MATCH(셀트리온제약!$F71,#REF!,0),MATCH(셀트리온제약!$B71,#REF!,0))</f>
        <v>#REF!</v>
      </c>
      <c r="I71" s="11" t="e">
        <f t="shared" si="9"/>
        <v>#REF!</v>
      </c>
      <c r="J71" s="21" t="e">
        <f t="shared" si="11"/>
        <v>#REF!</v>
      </c>
      <c r="L71" s="15"/>
      <c r="O71" s="10"/>
      <c r="R71" s="10"/>
      <c r="S71" s="10"/>
    </row>
    <row r="72" spans="2:19" hidden="1" x14ac:dyDescent="0.4">
      <c r="B72" s="2" t="s">
        <v>157</v>
      </c>
      <c r="C72" s="3" t="s">
        <v>132</v>
      </c>
      <c r="D72" s="3" t="s">
        <v>133</v>
      </c>
      <c r="E72" s="3" t="s">
        <v>342</v>
      </c>
      <c r="F72" s="3" t="s">
        <v>350</v>
      </c>
      <c r="G72" s="11"/>
      <c r="H72" s="11" t="e">
        <f>INDEX(#REF!,MATCH(셀트리온제약!$F72,#REF!,0),MATCH(셀트리온제약!$B72,#REF!,0))</f>
        <v>#REF!</v>
      </c>
      <c r="I72" s="11" t="e">
        <f t="shared" si="9"/>
        <v>#REF!</v>
      </c>
      <c r="J72" s="21" t="e">
        <f t="shared" si="11"/>
        <v>#REF!</v>
      </c>
      <c r="L72" s="15"/>
      <c r="O72" s="10"/>
      <c r="R72" s="10"/>
      <c r="S72" s="10"/>
    </row>
    <row r="73" spans="2:19" hidden="1" x14ac:dyDescent="0.4">
      <c r="B73" s="2" t="s">
        <v>157</v>
      </c>
      <c r="C73" s="3" t="s">
        <v>132</v>
      </c>
      <c r="D73" s="3" t="s">
        <v>133</v>
      </c>
      <c r="E73" s="3" t="s">
        <v>342</v>
      </c>
      <c r="F73" s="3" t="s">
        <v>346</v>
      </c>
      <c r="G73" s="4"/>
      <c r="H73" s="4" t="e">
        <f>INDEX(#REF!,MATCH(셀트리온제약!$F73,#REF!,0),MATCH(셀트리온제약!$B73,#REF!,0))</f>
        <v>#REF!</v>
      </c>
      <c r="I73" s="4" t="e">
        <f t="shared" si="9"/>
        <v>#REF!</v>
      </c>
      <c r="J73" s="21" t="e">
        <f t="shared" si="11"/>
        <v>#REF!</v>
      </c>
      <c r="K73" s="10"/>
      <c r="L73" s="15"/>
    </row>
    <row r="74" spans="2:19" hidden="1" x14ac:dyDescent="0.4">
      <c r="B74" s="2" t="s">
        <v>157</v>
      </c>
      <c r="C74" s="3" t="s">
        <v>132</v>
      </c>
      <c r="D74" s="3" t="s">
        <v>133</v>
      </c>
      <c r="E74" s="3" t="s">
        <v>342</v>
      </c>
      <c r="F74" s="3" t="s">
        <v>353</v>
      </c>
      <c r="G74" s="11"/>
      <c r="H74" s="11" t="e">
        <f>INDEX(#REF!,MATCH(셀트리온제약!$F74,#REF!,0),MATCH(셀트리온제약!$B74,#REF!,0))</f>
        <v>#REF!</v>
      </c>
      <c r="I74" s="11" t="e">
        <f t="shared" si="9"/>
        <v>#REF!</v>
      </c>
      <c r="J74" s="21" t="e">
        <f t="shared" si="11"/>
        <v>#REF!</v>
      </c>
      <c r="L74" s="15"/>
    </row>
    <row r="75" spans="2:19" hidden="1" x14ac:dyDescent="0.4">
      <c r="B75" s="2" t="s">
        <v>157</v>
      </c>
      <c r="C75" s="3" t="s">
        <v>132</v>
      </c>
      <c r="D75" s="3" t="s">
        <v>133</v>
      </c>
      <c r="E75" s="3" t="s">
        <v>342</v>
      </c>
      <c r="F75" s="3" t="s">
        <v>522</v>
      </c>
      <c r="G75" s="4"/>
      <c r="H75" s="4" t="e">
        <f>INDEX(#REF!,MATCH(셀트리온제약!$F75,#REF!,0),MATCH(셀트리온제약!$B75,#REF!,0))</f>
        <v>#REF!</v>
      </c>
      <c r="I75" s="4" t="e">
        <f t="shared" si="9"/>
        <v>#REF!</v>
      </c>
      <c r="J75" s="21" t="e">
        <f t="shared" si="11"/>
        <v>#REF!</v>
      </c>
      <c r="L75" s="15"/>
    </row>
    <row r="76" spans="2:19" hidden="1" x14ac:dyDescent="0.4">
      <c r="B76" s="2" t="s">
        <v>157</v>
      </c>
      <c r="C76" s="3" t="s">
        <v>132</v>
      </c>
      <c r="D76" s="3" t="s">
        <v>133</v>
      </c>
      <c r="E76" s="3" t="s">
        <v>324</v>
      </c>
      <c r="F76" s="3" t="s">
        <v>324</v>
      </c>
      <c r="G76" s="4"/>
      <c r="H76" s="4" t="e">
        <f>INDEX(#REF!,MATCH(셀트리온제약!$F76,#REF!,0),MATCH(셀트리온제약!$B76,#REF!,0))</f>
        <v>#REF!</v>
      </c>
      <c r="I76" s="4" t="e">
        <f t="shared" si="9"/>
        <v>#REF!</v>
      </c>
      <c r="J76" s="21" t="e">
        <f t="shared" si="11"/>
        <v>#REF!</v>
      </c>
      <c r="L76" s="15"/>
    </row>
    <row r="77" spans="2:19" hidden="1" x14ac:dyDescent="0.4">
      <c r="B77" s="2" t="s">
        <v>157</v>
      </c>
      <c r="C77" s="3" t="s">
        <v>132</v>
      </c>
      <c r="D77" s="3" t="s">
        <v>133</v>
      </c>
      <c r="E77" s="3" t="s">
        <v>335</v>
      </c>
      <c r="F77" s="3" t="s">
        <v>335</v>
      </c>
      <c r="G77" s="4"/>
      <c r="H77" s="4" t="e">
        <f>INDEX(#REF!,MATCH(셀트리온제약!$F77,#REF!,0),MATCH(셀트리온제약!$B77,#REF!,0))</f>
        <v>#REF!</v>
      </c>
      <c r="I77" s="4" t="e">
        <f t="shared" si="9"/>
        <v>#REF!</v>
      </c>
      <c r="J77" s="21" t="e">
        <f t="shared" si="11"/>
        <v>#REF!</v>
      </c>
      <c r="L77" s="15"/>
    </row>
    <row r="78" spans="2:19" hidden="1" x14ac:dyDescent="0.4">
      <c r="B78" s="2" t="s">
        <v>157</v>
      </c>
      <c r="C78" s="3" t="s">
        <v>132</v>
      </c>
      <c r="D78" s="3" t="s">
        <v>133</v>
      </c>
      <c r="E78" s="3" t="s">
        <v>134</v>
      </c>
      <c r="F78" s="3" t="s">
        <v>135</v>
      </c>
      <c r="G78" s="4"/>
      <c r="H78" s="4" t="e">
        <f>INDEX(#REF!,MATCH(셀트리온제약!$F78,#REF!,0),MATCH(셀트리온제약!$B78,#REF!,0))</f>
        <v>#REF!</v>
      </c>
      <c r="I78" s="4" t="e">
        <f t="shared" si="9"/>
        <v>#REF!</v>
      </c>
      <c r="J78" s="21" t="e">
        <f t="shared" si="11"/>
        <v>#REF!</v>
      </c>
      <c r="L78" s="15"/>
    </row>
    <row r="79" spans="2:19" hidden="1" x14ac:dyDescent="0.4">
      <c r="B79" s="2" t="s">
        <v>157</v>
      </c>
      <c r="C79" s="3" t="s">
        <v>132</v>
      </c>
      <c r="D79" s="3" t="s">
        <v>133</v>
      </c>
      <c r="E79" s="3" t="s">
        <v>134</v>
      </c>
      <c r="F79" s="3" t="s">
        <v>136</v>
      </c>
      <c r="G79" s="4"/>
      <c r="H79" s="4" t="e">
        <f>INDEX(#REF!,MATCH(셀트리온제약!$F79,#REF!,0),MATCH(셀트리온제약!$B79,#REF!,0))</f>
        <v>#REF!</v>
      </c>
      <c r="I79" s="4" t="e">
        <f t="shared" si="9"/>
        <v>#REF!</v>
      </c>
      <c r="J79" s="21" t="e">
        <f t="shared" si="11"/>
        <v>#REF!</v>
      </c>
      <c r="L79" s="15"/>
    </row>
    <row r="80" spans="2:19" hidden="1" x14ac:dyDescent="0.4">
      <c r="B80" s="2" t="s">
        <v>157</v>
      </c>
      <c r="C80" s="3" t="s">
        <v>132</v>
      </c>
      <c r="D80" s="3" t="s">
        <v>133</v>
      </c>
      <c r="E80" s="3" t="s">
        <v>134</v>
      </c>
      <c r="F80" s="3" t="s">
        <v>138</v>
      </c>
      <c r="G80" s="4"/>
      <c r="H80" s="4" t="e">
        <f>INDEX(#REF!,MATCH(셀트리온제약!$F80,#REF!,0),MATCH(셀트리온제약!$B80,#REF!,0))</f>
        <v>#REF!</v>
      </c>
      <c r="I80" s="4" t="e">
        <f t="shared" si="9"/>
        <v>#REF!</v>
      </c>
      <c r="J80" s="21" t="e">
        <f t="shared" si="11"/>
        <v>#REF!</v>
      </c>
      <c r="L80" s="15"/>
    </row>
    <row r="81" spans="2:12" hidden="1" x14ac:dyDescent="0.4">
      <c r="B81" s="2" t="s">
        <v>157</v>
      </c>
      <c r="C81" s="3" t="s">
        <v>132</v>
      </c>
      <c r="D81" s="3" t="s">
        <v>133</v>
      </c>
      <c r="E81" s="3" t="s">
        <v>134</v>
      </c>
      <c r="F81" s="3" t="s">
        <v>139</v>
      </c>
      <c r="G81" s="4"/>
      <c r="H81" s="4" t="e">
        <f>INDEX(#REF!,MATCH(셀트리온제약!$F81,#REF!,0),MATCH(셀트리온제약!$B81,#REF!,0))</f>
        <v>#REF!</v>
      </c>
      <c r="I81" s="4" t="e">
        <f t="shared" si="9"/>
        <v>#REF!</v>
      </c>
      <c r="J81" s="21" t="e">
        <f t="shared" si="11"/>
        <v>#REF!</v>
      </c>
      <c r="L81" s="15"/>
    </row>
    <row r="82" spans="2:12" hidden="1" x14ac:dyDescent="0.4">
      <c r="B82" s="2" t="s">
        <v>157</v>
      </c>
      <c r="C82" s="3" t="s">
        <v>132</v>
      </c>
      <c r="D82" s="3" t="s">
        <v>133</v>
      </c>
      <c r="E82" s="3" t="s">
        <v>134</v>
      </c>
      <c r="F82" s="3" t="s">
        <v>140</v>
      </c>
      <c r="G82" s="4"/>
      <c r="H82" s="4" t="e">
        <f>INDEX(#REF!,MATCH(셀트리온제약!$F82,#REF!,0),MATCH(셀트리온제약!$B82,#REF!,0))</f>
        <v>#REF!</v>
      </c>
      <c r="I82" s="4" t="e">
        <f t="shared" si="9"/>
        <v>#REF!</v>
      </c>
      <c r="J82" s="21" t="e">
        <f t="shared" si="11"/>
        <v>#REF!</v>
      </c>
      <c r="L82" s="15"/>
    </row>
    <row r="83" spans="2:12" hidden="1" x14ac:dyDescent="0.4">
      <c r="B83" s="2" t="s">
        <v>157</v>
      </c>
      <c r="C83" s="3" t="s">
        <v>132</v>
      </c>
      <c r="D83" s="3" t="s">
        <v>133</v>
      </c>
      <c r="E83" s="3" t="s">
        <v>134</v>
      </c>
      <c r="F83" s="3" t="s">
        <v>141</v>
      </c>
      <c r="G83" s="4"/>
      <c r="H83" s="4" t="e">
        <f>INDEX(#REF!,MATCH(셀트리온제약!$F83,#REF!,0),MATCH(셀트리온제약!$B83,#REF!,0))</f>
        <v>#REF!</v>
      </c>
      <c r="I83" s="4" t="e">
        <f t="shared" si="9"/>
        <v>#REF!</v>
      </c>
      <c r="J83" s="21" t="e">
        <f t="shared" si="11"/>
        <v>#REF!</v>
      </c>
      <c r="L83" s="15"/>
    </row>
    <row r="84" spans="2:12" hidden="1" x14ac:dyDescent="0.4">
      <c r="B84" s="2" t="s">
        <v>157</v>
      </c>
      <c r="C84" s="3" t="s">
        <v>132</v>
      </c>
      <c r="D84" s="3" t="s">
        <v>133</v>
      </c>
      <c r="E84" s="3" t="s">
        <v>134</v>
      </c>
      <c r="F84" s="3" t="s">
        <v>145</v>
      </c>
      <c r="G84" s="4"/>
      <c r="H84" s="4" t="e">
        <f>INDEX(#REF!,MATCH(셀트리온제약!$F84,#REF!,0),MATCH(셀트리온제약!$B84,#REF!,0))</f>
        <v>#REF!</v>
      </c>
      <c r="I84" s="4" t="e">
        <f t="shared" si="9"/>
        <v>#REF!</v>
      </c>
      <c r="J84" s="21" t="e">
        <f t="shared" si="11"/>
        <v>#REF!</v>
      </c>
      <c r="L84" s="15"/>
    </row>
    <row r="85" spans="2:12" hidden="1" x14ac:dyDescent="0.4">
      <c r="B85" s="2" t="s">
        <v>157</v>
      </c>
      <c r="C85" s="3" t="s">
        <v>132</v>
      </c>
      <c r="D85" s="3" t="s">
        <v>133</v>
      </c>
      <c r="E85" s="3" t="s">
        <v>134</v>
      </c>
      <c r="F85" s="3" t="s">
        <v>146</v>
      </c>
      <c r="G85" s="4"/>
      <c r="H85" s="4" t="e">
        <f>INDEX(#REF!,MATCH(셀트리온제약!$F85,#REF!,0),MATCH(셀트리온제약!$B85,#REF!,0))</f>
        <v>#REF!</v>
      </c>
      <c r="I85" s="4" t="e">
        <f t="shared" si="9"/>
        <v>#REF!</v>
      </c>
      <c r="J85" s="21" t="e">
        <f t="shared" si="11"/>
        <v>#REF!</v>
      </c>
      <c r="L85" s="15"/>
    </row>
    <row r="86" spans="2:12" hidden="1" x14ac:dyDescent="0.4">
      <c r="B86" s="2" t="s">
        <v>157</v>
      </c>
      <c r="C86" s="3" t="s">
        <v>132</v>
      </c>
      <c r="D86" s="3" t="s">
        <v>133</v>
      </c>
      <c r="E86" s="3" t="s">
        <v>134</v>
      </c>
      <c r="F86" s="3" t="s">
        <v>525</v>
      </c>
      <c r="G86" s="4"/>
      <c r="H86" s="4" t="e">
        <f>INDEX(#REF!,MATCH(셀트리온제약!$F86,#REF!,0),MATCH(셀트리온제약!$B86,#REF!,0))</f>
        <v>#REF!</v>
      </c>
      <c r="I86" s="4" t="e">
        <f t="shared" si="9"/>
        <v>#REF!</v>
      </c>
      <c r="J86" s="21" t="e">
        <f t="shared" si="11"/>
        <v>#REF!</v>
      </c>
      <c r="L86" s="15"/>
    </row>
    <row r="87" spans="2:12" hidden="1" x14ac:dyDescent="0.4">
      <c r="B87" s="2" t="s">
        <v>157</v>
      </c>
      <c r="C87" s="3" t="s">
        <v>132</v>
      </c>
      <c r="D87" s="3" t="s">
        <v>133</v>
      </c>
      <c r="E87" s="3" t="s">
        <v>526</v>
      </c>
      <c r="F87" s="3" t="s">
        <v>362</v>
      </c>
      <c r="G87" s="4"/>
      <c r="H87" s="4" t="e">
        <f>INDEX(#REF!,MATCH(셀트리온제약!$F87,#REF!,0),MATCH(셀트리온제약!$B87,#REF!,0))</f>
        <v>#REF!</v>
      </c>
      <c r="I87" s="4" t="e">
        <f t="shared" si="9"/>
        <v>#REF!</v>
      </c>
      <c r="J87" s="21" t="e">
        <f t="shared" si="11"/>
        <v>#REF!</v>
      </c>
      <c r="L87" s="15"/>
    </row>
    <row r="88" spans="2:12" ht="18" hidden="1" thickBot="1" x14ac:dyDescent="0.45">
      <c r="B88" s="12" t="s">
        <v>157</v>
      </c>
      <c r="C88" s="477" t="s">
        <v>132</v>
      </c>
      <c r="D88" s="477" t="s">
        <v>133</v>
      </c>
      <c r="E88" s="477" t="s">
        <v>526</v>
      </c>
      <c r="F88" s="477" t="s">
        <v>366</v>
      </c>
      <c r="G88" s="478"/>
      <c r="H88" s="478" t="e">
        <f>INDEX(#REF!,MATCH(셀트리온제약!$F88,#REF!,0),MATCH(셀트리온제약!$B88,#REF!,0))</f>
        <v>#REF!</v>
      </c>
      <c r="I88" s="478" t="e">
        <f t="shared" si="9"/>
        <v>#REF!</v>
      </c>
      <c r="J88" s="479" t="e">
        <f t="shared" si="11"/>
        <v>#REF!</v>
      </c>
      <c r="L88" s="15"/>
    </row>
    <row r="89" spans="2:12" hidden="1" x14ac:dyDescent="0.4">
      <c r="B89" s="7" t="s">
        <v>159</v>
      </c>
      <c r="C89" s="8" t="s">
        <v>132</v>
      </c>
      <c r="D89" s="8" t="s">
        <v>133</v>
      </c>
      <c r="E89" s="8" t="s">
        <v>314</v>
      </c>
      <c r="F89" s="8" t="s">
        <v>315</v>
      </c>
      <c r="G89" s="9"/>
      <c r="H89" s="9" t="e">
        <f>INDEX(#REF!,MATCH(셀트리온제약!$F89,#REF!,0),MATCH(셀트리온제약!$B89,#REF!,0))</f>
        <v>#REF!</v>
      </c>
      <c r="I89" s="9" t="e">
        <f t="shared" si="9"/>
        <v>#REF!</v>
      </c>
      <c r="J89" s="20" t="e">
        <f>+G89/H89</f>
        <v>#REF!</v>
      </c>
      <c r="L89" s="15"/>
    </row>
    <row r="90" spans="2:12" hidden="1" x14ac:dyDescent="0.4">
      <c r="B90" s="2" t="s">
        <v>159</v>
      </c>
      <c r="C90" s="3" t="s">
        <v>132</v>
      </c>
      <c r="D90" s="3" t="s">
        <v>133</v>
      </c>
      <c r="E90" s="3" t="s">
        <v>314</v>
      </c>
      <c r="F90" s="3" t="s">
        <v>521</v>
      </c>
      <c r="G90" s="11"/>
      <c r="H90" s="11" t="e">
        <f>INDEX(#REF!,MATCH(셀트리온제약!$F90,#REF!,0),MATCH(셀트리온제약!$B90,#REF!,0))</f>
        <v>#REF!</v>
      </c>
      <c r="I90" s="11" t="e">
        <f t="shared" si="9"/>
        <v>#REF!</v>
      </c>
      <c r="J90" s="21" t="e">
        <f t="shared" ref="J90:J110" si="12">+G90/H90</f>
        <v>#REF!</v>
      </c>
      <c r="L90" s="15"/>
    </row>
    <row r="91" spans="2:12" hidden="1" x14ac:dyDescent="0.4">
      <c r="B91" s="2" t="s">
        <v>159</v>
      </c>
      <c r="C91" s="3" t="s">
        <v>132</v>
      </c>
      <c r="D91" s="3" t="s">
        <v>133</v>
      </c>
      <c r="E91" s="3" t="s">
        <v>314</v>
      </c>
      <c r="F91" s="3" t="s">
        <v>88</v>
      </c>
      <c r="G91" s="11"/>
      <c r="H91" s="11" t="e">
        <f>INDEX(#REF!,MATCH(셀트리온제약!$F91,#REF!,0),MATCH(셀트리온제약!$B91,#REF!,0))</f>
        <v>#REF!</v>
      </c>
      <c r="I91" s="11" t="e">
        <f t="shared" si="9"/>
        <v>#REF!</v>
      </c>
      <c r="J91" s="21" t="e">
        <f t="shared" si="12"/>
        <v>#REF!</v>
      </c>
      <c r="L91" s="10"/>
    </row>
    <row r="92" spans="2:12" hidden="1" x14ac:dyDescent="0.4">
      <c r="B92" s="2" t="s">
        <v>159</v>
      </c>
      <c r="C92" s="3" t="s">
        <v>132</v>
      </c>
      <c r="D92" s="3" t="s">
        <v>133</v>
      </c>
      <c r="E92" s="3" t="s">
        <v>342</v>
      </c>
      <c r="F92" s="3" t="s">
        <v>344</v>
      </c>
      <c r="G92" s="11"/>
      <c r="H92" s="11" t="e">
        <f>INDEX(#REF!,MATCH(셀트리온제약!$F92,#REF!,0),MATCH(셀트리온제약!$B92,#REF!,0))</f>
        <v>#REF!</v>
      </c>
      <c r="I92" s="11" t="e">
        <f t="shared" si="9"/>
        <v>#REF!</v>
      </c>
      <c r="J92" s="21" t="e">
        <f t="shared" si="12"/>
        <v>#REF!</v>
      </c>
      <c r="L92" s="10"/>
    </row>
    <row r="93" spans="2:12" hidden="1" x14ac:dyDescent="0.4">
      <c r="B93" s="2" t="s">
        <v>159</v>
      </c>
      <c r="C93" s="3" t="s">
        <v>132</v>
      </c>
      <c r="D93" s="3" t="s">
        <v>133</v>
      </c>
      <c r="E93" s="3" t="s">
        <v>342</v>
      </c>
      <c r="F93" s="3" t="s">
        <v>345</v>
      </c>
      <c r="G93" s="11"/>
      <c r="H93" s="11" t="e">
        <f>INDEX(#REF!,MATCH(셀트리온제약!$F93,#REF!,0),MATCH(셀트리온제약!$B93,#REF!,0))</f>
        <v>#REF!</v>
      </c>
      <c r="I93" s="11" t="e">
        <f t="shared" si="9"/>
        <v>#REF!</v>
      </c>
      <c r="J93" s="21" t="e">
        <f t="shared" si="12"/>
        <v>#REF!</v>
      </c>
      <c r="L93" s="10"/>
    </row>
    <row r="94" spans="2:12" hidden="1" x14ac:dyDescent="0.4">
      <c r="B94" s="2" t="s">
        <v>159</v>
      </c>
      <c r="C94" s="3" t="s">
        <v>132</v>
      </c>
      <c r="D94" s="3" t="s">
        <v>133</v>
      </c>
      <c r="E94" s="3" t="s">
        <v>342</v>
      </c>
      <c r="F94" s="3" t="s">
        <v>350</v>
      </c>
      <c r="G94" s="11"/>
      <c r="H94" s="11" t="e">
        <f>INDEX(#REF!,MATCH(셀트리온제약!$F94,#REF!,0),MATCH(셀트리온제약!$B94,#REF!,0))</f>
        <v>#REF!</v>
      </c>
      <c r="I94" s="11" t="e">
        <f t="shared" si="9"/>
        <v>#REF!</v>
      </c>
      <c r="J94" s="21" t="e">
        <f t="shared" si="12"/>
        <v>#REF!</v>
      </c>
      <c r="L94" s="10"/>
    </row>
    <row r="95" spans="2:12" hidden="1" x14ac:dyDescent="0.4">
      <c r="B95" s="2" t="s">
        <v>159</v>
      </c>
      <c r="C95" s="3" t="s">
        <v>132</v>
      </c>
      <c r="D95" s="3" t="s">
        <v>133</v>
      </c>
      <c r="E95" s="3" t="s">
        <v>342</v>
      </c>
      <c r="F95" s="3" t="s">
        <v>346</v>
      </c>
      <c r="G95" s="4"/>
      <c r="H95" s="4" t="e">
        <f>INDEX(#REF!,MATCH(셀트리온제약!$F95,#REF!,0),MATCH(셀트리온제약!$B95,#REF!,0))</f>
        <v>#REF!</v>
      </c>
      <c r="I95" s="4" t="e">
        <f t="shared" si="9"/>
        <v>#REF!</v>
      </c>
      <c r="J95" s="21" t="e">
        <f t="shared" si="12"/>
        <v>#REF!</v>
      </c>
      <c r="L95" s="10"/>
    </row>
    <row r="96" spans="2:12" hidden="1" x14ac:dyDescent="0.4">
      <c r="B96" s="2" t="s">
        <v>159</v>
      </c>
      <c r="C96" s="3" t="s">
        <v>132</v>
      </c>
      <c r="D96" s="3" t="s">
        <v>133</v>
      </c>
      <c r="E96" s="3" t="s">
        <v>342</v>
      </c>
      <c r="F96" s="3" t="s">
        <v>353</v>
      </c>
      <c r="G96" s="11"/>
      <c r="H96" s="11" t="e">
        <f>INDEX(#REF!,MATCH(셀트리온제약!$F96,#REF!,0),MATCH(셀트리온제약!$B96,#REF!,0))</f>
        <v>#REF!</v>
      </c>
      <c r="I96" s="11" t="e">
        <f t="shared" si="9"/>
        <v>#REF!</v>
      </c>
      <c r="J96" s="21" t="e">
        <f t="shared" si="12"/>
        <v>#REF!</v>
      </c>
      <c r="L96" s="10"/>
    </row>
    <row r="97" spans="2:12" hidden="1" x14ac:dyDescent="0.4">
      <c r="B97" s="2" t="s">
        <v>159</v>
      </c>
      <c r="C97" s="3" t="s">
        <v>132</v>
      </c>
      <c r="D97" s="3" t="s">
        <v>133</v>
      </c>
      <c r="E97" s="3" t="s">
        <v>342</v>
      </c>
      <c r="F97" s="3" t="s">
        <v>522</v>
      </c>
      <c r="G97" s="4"/>
      <c r="H97" s="4" t="e">
        <f>INDEX(#REF!,MATCH(셀트리온제약!$F97,#REF!,0),MATCH(셀트리온제약!$B97,#REF!,0))</f>
        <v>#REF!</v>
      </c>
      <c r="I97" s="4" t="e">
        <f t="shared" si="9"/>
        <v>#REF!</v>
      </c>
      <c r="J97" s="21" t="e">
        <f t="shared" si="12"/>
        <v>#REF!</v>
      </c>
      <c r="L97" s="10"/>
    </row>
    <row r="98" spans="2:12" hidden="1" x14ac:dyDescent="0.4">
      <c r="B98" s="2" t="s">
        <v>159</v>
      </c>
      <c r="C98" s="3" t="s">
        <v>132</v>
      </c>
      <c r="D98" s="3" t="s">
        <v>133</v>
      </c>
      <c r="E98" s="3" t="s">
        <v>324</v>
      </c>
      <c r="F98" s="3" t="s">
        <v>324</v>
      </c>
      <c r="G98" s="4"/>
      <c r="H98" s="4" t="e">
        <f>INDEX(#REF!,MATCH(셀트리온제약!$F98,#REF!,0),MATCH(셀트리온제약!$B98,#REF!,0))</f>
        <v>#REF!</v>
      </c>
      <c r="I98" s="4" t="e">
        <f t="shared" si="9"/>
        <v>#REF!</v>
      </c>
      <c r="J98" s="21" t="e">
        <f t="shared" si="12"/>
        <v>#REF!</v>
      </c>
      <c r="L98" s="10"/>
    </row>
    <row r="99" spans="2:12" hidden="1" x14ac:dyDescent="0.4">
      <c r="B99" s="2" t="s">
        <v>159</v>
      </c>
      <c r="C99" s="3" t="s">
        <v>132</v>
      </c>
      <c r="D99" s="3" t="s">
        <v>133</v>
      </c>
      <c r="E99" s="3" t="s">
        <v>335</v>
      </c>
      <c r="F99" s="3" t="s">
        <v>335</v>
      </c>
      <c r="G99" s="4"/>
      <c r="H99" s="4" t="e">
        <f>INDEX(#REF!,MATCH(셀트리온제약!$F99,#REF!,0),MATCH(셀트리온제약!$B99,#REF!,0))</f>
        <v>#REF!</v>
      </c>
      <c r="I99" s="4" t="e">
        <f t="shared" si="9"/>
        <v>#REF!</v>
      </c>
      <c r="J99" s="21" t="e">
        <f t="shared" si="12"/>
        <v>#REF!</v>
      </c>
      <c r="L99" s="10"/>
    </row>
    <row r="100" spans="2:12" hidden="1" x14ac:dyDescent="0.4">
      <c r="B100" s="2" t="s">
        <v>159</v>
      </c>
      <c r="C100" s="3" t="s">
        <v>132</v>
      </c>
      <c r="D100" s="3" t="s">
        <v>133</v>
      </c>
      <c r="E100" s="3" t="s">
        <v>134</v>
      </c>
      <c r="F100" s="3" t="s">
        <v>135</v>
      </c>
      <c r="G100" s="4"/>
      <c r="H100" s="4" t="e">
        <f>INDEX(#REF!,MATCH(셀트리온제약!$F100,#REF!,0),MATCH(셀트리온제약!$B100,#REF!,0))</f>
        <v>#REF!</v>
      </c>
      <c r="I100" s="4" t="e">
        <f t="shared" si="9"/>
        <v>#REF!</v>
      </c>
      <c r="J100" s="21" t="e">
        <f t="shared" si="12"/>
        <v>#REF!</v>
      </c>
      <c r="L100" s="10"/>
    </row>
    <row r="101" spans="2:12" hidden="1" x14ac:dyDescent="0.4">
      <c r="B101" s="2" t="s">
        <v>159</v>
      </c>
      <c r="C101" s="3" t="s">
        <v>132</v>
      </c>
      <c r="D101" s="3" t="s">
        <v>133</v>
      </c>
      <c r="E101" s="3" t="s">
        <v>134</v>
      </c>
      <c r="F101" s="3" t="s">
        <v>136</v>
      </c>
      <c r="G101" s="4"/>
      <c r="H101" s="4" t="e">
        <f>INDEX(#REF!,MATCH(셀트리온제약!$F101,#REF!,0),MATCH(셀트리온제약!$B101,#REF!,0))</f>
        <v>#REF!</v>
      </c>
      <c r="I101" s="4" t="e">
        <f t="shared" si="9"/>
        <v>#REF!</v>
      </c>
      <c r="J101" s="21" t="e">
        <f t="shared" si="12"/>
        <v>#REF!</v>
      </c>
      <c r="L101" s="10"/>
    </row>
    <row r="102" spans="2:12" hidden="1" x14ac:dyDescent="0.4">
      <c r="B102" s="2" t="s">
        <v>159</v>
      </c>
      <c r="C102" s="3" t="s">
        <v>132</v>
      </c>
      <c r="D102" s="3" t="s">
        <v>133</v>
      </c>
      <c r="E102" s="3" t="s">
        <v>134</v>
      </c>
      <c r="F102" s="3" t="s">
        <v>138</v>
      </c>
      <c r="G102" s="4"/>
      <c r="H102" s="4" t="e">
        <f>INDEX(#REF!,MATCH(셀트리온제약!$F102,#REF!,0),MATCH(셀트리온제약!$B102,#REF!,0))</f>
        <v>#REF!</v>
      </c>
      <c r="I102" s="4" t="e">
        <f t="shared" si="9"/>
        <v>#REF!</v>
      </c>
      <c r="J102" s="21" t="e">
        <f t="shared" si="12"/>
        <v>#REF!</v>
      </c>
      <c r="L102" s="10"/>
    </row>
    <row r="103" spans="2:12" hidden="1" x14ac:dyDescent="0.4">
      <c r="B103" s="2" t="s">
        <v>159</v>
      </c>
      <c r="C103" s="3" t="s">
        <v>132</v>
      </c>
      <c r="D103" s="3" t="s">
        <v>133</v>
      </c>
      <c r="E103" s="3" t="s">
        <v>134</v>
      </c>
      <c r="F103" s="3" t="s">
        <v>139</v>
      </c>
      <c r="G103" s="4"/>
      <c r="H103" s="4" t="e">
        <f>INDEX(#REF!,MATCH(셀트리온제약!$F103,#REF!,0),MATCH(셀트리온제약!$B103,#REF!,0))</f>
        <v>#REF!</v>
      </c>
      <c r="I103" s="4" t="e">
        <f t="shared" si="9"/>
        <v>#REF!</v>
      </c>
      <c r="J103" s="21" t="e">
        <f t="shared" si="12"/>
        <v>#REF!</v>
      </c>
      <c r="L103" s="10"/>
    </row>
    <row r="104" spans="2:12" hidden="1" x14ac:dyDescent="0.4">
      <c r="B104" s="2" t="s">
        <v>159</v>
      </c>
      <c r="C104" s="3" t="s">
        <v>132</v>
      </c>
      <c r="D104" s="3" t="s">
        <v>133</v>
      </c>
      <c r="E104" s="3" t="s">
        <v>134</v>
      </c>
      <c r="F104" s="3" t="s">
        <v>140</v>
      </c>
      <c r="G104" s="4"/>
      <c r="H104" s="4" t="e">
        <f>INDEX(#REF!,MATCH(셀트리온제약!$F104,#REF!,0),MATCH(셀트리온제약!$B104,#REF!,0))</f>
        <v>#REF!</v>
      </c>
      <c r="I104" s="4" t="e">
        <f t="shared" si="9"/>
        <v>#REF!</v>
      </c>
      <c r="J104" s="21" t="e">
        <f t="shared" si="12"/>
        <v>#REF!</v>
      </c>
      <c r="L104" s="10"/>
    </row>
    <row r="105" spans="2:12" hidden="1" x14ac:dyDescent="0.4">
      <c r="B105" s="2" t="s">
        <v>159</v>
      </c>
      <c r="C105" s="3" t="s">
        <v>132</v>
      </c>
      <c r="D105" s="3" t="s">
        <v>133</v>
      </c>
      <c r="E105" s="3" t="s">
        <v>134</v>
      </c>
      <c r="F105" s="3" t="s">
        <v>141</v>
      </c>
      <c r="G105" s="4"/>
      <c r="H105" s="4" t="e">
        <f>INDEX(#REF!,MATCH(셀트리온제약!$F105,#REF!,0),MATCH(셀트리온제약!$B105,#REF!,0))</f>
        <v>#REF!</v>
      </c>
      <c r="I105" s="4" t="e">
        <f t="shared" si="9"/>
        <v>#REF!</v>
      </c>
      <c r="J105" s="21" t="e">
        <f t="shared" si="12"/>
        <v>#REF!</v>
      </c>
      <c r="L105" s="10"/>
    </row>
    <row r="106" spans="2:12" hidden="1" x14ac:dyDescent="0.4">
      <c r="B106" s="2" t="s">
        <v>159</v>
      </c>
      <c r="C106" s="3" t="s">
        <v>132</v>
      </c>
      <c r="D106" s="3" t="s">
        <v>133</v>
      </c>
      <c r="E106" s="3" t="s">
        <v>134</v>
      </c>
      <c r="F106" s="3" t="s">
        <v>145</v>
      </c>
      <c r="G106" s="4"/>
      <c r="H106" s="4" t="e">
        <f>INDEX(#REF!,MATCH(셀트리온제약!$F106,#REF!,0),MATCH(셀트리온제약!$B106,#REF!,0))</f>
        <v>#REF!</v>
      </c>
      <c r="I106" s="4" t="e">
        <f t="shared" si="9"/>
        <v>#REF!</v>
      </c>
      <c r="J106" s="21" t="e">
        <f t="shared" si="12"/>
        <v>#REF!</v>
      </c>
      <c r="L106" s="10"/>
    </row>
    <row r="107" spans="2:12" hidden="1" x14ac:dyDescent="0.4">
      <c r="B107" s="2" t="s">
        <v>159</v>
      </c>
      <c r="C107" s="3" t="s">
        <v>132</v>
      </c>
      <c r="D107" s="3" t="s">
        <v>133</v>
      </c>
      <c r="E107" s="3" t="s">
        <v>134</v>
      </c>
      <c r="F107" s="3" t="s">
        <v>146</v>
      </c>
      <c r="G107" s="4"/>
      <c r="H107" s="4" t="e">
        <f>INDEX(#REF!,MATCH(셀트리온제약!$F107,#REF!,0),MATCH(셀트리온제약!$B107,#REF!,0))</f>
        <v>#REF!</v>
      </c>
      <c r="I107" s="4" t="e">
        <f t="shared" si="9"/>
        <v>#REF!</v>
      </c>
      <c r="J107" s="21" t="e">
        <f t="shared" si="12"/>
        <v>#REF!</v>
      </c>
      <c r="L107" s="10"/>
    </row>
    <row r="108" spans="2:12" hidden="1" x14ac:dyDescent="0.4">
      <c r="B108" s="2" t="s">
        <v>159</v>
      </c>
      <c r="C108" s="3" t="s">
        <v>132</v>
      </c>
      <c r="D108" s="3" t="s">
        <v>133</v>
      </c>
      <c r="E108" s="3" t="s">
        <v>134</v>
      </c>
      <c r="F108" s="3" t="s">
        <v>525</v>
      </c>
      <c r="G108" s="4"/>
      <c r="H108" s="4" t="e">
        <f>INDEX(#REF!,MATCH(셀트리온제약!$F108,#REF!,0),MATCH(셀트리온제약!$B108,#REF!,0))</f>
        <v>#REF!</v>
      </c>
      <c r="I108" s="4" t="e">
        <f t="shared" ref="I108:I171" si="13">H108</f>
        <v>#REF!</v>
      </c>
      <c r="J108" s="21" t="e">
        <f t="shared" si="12"/>
        <v>#REF!</v>
      </c>
      <c r="L108" s="10"/>
    </row>
    <row r="109" spans="2:12" hidden="1" x14ac:dyDescent="0.4">
      <c r="B109" s="2" t="s">
        <v>159</v>
      </c>
      <c r="C109" s="3" t="s">
        <v>132</v>
      </c>
      <c r="D109" s="3" t="s">
        <v>133</v>
      </c>
      <c r="E109" s="3" t="s">
        <v>526</v>
      </c>
      <c r="F109" s="3" t="s">
        <v>362</v>
      </c>
      <c r="G109" s="4"/>
      <c r="H109" s="4" t="e">
        <f>INDEX(#REF!,MATCH(셀트리온제약!$F109,#REF!,0),MATCH(셀트리온제약!$B109,#REF!,0))</f>
        <v>#REF!</v>
      </c>
      <c r="I109" s="4" t="e">
        <f t="shared" si="13"/>
        <v>#REF!</v>
      </c>
      <c r="J109" s="21" t="e">
        <f t="shared" si="12"/>
        <v>#REF!</v>
      </c>
      <c r="L109" s="10"/>
    </row>
    <row r="110" spans="2:12" ht="18" hidden="1" thickBot="1" x14ac:dyDescent="0.45">
      <c r="B110" s="13" t="s">
        <v>159</v>
      </c>
      <c r="C110" s="17" t="s">
        <v>132</v>
      </c>
      <c r="D110" s="17" t="s">
        <v>133</v>
      </c>
      <c r="E110" s="17" t="s">
        <v>526</v>
      </c>
      <c r="F110" s="17" t="s">
        <v>366</v>
      </c>
      <c r="G110" s="6"/>
      <c r="H110" s="6" t="e">
        <f>INDEX(#REF!,MATCH(셀트리온제약!$F110,#REF!,0),MATCH(셀트리온제약!$B110,#REF!,0))</f>
        <v>#REF!</v>
      </c>
      <c r="I110" s="6" t="e">
        <f t="shared" si="13"/>
        <v>#REF!</v>
      </c>
      <c r="J110" s="22" t="e">
        <f t="shared" si="12"/>
        <v>#REF!</v>
      </c>
      <c r="L110" s="10"/>
    </row>
    <row r="111" spans="2:12" hidden="1" x14ac:dyDescent="0.4">
      <c r="B111" s="14" t="s">
        <v>77</v>
      </c>
      <c r="C111" s="16" t="s">
        <v>132</v>
      </c>
      <c r="D111" s="16" t="s">
        <v>133</v>
      </c>
      <c r="E111" s="16" t="s">
        <v>314</v>
      </c>
      <c r="F111" s="16" t="s">
        <v>315</v>
      </c>
      <c r="G111" s="19"/>
      <c r="H111" s="19" t="e">
        <f>INDEX(#REF!,MATCH(셀트리온제약!$F111,#REF!,0),MATCH(셀트리온제약!$B111,#REF!,0))</f>
        <v>#REF!</v>
      </c>
      <c r="I111" s="19" t="e">
        <f t="shared" si="13"/>
        <v>#REF!</v>
      </c>
      <c r="J111" s="23" t="e">
        <f>+G111/H111</f>
        <v>#REF!</v>
      </c>
      <c r="L111" s="10"/>
    </row>
    <row r="112" spans="2:12" hidden="1" x14ac:dyDescent="0.4">
      <c r="B112" s="2" t="s">
        <v>77</v>
      </c>
      <c r="C112" s="3" t="s">
        <v>132</v>
      </c>
      <c r="D112" s="3" t="s">
        <v>133</v>
      </c>
      <c r="E112" s="3" t="s">
        <v>314</v>
      </c>
      <c r="F112" s="3" t="s">
        <v>521</v>
      </c>
      <c r="G112" s="11"/>
      <c r="H112" s="11" t="e">
        <f>INDEX(#REF!,MATCH(셀트리온제약!$F112,#REF!,0),MATCH(셀트리온제약!$B112,#REF!,0))</f>
        <v>#REF!</v>
      </c>
      <c r="I112" s="11" t="e">
        <f t="shared" si="13"/>
        <v>#REF!</v>
      </c>
      <c r="J112" s="21" t="e">
        <f t="shared" ref="J112:J132" si="14">+G112/H112</f>
        <v>#REF!</v>
      </c>
      <c r="L112" s="10"/>
    </row>
    <row r="113" spans="2:12" hidden="1" x14ac:dyDescent="0.4">
      <c r="B113" s="2" t="s">
        <v>77</v>
      </c>
      <c r="C113" s="3" t="s">
        <v>132</v>
      </c>
      <c r="D113" s="3" t="s">
        <v>133</v>
      </c>
      <c r="E113" s="3" t="s">
        <v>314</v>
      </c>
      <c r="F113" s="3" t="s">
        <v>88</v>
      </c>
      <c r="G113" s="11"/>
      <c r="H113" s="11" t="e">
        <f>INDEX(#REF!,MATCH(셀트리온제약!$F113,#REF!,0),MATCH(셀트리온제약!$B113,#REF!,0))</f>
        <v>#REF!</v>
      </c>
      <c r="I113" s="11" t="e">
        <f t="shared" si="13"/>
        <v>#REF!</v>
      </c>
      <c r="J113" s="21" t="e">
        <f t="shared" si="14"/>
        <v>#REF!</v>
      </c>
      <c r="L113" s="10"/>
    </row>
    <row r="114" spans="2:12" hidden="1" x14ac:dyDescent="0.4">
      <c r="B114" s="2" t="s">
        <v>77</v>
      </c>
      <c r="C114" s="3" t="s">
        <v>132</v>
      </c>
      <c r="D114" s="3" t="s">
        <v>133</v>
      </c>
      <c r="E114" s="3" t="s">
        <v>342</v>
      </c>
      <c r="F114" s="3" t="s">
        <v>344</v>
      </c>
      <c r="G114" s="11"/>
      <c r="H114" s="11" t="e">
        <f>INDEX(#REF!,MATCH(셀트리온제약!$F114,#REF!,0),MATCH(셀트리온제약!$B114,#REF!,0))</f>
        <v>#REF!</v>
      </c>
      <c r="I114" s="11" t="e">
        <f t="shared" si="13"/>
        <v>#REF!</v>
      </c>
      <c r="J114" s="21" t="e">
        <f t="shared" si="14"/>
        <v>#REF!</v>
      </c>
      <c r="L114" s="10"/>
    </row>
    <row r="115" spans="2:12" hidden="1" x14ac:dyDescent="0.4">
      <c r="B115" s="2" t="s">
        <v>77</v>
      </c>
      <c r="C115" s="3" t="s">
        <v>132</v>
      </c>
      <c r="D115" s="3" t="s">
        <v>133</v>
      </c>
      <c r="E115" s="3" t="s">
        <v>342</v>
      </c>
      <c r="F115" s="3" t="s">
        <v>345</v>
      </c>
      <c r="G115" s="11"/>
      <c r="H115" s="11" t="e">
        <f>INDEX(#REF!,MATCH(셀트리온제약!$F115,#REF!,0),MATCH(셀트리온제약!$B115,#REF!,0))</f>
        <v>#REF!</v>
      </c>
      <c r="I115" s="11" t="e">
        <f t="shared" si="13"/>
        <v>#REF!</v>
      </c>
      <c r="J115" s="21" t="e">
        <f t="shared" si="14"/>
        <v>#REF!</v>
      </c>
      <c r="L115" s="10"/>
    </row>
    <row r="116" spans="2:12" hidden="1" x14ac:dyDescent="0.4">
      <c r="B116" s="2" t="s">
        <v>77</v>
      </c>
      <c r="C116" s="3" t="s">
        <v>132</v>
      </c>
      <c r="D116" s="3" t="s">
        <v>133</v>
      </c>
      <c r="E116" s="3" t="s">
        <v>342</v>
      </c>
      <c r="F116" s="3" t="s">
        <v>350</v>
      </c>
      <c r="G116" s="11"/>
      <c r="H116" s="11" t="e">
        <f>INDEX(#REF!,MATCH(셀트리온제약!$F116,#REF!,0),MATCH(셀트리온제약!$B116,#REF!,0))</f>
        <v>#REF!</v>
      </c>
      <c r="I116" s="11" t="e">
        <f t="shared" si="13"/>
        <v>#REF!</v>
      </c>
      <c r="J116" s="21" t="e">
        <f t="shared" si="14"/>
        <v>#REF!</v>
      </c>
      <c r="L116" s="10"/>
    </row>
    <row r="117" spans="2:12" hidden="1" x14ac:dyDescent="0.4">
      <c r="B117" s="2" t="s">
        <v>77</v>
      </c>
      <c r="C117" s="3" t="s">
        <v>132</v>
      </c>
      <c r="D117" s="3" t="s">
        <v>133</v>
      </c>
      <c r="E117" s="3" t="s">
        <v>342</v>
      </c>
      <c r="F117" s="3" t="s">
        <v>346</v>
      </c>
      <c r="G117" s="4"/>
      <c r="H117" s="4" t="e">
        <f>INDEX(#REF!,MATCH(셀트리온제약!$F117,#REF!,0),MATCH(셀트리온제약!$B117,#REF!,0))</f>
        <v>#REF!</v>
      </c>
      <c r="I117" s="4" t="e">
        <f t="shared" si="13"/>
        <v>#REF!</v>
      </c>
      <c r="J117" s="21" t="e">
        <f t="shared" si="14"/>
        <v>#REF!</v>
      </c>
      <c r="L117" s="10"/>
    </row>
    <row r="118" spans="2:12" hidden="1" x14ac:dyDescent="0.4">
      <c r="B118" s="2" t="s">
        <v>77</v>
      </c>
      <c r="C118" s="3" t="s">
        <v>132</v>
      </c>
      <c r="D118" s="3" t="s">
        <v>133</v>
      </c>
      <c r="E118" s="3" t="s">
        <v>342</v>
      </c>
      <c r="F118" s="3" t="s">
        <v>353</v>
      </c>
      <c r="G118" s="11"/>
      <c r="H118" s="11" t="e">
        <f>INDEX(#REF!,MATCH(셀트리온제약!$F118,#REF!,0),MATCH(셀트리온제약!$B118,#REF!,0))</f>
        <v>#REF!</v>
      </c>
      <c r="I118" s="11" t="e">
        <f t="shared" si="13"/>
        <v>#REF!</v>
      </c>
      <c r="J118" s="21" t="e">
        <f t="shared" si="14"/>
        <v>#REF!</v>
      </c>
      <c r="L118" s="10"/>
    </row>
    <row r="119" spans="2:12" hidden="1" x14ac:dyDescent="0.4">
      <c r="B119" s="2" t="s">
        <v>77</v>
      </c>
      <c r="C119" s="3" t="s">
        <v>132</v>
      </c>
      <c r="D119" s="3" t="s">
        <v>133</v>
      </c>
      <c r="E119" s="3" t="s">
        <v>342</v>
      </c>
      <c r="F119" s="3" t="s">
        <v>522</v>
      </c>
      <c r="G119" s="4"/>
      <c r="H119" s="4" t="e">
        <f>INDEX(#REF!,MATCH(셀트리온제약!$F119,#REF!,0),MATCH(셀트리온제약!$B119,#REF!,0))</f>
        <v>#REF!</v>
      </c>
      <c r="I119" s="4" t="e">
        <f t="shared" si="13"/>
        <v>#REF!</v>
      </c>
      <c r="J119" s="21" t="e">
        <f t="shared" si="14"/>
        <v>#REF!</v>
      </c>
      <c r="L119" s="10"/>
    </row>
    <row r="120" spans="2:12" hidden="1" x14ac:dyDescent="0.4">
      <c r="B120" s="2" t="s">
        <v>77</v>
      </c>
      <c r="C120" s="3" t="s">
        <v>132</v>
      </c>
      <c r="D120" s="3" t="s">
        <v>133</v>
      </c>
      <c r="E120" s="3" t="s">
        <v>324</v>
      </c>
      <c r="F120" s="3" t="s">
        <v>324</v>
      </c>
      <c r="G120" s="4"/>
      <c r="H120" s="4" t="e">
        <f>INDEX(#REF!,MATCH(셀트리온제약!$F120,#REF!,0),MATCH(셀트리온제약!$B120,#REF!,0))</f>
        <v>#REF!</v>
      </c>
      <c r="I120" s="4" t="e">
        <f t="shared" si="13"/>
        <v>#REF!</v>
      </c>
      <c r="J120" s="21" t="e">
        <f t="shared" si="14"/>
        <v>#REF!</v>
      </c>
      <c r="L120" s="10"/>
    </row>
    <row r="121" spans="2:12" hidden="1" x14ac:dyDescent="0.4">
      <c r="B121" s="2" t="s">
        <v>77</v>
      </c>
      <c r="C121" s="3" t="s">
        <v>132</v>
      </c>
      <c r="D121" s="3" t="s">
        <v>133</v>
      </c>
      <c r="E121" s="3" t="s">
        <v>335</v>
      </c>
      <c r="F121" s="3" t="s">
        <v>335</v>
      </c>
      <c r="G121" s="4"/>
      <c r="H121" s="4" t="e">
        <f>INDEX(#REF!,MATCH(셀트리온제약!$F121,#REF!,0),MATCH(셀트리온제약!$B121,#REF!,0))</f>
        <v>#REF!</v>
      </c>
      <c r="I121" s="4" t="e">
        <f t="shared" si="13"/>
        <v>#REF!</v>
      </c>
      <c r="J121" s="21" t="e">
        <f t="shared" si="14"/>
        <v>#REF!</v>
      </c>
      <c r="L121" s="10"/>
    </row>
    <row r="122" spans="2:12" hidden="1" x14ac:dyDescent="0.4">
      <c r="B122" s="2" t="s">
        <v>77</v>
      </c>
      <c r="C122" s="3" t="s">
        <v>132</v>
      </c>
      <c r="D122" s="3" t="s">
        <v>133</v>
      </c>
      <c r="E122" s="3" t="s">
        <v>134</v>
      </c>
      <c r="F122" s="3" t="s">
        <v>135</v>
      </c>
      <c r="G122" s="4"/>
      <c r="H122" s="4" t="e">
        <f>INDEX(#REF!,MATCH(셀트리온제약!$F122,#REF!,0),MATCH(셀트리온제약!$B122,#REF!,0))</f>
        <v>#REF!</v>
      </c>
      <c r="I122" s="4" t="e">
        <f t="shared" si="13"/>
        <v>#REF!</v>
      </c>
      <c r="J122" s="21" t="e">
        <f t="shared" si="14"/>
        <v>#REF!</v>
      </c>
      <c r="L122" s="10"/>
    </row>
    <row r="123" spans="2:12" hidden="1" x14ac:dyDescent="0.4">
      <c r="B123" s="2" t="s">
        <v>77</v>
      </c>
      <c r="C123" s="3" t="s">
        <v>132</v>
      </c>
      <c r="D123" s="3" t="s">
        <v>133</v>
      </c>
      <c r="E123" s="3" t="s">
        <v>134</v>
      </c>
      <c r="F123" s="3" t="s">
        <v>136</v>
      </c>
      <c r="G123" s="4"/>
      <c r="H123" s="4" t="e">
        <f>INDEX(#REF!,MATCH(셀트리온제약!$F123,#REF!,0),MATCH(셀트리온제약!$B123,#REF!,0))</f>
        <v>#REF!</v>
      </c>
      <c r="I123" s="4" t="e">
        <f t="shared" si="13"/>
        <v>#REF!</v>
      </c>
      <c r="J123" s="21" t="e">
        <f t="shared" si="14"/>
        <v>#REF!</v>
      </c>
      <c r="L123" s="10"/>
    </row>
    <row r="124" spans="2:12" hidden="1" x14ac:dyDescent="0.4">
      <c r="B124" s="2" t="s">
        <v>77</v>
      </c>
      <c r="C124" s="3" t="s">
        <v>132</v>
      </c>
      <c r="D124" s="3" t="s">
        <v>133</v>
      </c>
      <c r="E124" s="3" t="s">
        <v>134</v>
      </c>
      <c r="F124" s="3" t="s">
        <v>138</v>
      </c>
      <c r="G124" s="4"/>
      <c r="H124" s="4" t="e">
        <f>INDEX(#REF!,MATCH(셀트리온제약!$F124,#REF!,0),MATCH(셀트리온제약!$B124,#REF!,0))</f>
        <v>#REF!</v>
      </c>
      <c r="I124" s="4" t="e">
        <f t="shared" si="13"/>
        <v>#REF!</v>
      </c>
      <c r="J124" s="21" t="e">
        <f t="shared" si="14"/>
        <v>#REF!</v>
      </c>
      <c r="L124" s="10"/>
    </row>
    <row r="125" spans="2:12" hidden="1" x14ac:dyDescent="0.4">
      <c r="B125" s="2" t="s">
        <v>77</v>
      </c>
      <c r="C125" s="3" t="s">
        <v>132</v>
      </c>
      <c r="D125" s="3" t="s">
        <v>133</v>
      </c>
      <c r="E125" s="3" t="s">
        <v>134</v>
      </c>
      <c r="F125" s="3" t="s">
        <v>139</v>
      </c>
      <c r="G125" s="4"/>
      <c r="H125" s="4" t="e">
        <f>INDEX(#REF!,MATCH(셀트리온제약!$F125,#REF!,0),MATCH(셀트리온제약!$B125,#REF!,0))</f>
        <v>#REF!</v>
      </c>
      <c r="I125" s="4" t="e">
        <f t="shared" si="13"/>
        <v>#REF!</v>
      </c>
      <c r="J125" s="21" t="e">
        <f t="shared" si="14"/>
        <v>#REF!</v>
      </c>
      <c r="L125" s="10"/>
    </row>
    <row r="126" spans="2:12" hidden="1" x14ac:dyDescent="0.4">
      <c r="B126" s="2" t="s">
        <v>77</v>
      </c>
      <c r="C126" s="3" t="s">
        <v>132</v>
      </c>
      <c r="D126" s="3" t="s">
        <v>133</v>
      </c>
      <c r="E126" s="3" t="s">
        <v>134</v>
      </c>
      <c r="F126" s="3" t="s">
        <v>140</v>
      </c>
      <c r="G126" s="4"/>
      <c r="H126" s="4" t="e">
        <f>INDEX(#REF!,MATCH(셀트리온제약!$F126,#REF!,0),MATCH(셀트리온제약!$B126,#REF!,0))</f>
        <v>#REF!</v>
      </c>
      <c r="I126" s="4" t="e">
        <f t="shared" si="13"/>
        <v>#REF!</v>
      </c>
      <c r="J126" s="21" t="e">
        <f t="shared" si="14"/>
        <v>#REF!</v>
      </c>
      <c r="L126" s="10"/>
    </row>
    <row r="127" spans="2:12" hidden="1" x14ac:dyDescent="0.4">
      <c r="B127" s="2" t="s">
        <v>77</v>
      </c>
      <c r="C127" s="3" t="s">
        <v>132</v>
      </c>
      <c r="D127" s="3" t="s">
        <v>133</v>
      </c>
      <c r="E127" s="3" t="s">
        <v>134</v>
      </c>
      <c r="F127" s="3" t="s">
        <v>141</v>
      </c>
      <c r="G127" s="4"/>
      <c r="H127" s="4" t="e">
        <f>INDEX(#REF!,MATCH(셀트리온제약!$F127,#REF!,0),MATCH(셀트리온제약!$B127,#REF!,0))</f>
        <v>#REF!</v>
      </c>
      <c r="I127" s="4" t="e">
        <f t="shared" si="13"/>
        <v>#REF!</v>
      </c>
      <c r="J127" s="21" t="e">
        <f t="shared" si="14"/>
        <v>#REF!</v>
      </c>
      <c r="L127" s="10"/>
    </row>
    <row r="128" spans="2:12" hidden="1" x14ac:dyDescent="0.4">
      <c r="B128" s="2" t="s">
        <v>77</v>
      </c>
      <c r="C128" s="3" t="s">
        <v>132</v>
      </c>
      <c r="D128" s="3" t="s">
        <v>133</v>
      </c>
      <c r="E128" s="3" t="s">
        <v>134</v>
      </c>
      <c r="F128" s="3" t="s">
        <v>145</v>
      </c>
      <c r="G128" s="4"/>
      <c r="H128" s="4" t="e">
        <f>INDEX(#REF!,MATCH(셀트리온제약!$F128,#REF!,0),MATCH(셀트리온제약!$B128,#REF!,0))</f>
        <v>#REF!</v>
      </c>
      <c r="I128" s="4" t="e">
        <f t="shared" si="13"/>
        <v>#REF!</v>
      </c>
      <c r="J128" s="21" t="e">
        <f t="shared" si="14"/>
        <v>#REF!</v>
      </c>
      <c r="L128" s="10"/>
    </row>
    <row r="129" spans="2:12" hidden="1" x14ac:dyDescent="0.4">
      <c r="B129" s="2" t="s">
        <v>77</v>
      </c>
      <c r="C129" s="3" t="s">
        <v>132</v>
      </c>
      <c r="D129" s="3" t="s">
        <v>133</v>
      </c>
      <c r="E129" s="3" t="s">
        <v>134</v>
      </c>
      <c r="F129" s="3" t="s">
        <v>146</v>
      </c>
      <c r="G129" s="4"/>
      <c r="H129" s="4" t="e">
        <f>INDEX(#REF!,MATCH(셀트리온제약!$F129,#REF!,0),MATCH(셀트리온제약!$B129,#REF!,0))</f>
        <v>#REF!</v>
      </c>
      <c r="I129" s="4" t="e">
        <f t="shared" si="13"/>
        <v>#REF!</v>
      </c>
      <c r="J129" s="21" t="e">
        <f t="shared" si="14"/>
        <v>#REF!</v>
      </c>
      <c r="L129" s="10"/>
    </row>
    <row r="130" spans="2:12" hidden="1" x14ac:dyDescent="0.4">
      <c r="B130" s="2" t="s">
        <v>77</v>
      </c>
      <c r="C130" s="3" t="s">
        <v>132</v>
      </c>
      <c r="D130" s="3" t="s">
        <v>133</v>
      </c>
      <c r="E130" s="3" t="s">
        <v>134</v>
      </c>
      <c r="F130" s="3" t="s">
        <v>525</v>
      </c>
      <c r="G130" s="4"/>
      <c r="H130" s="4" t="e">
        <f>INDEX(#REF!,MATCH(셀트리온제약!$F130,#REF!,0),MATCH(셀트리온제약!$B130,#REF!,0))</f>
        <v>#REF!</v>
      </c>
      <c r="I130" s="4" t="e">
        <f t="shared" si="13"/>
        <v>#REF!</v>
      </c>
      <c r="J130" s="21" t="e">
        <f t="shared" si="14"/>
        <v>#REF!</v>
      </c>
      <c r="L130" s="10"/>
    </row>
    <row r="131" spans="2:12" hidden="1" x14ac:dyDescent="0.4">
      <c r="B131" s="2" t="s">
        <v>77</v>
      </c>
      <c r="C131" s="3" t="s">
        <v>132</v>
      </c>
      <c r="D131" s="3" t="s">
        <v>133</v>
      </c>
      <c r="E131" s="3" t="s">
        <v>526</v>
      </c>
      <c r="F131" s="3" t="s">
        <v>362</v>
      </c>
      <c r="G131" s="4"/>
      <c r="H131" s="4" t="e">
        <f>INDEX(#REF!,MATCH(셀트리온제약!$F131,#REF!,0),MATCH(셀트리온제약!$B131,#REF!,0))</f>
        <v>#REF!</v>
      </c>
      <c r="I131" s="4" t="e">
        <f t="shared" si="13"/>
        <v>#REF!</v>
      </c>
      <c r="J131" s="21" t="e">
        <f t="shared" si="14"/>
        <v>#REF!</v>
      </c>
      <c r="L131" s="10"/>
    </row>
    <row r="132" spans="2:12" ht="18" hidden="1" thickBot="1" x14ac:dyDescent="0.45">
      <c r="B132" s="12" t="s">
        <v>77</v>
      </c>
      <c r="C132" s="477" t="s">
        <v>132</v>
      </c>
      <c r="D132" s="477" t="s">
        <v>133</v>
      </c>
      <c r="E132" s="477" t="s">
        <v>526</v>
      </c>
      <c r="F132" s="477" t="s">
        <v>366</v>
      </c>
      <c r="G132" s="478"/>
      <c r="H132" s="478" t="e">
        <f>INDEX(#REF!,MATCH(셀트리온제약!$F132,#REF!,0),MATCH(셀트리온제약!$B132,#REF!,0))</f>
        <v>#REF!</v>
      </c>
      <c r="I132" s="478" t="e">
        <f t="shared" si="13"/>
        <v>#REF!</v>
      </c>
      <c r="J132" s="479" t="e">
        <f t="shared" si="14"/>
        <v>#REF!</v>
      </c>
      <c r="L132" s="10"/>
    </row>
    <row r="133" spans="2:12" hidden="1" x14ac:dyDescent="0.4">
      <c r="B133" s="7" t="s">
        <v>165</v>
      </c>
      <c r="C133" s="8" t="s">
        <v>132</v>
      </c>
      <c r="D133" s="8" t="s">
        <v>133</v>
      </c>
      <c r="E133" s="8" t="s">
        <v>314</v>
      </c>
      <c r="F133" s="8" t="s">
        <v>315</v>
      </c>
      <c r="G133" s="9"/>
      <c r="H133" s="9" t="e">
        <f>INDEX(#REF!,MATCH(셀트리온제약!$F133,#REF!,0),MATCH(셀트리온제약!$B133,#REF!,0))</f>
        <v>#REF!</v>
      </c>
      <c r="I133" s="9" t="e">
        <f t="shared" si="13"/>
        <v>#REF!</v>
      </c>
      <c r="J133" s="20" t="e">
        <f>+G133/H133</f>
        <v>#REF!</v>
      </c>
      <c r="L133" s="10"/>
    </row>
    <row r="134" spans="2:12" hidden="1" x14ac:dyDescent="0.4">
      <c r="B134" s="2" t="s">
        <v>165</v>
      </c>
      <c r="C134" s="3" t="s">
        <v>132</v>
      </c>
      <c r="D134" s="3" t="s">
        <v>133</v>
      </c>
      <c r="E134" s="3" t="s">
        <v>314</v>
      </c>
      <c r="F134" s="3" t="s">
        <v>521</v>
      </c>
      <c r="G134" s="11"/>
      <c r="H134" s="11" t="e">
        <f>INDEX(#REF!,MATCH(셀트리온제약!$F134,#REF!,0),MATCH(셀트리온제약!$B134,#REF!,0))</f>
        <v>#REF!</v>
      </c>
      <c r="I134" s="11" t="e">
        <f t="shared" si="13"/>
        <v>#REF!</v>
      </c>
      <c r="J134" s="21" t="e">
        <f t="shared" ref="J134:J154" si="15">+G134/H134</f>
        <v>#REF!</v>
      </c>
      <c r="L134" s="10"/>
    </row>
    <row r="135" spans="2:12" hidden="1" x14ac:dyDescent="0.4">
      <c r="B135" s="2" t="s">
        <v>165</v>
      </c>
      <c r="C135" s="3" t="s">
        <v>132</v>
      </c>
      <c r="D135" s="3" t="s">
        <v>133</v>
      </c>
      <c r="E135" s="3" t="s">
        <v>314</v>
      </c>
      <c r="F135" s="3" t="s">
        <v>88</v>
      </c>
      <c r="G135" s="11"/>
      <c r="H135" s="11" t="e">
        <f>INDEX(#REF!,MATCH(셀트리온제약!$F135,#REF!,0),MATCH(셀트리온제약!$B135,#REF!,0))</f>
        <v>#REF!</v>
      </c>
      <c r="I135" s="11" t="e">
        <f t="shared" si="13"/>
        <v>#REF!</v>
      </c>
      <c r="J135" s="21" t="e">
        <f t="shared" si="15"/>
        <v>#REF!</v>
      </c>
      <c r="L135" s="10"/>
    </row>
    <row r="136" spans="2:12" hidden="1" x14ac:dyDescent="0.4">
      <c r="B136" s="2" t="s">
        <v>165</v>
      </c>
      <c r="C136" s="3" t="s">
        <v>132</v>
      </c>
      <c r="D136" s="3" t="s">
        <v>133</v>
      </c>
      <c r="E136" s="3" t="s">
        <v>342</v>
      </c>
      <c r="F136" s="3" t="s">
        <v>344</v>
      </c>
      <c r="G136" s="11"/>
      <c r="H136" s="11" t="e">
        <f>INDEX(#REF!,MATCH(셀트리온제약!$F136,#REF!,0),MATCH(셀트리온제약!$B136,#REF!,0))</f>
        <v>#REF!</v>
      </c>
      <c r="I136" s="11" t="e">
        <f t="shared" si="13"/>
        <v>#REF!</v>
      </c>
      <c r="J136" s="21" t="e">
        <f t="shared" si="15"/>
        <v>#REF!</v>
      </c>
      <c r="L136" s="10"/>
    </row>
    <row r="137" spans="2:12" hidden="1" x14ac:dyDescent="0.4">
      <c r="B137" s="2" t="s">
        <v>165</v>
      </c>
      <c r="C137" s="3" t="s">
        <v>132</v>
      </c>
      <c r="D137" s="3" t="s">
        <v>133</v>
      </c>
      <c r="E137" s="3" t="s">
        <v>342</v>
      </c>
      <c r="F137" s="3" t="s">
        <v>345</v>
      </c>
      <c r="G137" s="11"/>
      <c r="H137" s="11" t="e">
        <f>INDEX(#REF!,MATCH(셀트리온제약!$F137,#REF!,0),MATCH(셀트리온제약!$B137,#REF!,0))</f>
        <v>#REF!</v>
      </c>
      <c r="I137" s="11" t="e">
        <f t="shared" si="13"/>
        <v>#REF!</v>
      </c>
      <c r="J137" s="21" t="e">
        <f t="shared" si="15"/>
        <v>#REF!</v>
      </c>
      <c r="L137" s="10"/>
    </row>
    <row r="138" spans="2:12" hidden="1" x14ac:dyDescent="0.4">
      <c r="B138" s="2" t="s">
        <v>165</v>
      </c>
      <c r="C138" s="3" t="s">
        <v>132</v>
      </c>
      <c r="D138" s="3" t="s">
        <v>133</v>
      </c>
      <c r="E138" s="3" t="s">
        <v>342</v>
      </c>
      <c r="F138" s="3" t="s">
        <v>350</v>
      </c>
      <c r="G138" s="11"/>
      <c r="H138" s="11" t="e">
        <f>INDEX(#REF!,MATCH(셀트리온제약!$F138,#REF!,0),MATCH(셀트리온제약!$B138,#REF!,0))</f>
        <v>#REF!</v>
      </c>
      <c r="I138" s="11" t="e">
        <f t="shared" si="13"/>
        <v>#REF!</v>
      </c>
      <c r="J138" s="21" t="e">
        <f t="shared" si="15"/>
        <v>#REF!</v>
      </c>
      <c r="L138" s="10"/>
    </row>
    <row r="139" spans="2:12" hidden="1" x14ac:dyDescent="0.4">
      <c r="B139" s="2" t="s">
        <v>165</v>
      </c>
      <c r="C139" s="3" t="s">
        <v>132</v>
      </c>
      <c r="D139" s="3" t="s">
        <v>133</v>
      </c>
      <c r="E139" s="3" t="s">
        <v>342</v>
      </c>
      <c r="F139" s="3" t="s">
        <v>346</v>
      </c>
      <c r="G139" s="4"/>
      <c r="H139" s="4" t="e">
        <f>INDEX(#REF!,MATCH(셀트리온제약!$F139,#REF!,0),MATCH(셀트리온제약!$B139,#REF!,0))</f>
        <v>#REF!</v>
      </c>
      <c r="I139" s="4" t="e">
        <f t="shared" si="13"/>
        <v>#REF!</v>
      </c>
      <c r="J139" s="21" t="e">
        <f t="shared" si="15"/>
        <v>#REF!</v>
      </c>
      <c r="L139" s="10"/>
    </row>
    <row r="140" spans="2:12" hidden="1" x14ac:dyDescent="0.4">
      <c r="B140" s="2" t="s">
        <v>165</v>
      </c>
      <c r="C140" s="3" t="s">
        <v>132</v>
      </c>
      <c r="D140" s="3" t="s">
        <v>133</v>
      </c>
      <c r="E140" s="3" t="s">
        <v>342</v>
      </c>
      <c r="F140" s="3" t="s">
        <v>353</v>
      </c>
      <c r="G140" s="11"/>
      <c r="H140" s="11" t="e">
        <f>INDEX(#REF!,MATCH(셀트리온제약!$F140,#REF!,0),MATCH(셀트리온제약!$B140,#REF!,0))</f>
        <v>#REF!</v>
      </c>
      <c r="I140" s="11" t="e">
        <f t="shared" si="13"/>
        <v>#REF!</v>
      </c>
      <c r="J140" s="21" t="e">
        <f t="shared" si="15"/>
        <v>#REF!</v>
      </c>
      <c r="L140" s="10"/>
    </row>
    <row r="141" spans="2:12" hidden="1" x14ac:dyDescent="0.4">
      <c r="B141" s="2" t="s">
        <v>165</v>
      </c>
      <c r="C141" s="3" t="s">
        <v>132</v>
      </c>
      <c r="D141" s="3" t="s">
        <v>133</v>
      </c>
      <c r="E141" s="3" t="s">
        <v>342</v>
      </c>
      <c r="F141" s="3" t="s">
        <v>522</v>
      </c>
      <c r="G141" s="4"/>
      <c r="H141" s="4" t="e">
        <f>INDEX(#REF!,MATCH(셀트리온제약!$F141,#REF!,0),MATCH(셀트리온제약!$B141,#REF!,0))</f>
        <v>#REF!</v>
      </c>
      <c r="I141" s="4" t="e">
        <f t="shared" si="13"/>
        <v>#REF!</v>
      </c>
      <c r="J141" s="21" t="e">
        <f t="shared" si="15"/>
        <v>#REF!</v>
      </c>
      <c r="L141" s="10"/>
    </row>
    <row r="142" spans="2:12" hidden="1" x14ac:dyDescent="0.4">
      <c r="B142" s="2" t="s">
        <v>165</v>
      </c>
      <c r="C142" s="3" t="s">
        <v>132</v>
      </c>
      <c r="D142" s="3" t="s">
        <v>133</v>
      </c>
      <c r="E142" s="3" t="s">
        <v>324</v>
      </c>
      <c r="F142" s="3" t="s">
        <v>324</v>
      </c>
      <c r="G142" s="4"/>
      <c r="H142" s="4" t="e">
        <f>INDEX(#REF!,MATCH(셀트리온제약!$F142,#REF!,0),MATCH(셀트리온제약!$B142,#REF!,0))</f>
        <v>#REF!</v>
      </c>
      <c r="I142" s="4" t="e">
        <f t="shared" si="13"/>
        <v>#REF!</v>
      </c>
      <c r="J142" s="21" t="e">
        <f t="shared" si="15"/>
        <v>#REF!</v>
      </c>
      <c r="L142" s="10"/>
    </row>
    <row r="143" spans="2:12" hidden="1" x14ac:dyDescent="0.4">
      <c r="B143" s="2" t="s">
        <v>165</v>
      </c>
      <c r="C143" s="3" t="s">
        <v>132</v>
      </c>
      <c r="D143" s="3" t="s">
        <v>133</v>
      </c>
      <c r="E143" s="3" t="s">
        <v>335</v>
      </c>
      <c r="F143" s="3" t="s">
        <v>335</v>
      </c>
      <c r="G143" s="4"/>
      <c r="H143" s="4" t="e">
        <f>INDEX(#REF!,MATCH(셀트리온제약!$F143,#REF!,0),MATCH(셀트리온제약!$B143,#REF!,0))</f>
        <v>#REF!</v>
      </c>
      <c r="I143" s="4" t="e">
        <f t="shared" si="13"/>
        <v>#REF!</v>
      </c>
      <c r="J143" s="21" t="e">
        <f t="shared" si="15"/>
        <v>#REF!</v>
      </c>
      <c r="L143" s="10"/>
    </row>
    <row r="144" spans="2:12" hidden="1" x14ac:dyDescent="0.4">
      <c r="B144" s="2" t="s">
        <v>165</v>
      </c>
      <c r="C144" s="3" t="s">
        <v>132</v>
      </c>
      <c r="D144" s="3" t="s">
        <v>133</v>
      </c>
      <c r="E144" s="3" t="s">
        <v>134</v>
      </c>
      <c r="F144" s="3" t="s">
        <v>135</v>
      </c>
      <c r="G144" s="4"/>
      <c r="H144" s="4" t="e">
        <f>INDEX(#REF!,MATCH(셀트리온제약!$F144,#REF!,0),MATCH(셀트리온제약!$B144,#REF!,0))</f>
        <v>#REF!</v>
      </c>
      <c r="I144" s="4" t="e">
        <f t="shared" si="13"/>
        <v>#REF!</v>
      </c>
      <c r="J144" s="21" t="e">
        <f t="shared" si="15"/>
        <v>#REF!</v>
      </c>
      <c r="L144" s="10"/>
    </row>
    <row r="145" spans="2:10" hidden="1" x14ac:dyDescent="0.4">
      <c r="B145" s="2" t="s">
        <v>165</v>
      </c>
      <c r="C145" s="3" t="s">
        <v>132</v>
      </c>
      <c r="D145" s="3" t="s">
        <v>133</v>
      </c>
      <c r="E145" s="3" t="s">
        <v>134</v>
      </c>
      <c r="F145" s="3" t="s">
        <v>136</v>
      </c>
      <c r="G145" s="4"/>
      <c r="H145" s="4" t="e">
        <f>INDEX(#REF!,MATCH(셀트리온제약!$F145,#REF!,0),MATCH(셀트리온제약!$B145,#REF!,0))</f>
        <v>#REF!</v>
      </c>
      <c r="I145" s="4" t="e">
        <f t="shared" si="13"/>
        <v>#REF!</v>
      </c>
      <c r="J145" s="21" t="e">
        <f t="shared" si="15"/>
        <v>#REF!</v>
      </c>
    </row>
    <row r="146" spans="2:10" hidden="1" x14ac:dyDescent="0.4">
      <c r="B146" s="2" t="s">
        <v>165</v>
      </c>
      <c r="C146" s="3" t="s">
        <v>132</v>
      </c>
      <c r="D146" s="3" t="s">
        <v>133</v>
      </c>
      <c r="E146" s="3" t="s">
        <v>134</v>
      </c>
      <c r="F146" s="3" t="s">
        <v>138</v>
      </c>
      <c r="G146" s="4"/>
      <c r="H146" s="4" t="e">
        <f>INDEX(#REF!,MATCH(셀트리온제약!$F146,#REF!,0),MATCH(셀트리온제약!$B146,#REF!,0))</f>
        <v>#REF!</v>
      </c>
      <c r="I146" s="4" t="e">
        <f t="shared" si="13"/>
        <v>#REF!</v>
      </c>
      <c r="J146" s="21" t="e">
        <f t="shared" si="15"/>
        <v>#REF!</v>
      </c>
    </row>
    <row r="147" spans="2:10" hidden="1" x14ac:dyDescent="0.4">
      <c r="B147" s="2" t="s">
        <v>165</v>
      </c>
      <c r="C147" s="3" t="s">
        <v>132</v>
      </c>
      <c r="D147" s="3" t="s">
        <v>133</v>
      </c>
      <c r="E147" s="3" t="s">
        <v>134</v>
      </c>
      <c r="F147" s="3" t="s">
        <v>139</v>
      </c>
      <c r="G147" s="4"/>
      <c r="H147" s="4" t="e">
        <f>INDEX(#REF!,MATCH(셀트리온제약!$F147,#REF!,0),MATCH(셀트리온제약!$B147,#REF!,0))</f>
        <v>#REF!</v>
      </c>
      <c r="I147" s="4" t="e">
        <f t="shared" si="13"/>
        <v>#REF!</v>
      </c>
      <c r="J147" s="21" t="e">
        <f t="shared" si="15"/>
        <v>#REF!</v>
      </c>
    </row>
    <row r="148" spans="2:10" hidden="1" x14ac:dyDescent="0.4">
      <c r="B148" s="2" t="s">
        <v>165</v>
      </c>
      <c r="C148" s="3" t="s">
        <v>132</v>
      </c>
      <c r="D148" s="3" t="s">
        <v>133</v>
      </c>
      <c r="E148" s="3" t="s">
        <v>134</v>
      </c>
      <c r="F148" s="3" t="s">
        <v>140</v>
      </c>
      <c r="G148" s="4"/>
      <c r="H148" s="4" t="e">
        <f>INDEX(#REF!,MATCH(셀트리온제약!$F148,#REF!,0),MATCH(셀트리온제약!$B148,#REF!,0))</f>
        <v>#REF!</v>
      </c>
      <c r="I148" s="4" t="e">
        <f t="shared" si="13"/>
        <v>#REF!</v>
      </c>
      <c r="J148" s="21" t="e">
        <f t="shared" si="15"/>
        <v>#REF!</v>
      </c>
    </row>
    <row r="149" spans="2:10" hidden="1" x14ac:dyDescent="0.4">
      <c r="B149" s="2" t="s">
        <v>165</v>
      </c>
      <c r="C149" s="3" t="s">
        <v>132</v>
      </c>
      <c r="D149" s="3" t="s">
        <v>133</v>
      </c>
      <c r="E149" s="3" t="s">
        <v>134</v>
      </c>
      <c r="F149" s="3" t="s">
        <v>141</v>
      </c>
      <c r="G149" s="4"/>
      <c r="H149" s="4" t="e">
        <f>INDEX(#REF!,MATCH(셀트리온제약!$F149,#REF!,0),MATCH(셀트리온제약!$B149,#REF!,0))</f>
        <v>#REF!</v>
      </c>
      <c r="I149" s="4" t="e">
        <f t="shared" si="13"/>
        <v>#REF!</v>
      </c>
      <c r="J149" s="21" t="e">
        <f t="shared" si="15"/>
        <v>#REF!</v>
      </c>
    </row>
    <row r="150" spans="2:10" hidden="1" x14ac:dyDescent="0.4">
      <c r="B150" s="2" t="s">
        <v>165</v>
      </c>
      <c r="C150" s="3" t="s">
        <v>132</v>
      </c>
      <c r="D150" s="3" t="s">
        <v>133</v>
      </c>
      <c r="E150" s="3" t="s">
        <v>134</v>
      </c>
      <c r="F150" s="3" t="s">
        <v>145</v>
      </c>
      <c r="G150" s="4"/>
      <c r="H150" s="4" t="e">
        <f>INDEX(#REF!,MATCH(셀트리온제약!$F150,#REF!,0),MATCH(셀트리온제약!$B150,#REF!,0))</f>
        <v>#REF!</v>
      </c>
      <c r="I150" s="4" t="e">
        <f t="shared" si="13"/>
        <v>#REF!</v>
      </c>
      <c r="J150" s="21" t="e">
        <f t="shared" si="15"/>
        <v>#REF!</v>
      </c>
    </row>
    <row r="151" spans="2:10" hidden="1" x14ac:dyDescent="0.4">
      <c r="B151" s="2" t="s">
        <v>165</v>
      </c>
      <c r="C151" s="3" t="s">
        <v>132</v>
      </c>
      <c r="D151" s="3" t="s">
        <v>133</v>
      </c>
      <c r="E151" s="3" t="s">
        <v>134</v>
      </c>
      <c r="F151" s="3" t="s">
        <v>146</v>
      </c>
      <c r="G151" s="4"/>
      <c r="H151" s="4" t="e">
        <f>INDEX(#REF!,MATCH(셀트리온제약!$F151,#REF!,0),MATCH(셀트리온제약!$B151,#REF!,0))</f>
        <v>#REF!</v>
      </c>
      <c r="I151" s="4" t="e">
        <f t="shared" si="13"/>
        <v>#REF!</v>
      </c>
      <c r="J151" s="21" t="e">
        <f t="shared" si="15"/>
        <v>#REF!</v>
      </c>
    </row>
    <row r="152" spans="2:10" hidden="1" x14ac:dyDescent="0.4">
      <c r="B152" s="2" t="s">
        <v>165</v>
      </c>
      <c r="C152" s="3" t="s">
        <v>132</v>
      </c>
      <c r="D152" s="3" t="s">
        <v>133</v>
      </c>
      <c r="E152" s="3" t="s">
        <v>134</v>
      </c>
      <c r="F152" s="3" t="s">
        <v>525</v>
      </c>
      <c r="G152" s="4"/>
      <c r="H152" s="4" t="e">
        <f>INDEX(#REF!,MATCH(셀트리온제약!$F152,#REF!,0),MATCH(셀트리온제약!$B152,#REF!,0))</f>
        <v>#REF!</v>
      </c>
      <c r="I152" s="4" t="e">
        <f t="shared" si="13"/>
        <v>#REF!</v>
      </c>
      <c r="J152" s="21" t="e">
        <f t="shared" si="15"/>
        <v>#REF!</v>
      </c>
    </row>
    <row r="153" spans="2:10" hidden="1" x14ac:dyDescent="0.4">
      <c r="B153" s="2" t="s">
        <v>165</v>
      </c>
      <c r="C153" s="3" t="s">
        <v>132</v>
      </c>
      <c r="D153" s="3" t="s">
        <v>133</v>
      </c>
      <c r="E153" s="3" t="s">
        <v>526</v>
      </c>
      <c r="F153" s="3" t="s">
        <v>362</v>
      </c>
      <c r="G153" s="4"/>
      <c r="H153" s="4" t="e">
        <f>INDEX(#REF!,MATCH(셀트리온제약!$F153,#REF!,0),MATCH(셀트리온제약!$B153,#REF!,0))</f>
        <v>#REF!</v>
      </c>
      <c r="I153" s="4" t="e">
        <f t="shared" si="13"/>
        <v>#REF!</v>
      </c>
      <c r="J153" s="21" t="e">
        <f t="shared" si="15"/>
        <v>#REF!</v>
      </c>
    </row>
    <row r="154" spans="2:10" ht="18" hidden="1" thickBot="1" x14ac:dyDescent="0.45">
      <c r="B154" s="13" t="s">
        <v>165</v>
      </c>
      <c r="C154" s="17" t="s">
        <v>132</v>
      </c>
      <c r="D154" s="17" t="s">
        <v>133</v>
      </c>
      <c r="E154" s="17" t="s">
        <v>526</v>
      </c>
      <c r="F154" s="17" t="s">
        <v>366</v>
      </c>
      <c r="G154" s="6"/>
      <c r="H154" s="6" t="e">
        <f>INDEX(#REF!,MATCH(셀트리온제약!$F154,#REF!,0),MATCH(셀트리온제약!$B154,#REF!,0))</f>
        <v>#REF!</v>
      </c>
      <c r="I154" s="6" t="e">
        <f t="shared" si="13"/>
        <v>#REF!</v>
      </c>
      <c r="J154" s="22" t="e">
        <f t="shared" si="15"/>
        <v>#REF!</v>
      </c>
    </row>
    <row r="155" spans="2:10" hidden="1" x14ac:dyDescent="0.4">
      <c r="B155" s="14" t="s">
        <v>100</v>
      </c>
      <c r="C155" s="16" t="s">
        <v>132</v>
      </c>
      <c r="D155" s="16" t="s">
        <v>133</v>
      </c>
      <c r="E155" s="16" t="s">
        <v>314</v>
      </c>
      <c r="F155" s="16" t="s">
        <v>315</v>
      </c>
      <c r="G155" s="19"/>
      <c r="H155" s="19" t="e">
        <f>INDEX(#REF!,MATCH(셀트리온제약!$F155,#REF!,0),MATCH(셀트리온제약!$B155,#REF!,0))</f>
        <v>#REF!</v>
      </c>
      <c r="I155" s="19" t="e">
        <f t="shared" si="13"/>
        <v>#REF!</v>
      </c>
      <c r="J155" s="23" t="e">
        <f>+G155/H155</f>
        <v>#REF!</v>
      </c>
    </row>
    <row r="156" spans="2:10" hidden="1" x14ac:dyDescent="0.4">
      <c r="B156" s="2" t="s">
        <v>100</v>
      </c>
      <c r="C156" s="3" t="s">
        <v>132</v>
      </c>
      <c r="D156" s="3" t="s">
        <v>133</v>
      </c>
      <c r="E156" s="3" t="s">
        <v>314</v>
      </c>
      <c r="F156" s="3" t="s">
        <v>521</v>
      </c>
      <c r="G156" s="11"/>
      <c r="H156" s="11" t="e">
        <f>INDEX(#REF!,MATCH(셀트리온제약!$F156,#REF!,0),MATCH(셀트리온제약!$B156,#REF!,0))</f>
        <v>#REF!</v>
      </c>
      <c r="I156" s="11" t="e">
        <f t="shared" si="13"/>
        <v>#REF!</v>
      </c>
      <c r="J156" s="21" t="e">
        <f t="shared" ref="J156:J176" si="16">+G156/H156</f>
        <v>#REF!</v>
      </c>
    </row>
    <row r="157" spans="2:10" hidden="1" x14ac:dyDescent="0.4">
      <c r="B157" s="2" t="s">
        <v>100</v>
      </c>
      <c r="C157" s="3" t="s">
        <v>132</v>
      </c>
      <c r="D157" s="3" t="s">
        <v>133</v>
      </c>
      <c r="E157" s="3" t="s">
        <v>314</v>
      </c>
      <c r="F157" s="3" t="s">
        <v>88</v>
      </c>
      <c r="G157" s="11"/>
      <c r="H157" s="11" t="e">
        <f>INDEX(#REF!,MATCH(셀트리온제약!$F157,#REF!,0),MATCH(셀트리온제약!$B157,#REF!,0))</f>
        <v>#REF!</v>
      </c>
      <c r="I157" s="11" t="e">
        <f t="shared" si="13"/>
        <v>#REF!</v>
      </c>
      <c r="J157" s="21" t="e">
        <f t="shared" si="16"/>
        <v>#REF!</v>
      </c>
    </row>
    <row r="158" spans="2:10" hidden="1" x14ac:dyDescent="0.4">
      <c r="B158" s="2" t="s">
        <v>100</v>
      </c>
      <c r="C158" s="3" t="s">
        <v>132</v>
      </c>
      <c r="D158" s="3" t="s">
        <v>133</v>
      </c>
      <c r="E158" s="3" t="s">
        <v>342</v>
      </c>
      <c r="F158" s="3" t="s">
        <v>344</v>
      </c>
      <c r="G158" s="11"/>
      <c r="H158" s="11" t="e">
        <f>INDEX(#REF!,MATCH(셀트리온제약!$F158,#REF!,0),MATCH(셀트리온제약!$B158,#REF!,0))</f>
        <v>#REF!</v>
      </c>
      <c r="I158" s="11" t="e">
        <f t="shared" si="13"/>
        <v>#REF!</v>
      </c>
      <c r="J158" s="21" t="e">
        <f t="shared" si="16"/>
        <v>#REF!</v>
      </c>
    </row>
    <row r="159" spans="2:10" hidden="1" x14ac:dyDescent="0.4">
      <c r="B159" s="2" t="s">
        <v>100</v>
      </c>
      <c r="C159" s="3" t="s">
        <v>132</v>
      </c>
      <c r="D159" s="3" t="s">
        <v>133</v>
      </c>
      <c r="E159" s="3" t="s">
        <v>342</v>
      </c>
      <c r="F159" s="3" t="s">
        <v>345</v>
      </c>
      <c r="G159" s="11"/>
      <c r="H159" s="11" t="e">
        <f>INDEX(#REF!,MATCH(셀트리온제약!$F159,#REF!,0),MATCH(셀트리온제약!$B159,#REF!,0))</f>
        <v>#REF!</v>
      </c>
      <c r="I159" s="11" t="e">
        <f t="shared" si="13"/>
        <v>#REF!</v>
      </c>
      <c r="J159" s="21" t="e">
        <f t="shared" si="16"/>
        <v>#REF!</v>
      </c>
    </row>
    <row r="160" spans="2:10" hidden="1" x14ac:dyDescent="0.4">
      <c r="B160" s="2" t="s">
        <v>100</v>
      </c>
      <c r="C160" s="3" t="s">
        <v>132</v>
      </c>
      <c r="D160" s="3" t="s">
        <v>133</v>
      </c>
      <c r="E160" s="3" t="s">
        <v>342</v>
      </c>
      <c r="F160" s="3" t="s">
        <v>350</v>
      </c>
      <c r="G160" s="11"/>
      <c r="H160" s="11" t="e">
        <f>INDEX(#REF!,MATCH(셀트리온제약!$F160,#REF!,0),MATCH(셀트리온제약!$B160,#REF!,0))</f>
        <v>#REF!</v>
      </c>
      <c r="I160" s="11" t="e">
        <f t="shared" si="13"/>
        <v>#REF!</v>
      </c>
      <c r="J160" s="21" t="e">
        <f t="shared" si="16"/>
        <v>#REF!</v>
      </c>
    </row>
    <row r="161" spans="2:10" hidden="1" x14ac:dyDescent="0.4">
      <c r="B161" s="2" t="s">
        <v>100</v>
      </c>
      <c r="C161" s="3" t="s">
        <v>132</v>
      </c>
      <c r="D161" s="3" t="s">
        <v>133</v>
      </c>
      <c r="E161" s="3" t="s">
        <v>342</v>
      </c>
      <c r="F161" s="3" t="s">
        <v>346</v>
      </c>
      <c r="G161" s="4"/>
      <c r="H161" s="4" t="e">
        <f>INDEX(#REF!,MATCH(셀트리온제약!$F161,#REF!,0),MATCH(셀트리온제약!$B161,#REF!,0))</f>
        <v>#REF!</v>
      </c>
      <c r="I161" s="4" t="e">
        <f t="shared" si="13"/>
        <v>#REF!</v>
      </c>
      <c r="J161" s="21" t="e">
        <f t="shared" si="16"/>
        <v>#REF!</v>
      </c>
    </row>
    <row r="162" spans="2:10" hidden="1" x14ac:dyDescent="0.4">
      <c r="B162" s="2" t="s">
        <v>100</v>
      </c>
      <c r="C162" s="3" t="s">
        <v>132</v>
      </c>
      <c r="D162" s="3" t="s">
        <v>133</v>
      </c>
      <c r="E162" s="3" t="s">
        <v>342</v>
      </c>
      <c r="F162" s="3" t="s">
        <v>353</v>
      </c>
      <c r="G162" s="11"/>
      <c r="H162" s="11" t="e">
        <f>INDEX(#REF!,MATCH(셀트리온제약!$F162,#REF!,0),MATCH(셀트리온제약!$B162,#REF!,0))</f>
        <v>#REF!</v>
      </c>
      <c r="I162" s="11" t="e">
        <f t="shared" si="13"/>
        <v>#REF!</v>
      </c>
      <c r="J162" s="21" t="e">
        <f t="shared" si="16"/>
        <v>#REF!</v>
      </c>
    </row>
    <row r="163" spans="2:10" hidden="1" x14ac:dyDescent="0.4">
      <c r="B163" s="2" t="s">
        <v>100</v>
      </c>
      <c r="C163" s="3" t="s">
        <v>132</v>
      </c>
      <c r="D163" s="3" t="s">
        <v>133</v>
      </c>
      <c r="E163" s="3" t="s">
        <v>342</v>
      </c>
      <c r="F163" s="3" t="s">
        <v>522</v>
      </c>
      <c r="G163" s="4"/>
      <c r="H163" s="4" t="e">
        <f>INDEX(#REF!,MATCH(셀트리온제약!$F163,#REF!,0),MATCH(셀트리온제약!$B163,#REF!,0))</f>
        <v>#REF!</v>
      </c>
      <c r="I163" s="4" t="e">
        <f t="shared" si="13"/>
        <v>#REF!</v>
      </c>
      <c r="J163" s="21" t="e">
        <f t="shared" si="16"/>
        <v>#REF!</v>
      </c>
    </row>
    <row r="164" spans="2:10" hidden="1" x14ac:dyDescent="0.4">
      <c r="B164" s="2" t="s">
        <v>100</v>
      </c>
      <c r="C164" s="3" t="s">
        <v>132</v>
      </c>
      <c r="D164" s="3" t="s">
        <v>133</v>
      </c>
      <c r="E164" s="3" t="s">
        <v>324</v>
      </c>
      <c r="F164" s="3" t="s">
        <v>324</v>
      </c>
      <c r="G164" s="4"/>
      <c r="H164" s="4" t="e">
        <f>INDEX(#REF!,MATCH(셀트리온제약!$F164,#REF!,0),MATCH(셀트리온제약!$B164,#REF!,0))</f>
        <v>#REF!</v>
      </c>
      <c r="I164" s="4" t="e">
        <f t="shared" si="13"/>
        <v>#REF!</v>
      </c>
      <c r="J164" s="21" t="e">
        <f t="shared" si="16"/>
        <v>#REF!</v>
      </c>
    </row>
    <row r="165" spans="2:10" hidden="1" x14ac:dyDescent="0.4">
      <c r="B165" s="2" t="s">
        <v>100</v>
      </c>
      <c r="C165" s="3" t="s">
        <v>132</v>
      </c>
      <c r="D165" s="3" t="s">
        <v>133</v>
      </c>
      <c r="E165" s="3" t="s">
        <v>335</v>
      </c>
      <c r="F165" s="3" t="s">
        <v>335</v>
      </c>
      <c r="G165" s="4"/>
      <c r="H165" s="4" t="e">
        <f>INDEX(#REF!,MATCH(셀트리온제약!$F165,#REF!,0),MATCH(셀트리온제약!$B165,#REF!,0))</f>
        <v>#REF!</v>
      </c>
      <c r="I165" s="4" t="e">
        <f t="shared" si="13"/>
        <v>#REF!</v>
      </c>
      <c r="J165" s="21" t="e">
        <f t="shared" si="16"/>
        <v>#REF!</v>
      </c>
    </row>
    <row r="166" spans="2:10" hidden="1" x14ac:dyDescent="0.4">
      <c r="B166" s="2" t="s">
        <v>100</v>
      </c>
      <c r="C166" s="3" t="s">
        <v>132</v>
      </c>
      <c r="D166" s="3" t="s">
        <v>133</v>
      </c>
      <c r="E166" s="3" t="s">
        <v>134</v>
      </c>
      <c r="F166" s="3" t="s">
        <v>135</v>
      </c>
      <c r="G166" s="4"/>
      <c r="H166" s="4" t="e">
        <f>INDEX(#REF!,MATCH(셀트리온제약!$F166,#REF!,0),MATCH(셀트리온제약!$B166,#REF!,0))</f>
        <v>#REF!</v>
      </c>
      <c r="I166" s="4" t="e">
        <f t="shared" si="13"/>
        <v>#REF!</v>
      </c>
      <c r="J166" s="21" t="e">
        <f t="shared" si="16"/>
        <v>#REF!</v>
      </c>
    </row>
    <row r="167" spans="2:10" hidden="1" x14ac:dyDescent="0.4">
      <c r="B167" s="2" t="s">
        <v>100</v>
      </c>
      <c r="C167" s="3" t="s">
        <v>132</v>
      </c>
      <c r="D167" s="3" t="s">
        <v>133</v>
      </c>
      <c r="E167" s="3" t="s">
        <v>134</v>
      </c>
      <c r="F167" s="3" t="s">
        <v>136</v>
      </c>
      <c r="G167" s="4"/>
      <c r="H167" s="4" t="e">
        <f>INDEX(#REF!,MATCH(셀트리온제약!$F167,#REF!,0),MATCH(셀트리온제약!$B167,#REF!,0))</f>
        <v>#REF!</v>
      </c>
      <c r="I167" s="4" t="e">
        <f t="shared" si="13"/>
        <v>#REF!</v>
      </c>
      <c r="J167" s="21" t="e">
        <f t="shared" si="16"/>
        <v>#REF!</v>
      </c>
    </row>
    <row r="168" spans="2:10" hidden="1" x14ac:dyDescent="0.4">
      <c r="B168" s="2" t="s">
        <v>100</v>
      </c>
      <c r="C168" s="3" t="s">
        <v>132</v>
      </c>
      <c r="D168" s="3" t="s">
        <v>133</v>
      </c>
      <c r="E168" s="3" t="s">
        <v>134</v>
      </c>
      <c r="F168" s="3" t="s">
        <v>138</v>
      </c>
      <c r="G168" s="4"/>
      <c r="H168" s="4" t="e">
        <f>INDEX(#REF!,MATCH(셀트리온제약!$F168,#REF!,0),MATCH(셀트리온제약!$B168,#REF!,0))</f>
        <v>#REF!</v>
      </c>
      <c r="I168" s="4" t="e">
        <f t="shared" si="13"/>
        <v>#REF!</v>
      </c>
      <c r="J168" s="21" t="e">
        <f t="shared" si="16"/>
        <v>#REF!</v>
      </c>
    </row>
    <row r="169" spans="2:10" hidden="1" x14ac:dyDescent="0.4">
      <c r="B169" s="2" t="s">
        <v>100</v>
      </c>
      <c r="C169" s="3" t="s">
        <v>132</v>
      </c>
      <c r="D169" s="3" t="s">
        <v>133</v>
      </c>
      <c r="E169" s="3" t="s">
        <v>134</v>
      </c>
      <c r="F169" s="3" t="s">
        <v>139</v>
      </c>
      <c r="G169" s="4"/>
      <c r="H169" s="4" t="e">
        <f>INDEX(#REF!,MATCH(셀트리온제약!$F169,#REF!,0),MATCH(셀트리온제약!$B169,#REF!,0))</f>
        <v>#REF!</v>
      </c>
      <c r="I169" s="4" t="e">
        <f t="shared" si="13"/>
        <v>#REF!</v>
      </c>
      <c r="J169" s="21" t="e">
        <f t="shared" si="16"/>
        <v>#REF!</v>
      </c>
    </row>
    <row r="170" spans="2:10" hidden="1" x14ac:dyDescent="0.4">
      <c r="B170" s="2" t="s">
        <v>100</v>
      </c>
      <c r="C170" s="3" t="s">
        <v>132</v>
      </c>
      <c r="D170" s="3" t="s">
        <v>133</v>
      </c>
      <c r="E170" s="3" t="s">
        <v>134</v>
      </c>
      <c r="F170" s="3" t="s">
        <v>140</v>
      </c>
      <c r="G170" s="4"/>
      <c r="H170" s="4" t="e">
        <f>INDEX(#REF!,MATCH(셀트리온제약!$F170,#REF!,0),MATCH(셀트리온제약!$B170,#REF!,0))</f>
        <v>#REF!</v>
      </c>
      <c r="I170" s="4" t="e">
        <f t="shared" si="13"/>
        <v>#REF!</v>
      </c>
      <c r="J170" s="21" t="e">
        <f t="shared" si="16"/>
        <v>#REF!</v>
      </c>
    </row>
    <row r="171" spans="2:10" hidden="1" x14ac:dyDescent="0.4">
      <c r="B171" s="2" t="s">
        <v>100</v>
      </c>
      <c r="C171" s="3" t="s">
        <v>132</v>
      </c>
      <c r="D171" s="3" t="s">
        <v>133</v>
      </c>
      <c r="E171" s="3" t="s">
        <v>134</v>
      </c>
      <c r="F171" s="3" t="s">
        <v>141</v>
      </c>
      <c r="G171" s="4"/>
      <c r="H171" s="4" t="e">
        <f>INDEX(#REF!,MATCH(셀트리온제약!$F171,#REF!,0),MATCH(셀트리온제약!$B171,#REF!,0))</f>
        <v>#REF!</v>
      </c>
      <c r="I171" s="4" t="e">
        <f t="shared" si="13"/>
        <v>#REF!</v>
      </c>
      <c r="J171" s="21" t="e">
        <f t="shared" si="16"/>
        <v>#REF!</v>
      </c>
    </row>
    <row r="172" spans="2:10" hidden="1" x14ac:dyDescent="0.4">
      <c r="B172" s="2" t="s">
        <v>100</v>
      </c>
      <c r="C172" s="3" t="s">
        <v>132</v>
      </c>
      <c r="D172" s="3" t="s">
        <v>133</v>
      </c>
      <c r="E172" s="3" t="s">
        <v>134</v>
      </c>
      <c r="F172" s="3" t="s">
        <v>145</v>
      </c>
      <c r="G172" s="4"/>
      <c r="H172" s="4" t="e">
        <f>INDEX(#REF!,MATCH(셀트리온제약!$F172,#REF!,0),MATCH(셀트리온제약!$B172,#REF!,0))</f>
        <v>#REF!</v>
      </c>
      <c r="I172" s="4" t="e">
        <f t="shared" ref="I172:I235" si="17">H172</f>
        <v>#REF!</v>
      </c>
      <c r="J172" s="21" t="e">
        <f t="shared" si="16"/>
        <v>#REF!</v>
      </c>
    </row>
    <row r="173" spans="2:10" hidden="1" x14ac:dyDescent="0.4">
      <c r="B173" s="2" t="s">
        <v>100</v>
      </c>
      <c r="C173" s="3" t="s">
        <v>132</v>
      </c>
      <c r="D173" s="3" t="s">
        <v>133</v>
      </c>
      <c r="E173" s="3" t="s">
        <v>134</v>
      </c>
      <c r="F173" s="3" t="s">
        <v>146</v>
      </c>
      <c r="G173" s="4"/>
      <c r="H173" s="4" t="e">
        <f>INDEX(#REF!,MATCH(셀트리온제약!$F173,#REF!,0),MATCH(셀트리온제약!$B173,#REF!,0))</f>
        <v>#REF!</v>
      </c>
      <c r="I173" s="4" t="e">
        <f t="shared" si="17"/>
        <v>#REF!</v>
      </c>
      <c r="J173" s="21" t="e">
        <f t="shared" si="16"/>
        <v>#REF!</v>
      </c>
    </row>
    <row r="174" spans="2:10" hidden="1" x14ac:dyDescent="0.4">
      <c r="B174" s="2" t="s">
        <v>100</v>
      </c>
      <c r="C174" s="3" t="s">
        <v>132</v>
      </c>
      <c r="D174" s="3" t="s">
        <v>133</v>
      </c>
      <c r="E174" s="3" t="s">
        <v>134</v>
      </c>
      <c r="F174" s="3" t="s">
        <v>525</v>
      </c>
      <c r="G174" s="4"/>
      <c r="H174" s="4" t="e">
        <f>INDEX(#REF!,MATCH(셀트리온제약!$F174,#REF!,0),MATCH(셀트리온제약!$B174,#REF!,0))</f>
        <v>#REF!</v>
      </c>
      <c r="I174" s="4" t="e">
        <f t="shared" si="17"/>
        <v>#REF!</v>
      </c>
      <c r="J174" s="21" t="e">
        <f t="shared" si="16"/>
        <v>#REF!</v>
      </c>
    </row>
    <row r="175" spans="2:10" hidden="1" x14ac:dyDescent="0.4">
      <c r="B175" s="2" t="s">
        <v>100</v>
      </c>
      <c r="C175" s="3" t="s">
        <v>132</v>
      </c>
      <c r="D175" s="3" t="s">
        <v>133</v>
      </c>
      <c r="E175" s="3" t="s">
        <v>526</v>
      </c>
      <c r="F175" s="3" t="s">
        <v>362</v>
      </c>
      <c r="G175" s="4"/>
      <c r="H175" s="4" t="e">
        <f>INDEX(#REF!,MATCH(셀트리온제약!$F175,#REF!,0),MATCH(셀트리온제약!$B175,#REF!,0))</f>
        <v>#REF!</v>
      </c>
      <c r="I175" s="4" t="e">
        <f t="shared" si="17"/>
        <v>#REF!</v>
      </c>
      <c r="J175" s="21" t="e">
        <f t="shared" si="16"/>
        <v>#REF!</v>
      </c>
    </row>
    <row r="176" spans="2:10" ht="18" hidden="1" thickBot="1" x14ac:dyDescent="0.45">
      <c r="B176" s="12" t="s">
        <v>100</v>
      </c>
      <c r="C176" s="477" t="s">
        <v>132</v>
      </c>
      <c r="D176" s="477" t="s">
        <v>133</v>
      </c>
      <c r="E176" s="477" t="s">
        <v>526</v>
      </c>
      <c r="F176" s="477" t="s">
        <v>366</v>
      </c>
      <c r="G176" s="478"/>
      <c r="H176" s="478" t="e">
        <f>INDEX(#REF!,MATCH(셀트리온제약!$F176,#REF!,0),MATCH(셀트리온제약!$B176,#REF!,0))</f>
        <v>#REF!</v>
      </c>
      <c r="I176" s="478" t="e">
        <f t="shared" si="17"/>
        <v>#REF!</v>
      </c>
      <c r="J176" s="479" t="e">
        <f t="shared" si="16"/>
        <v>#REF!</v>
      </c>
    </row>
    <row r="177" spans="2:12" hidden="1" x14ac:dyDescent="0.4">
      <c r="B177" s="7" t="s">
        <v>174</v>
      </c>
      <c r="C177" s="8" t="s">
        <v>132</v>
      </c>
      <c r="D177" s="8" t="s">
        <v>133</v>
      </c>
      <c r="E177" s="8" t="s">
        <v>314</v>
      </c>
      <c r="F177" s="8" t="s">
        <v>315</v>
      </c>
      <c r="G177" s="9"/>
      <c r="H177" s="9" t="e">
        <f>INDEX(#REF!,MATCH(셀트리온제약!$F177,#REF!,0),MATCH(셀트리온제약!$B177,#REF!,0))</f>
        <v>#REF!</v>
      </c>
      <c r="I177" s="9" t="e">
        <f t="shared" si="17"/>
        <v>#REF!</v>
      </c>
      <c r="J177" s="20" t="e">
        <f>+G177/H177</f>
        <v>#REF!</v>
      </c>
    </row>
    <row r="178" spans="2:12" hidden="1" x14ac:dyDescent="0.4">
      <c r="B178" s="2" t="s">
        <v>174</v>
      </c>
      <c r="C178" s="3" t="s">
        <v>132</v>
      </c>
      <c r="D178" s="3" t="s">
        <v>133</v>
      </c>
      <c r="E178" s="3" t="s">
        <v>314</v>
      </c>
      <c r="F178" s="3" t="s">
        <v>521</v>
      </c>
      <c r="G178" s="11"/>
      <c r="H178" s="11" t="e">
        <f>INDEX(#REF!,MATCH(셀트리온제약!$F178,#REF!,0),MATCH(셀트리온제약!$B178,#REF!,0))</f>
        <v>#REF!</v>
      </c>
      <c r="I178" s="11" t="e">
        <f t="shared" si="17"/>
        <v>#REF!</v>
      </c>
      <c r="J178" s="21" t="e">
        <f t="shared" ref="J178:J198" si="18">+G178/H178</f>
        <v>#REF!</v>
      </c>
    </row>
    <row r="179" spans="2:12" hidden="1" x14ac:dyDescent="0.4">
      <c r="B179" s="2" t="s">
        <v>174</v>
      </c>
      <c r="C179" s="3" t="s">
        <v>132</v>
      </c>
      <c r="D179" s="3" t="s">
        <v>133</v>
      </c>
      <c r="E179" s="3" t="s">
        <v>314</v>
      </c>
      <c r="F179" s="3" t="s">
        <v>88</v>
      </c>
      <c r="G179" s="11"/>
      <c r="H179" s="11" t="e">
        <f>INDEX(#REF!,MATCH(셀트리온제약!$F179,#REF!,0),MATCH(셀트리온제약!$B179,#REF!,0))</f>
        <v>#REF!</v>
      </c>
      <c r="I179" s="11" t="e">
        <f t="shared" si="17"/>
        <v>#REF!</v>
      </c>
      <c r="J179" s="21" t="e">
        <f t="shared" si="18"/>
        <v>#REF!</v>
      </c>
    </row>
    <row r="180" spans="2:12" hidden="1" x14ac:dyDescent="0.4">
      <c r="B180" s="2" t="s">
        <v>174</v>
      </c>
      <c r="C180" s="3" t="s">
        <v>132</v>
      </c>
      <c r="D180" s="3" t="s">
        <v>133</v>
      </c>
      <c r="E180" s="3" t="s">
        <v>342</v>
      </c>
      <c r="F180" s="3" t="s">
        <v>344</v>
      </c>
      <c r="G180" s="11"/>
      <c r="H180" s="11" t="e">
        <f>INDEX(#REF!,MATCH(셀트리온제약!$F180,#REF!,0),MATCH(셀트리온제약!$B180,#REF!,0))</f>
        <v>#REF!</v>
      </c>
      <c r="I180" s="11" t="e">
        <f t="shared" si="17"/>
        <v>#REF!</v>
      </c>
      <c r="J180" s="21" t="e">
        <f t="shared" si="18"/>
        <v>#REF!</v>
      </c>
    </row>
    <row r="181" spans="2:12" hidden="1" x14ac:dyDescent="0.4">
      <c r="B181" s="2" t="s">
        <v>174</v>
      </c>
      <c r="C181" s="3" t="s">
        <v>132</v>
      </c>
      <c r="D181" s="3" t="s">
        <v>133</v>
      </c>
      <c r="E181" s="3" t="s">
        <v>342</v>
      </c>
      <c r="F181" s="3" t="s">
        <v>345</v>
      </c>
      <c r="G181" s="11"/>
      <c r="H181" s="11" t="e">
        <f>INDEX(#REF!,MATCH(셀트리온제약!$F181,#REF!,0),MATCH(셀트리온제약!$B181,#REF!,0))</f>
        <v>#REF!</v>
      </c>
      <c r="I181" s="11" t="e">
        <f t="shared" si="17"/>
        <v>#REF!</v>
      </c>
      <c r="J181" s="21" t="e">
        <f t="shared" si="18"/>
        <v>#REF!</v>
      </c>
    </row>
    <row r="182" spans="2:12" hidden="1" x14ac:dyDescent="0.4">
      <c r="B182" s="2" t="s">
        <v>174</v>
      </c>
      <c r="C182" s="3" t="s">
        <v>132</v>
      </c>
      <c r="D182" s="3" t="s">
        <v>133</v>
      </c>
      <c r="E182" s="3" t="s">
        <v>342</v>
      </c>
      <c r="F182" s="3" t="s">
        <v>350</v>
      </c>
      <c r="G182" s="11"/>
      <c r="H182" s="11" t="e">
        <f>INDEX(#REF!,MATCH(셀트리온제약!$F182,#REF!,0),MATCH(셀트리온제약!$B182,#REF!,0))</f>
        <v>#REF!</v>
      </c>
      <c r="I182" s="11" t="e">
        <f t="shared" si="17"/>
        <v>#REF!</v>
      </c>
      <c r="J182" s="21" t="e">
        <f t="shared" si="18"/>
        <v>#REF!</v>
      </c>
    </row>
    <row r="183" spans="2:12" hidden="1" x14ac:dyDescent="0.4">
      <c r="B183" s="2" t="s">
        <v>174</v>
      </c>
      <c r="C183" s="3" t="s">
        <v>132</v>
      </c>
      <c r="D183" s="3" t="s">
        <v>133</v>
      </c>
      <c r="E183" s="3" t="s">
        <v>342</v>
      </c>
      <c r="F183" s="3" t="s">
        <v>346</v>
      </c>
      <c r="G183" s="4"/>
      <c r="H183" s="4" t="e">
        <f>INDEX(#REF!,MATCH(셀트리온제약!$F183,#REF!,0),MATCH(셀트리온제약!$B183,#REF!,0))</f>
        <v>#REF!</v>
      </c>
      <c r="I183" s="4" t="e">
        <f t="shared" si="17"/>
        <v>#REF!</v>
      </c>
      <c r="J183" s="21" t="e">
        <f t="shared" si="18"/>
        <v>#REF!</v>
      </c>
    </row>
    <row r="184" spans="2:12" hidden="1" x14ac:dyDescent="0.4">
      <c r="B184" s="2" t="s">
        <v>174</v>
      </c>
      <c r="C184" s="3" t="s">
        <v>132</v>
      </c>
      <c r="D184" s="3" t="s">
        <v>133</v>
      </c>
      <c r="E184" s="3" t="s">
        <v>342</v>
      </c>
      <c r="F184" s="3" t="s">
        <v>353</v>
      </c>
      <c r="G184" s="11"/>
      <c r="H184" s="11" t="e">
        <f>INDEX(#REF!,MATCH(셀트리온제약!$F184,#REF!,0),MATCH(셀트리온제약!$B184,#REF!,0))</f>
        <v>#REF!</v>
      </c>
      <c r="I184" s="11" t="e">
        <f t="shared" si="17"/>
        <v>#REF!</v>
      </c>
      <c r="J184" s="21" t="e">
        <f t="shared" si="18"/>
        <v>#REF!</v>
      </c>
    </row>
    <row r="185" spans="2:12" hidden="1" x14ac:dyDescent="0.4">
      <c r="B185" s="2" t="s">
        <v>174</v>
      </c>
      <c r="C185" s="3" t="s">
        <v>132</v>
      </c>
      <c r="D185" s="3" t="s">
        <v>133</v>
      </c>
      <c r="E185" s="3" t="s">
        <v>342</v>
      </c>
      <c r="F185" s="3" t="s">
        <v>522</v>
      </c>
      <c r="G185" s="4"/>
      <c r="H185" s="4" t="e">
        <f>INDEX(#REF!,MATCH(셀트리온제약!$F185,#REF!,0),MATCH(셀트리온제약!$B185,#REF!,0))</f>
        <v>#REF!</v>
      </c>
      <c r="I185" s="4" t="e">
        <f t="shared" si="17"/>
        <v>#REF!</v>
      </c>
      <c r="J185" s="21" t="e">
        <f t="shared" si="18"/>
        <v>#REF!</v>
      </c>
      <c r="L185" s="18"/>
    </row>
    <row r="186" spans="2:12" hidden="1" x14ac:dyDescent="0.4">
      <c r="B186" s="2" t="s">
        <v>174</v>
      </c>
      <c r="C186" s="3" t="s">
        <v>132</v>
      </c>
      <c r="D186" s="3" t="s">
        <v>133</v>
      </c>
      <c r="E186" s="3" t="s">
        <v>324</v>
      </c>
      <c r="F186" s="3" t="s">
        <v>324</v>
      </c>
      <c r="G186" s="4"/>
      <c r="H186" s="4" t="e">
        <f>INDEX(#REF!,MATCH(셀트리온제약!$F186,#REF!,0),MATCH(셀트리온제약!$B186,#REF!,0))</f>
        <v>#REF!</v>
      </c>
      <c r="I186" s="4" t="e">
        <f t="shared" si="17"/>
        <v>#REF!</v>
      </c>
      <c r="J186" s="21" t="e">
        <f t="shared" si="18"/>
        <v>#REF!</v>
      </c>
    </row>
    <row r="187" spans="2:12" hidden="1" x14ac:dyDescent="0.4">
      <c r="B187" s="2" t="s">
        <v>174</v>
      </c>
      <c r="C187" s="3" t="s">
        <v>132</v>
      </c>
      <c r="D187" s="3" t="s">
        <v>133</v>
      </c>
      <c r="E187" s="3" t="s">
        <v>335</v>
      </c>
      <c r="F187" s="3" t="s">
        <v>335</v>
      </c>
      <c r="G187" s="4"/>
      <c r="H187" s="4" t="e">
        <f>INDEX(#REF!,MATCH(셀트리온제약!$F187,#REF!,0),MATCH(셀트리온제약!$B187,#REF!,0))</f>
        <v>#REF!</v>
      </c>
      <c r="I187" s="4" t="e">
        <f t="shared" si="17"/>
        <v>#REF!</v>
      </c>
      <c r="J187" s="21" t="e">
        <f t="shared" si="18"/>
        <v>#REF!</v>
      </c>
    </row>
    <row r="188" spans="2:12" hidden="1" x14ac:dyDescent="0.4">
      <c r="B188" s="2" t="s">
        <v>174</v>
      </c>
      <c r="C188" s="3" t="s">
        <v>132</v>
      </c>
      <c r="D188" s="3" t="s">
        <v>133</v>
      </c>
      <c r="E188" s="3" t="s">
        <v>134</v>
      </c>
      <c r="F188" s="3" t="s">
        <v>135</v>
      </c>
      <c r="G188" s="4"/>
      <c r="H188" s="4" t="e">
        <f>INDEX(#REF!,MATCH(셀트리온제약!$F188,#REF!,0),MATCH(셀트리온제약!$B188,#REF!,0))</f>
        <v>#REF!</v>
      </c>
      <c r="I188" s="4" t="e">
        <f t="shared" si="17"/>
        <v>#REF!</v>
      </c>
      <c r="J188" s="21" t="e">
        <f t="shared" si="18"/>
        <v>#REF!</v>
      </c>
    </row>
    <row r="189" spans="2:12" hidden="1" x14ac:dyDescent="0.4">
      <c r="B189" s="2" t="s">
        <v>174</v>
      </c>
      <c r="C189" s="3" t="s">
        <v>132</v>
      </c>
      <c r="D189" s="3" t="s">
        <v>133</v>
      </c>
      <c r="E189" s="3" t="s">
        <v>134</v>
      </c>
      <c r="F189" s="3" t="s">
        <v>136</v>
      </c>
      <c r="G189" s="4"/>
      <c r="H189" s="4" t="e">
        <f>INDEX(#REF!,MATCH(셀트리온제약!$F189,#REF!,0),MATCH(셀트리온제약!$B189,#REF!,0))</f>
        <v>#REF!</v>
      </c>
      <c r="I189" s="4" t="e">
        <f t="shared" si="17"/>
        <v>#REF!</v>
      </c>
      <c r="J189" s="21" t="e">
        <f t="shared" si="18"/>
        <v>#REF!</v>
      </c>
    </row>
    <row r="190" spans="2:12" hidden="1" x14ac:dyDescent="0.4">
      <c r="B190" s="2" t="s">
        <v>174</v>
      </c>
      <c r="C190" s="3" t="s">
        <v>132</v>
      </c>
      <c r="D190" s="3" t="s">
        <v>133</v>
      </c>
      <c r="E190" s="3" t="s">
        <v>134</v>
      </c>
      <c r="F190" s="3" t="s">
        <v>138</v>
      </c>
      <c r="G190" s="4"/>
      <c r="H190" s="4" t="e">
        <f>INDEX(#REF!,MATCH(셀트리온제약!$F190,#REF!,0),MATCH(셀트리온제약!$B190,#REF!,0))</f>
        <v>#REF!</v>
      </c>
      <c r="I190" s="4" t="e">
        <f t="shared" si="17"/>
        <v>#REF!</v>
      </c>
      <c r="J190" s="21" t="e">
        <f t="shared" si="18"/>
        <v>#REF!</v>
      </c>
    </row>
    <row r="191" spans="2:12" hidden="1" x14ac:dyDescent="0.4">
      <c r="B191" s="2" t="s">
        <v>174</v>
      </c>
      <c r="C191" s="3" t="s">
        <v>132</v>
      </c>
      <c r="D191" s="3" t="s">
        <v>133</v>
      </c>
      <c r="E191" s="3" t="s">
        <v>134</v>
      </c>
      <c r="F191" s="3" t="s">
        <v>139</v>
      </c>
      <c r="G191" s="4"/>
      <c r="H191" s="4" t="e">
        <f>INDEX(#REF!,MATCH(셀트리온제약!$F191,#REF!,0),MATCH(셀트리온제약!$B191,#REF!,0))</f>
        <v>#REF!</v>
      </c>
      <c r="I191" s="4" t="e">
        <f t="shared" si="17"/>
        <v>#REF!</v>
      </c>
      <c r="J191" s="21" t="e">
        <f t="shared" si="18"/>
        <v>#REF!</v>
      </c>
    </row>
    <row r="192" spans="2:12" hidden="1" x14ac:dyDescent="0.4">
      <c r="B192" s="2" t="s">
        <v>174</v>
      </c>
      <c r="C192" s="3" t="s">
        <v>132</v>
      </c>
      <c r="D192" s="3" t="s">
        <v>133</v>
      </c>
      <c r="E192" s="3" t="s">
        <v>134</v>
      </c>
      <c r="F192" s="3" t="s">
        <v>140</v>
      </c>
      <c r="G192" s="4"/>
      <c r="H192" s="4" t="e">
        <f>INDEX(#REF!,MATCH(셀트리온제약!$F192,#REF!,0),MATCH(셀트리온제약!$B192,#REF!,0))</f>
        <v>#REF!</v>
      </c>
      <c r="I192" s="4" t="e">
        <f t="shared" si="17"/>
        <v>#REF!</v>
      </c>
      <c r="J192" s="21" t="e">
        <f t="shared" si="18"/>
        <v>#REF!</v>
      </c>
    </row>
    <row r="193" spans="2:10" hidden="1" x14ac:dyDescent="0.4">
      <c r="B193" s="2" t="s">
        <v>174</v>
      </c>
      <c r="C193" s="3" t="s">
        <v>132</v>
      </c>
      <c r="D193" s="3" t="s">
        <v>133</v>
      </c>
      <c r="E193" s="3" t="s">
        <v>134</v>
      </c>
      <c r="F193" s="3" t="s">
        <v>141</v>
      </c>
      <c r="G193" s="4"/>
      <c r="H193" s="4" t="e">
        <f>INDEX(#REF!,MATCH(셀트리온제약!$F193,#REF!,0),MATCH(셀트리온제약!$B193,#REF!,0))</f>
        <v>#REF!</v>
      </c>
      <c r="I193" s="4" t="e">
        <f t="shared" si="17"/>
        <v>#REF!</v>
      </c>
      <c r="J193" s="21" t="e">
        <f t="shared" si="18"/>
        <v>#REF!</v>
      </c>
    </row>
    <row r="194" spans="2:10" hidden="1" x14ac:dyDescent="0.4">
      <c r="B194" s="2" t="s">
        <v>174</v>
      </c>
      <c r="C194" s="3" t="s">
        <v>132</v>
      </c>
      <c r="D194" s="3" t="s">
        <v>133</v>
      </c>
      <c r="E194" s="3" t="s">
        <v>134</v>
      </c>
      <c r="F194" s="3" t="s">
        <v>145</v>
      </c>
      <c r="G194" s="4"/>
      <c r="H194" s="4" t="e">
        <f>INDEX(#REF!,MATCH(셀트리온제약!$F194,#REF!,0),MATCH(셀트리온제약!$B194,#REF!,0))</f>
        <v>#REF!</v>
      </c>
      <c r="I194" s="4" t="e">
        <f t="shared" si="17"/>
        <v>#REF!</v>
      </c>
      <c r="J194" s="21" t="e">
        <f t="shared" si="18"/>
        <v>#REF!</v>
      </c>
    </row>
    <row r="195" spans="2:10" hidden="1" x14ac:dyDescent="0.4">
      <c r="B195" s="2" t="s">
        <v>174</v>
      </c>
      <c r="C195" s="3" t="s">
        <v>132</v>
      </c>
      <c r="D195" s="3" t="s">
        <v>133</v>
      </c>
      <c r="E195" s="3" t="s">
        <v>134</v>
      </c>
      <c r="F195" s="3" t="s">
        <v>146</v>
      </c>
      <c r="G195" s="4"/>
      <c r="H195" s="4" t="e">
        <f>INDEX(#REF!,MATCH(셀트리온제약!$F195,#REF!,0),MATCH(셀트리온제약!$B195,#REF!,0))</f>
        <v>#REF!</v>
      </c>
      <c r="I195" s="4" t="e">
        <f t="shared" si="17"/>
        <v>#REF!</v>
      </c>
      <c r="J195" s="21" t="e">
        <f t="shared" si="18"/>
        <v>#REF!</v>
      </c>
    </row>
    <row r="196" spans="2:10" hidden="1" x14ac:dyDescent="0.4">
      <c r="B196" s="2" t="s">
        <v>174</v>
      </c>
      <c r="C196" s="3" t="s">
        <v>132</v>
      </c>
      <c r="D196" s="3" t="s">
        <v>133</v>
      </c>
      <c r="E196" s="3" t="s">
        <v>134</v>
      </c>
      <c r="F196" s="3" t="s">
        <v>525</v>
      </c>
      <c r="G196" s="4"/>
      <c r="H196" s="4" t="e">
        <f>INDEX(#REF!,MATCH(셀트리온제약!$F196,#REF!,0),MATCH(셀트리온제약!$B196,#REF!,0))</f>
        <v>#REF!</v>
      </c>
      <c r="I196" s="4" t="e">
        <f t="shared" si="17"/>
        <v>#REF!</v>
      </c>
      <c r="J196" s="21" t="e">
        <f t="shared" si="18"/>
        <v>#REF!</v>
      </c>
    </row>
    <row r="197" spans="2:10" hidden="1" x14ac:dyDescent="0.4">
      <c r="B197" s="2" t="s">
        <v>174</v>
      </c>
      <c r="C197" s="3" t="s">
        <v>132</v>
      </c>
      <c r="D197" s="3" t="s">
        <v>133</v>
      </c>
      <c r="E197" s="3" t="s">
        <v>526</v>
      </c>
      <c r="F197" s="3" t="s">
        <v>362</v>
      </c>
      <c r="G197" s="4"/>
      <c r="H197" s="4" t="e">
        <f>INDEX(#REF!,MATCH(셀트리온제약!$F197,#REF!,0),MATCH(셀트리온제약!$B197,#REF!,0))</f>
        <v>#REF!</v>
      </c>
      <c r="I197" s="4" t="e">
        <f t="shared" si="17"/>
        <v>#REF!</v>
      </c>
      <c r="J197" s="21" t="e">
        <f t="shared" si="18"/>
        <v>#REF!</v>
      </c>
    </row>
    <row r="198" spans="2:10" ht="18" hidden="1" thickBot="1" x14ac:dyDescent="0.45">
      <c r="B198" s="13" t="s">
        <v>174</v>
      </c>
      <c r="C198" s="17" t="s">
        <v>132</v>
      </c>
      <c r="D198" s="17" t="s">
        <v>133</v>
      </c>
      <c r="E198" s="17" t="s">
        <v>526</v>
      </c>
      <c r="F198" s="17" t="s">
        <v>366</v>
      </c>
      <c r="G198" s="6"/>
      <c r="H198" s="6" t="e">
        <f>INDEX(#REF!,MATCH(셀트리온제약!$F198,#REF!,0),MATCH(셀트리온제약!$B198,#REF!,0))</f>
        <v>#REF!</v>
      </c>
      <c r="I198" s="6" t="e">
        <f t="shared" si="17"/>
        <v>#REF!</v>
      </c>
      <c r="J198" s="22" t="e">
        <f t="shared" si="18"/>
        <v>#REF!</v>
      </c>
    </row>
    <row r="199" spans="2:10" hidden="1" x14ac:dyDescent="0.4">
      <c r="B199" s="14" t="s">
        <v>142</v>
      </c>
      <c r="C199" s="16" t="s">
        <v>132</v>
      </c>
      <c r="D199" s="16" t="s">
        <v>133</v>
      </c>
      <c r="E199" s="16" t="s">
        <v>314</v>
      </c>
      <c r="F199" s="16" t="s">
        <v>315</v>
      </c>
      <c r="G199" s="19"/>
      <c r="H199" s="19" t="e">
        <f>INDEX(#REF!,MATCH(셀트리온제약!$F199,#REF!,0),MATCH(셀트리온제약!$B199,#REF!,0))</f>
        <v>#REF!</v>
      </c>
      <c r="I199" s="19" t="e">
        <f t="shared" si="17"/>
        <v>#REF!</v>
      </c>
      <c r="J199" s="23" t="e">
        <f>+G199/H199</f>
        <v>#REF!</v>
      </c>
    </row>
    <row r="200" spans="2:10" hidden="1" x14ac:dyDescent="0.4">
      <c r="B200" s="2" t="s">
        <v>142</v>
      </c>
      <c r="C200" s="3" t="s">
        <v>132</v>
      </c>
      <c r="D200" s="3" t="s">
        <v>133</v>
      </c>
      <c r="E200" s="3" t="s">
        <v>314</v>
      </c>
      <c r="F200" s="3" t="s">
        <v>521</v>
      </c>
      <c r="G200" s="11"/>
      <c r="H200" s="11" t="e">
        <f>INDEX(#REF!,MATCH(셀트리온제약!$F200,#REF!,0),MATCH(셀트리온제약!$B200,#REF!,0))</f>
        <v>#REF!</v>
      </c>
      <c r="I200" s="11" t="e">
        <f t="shared" si="17"/>
        <v>#REF!</v>
      </c>
      <c r="J200" s="21" t="e">
        <f t="shared" ref="J200:J220" si="19">+G200/H200</f>
        <v>#REF!</v>
      </c>
    </row>
    <row r="201" spans="2:10" hidden="1" x14ac:dyDescent="0.4">
      <c r="B201" s="2" t="s">
        <v>142</v>
      </c>
      <c r="C201" s="3" t="s">
        <v>132</v>
      </c>
      <c r="D201" s="3" t="s">
        <v>133</v>
      </c>
      <c r="E201" s="3" t="s">
        <v>314</v>
      </c>
      <c r="F201" s="3" t="s">
        <v>88</v>
      </c>
      <c r="G201" s="11"/>
      <c r="H201" s="11" t="e">
        <f>INDEX(#REF!,MATCH(셀트리온제약!$F201,#REF!,0),MATCH(셀트리온제약!$B201,#REF!,0))</f>
        <v>#REF!</v>
      </c>
      <c r="I201" s="11" t="e">
        <f t="shared" si="17"/>
        <v>#REF!</v>
      </c>
      <c r="J201" s="21" t="e">
        <f t="shared" si="19"/>
        <v>#REF!</v>
      </c>
    </row>
    <row r="202" spans="2:10" hidden="1" x14ac:dyDescent="0.4">
      <c r="B202" s="2" t="s">
        <v>142</v>
      </c>
      <c r="C202" s="3" t="s">
        <v>132</v>
      </c>
      <c r="D202" s="3" t="s">
        <v>133</v>
      </c>
      <c r="E202" s="3" t="s">
        <v>342</v>
      </c>
      <c r="F202" s="3" t="s">
        <v>344</v>
      </c>
      <c r="G202" s="11"/>
      <c r="H202" s="11" t="e">
        <f>INDEX(#REF!,MATCH(셀트리온제약!$F202,#REF!,0),MATCH(셀트리온제약!$B202,#REF!,0))</f>
        <v>#REF!</v>
      </c>
      <c r="I202" s="11" t="e">
        <f t="shared" si="17"/>
        <v>#REF!</v>
      </c>
      <c r="J202" s="21" t="e">
        <f t="shared" si="19"/>
        <v>#REF!</v>
      </c>
    </row>
    <row r="203" spans="2:10" hidden="1" x14ac:dyDescent="0.4">
      <c r="B203" s="2" t="s">
        <v>142</v>
      </c>
      <c r="C203" s="3" t="s">
        <v>132</v>
      </c>
      <c r="D203" s="3" t="s">
        <v>133</v>
      </c>
      <c r="E203" s="3" t="s">
        <v>342</v>
      </c>
      <c r="F203" s="3" t="s">
        <v>345</v>
      </c>
      <c r="G203" s="11"/>
      <c r="H203" s="11" t="e">
        <f>INDEX(#REF!,MATCH(셀트리온제약!$F203,#REF!,0),MATCH(셀트리온제약!$B203,#REF!,0))</f>
        <v>#REF!</v>
      </c>
      <c r="I203" s="11" t="e">
        <f t="shared" si="17"/>
        <v>#REF!</v>
      </c>
      <c r="J203" s="21" t="e">
        <f t="shared" si="19"/>
        <v>#REF!</v>
      </c>
    </row>
    <row r="204" spans="2:10" hidden="1" x14ac:dyDescent="0.4">
      <c r="B204" s="2" t="s">
        <v>142</v>
      </c>
      <c r="C204" s="3" t="s">
        <v>132</v>
      </c>
      <c r="D204" s="3" t="s">
        <v>133</v>
      </c>
      <c r="E204" s="3" t="s">
        <v>342</v>
      </c>
      <c r="F204" s="3" t="s">
        <v>350</v>
      </c>
      <c r="G204" s="11"/>
      <c r="H204" s="11" t="e">
        <f>INDEX(#REF!,MATCH(셀트리온제약!$F204,#REF!,0),MATCH(셀트리온제약!$B204,#REF!,0))</f>
        <v>#REF!</v>
      </c>
      <c r="I204" s="11" t="e">
        <f t="shared" si="17"/>
        <v>#REF!</v>
      </c>
      <c r="J204" s="21" t="e">
        <f t="shared" si="19"/>
        <v>#REF!</v>
      </c>
    </row>
    <row r="205" spans="2:10" hidden="1" x14ac:dyDescent="0.4">
      <c r="B205" s="2" t="s">
        <v>142</v>
      </c>
      <c r="C205" s="3" t="s">
        <v>132</v>
      </c>
      <c r="D205" s="3" t="s">
        <v>133</v>
      </c>
      <c r="E205" s="3" t="s">
        <v>342</v>
      </c>
      <c r="F205" s="3" t="s">
        <v>346</v>
      </c>
      <c r="G205" s="4"/>
      <c r="H205" s="4" t="e">
        <f>INDEX(#REF!,MATCH(셀트리온제약!$F205,#REF!,0),MATCH(셀트리온제약!$B205,#REF!,0))</f>
        <v>#REF!</v>
      </c>
      <c r="I205" s="4" t="e">
        <f t="shared" si="17"/>
        <v>#REF!</v>
      </c>
      <c r="J205" s="21" t="e">
        <f t="shared" si="19"/>
        <v>#REF!</v>
      </c>
    </row>
    <row r="206" spans="2:10" hidden="1" x14ac:dyDescent="0.4">
      <c r="B206" s="2" t="s">
        <v>142</v>
      </c>
      <c r="C206" s="3" t="s">
        <v>132</v>
      </c>
      <c r="D206" s="3" t="s">
        <v>133</v>
      </c>
      <c r="E206" s="3" t="s">
        <v>342</v>
      </c>
      <c r="F206" s="3" t="s">
        <v>353</v>
      </c>
      <c r="G206" s="11"/>
      <c r="H206" s="11" t="e">
        <f>INDEX(#REF!,MATCH(셀트리온제약!$F206,#REF!,0),MATCH(셀트리온제약!$B206,#REF!,0))</f>
        <v>#REF!</v>
      </c>
      <c r="I206" s="11" t="e">
        <f t="shared" si="17"/>
        <v>#REF!</v>
      </c>
      <c r="J206" s="21" t="e">
        <f t="shared" si="19"/>
        <v>#REF!</v>
      </c>
    </row>
    <row r="207" spans="2:10" hidden="1" x14ac:dyDescent="0.4">
      <c r="B207" s="2" t="s">
        <v>142</v>
      </c>
      <c r="C207" s="3" t="s">
        <v>132</v>
      </c>
      <c r="D207" s="3" t="s">
        <v>133</v>
      </c>
      <c r="E207" s="3" t="s">
        <v>342</v>
      </c>
      <c r="F207" s="3" t="s">
        <v>522</v>
      </c>
      <c r="G207" s="4"/>
      <c r="H207" s="4" t="e">
        <f>INDEX(#REF!,MATCH(셀트리온제약!$F207,#REF!,0),MATCH(셀트리온제약!$B207,#REF!,0))</f>
        <v>#REF!</v>
      </c>
      <c r="I207" s="4" t="e">
        <f t="shared" si="17"/>
        <v>#REF!</v>
      </c>
      <c r="J207" s="21" t="e">
        <f t="shared" si="19"/>
        <v>#REF!</v>
      </c>
    </row>
    <row r="208" spans="2:10" hidden="1" x14ac:dyDescent="0.4">
      <c r="B208" s="2" t="s">
        <v>142</v>
      </c>
      <c r="C208" s="3" t="s">
        <v>132</v>
      </c>
      <c r="D208" s="3" t="s">
        <v>133</v>
      </c>
      <c r="E208" s="3" t="s">
        <v>324</v>
      </c>
      <c r="F208" s="3" t="s">
        <v>324</v>
      </c>
      <c r="G208" s="4"/>
      <c r="H208" s="4" t="e">
        <f>INDEX(#REF!,MATCH(셀트리온제약!$F208,#REF!,0),MATCH(셀트리온제약!$B208,#REF!,0))</f>
        <v>#REF!</v>
      </c>
      <c r="I208" s="4" t="e">
        <f t="shared" si="17"/>
        <v>#REF!</v>
      </c>
      <c r="J208" s="21" t="e">
        <f t="shared" si="19"/>
        <v>#REF!</v>
      </c>
    </row>
    <row r="209" spans="2:10" hidden="1" x14ac:dyDescent="0.4">
      <c r="B209" s="2" t="s">
        <v>142</v>
      </c>
      <c r="C209" s="3" t="s">
        <v>132</v>
      </c>
      <c r="D209" s="3" t="s">
        <v>133</v>
      </c>
      <c r="E209" s="3" t="s">
        <v>335</v>
      </c>
      <c r="F209" s="3" t="s">
        <v>335</v>
      </c>
      <c r="G209" s="4"/>
      <c r="H209" s="4" t="e">
        <f>INDEX(#REF!,MATCH(셀트리온제약!$F209,#REF!,0),MATCH(셀트리온제약!$B209,#REF!,0))</f>
        <v>#REF!</v>
      </c>
      <c r="I209" s="4" t="e">
        <f t="shared" si="17"/>
        <v>#REF!</v>
      </c>
      <c r="J209" s="21" t="e">
        <f t="shared" si="19"/>
        <v>#REF!</v>
      </c>
    </row>
    <row r="210" spans="2:10" hidden="1" x14ac:dyDescent="0.4">
      <c r="B210" s="2" t="s">
        <v>142</v>
      </c>
      <c r="C210" s="3" t="s">
        <v>132</v>
      </c>
      <c r="D210" s="3" t="s">
        <v>133</v>
      </c>
      <c r="E210" s="3" t="s">
        <v>134</v>
      </c>
      <c r="F210" s="3" t="s">
        <v>135</v>
      </c>
      <c r="G210" s="4"/>
      <c r="H210" s="4" t="e">
        <f>INDEX(#REF!,MATCH(셀트리온제약!$F210,#REF!,0),MATCH(셀트리온제약!$B210,#REF!,0))</f>
        <v>#REF!</v>
      </c>
      <c r="I210" s="4" t="e">
        <f t="shared" si="17"/>
        <v>#REF!</v>
      </c>
      <c r="J210" s="21" t="e">
        <f t="shared" si="19"/>
        <v>#REF!</v>
      </c>
    </row>
    <row r="211" spans="2:10" hidden="1" x14ac:dyDescent="0.4">
      <c r="B211" s="2" t="s">
        <v>142</v>
      </c>
      <c r="C211" s="3" t="s">
        <v>132</v>
      </c>
      <c r="D211" s="3" t="s">
        <v>133</v>
      </c>
      <c r="E211" s="3" t="s">
        <v>134</v>
      </c>
      <c r="F211" s="3" t="s">
        <v>136</v>
      </c>
      <c r="G211" s="4"/>
      <c r="H211" s="4" t="e">
        <f>INDEX(#REF!,MATCH(셀트리온제약!$F211,#REF!,0),MATCH(셀트리온제약!$B211,#REF!,0))</f>
        <v>#REF!</v>
      </c>
      <c r="I211" s="4" t="e">
        <f t="shared" si="17"/>
        <v>#REF!</v>
      </c>
      <c r="J211" s="21" t="e">
        <f t="shared" si="19"/>
        <v>#REF!</v>
      </c>
    </row>
    <row r="212" spans="2:10" hidden="1" x14ac:dyDescent="0.4">
      <c r="B212" s="2" t="s">
        <v>142</v>
      </c>
      <c r="C212" s="3" t="s">
        <v>132</v>
      </c>
      <c r="D212" s="3" t="s">
        <v>133</v>
      </c>
      <c r="E212" s="3" t="s">
        <v>134</v>
      </c>
      <c r="F212" s="3" t="s">
        <v>138</v>
      </c>
      <c r="G212" s="4"/>
      <c r="H212" s="4" t="e">
        <f>INDEX(#REF!,MATCH(셀트리온제약!$F212,#REF!,0),MATCH(셀트리온제약!$B212,#REF!,0))</f>
        <v>#REF!</v>
      </c>
      <c r="I212" s="4" t="e">
        <f t="shared" si="17"/>
        <v>#REF!</v>
      </c>
      <c r="J212" s="21" t="e">
        <f t="shared" si="19"/>
        <v>#REF!</v>
      </c>
    </row>
    <row r="213" spans="2:10" hidden="1" x14ac:dyDescent="0.4">
      <c r="B213" s="2" t="s">
        <v>142</v>
      </c>
      <c r="C213" s="3" t="s">
        <v>132</v>
      </c>
      <c r="D213" s="3" t="s">
        <v>133</v>
      </c>
      <c r="E213" s="3" t="s">
        <v>134</v>
      </c>
      <c r="F213" s="3" t="s">
        <v>139</v>
      </c>
      <c r="G213" s="4"/>
      <c r="H213" s="4" t="e">
        <f>INDEX(#REF!,MATCH(셀트리온제약!$F213,#REF!,0),MATCH(셀트리온제약!$B213,#REF!,0))</f>
        <v>#REF!</v>
      </c>
      <c r="I213" s="4" t="e">
        <f t="shared" si="17"/>
        <v>#REF!</v>
      </c>
      <c r="J213" s="21" t="e">
        <f t="shared" si="19"/>
        <v>#REF!</v>
      </c>
    </row>
    <row r="214" spans="2:10" hidden="1" x14ac:dyDescent="0.4">
      <c r="B214" s="2" t="s">
        <v>142</v>
      </c>
      <c r="C214" s="3" t="s">
        <v>132</v>
      </c>
      <c r="D214" s="3" t="s">
        <v>133</v>
      </c>
      <c r="E214" s="3" t="s">
        <v>134</v>
      </c>
      <c r="F214" s="3" t="s">
        <v>140</v>
      </c>
      <c r="G214" s="4"/>
      <c r="H214" s="4" t="e">
        <f>INDEX(#REF!,MATCH(셀트리온제약!$F214,#REF!,0),MATCH(셀트리온제약!$B214,#REF!,0))</f>
        <v>#REF!</v>
      </c>
      <c r="I214" s="4" t="e">
        <f t="shared" si="17"/>
        <v>#REF!</v>
      </c>
      <c r="J214" s="21" t="e">
        <f t="shared" si="19"/>
        <v>#REF!</v>
      </c>
    </row>
    <row r="215" spans="2:10" hidden="1" x14ac:dyDescent="0.4">
      <c r="B215" s="2" t="s">
        <v>142</v>
      </c>
      <c r="C215" s="3" t="s">
        <v>132</v>
      </c>
      <c r="D215" s="3" t="s">
        <v>133</v>
      </c>
      <c r="E215" s="3" t="s">
        <v>134</v>
      </c>
      <c r="F215" s="3" t="s">
        <v>141</v>
      </c>
      <c r="G215" s="4"/>
      <c r="H215" s="4" t="e">
        <f>INDEX(#REF!,MATCH(셀트리온제약!$F215,#REF!,0),MATCH(셀트리온제약!$B215,#REF!,0))</f>
        <v>#REF!</v>
      </c>
      <c r="I215" s="4" t="e">
        <f t="shared" si="17"/>
        <v>#REF!</v>
      </c>
      <c r="J215" s="21" t="e">
        <f t="shared" si="19"/>
        <v>#REF!</v>
      </c>
    </row>
    <row r="216" spans="2:10" hidden="1" x14ac:dyDescent="0.4">
      <c r="B216" s="2" t="s">
        <v>142</v>
      </c>
      <c r="C216" s="3" t="s">
        <v>132</v>
      </c>
      <c r="D216" s="3" t="s">
        <v>133</v>
      </c>
      <c r="E216" s="3" t="s">
        <v>134</v>
      </c>
      <c r="F216" s="3" t="s">
        <v>145</v>
      </c>
      <c r="G216" s="4"/>
      <c r="H216" s="4" t="e">
        <f>INDEX(#REF!,MATCH(셀트리온제약!$F216,#REF!,0),MATCH(셀트리온제약!$B216,#REF!,0))</f>
        <v>#REF!</v>
      </c>
      <c r="I216" s="4" t="e">
        <f t="shared" si="17"/>
        <v>#REF!</v>
      </c>
      <c r="J216" s="21" t="e">
        <f t="shared" si="19"/>
        <v>#REF!</v>
      </c>
    </row>
    <row r="217" spans="2:10" hidden="1" x14ac:dyDescent="0.4">
      <c r="B217" s="2" t="s">
        <v>142</v>
      </c>
      <c r="C217" s="3" t="s">
        <v>132</v>
      </c>
      <c r="D217" s="3" t="s">
        <v>133</v>
      </c>
      <c r="E217" s="3" t="s">
        <v>134</v>
      </c>
      <c r="F217" s="3" t="s">
        <v>146</v>
      </c>
      <c r="G217" s="4"/>
      <c r="H217" s="4" t="e">
        <f>INDEX(#REF!,MATCH(셀트리온제약!$F217,#REF!,0),MATCH(셀트리온제약!$B217,#REF!,0))</f>
        <v>#REF!</v>
      </c>
      <c r="I217" s="4" t="e">
        <f t="shared" si="17"/>
        <v>#REF!</v>
      </c>
      <c r="J217" s="21" t="e">
        <f t="shared" si="19"/>
        <v>#REF!</v>
      </c>
    </row>
    <row r="218" spans="2:10" hidden="1" x14ac:dyDescent="0.4">
      <c r="B218" s="2" t="s">
        <v>142</v>
      </c>
      <c r="C218" s="3" t="s">
        <v>132</v>
      </c>
      <c r="D218" s="3" t="s">
        <v>133</v>
      </c>
      <c r="E218" s="3" t="s">
        <v>134</v>
      </c>
      <c r="F218" s="3" t="s">
        <v>525</v>
      </c>
      <c r="G218" s="4"/>
      <c r="H218" s="4" t="e">
        <f>INDEX(#REF!,MATCH(셀트리온제약!$F218,#REF!,0),MATCH(셀트리온제약!$B218,#REF!,0))</f>
        <v>#REF!</v>
      </c>
      <c r="I218" s="4" t="e">
        <f t="shared" si="17"/>
        <v>#REF!</v>
      </c>
      <c r="J218" s="21" t="e">
        <f t="shared" si="19"/>
        <v>#REF!</v>
      </c>
    </row>
    <row r="219" spans="2:10" hidden="1" x14ac:dyDescent="0.4">
      <c r="B219" s="2" t="s">
        <v>142</v>
      </c>
      <c r="C219" s="3" t="s">
        <v>132</v>
      </c>
      <c r="D219" s="3" t="s">
        <v>133</v>
      </c>
      <c r="E219" s="3" t="s">
        <v>526</v>
      </c>
      <c r="F219" s="3" t="s">
        <v>362</v>
      </c>
      <c r="G219" s="4"/>
      <c r="H219" s="4" t="e">
        <f>INDEX(#REF!,MATCH(셀트리온제약!$F219,#REF!,0),MATCH(셀트리온제약!$B219,#REF!,0))</f>
        <v>#REF!</v>
      </c>
      <c r="I219" s="4" t="e">
        <f t="shared" si="17"/>
        <v>#REF!</v>
      </c>
      <c r="J219" s="21" t="e">
        <f t="shared" si="19"/>
        <v>#REF!</v>
      </c>
    </row>
    <row r="220" spans="2:10" ht="18" hidden="1" thickBot="1" x14ac:dyDescent="0.45">
      <c r="B220" s="12" t="s">
        <v>142</v>
      </c>
      <c r="C220" s="477" t="s">
        <v>132</v>
      </c>
      <c r="D220" s="477" t="s">
        <v>133</v>
      </c>
      <c r="E220" s="477" t="s">
        <v>526</v>
      </c>
      <c r="F220" s="477" t="s">
        <v>366</v>
      </c>
      <c r="G220" s="478"/>
      <c r="H220" s="478" t="e">
        <f>INDEX(#REF!,MATCH(셀트리온제약!$F220,#REF!,0),MATCH(셀트리온제약!$B220,#REF!,0))</f>
        <v>#REF!</v>
      </c>
      <c r="I220" s="478" t="e">
        <f t="shared" si="17"/>
        <v>#REF!</v>
      </c>
      <c r="J220" s="479" t="e">
        <f t="shared" si="19"/>
        <v>#REF!</v>
      </c>
    </row>
    <row r="221" spans="2:10" hidden="1" x14ac:dyDescent="0.4">
      <c r="B221" s="7" t="s">
        <v>143</v>
      </c>
      <c r="C221" s="8" t="s">
        <v>132</v>
      </c>
      <c r="D221" s="8" t="s">
        <v>133</v>
      </c>
      <c r="E221" s="8" t="s">
        <v>314</v>
      </c>
      <c r="F221" s="8" t="s">
        <v>315</v>
      </c>
      <c r="G221" s="9"/>
      <c r="H221" s="9" t="e">
        <f>INDEX(#REF!,MATCH(셀트리온제약!$F221,#REF!,0),MATCH(셀트리온제약!$B221,#REF!,0))</f>
        <v>#REF!</v>
      </c>
      <c r="I221" s="9" t="e">
        <f t="shared" si="17"/>
        <v>#REF!</v>
      </c>
      <c r="J221" s="20" t="e">
        <f>+G221/H221</f>
        <v>#REF!</v>
      </c>
    </row>
    <row r="222" spans="2:10" hidden="1" x14ac:dyDescent="0.4">
      <c r="B222" s="2" t="s">
        <v>143</v>
      </c>
      <c r="C222" s="3" t="s">
        <v>132</v>
      </c>
      <c r="D222" s="3" t="s">
        <v>133</v>
      </c>
      <c r="E222" s="3" t="s">
        <v>314</v>
      </c>
      <c r="F222" s="3" t="s">
        <v>521</v>
      </c>
      <c r="G222" s="11"/>
      <c r="H222" s="11" t="e">
        <f>INDEX(#REF!,MATCH(셀트리온제약!$F222,#REF!,0),MATCH(셀트리온제약!$B222,#REF!,0))</f>
        <v>#REF!</v>
      </c>
      <c r="I222" s="11" t="e">
        <f t="shared" si="17"/>
        <v>#REF!</v>
      </c>
      <c r="J222" s="21" t="e">
        <f t="shared" ref="J222:J242" si="20">+G222/H222</f>
        <v>#REF!</v>
      </c>
    </row>
    <row r="223" spans="2:10" hidden="1" x14ac:dyDescent="0.4">
      <c r="B223" s="2" t="s">
        <v>143</v>
      </c>
      <c r="C223" s="3" t="s">
        <v>132</v>
      </c>
      <c r="D223" s="3" t="s">
        <v>133</v>
      </c>
      <c r="E223" s="3" t="s">
        <v>314</v>
      </c>
      <c r="F223" s="3" t="s">
        <v>88</v>
      </c>
      <c r="G223" s="11"/>
      <c r="H223" s="11" t="e">
        <f>INDEX(#REF!,MATCH(셀트리온제약!$F223,#REF!,0),MATCH(셀트리온제약!$B223,#REF!,0))</f>
        <v>#REF!</v>
      </c>
      <c r="I223" s="11" t="e">
        <f t="shared" si="17"/>
        <v>#REF!</v>
      </c>
      <c r="J223" s="21" t="e">
        <f t="shared" si="20"/>
        <v>#REF!</v>
      </c>
    </row>
    <row r="224" spans="2:10" hidden="1" x14ac:dyDescent="0.4">
      <c r="B224" s="2" t="s">
        <v>143</v>
      </c>
      <c r="C224" s="3" t="s">
        <v>132</v>
      </c>
      <c r="D224" s="3" t="s">
        <v>133</v>
      </c>
      <c r="E224" s="3" t="s">
        <v>342</v>
      </c>
      <c r="F224" s="3" t="s">
        <v>344</v>
      </c>
      <c r="G224" s="11"/>
      <c r="H224" s="11" t="e">
        <f>INDEX(#REF!,MATCH(셀트리온제약!$F224,#REF!,0),MATCH(셀트리온제약!$B224,#REF!,0))</f>
        <v>#REF!</v>
      </c>
      <c r="I224" s="11" t="e">
        <f t="shared" si="17"/>
        <v>#REF!</v>
      </c>
      <c r="J224" s="21" t="e">
        <f t="shared" si="20"/>
        <v>#REF!</v>
      </c>
    </row>
    <row r="225" spans="2:10" hidden="1" x14ac:dyDescent="0.4">
      <c r="B225" s="2" t="s">
        <v>143</v>
      </c>
      <c r="C225" s="3" t="s">
        <v>132</v>
      </c>
      <c r="D225" s="3" t="s">
        <v>133</v>
      </c>
      <c r="E225" s="3" t="s">
        <v>342</v>
      </c>
      <c r="F225" s="3" t="s">
        <v>345</v>
      </c>
      <c r="G225" s="11"/>
      <c r="H225" s="11" t="e">
        <f>INDEX(#REF!,MATCH(셀트리온제약!$F225,#REF!,0),MATCH(셀트리온제약!$B225,#REF!,0))</f>
        <v>#REF!</v>
      </c>
      <c r="I225" s="11" t="e">
        <f t="shared" si="17"/>
        <v>#REF!</v>
      </c>
      <c r="J225" s="21" t="e">
        <f t="shared" si="20"/>
        <v>#REF!</v>
      </c>
    </row>
    <row r="226" spans="2:10" hidden="1" x14ac:dyDescent="0.4">
      <c r="B226" s="2" t="s">
        <v>143</v>
      </c>
      <c r="C226" s="3" t="s">
        <v>132</v>
      </c>
      <c r="D226" s="3" t="s">
        <v>133</v>
      </c>
      <c r="E226" s="3" t="s">
        <v>342</v>
      </c>
      <c r="F226" s="3" t="s">
        <v>350</v>
      </c>
      <c r="G226" s="11"/>
      <c r="H226" s="11" t="e">
        <f>INDEX(#REF!,MATCH(셀트리온제약!$F226,#REF!,0),MATCH(셀트리온제약!$B226,#REF!,0))</f>
        <v>#REF!</v>
      </c>
      <c r="I226" s="11" t="e">
        <f t="shared" si="17"/>
        <v>#REF!</v>
      </c>
      <c r="J226" s="21" t="e">
        <f t="shared" si="20"/>
        <v>#REF!</v>
      </c>
    </row>
    <row r="227" spans="2:10" hidden="1" x14ac:dyDescent="0.4">
      <c r="B227" s="2" t="s">
        <v>143</v>
      </c>
      <c r="C227" s="3" t="s">
        <v>132</v>
      </c>
      <c r="D227" s="3" t="s">
        <v>133</v>
      </c>
      <c r="E227" s="3" t="s">
        <v>342</v>
      </c>
      <c r="F227" s="3" t="s">
        <v>346</v>
      </c>
      <c r="G227" s="4"/>
      <c r="H227" s="4" t="e">
        <f>INDEX(#REF!,MATCH(셀트리온제약!$F227,#REF!,0),MATCH(셀트리온제약!$B227,#REF!,0))</f>
        <v>#REF!</v>
      </c>
      <c r="I227" s="4" t="e">
        <f t="shared" si="17"/>
        <v>#REF!</v>
      </c>
      <c r="J227" s="21" t="e">
        <f t="shared" si="20"/>
        <v>#REF!</v>
      </c>
    </row>
    <row r="228" spans="2:10" hidden="1" x14ac:dyDescent="0.4">
      <c r="B228" s="2" t="s">
        <v>143</v>
      </c>
      <c r="C228" s="3" t="s">
        <v>132</v>
      </c>
      <c r="D228" s="3" t="s">
        <v>133</v>
      </c>
      <c r="E228" s="3" t="s">
        <v>342</v>
      </c>
      <c r="F228" s="3" t="s">
        <v>353</v>
      </c>
      <c r="G228" s="11"/>
      <c r="H228" s="11" t="e">
        <f>INDEX(#REF!,MATCH(셀트리온제약!$F228,#REF!,0),MATCH(셀트리온제약!$B228,#REF!,0))</f>
        <v>#REF!</v>
      </c>
      <c r="I228" s="11" t="e">
        <f t="shared" si="17"/>
        <v>#REF!</v>
      </c>
      <c r="J228" s="21" t="e">
        <f t="shared" si="20"/>
        <v>#REF!</v>
      </c>
    </row>
    <row r="229" spans="2:10" hidden="1" x14ac:dyDescent="0.4">
      <c r="B229" s="2" t="s">
        <v>143</v>
      </c>
      <c r="C229" s="3" t="s">
        <v>132</v>
      </c>
      <c r="D229" s="3" t="s">
        <v>133</v>
      </c>
      <c r="E229" s="3" t="s">
        <v>342</v>
      </c>
      <c r="F229" s="3" t="s">
        <v>522</v>
      </c>
      <c r="G229" s="4"/>
      <c r="H229" s="4" t="e">
        <f>INDEX(#REF!,MATCH(셀트리온제약!$F229,#REF!,0),MATCH(셀트리온제약!$B229,#REF!,0))</f>
        <v>#REF!</v>
      </c>
      <c r="I229" s="4" t="e">
        <f t="shared" si="17"/>
        <v>#REF!</v>
      </c>
      <c r="J229" s="21" t="e">
        <f t="shared" si="20"/>
        <v>#REF!</v>
      </c>
    </row>
    <row r="230" spans="2:10" hidden="1" x14ac:dyDescent="0.4">
      <c r="B230" s="2" t="s">
        <v>143</v>
      </c>
      <c r="C230" s="3" t="s">
        <v>132</v>
      </c>
      <c r="D230" s="3" t="s">
        <v>133</v>
      </c>
      <c r="E230" s="3" t="s">
        <v>324</v>
      </c>
      <c r="F230" s="3" t="s">
        <v>324</v>
      </c>
      <c r="G230" s="4"/>
      <c r="H230" s="4" t="e">
        <f>INDEX(#REF!,MATCH(셀트리온제약!$F230,#REF!,0),MATCH(셀트리온제약!$B230,#REF!,0))</f>
        <v>#REF!</v>
      </c>
      <c r="I230" s="4" t="e">
        <f t="shared" si="17"/>
        <v>#REF!</v>
      </c>
      <c r="J230" s="21" t="e">
        <f t="shared" si="20"/>
        <v>#REF!</v>
      </c>
    </row>
    <row r="231" spans="2:10" hidden="1" x14ac:dyDescent="0.4">
      <c r="B231" s="2" t="s">
        <v>143</v>
      </c>
      <c r="C231" s="3" t="s">
        <v>132</v>
      </c>
      <c r="D231" s="3" t="s">
        <v>133</v>
      </c>
      <c r="E231" s="3" t="s">
        <v>335</v>
      </c>
      <c r="F231" s="3" t="s">
        <v>335</v>
      </c>
      <c r="G231" s="4"/>
      <c r="H231" s="4" t="e">
        <f>INDEX(#REF!,MATCH(셀트리온제약!$F231,#REF!,0),MATCH(셀트리온제약!$B231,#REF!,0))</f>
        <v>#REF!</v>
      </c>
      <c r="I231" s="4" t="e">
        <f t="shared" si="17"/>
        <v>#REF!</v>
      </c>
      <c r="J231" s="21" t="e">
        <f t="shared" si="20"/>
        <v>#REF!</v>
      </c>
    </row>
    <row r="232" spans="2:10" hidden="1" x14ac:dyDescent="0.4">
      <c r="B232" s="2" t="s">
        <v>143</v>
      </c>
      <c r="C232" s="3" t="s">
        <v>132</v>
      </c>
      <c r="D232" s="3" t="s">
        <v>133</v>
      </c>
      <c r="E232" s="3" t="s">
        <v>134</v>
      </c>
      <c r="F232" s="3" t="s">
        <v>135</v>
      </c>
      <c r="G232" s="4"/>
      <c r="H232" s="4" t="e">
        <f>INDEX(#REF!,MATCH(셀트리온제약!$F232,#REF!,0),MATCH(셀트리온제약!$B232,#REF!,0))</f>
        <v>#REF!</v>
      </c>
      <c r="I232" s="4" t="e">
        <f t="shared" si="17"/>
        <v>#REF!</v>
      </c>
      <c r="J232" s="21" t="e">
        <f t="shared" si="20"/>
        <v>#REF!</v>
      </c>
    </row>
    <row r="233" spans="2:10" hidden="1" x14ac:dyDescent="0.4">
      <c r="B233" s="2" t="s">
        <v>143</v>
      </c>
      <c r="C233" s="3" t="s">
        <v>132</v>
      </c>
      <c r="D233" s="3" t="s">
        <v>133</v>
      </c>
      <c r="E233" s="3" t="s">
        <v>134</v>
      </c>
      <c r="F233" s="3" t="s">
        <v>136</v>
      </c>
      <c r="G233" s="4"/>
      <c r="H233" s="4" t="e">
        <f>INDEX(#REF!,MATCH(셀트리온제약!$F233,#REF!,0),MATCH(셀트리온제약!$B233,#REF!,0))</f>
        <v>#REF!</v>
      </c>
      <c r="I233" s="4" t="e">
        <f t="shared" si="17"/>
        <v>#REF!</v>
      </c>
      <c r="J233" s="21" t="e">
        <f t="shared" si="20"/>
        <v>#REF!</v>
      </c>
    </row>
    <row r="234" spans="2:10" hidden="1" x14ac:dyDescent="0.4">
      <c r="B234" s="2" t="s">
        <v>143</v>
      </c>
      <c r="C234" s="3" t="s">
        <v>132</v>
      </c>
      <c r="D234" s="3" t="s">
        <v>133</v>
      </c>
      <c r="E234" s="3" t="s">
        <v>134</v>
      </c>
      <c r="F234" s="3" t="s">
        <v>138</v>
      </c>
      <c r="G234" s="4"/>
      <c r="H234" s="4" t="e">
        <f>INDEX(#REF!,MATCH(셀트리온제약!$F234,#REF!,0),MATCH(셀트리온제약!$B234,#REF!,0))</f>
        <v>#REF!</v>
      </c>
      <c r="I234" s="4" t="e">
        <f t="shared" si="17"/>
        <v>#REF!</v>
      </c>
      <c r="J234" s="21" t="e">
        <f t="shared" si="20"/>
        <v>#REF!</v>
      </c>
    </row>
    <row r="235" spans="2:10" hidden="1" x14ac:dyDescent="0.4">
      <c r="B235" s="2" t="s">
        <v>143</v>
      </c>
      <c r="C235" s="3" t="s">
        <v>132</v>
      </c>
      <c r="D235" s="3" t="s">
        <v>133</v>
      </c>
      <c r="E235" s="3" t="s">
        <v>134</v>
      </c>
      <c r="F235" s="3" t="s">
        <v>139</v>
      </c>
      <c r="G235" s="4"/>
      <c r="H235" s="4" t="e">
        <f>INDEX(#REF!,MATCH(셀트리온제약!$F235,#REF!,0),MATCH(셀트리온제약!$B235,#REF!,0))</f>
        <v>#REF!</v>
      </c>
      <c r="I235" s="4" t="e">
        <f t="shared" si="17"/>
        <v>#REF!</v>
      </c>
      <c r="J235" s="21" t="e">
        <f t="shared" si="20"/>
        <v>#REF!</v>
      </c>
    </row>
    <row r="236" spans="2:10" hidden="1" x14ac:dyDescent="0.4">
      <c r="B236" s="2" t="s">
        <v>143</v>
      </c>
      <c r="C236" s="3" t="s">
        <v>132</v>
      </c>
      <c r="D236" s="3" t="s">
        <v>133</v>
      </c>
      <c r="E236" s="3" t="s">
        <v>134</v>
      </c>
      <c r="F236" s="3" t="s">
        <v>140</v>
      </c>
      <c r="G236" s="4"/>
      <c r="H236" s="4" t="e">
        <f>INDEX(#REF!,MATCH(셀트리온제약!$F236,#REF!,0),MATCH(셀트리온제약!$B236,#REF!,0))</f>
        <v>#REF!</v>
      </c>
      <c r="I236" s="4" t="e">
        <f t="shared" ref="I236:I242" si="21">H236</f>
        <v>#REF!</v>
      </c>
      <c r="J236" s="21" t="e">
        <f t="shared" si="20"/>
        <v>#REF!</v>
      </c>
    </row>
    <row r="237" spans="2:10" hidden="1" x14ac:dyDescent="0.4">
      <c r="B237" s="2" t="s">
        <v>143</v>
      </c>
      <c r="C237" s="3" t="s">
        <v>132</v>
      </c>
      <c r="D237" s="3" t="s">
        <v>133</v>
      </c>
      <c r="E237" s="3" t="s">
        <v>134</v>
      </c>
      <c r="F237" s="3" t="s">
        <v>141</v>
      </c>
      <c r="G237" s="4"/>
      <c r="H237" s="4" t="e">
        <f>INDEX(#REF!,MATCH(셀트리온제약!$F237,#REF!,0),MATCH(셀트리온제약!$B237,#REF!,0))</f>
        <v>#REF!</v>
      </c>
      <c r="I237" s="4" t="e">
        <f t="shared" si="21"/>
        <v>#REF!</v>
      </c>
      <c r="J237" s="21" t="e">
        <f t="shared" si="20"/>
        <v>#REF!</v>
      </c>
    </row>
    <row r="238" spans="2:10" hidden="1" x14ac:dyDescent="0.4">
      <c r="B238" s="2" t="s">
        <v>143</v>
      </c>
      <c r="C238" s="3" t="s">
        <v>132</v>
      </c>
      <c r="D238" s="3" t="s">
        <v>133</v>
      </c>
      <c r="E238" s="3" t="s">
        <v>134</v>
      </c>
      <c r="F238" s="3" t="s">
        <v>145</v>
      </c>
      <c r="G238" s="4"/>
      <c r="H238" s="4" t="e">
        <f>INDEX(#REF!,MATCH(셀트리온제약!$F238,#REF!,0),MATCH(셀트리온제약!$B238,#REF!,0))</f>
        <v>#REF!</v>
      </c>
      <c r="I238" s="4" t="e">
        <f t="shared" si="21"/>
        <v>#REF!</v>
      </c>
      <c r="J238" s="21" t="e">
        <f t="shared" si="20"/>
        <v>#REF!</v>
      </c>
    </row>
    <row r="239" spans="2:10" hidden="1" x14ac:dyDescent="0.4">
      <c r="B239" s="2" t="s">
        <v>143</v>
      </c>
      <c r="C239" s="3" t="s">
        <v>132</v>
      </c>
      <c r="D239" s="3" t="s">
        <v>133</v>
      </c>
      <c r="E239" s="3" t="s">
        <v>134</v>
      </c>
      <c r="F239" s="3" t="s">
        <v>146</v>
      </c>
      <c r="G239" s="4"/>
      <c r="H239" s="4" t="e">
        <f>INDEX(#REF!,MATCH(셀트리온제약!$F239,#REF!,0),MATCH(셀트리온제약!$B239,#REF!,0))</f>
        <v>#REF!</v>
      </c>
      <c r="I239" s="4" t="e">
        <f t="shared" si="21"/>
        <v>#REF!</v>
      </c>
      <c r="J239" s="21" t="e">
        <f t="shared" si="20"/>
        <v>#REF!</v>
      </c>
    </row>
    <row r="240" spans="2:10" hidden="1" x14ac:dyDescent="0.4">
      <c r="B240" s="2" t="s">
        <v>143</v>
      </c>
      <c r="C240" s="3" t="s">
        <v>132</v>
      </c>
      <c r="D240" s="3" t="s">
        <v>133</v>
      </c>
      <c r="E240" s="3" t="s">
        <v>134</v>
      </c>
      <c r="F240" s="3" t="s">
        <v>525</v>
      </c>
      <c r="G240" s="4"/>
      <c r="H240" s="4" t="e">
        <f>INDEX(#REF!,MATCH(셀트리온제약!$F240,#REF!,0),MATCH(셀트리온제약!$B240,#REF!,0))</f>
        <v>#REF!</v>
      </c>
      <c r="I240" s="4" t="e">
        <f t="shared" si="21"/>
        <v>#REF!</v>
      </c>
      <c r="J240" s="21" t="e">
        <f t="shared" si="20"/>
        <v>#REF!</v>
      </c>
    </row>
    <row r="241" spans="2:10" hidden="1" x14ac:dyDescent="0.4">
      <c r="B241" s="2" t="s">
        <v>143</v>
      </c>
      <c r="C241" s="3" t="s">
        <v>132</v>
      </c>
      <c r="D241" s="3" t="s">
        <v>133</v>
      </c>
      <c r="E241" s="3" t="s">
        <v>526</v>
      </c>
      <c r="F241" s="3" t="s">
        <v>362</v>
      </c>
      <c r="G241" s="4"/>
      <c r="H241" s="4" t="e">
        <f>INDEX(#REF!,MATCH(셀트리온제약!$F241,#REF!,0),MATCH(셀트리온제약!$B241,#REF!,0))</f>
        <v>#REF!</v>
      </c>
      <c r="I241" s="4" t="e">
        <f t="shared" si="21"/>
        <v>#REF!</v>
      </c>
      <c r="J241" s="21" t="e">
        <f t="shared" si="20"/>
        <v>#REF!</v>
      </c>
    </row>
    <row r="242" spans="2:10" ht="18" hidden="1" thickBot="1" x14ac:dyDescent="0.45">
      <c r="B242" s="13" t="s">
        <v>143</v>
      </c>
      <c r="C242" s="17" t="s">
        <v>132</v>
      </c>
      <c r="D242" s="17" t="s">
        <v>133</v>
      </c>
      <c r="E242" s="17" t="s">
        <v>526</v>
      </c>
      <c r="F242" s="17" t="s">
        <v>366</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x14ac:dyDescent="0.4"/>
  <cols>
    <col min="2" max="2" width="16.59765625" bestFit="1" customWidth="1"/>
    <col min="3" max="14" width="15.59765625" bestFit="1" customWidth="1"/>
  </cols>
  <sheetData>
    <row r="3" spans="1:14" x14ac:dyDescent="0.4">
      <c r="A3" t="s">
        <v>386</v>
      </c>
      <c r="B3" t="s">
        <v>527</v>
      </c>
      <c r="C3" t="s">
        <v>528</v>
      </c>
      <c r="D3" t="s">
        <v>529</v>
      </c>
      <c r="E3" t="s">
        <v>530</v>
      </c>
      <c r="F3" t="s">
        <v>531</v>
      </c>
      <c r="G3" t="s">
        <v>532</v>
      </c>
      <c r="H3" t="s">
        <v>533</v>
      </c>
      <c r="I3" t="s">
        <v>534</v>
      </c>
      <c r="J3" t="s">
        <v>535</v>
      </c>
      <c r="K3" t="s">
        <v>536</v>
      </c>
      <c r="L3" t="s">
        <v>537</v>
      </c>
      <c r="M3" t="s">
        <v>538</v>
      </c>
      <c r="N3" t="s">
        <v>539</v>
      </c>
    </row>
    <row r="4" spans="1:14" x14ac:dyDescent="0.4">
      <c r="A4" t="s">
        <v>390</v>
      </c>
      <c r="B4" t="s">
        <v>362</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x14ac:dyDescent="0.4">
      <c r="A5" t="s">
        <v>390</v>
      </c>
      <c r="B5" t="s">
        <v>366</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x14ac:dyDescent="0.4">
      <c r="A6" t="s">
        <v>342</v>
      </c>
      <c r="B6" t="s">
        <v>540</v>
      </c>
      <c r="C6" s="1">
        <v>0</v>
      </c>
      <c r="D6" s="1">
        <v>0</v>
      </c>
      <c r="E6" s="1">
        <v>0</v>
      </c>
      <c r="F6" s="1">
        <v>0</v>
      </c>
      <c r="G6" s="1">
        <v>0</v>
      </c>
      <c r="H6" s="1">
        <v>0</v>
      </c>
      <c r="I6" s="1">
        <v>0</v>
      </c>
      <c r="J6" s="1">
        <v>0</v>
      </c>
      <c r="K6" s="1">
        <v>0</v>
      </c>
      <c r="L6" s="1">
        <v>0</v>
      </c>
      <c r="M6" s="1">
        <v>0</v>
      </c>
      <c r="N6" s="1">
        <v>0</v>
      </c>
    </row>
    <row r="7" spans="1:14" x14ac:dyDescent="0.4">
      <c r="A7" t="s">
        <v>342</v>
      </c>
      <c r="B7" t="s">
        <v>354</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x14ac:dyDescent="0.4">
      <c r="A8" t="s">
        <v>342</v>
      </c>
      <c r="B8" t="s">
        <v>355</v>
      </c>
      <c r="C8" s="1">
        <v>0</v>
      </c>
      <c r="D8" s="1">
        <v>0</v>
      </c>
      <c r="E8" s="1">
        <v>0</v>
      </c>
      <c r="F8" s="1">
        <v>0</v>
      </c>
      <c r="G8" s="1">
        <v>0</v>
      </c>
      <c r="H8" s="1">
        <v>0</v>
      </c>
      <c r="I8" s="1">
        <v>0</v>
      </c>
      <c r="J8" s="1">
        <v>0</v>
      </c>
      <c r="K8" s="1">
        <v>0</v>
      </c>
      <c r="L8" s="1">
        <v>0</v>
      </c>
      <c r="M8" s="1">
        <v>0</v>
      </c>
      <c r="N8" s="1">
        <v>0</v>
      </c>
    </row>
    <row r="9" spans="1:14" x14ac:dyDescent="0.4">
      <c r="A9" t="s">
        <v>342</v>
      </c>
      <c r="B9" t="s">
        <v>356</v>
      </c>
      <c r="C9" s="1">
        <v>0</v>
      </c>
      <c r="D9" s="1">
        <v>0</v>
      </c>
      <c r="E9" s="1">
        <v>0</v>
      </c>
      <c r="F9" s="1">
        <v>0</v>
      </c>
      <c r="G9" s="1">
        <v>0</v>
      </c>
      <c r="H9" s="1">
        <v>0</v>
      </c>
      <c r="I9" s="1">
        <v>0</v>
      </c>
      <c r="J9" s="1">
        <v>0</v>
      </c>
      <c r="K9" s="1">
        <v>0</v>
      </c>
      <c r="L9" s="1">
        <v>0</v>
      </c>
      <c r="M9" s="1">
        <v>0</v>
      </c>
      <c r="N9" s="1">
        <v>0</v>
      </c>
    </row>
    <row r="10" spans="1:14" x14ac:dyDescent="0.4">
      <c r="A10" t="s">
        <v>342</v>
      </c>
      <c r="B10" t="s">
        <v>358</v>
      </c>
      <c r="C10" s="1">
        <v>0</v>
      </c>
      <c r="D10" s="1">
        <v>0</v>
      </c>
      <c r="E10" s="1">
        <v>0</v>
      </c>
      <c r="F10" s="1">
        <v>0</v>
      </c>
      <c r="G10" s="1">
        <v>0</v>
      </c>
      <c r="H10" s="1">
        <v>0</v>
      </c>
      <c r="I10" s="1">
        <v>0</v>
      </c>
      <c r="J10" s="1">
        <v>0</v>
      </c>
      <c r="K10" s="1">
        <v>0</v>
      </c>
      <c r="L10" s="1">
        <v>0</v>
      </c>
      <c r="M10" s="1">
        <v>0</v>
      </c>
      <c r="N10" s="1">
        <v>0</v>
      </c>
    </row>
    <row r="11" spans="1:14" x14ac:dyDescent="0.4">
      <c r="A11" t="s">
        <v>342</v>
      </c>
      <c r="B11" t="s">
        <v>541</v>
      </c>
      <c r="C11" s="1">
        <v>0</v>
      </c>
      <c r="D11" s="1">
        <v>0</v>
      </c>
      <c r="E11" s="1">
        <v>0</v>
      </c>
      <c r="F11" s="1">
        <v>0</v>
      </c>
      <c r="G11" s="1">
        <v>0</v>
      </c>
      <c r="H11" s="1">
        <v>0</v>
      </c>
      <c r="I11" s="1">
        <v>0</v>
      </c>
      <c r="J11" s="1">
        <v>0</v>
      </c>
      <c r="K11" s="1">
        <v>0</v>
      </c>
      <c r="L11" s="1">
        <v>0</v>
      </c>
      <c r="M11" s="1">
        <v>0</v>
      </c>
      <c r="N11" s="1">
        <v>0</v>
      </c>
    </row>
    <row r="12" spans="1:14" x14ac:dyDescent="0.4">
      <c r="A12" t="s">
        <v>342</v>
      </c>
      <c r="B12" t="s">
        <v>353</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x14ac:dyDescent="0.4">
      <c r="A13" t="s">
        <v>342</v>
      </c>
      <c r="B13" t="s">
        <v>357</v>
      </c>
      <c r="C13" s="1">
        <v>0</v>
      </c>
      <c r="D13" s="1">
        <v>0</v>
      </c>
      <c r="E13" s="1">
        <v>0</v>
      </c>
      <c r="F13" s="1">
        <v>0</v>
      </c>
      <c r="G13" s="1">
        <v>0</v>
      </c>
      <c r="H13" s="1">
        <v>0</v>
      </c>
      <c r="I13" s="1">
        <v>0</v>
      </c>
      <c r="J13" s="1">
        <v>0</v>
      </c>
      <c r="K13" s="1">
        <v>0</v>
      </c>
      <c r="L13" s="1">
        <v>0</v>
      </c>
      <c r="M13" s="1">
        <v>0</v>
      </c>
      <c r="N13" s="1">
        <v>0</v>
      </c>
    </row>
    <row r="14" spans="1:14" x14ac:dyDescent="0.4">
      <c r="A14" t="s">
        <v>342</v>
      </c>
      <c r="B14" t="s">
        <v>350</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x14ac:dyDescent="0.4">
      <c r="A15" t="s">
        <v>342</v>
      </c>
      <c r="B15" t="s">
        <v>359</v>
      </c>
      <c r="C15" s="1">
        <v>0</v>
      </c>
      <c r="D15" s="1">
        <v>0</v>
      </c>
      <c r="E15" s="1">
        <v>0</v>
      </c>
      <c r="F15" s="1">
        <v>0</v>
      </c>
      <c r="G15" s="1">
        <v>0</v>
      </c>
      <c r="H15" s="1">
        <v>0</v>
      </c>
      <c r="I15" s="1">
        <v>0</v>
      </c>
      <c r="J15" s="1">
        <v>0</v>
      </c>
      <c r="K15" s="1">
        <v>0</v>
      </c>
      <c r="L15" s="1">
        <v>0</v>
      </c>
      <c r="M15" s="1">
        <v>0</v>
      </c>
      <c r="N15" s="1">
        <v>0</v>
      </c>
    </row>
    <row r="16" spans="1:14" x14ac:dyDescent="0.4">
      <c r="A16" t="s">
        <v>342</v>
      </c>
      <c r="B16" t="s">
        <v>346</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x14ac:dyDescent="0.4">
      <c r="A17" t="s">
        <v>342</v>
      </c>
      <c r="B17" t="s">
        <v>344</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x14ac:dyDescent="0.4">
      <c r="A18" t="s">
        <v>342</v>
      </c>
      <c r="B18" t="s">
        <v>345</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x14ac:dyDescent="0.4">
      <c r="A19" t="s">
        <v>370</v>
      </c>
      <c r="B19" t="s">
        <v>138</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x14ac:dyDescent="0.4">
      <c r="A20" t="s">
        <v>370</v>
      </c>
      <c r="B20" t="s">
        <v>542</v>
      </c>
      <c r="C20" s="1">
        <v>0</v>
      </c>
      <c r="D20" s="1">
        <v>0</v>
      </c>
      <c r="E20" s="1">
        <v>0</v>
      </c>
      <c r="F20" s="1">
        <v>0</v>
      </c>
      <c r="G20" s="1">
        <v>0</v>
      </c>
      <c r="H20" s="1">
        <v>0</v>
      </c>
      <c r="I20" s="1">
        <v>0</v>
      </c>
      <c r="J20" s="1">
        <v>0</v>
      </c>
      <c r="K20" s="1">
        <v>0</v>
      </c>
      <c r="L20" s="1">
        <v>0</v>
      </c>
      <c r="M20" s="1">
        <v>0</v>
      </c>
      <c r="N20" s="1">
        <v>0</v>
      </c>
    </row>
    <row r="21" spans="1:14" x14ac:dyDescent="0.4">
      <c r="A21" t="s">
        <v>370</v>
      </c>
      <c r="B21" t="s">
        <v>139</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x14ac:dyDescent="0.4">
      <c r="A22" t="s">
        <v>370</v>
      </c>
      <c r="B22" t="s">
        <v>543</v>
      </c>
      <c r="C22" s="1">
        <v>0</v>
      </c>
      <c r="D22" s="1">
        <v>0</v>
      </c>
      <c r="E22" s="1">
        <v>0</v>
      </c>
      <c r="F22" s="1">
        <v>0</v>
      </c>
      <c r="G22" s="1">
        <v>0</v>
      </c>
      <c r="H22" s="1">
        <v>0</v>
      </c>
      <c r="I22" s="1">
        <v>0</v>
      </c>
      <c r="J22" s="1">
        <v>0</v>
      </c>
      <c r="K22" s="1">
        <v>0</v>
      </c>
      <c r="L22" s="1">
        <v>0</v>
      </c>
      <c r="M22" s="1">
        <v>0</v>
      </c>
      <c r="N22" s="1">
        <v>0</v>
      </c>
    </row>
    <row r="23" spans="1:14" x14ac:dyDescent="0.4">
      <c r="A23" t="s">
        <v>370</v>
      </c>
      <c r="B23" t="s">
        <v>136</v>
      </c>
      <c r="C23" s="1">
        <v>155480000</v>
      </c>
      <c r="D23" s="1">
        <v>77958400</v>
      </c>
      <c r="E23" s="1">
        <v>387902400</v>
      </c>
      <c r="F23" s="1">
        <v>0</v>
      </c>
      <c r="G23" s="1">
        <v>275148000</v>
      </c>
      <c r="H23" s="1">
        <v>0</v>
      </c>
      <c r="I23" s="1">
        <v>0</v>
      </c>
      <c r="J23" s="1">
        <v>0</v>
      </c>
      <c r="K23" s="1">
        <v>0</v>
      </c>
      <c r="L23" s="1">
        <v>0</v>
      </c>
      <c r="M23" s="1">
        <v>0</v>
      </c>
      <c r="N23" s="1">
        <v>0</v>
      </c>
    </row>
    <row r="24" spans="1:14" x14ac:dyDescent="0.4">
      <c r="A24" t="s">
        <v>370</v>
      </c>
      <c r="B24" t="s">
        <v>135</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x14ac:dyDescent="0.4">
      <c r="A25" t="s">
        <v>370</v>
      </c>
      <c r="B25" t="s">
        <v>140</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x14ac:dyDescent="0.4">
      <c r="A26" t="s">
        <v>370</v>
      </c>
      <c r="B26" t="s">
        <v>141</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x14ac:dyDescent="0.4">
      <c r="A27" t="s">
        <v>370</v>
      </c>
      <c r="B27" t="s">
        <v>145</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x14ac:dyDescent="0.4">
      <c r="A28" t="s">
        <v>370</v>
      </c>
      <c r="B28" t="s">
        <v>544</v>
      </c>
      <c r="C28" s="1">
        <v>0</v>
      </c>
      <c r="D28" s="1">
        <v>170000000</v>
      </c>
      <c r="E28" s="1">
        <v>85000000</v>
      </c>
      <c r="F28" s="1">
        <v>0</v>
      </c>
      <c r="G28" s="1">
        <v>340000000</v>
      </c>
      <c r="H28" s="1">
        <v>0</v>
      </c>
      <c r="I28" s="1">
        <v>0</v>
      </c>
      <c r="J28" s="1">
        <v>0</v>
      </c>
      <c r="K28" s="1">
        <v>0</v>
      </c>
      <c r="L28" s="1">
        <v>0</v>
      </c>
      <c r="M28" s="1">
        <v>0</v>
      </c>
      <c r="N28" s="1">
        <v>0</v>
      </c>
    </row>
    <row r="29" spans="1:14" x14ac:dyDescent="0.4">
      <c r="A29" t="s">
        <v>370</v>
      </c>
      <c r="B29" t="s">
        <v>545</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x14ac:dyDescent="0.4">
      <c r="A30" t="s">
        <v>314</v>
      </c>
      <c r="B30" t="s">
        <v>324</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x14ac:dyDescent="0.4">
      <c r="A31" t="s">
        <v>314</v>
      </c>
      <c r="B31" t="s">
        <v>315</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x14ac:dyDescent="0.4">
      <c r="A32" t="s">
        <v>314</v>
      </c>
      <c r="B32" t="s">
        <v>88</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x14ac:dyDescent="0.4">
      <c r="A33" t="s">
        <v>314</v>
      </c>
      <c r="B33" t="s">
        <v>320</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x14ac:dyDescent="0.4">
      <c r="A34" t="s">
        <v>314</v>
      </c>
      <c r="B34" t="s">
        <v>546</v>
      </c>
      <c r="C34" s="1">
        <v>0</v>
      </c>
      <c r="D34" s="1">
        <v>0</v>
      </c>
      <c r="E34" s="1">
        <v>0</v>
      </c>
      <c r="F34" s="1">
        <v>0</v>
      </c>
      <c r="G34" s="1">
        <v>0</v>
      </c>
      <c r="H34" s="1">
        <v>0</v>
      </c>
      <c r="I34" s="1">
        <v>0</v>
      </c>
      <c r="J34" s="1">
        <v>0</v>
      </c>
      <c r="K34" s="1">
        <v>0</v>
      </c>
      <c r="L34" s="1">
        <v>0</v>
      </c>
      <c r="M34" s="1">
        <v>0</v>
      </c>
      <c r="N34" s="1">
        <v>0</v>
      </c>
    </row>
    <row r="35" spans="1:15" x14ac:dyDescent="0.4">
      <c r="A35" t="s">
        <v>314</v>
      </c>
      <c r="B35" t="s">
        <v>547</v>
      </c>
      <c r="C35">
        <v>475000000</v>
      </c>
      <c r="D35">
        <v>26300000</v>
      </c>
      <c r="E35">
        <v>70750000</v>
      </c>
      <c r="F35">
        <v>35250000</v>
      </c>
      <c r="G35">
        <v>23750000</v>
      </c>
      <c r="H35">
        <v>217375000</v>
      </c>
      <c r="I35">
        <v>237500000</v>
      </c>
      <c r="J35">
        <v>35250000</v>
      </c>
      <c r="K35">
        <v>65000000</v>
      </c>
      <c r="L35">
        <v>475000000</v>
      </c>
      <c r="M35">
        <v>572400000</v>
      </c>
      <c r="N35">
        <v>272750000</v>
      </c>
    </row>
    <row r="36" spans="1:15" x14ac:dyDescent="0.4">
      <c r="A36" t="s">
        <v>548</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x14ac:dyDescent="0.4">
      <c r="A42" t="s">
        <v>549</v>
      </c>
      <c r="B42" t="s">
        <v>550</v>
      </c>
      <c r="C42">
        <v>1</v>
      </c>
      <c r="D42">
        <v>2</v>
      </c>
      <c r="E42">
        <v>3</v>
      </c>
      <c r="F42">
        <v>4</v>
      </c>
      <c r="G42">
        <v>5</v>
      </c>
      <c r="H42">
        <v>6</v>
      </c>
      <c r="I42">
        <v>7</v>
      </c>
      <c r="J42">
        <v>8</v>
      </c>
      <c r="K42">
        <v>9</v>
      </c>
      <c r="L42">
        <v>10</v>
      </c>
      <c r="M42">
        <v>11</v>
      </c>
      <c r="N42">
        <v>12</v>
      </c>
    </row>
    <row r="43" spans="1:15" x14ac:dyDescent="0.4">
      <c r="A43" t="s">
        <v>551</v>
      </c>
      <c r="B43" t="s">
        <v>552</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x14ac:dyDescent="0.4">
      <c r="A44" t="s">
        <v>553</v>
      </c>
      <c r="B44" t="s">
        <v>554</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x14ac:dyDescent="0.4">
      <c r="A45" t="s">
        <v>555</v>
      </c>
      <c r="B45" t="s">
        <v>556</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x14ac:dyDescent="0.4">
      <c r="A46" t="s">
        <v>557</v>
      </c>
      <c r="B46" t="s">
        <v>558</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x14ac:dyDescent="0.4">
      <c r="A47" t="s">
        <v>559</v>
      </c>
      <c r="B47" t="s">
        <v>560</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x14ac:dyDescent="0.4">
      <c r="A48" t="s">
        <v>561</v>
      </c>
      <c r="B48" t="s">
        <v>562</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x14ac:dyDescent="0.4">
      <c r="A49" t="s">
        <v>563</v>
      </c>
      <c r="B49" t="s">
        <v>564</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x14ac:dyDescent="0.4">
      <c r="A50" t="s">
        <v>565</v>
      </c>
      <c r="B50" t="s">
        <v>566</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x14ac:dyDescent="0.4">
      <c r="A51" t="s">
        <v>567</v>
      </c>
      <c r="B51" t="s">
        <v>568</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3</vt:i4>
      </vt:variant>
    </vt:vector>
  </HeadingPairs>
  <TitlesOfParts>
    <vt:vector size="12" baseType="lpstr">
      <vt:lpstr>요약(보고)</vt:lpstr>
      <vt:lpstr>상세 자료 작성</vt:lpstr>
      <vt:lpstr>2024년 계획</vt:lpstr>
      <vt:lpstr>2023년 실적</vt:lpstr>
      <vt:lpstr>연간 에상 (사장님보고)</vt:lpstr>
      <vt:lpstr>1분기 상세</vt:lpstr>
      <vt:lpstr>내재화</vt:lpstr>
      <vt:lpstr>셀트리온제약</vt:lpstr>
      <vt:lpstr>Sheet1</vt:lpstr>
      <vt:lpstr>'상세 자료 작성'!Print_Area</vt:lpstr>
      <vt:lpstr>'연간 에상 (사장님보고)'!Print_Area</vt:lpstr>
      <vt:lpstr>'요약(보고)'!Print_Area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dcterms:created xsi:type="dcterms:W3CDTF">2022-05-23T01:25:49Z</dcterms:created>
  <dcterms:modified xsi:type="dcterms:W3CDTF">2026-03-27T06:35:23Z</dcterms:modified>
  <cp:category/>
  <cp:contentStatus/>
</cp:coreProperties>
</file>