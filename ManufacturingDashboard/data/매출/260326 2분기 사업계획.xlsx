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현재_통합_문서"/>
  <mc:AlternateContent xmlns:mc="http://schemas.openxmlformats.org/markup-compatibility/2006">
    <mc:Choice Requires="x15">
      <x15ac:absPath xmlns:x15ac="http://schemas.microsoft.com/office/spreadsheetml/2010/11/ac" url="\\10.160.102.103\02. 운영지원본부\5. 운영지원팀\00. 주관회의\008. 주간 매출보고 (수)\2026.03.26\"/>
    </mc:Choice>
  </mc:AlternateContent>
  <xr:revisionPtr revIDLastSave="0" documentId="13_ncr:1_{FF171A3A-572A-4981-95F5-F228F456BB16}" xr6:coauthVersionLast="47" xr6:coauthVersionMax="47" xr10:uidLastSave="{00000000-0000-0000-0000-000000000000}"/>
  <bookViews>
    <workbookView xWindow="-108" yWindow="-108" windowWidth="23256" windowHeight="12456" tabRatio="825" activeTab="1" xr2:uid="{00000000-000D-0000-FFFF-FFFF00000000}"/>
  </bookViews>
  <sheets>
    <sheet name="요약(보고)" sheetId="25" r:id="rId1"/>
    <sheet name="상세 자료 작성" sheetId="14" r:id="rId2"/>
    <sheet name="2024년 계획" sheetId="26" state="hidden" r:id="rId3"/>
    <sheet name="연간 에상 (사장님보고)" sheetId="18" state="hidden" r:id="rId4"/>
    <sheet name="1분기 상세" sheetId="13" state="hidden" r:id="rId5"/>
    <sheet name="내재화" sheetId="15" state="hidden" r:id="rId6"/>
    <sheet name="셀트리온제약" sheetId="2" state="hidden" r:id="rId7"/>
    <sheet name="Sheet1" sheetId="12" state="hidden" r:id="rId8"/>
  </sheets>
  <definedNames>
    <definedName name="_">#N/A</definedName>
    <definedName name="__" hidden="1">#REF!</definedName>
    <definedName name="___" hidden="1">#REF!</definedName>
    <definedName name="_______" hidden="1">#REF!</definedName>
    <definedName name="__________" hidden="1">#REF!</definedName>
    <definedName name="_____________________________BRD1">#REF!</definedName>
    <definedName name="_____________________________BRD2">#REF!</definedName>
    <definedName name="_____________________________BRD3">#REF!</definedName>
    <definedName name="_____________________________BRD4">#REF!</definedName>
    <definedName name="_____________________________BRD5">#REF!</definedName>
    <definedName name="_____________________________BRD6">#REF!</definedName>
    <definedName name="_____________________________BRD7">#REF!</definedName>
    <definedName name="_____________________________INT1">#REF!</definedName>
    <definedName name="_____________________________INT2">#REF!</definedName>
    <definedName name="_____________________________INT3">#REF!</definedName>
    <definedName name="_____________________________INT4">#REF!</definedName>
    <definedName name="_____________________________INT5">#REF!</definedName>
    <definedName name="_____________________________INT6">#REF!</definedName>
    <definedName name="_____________________________INT7">#REF!</definedName>
    <definedName name="_____________________________LIC1">#REF!</definedName>
    <definedName name="_____________________________LIC2">#REF!</definedName>
    <definedName name="_____________________________LIC3">#REF!</definedName>
    <definedName name="_____________________________LIC4">#REF!</definedName>
    <definedName name="_____________________________LIC5">#REF!</definedName>
    <definedName name="_____________________________LIC6">#REF!</definedName>
    <definedName name="_____________________________LIC7">#REF!</definedName>
    <definedName name="_____________________________PG1">#REF!</definedName>
    <definedName name="_____________________________PG11">#REF!</definedName>
    <definedName name="_____________________________PG13">#REF!</definedName>
    <definedName name="_____________________________PG17">#REF!</definedName>
    <definedName name="_____________________________PG2">#REF!</definedName>
    <definedName name="_____________________________PG3">#REF!</definedName>
    <definedName name="_____________________________PG4">#REF!</definedName>
    <definedName name="_____________________________PG5">#REF!</definedName>
    <definedName name="_____________________________PG6">#REF!</definedName>
    <definedName name="_____________________________PG7">#REF!</definedName>
    <definedName name="_____________________________PG9">#REF!</definedName>
    <definedName name="_____________________________SUM25">#REF!</definedName>
    <definedName name="____________________________BRD1">#REF!</definedName>
    <definedName name="____________________________BRD2">#REF!</definedName>
    <definedName name="____________________________BRD3">#REF!</definedName>
    <definedName name="____________________________BRD4">#REF!</definedName>
    <definedName name="____________________________BRD5">#REF!</definedName>
    <definedName name="____________________________BRD6">#REF!</definedName>
    <definedName name="____________________________BRD7">#REF!</definedName>
    <definedName name="____________________________INT1">#REF!</definedName>
    <definedName name="____________________________INT2">#REF!</definedName>
    <definedName name="____________________________INT3">#REF!</definedName>
    <definedName name="____________________________INT4">#REF!</definedName>
    <definedName name="____________________________INT5">#REF!</definedName>
    <definedName name="____________________________INT6">#REF!</definedName>
    <definedName name="____________________________INT7">#REF!</definedName>
    <definedName name="____________________________LIC1">#REF!</definedName>
    <definedName name="____________________________LIC2">#REF!</definedName>
    <definedName name="____________________________LIC3">#REF!</definedName>
    <definedName name="____________________________LIC4">#REF!</definedName>
    <definedName name="____________________________LIC5">#REF!</definedName>
    <definedName name="____________________________LIC6">#REF!</definedName>
    <definedName name="____________________________LIC7">#REF!</definedName>
    <definedName name="____________________________PG1">#REF!</definedName>
    <definedName name="____________________________PG11">#REF!</definedName>
    <definedName name="____________________________PG13">#REF!</definedName>
    <definedName name="____________________________PG17">#REF!</definedName>
    <definedName name="____________________________PG2">#REF!</definedName>
    <definedName name="____________________________PG3">#REF!</definedName>
    <definedName name="____________________________PG4">#REF!</definedName>
    <definedName name="____________________________PG5">#REF!</definedName>
    <definedName name="____________________________PG6">#REF!</definedName>
    <definedName name="____________________________PG7">#REF!</definedName>
    <definedName name="____________________________PG9">#REF!</definedName>
    <definedName name="____________________________SUM25">#REF!</definedName>
    <definedName name="___________________________BRD1">#REF!</definedName>
    <definedName name="___________________________BRD2">#REF!</definedName>
    <definedName name="___________________________BRD3">#REF!</definedName>
    <definedName name="___________________________BRD4">#REF!</definedName>
    <definedName name="___________________________BRD5">#REF!</definedName>
    <definedName name="___________________________BRD6">#REF!</definedName>
    <definedName name="___________________________BRD7">#REF!</definedName>
    <definedName name="___________________________INT1">#REF!</definedName>
    <definedName name="___________________________INT2">#REF!</definedName>
    <definedName name="___________________________INT3">#REF!</definedName>
    <definedName name="___________________________INT4">#REF!</definedName>
    <definedName name="___________________________INT5">#REF!</definedName>
    <definedName name="___________________________INT6">#REF!</definedName>
    <definedName name="___________________________INT7">#REF!</definedName>
    <definedName name="___________________________LIC1">#REF!</definedName>
    <definedName name="___________________________LIC2">#REF!</definedName>
    <definedName name="___________________________LIC3">#REF!</definedName>
    <definedName name="___________________________LIC4">#REF!</definedName>
    <definedName name="___________________________LIC5">#REF!</definedName>
    <definedName name="___________________________LIC6">#REF!</definedName>
    <definedName name="___________________________LIC7">#REF!</definedName>
    <definedName name="___________________________PG1">#REF!</definedName>
    <definedName name="___________________________PG11">#REF!</definedName>
    <definedName name="___________________________PG13">#REF!</definedName>
    <definedName name="___________________________PG17">#REF!</definedName>
    <definedName name="___________________________PG2">#REF!</definedName>
    <definedName name="___________________________PG3">#REF!</definedName>
    <definedName name="___________________________PG4">#REF!</definedName>
    <definedName name="___________________________PG5">#REF!</definedName>
    <definedName name="___________________________PG6">#REF!</definedName>
    <definedName name="___________________________PG7">#REF!</definedName>
    <definedName name="___________________________PG9">#REF!</definedName>
    <definedName name="___________________________SUM25">#REF!</definedName>
    <definedName name="__________________________BRD1">#REF!</definedName>
    <definedName name="__________________________BRD2">#REF!</definedName>
    <definedName name="__________________________BRD3">#REF!</definedName>
    <definedName name="__________________________BRD4">#REF!</definedName>
    <definedName name="__________________________BRD5">#REF!</definedName>
    <definedName name="__________________________BRD6">#REF!</definedName>
    <definedName name="__________________________BRD7">#REF!</definedName>
    <definedName name="__________________________INT1">#REF!</definedName>
    <definedName name="__________________________INT2">#REF!</definedName>
    <definedName name="__________________________INT3">#REF!</definedName>
    <definedName name="__________________________INT4">#REF!</definedName>
    <definedName name="__________________________INT5">#REF!</definedName>
    <definedName name="__________________________INT6">#REF!</definedName>
    <definedName name="__________________________INT7">#REF!</definedName>
    <definedName name="__________________________LIC1">#REF!</definedName>
    <definedName name="__________________________LIC2">#REF!</definedName>
    <definedName name="__________________________LIC3">#REF!</definedName>
    <definedName name="__________________________LIC4">#REF!</definedName>
    <definedName name="__________________________LIC5">#REF!</definedName>
    <definedName name="__________________________LIC6">#REF!</definedName>
    <definedName name="__________________________LIC7">#REF!</definedName>
    <definedName name="__________________________PG1">#REF!</definedName>
    <definedName name="__________________________PG11">#REF!</definedName>
    <definedName name="__________________________PG13">#REF!</definedName>
    <definedName name="__________________________PG17">#REF!</definedName>
    <definedName name="__________________________PG2">#REF!</definedName>
    <definedName name="__________________________PG3">#REF!</definedName>
    <definedName name="__________________________PG4">#REF!</definedName>
    <definedName name="__________________________PG5">#REF!</definedName>
    <definedName name="__________________________PG6">#REF!</definedName>
    <definedName name="__________________________PG7">#REF!</definedName>
    <definedName name="__________________________PG9">#REF!</definedName>
    <definedName name="__________________________SUM25">#REF!</definedName>
    <definedName name="_________________________BRD1">#REF!</definedName>
    <definedName name="_________________________BRD2">#REF!</definedName>
    <definedName name="_________________________BRD3">#REF!</definedName>
    <definedName name="_________________________BRD4">#REF!</definedName>
    <definedName name="_________________________BRD5">#REF!</definedName>
    <definedName name="_________________________BRD6">#REF!</definedName>
    <definedName name="_________________________BRD7">#REF!</definedName>
    <definedName name="_________________________INT1">#REF!</definedName>
    <definedName name="_________________________INT2">#REF!</definedName>
    <definedName name="_________________________INT3">#REF!</definedName>
    <definedName name="_________________________INT4">#REF!</definedName>
    <definedName name="_________________________INT5">#REF!</definedName>
    <definedName name="_________________________INT6">#REF!</definedName>
    <definedName name="_________________________INT7">#REF!</definedName>
    <definedName name="_________________________LIC1">#REF!</definedName>
    <definedName name="_________________________LIC2">#REF!</definedName>
    <definedName name="_________________________LIC3">#REF!</definedName>
    <definedName name="_________________________LIC4">#REF!</definedName>
    <definedName name="_________________________LIC5">#REF!</definedName>
    <definedName name="_________________________LIC6">#REF!</definedName>
    <definedName name="_________________________LIC7">#REF!</definedName>
    <definedName name="_________________________PG1">#REF!</definedName>
    <definedName name="_________________________PG11">#REF!</definedName>
    <definedName name="_________________________PG13">#REF!</definedName>
    <definedName name="_________________________PG17">#REF!</definedName>
    <definedName name="_________________________PG2">#REF!</definedName>
    <definedName name="_________________________PG3">#REF!</definedName>
    <definedName name="_________________________PG4">#REF!</definedName>
    <definedName name="_________________________PG5">#REF!</definedName>
    <definedName name="_________________________PG6">#REF!</definedName>
    <definedName name="_________________________PG7">#REF!</definedName>
    <definedName name="_________________________PG9">#REF!</definedName>
    <definedName name="_________________________SUM25">#REF!</definedName>
    <definedName name="________________________BRD1">#REF!</definedName>
    <definedName name="________________________BRD2">#REF!</definedName>
    <definedName name="________________________BRD3">#REF!</definedName>
    <definedName name="________________________BRD4">#REF!</definedName>
    <definedName name="________________________BRD5">#REF!</definedName>
    <definedName name="________________________BRD6">#REF!</definedName>
    <definedName name="________________________BRD7">#REF!</definedName>
    <definedName name="________________________INT1">#REF!</definedName>
    <definedName name="________________________INT2">#REF!</definedName>
    <definedName name="________________________INT3">#REF!</definedName>
    <definedName name="________________________INT4">#REF!</definedName>
    <definedName name="________________________INT5">#REF!</definedName>
    <definedName name="________________________INT6">#REF!</definedName>
    <definedName name="________________________INT7">#REF!</definedName>
    <definedName name="________________________LIC1">#REF!</definedName>
    <definedName name="________________________LIC2">#REF!</definedName>
    <definedName name="________________________LIC3">#REF!</definedName>
    <definedName name="________________________LIC4">#REF!</definedName>
    <definedName name="________________________LIC5">#REF!</definedName>
    <definedName name="________________________LIC6">#REF!</definedName>
    <definedName name="________________________LIC7">#REF!</definedName>
    <definedName name="________________________PG1">#REF!</definedName>
    <definedName name="________________________PG11">#REF!</definedName>
    <definedName name="________________________PG13">#REF!</definedName>
    <definedName name="________________________PG17">#REF!</definedName>
    <definedName name="________________________PG2">#REF!</definedName>
    <definedName name="________________________PG3">#REF!</definedName>
    <definedName name="________________________PG4">#REF!</definedName>
    <definedName name="________________________PG5">#REF!</definedName>
    <definedName name="________________________PG6">#REF!</definedName>
    <definedName name="________________________PG7">#REF!</definedName>
    <definedName name="________________________PG9">#REF!</definedName>
    <definedName name="________________________SUM25">#REF!</definedName>
    <definedName name="_______________________BRD1">#REF!</definedName>
    <definedName name="_______________________BRD2">#REF!</definedName>
    <definedName name="_______________________BRD3">#REF!</definedName>
    <definedName name="_______________________BRD4">#REF!</definedName>
    <definedName name="_______________________BRD5">#REF!</definedName>
    <definedName name="_______________________BRD6">#REF!</definedName>
    <definedName name="_______________________BRD7">#REF!</definedName>
    <definedName name="_______________________INT1">#REF!</definedName>
    <definedName name="_______________________INT2">#REF!</definedName>
    <definedName name="_______________________INT3">#REF!</definedName>
    <definedName name="_______________________INT4">#REF!</definedName>
    <definedName name="_______________________INT5">#REF!</definedName>
    <definedName name="_______________________INT6">#REF!</definedName>
    <definedName name="_______________________INT7">#REF!</definedName>
    <definedName name="_______________________KO2" localSheetId="2" hidden="1">#REF!</definedName>
    <definedName name="_______________________KO2" hidden="1">#REF!</definedName>
    <definedName name="_______________________LIC1">#REF!</definedName>
    <definedName name="_______________________LIC2">#REF!</definedName>
    <definedName name="_______________________LIC3">#REF!</definedName>
    <definedName name="_______________________LIC4">#REF!</definedName>
    <definedName name="_______________________LIC5">#REF!</definedName>
    <definedName name="_______________________LIC6">#REF!</definedName>
    <definedName name="_______________________LIC7">#REF!</definedName>
    <definedName name="_______________________PG1">#REF!</definedName>
    <definedName name="_______________________PG11">#REF!</definedName>
    <definedName name="_______________________PG13">#REF!</definedName>
    <definedName name="_______________________PG17">#REF!</definedName>
    <definedName name="_______________________PG2">#REF!</definedName>
    <definedName name="_______________________PG3">#REF!</definedName>
    <definedName name="_______________________PG4">#REF!</definedName>
    <definedName name="_______________________PG5">#REF!</definedName>
    <definedName name="_______________________PG6">#REF!</definedName>
    <definedName name="_______________________PG7">#REF!</definedName>
    <definedName name="_______________________PG9">#REF!</definedName>
    <definedName name="_______________________SUM25">#REF!</definedName>
    <definedName name="______________________BRD1">#REF!</definedName>
    <definedName name="______________________BRD2">#REF!</definedName>
    <definedName name="______________________BRD3">#REF!</definedName>
    <definedName name="______________________BRD4">#REF!</definedName>
    <definedName name="______________________BRD5">#REF!</definedName>
    <definedName name="______________________BRD6">#REF!</definedName>
    <definedName name="______________________BRD7">#REF!</definedName>
    <definedName name="______________________INT1">#REF!</definedName>
    <definedName name="______________________INT2">#REF!</definedName>
    <definedName name="______________________INT3">#REF!</definedName>
    <definedName name="______________________INT4">#REF!</definedName>
    <definedName name="______________________INT5">#REF!</definedName>
    <definedName name="______________________INT6">#REF!</definedName>
    <definedName name="______________________INT7">#REF!</definedName>
    <definedName name="______________________KO2" localSheetId="2" hidden="1">#REF!</definedName>
    <definedName name="______________________KO2" hidden="1">#REF!</definedName>
    <definedName name="______________________LIC1">#REF!</definedName>
    <definedName name="______________________LIC2">#REF!</definedName>
    <definedName name="______________________LIC3">#REF!</definedName>
    <definedName name="______________________LIC4">#REF!</definedName>
    <definedName name="______________________LIC5">#REF!</definedName>
    <definedName name="______________________LIC6">#REF!</definedName>
    <definedName name="______________________LIC7">#REF!</definedName>
    <definedName name="______________________PG1">#REF!</definedName>
    <definedName name="______________________PG11">#REF!</definedName>
    <definedName name="______________________PG13">#REF!</definedName>
    <definedName name="______________________PG17">#REF!</definedName>
    <definedName name="______________________PG2">#REF!</definedName>
    <definedName name="______________________PG3">#REF!</definedName>
    <definedName name="______________________PG4">#REF!</definedName>
    <definedName name="______________________PG5">#REF!</definedName>
    <definedName name="______________________PG6">#REF!</definedName>
    <definedName name="______________________PG7">#REF!</definedName>
    <definedName name="______________________PG9">#REF!</definedName>
    <definedName name="______________________SUM25">#REF!</definedName>
    <definedName name="_____________________BRD1">#REF!</definedName>
    <definedName name="_____________________BRD2">#REF!</definedName>
    <definedName name="_____________________BRD3">#REF!</definedName>
    <definedName name="_____________________BRD4">#REF!</definedName>
    <definedName name="_____________________BRD5">#REF!</definedName>
    <definedName name="_____________________BRD6">#REF!</definedName>
    <definedName name="_____________________BRD7">#REF!</definedName>
    <definedName name="_____________________INT1">#REF!</definedName>
    <definedName name="_____________________INT2">#REF!</definedName>
    <definedName name="_____________________INT3">#REF!</definedName>
    <definedName name="_____________________INT4">#REF!</definedName>
    <definedName name="_____________________INT5">#REF!</definedName>
    <definedName name="_____________________INT6">#REF!</definedName>
    <definedName name="_____________________INT7">#REF!</definedName>
    <definedName name="_____________________KO2" hidden="1">#REF!</definedName>
    <definedName name="_____________________LIC1">#REF!</definedName>
    <definedName name="_____________________LIC2">#REF!</definedName>
    <definedName name="_____________________LIC3">#REF!</definedName>
    <definedName name="_____________________LIC4">#REF!</definedName>
    <definedName name="_____________________LIC5">#REF!</definedName>
    <definedName name="_____________________LIC6">#REF!</definedName>
    <definedName name="_____________________LIC7">#REF!</definedName>
    <definedName name="_____________________PG1">#REF!</definedName>
    <definedName name="_____________________PG11">#REF!</definedName>
    <definedName name="_____________________PG13">#REF!</definedName>
    <definedName name="_____________________PG17">#REF!</definedName>
    <definedName name="_____________________PG2">#REF!</definedName>
    <definedName name="_____________________PG3">#REF!</definedName>
    <definedName name="_____________________PG4">#REF!</definedName>
    <definedName name="_____________________PG5">#REF!</definedName>
    <definedName name="_____________________PG6">#REF!</definedName>
    <definedName name="_____________________PG7">#REF!</definedName>
    <definedName name="_____________________PG9">#REF!</definedName>
    <definedName name="_____________________SUM25">#REF!</definedName>
    <definedName name="____________________BRD1">#REF!</definedName>
    <definedName name="____________________BRD2">#REF!</definedName>
    <definedName name="____________________BRD3">#REF!</definedName>
    <definedName name="____________________BRD4">#REF!</definedName>
    <definedName name="____________________BRD5">#REF!</definedName>
    <definedName name="____________________BRD6">#REF!</definedName>
    <definedName name="____________________BRD7">#REF!</definedName>
    <definedName name="____________________INT1">#REF!</definedName>
    <definedName name="____________________INT2">#REF!</definedName>
    <definedName name="____________________INT3">#REF!</definedName>
    <definedName name="____________________INT4">#REF!</definedName>
    <definedName name="____________________INT5">#REF!</definedName>
    <definedName name="____________________INT6">#REF!</definedName>
    <definedName name="____________________INT7">#REF!</definedName>
    <definedName name="____________________KO2" hidden="1">#REF!</definedName>
    <definedName name="____________________LIC1">#REF!</definedName>
    <definedName name="____________________LIC2">#REF!</definedName>
    <definedName name="____________________LIC3">#REF!</definedName>
    <definedName name="____________________LIC4">#REF!</definedName>
    <definedName name="____________________LIC5">#REF!</definedName>
    <definedName name="____________________LIC6">#REF!</definedName>
    <definedName name="____________________LIC7">#REF!</definedName>
    <definedName name="____________________PG1">#REF!</definedName>
    <definedName name="____________________PG11">#REF!</definedName>
    <definedName name="____________________PG13">#REF!</definedName>
    <definedName name="____________________PG17">#REF!</definedName>
    <definedName name="____________________PG2">#REF!</definedName>
    <definedName name="____________________PG3">#REF!</definedName>
    <definedName name="____________________PG4">#REF!</definedName>
    <definedName name="____________________PG5">#REF!</definedName>
    <definedName name="____________________PG6">#REF!</definedName>
    <definedName name="____________________PG7">#REF!</definedName>
    <definedName name="____________________PG9">#REF!</definedName>
    <definedName name="____________________SUM25">#REF!</definedName>
    <definedName name="___________________BRD1">#REF!</definedName>
    <definedName name="___________________BRD2">#REF!</definedName>
    <definedName name="___________________BRD3">#REF!</definedName>
    <definedName name="___________________BRD4">#REF!</definedName>
    <definedName name="___________________BRD5">#REF!</definedName>
    <definedName name="___________________BRD6">#REF!</definedName>
    <definedName name="___________________BRD7">#REF!</definedName>
    <definedName name="___________________INT1">#REF!</definedName>
    <definedName name="___________________INT2">#REF!</definedName>
    <definedName name="___________________INT3">#REF!</definedName>
    <definedName name="___________________INT4">#REF!</definedName>
    <definedName name="___________________INT5">#REF!</definedName>
    <definedName name="___________________INT6">#REF!</definedName>
    <definedName name="___________________INT7">#REF!</definedName>
    <definedName name="___________________KO2" hidden="1">#REF!</definedName>
    <definedName name="___________________LIC1">#REF!</definedName>
    <definedName name="___________________LIC2">#REF!</definedName>
    <definedName name="___________________LIC3">#REF!</definedName>
    <definedName name="___________________LIC4">#REF!</definedName>
    <definedName name="___________________LIC5">#REF!</definedName>
    <definedName name="___________________LIC6">#REF!</definedName>
    <definedName name="___________________LIC7">#REF!</definedName>
    <definedName name="___________________PG1">#REF!</definedName>
    <definedName name="___________________PG11">#REF!</definedName>
    <definedName name="___________________PG13">#REF!</definedName>
    <definedName name="___________________PG17">#REF!</definedName>
    <definedName name="___________________PG2">#REF!</definedName>
    <definedName name="___________________PG3">#REF!</definedName>
    <definedName name="___________________PG4">#REF!</definedName>
    <definedName name="___________________PG5">#REF!</definedName>
    <definedName name="___________________PG6">#REF!</definedName>
    <definedName name="___________________PG7">#REF!</definedName>
    <definedName name="___________________PG9">#REF!</definedName>
    <definedName name="___________________SUM25">#REF!</definedName>
    <definedName name="__________________BRD1">#REF!</definedName>
    <definedName name="__________________BRD2">#REF!</definedName>
    <definedName name="__________________BRD3">#REF!</definedName>
    <definedName name="__________________BRD4">#REF!</definedName>
    <definedName name="__________________BRD5">#REF!</definedName>
    <definedName name="__________________BRD6">#REF!</definedName>
    <definedName name="__________________BRD7">#REF!</definedName>
    <definedName name="__________________INT1">#REF!</definedName>
    <definedName name="__________________INT2">#REF!</definedName>
    <definedName name="__________________INT3">#REF!</definedName>
    <definedName name="__________________INT4">#REF!</definedName>
    <definedName name="__________________INT5">#REF!</definedName>
    <definedName name="__________________INT6">#REF!</definedName>
    <definedName name="__________________INT7">#REF!</definedName>
    <definedName name="__________________KO2" hidden="1">#REF!</definedName>
    <definedName name="__________________LIC1">#REF!</definedName>
    <definedName name="__________________LIC2">#REF!</definedName>
    <definedName name="__________________LIC3">#REF!</definedName>
    <definedName name="__________________LIC4">#REF!</definedName>
    <definedName name="__________________LIC5">#REF!</definedName>
    <definedName name="__________________LIC6">#REF!</definedName>
    <definedName name="__________________LIC7">#REF!</definedName>
    <definedName name="__________________PG1">#REF!</definedName>
    <definedName name="__________________PG11">#REF!</definedName>
    <definedName name="__________________PG13">#REF!</definedName>
    <definedName name="__________________PG17">#REF!</definedName>
    <definedName name="__________________PG2">#REF!</definedName>
    <definedName name="__________________PG3">#REF!</definedName>
    <definedName name="__________________PG4">#REF!</definedName>
    <definedName name="__________________PG5">#REF!</definedName>
    <definedName name="__________________PG6">#REF!</definedName>
    <definedName name="__________________PG7">#REF!</definedName>
    <definedName name="__________________PG9">#REF!</definedName>
    <definedName name="__________________SUM25">#REF!</definedName>
    <definedName name="_________________BRD1">#REF!</definedName>
    <definedName name="_________________BRD2">#REF!</definedName>
    <definedName name="_________________BRD3">#REF!</definedName>
    <definedName name="_________________BRD4">#REF!</definedName>
    <definedName name="_________________BRD5">#REF!</definedName>
    <definedName name="_________________BRD6">#REF!</definedName>
    <definedName name="_________________BRD7">#REF!</definedName>
    <definedName name="_________________INT1">#REF!</definedName>
    <definedName name="_________________INT2">#REF!</definedName>
    <definedName name="_________________INT3">#REF!</definedName>
    <definedName name="_________________INT4">#REF!</definedName>
    <definedName name="_________________INT5">#REF!</definedName>
    <definedName name="_________________INT6">#REF!</definedName>
    <definedName name="_________________INT7">#REF!</definedName>
    <definedName name="_________________KO2" hidden="1">#REF!</definedName>
    <definedName name="_________________LIC1">#REF!</definedName>
    <definedName name="_________________LIC2">#REF!</definedName>
    <definedName name="_________________LIC3">#REF!</definedName>
    <definedName name="_________________LIC4">#REF!</definedName>
    <definedName name="_________________LIC5">#REF!</definedName>
    <definedName name="_________________LIC6">#REF!</definedName>
    <definedName name="_________________LIC7">#REF!</definedName>
    <definedName name="_________________PG1">#REF!</definedName>
    <definedName name="_________________PG11">#REF!</definedName>
    <definedName name="_________________PG13">#REF!</definedName>
    <definedName name="_________________PG17">#REF!</definedName>
    <definedName name="_________________PG2">#REF!</definedName>
    <definedName name="_________________PG3">#REF!</definedName>
    <definedName name="_________________PG4">#REF!</definedName>
    <definedName name="_________________PG5">#REF!</definedName>
    <definedName name="_________________PG6">#REF!</definedName>
    <definedName name="_________________PG7">#REF!</definedName>
    <definedName name="_________________PG9">#REF!</definedName>
    <definedName name="_________________SUM25">#REF!</definedName>
    <definedName name="________________BRD1">#REF!</definedName>
    <definedName name="________________BRD2">#REF!</definedName>
    <definedName name="________________BRD3">#REF!</definedName>
    <definedName name="________________BRD4">#REF!</definedName>
    <definedName name="________________BRD5">#REF!</definedName>
    <definedName name="________________BRD6">#REF!</definedName>
    <definedName name="________________BRD7">#REF!</definedName>
    <definedName name="________________INT1">#REF!</definedName>
    <definedName name="________________INT2">#REF!</definedName>
    <definedName name="________________INT3">#REF!</definedName>
    <definedName name="________________INT4">#REF!</definedName>
    <definedName name="________________INT5">#REF!</definedName>
    <definedName name="________________INT6">#REF!</definedName>
    <definedName name="________________INT7">#REF!</definedName>
    <definedName name="________________KO2" hidden="1">#REF!</definedName>
    <definedName name="________________LIC1">#REF!</definedName>
    <definedName name="________________LIC2">#REF!</definedName>
    <definedName name="________________LIC3">#REF!</definedName>
    <definedName name="________________LIC4">#REF!</definedName>
    <definedName name="________________LIC5">#REF!</definedName>
    <definedName name="________________LIC6">#REF!</definedName>
    <definedName name="________________LIC7">#REF!</definedName>
    <definedName name="________________PG1">#REF!</definedName>
    <definedName name="________________PG11">#REF!</definedName>
    <definedName name="________________PG13">#REF!</definedName>
    <definedName name="________________PG17">#REF!</definedName>
    <definedName name="________________PG2">#REF!</definedName>
    <definedName name="________________PG3">#REF!</definedName>
    <definedName name="________________PG4">#REF!</definedName>
    <definedName name="________________PG5">#REF!</definedName>
    <definedName name="________________PG6">#REF!</definedName>
    <definedName name="________________PG7">#REF!</definedName>
    <definedName name="________________PG9">#REF!</definedName>
    <definedName name="________________SUM25">#REF!</definedName>
    <definedName name="_______________BRD1">#REF!</definedName>
    <definedName name="_______________BRD2">#REF!</definedName>
    <definedName name="_______________BRD3">#REF!</definedName>
    <definedName name="_______________BRD4">#REF!</definedName>
    <definedName name="_______________BRD5">#REF!</definedName>
    <definedName name="_______________BRD6">#REF!</definedName>
    <definedName name="_______________BRD7">#REF!</definedName>
    <definedName name="_______________INT1">#REF!</definedName>
    <definedName name="_______________INT2">#REF!</definedName>
    <definedName name="_______________INT3">#REF!</definedName>
    <definedName name="_______________INT4">#REF!</definedName>
    <definedName name="_______________INT5">#REF!</definedName>
    <definedName name="_______________INT6">#REF!</definedName>
    <definedName name="_______________INT7">#REF!</definedName>
    <definedName name="_______________KO2" hidden="1">#REF!</definedName>
    <definedName name="_______________LIC1">#REF!</definedName>
    <definedName name="_______________LIC2">#REF!</definedName>
    <definedName name="_______________LIC3">#REF!</definedName>
    <definedName name="_______________LIC4">#REF!</definedName>
    <definedName name="_______________LIC5">#REF!</definedName>
    <definedName name="_______________LIC6">#REF!</definedName>
    <definedName name="_______________LIC7">#REF!</definedName>
    <definedName name="_______________PG1">#REF!</definedName>
    <definedName name="_______________PG11">#REF!</definedName>
    <definedName name="_______________PG13">#REF!</definedName>
    <definedName name="_______________PG17">#REF!</definedName>
    <definedName name="_______________PG2">#REF!</definedName>
    <definedName name="_______________PG3">#REF!</definedName>
    <definedName name="_______________PG4">#REF!</definedName>
    <definedName name="_______________PG5">#REF!</definedName>
    <definedName name="_______________PG6">#REF!</definedName>
    <definedName name="_______________PG7">#REF!</definedName>
    <definedName name="_______________PG9">#REF!</definedName>
    <definedName name="_______________SUM25">#REF!</definedName>
    <definedName name="______________AAA1" hidden="1">{#N/A,#N/A,TRUE,"경전'96(1)";#N/A,#N/A,TRUE,"경전'96 (2)"}</definedName>
    <definedName name="______________BRD1">#REF!</definedName>
    <definedName name="______________BRD2">#REF!</definedName>
    <definedName name="______________BRD3">#REF!</definedName>
    <definedName name="______________BRD4">#REF!</definedName>
    <definedName name="______________BRD5">#REF!</definedName>
    <definedName name="______________BRD6">#REF!</definedName>
    <definedName name="______________BRD7">#REF!</definedName>
    <definedName name="______________INT1">#REF!</definedName>
    <definedName name="______________INT2">#REF!</definedName>
    <definedName name="______________INT3">#REF!</definedName>
    <definedName name="______________INT4">#REF!</definedName>
    <definedName name="______________INT5">#REF!</definedName>
    <definedName name="______________INT6">#REF!</definedName>
    <definedName name="______________INT7">#REF!</definedName>
    <definedName name="______________KO2" hidden="1">#REF!</definedName>
    <definedName name="______________LIC1">#REF!</definedName>
    <definedName name="______________LIC2">#REF!</definedName>
    <definedName name="______________LIC3">#REF!</definedName>
    <definedName name="______________LIC4">#REF!</definedName>
    <definedName name="______________LIC5">#REF!</definedName>
    <definedName name="______________LIC6">#REF!</definedName>
    <definedName name="______________LIC7">#REF!</definedName>
    <definedName name="______________PG1">#REF!</definedName>
    <definedName name="______________PG11">#REF!</definedName>
    <definedName name="______________PG13">#REF!</definedName>
    <definedName name="______________PG17">#REF!</definedName>
    <definedName name="______________PG2">#REF!</definedName>
    <definedName name="______________PG3">#REF!</definedName>
    <definedName name="______________PG4">#REF!</definedName>
    <definedName name="______________PG5">#REF!</definedName>
    <definedName name="______________PG6">#REF!</definedName>
    <definedName name="______________PG7">#REF!</definedName>
    <definedName name="______________PG9">#REF!</definedName>
    <definedName name="______________SUM25">#REF!</definedName>
    <definedName name="_____________AAA1" hidden="1">{#N/A,#N/A,TRUE,"경전'96(1)";#N/A,#N/A,TRUE,"경전'96 (2)"}</definedName>
    <definedName name="_____________BRD1">#REF!</definedName>
    <definedName name="_____________BRD2">#REF!</definedName>
    <definedName name="_____________BRD3">#REF!</definedName>
    <definedName name="_____________BRD4">#REF!</definedName>
    <definedName name="_____________BRD5">#REF!</definedName>
    <definedName name="_____________BRD6">#REF!</definedName>
    <definedName name="_____________BRD7">#REF!</definedName>
    <definedName name="_____________INT1">#REF!</definedName>
    <definedName name="_____________INT2">#REF!</definedName>
    <definedName name="_____________INT3">#REF!</definedName>
    <definedName name="_____________INT4">#REF!</definedName>
    <definedName name="_____________INT5">#REF!</definedName>
    <definedName name="_____________INT6">#REF!</definedName>
    <definedName name="_____________INT7">#REF!</definedName>
    <definedName name="_____________KO2" hidden="1">#REF!</definedName>
    <definedName name="_____________LIC1">#REF!</definedName>
    <definedName name="_____________LIC2">#REF!</definedName>
    <definedName name="_____________LIC3">#REF!</definedName>
    <definedName name="_____________LIC4">#REF!</definedName>
    <definedName name="_____________LIC5">#REF!</definedName>
    <definedName name="_____________LIC6">#REF!</definedName>
    <definedName name="_____________LIC7">#REF!</definedName>
    <definedName name="_____________PG1">#REF!</definedName>
    <definedName name="_____________PG11">#REF!</definedName>
    <definedName name="_____________PG13">#REF!</definedName>
    <definedName name="_____________PG17">#REF!</definedName>
    <definedName name="_____________PG2">#REF!</definedName>
    <definedName name="_____________PG3">#REF!</definedName>
    <definedName name="_____________PG4">#REF!</definedName>
    <definedName name="_____________PG5">#REF!</definedName>
    <definedName name="_____________PG6">#REF!</definedName>
    <definedName name="_____________PG7">#REF!</definedName>
    <definedName name="_____________PG9">#REF!</definedName>
    <definedName name="_____________SUM25">#REF!</definedName>
    <definedName name="____________A3" localSheetId="2" hidden="1">{#N/A,#N/A,FALSE,"단축1";#N/A,#N/A,FALSE,"단축2";#N/A,#N/A,FALSE,"단축3";#N/A,#N/A,FALSE,"장축";#N/A,#N/A,FALSE,"4WD"}</definedName>
    <definedName name="____________A3" hidden="1">{#N/A,#N/A,FALSE,"단축1";#N/A,#N/A,FALSE,"단축2";#N/A,#N/A,FALSE,"단축3";#N/A,#N/A,FALSE,"장축";#N/A,#N/A,FALSE,"4WD"}</definedName>
    <definedName name="____________AAA1" hidden="1">{#N/A,#N/A,TRUE,"경전'96(1)";#N/A,#N/A,TRUE,"경전'96 (2)"}</definedName>
    <definedName name="____________BRD1">#REF!</definedName>
    <definedName name="____________BRD2">#REF!</definedName>
    <definedName name="____________BRD3">#REF!</definedName>
    <definedName name="____________BRD4">#REF!</definedName>
    <definedName name="____________BRD5">#REF!</definedName>
    <definedName name="____________BRD6">#REF!</definedName>
    <definedName name="____________BRD7">#REF!</definedName>
    <definedName name="____________INT1">#REF!</definedName>
    <definedName name="____________INT2">#REF!</definedName>
    <definedName name="____________INT3">#REF!</definedName>
    <definedName name="____________INT4">#REF!</definedName>
    <definedName name="____________INT5">#REF!</definedName>
    <definedName name="____________INT6">#REF!</definedName>
    <definedName name="____________INT7">#REF!</definedName>
    <definedName name="____________KO2" hidden="1">#REF!</definedName>
    <definedName name="____________LIC1">#REF!</definedName>
    <definedName name="____________LIC2">#REF!</definedName>
    <definedName name="____________LIC3">#REF!</definedName>
    <definedName name="____________LIC4">#REF!</definedName>
    <definedName name="____________LIC5">#REF!</definedName>
    <definedName name="____________LIC6">#REF!</definedName>
    <definedName name="____________LIC7">#REF!</definedName>
    <definedName name="____________PG1">#REF!</definedName>
    <definedName name="____________PG11">#REF!</definedName>
    <definedName name="____________PG13">#REF!</definedName>
    <definedName name="____________PG17">#REF!</definedName>
    <definedName name="____________PG2">#REF!</definedName>
    <definedName name="____________PG3">#REF!</definedName>
    <definedName name="____________PG4">#REF!</definedName>
    <definedName name="____________PG5">#REF!</definedName>
    <definedName name="____________PG6">#REF!</definedName>
    <definedName name="____________PG7">#REF!</definedName>
    <definedName name="____________PG9">#REF!</definedName>
    <definedName name="____________SUM1" localSheetId="2" hidden="1">{#N/A,#N/A,FALSE,"단축1";#N/A,#N/A,FALSE,"단축2";#N/A,#N/A,FALSE,"단축3";#N/A,#N/A,FALSE,"장축";#N/A,#N/A,FALSE,"4WD"}</definedName>
    <definedName name="____________SUM1" hidden="1">{#N/A,#N/A,FALSE,"단축1";#N/A,#N/A,FALSE,"단축2";#N/A,#N/A,FALSE,"단축3";#N/A,#N/A,FALSE,"장축";#N/A,#N/A,FALSE,"4WD"}</definedName>
    <definedName name="____________SUM25">#REF!</definedName>
    <definedName name="___________AAA1" hidden="1">{#N/A,#N/A,TRUE,"경전'96(1)";#N/A,#N/A,TRUE,"경전'96 (2)"}</definedName>
    <definedName name="___________BRD1">#REF!</definedName>
    <definedName name="___________BRD2">#REF!</definedName>
    <definedName name="___________BRD3">#REF!</definedName>
    <definedName name="___________BRD4">#REF!</definedName>
    <definedName name="___________BRD5">#REF!</definedName>
    <definedName name="___________BRD6">#REF!</definedName>
    <definedName name="___________BRD7">#REF!</definedName>
    <definedName name="___________INT1">#REF!</definedName>
    <definedName name="___________INT2">#REF!</definedName>
    <definedName name="___________INT3">#REF!</definedName>
    <definedName name="___________INT4">#REF!</definedName>
    <definedName name="___________INT5">#REF!</definedName>
    <definedName name="___________INT6">#REF!</definedName>
    <definedName name="___________INT7">#REF!</definedName>
    <definedName name="___________KO2" hidden="1">#REF!</definedName>
    <definedName name="___________LIC1">#REF!</definedName>
    <definedName name="___________LIC2">#REF!</definedName>
    <definedName name="___________LIC3">#REF!</definedName>
    <definedName name="___________LIC4">#REF!</definedName>
    <definedName name="___________LIC5">#REF!</definedName>
    <definedName name="___________LIC6">#REF!</definedName>
    <definedName name="___________LIC7">#REF!</definedName>
    <definedName name="___________PG1">#REF!</definedName>
    <definedName name="___________PG11">#REF!</definedName>
    <definedName name="___________PG13">#REF!</definedName>
    <definedName name="___________PG17">#REF!</definedName>
    <definedName name="___________PG2">#REF!</definedName>
    <definedName name="___________PG3">#REF!</definedName>
    <definedName name="___________PG4">#REF!</definedName>
    <definedName name="___________PG5">#REF!</definedName>
    <definedName name="___________PG6">#REF!</definedName>
    <definedName name="___________PG7">#REF!</definedName>
    <definedName name="___________PG9">#REF!</definedName>
    <definedName name="___________SUM25">#REF!</definedName>
    <definedName name="__________A3" localSheetId="2" hidden="1">{#N/A,#N/A,FALSE,"단축1";#N/A,#N/A,FALSE,"단축2";#N/A,#N/A,FALSE,"단축3";#N/A,#N/A,FALSE,"장축";#N/A,#N/A,FALSE,"4WD"}</definedName>
    <definedName name="__________A3" hidden="1">{#N/A,#N/A,FALSE,"단축1";#N/A,#N/A,FALSE,"단축2";#N/A,#N/A,FALSE,"단축3";#N/A,#N/A,FALSE,"장축";#N/A,#N/A,FALSE,"4WD"}</definedName>
    <definedName name="__________AAA1" hidden="1">{#N/A,#N/A,TRUE,"경전'96(1)";#N/A,#N/A,TRUE,"경전'96 (2)"}</definedName>
    <definedName name="__________BRD1">#REF!</definedName>
    <definedName name="__________BRD2">#REF!</definedName>
    <definedName name="__________BRD3">#REF!</definedName>
    <definedName name="__________BRD4">#REF!</definedName>
    <definedName name="__________BRD5">#REF!</definedName>
    <definedName name="__________BRD6">#REF!</definedName>
    <definedName name="__________BRD7">#REF!</definedName>
    <definedName name="__________HGP1010">{"'Sheet1'!$A$1:$H$36"}</definedName>
    <definedName name="__________INT1">#REF!</definedName>
    <definedName name="__________INT2">#REF!</definedName>
    <definedName name="__________INT3">#REF!</definedName>
    <definedName name="__________INT4">#REF!</definedName>
    <definedName name="__________INT5">#REF!</definedName>
    <definedName name="__________INT6">#REF!</definedName>
    <definedName name="__________INT7">#REF!</definedName>
    <definedName name="________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KO2" hidden="1">#REF!</definedName>
    <definedName name="__________LIC1">#REF!</definedName>
    <definedName name="__________LIC2">#REF!</definedName>
    <definedName name="__________LIC3">#REF!</definedName>
    <definedName name="__________LIC4">#REF!</definedName>
    <definedName name="__________LIC5">#REF!</definedName>
    <definedName name="__________LIC6">#REF!</definedName>
    <definedName name="__________LIC7">#REF!</definedName>
    <definedName name="__________PG1">#REF!</definedName>
    <definedName name="__________PG11">#REF!</definedName>
    <definedName name="__________PG13">#REF!</definedName>
    <definedName name="__________PG17">#REF!</definedName>
    <definedName name="__________PG2">#REF!</definedName>
    <definedName name="__________PG3">#REF!</definedName>
    <definedName name="__________PG4">#REF!</definedName>
    <definedName name="__________PG5">#REF!</definedName>
    <definedName name="__________PG6">#REF!</definedName>
    <definedName name="__________PG7">#REF!</definedName>
    <definedName name="__________PG9">#REF!</definedName>
    <definedName name="__________SUM1" localSheetId="2" hidden="1">{#N/A,#N/A,FALSE,"단축1";#N/A,#N/A,FALSE,"단축2";#N/A,#N/A,FALSE,"단축3";#N/A,#N/A,FALSE,"장축";#N/A,#N/A,FALSE,"4WD"}</definedName>
    <definedName name="__________SUM1" hidden="1">{#N/A,#N/A,FALSE,"단축1";#N/A,#N/A,FALSE,"단축2";#N/A,#N/A,FALSE,"단축3";#N/A,#N/A,FALSE,"장축";#N/A,#N/A,FALSE,"4WD"}</definedName>
    <definedName name="__________SUM25">#REF!</definedName>
    <definedName name="__________wpl2" localSheetId="2" hidden="1">{#N/A,#N/A,FALSE,"Aging Summary";#N/A,#N/A,FALSE,"Ratio Analysis";#N/A,#N/A,FALSE,"Test 120 Day Accts";#N/A,#N/A,FALSE,"Tickmarks"}</definedName>
    <definedName name="__________wpl2" hidden="1">{#N/A,#N/A,FALSE,"Aging Summary";#N/A,#N/A,FALSE,"Ratio Analysis";#N/A,#N/A,FALSE,"Test 120 Day Accts";#N/A,#N/A,FALSE,"Tickmarks"}</definedName>
    <definedName name="_________A3" localSheetId="2" hidden="1">{#N/A,#N/A,FALSE,"단축1";#N/A,#N/A,FALSE,"단축2";#N/A,#N/A,FALSE,"단축3";#N/A,#N/A,FALSE,"장축";#N/A,#N/A,FALSE,"4WD"}</definedName>
    <definedName name="_________A3" hidden="1">{#N/A,#N/A,FALSE,"단축1";#N/A,#N/A,FALSE,"단축2";#N/A,#N/A,FALSE,"단축3";#N/A,#N/A,FALSE,"장축";#N/A,#N/A,FALSE,"4WD"}</definedName>
    <definedName name="_________AAA1" hidden="1">{#N/A,#N/A,TRUE,"경전'96(1)";#N/A,#N/A,TRUE,"경전'96 (2)"}</definedName>
    <definedName name="_________BRD1">#REF!</definedName>
    <definedName name="_________BRD2">#REF!</definedName>
    <definedName name="_________BRD3">#REF!</definedName>
    <definedName name="_________BRD4">#REF!</definedName>
    <definedName name="_________BRD5">#REF!</definedName>
    <definedName name="_________BRD6">#REF!</definedName>
    <definedName name="_________BRD7">#REF!</definedName>
    <definedName name="_________INT1">#REF!</definedName>
    <definedName name="_________INT2">#REF!</definedName>
    <definedName name="_________INT3">#REF!</definedName>
    <definedName name="_________INT4">#REF!</definedName>
    <definedName name="_________INT5">#REF!</definedName>
    <definedName name="_________INT6">#REF!</definedName>
    <definedName name="_________INT7">#REF!</definedName>
    <definedName name="_________KO2" hidden="1">#REF!</definedName>
    <definedName name="_________LIC1">#REF!</definedName>
    <definedName name="_________LIC2">#REF!</definedName>
    <definedName name="_________LIC3">#REF!</definedName>
    <definedName name="_________LIC4">#REF!</definedName>
    <definedName name="_________LIC5">#REF!</definedName>
    <definedName name="_________LIC6">#REF!</definedName>
    <definedName name="_________LIC7">#REF!</definedName>
    <definedName name="_________PG1">#REF!</definedName>
    <definedName name="_________PG11">#REF!</definedName>
    <definedName name="_________PG13">#REF!</definedName>
    <definedName name="_________PG17">#REF!</definedName>
    <definedName name="_________PG2">#REF!</definedName>
    <definedName name="_________PG3">#REF!</definedName>
    <definedName name="_________PG4">#REF!</definedName>
    <definedName name="_________PG5">#REF!</definedName>
    <definedName name="_________PG6">#REF!</definedName>
    <definedName name="_________PG7">#REF!</definedName>
    <definedName name="_________PG9">#REF!</definedName>
    <definedName name="_________SUM1" localSheetId="2" hidden="1">{#N/A,#N/A,FALSE,"단축1";#N/A,#N/A,FALSE,"단축2";#N/A,#N/A,FALSE,"단축3";#N/A,#N/A,FALSE,"장축";#N/A,#N/A,FALSE,"4WD"}</definedName>
    <definedName name="_________SUM1" hidden="1">{#N/A,#N/A,FALSE,"단축1";#N/A,#N/A,FALSE,"단축2";#N/A,#N/A,FALSE,"단축3";#N/A,#N/A,FALSE,"장축";#N/A,#N/A,FALSE,"4WD"}</definedName>
    <definedName name="_________SUM25">#REF!</definedName>
    <definedName name="________A3" localSheetId="2" hidden="1">{#N/A,#N/A,FALSE,"단축1";#N/A,#N/A,FALSE,"단축2";#N/A,#N/A,FALSE,"단축3";#N/A,#N/A,FALSE,"장축";#N/A,#N/A,FALSE,"4WD"}</definedName>
    <definedName name="________A3" hidden="1">{#N/A,#N/A,FALSE,"단축1";#N/A,#N/A,FALSE,"단축2";#N/A,#N/A,FALSE,"단축3";#N/A,#N/A,FALSE,"장축";#N/A,#N/A,FALSE,"4WD"}</definedName>
    <definedName name="________AAA1" hidden="1">{#N/A,#N/A,TRUE,"경전'96(1)";#N/A,#N/A,TRUE,"경전'96 (2)"}</definedName>
    <definedName name="________BRD1">#REF!</definedName>
    <definedName name="________BRD2">#REF!</definedName>
    <definedName name="________BRD3">#REF!</definedName>
    <definedName name="________BRD4">#REF!</definedName>
    <definedName name="________BRD5">#REF!</definedName>
    <definedName name="________BRD6">#REF!</definedName>
    <definedName name="________BRD7">#REF!</definedName>
    <definedName name="________INT1">#REF!</definedName>
    <definedName name="________INT2">#REF!</definedName>
    <definedName name="________INT3">#REF!</definedName>
    <definedName name="________INT4">#REF!</definedName>
    <definedName name="________INT5">#REF!</definedName>
    <definedName name="________INT6">#REF!</definedName>
    <definedName name="________INT7">#REF!</definedName>
    <definedName name="________KO2" hidden="1">#REF!</definedName>
    <definedName name="________LIC1">#REF!</definedName>
    <definedName name="________LIC2">#REF!</definedName>
    <definedName name="________LIC3">#REF!</definedName>
    <definedName name="________LIC4">#REF!</definedName>
    <definedName name="________LIC5">#REF!</definedName>
    <definedName name="________LIC6">#REF!</definedName>
    <definedName name="________LIC7">#REF!</definedName>
    <definedName name="________PG1">#REF!</definedName>
    <definedName name="________PG11">#REF!</definedName>
    <definedName name="________PG13">#REF!</definedName>
    <definedName name="________PG17">#REF!</definedName>
    <definedName name="________PG2">#REF!</definedName>
    <definedName name="________PG3">#REF!</definedName>
    <definedName name="________PG4">#REF!</definedName>
    <definedName name="________PG5">#REF!</definedName>
    <definedName name="________PG6">#REF!</definedName>
    <definedName name="________PG7">#REF!</definedName>
    <definedName name="________PG9">#REF!</definedName>
    <definedName name="________s1" hidden="1">{#N/A,#N/A,FALSE,"UNIT";#N/A,#N/A,FALSE,"UNIT";#N/A,#N/A,FALSE,"계정"}</definedName>
    <definedName name="________s10" hidden="1">{#N/A,#N/A,FALSE,"UNIT";#N/A,#N/A,FALSE,"UNIT";#N/A,#N/A,FALSE,"계정"}</definedName>
    <definedName name="________s11" hidden="1">{#N/A,#N/A,FALSE,"UNIT";#N/A,#N/A,FALSE,"UNIT";#N/A,#N/A,FALSE,"계정"}</definedName>
    <definedName name="________s12" hidden="1">{#N/A,#N/A,FALSE,"UNIT";#N/A,#N/A,FALSE,"UNIT";#N/A,#N/A,FALSE,"계정"}</definedName>
    <definedName name="________s13" hidden="1">{#N/A,#N/A,FALSE,"UNIT";#N/A,#N/A,FALSE,"UNIT";#N/A,#N/A,FALSE,"계정"}</definedName>
    <definedName name="________s14" hidden="1">{#N/A,#N/A,FALSE,"UNIT";#N/A,#N/A,FALSE,"UNIT";#N/A,#N/A,FALSE,"계정"}</definedName>
    <definedName name="________s16" hidden="1">{#N/A,#N/A,FALSE,"UNIT";#N/A,#N/A,FALSE,"UNIT";#N/A,#N/A,FALSE,"계정"}</definedName>
    <definedName name="________s17" hidden="1">{#N/A,#N/A,FALSE,"UNIT";#N/A,#N/A,FALSE,"UNIT";#N/A,#N/A,FALSE,"계정"}</definedName>
    <definedName name="________s2" hidden="1">{#N/A,#N/A,FALSE,"UNIT";#N/A,#N/A,FALSE,"UNIT";#N/A,#N/A,FALSE,"계정"}</definedName>
    <definedName name="________s3" hidden="1">{#N/A,#N/A,FALSE,"UNIT";#N/A,#N/A,FALSE,"UNIT";#N/A,#N/A,FALSE,"계정"}</definedName>
    <definedName name="________s4" hidden="1">{#N/A,#N/A,FALSE,"UNIT";#N/A,#N/A,FALSE,"UNIT";#N/A,#N/A,FALSE,"계정"}</definedName>
    <definedName name="________s5" hidden="1">{#N/A,#N/A,FALSE,"UNIT";#N/A,#N/A,FALSE,"UNIT";#N/A,#N/A,FALSE,"계정"}</definedName>
    <definedName name="________s6" hidden="1">{#N/A,#N/A,FALSE,"UNIT";#N/A,#N/A,FALSE,"UNIT";#N/A,#N/A,FALSE,"계정"}</definedName>
    <definedName name="________s9" hidden="1">{#N/A,#N/A,FALSE,"UNIT";#N/A,#N/A,FALSE,"UNIT";#N/A,#N/A,FALSE,"계정"}</definedName>
    <definedName name="________SUM1" localSheetId="2" hidden="1">{#N/A,#N/A,FALSE,"단축1";#N/A,#N/A,FALSE,"단축2";#N/A,#N/A,FALSE,"단축3";#N/A,#N/A,FALSE,"장축";#N/A,#N/A,FALSE,"4WD"}</definedName>
    <definedName name="________SUM1" hidden="1">{#N/A,#N/A,FALSE,"단축1";#N/A,#N/A,FALSE,"단축2";#N/A,#N/A,FALSE,"단축3";#N/A,#N/A,FALSE,"장축";#N/A,#N/A,FALSE,"4WD"}</definedName>
    <definedName name="________SUM25">#REF!</definedName>
    <definedName name="_______AAA1" hidden="1">{#N/A,#N/A,TRUE,"경전'96(1)";#N/A,#N/A,TRUE,"경전'96 (2)"}</definedName>
    <definedName name="_______BRD1">#REF!</definedName>
    <definedName name="_______BRD2">#REF!</definedName>
    <definedName name="_______BRD3">#REF!</definedName>
    <definedName name="_______BRD4">#REF!</definedName>
    <definedName name="_______BRD5">#REF!</definedName>
    <definedName name="_______BRD6">#REF!</definedName>
    <definedName name="_______BRD7">#REF!</definedName>
    <definedName name="_______INT1">#REF!</definedName>
    <definedName name="_______INT2">#REF!</definedName>
    <definedName name="_______INT3">#REF!</definedName>
    <definedName name="_______INT4">#REF!</definedName>
    <definedName name="_______INT5">#REF!</definedName>
    <definedName name="_______INT6">#REF!</definedName>
    <definedName name="_______INT7">#REF!</definedName>
    <definedName name="_______KO2" hidden="1">#REF!</definedName>
    <definedName name="_______LIC1">#REF!</definedName>
    <definedName name="_______LIC2">#REF!</definedName>
    <definedName name="_______LIC3">#REF!</definedName>
    <definedName name="_______LIC4">#REF!</definedName>
    <definedName name="_______LIC5">#REF!</definedName>
    <definedName name="_______LIC6">#REF!</definedName>
    <definedName name="_______LIC7">#REF!</definedName>
    <definedName name="_______PG1">#REF!</definedName>
    <definedName name="_______PG11">#REF!</definedName>
    <definedName name="_______PG13">#REF!</definedName>
    <definedName name="_______PG17">#REF!</definedName>
    <definedName name="_______PG2">#REF!</definedName>
    <definedName name="_______PG3">#REF!</definedName>
    <definedName name="_______PG4">#REF!</definedName>
    <definedName name="_______PG5">#REF!</definedName>
    <definedName name="_______PG6">#REF!</definedName>
    <definedName name="_______PG7">#REF!</definedName>
    <definedName name="_______PG9">#REF!</definedName>
    <definedName name="_______SUM1" localSheetId="2" hidden="1">{#N/A,#N/A,FALSE,"단축1";#N/A,#N/A,FALSE,"단축2";#N/A,#N/A,FALSE,"단축3";#N/A,#N/A,FALSE,"장축";#N/A,#N/A,FALSE,"4WD"}</definedName>
    <definedName name="_______SUM1" hidden="1">{#N/A,#N/A,FALSE,"단축1";#N/A,#N/A,FALSE,"단축2";#N/A,#N/A,FALSE,"단축3";#N/A,#N/A,FALSE,"장축";#N/A,#N/A,FALSE,"4WD"}</definedName>
    <definedName name="_______SUM25">#REF!</definedName>
    <definedName name="______a1">#REF!</definedName>
    <definedName name="______A3" localSheetId="2" hidden="1">{#N/A,#N/A,FALSE,"단축1";#N/A,#N/A,FALSE,"단축2";#N/A,#N/A,FALSE,"단축3";#N/A,#N/A,FALSE,"장축";#N/A,#N/A,FALSE,"4WD"}</definedName>
    <definedName name="______A3" hidden="1">{#N/A,#N/A,FALSE,"단축1";#N/A,#N/A,FALSE,"단축2";#N/A,#N/A,FALSE,"단축3";#N/A,#N/A,FALSE,"장축";#N/A,#N/A,FALSE,"4WD"}</definedName>
    <definedName name="______AAA1" hidden="1">{#N/A,#N/A,TRUE,"경전'96(1)";#N/A,#N/A,TRUE,"경전'96 (2)"}</definedName>
    <definedName name="______BRD1">#REF!</definedName>
    <definedName name="______BRD2">#REF!</definedName>
    <definedName name="______BRD3">#REF!</definedName>
    <definedName name="______BRD4">#REF!</definedName>
    <definedName name="______BRD5">#REF!</definedName>
    <definedName name="______BRD6">#REF!</definedName>
    <definedName name="______BRD7">#REF!</definedName>
    <definedName name="______Exp97">#REF!</definedName>
    <definedName name="______INT1">#REF!</definedName>
    <definedName name="______INT2">#REF!</definedName>
    <definedName name="______INT3">#REF!</definedName>
    <definedName name="______INT4">#REF!</definedName>
    <definedName name="______INT5">#REF!</definedName>
    <definedName name="______INT6">#REF!</definedName>
    <definedName name="______INT7">#REF!</definedName>
    <definedName name="______KO2" hidden="1">#REF!</definedName>
    <definedName name="______LIC1">#REF!</definedName>
    <definedName name="______LIC2">#REF!</definedName>
    <definedName name="______LIC3">#REF!</definedName>
    <definedName name="______LIC4">#REF!</definedName>
    <definedName name="______LIC5">#REF!</definedName>
    <definedName name="______LIC6">#REF!</definedName>
    <definedName name="______LIC7">#REF!</definedName>
    <definedName name="______PG1">#REF!</definedName>
    <definedName name="______PG11">#REF!</definedName>
    <definedName name="______PG13">#REF!</definedName>
    <definedName name="______PG17">#REF!</definedName>
    <definedName name="______PG2">#REF!</definedName>
    <definedName name="______PG3">#REF!</definedName>
    <definedName name="______PG4">#REF!</definedName>
    <definedName name="______PG5">#REF!</definedName>
    <definedName name="______PG6">#REF!</definedName>
    <definedName name="______PG7">#REF!</definedName>
    <definedName name="______PG9">#REF!</definedName>
    <definedName name="______s1" hidden="1">{#N/A,#N/A,FALSE,"UNIT";#N/A,#N/A,FALSE,"UNIT";#N/A,#N/A,FALSE,"계정"}</definedName>
    <definedName name="______s10" hidden="1">{#N/A,#N/A,FALSE,"UNIT";#N/A,#N/A,FALSE,"UNIT";#N/A,#N/A,FALSE,"계정"}</definedName>
    <definedName name="______s11" hidden="1">{#N/A,#N/A,FALSE,"UNIT";#N/A,#N/A,FALSE,"UNIT";#N/A,#N/A,FALSE,"계정"}</definedName>
    <definedName name="______s12" hidden="1">{#N/A,#N/A,FALSE,"UNIT";#N/A,#N/A,FALSE,"UNIT";#N/A,#N/A,FALSE,"계정"}</definedName>
    <definedName name="______s13" hidden="1">{#N/A,#N/A,FALSE,"UNIT";#N/A,#N/A,FALSE,"UNIT";#N/A,#N/A,FALSE,"계정"}</definedName>
    <definedName name="______s14" hidden="1">{#N/A,#N/A,FALSE,"UNIT";#N/A,#N/A,FALSE,"UNIT";#N/A,#N/A,FALSE,"계정"}</definedName>
    <definedName name="______s16" hidden="1">{#N/A,#N/A,FALSE,"UNIT";#N/A,#N/A,FALSE,"UNIT";#N/A,#N/A,FALSE,"계정"}</definedName>
    <definedName name="______s17" hidden="1">{#N/A,#N/A,FALSE,"UNIT";#N/A,#N/A,FALSE,"UNIT";#N/A,#N/A,FALSE,"계정"}</definedName>
    <definedName name="______s2" hidden="1">{#N/A,#N/A,FALSE,"UNIT";#N/A,#N/A,FALSE,"UNIT";#N/A,#N/A,FALSE,"계정"}</definedName>
    <definedName name="______s3" hidden="1">{#N/A,#N/A,FALSE,"UNIT";#N/A,#N/A,FALSE,"UNIT";#N/A,#N/A,FALSE,"계정"}</definedName>
    <definedName name="______s4" hidden="1">{#N/A,#N/A,FALSE,"UNIT";#N/A,#N/A,FALSE,"UNIT";#N/A,#N/A,FALSE,"계정"}</definedName>
    <definedName name="______s5" hidden="1">{#N/A,#N/A,FALSE,"UNIT";#N/A,#N/A,FALSE,"UNIT";#N/A,#N/A,FALSE,"계정"}</definedName>
    <definedName name="______s6" hidden="1">{#N/A,#N/A,FALSE,"UNIT";#N/A,#N/A,FALSE,"UNIT";#N/A,#N/A,FALSE,"계정"}</definedName>
    <definedName name="______s9" hidden="1">{#N/A,#N/A,FALSE,"UNIT";#N/A,#N/A,FALSE,"UNIT";#N/A,#N/A,FALSE,"계정"}</definedName>
    <definedName name="______SUM1" localSheetId="2" hidden="1">{#N/A,#N/A,FALSE,"단축1";#N/A,#N/A,FALSE,"단축2";#N/A,#N/A,FALSE,"단축3";#N/A,#N/A,FALSE,"장축";#N/A,#N/A,FALSE,"4WD"}</definedName>
    <definedName name="______SUM1" hidden="1">{#N/A,#N/A,FALSE,"단축1";#N/A,#N/A,FALSE,"단축2";#N/A,#N/A,FALSE,"단축3";#N/A,#N/A,FALSE,"장축";#N/A,#N/A,FALSE,"4WD"}</definedName>
    <definedName name="______SUM25">#REF!</definedName>
    <definedName name="______TB112">#REF!</definedName>
    <definedName name="______TB115">#REF!</definedName>
    <definedName name="______TB117">#REF!</definedName>
    <definedName name="______TB122">#REF!</definedName>
    <definedName name="______TB124">#REF!</definedName>
    <definedName name="______TB125">#REF!</definedName>
    <definedName name="______TB126">#REF!</definedName>
    <definedName name="______TB131">#REF!</definedName>
    <definedName name="______TB132">#REF!</definedName>
    <definedName name="______TB211">#REF!</definedName>
    <definedName name="______TB212">#REF!</definedName>
    <definedName name="______TB213">#REF!</definedName>
    <definedName name="______TB214">#REF!</definedName>
    <definedName name="______TB215">#REF!</definedName>
    <definedName name="______TB221">#REF!</definedName>
    <definedName name="______TB2210">#REF!</definedName>
    <definedName name="______TB222">#REF!</definedName>
    <definedName name="______TB223">#REF!</definedName>
    <definedName name="______TB224">#REF!</definedName>
    <definedName name="______TB225">#REF!</definedName>
    <definedName name="______TB226">#REF!</definedName>
    <definedName name="______TB227">#REF!</definedName>
    <definedName name="______TB229">#REF!</definedName>
    <definedName name="______TB311">#REF!</definedName>
    <definedName name="______TB313">#REF!</definedName>
    <definedName name="______TB315">#REF!</definedName>
    <definedName name="______TB317">#REF!</definedName>
    <definedName name="______TB318">#REF!</definedName>
    <definedName name="______TB319">#REF!</definedName>
    <definedName name="______TB321">#REF!</definedName>
    <definedName name="______TB322">#REF!</definedName>
    <definedName name="______TB323">#REF!</definedName>
    <definedName name="______TB324">#REF!</definedName>
    <definedName name="______TB325">#REF!</definedName>
    <definedName name="______TB401">#REF!</definedName>
    <definedName name="______TB402">#REF!</definedName>
    <definedName name="______TB403">#REF!</definedName>
    <definedName name="______TB404">#REF!</definedName>
    <definedName name="______TB405">#REF!</definedName>
    <definedName name="______TB501">#REF!</definedName>
    <definedName name="______TB510">#REF!</definedName>
    <definedName name="______TB511">#REF!</definedName>
    <definedName name="______TB512">#REF!</definedName>
    <definedName name="______TB513">#REF!</definedName>
    <definedName name="______TB601">#REF!</definedName>
    <definedName name="______TB602">#REF!</definedName>
    <definedName name="______TB603">#REF!</definedName>
    <definedName name="______TB604">#REF!</definedName>
    <definedName name="______TB605">#REF!</definedName>
    <definedName name="______TB811">#REF!</definedName>
    <definedName name="______TB812">#REF!</definedName>
    <definedName name="______TB813">#REF!</definedName>
    <definedName name="______TB814">#REF!</definedName>
    <definedName name="______TB820">#REF!</definedName>
    <definedName name="______TBI1001">#REF!</definedName>
    <definedName name="______TBI1002">#REF!</definedName>
    <definedName name="______TBI1003">#REF!</definedName>
    <definedName name="______TBI1004">#REF!</definedName>
    <definedName name="______TBI1005">#REF!</definedName>
    <definedName name="______TBI102">#REF!</definedName>
    <definedName name="______TBI1100">#REF!</definedName>
    <definedName name="______TBI1200">#REF!</definedName>
    <definedName name="______TBI203">#REF!</definedName>
    <definedName name="______TBI401">#REF!</definedName>
    <definedName name="______TBI403">#REF!</definedName>
    <definedName name="______TBI407">#REF!</definedName>
    <definedName name="______TBI416">#REF!</definedName>
    <definedName name="______TBI418">#REF!</definedName>
    <definedName name="______TBI419">#REF!</definedName>
    <definedName name="______TBI420">#REF!</definedName>
    <definedName name="______TBI425">#REF!</definedName>
    <definedName name="______TBI602">#REF!</definedName>
    <definedName name="______TBI603">#REF!</definedName>
    <definedName name="______TBI604">#REF!</definedName>
    <definedName name="______TBI605">#REF!</definedName>
    <definedName name="______TBI606">#REF!</definedName>
    <definedName name="______TBI607">#REF!</definedName>
    <definedName name="______TBI608">#REF!</definedName>
    <definedName name="______TBI609">#REF!</definedName>
    <definedName name="______TBI611">#REF!</definedName>
    <definedName name="______TBI612">#REF!</definedName>
    <definedName name="______TBI613">#REF!</definedName>
    <definedName name="______TBI614">#REF!</definedName>
    <definedName name="______TBI701">#REF!</definedName>
    <definedName name="______TBI703">#REF!</definedName>
    <definedName name="______TBI704">#REF!</definedName>
    <definedName name="______TBI705">#REF!</definedName>
    <definedName name="______TBI706">#REF!</definedName>
    <definedName name="______TBI707">#REF!</definedName>
    <definedName name="______TBI708">#REF!</definedName>
    <definedName name="______TBI709">#REF!</definedName>
    <definedName name="______TBI710">#REF!</definedName>
    <definedName name="______TBI711">#REF!</definedName>
    <definedName name="______TBI712">#REF!</definedName>
    <definedName name="______TBI713">#REF!</definedName>
    <definedName name="______TBI715">#REF!</definedName>
    <definedName name="______TBI717">#REF!</definedName>
    <definedName name="______TBI718">#REF!</definedName>
    <definedName name="______TBI719">#REF!</definedName>
    <definedName name="______TBI902">#REF!</definedName>
    <definedName name="______TBI903">#REF!</definedName>
    <definedName name="______TBI904">#REF!</definedName>
    <definedName name="______TBI905">#REF!</definedName>
    <definedName name="______TBI906">#REF!</definedName>
    <definedName name="______TBI907">#REF!</definedName>
    <definedName name="_____A3" localSheetId="2" hidden="1">{#N/A,#N/A,FALSE,"단축1";#N/A,#N/A,FALSE,"단축2";#N/A,#N/A,FALSE,"단축3";#N/A,#N/A,FALSE,"장축";#N/A,#N/A,FALSE,"4WD"}</definedName>
    <definedName name="_____A3" hidden="1">{#N/A,#N/A,FALSE,"단축1";#N/A,#N/A,FALSE,"단축2";#N/A,#N/A,FALSE,"단축3";#N/A,#N/A,FALSE,"장축";#N/A,#N/A,FALSE,"4WD"}</definedName>
    <definedName name="_____AAA1" hidden="1">{#N/A,#N/A,TRUE,"경전'96(1)";#N/A,#N/A,TRUE,"경전'96 (2)"}</definedName>
    <definedName name="_____BRD1">#REF!</definedName>
    <definedName name="_____BRD2">#REF!</definedName>
    <definedName name="_____BRD3">#REF!</definedName>
    <definedName name="_____BRD4">#REF!</definedName>
    <definedName name="_____BRD5">#REF!</definedName>
    <definedName name="_____BRD6">#REF!</definedName>
    <definedName name="_____BRD7">#REF!</definedName>
    <definedName name="_____Exp97">#REF!</definedName>
    <definedName name="_____INT1">#REF!</definedName>
    <definedName name="_____INT2">#REF!</definedName>
    <definedName name="_____INT3">#REF!</definedName>
    <definedName name="_____INT4">#REF!</definedName>
    <definedName name="_____INT5">#REF!</definedName>
    <definedName name="_____INT6">#REF!</definedName>
    <definedName name="_____INT7">#REF!</definedName>
    <definedName name="_____KO2" hidden="1">#REF!</definedName>
    <definedName name="_____LIC1">#REF!</definedName>
    <definedName name="_____LIC2">#REF!</definedName>
    <definedName name="_____LIC3">#REF!</definedName>
    <definedName name="_____LIC4">#REF!</definedName>
    <definedName name="_____LIC5">#REF!</definedName>
    <definedName name="_____LIC6">#REF!</definedName>
    <definedName name="_____LIC7">#REF!</definedName>
    <definedName name="_____PG1">#REF!</definedName>
    <definedName name="_____PG11">#REF!</definedName>
    <definedName name="_____PG13">#REF!</definedName>
    <definedName name="_____PG17">#REF!</definedName>
    <definedName name="_____PG2">#REF!</definedName>
    <definedName name="_____PG3">#REF!</definedName>
    <definedName name="_____PG4">#REF!</definedName>
    <definedName name="_____PG5">#REF!</definedName>
    <definedName name="_____PG6">#REF!</definedName>
    <definedName name="_____PG7">#REF!</definedName>
    <definedName name="_____PG9">#REF!</definedName>
    <definedName name="_____SUM1" localSheetId="2" hidden="1">{#N/A,#N/A,FALSE,"단축1";#N/A,#N/A,FALSE,"단축2";#N/A,#N/A,FALSE,"단축3";#N/A,#N/A,FALSE,"장축";#N/A,#N/A,FALSE,"4WD"}</definedName>
    <definedName name="_____SUM1" hidden="1">{#N/A,#N/A,FALSE,"단축1";#N/A,#N/A,FALSE,"단축2";#N/A,#N/A,FALSE,"단축3";#N/A,#N/A,FALSE,"장축";#N/A,#N/A,FALSE,"4WD"}</definedName>
    <definedName name="_____SUM25">#REF!</definedName>
    <definedName name="_____TB112">#REF!</definedName>
    <definedName name="_____TB115">#REF!</definedName>
    <definedName name="_____TB117">#REF!</definedName>
    <definedName name="_____TB122">#REF!</definedName>
    <definedName name="_____TB124">#REF!</definedName>
    <definedName name="_____TB125">#REF!</definedName>
    <definedName name="_____TB126">#REF!</definedName>
    <definedName name="_____TB131">#REF!</definedName>
    <definedName name="_____TB132">#REF!</definedName>
    <definedName name="_____TB211">#REF!</definedName>
    <definedName name="_____TB212">#REF!</definedName>
    <definedName name="_____TB213">#REF!</definedName>
    <definedName name="_____TB214">#REF!</definedName>
    <definedName name="_____TB215">#REF!</definedName>
    <definedName name="_____TB221">#REF!</definedName>
    <definedName name="_____TB2210">#REF!</definedName>
    <definedName name="_____TB222">#REF!</definedName>
    <definedName name="_____TB223">#REF!</definedName>
    <definedName name="_____TB224">#REF!</definedName>
    <definedName name="_____TB225">#REF!</definedName>
    <definedName name="_____TB226">#REF!</definedName>
    <definedName name="_____TB227">#REF!</definedName>
    <definedName name="_____TB229">#REF!</definedName>
    <definedName name="_____TB311">#REF!</definedName>
    <definedName name="_____TB313">#REF!</definedName>
    <definedName name="_____TB315">#REF!</definedName>
    <definedName name="_____TB317">#REF!</definedName>
    <definedName name="_____TB318">#REF!</definedName>
    <definedName name="_____TB319">#REF!</definedName>
    <definedName name="_____TB321">#REF!</definedName>
    <definedName name="_____TB322">#REF!</definedName>
    <definedName name="_____TB323">#REF!</definedName>
    <definedName name="_____TB324">#REF!</definedName>
    <definedName name="_____TB325">#REF!</definedName>
    <definedName name="_____TB401">#REF!</definedName>
    <definedName name="_____TB402">#REF!</definedName>
    <definedName name="_____TB403">#REF!</definedName>
    <definedName name="_____TB404">#REF!</definedName>
    <definedName name="_____TB405">#REF!</definedName>
    <definedName name="_____TB501">#REF!</definedName>
    <definedName name="_____TB510">#REF!</definedName>
    <definedName name="_____TB511">#REF!</definedName>
    <definedName name="_____TB512">#REF!</definedName>
    <definedName name="_____TB513">#REF!</definedName>
    <definedName name="_____TB601">#REF!</definedName>
    <definedName name="_____TB602">#REF!</definedName>
    <definedName name="_____TB603">#REF!</definedName>
    <definedName name="_____TB604">#REF!</definedName>
    <definedName name="_____TB605">#REF!</definedName>
    <definedName name="_____TB811">#REF!</definedName>
    <definedName name="_____TB812">#REF!</definedName>
    <definedName name="_____TB813">#REF!</definedName>
    <definedName name="_____TB814">#REF!</definedName>
    <definedName name="_____TB820">#REF!</definedName>
    <definedName name="_____TBI1001">#REF!</definedName>
    <definedName name="_____TBI1002">#REF!</definedName>
    <definedName name="_____TBI1003">#REF!</definedName>
    <definedName name="_____TBI1004">#REF!</definedName>
    <definedName name="_____TBI1005">#REF!</definedName>
    <definedName name="_____TBI102">#REF!</definedName>
    <definedName name="_____TBI1100">#REF!</definedName>
    <definedName name="_____TBI1200">#REF!</definedName>
    <definedName name="_____TBI203">#REF!</definedName>
    <definedName name="_____TBI401">#REF!</definedName>
    <definedName name="_____TBI403">#REF!</definedName>
    <definedName name="_____TBI407">#REF!</definedName>
    <definedName name="_____TBI416">#REF!</definedName>
    <definedName name="_____TBI418">#REF!</definedName>
    <definedName name="_____TBI419">#REF!</definedName>
    <definedName name="_____TBI420">#REF!</definedName>
    <definedName name="_____TBI425">#REF!</definedName>
    <definedName name="_____TBI602">#REF!</definedName>
    <definedName name="_____TBI603">#REF!</definedName>
    <definedName name="_____TBI604">#REF!</definedName>
    <definedName name="_____TBI605">#REF!</definedName>
    <definedName name="_____TBI606">#REF!</definedName>
    <definedName name="_____TBI607">#REF!</definedName>
    <definedName name="_____TBI608">#REF!</definedName>
    <definedName name="_____TBI609">#REF!</definedName>
    <definedName name="_____TBI611">#REF!</definedName>
    <definedName name="_____TBI612">#REF!</definedName>
    <definedName name="_____TBI613">#REF!</definedName>
    <definedName name="_____TBI614">#REF!</definedName>
    <definedName name="_____TBI701">#REF!</definedName>
    <definedName name="_____TBI703">#REF!</definedName>
    <definedName name="_____TBI704">#REF!</definedName>
    <definedName name="_____TBI705">#REF!</definedName>
    <definedName name="_____TBI706">#REF!</definedName>
    <definedName name="_____TBI707">#REF!</definedName>
    <definedName name="_____TBI708">#REF!</definedName>
    <definedName name="_____TBI709">#REF!</definedName>
    <definedName name="_____TBI710">#REF!</definedName>
    <definedName name="_____TBI711">#REF!</definedName>
    <definedName name="_____TBI712">#REF!</definedName>
    <definedName name="_____TBI713">#REF!</definedName>
    <definedName name="_____TBI715">#REF!</definedName>
    <definedName name="_____TBI717">#REF!</definedName>
    <definedName name="_____TBI718">#REF!</definedName>
    <definedName name="_____TBI719">#REF!</definedName>
    <definedName name="_____TBI902">#REF!</definedName>
    <definedName name="_____TBI903">#REF!</definedName>
    <definedName name="_____TBI904">#REF!</definedName>
    <definedName name="_____TBI905">#REF!</definedName>
    <definedName name="_____TBI906">#REF!</definedName>
    <definedName name="_____TBI907">#REF!</definedName>
    <definedName name="____a1">#REF!</definedName>
    <definedName name="____A3" localSheetId="2" hidden="1">{#N/A,#N/A,FALSE,"단축1";#N/A,#N/A,FALSE,"단축2";#N/A,#N/A,FALSE,"단축3";#N/A,#N/A,FALSE,"장축";#N/A,#N/A,FALSE,"4WD"}</definedName>
    <definedName name="____A3" hidden="1">{#N/A,#N/A,FALSE,"단축1";#N/A,#N/A,FALSE,"단축2";#N/A,#N/A,FALSE,"단축3";#N/A,#N/A,FALSE,"장축";#N/A,#N/A,FALSE,"4WD"}</definedName>
    <definedName name="____AAA1" hidden="1">{#N/A,#N/A,TRUE,"경전'96(1)";#N/A,#N/A,TRUE,"경전'96 (2)"}</definedName>
    <definedName name="____AUD1">#REF!</definedName>
    <definedName name="____AUD2">#REF!</definedName>
    <definedName name="____AUD3">#REF!</definedName>
    <definedName name="____AUD4">#REF!</definedName>
    <definedName name="____BRD1">#REF!</definedName>
    <definedName name="____BRD2">#REF!</definedName>
    <definedName name="____BRD3">#REF!</definedName>
    <definedName name="____BRD4">#REF!</definedName>
    <definedName name="____BRD5">#REF!</definedName>
    <definedName name="____BRD6">#REF!</definedName>
    <definedName name="____BRD7">#REF!</definedName>
    <definedName name="____d12">#REF!</definedName>
    <definedName name="____DAT1">#REF!</definedName>
    <definedName name="____DAT2">#REF!</definedName>
    <definedName name="____DAT3">#REF!</definedName>
    <definedName name="____DAT4">#REF!</definedName>
    <definedName name="____DEM1">#REF!</definedName>
    <definedName name="____DEM2">#REF!</definedName>
    <definedName name="____DEM3">#REF!</definedName>
    <definedName name="____DEM4">#REF!</definedName>
    <definedName name="____EUR1">#REF!</definedName>
    <definedName name="____EUR2">#REF!</definedName>
    <definedName name="____EUR3">#REF!</definedName>
    <definedName name="____EUR4">#REF!</definedName>
    <definedName name="____Exp97">#REF!</definedName>
    <definedName name="____FPA10">#REF!</definedName>
    <definedName name="____FPA14">#REF!</definedName>
    <definedName name="____FPA16">#REF!</definedName>
    <definedName name="____FPA3">#REF!</definedName>
    <definedName name="____FPA4">#REF!</definedName>
    <definedName name="____FPA5">#REF!</definedName>
    <definedName name="____FPA6">#REF!</definedName>
    <definedName name="____FPA8">#REF!</definedName>
    <definedName name="____FPP4">#REF!</definedName>
    <definedName name="____FPP5">#REF!</definedName>
    <definedName name="____FPP6">#REF!</definedName>
    <definedName name="____FRF1">#REF!</definedName>
    <definedName name="____FRF2">#REF!</definedName>
    <definedName name="____FRF3">#REF!</definedName>
    <definedName name="____FRF4">#REF!</definedName>
    <definedName name="____GBP1">#REF!</definedName>
    <definedName name="____GBP2">#REF!</definedName>
    <definedName name="____GBP3">#REF!</definedName>
    <definedName name="____GBP4">#REF!</definedName>
    <definedName name="____INT1">#REF!</definedName>
    <definedName name="____INT2">#REF!</definedName>
    <definedName name="____INT3">#REF!</definedName>
    <definedName name="____INT4">#REF!</definedName>
    <definedName name="____INT5">#REF!</definedName>
    <definedName name="____INT6">#REF!</definedName>
    <definedName name="____INT7">#REF!</definedName>
    <definedName name="____ITL1">#REF!</definedName>
    <definedName name="____ITL2">#REF!</definedName>
    <definedName name="____ITL3">#REF!</definedName>
    <definedName name="____ITL4">#REF!</definedName>
    <definedName name="____key2" hidden="1">#REF!</definedName>
    <definedName name="____KO2" hidden="1">#REF!</definedName>
    <definedName name="____kop03">#REF!</definedName>
    <definedName name="____LIC1">#REF!</definedName>
    <definedName name="____LIC2">#REF!</definedName>
    <definedName name="____LIC3">#REF!</definedName>
    <definedName name="____LIC4">#REF!</definedName>
    <definedName name="____LIC5">#REF!</definedName>
    <definedName name="____LIC6">#REF!</definedName>
    <definedName name="____LIC7">#REF!</definedName>
    <definedName name="____PG1">#REF!</definedName>
    <definedName name="____PG11">#REF!</definedName>
    <definedName name="____PG13">#REF!</definedName>
    <definedName name="____PG17">#REF!</definedName>
    <definedName name="____PG2">#REF!</definedName>
    <definedName name="____PG3">#REF!</definedName>
    <definedName name="____PG4">#REF!</definedName>
    <definedName name="____PG5">#REF!</definedName>
    <definedName name="____PG6">#REF!</definedName>
    <definedName name="____PG7">#REF!</definedName>
    <definedName name="____PG9">#REF!</definedName>
    <definedName name="____s1" hidden="1">{#N/A,#N/A,FALSE,"UNIT";#N/A,#N/A,FALSE,"UNIT";#N/A,#N/A,FALSE,"계정"}</definedName>
    <definedName name="____s10" hidden="1">{#N/A,#N/A,FALSE,"UNIT";#N/A,#N/A,FALSE,"UNIT";#N/A,#N/A,FALSE,"계정"}</definedName>
    <definedName name="____s11" hidden="1">{#N/A,#N/A,FALSE,"UNIT";#N/A,#N/A,FALSE,"UNIT";#N/A,#N/A,FALSE,"계정"}</definedName>
    <definedName name="____s12" hidden="1">{#N/A,#N/A,FALSE,"UNIT";#N/A,#N/A,FALSE,"UNIT";#N/A,#N/A,FALSE,"계정"}</definedName>
    <definedName name="____s13" hidden="1">{#N/A,#N/A,FALSE,"UNIT";#N/A,#N/A,FALSE,"UNIT";#N/A,#N/A,FALSE,"계정"}</definedName>
    <definedName name="____s14" hidden="1">{#N/A,#N/A,FALSE,"UNIT";#N/A,#N/A,FALSE,"UNIT";#N/A,#N/A,FALSE,"계정"}</definedName>
    <definedName name="____s16" hidden="1">{#N/A,#N/A,FALSE,"UNIT";#N/A,#N/A,FALSE,"UNIT";#N/A,#N/A,FALSE,"계정"}</definedName>
    <definedName name="____s17" hidden="1">{#N/A,#N/A,FALSE,"UNIT";#N/A,#N/A,FALSE,"UNIT";#N/A,#N/A,FALSE,"계정"}</definedName>
    <definedName name="____s2" hidden="1">{#N/A,#N/A,FALSE,"UNIT";#N/A,#N/A,FALSE,"UNIT";#N/A,#N/A,FALSE,"계정"}</definedName>
    <definedName name="____s3" hidden="1">{#N/A,#N/A,FALSE,"UNIT";#N/A,#N/A,FALSE,"UNIT";#N/A,#N/A,FALSE,"계정"}</definedName>
    <definedName name="____s4" hidden="1">{#N/A,#N/A,FALSE,"UNIT";#N/A,#N/A,FALSE,"UNIT";#N/A,#N/A,FALSE,"계정"}</definedName>
    <definedName name="____s5" hidden="1">{#N/A,#N/A,FALSE,"UNIT";#N/A,#N/A,FALSE,"UNIT";#N/A,#N/A,FALSE,"계정"}</definedName>
    <definedName name="____s6" hidden="1">{#N/A,#N/A,FALSE,"UNIT";#N/A,#N/A,FALSE,"UNIT";#N/A,#N/A,FALSE,"계정"}</definedName>
    <definedName name="____s9" hidden="1">{#N/A,#N/A,FALSE,"UNIT";#N/A,#N/A,FALSE,"UNIT";#N/A,#N/A,FALSE,"계정"}</definedName>
    <definedName name="____SUM1" localSheetId="2" hidden="1">{#N/A,#N/A,FALSE,"단축1";#N/A,#N/A,FALSE,"단축2";#N/A,#N/A,FALSE,"단축3";#N/A,#N/A,FALSE,"장축";#N/A,#N/A,FALSE,"4WD"}</definedName>
    <definedName name="____SUM1" hidden="1">{#N/A,#N/A,FALSE,"단축1";#N/A,#N/A,FALSE,"단축2";#N/A,#N/A,FALSE,"단축3";#N/A,#N/A,FALSE,"장축";#N/A,#N/A,FALSE,"4WD"}</definedName>
    <definedName name="____SUM25">#REF!</definedName>
    <definedName name="____TB111">#REF!</definedName>
    <definedName name="____TB112">#REF!</definedName>
    <definedName name="____TB113">#REF!</definedName>
    <definedName name="____TB114">#REF!</definedName>
    <definedName name="____TB115">#REF!</definedName>
    <definedName name="____TB116">#REF!</definedName>
    <definedName name="____TB117">#REF!</definedName>
    <definedName name="____TB121">#REF!</definedName>
    <definedName name="____TB122">#REF!</definedName>
    <definedName name="____TB123">#REF!</definedName>
    <definedName name="____TB124">#REF!</definedName>
    <definedName name="____TB125">#REF!</definedName>
    <definedName name="____TB126">#REF!</definedName>
    <definedName name="____TB131">#REF!</definedName>
    <definedName name="____TB132">#REF!</definedName>
    <definedName name="____TB211">#REF!</definedName>
    <definedName name="____TB212">#REF!</definedName>
    <definedName name="____TB213">#REF!</definedName>
    <definedName name="____TB214">#REF!</definedName>
    <definedName name="____TB215">#REF!</definedName>
    <definedName name="____TB221">#REF!</definedName>
    <definedName name="____TB2210">#REF!</definedName>
    <definedName name="____TB222">#REF!</definedName>
    <definedName name="____TB223">#REF!</definedName>
    <definedName name="____TB224">#REF!</definedName>
    <definedName name="____TB225">#REF!</definedName>
    <definedName name="____TB226">#REF!</definedName>
    <definedName name="____TB227">#REF!</definedName>
    <definedName name="____TB228">#REF!</definedName>
    <definedName name="____TB229">#REF!</definedName>
    <definedName name="____TB311">#REF!</definedName>
    <definedName name="____TB312">#REF!</definedName>
    <definedName name="____TB313">#REF!</definedName>
    <definedName name="____TB314">#REF!</definedName>
    <definedName name="____TB315">#REF!</definedName>
    <definedName name="____TB316">#REF!</definedName>
    <definedName name="____TB317">#REF!</definedName>
    <definedName name="____TB318">#REF!</definedName>
    <definedName name="____TB319">#REF!</definedName>
    <definedName name="____TB321">#REF!</definedName>
    <definedName name="____TB322">#REF!</definedName>
    <definedName name="____TB323">#REF!</definedName>
    <definedName name="____TB324">#REF!</definedName>
    <definedName name="____TB325">#REF!</definedName>
    <definedName name="____TB401">#REF!</definedName>
    <definedName name="____TB402">#REF!</definedName>
    <definedName name="____TB403">#REF!</definedName>
    <definedName name="____TB404">#REF!</definedName>
    <definedName name="____TB405">#REF!</definedName>
    <definedName name="____TB501">#REF!</definedName>
    <definedName name="____TB502">#REF!</definedName>
    <definedName name="____TB503">#REF!</definedName>
    <definedName name="____TB504">#REF!</definedName>
    <definedName name="____TB505">#REF!</definedName>
    <definedName name="____TB506">#REF!</definedName>
    <definedName name="____TB507">#REF!</definedName>
    <definedName name="____TB508">#REF!</definedName>
    <definedName name="____TB509">#REF!</definedName>
    <definedName name="____TB510">#REF!</definedName>
    <definedName name="____TB511">#REF!</definedName>
    <definedName name="____TB512">#REF!</definedName>
    <definedName name="____TB513">#REF!</definedName>
    <definedName name="____TB601">#REF!</definedName>
    <definedName name="____TB602">#REF!</definedName>
    <definedName name="____TB603">#REF!</definedName>
    <definedName name="____TB604">#REF!</definedName>
    <definedName name="____TB605">#REF!</definedName>
    <definedName name="____TB701">#REF!</definedName>
    <definedName name="____TB811">#REF!</definedName>
    <definedName name="____TB812">#REF!</definedName>
    <definedName name="____TB813">#REF!</definedName>
    <definedName name="____TB814">#REF!</definedName>
    <definedName name="____TB820">#REF!</definedName>
    <definedName name="____TB901">#REF!</definedName>
    <definedName name="____TB902">#REF!</definedName>
    <definedName name="____TB903">#REF!</definedName>
    <definedName name="____TB904">#REF!</definedName>
    <definedName name="____TBI1001">#REF!</definedName>
    <definedName name="____TBI1002">#REF!</definedName>
    <definedName name="____TBI1003">#REF!</definedName>
    <definedName name="____TBI1004">#REF!</definedName>
    <definedName name="____TBI1005">#REF!</definedName>
    <definedName name="____TBI101">#REF!</definedName>
    <definedName name="____TBI102">#REF!</definedName>
    <definedName name="____TBI1100">#REF!</definedName>
    <definedName name="____TBI1200">#REF!</definedName>
    <definedName name="____TBI201">#REF!</definedName>
    <definedName name="____TBI202">#REF!</definedName>
    <definedName name="____TBI203">#REF!</definedName>
    <definedName name="____TBI401">#REF!</definedName>
    <definedName name="____TBI402">#REF!</definedName>
    <definedName name="____TBI403">#REF!</definedName>
    <definedName name="____TBI404">#REF!</definedName>
    <definedName name="____TBI405">#REF!</definedName>
    <definedName name="____TBI406">#REF!</definedName>
    <definedName name="____TBI407">#REF!</definedName>
    <definedName name="____TBI408">#REF!</definedName>
    <definedName name="____TBI409">#REF!</definedName>
    <definedName name="____TBI410">#REF!</definedName>
    <definedName name="____TBI411">#REF!</definedName>
    <definedName name="____TBI412">#REF!</definedName>
    <definedName name="____TBI413">#REF!</definedName>
    <definedName name="____TBI414">#REF!</definedName>
    <definedName name="____TBI415">#REF!</definedName>
    <definedName name="____TBI416">#REF!</definedName>
    <definedName name="____TBI417">#REF!</definedName>
    <definedName name="____TBI418">#REF!</definedName>
    <definedName name="____TBI419">#REF!</definedName>
    <definedName name="____TBI420">#REF!</definedName>
    <definedName name="____TBI421">#REF!</definedName>
    <definedName name="____TBI422">#REF!</definedName>
    <definedName name="____TBI423">#REF!</definedName>
    <definedName name="____TBI424">#REF!</definedName>
    <definedName name="____TBI425">#REF!</definedName>
    <definedName name="____TBI601">#REF!</definedName>
    <definedName name="____TBI602">#REF!</definedName>
    <definedName name="____TBI603">#REF!</definedName>
    <definedName name="____TBI604">#REF!</definedName>
    <definedName name="____TBI605">#REF!</definedName>
    <definedName name="____TBI606">#REF!</definedName>
    <definedName name="____TBI607">#REF!</definedName>
    <definedName name="____TBI608">#REF!</definedName>
    <definedName name="____TBI609">#REF!</definedName>
    <definedName name="____TBI610">#REF!</definedName>
    <definedName name="____TBI611">#REF!</definedName>
    <definedName name="____TBI612">#REF!</definedName>
    <definedName name="____TBI613">#REF!</definedName>
    <definedName name="____TBI614">#REF!</definedName>
    <definedName name="____TBI701">#REF!</definedName>
    <definedName name="____TBI702">#REF!</definedName>
    <definedName name="____TBI703">#REF!</definedName>
    <definedName name="____TBI704">#REF!</definedName>
    <definedName name="____TBI705">#REF!</definedName>
    <definedName name="____TBI706">#REF!</definedName>
    <definedName name="____TBI707">#REF!</definedName>
    <definedName name="____TBI708">#REF!</definedName>
    <definedName name="____TBI709">#REF!</definedName>
    <definedName name="____TBI710">#REF!</definedName>
    <definedName name="____TBI711">#REF!</definedName>
    <definedName name="____TBI712">#REF!</definedName>
    <definedName name="____TBI713">#REF!</definedName>
    <definedName name="____TBI714">#REF!</definedName>
    <definedName name="____TBI715">#REF!</definedName>
    <definedName name="____TBI716">#REF!</definedName>
    <definedName name="____TBI717">#REF!</definedName>
    <definedName name="____TBI718">#REF!</definedName>
    <definedName name="____TBI719">#REF!</definedName>
    <definedName name="____TBI901">#REF!</definedName>
    <definedName name="____TBI902">#REF!</definedName>
    <definedName name="____TBI903">#REF!</definedName>
    <definedName name="____TBI904">#REF!</definedName>
    <definedName name="____TBI905">#REF!</definedName>
    <definedName name="____TBI906">#REF!</definedName>
    <definedName name="____TBI907">#REF!</definedName>
    <definedName name="____USD1">#REF!</definedName>
    <definedName name="____USD2">#REF!</definedName>
    <definedName name="____USD3">#REF!</definedName>
    <definedName name="____USD4">#REF!</definedName>
    <definedName name="___1__123Graph_ACHART_1" hidden="1">#REF!</definedName>
    <definedName name="___2__123Graph_ACHART_2" hidden="1">#REF!</definedName>
    <definedName name="___3__123Graph_BCHART_1" hidden="1">#REF!</definedName>
    <definedName name="___4__123Graph_CCHART_1" hidden="1">#REF!</definedName>
    <definedName name="___5__123Graph_DCHART_1" hidden="1">#REF!</definedName>
    <definedName name="___6">#REF!</definedName>
    <definedName name="___6__123Graph_ECHART_1" hidden="1">#REF!</definedName>
    <definedName name="___7">#REF!</definedName>
    <definedName name="___7__123Graph_XCHART_2" hidden="1">#REF!</definedName>
    <definedName name="___8">#REF!</definedName>
    <definedName name="___a1">#REF!</definedName>
    <definedName name="___A3" localSheetId="2" hidden="1">{#N/A,#N/A,FALSE,"단축1";#N/A,#N/A,FALSE,"단축2";#N/A,#N/A,FALSE,"단축3";#N/A,#N/A,FALSE,"장축";#N/A,#N/A,FALSE,"4WD"}</definedName>
    <definedName name="___A3" hidden="1">{#N/A,#N/A,FALSE,"단축1";#N/A,#N/A,FALSE,"단축2";#N/A,#N/A,FALSE,"단축3";#N/A,#N/A,FALSE,"장축";#N/A,#N/A,FALSE,"4WD"}</definedName>
    <definedName name="___A9" hidden="1">{#N/A,#N/A,FALSE,"손익표지";#N/A,#N/A,FALSE,"손익계산";#N/A,#N/A,FALSE,"일반관리비";#N/A,#N/A,FALSE,"영업외수익";#N/A,#N/A,FALSE,"영업외비용";#N/A,#N/A,FALSE,"매출액";#N/A,#N/A,FALSE,"요약손익";#N/A,#N/A,FALSE,"요약대차";#N/A,#N/A,FALSE,"매출채권현황";#N/A,#N/A,FALSE,"매출채권명세"}</definedName>
    <definedName name="___AAA1" hidden="1">{#N/A,#N/A,TRUE,"경전'96(1)";#N/A,#N/A,TRUE,"경전'96 (2)"}</definedName>
    <definedName name="___AUD1">#REF!</definedName>
    <definedName name="___AUD2">#REF!</definedName>
    <definedName name="___AUD3">#REF!</definedName>
    <definedName name="___AUD4">#REF!</definedName>
    <definedName name="___BRD1">#REF!</definedName>
    <definedName name="___BRD2">#REF!</definedName>
    <definedName name="___BRD3">#REF!</definedName>
    <definedName name="___BRD4">#REF!</definedName>
    <definedName name="___BRD5">#REF!</definedName>
    <definedName name="___BRD6">#REF!</definedName>
    <definedName name="___BRD7">#REF!</definedName>
    <definedName name="___d12">#N/A</definedName>
    <definedName name="___DAT1">#REF!</definedName>
    <definedName name="___DAT11">#REF!</definedName>
    <definedName name="___DAT2">#REF!</definedName>
    <definedName name="___DAT3">#REF!</definedName>
    <definedName name="___DAT4">#REF!</definedName>
    <definedName name="___DEM1">#REF!</definedName>
    <definedName name="___DEM2">#REF!</definedName>
    <definedName name="___DEM3">#REF!</definedName>
    <definedName name="___DEM4">#REF!</definedName>
    <definedName name="___EUR1">#REF!</definedName>
    <definedName name="___EUR2">#REF!</definedName>
    <definedName name="___EUR3">#REF!</definedName>
    <definedName name="___EUR4">#REF!</definedName>
    <definedName name="___Exp97">#REF!</definedName>
    <definedName name="___FJDKS" hidden="1">#REF!</definedName>
    <definedName name="___FPA10">#REF!</definedName>
    <definedName name="___FPA14">#REF!</definedName>
    <definedName name="___FPA16">#REF!</definedName>
    <definedName name="___FPA3">#REF!</definedName>
    <definedName name="___FPA4">#REF!</definedName>
    <definedName name="___FPA5">#REF!</definedName>
    <definedName name="___FPA6">#REF!</definedName>
    <definedName name="___FPA8">#REF!</definedName>
    <definedName name="___FPP4">#REF!</definedName>
    <definedName name="___FPP5">#REF!</definedName>
    <definedName name="___FPP6">#REF!</definedName>
    <definedName name="___FRF1">#REF!</definedName>
    <definedName name="___FRF2">#REF!</definedName>
    <definedName name="___FRF3">#REF!</definedName>
    <definedName name="___FRF4">#REF!</definedName>
    <definedName name="___GBP1">#REF!</definedName>
    <definedName name="___GBP2">#REF!</definedName>
    <definedName name="___GBP3">#REF!</definedName>
    <definedName name="___GBP4">#REF!</definedName>
    <definedName name="___INT1">#REF!</definedName>
    <definedName name="___INT2">#REF!</definedName>
    <definedName name="___INT3">#REF!</definedName>
    <definedName name="___INT4">#REF!</definedName>
    <definedName name="___INT5">#REF!</definedName>
    <definedName name="___INT6">#REF!</definedName>
    <definedName name="___INT7">#REF!</definedName>
    <definedName name="___ITL1">#REF!</definedName>
    <definedName name="___ITL2">#REF!</definedName>
    <definedName name="___ITL3">#REF!</definedName>
    <definedName name="___ITL4">#REF!</definedName>
    <definedName name="___j1" hidden="1">{#N/A,#N/A,FALSE,"손익표지";#N/A,#N/A,FALSE,"손익계산";#N/A,#N/A,FALSE,"일반관리비";#N/A,#N/A,FALSE,"영업외수익";#N/A,#N/A,FALSE,"영업외비용";#N/A,#N/A,FALSE,"매출액";#N/A,#N/A,FALSE,"요약손익";#N/A,#N/A,FALSE,"요약대차";#N/A,#N/A,FALSE,"매출채권현황";#N/A,#N/A,FALSE,"매출채권명세"}</definedName>
    <definedName name="___key2" hidden="1">#REF!</definedName>
    <definedName name="___KO2" hidden="1">#REF!</definedName>
    <definedName name="___kop03">#REF!</definedName>
    <definedName name="___LIC1">#REF!</definedName>
    <definedName name="___LIC2">#REF!</definedName>
    <definedName name="___LIC3">#REF!</definedName>
    <definedName name="___LIC4">#REF!</definedName>
    <definedName name="___LIC5">#REF!</definedName>
    <definedName name="___LIC6">#REF!</definedName>
    <definedName name="___LIC7">#REF!</definedName>
    <definedName name="___PG1">#REF!</definedName>
    <definedName name="___PG11">#REF!</definedName>
    <definedName name="___PG13">#REF!</definedName>
    <definedName name="___PG17">#REF!</definedName>
    <definedName name="___PG2">#REF!</definedName>
    <definedName name="___PG3">#REF!</definedName>
    <definedName name="___PG4">#REF!</definedName>
    <definedName name="___PG5">#REF!</definedName>
    <definedName name="___PG6">#REF!</definedName>
    <definedName name="___PG7">#REF!</definedName>
    <definedName name="___PG9">#REF!</definedName>
    <definedName name="___s1" localSheetId="2" hidden="1">{#N/A,#N/A,FALSE,"UNIT";#N/A,#N/A,FALSE,"UNIT";#N/A,#N/A,FALSE,"계정"}</definedName>
    <definedName name="___s1" hidden="1">{#N/A,#N/A,FALSE,"UNIT";#N/A,#N/A,FALSE,"UNIT";#N/A,#N/A,FALSE,"계정"}</definedName>
    <definedName name="___s10" localSheetId="2" hidden="1">{#N/A,#N/A,FALSE,"UNIT";#N/A,#N/A,FALSE,"UNIT";#N/A,#N/A,FALSE,"계정"}</definedName>
    <definedName name="___s10" hidden="1">{#N/A,#N/A,FALSE,"UNIT";#N/A,#N/A,FALSE,"UNIT";#N/A,#N/A,FALSE,"계정"}</definedName>
    <definedName name="___s11" localSheetId="2" hidden="1">{#N/A,#N/A,FALSE,"UNIT";#N/A,#N/A,FALSE,"UNIT";#N/A,#N/A,FALSE,"계정"}</definedName>
    <definedName name="___s11" hidden="1">{#N/A,#N/A,FALSE,"UNIT";#N/A,#N/A,FALSE,"UNIT";#N/A,#N/A,FALSE,"계정"}</definedName>
    <definedName name="___s12" localSheetId="2" hidden="1">{#N/A,#N/A,FALSE,"UNIT";#N/A,#N/A,FALSE,"UNIT";#N/A,#N/A,FALSE,"계정"}</definedName>
    <definedName name="___s12" hidden="1">{#N/A,#N/A,FALSE,"UNIT";#N/A,#N/A,FALSE,"UNIT";#N/A,#N/A,FALSE,"계정"}</definedName>
    <definedName name="___s13" localSheetId="2" hidden="1">{#N/A,#N/A,FALSE,"UNIT";#N/A,#N/A,FALSE,"UNIT";#N/A,#N/A,FALSE,"계정"}</definedName>
    <definedName name="___s13" hidden="1">{#N/A,#N/A,FALSE,"UNIT";#N/A,#N/A,FALSE,"UNIT";#N/A,#N/A,FALSE,"계정"}</definedName>
    <definedName name="___s14" localSheetId="2" hidden="1">{#N/A,#N/A,FALSE,"UNIT";#N/A,#N/A,FALSE,"UNIT";#N/A,#N/A,FALSE,"계정"}</definedName>
    <definedName name="___s14" hidden="1">{#N/A,#N/A,FALSE,"UNIT";#N/A,#N/A,FALSE,"UNIT";#N/A,#N/A,FALSE,"계정"}</definedName>
    <definedName name="___s16" localSheetId="2" hidden="1">{#N/A,#N/A,FALSE,"UNIT";#N/A,#N/A,FALSE,"UNIT";#N/A,#N/A,FALSE,"계정"}</definedName>
    <definedName name="___s16" hidden="1">{#N/A,#N/A,FALSE,"UNIT";#N/A,#N/A,FALSE,"UNIT";#N/A,#N/A,FALSE,"계정"}</definedName>
    <definedName name="___s17" localSheetId="2" hidden="1">{#N/A,#N/A,FALSE,"UNIT";#N/A,#N/A,FALSE,"UNIT";#N/A,#N/A,FALSE,"계정"}</definedName>
    <definedName name="___s17" hidden="1">{#N/A,#N/A,FALSE,"UNIT";#N/A,#N/A,FALSE,"UNIT";#N/A,#N/A,FALSE,"계정"}</definedName>
    <definedName name="___s2" localSheetId="2" hidden="1">{#N/A,#N/A,FALSE,"UNIT";#N/A,#N/A,FALSE,"UNIT";#N/A,#N/A,FALSE,"계정"}</definedName>
    <definedName name="___s2" hidden="1">{#N/A,#N/A,FALSE,"UNIT";#N/A,#N/A,FALSE,"UNIT";#N/A,#N/A,FALSE,"계정"}</definedName>
    <definedName name="___s3" localSheetId="2" hidden="1">{#N/A,#N/A,FALSE,"UNIT";#N/A,#N/A,FALSE,"UNIT";#N/A,#N/A,FALSE,"계정"}</definedName>
    <definedName name="___s3" hidden="1">{#N/A,#N/A,FALSE,"UNIT";#N/A,#N/A,FALSE,"UNIT";#N/A,#N/A,FALSE,"계정"}</definedName>
    <definedName name="___s4" localSheetId="2" hidden="1">{#N/A,#N/A,FALSE,"UNIT";#N/A,#N/A,FALSE,"UNIT";#N/A,#N/A,FALSE,"계정"}</definedName>
    <definedName name="___s4" hidden="1">{#N/A,#N/A,FALSE,"UNIT";#N/A,#N/A,FALSE,"UNIT";#N/A,#N/A,FALSE,"계정"}</definedName>
    <definedName name="___s5" localSheetId="2" hidden="1">{#N/A,#N/A,FALSE,"UNIT";#N/A,#N/A,FALSE,"UNIT";#N/A,#N/A,FALSE,"계정"}</definedName>
    <definedName name="___s5" hidden="1">{#N/A,#N/A,FALSE,"UNIT";#N/A,#N/A,FALSE,"UNIT";#N/A,#N/A,FALSE,"계정"}</definedName>
    <definedName name="___s6" localSheetId="2" hidden="1">{#N/A,#N/A,FALSE,"UNIT";#N/A,#N/A,FALSE,"UNIT";#N/A,#N/A,FALSE,"계정"}</definedName>
    <definedName name="___s6" hidden="1">{#N/A,#N/A,FALSE,"UNIT";#N/A,#N/A,FALSE,"UNIT";#N/A,#N/A,FALSE,"계정"}</definedName>
    <definedName name="___s9" localSheetId="2" hidden="1">{#N/A,#N/A,FALSE,"UNIT";#N/A,#N/A,FALSE,"UNIT";#N/A,#N/A,FALSE,"계정"}</definedName>
    <definedName name="___s9" hidden="1">{#N/A,#N/A,FALSE,"UNIT";#N/A,#N/A,FALSE,"UNIT";#N/A,#N/A,FALSE,"계정"}</definedName>
    <definedName name="___SUM1" localSheetId="2" hidden="1">{#N/A,#N/A,FALSE,"단축1";#N/A,#N/A,FALSE,"단축2";#N/A,#N/A,FALSE,"단축3";#N/A,#N/A,FALSE,"장축";#N/A,#N/A,FALSE,"4WD"}</definedName>
    <definedName name="___SUM1" hidden="1">{#N/A,#N/A,FALSE,"단축1";#N/A,#N/A,FALSE,"단축2";#N/A,#N/A,FALSE,"단축3";#N/A,#N/A,FALSE,"장축";#N/A,#N/A,FALSE,"4WD"}</definedName>
    <definedName name="___SUM25">#REF!</definedName>
    <definedName name="___TB111">#REF!</definedName>
    <definedName name="___TB112">#REF!</definedName>
    <definedName name="___TB113">#REF!</definedName>
    <definedName name="___TB114">#REF!</definedName>
    <definedName name="___TB115">#REF!</definedName>
    <definedName name="___TB116">#REF!</definedName>
    <definedName name="___TB117">#REF!</definedName>
    <definedName name="___TB121">#REF!</definedName>
    <definedName name="___TB122">#REF!</definedName>
    <definedName name="___TB123">#REF!</definedName>
    <definedName name="___TB124">#REF!</definedName>
    <definedName name="___TB125">#REF!</definedName>
    <definedName name="___TB126">#REF!</definedName>
    <definedName name="___TB131">#REF!</definedName>
    <definedName name="___TB132">#REF!</definedName>
    <definedName name="___TB211">#REF!</definedName>
    <definedName name="___TB212">#REF!</definedName>
    <definedName name="___TB213">#REF!</definedName>
    <definedName name="___TB214">#REF!</definedName>
    <definedName name="___TB215">#REF!</definedName>
    <definedName name="___TB221">#REF!</definedName>
    <definedName name="___TB2210">#REF!</definedName>
    <definedName name="___TB222">#REF!</definedName>
    <definedName name="___TB223">#REF!</definedName>
    <definedName name="___TB224">#REF!</definedName>
    <definedName name="___TB225">#REF!</definedName>
    <definedName name="___TB226">#REF!</definedName>
    <definedName name="___TB227">#REF!</definedName>
    <definedName name="___TB228">#REF!</definedName>
    <definedName name="___TB229">#REF!</definedName>
    <definedName name="___TB311">#REF!</definedName>
    <definedName name="___TB312">#REF!</definedName>
    <definedName name="___TB313">#REF!</definedName>
    <definedName name="___TB314">#REF!</definedName>
    <definedName name="___TB315">#REF!</definedName>
    <definedName name="___TB316">#REF!</definedName>
    <definedName name="___TB317">#REF!</definedName>
    <definedName name="___TB318">#REF!</definedName>
    <definedName name="___TB319">#REF!</definedName>
    <definedName name="___TB321">#REF!</definedName>
    <definedName name="___TB322">#REF!</definedName>
    <definedName name="___TB323">#REF!</definedName>
    <definedName name="___TB324">#REF!</definedName>
    <definedName name="___TB325">#REF!</definedName>
    <definedName name="___TB401">#REF!</definedName>
    <definedName name="___TB402">#REF!</definedName>
    <definedName name="___TB403">#REF!</definedName>
    <definedName name="___TB404">#REF!</definedName>
    <definedName name="___TB405">#REF!</definedName>
    <definedName name="___TB501">#REF!</definedName>
    <definedName name="___TB502">#REF!</definedName>
    <definedName name="___TB503">#REF!</definedName>
    <definedName name="___TB504">#REF!</definedName>
    <definedName name="___TB505">#REF!</definedName>
    <definedName name="___TB506">#REF!</definedName>
    <definedName name="___TB507">#REF!</definedName>
    <definedName name="___TB508">#REF!</definedName>
    <definedName name="___TB509">#REF!</definedName>
    <definedName name="___TB510">#REF!</definedName>
    <definedName name="___TB511">#REF!</definedName>
    <definedName name="___TB512">#REF!</definedName>
    <definedName name="___TB513">#REF!</definedName>
    <definedName name="___TB601">#REF!</definedName>
    <definedName name="___TB602">#REF!</definedName>
    <definedName name="___TB603">#REF!</definedName>
    <definedName name="___TB604">#REF!</definedName>
    <definedName name="___TB605">#REF!</definedName>
    <definedName name="___TB701">#REF!</definedName>
    <definedName name="___TB811">#REF!</definedName>
    <definedName name="___TB812">#REF!</definedName>
    <definedName name="___TB813">#REF!</definedName>
    <definedName name="___TB814">#REF!</definedName>
    <definedName name="___TB820">#REF!</definedName>
    <definedName name="___TB901">#REF!</definedName>
    <definedName name="___TB902">#REF!</definedName>
    <definedName name="___TB903">#REF!</definedName>
    <definedName name="___TB904">#REF!</definedName>
    <definedName name="___TBI1001">#REF!</definedName>
    <definedName name="___TBI1002">#REF!</definedName>
    <definedName name="___TBI1003">#REF!</definedName>
    <definedName name="___TBI1004">#REF!</definedName>
    <definedName name="___TBI1005">#REF!</definedName>
    <definedName name="___TBI101">#REF!</definedName>
    <definedName name="___TBI102">#REF!</definedName>
    <definedName name="___TBI1100">#REF!</definedName>
    <definedName name="___TBI1200">#REF!</definedName>
    <definedName name="___TBI201">#REF!</definedName>
    <definedName name="___TBI202">#REF!</definedName>
    <definedName name="___TBI203">#REF!</definedName>
    <definedName name="___TBI401">#REF!</definedName>
    <definedName name="___TBI402">#REF!</definedName>
    <definedName name="___TBI403">#REF!</definedName>
    <definedName name="___TBI404">#REF!</definedName>
    <definedName name="___TBI405">#REF!</definedName>
    <definedName name="___TBI406">#REF!</definedName>
    <definedName name="___TBI407">#REF!</definedName>
    <definedName name="___TBI408">#REF!</definedName>
    <definedName name="___TBI409">#REF!</definedName>
    <definedName name="___TBI410">#REF!</definedName>
    <definedName name="___TBI411">#REF!</definedName>
    <definedName name="___TBI412">#REF!</definedName>
    <definedName name="___TBI413">#REF!</definedName>
    <definedName name="___TBI414">#REF!</definedName>
    <definedName name="___TBI415">#REF!</definedName>
    <definedName name="___TBI416">#REF!</definedName>
    <definedName name="___TBI417">#REF!</definedName>
    <definedName name="___TBI418">#REF!</definedName>
    <definedName name="___TBI419">#REF!</definedName>
    <definedName name="___TBI420">#REF!</definedName>
    <definedName name="___TBI421">#REF!</definedName>
    <definedName name="___TBI422">#REF!</definedName>
    <definedName name="___TBI423">#REF!</definedName>
    <definedName name="___TBI424">#REF!</definedName>
    <definedName name="___TBI425">#REF!</definedName>
    <definedName name="___TBI601">#REF!</definedName>
    <definedName name="___TBI602">#REF!</definedName>
    <definedName name="___TBI603">#REF!</definedName>
    <definedName name="___TBI604">#REF!</definedName>
    <definedName name="___TBI605">#REF!</definedName>
    <definedName name="___TBI606">#REF!</definedName>
    <definedName name="___TBI607">#REF!</definedName>
    <definedName name="___TBI608">#REF!</definedName>
    <definedName name="___TBI609">#REF!</definedName>
    <definedName name="___TBI610">#REF!</definedName>
    <definedName name="___TBI611">#REF!</definedName>
    <definedName name="___TBI612">#REF!</definedName>
    <definedName name="___TBI613">#REF!</definedName>
    <definedName name="___TBI614">#REF!</definedName>
    <definedName name="___TBI701">#REF!</definedName>
    <definedName name="___TBI702">#REF!</definedName>
    <definedName name="___TBI703">#REF!</definedName>
    <definedName name="___TBI704">#REF!</definedName>
    <definedName name="___TBI705">#REF!</definedName>
    <definedName name="___TBI706">#REF!</definedName>
    <definedName name="___TBI707">#REF!</definedName>
    <definedName name="___TBI708">#REF!</definedName>
    <definedName name="___TBI709">#REF!</definedName>
    <definedName name="___TBI710">#REF!</definedName>
    <definedName name="___TBI711">#REF!</definedName>
    <definedName name="___TBI712">#REF!</definedName>
    <definedName name="___TBI713">#REF!</definedName>
    <definedName name="___TBI714">#REF!</definedName>
    <definedName name="___TBI715">#REF!</definedName>
    <definedName name="___TBI716">#REF!</definedName>
    <definedName name="___TBI717">#REF!</definedName>
    <definedName name="___TBI718">#REF!</definedName>
    <definedName name="___TBI719">#REF!</definedName>
    <definedName name="___TBI901">#REF!</definedName>
    <definedName name="___TBI902">#REF!</definedName>
    <definedName name="___TBI903">#REF!</definedName>
    <definedName name="___TBI904">#REF!</definedName>
    <definedName name="___TBI905">#REF!</definedName>
    <definedName name="___TBI906">#REF!</definedName>
    <definedName name="___TBI907">#REF!</definedName>
    <definedName name="___USD1">#REF!</definedName>
    <definedName name="___USD2">#REF!</definedName>
    <definedName name="___USD3">#REF!</definedName>
    <definedName name="___USD4">#REF!</definedName>
    <definedName name="___VAR13502">#N/A</definedName>
    <definedName name="___wpl2" localSheetId="2" hidden="1">{#N/A,#N/A,FALSE,"Aging Summary";#N/A,#N/A,FALSE,"Ratio Analysis";#N/A,#N/A,FALSE,"Test 120 Day Accts";#N/A,#N/A,FALSE,"Tickmarks"}</definedName>
    <definedName name="___wpl2" hidden="1">{#N/A,#N/A,FALSE,"Aging Summary";#N/A,#N/A,FALSE,"Ratio Analysis";#N/A,#N/A,FALSE,"Test 120 Day Accts";#N/A,#N/A,FALSE,"Tickmarks"}</definedName>
    <definedName name="__0603_PL_">#REF!</definedName>
    <definedName name="__1__123Graph_ACHART_1" hidden="1">#REF!</definedName>
    <definedName name="__1__123Graph_AChart_1A" hidden="1">#N/A</definedName>
    <definedName name="__1__123Graph_A차트_1" hidden="1">#REF!</definedName>
    <definedName name="__10">#REF!</definedName>
    <definedName name="__11">#REF!</definedName>
    <definedName name="__123Graph_A" hidden="1">#REF!</definedName>
    <definedName name="__123Graph_ACurrent" hidden="1">#REF!</definedName>
    <definedName name="__123Graph_AGRPH_EXPIRE" hidden="1">#REF!</definedName>
    <definedName name="__123Graph_AMODELE" hidden="1">#REF!</definedName>
    <definedName name="__123Graph_APRINCIPAL" hidden="1">#REF!</definedName>
    <definedName name="__123Graph_A그래프2" hidden="1">#REF!</definedName>
    <definedName name="__123Graph_B" hidden="1">#REF!</definedName>
    <definedName name="__123Graph_BCurrent" hidden="1">#REF!</definedName>
    <definedName name="__123Graph_B그래프2"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PRINCIPAL" hidden="1">#REF!</definedName>
    <definedName name="__123Graph_LBL_B" hidden="1">#REF!</definedName>
    <definedName name="__123Graph_LBL_E" hidden="1">#REF!</definedName>
    <definedName name="__123Graph_X" hidden="1">#REF!</definedName>
    <definedName name="__123GRAPH_X1" hidden="1">#REF!</definedName>
    <definedName name="__123Graph_XCurrent" hidden="1">#REF!</definedName>
    <definedName name="__123Graph_XGRPH_EXPIRE" hidden="1">#REF!</definedName>
    <definedName name="__123Graph_X그래프2" hidden="1">#REF!</definedName>
    <definedName name="__2__123Graph_ACHART_2" hidden="1">#REF!</definedName>
    <definedName name="__2__123Graph_BChart_1A" hidden="1">#N/A</definedName>
    <definedName name="__2__123Graph_B차트_1" hidden="1">#REF!</definedName>
    <definedName name="__2000년입출고">#REF!</definedName>
    <definedName name="__3__123Graph_BCHART_1" hidden="1">#REF!</definedName>
    <definedName name="__3__123Graph_C차트_1" hidden="1">#REF!</definedName>
    <definedName name="__3__123Graph_XChart_1A" hidden="1">#N/A</definedName>
    <definedName name="__4__123Graph_CCHART_1" hidden="1">#REF!</definedName>
    <definedName name="__4__123Graph_X차트_1" hidden="1">#REF!</definedName>
    <definedName name="__5__123Graph_DCHART_1" hidden="1">#REF!</definedName>
    <definedName name="__6">#REF!</definedName>
    <definedName name="__6__123Graph_ECHART_1" hidden="1">#REF!</definedName>
    <definedName name="__7">#REF!</definedName>
    <definedName name="__7__123Graph_XCHART_2" hidden="1">#REF!</definedName>
    <definedName name="__8">#REF!</definedName>
    <definedName name="__8__123Graph_X차트_1" hidden="1">#REF!</definedName>
    <definedName name="__9">#REF!</definedName>
    <definedName name="__a1">#REF!</definedName>
    <definedName name="__a20000">#REF!</definedName>
    <definedName name="__A3" localSheetId="2" hidden="1">{#N/A,#N/A,FALSE,"단축1";#N/A,#N/A,FALSE,"단축2";#N/A,#N/A,FALSE,"단축3";#N/A,#N/A,FALSE,"장축";#N/A,#N/A,FALSE,"4WD"}</definedName>
    <definedName name="__A3" hidden="1">{#N/A,#N/A,FALSE,"단축1";#N/A,#N/A,FALSE,"단축2";#N/A,#N/A,FALSE,"단축3";#N/A,#N/A,FALSE,"장축";#N/A,#N/A,FALSE,"4WD"}</definedName>
    <definedName name="__A9" hidden="1">{#N/A,#N/A,FALSE,"손익표지";#N/A,#N/A,FALSE,"손익계산";#N/A,#N/A,FALSE,"일반관리비";#N/A,#N/A,FALSE,"영업외수익";#N/A,#N/A,FALSE,"영업외비용";#N/A,#N/A,FALSE,"매출액";#N/A,#N/A,FALSE,"요약손익";#N/A,#N/A,FALSE,"요약대차";#N/A,#N/A,FALSE,"매출채권현황";#N/A,#N/A,FALSE,"매출채권명세"}</definedName>
    <definedName name="__AAA1" hidden="1">{#N/A,#N/A,TRUE,"경전'96(1)";#N/A,#N/A,TRUE,"경전'96 (2)"}</definedName>
    <definedName name="__aaa2" localSheetId="2" hidden="1">{#N/A,#N/A,FALSE,"Aging Summary";#N/A,#N/A,FALSE,"Ratio Analysis";#N/A,#N/A,FALSE,"Test 120 Day Accts";#N/A,#N/A,FALSE,"Tickmarks"}</definedName>
    <definedName name="__aaa2" hidden="1">{#N/A,#N/A,FALSE,"Aging Summary";#N/A,#N/A,FALSE,"Ratio Analysis";#N/A,#N/A,FALSE,"Test 120 Day Accts";#N/A,#N/A,FALSE,"Tickmarks"}</definedName>
    <definedName name="__AMT13300">#N/A</definedName>
    <definedName name="__AMT13502">#N/A</definedName>
    <definedName name="__AMT41301">#N/A</definedName>
    <definedName name="__AMT85116">#N/A</definedName>
    <definedName name="__AMT85125">#N/A</definedName>
    <definedName name="__AMT86106">#N/A</definedName>
    <definedName name="__APP1">#REF!</definedName>
    <definedName name="__AUD1">#REF!</definedName>
    <definedName name="__AUD2">#REF!</definedName>
    <definedName name="__AUD3">#REF!</definedName>
    <definedName name="__AUD4">#REF!</definedName>
    <definedName name="__BRD1">#REF!</definedName>
    <definedName name="__BRD2">#REF!</definedName>
    <definedName name="__BRD3">#REF!</definedName>
    <definedName name="__BRD4">#REF!</definedName>
    <definedName name="__BRD5">#REF!</definedName>
    <definedName name="__BRD6">#REF!</definedName>
    <definedName name="__BRD7">#REF!</definedName>
    <definedName name="__C">#REF!</definedName>
    <definedName name="__CF2">#REF!</definedName>
    <definedName name="__CF22">#REF!</definedName>
    <definedName name="__COL01">#REF!</definedName>
    <definedName name="__COL03">#REF!</definedName>
    <definedName name="__COL04">#N/A</definedName>
    <definedName name="__COL05">#N/A</definedName>
    <definedName name="__COL06">#REF!</definedName>
    <definedName name="__COL07">#N/A</definedName>
    <definedName name="__COL08">#REF!</definedName>
    <definedName name="__COL09">#REF!</definedName>
    <definedName name="__COL10">#REF!</definedName>
    <definedName name="__d12">#N/A</definedName>
    <definedName name="_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T1">#REF!</definedName>
    <definedName name="__DAT10">#REF!</definedName>
    <definedName name="__DAT12">#REF!</definedName>
    <definedName name="__DAT16">#REF!</definedName>
    <definedName name="__DAT17">#REF!</definedName>
    <definedName name="__DAT18">#REF!</definedName>
    <definedName name="__DAT19">#REF!</definedName>
    <definedName name="__DAT2">#REF!</definedName>
    <definedName name="__DAT21">#REF!</definedName>
    <definedName name="__DAT3">#REF!</definedName>
    <definedName name="__DAT4">#REF!</definedName>
    <definedName name="__DEM1">#REF!</definedName>
    <definedName name="__DEM2">#REF!</definedName>
    <definedName name="__DEM3">#REF!</definedName>
    <definedName name="__DEM4">#REF!</definedName>
    <definedName name="__EUR1">#REF!</definedName>
    <definedName name="__EUR2">#REF!</definedName>
    <definedName name="__EUR3">#REF!</definedName>
    <definedName name="__EUR4">#REF!</definedName>
    <definedName name="__Exp97">#REF!</definedName>
    <definedName name="__f3" localSheetId="2" hidden="1">{#N/A,#N/A,FALSE,"BS";#N/A,#N/A,FALSE,"PL";#N/A,#N/A,FALSE,"A";#N/A,#N/A,FALSE,"B";#N/A,#N/A,FALSE,"B1";#N/A,#N/A,FALSE,"C";#N/A,#N/A,FALSE,"C1";#N/A,#N/A,FALSE,"C2";#N/A,#N/A,FALSE,"D";#N/A,#N/A,FALSE,"E";#N/A,#N/A,FALSE,"F";#N/A,#N/A,FALSE,"AA";#N/A,#N/A,FALSE,"BB";#N/A,#N/A,FALSE,"CC";#N/A,#N/A,FALSE,"DD";#N/A,#N/A,FALSE,"EE";#N/A,#N/A,FALSE,"FF";#N/A,#N/A,FALSE,"PL10";#N/A,#N/A,FALSE,"PL20";#N/A,#N/A,FALSE,"PL30"}</definedName>
    <definedName name="__f3" hidden="1">{#N/A,#N/A,FALSE,"BS";#N/A,#N/A,FALSE,"PL";#N/A,#N/A,FALSE,"A";#N/A,#N/A,FALSE,"B";#N/A,#N/A,FALSE,"B1";#N/A,#N/A,FALSE,"C";#N/A,#N/A,FALSE,"C1";#N/A,#N/A,FALSE,"C2";#N/A,#N/A,FALSE,"D";#N/A,#N/A,FALSE,"E";#N/A,#N/A,FALSE,"F";#N/A,#N/A,FALSE,"AA";#N/A,#N/A,FALSE,"BB";#N/A,#N/A,FALSE,"CC";#N/A,#N/A,FALSE,"DD";#N/A,#N/A,FALSE,"EE";#N/A,#N/A,FALSE,"FF";#N/A,#N/A,FALSE,"PL10";#N/A,#N/A,FALSE,"PL20";#N/A,#N/A,FALSE,"PL30"}</definedName>
    <definedName name="__f3_1" localSheetId="2" hidden="1">{#N/A,#N/A,FALSE,"BS";#N/A,#N/A,FALSE,"PL";#N/A,#N/A,FALSE,"A";#N/A,#N/A,FALSE,"B";#N/A,#N/A,FALSE,"B1";#N/A,#N/A,FALSE,"C";#N/A,#N/A,FALSE,"C1";#N/A,#N/A,FALSE,"C2";#N/A,#N/A,FALSE,"D";#N/A,#N/A,FALSE,"E";#N/A,#N/A,FALSE,"F";#N/A,#N/A,FALSE,"AA";#N/A,#N/A,FALSE,"BB";#N/A,#N/A,FALSE,"CC";#N/A,#N/A,FALSE,"DD";#N/A,#N/A,FALSE,"EE";#N/A,#N/A,FALSE,"FF";#N/A,#N/A,FALSE,"PL10";#N/A,#N/A,FALSE,"PL20";#N/A,#N/A,FALSE,"PL30"}</definedName>
    <definedName name="__f3_1" hidden="1">{#N/A,#N/A,FALSE,"BS";#N/A,#N/A,FALSE,"PL";#N/A,#N/A,FALSE,"A";#N/A,#N/A,FALSE,"B";#N/A,#N/A,FALSE,"B1";#N/A,#N/A,FALSE,"C";#N/A,#N/A,FALSE,"C1";#N/A,#N/A,FALSE,"C2";#N/A,#N/A,FALSE,"D";#N/A,#N/A,FALSE,"E";#N/A,#N/A,FALSE,"F";#N/A,#N/A,FALSE,"AA";#N/A,#N/A,FALSE,"BB";#N/A,#N/A,FALSE,"CC";#N/A,#N/A,FALSE,"DD";#N/A,#N/A,FALSE,"EE";#N/A,#N/A,FALSE,"FF";#N/A,#N/A,FALSE,"PL10";#N/A,#N/A,FALSE,"PL20";#N/A,#N/A,FALSE,"PL30"}</definedName>
    <definedName name="__FDS_HYPERLINK_TOGGLE_STATE__" hidden="1">"ON"</definedName>
    <definedName name="__FDS_UNIQUE_RANGE_ID_GENERATOR_COUNTER" hidden="1">5</definedName>
    <definedName name="__FDS_USED_FOR_REUSING_RANGE_IDS_RECYCLE" hidden="1">{42,43,44,45,40,30,31,33,32,28,23,24,25,26,22,27,21,20,19,18,17,16,13,6,14,15,1,2}</definedName>
    <definedName name="__FPA10">#REF!</definedName>
    <definedName name="__FPA14">#REF!</definedName>
    <definedName name="__FPA16">#REF!</definedName>
    <definedName name="__FPA3">#REF!</definedName>
    <definedName name="__FPA4">#REF!</definedName>
    <definedName name="__FPA5">#REF!</definedName>
    <definedName name="__FPA6">#REF!</definedName>
    <definedName name="__FPA8">#REF!</definedName>
    <definedName name="__FPP4">#REF!</definedName>
    <definedName name="__FPP5">#REF!</definedName>
    <definedName name="__FPP6">#REF!</definedName>
    <definedName name="__FRF1">#REF!</definedName>
    <definedName name="__FRF2">#REF!</definedName>
    <definedName name="__FRF3">#REF!</definedName>
    <definedName name="__FRF4">#REF!</definedName>
    <definedName name="__GBP1">#REF!</definedName>
    <definedName name="__GBP2">#REF!</definedName>
    <definedName name="__GBP3">#REF!</definedName>
    <definedName name="__GBP4">#REF!</definedName>
    <definedName name="__I49271">#REF!</definedName>
    <definedName name="__INT1">#REF!</definedName>
    <definedName name="__INT2">#REF!</definedName>
    <definedName name="__INT3">#REF!</definedName>
    <definedName name="__INT4">#REF!</definedName>
    <definedName name="__INT5">#REF!</definedName>
    <definedName name="__INT6">#REF!</definedName>
    <definedName name="__INT7">#REF!</definedName>
    <definedName name="__IntlFixup" hidden="1">TRUE</definedName>
    <definedName name="__ITL1">#REF!</definedName>
    <definedName name="__ITL2">#REF!</definedName>
    <definedName name="__ITL3">#REF!</definedName>
    <definedName name="__ITL4">#REF!</definedName>
    <definedName name="__j1" hidden="1">{#N/A,#N/A,FALSE,"손익표지";#N/A,#N/A,FALSE,"손익계산";#N/A,#N/A,FALSE,"일반관리비";#N/A,#N/A,FALSE,"영업외수익";#N/A,#N/A,FALSE,"영업외비용";#N/A,#N/A,FALSE,"매출액";#N/A,#N/A,FALSE,"요약손익";#N/A,#N/A,FALSE,"요약대차";#N/A,#N/A,FALSE,"매출채권현황";#N/A,#N/A,FALSE,"매출채권명세"}</definedName>
    <definedName name="__jp2">#REF!</definedName>
    <definedName name="__JSW1">#REF!</definedName>
    <definedName name="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ey11" hidden="1">#REF!</definedName>
    <definedName name="__key2" hidden="1">#REF!</definedName>
    <definedName name="__KO2" hidden="1">#REF!</definedName>
    <definedName name="__kop03">#REF!</definedName>
    <definedName name="__LG2" localSheetId="2" hidden="1">{#N/A,#N/A,TRUE,"매출진척-1";#N/A,#N/A,TRUE,"매출진척-2";#N/A,#N/A,TRUE,"제품실적";#N/A,#N/A,TRUE,"RAC";#N/A,#N/A,TRUE,"PAC ";#N/A,#N/A,TRUE,"재고현황";#N/A,#N/A,TRUE,"공지사항"}</definedName>
    <definedName name="__LG2" hidden="1">{#N/A,#N/A,TRUE,"매출진척-1";#N/A,#N/A,TRUE,"매출진척-2";#N/A,#N/A,TRUE,"제품실적";#N/A,#N/A,TRUE,"RAC";#N/A,#N/A,TRUE,"PAC ";#N/A,#N/A,TRUE,"재고현황";#N/A,#N/A,TRUE,"공지사항"}</definedName>
    <definedName name="__LG2_1" localSheetId="2" hidden="1">{#N/A,#N/A,TRUE,"매출진척-1";#N/A,#N/A,TRUE,"매출진척-2";#N/A,#N/A,TRUE,"제품실적";#N/A,#N/A,TRUE,"RAC";#N/A,#N/A,TRUE,"PAC ";#N/A,#N/A,TRUE,"재고현황";#N/A,#N/A,TRUE,"공지사항"}</definedName>
    <definedName name="__LG2_1" hidden="1">{#N/A,#N/A,TRUE,"매출진척-1";#N/A,#N/A,TRUE,"매출진척-2";#N/A,#N/A,TRUE,"제품실적";#N/A,#N/A,TRUE,"RAC";#N/A,#N/A,TRUE,"PAC ";#N/A,#N/A,TRUE,"재고현황";#N/A,#N/A,TRUE,"공지사항"}</definedName>
    <definedName name="__LIC1">#REF!</definedName>
    <definedName name="__LIC2">#REF!</definedName>
    <definedName name="__LIC3">#REF!</definedName>
    <definedName name="__LIC4">#REF!</definedName>
    <definedName name="__LIC5">#REF!</definedName>
    <definedName name="__LIC6">#REF!</definedName>
    <definedName name="__LIC7">#REF!</definedName>
    <definedName name="__o2" hidden="1">#REF!</definedName>
    <definedName name="__OUT13300">#N/A</definedName>
    <definedName name="__OUT13502">#N/A</definedName>
    <definedName name="__OUT41301">#N/A</definedName>
    <definedName name="__OUT85116">#N/A</definedName>
    <definedName name="__OUT85125">#N/A</definedName>
    <definedName name="__OUT86106">#N/A</definedName>
    <definedName name="__P1">#REF!</definedName>
    <definedName name="__P2">#REF!</definedName>
    <definedName name="__P3">#REF!</definedName>
    <definedName name="__P4">#REF!</definedName>
    <definedName name="__PG1">#REF!</definedName>
    <definedName name="__PG11">#REF!</definedName>
    <definedName name="__PG13">#REF!</definedName>
    <definedName name="__PG17">#REF!</definedName>
    <definedName name="__PG2">#REF!</definedName>
    <definedName name="__PG3">#REF!</definedName>
    <definedName name="__PG4">#REF!</definedName>
    <definedName name="__PG5">#REF!</definedName>
    <definedName name="__PG6">#REF!</definedName>
    <definedName name="__PG7">#REF!</definedName>
    <definedName name="__PG9">#REF!</definedName>
    <definedName name="__QRA86106">#N/A</definedName>
    <definedName name="__RIG01">#REF!</definedName>
    <definedName name="__RIG02">#REF!</definedName>
    <definedName name="__RIG03">#REF!</definedName>
    <definedName name="__RIG04">#REF!</definedName>
    <definedName name="__RIG05">#REF!</definedName>
    <definedName name="__RIG06">#REF!</definedName>
    <definedName name="__RIG07">#REF!</definedName>
    <definedName name="__s1" hidden="1">{#N/A,#N/A,FALSE,"UNIT";#N/A,#N/A,FALSE,"UNIT";#N/A,#N/A,FALSE,"계정"}</definedName>
    <definedName name="__s10" hidden="1">{#N/A,#N/A,FALSE,"UNIT";#N/A,#N/A,FALSE,"UNIT";#N/A,#N/A,FALSE,"계정"}</definedName>
    <definedName name="__s11" hidden="1">{#N/A,#N/A,FALSE,"UNIT";#N/A,#N/A,FALSE,"UNIT";#N/A,#N/A,FALSE,"계정"}</definedName>
    <definedName name="__s12" hidden="1">{#N/A,#N/A,FALSE,"UNIT";#N/A,#N/A,FALSE,"UNIT";#N/A,#N/A,FALSE,"계정"}</definedName>
    <definedName name="__s13" hidden="1">{#N/A,#N/A,FALSE,"UNIT";#N/A,#N/A,FALSE,"UNIT";#N/A,#N/A,FALSE,"계정"}</definedName>
    <definedName name="__s14" hidden="1">{#N/A,#N/A,FALSE,"UNIT";#N/A,#N/A,FALSE,"UNIT";#N/A,#N/A,FALSE,"계정"}</definedName>
    <definedName name="__s16" hidden="1">{#N/A,#N/A,FALSE,"UNIT";#N/A,#N/A,FALSE,"UNIT";#N/A,#N/A,FALSE,"계정"}</definedName>
    <definedName name="__s17" hidden="1">{#N/A,#N/A,FALSE,"UNIT";#N/A,#N/A,FALSE,"UNIT";#N/A,#N/A,FALSE,"계정"}</definedName>
    <definedName name="__s2" hidden="1">{#N/A,#N/A,FALSE,"UNIT";#N/A,#N/A,FALSE,"UNIT";#N/A,#N/A,FALSE,"계정"}</definedName>
    <definedName name="__s3" hidden="1">{#N/A,#N/A,FALSE,"UNIT";#N/A,#N/A,FALSE,"UNIT";#N/A,#N/A,FALSE,"계정"}</definedName>
    <definedName name="__s4" hidden="1">{#N/A,#N/A,FALSE,"UNIT";#N/A,#N/A,FALSE,"UNIT";#N/A,#N/A,FALSE,"계정"}</definedName>
    <definedName name="__s5" hidden="1">{#N/A,#N/A,FALSE,"UNIT";#N/A,#N/A,FALSE,"UNIT";#N/A,#N/A,FALSE,"계정"}</definedName>
    <definedName name="__s6" hidden="1">{#N/A,#N/A,FALSE,"UNIT";#N/A,#N/A,FALSE,"UNIT";#N/A,#N/A,FALSE,"계정"}</definedName>
    <definedName name="__s9" hidden="1">{#N/A,#N/A,FALSE,"UNIT";#N/A,#N/A,FALSE,"UNIT";#N/A,#N/A,FALSE,"계정"}</definedName>
    <definedName name="__SUM1" localSheetId="2" hidden="1">{#N/A,#N/A,FALSE,"단축1";#N/A,#N/A,FALSE,"단축2";#N/A,#N/A,FALSE,"단축3";#N/A,#N/A,FALSE,"장축";#N/A,#N/A,FALSE,"4WD"}</definedName>
    <definedName name="__SUM1" hidden="1">{#N/A,#N/A,FALSE,"단축1";#N/A,#N/A,FALSE,"단축2";#N/A,#N/A,FALSE,"단축3";#N/A,#N/A,FALSE,"장축";#N/A,#N/A,FALSE,"4WD"}</definedName>
    <definedName name="__SUM10">#REF!</definedName>
    <definedName name="__SUM11">#REF!</definedName>
    <definedName name="__SUM12">#REF!</definedName>
    <definedName name="__SUM13">#REF!</definedName>
    <definedName name="__SUM14">#REF!</definedName>
    <definedName name="__SUM15">#REF!</definedName>
    <definedName name="__SUM16">#REF!</definedName>
    <definedName name="__SUM17">#REF!</definedName>
    <definedName name="__SUM18">#REF!</definedName>
    <definedName name="__SUM19">#REF!</definedName>
    <definedName name="__SUM2">#REF!</definedName>
    <definedName name="__SUM25">#REF!</definedName>
    <definedName name="__SUM3">#REF!</definedName>
    <definedName name="__SUM4">#REF!</definedName>
    <definedName name="__SUM5">#REF!</definedName>
    <definedName name="__SUM6">#REF!</definedName>
    <definedName name="__SUM7">#REF!</definedName>
    <definedName name="__SUM8">#REF!</definedName>
    <definedName name="__SUM9">#REF!</definedName>
    <definedName name="__TB111">#REF!</definedName>
    <definedName name="__TB112">#REF!</definedName>
    <definedName name="__TB113">#REF!</definedName>
    <definedName name="__TB114">#REF!</definedName>
    <definedName name="__TB115">#REF!</definedName>
    <definedName name="__TB116">#REF!</definedName>
    <definedName name="__TB117">#REF!</definedName>
    <definedName name="__TB121">#REF!</definedName>
    <definedName name="__TB122">#REF!</definedName>
    <definedName name="__TB123">#REF!</definedName>
    <definedName name="__TB124">#REF!</definedName>
    <definedName name="__TB125">#REF!</definedName>
    <definedName name="__TB126">#REF!</definedName>
    <definedName name="__TB131">#REF!</definedName>
    <definedName name="__TB132">#REF!</definedName>
    <definedName name="__TB211">#REF!</definedName>
    <definedName name="__TB212">#REF!</definedName>
    <definedName name="__TB213">#REF!</definedName>
    <definedName name="__TB214">#REF!</definedName>
    <definedName name="__TB215">#REF!</definedName>
    <definedName name="__TB221">#REF!</definedName>
    <definedName name="__TB2210">#REF!</definedName>
    <definedName name="__TB222">#REF!</definedName>
    <definedName name="__TB223">#REF!</definedName>
    <definedName name="__TB224">#REF!</definedName>
    <definedName name="__TB225">#REF!</definedName>
    <definedName name="__TB226">#REF!</definedName>
    <definedName name="__TB227">#REF!</definedName>
    <definedName name="__TB228">#REF!</definedName>
    <definedName name="__TB229">#REF!</definedName>
    <definedName name="__TB311">#REF!</definedName>
    <definedName name="__TB312">#REF!</definedName>
    <definedName name="__TB313">#REF!</definedName>
    <definedName name="__TB314">#REF!</definedName>
    <definedName name="__TB315">#REF!</definedName>
    <definedName name="__TB316">#REF!</definedName>
    <definedName name="__TB317">#REF!</definedName>
    <definedName name="__TB318">#REF!</definedName>
    <definedName name="__TB319">#REF!</definedName>
    <definedName name="__TB321">#REF!</definedName>
    <definedName name="__TB322">#REF!</definedName>
    <definedName name="__TB323">#REF!</definedName>
    <definedName name="__TB324">#REF!</definedName>
    <definedName name="__TB325">#REF!</definedName>
    <definedName name="__TB401">#REF!</definedName>
    <definedName name="__TB402">#REF!</definedName>
    <definedName name="__TB403">#REF!</definedName>
    <definedName name="__TB404">#REF!</definedName>
    <definedName name="__TB405">#REF!</definedName>
    <definedName name="__TB501">#REF!</definedName>
    <definedName name="__TB502">#REF!</definedName>
    <definedName name="__TB503">#REF!</definedName>
    <definedName name="__TB504">#REF!</definedName>
    <definedName name="__TB505">#REF!</definedName>
    <definedName name="__TB506">#REF!</definedName>
    <definedName name="__TB507">#REF!</definedName>
    <definedName name="__TB508">#REF!</definedName>
    <definedName name="__TB509">#REF!</definedName>
    <definedName name="__TB510">#REF!</definedName>
    <definedName name="__TB511">#REF!</definedName>
    <definedName name="__TB512">#REF!</definedName>
    <definedName name="__TB513">#REF!</definedName>
    <definedName name="__TB601">#REF!</definedName>
    <definedName name="__TB602">#REF!</definedName>
    <definedName name="__TB603">#REF!</definedName>
    <definedName name="__TB604">#REF!</definedName>
    <definedName name="__TB605">#REF!</definedName>
    <definedName name="__TB701">#REF!</definedName>
    <definedName name="__TB811">#REF!</definedName>
    <definedName name="__TB812">#REF!</definedName>
    <definedName name="__TB813">#REF!</definedName>
    <definedName name="__TB814">#REF!</definedName>
    <definedName name="__TB820">#REF!</definedName>
    <definedName name="__TB901">#REF!</definedName>
    <definedName name="__TB902">#REF!</definedName>
    <definedName name="__TB903">#REF!</definedName>
    <definedName name="__TB904">#REF!</definedName>
    <definedName name="__TBI1001">#REF!</definedName>
    <definedName name="__TBI1002">#REF!</definedName>
    <definedName name="__TBI1003">#REF!</definedName>
    <definedName name="__TBI1004">#REF!</definedName>
    <definedName name="__TBI1005">#REF!</definedName>
    <definedName name="__TBI101">#REF!</definedName>
    <definedName name="__TBI102">#REF!</definedName>
    <definedName name="__TBI1100">#REF!</definedName>
    <definedName name="__TBI1200">#REF!</definedName>
    <definedName name="__TBI201">#REF!</definedName>
    <definedName name="__TBI202">#REF!</definedName>
    <definedName name="__TBI203">#REF!</definedName>
    <definedName name="__TBI401">#REF!</definedName>
    <definedName name="__TBI402">#REF!</definedName>
    <definedName name="__TBI403">#REF!</definedName>
    <definedName name="__TBI404">#REF!</definedName>
    <definedName name="__TBI405">#REF!</definedName>
    <definedName name="__TBI406">#REF!</definedName>
    <definedName name="__TBI407">#REF!</definedName>
    <definedName name="__TBI408">#REF!</definedName>
    <definedName name="__TBI409">#REF!</definedName>
    <definedName name="__TBI410">#REF!</definedName>
    <definedName name="__TBI411">#REF!</definedName>
    <definedName name="__TBI412">#REF!</definedName>
    <definedName name="__TBI413">#REF!</definedName>
    <definedName name="__TBI414">#REF!</definedName>
    <definedName name="__TBI415">#REF!</definedName>
    <definedName name="__TBI416">#REF!</definedName>
    <definedName name="__TBI417">#REF!</definedName>
    <definedName name="__TBI418">#REF!</definedName>
    <definedName name="__TBI419">#REF!</definedName>
    <definedName name="__TBI420">#REF!</definedName>
    <definedName name="__TBI421">#REF!</definedName>
    <definedName name="__TBI422">#REF!</definedName>
    <definedName name="__TBI423">#REF!</definedName>
    <definedName name="__TBI424">#REF!</definedName>
    <definedName name="__TBI425">#REF!</definedName>
    <definedName name="__TBI601">#REF!</definedName>
    <definedName name="__TBI602">#REF!</definedName>
    <definedName name="__TBI603">#REF!</definedName>
    <definedName name="__TBI604">#REF!</definedName>
    <definedName name="__TBI605">#REF!</definedName>
    <definedName name="__TBI606">#REF!</definedName>
    <definedName name="__TBI607">#REF!</definedName>
    <definedName name="__TBI608">#REF!</definedName>
    <definedName name="__TBI609">#REF!</definedName>
    <definedName name="__TBI610">#REF!</definedName>
    <definedName name="__TBI611">#REF!</definedName>
    <definedName name="__TBI612">#REF!</definedName>
    <definedName name="__TBI613">#REF!</definedName>
    <definedName name="__TBI614">#REF!</definedName>
    <definedName name="__TBI701">#REF!</definedName>
    <definedName name="__TBI702">#REF!</definedName>
    <definedName name="__TBI703">#REF!</definedName>
    <definedName name="__TBI704">#REF!</definedName>
    <definedName name="__TBI705">#REF!</definedName>
    <definedName name="__TBI706">#REF!</definedName>
    <definedName name="__TBI707">#REF!</definedName>
    <definedName name="__TBI708">#REF!</definedName>
    <definedName name="__TBI709">#REF!</definedName>
    <definedName name="__TBI710">#REF!</definedName>
    <definedName name="__TBI711">#REF!</definedName>
    <definedName name="__TBI712">#REF!</definedName>
    <definedName name="__TBI713">#REF!</definedName>
    <definedName name="__TBI714">#REF!</definedName>
    <definedName name="__TBI715">#REF!</definedName>
    <definedName name="__TBI716">#REF!</definedName>
    <definedName name="__TBI717">#REF!</definedName>
    <definedName name="__TBI718">#REF!</definedName>
    <definedName name="__TBI719">#REF!</definedName>
    <definedName name="__TBI901">#REF!</definedName>
    <definedName name="__TBI902">#REF!</definedName>
    <definedName name="__TBI903">#REF!</definedName>
    <definedName name="__TBI904">#REF!</definedName>
    <definedName name="__TBI905">#REF!</definedName>
    <definedName name="__TBI906">#REF!</definedName>
    <definedName name="__TBI907">#REF!</definedName>
    <definedName name="__TEL3">{"'tel2'!$B$29:$J$45","'tel2'!$A$5:$G$19","'tel2'!$B$50:$F$57","'tel2'!$B$105:$G$110","'tel2'!$B$63:$H$85","'tel2'!$B$14:$G$18","'tel2'!$B$29:$C$29"}</definedName>
    <definedName name="__TOT01">#REF!</definedName>
    <definedName name="__TOT02">#REF!</definedName>
    <definedName name="__TOT03">#REF!</definedName>
    <definedName name="__TOT04">#REF!</definedName>
    <definedName name="__TOT05">#REF!</definedName>
    <definedName name="__TOT06">#REF!</definedName>
    <definedName name="__U1">#REF!</definedName>
    <definedName name="__U10">#REF!</definedName>
    <definedName name="__U11">#REF!</definedName>
    <definedName name="__U12">#REF!</definedName>
    <definedName name="__U13">#REF!</definedName>
    <definedName name="__U14">#REF!</definedName>
    <definedName name="__U15">#REF!</definedName>
    <definedName name="__U16">#REF!</definedName>
    <definedName name="__U17">#REF!</definedName>
    <definedName name="__U18">#REF!</definedName>
    <definedName name="__U19">#REF!</definedName>
    <definedName name="__U2">#REF!</definedName>
    <definedName name="__U3">#REF!</definedName>
    <definedName name="__U4">#REF!</definedName>
    <definedName name="__U5">#REF!</definedName>
    <definedName name="__U6">#REF!</definedName>
    <definedName name="__U7">#REF!</definedName>
    <definedName name="__U8">#REF!</definedName>
    <definedName name="__U9">#REF!</definedName>
    <definedName name="__USD1">#REF!</definedName>
    <definedName name="__USD2">#REF!</definedName>
    <definedName name="__USD3">#REF!</definedName>
    <definedName name="__USD4">#REF!</definedName>
    <definedName name="__VAR13300">#N/A</definedName>
    <definedName name="__VAR13502">#N/A</definedName>
    <definedName name="__wpl2" localSheetId="2" hidden="1">{#N/A,#N/A,FALSE,"Aging Summary";#N/A,#N/A,FALSE,"Ratio Analysis";#N/A,#N/A,FALSE,"Test 120 Day Accts";#N/A,#N/A,FALSE,"Tickmarks"}</definedName>
    <definedName name="__wpl2" hidden="1">{#N/A,#N/A,FALSE,"Aging Summary";#N/A,#N/A,FALSE,"Ratio Analysis";#N/A,#N/A,FALSE,"Test 120 Day Accts";#N/A,#N/A,FALSE,"Tickmarks"}</definedName>
    <definedName name="__zz55">#REF!</definedName>
    <definedName name="__가" hidden="1">#REF!</definedName>
    <definedName name="__아" hidden="1">#REF!</definedName>
    <definedName name="_\D">#REF!</definedName>
    <definedName name="_\X">#REF!</definedName>
    <definedName name="_0" hidden="1">#REF!</definedName>
    <definedName name="_000" hidden="1">#REF!</definedName>
    <definedName name="_001" hidden="1">#REF!</definedName>
    <definedName name="_01B">#N/A</definedName>
    <definedName name="_01S">#N/A</definedName>
    <definedName name="_02B">#N/A</definedName>
    <definedName name="_02S">#N/A</definedName>
    <definedName name="_03B">#N/A</definedName>
    <definedName name="_03S">#N/A</definedName>
    <definedName name="_04B">#N/A</definedName>
    <definedName name="_04S">#N/A</definedName>
    <definedName name="_05B">#N/A</definedName>
    <definedName name="_05S">#N/A</definedName>
    <definedName name="_0603_PL_">#REF!</definedName>
    <definedName name="_06B">#N/A</definedName>
    <definedName name="_06S">#N/A</definedName>
    <definedName name="_07B">#N/A</definedName>
    <definedName name="_07S">#N/A</definedName>
    <definedName name="_08B">#N/A</definedName>
    <definedName name="_08S">#N/A</definedName>
    <definedName name="_09B">#N/A</definedName>
    <definedName name="_09S">#N/A</definedName>
    <definedName name="_1">#N/A</definedName>
    <definedName name="_1._PANEL_BD.__LP___1">#REF!</definedName>
    <definedName name="_1._S.C.W_공사">#REF!</definedName>
    <definedName name="_1_" hidden="1">#REF!</definedName>
    <definedName name="_1__123Graph_ACHART_1" hidden="1">#REF!</definedName>
    <definedName name="_1__123Graph_AChart_1A" hidden="1">#N/A</definedName>
    <definedName name="_1__123Graph_A차트_1" hidden="1">#REF!</definedName>
    <definedName name="_1__FDSAUDITLINK__"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GENERAL__">#REF!</definedName>
    <definedName name="_1_0_F" hidden="1">#REF!</definedName>
    <definedName name="_1_5____123Grap" hidden="1">#REF!</definedName>
    <definedName name="_10">#N/A</definedName>
    <definedName name="_10__123Graph_A차트_1" hidden="1">#REF!</definedName>
    <definedName name="_10__123Graph_B차트_1" hidden="1">#REF!</definedName>
    <definedName name="_10__123Graph_C차트_1" hidden="1">#REF!</definedName>
    <definedName name="_10__123Graph_DCHART_1" hidden="1">#REF!</definedName>
    <definedName name="_10__FDSAUDITLINK__"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9_0__123Graph_LB" hidden="1">#REF!</definedName>
    <definedName name="_100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000A01">#N/A</definedName>
    <definedName name="_101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04s1_" localSheetId="2" hidden="1">{#N/A,#N/A,FALSE,"UNIT";#N/A,#N/A,FALSE,"UNIT";#N/A,#N/A,FALSE,"계정"}</definedName>
    <definedName name="_104s1_" hidden="1">{#N/A,#N/A,FALSE,"UNIT";#N/A,#N/A,FALSE,"UNIT";#N/A,#N/A,FALSE,"계정"}</definedName>
    <definedName name="_105s10_" localSheetId="2" hidden="1">{#N/A,#N/A,FALSE,"UNIT";#N/A,#N/A,FALSE,"UNIT";#N/A,#N/A,FALSE,"계정"}</definedName>
    <definedName name="_105s10_" hidden="1">{#N/A,#N/A,FALSE,"UNIT";#N/A,#N/A,FALSE,"UNIT";#N/A,#N/A,FALSE,"계정"}</definedName>
    <definedName name="_106s11_" localSheetId="2" hidden="1">{#N/A,#N/A,FALSE,"UNIT";#N/A,#N/A,FALSE,"UNIT";#N/A,#N/A,FALSE,"계정"}</definedName>
    <definedName name="_106s11_" hidden="1">{#N/A,#N/A,FALSE,"UNIT";#N/A,#N/A,FALSE,"UNIT";#N/A,#N/A,FALSE,"계정"}</definedName>
    <definedName name="_107s12_" localSheetId="2" hidden="1">{#N/A,#N/A,FALSE,"UNIT";#N/A,#N/A,FALSE,"UNIT";#N/A,#N/A,FALSE,"계정"}</definedName>
    <definedName name="_107s12_" hidden="1">{#N/A,#N/A,FALSE,"UNIT";#N/A,#N/A,FALSE,"UNIT";#N/A,#N/A,FALSE,"계정"}</definedName>
    <definedName name="_108_0_0" hidden="1">#REF!</definedName>
    <definedName name="_108s13_" localSheetId="2" hidden="1">{#N/A,#N/A,FALSE,"UNIT";#N/A,#N/A,FALSE,"UNIT";#N/A,#N/A,FALSE,"계정"}</definedName>
    <definedName name="_108s13_" hidden="1">{#N/A,#N/A,FALSE,"UNIT";#N/A,#N/A,FALSE,"UNIT";#N/A,#N/A,FALSE,"계정"}</definedName>
    <definedName name="_109s14_" localSheetId="2" hidden="1">{#N/A,#N/A,FALSE,"UNIT";#N/A,#N/A,FALSE,"UNIT";#N/A,#N/A,FALSE,"계정"}</definedName>
    <definedName name="_109s14_" hidden="1">{#N/A,#N/A,FALSE,"UNIT";#N/A,#N/A,FALSE,"UNIT";#N/A,#N/A,FALSE,"계정"}</definedName>
    <definedName name="_10A_">#N/A</definedName>
    <definedName name="_10A_1">#N/A</definedName>
    <definedName name="_10A_10">#N/A</definedName>
    <definedName name="_10A_11">#N/A</definedName>
    <definedName name="_10A_12">#N/A</definedName>
    <definedName name="_10A_13">#N/A</definedName>
    <definedName name="_10A_14">#N/A</definedName>
    <definedName name="_10A_15">#N/A</definedName>
    <definedName name="_10A_16">#N/A</definedName>
    <definedName name="_10A_17">#N/A</definedName>
    <definedName name="_10A_18">#N/A</definedName>
    <definedName name="_10A_19">#N/A</definedName>
    <definedName name="_10A_2">#N/A</definedName>
    <definedName name="_10A_20">#N/A</definedName>
    <definedName name="_10A_21">#N/A</definedName>
    <definedName name="_10A_22">#N/A</definedName>
    <definedName name="_10A_23">#N/A</definedName>
    <definedName name="_10A_24">#N/A</definedName>
    <definedName name="_10A_25">#N/A</definedName>
    <definedName name="_10A_26">#N/A</definedName>
    <definedName name="_10A_27">#N/A</definedName>
    <definedName name="_10A_28">#N/A</definedName>
    <definedName name="_10A_29">#N/A</definedName>
    <definedName name="_10A_3">#N/A</definedName>
    <definedName name="_10A_30">#N/A</definedName>
    <definedName name="_10A_31">#N/A</definedName>
    <definedName name="_10A_32">#N/A</definedName>
    <definedName name="_10A_33">#N/A</definedName>
    <definedName name="_10A_34">#N/A</definedName>
    <definedName name="_10A_35">#N/A</definedName>
    <definedName name="_10A_36">#N/A</definedName>
    <definedName name="_10A_37">#N/A</definedName>
    <definedName name="_10A_38">#N/A</definedName>
    <definedName name="_10A_39">#N/A</definedName>
    <definedName name="_10A_4">#N/A</definedName>
    <definedName name="_10A_40">#N/A</definedName>
    <definedName name="_10A_41">#N/A</definedName>
    <definedName name="_10A_42">#N/A</definedName>
    <definedName name="_10A_43">#N/A</definedName>
    <definedName name="_10A_44">#N/A</definedName>
    <definedName name="_10A_45">#N/A</definedName>
    <definedName name="_10A_46">#N/A</definedName>
    <definedName name="_10A_47">#N/A</definedName>
    <definedName name="_10A_48">#N/A</definedName>
    <definedName name="_10A_49">#N/A</definedName>
    <definedName name="_10A_5">#N/A</definedName>
    <definedName name="_10A_50">#N/A</definedName>
    <definedName name="_10A_51">#N/A</definedName>
    <definedName name="_10A_52">#N/A</definedName>
    <definedName name="_10A_53">#N/A</definedName>
    <definedName name="_10A_54">#N/A</definedName>
    <definedName name="_10A_55">#N/A</definedName>
    <definedName name="_10A_56">#N/A</definedName>
    <definedName name="_10A_57">#N/A</definedName>
    <definedName name="_10A_58">#N/A</definedName>
    <definedName name="_10A_59">#N/A</definedName>
    <definedName name="_10A_6">#N/A</definedName>
    <definedName name="_10A_60">#N/A</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#N/A</definedName>
    <definedName name="_10A_90">#N/A</definedName>
    <definedName name="_10B">#N/A</definedName>
    <definedName name="_10B_">#N/A</definedName>
    <definedName name="_10B_1">#N/A</definedName>
    <definedName name="_10B_10">#N/A</definedName>
    <definedName name="_10B_11">#N/A</definedName>
    <definedName name="_10B_12">#N/A</definedName>
    <definedName name="_10B_13">#N/A</definedName>
    <definedName name="_10B_14">#N/A</definedName>
    <definedName name="_10B_15">#N/A</definedName>
    <definedName name="_10B_16">#N/A</definedName>
    <definedName name="_10B_17">#N/A</definedName>
    <definedName name="_10B_18">#N/A</definedName>
    <definedName name="_10B_19">#N/A</definedName>
    <definedName name="_10B_2">#N/A</definedName>
    <definedName name="_10B_20">#N/A</definedName>
    <definedName name="_10B_21">#N/A</definedName>
    <definedName name="_10B_22">#N/A</definedName>
    <definedName name="_10B_23">#N/A</definedName>
    <definedName name="_10B_24">#N/A</definedName>
    <definedName name="_10B_25">#N/A</definedName>
    <definedName name="_10B_26">#N/A</definedName>
    <definedName name="_10B_27">#N/A</definedName>
    <definedName name="_10B_28">#N/A</definedName>
    <definedName name="_10B_29">#N/A</definedName>
    <definedName name="_10B_3">#N/A</definedName>
    <definedName name="_10B_30">#N/A</definedName>
    <definedName name="_10B_31">#N/A</definedName>
    <definedName name="_10B_32">#N/A</definedName>
    <definedName name="_10B_33">#N/A</definedName>
    <definedName name="_10B_34">#N/A</definedName>
    <definedName name="_10B_35">#N/A</definedName>
    <definedName name="_10B_36">#N/A</definedName>
    <definedName name="_10B_37">#N/A</definedName>
    <definedName name="_10B_38">#N/A</definedName>
    <definedName name="_10B_39">#N/A</definedName>
    <definedName name="_10B_4">#N/A</definedName>
    <definedName name="_10B_40">#N/A</definedName>
    <definedName name="_10B_41">#N/A</definedName>
    <definedName name="_10B_42">#N/A</definedName>
    <definedName name="_10B_43">#N/A</definedName>
    <definedName name="_10B_44">#N/A</definedName>
    <definedName name="_10B_45">#N/A</definedName>
    <definedName name="_10B_46">#N/A</definedName>
    <definedName name="_10B_47">#N/A</definedName>
    <definedName name="_10B_48">#N/A</definedName>
    <definedName name="_10B_49">#N/A</definedName>
    <definedName name="_10B_5">#N/A</definedName>
    <definedName name="_10B_50">#N/A</definedName>
    <definedName name="_10B_51">#N/A</definedName>
    <definedName name="_10B_52">#N/A</definedName>
    <definedName name="_10B_53">#N/A</definedName>
    <definedName name="_10B_54">#N/A</definedName>
    <definedName name="_10B_55">#N/A</definedName>
    <definedName name="_10B_56">#N/A</definedName>
    <definedName name="_10B_57">#N/A</definedName>
    <definedName name="_10B_58">#N/A</definedName>
    <definedName name="_10B_59">#N/A</definedName>
    <definedName name="_10B_6">#N/A</definedName>
    <definedName name="_10B_60">#N/A</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#N/A</definedName>
    <definedName name="_10B_90">#N/A</definedName>
    <definedName name="_10C_">#N/A</definedName>
    <definedName name="_10C_1">#N/A</definedName>
    <definedName name="_10C_10">#N/A</definedName>
    <definedName name="_10C_11">#N/A</definedName>
    <definedName name="_10C_12">#N/A</definedName>
    <definedName name="_10C_13">#N/A</definedName>
    <definedName name="_10C_14">#N/A</definedName>
    <definedName name="_10C_15">#N/A</definedName>
    <definedName name="_10C_16">#N/A</definedName>
    <definedName name="_10C_17">#N/A</definedName>
    <definedName name="_10C_18">#N/A</definedName>
    <definedName name="_10C_19">#N/A</definedName>
    <definedName name="_10C_2">#N/A</definedName>
    <definedName name="_10C_20">#N/A</definedName>
    <definedName name="_10C_21">#N/A</definedName>
    <definedName name="_10C_22">#N/A</definedName>
    <definedName name="_10C_23">#N/A</definedName>
    <definedName name="_10C_24">#N/A</definedName>
    <definedName name="_10C_25">#N/A</definedName>
    <definedName name="_10C_26">#N/A</definedName>
    <definedName name="_10C_27">#N/A</definedName>
    <definedName name="_10C_28">#N/A</definedName>
    <definedName name="_10C_29">#N/A</definedName>
    <definedName name="_10C_3">#N/A</definedName>
    <definedName name="_10C_30">#N/A</definedName>
    <definedName name="_10C_31">#N/A</definedName>
    <definedName name="_10C_32">#N/A</definedName>
    <definedName name="_10C_33">#N/A</definedName>
    <definedName name="_10C_34">#N/A</definedName>
    <definedName name="_10C_35">#N/A</definedName>
    <definedName name="_10C_36">#N/A</definedName>
    <definedName name="_10C_37">#N/A</definedName>
    <definedName name="_10C_38">#N/A</definedName>
    <definedName name="_10C_39">#N/A</definedName>
    <definedName name="_10C_4">#N/A</definedName>
    <definedName name="_10C_40">#N/A</definedName>
    <definedName name="_10C_41">#N/A</definedName>
    <definedName name="_10C_42">#N/A</definedName>
    <definedName name="_10C_43">#N/A</definedName>
    <definedName name="_10C_44">#N/A</definedName>
    <definedName name="_10C_45">#N/A</definedName>
    <definedName name="_10C_46">#N/A</definedName>
    <definedName name="_10C_47">#N/A</definedName>
    <definedName name="_10C_48">#N/A</definedName>
    <definedName name="_10C_49">#N/A</definedName>
    <definedName name="_10C_5">#N/A</definedName>
    <definedName name="_10C_50">#N/A</definedName>
    <definedName name="_10C_51">#N/A</definedName>
    <definedName name="_10C_52">#N/A</definedName>
    <definedName name="_10C_53">#N/A</definedName>
    <definedName name="_10C_54">#N/A</definedName>
    <definedName name="_10C_55">#N/A</definedName>
    <definedName name="_10C_56">#N/A</definedName>
    <definedName name="_10C_57">#N/A</definedName>
    <definedName name="_10C_58">#N/A</definedName>
    <definedName name="_10C_59">#N/A</definedName>
    <definedName name="_10C_6">#N/A</definedName>
    <definedName name="_10C_6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#N/A</definedName>
    <definedName name="_10C_90">#N/A</definedName>
    <definedName name="_10S">#N/A</definedName>
    <definedName name="_10s13_" localSheetId="2" hidden="1">{#N/A,#N/A,FALSE,"UNIT";#N/A,#N/A,FALSE,"UNIT";#N/A,#N/A,FALSE,"계정"}</definedName>
    <definedName name="_10s13_" hidden="1">{#N/A,#N/A,FALSE,"UNIT";#N/A,#N/A,FALSE,"UNIT";#N/A,#N/A,FALSE,"계정"}</definedName>
    <definedName name="_10T1">#REF!</definedName>
    <definedName name="_10T2">#REF!</definedName>
    <definedName name="_10월">#REF!</definedName>
    <definedName name="_11">#N/A</definedName>
    <definedName name="_11__123Graph_C차트_1" hidden="1">#REF!</definedName>
    <definedName name="_11__FDSAUDITLINK__"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7_0__123Grap" hidden="1">#REF!</definedName>
    <definedName name="_110s16_" localSheetId="2" hidden="1">{#N/A,#N/A,FALSE,"UNIT";#N/A,#N/A,FALSE,"UNIT";#N/A,#N/A,FALSE,"계정"}</definedName>
    <definedName name="_110s16_" hidden="1">{#N/A,#N/A,FALSE,"UNIT";#N/A,#N/A,FALSE,"UNIT";#N/A,#N/A,FALSE,"계정"}</definedName>
    <definedName name="_111" hidden="1">#REF!</definedName>
    <definedName name="_111s17_" localSheetId="2" hidden="1">{#N/A,#N/A,FALSE,"UNIT";#N/A,#N/A,FALSE,"UNIT";#N/A,#N/A,FALSE,"계정"}</definedName>
    <definedName name="_111s17_" hidden="1">{#N/A,#N/A,FALSE,"UNIT";#N/A,#N/A,FALSE,"UNIT";#N/A,#N/A,FALSE,"계정"}</definedName>
    <definedName name="_112s2_" localSheetId="2" hidden="1">{#N/A,#N/A,FALSE,"UNIT";#N/A,#N/A,FALSE,"UNIT";#N/A,#N/A,FALSE,"계정"}</definedName>
    <definedName name="_112s2_" hidden="1">{#N/A,#N/A,FALSE,"UNIT";#N/A,#N/A,FALSE,"UNIT";#N/A,#N/A,FALSE,"계정"}</definedName>
    <definedName name="_113s3_" localSheetId="2" hidden="1">{#N/A,#N/A,FALSE,"UNIT";#N/A,#N/A,FALSE,"UNIT";#N/A,#N/A,FALSE,"계정"}</definedName>
    <definedName name="_113s3_" hidden="1">{#N/A,#N/A,FALSE,"UNIT";#N/A,#N/A,FALSE,"UNIT";#N/A,#N/A,FALSE,"계정"}</definedName>
    <definedName name="_114564" hidden="1">#REF!</definedName>
    <definedName name="_114s4_" localSheetId="2" hidden="1">{#N/A,#N/A,FALSE,"UNIT";#N/A,#N/A,FALSE,"UNIT";#N/A,#N/A,FALSE,"계정"}</definedName>
    <definedName name="_114s4_" hidden="1">{#N/A,#N/A,FALSE,"UNIT";#N/A,#N/A,FALSE,"UNIT";#N/A,#N/A,FALSE,"계정"}</definedName>
    <definedName name="_115s5_" localSheetId="2" hidden="1">{#N/A,#N/A,FALSE,"UNIT";#N/A,#N/A,FALSE,"UNIT";#N/A,#N/A,FALSE,"계정"}</definedName>
    <definedName name="_115s5_" hidden="1">{#N/A,#N/A,FALSE,"UNIT";#N/A,#N/A,FALSE,"UNIT";#N/A,#N/A,FALSE,"계정"}</definedName>
    <definedName name="_116A1_" hidden="1">{#N/A,#N/A,FALSE,"신규dep";#N/A,#N/A,FALSE,"신규dep-금형상각후";#N/A,#N/A,FALSE,"신규dep-연구비상각후";#N/A,#N/A,FALSE,"신규dep-기계,공구상각후"}</definedName>
    <definedName name="_116s6_" localSheetId="2" hidden="1">{#N/A,#N/A,FALSE,"UNIT";#N/A,#N/A,FALSE,"UNIT";#N/A,#N/A,FALSE,"계정"}</definedName>
    <definedName name="_116s6_" hidden="1">{#N/A,#N/A,FALSE,"UNIT";#N/A,#N/A,FALSE,"UNIT";#N/A,#N/A,FALSE,"계정"}</definedName>
    <definedName name="_117s9_" localSheetId="2" hidden="1">{#N/A,#N/A,FALSE,"UNIT";#N/A,#N/A,FALSE,"UNIT";#N/A,#N/A,FALSE,"계정"}</definedName>
    <definedName name="_117s9_" hidden="1">{#N/A,#N/A,FALSE,"UNIT";#N/A,#N/A,FALSE,"UNIT";#N/A,#N/A,FALSE,"계정"}</definedName>
    <definedName name="_11A_1">#N/A</definedName>
    <definedName name="_11A_10">#N/A</definedName>
    <definedName name="_11A_11">#N/A</definedName>
    <definedName name="_11A_12">#N/A</definedName>
    <definedName name="_11A_13">#N/A</definedName>
    <definedName name="_11A_14">#N/A</definedName>
    <definedName name="_11A_15">#N/A</definedName>
    <definedName name="_11A_16">#N/A</definedName>
    <definedName name="_11A_17">#N/A</definedName>
    <definedName name="_11A_18">#N/A</definedName>
    <definedName name="_11A_19">#N/A</definedName>
    <definedName name="_11A_2">#N/A</definedName>
    <definedName name="_11A_20">#N/A</definedName>
    <definedName name="_11A_21">#N/A</definedName>
    <definedName name="_11A_22">#N/A</definedName>
    <definedName name="_11A_23">#N/A</definedName>
    <definedName name="_11A_24">#N/A</definedName>
    <definedName name="_11A_25">#N/A</definedName>
    <definedName name="_11A_26">#N/A</definedName>
    <definedName name="_11A_27">#N/A</definedName>
    <definedName name="_11A_28">#N/A</definedName>
    <definedName name="_11A_29">#N/A</definedName>
    <definedName name="_11A_3">#N/A</definedName>
    <definedName name="_11A_30">#N/A</definedName>
    <definedName name="_11A_4">#N/A</definedName>
    <definedName name="_11A_5">#N/A</definedName>
    <definedName name="_11A_6">#N/A</definedName>
    <definedName name="_11A_7">#N/A</definedName>
    <definedName name="_11A_8">#N/A</definedName>
    <definedName name="_11A_9">#N/A</definedName>
    <definedName name="_11B_1">#N/A</definedName>
    <definedName name="_11B_10">#N/A</definedName>
    <definedName name="_11B_11">#N/A</definedName>
    <definedName name="_11B_12">#N/A</definedName>
    <definedName name="_11B_13">#N/A</definedName>
    <definedName name="_11B_14">#N/A</definedName>
    <definedName name="_11B_15">#N/A</definedName>
    <definedName name="_11B_16">#N/A</definedName>
    <definedName name="_11B_17">#N/A</definedName>
    <definedName name="_11B_18">#N/A</definedName>
    <definedName name="_11B_19">#N/A</definedName>
    <definedName name="_11B_2">#N/A</definedName>
    <definedName name="_11B_20">#N/A</definedName>
    <definedName name="_11B_21">#N/A</definedName>
    <definedName name="_11B_22">#N/A</definedName>
    <definedName name="_11B_23">#N/A</definedName>
    <definedName name="_11B_24">#N/A</definedName>
    <definedName name="_11B_25">#N/A</definedName>
    <definedName name="_11B_26">#N/A</definedName>
    <definedName name="_11B_27">#N/A</definedName>
    <definedName name="_11B_28">#N/A</definedName>
    <definedName name="_11B_29">#N/A</definedName>
    <definedName name="_11B_3">#N/A</definedName>
    <definedName name="_11B_30">#N/A</definedName>
    <definedName name="_11B_4">#N/A</definedName>
    <definedName name="_11B_5">#N/A</definedName>
    <definedName name="_11B_6">#N/A</definedName>
    <definedName name="_11B_7">#N/A</definedName>
    <definedName name="_11B_8">#N/A</definedName>
    <definedName name="_11B_9">#N/A</definedName>
    <definedName name="_11b123_" hidden="1">#REF!</definedName>
    <definedName name="_11C_1">#N/A</definedName>
    <definedName name="_11C_10">#N/A</definedName>
    <definedName name="_11C_11">#N/A</definedName>
    <definedName name="_11C_12">#N/A</definedName>
    <definedName name="_11C_13">#N/A</definedName>
    <definedName name="_11C_14">#N/A</definedName>
    <definedName name="_11C_15">#N/A</definedName>
    <definedName name="_11C_16">#N/A</definedName>
    <definedName name="_11C_17">#N/A</definedName>
    <definedName name="_11C_18">#N/A</definedName>
    <definedName name="_11C_19">#N/A</definedName>
    <definedName name="_11C_2">#N/A</definedName>
    <definedName name="_11C_20">#N/A</definedName>
    <definedName name="_11C_21">#N/A</definedName>
    <definedName name="_11C_22">#N/A</definedName>
    <definedName name="_11C_23">#N/A</definedName>
    <definedName name="_11C_24">#N/A</definedName>
    <definedName name="_11C_25">#N/A</definedName>
    <definedName name="_11C_26">#N/A</definedName>
    <definedName name="_11C_27">#N/A</definedName>
    <definedName name="_11C_28">#N/A</definedName>
    <definedName name="_11C_29">#N/A</definedName>
    <definedName name="_11C_3">#N/A</definedName>
    <definedName name="_11C_30">#N/A</definedName>
    <definedName name="_11C_4">#N/A</definedName>
    <definedName name="_11C_5">#N/A</definedName>
    <definedName name="_11C_6">#N/A</definedName>
    <definedName name="_11C_7">#N/A</definedName>
    <definedName name="_11C_8">#N/A</definedName>
    <definedName name="_11C_9">#N/A</definedName>
    <definedName name="_11Module1_.exe_5">#N/A</definedName>
    <definedName name="_11S">#N/A</definedName>
    <definedName name="_11월">#REF!</definedName>
    <definedName name="_12">#N/A</definedName>
    <definedName name="_12__123Graph_B차트_1" hidden="1">#REF!</definedName>
    <definedName name="_12__123Graph_ECHART_1" hidden="1">#REF!</definedName>
    <definedName name="_12__123Graph_X차트_1" hidden="1">#REF!</definedName>
    <definedName name="_12__FDSAUDITLINK__"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7_0__123Grap" hidden="1">#REF!</definedName>
    <definedName name="_120A2_" hidden="1">{#N/A,#N/A,FALSE,"신규dep";#N/A,#N/A,FALSE,"신규dep-금형상각후";#N/A,#N/A,FALSE,"신규dep-연구비상각후";#N/A,#N/A,FALSE,"신규dep-기계,공구상각후"}</definedName>
    <definedName name="_123" hidden="1">#REF!</definedName>
    <definedName name="_123456" hidden="1">#REF!</definedName>
    <definedName name="_123A3_" hidden="1">{#N/A,#N/A,FALSE,"단축1";#N/A,#N/A,FALSE,"단축2";#N/A,#N/A,FALSE,"단축3";#N/A,#N/A,FALSE,"장축";#N/A,#N/A,FALSE,"4WD"}</definedName>
    <definedName name="_123GRAPH_LBL_B1" hidden="1">#REF!</definedName>
    <definedName name="_127AA4_" hidden="1">{#N/A,#N/A,FALSE,"신규dep";#N/A,#N/A,FALSE,"신규dep-금형상각후";#N/A,#N/A,FALSE,"신규dep-연구비상각후";#N/A,#N/A,FALSE,"신규dep-기계,공구상각후"}</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S">#N/A</definedName>
    <definedName name="_12s14_" localSheetId="2" hidden="1">{#N/A,#N/A,FALSE,"UNIT";#N/A,#N/A,FALSE,"UNIT";#N/A,#N/A,FALSE,"계정"}</definedName>
    <definedName name="_12s14_" hidden="1">{#N/A,#N/A,FALSE,"UNIT";#N/A,#N/A,FALSE,"UNIT";#N/A,#N/A,FALSE,"계정"}</definedName>
    <definedName name="_12월">#REF!</definedName>
    <definedName name="_13">#N/A</definedName>
    <definedName name="_13__123Graph_BCHART_1" hidden="1">#REF!</definedName>
    <definedName name="_13__FDSAUDITLINK__"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5_0_0_F" hidden="1">#REF!</definedName>
    <definedName name="_13A_1">#N/A</definedName>
    <definedName name="_13A_10">#N/A</definedName>
    <definedName name="_13A_11">#N/A</definedName>
    <definedName name="_13A_12">#N/A</definedName>
    <definedName name="_13A_13">#N/A</definedName>
    <definedName name="_13A_14">#N/A</definedName>
    <definedName name="_13A_15">#N/A</definedName>
    <definedName name="_13A_16">#N/A</definedName>
    <definedName name="_13A_17">#N/A</definedName>
    <definedName name="_13A_18">#N/A</definedName>
    <definedName name="_13A_19">#N/A</definedName>
    <definedName name="_13A_2">#N/A</definedName>
    <definedName name="_13A_20">#N/A</definedName>
    <definedName name="_13A_21">#N/A</definedName>
    <definedName name="_13A_22">#N/A</definedName>
    <definedName name="_13A_23">#N/A</definedName>
    <definedName name="_13A_24">#N/A</definedName>
    <definedName name="_13A_25">#N/A</definedName>
    <definedName name="_13A_26">#N/A</definedName>
    <definedName name="_13A_27">#N/A</definedName>
    <definedName name="_13A_28">#N/A</definedName>
    <definedName name="_13A_29">#N/A</definedName>
    <definedName name="_13A_3">#N/A</definedName>
    <definedName name="_13A_30">#N/A</definedName>
    <definedName name="_13A_31">#N/A</definedName>
    <definedName name="_13A_32">#N/A</definedName>
    <definedName name="_13A_33">#N/A</definedName>
    <definedName name="_13A_34">#N/A</definedName>
    <definedName name="_13A_35">#N/A</definedName>
    <definedName name="_13A_36">#N/A</definedName>
    <definedName name="_13A_37">#N/A</definedName>
    <definedName name="_13A_38">#N/A</definedName>
    <definedName name="_13A_39">#N/A</definedName>
    <definedName name="_13A_4">#N/A</definedName>
    <definedName name="_13A_40">#N/A</definedName>
    <definedName name="_13A_41">#N/A</definedName>
    <definedName name="_13A_42">#N/A</definedName>
    <definedName name="_13A_43">#N/A</definedName>
    <definedName name="_13A_44">#N/A</definedName>
    <definedName name="_13A_45">#N/A</definedName>
    <definedName name="_13A_46">#N/A</definedName>
    <definedName name="_13A_47">#N/A</definedName>
    <definedName name="_13A_48">#N/A</definedName>
    <definedName name="_13A_49">#N/A</definedName>
    <definedName name="_13A_5">#N/A</definedName>
    <definedName name="_13A_50">#N/A</definedName>
    <definedName name="_13A_51">#N/A</definedName>
    <definedName name="_13A_52">#N/A</definedName>
    <definedName name="_13A_53">#N/A</definedName>
    <definedName name="_13A_54">#N/A</definedName>
    <definedName name="_13A_55">#N/A</definedName>
    <definedName name="_13A_56">#N/A</definedName>
    <definedName name="_13A_57">#N/A</definedName>
    <definedName name="_13A_58">#N/A</definedName>
    <definedName name="_13A_59">#N/A</definedName>
    <definedName name="_13A_6">#N/A</definedName>
    <definedName name="_13A_60">#N/A</definedName>
    <definedName name="_13A_7">#N/A</definedName>
    <definedName name="_13A_8">#N/A</definedName>
    <definedName name="_13A_9">#N/A</definedName>
    <definedName name="_13B_1">#N/A</definedName>
    <definedName name="_13B_10">#N/A</definedName>
    <definedName name="_13B_11">#N/A</definedName>
    <definedName name="_13B_12">#N/A</definedName>
    <definedName name="_13B_13">#N/A</definedName>
    <definedName name="_13B_14">#N/A</definedName>
    <definedName name="_13B_15">#N/A</definedName>
    <definedName name="_13B_16">#N/A</definedName>
    <definedName name="_13B_17">#N/A</definedName>
    <definedName name="_13B_18">#N/A</definedName>
    <definedName name="_13B_19">#N/A</definedName>
    <definedName name="_13B_2">#N/A</definedName>
    <definedName name="_13B_20">#N/A</definedName>
    <definedName name="_13B_21">#N/A</definedName>
    <definedName name="_13B_22">#N/A</definedName>
    <definedName name="_13B_23">#N/A</definedName>
    <definedName name="_13B_24">#N/A</definedName>
    <definedName name="_13B_25">#N/A</definedName>
    <definedName name="_13B_26">#N/A</definedName>
    <definedName name="_13B_27">#N/A</definedName>
    <definedName name="_13B_28">#N/A</definedName>
    <definedName name="_13B_29">#N/A</definedName>
    <definedName name="_13B_3">#N/A</definedName>
    <definedName name="_13B_30">#N/A</definedName>
    <definedName name="_13B_31">#N/A</definedName>
    <definedName name="_13B_32">#N/A</definedName>
    <definedName name="_13B_33">#N/A</definedName>
    <definedName name="_13B_34">#N/A</definedName>
    <definedName name="_13B_35">#N/A</definedName>
    <definedName name="_13B_36">#N/A</definedName>
    <definedName name="_13B_37">#N/A</definedName>
    <definedName name="_13B_38">#N/A</definedName>
    <definedName name="_13B_39">#N/A</definedName>
    <definedName name="_13B_4">#N/A</definedName>
    <definedName name="_13B_40">#N/A</definedName>
    <definedName name="_13B_41">#N/A</definedName>
    <definedName name="_13B_42">#N/A</definedName>
    <definedName name="_13B_43">#N/A</definedName>
    <definedName name="_13B_44">#N/A</definedName>
    <definedName name="_13B_45">#N/A</definedName>
    <definedName name="_13B_46">#N/A</definedName>
    <definedName name="_13B_47">#N/A</definedName>
    <definedName name="_13B_48">#N/A</definedName>
    <definedName name="_13B_49">#N/A</definedName>
    <definedName name="_13B_5">#N/A</definedName>
    <definedName name="_13B_50">#N/A</definedName>
    <definedName name="_13B_51">#N/A</definedName>
    <definedName name="_13B_52">#N/A</definedName>
    <definedName name="_13B_53">#N/A</definedName>
    <definedName name="_13B_54">#N/A</definedName>
    <definedName name="_13B_55">#N/A</definedName>
    <definedName name="_13B_56">#N/A</definedName>
    <definedName name="_13B_57">#N/A</definedName>
    <definedName name="_13B_58">#N/A</definedName>
    <definedName name="_13B_59">#N/A</definedName>
    <definedName name="_13B_6">#N/A</definedName>
    <definedName name="_13B_60">#N/A</definedName>
    <definedName name="_13B_7">#N/A</definedName>
    <definedName name="_13B_8">#N/A</definedName>
    <definedName name="_13B_9">#N/A</definedName>
    <definedName name="_13C_1">#N/A</definedName>
    <definedName name="_13C_10">#N/A</definedName>
    <definedName name="_13C_11">#N/A</definedName>
    <definedName name="_13C_12">#N/A</definedName>
    <definedName name="_13C_13">#N/A</definedName>
    <definedName name="_13C_14">#N/A</definedName>
    <definedName name="_13C_15">#N/A</definedName>
    <definedName name="_13C_16">#N/A</definedName>
    <definedName name="_13C_17">#N/A</definedName>
    <definedName name="_13C_18">#N/A</definedName>
    <definedName name="_13C_19">#N/A</definedName>
    <definedName name="_13C_2">#N/A</definedName>
    <definedName name="_13C_20">#N/A</definedName>
    <definedName name="_13C_21">#N/A</definedName>
    <definedName name="_13C_22">#N/A</definedName>
    <definedName name="_13C_23">#N/A</definedName>
    <definedName name="_13C_24">#N/A</definedName>
    <definedName name="_13C_25">#N/A</definedName>
    <definedName name="_13C_26">#N/A</definedName>
    <definedName name="_13C_27">#N/A</definedName>
    <definedName name="_13C_28">#N/A</definedName>
    <definedName name="_13C_29">#N/A</definedName>
    <definedName name="_13C_3">#N/A</definedName>
    <definedName name="_13C_30">#N/A</definedName>
    <definedName name="_13C_31">#N/A</definedName>
    <definedName name="_13C_32">#N/A</definedName>
    <definedName name="_13C_33">#N/A</definedName>
    <definedName name="_13C_34">#N/A</definedName>
    <definedName name="_13C_35">#N/A</definedName>
    <definedName name="_13C_36">#N/A</definedName>
    <definedName name="_13C_37">#N/A</definedName>
    <definedName name="_13C_38">#N/A</definedName>
    <definedName name="_13C_39">#N/A</definedName>
    <definedName name="_13C_4">#N/A</definedName>
    <definedName name="_13C_40">#N/A</definedName>
    <definedName name="_13C_41">#N/A</definedName>
    <definedName name="_13C_42">#N/A</definedName>
    <definedName name="_13C_43">#N/A</definedName>
    <definedName name="_13C_44">#N/A</definedName>
    <definedName name="_13C_45">#N/A</definedName>
    <definedName name="_13C_46">#N/A</definedName>
    <definedName name="_13C_47">#N/A</definedName>
    <definedName name="_13C_48">#N/A</definedName>
    <definedName name="_13C_49">#N/A</definedName>
    <definedName name="_13C_5">#N/A</definedName>
    <definedName name="_13C_50">#N/A</definedName>
    <definedName name="_13C_51">#N/A</definedName>
    <definedName name="_13C_52">#N/A</definedName>
    <definedName name="_13C_53">#N/A</definedName>
    <definedName name="_13C_54">#N/A</definedName>
    <definedName name="_13C_55">#N/A</definedName>
    <definedName name="_13C_56">#N/A</definedName>
    <definedName name="_13C_57">#N/A</definedName>
    <definedName name="_13C_58">#N/A</definedName>
    <definedName name="_13C_59">#N/A</definedName>
    <definedName name="_13C_6">#N/A</definedName>
    <definedName name="_13C_60">#N/A</definedName>
    <definedName name="_13C_7">#N/A</definedName>
    <definedName name="_13C_8">#N/A</definedName>
    <definedName name="_13C_9">#N/A</definedName>
    <definedName name="_13Module1_.exe_6">#N/A</definedName>
    <definedName name="_14">#N/A</definedName>
    <definedName name="_14__123Graph_C차트_1" hidden="1">#REF!</definedName>
    <definedName name="_14__123Graph_XCHART_2" hidden="1">#REF!</definedName>
    <definedName name="_14__FDSAUDITLINK__"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1d1_" hidden="1">{#N/A,#N/A,FALSE,"신규dep";#N/A,#N/A,FALSE,"신규dep-금형상각후";#N/A,#N/A,FALSE,"신규dep-연구비상각후";#N/A,#N/A,FALSE,"신규dep-기계,공구상각후"}</definedName>
    <definedName name="_142d2_" hidden="1">{#N/A,#N/A,FALSE,"신규dep";#N/A,#N/A,FALSE,"신규dep-금형상각후";#N/A,#N/A,FALSE,"신규dep-연구비상각후";#N/A,#N/A,FALSE,"신규dep-기계,공구상각후"}</definedName>
    <definedName name="_143d3_" hidden="1">{#N/A,#N/A,FALSE,"신규dep";#N/A,#N/A,FALSE,"신규dep-금형상각후";#N/A,#N/A,FALSE,"신규dep-연구비상각후";#N/A,#N/A,FALSE,"신규dep-기계,공구상각후"}</definedName>
    <definedName name="_144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45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146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14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148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149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A3_" localSheetId="2" hidden="1">{#N/A,#N/A,FALSE,"단축1";#N/A,#N/A,FALSE,"단축2";#N/A,#N/A,FALSE,"단축3";#N/A,#N/A,FALSE,"장축";#N/A,#N/A,FALSE,"4WD"}</definedName>
    <definedName name="_14A3_" hidden="1">{#N/A,#N/A,FALSE,"단축1";#N/A,#N/A,FALSE,"단축2";#N/A,#N/A,FALSE,"단축3";#N/A,#N/A,FALSE,"장축";#N/A,#N/A,FALSE,"4WD"}</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F" hidden="1">#REF!</definedName>
    <definedName name="_14j1_" hidden="1">{#N/A,#N/A,FALSE,"손익표지";#N/A,#N/A,FALSE,"손익계산";#N/A,#N/A,FALSE,"일반관리비";#N/A,#N/A,FALSE,"영업외수익";#N/A,#N/A,FALSE,"영업외비용";#N/A,#N/A,FALSE,"매출액";#N/A,#N/A,FALSE,"요약손익";#N/A,#N/A,FALSE,"요약대차";#N/A,#N/A,FALSE,"매출채권현황";#N/A,#N/A,FALSE,"매출채권명세"}</definedName>
    <definedName name="_14s16_" localSheetId="2" hidden="1">{#N/A,#N/A,FALSE,"UNIT";#N/A,#N/A,FALSE,"UNIT";#N/A,#N/A,FALSE,"계정"}</definedName>
    <definedName name="_14s16_" hidden="1">{#N/A,#N/A,FALSE,"UNIT";#N/A,#N/A,FALSE,"UNIT";#N/A,#N/A,FALSE,"계정"}</definedName>
    <definedName name="_15">#N/A</definedName>
    <definedName name="_15__FDSAUDITLINK__"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0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150e1_" hidden="1">{#N/A,#N/A,FALSE,"단축1";#N/A,#N/A,FALSE,"단축2";#N/A,#N/A,FALSE,"단축3";#N/A,#N/A,FALSE,"장축";#N/A,#N/A,FALSE,"4WD"}</definedName>
    <definedName name="_151e2_" hidden="1">{#N/A,#N/A,FALSE,"단축1";#N/A,#N/A,FALSE,"단축2";#N/A,#N/A,FALSE,"단축3";#N/A,#N/A,FALSE,"장축";#N/A,#N/A,FALSE,"4WD"}</definedName>
    <definedName name="_152e3_" hidden="1">{#N/A,#N/A,FALSE,"단축1";#N/A,#N/A,FALSE,"단축2";#N/A,#N/A,FALSE,"단축3";#N/A,#N/A,FALSE,"장축";#N/A,#N/A,FALSE,"4WD"}</definedName>
    <definedName name="_153e4_" hidden="1">{#N/A,#N/A,FALSE,"단축1";#N/A,#N/A,FALSE,"단축2";#N/A,#N/A,FALSE,"단축3";#N/A,#N/A,FALSE,"장축";#N/A,#N/A,FALSE,"4WD"}</definedName>
    <definedName name="_154__FDSAUDITLINK__" hidden="1">{"fdsup://Directions/FactSet Auditing Viewer?action=AUDIT_VALUE&amp;DB=129&amp;ID1=24823Q10&amp;VALUEID=02001&amp;SDATE=2010&amp;PERIODTYPE=ANN_STD&amp;SCFT=3&amp;window=popup_no_bar&amp;width=385&amp;height=120&amp;START_MAXIMIZED=FALSE&amp;creator=factset&amp;display_string=Audit"}</definedName>
    <definedName name="_154e5_" hidden="1">{#N/A,#N/A,FALSE,"단축1";#N/A,#N/A,FALSE,"단축2";#N/A,#N/A,FALSE,"단축3";#N/A,#N/A,FALSE,"장축";#N/A,#N/A,FALSE,"4WD"}</definedName>
    <definedName name="_155e6_" hidden="1">{#N/A,#N/A,FALSE,"단축1";#N/A,#N/A,FALSE,"단축2";#N/A,#N/A,FALSE,"단축3";#N/A,#N/A,FALSE,"장축";#N/A,#N/A,FALSE,"4WD"}</definedName>
    <definedName name="_156e7_" hidden="1">{#N/A,#N/A,FALSE,"신규dep";#N/A,#N/A,FALSE,"신규dep-금형상각후";#N/A,#N/A,FALSE,"신규dep-연구비상각후";#N/A,#N/A,FALSE,"신규dep-기계,공구상각후"}</definedName>
    <definedName name="_157e8_" hidden="1">{#N/A,#N/A,FALSE,"신규dep";#N/A,#N/A,FALSE,"신규dep-금형상각후";#N/A,#N/A,FALSE,"신규dep-연구비상각후";#N/A,#N/A,FALSE,"신규dep-기계,공구상각후"}</definedName>
    <definedName name="_158e9_" hidden="1">{#N/A,#N/A,FALSE,"단축1";#N/A,#N/A,FALSE,"단축2";#N/A,#N/A,FALSE,"단축3";#N/A,#N/A,FALSE,"장축";#N/A,#N/A,FALSE,"4WD"}</definedName>
    <definedName name="_15A">#REF!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Module1_.exe_7">#N/A</definedName>
    <definedName name="_16">#N/A</definedName>
    <definedName name="_16__123Graph_X차트_1" hidden="1">#REF!</definedName>
    <definedName name="_16__FDSAUDITLINK__"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3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6A_1">#N/A</definedName>
    <definedName name="_16A_10">#N/A</definedName>
    <definedName name="_16A_11">#N/A</definedName>
    <definedName name="_16A_12">#N/A</definedName>
    <definedName name="_16A_13">#N/A</definedName>
    <definedName name="_16A_14">#N/A</definedName>
    <definedName name="_16A_15">#N/A</definedName>
    <definedName name="_16A_2">#N/A</definedName>
    <definedName name="_16A_3">#N/A</definedName>
    <definedName name="_16A_4">#N/A</definedName>
    <definedName name="_16A_5">#N/A</definedName>
    <definedName name="_16A_6">#N/A</definedName>
    <definedName name="_16A_7">#N/A</definedName>
    <definedName name="_16A_8">#N/A</definedName>
    <definedName name="_16A_9">#N/A</definedName>
    <definedName name="_16B_1">#N/A</definedName>
    <definedName name="_16B_10">#N/A</definedName>
    <definedName name="_16B_11">#N/A</definedName>
    <definedName name="_16B_12">#N/A</definedName>
    <definedName name="_16B_13">#N/A</definedName>
    <definedName name="_16B_14">#N/A</definedName>
    <definedName name="_16B_15">#N/A</definedName>
    <definedName name="_16B_2">#N/A</definedName>
    <definedName name="_16B_3">#N/A</definedName>
    <definedName name="_16B_4">#N/A</definedName>
    <definedName name="_16B_5">#N/A</definedName>
    <definedName name="_16B_6">#N/A</definedName>
    <definedName name="_16B_7">#N/A</definedName>
    <definedName name="_16B_8">#N/A</definedName>
    <definedName name="_16B_9">#N/A</definedName>
    <definedName name="_16C_1">#N/A</definedName>
    <definedName name="_16C_10">#N/A</definedName>
    <definedName name="_16C_11">#N/A</definedName>
    <definedName name="_16C_12">#N/A</definedName>
    <definedName name="_16C_13">#N/A</definedName>
    <definedName name="_16C_14">#N/A</definedName>
    <definedName name="_16C_15">#N/A</definedName>
    <definedName name="_16C_2">#N/A</definedName>
    <definedName name="_16C_3">#N/A</definedName>
    <definedName name="_16C_4">#N/A</definedName>
    <definedName name="_16C_5">#N/A</definedName>
    <definedName name="_16C_6">#N/A</definedName>
    <definedName name="_16C_7">#N/A</definedName>
    <definedName name="_16C_8">#N/A</definedName>
    <definedName name="_16C_9">#N/A</definedName>
    <definedName name="_16s17_" localSheetId="2" hidden="1">{#N/A,#N/A,FALSE,"UNIT";#N/A,#N/A,FALSE,"UNIT";#N/A,#N/A,FALSE,"계정"}</definedName>
    <definedName name="_16s17_" hidden="1">{#N/A,#N/A,FALSE,"UNIT";#N/A,#N/A,FALSE,"UNIT";#N/A,#N/A,FALSE,"계정"}</definedName>
    <definedName name="_17">#N/A</definedName>
    <definedName name="_17__123Graph_CCHART_1" hidden="1">#REF!</definedName>
    <definedName name="_17_7_0__123Graph_LB" hidden="1">#REF!</definedName>
    <definedName name="_174q1_" hidden="1">{#N/A,#N/A,FALSE,"단축1";#N/A,#N/A,FALSE,"단축2";#N/A,#N/A,FALSE,"단축3";#N/A,#N/A,FALSE,"장축";#N/A,#N/A,FALSE,"4WD"}</definedName>
    <definedName name="_175q3_" hidden="1">{#N/A,#N/A,FALSE,"단축1";#N/A,#N/A,FALSE,"단축2";#N/A,#N/A,FALSE,"단축3";#N/A,#N/A,FALSE,"장축";#N/A,#N/A,FALSE,"4WD"}</definedName>
    <definedName name="_176q5_" hidden="1">{#N/A,#N/A,FALSE,"신규dep";#N/A,#N/A,FALSE,"신규dep-금형상각후";#N/A,#N/A,FALSE,"신규dep-연구비상각후";#N/A,#N/A,FALSE,"신규dep-기계,공구상각후"}</definedName>
    <definedName name="_177q6_" hidden="1">{#N/A,#N/A,FALSE,"신규dep";#N/A,#N/A,FALSE,"신규dep-금형상각후";#N/A,#N/A,FALSE,"신규dep-연구비상각후";#N/A,#N/A,FALSE,"신규dep-기계,공구상각후"}</definedName>
    <definedName name="_178q7_" hidden="1">{#N/A,#N/A,FALSE,"신규dep";#N/A,#N/A,FALSE,"신규dep-금형상각후";#N/A,#N/A,FALSE,"신규dep-연구비상각후";#N/A,#N/A,FALSE,"신규dep-기계,공구상각후"}</definedName>
    <definedName name="_179q9_" hidden="1">{#N/A,#N/A,FALSE,"신규dep";#N/A,#N/A,FALSE,"신규dep-금형상각후";#N/A,#N/A,FALSE,"신규dep-연구비상각후";#N/A,#N/A,FALSE,"신규dep-기계,공구상각후"}</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Module1_.exe_8">#N/A</definedName>
    <definedName name="_18">#N/A</definedName>
    <definedName name="_18__123Graph_C차트_1" hidden="1">#REF!</definedName>
    <definedName name="_18_0Depende">#REF!,#REF!,#REF!</definedName>
    <definedName name="_18_5_0__123Grap" hidden="1">#REF!</definedName>
    <definedName name="_18_7_0__123Graph_LB" hidden="1">#REF!</definedName>
    <definedName name="_183s1_" hidden="1">{#N/A,#N/A,FALSE,"신규dep";#N/A,#N/A,FALSE,"신규dep-금형상각후";#N/A,#N/A,FALSE,"신규dep-연구비상각후";#N/A,#N/A,FALSE,"신규dep-기계,공구상각후"}</definedName>
    <definedName name="_184s2_" hidden="1">{#N/A,#N/A,FALSE,"신규dep";#N/A,#N/A,FALSE,"신규dep-금형상각후";#N/A,#N/A,FALSE,"신규dep-연구비상각후";#N/A,#N/A,FALSE,"신규dep-기계,공구상각후"}</definedName>
    <definedName name="_185s3_" hidden="1">{#N/A,#N/A,FALSE,"단축1";#N/A,#N/A,FALSE,"단축2";#N/A,#N/A,FALSE,"단축3";#N/A,#N/A,FALSE,"장축";#N/A,#N/A,FALSE,"4WD"}</definedName>
    <definedName name="_186s4_" hidden="1">{#N/A,#N/A,FALSE,"단축1";#N/A,#N/A,FALSE,"단축2";#N/A,#N/A,FALSE,"단축3";#N/A,#N/A,FALSE,"장축";#N/A,#N/A,FALSE,"4WD"}</definedName>
    <definedName name="_187s5_" hidden="1">{#N/A,#N/A,FALSE,"신규dep";#N/A,#N/A,FALSE,"신규dep-금형상각후";#N/A,#N/A,FALSE,"신규dep-연구비상각후";#N/A,#N/A,FALSE,"신규dep-기계,공구상각후"}</definedName>
    <definedName name="_188s6_" hidden="1">{#N/A,#N/A,FALSE,"신규dep";#N/A,#N/A,FALSE,"신규dep-금형상각후";#N/A,#N/A,FALSE,"신규dep-연구비상각후";#N/A,#N/A,FALSE,"신규dep-기계,공구상각후"}</definedName>
    <definedName name="_189s7_" hidden="1">{#N/A,#N/A,FALSE,"신규dep";#N/A,#N/A,FALSE,"신규dep-금형상각후";#N/A,#N/A,FALSE,"신규dep-연구비상각후";#N/A,#N/A,FALSE,"신규dep-기계,공구상각후"}</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s2_" localSheetId="2" hidden="1">{#N/A,#N/A,FALSE,"UNIT";#N/A,#N/A,FALSE,"UNIT";#N/A,#N/A,FALSE,"계정"}</definedName>
    <definedName name="_18s2_" hidden="1">{#N/A,#N/A,FALSE,"UNIT";#N/A,#N/A,FALSE,"UNIT";#N/A,#N/A,FALSE,"계정"}</definedName>
    <definedName name="_19">#N/A</definedName>
    <definedName name="_19_0All.Colu">#REF!</definedName>
    <definedName name="_19_7_0__123Grap" hidden="1">#REF!</definedName>
    <definedName name="_190s8_" hidden="1">{#N/A,#N/A,FALSE,"신규dep";#N/A,#N/A,FALSE,"신규dep-금형상각후";#N/A,#N/A,FALSE,"신규dep-연구비상각후";#N/A,#N/A,FALSE,"신규dep-기계,공구상각후"}</definedName>
    <definedName name="_191T2_" hidden="1">{#N/A,#N/A,FALSE,"단축1";#N/A,#N/A,FALSE,"단축2";#N/A,#N/A,FALSE,"단축3";#N/A,#N/A,FALSE,"장축";#N/A,#N/A,FALSE,"4WD"}</definedName>
    <definedName name="_192T3_" hidden="1">{#N/A,#N/A,FALSE,"단축1";#N/A,#N/A,FALSE,"단축2";#N/A,#N/A,FALSE,"단축3";#N/A,#N/A,FALSE,"장축";#N/A,#N/A,FALSE,"4WD"}</definedName>
    <definedName name="_193U1_" hidden="1">{#N/A,#N/A,FALSE,"단축1";#N/A,#N/A,FALSE,"단축2";#N/A,#N/A,FALSE,"단축3";#N/A,#N/A,FALSE,"장축";#N/A,#N/A,FALSE,"4WD"}</definedName>
    <definedName name="_197w1_" hidden="1">{#N/A,#N/A,FALSE,"신규dep";#N/A,#N/A,FALSE,"신규dep-금형상각후";#N/A,#N/A,FALSE,"신규dep-연구비상각후";#N/A,#N/A,FALSE,"신규dep-기계,공구상각후"}</definedName>
    <definedName name="_198w3_" hidden="1">{#N/A,#N/A,FALSE,"신규dep";#N/A,#N/A,FALSE,"신규dep-금형상각후";#N/A,#N/A,FALSE,"신규dep-연구비상각후";#N/A,#N/A,FALSE,"신규dep-기계,공구상각후"}</definedName>
    <definedName name="_1999_01_29">#REF!</definedName>
    <definedName name="_199w4_" hidden="1">{#N/A,#N/A,FALSE,"단축1";#N/A,#N/A,FALSE,"단축2";#N/A,#N/A,FALSE,"단축3";#N/A,#N/A,FALSE,"장축";#N/A,#N/A,FALSE,"4WD"}</definedName>
    <definedName name="_19A9_" hidden="1">{#N/A,#N/A,FALSE,"손익표지";#N/A,#N/A,FALSE,"손익계산";#N/A,#N/A,FALSE,"일반관리비";#N/A,#N/A,FALSE,"영업외수익";#N/A,#N/A,FALSE,"영업외비용";#N/A,#N/A,FALSE,"매출액";#N/A,#N/A,FALSE,"요약손익";#N/A,#N/A,FALSE,"요약대차";#N/A,#N/A,FALSE,"매출채권현황";#N/A,#N/A,FALSE,"매출채권명세"}</definedName>
    <definedName name="_1A_1">#N/A</definedName>
    <definedName name="_1A_10">#N/A</definedName>
    <definedName name="_1A_11">#N/A</definedName>
    <definedName name="_1A_12">#N/A</definedName>
    <definedName name="_1A_13">#N/A</definedName>
    <definedName name="_1A_14">#N/A</definedName>
    <definedName name="_1A_15">#N/A</definedName>
    <definedName name="_1A_16">#N/A</definedName>
    <definedName name="_1A_17">#N/A</definedName>
    <definedName name="_1A_18">#N/A</definedName>
    <definedName name="_1A_19">#N/A</definedName>
    <definedName name="_1A_2">#N/A</definedName>
    <definedName name="_1A_20">#N/A</definedName>
    <definedName name="_1A_21">#N/A</definedName>
    <definedName name="_1A_22">#N/A</definedName>
    <definedName name="_1A_23">#N/A</definedName>
    <definedName name="_1A_24">#N/A</definedName>
    <definedName name="_1A_25">#N/A</definedName>
    <definedName name="_1A_26">#N/A</definedName>
    <definedName name="_1A_27">#N/A</definedName>
    <definedName name="_1A_28">#N/A</definedName>
    <definedName name="_1A_29">#N/A</definedName>
    <definedName name="_1A_3">#N/A</definedName>
    <definedName name="_1A_30">#N/A</definedName>
    <definedName name="_1A_4">#N/A</definedName>
    <definedName name="_1A_5">#N/A</definedName>
    <definedName name="_1A_6">#N/A</definedName>
    <definedName name="_1A_7">#N/A</definedName>
    <definedName name="_1A_8">#N/A</definedName>
    <definedName name="_1A_9">#N/A</definedName>
    <definedName name="_1a1_">#REF!</definedName>
    <definedName name="_1B_1">#N/A</definedName>
    <definedName name="_1B_10">#N/A</definedName>
    <definedName name="_1B_11">#N/A</definedName>
    <definedName name="_1B_12">#N/A</definedName>
    <definedName name="_1B_13">#N/A</definedName>
    <definedName name="_1B_14">#N/A</definedName>
    <definedName name="_1B_15">#N/A</definedName>
    <definedName name="_1B_16">#N/A</definedName>
    <definedName name="_1B_17">#N/A</definedName>
    <definedName name="_1B_18">#N/A</definedName>
    <definedName name="_1B_19">#N/A</definedName>
    <definedName name="_1B_2">#N/A</definedName>
    <definedName name="_1B_20">#N/A</definedName>
    <definedName name="_1B_21">#N/A</definedName>
    <definedName name="_1B_22">#N/A</definedName>
    <definedName name="_1B_23">#N/A</definedName>
    <definedName name="_1B_24">#N/A</definedName>
    <definedName name="_1B_25">#N/A</definedName>
    <definedName name="_1B_26">#N/A</definedName>
    <definedName name="_1B_27">#N/A</definedName>
    <definedName name="_1B_28">#N/A</definedName>
    <definedName name="_1B_29">#N/A</definedName>
    <definedName name="_1B_3">#N/A</definedName>
    <definedName name="_1B_30">#N/A</definedName>
    <definedName name="_1B_4">#N/A</definedName>
    <definedName name="_1B_5">#N/A</definedName>
    <definedName name="_1B_6">#N/A</definedName>
    <definedName name="_1B_7">#N/A</definedName>
    <definedName name="_1B_8">#N/A</definedName>
    <definedName name="_1B_9">#N/A</definedName>
    <definedName name="_1C_1">#N/A</definedName>
    <definedName name="_1C_10">#N/A</definedName>
    <definedName name="_1C_11">#N/A</definedName>
    <definedName name="_1C_12">#N/A</definedName>
    <definedName name="_1C_13">#N/A</definedName>
    <definedName name="_1C_14">#N/A</definedName>
    <definedName name="_1C_15">#N/A</definedName>
    <definedName name="_1C_16">#N/A</definedName>
    <definedName name="_1C_17">#N/A</definedName>
    <definedName name="_1C_18">#N/A</definedName>
    <definedName name="_1C_19">#N/A</definedName>
    <definedName name="_1C_2">#N/A</definedName>
    <definedName name="_1C_20">#N/A</definedName>
    <definedName name="_1C_21">#N/A</definedName>
    <definedName name="_1C_22">#N/A</definedName>
    <definedName name="_1C_23">#N/A</definedName>
    <definedName name="_1C_24">#N/A</definedName>
    <definedName name="_1C_25">#N/A</definedName>
    <definedName name="_1C_26">#N/A</definedName>
    <definedName name="_1C_27">#N/A</definedName>
    <definedName name="_1C_28">#N/A</definedName>
    <definedName name="_1C_29">#N/A</definedName>
    <definedName name="_1C_3">#N/A</definedName>
    <definedName name="_1C_30">#N/A</definedName>
    <definedName name="_1C_4">#N/A</definedName>
    <definedName name="_1C_5">#N/A</definedName>
    <definedName name="_1C_6">#N/A</definedName>
    <definedName name="_1C_7">#N/A</definedName>
    <definedName name="_1C_8">#N/A</definedName>
    <definedName name="_1C_9">#N/A</definedName>
    <definedName name="_1공장">#REF!</definedName>
    <definedName name="_1안" hidden="1">#REF!</definedName>
    <definedName name="_1월">#REF!</definedName>
    <definedName name="_2">#N/A</definedName>
    <definedName name="_2._S.I.G_공사">#REF!</definedName>
    <definedName name="_2__123Graph_ACHART_1" hidden="1">#REF!</definedName>
    <definedName name="_2__123Graph_ACHART_2" hidden="1">#REF!</definedName>
    <definedName name="_2__123Graph_A차트_1" hidden="1">#REF!</definedName>
    <definedName name="_2__123Graph_BChart_1A" hidden="1">#N/A</definedName>
    <definedName name="_2__123Graph_B차트_1" hidden="1">#REF!</definedName>
    <definedName name="_2__FDSAUDITLINK__"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PIPING__">#REF!</definedName>
    <definedName name="_2_0_0" hidden="1">#REF!</definedName>
    <definedName name="_2_5_0__123Grap" hidden="1">#REF!</definedName>
    <definedName name="_20">#N/A</definedName>
    <definedName name="_20_0Interest.C">#REF!</definedName>
    <definedName name="_20_7_0__123Graph_LB" hidden="1">#REF!</definedName>
    <definedName name="_2000년입출고">#REF!</definedName>
    <definedName name="_200w5_" hidden="1">{#N/A,#N/A,FALSE,"신규dep";#N/A,#N/A,FALSE,"신규dep-금형상각후";#N/A,#N/A,FALSE,"신규dep-연구비상각후";#N/A,#N/A,FALSE,"신규dep-기계,공구상각후"}</definedName>
    <definedName name="_201x1_" hidden="1">{#N/A,#N/A,FALSE,"단축1";#N/A,#N/A,FALSE,"단축2";#N/A,#N/A,FALSE,"단축3";#N/A,#N/A,FALSE,"장축";#N/A,#N/A,FALSE,"4WD"}</definedName>
    <definedName name="_202x2_" hidden="1">{#N/A,#N/A,FALSE,"단축1";#N/A,#N/A,FALSE,"단축2";#N/A,#N/A,FALSE,"단축3";#N/A,#N/A,FALSE,"장축";#N/A,#N/A,FALSE,"4WD"}</definedName>
    <definedName name="_203z1_" hidden="1">{#N/A,#N/A,FALSE,"단축1";#N/A,#N/A,FALSE,"단축2";#N/A,#N/A,FALSE,"단축3";#N/A,#N/A,FALSE,"장축";#N/A,#N/A,FALSE,"4WD"}</definedName>
    <definedName name="_204z2_" hidden="1">{#N/A,#N/A,FALSE,"단축1";#N/A,#N/A,FALSE,"단축2";#N/A,#N/A,FALSE,"단축3";#N/A,#N/A,FALSE,"장축";#N/A,#N/A,FALSE,"4WD"}</definedName>
    <definedName name="_205z4_" hidden="1">{#N/A,#N/A,FALSE,"단축1";#N/A,#N/A,FALSE,"단축2";#N/A,#N/A,FALSE,"단축3";#N/A,#N/A,FALSE,"장축";#N/A,#N/A,FALSE,"4WD"}</definedName>
    <definedName name="_208__0_S" hidden="1">#REF!</definedName>
    <definedName name="_20s3_" localSheetId="2" hidden="1">{#N/A,#N/A,FALSE,"UNIT";#N/A,#N/A,FALSE,"UNIT";#N/A,#N/A,FALSE,"계정"}</definedName>
    <definedName name="_20s3_" hidden="1">{#N/A,#N/A,FALSE,"UNIT";#N/A,#N/A,FALSE,"UNIT";#N/A,#N/A,FALSE,"계정"}</definedName>
    <definedName name="_20T1">#REF!</definedName>
    <definedName name="_20T2">#REF!</definedName>
    <definedName name="_21">#N/A</definedName>
    <definedName name="_21__FDSAUDITLINK__"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0_F" hidden="1">#REF!</definedName>
    <definedName name="_21_0Interest.Calc">#REF!</definedName>
    <definedName name="_214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215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216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1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18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2">#N/A</definedName>
    <definedName name="_22__FDSAUDITLINK__"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0R">#REF!</definedName>
    <definedName name="_22_9_0__123Grap" hidden="1">#REF!</definedName>
    <definedName name="_222" hidden="1">#REF!</definedName>
    <definedName name="_22A3_" localSheetId="2" hidden="1">{#N/A,#N/A,FALSE,"단축1";#N/A,#N/A,FALSE,"단축2";#N/A,#N/A,FALSE,"단축3";#N/A,#N/A,FALSE,"장축";#N/A,#N/A,FALSE,"4WD"}</definedName>
    <definedName name="_22A3_" hidden="1">{#N/A,#N/A,FALSE,"단축1";#N/A,#N/A,FALSE,"단축2";#N/A,#N/A,FALSE,"단축3";#N/A,#N/A,FALSE,"장축";#N/A,#N/A,FALSE,"4WD"}</definedName>
    <definedName name="_22s4_" localSheetId="2" hidden="1">{#N/A,#N/A,FALSE,"UNIT";#N/A,#N/A,FALSE,"UNIT";#N/A,#N/A,FALSE,"계정"}</definedName>
    <definedName name="_22s4_" hidden="1">{#N/A,#N/A,FALSE,"UNIT";#N/A,#N/A,FALSE,"UNIT";#N/A,#N/A,FALSE,"계정"}</definedName>
    <definedName name="_23">#N/A</definedName>
    <definedName name="_23__FDSAUDITLINK__"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0R">#REF!</definedName>
    <definedName name="_23_9_0__123Grap" hidden="1">#REF!</definedName>
    <definedName name="_23_9_0__123Graph_LB" hidden="1">#REF!</definedName>
    <definedName name="_232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233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24">#N/A</definedName>
    <definedName name="_24__123Graph_X차트_1" hidden="1">#REF!</definedName>
    <definedName name="_24__FDSAUDITLINK__"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0Securit">#REF!</definedName>
    <definedName name="_24_9_0__123Grap" hidden="1">#REF!</definedName>
    <definedName name="_24s5_" localSheetId="2" hidden="1">{#N/A,#N/A,FALSE,"UNIT";#N/A,#N/A,FALSE,"UNIT";#N/A,#N/A,FALSE,"계정"}</definedName>
    <definedName name="_24s5_" hidden="1">{#N/A,#N/A,FALSE,"UNIT";#N/A,#N/A,FALSE,"UNIT";#N/A,#N/A,FALSE,"계정"}</definedName>
    <definedName name="_25">#N/A</definedName>
    <definedName name="_25__FDSAUDITLINK__"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0Unhide.Ra">#REF!</definedName>
    <definedName name="_25j1_" hidden="1">{#N/A,#N/A,FALSE,"손익표지";#N/A,#N/A,FALSE,"손익계산";#N/A,#N/A,FALSE,"일반관리비";#N/A,#N/A,FALSE,"영업외수익";#N/A,#N/A,FALSE,"영업외비용";#N/A,#N/A,FALSE,"매출액";#N/A,#N/A,FALSE,"요약손익";#N/A,#N/A,FALSE,"요약대차";#N/A,#N/A,FALSE,"매출채권현황";#N/A,#N/A,FALSE,"매출채권명세"}</definedName>
    <definedName name="_26">#N/A</definedName>
    <definedName name="_26__FDSAUDITLINK__"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5_0__123Grap" hidden="1">#REF!</definedName>
    <definedName name="_262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63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6j1_" hidden="1">{#N/A,#N/A,FALSE,"손익표지";#N/A,#N/A,FALSE,"손익계산";#N/A,#N/A,FALSE,"일반관리비";#N/A,#N/A,FALSE,"영업외수익";#N/A,#N/A,FALSE,"영업외비용";#N/A,#N/A,FALSE,"매출액";#N/A,#N/A,FALSE,"요약손익";#N/A,#N/A,FALSE,"요약대차";#N/A,#N/A,FALSE,"매출채권현황";#N/A,#N/A,FALSE,"매출채권명세"}</definedName>
    <definedName name="_26s6_" localSheetId="2" hidden="1">{#N/A,#N/A,FALSE,"UNIT";#N/A,#N/A,FALSE,"UNIT";#N/A,#N/A,FALSE,"계정"}</definedName>
    <definedName name="_26s6_" hidden="1">{#N/A,#N/A,FALSE,"UNIT";#N/A,#N/A,FALSE,"UNIT";#N/A,#N/A,FALSE,"계정"}</definedName>
    <definedName name="_27">#N/A</definedName>
    <definedName name="_27_" hidden="1">#REF!</definedName>
    <definedName name="_27__FDSAUDITLINK__"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7_0__123Grap" hidden="1">#REF!</definedName>
    <definedName name="_27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79__FDSAUDITLINK__" hidden="1">{"fdsup://Directions/FactSet Auditing Viewer?action=AUDIT_VALUE&amp;DB=129&amp;ID1=75886F10&amp;VALUEID=02001&amp;SDATE=2011&amp;PERIODTYPE=ANN_STD&amp;SCFT=3&amp;window=popup_no_bar&amp;width=385&amp;height=120&amp;START_MAXIMIZED=FALSE&amp;creator=factset&amp;display_string=Audit"}</definedName>
    <definedName name="_27A9_" hidden="1">{#N/A,#N/A,FALSE,"손익표지";#N/A,#N/A,FALSE,"손익계산";#N/A,#N/A,FALSE,"일반관리비";#N/A,#N/A,FALSE,"영업외수익";#N/A,#N/A,FALSE,"영업외비용";#N/A,#N/A,FALSE,"매출액";#N/A,#N/A,FALSE,"요약손익";#N/A,#N/A,FALSE,"요약대차";#N/A,#N/A,FALSE,"매출채권현황";#N/A,#N/A,FALSE,"매출채권명세"}</definedName>
    <definedName name="_28">#N/A</definedName>
    <definedName name="_28__FDSAUDITLINK__"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0_0" hidden="1">#REF!</definedName>
    <definedName name="_28_7_0__123Graph_LB" hidden="1">#REF!</definedName>
    <definedName name="_28s9_" localSheetId="2" hidden="1">{#N/A,#N/A,FALSE,"UNIT";#N/A,#N/A,FALSE,"UNIT";#N/A,#N/A,FALSE,"계정"}</definedName>
    <definedName name="_28s9_" hidden="1">{#N/A,#N/A,FALSE,"UNIT";#N/A,#N/A,FALSE,"UNIT";#N/A,#N/A,FALSE,"계정"}</definedName>
    <definedName name="_29">#N/A</definedName>
    <definedName name="_29__FDSAUDITLINK__"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8_0R">#REF!</definedName>
    <definedName name="_29_9_0__123Graph_LB" hidden="1">#REF!</definedName>
    <definedName name="_290__FDSAUDITLINK__" hidden="1">{"fdsup://Directions/FactSet Auditing Viewer?action=AUDIT_VALUE&amp;DB=129&amp;ID1=92824110&amp;VALUEID=02001&amp;SDATE=2010&amp;PERIODTYPE=ANN_STD&amp;SCFT=3&amp;window=popup_no_bar&amp;width=385&amp;height=120&amp;START_MAXIMIZED=FALSE&amp;creator=factset&amp;display_string=Audit"}</definedName>
    <definedName name="_291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92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93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A_1">#N/A</definedName>
    <definedName name="_2A_10">#N/A</definedName>
    <definedName name="_2A_11">#N/A</definedName>
    <definedName name="_2A_12">#N/A</definedName>
    <definedName name="_2A_13">#N/A</definedName>
    <definedName name="_2A_14">#N/A</definedName>
    <definedName name="_2A_15">#N/A</definedName>
    <definedName name="_2A_16">#N/A</definedName>
    <definedName name="_2A_17">#N/A</definedName>
    <definedName name="_2A_18">#N/A</definedName>
    <definedName name="_2A_19">#N/A</definedName>
    <definedName name="_2A_2">#N/A</definedName>
    <definedName name="_2A_20">#N/A</definedName>
    <definedName name="_2A_21">#N/A</definedName>
    <definedName name="_2A_22">#N/A</definedName>
    <definedName name="_2A_23">#N/A</definedName>
    <definedName name="_2A_24">#N/A</definedName>
    <definedName name="_2A_25">#N/A</definedName>
    <definedName name="_2A_26">#N/A</definedName>
    <definedName name="_2A_27">#N/A</definedName>
    <definedName name="_2A_28">#N/A</definedName>
    <definedName name="_2A_29">#N/A</definedName>
    <definedName name="_2A_3">#N/A</definedName>
    <definedName name="_2A_30">#N/A</definedName>
    <definedName name="_2A_4">#N/A</definedName>
    <definedName name="_2A_5">#N/A</definedName>
    <definedName name="_2A_6">#N/A</definedName>
    <definedName name="_2A_7">#N/A</definedName>
    <definedName name="_2A_8">#N/A</definedName>
    <definedName name="_2A_9">#N/A</definedName>
    <definedName name="_2B_1">#N/A</definedName>
    <definedName name="_2B_10">#N/A</definedName>
    <definedName name="_2B_11">#N/A</definedName>
    <definedName name="_2B_12">#N/A</definedName>
    <definedName name="_2B_13">#N/A</definedName>
    <definedName name="_2B_14">#N/A</definedName>
    <definedName name="_2B_15">#N/A</definedName>
    <definedName name="_2B_16">#N/A</definedName>
    <definedName name="_2B_17">#N/A</definedName>
    <definedName name="_2B_18">#N/A</definedName>
    <definedName name="_2B_19">#N/A</definedName>
    <definedName name="_2B_2">#N/A</definedName>
    <definedName name="_2B_20">#N/A</definedName>
    <definedName name="_2B_21">#N/A</definedName>
    <definedName name="_2B_22">#N/A</definedName>
    <definedName name="_2B_23">#N/A</definedName>
    <definedName name="_2B_24">#N/A</definedName>
    <definedName name="_2B_25">#N/A</definedName>
    <definedName name="_2B_26">#N/A</definedName>
    <definedName name="_2B_27">#N/A</definedName>
    <definedName name="_2B_28">#N/A</definedName>
    <definedName name="_2B_29">#N/A</definedName>
    <definedName name="_2B_3">#N/A</definedName>
    <definedName name="_2B_30">#N/A</definedName>
    <definedName name="_2B_4">#N/A</definedName>
    <definedName name="_2B_5">#N/A</definedName>
    <definedName name="_2B_6">#N/A</definedName>
    <definedName name="_2B_7">#N/A</definedName>
    <definedName name="_2B_8">#N/A</definedName>
    <definedName name="_2B_9">#N/A</definedName>
    <definedName name="_2C_1">#N/A</definedName>
    <definedName name="_2C_10">#N/A</definedName>
    <definedName name="_2C_11">#N/A</definedName>
    <definedName name="_2C_12">#N/A</definedName>
    <definedName name="_2C_13">#N/A</definedName>
    <definedName name="_2C_14">#N/A</definedName>
    <definedName name="_2C_15">#N/A</definedName>
    <definedName name="_2C_16">#N/A</definedName>
    <definedName name="_2C_17">#N/A</definedName>
    <definedName name="_2C_18">#N/A</definedName>
    <definedName name="_2C_19">#N/A</definedName>
    <definedName name="_2C_2">#N/A</definedName>
    <definedName name="_2C_20">#N/A</definedName>
    <definedName name="_2C_21">#N/A</definedName>
    <definedName name="_2C_22">#N/A</definedName>
    <definedName name="_2C_23">#N/A</definedName>
    <definedName name="_2C_24">#N/A</definedName>
    <definedName name="_2C_25">#N/A</definedName>
    <definedName name="_2C_26">#N/A</definedName>
    <definedName name="_2C_27">#N/A</definedName>
    <definedName name="_2C_28">#N/A</definedName>
    <definedName name="_2C_29">#N/A</definedName>
    <definedName name="_2C_3">#N/A</definedName>
    <definedName name="_2C_30">#N/A</definedName>
    <definedName name="_2C_4">#N/A</definedName>
    <definedName name="_2C_5">#N/A</definedName>
    <definedName name="_2C_6">#N/A</definedName>
    <definedName name="_2C_7">#N/A</definedName>
    <definedName name="_2C_8">#N/A</definedName>
    <definedName name="_2C_9">#N/A</definedName>
    <definedName name="_2F" hidden="1">#REF!</definedName>
    <definedName name="_2o2_" hidden="1">#REF!</definedName>
    <definedName name="_2s1_" localSheetId="2" hidden="1">{#N/A,#N/A,FALSE,"UNIT";#N/A,#N/A,FALSE,"UNIT";#N/A,#N/A,FALSE,"계정"}</definedName>
    <definedName name="_2s1_" hidden="1">{#N/A,#N/A,FALSE,"UNIT";#N/A,#N/A,FALSE,"UNIT";#N/A,#N/A,FALSE,"계정"}</definedName>
    <definedName name="_2공장">#REF!</definedName>
    <definedName name="_2월">#REF!</definedName>
    <definedName name="_3">#N/A</definedName>
    <definedName name="_3._Document">#REF!</definedName>
    <definedName name="_3._가시설_설치_공사">#REF!</definedName>
    <definedName name="_3._재무구조개선적립금">#REF!</definedName>
    <definedName name="_3__123Graph_ACHART_2" hidden="1">#REF!</definedName>
    <definedName name="_3__123Graph_BCHART_1" hidden="1">#REF!</definedName>
    <definedName name="_3__123Graph_C차트_1" hidden="1">#REF!</definedName>
    <definedName name="_3__123Graph_XChart_1A" hidden="1">#N/A</definedName>
    <definedName name="_3__FDSAUDITLINK__"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STR_STEEL__">#REF!</definedName>
    <definedName name="_3_0_0" hidden="1">#REF!</definedName>
    <definedName name="_3_0_0_F" hidden="1">#REF!</definedName>
    <definedName name="_3_7____123Grap" hidden="1">#REF!</definedName>
    <definedName name="_30">#N/A</definedName>
    <definedName name="_30__FDSAUDITLINK__"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9_0__123Grap" hidden="1">#REF!</definedName>
    <definedName name="_30_9_0__123Graph_LB" hidden="1">#REF!</definedName>
    <definedName name="_306__FDSAUDITLINK__" hidden="1">{"fdsup://Directions/FactSet Auditing Viewer?action=AUDIT_VALUE&amp;DB=129&amp;ID1=80517Q10&amp;VALUEID=02001&amp;SDATE=2011&amp;PERIODTYPE=ANN_STD&amp;SCFT=3&amp;window=popup_no_bar&amp;width=385&amp;height=120&amp;START_MAXIMIZED=FALSE&amp;creator=factset&amp;display_string=Audit"}</definedName>
    <definedName name="_30A9_" hidden="1">{#N/A,#N/A,FALSE,"손익표지";#N/A,#N/A,FALSE,"손익계산";#N/A,#N/A,FALSE,"일반관리비";#N/A,#N/A,FALSE,"영업외수익";#N/A,#N/A,FALSE,"영업외비용";#N/A,#N/A,FALSE,"매출액";#N/A,#N/A,FALSE,"요약손익";#N/A,#N/A,FALSE,"요약대차";#N/A,#N/A,FALSE,"매출채권현황";#N/A,#N/A,FALSE,"매출채권명세"}</definedName>
    <definedName name="_31">#N/A</definedName>
    <definedName name="_31__FDSAUDITLINK__"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9_0__123Graph_LB" hidden="1">#REF!</definedName>
    <definedName name="_312__FDSAUDITLINK__" hidden="1">{"fdsup://Directions/FactSet Auditing Viewer?action=AUDIT_VALUE&amp;DB=129&amp;ID1=22967810&amp;VALUEID=02001&amp;SDATE=2011&amp;PERIODTYPE=ANN_STD&amp;SCFT=3&amp;window=popup_no_bar&amp;width=385&amp;height=120&amp;START_MAXIMIZED=FALSE&amp;creator=factset&amp;display_string=Audit"}</definedName>
    <definedName name="_318__FDSAUDITLINK__" hidden="1">{"fdsup://Directions/FactSet Auditing Viewer?action=AUDIT_VALUE&amp;DB=129&amp;ID1=01977710&amp;VALUEID=02001&amp;SDATE=2011&amp;PERIODTYPE=ANN_STD&amp;SCFT=3&amp;window=popup_no_bar&amp;width=385&amp;height=120&amp;START_MAXIMIZED=FALSE&amp;creator=factset&amp;display_string=Audit"}</definedName>
    <definedName name="_31b123_" hidden="1">#REF!</definedName>
    <definedName name="_32">#N/A</definedName>
    <definedName name="_32__FDSAUDITLINK__"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0__FDSAUDITLINK__" hidden="1">{"fdsup://Directions/FactSet Auditing Viewer?action=AUDIT_VALUE&amp;DB=129&amp;ID1=00484M10&amp;VALUEID=02001&amp;SDATE=2011&amp;PERIODTYPE=ANN_STD&amp;SCFT=3&amp;window=popup_no_bar&amp;width=385&amp;height=120&amp;START_MAXIMIZED=FALSE&amp;creator=factset&amp;display_string=Audit"}</definedName>
    <definedName name="_32bs1_">#REF!</definedName>
    <definedName name="_33">#N/A</definedName>
    <definedName name="_33__FDSAUDITLINK__"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C30000_">#REF!</definedName>
    <definedName name="_34">#N/A</definedName>
    <definedName name="_34__FDSAUDITLINK__"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h">#REF!</definedName>
    <definedName name="_35">#N/A</definedName>
    <definedName name="_35__FDSAUDITLINK__"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0_0_F" hidden="1">#REF!</definedName>
    <definedName name="_35P1_">#REF!</definedName>
    <definedName name="_36">#N/A</definedName>
    <definedName name="_36__FDSAUDITLINK__"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87__FDSAUDITLINK__"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j1_" hidden="1">{#N/A,#N/A,FALSE,"손익표지";#N/A,#N/A,FALSE,"손익계산";#N/A,#N/A,FALSE,"일반관리비";#N/A,#N/A,FALSE,"영업외수익";#N/A,#N/A,FALSE,"영업외비용";#N/A,#N/A,FALSE,"매출액";#N/A,#N/A,FALSE,"요약손익";#N/A,#N/A,FALSE,"요약대차";#N/A,#N/A,FALSE,"매출채권현황";#N/A,#N/A,FALSE,"매출채권명세"}</definedName>
    <definedName name="_36P10_">#REF!</definedName>
    <definedName name="_37">#N/A</definedName>
    <definedName name="_37__FDSAUDITLINK__"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j1_" hidden="1">{#N/A,#N/A,FALSE,"손익표지";#N/A,#N/A,FALSE,"손익계산";#N/A,#N/A,FALSE,"일반관리비";#N/A,#N/A,FALSE,"영업외수익";#N/A,#N/A,FALSE,"영업외비용";#N/A,#N/A,FALSE,"매출액";#N/A,#N/A,FALSE,"요약손익";#N/A,#N/A,FALSE,"요약대차";#N/A,#N/A,FALSE,"매출채권현황";#N/A,#N/A,FALSE,"매출채권명세"}</definedName>
    <definedName name="_37p11_">#REF!</definedName>
    <definedName name="_38">#N/A</definedName>
    <definedName name="_38__FDSAUDITLINK__"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p2_">#REF!</definedName>
    <definedName name="_39">#N/A</definedName>
    <definedName name="_39__FDSAUDITLINK__"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P3_">#REF!</definedName>
    <definedName name="_3A_1">#N/A</definedName>
    <definedName name="_3A_10">#N/A</definedName>
    <definedName name="_3A_11">#N/A</definedName>
    <definedName name="_3A_12">#N/A</definedName>
    <definedName name="_3A_13">#N/A</definedName>
    <definedName name="_3A_14">#N/A</definedName>
    <definedName name="_3A_15">#N/A</definedName>
    <definedName name="_3A_16">#N/A</definedName>
    <definedName name="_3A_17">#N/A</definedName>
    <definedName name="_3A_18">#N/A</definedName>
    <definedName name="_3A_19">#N/A</definedName>
    <definedName name="_3A_2">#N/A</definedName>
    <definedName name="_3A_20">#N/A</definedName>
    <definedName name="_3A_21">#N/A</definedName>
    <definedName name="_3A_22">#N/A</definedName>
    <definedName name="_3A_23">#N/A</definedName>
    <definedName name="_3A_24">#N/A</definedName>
    <definedName name="_3A_25">#N/A</definedName>
    <definedName name="_3A_26">#N/A</definedName>
    <definedName name="_3A_27">#N/A</definedName>
    <definedName name="_3A_28">#N/A</definedName>
    <definedName name="_3A_29">#N/A</definedName>
    <definedName name="_3A_3">#N/A</definedName>
    <definedName name="_3A_30">#N/A</definedName>
    <definedName name="_3A_4">#N/A</definedName>
    <definedName name="_3A_5">#N/A</definedName>
    <definedName name="_3A_6">#N/A</definedName>
    <definedName name="_3A_7">#N/A</definedName>
    <definedName name="_3A_8">#N/A</definedName>
    <definedName name="_3A_9">#N/A</definedName>
    <definedName name="_3B_1">#N/A</definedName>
    <definedName name="_3B_10">#N/A</definedName>
    <definedName name="_3B_11">#N/A</definedName>
    <definedName name="_3B_12">#N/A</definedName>
    <definedName name="_3B_13">#N/A</definedName>
    <definedName name="_3B_14">#N/A</definedName>
    <definedName name="_3B_15">#N/A</definedName>
    <definedName name="_3B_16">#N/A</definedName>
    <definedName name="_3B_17">#N/A</definedName>
    <definedName name="_3B_18">#N/A</definedName>
    <definedName name="_3B_19">#N/A</definedName>
    <definedName name="_3B_2">#N/A</definedName>
    <definedName name="_3B_20">#N/A</definedName>
    <definedName name="_3B_21">#N/A</definedName>
    <definedName name="_3B_22">#N/A</definedName>
    <definedName name="_3B_23">#N/A</definedName>
    <definedName name="_3B_24">#N/A</definedName>
    <definedName name="_3B_25">#N/A</definedName>
    <definedName name="_3B_26">#N/A</definedName>
    <definedName name="_3B_27">#N/A</definedName>
    <definedName name="_3B_28">#N/A</definedName>
    <definedName name="_3B_29">#N/A</definedName>
    <definedName name="_3B_3">#N/A</definedName>
    <definedName name="_3B_30">#N/A</definedName>
    <definedName name="_3B_4">#N/A</definedName>
    <definedName name="_3B_5">#N/A</definedName>
    <definedName name="_3B_6">#N/A</definedName>
    <definedName name="_3B_7">#N/A</definedName>
    <definedName name="_3B_8">#N/A</definedName>
    <definedName name="_3B_9">#N/A</definedName>
    <definedName name="_3C_1">#N/A</definedName>
    <definedName name="_3C_10">#N/A</definedName>
    <definedName name="_3C_11">#N/A</definedName>
    <definedName name="_3C_12">#N/A</definedName>
    <definedName name="_3C_13">#N/A</definedName>
    <definedName name="_3C_14">#N/A</definedName>
    <definedName name="_3C_15">#N/A</definedName>
    <definedName name="_3C_16">#N/A</definedName>
    <definedName name="_3C_17">#N/A</definedName>
    <definedName name="_3C_18">#N/A</definedName>
    <definedName name="_3C_19">#N/A</definedName>
    <definedName name="_3C_2">#N/A</definedName>
    <definedName name="_3C_20">#N/A</definedName>
    <definedName name="_3C_21">#N/A</definedName>
    <definedName name="_3C_22">#N/A</definedName>
    <definedName name="_3C_23">#N/A</definedName>
    <definedName name="_3C_24">#N/A</definedName>
    <definedName name="_3C_25">#N/A</definedName>
    <definedName name="_3C_26">#N/A</definedName>
    <definedName name="_3C_27">#N/A</definedName>
    <definedName name="_3C_28">#N/A</definedName>
    <definedName name="_3C_29">#N/A</definedName>
    <definedName name="_3C_3">#N/A</definedName>
    <definedName name="_3C_30">#N/A</definedName>
    <definedName name="_3C_4">#N/A</definedName>
    <definedName name="_3C_5">#N/A</definedName>
    <definedName name="_3C_6">#N/A</definedName>
    <definedName name="_3C_7">#N/A</definedName>
    <definedName name="_3C_8">#N/A</definedName>
    <definedName name="_3C_9">#N/A</definedName>
    <definedName name="_3Module1_.exe_1">#N/A</definedName>
    <definedName name="_3q45_" hidden="1">{"'용역비'!$A$4:$C$8"}</definedName>
    <definedName name="_3공장">#REF!</definedName>
    <definedName name="_3월">#REF!</definedName>
    <definedName name="_4">#N/A</definedName>
    <definedName name="_4._Cost_center___Profit_Center">#REF!</definedName>
    <definedName name="_4._가시설_해체_공사">#REF!</definedName>
    <definedName name="_4__123Graph_ACHART_2" hidden="1">#REF!</definedName>
    <definedName name="_4__123Graph_BCHART_1" hidden="1">#REF!</definedName>
    <definedName name="_4__123Graph_B차트_1" hidden="1">#REF!</definedName>
    <definedName name="_4__123Graph_CCHART_1" hidden="1">#REF!</definedName>
    <definedName name="_4__123Graph_X차트_1" hidden="1">#REF!</definedName>
    <definedName name="_4__FDSAUDITLINK__"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0_0_F" hidden="1">#REF!</definedName>
    <definedName name="_4_7____123Graph_LB" hidden="1">#REF!</definedName>
    <definedName name="_40">#N/A</definedName>
    <definedName name="_40__FDSAUDITLINK__"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P4_">#REF!</definedName>
    <definedName name="_40T1">#REF!</definedName>
    <definedName name="_40T2">#REF!</definedName>
    <definedName name="_41">#N/A</definedName>
    <definedName name="_41__FDSAUDITLINK__"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P5_">#REF!</definedName>
    <definedName name="_42">#N/A</definedName>
    <definedName name="_42P6_">#REF!</definedName>
    <definedName name="_43">#N/A</definedName>
    <definedName name="_43A3_" localSheetId="2" hidden="1">{#N/A,#N/A,FALSE,"단축1";#N/A,#N/A,FALSE,"단축2";#N/A,#N/A,FALSE,"단축3";#N/A,#N/A,FALSE,"장축";#N/A,#N/A,FALSE,"4WD"}</definedName>
    <definedName name="_43A3_" hidden="1">{#N/A,#N/A,FALSE,"단축1";#N/A,#N/A,FALSE,"단축2";#N/A,#N/A,FALSE,"단축3";#N/A,#N/A,FALSE,"장축";#N/A,#N/A,FALSE,"4WD"}</definedName>
    <definedName name="_43P7_">#REF!</definedName>
    <definedName name="_44">#N/A</definedName>
    <definedName name="_44P8_">#REF!</definedName>
    <definedName name="_45">#N/A</definedName>
    <definedName name="_45P9_">#REF!</definedName>
    <definedName name="_46">#N/A</definedName>
    <definedName name="_46__FDSAUDITLINK__"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t34_">#REF!</definedName>
    <definedName name="_47">#N/A</definedName>
    <definedName name="_48">#N/A</definedName>
    <definedName name="_49">#N/A</definedName>
    <definedName name="_4A_1">#N/A</definedName>
    <definedName name="_4A_10">#N/A</definedName>
    <definedName name="_4A_11">#N/A</definedName>
    <definedName name="_4A_12">#N/A</definedName>
    <definedName name="_4A_13">#N/A</definedName>
    <definedName name="_4A_14">#N/A</definedName>
    <definedName name="_4A_15">#N/A</definedName>
    <definedName name="_4A_16">#N/A</definedName>
    <definedName name="_4A_17">#N/A</definedName>
    <definedName name="_4A_18">#N/A</definedName>
    <definedName name="_4A_19">#N/A</definedName>
    <definedName name="_4A_2">#N/A</definedName>
    <definedName name="_4A_20">#N/A</definedName>
    <definedName name="_4A_21">#N/A</definedName>
    <definedName name="_4A_22">#N/A</definedName>
    <definedName name="_4A_23">#N/A</definedName>
    <definedName name="_4A_24">#N/A</definedName>
    <definedName name="_4A_25">#N/A</definedName>
    <definedName name="_4A_26">#N/A</definedName>
    <definedName name="_4A_27">#N/A</definedName>
    <definedName name="_4A_28">#N/A</definedName>
    <definedName name="_4A_29">#N/A</definedName>
    <definedName name="_4A_3">#N/A</definedName>
    <definedName name="_4A_30">#N/A</definedName>
    <definedName name="_4A_4">#N/A</definedName>
    <definedName name="_4A_5">#N/A</definedName>
    <definedName name="_4A_6">#N/A</definedName>
    <definedName name="_4A_7">#N/A</definedName>
    <definedName name="_4A_8">#N/A</definedName>
    <definedName name="_4A_9">#N/A</definedName>
    <definedName name="_4B_1">#N/A</definedName>
    <definedName name="_4B_10">#N/A</definedName>
    <definedName name="_4B_11">#N/A</definedName>
    <definedName name="_4B_12">#N/A</definedName>
    <definedName name="_4B_13">#N/A</definedName>
    <definedName name="_4B_14">#N/A</definedName>
    <definedName name="_4B_15">#N/A</definedName>
    <definedName name="_4B_16">#N/A</definedName>
    <definedName name="_4B_17">#N/A</definedName>
    <definedName name="_4B_18">#N/A</definedName>
    <definedName name="_4B_19">#N/A</definedName>
    <definedName name="_4B_2">#N/A</definedName>
    <definedName name="_4B_20">#N/A</definedName>
    <definedName name="_4B_21">#N/A</definedName>
    <definedName name="_4B_22">#N/A</definedName>
    <definedName name="_4B_23">#N/A</definedName>
    <definedName name="_4B_24">#N/A</definedName>
    <definedName name="_4B_25">#N/A</definedName>
    <definedName name="_4B_26">#N/A</definedName>
    <definedName name="_4B_27">#N/A</definedName>
    <definedName name="_4B_28">#N/A</definedName>
    <definedName name="_4B_29">#N/A</definedName>
    <definedName name="_4B_3">#N/A</definedName>
    <definedName name="_4B_30">#N/A</definedName>
    <definedName name="_4B_4">#N/A</definedName>
    <definedName name="_4B_5">#N/A</definedName>
    <definedName name="_4B_6">#N/A</definedName>
    <definedName name="_4B_7">#N/A</definedName>
    <definedName name="_4B_8">#N/A</definedName>
    <definedName name="_4B_9">#N/A</definedName>
    <definedName name="_4C_1">#N/A</definedName>
    <definedName name="_4C_10">#N/A</definedName>
    <definedName name="_4C_11">#N/A</definedName>
    <definedName name="_4C_12">#N/A</definedName>
    <definedName name="_4C_13">#N/A</definedName>
    <definedName name="_4C_14">#N/A</definedName>
    <definedName name="_4C_15">#N/A</definedName>
    <definedName name="_4C_16">#N/A</definedName>
    <definedName name="_4C_17">#N/A</definedName>
    <definedName name="_4C_18">#N/A</definedName>
    <definedName name="_4C_19">#N/A</definedName>
    <definedName name="_4C_2">#N/A</definedName>
    <definedName name="_4C_20">#N/A</definedName>
    <definedName name="_4C_21">#N/A</definedName>
    <definedName name="_4C_22">#N/A</definedName>
    <definedName name="_4C_23">#N/A</definedName>
    <definedName name="_4C_24">#N/A</definedName>
    <definedName name="_4C_25">#N/A</definedName>
    <definedName name="_4C_26">#N/A</definedName>
    <definedName name="_4C_27">#N/A</definedName>
    <definedName name="_4C_28">#N/A</definedName>
    <definedName name="_4C_29">#N/A</definedName>
    <definedName name="_4C_3">#N/A</definedName>
    <definedName name="_4C_30">#N/A</definedName>
    <definedName name="_4C_4">#N/A</definedName>
    <definedName name="_4C_5">#N/A</definedName>
    <definedName name="_4C_6">#N/A</definedName>
    <definedName name="_4C_7">#N/A</definedName>
    <definedName name="_4C_8">#N/A</definedName>
    <definedName name="_4C_9">#N/A</definedName>
    <definedName name="_4s10_" localSheetId="2" hidden="1">{#N/A,#N/A,FALSE,"UNIT";#N/A,#N/A,FALSE,"UNIT";#N/A,#N/A,FALSE,"계정"}</definedName>
    <definedName name="_4s10_" hidden="1">{#N/A,#N/A,FALSE,"UNIT";#N/A,#N/A,FALSE,"UNIT";#N/A,#N/A,FALSE,"계정"}</definedName>
    <definedName name="_4월">#REF!</definedName>
    <definedName name="_5">#N/A</definedName>
    <definedName name="_5._Tax">#REF!</definedName>
    <definedName name="_5___123Graph_A차트_1" hidden="1">#REF!</definedName>
    <definedName name="_5__123Graph_ACHART_1" hidden="1">#REF!</definedName>
    <definedName name="_5__123Graph_A차트_1" hidden="1">#REF!</definedName>
    <definedName name="_5__123Graph_CCHART_1" hidden="1">#REF!</definedName>
    <definedName name="_5__123Graph_DCHART_1" hidden="1">#REF!</definedName>
    <definedName name="_5__FDSAUDITLINK__"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5_0__123Grap" hidden="1">#REF!</definedName>
    <definedName name="_5_7_0__123Grap" hidden="1">#REF!</definedName>
    <definedName name="_50">#N/A</definedName>
    <definedName name="_50T1">#REF!</definedName>
    <definedName name="_50T2">#REF!</definedName>
    <definedName name="_51">#N/A</definedName>
    <definedName name="_52">#N/A</definedName>
    <definedName name="_53">#N/A</definedName>
    <definedName name="_54">#N/A</definedName>
    <definedName name="_54F" hidden="1">#REF!</definedName>
    <definedName name="_55">#N/A</definedName>
    <definedName name="_56">#N/A</definedName>
    <definedName name="_57">#N/A</definedName>
    <definedName name="_58">#N/A</definedName>
    <definedName name="_59">#N/A</definedName>
    <definedName name="_5A_1">#N/A</definedName>
    <definedName name="_5A_10">#N/A</definedName>
    <definedName name="_5A_11">#N/A</definedName>
    <definedName name="_5A_12">#N/A</definedName>
    <definedName name="_5A_13">#N/A</definedName>
    <definedName name="_5A_14">#N/A</definedName>
    <definedName name="_5A_15">#N/A</definedName>
    <definedName name="_5A_16">#N/A</definedName>
    <definedName name="_5A_17">#N/A</definedName>
    <definedName name="_5A_18">#N/A</definedName>
    <definedName name="_5A_19">#N/A</definedName>
    <definedName name="_5A_2">#N/A</definedName>
    <definedName name="_5A_20">#N/A</definedName>
    <definedName name="_5A_21">#N/A</definedName>
    <definedName name="_5A_22">#N/A</definedName>
    <definedName name="_5A_23">#N/A</definedName>
    <definedName name="_5A_24">#N/A</definedName>
    <definedName name="_5A_25">#N/A</definedName>
    <definedName name="_5A_26">#N/A</definedName>
    <definedName name="_5A_27">#N/A</definedName>
    <definedName name="_5A_28">#N/A</definedName>
    <definedName name="_5A_29">#N/A</definedName>
    <definedName name="_5A_3">#N/A</definedName>
    <definedName name="_5A_30">#N/A</definedName>
    <definedName name="_5A_4">#N/A</definedName>
    <definedName name="_5A_5">#N/A</definedName>
    <definedName name="_5A_6">#N/A</definedName>
    <definedName name="_5A_7">#N/A</definedName>
    <definedName name="_5A_8">#N/A</definedName>
    <definedName name="_5A_9">#N/A</definedName>
    <definedName name="_5B_1">#N/A</definedName>
    <definedName name="_5B_10">#N/A</definedName>
    <definedName name="_5B_11">#N/A</definedName>
    <definedName name="_5B_12">#N/A</definedName>
    <definedName name="_5B_13">#N/A</definedName>
    <definedName name="_5B_14">#N/A</definedName>
    <definedName name="_5B_15">#N/A</definedName>
    <definedName name="_5B_16">#N/A</definedName>
    <definedName name="_5B_17">#N/A</definedName>
    <definedName name="_5B_18">#N/A</definedName>
    <definedName name="_5B_19">#N/A</definedName>
    <definedName name="_5B_2">#N/A</definedName>
    <definedName name="_5B_20">#N/A</definedName>
    <definedName name="_5B_21">#N/A</definedName>
    <definedName name="_5B_22">#N/A</definedName>
    <definedName name="_5B_23">#N/A</definedName>
    <definedName name="_5B_24">#N/A</definedName>
    <definedName name="_5B_25">#N/A</definedName>
    <definedName name="_5B_26">#N/A</definedName>
    <definedName name="_5B_27">#N/A</definedName>
    <definedName name="_5B_28">#N/A</definedName>
    <definedName name="_5B_29">#N/A</definedName>
    <definedName name="_5B_3">#N/A</definedName>
    <definedName name="_5B_30">#N/A</definedName>
    <definedName name="_5B_4">#N/A</definedName>
    <definedName name="_5B_5">#N/A</definedName>
    <definedName name="_5B_6">#N/A</definedName>
    <definedName name="_5B_7">#N/A</definedName>
    <definedName name="_5B_8">#N/A</definedName>
    <definedName name="_5B_9">#N/A</definedName>
    <definedName name="_5C_1">#N/A</definedName>
    <definedName name="_5C_10">#N/A</definedName>
    <definedName name="_5C_11">#N/A</definedName>
    <definedName name="_5C_12">#N/A</definedName>
    <definedName name="_5C_13">#N/A</definedName>
    <definedName name="_5C_14">#N/A</definedName>
    <definedName name="_5C_15">#N/A</definedName>
    <definedName name="_5C_16">#N/A</definedName>
    <definedName name="_5C_17">#N/A</definedName>
    <definedName name="_5C_18">#N/A</definedName>
    <definedName name="_5C_19">#N/A</definedName>
    <definedName name="_5C_2">#N/A</definedName>
    <definedName name="_5C_20">#N/A</definedName>
    <definedName name="_5C_21">#N/A</definedName>
    <definedName name="_5C_22">#N/A</definedName>
    <definedName name="_5C_23">#N/A</definedName>
    <definedName name="_5C_24">#N/A</definedName>
    <definedName name="_5C_25">#N/A</definedName>
    <definedName name="_5C_26">#N/A</definedName>
    <definedName name="_5C_27">#N/A</definedName>
    <definedName name="_5C_28">#N/A</definedName>
    <definedName name="_5C_29">#N/A</definedName>
    <definedName name="_5C_3">#N/A</definedName>
    <definedName name="_5C_30">#N/A</definedName>
    <definedName name="_5C_4">#N/A</definedName>
    <definedName name="_5C_5">#N/A</definedName>
    <definedName name="_5C_6">#N/A</definedName>
    <definedName name="_5C_7">#N/A</definedName>
    <definedName name="_5C_8">#N/A</definedName>
    <definedName name="_5C_9">#N/A</definedName>
    <definedName name="_5Module1_.exe_2">#N/A</definedName>
    <definedName name="_5월">#REF!</definedName>
    <definedName name="_6">#N/A</definedName>
    <definedName name="_6___123Graph_B차트_1" hidden="1">#REF!</definedName>
    <definedName name="_6__123Graph_A차트_1" hidden="1">#REF!</definedName>
    <definedName name="_6__123Graph_BCHART_1" hidden="1">#REF!</definedName>
    <definedName name="_6__123Graph_B차트_1" hidden="1">#REF!</definedName>
    <definedName name="_6__123Graph_C차트_1" hidden="1">#REF!</definedName>
    <definedName name="_6__123Graph_DCHART_1" hidden="1">#REF!</definedName>
    <definedName name="_6__123Graph_ECHART_1" hidden="1">#REF!</definedName>
    <definedName name="_6__EQUIPMENT__">#REF!</definedName>
    <definedName name="_6_5_0__123Grap" hidden="1">#REF!</definedName>
    <definedName name="_6_7_0__123Graph_LB" hidden="1">#REF!</definedName>
    <definedName name="_60">#N/A</definedName>
    <definedName name="_60T1">#REF!</definedName>
    <definedName name="_60T2">#REF!</definedName>
    <definedName name="_61">#N/A</definedName>
    <definedName name="_62">#N/A</definedName>
    <definedName name="_62A" hidden="1">#REF!</definedName>
    <definedName name="_63">#N/A</definedName>
    <definedName name="_64">#N/A</definedName>
    <definedName name="_65">#N/A</definedName>
    <definedName name="_66">#N/A</definedName>
    <definedName name="_67">#N/A</definedName>
    <definedName name="_68">#N/A</definedName>
    <definedName name="_69">#N/A</definedName>
    <definedName name="_6A_1">#N/A</definedName>
    <definedName name="_6A_10">#N/A</definedName>
    <definedName name="_6A_11">#N/A</definedName>
    <definedName name="_6A_12">#N/A</definedName>
    <definedName name="_6A_13">#N/A</definedName>
    <definedName name="_6A_14">#N/A</definedName>
    <definedName name="_6A_15">#N/A</definedName>
    <definedName name="_6A_16">#N/A</definedName>
    <definedName name="_6A_17">#N/A</definedName>
    <definedName name="_6A_18">#N/A</definedName>
    <definedName name="_6A_19">#N/A</definedName>
    <definedName name="_6A_2">#N/A</definedName>
    <definedName name="_6A_20">#N/A</definedName>
    <definedName name="_6A_21">#N/A</definedName>
    <definedName name="_6A_22">#N/A</definedName>
    <definedName name="_6A_23">#N/A</definedName>
    <definedName name="_6A_24">#N/A</definedName>
    <definedName name="_6A_25">#N/A</definedName>
    <definedName name="_6A_26">#N/A</definedName>
    <definedName name="_6A_27">#N/A</definedName>
    <definedName name="_6A_28">#N/A</definedName>
    <definedName name="_6A_29">#N/A</definedName>
    <definedName name="_6A_3">#N/A</definedName>
    <definedName name="_6A_30">#N/A</definedName>
    <definedName name="_6A_4">#N/A</definedName>
    <definedName name="_6A_5">#N/A</definedName>
    <definedName name="_6A_6">#N/A</definedName>
    <definedName name="_6A_7">#N/A</definedName>
    <definedName name="_6A_8">#N/A</definedName>
    <definedName name="_6A_9">#N/A</definedName>
    <definedName name="_6a1_">#REF!</definedName>
    <definedName name="_6B_1">#N/A</definedName>
    <definedName name="_6B_10">#N/A</definedName>
    <definedName name="_6B_11">#N/A</definedName>
    <definedName name="_6B_12">#N/A</definedName>
    <definedName name="_6B_13">#N/A</definedName>
    <definedName name="_6B_14">#N/A</definedName>
    <definedName name="_6B_15">#N/A</definedName>
    <definedName name="_6B_16">#N/A</definedName>
    <definedName name="_6B_17">#N/A</definedName>
    <definedName name="_6B_18">#N/A</definedName>
    <definedName name="_6B_19">#N/A</definedName>
    <definedName name="_6B_2">#N/A</definedName>
    <definedName name="_6B_20">#N/A</definedName>
    <definedName name="_6B_21">#N/A</definedName>
    <definedName name="_6B_22">#N/A</definedName>
    <definedName name="_6B_23">#N/A</definedName>
    <definedName name="_6B_24">#N/A</definedName>
    <definedName name="_6B_25">#N/A</definedName>
    <definedName name="_6B_26">#N/A</definedName>
    <definedName name="_6B_27">#N/A</definedName>
    <definedName name="_6B_28">#N/A</definedName>
    <definedName name="_6B_29">#N/A</definedName>
    <definedName name="_6B_3">#N/A</definedName>
    <definedName name="_6B_30">#N/A</definedName>
    <definedName name="_6B_4">#N/A</definedName>
    <definedName name="_6B_5">#N/A</definedName>
    <definedName name="_6B_6">#N/A</definedName>
    <definedName name="_6B_7">#N/A</definedName>
    <definedName name="_6B_8">#N/A</definedName>
    <definedName name="_6B_9">#N/A</definedName>
    <definedName name="_6C_1">#N/A</definedName>
    <definedName name="_6C_10">#N/A</definedName>
    <definedName name="_6C_11">#N/A</definedName>
    <definedName name="_6C_12">#N/A</definedName>
    <definedName name="_6C_13">#N/A</definedName>
    <definedName name="_6C_14">#N/A</definedName>
    <definedName name="_6C_15">#N/A</definedName>
    <definedName name="_6C_16">#N/A</definedName>
    <definedName name="_6C_17">#N/A</definedName>
    <definedName name="_6C_18">#N/A</definedName>
    <definedName name="_6C_19">#N/A</definedName>
    <definedName name="_6C_2">#N/A</definedName>
    <definedName name="_6C_20">#N/A</definedName>
    <definedName name="_6C_21">#N/A</definedName>
    <definedName name="_6C_22">#N/A</definedName>
    <definedName name="_6C_23">#N/A</definedName>
    <definedName name="_6C_24">#N/A</definedName>
    <definedName name="_6C_25">#N/A</definedName>
    <definedName name="_6C_26">#N/A</definedName>
    <definedName name="_6C_27">#N/A</definedName>
    <definedName name="_6C_28">#N/A</definedName>
    <definedName name="_6C_29">#N/A</definedName>
    <definedName name="_6C_3">#N/A</definedName>
    <definedName name="_6C_30">#N/A</definedName>
    <definedName name="_6C_4">#N/A</definedName>
    <definedName name="_6C_5">#N/A</definedName>
    <definedName name="_6C_6">#N/A</definedName>
    <definedName name="_6C_7">#N/A</definedName>
    <definedName name="_6C_8">#N/A</definedName>
    <definedName name="_6C_9">#N/A</definedName>
    <definedName name="_6s11_" localSheetId="2" hidden="1">{#N/A,#N/A,FALSE,"UNIT";#N/A,#N/A,FALSE,"UNIT";#N/A,#N/A,FALSE,"계정"}</definedName>
    <definedName name="_6s11_" hidden="1">{#N/A,#N/A,FALSE,"UNIT";#N/A,#N/A,FALSE,"UNIT";#N/A,#N/A,FALSE,"계정"}</definedName>
    <definedName name="_6월">#REF!</definedName>
    <definedName name="_7">#N/A</definedName>
    <definedName name="_7_" hidden="1">#REF!</definedName>
    <definedName name="_7___123Graph_C차트_1" hidden="1">#REF!</definedName>
    <definedName name="_7__123Graph_B차트_1" hidden="1">#REF!</definedName>
    <definedName name="_7__123Graph_C차트_1" hidden="1">#REF!</definedName>
    <definedName name="_7__123Graph_ECHART_1" hidden="1">#REF!</definedName>
    <definedName name="_7__123Graph_XCHART_2" hidden="1">#REF!</definedName>
    <definedName name="_7__FDSAUDITLINK__"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INSULATION_">#REF!</definedName>
    <definedName name="_7_0__123Grap" hidden="1">#REF!</definedName>
    <definedName name="_7_9____123Grap" hidden="1">#REF!</definedName>
    <definedName name="_70">#N/A</definedName>
    <definedName name="_70T1">#REF!</definedName>
    <definedName name="_70T2">#REF!</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7A_1">#N/A</definedName>
    <definedName name="_7A_10">#N/A</definedName>
    <definedName name="_7A_11">#N/A</definedName>
    <definedName name="_7A_12">#N/A</definedName>
    <definedName name="_7A_13">#N/A</definedName>
    <definedName name="_7A_14">#N/A</definedName>
    <definedName name="_7A_15">#N/A</definedName>
    <definedName name="_7A_16">#N/A</definedName>
    <definedName name="_7A_17">#N/A</definedName>
    <definedName name="_7A_18">#N/A</definedName>
    <definedName name="_7A_19">#N/A</definedName>
    <definedName name="_7A_2">#N/A</definedName>
    <definedName name="_7A_20">#N/A</definedName>
    <definedName name="_7A_21">#N/A</definedName>
    <definedName name="_7A_22">#N/A</definedName>
    <definedName name="_7A_23">#N/A</definedName>
    <definedName name="_7A_24">#N/A</definedName>
    <definedName name="_7A_25">#N/A</definedName>
    <definedName name="_7A_26">#N/A</definedName>
    <definedName name="_7A_27">#N/A</definedName>
    <definedName name="_7A_28">#N/A</definedName>
    <definedName name="_7A_29">#N/A</definedName>
    <definedName name="_7A_3">#N/A</definedName>
    <definedName name="_7A_30">#N/A</definedName>
    <definedName name="_7A_4">#N/A</definedName>
    <definedName name="_7A_5">#N/A</definedName>
    <definedName name="_7A_6">#N/A</definedName>
    <definedName name="_7A_7">#N/A</definedName>
    <definedName name="_7A_8">#N/A</definedName>
    <definedName name="_7A_9">#N/A</definedName>
    <definedName name="_7A3_" localSheetId="2" hidden="1">{#N/A,#N/A,FALSE,"단축1";#N/A,#N/A,FALSE,"단축2";#N/A,#N/A,FALSE,"단축3";#N/A,#N/A,FALSE,"장축";#N/A,#N/A,FALSE,"4WD"}</definedName>
    <definedName name="_7A3_" hidden="1">{#N/A,#N/A,FALSE,"단축1";#N/A,#N/A,FALSE,"단축2";#N/A,#N/A,FALSE,"단축3";#N/A,#N/A,FALSE,"장축";#N/A,#N/A,FALSE,"4WD"}</definedName>
    <definedName name="_7B_1">#N/A</definedName>
    <definedName name="_7B_10">#N/A</definedName>
    <definedName name="_7B_11">#N/A</definedName>
    <definedName name="_7B_12">#N/A</definedName>
    <definedName name="_7B_13">#N/A</definedName>
    <definedName name="_7B_14">#N/A</definedName>
    <definedName name="_7B_15">#N/A</definedName>
    <definedName name="_7B_16">#N/A</definedName>
    <definedName name="_7B_17">#N/A</definedName>
    <definedName name="_7B_18">#N/A</definedName>
    <definedName name="_7B_19">#N/A</definedName>
    <definedName name="_7B_2">#N/A</definedName>
    <definedName name="_7B_20">#N/A</definedName>
    <definedName name="_7B_21">#N/A</definedName>
    <definedName name="_7B_22">#N/A</definedName>
    <definedName name="_7B_23">#N/A</definedName>
    <definedName name="_7B_24">#N/A</definedName>
    <definedName name="_7B_25">#N/A</definedName>
    <definedName name="_7B_26">#N/A</definedName>
    <definedName name="_7B_27">#N/A</definedName>
    <definedName name="_7B_28">#N/A</definedName>
    <definedName name="_7B_29">#N/A</definedName>
    <definedName name="_7B_3">#N/A</definedName>
    <definedName name="_7B_30">#N/A</definedName>
    <definedName name="_7B_4">#N/A</definedName>
    <definedName name="_7B_5">#N/A</definedName>
    <definedName name="_7B_6">#N/A</definedName>
    <definedName name="_7B_7">#N/A</definedName>
    <definedName name="_7B_8">#N/A</definedName>
    <definedName name="_7B_9">#N/A</definedName>
    <definedName name="_7C_1">#N/A</definedName>
    <definedName name="_7C_10">#N/A</definedName>
    <definedName name="_7C_11">#N/A</definedName>
    <definedName name="_7C_12">#N/A</definedName>
    <definedName name="_7C_13">#N/A</definedName>
    <definedName name="_7C_14">#N/A</definedName>
    <definedName name="_7C_15">#N/A</definedName>
    <definedName name="_7C_16">#N/A</definedName>
    <definedName name="_7C_17">#N/A</definedName>
    <definedName name="_7C_18">#N/A</definedName>
    <definedName name="_7C_19">#N/A</definedName>
    <definedName name="_7C_2">#N/A</definedName>
    <definedName name="_7C_20">#N/A</definedName>
    <definedName name="_7C_21">#N/A</definedName>
    <definedName name="_7C_22">#N/A</definedName>
    <definedName name="_7C_23">#N/A</definedName>
    <definedName name="_7C_24">#N/A</definedName>
    <definedName name="_7C_25">#N/A</definedName>
    <definedName name="_7C_26">#N/A</definedName>
    <definedName name="_7C_27">#N/A</definedName>
    <definedName name="_7C_28">#N/A</definedName>
    <definedName name="_7C_29">#N/A</definedName>
    <definedName name="_7C_3">#N/A</definedName>
    <definedName name="_7C_30">#N/A</definedName>
    <definedName name="_7C_4">#N/A</definedName>
    <definedName name="_7C_5">#N/A</definedName>
    <definedName name="_7C_6">#N/A</definedName>
    <definedName name="_7C_7">#N/A</definedName>
    <definedName name="_7C_8">#N/A</definedName>
    <definedName name="_7C_9">#N/A</definedName>
    <definedName name="_7Module1_.exe_3">#N/A</definedName>
    <definedName name="_7월">#REF!</definedName>
    <definedName name="_8">#N/A</definedName>
    <definedName name="_8___123Graph_X차트_1" hidden="1">#REF!</definedName>
    <definedName name="_8__123Graph_B차트_1" hidden="1">#REF!</definedName>
    <definedName name="_8__123Graph_CCHART_1" hidden="1">#REF!</definedName>
    <definedName name="_8__123Graph_C차트_1" hidden="1">#REF!</definedName>
    <definedName name="_8__123Graph_XCHART_2" hidden="1">#REF!</definedName>
    <definedName name="_8__123Graph_X차트_1" hidden="1">#REF!</definedName>
    <definedName name="_8__FDSAUDITLINK__"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PAINTING__">#REF!</definedName>
    <definedName name="_8_9____123Graph_LB" hidden="1">#REF!</definedName>
    <definedName name="_80">#N/A</definedName>
    <definedName name="_81">#N/A</definedName>
    <definedName name="_81_0_F" hidden="1">#REF!</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8A_1">#N/A</definedName>
    <definedName name="_8A_10">#N/A</definedName>
    <definedName name="_8A_11">#N/A</definedName>
    <definedName name="_8A_12">#N/A</definedName>
    <definedName name="_8A_13">#N/A</definedName>
    <definedName name="_8A_14">#N/A</definedName>
    <definedName name="_8A_15">#N/A</definedName>
    <definedName name="_8A_16">#N/A</definedName>
    <definedName name="_8A_17">#N/A</definedName>
    <definedName name="_8A_18">#N/A</definedName>
    <definedName name="_8A_19">#N/A</definedName>
    <definedName name="_8A_2">#N/A</definedName>
    <definedName name="_8A_20">#N/A</definedName>
    <definedName name="_8A_21">#N/A</definedName>
    <definedName name="_8A_22">#N/A</definedName>
    <definedName name="_8A_23">#N/A</definedName>
    <definedName name="_8A_24">#N/A</definedName>
    <definedName name="_8A_25">#N/A</definedName>
    <definedName name="_8A_26">#N/A</definedName>
    <definedName name="_8A_27">#N/A</definedName>
    <definedName name="_8A_28">#N/A</definedName>
    <definedName name="_8A_29">#N/A</definedName>
    <definedName name="_8A_3">#N/A</definedName>
    <definedName name="_8A_30">#N/A</definedName>
    <definedName name="_8A_4">#N/A</definedName>
    <definedName name="_8A_5">#N/A</definedName>
    <definedName name="_8A_6">#N/A</definedName>
    <definedName name="_8A_7">#N/A</definedName>
    <definedName name="_8A_8">#N/A</definedName>
    <definedName name="_8A_9">#N/A</definedName>
    <definedName name="_8B_1">#N/A</definedName>
    <definedName name="_8B_10">#N/A</definedName>
    <definedName name="_8B_11">#N/A</definedName>
    <definedName name="_8B_12">#N/A</definedName>
    <definedName name="_8B_13">#N/A</definedName>
    <definedName name="_8B_14">#N/A</definedName>
    <definedName name="_8B_15">#N/A</definedName>
    <definedName name="_8B_16">#N/A</definedName>
    <definedName name="_8B_17">#N/A</definedName>
    <definedName name="_8B_18">#N/A</definedName>
    <definedName name="_8B_19">#N/A</definedName>
    <definedName name="_8B_2">#N/A</definedName>
    <definedName name="_8B_20">#N/A</definedName>
    <definedName name="_8B_21">#N/A</definedName>
    <definedName name="_8B_22">#N/A</definedName>
    <definedName name="_8B_23">#N/A</definedName>
    <definedName name="_8B_24">#N/A</definedName>
    <definedName name="_8B_25">#N/A</definedName>
    <definedName name="_8B_26">#N/A</definedName>
    <definedName name="_8B_27">#N/A</definedName>
    <definedName name="_8B_28">#N/A</definedName>
    <definedName name="_8B_29">#N/A</definedName>
    <definedName name="_8B_3">#N/A</definedName>
    <definedName name="_8B_30">#N/A</definedName>
    <definedName name="_8B_4">#N/A</definedName>
    <definedName name="_8B_5">#N/A</definedName>
    <definedName name="_8B_6">#N/A</definedName>
    <definedName name="_8B_7">#N/A</definedName>
    <definedName name="_8B_8">#N/A</definedName>
    <definedName name="_8B_9">#N/A</definedName>
    <definedName name="_8C_1">#N/A</definedName>
    <definedName name="_8C_10">#N/A</definedName>
    <definedName name="_8C_11">#N/A</definedName>
    <definedName name="_8C_12">#N/A</definedName>
    <definedName name="_8C_13">#N/A</definedName>
    <definedName name="_8C_14">#N/A</definedName>
    <definedName name="_8C_15">#N/A</definedName>
    <definedName name="_8C_16">#N/A</definedName>
    <definedName name="_8C_17">#N/A</definedName>
    <definedName name="_8C_18">#N/A</definedName>
    <definedName name="_8C_19">#N/A</definedName>
    <definedName name="_8C_2">#N/A</definedName>
    <definedName name="_8C_20">#N/A</definedName>
    <definedName name="_8C_21">#N/A</definedName>
    <definedName name="_8C_22">#N/A</definedName>
    <definedName name="_8C_23">#N/A</definedName>
    <definedName name="_8C_24">#N/A</definedName>
    <definedName name="_8C_25">#N/A</definedName>
    <definedName name="_8C_26">#N/A</definedName>
    <definedName name="_8C_27">#N/A</definedName>
    <definedName name="_8C_28">#N/A</definedName>
    <definedName name="_8C_29">#N/A</definedName>
    <definedName name="_8C_3">#N/A</definedName>
    <definedName name="_8C_30">#N/A</definedName>
    <definedName name="_8C_4">#N/A</definedName>
    <definedName name="_8C_5">#N/A</definedName>
    <definedName name="_8C_6">#N/A</definedName>
    <definedName name="_8C_7">#N/A</definedName>
    <definedName name="_8C_8">#N/A</definedName>
    <definedName name="_8C_9">#N/A</definedName>
    <definedName name="_8o2_" hidden="1">#REF!</definedName>
    <definedName name="_8s12_" localSheetId="2" hidden="1">{#N/A,#N/A,FALSE,"UNIT";#N/A,#N/A,FALSE,"UNIT";#N/A,#N/A,FALSE,"계정"}</definedName>
    <definedName name="_8s12_" hidden="1">{#N/A,#N/A,FALSE,"UNIT";#N/A,#N/A,FALSE,"UNIT";#N/A,#N/A,FALSE,"계정"}</definedName>
    <definedName name="_8월">#REF!</definedName>
    <definedName name="_9">#N/A</definedName>
    <definedName name="_9__123Graph_ACHART_2" hidden="1">#REF!</definedName>
    <definedName name="_9__123Graph_A차트_1" hidden="1">#REF!</definedName>
    <definedName name="_9__123Graph_X차트_1" hidden="1">#REF!</definedName>
    <definedName name="_9__FDSAUDITLINK__"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9_0__123Grap" hidden="1">#REF!</definedName>
    <definedName name="_90">#N/A</definedName>
    <definedName name="_90T1">#REF!</definedName>
    <definedName name="_90T2">#REF!</definedName>
    <definedName name="_91">#N/A</definedName>
    <definedName name="_92">#N/A</definedName>
    <definedName name="_92f3_" localSheetId="2"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3">#N/A</definedName>
    <definedName name="_93__FDSAUDITLINK__" hidden="1">{"fdsup://Directions/FactSet Auditing Viewer?action=AUDIT_VALUE&amp;DB=129&amp;ID1=09061G10&amp;VALUEID=02001&amp;SDATE=2010&amp;PERIODTYPE=ANN_STD&amp;SCFT=3&amp;window=popup_no_bar&amp;width=385&amp;height=120&amp;START_MAXIMIZED=FALSE&amp;creator=factset&amp;display_string=Audit"}</definedName>
    <definedName name="_94">#N/A</definedName>
    <definedName name="_94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95">#N/A</definedName>
    <definedName name="_95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96">#N/A</definedName>
    <definedName name="_96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97">#N/A</definedName>
    <definedName name="_9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98">#N/A</definedName>
    <definedName name="_98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98년운영비">#REF!</definedName>
    <definedName name="_99">#N/A</definedName>
    <definedName name="_99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9A_1">#N/A</definedName>
    <definedName name="_9A_10">#N/A</definedName>
    <definedName name="_9A_11">#N/A</definedName>
    <definedName name="_9A_12">#N/A</definedName>
    <definedName name="_9A_13">#N/A</definedName>
    <definedName name="_9A_14">#N/A</definedName>
    <definedName name="_9A_15">#N/A</definedName>
    <definedName name="_9A_16">#N/A</definedName>
    <definedName name="_9A_17">#N/A</definedName>
    <definedName name="_9A_18">#N/A</definedName>
    <definedName name="_9A_19">#N/A</definedName>
    <definedName name="_9A_2">#N/A</definedName>
    <definedName name="_9A_20">#N/A</definedName>
    <definedName name="_9A_21">#N/A</definedName>
    <definedName name="_9A_22">#N/A</definedName>
    <definedName name="_9A_23">#N/A</definedName>
    <definedName name="_9A_24">#N/A</definedName>
    <definedName name="_9A_25">#N/A</definedName>
    <definedName name="_9A_26">#N/A</definedName>
    <definedName name="_9A_27">#N/A</definedName>
    <definedName name="_9A_28">#N/A</definedName>
    <definedName name="_9A_29">#N/A</definedName>
    <definedName name="_9A_3">#N/A</definedName>
    <definedName name="_9A_30">#N/A</definedName>
    <definedName name="_9A_4">#N/A</definedName>
    <definedName name="_9A_5">#N/A</definedName>
    <definedName name="_9A_6">#N/A</definedName>
    <definedName name="_9A_7">#N/A</definedName>
    <definedName name="_9A_8">#N/A</definedName>
    <definedName name="_9A_9">#N/A</definedName>
    <definedName name="_9A9_" hidden="1">{#N/A,#N/A,FALSE,"손익표지";#N/A,#N/A,FALSE,"손익계산";#N/A,#N/A,FALSE,"일반관리비";#N/A,#N/A,FALSE,"영업외수익";#N/A,#N/A,FALSE,"영업외비용";#N/A,#N/A,FALSE,"매출액";#N/A,#N/A,FALSE,"요약손익";#N/A,#N/A,FALSE,"요약대차";#N/A,#N/A,FALSE,"매출채권현황";#N/A,#N/A,FALSE,"매출채권명세"}</definedName>
    <definedName name="_9B_1">#N/A</definedName>
    <definedName name="_9B_10">#N/A</definedName>
    <definedName name="_9B_11">#N/A</definedName>
    <definedName name="_9B_12">#N/A</definedName>
    <definedName name="_9B_13">#N/A</definedName>
    <definedName name="_9B_14">#N/A</definedName>
    <definedName name="_9B_15">#N/A</definedName>
    <definedName name="_9B_16">#N/A</definedName>
    <definedName name="_9B_17">#N/A</definedName>
    <definedName name="_9B_18">#N/A</definedName>
    <definedName name="_9B_19">#N/A</definedName>
    <definedName name="_9B_2">#N/A</definedName>
    <definedName name="_9B_20">#N/A</definedName>
    <definedName name="_9B_21">#N/A</definedName>
    <definedName name="_9B_22">#N/A</definedName>
    <definedName name="_9B_23">#N/A</definedName>
    <definedName name="_9B_24">#N/A</definedName>
    <definedName name="_9B_25">#N/A</definedName>
    <definedName name="_9B_26">#N/A</definedName>
    <definedName name="_9B_27">#N/A</definedName>
    <definedName name="_9B_28">#N/A</definedName>
    <definedName name="_9B_29">#N/A</definedName>
    <definedName name="_9B_3">#N/A</definedName>
    <definedName name="_9B_30">#N/A</definedName>
    <definedName name="_9B_4">#N/A</definedName>
    <definedName name="_9B_5">#N/A</definedName>
    <definedName name="_9B_6">#N/A</definedName>
    <definedName name="_9B_7">#N/A</definedName>
    <definedName name="_9B_8">#N/A</definedName>
    <definedName name="_9B_9">#N/A</definedName>
    <definedName name="_9C_1">#N/A</definedName>
    <definedName name="_9C_10">#N/A</definedName>
    <definedName name="_9C_11">#N/A</definedName>
    <definedName name="_9C_12">#N/A</definedName>
    <definedName name="_9C_13">#N/A</definedName>
    <definedName name="_9C_14">#N/A</definedName>
    <definedName name="_9C_15">#N/A</definedName>
    <definedName name="_9C_16">#N/A</definedName>
    <definedName name="_9C_17">#N/A</definedName>
    <definedName name="_9C_18">#N/A</definedName>
    <definedName name="_9C_19">#N/A</definedName>
    <definedName name="_9C_2">#N/A</definedName>
    <definedName name="_9C_20">#N/A</definedName>
    <definedName name="_9C_21">#N/A</definedName>
    <definedName name="_9C_22">#N/A</definedName>
    <definedName name="_9C_23">#N/A</definedName>
    <definedName name="_9C_24">#N/A</definedName>
    <definedName name="_9C_25">#N/A</definedName>
    <definedName name="_9C_26">#N/A</definedName>
    <definedName name="_9C_27">#N/A</definedName>
    <definedName name="_9C_28">#N/A</definedName>
    <definedName name="_9C_29">#N/A</definedName>
    <definedName name="_9C_3">#N/A</definedName>
    <definedName name="_9C_30">#N/A</definedName>
    <definedName name="_9C_4">#N/A</definedName>
    <definedName name="_9C_5">#N/A</definedName>
    <definedName name="_9C_6">#N/A</definedName>
    <definedName name="_9C_7">#N/A</definedName>
    <definedName name="_9C_8">#N/A</definedName>
    <definedName name="_9C_9">#N/A</definedName>
    <definedName name="_9Module1_.exe_4">#N/A</definedName>
    <definedName name="_9급여총계">#REF!</definedName>
    <definedName name="_9년규격별제상품수불부">#REF!</definedName>
    <definedName name="_9월">#REF!</definedName>
    <definedName name="_A">#REF!</definedName>
    <definedName name="_A01">#REF!</definedName>
    <definedName name="_A02">#REF!</definedName>
    <definedName name="_A03">#REF!</definedName>
    <definedName name="_A04">#REF!</definedName>
    <definedName name="_A05">#REF!</definedName>
    <definedName name="_a1">#REF!</definedName>
    <definedName name="_a100000">#REF!</definedName>
    <definedName name="_A17000">#REF!</definedName>
    <definedName name="_a20000">#REF!</definedName>
    <definedName name="_A3" localSheetId="2" hidden="1">{#N/A,#N/A,FALSE,"단축1";#N/A,#N/A,FALSE,"단축2";#N/A,#N/A,FALSE,"단축3";#N/A,#N/A,FALSE,"장축";#N/A,#N/A,FALSE,"4WD"}</definedName>
    <definedName name="_A3" hidden="1">{#N/A,#N/A,FALSE,"단축1";#N/A,#N/A,FALSE,"단축2";#N/A,#N/A,FALSE,"단축3";#N/A,#N/A,FALSE,"장축";#N/A,#N/A,FALSE,"4WD"}</definedName>
    <definedName name="_A501798">#REF!</definedName>
    <definedName name="_a80000">#REF!</definedName>
    <definedName name="_A9" hidden="1">{#N/A,#N/A,FALSE,"손익표지";#N/A,#N/A,FALSE,"손익계산";#N/A,#N/A,FALSE,"일반관리비";#N/A,#N/A,FALSE,"영업외수익";#N/A,#N/A,FALSE,"영업외비용";#N/A,#N/A,FALSE,"매출액";#N/A,#N/A,FALSE,"요약손익";#N/A,#N/A,FALSE,"요약대차";#N/A,#N/A,FALSE,"매출채권현황";#N/A,#N/A,FALSE,"매출채권명세"}</definedName>
    <definedName name="_A99999">#REF!</definedName>
    <definedName name="_AA" hidden="1">#REF!</definedName>
    <definedName name="_aaa01">#REF!</definedName>
    <definedName name="_AAA1" hidden="1">{#N/A,#N/A,TRUE,"경전'96(1)";#N/A,#N/A,TRUE,"경전'96 (2)"}</definedName>
    <definedName name="_aaa2" localSheetId="2" hidden="1">{#N/A,#N/A,FALSE,"Aging Summary";#N/A,#N/A,FALSE,"Ratio Analysis";#N/A,#N/A,FALSE,"Test 120 Day Accts";#N/A,#N/A,FALSE,"Tickmarks"}</definedName>
    <definedName name="_aaa2" hidden="1">{#N/A,#N/A,FALSE,"Aging Summary";#N/A,#N/A,FALSE,"Ratio Analysis";#N/A,#N/A,FALSE,"Test 120 Day Accts";#N/A,#N/A,FALSE,"Tickmarks"}</definedName>
    <definedName name="_AI07">#REF!</definedName>
    <definedName name="_AI08">#REF!</definedName>
    <definedName name="_AI09">#REF!</definedName>
    <definedName name="_AI10">#REF!</definedName>
    <definedName name="_AI11">#REF!</definedName>
    <definedName name="_AI12">#REF!</definedName>
    <definedName name="_All1"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m1">#REF!</definedName>
    <definedName name="_alm2">#REF!</definedName>
    <definedName name="_ALT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MT13300">#N/A</definedName>
    <definedName name="_AMT13502">#N/A</definedName>
    <definedName name="_AMT41301">#N/A</definedName>
    <definedName name="_AMT85116">#N/A</definedName>
    <definedName name="_AMT85125">#N/A</definedName>
    <definedName name="_AMT86106">#N/A</definedName>
    <definedName name="_AO07">#REF!</definedName>
    <definedName name="_AO08">#REF!</definedName>
    <definedName name="_AO09">#REF!</definedName>
    <definedName name="_AO10">#REF!</definedName>
    <definedName name="_AO11">#REF!</definedName>
    <definedName name="_AO12">#REF!</definedName>
    <definedName name="_AP1">#REF!</definedName>
    <definedName name="_ap2" hidden="1">#REF!</definedName>
    <definedName name="_ap3" hidden="1">#REF!</definedName>
    <definedName name="_ap6" hidden="1">#REF!</definedName>
    <definedName name="_APP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1791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D1">#REF!</definedName>
    <definedName name="_AUD2">#REF!</definedName>
    <definedName name="_AUD3">#REF!</definedName>
    <definedName name="_AUD4">#REF!</definedName>
    <definedName name="_b" hidden="1">#REF!</definedName>
    <definedName name="_B02">#REF!</definedName>
    <definedName name="_b03">#REF!</definedName>
    <definedName name="_b05">#REF!</definedName>
    <definedName name="_b06">#REF!</definedName>
    <definedName name="_b07">#REF!</definedName>
    <definedName name="_b08">#REF!</definedName>
    <definedName name="_B10">#REF!</definedName>
    <definedName name="_B11">#REF!</definedName>
    <definedName name="_b12">#REF!</definedName>
    <definedName name="_b13">#REF!</definedName>
    <definedName name="_B14">#REF!</definedName>
    <definedName name="_b15">#REF!</definedName>
    <definedName name="_b17">#REF!</definedName>
    <definedName name="_b18">#REF!</definedName>
    <definedName name="_b19">#REF!</definedName>
    <definedName name="_B20">#REF!</definedName>
    <definedName name="_B21">#REF!</definedName>
    <definedName name="_B23">#REF!</definedName>
    <definedName name="_B24">#REF!</definedName>
    <definedName name="_B25">#REF!</definedName>
    <definedName name="_B37">#REF!</definedName>
    <definedName name="_B38">#REF!</definedName>
    <definedName name="_BB" hidden="1">#REF!</definedName>
    <definedName name="_bdm.00057d84263f43db8eded546b9e44646.edm" hidden="1">#REF!</definedName>
    <definedName name="_bdm.002290f7a9474445aabf5edf1a37c513.edm" hidden="1">#REF!</definedName>
    <definedName name="_bdm.008b736d82fb4ca18e80eddff50a093e.edm" hidden="1">#REF!</definedName>
    <definedName name="_bdm.00e4bec2afb14ef1b74e546139514c3d.edm" hidden="1">#REF!</definedName>
    <definedName name="_bdm.00e82a02468a4bc49672649084f9c0c5.edm" hidden="1">#REF!</definedName>
    <definedName name="_bdm.00ecd7b4d39a4f0a80bc3ecca5a74a31.edm" hidden="1">#REF!</definedName>
    <definedName name="_bdm.01e1f4f7f187407b88c9586731842e1d.edm" hidden="1">#REF!</definedName>
    <definedName name="_bdm.023e9922cc9343f5a9a01ba499d1a718.edm" hidden="1">#REF!</definedName>
    <definedName name="_bdm.029fea8fa74e4312abfebac311fb7927.edm" hidden="1">#REF!</definedName>
    <definedName name="_bdm.02f65e7811494ff28039a62eed0d0ffe.edm" hidden="1">#REF!</definedName>
    <definedName name="_bdm.0353e49201c5423ca30b9b643db89ffb.edm" hidden="1">#REF!</definedName>
    <definedName name="_bdm.035ad214c0c245efbee7500b2f770460.edm" hidden="1">#REF!</definedName>
    <definedName name="_bdm.03e79e600ec544499206b7a77f2ee435.edm" hidden="1">#REF!</definedName>
    <definedName name="_bdm.04aadc6bc25b4308b93d0b2a90f5d1ef.edm" hidden="1">#REF!</definedName>
    <definedName name="_bdm.0589facab78e4f85912363842748c8de.edm" hidden="1">#REF!</definedName>
    <definedName name="_bdm.060f46e1b9204037ada042c81fcc5cf6.edm" hidden="1">#REF!</definedName>
    <definedName name="_bdm.0616bd0609754a3ea4bee9ce41787c34.edm" hidden="1">#REF!</definedName>
    <definedName name="_bdm.06272ab24db64db38b5e46f5075da3e2.edm" hidden="1">#REF!</definedName>
    <definedName name="_bdm.0669FE93EBBF4DDB8B4F42E6C354B3C8.edm" hidden="1">#REF!</definedName>
    <definedName name="_bdm.06afa4b28ce04f11afcf0ebfffe501de.edm" hidden="1">#REF!</definedName>
    <definedName name="_bdm.0701ed429fc241c5ab31440966b1ae08.edm" hidden="1">#REF!</definedName>
    <definedName name="_bdm.078e73b502c74b578d902502b0977147.edm" hidden="1">#REF!</definedName>
    <definedName name="_bdm.07d0a4df0d3f4801b3c7565abec43b10.edm" hidden="1">#REF!</definedName>
    <definedName name="_bdm.07EDBF063D5241C68ED2956DAB9DA92C.edm" hidden="1">#REF!</definedName>
    <definedName name="_bdm.0841efface7b46819c520fa5e00ecf2c.edm" hidden="1">#REF!</definedName>
    <definedName name="_bdm.084e006dbc3441d4a46643cb9617724c.edm" hidden="1">#REF!</definedName>
    <definedName name="_bdm.0852c89b0928492fb6dc8184a94c94bf.edm" hidden="1">#REF!</definedName>
    <definedName name="_bdm.08922ef0c9db4dc6a6d93493087fd27f.edm" hidden="1">#REF!</definedName>
    <definedName name="_bdm.08a5231f9ccd4479abd47a22c5f812b1.edm" hidden="1">#REF!</definedName>
    <definedName name="_bdm.08cd52062e5b47399490f03777f48c64.edm" hidden="1">#REF!</definedName>
    <definedName name="_bdm.08f7b670bde04840a0c2ec416700f00a.edm" hidden="1">#REF!</definedName>
    <definedName name="_bdm.0941a1326bf24fbab693d708391b8315.edm" hidden="1">#REF!</definedName>
    <definedName name="_bdm.09458D71669D4FB4ABD45CE05D2EDC2D.edm" hidden="1">#REF!</definedName>
    <definedName name="_bdm.098632b2cfe04d06be89add8b413209a.edm" hidden="1">#REF!</definedName>
    <definedName name="_bdm.0a708ee1bd7544f782fb13e81572ce5b.edm" hidden="1">#REF!</definedName>
    <definedName name="_bdm.0b44381296ad474c96f357855c310306.edm" hidden="1">#REF!</definedName>
    <definedName name="_bdm.0B4C389B65FD43CDA39DCA196268F135.edm" hidden="1">#REF!</definedName>
    <definedName name="_bdm.0b55692f79f94b00ab03bf74a46fc55f.edm" hidden="1">#REF!</definedName>
    <definedName name="_bdm.0b564318c2fc40388efa70555b674f02.edm" hidden="1">#REF!</definedName>
    <definedName name="_bdm.0beaff45d6304d4ea8f34742541a292d.edm" hidden="1">#REF!</definedName>
    <definedName name="_bdm.0bfc61e7ce644d40b571bc0d6bc31392.edm" hidden="1">#REF!</definedName>
    <definedName name="_bdm.0cc2085344014b289620d78c6a24b059.edm" hidden="1">#REF!</definedName>
    <definedName name="_bdm.0d432b9e091c4559851f6b646617a11e.edm" hidden="1">#REF!</definedName>
    <definedName name="_bdm.0dabf9daa6934707a4f858e968d5797b.edm" hidden="1">#REF!</definedName>
    <definedName name="_bdm.0db8d0df136c46cf9715bb706adfe717.edm" hidden="1">#REF!</definedName>
    <definedName name="_bdm.0e2ac69e78f44658b14d530f4d3f4402.edm" hidden="1">#REF!</definedName>
    <definedName name="_bdm.0e517ccf26fc4ed2b61e25be8f2a5349.edm" hidden="1">#REF!</definedName>
    <definedName name="_bdm.0e5f412c0d9f441780cfe1575ac12f7a.edm" hidden="1">#REF!</definedName>
    <definedName name="_bdm.0ed17fbf62ca424d82fa6336dd3ec455.edm" hidden="1">#REF!</definedName>
    <definedName name="_bdm.0edef9a0a1f5410bba0f9e4247709b96.edm" hidden="1">#REF!</definedName>
    <definedName name="_bdm.0f2abdd0d2c846e7ae5fdd50bbaf4b47.edm" hidden="1">#REF!</definedName>
    <definedName name="_bdm.0f41064b7a5547d29f2dd66bde6cb62e.edm" hidden="1">#REF!</definedName>
    <definedName name="_bdm.0f9084d3d0194d7b8e0b58654a8e5fe7.edm" hidden="1">#REF!</definedName>
    <definedName name="_bdm.0f9bafc7874242fd8adc4d6808052665.edm" hidden="1">#REF!</definedName>
    <definedName name="_bdm.10b8158a498c461f8c5607a214be5ac8.edm" hidden="1">#REF!</definedName>
    <definedName name="_bdm.116768428c204ebd854b4ab034db537a.edm" hidden="1">#REF!</definedName>
    <definedName name="_bdm.117fb9db66074b6184e4bc1fc1fa84c3.edm" hidden="1">#REF!</definedName>
    <definedName name="_bdm.1196541474b54a82a084f355d2a4ffe8.edm" hidden="1">#REF!</definedName>
    <definedName name="_bdm.11beaacdaf3c4c48810d15f400c96878.edm" hidden="1">#REF!</definedName>
    <definedName name="_bdm.1255F9F846DA43649714B5D095743758.edm" hidden="1">#REF!</definedName>
    <definedName name="_bdm.132595f83086424cbb1625da43d4c047.edm" hidden="1">#REF!</definedName>
    <definedName name="_bdm.1345aff427d044f3a5bd28cab92e3b56.edm" hidden="1">#REF!</definedName>
    <definedName name="_bdm.14320c2758b444119e057093b4cb2c14.edm" hidden="1">#REF!</definedName>
    <definedName name="_bdm.14358ab6d30c4b6bb3bca69a4c060fb5.edm" hidden="1">#REF!</definedName>
    <definedName name="_bdm.14e5a530559f4eab8f748b9c3fc16297.edm" hidden="1">#REF!</definedName>
    <definedName name="_bdm.158eb1897ad74cd586922b4ded6cd161.edm" hidden="1">#REF!</definedName>
    <definedName name="_bdm.15d6749e3bb343959632eec14f8a2a97.edm" hidden="1">#REF!</definedName>
    <definedName name="_bdm.162cd579060d4438bd8c5bdc1b250e00.edm" hidden="1">#REF!</definedName>
    <definedName name="_bdm.1669792b4f9e477da7dc774eec1ee996.edm" hidden="1">#REF!</definedName>
    <definedName name="_bdm.189d2a8ae063415ba0680d9cf1ee79cd.edm" hidden="1">#REF!</definedName>
    <definedName name="_bdm.18e97dcc20c74cfcac3070d068a484fb.edm" hidden="1">#REF!</definedName>
    <definedName name="_bdm.1907e7308fbb4e42ae21c45d5abb2d8b.edm" hidden="1">#REF!</definedName>
    <definedName name="_bdm.19d0441339c04677b17a470ce638d97f.edm" hidden="1">#REF!</definedName>
    <definedName name="_bdm.19dbe4c9c02d4d179228917121025b03.edm" hidden="1">#REF!</definedName>
    <definedName name="_bdm.1a084adc023c4f97b164127d0ccd935a.edm" hidden="1">#REF!</definedName>
    <definedName name="_bdm.1a2b421721e248c194b61588ff51ec13.edm" hidden="1">#REF!</definedName>
    <definedName name="_bdm.1bd3ff6e9ed1478b8e67236e9aab38d2.edm" hidden="1">#REF!</definedName>
    <definedName name="_bdm.1c36d076efba4f6d8a78aa6de1239059.edm" hidden="1">#REF!</definedName>
    <definedName name="_bdm.1c50765e638b4cb1a04aede5479e5870.edm" hidden="1">#REF!</definedName>
    <definedName name="_bdm.1c7001965eb5453f9235d810a073bd29.edm" hidden="1">#REF!</definedName>
    <definedName name="_bdm.1c72931c624c45f5bd9ee3cf9e151a4c.edm" hidden="1">#REF!</definedName>
    <definedName name="_bdm.1d4d3de3fc3a42ef97c906738a66cea8.edm" hidden="1">#REF!</definedName>
    <definedName name="_bdm.1da5055a8a954aab97c15f9afc1fa26d.edm" hidden="1">#REF!</definedName>
    <definedName name="_bdm.1ddd2a0bd6514df7b57ef34b80e17b63.edm" hidden="1">#REF!</definedName>
    <definedName name="_bdm.1df48fe6776341f6b2656aaed4fbe639.edm" hidden="1">#REF!</definedName>
    <definedName name="_bdm.1e38220da7304e45836dfa1ebcae47da.edm" hidden="1">#REF!</definedName>
    <definedName name="_bdm.1e4a4d5c23fb486e8ab8a48d397e0c19.edm" hidden="1">#REF!</definedName>
    <definedName name="_bdm.1e4cce9109864c62a63727bfc4152f9f.edm" hidden="1">#REF!</definedName>
    <definedName name="_bdm.1e63362453664b93bbe4e149b06fb4bf.edm" hidden="1">#REF!</definedName>
    <definedName name="_bdm.1F20C678E84F4D65B91C6BC841063E67.edm" hidden="1">#REF!</definedName>
    <definedName name="_bdm.1f73b3da1cec4a53add6548ac2f75c4e.edm" hidden="1">#REF!</definedName>
    <definedName name="_bdm.1fa8cfa316c34e658f0841ba2bec759d.edm" hidden="1">#REF!</definedName>
    <definedName name="_bdm.20a0a38ccfd44937bc7361389c3d91d2.edm" hidden="1">#REF!</definedName>
    <definedName name="_bdm.20ee8567c9b44bff9e5f42642cc5353b.edm" hidden="1">#REF!</definedName>
    <definedName name="_bdm.20f489f5e1d940688a0ff1737f02ec8b.edm" hidden="1">#REF!</definedName>
    <definedName name="_bdm.211211912DCE43FB88D47D494E5B21C7.edm" hidden="1">#REF!</definedName>
    <definedName name="_bdm.2112B832BEB14F1BAE81031C74F06429.edm" hidden="1">#REF!</definedName>
    <definedName name="_bdm.221a6c60608b4018866d3477f702c1db.edm" hidden="1">#REF!</definedName>
    <definedName name="_bdm.225666f73b944695b33b3dea33284b37.edm" hidden="1">#REF!</definedName>
    <definedName name="_bdm.2256FA3F78A045A492672F4EA44B0AC8.edm" hidden="1">#REF!</definedName>
    <definedName name="_bdm.22627b4fff2643eb99cefe8e691a0d99.edm" hidden="1">#REF!</definedName>
    <definedName name="_bdm.22AB115C27FA47A88E43877B2BA27DF9.edm" hidden="1">#REF!</definedName>
    <definedName name="_bdm.22b2496fd49a4a34b7866afdd7e926bb.edm" hidden="1">#REF!</definedName>
    <definedName name="_bdm.236761eaa7b14b24bd0426fb50ba0197.edm" hidden="1">#REF!</definedName>
    <definedName name="_bdm.23f5ba0095c240c3bf88cf88254640fa.edm" hidden="1">#REF!</definedName>
    <definedName name="_bdm.251560fed70149be9d5a87af023d36fb.edm" hidden="1">#REF!</definedName>
    <definedName name="_bdm.251FA9818C6841E5AC25873749222986.edm" hidden="1">#REF!</definedName>
    <definedName name="_bdm.255cb7c141cd4393b612448ae67c0446.edm" hidden="1">#REF!</definedName>
    <definedName name="_bdm.27051eb7f27049f39fe48a48179f680c.edm" hidden="1">#REF!</definedName>
    <definedName name="_bdm.27220a9672994c8682e2f368a2e4effa.edm" hidden="1">#REF!</definedName>
    <definedName name="_bdm.285d5fce4bac43d284d88b71a7415199.edm" hidden="1">#REF!</definedName>
    <definedName name="_bdm.287c7655c076424482d49a614515f6be.edm" hidden="1">#REF!</definedName>
    <definedName name="_bdm.2a0a796d4289429cb14a10fce62ffdb8.edm" hidden="1">#REF!</definedName>
    <definedName name="_bdm.2a1dfbcb9daa418aa1ce384e7d878ba6.edm" hidden="1">#REF!</definedName>
    <definedName name="_bdm.2b3c3ca722194f24b860b5116853a5e4.edm" hidden="1">#REF!</definedName>
    <definedName name="_bdm.2bfb722235964d9fab1d34f0fffaf056.edm" hidden="1">#REF!</definedName>
    <definedName name="_bdm.2db0ec81e4c844089706037d05a7da6d.edm" hidden="1">#REF!</definedName>
    <definedName name="_bdm.2df4b20286cf4311aa4382618818d590.edm" hidden="1">#REF!</definedName>
    <definedName name="_bdm.2df98334eaa646b285bafb5eb05161e2.edm" hidden="1">#REF!</definedName>
    <definedName name="_bdm.2e0e4d08e2de4ac8bc05ba5182f5df23.edm" hidden="1">#REF!</definedName>
    <definedName name="_bdm.2e2e340de9624249a0f20523574c3a20.edm" hidden="1">#REF!</definedName>
    <definedName name="_bdm.2e60d605d7574c99802a953ece8596f5.edm" hidden="1">#REF!</definedName>
    <definedName name="_bdm.2ea74b9a110b45d79b88cfd6ae30a07b.edm" hidden="1">#REF!</definedName>
    <definedName name="_bdm.2edd88bda3824372b31b4c25eee2c607.edm" hidden="1">#REF!</definedName>
    <definedName name="_bdm.2f93119615f4478fbf821e3c2bd4d7a7.edm" hidden="1">#REF!</definedName>
    <definedName name="_bdm.31464aba154a4e8b94ed366665620e7b.edm" hidden="1">#REF!</definedName>
    <definedName name="_bdm.318e1216025c4ce9b28baf64884667f6.edm" hidden="1">#REF!</definedName>
    <definedName name="_bdm.32abfab419f44241a2cc6b28b3b62ea4.edm" hidden="1">#REF!</definedName>
    <definedName name="_bdm.32e8c768815f4f7c8214f94a55c024c1.edm" hidden="1">#REF!</definedName>
    <definedName name="_bdm.3364a31d88f643b4a3f148890d900424.edm" hidden="1">#REF!</definedName>
    <definedName name="_bdm.34051DCFB9374422887B56459E327F41.edm" hidden="1">#REF!</definedName>
    <definedName name="_bdm.345865b81b3d4c24a528c57227c18224.edm" hidden="1">#REF!</definedName>
    <definedName name="_bdm.347be05715724d4981ed893dd44b5c87.edm" hidden="1">#REF!</definedName>
    <definedName name="_bdm.34e0e0ed2f5045059dde2fafe2316c29.edm" hidden="1">#REF!</definedName>
    <definedName name="_bdm.355608d8c9c5438ba7415c1b9bfb0be8.edm" hidden="1">#REF!</definedName>
    <definedName name="_bdm.3570a655fb4c4e75a462658eb47db2b7.edm" hidden="1">#REF!</definedName>
    <definedName name="_bdm.357adff6d2d94e54b5b4fb4ff33e9a9b.edm" hidden="1">#REF!</definedName>
    <definedName name="_bdm.358b344fe0884050a9ccb4766e6cecf9.edm" hidden="1">#REF!</definedName>
    <definedName name="_bdm.3691f59758e24e1cb625a1a9d1fb8665.edm" hidden="1">#REF!</definedName>
    <definedName name="_bdm.378ed35b52bd41d89e4ae687fd821005.edm" hidden="1">#REF!</definedName>
    <definedName name="_bdm.3797105dd1694ae2bbbcec2100a40b1f.edm" hidden="1">#REF!</definedName>
    <definedName name="_bdm.37bdffcc82e244a8b75954fbc508aa7c.edm" hidden="1">#REF!</definedName>
    <definedName name="_bdm.37DE5EBCCCFE4A209E12C7CABBB5E379.edm" hidden="1">#REF!</definedName>
    <definedName name="_bdm.3999143e2a404ff6a74144e9232e6d9c.edm" hidden="1">#REF!</definedName>
    <definedName name="_bdm.3A7D25B6FCA943F48A195BC8EDEC7C24.edm" hidden="1">#REF!</definedName>
    <definedName name="_bdm.3b545db08be341b1ad17cb01851022ee.edm" hidden="1">#REF!</definedName>
    <definedName name="_bdm.3b90796017aa4bcf8cbcf2874f7df97a.edm" hidden="1">#REF!</definedName>
    <definedName name="_bdm.3c086a01de194d35a8ee2e6ac134beb7.edm" hidden="1">#REF!</definedName>
    <definedName name="_bdm.3c2e445e681b4213ae147fc3f2dea4e4.edm" hidden="1">#REF!</definedName>
    <definedName name="_bdm.3c3b87e239aa4c84b53fae9a8659670d.edm" hidden="1">#REF!</definedName>
    <definedName name="_bdm.3cd8b8f190914455afa2f07d9da19dd5.edm" hidden="1">#REF!</definedName>
    <definedName name="_bdm.3d82aaf11d7446ecbb32eaad6f167a4a.edm" hidden="1">#REF!</definedName>
    <definedName name="_bdm.3dc3c19a28694312923f4ec8506ed9da.edm" hidden="1">#REF!</definedName>
    <definedName name="_bdm.3e0be91d50b44e7fa42cafa54ff0f176.edm" hidden="1">#REF!</definedName>
    <definedName name="_bdm.3e4dc4a18f1b4012aa52a6f60b48df6a.edm" hidden="1">#REF!</definedName>
    <definedName name="_bdm.3ec99b41c74d45d982fc3008f3efad92.edm" hidden="1">#REF!</definedName>
    <definedName name="_bdm.3ECF1C93436D47FB96EE05468E5DFC84.edm" hidden="1">#REF!</definedName>
    <definedName name="_bdm.3F1A3D17937443C5BB4BBC282C03991D.edm" hidden="1">#REF!</definedName>
    <definedName name="_bdm.3f2e542730014957877f03c7e6a87e26.edm" hidden="1">#REF!</definedName>
    <definedName name="_bdm.3fbd4b23eaa546ceb086cf4a246e0161.edm" hidden="1">#REF!</definedName>
    <definedName name="_bdm.401d0321fce24c42a9840a0695d42d4c.edm" hidden="1">#REF!</definedName>
    <definedName name="_bdm.402d1e8e76a7433d926618c6875c7f8a.edm" hidden="1">#REF!</definedName>
    <definedName name="_bdm.41187d60bbbd49fa99fe35f1376a67a6.edm" hidden="1">#REF!</definedName>
    <definedName name="_bdm.41c2ad2a5b004ea59014837ac480dc0a.edm" hidden="1">#REF!</definedName>
    <definedName name="_bdm.41f83dc503b44fd193cabc8ebf34b987.edm" hidden="1">#REF!</definedName>
    <definedName name="_bdm.4203dcf442d64bfab21a470f65a6b2a6.edm" hidden="1">#REF!</definedName>
    <definedName name="_bdm.421757ea80874f7da03e488b4b30cb8d.edm" hidden="1">#REF!</definedName>
    <definedName name="_bdm.421eadb0fa594012817a9bb2071253a1.edm" hidden="1">#REF!</definedName>
    <definedName name="_bdm.42797cb093244a259c8b6c912d2a13b2.edm" hidden="1">#REF!</definedName>
    <definedName name="_bdm.42a6bff0986e4d8a8fc3eea8fff61dae.edm" hidden="1">#REF!</definedName>
    <definedName name="_bdm.42a9509bacc74d2383393766914b82c6.edm" hidden="1">#REF!</definedName>
    <definedName name="_bdm.440cb95d5235458da08c2345f9d3a234.edm" hidden="1">#REF!</definedName>
    <definedName name="_bdm.4416e1dd71724a09a628125c170bdb65.edm" hidden="1">#REF!</definedName>
    <definedName name="_bdm.4469fee9ad4a4409a2ec5e15a03d4ed7.edm" hidden="1">#REF!</definedName>
    <definedName name="_bdm.44bf6b653239408080f7cd152d07ccb0.edm" hidden="1">#REF!</definedName>
    <definedName name="_bdm.4535424e45d94891b0dd9c8e03803018.edm" hidden="1">#REF!</definedName>
    <definedName name="_bdm.453a6ae2677f47c6a740e8965bffc36e.edm" hidden="1">#REF!</definedName>
    <definedName name="_bdm.455a7d01642c4bf3b852f995fa08a50f.edm" hidden="1">#REF!</definedName>
    <definedName name="_bdm.45768169185643a393bf70d1a388c0ff.edm" hidden="1">#REF!</definedName>
    <definedName name="_bdm.457aa850b2c54714ac7e89e571c53a23.edm" hidden="1">#REF!</definedName>
    <definedName name="_bdm.45af085d22f24b7eb9c3f9665ff04fb4.edm" hidden="1">#REF!</definedName>
    <definedName name="_bdm.45E565F3C59C40EBB02D709AE94F7082.edm" hidden="1">#REF!</definedName>
    <definedName name="_bdm.45e58db81ee94b77a7d59db97af171e7.edm" hidden="1">#REF!</definedName>
    <definedName name="_bdm.46dd5165ea4d4bb0b7196de79bfa301e.edm" hidden="1">#REF!</definedName>
    <definedName name="_bdm.47606e3c426b4b49b5f6b6af59d7e86c.edm" hidden="1">#REF!</definedName>
    <definedName name="_bdm.478800273afd488380a512711f1f0ca3.edm" hidden="1">#REF!</definedName>
    <definedName name="_bdm.48512961081b4764b7a4dfea9858a7b3.edm" hidden="1">#REF!</definedName>
    <definedName name="_bdm.494e53b01ce84881b3992c3d000761d6.edm" hidden="1">#REF!</definedName>
    <definedName name="_bdm.49D252299CC945BBAF9101D5AEAE5785.edm" hidden="1">#REF!</definedName>
    <definedName name="_bdm.49d888b4a84c44b9a35b47b5d2817dab.edm" hidden="1">#REF!</definedName>
    <definedName name="_bdm.4a7238faa7cb4cc6a7358512564457b9.edm" hidden="1">#REF!</definedName>
    <definedName name="_bdm.4b2901c37ac24e30b0136f875bc8cbea.edm" hidden="1">#REF!</definedName>
    <definedName name="_bdm.4b9379aee397414e8cc079a29ce9e28f.edm" hidden="1">#REF!</definedName>
    <definedName name="_bdm.4bcdcff98f884236955e14e72014c92d.edm" hidden="1">#REF!</definedName>
    <definedName name="_bdm.4bdfa67b276f47ec9199599a3bf186c9.edm" hidden="1">#REF!</definedName>
    <definedName name="_bdm.4C728DA8E40143EBA67F38FC2AACAA6A.edm" hidden="1">#REF!</definedName>
    <definedName name="_bdm.4cb100f4502347d88f7fadcd5234a2f9.edm" hidden="1">#REF!</definedName>
    <definedName name="_bdm.4ceeddc8ed1f48bb84ff2d297e0145eb.edm" hidden="1">#REF!</definedName>
    <definedName name="_bdm.4cf0102f3d1142748fe17c05ea637799.edm" hidden="1">#REF!</definedName>
    <definedName name="_bdm.4d0096c7efdc488ea459b72f2f503438.edm" hidden="1">#REF!</definedName>
    <definedName name="_bdm.4d3d3a500623403b9c49137ed0a41c23.edm" hidden="1">#REF!</definedName>
    <definedName name="_bdm.4d9131c5adf14471b071ce414c5715f0.edm" hidden="1">#REF!</definedName>
    <definedName name="_bdm.4DC06811808549E28F873B85BA48313B.edm" hidden="1">#REF!</definedName>
    <definedName name="_bdm.4e171c1c12f947eca83fd2002d3ce12a.edm" hidden="1">#REF!</definedName>
    <definedName name="_bdm.4e1e8e01b15c4d12bb3e67dbfb2ca85c.edm" hidden="1">#REF!</definedName>
    <definedName name="_bdm.4e20252af4c04dd1a8b9893cb3f4b1f2.edm" hidden="1">#REF!</definedName>
    <definedName name="_bdm.4e2394c953884e648f82ed1bad0e13de.edm" hidden="1">#REF!</definedName>
    <definedName name="_bdm.4ea6367ae01f4b3f9887c4deb3f42976.edm" hidden="1">#REF!</definedName>
    <definedName name="_bdm.4f595b7be2bc4ec7b392fff9e667ab9c.edm" hidden="1">#REF!</definedName>
    <definedName name="_bdm.5056b87794e64a41abbd852b924c6f8e.edm" hidden="1">#REF!</definedName>
    <definedName name="_bdm.506c75bcb57a48d99cb3f3baa05b95e2.edm" hidden="1">#REF!</definedName>
    <definedName name="_bdm.5112222eb629452ebd317a9d6ad601fe.edm" hidden="1">#REF!</definedName>
    <definedName name="_bdm.514305093bb442e5a1cd5092ca82b104.edm" hidden="1">#REF!</definedName>
    <definedName name="_bdm.520f4ac21cc3489ab50931fac55920ca.edm" hidden="1">#REF!</definedName>
    <definedName name="_bdm.527ce4fefa3e4b8682de96adf6fc8063.edm" hidden="1">#REF!</definedName>
    <definedName name="_bdm.52cb8424b0ac414e978cc6061af93169.edm" hidden="1">#REF!</definedName>
    <definedName name="_bdm.56324138398e4b3b9c0e9e0f7fc591f9.edm" hidden="1">#REF!</definedName>
    <definedName name="_bdm.57321820b9c3447a96d65ecf2a3b25b5.edm" hidden="1">#REF!</definedName>
    <definedName name="_bdm.574fe1b9222146e187d06a8e44f80a6b.edm" hidden="1">#REF!</definedName>
    <definedName name="_bdm.57aa9479445040599a07277d33846057.edm" hidden="1">#REF!</definedName>
    <definedName name="_bdm.5919e62cabb74082845fd6a192f4f8bf.edm" hidden="1">#REF!</definedName>
    <definedName name="_bdm.59a851ee84554a8da2db53e60d8dfa07.edm" hidden="1">#REF!</definedName>
    <definedName name="_bdm.59d32a7d52a14bb6a0ad0b004dd6321d.edm" hidden="1">#REF!</definedName>
    <definedName name="_bdm.59df1a8bbc994b1cbc70fb336fc7eeab.edm" hidden="1">#REF!</definedName>
    <definedName name="_bdm.5a302c09040848dea9fc9a32af3a7c4b.edm" hidden="1">#REF!</definedName>
    <definedName name="_bdm.5a3f0c30188840bfb0fec6b4fc54bfe0.edm" hidden="1">#REF!</definedName>
    <definedName name="_bdm.5A4E7A0A51B34F8CB060B94F673880E0.edm" hidden="1">#REF!</definedName>
    <definedName name="_bdm.5aed654182a44ec48e71f70eae340669.edm" hidden="1">#REF!</definedName>
    <definedName name="_bdm.5b9a4a8389ba481198d848cb8f9c045c.edm" hidden="1">#REF!</definedName>
    <definedName name="_bdm.5c3fa225d5614fdd8e4fe3b6a7086420.edm" hidden="1">#REF!</definedName>
    <definedName name="_bdm.5c69123575e3445baa4b76584f7afaa7.edm" hidden="1">#REF!</definedName>
    <definedName name="_bdm.5ca79715f84e42b5a9f7acfea7c0863b.edm" hidden="1">#REF!</definedName>
    <definedName name="_bdm.5cb36121a0bf4b80942bd5cac5e8f0d3.edm" hidden="1">#REF!</definedName>
    <definedName name="_bdm.5cfe9680ab734c7b851b4ced49cf0fb8.edm" hidden="1">#REF!</definedName>
    <definedName name="_bdm.5d2fa24ee7f949ffa7a72481d394c522.edm" hidden="1">#REF!</definedName>
    <definedName name="_bdm.5DA83351381D445092D553D326F046EC.edm" hidden="1">#REF!</definedName>
    <definedName name="_bdm.5daf66aecfa943b0902a2bf378748bf9.edm" hidden="1">#REF!</definedName>
    <definedName name="_bdm.5ee8240acc4c41988b295fb5d10db0ed.edm" hidden="1">#REF!</definedName>
    <definedName name="_bdm.5ef96822ce264f3a974aa5daadea6287.edm" hidden="1">#REF!</definedName>
    <definedName name="_bdm.5efb063111214cd1966b70c6fbd67933.edm" hidden="1">#REF!</definedName>
    <definedName name="_bdm.5f194e5c79fe487f90caac17f27ec1f8.edm" hidden="1">#REF!</definedName>
    <definedName name="_bdm.5f57120fcad74873b64fa0d550c5f68a.edm" hidden="1">#REF!</definedName>
    <definedName name="_bdm.5f8ed927fd2d48e9bddee1b264b12445.edm" hidden="1">#REF!</definedName>
    <definedName name="_bdm.5f8fd2516ee64f3a9eec273b9e79ac01.edm" hidden="1">#REF!</definedName>
    <definedName name="_bdm.5fc949453e17405192f10bfc90cfecaa.edm" hidden="1">#REF!</definedName>
    <definedName name="_bdm.609751d69283473ebd5d643f1b10e6ac.edm" hidden="1">#REF!</definedName>
    <definedName name="_bdm.6129e92ce47040f49e12bf5641bd04df.edm" hidden="1">#REF!</definedName>
    <definedName name="_bdm.61323a0f93174a189ac94a62a732c578.edm" hidden="1">#REF!</definedName>
    <definedName name="_bdm.6170c0f13ce74002acb0746025cfaa9d.edm" hidden="1">#REF!</definedName>
    <definedName name="_bdm.61b1c6e4210e407fa81df86f0091d644.edm" hidden="1">#REF!</definedName>
    <definedName name="_bdm.61bc89700d484473bce953f005821bc6.edm" hidden="1">#REF!</definedName>
    <definedName name="_bdm.6233250e30774c508708044163ba51b6.edm" hidden="1">#REF!</definedName>
    <definedName name="_bdm.6258efe1eaff4af69fb1a3296bb36c9f.edm" hidden="1">#REF!</definedName>
    <definedName name="_bdm.62A43F42B3654792AA4511E8993E21B4.edm" hidden="1">#REF!</definedName>
    <definedName name="_bdm.63b396f43852461eb2c7b21c3b1f9d20.edm" hidden="1">#REF!</definedName>
    <definedName name="_bdm.64a4171a7cda474293b2de9b9b019d55.edm" hidden="1">#REF!</definedName>
    <definedName name="_bdm.64d3ad1f5a8b4accb70c2a57c2853b64.edm" hidden="1">#REF!</definedName>
    <definedName name="_bdm.655544486e654755af264c299f2a95ae.edm" hidden="1">#REF!</definedName>
    <definedName name="_bdm.6557ef2a33fa4feeb9ba512230ead04d.edm" hidden="1">#REF!</definedName>
    <definedName name="_bdm.664fe7f48d08404e848dc0ac820b1342.edm" hidden="1">#REF!</definedName>
    <definedName name="_bdm.6677eae3bafd47f694f83f22eb4c38fa.edm" hidden="1">#REF!</definedName>
    <definedName name="_bdm.67070e937747469cb440423fb67410d7.edm" hidden="1">#REF!</definedName>
    <definedName name="_bdm.6724276d673947f381788ff2a622dea8.edm" hidden="1">#REF!</definedName>
    <definedName name="_bdm.677bd4c4a3f841bc8813771e022f2016.edm" hidden="1">#REF!</definedName>
    <definedName name="_bdm.6799cd18b0e943a0a9bab9d4237625c0.edm" hidden="1">#REF!</definedName>
    <definedName name="_bdm.68090f3820114e50bf8ce7ce3da53a3a.edm" hidden="1">#REF!</definedName>
    <definedName name="_bdm.688484aa8da04b6caa1ee32cffc277c9.edm" hidden="1">#REF!</definedName>
    <definedName name="_bdm.69003c5203d849e88b84e5aeb99a0122.edm" hidden="1">#REF!</definedName>
    <definedName name="_bdm.690ccd59421248b69b1a042f5506640e.edm" hidden="1">#REF!</definedName>
    <definedName name="_bdm.69a46ec53c054629b2f46fb61852d6ce.edm" hidden="1">#REF!</definedName>
    <definedName name="_bdm.6a09f3eaff8448d9bcca214ad792397d.edm" hidden="1">#REF!</definedName>
    <definedName name="_bdm.6afcd76f9ce647609a4efbb5325d0d7b.edm" hidden="1">#REF!</definedName>
    <definedName name="_bdm.6b58e96af06c40d1b2e579cc9126fa9d.edm" hidden="1">#REF!</definedName>
    <definedName name="_bdm.6d40804490e047feae763bbd29677c25.edm" hidden="1">#REF!</definedName>
    <definedName name="_bdm.6dbe8a8ee31b42ca983aa7f2dececb33.edm" hidden="1">#REF!</definedName>
    <definedName name="_bdm.6e094d9ada7448adb735d78797836b20.edm" hidden="1">#REF!</definedName>
    <definedName name="_bdm.6E73B2E02A8D4A81B1C0C17B5E83EE92.edm" hidden="1">#REF!</definedName>
    <definedName name="_bdm.6f8b4f486ef445d7aed71314e46158da.edm" hidden="1">#REF!</definedName>
    <definedName name="_bdm.6fa0b12984054a07a4854b6ba51271c8.edm" hidden="1">#REF!</definedName>
    <definedName name="_bdm.70d77a47fdbd4ed6a4b8d8a3d84d1ffd.edm" hidden="1">#REF!</definedName>
    <definedName name="_bdm.71309d48cfea492dbbecf4a979a6a7a2.edm" hidden="1">#REF!</definedName>
    <definedName name="_bdm.7176185e33df4bf5ac3e0942d222687d.edm" hidden="1">#REF!</definedName>
    <definedName name="_bdm.71c18921a6db4321907fdcc56419077c.edm" hidden="1">#REF!</definedName>
    <definedName name="_bdm.71df56a7e43d42768cc18f2a046f93f2.edm" hidden="1">#REF!</definedName>
    <definedName name="_bdm.72090c4c658348e5bfe2bef1d9a56b04.edm" hidden="1">#REF!</definedName>
    <definedName name="_bdm.721f445cba4046c898ce8d4337a0d877.edm" hidden="1">#REF!</definedName>
    <definedName name="_bdm.7239792cd170443389f76ee7de6e818e.edm" hidden="1">#REF!</definedName>
    <definedName name="_bdm.743e1075413c41cdbd483ca552a73948.edm" hidden="1">#REF!</definedName>
    <definedName name="_bdm.7519931b3fce4cb49ba7d85ff54ff07e.edm" hidden="1">#REF!</definedName>
    <definedName name="_bdm.75333eb87972445c91f4d09540716790.edm" hidden="1">#REF!</definedName>
    <definedName name="_bdm.757034bda624428c8fdb2c0f7d1c7310.edm" hidden="1">#REF!</definedName>
    <definedName name="_bdm.759e52a9378e407ebc7fdc8dee07e387.edm" hidden="1">#REF!</definedName>
    <definedName name="_bdm.7637808501084786b9924cb3770f4b59.edm" hidden="1">#REF!</definedName>
    <definedName name="_bdm.76c86deb0e9f43fab387adae7bf835ca.edm" hidden="1">#REF!</definedName>
    <definedName name="_bdm.7731cc5070e44f88a91f21886649e107.edm" hidden="1">#REF!</definedName>
    <definedName name="_bdm.77af3faf523d45aaa54cc7164f697b8f.edm" hidden="1">#REF!</definedName>
    <definedName name="_bdm.78add7fd5d104f568f23ae7a38b88e46.edm" hidden="1">#REF!</definedName>
    <definedName name="_bdm.79801339df634dc1b522b661044aaff3.edm" hidden="1">#REF!</definedName>
    <definedName name="_bdm.79f0f3a135c947d4a679e7bcc7100bc9.edm" hidden="1">#REF!</definedName>
    <definedName name="_bdm.7a08f00538cf41469a78c5cdeefe9ffe.edm" hidden="1">#REF!</definedName>
    <definedName name="_bdm.7a8fc6bd061d47a08cd5356f938e6355.edm" hidden="1">#REF!</definedName>
    <definedName name="_bdm.7a9da4e3c651420888fc51fb94613e4c.edm" hidden="1">#REF!</definedName>
    <definedName name="_bdm.7aa744a1a4234fb1b55f47cedcf6444f.edm" hidden="1">#REF!</definedName>
    <definedName name="_bdm.7b10e4a88bb74fc0b55f519ca9136693.edm" hidden="1">#REF!</definedName>
    <definedName name="_bdm.7b7ea237429e41d3b14db13b4ec640ef.edm" hidden="1">#REF!</definedName>
    <definedName name="_bdm.7c4a1612adb2496c9b8b71467a84f9da.edm" hidden="1">#REF!</definedName>
    <definedName name="_bdm.7c96e86ad9af48fe8f55ecde875813d3.edm" hidden="1">#REF!</definedName>
    <definedName name="_bdm.7d308bdf99a74983aa5f12d2e2a98bf5.edm" hidden="1">#REF!</definedName>
    <definedName name="_bdm.7d3166fa32e540c687676d044b9d21a5.edm" hidden="1">#REF!</definedName>
    <definedName name="_bdm.7d3ec768487149e3b013055591eb9646.edm" hidden="1">#REF!</definedName>
    <definedName name="_bdm.7D6E681F77244C12A40CE5CA848716B2.edm" hidden="1">#REF!</definedName>
    <definedName name="_bdm.7d72d20cc4b54627aee933d5670443bc.edm" hidden="1">#REF!</definedName>
    <definedName name="_bdm.7d9a72d97a2748fdbd9a77161fd7336c.edm" hidden="1">#REF!</definedName>
    <definedName name="_bdm.7e260801c8d34418a1bd18276f3b9e6f.edm" hidden="1">#REF!</definedName>
    <definedName name="_bdm.7e33397181484488bc477f1cf98928ec.edm" hidden="1">#REF!</definedName>
    <definedName name="_bdm.7e8c50cfede64063bb222bfcebd34233.edm" hidden="1">#REF!</definedName>
    <definedName name="_bdm.7e8f919fe91d443497607c852b28e0b4.edm" hidden="1">#REF!</definedName>
    <definedName name="_bdm.7f084484661843e290ad01101d559337.edm" hidden="1">#REF!</definedName>
    <definedName name="_bdm.7f1bc1252e5645949ac5e172a99764c8.edm" hidden="1">#REF!</definedName>
    <definedName name="_bdm.7fa4466662ce4b11a88a0db9731b0562.edm" hidden="1">#REF!</definedName>
    <definedName name="_bdm.7fd1c89f2f28410ca547c6af1592cfe0.edm" hidden="1">#REF!</definedName>
    <definedName name="_bdm.802466289b9f41319f6412771a8e8fe5.edm" hidden="1">#REF!</definedName>
    <definedName name="_bdm.808db2275e994746848ad516e1effc4e.edm" hidden="1">#REF!</definedName>
    <definedName name="_bdm.80b8a3cf85824ee49287353fe703da07.edm" hidden="1">#REF!</definedName>
    <definedName name="_bdm.80c5bce57a5f4f3a9b9a4bbcc950632a.edm" hidden="1">#REF!</definedName>
    <definedName name="_bdm.80D2589F3C064063BD30C8CCDFE63AF1.edm" hidden="1">#REF!</definedName>
    <definedName name="_bdm.81c954f9108142cca8c28a98092bc4ce.edm" hidden="1">#REF!</definedName>
    <definedName name="_bdm.820a080791d24292b4991119a8595c57.edm" hidden="1">#REF!</definedName>
    <definedName name="_bdm.821611604a194b14807ef620accacbf6.edm" hidden="1">#REF!</definedName>
    <definedName name="_bdm.82221f79935f4e4e9f38faa0d44eded6.edm" hidden="1">#REF!</definedName>
    <definedName name="_bdm.8357430c4b0e4817b14e4b68259ac30d.edm" hidden="1">#REF!</definedName>
    <definedName name="_bdm.84ac2c08a6df47339ef892f2a6031645.edm" hidden="1">#REF!</definedName>
    <definedName name="_bdm.8524a4f802f64a328ac8694c237f494d.edm" hidden="1">#REF!</definedName>
    <definedName name="_bdm.8540e8fb41da4e6ca48f51bc47f61755.edm" hidden="1">#REF!</definedName>
    <definedName name="_bdm.8606f95b7ef944a7aa3ee03aa59d222c.edm" hidden="1">#REF!</definedName>
    <definedName name="_bdm.864547a33cd346e4b03873c6746bd8ca.edm" hidden="1">#REF!</definedName>
    <definedName name="_bdm.868ae7dcc11a4274ab698c802441da7e.edm" hidden="1">#REF!</definedName>
    <definedName name="_bdm.873b5434ce6846ff86467dcb4fbd50bf.edm" hidden="1">#REF!</definedName>
    <definedName name="_bdm.8764d3fbe0fe4e609b0d800b5c98fd57.edm" hidden="1">#REF!</definedName>
    <definedName name="_bdm.87b837595d0e4ac6a25e65aa2a160c5c.edm" hidden="1">#REF!</definedName>
    <definedName name="_bdm.884e827421c543f7a055f53e1a979ab3.edm" hidden="1">#REF!</definedName>
    <definedName name="_bdm.88fe7543d82c4cfc86dcbc70b7a06d83.edm" hidden="1">#REF!</definedName>
    <definedName name="_bdm.896e18b0e9e64441980d37389f8df762.edm" hidden="1">#REF!</definedName>
    <definedName name="_bdm.89780df2c8244a66918d4ef5da6ddf27.edm" hidden="1">#REF!</definedName>
    <definedName name="_bdm.899d5c2c020049188ad464bdf6864128.edm" hidden="1">#REF!</definedName>
    <definedName name="_bdm.89e3f8201fa64015aa1928d82d8ac63a.edm" hidden="1">#REF!</definedName>
    <definedName name="_bdm.8a907f7ffa68479a8774cb7bde8723d6.edm" hidden="1">#REF!</definedName>
    <definedName name="_bdm.8b18fc8fa26f4157bcb705e4ff861d71.edm" hidden="1">#REF!</definedName>
    <definedName name="_bdm.8b4b5e39911f4422b8ce064e941737bc.edm" hidden="1">#REF!</definedName>
    <definedName name="_bdm.8b57acb7754d42e882c5c0149b17b42e.edm" hidden="1">#REF!</definedName>
    <definedName name="_bdm.8B5A055CA7B045E3A5F28F215CF26EA3.edm" hidden="1">#REF!</definedName>
    <definedName name="_bdm.8bf61a5cb1e04743b99f3561b1776fe4.edm" hidden="1">#REF!</definedName>
    <definedName name="_bdm.8c50311d301b4ddb83af08e9260b2dc8.edm" hidden="1">#REF!</definedName>
    <definedName name="_bdm.8c7f3a8fe8bc4249b2fc1fe15d593e62.edm" hidden="1">#REF!</definedName>
    <definedName name="_bdm.8C9EA93F3DA54C6CB0B73703986F6211.edm" hidden="1">#REF!</definedName>
    <definedName name="_bdm.8D2ECDF262964C078C8760642DB9B760.edm" hidden="1">#REF!</definedName>
    <definedName name="_bdm.8d8fddf6397a4b8b9d016c758c99acd8.edm" hidden="1">#REF!</definedName>
    <definedName name="_bdm.8dabb1cc4ed64e1c90604b89208346b4.edm" hidden="1">#REF!</definedName>
    <definedName name="_bdm.8de8ee5faf09402b9d4386d53f7fdfba.edm" hidden="1">#REF!</definedName>
    <definedName name="_bdm.8E62E968ADB443BE901CF0C67B9F21EA.edm" hidden="1">#REF!</definedName>
    <definedName name="_bdm.8e79c7015bc54881a1aaa60ff0387ea6.edm" hidden="1">#REF!</definedName>
    <definedName name="_bdm.8e9949d339224f64a2ed11fc5f5aec31.edm" hidden="1">#REF!</definedName>
    <definedName name="_bdm.8f5f77927ecc421184b766d793de0f6d.edm" hidden="1">#REF!</definedName>
    <definedName name="_bdm.905cedb9f260462695aac7afc4108eed.edm" hidden="1">#REF!</definedName>
    <definedName name="_bdm.905fbea248c5443587cc3f6af106f902.edm" hidden="1">#REF!</definedName>
    <definedName name="_bdm.90dcff2661434e31bd470e152a98c46a.edm" hidden="1">#REF!</definedName>
    <definedName name="_bdm.90F48C158E044DB6B87574C63575737B.edm" hidden="1">#REF!</definedName>
    <definedName name="_bdm.91c8af2603b6488b9c59add1a5581291.edm" hidden="1">#REF!</definedName>
    <definedName name="_bdm.9202b319fa57437d88b96100feb99c60.edm" hidden="1">#REF!</definedName>
    <definedName name="_bdm.92343231ac38436688f265a138347370.edm" hidden="1">#REF!</definedName>
    <definedName name="_bdm.92a099ca5963435ca3be7060eb906111.edm" hidden="1">#REF!</definedName>
    <definedName name="_bdm.937e6dd1e73f407490d3a9c764637c41.edm" hidden="1">#REF!</definedName>
    <definedName name="_bdm.9404D71466BC4C27A764E1E718FD0848.edm" hidden="1">#REF!</definedName>
    <definedName name="_bdm.942b5e234c7441e68eeb2d217883d944.edm" hidden="1">#REF!</definedName>
    <definedName name="_bdm.946242c751014590867761795b20613c.edm" hidden="1">#REF!</definedName>
    <definedName name="_bdm.94ebf30962d342e4b1ea0d2494077511.edm" hidden="1">#REF!</definedName>
    <definedName name="_bdm.95678cffde624aa8b0287a236d4c77d4.edm" hidden="1">#REF!</definedName>
    <definedName name="_bdm.95802ad3c4714be7b22b363fd6192540.edm" hidden="1">#REF!</definedName>
    <definedName name="_bdm.95934c3086834869bd85575b4fb2c996.edm" hidden="1">#REF!</definedName>
    <definedName name="_bdm.96283d51fd5f4419a2c0704beb79f307.edm" hidden="1">#REF!</definedName>
    <definedName name="_bdm.969791be17644e419ee200b0cbde3941.edm" hidden="1">#REF!</definedName>
    <definedName name="_bdm.96ac8e9d86f243dbad0def707ed86bc4.edm" hidden="1">#REF!</definedName>
    <definedName name="_bdm.96c216f5e2544d7ba845760b2bd122fc.edm" hidden="1">#REF!</definedName>
    <definedName name="_bdm.96df41847c37415f945ec164a5d72ddc.edm" hidden="1">#REF!</definedName>
    <definedName name="_bdm.9725d62f3949457b84c045b8b1a9b466.edm" hidden="1">#REF!</definedName>
    <definedName name="_bdm.972fc269455b4f6ea7320f85b10f17eb.edm" hidden="1">#REF!</definedName>
    <definedName name="_bdm.97C019964AD1489E92080F328CB1C920.edm" hidden="1">#REF!</definedName>
    <definedName name="_bdm.98021cee59584d919e0d875fa6d01226.edm" hidden="1">#REF!</definedName>
    <definedName name="_bdm.980453d4a6ad4ce383cae72fbc24c45d.edm" hidden="1">#REF!</definedName>
    <definedName name="_bdm.98447346f2ef48758a304ab14a1ed809.edm" hidden="1">#REF!</definedName>
    <definedName name="_bdm.98ee14be1bb340f1b5f0c5dd85962cc5.edm" hidden="1">#REF!</definedName>
    <definedName name="_bdm.9b171653cbe64dc2b32d9119c47ded43.edm" hidden="1">#REF!</definedName>
    <definedName name="_bdm.9b21ae23dc7e4081a8ce4b041f90d102.edm" hidden="1">#REF!</definedName>
    <definedName name="_bdm.9b3a563b168e4a30b395ac201ffa64d8.edm" hidden="1">#REF!</definedName>
    <definedName name="_bdm.9b898a10f3c54f6495847c8e8bf6ddc5.edm" hidden="1">#REF!</definedName>
    <definedName name="_bdm.9bc43822ab464121a4b646c403ba57f4.edm" hidden="1">#REF!</definedName>
    <definedName name="_bdm.9bfc6e41741a41cfaac4b11b8b155fe8.edm" hidden="1">#REF!</definedName>
    <definedName name="_bdm.9c993ea6a88d42b1b40b9aacb5c61dde.edm" hidden="1">#REF!</definedName>
    <definedName name="_bdm.9cc0fd01d837463d99daf11e8dd491d3.edm" hidden="1">#REF!</definedName>
    <definedName name="_bdm.9d06571cbf8641ee817bee205d74959f.edm" hidden="1">#REF!</definedName>
    <definedName name="_bdm.9D6EF826A2A24218B8A7B494D6EEDE29.edm" hidden="1">#REF!</definedName>
    <definedName name="_bdm.9da910326783471c8ae7a375da7fc021.edm" hidden="1">#REF!</definedName>
    <definedName name="_bdm.9db27426787b47f8ba81674acb319bbe.edm" hidden="1">#REF!</definedName>
    <definedName name="_bdm.9dc52e6231a341f3acec3ba3c1be9fdc.edm" hidden="1">#REF!</definedName>
    <definedName name="_bdm.9dd6885809804caca60df66d42a0337e.edm" hidden="1">#REF!</definedName>
    <definedName name="_bdm.9ee26a7cb5984e299057103a82a9fe8b.edm" hidden="1">#REF!</definedName>
    <definedName name="_bdm.9ee8d6a5293d4d9583f2f9aa5ddf3c39.edm" hidden="1">#REF!</definedName>
    <definedName name="_bdm.9fa118bca3bc4630b74de80b05571fa5.edm" hidden="1">#REF!</definedName>
    <definedName name="_bdm.A091CBBF1FFE49F69EC8427148E2C5A6.edm" hidden="1">#REF!</definedName>
    <definedName name="_bdm.A0CBFF6911FC4CBBBF686BB818B0D63F.edm" hidden="1">#REF!</definedName>
    <definedName name="_bdm.a0f198b24ccb49ff8336fe26a89fdc03.edm" hidden="1">#REF!</definedName>
    <definedName name="_bdm.A13245B40A18401F84759EFA4EA924FD.edm" hidden="1">#REF!</definedName>
    <definedName name="_bdm.a2a55dbf5ce94b52ba04fbbc6409b468.edm" hidden="1">#REF!</definedName>
    <definedName name="_bdm.a311c2512dc948718c053323cf44d3de.edm" hidden="1">#REF!</definedName>
    <definedName name="_bdm.a3405c9600254b89bfb4d8848fcea023.edm" hidden="1">#REF!</definedName>
    <definedName name="_bdm.a3b7b036d48e432582c368fded74836a.edm" hidden="1">#REF!</definedName>
    <definedName name="_bdm.a46bb21243a1454883f33cd277fb3ba0.edm" hidden="1">#REF!</definedName>
    <definedName name="_bdm.a49dc4a3c92c4b81a4d226fee503bc19.edm" hidden="1">#REF!</definedName>
    <definedName name="_bdm.a557dc97f39c4709a49b6518377662c0.edm" hidden="1">#REF!</definedName>
    <definedName name="_bdm.A57834B3A63745EDBB0542846BC8802D.edm" hidden="1">#REF!</definedName>
    <definedName name="_bdm.a5e30aa7b3c4427ca61b42e3094a9ee6.edm" hidden="1">#REF!</definedName>
    <definedName name="_bdm.a6157e28daa84787aa76fec9782224e5.edm" hidden="1">#REF!</definedName>
    <definedName name="_bdm.a67f35390db140da98a9e9d623d0d076.edm" hidden="1">#REF!</definedName>
    <definedName name="_bdm.a7ca658fb54948a98fdfa44c1567fe5b.edm" hidden="1">#REF!</definedName>
    <definedName name="_bdm.A8C0D3402BF74479A8049D1919AAA6A7.edm" hidden="1">#REF!</definedName>
    <definedName name="_bdm.a9118aca7aa6433492df0c248d3e326a.edm" hidden="1">#REF!</definedName>
    <definedName name="_bdm.a939fa87efb54774a921dd9a1a5c8359.edm" hidden="1">#REF!</definedName>
    <definedName name="_bdm.aa1bc6e8e3e94bd480e185b617ac79d2.edm" hidden="1">#REF!</definedName>
    <definedName name="_bdm.aa78bc0bc39b4366b422954a37421fd4.edm" hidden="1">#REF!</definedName>
    <definedName name="_bdm.AADD33CB0D3A4DF0B92F24CA522E798A.edm" hidden="1">#REF!</definedName>
    <definedName name="_bdm.AB072B82377147B3B0EE8C82F1E45B29.edm" hidden="1">#REF!</definedName>
    <definedName name="_bdm.ab37b2c2271947be9ff6b2069601d4e2.edm" hidden="1">#REF!</definedName>
    <definedName name="_bdm.ab5ab9781a904e85bb78ace3517e289b.edm" hidden="1">#REF!</definedName>
    <definedName name="_bdm.abea315bcce64c64a0b7ce8dd9c159cb.edm" hidden="1">#REF!</definedName>
    <definedName name="_bdm.abf18426573d474fbc978c9c3136b508.edm" hidden="1">#REF!</definedName>
    <definedName name="_bdm.ac220a612e464e34aae9bdcbd9fd0542.edm" hidden="1">#REF!</definedName>
    <definedName name="_bdm.ac7ab630a16d4fae8739a1b6c6e9a7ec.edm" hidden="1">#REF!</definedName>
    <definedName name="_bdm.ac92b7c279034e5282a72f7ca8a559e9.edm" hidden="1">#REF!</definedName>
    <definedName name="_bdm.acfec920f06543748383730c139b08ac.edm" hidden="1">#REF!</definedName>
    <definedName name="_bdm.ad08a973192f49caa87e3fb2439d5b8e.edm" hidden="1">#REF!</definedName>
    <definedName name="_bdm.ae3f427405c74cf281ded4e7de9d2e66.edm" hidden="1">#REF!</definedName>
    <definedName name="_bdm.ae6a52bf0b60454db7b6430d565b47a5.edm" hidden="1">#REF!</definedName>
    <definedName name="_bdm.aec451f4624e4a6ba7a2cc9a9d693eba.edm" hidden="1">#REF!</definedName>
    <definedName name="_bdm.af054b6c883f4a42939639241022c524.edm" hidden="1">#REF!</definedName>
    <definedName name="_bdm.af61f6218396411ca0ff4fcefcf24330.edm" hidden="1">#REF!</definedName>
    <definedName name="_bdm.af6ce544fc374ae58fbe42aeba43d05c.edm" hidden="1">#REF!</definedName>
    <definedName name="_bdm.af6d8eda46a54d12a22a54c5fc06bd6a.edm" hidden="1">#REF!</definedName>
    <definedName name="_bdm.AFB3A2A337CA47FA91F2218DD67C81A6.edm" hidden="1">#REF!</definedName>
    <definedName name="_bdm.afc09fa035a2408bba10774e23f20e03.edm" hidden="1">#REF!</definedName>
    <definedName name="_bdm.afdd21299dcb42fcaf27ed2d2d47fddc.edm" hidden="1">#REF!</definedName>
    <definedName name="_bdm.afeb178a8fc441f3a4d009655a9a3812.edm" hidden="1">#REF!</definedName>
    <definedName name="_bdm.b105abb227de44ed9fd9dda7547d7060.edm" hidden="1">#REF!</definedName>
    <definedName name="_bdm.B2B9A9456EBF45FC98CF598AF934509D.edm" hidden="1">#REF!</definedName>
    <definedName name="_bdm.b2dbb9a1dd6e431f9200f68580eb7900.edm" hidden="1">#REF!</definedName>
    <definedName name="_bdm.b330a65e9c7744b2b4aacc59d6ea5aa7.edm" hidden="1">#REF!</definedName>
    <definedName name="_bdm.b3c08531b3e74880a25cae2be4aa30ff.edm" hidden="1">#REF!</definedName>
    <definedName name="_bdm.b4131d290ed54ac6870c245280f836d8.edm" hidden="1">#REF!</definedName>
    <definedName name="_bdm.B417C91ADF114C918F652FDCA0B3A021.edm" hidden="1">#REF!</definedName>
    <definedName name="_bdm.b45533122f92430f88eb7971d991ebac.edm" hidden="1">#REF!</definedName>
    <definedName name="_bdm.b58822e878f145fd986543b2678181e5.edm" hidden="1">#REF!</definedName>
    <definedName name="_bdm.B66E14FA10C64D23B40D87A691B3DA52.edm" hidden="1">#REF!</definedName>
    <definedName name="_bdm.b6c89b19194b4dfd90f2806a5c91e092.edm" hidden="1">#REF!</definedName>
    <definedName name="_bdm.b7388c30c3c84068946e950b487bc79b.edm" hidden="1">#REF!</definedName>
    <definedName name="_bdm.b756d837c3fb4640b8a5dd494be397d0.edm" hidden="1">#REF!</definedName>
    <definedName name="_bdm.b7d529fbd5a84759897d755f9e22965d.edm" hidden="1">#REF!</definedName>
    <definedName name="_bdm.b87ca6805faf4dbf8568c1f3bf7b1e6b.edm" hidden="1">#REF!</definedName>
    <definedName name="_bdm.B8CD88916D4C4096B6406CAE062F9563.edm" hidden="1">#REF!</definedName>
    <definedName name="_bdm.b8e775dc3f1f4d3aa761955b05a8c2eb.edm" hidden="1">#REF!</definedName>
    <definedName name="_bdm.b969faa237ee4cb9b25578bd3ef5db17.edm" hidden="1">#REF!</definedName>
    <definedName name="_bdm.b992cabd3daf47d7a2e32de991153355.edm" hidden="1">#REF!</definedName>
    <definedName name="_bdm.b9cacfbb370d4208b8449931ae56ceee.edm" hidden="1">#REF!</definedName>
    <definedName name="_bdm.b9da233e74f34424ae7bc71c3d3ddaf1.edm" hidden="1">#REF!</definedName>
    <definedName name="_bdm.ba23ea241c7b458c9d7a1fbfd05534ce.edm" hidden="1">#REF!</definedName>
    <definedName name="_bdm.baa17d8342cf41a09fe623eaffe03327.edm" hidden="1">#REF!</definedName>
    <definedName name="_bdm.babae0627e3a494aad7c57e046365ce6.edm" hidden="1">#REF!</definedName>
    <definedName name="_bdm.bc4b1448cede46e689de1c7c66852502.edm" hidden="1">#REF!</definedName>
    <definedName name="_bdm.bc689c7a0b544265ac2410c1acc7061c.edm" hidden="1">#REF!</definedName>
    <definedName name="_bdm.BCB8827E798F4FCDAA616150ABA5F871.edm" hidden="1">#REF!</definedName>
    <definedName name="_bdm.bd2767d7baf44ae7a3322077a75ccecf.edm" hidden="1">#REF!</definedName>
    <definedName name="_bdm.bd5724f7545e40fea88a152de46671c9.edm" hidden="1">#REF!</definedName>
    <definedName name="_bdm.bdb12b2a6bae4020ab3b953c115a2adb.edm" hidden="1">#REF!</definedName>
    <definedName name="_bdm.be9b0ea64ffc4c35a63710b53b3c2925.edm" hidden="1">#REF!</definedName>
    <definedName name="_bdm.bea382ddfb4e4eb0adae942a1d099127.edm" hidden="1">#REF!</definedName>
    <definedName name="_bdm.bf3ffae8f3734cfda0730ef007648f37.edm" hidden="1">#REF!</definedName>
    <definedName name="_bdm.bf4c9f1a31724ded92e76bc60a2d70ab.edm" hidden="1">#REF!</definedName>
    <definedName name="_bdm.bf5d0c5a134442a180d1af1925868c7d.edm" hidden="1">#REF!</definedName>
    <definedName name="_bdm.c0945cc4781049dda3763f0cf64d5cca.edm" hidden="1">#REF!</definedName>
    <definedName name="_bdm.c1279d7f7a8448dea94f2f9feb4839c1.edm" hidden="1">#REF!</definedName>
    <definedName name="_bdm.c173cbe0672c4faabb86af3cbe395a16.edm" hidden="1">#REF!</definedName>
    <definedName name="_bdm.c1f2a7c78d7a470a9da89ec22accd937.edm" hidden="1">#REF!</definedName>
    <definedName name="_bdm.c26811ccac624c18a6298f61a5a60d68.edm" hidden="1">#REF!</definedName>
    <definedName name="_bdm.c2909c13b66b43fa906b8937efc2b9a1.edm" hidden="1">#REF!</definedName>
    <definedName name="_bdm.c34e4077501b40a5b5513f5d1d86d04a.edm" hidden="1">#REF!</definedName>
    <definedName name="_bdm.c350072d2d3a41d9bb3a393c03672730.edm" hidden="1">#REF!</definedName>
    <definedName name="_bdm.C3EE21DCA7744F4E90F06617163703E3.edm" hidden="1">#REF!</definedName>
    <definedName name="_bdm.c4369ce4b05241049abbe460104527aa.edm" hidden="1">#REF!</definedName>
    <definedName name="_bdm.c44795e0fbab4683a92aeba2b8e4c5d4.edm" hidden="1">#REF!</definedName>
    <definedName name="_bdm.c469ea1af7ff49c1923079151353e29e.edm" hidden="1">#REF!</definedName>
    <definedName name="_bdm.c47878ab603a48f995b5715de957a1b2.edm" hidden="1">#REF!</definedName>
    <definedName name="_bdm.c4a00daa0fcc4e8bb35a510d165117c7.edm" hidden="1">#REF!</definedName>
    <definedName name="_bdm.c53037fd11814d8d959f59e9fc34727f.edm" hidden="1">#REF!</definedName>
    <definedName name="_bdm.c5a192f765744a3fa647303d5bd805ec.edm" hidden="1">#REF!</definedName>
    <definedName name="_bdm.c682fb060c6c4cdd8dcd88596426e333.edm" hidden="1">#REF!</definedName>
    <definedName name="_bdm.c6b95ca4da2042448fc10a518af16bc3.edm" hidden="1">#REF!</definedName>
    <definedName name="_bdm.c6f2455706444e949d39f7711ee94788.edm" hidden="1">#REF!</definedName>
    <definedName name="_bdm.c6fb6f2e8b4f40339941a8050d6c5eaa.edm" hidden="1">#REF!</definedName>
    <definedName name="_bdm.c712da6b5c484a30823d5659407b3b21.edm" hidden="1">#REF!</definedName>
    <definedName name="_bdm.c724f1f113464b55afab6e2b246e05ca.edm" hidden="1">#REF!</definedName>
    <definedName name="_bdm.c78f704d76dd4d5095dd2a57bfc748ba.edm" hidden="1">#REF!</definedName>
    <definedName name="_bdm.c7fa1aeb22274f1987454106d6e8952f.edm" hidden="1">#REF!</definedName>
    <definedName name="_bdm.c840573fbb8a472daee43b1f5d69567e.edm" hidden="1">#REF!</definedName>
    <definedName name="_bdm.c8a703d217024232bd6208a23116c2f8.edm" hidden="1">#REF!</definedName>
    <definedName name="_bdm.c9c04301bf91404f976277ad6e421d0b.edm" hidden="1">#REF!</definedName>
    <definedName name="_bdm.c9e67d67cca840989446d1ff6fe30bd9.edm" hidden="1">#REF!</definedName>
    <definedName name="_bdm.ca13dc94c4224f4fa3e194e39fa0ccec.edm" hidden="1">#REF!</definedName>
    <definedName name="_bdm.ca33db317bff48d396a93d6f02d4ef35.edm" hidden="1">#REF!</definedName>
    <definedName name="_bdm.cacdd18036f44cbf83f21bf548216f76.edm" hidden="1">#REF!</definedName>
    <definedName name="_bdm.cc5a399754f84fdbbdbad4158eb09af0.edm" hidden="1">#REF!</definedName>
    <definedName name="_bdm.cca8bcf2c0774d94add63cc787142177.edm" hidden="1">#REF!</definedName>
    <definedName name="_bdm.cd32bee8bf9f43fab6ee8445d267b832.edm" hidden="1">#REF!</definedName>
    <definedName name="_bdm.ce262ae39451411d834fab6e49c54acb.edm" hidden="1">#REF!</definedName>
    <definedName name="_bdm.ce2b64c18cc342568a12d52c332b3fed.edm" hidden="1">#REF!</definedName>
    <definedName name="_bdm.cedb3db60c6a44cdadbd5c3ea93567eb.edm" hidden="1">#REF!</definedName>
    <definedName name="_bdm.cee40f0694724656bbc0d77e720fbd3b.edm" hidden="1">#REF!</definedName>
    <definedName name="_bdm.d014b3cc51e14bb49a0b8c92ca96a575.edm" hidden="1">#REF!</definedName>
    <definedName name="_bdm.d06fe75cff944c71826b9ec5d8101d55.edm" hidden="1">#REF!</definedName>
    <definedName name="_bdm.d08b23cfd2c84e6e92c85d88b74fe304.edm" hidden="1">#REF!</definedName>
    <definedName name="_bdm.d0c710b43a6d40269923a165864ac3bf.edm" hidden="1">#REF!</definedName>
    <definedName name="_bdm.d0e6ec1870a0448e85eb14ba0eb99d2a.edm" hidden="1">#REF!</definedName>
    <definedName name="_bdm.d0fa47b463cc4af3942febfefd925c46.edm" hidden="1">#REF!</definedName>
    <definedName name="_bdm.D1632E6866424C96A38D0B42FB203066.edm" hidden="1">#REF!</definedName>
    <definedName name="_bdm.d1911d3c95774f4ab1a5fe78398c5f33.edm" hidden="1">#REF!</definedName>
    <definedName name="_bdm.d1e44c6bdd754bb1babc727190ecc7d8.edm" hidden="1">#REF!</definedName>
    <definedName name="_bdm.d1e9254352ba499fab1bd00f0d21ae28.edm" hidden="1">#REF!</definedName>
    <definedName name="_bdm.d1fb25a8b0394cceac6a3b78f445d085.edm" hidden="1">#REF!</definedName>
    <definedName name="_bdm.d27106f619d64192b33324a4b0b61e1d.edm" hidden="1">#REF!</definedName>
    <definedName name="_bdm.d40f9e54e02348579048c75e40621569.edm" hidden="1">#REF!</definedName>
    <definedName name="_bdm.d42e370e29e44954894293154712c81d.edm" hidden="1">#REF!</definedName>
    <definedName name="_bdm.d4535ddb4ac74490aef370d8343da6c0.edm" hidden="1">#REF!</definedName>
    <definedName name="_bdm.d4768eebc4e64eee98485f1adc400630.edm" hidden="1">#REF!</definedName>
    <definedName name="_bdm.d4bfe9a4753d4c7888cdf502d2b9fcdc.edm" hidden="1">#REF!</definedName>
    <definedName name="_bdm.d4eccd441a34495bbca79bbfd5f3090c.edm" hidden="1">#REF!</definedName>
    <definedName name="_bdm.d628f58222264927980798b5a3e68cc9.edm" hidden="1">#REF!</definedName>
    <definedName name="_bdm.d6703cb9888d4178bd351fe0d4437c5d.edm" hidden="1">#REF!</definedName>
    <definedName name="_bdm.d70fe25e7a5b4c78a60cc6a5f98b40b0.edm" hidden="1">#REF!</definedName>
    <definedName name="_bdm.d7d12c8cf75b4db2ad7749acceb63096.edm" hidden="1">#REF!</definedName>
    <definedName name="_bdm.d854f16b98ae4467ac72f5bd4e659e11.edm" hidden="1">#REF!</definedName>
    <definedName name="_bdm.D894745BCE1C4935981AB8C734AA3A4F.edm" hidden="1">#REF!</definedName>
    <definedName name="_bdm.d8d1b34d7e70487a81a32ec2ca019b6b.edm" hidden="1">#REF!</definedName>
    <definedName name="_bdm.d937b9c15d2148e6ba2a47548999b6db.edm" hidden="1">#REF!</definedName>
    <definedName name="_bdm.D9933F00C0834B44874D9828DA65B8BB.edm" hidden="1">#REF!</definedName>
    <definedName name="_bdm.d9be015380c64fb9b5a4c715cf00573c.edm" hidden="1">#REF!</definedName>
    <definedName name="_bdm.d9d3f9a18f984f7db1895ac9a4929393.edm" hidden="1">#REF!</definedName>
    <definedName name="_bdm.da3ab8891f3c4eaa9a54bd158d463bff.edm" hidden="1">#REF!</definedName>
    <definedName name="_bdm.da9942a21d0b4230bc31d643d3b48599.edm" hidden="1">#REF!</definedName>
    <definedName name="_bdm.DB025FAEC1C64FA8A1345BF84765D309.edm" hidden="1">#REF!</definedName>
    <definedName name="_bdm.dc6b3ebbeba24a0182e89096fbaf1deb.edm" hidden="1">#REF!</definedName>
    <definedName name="_bdm.dd4b1304f9a74bab901054dfbace7f59.edm" hidden="1">#REF!</definedName>
    <definedName name="_bdm.dd6556eb2d1e479b8b8dec570e6ad0cd.edm" hidden="1">#REF!</definedName>
    <definedName name="_bdm.ddb427750bdc44c991110a98df98457c.edm" hidden="1">#REF!</definedName>
    <definedName name="_bdm.dec69a7f605a4cea80ec292c5bd908e9.edm" hidden="1">#REF!</definedName>
    <definedName name="_bdm.decd185690a244358df06fc036562d94.edm" hidden="1">#REF!</definedName>
    <definedName name="_bdm.deda7821b7c440f4a52621f13e93f188.edm" hidden="1">#REF!</definedName>
    <definedName name="_bdm.dfca1eb18c6c42b5bf1a60d8c7665ac9.edm" hidden="1">#REF!</definedName>
    <definedName name="_bdm.e017ef6dbde04048bbf7c887a7fc0328.edm" hidden="1">#REF!</definedName>
    <definedName name="_bdm.e07610f27e994adfb8d11a1cf006356c.edm" hidden="1">#REF!</definedName>
    <definedName name="_bdm.e12954b396904745b6b0c8bb49a8d125.edm" hidden="1">#REF!</definedName>
    <definedName name="_bdm.e1994c62ca5c4cde89abc2d5ed68bccc.edm" hidden="1">#REF!</definedName>
    <definedName name="_bdm.e1e3d3db2afe436faa198973c693a44d.edm" hidden="1">#REF!</definedName>
    <definedName name="_bdm.e22ba6af8b904df98cf9690e93775935.edm" hidden="1">#REF!</definedName>
    <definedName name="_bdm.e28ef4e23fe946baa1d5393f8078c8e4.edm" hidden="1">#REF!</definedName>
    <definedName name="_bdm.e3140dcfcf1d4b1e897fbc10cc0841ef.edm" hidden="1">#REF!</definedName>
    <definedName name="_bdm.E3222726F79E4B2D9166CB4C021833D9.edm" hidden="1">#REF!</definedName>
    <definedName name="_bdm.E32DAE6001C14323998B2DE20D9E53CD.edm" hidden="1">#REF!</definedName>
    <definedName name="_bdm.e39a1b93bd7b40e0b959129670b5430f.edm" hidden="1">#REF!</definedName>
    <definedName name="_bdm.e39ea8ab253541b991cbad3c7174fcaa.edm" hidden="1">#REF!</definedName>
    <definedName name="_bdm.e3d981db25734737be5410f8d4acd5d8.edm" hidden="1">#REF!</definedName>
    <definedName name="_bdm.e4d1d416b1f6442cbbd0b5a050ab140e.edm" hidden="1">#REF!</definedName>
    <definedName name="_bdm.e51c3983306b450495fea93e0664e4c2.edm" hidden="1">#REF!</definedName>
    <definedName name="_bdm.e55676b498254a1ba52bd65ba1ce4a29.edm" hidden="1">#REF!</definedName>
    <definedName name="_bdm.e5cc939e4ff34f7aa0086a1d514ad096.edm" hidden="1">#REF!</definedName>
    <definedName name="_bdm.e60576b3f0c2411193954c18d501ac61.edm" hidden="1">#REF!</definedName>
    <definedName name="_bdm.e61687893d2840e1bf26e4c7ab70c161.edm" hidden="1">#REF!</definedName>
    <definedName name="_bdm.e63abb8e60d0446cbd501ac0b634b6ff.edm" hidden="1">#REF!</definedName>
    <definedName name="_bdm.e6578beacbde4cac84c46745106c2956.edm" hidden="1">#REF!</definedName>
    <definedName name="_bdm.e66d0d464f1e405aae6776f39c371c8f.edm" hidden="1">#REF!</definedName>
    <definedName name="_bdm.e689a05b067c40c4a86e3a0dd20199fd.edm" hidden="1">#REF!</definedName>
    <definedName name="_bdm.e7745c2ff493436ca2c5995742f992ec.edm" hidden="1">#REF!</definedName>
    <definedName name="_bdm.e8043c2c38014d599b14e5b0c7655d10.edm" hidden="1">#REF!</definedName>
    <definedName name="_bdm.e98e0e5f9321415bbff3a973e431d3a5.edm" hidden="1">#REF!</definedName>
    <definedName name="_bdm.EA1D1A2FD836474AAB9E13499F15A1E1.edm" hidden="1">#REF!</definedName>
    <definedName name="_bdm.EB1971F00E9E40849B43A844CFF3F594.edm" hidden="1">#REF!</definedName>
    <definedName name="_bdm.eb7958117aa74f2b80fb8d9a5cb9a662.edm" hidden="1">#REF!</definedName>
    <definedName name="_bdm.ec5942c0183f4b2a8bd579bec3a9afd4.edm" hidden="1">#REF!</definedName>
    <definedName name="_bdm.ec5fc127ecc8495682721741b54a89c1.edm" hidden="1">#REF!</definedName>
    <definedName name="_bdm.EC7B62342CD8469199CB0C98B858780D.edm" hidden="1">#REF!</definedName>
    <definedName name="_bdm.ec8f7b6a217e4ca88d98ac718ccc88bc.edm" hidden="1">#REF!</definedName>
    <definedName name="_bdm.ecad3b7e373841efbcf962c015cc0583.edm" hidden="1">#REF!</definedName>
    <definedName name="_bdm.ee12907441e34af392b5179eb2e20f8c.edm" hidden="1">#REF!</definedName>
    <definedName name="_bdm.eeb2dc035a674e8598bda8f334e76846.edm" hidden="1">#REF!</definedName>
    <definedName name="_bdm.ef2baaed79854221b4c0e6a1a1de9725.edm" hidden="1">#REF!</definedName>
    <definedName name="_bdm.ef404b4e264a48d5bf3b9b35afca7487.edm" hidden="1">#REF!</definedName>
    <definedName name="_bdm.ef8ddb9166914205ba2d6981b392dac1.edm" hidden="1">#REF!</definedName>
    <definedName name="_bdm.efbebc1724f54f2eaa52371b5ee81552.edm" hidden="1">#REF!</definedName>
    <definedName name="_bdm.f02f0637f40344a39de0970ea0c3fcd0.edm" hidden="1">#REF!</definedName>
    <definedName name="_bdm.f03bfaf4859b414591c53f6fbf30da98.edm" hidden="1">#REF!</definedName>
    <definedName name="_bdm.f0880e8e6a76452db3ed4dd2561cee58.edm" hidden="1">#REF!</definedName>
    <definedName name="_bdm.f0898db501374961a0f701e4be18840b.edm" hidden="1">#REF!</definedName>
    <definedName name="_bdm.f09b028d14ee44f28cbec354d62df224.edm" hidden="1">#REF!</definedName>
    <definedName name="_bdm.f09d23d565e64c66a5b890a13f1aebf0.edm" hidden="1">#REF!</definedName>
    <definedName name="_bdm.f0d4ab06216742bab5239d230062efc7.edm" hidden="1">#REF!</definedName>
    <definedName name="_bdm.f12a2beeda6f4537bbd6877674689349.edm" hidden="1">#REF!</definedName>
    <definedName name="_bdm.f19ed480fe0c49a084433819fda02f9c.edm" hidden="1">#REF!</definedName>
    <definedName name="_bdm.f1a3b7312132429fb6a996c9e71618f2.edm" hidden="1">#REF!</definedName>
    <definedName name="_bdm.f1f186acc78a4ebca6b9ef5a1394b84f.edm" hidden="1">#REF!</definedName>
    <definedName name="_bdm.f2648cd0f456494189a590af745dd0e6.edm" hidden="1">#REF!</definedName>
    <definedName name="_bdm.f26cdb7c7d774cae8377536d65eec335.edm" hidden="1">#REF!</definedName>
    <definedName name="_bdm.f2ed87e73fa744bf954220e0cd2a0cb8.edm" hidden="1">#REF!</definedName>
    <definedName name="_bdm.f35f47f0ac6446a7b86ca5fa40e4614b.edm" hidden="1">#REF!</definedName>
    <definedName name="_bdm.f39ea12f16fc47dfb811aafc78b45263.edm" hidden="1">#REF!</definedName>
    <definedName name="_bdm.f39ff463a6734de58a5b600e3a96a3f0.edm" hidden="1">#REF!</definedName>
    <definedName name="_bdm.f3ac4e87f82b417f9270b3e2e38cbbca.edm" hidden="1">#REF!</definedName>
    <definedName name="_bdm.f3f74b52c73a412581607618c4847cf1.edm" hidden="1">#REF!</definedName>
    <definedName name="_bdm.f42bd0540a134eac86cef84bbe04a527.edm" hidden="1">#REF!</definedName>
    <definedName name="_bdm.f46b161a358e4324953048ca5818b20a.edm" hidden="1">#REF!</definedName>
    <definedName name="_bdm.f4cb2e51f66942b78cb05466f2dbdb57.edm" hidden="1">#REF!</definedName>
    <definedName name="_bdm.f54ec70ed72c4b578316b3b48cb800fe.edm" hidden="1">#REF!</definedName>
    <definedName name="_bdm.f5c9c4f46dc04bdab08d175811e979fe.edm" hidden="1">#REF!</definedName>
    <definedName name="_bdm.f6bc989e3b554de5a513ce857cab4276.edm" hidden="1">#REF!</definedName>
    <definedName name="_bdm.f727f38ce4cb4915bc0dc9bdca08c55a.edm" hidden="1">#REF!</definedName>
    <definedName name="_bdm.f7961cdb44f848cdb40f05c59ab4d06f.edm" hidden="1">#REF!</definedName>
    <definedName name="_bdm.f7a154ce6ca54b848e477484183c46e9.edm" hidden="1">#REF!</definedName>
    <definedName name="_bdm.f7ff864e146b47cfa52dd579145abb05.edm" hidden="1">#REF!</definedName>
    <definedName name="_bdm.f88475530c4c4bcca885508a46fed903.edm" hidden="1">#REF!</definedName>
    <definedName name="_bdm.f98c176d94bd404d8dcf597b8b052e41.edm" hidden="1">#REF!</definedName>
    <definedName name="_bdm.f9e7189df2754a43bda7e48ab274c560.edm" hidden="1">#REF!</definedName>
    <definedName name="_bdm.fc5bc48ac97e4568b308c81df130dc87.edm" hidden="1">#REF!</definedName>
    <definedName name="_bdm.fca930a8250a4a60a0eb6941f3c50737.edm" hidden="1">#REF!</definedName>
    <definedName name="_bdm.fcc6a70550f2439aa94023658491ee17.edm" hidden="1">#REF!</definedName>
    <definedName name="_bdm.fd1860382674404baa348b9f7fe4dea4.edm" hidden="1">#REF!</definedName>
    <definedName name="_bdm.fd6cab26a873441b92491a24bb5ef2cb.edm" hidden="1">#REF!</definedName>
    <definedName name="_bdm.fd87664b7b43475884524f82c358a488.edm" hidden="1">#REF!</definedName>
    <definedName name="_bdm.fdad12ae575b4e52934713b4a940f76a.edm" hidden="1">#REF!</definedName>
    <definedName name="_bdm.fe1dd227848547d597dd3e2dfbeeac34.edm" hidden="1">#REF!</definedName>
    <definedName name="_bdm.fe2e21e75d784dc1bb518188403b680b.edm" hidden="1">#REF!</definedName>
    <definedName name="_bdm.FEFAFB90EF4843B686B3C5EE1E69BCF8.edm" hidden="1">#REF!</definedName>
    <definedName name="_bdm.ff5931311a294285958d50b98c3e991a.edm" hidden="1">#REF!</definedName>
    <definedName name="_bdm.ff65f41bb822424d899d110be29475ff.edm" hidden="1">#REF!</definedName>
    <definedName name="_bdm.ffa9eae480274ddba4defa3646d43a41.edm" hidden="1">#REF!</definedName>
    <definedName name="_BI07">#REF!</definedName>
    <definedName name="_BI08">#REF!</definedName>
    <definedName name="_BI09">#REF!</definedName>
    <definedName name="_BI10">#REF!</definedName>
    <definedName name="_BI11">#REF!</definedName>
    <definedName name="_BI12">#REF!</definedName>
    <definedName name="_BO07">#REF!</definedName>
    <definedName name="_BO08">#REF!</definedName>
    <definedName name="_BO09">#REF!</definedName>
    <definedName name="_BO10">#REF!</definedName>
    <definedName name="_BO11">#REF!</definedName>
    <definedName name="_BO12">#REF!</definedName>
    <definedName name="_BP1">#REF!</definedName>
    <definedName name="_BP2">#REF!</definedName>
    <definedName name="_BQ4.1" hidden="1">#REF!</definedName>
    <definedName name="_BQ5.1" hidden="1">#REF!</definedName>
    <definedName name="_BRD1">#REF!</definedName>
    <definedName name="_BRD2">#REF!</definedName>
    <definedName name="_BRD3">#REF!</definedName>
    <definedName name="_BRD4">#REF!</definedName>
    <definedName name="_BRD5">#REF!</definedName>
    <definedName name="_BRD6">#REF!</definedName>
    <definedName name="_BRD7">#REF!</definedName>
    <definedName name="_C">#REF!</definedName>
    <definedName name="_C01">#REF!</definedName>
    <definedName name="_c02">#REF!</definedName>
    <definedName name="_C100000">#REF!</definedName>
    <definedName name="_CDT2">#REF!</definedName>
    <definedName name="_CF2">#N/A</definedName>
    <definedName name="_CF22">#N/A</definedName>
    <definedName name="_ci" hidden="1">#REF!</definedName>
    <definedName name="_CI07">#REF!</definedName>
    <definedName name="_CI08">#REF!</definedName>
    <definedName name="_CI09">#REF!</definedName>
    <definedName name="_CI10">#REF!</definedName>
    <definedName name="_CI11">#REF!</definedName>
    <definedName name="_CI12">#REF!</definedName>
    <definedName name="_ck" hidden="1">#REF!</definedName>
    <definedName name="_CO07">#REF!</definedName>
    <definedName name="_CO08">#REF!</definedName>
    <definedName name="_CO09">#REF!</definedName>
    <definedName name="_CO10">#REF!</definedName>
    <definedName name="_CO11">#REF!</definedName>
    <definedName name="_CO12">#REF!</definedName>
    <definedName name="_COL04">#N/A</definedName>
    <definedName name="_COL05">#N/A</definedName>
    <definedName name="_COL07">#N/A</definedName>
    <definedName name="_cosod" hidden="1">#REF!</definedName>
    <definedName name="_CP1">#REF!</definedName>
    <definedName name="_CP2">#REF!</definedName>
    <definedName name="_cu" hidden="1">#REF!</definedName>
    <definedName name="_d" hidden="1">#REF!</definedName>
    <definedName name="_D01">#REF!</definedName>
    <definedName name="_D02">#REF!</definedName>
    <definedName name="_d12">#REF!</definedName>
    <definedName name="_D580436">#REF!</definedName>
    <definedName name="_DAN1">#REF!</definedName>
    <definedName name="_DAN10">#REF!</definedName>
    <definedName name="_DAN100">#REF!</definedName>
    <definedName name="_DAN101">#REF!</definedName>
    <definedName name="_DAN102">#REF!</definedName>
    <definedName name="_DAN103">#REF!</definedName>
    <definedName name="_DAN104">#REF!</definedName>
    <definedName name="_DAN105">#REF!</definedName>
    <definedName name="_DAN106">#REF!</definedName>
    <definedName name="_DAN107">#REF!</definedName>
    <definedName name="_DAN108">#REF!</definedName>
    <definedName name="_DAN109">#REF!</definedName>
    <definedName name="_DAN11">#REF!</definedName>
    <definedName name="_DAN110">#REF!</definedName>
    <definedName name="_DAN111">#REF!</definedName>
    <definedName name="_DAN112">#REF!</definedName>
    <definedName name="_DAN113">#REF!</definedName>
    <definedName name="_DAN114">#REF!</definedName>
    <definedName name="_DAN115">#REF!</definedName>
    <definedName name="_DAN116">#REF!</definedName>
    <definedName name="_DAN117">#REF!</definedName>
    <definedName name="_DAN118">#REF!</definedName>
    <definedName name="_DAN119">#REF!</definedName>
    <definedName name="_DAN12">#REF!</definedName>
    <definedName name="_DAN120">#REF!</definedName>
    <definedName name="_DAN121">#REF!</definedName>
    <definedName name="_DAN122">#REF!</definedName>
    <definedName name="_DAN123">#REF!</definedName>
    <definedName name="_DAN124">#REF!</definedName>
    <definedName name="_DAN125">#REF!</definedName>
    <definedName name="_DAN126">#REF!</definedName>
    <definedName name="_DAN127">#REF!</definedName>
    <definedName name="_DAN128">#REF!</definedName>
    <definedName name="_DAN129">#REF!</definedName>
    <definedName name="_DAN13">#REF!</definedName>
    <definedName name="_DAN130">#REF!</definedName>
    <definedName name="_DAN131">#REF!</definedName>
    <definedName name="_DAN132">#REF!</definedName>
    <definedName name="_DAN133">#REF!</definedName>
    <definedName name="_DAN134">#REF!</definedName>
    <definedName name="_DAN135">#REF!</definedName>
    <definedName name="_DAN136">#REF!</definedName>
    <definedName name="_DAN137">#REF!</definedName>
    <definedName name="_DAN138">#REF!</definedName>
    <definedName name="_DAN139">#REF!</definedName>
    <definedName name="_DAN14">#REF!</definedName>
    <definedName name="_DAN140">#REF!</definedName>
    <definedName name="_DAN141">#REF!</definedName>
    <definedName name="_DAN142">#REF!</definedName>
    <definedName name="_DAN143">#REF!</definedName>
    <definedName name="_DAN144">#REF!</definedName>
    <definedName name="_DAN145">#REF!</definedName>
    <definedName name="_DAN146">#REF!</definedName>
    <definedName name="_DAN147">#REF!</definedName>
    <definedName name="_DAN148">#REF!</definedName>
    <definedName name="_DAN149">#REF!</definedName>
    <definedName name="_DAN15">#REF!</definedName>
    <definedName name="_DAN150">#REF!</definedName>
    <definedName name="_DAN151">#REF!</definedName>
    <definedName name="_DAN152">#REF!</definedName>
    <definedName name="_DAN153">#REF!</definedName>
    <definedName name="_DAN16">#REF!</definedName>
    <definedName name="_DAN17">#REF!</definedName>
    <definedName name="_DAN18">#REF!</definedName>
    <definedName name="_DAN19">#REF!</definedName>
    <definedName name="_DAN2">#REF!</definedName>
    <definedName name="_DAN20">#REF!</definedName>
    <definedName name="_DAN21">#REF!</definedName>
    <definedName name="_DAN22">#REF!</definedName>
    <definedName name="_DAN23">#REF!</definedName>
    <definedName name="_DAN24">#REF!</definedName>
    <definedName name="_DAN25">#REF!</definedName>
    <definedName name="_DAN26">#REF!</definedName>
    <definedName name="_DAN27">#REF!</definedName>
    <definedName name="_DAN28">#REF!</definedName>
    <definedName name="_DAN29">#REF!</definedName>
    <definedName name="_DAN3">#REF!</definedName>
    <definedName name="_DAN30">#REF!</definedName>
    <definedName name="_DAN31">#REF!</definedName>
    <definedName name="_DAN32">#REF!</definedName>
    <definedName name="_DAN33">#REF!</definedName>
    <definedName name="_DAN34">#REF!</definedName>
    <definedName name="_DAN35">#REF!</definedName>
    <definedName name="_DAN36">#REF!</definedName>
    <definedName name="_DAN37">#REF!</definedName>
    <definedName name="_DAN38">#REF!</definedName>
    <definedName name="_DAN39">#REF!</definedName>
    <definedName name="_DAN4">#REF!</definedName>
    <definedName name="_DAN40">#REF!</definedName>
    <definedName name="_DAN41">#REF!</definedName>
    <definedName name="_DAN42">#REF!</definedName>
    <definedName name="_DAN43">#REF!</definedName>
    <definedName name="_DAN44">#REF!</definedName>
    <definedName name="_DAN45">#REF!</definedName>
    <definedName name="_DAN46">#REF!</definedName>
    <definedName name="_DAN47">#REF!</definedName>
    <definedName name="_DAN48">#REF!</definedName>
    <definedName name="_DAN49">#REF!</definedName>
    <definedName name="_DAN5">#REF!</definedName>
    <definedName name="_DAN50">#REF!</definedName>
    <definedName name="_DAN51">#REF!</definedName>
    <definedName name="_DAN52">#REF!</definedName>
    <definedName name="_DAN53">#REF!</definedName>
    <definedName name="_DAN54">#REF!</definedName>
    <definedName name="_DAN55">#REF!</definedName>
    <definedName name="_DAN56">#REF!</definedName>
    <definedName name="_DAN57">#REF!</definedName>
    <definedName name="_DAN58">#REF!</definedName>
    <definedName name="_DAN59">#REF!</definedName>
    <definedName name="_DAN6">#REF!</definedName>
    <definedName name="_DAN60">#REF!</definedName>
    <definedName name="_DAN61">#REF!</definedName>
    <definedName name="_DAN62">#REF!</definedName>
    <definedName name="_DAN63">#REF!</definedName>
    <definedName name="_DAN64">#REF!</definedName>
    <definedName name="_DAN65">#REF!</definedName>
    <definedName name="_DAN66">#REF!</definedName>
    <definedName name="_DAN67">#REF!</definedName>
    <definedName name="_DAN68">#REF!</definedName>
    <definedName name="_DAN69">#REF!</definedName>
    <definedName name="_DAN7">#REF!</definedName>
    <definedName name="_DAN70">#REF!</definedName>
    <definedName name="_DAN71">#REF!</definedName>
    <definedName name="_DAN72">#REF!</definedName>
    <definedName name="_DAN73">#REF!</definedName>
    <definedName name="_DAN74">#REF!</definedName>
    <definedName name="_DAN75">#REF!</definedName>
    <definedName name="_DAN76">#REF!</definedName>
    <definedName name="_DAN77">#REF!</definedName>
    <definedName name="_DAN78">#REF!</definedName>
    <definedName name="_DAN79">#REF!</definedName>
    <definedName name="_DAN8">#REF!</definedName>
    <definedName name="_DAN80">#REF!</definedName>
    <definedName name="_DAN81">#REF!</definedName>
    <definedName name="_DAN82">#REF!</definedName>
    <definedName name="_DAN83">#REF!</definedName>
    <definedName name="_DAN84">#REF!</definedName>
    <definedName name="_DAN85">#REF!</definedName>
    <definedName name="_DAN86">#REF!</definedName>
    <definedName name="_DAN87">#REF!</definedName>
    <definedName name="_DAN88">#REF!</definedName>
    <definedName name="_DAN89">#REF!</definedName>
    <definedName name="_DAN9">#REF!</definedName>
    <definedName name="_DAN90">#REF!</definedName>
    <definedName name="_DAN91">#REF!</definedName>
    <definedName name="_DAN92">#REF!</definedName>
    <definedName name="_DAN93">#REF!</definedName>
    <definedName name="_DAN94">#REF!</definedName>
    <definedName name="_DAN95">#REF!</definedName>
    <definedName name="_DAN96">#REF!</definedName>
    <definedName name="_DAN97">#REF!</definedName>
    <definedName name="_DAN98">#REF!</definedName>
    <definedName name="_DAN99">#REF!</definedName>
    <definedName name="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D" hidden="1">#REF!</definedName>
    <definedName name="_ddd" hidden="1">#REF!</definedName>
    <definedName name="_DEM1">#REF!</definedName>
    <definedName name="_DEM2">#REF!</definedName>
    <definedName name="_DEM3">#REF!</definedName>
    <definedName name="_DEM4">#REF!</definedName>
    <definedName name="_Dist_Bin" hidden="1">#REF!</definedName>
    <definedName name="_Dist_Values" hidden="1">#REF!</definedName>
    <definedName name="_DKS" hidden="1">#REF!</definedName>
    <definedName name="_DKSL" hidden="1">#REF!</definedName>
    <definedName name="_DLFLD" hidden="1">#REF!</definedName>
    <definedName name="_dosp" hidden="1">#REF!</definedName>
    <definedName name="_dosps" hidden="1">#REF!</definedName>
    <definedName name="_dps" hidden="1">#REF!</definedName>
    <definedName name="_ds" hidden="1">#REF!</definedName>
    <definedName name="_E01">#REF!</definedName>
    <definedName name="_E144">#REF!</definedName>
    <definedName name="_ecp" hidden="1">#REF!</definedName>
    <definedName name="_ei" hidden="1">#REF!</definedName>
    <definedName name="_eid" hidden="1">#REF!</definedName>
    <definedName name="_eidc" hidden="1">#REF!</definedName>
    <definedName name="_eo" hidden="1">#REF!</definedName>
    <definedName name="_eoco" hidden="1">#REF!</definedName>
    <definedName name="_eocos" hidden="1">#REF!</definedName>
    <definedName name="_eoxod" hidden="1">#REF!</definedName>
    <definedName name="_eoxos" hidden="1">#REF!</definedName>
    <definedName name="_eoxoso" hidden="1">#REF!</definedName>
    <definedName name="_epcp" hidden="1">#REF!</definedName>
    <definedName name="_epspc" hidden="1">#REF!</definedName>
    <definedName name="_EUR1">#REF!</definedName>
    <definedName name="_EUR2">#REF!</definedName>
    <definedName name="_EUR3">#REF!</definedName>
    <definedName name="_EUR4">#REF!</definedName>
    <definedName name="_euriw" hidden="1">#REF!</definedName>
    <definedName name="_Exp97">#REF!</definedName>
    <definedName name="_F" hidden="1">#REF!</definedName>
    <definedName name="_F01">#REF!</definedName>
    <definedName name="_F02">#REF!</definedName>
    <definedName name="_F03">#REF!</definedName>
    <definedName name="_F04">#REF!</definedName>
    <definedName name="_F05">#REF!</definedName>
    <definedName name="_F06">#REF!</definedName>
    <definedName name="_F07">#REF!</definedName>
    <definedName name="_F08">#REF!</definedName>
    <definedName name="_F09">#REF!</definedName>
    <definedName name="_F10">#REF!</definedName>
    <definedName name="_F11">#REF!</definedName>
    <definedName name="_F12">#REF!</definedName>
    <definedName name="_f13">#REF!</definedName>
    <definedName name="_f14">#REF!</definedName>
    <definedName name="_F15">#REF!</definedName>
    <definedName name="_F16">#REF!</definedName>
    <definedName name="_F17">#REF!</definedName>
    <definedName name="_F18">#REF!</definedName>
    <definedName name="_f19">#REF!</definedName>
    <definedName name="_f2">#REF!</definedName>
    <definedName name="_f20">#REF!</definedName>
    <definedName name="_f21">#REF!</definedName>
    <definedName name="_f3" localSheetId="2" hidden="1">{#N/A,#N/A,FALSE,"BS";#N/A,#N/A,FALSE,"PL";#N/A,#N/A,FALSE,"A";#N/A,#N/A,FALSE,"B";#N/A,#N/A,FALSE,"B1";#N/A,#N/A,FALSE,"C";#N/A,#N/A,FALSE,"C1";#N/A,#N/A,FALSE,"C2";#N/A,#N/A,FALSE,"D";#N/A,#N/A,FALSE,"E";#N/A,#N/A,FALSE,"F";#N/A,#N/A,FALSE,"AA";#N/A,#N/A,FALSE,"BB";#N/A,#N/A,FALSE,"CC";#N/A,#N/A,FALSE,"DD";#N/A,#N/A,FALSE,"EE";#N/A,#N/A,FALSE,"FF";#N/A,#N/A,FALSE,"PL10";#N/A,#N/A,FALSE,"PL20";#N/A,#N/A,FALSE,"PL30"}</definedName>
    <definedName name="_f3" hidden="1">{#N/A,#N/A,FALSE,"BS";#N/A,#N/A,FALSE,"PL";#N/A,#N/A,FALSE,"A";#N/A,#N/A,FALSE,"B";#N/A,#N/A,FALSE,"B1";#N/A,#N/A,FALSE,"C";#N/A,#N/A,FALSE,"C1";#N/A,#N/A,FALSE,"C2";#N/A,#N/A,FALSE,"D";#N/A,#N/A,FALSE,"E";#N/A,#N/A,FALSE,"F";#N/A,#N/A,FALSE,"AA";#N/A,#N/A,FALSE,"BB";#N/A,#N/A,FALSE,"CC";#N/A,#N/A,FALSE,"DD";#N/A,#N/A,FALSE,"EE";#N/A,#N/A,FALSE,"FF";#N/A,#N/A,FALSE,"PL10";#N/A,#N/A,FALSE,"PL20";#N/A,#N/A,FALSE,"PL30"}</definedName>
    <definedName name="_f3_1" localSheetId="2" hidden="1">{#N/A,#N/A,FALSE,"BS";#N/A,#N/A,FALSE,"PL";#N/A,#N/A,FALSE,"A";#N/A,#N/A,FALSE,"B";#N/A,#N/A,FALSE,"B1";#N/A,#N/A,FALSE,"C";#N/A,#N/A,FALSE,"C1";#N/A,#N/A,FALSE,"C2";#N/A,#N/A,FALSE,"D";#N/A,#N/A,FALSE,"E";#N/A,#N/A,FALSE,"F";#N/A,#N/A,FALSE,"AA";#N/A,#N/A,FALSE,"BB";#N/A,#N/A,FALSE,"CC";#N/A,#N/A,FALSE,"DD";#N/A,#N/A,FALSE,"EE";#N/A,#N/A,FALSE,"FF";#N/A,#N/A,FALSE,"PL10";#N/A,#N/A,FALSE,"PL20";#N/A,#N/A,FALSE,"PL30"}</definedName>
    <definedName name="_f3_1" hidden="1">{#N/A,#N/A,FALSE,"BS";#N/A,#N/A,FALSE,"PL";#N/A,#N/A,FALSE,"A";#N/A,#N/A,FALSE,"B";#N/A,#N/A,FALSE,"B1";#N/A,#N/A,FALSE,"C";#N/A,#N/A,FALSE,"C1";#N/A,#N/A,FALSE,"C2";#N/A,#N/A,FALSE,"D";#N/A,#N/A,FALSE,"E";#N/A,#N/A,FALSE,"F";#N/A,#N/A,FALSE,"AA";#N/A,#N/A,FALSE,"BB";#N/A,#N/A,FALSE,"CC";#N/A,#N/A,FALSE,"DD";#N/A,#N/A,FALSE,"EE";#N/A,#N/A,FALSE,"FF";#N/A,#N/A,FALSE,"PL10";#N/A,#N/A,FALSE,"PL20";#N/A,#N/A,FALSE,"PL30"}</definedName>
    <definedName name="_FDN1">#REF!</definedName>
    <definedName name="_FDN2">#REF!</definedName>
    <definedName name="_FEOSW" hidden="1">#REF!</definedName>
    <definedName name="_ffy40">#REF!</definedName>
    <definedName name="_fgjsl" hidden="1">#REF!</definedName>
    <definedName name="_Fill" hidden="1">#REF!</definedName>
    <definedName name="_xlnm._FilterDatabase" localSheetId="2" hidden="1">'2024년 계획'!$B$4:$AH$56</definedName>
    <definedName name="_xlnm._FilterDatabase" hidden="1">#REF!</definedName>
    <definedName name="_fjdks" hidden="1">#REF!</definedName>
    <definedName name="_fjdksl" hidden="1">#REF!</definedName>
    <definedName name="_FJDLS" hidden="1">#REF!</definedName>
    <definedName name="_fjeowp" hidden="1">#REF!</definedName>
    <definedName name="_FJRIEO" hidden="1">#REF!</definedName>
    <definedName name="_fjskd" hidden="1">#REF!</definedName>
    <definedName name="_fjsksl" hidden="1">#REF!</definedName>
    <definedName name="_FPA10">#REF!</definedName>
    <definedName name="_FPA14">#REF!</definedName>
    <definedName name="_FPA16">#REF!</definedName>
    <definedName name="_FPA3">#REF!</definedName>
    <definedName name="_FPA4">#REF!</definedName>
    <definedName name="_FPA5">#REF!</definedName>
    <definedName name="_FPA6">#REF!</definedName>
    <definedName name="_FPA8">#REF!</definedName>
    <definedName name="_FPP4">#REF!</definedName>
    <definedName name="_FPP5">#REF!</definedName>
    <definedName name="_FPP6">#REF!</definedName>
    <definedName name="_FRF1">#REF!</definedName>
    <definedName name="_FRF2">#REF!</definedName>
    <definedName name="_FRF3">#REF!</definedName>
    <definedName name="_FRF4">#REF!</definedName>
    <definedName name="_G01">#REF!</definedName>
    <definedName name="_G02">#REF!</definedName>
    <definedName name="_G03">#REF!</definedName>
    <definedName name="_G04">#REF!</definedName>
    <definedName name="_G07">#REF!</definedName>
    <definedName name="_G08">#REF!</definedName>
    <definedName name="_G09">#REF!</definedName>
    <definedName name="_g1" hidden="1">{"comp1",#N/A,FALSE,"COMPS";"footnotes",#N/A,FALSE,"COMPS"}</definedName>
    <definedName name="_g10">#REF!</definedName>
    <definedName name="_G11">#REF!</definedName>
    <definedName name="_G12">#REF!</definedName>
    <definedName name="_G13">#REF!</definedName>
    <definedName name="_GBH2311">#REF!</definedName>
    <definedName name="_GBP1">#REF!</definedName>
    <definedName name="_GBP2">#REF!</definedName>
    <definedName name="_GBP3">#REF!</definedName>
    <definedName name="_GBP4">#REF!</definedName>
    <definedName name="_GHH2">#REF!</definedName>
    <definedName name="_gjsl" hidden="1">#REF!</definedName>
    <definedName name="_gr3" hidden="1">{"comp1",#N/A,FALSE,"COMPS";"footnotes",#N/A,FALSE,"COMPS"}</definedName>
    <definedName name="_GSRATES_1" hidden="1">"H20050804Latest  EURGBP1000001"</definedName>
    <definedName name="_GSRATES_2" hidden="1">"CT300001Latest          "</definedName>
    <definedName name="_GSRATES_3" hidden="1">"CT30000119990928        "</definedName>
    <definedName name="_GSRATES_4" hidden="1">"CT30000119990928        "</definedName>
    <definedName name="_GSRATES_5" hidden="1">"CT30000119990331        "</definedName>
    <definedName name="_GSRATES_6" hidden="1">"CT30000119990101        "</definedName>
    <definedName name="_GSRATES_7" hidden="1">"CT30000119980930        "</definedName>
    <definedName name="_GSRATES_8" hidden="1">"CT30000119980630        "</definedName>
    <definedName name="_GSRATES_9" hidden="1">"CT30000119980331        "</definedName>
    <definedName name="_GSRATES_COUNT" hidden="1">1</definedName>
    <definedName name="_GSRATESR_1" hidden="1">#REF!</definedName>
    <definedName name="_H01">#REF!</definedName>
    <definedName name="_H02">#REF!</definedName>
    <definedName name="_H03">#REF!</definedName>
    <definedName name="_H04">#REF!</definedName>
    <definedName name="_H06">#REF!</definedName>
    <definedName name="_h07">#REF!</definedName>
    <definedName name="_h08">#REF!</definedName>
    <definedName name="_H09">#REF!</definedName>
    <definedName name="_H10">#REF!</definedName>
    <definedName name="_H11">#REF!</definedName>
    <definedName name="_H12">#REF!</definedName>
    <definedName name="_H13">#REF!</definedName>
    <definedName name="_H14">#REF!</definedName>
    <definedName name="_H15">#REF!</definedName>
    <definedName name="_H16">#REF!</definedName>
    <definedName name="_h17">#REF!</definedName>
    <definedName name="_H18">#REF!</definedName>
    <definedName name="_H19">#REF!</definedName>
    <definedName name="_Hew1">#REF!</definedName>
    <definedName name="_HGP1010">{"'Sheet1'!$A$1:$H$36"}</definedName>
    <definedName name="_Hos1">#REF!</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p1">#REF!</definedName>
    <definedName name="_Hsp2">#REF!</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i" hidden="1">#REF!</definedName>
    <definedName name="_I01">#REF!</definedName>
    <definedName name="_I49271">#REF!</definedName>
    <definedName name="_INT1">#REF!</definedName>
    <definedName name="_INT10">#REF!</definedName>
    <definedName name="_INT11">#REF!</definedName>
    <definedName name="_INT12">#REF!</definedName>
    <definedName name="_INT2">#REF!</definedName>
    <definedName name="_INT3">#REF!</definedName>
    <definedName name="_INT4">#REF!</definedName>
    <definedName name="_INT5">#REF!</definedName>
    <definedName name="_INT6">#REF!</definedName>
    <definedName name="_INT7">#REF!</definedName>
    <definedName name="_Inv2">#REF!</definedName>
    <definedName name="_ITL1">#REF!</definedName>
    <definedName name="_ITL2">#REF!</definedName>
    <definedName name="_ITL3">#REF!</definedName>
    <definedName name="_ITL4">#REF!</definedName>
    <definedName name="_J01">#REF!</definedName>
    <definedName name="_j1" hidden="1">#REF!</definedName>
    <definedName name="_j2" hidden="1">#REF!</definedName>
    <definedName name="_j3">#REF!</definedName>
    <definedName name="_j4">#REF!</definedName>
    <definedName name="_j5">#N/A</definedName>
    <definedName name="_j6">#N/A</definedName>
    <definedName name="_j7">#N/A</definedName>
    <definedName name="_j8">#N/A</definedName>
    <definedName name="_ja1">#REF!</definedName>
    <definedName name="_ja2">#REF!</definedName>
    <definedName name="_jp2">#REF!</definedName>
    <definedName name="_JSW1">#REF!</definedName>
    <definedName name="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01">#REF!</definedName>
    <definedName name="_k1" hidden="1">#REF!</definedName>
    <definedName name="_k10041">#REF!</definedName>
    <definedName name="_k110">#REF!</definedName>
    <definedName name="_k120">#REF!</definedName>
    <definedName name="_k126">#REF!</definedName>
    <definedName name="_k140">#REF!</definedName>
    <definedName name="_k150">#REF!</definedName>
    <definedName name="_k155">#REF!</definedName>
    <definedName name="_k160">#REF!</definedName>
    <definedName name="_k180">#REF!</definedName>
    <definedName name="_k185">#REF!</definedName>
    <definedName name="_k2" hidden="1">#REF!</definedName>
    <definedName name="_k310">#REF!</definedName>
    <definedName name="_k315">#REF!</definedName>
    <definedName name="_k320">#REF!</definedName>
    <definedName name="_k325">#REF!</definedName>
    <definedName name="_k330">#REF!</definedName>
    <definedName name="_k341">#REF!</definedName>
    <definedName name="_k410">#REF!</definedName>
    <definedName name="_k510">#REF!</definedName>
    <definedName name="_k511">#REF!</definedName>
    <definedName name="_k512">#REF!</definedName>
    <definedName name="_key02" hidden="1">#N/A</definedName>
    <definedName name="_Key1" hidden="1">#REF!</definedName>
    <definedName name="_key10" hidden="1">#REF!</definedName>
    <definedName name="_Key11" hidden="1">#REF!</definedName>
    <definedName name="_Key2" hidden="1">#REF!</definedName>
    <definedName name="_Key3" hidden="1">#REF!</definedName>
    <definedName name="_KEY5" hidden="1">#REF!</definedName>
    <definedName name="_key8" hidden="1">#REF!</definedName>
    <definedName name="_key9" hidden="1">#REF!</definedName>
    <definedName name="_Keyn" hidden="1">#REF!</definedName>
    <definedName name="_kHKG">#REF!</definedName>
    <definedName name="_KK" hidden="1">#REF!</definedName>
    <definedName name="_kkkk" hidden="1">#REF!</definedName>
    <definedName name="_KO2" hidden="1">#REF!</definedName>
    <definedName name="_kop03">#REF!</definedName>
    <definedName name="_KRW09">#REF!</definedName>
    <definedName name="_KTM10" localSheetId="2" hidden="1">{#N/A,#N/A,FALSE,"현장 NCR 분석";#N/A,#N/A,FALSE,"현장품질감사";#N/A,#N/A,FALSE,"현장품질감사"}</definedName>
    <definedName name="_KTM10" hidden="1">{#N/A,#N/A,FALSE,"현장 NCR 분석";#N/A,#N/A,FALSE,"현장품질감사";#N/A,#N/A,FALSE,"현장품질감사"}</definedName>
    <definedName name="_KTM10_1" localSheetId="2" hidden="1">{#N/A,#N/A,FALSE,"현장 NCR 분석";#N/A,#N/A,FALSE,"현장품질감사";#N/A,#N/A,FALSE,"현장품질감사"}</definedName>
    <definedName name="_KTM10_1" hidden="1">{#N/A,#N/A,FALSE,"현장 NCR 분석";#N/A,#N/A,FALSE,"현장품질감사";#N/A,#N/A,FALSE,"현장품질감사"}</definedName>
    <definedName name="_L01">#REF!</definedName>
    <definedName name="_L02">#REF!</definedName>
    <definedName name="_L03">#REF!</definedName>
    <definedName name="_l06">#REF!</definedName>
    <definedName name="_l07">#REF!</definedName>
    <definedName name="_L08">#REF!</definedName>
    <definedName name="_L09">#REF!</definedName>
    <definedName name="_LG2" localSheetId="2" hidden="1">{#N/A,#N/A,TRUE,"매출진척-1";#N/A,#N/A,TRUE,"매출진척-2";#N/A,#N/A,TRUE,"제품실적";#N/A,#N/A,TRUE,"RAC";#N/A,#N/A,TRUE,"PAC ";#N/A,#N/A,TRUE,"재고현황";#N/A,#N/A,TRUE,"공지사항"}</definedName>
    <definedName name="_LG2" hidden="1">{#N/A,#N/A,TRUE,"매출진척-1";#N/A,#N/A,TRUE,"매출진척-2";#N/A,#N/A,TRUE,"제품실적";#N/A,#N/A,TRUE,"RAC";#N/A,#N/A,TRUE,"PAC ";#N/A,#N/A,TRUE,"재고현황";#N/A,#N/A,TRUE,"공지사항"}</definedName>
    <definedName name="_LG2_1" localSheetId="2" hidden="1">{#N/A,#N/A,TRUE,"매출진척-1";#N/A,#N/A,TRUE,"매출진척-2";#N/A,#N/A,TRUE,"제품실적";#N/A,#N/A,TRUE,"RAC";#N/A,#N/A,TRUE,"PAC ";#N/A,#N/A,TRUE,"재고현황";#N/A,#N/A,TRUE,"공지사항"}</definedName>
    <definedName name="_LG2_1" hidden="1">{#N/A,#N/A,TRUE,"매출진척-1";#N/A,#N/A,TRUE,"매출진척-2";#N/A,#N/A,TRUE,"제품실적";#N/A,#N/A,TRUE,"RAC";#N/A,#N/A,TRUE,"PAC ";#N/A,#N/A,TRUE,"재고현황";#N/A,#N/A,TRUE,"공지사항"}</definedName>
    <definedName name="_LIC1">#REF!</definedName>
    <definedName name="_LIC10">#REF!</definedName>
    <definedName name="_LIC11">#REF!</definedName>
    <definedName name="_LIC12">#REF!</definedName>
    <definedName name="_LIC2">#REF!</definedName>
    <definedName name="_LIC3">#REF!</definedName>
    <definedName name="_LIC4">#REF!</definedName>
    <definedName name="_LIC5">#REF!</definedName>
    <definedName name="_LIC6">#REF!</definedName>
    <definedName name="_LIC7">#REF!</definedName>
    <definedName name="_LP1">#REF!</definedName>
    <definedName name="_LP2">#REF!</definedName>
    <definedName name="_LPS2" hidden="1">{#N/A,#N/A,FALSE,"단축1";#N/A,#N/A,FALSE,"단축2";#N/A,#N/A,FALSE,"단축3";#N/A,#N/A,FALSE,"장축";#N/A,#N/A,FALSE,"4WD"}</definedName>
    <definedName name="_Lx1">#REF!</definedName>
    <definedName name="_Ly1">#REF!</definedName>
    <definedName name="_Lz1">#REF!</definedName>
    <definedName name="_Lz2">#REF!</definedName>
    <definedName name="_M01">#REF!</definedName>
    <definedName name="_M02">#REF!</definedName>
    <definedName name="_M03">#REF!</definedName>
    <definedName name="_M04">#REF!</definedName>
    <definedName name="_MatInverse_In" hidden="1">#REF!</definedName>
    <definedName name="_MatInverse_Out" hidden="1">#REF!</definedName>
    <definedName name="_MatMult_A" hidden="1">#REF!</definedName>
    <definedName name="_MatMult_AxB" hidden="1">#N/A</definedName>
    <definedName name="_MatMult_B" hidden="1">#REF!</definedName>
    <definedName name="_Mew1">#REF!</definedName>
    <definedName name="_Mey1">#REF!</definedName>
    <definedName name="_Mf1">#REF!</definedName>
    <definedName name="_Mf2">#REF!</definedName>
    <definedName name="_MIP10" hidden="1">{#N/A,#N/A,FALSE,"단축1";#N/A,#N/A,FALSE,"단축2";#N/A,#N/A,FALSE,"단축3";#N/A,#N/A,FALSE,"장축";#N/A,#N/A,FALSE,"4WD"}</definedName>
    <definedName name="_MIP2" hidden="1">{#N/A,#N/A,FALSE,"단축1";#N/A,#N/A,FALSE,"단축2";#N/A,#N/A,FALSE,"단축3";#N/A,#N/A,FALSE,"장축";#N/A,#N/A,FALSE,"4WD"}</definedName>
    <definedName name="_Mos1">#REF!</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NA11" hidden="1">{#N/A,#N/A,FALSE,"단축1";#N/A,#N/A,FALSE,"단축2";#N/A,#N/A,FALSE,"단축3";#N/A,#N/A,FALSE,"장축";#N/A,#N/A,FALSE,"4WD"}</definedName>
    <definedName name="_NMB96">#REF!</definedName>
    <definedName name="_O01">#REF!</definedName>
    <definedName name="_O02">#REF!</definedName>
    <definedName name="_O04">#REF!</definedName>
    <definedName name="_O05">#REF!</definedName>
    <definedName name="_O08">#REF!</definedName>
    <definedName name="_O09">#REF!</definedName>
    <definedName name="_O10">#REF!</definedName>
    <definedName name="_O11">#REF!</definedName>
    <definedName name="_O12">#REF!</definedName>
    <definedName name="_O13">#REF!</definedName>
    <definedName name="_O14">#REF!</definedName>
    <definedName name="_O15">#REF!</definedName>
    <definedName name="_o2" hidden="1">#REF!</definedName>
    <definedName name="_o3" hidden="1">#REF!</definedName>
    <definedName name="_oo" hidden="1">#REF!</definedName>
    <definedName name="_oo1" hidden="1">#REF!</definedName>
    <definedName name="_op" hidden="1">#REF!</definedName>
    <definedName name="_op1" hidden="1">#REF!</definedName>
    <definedName name="_Order1" hidden="1">255</definedName>
    <definedName name="_Order2" hidden="1">255</definedName>
    <definedName name="_ordr2">0</definedName>
    <definedName name="_ordwre2">0</definedName>
    <definedName name="_OUT13300">#N/A</definedName>
    <definedName name="_OUT13502">#N/A</definedName>
    <definedName name="_OUT41301">#N/A</definedName>
    <definedName name="_OUT85116">#N/A</definedName>
    <definedName name="_OUT85125">#N/A</definedName>
    <definedName name="_OUT86106">#N/A</definedName>
    <definedName name="_p" hidden="1">#REF!</definedName>
    <definedName name="_p01">#REF!</definedName>
    <definedName name="_P1" hidden="1">#REF!</definedName>
    <definedName name="_P10">#REF!</definedName>
    <definedName name="_P11">#REF!</definedName>
    <definedName name="_P12">#REF!</definedName>
    <definedName name="_P13">#REF!</definedName>
    <definedName name="_P14">#REF!</definedName>
    <definedName name="_P15">#REF!</definedName>
    <definedName name="_P16">#REF!</definedName>
    <definedName name="_P17">#REF!</definedName>
    <definedName name="_P2">#REF!</definedName>
    <definedName name="_P3">#REF!</definedName>
    <definedName name="_P4">#REF!</definedName>
    <definedName name="_P5">#REF!</definedName>
    <definedName name="_P6">#REF!</definedName>
    <definedName name="_P7">#REF!</definedName>
    <definedName name="_P8">#REF!</definedName>
    <definedName name="_P9">#REF!</definedName>
    <definedName name="_Parse_In" hidden="1">#REF!</definedName>
    <definedName name="_Parse_Out" hidden="1">#REF!</definedName>
    <definedName name="_pay1">#REF!</definedName>
    <definedName name="_pcd1">#REF!</definedName>
    <definedName name="_pcd2">#REF!</definedName>
    <definedName name="_ped1">#REF!</definedName>
    <definedName name="_ped2">#REF!</definedName>
    <definedName name="_ped3">#REF!</definedName>
    <definedName name="_ped4">#REF!</definedName>
    <definedName name="_ped6">#REF!</definedName>
    <definedName name="_ped7">#REF!</definedName>
    <definedName name="_PG1">#REF!</definedName>
    <definedName name="_PG10">#REF!</definedName>
    <definedName name="_PG11">#REF!</definedName>
    <definedName name="_PG13">#REF!</definedName>
    <definedName name="_PG17">#REF!</definedName>
    <definedName name="_PG2">#REF!</definedName>
    <definedName name="_PG21">#REF!</definedName>
    <definedName name="_PG23">#REF!</definedName>
    <definedName name="_PG24">#REF!</definedName>
    <definedName name="_PG25">#REF!</definedName>
    <definedName name="_PG26">#REF!</definedName>
    <definedName name="_PG27">#REF!</definedName>
    <definedName name="_PG28">#REF!</definedName>
    <definedName name="_PG29">#REF!</definedName>
    <definedName name="_PG3">#REF!</definedName>
    <definedName name="_PG30">#REF!</definedName>
    <definedName name="_PG4">#REF!</definedName>
    <definedName name="_PG5">#REF!</definedName>
    <definedName name="_PG6">#REF!</definedName>
    <definedName name="_PG7">#REF!</definedName>
    <definedName name="_PG9">#REF!</definedName>
    <definedName name="_PH1">#REF!</definedName>
    <definedName name="_PL1">#REF!</definedName>
    <definedName name="_PL102">#N/A</definedName>
    <definedName name="_Platform">#REF!</definedName>
    <definedName name="_PR1">#REF!,#REF!,#REF!,#REF!,#REF!,#REF!</definedName>
    <definedName name="_PRT1">#REF!</definedName>
    <definedName name="_PRT2">#REF!</definedName>
    <definedName name="_PRT3">#REF!</definedName>
    <definedName name="_PRT4">#REF!</definedName>
    <definedName name="_PRT5">#REF!</definedName>
    <definedName name="_PRT6">#REF!</definedName>
    <definedName name="_PRT7">#REF!</definedName>
    <definedName name="_PRT8">#REF!</definedName>
    <definedName name="_q" hidden="1">#REF!</definedName>
    <definedName name="_q01">#REF!</definedName>
    <definedName name="_qq" hidden="1">#REF!</definedName>
    <definedName name="_QRA86106">#N/A</definedName>
    <definedName name="_QZ2">#REF!</definedName>
    <definedName name="_r" hidden="1">#REF!</definedName>
    <definedName name="_Regression_Int" hidden="1">1</definedName>
    <definedName name="_Regression_Out" hidden="1">#REF!</definedName>
    <definedName name="_Regression_X" hidden="1">#REF!</definedName>
    <definedName name="_Regression_Y" hidden="1">#REF!</definedName>
    <definedName name="_REW1">#REF!</definedName>
    <definedName name="_REW2">#REF!</definedName>
    <definedName name="_ROS1">#REF!</definedName>
    <definedName name="_ROS2">#REF!</definedName>
    <definedName name="_ROW1">#REF!</definedName>
    <definedName name="_ROW2">#REF!</definedName>
    <definedName name="_RTW1">#REF!</definedName>
    <definedName name="_RTW2">#REF!</definedName>
    <definedName name="_rusos" hidden="1">#REF!</definedName>
    <definedName name="_rusps" hidden="1">#REF!</definedName>
    <definedName name="_ruwos" hidden="1">#REF!</definedName>
    <definedName name="_s" hidden="1">#REF!</definedName>
    <definedName name="_s1" hidden="1">#REF!</definedName>
    <definedName name="_s10" localSheetId="2" hidden="1">{#N/A,#N/A,FALSE,"UNIT";#N/A,#N/A,FALSE,"UNIT";#N/A,#N/A,FALSE,"계정"}</definedName>
    <definedName name="_s10" hidden="1">{#N/A,#N/A,FALSE,"UNIT";#N/A,#N/A,FALSE,"UNIT";#N/A,#N/A,FALSE,"계정"}</definedName>
    <definedName name="_s11" localSheetId="2" hidden="1">{#N/A,#N/A,FALSE,"UNIT";#N/A,#N/A,FALSE,"UNIT";#N/A,#N/A,FALSE,"계정"}</definedName>
    <definedName name="_s11" hidden="1">{#N/A,#N/A,FALSE,"UNIT";#N/A,#N/A,FALSE,"UNIT";#N/A,#N/A,FALSE,"계정"}</definedName>
    <definedName name="_s12" localSheetId="2" hidden="1">{#N/A,#N/A,FALSE,"UNIT";#N/A,#N/A,FALSE,"UNIT";#N/A,#N/A,FALSE,"계정"}</definedName>
    <definedName name="_s12" hidden="1">{#N/A,#N/A,FALSE,"UNIT";#N/A,#N/A,FALSE,"UNIT";#N/A,#N/A,FALSE,"계정"}</definedName>
    <definedName name="_s13" localSheetId="2" hidden="1">{#N/A,#N/A,FALSE,"UNIT";#N/A,#N/A,FALSE,"UNIT";#N/A,#N/A,FALSE,"계정"}</definedName>
    <definedName name="_s13" hidden="1">{#N/A,#N/A,FALSE,"UNIT";#N/A,#N/A,FALSE,"UNIT";#N/A,#N/A,FALSE,"계정"}</definedName>
    <definedName name="_s14" localSheetId="2" hidden="1">{#N/A,#N/A,FALSE,"UNIT";#N/A,#N/A,FALSE,"UNIT";#N/A,#N/A,FALSE,"계정"}</definedName>
    <definedName name="_s14" hidden="1">{#N/A,#N/A,FALSE,"UNIT";#N/A,#N/A,FALSE,"UNIT";#N/A,#N/A,FALSE,"계정"}</definedName>
    <definedName name="_s16" localSheetId="2" hidden="1">{#N/A,#N/A,FALSE,"UNIT";#N/A,#N/A,FALSE,"UNIT";#N/A,#N/A,FALSE,"계정"}</definedName>
    <definedName name="_s16" hidden="1">{#N/A,#N/A,FALSE,"UNIT";#N/A,#N/A,FALSE,"UNIT";#N/A,#N/A,FALSE,"계정"}</definedName>
    <definedName name="_s17" localSheetId="2" hidden="1">{#N/A,#N/A,FALSE,"UNIT";#N/A,#N/A,FALSE,"UNIT";#N/A,#N/A,FALSE,"계정"}</definedName>
    <definedName name="_s17" hidden="1">{#N/A,#N/A,FALSE,"UNIT";#N/A,#N/A,FALSE,"UNIT";#N/A,#N/A,FALSE,"계정"}</definedName>
    <definedName name="_s2" hidden="1">#REF!</definedName>
    <definedName name="_s3" localSheetId="2" hidden="1">{#N/A,#N/A,FALSE,"UNIT";#N/A,#N/A,FALSE,"UNIT";#N/A,#N/A,FALSE,"계정"}</definedName>
    <definedName name="_s3" hidden="1">{#N/A,#N/A,FALSE,"UNIT";#N/A,#N/A,FALSE,"UNIT";#N/A,#N/A,FALSE,"계정"}</definedName>
    <definedName name="_s4" localSheetId="2" hidden="1">{#N/A,#N/A,FALSE,"UNIT";#N/A,#N/A,FALSE,"UNIT";#N/A,#N/A,FALSE,"계정"}</definedName>
    <definedName name="_s4" hidden="1">{#N/A,#N/A,FALSE,"UNIT";#N/A,#N/A,FALSE,"UNIT";#N/A,#N/A,FALSE,"계정"}</definedName>
    <definedName name="_s5" localSheetId="2" hidden="1">{#N/A,#N/A,FALSE,"UNIT";#N/A,#N/A,FALSE,"UNIT";#N/A,#N/A,FALSE,"계정"}</definedName>
    <definedName name="_s5" hidden="1">{#N/A,#N/A,FALSE,"UNIT";#N/A,#N/A,FALSE,"UNIT";#N/A,#N/A,FALSE,"계정"}</definedName>
    <definedName name="_s6" localSheetId="2" hidden="1">{#N/A,#N/A,FALSE,"UNIT";#N/A,#N/A,FALSE,"UNIT";#N/A,#N/A,FALSE,"계정"}</definedName>
    <definedName name="_s6" hidden="1">{#N/A,#N/A,FALSE,"UNIT";#N/A,#N/A,FALSE,"UNIT";#N/A,#N/A,FALSE,"계정"}</definedName>
    <definedName name="_s9" localSheetId="2" hidden="1">{#N/A,#N/A,FALSE,"UNIT";#N/A,#N/A,FALSE,"UNIT";#N/A,#N/A,FALSE,"계정"}</definedName>
    <definedName name="_s9" hidden="1">{#N/A,#N/A,FALSE,"UNIT";#N/A,#N/A,FALSE,"UNIT";#N/A,#N/A,FALSE,"계정"}</definedName>
    <definedName name="_SAF2" localSheetId="2" hidden="1">{#N/A,#N/A,FALSE,"Aging Summary";#N/A,#N/A,FALSE,"Ratio Analysis";#N/A,#N/A,FALSE,"Test 120 Day Accts";#N/A,#N/A,FALSE,"Tickmarks"}</definedName>
    <definedName name="_SAF2" hidden="1">{#N/A,#N/A,FALSE,"Aging Summary";#N/A,#N/A,FALSE,"Ratio Analysis";#N/A,#N/A,FALSE,"Test 120 Day Accts";#N/A,#N/A,FALSE,"Tickmarks"}</definedName>
    <definedName name="_sd" hidden="1">#REF!</definedName>
    <definedName name="_SDA000004"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A00000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ips" hidden="1">#REF!</definedName>
    <definedName name="_sdisp" hidden="1">#REF!</definedName>
    <definedName name="_sdps" hidden="1">#REF!</definedName>
    <definedName name="_SF2004">#REF!</definedName>
    <definedName name="_SF2005">#REF!</definedName>
    <definedName name="_SHT1" hidden="1">{#N/A,#N/A,FALSE,"신규dep";#N/A,#N/A,FALSE,"신규dep-금형상각후";#N/A,#N/A,FALSE,"신규dep-연구비상각후";#N/A,#N/A,FALSE,"신규dep-기계,공구상각후"}</definedName>
    <definedName name="_sidps" hidden="1">#REF!</definedName>
    <definedName name="_sipdps" hidden="1">#REF!</definedName>
    <definedName name="_sisp" hidden="1">#REF!</definedName>
    <definedName name="_soc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rt" hidden="1">#REF!</definedName>
    <definedName name="_sort1" hidden="1">#REF!</definedName>
    <definedName name="_Sort2" hidden="1">#REF!</definedName>
    <definedName name="_sort333" hidden="1">#REF!</definedName>
    <definedName name="_sort5" hidden="1">#REF!</definedName>
    <definedName name="_Sortn" hidden="1">#REF!</definedName>
    <definedName name="_sps" hidden="1">#REF!</definedName>
    <definedName name="_SS" hidden="1">#REF!</definedName>
    <definedName name="_SSS" hidden="1">#REF!</definedName>
    <definedName name="_sss1">#REF!</definedName>
    <definedName name="_sss10">#REF!</definedName>
    <definedName name="_sss11">#REF!</definedName>
    <definedName name="_sss12">#REF!</definedName>
    <definedName name="_sss13">#REF!</definedName>
    <definedName name="_sss14">#REF!</definedName>
    <definedName name="_sss15">#REF!</definedName>
    <definedName name="_sss16">#REF!</definedName>
    <definedName name="_sss17">#REF!</definedName>
    <definedName name="_sss18">#REF!</definedName>
    <definedName name="_sss19">#REF!</definedName>
    <definedName name="_sss2">#REF!</definedName>
    <definedName name="_sss20">#REF!</definedName>
    <definedName name="_sss21">#REF!</definedName>
    <definedName name="_sss22">#REF!</definedName>
    <definedName name="_sss23">#REF!</definedName>
    <definedName name="_sss24">#REF!</definedName>
    <definedName name="_sss25">#REF!</definedName>
    <definedName name="_sss26">#REF!</definedName>
    <definedName name="_sss27">#REF!</definedName>
    <definedName name="_sss28">#REF!</definedName>
    <definedName name="_sss29">#REF!</definedName>
    <definedName name="_sss3">#REF!</definedName>
    <definedName name="_sss30">#REF!</definedName>
    <definedName name="_sss31">#REF!</definedName>
    <definedName name="_sss32">#REF!</definedName>
    <definedName name="_sss33">#REF!</definedName>
    <definedName name="_sss34">#REF!</definedName>
    <definedName name="_sss35">#REF!</definedName>
    <definedName name="_sss36">#REF!</definedName>
    <definedName name="_sss37">#REF!</definedName>
    <definedName name="_sss38">#REF!</definedName>
    <definedName name="_sss39">#REF!</definedName>
    <definedName name="_sss4">#REF!</definedName>
    <definedName name="_sss40">#REF!</definedName>
    <definedName name="_sss41">#REF!</definedName>
    <definedName name="_sss42">#REF!</definedName>
    <definedName name="_sss43">#REF!</definedName>
    <definedName name="_sss44">#REF!</definedName>
    <definedName name="_sss45">#REF!</definedName>
    <definedName name="_sss46">#REF!</definedName>
    <definedName name="_sss47">#REF!</definedName>
    <definedName name="_sss48">#REF!</definedName>
    <definedName name="_sss49">#REF!</definedName>
    <definedName name="_sss5">#REF!</definedName>
    <definedName name="_sss50">#REF!</definedName>
    <definedName name="_sss6">#REF!</definedName>
    <definedName name="_sss7">#REF!</definedName>
    <definedName name="_sss8">#REF!</definedName>
    <definedName name="_sss9">#REF!</definedName>
    <definedName name="_sssd" hidden="1">#REF!</definedName>
    <definedName name="_ST1">#N/A</definedName>
    <definedName name="_sudop" hidden="1">#REF!</definedName>
    <definedName name="_SUM1" localSheetId="2" hidden="1">{#N/A,#N/A,FALSE,"단축1";#N/A,#N/A,FALSE,"단축2";#N/A,#N/A,FALSE,"단축3";#N/A,#N/A,FALSE,"장축";#N/A,#N/A,FALSE,"4WD"}</definedName>
    <definedName name="_SUM1" hidden="1">{#N/A,#N/A,FALSE,"단축1";#N/A,#N/A,FALSE,"단축2";#N/A,#N/A,FALSE,"단축3";#N/A,#N/A,FALSE,"장축";#N/A,#N/A,FALSE,"4WD"}</definedName>
    <definedName name="_SUM10">#REF!</definedName>
    <definedName name="_SUM11">#REF!</definedName>
    <definedName name="_SUM12">#REF!</definedName>
    <definedName name="_SUM13">#REF!</definedName>
    <definedName name="_SUM14">#REF!</definedName>
    <definedName name="_SUM15">#REF!</definedName>
    <definedName name="_SUM16">#REF!</definedName>
    <definedName name="_SUM17">#REF!</definedName>
    <definedName name="_SUM18">#REF!</definedName>
    <definedName name="_SUM19">#REF!</definedName>
    <definedName name="_SUM2">#REF!</definedName>
    <definedName name="_SUM25">#REF!</definedName>
    <definedName name="_SUM251">#REF!</definedName>
    <definedName name="_SUM3">#REF!</definedName>
    <definedName name="_SUM4">#REF!</definedName>
    <definedName name="_SUM5">#REF!</definedName>
    <definedName name="_SUM6">#REF!</definedName>
    <definedName name="_SUM7">#REF!</definedName>
    <definedName name="_SUM8">#REF!</definedName>
    <definedName name="_SUM9">#REF!</definedName>
    <definedName name="_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2_Out_" hidden="1">#REF!</definedName>
    <definedName name="_TB1" hidden="1">#REF!</definedName>
    <definedName name="_TB111">#REF!</definedName>
    <definedName name="_TB112">#REF!</definedName>
    <definedName name="_TB113">#REF!</definedName>
    <definedName name="_TB114">#REF!</definedName>
    <definedName name="_TB115">#REF!</definedName>
    <definedName name="_TB116">#REF!</definedName>
    <definedName name="_TB117">#REF!</definedName>
    <definedName name="_TB121">#REF!</definedName>
    <definedName name="_TB122">#REF!</definedName>
    <definedName name="_TB123">#REF!</definedName>
    <definedName name="_TB124">#REF!</definedName>
    <definedName name="_TB125">#REF!</definedName>
    <definedName name="_TB126">#REF!</definedName>
    <definedName name="_TB131">#REF!</definedName>
    <definedName name="_TB132">#REF!</definedName>
    <definedName name="_tb2" hidden="1">{#N/A,#N/A,FALSE,"단축1";#N/A,#N/A,FALSE,"단축2";#N/A,#N/A,FALSE,"단축3";#N/A,#N/A,FALSE,"장축";#N/A,#N/A,FALSE,"4WD"}</definedName>
    <definedName name="_TB211">#REF!</definedName>
    <definedName name="_TB212">#REF!</definedName>
    <definedName name="_TB213">#REF!</definedName>
    <definedName name="_TB214">#REF!</definedName>
    <definedName name="_TB215">#REF!</definedName>
    <definedName name="_TB221">#REF!</definedName>
    <definedName name="_TB2210">#REF!</definedName>
    <definedName name="_TB222">#REF!</definedName>
    <definedName name="_TB223">#REF!</definedName>
    <definedName name="_TB224">#REF!</definedName>
    <definedName name="_TB225">#REF!</definedName>
    <definedName name="_TB226">#REF!</definedName>
    <definedName name="_TB227">#REF!</definedName>
    <definedName name="_TB228">#REF!</definedName>
    <definedName name="_TB229">#REF!</definedName>
    <definedName name="_TB3" hidden="1">#REF!</definedName>
    <definedName name="_TB311">#REF!</definedName>
    <definedName name="_TB312">#REF!</definedName>
    <definedName name="_TB313">#REF!</definedName>
    <definedName name="_TB314">#REF!</definedName>
    <definedName name="_TB315">#REF!</definedName>
    <definedName name="_TB316">#REF!</definedName>
    <definedName name="_TB317">#REF!</definedName>
    <definedName name="_TB318">#REF!</definedName>
    <definedName name="_TB319">#REF!</definedName>
    <definedName name="_TB321">#REF!</definedName>
    <definedName name="_TB322">#REF!</definedName>
    <definedName name="_TB323">#REF!</definedName>
    <definedName name="_TB324">#REF!</definedName>
    <definedName name="_TB325">#REF!</definedName>
    <definedName name="_TB401">#REF!</definedName>
    <definedName name="_TB402">#REF!</definedName>
    <definedName name="_TB403">#REF!</definedName>
    <definedName name="_TB404">#REF!</definedName>
    <definedName name="_TB405">#REF!</definedName>
    <definedName name="_TB501">#REF!</definedName>
    <definedName name="_TB502">#REF!</definedName>
    <definedName name="_TB503">#REF!</definedName>
    <definedName name="_TB504">#REF!</definedName>
    <definedName name="_TB505">#REF!</definedName>
    <definedName name="_TB506">#REF!</definedName>
    <definedName name="_TB507">#REF!</definedName>
    <definedName name="_TB508">#REF!</definedName>
    <definedName name="_TB509">#REF!</definedName>
    <definedName name="_TB510">#REF!</definedName>
    <definedName name="_TB511">#REF!</definedName>
    <definedName name="_TB512">#REF!</definedName>
    <definedName name="_TB513">#REF!</definedName>
    <definedName name="_TB601">#REF!</definedName>
    <definedName name="_TB602">#REF!</definedName>
    <definedName name="_TB603">#REF!</definedName>
    <definedName name="_TB604">#REF!</definedName>
    <definedName name="_TB605">#REF!</definedName>
    <definedName name="_TB701">#REF!</definedName>
    <definedName name="_TB811">#REF!</definedName>
    <definedName name="_TB812">#REF!</definedName>
    <definedName name="_TB813">#REF!</definedName>
    <definedName name="_TB814">#REF!</definedName>
    <definedName name="_TB820">#REF!</definedName>
    <definedName name="_TB901">#REF!</definedName>
    <definedName name="_TB902">#REF!</definedName>
    <definedName name="_TB903">#REF!</definedName>
    <definedName name="_TB904">#REF!</definedName>
    <definedName name="_TBI1001">#REF!</definedName>
    <definedName name="_TBI1002">#REF!</definedName>
    <definedName name="_TBI1003">#REF!</definedName>
    <definedName name="_TBI1004">#REF!</definedName>
    <definedName name="_TBI1005">#REF!</definedName>
    <definedName name="_TBI101">#REF!</definedName>
    <definedName name="_TBI102">#REF!</definedName>
    <definedName name="_TBI1100">#REF!</definedName>
    <definedName name="_TBI1200">#REF!</definedName>
    <definedName name="_TBI201">#REF!</definedName>
    <definedName name="_TBI202">#REF!</definedName>
    <definedName name="_TBI203">#REF!</definedName>
    <definedName name="_TBI401">#REF!</definedName>
    <definedName name="_TBI402">#REF!</definedName>
    <definedName name="_TBI403">#REF!</definedName>
    <definedName name="_TBI404">#REF!</definedName>
    <definedName name="_TBI405">#REF!</definedName>
    <definedName name="_TBI406">#REF!</definedName>
    <definedName name="_TBI407">#REF!</definedName>
    <definedName name="_TBI408">#REF!</definedName>
    <definedName name="_TBI409">#REF!</definedName>
    <definedName name="_TBI410">#REF!</definedName>
    <definedName name="_TBI411">#REF!</definedName>
    <definedName name="_TBI412">#REF!</definedName>
    <definedName name="_TBI413">#REF!</definedName>
    <definedName name="_TBI414">#REF!</definedName>
    <definedName name="_TBI415">#REF!</definedName>
    <definedName name="_TBI416">#REF!</definedName>
    <definedName name="_TBI417">#REF!</definedName>
    <definedName name="_TBI418">#REF!</definedName>
    <definedName name="_TBI419">#REF!</definedName>
    <definedName name="_TBI420">#REF!</definedName>
    <definedName name="_TBI421">#REF!</definedName>
    <definedName name="_TBI422">#REF!</definedName>
    <definedName name="_TBI423">#REF!</definedName>
    <definedName name="_TBI424">#REF!</definedName>
    <definedName name="_TBI425">#REF!</definedName>
    <definedName name="_TBI601">#REF!</definedName>
    <definedName name="_TBI602">#REF!</definedName>
    <definedName name="_TBI603">#REF!</definedName>
    <definedName name="_TBI604">#REF!</definedName>
    <definedName name="_TBI605">#REF!</definedName>
    <definedName name="_TBI606">#REF!</definedName>
    <definedName name="_TBI607">#REF!</definedName>
    <definedName name="_TBI608">#REF!</definedName>
    <definedName name="_TBI609">#REF!</definedName>
    <definedName name="_TBI610">#REF!</definedName>
    <definedName name="_TBI611">#REF!</definedName>
    <definedName name="_TBI612">#REF!</definedName>
    <definedName name="_TBI613">#REF!</definedName>
    <definedName name="_TBI614">#REF!</definedName>
    <definedName name="_TBI701">#REF!</definedName>
    <definedName name="_TBI702">#REF!</definedName>
    <definedName name="_TBI703">#REF!</definedName>
    <definedName name="_TBI704">#REF!</definedName>
    <definedName name="_TBI705">#REF!</definedName>
    <definedName name="_TBI706">#REF!</definedName>
    <definedName name="_TBI707">#REF!</definedName>
    <definedName name="_TBI708">#REF!</definedName>
    <definedName name="_TBI709">#REF!</definedName>
    <definedName name="_TBI710">#REF!</definedName>
    <definedName name="_TBI711">#REF!</definedName>
    <definedName name="_TBI712">#REF!</definedName>
    <definedName name="_TBI713">#REF!</definedName>
    <definedName name="_TBI714">#REF!</definedName>
    <definedName name="_TBI715">#REF!</definedName>
    <definedName name="_TBI716">#REF!</definedName>
    <definedName name="_TBI717">#REF!</definedName>
    <definedName name="_TBI718">#REF!</definedName>
    <definedName name="_TBI719">#REF!</definedName>
    <definedName name="_TBI901">#REF!</definedName>
    <definedName name="_TBI902">#REF!</definedName>
    <definedName name="_TBI903">#REF!</definedName>
    <definedName name="_TBI904">#REF!</definedName>
    <definedName name="_TBI905">#REF!</definedName>
    <definedName name="_TBI906">#REF!</definedName>
    <definedName name="_TBI907">#REF!</definedName>
    <definedName name="_tico" hidden="1">#REF!</definedName>
    <definedName name="_Tir1" localSheetId="2" hidden="1">{#N/A,#N/A,TRUE,"일정"}</definedName>
    <definedName name="_Tir1" hidden="1">{#N/A,#N/A,TRUE,"일정"}</definedName>
    <definedName name="_top100"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r23">#REF!</definedName>
    <definedName name="_TT1">#REF!</definedName>
    <definedName name="_TT2">#REF!</definedName>
    <definedName name="_TT3">#REF!</definedName>
    <definedName name="_U1">#REF!</definedName>
    <definedName name="_U10">#REF!</definedName>
    <definedName name="_u10080">#REF!</definedName>
    <definedName name="_u10081">#REF!</definedName>
    <definedName name="_u10090">#REF!</definedName>
    <definedName name="_u10100">#REF!</definedName>
    <definedName name="_u10101">#REF!</definedName>
    <definedName name="_u10110">#REF!</definedName>
    <definedName name="_u10120">#REF!</definedName>
    <definedName name="_u10130">#REF!</definedName>
    <definedName name="_U11">#REF!</definedName>
    <definedName name="_u110">#REF!</definedName>
    <definedName name="_U12">#REF!</definedName>
    <definedName name="_u120">#REF!</definedName>
    <definedName name="_u126">#REF!</definedName>
    <definedName name="_U13">#REF!</definedName>
    <definedName name="_U14">#REF!</definedName>
    <definedName name="_u140">#REF!</definedName>
    <definedName name="_U15">#REF!</definedName>
    <definedName name="_u150">#REF!</definedName>
    <definedName name="_u155">#REF!</definedName>
    <definedName name="_U16">#REF!</definedName>
    <definedName name="_u160">#REF!</definedName>
    <definedName name="_U17">#REF!</definedName>
    <definedName name="_U18">#REF!</definedName>
    <definedName name="_u180">#REF!</definedName>
    <definedName name="_U19">#REF!</definedName>
    <definedName name="_U2">#REF!</definedName>
    <definedName name="_U3">#REF!</definedName>
    <definedName name="_u310">#REF!</definedName>
    <definedName name="_u315">#REF!</definedName>
    <definedName name="_u320">#REF!</definedName>
    <definedName name="_u325">#REF!</definedName>
    <definedName name="_u330">#REF!</definedName>
    <definedName name="_U4">#REF!</definedName>
    <definedName name="_u410">#REF!</definedName>
    <definedName name="_U5">#REF!</definedName>
    <definedName name="_u510">#REF!</definedName>
    <definedName name="_u512">#REF!</definedName>
    <definedName name="_U6">#REF!</definedName>
    <definedName name="_U7">#REF!</definedName>
    <definedName name="_U8">#REF!</definedName>
    <definedName name="_U9">#REF!</definedName>
    <definedName name="_ucf1">#REF!</definedName>
    <definedName name="_uHKG">#REF!</definedName>
    <definedName name="_ui" hidden="1">#REF!</definedName>
    <definedName name="_ui1" hidden="1">#REF!</definedName>
    <definedName name="_USD04">#REF!</definedName>
    <definedName name="_USD1">#REF!</definedName>
    <definedName name="_USD2">#REF!</definedName>
    <definedName name="_USD3">#REF!</definedName>
    <definedName name="_USD4">#REF!</definedName>
    <definedName name="_uxo" hidden="1">#REF!</definedName>
    <definedName name="_v30" localSheetId="2" hidden="1">{#N/A,#N/A,FALSE,"BS";#N/A,#N/A,FALSE,"PL";#N/A,#N/A,FALSE,"처분";#N/A,#N/A,FALSE,"현금";#N/A,#N/A,FALSE,"매출";#N/A,#N/A,FALSE,"원가";#N/A,#N/A,FALSE,"경영"}</definedName>
    <definedName name="_v30" hidden="1">{#N/A,#N/A,FALSE,"BS";#N/A,#N/A,FALSE,"PL";#N/A,#N/A,FALSE,"처분";#N/A,#N/A,FALSE,"현금";#N/A,#N/A,FALSE,"매출";#N/A,#N/A,FALSE,"원가";#N/A,#N/A,FALSE,"경영"}</definedName>
    <definedName name="_VAR13300">#N/A</definedName>
    <definedName name="_VAR13502">#N/A</definedName>
    <definedName name="_Vew1">#REF!</definedName>
    <definedName name="_Vos1">#REF!</definedName>
    <definedName name="_w" hidden="1">#REF!</definedName>
    <definedName name="_we" hidden="1">#REF!</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er1">#REF!</definedName>
    <definedName name="_Wer2">#REF!</definedName>
    <definedName name="_Wer3">#REF!</definedName>
    <definedName name="_Wer4">#REF!</definedName>
    <definedName name="_Wf1">#REF!</definedName>
    <definedName name="_Wf2">#REF!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id" hidden="1">#REF!</definedName>
    <definedName name="_WIDK" hidden="1">#REF!</definedName>
    <definedName name="_widps" hidden="1">#REF!</definedName>
    <definedName name="_wipe" hidden="1">#REF!</definedName>
    <definedName name="_wo" hidden="1">#REF!</definedName>
    <definedName name="_WO3">#REF!</definedName>
    <definedName name="_Wo4">#REF!</definedName>
    <definedName name="_wo5">#REF!</definedName>
    <definedName name="_wo6">#REF!</definedName>
    <definedName name="_wo7">#REF!</definedName>
    <definedName name="_wo8">#REF!</definedName>
    <definedName name="_wocoso" hidden="1">#REF!</definedName>
    <definedName name="_wodoc" hidden="1">#REF!</definedName>
    <definedName name="_wpd" hidden="1">#REF!</definedName>
    <definedName name="_wpl2" localSheetId="2" hidden="1">{#N/A,#N/A,FALSE,"Aging Summary";#N/A,#N/A,FALSE,"Ratio Analysis";#N/A,#N/A,FALSE,"Test 120 Day Accts";#N/A,#N/A,FALSE,"Tickmarks"}</definedName>
    <definedName name="_wpl2" hidden="1">{#N/A,#N/A,FALSE,"Aging Summary";#N/A,#N/A,FALSE,"Ratio Analysis";#N/A,#N/A,FALSE,"Test 120 Day Accts";#N/A,#N/A,FALSE,"Tickmarks"}</definedName>
    <definedName name="_WRN2" hidden="1">{#N/A,#N/A,FALSE,"단축1";#N/A,#N/A,FALSE,"단축2";#N/A,#N/A,FALSE,"단축3";#N/A,#N/A,FALSE,"장축";#N/A,#N/A,FALSE,"4WD"}</definedName>
    <definedName name="_wsb5">#REF!</definedName>
    <definedName name="_wuie" hidden="1">#REF!</definedName>
    <definedName name="_X">#REF!</definedName>
    <definedName name="_XG2" hidden="1">{#N/A,#N/A,FALSE,"단축1";#N/A,#N/A,FALSE,"단축2";#N/A,#N/A,FALSE,"단축3";#N/A,#N/A,FALSE,"장축";#N/A,#N/A,FALSE,"4WD"}</definedName>
    <definedName name="_xkd" hidden="1">#REF!</definedName>
    <definedName name="_xlcn.WorksheetConnection_Table11" hidden="1">Country_Summary</definedName>
    <definedName name="_xodo" hidden="1">#REF!</definedName>
    <definedName name="_xoeo" hidden="1">#REF!</definedName>
    <definedName name="_xosod" hidden="1">#REF!</definedName>
    <definedName name="_xp" hidden="1">#REF!</definedName>
    <definedName name="_xpsp" hidden="1">#REF!</definedName>
    <definedName name="_y" hidden="1">#REF!</definedName>
    <definedName name="_Z">#REF!</definedName>
    <definedName name="_ZJSLD" hidden="1">#REF!</definedName>
    <definedName name="_zsidp" hidden="1">#REF!</definedName>
    <definedName name="_zz1">#REF!</definedName>
    <definedName name="_zz55">#REF!</definedName>
    <definedName name="_ㄴㄴ" hidden="1">#REF!</definedName>
    <definedName name="_닝" hidden="1">#REF!</definedName>
    <definedName name="_댖" hidden="1">#REF!</definedName>
    <definedName name="_딪" hidden="1">#REF!</definedName>
    <definedName name="_ㄹㄲ">{"'Sheet1'!$A$1:$H$36"}</definedName>
    <definedName name="_ㅁㅁ" hidden="1">#REF!</definedName>
    <definedName name="_배부">#REF!</definedName>
    <definedName name="_배부진">#REF!</definedName>
    <definedName name="_배부현황">#REF!</definedName>
    <definedName name="_상각액">#REF!</definedName>
    <definedName name="_상각액진">#REF!</definedName>
    <definedName name="_안" hidden="1">#REF!</definedName>
    <definedName name="_이린" hidden="1">#REF!</definedName>
    <definedName name="_재대" hidden="1">#REF!</definedName>
    <definedName name="_잰ㅀ" hidden="1">#REF!</definedName>
    <definedName name="_잳" hidden="1">#REF!</definedName>
    <definedName name="_전부">#REF!</definedName>
    <definedName name="_종합">#REF!</definedName>
    <definedName name="_태" hidden="1">#REF!</definedName>
    <definedName name="´cAE°eE¹" hidden="1">#REF!</definedName>
    <definedName name="￠￥cAE¡ÆeEⓒo" hidden="1">#REF!</definedName>
    <definedName name="\">#REF!</definedName>
    <definedName name="\\" hidden="1">{#N/A,#N/A,FALSE,"단축1";#N/A,#N/A,FALSE,"단축2";#N/A,#N/A,FALSE,"단축3";#N/A,#N/A,FALSE,"장축";#N/A,#N/A,FALSE,"4WD"}</definedName>
    <definedName name="\0">#REF!</definedName>
    <definedName name="\1">#REF!</definedName>
    <definedName name="\11">#REF!</definedName>
    <definedName name="\12">#N/A</definedName>
    <definedName name="\2">#REF!</definedName>
    <definedName name="\4">#N/A</definedName>
    <definedName name="\a">#N/A</definedName>
    <definedName name="\b">#N/A</definedName>
    <definedName name="\B1">#REF!</definedName>
    <definedName name="\B10">#REF!</definedName>
    <definedName name="\B11">#REF!</definedName>
    <definedName name="\B12">#REF!</definedName>
    <definedName name="\B2">#REF!</definedName>
    <definedName name="\B3">#REF!</definedName>
    <definedName name="\B4">#REF!</definedName>
    <definedName name="\B5">#REF!</definedName>
    <definedName name="\B6">#REF!</definedName>
    <definedName name="\B7">#REF!</definedName>
    <definedName name="\B8">#REF!</definedName>
    <definedName name="\B9">#REF!</definedName>
    <definedName name="\c">#N/A</definedName>
    <definedName name="\d">#N/A</definedName>
    <definedName name="\e">#N/A</definedName>
    <definedName name="\f">#N/A</definedName>
    <definedName name="\g">#N/A</definedName>
    <definedName name="\h">#N/A</definedName>
    <definedName name="\i">#N/A</definedName>
    <definedName name="\j">#N/A</definedName>
    <definedName name="\k">#REF!</definedName>
    <definedName name="\l">#REF!</definedName>
    <definedName name="\m">#N/A</definedName>
    <definedName name="\n">#REF!</definedName>
    <definedName name="\o">#REF!</definedName>
    <definedName name="\p">#N/A</definedName>
    <definedName name="\q">#N/A</definedName>
    <definedName name="\r">#N/A</definedName>
    <definedName name="\S">#REF!</definedName>
    <definedName name="\t">#REF!</definedName>
    <definedName name="\u">#N/A</definedName>
    <definedName name="\v">#N/A</definedName>
    <definedName name="\w">#REF!</definedName>
    <definedName name="\x">#N/A</definedName>
    <definedName name="\y">#N/A</definedName>
    <definedName name="\z">#N/A</definedName>
    <definedName name="\Z1">#REF!</definedName>
    <definedName name="\한" localSheetId="2" hidden="1">{#N/A,#N/A,FALSE,"BS";#N/A,#N/A,FALSE,"PL";#N/A,#N/A,FALSE,"처분";#N/A,#N/A,FALSE,"현금";#N/A,#N/A,FALSE,"매출";#N/A,#N/A,FALSE,"원가";#N/A,#N/A,FALSE,"경영"}</definedName>
    <definedName name="\한" hidden="1">{#N/A,#N/A,FALSE,"BS";#N/A,#N/A,FALSE,"PL";#N/A,#N/A,FALSE,"처분";#N/A,#N/A,FALSE,"현금";#N/A,#N/A,FALSE,"매출";#N/A,#N/A,FALSE,"원가";#N/A,#N/A,FALSE,"경영"}</definedName>
    <definedName name="☞">#N/A</definedName>
    <definedName name="Ⅱ" localSheetId="2" hidden="1">{#N/A,#N/A,FALSE,"정공"}</definedName>
    <definedName name="Ⅱ" hidden="1">{#N/A,#N/A,FALSE,"정공"}</definedName>
    <definedName name="A">#REF!</definedName>
    <definedName name="A___P">#REF!</definedName>
    <definedName name="a_3s_cu">#REF!</definedName>
    <definedName name="a_3s_Q1">#REF!</definedName>
    <definedName name="a_3s_Q2">#REF!</definedName>
    <definedName name="a_3s_Q3">#REF!</definedName>
    <definedName name="A_C">#REF!</definedName>
    <definedName name="a_cu_cu">#REF!</definedName>
    <definedName name="a_cu_Q1">#REF!</definedName>
    <definedName name="a_cu_Q2">#REF!</definedName>
    <definedName name="a_cu_Q3">#REF!</definedName>
    <definedName name="a_dash">#REF!</definedName>
    <definedName name="a_la_cu">#REF!</definedName>
    <definedName name="a_la_Q1">#REF!</definedName>
    <definedName name="a_la_Q2">#REF!</definedName>
    <definedName name="a_la_Q3">#REF!</definedName>
    <definedName name="A_P">#REF!</definedName>
    <definedName name="a_pl_cu">#REF!</definedName>
    <definedName name="a_pl_Q1">#REF!</definedName>
    <definedName name="a_pl_Q2">#REF!</definedName>
    <definedName name="a_pl_Q3">#REF!</definedName>
    <definedName name="a_pr_cu">#REF!</definedName>
    <definedName name="a_pr_Q1">#REF!</definedName>
    <definedName name="a_pr_Q2">#REF!</definedName>
    <definedName name="a_pr_Q3">#REF!</definedName>
    <definedName name="a_pu_cu">#REF!</definedName>
    <definedName name="a_pu_Q1">#REF!</definedName>
    <definedName name="a_pu_Q2">#REF!</definedName>
    <definedName name="a_pu_Q3">#REF!</definedName>
    <definedName name="a_st_cu">#REF!</definedName>
    <definedName name="a_st_Q1">#REF!</definedName>
    <definedName name="a_st_Q2">#REF!</definedName>
    <definedName name="a_st_Q3">#REF!</definedName>
    <definedName name="a_ta_cu">#REF!</definedName>
    <definedName name="a_ta_Q1">#REF!</definedName>
    <definedName name="a_ta_Q2">#REF!</definedName>
    <definedName name="a_ta_Q3">#REF!</definedName>
    <definedName name="a_te_cu">#REF!</definedName>
    <definedName name="a_te_Q1">#REF!</definedName>
    <definedName name="a_te_Q2">#REF!</definedName>
    <definedName name="a_te_Q3">#REF!</definedName>
    <definedName name="a_선행_cu">#REF!</definedName>
    <definedName name="a_선행_Q1">#REF!</definedName>
    <definedName name="a_선행_Q2">#REF!</definedName>
    <definedName name="a_선행_Q3">#REF!</definedName>
    <definedName name="a_외관_cu">#REF!</definedName>
    <definedName name="a_외관_Q1">#REF!</definedName>
    <definedName name="a_외관_Q2">#REF!</definedName>
    <definedName name="a_외관_Q3">#REF!</definedName>
    <definedName name="A¶E¸AOE­¸e">#REF!</definedName>
    <definedName name="A0">#REF!</definedName>
    <definedName name="a0000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0000">#REF!</definedName>
    <definedName name="A1A759">#REF!</definedName>
    <definedName name="aa" hidden="1">#REF!</definedName>
    <definedName name="aa_1">#REF!</definedName>
    <definedName name="aaa" localSheetId="2" hidden="1">{#N/A,#N/A,FALSE,"손익표지";#N/A,#N/A,FALSE,"손익계산";#N/A,#N/A,FALSE,"일반관리비";#N/A,#N/A,FALSE,"영업외수익";#N/A,#N/A,FALSE,"영업외비용";#N/A,#N/A,FALSE,"매출액";#N/A,#N/A,FALSE,"요약손익";#N/A,#N/A,FALSE,"요약대차";#N/A,#N/A,FALSE,"매출채권현황";#N/A,#N/A,FALSE,"매출채권명세"}</definedName>
    <definedName name="aaa" hidden="1">{#N/A,#N/A,FALSE,"손익표지";#N/A,#N/A,FALSE,"손익계산";#N/A,#N/A,FALSE,"일반관리비";#N/A,#N/A,FALSE,"영업외수익";#N/A,#N/A,FALSE,"영업외비용";#N/A,#N/A,FALSE,"매출액";#N/A,#N/A,FALSE,"요약손익";#N/A,#N/A,FALSE,"요약대차";#N/A,#N/A,FALSE,"매출채권현황";#N/A,#N/A,FALSE,"매출채권명세"}</definedName>
    <definedName name="AAA_DOCTOPS" hidden="1">"AAA_SET"</definedName>
    <definedName name="AAA_duser">"OFF"</definedName>
    <definedName name="aaaa" hidden="1">#REF!</definedName>
    <definedName name="aaaaa" hidden="1">#REF!</definedName>
    <definedName name="AAAAAA">#REF!</definedName>
    <definedName name="aaaaaaa" localSheetId="2" hidden="1">{#N/A,#N/A,FALSE,"type1";#N/A,#N/A,FALSE,"지지력";#N/A,#N/A,FALSE,"PILE계산";#N/A,#N/A,FALSE,"PILE ";#N/A,#N/A,FALSE,"철근량";#N/A,#N/A,FALSE,"균열검토";#N/A,#N/A,FALSE,"날개벽";#N/A,#N/A,FALSE,"주철근조립도";#N/A,#N/A,FALSE,"교좌"}</definedName>
    <definedName name="aaaaaaa" hidden="1">{#N/A,#N/A,FALSE,"type1";#N/A,#N/A,FALSE,"지지력";#N/A,#N/A,FALSE,"PILE계산";#N/A,#N/A,FALSE,"PILE ";#N/A,#N/A,FALSE,"철근량";#N/A,#N/A,FALSE,"균열검토";#N/A,#N/A,FALSE,"날개벽";#N/A,#N/A,FALSE,"주철근조립도";#N/A,#N/A,FALSE,"교좌"}</definedName>
    <definedName name="AAAAAAAAA"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 hidden="1">#REF!</definedName>
    <definedName name="AAAAS" localSheetId="2" hidden="1">{#N/A,#N/A,FALSE,"정공"}</definedName>
    <definedName name="AAAAS" hidden="1">{#N/A,#N/A,FALSE,"정공"}</definedName>
    <definedName name="aaab"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B_Addin5" hidden="1">"AAB_Description for addin 5,Description for addin 5,Description for addin 5,Description for addin 5,Description for addin 5,Description for addin 5"</definedName>
    <definedName name="AAB_GSPPG">"AAB_Goldman Sachs PPG Chart Utilities 1.0g"</definedName>
    <definedName name="aaif" hidden="1">{#N/A,#N/A,FALSE,"단축1";#N/A,#N/A,FALSE,"단축2";#N/A,#N/A,FALSE,"단축3";#N/A,#N/A,FALSE,"장축";#N/A,#N/A,FALSE,"4WD"}</definedName>
    <definedName name="Aas" localSheetId="2" hidden="1">{#N/A,#N/A,FALSE,"을지 (4)";#N/A,#N/A,FALSE,"을지 (5)";#N/A,#N/A,FALSE,"을지 (6)"}</definedName>
    <definedName name="Aas" hidden="1">{#N/A,#N/A,FALSE,"을지 (4)";#N/A,#N/A,FALSE,"을지 (5)";#N/A,#N/A,FALSE,"을지 (6)"}</definedName>
    <definedName name="aasdfa" hidden="1">{"rtn",#N/A,FALSE,"RTN";"tables",#N/A,FALSE,"RTN";"cf",#N/A,FALSE,"CF";"stats",#N/A,FALSE,"Stats";"prop",#N/A,FALSE,"Prop"}</definedName>
    <definedName name="AAZZ">#N/A</definedName>
    <definedName name="AB">#REF!</definedName>
    <definedName name="ABAP">#REF!</definedName>
    <definedName name="ABC" localSheetId="2" hidden="1">{#N/A,#N/A,FALSE,"초도품";#N/A,#N/A,FALSE,"초도품 (2)";#N/A,#N/A,FALSE,"초도품 (3)";#N/A,#N/A,FALSE,"초도품 (4)";#N/A,#N/A,FALSE,"초도품 (5)";#N/A,#N/A,FALSE,"초도품 (6)"}</definedName>
    <definedName name="ABC" hidden="1">{#N/A,#N/A,FALSE,"초도품";#N/A,#N/A,FALSE,"초도품 (2)";#N/A,#N/A,FALSE,"초도품 (3)";#N/A,#N/A,FALSE,"초도품 (4)";#N/A,#N/A,FALSE,"초도품 (5)";#N/A,#N/A,FALSE,"초도품 (6)"}</definedName>
    <definedName name="abcd">#N/A</definedName>
    <definedName name="abcde">#N/A</definedName>
    <definedName name="ABCDEF" localSheetId="2" hidden="1">{#N/A,#N/A,FALSE,"정공"}</definedName>
    <definedName name="ABCDEF" hidden="1">{#N/A,#N/A,FALSE,"정공"}</definedName>
    <definedName name="ABCD관리" localSheetId="2" hidden="1">{#N/A,#N/A,FALSE,"정공"}</definedName>
    <definedName name="ABCD관리" hidden="1">{#N/A,#N/A,FALSE,"정공"}</definedName>
    <definedName name="ABDD" hidden="1">{#N/A,#N/A,FALSE,"단축1";#N/A,#N/A,FALSE,"단축2";#N/A,#N/A,FALSE,"단축3";#N/A,#N/A,FALSE,"장축";#N/A,#N/A,FALSE,"4WD"}</definedName>
    <definedName name="ABS_원부_수납">#REF!</definedName>
    <definedName name="ABS_원부_약정">#REF!</definedName>
    <definedName name="abx" hidden="1">{"FTEAOB 91",#N/A,FALSE,"FTEAOB - 5.0 Format - Input"}</definedName>
    <definedName name="AC">#REF!</definedName>
    <definedName name="ACA">#N/A</definedName>
    <definedName name="ACAR">#REF!</definedName>
    <definedName name="ACARp">#REF!</definedName>
    <definedName name="acarprc">#REF!</definedName>
    <definedName name="ACB" localSheetId="2" hidden="1">{#N/A,#N/A,FALSE,"단축1";#N/A,#N/A,FALSE,"단축2";#N/A,#N/A,FALSE,"단축3";#N/A,#N/A,FALSE,"장축";#N/A,#N/A,FALSE,"4WD"}</definedName>
    <definedName name="ACB" hidden="1">{#N/A,#N/A,FALSE,"단축1";#N/A,#N/A,FALSE,"단축2";#N/A,#N/A,FALSE,"단축3";#N/A,#N/A,FALSE,"장축";#N/A,#N/A,FALSE,"4WD"}</definedName>
    <definedName name="ACC">#N/A</definedName>
    <definedName name="Access_Button" hidden="1">"기금운용_이자내역_List"</definedName>
    <definedName name="Access_Button1" hidden="1">"기금운용_이자내역_List1"</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"C:\MSOFFICE\EXCEL\기금운용.mdb"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unting">#REF!</definedName>
    <definedName name="ACCT_CODE">#N/A</definedName>
    <definedName name="ACD">#N/A</definedName>
    <definedName name="ACE">#N/A</definedName>
    <definedName name="aceprvd">#REF!</definedName>
    <definedName name="ACF">#N/A</definedName>
    <definedName name="ACG">#N/A</definedName>
    <definedName name="ACH">#N/A</definedName>
    <definedName name="ACI">#N/A</definedName>
    <definedName name="ACJ">#N/A</definedName>
    <definedName name="ACK">#N/A</definedName>
    <definedName name="Acq">#REF!</definedName>
    <definedName name="AcqCommitFee">#REF!</definedName>
    <definedName name="AcqDebtCapacity">#REF!</definedName>
    <definedName name="AcqExistDepYrs">#REF!</definedName>
    <definedName name="AcqGwlAmrtYrs">#REF!</definedName>
    <definedName name="AcqHistYear">#REF!</definedName>
    <definedName name="AcqIntgAmrtYrs">#REF!</definedName>
    <definedName name="acqname" hidden="1">#REF!</definedName>
    <definedName name="AcqNewDepYrs">#REF!</definedName>
    <definedName name="AcqStubQtr">#REF!</definedName>
    <definedName name="AcqTaxRate">#REF!</definedName>
    <definedName name="AcqYearEnd">#REF!</definedName>
    <definedName name="ACT">#REF!</definedName>
    <definedName name="ACTEOH">#N/A</definedName>
    <definedName name="ACwvu.Hist." hidden="1">#REF!</definedName>
    <definedName name="ACwvu.inputs._.raw._.data." hidden="1">#REF!</definedName>
    <definedName name="ACwvu.OthrCalQtr_AnlChg." hidden="1">#REF!</definedName>
    <definedName name="ACwvu.PerIncQtr_AnlChg." hidden="1">#REF!</definedName>
    <definedName name="ACwvu.Qrtrly." hidden="1">#REF!</definedName>
    <definedName name="ACwvu.SelCalQtr_AnlChg." hidden="1">#REF!</definedName>
    <definedName name="ACwvu.SelectUSQtr_AnnlChg." hidden="1">#REF!</definedName>
    <definedName name="ACwvu.summary1." hidden="1">#REF!</definedName>
    <definedName name="ACwvu.summary2." hidden="1">#REF!</definedName>
    <definedName name="ACwvu.summary3." hidden="1">#REF!</definedName>
    <definedName name="AD" hidden="1">{#N/A,#N/A,FALSE,"을지 (4)";#N/A,#N/A,FALSE,"을지 (5)";#N/A,#N/A,FALSE,"을지 (6)"}</definedName>
    <definedName name="ADA">#REF!</definedName>
    <definedName name="ADC" hidden="1">#REF!</definedName>
    <definedName name="Adcetris">#REF!</definedName>
    <definedName name="add" localSheetId="2" hidden="1">{#N/A,#N/A,FALSE,"Aging Summary";#N/A,#N/A,FALSE,"Ratio Analysis";#N/A,#N/A,FALSE,"Test 120 Day Accts";#N/A,#N/A,FALSE,"Tickmarks"}</definedName>
    <definedName name="add" hidden="1">{#N/A,#N/A,FALSE,"Aging Summary";#N/A,#N/A,FALSE,"Ratio Analysis";#N/A,#N/A,FALSE,"Test 120 Day Accts";#N/A,#N/A,FALSE,"Tickmarks"}</definedName>
    <definedName name="adf" hidden="1">#REF!</definedName>
    <definedName name="adfasdfdafadf">BlankMacro1</definedName>
    <definedName name="adfds" hidden="1">{#N/A,#N/A,FALSE,"단축1";#N/A,#N/A,FALSE,"단축2";#N/A,#N/A,FALSE,"단축3";#N/A,#N/A,FALSE,"장축";#N/A,#N/A,FALSE,"4WD"}</definedName>
    <definedName name="adfsadgsd">#N/A</definedName>
    <definedName name="adfss" hidden="1">#REF!</definedName>
    <definedName name="ADJ_ACHARITY">#REF!</definedName>
    <definedName name="ADJ_ACHARITY20080702">#REF!</definedName>
    <definedName name="adjustment">#REF!</definedName>
    <definedName name="ADM">{"'Sheet1'!$A$1:$C$75"}</definedName>
    <definedName name="ads" hidden="1">{#N/A,#N/A,FALSE,"표지";#N/A,#N/A,FALSE,"전제";#N/A,#N/A,FALSE,"손익-자 (2)";#N/A,#N/A,FALSE,"손익-자";#N/A,#N/A,FALSE,"손익-마 (2)";#N/A,#N/A,FALSE,"손익-마";#N/A,#N/A,FALSE,"총손최종"}</definedName>
    <definedName name="ADSDF" localSheetId="2" hidden="1">{#N/A,#N/A,TRUE,"Y생산";#N/A,#N/A,TRUE,"Y판매";#N/A,#N/A,TRUE,"Y총물량";#N/A,#N/A,TRUE,"Y능력";#N/A,#N/A,TRUE,"YKD"}</definedName>
    <definedName name="ADSDF" hidden="1">{#N/A,#N/A,TRUE,"Y생산";#N/A,#N/A,TRUE,"Y판매";#N/A,#N/A,TRUE,"Y총물량";#N/A,#N/A,TRUE,"Y능력";#N/A,#N/A,TRUE,"YKD"}</definedName>
    <definedName name="ADSF" localSheetId="2" hidden="1">{#N/A,#N/A,TRUE,"매출진척-1";#N/A,#N/A,TRUE,"매출진척-2";#N/A,#N/A,TRUE,"제품실적";#N/A,#N/A,TRUE,"RAC";#N/A,#N/A,TRUE,"PAC ";#N/A,#N/A,TRUE,"재고현황";#N/A,#N/A,TRUE,"공지사항"}</definedName>
    <definedName name="ADSF" hidden="1">{#N/A,#N/A,TRUE,"매출진척-1";#N/A,#N/A,TRUE,"매출진척-2";#N/A,#N/A,TRUE,"제품실적";#N/A,#N/A,TRUE,"RAC";#N/A,#N/A,TRUE,"PAC ";#N/A,#N/A,TRUE,"재고현황";#N/A,#N/A,TRUE,"공지사항"}</definedName>
    <definedName name="ADSF_1" localSheetId="2" hidden="1">{#N/A,#N/A,TRUE,"매출진척-1";#N/A,#N/A,TRUE,"매출진척-2";#N/A,#N/A,TRUE,"제품실적";#N/A,#N/A,TRUE,"RAC";#N/A,#N/A,TRUE,"PAC ";#N/A,#N/A,TRUE,"재고현황";#N/A,#N/A,TRUE,"공지사항"}</definedName>
    <definedName name="ADSF_1" hidden="1">{#N/A,#N/A,TRUE,"매출진척-1";#N/A,#N/A,TRUE,"매출진척-2";#N/A,#N/A,TRUE,"제품실적";#N/A,#N/A,TRUE,"RAC";#N/A,#N/A,TRUE,"PAC ";#N/A,#N/A,TRUE,"재고현황";#N/A,#N/A,TRUE,"공지사항"}</definedName>
    <definedName name="adsfa" hidden="1">{#N/A,#N/A,FALSE,"Sheet1"}</definedName>
    <definedName name="ADSFAEG">#N/A</definedName>
    <definedName name="ADSGHJHGJ" hidden="1">{#N/A,#N/A,FALSE,"단축1";#N/A,#N/A,FALSE,"단축2";#N/A,#N/A,FALSE,"단축3";#N/A,#N/A,FALSE,"장축";#N/A,#N/A,FALSE,"4WD"}</definedName>
    <definedName name="ae"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edm" hidden="1">#REF!</definedName>
    <definedName name="Æo°¡Au">#REF!</definedName>
    <definedName name="Æo°¡Au2">#REF!</definedName>
    <definedName name="Æo°¡EA">#REF!</definedName>
    <definedName name="Æo°¡EA2">#REF!</definedName>
    <definedName name="aewae">#REF!</definedName>
    <definedName name="AF">#N/A</definedName>
    <definedName name="afaf" hidden="1">#REF!</definedName>
    <definedName name="afafa" hidden="1">#REF!</definedName>
    <definedName name="afafafag" hidden="1">#REF!</definedName>
    <definedName name="afagag" hidden="1">#REF!</definedName>
    <definedName name="afd">BlankMacro1</definedName>
    <definedName name="afdasgh" localSheetId="2" hidden="1">{#N/A,#N/A,FALSE,"CCTV"}</definedName>
    <definedName name="afdasgh" hidden="1">{#N/A,#N/A,FALSE,"CCTV"}</definedName>
    <definedName name="afdd" hidden="1">#REF!</definedName>
    <definedName name="afds">#REF!</definedName>
    <definedName name="afdsfdg" localSheetId="2" hidden="1">{#N/A,#N/A,FALSE,"CCTV"}</definedName>
    <definedName name="afdsfdg" hidden="1">{#N/A,#N/A,FALSE,"CCTV"}</definedName>
    <definedName name="aff" hidden="1">{#N/A,#N/A,FALSE,"단축1";#N/A,#N/A,FALSE,"단축2";#N/A,#N/A,FALSE,"단축3";#N/A,#N/A,FALSE,"장축";#N/A,#N/A,FALSE,"4WD"}</definedName>
    <definedName name="afffgff" localSheetId="2" hidden="1">{#N/A,#N/A,FALSE,"CCTV"}</definedName>
    <definedName name="afffgff" hidden="1">{#N/A,#N/A,FALSE,"CCTV"}</definedName>
    <definedName name="ag" hidden="1">#REF!</definedName>
    <definedName name="agafa" hidden="1">#REF!</definedName>
    <definedName name="agag" hidden="1">#REF!</definedName>
    <definedName name="agagagaffa" hidden="1">#REF!</definedName>
    <definedName name="again">#REF!</definedName>
    <definedName name="agdsaf" localSheetId="2" hidden="1">{#N/A,#N/A,FALSE,"BS";#N/A,#N/A,FALSE,"PL";#N/A,#N/A,FALSE,"A";#N/A,#N/A,FALSE,"B";#N/A,#N/A,FALSE,"B1";#N/A,#N/A,FALSE,"C";#N/A,#N/A,FALSE,"C1";#N/A,#N/A,FALSE,"C2";#N/A,#N/A,FALSE,"D";#N/A,#N/A,FALSE,"E";#N/A,#N/A,FALSE,"F";#N/A,#N/A,FALSE,"AA";#N/A,#N/A,FALSE,"BB";#N/A,#N/A,FALSE,"CC";#N/A,#N/A,FALSE,"DD";#N/A,#N/A,FALSE,"EE";#N/A,#N/A,FALSE,"FF";#N/A,#N/A,FALSE,"PL10";#N/A,#N/A,FALSE,"PL20";#N/A,#N/A,FALSE,"PL30"}</definedName>
    <definedName name="agdsaf" hidden="1">{#N/A,#N/A,FALSE,"BS";#N/A,#N/A,FALSE,"PL";#N/A,#N/A,FALSE,"A";#N/A,#N/A,FALSE,"B";#N/A,#N/A,FALSE,"B1";#N/A,#N/A,FALSE,"C";#N/A,#N/A,FALSE,"C1";#N/A,#N/A,FALSE,"C2";#N/A,#N/A,FALSE,"D";#N/A,#N/A,FALSE,"E";#N/A,#N/A,FALSE,"F";#N/A,#N/A,FALSE,"AA";#N/A,#N/A,FALSE,"BB";#N/A,#N/A,FALSE,"CC";#N/A,#N/A,FALSE,"DD";#N/A,#N/A,FALSE,"EE";#N/A,#N/A,FALSE,"FF";#N/A,#N/A,FALSE,"PL10";#N/A,#N/A,FALSE,"PL20";#N/A,#N/A,FALSE,"PL30"}</definedName>
    <definedName name="agdsaf_1" localSheetId="2" hidden="1">{#N/A,#N/A,FALSE,"BS";#N/A,#N/A,FALSE,"PL";#N/A,#N/A,FALSE,"A";#N/A,#N/A,FALSE,"B";#N/A,#N/A,FALSE,"B1";#N/A,#N/A,FALSE,"C";#N/A,#N/A,FALSE,"C1";#N/A,#N/A,FALSE,"C2";#N/A,#N/A,FALSE,"D";#N/A,#N/A,FALSE,"E";#N/A,#N/A,FALSE,"F";#N/A,#N/A,FALSE,"AA";#N/A,#N/A,FALSE,"BB";#N/A,#N/A,FALSE,"CC";#N/A,#N/A,FALSE,"DD";#N/A,#N/A,FALSE,"EE";#N/A,#N/A,FALSE,"FF";#N/A,#N/A,FALSE,"PL10";#N/A,#N/A,FALSE,"PL20";#N/A,#N/A,FALSE,"PL30"}</definedName>
    <definedName name="agdsaf_1" hidden="1">{#N/A,#N/A,FALSE,"BS";#N/A,#N/A,FALSE,"PL";#N/A,#N/A,FALSE,"A";#N/A,#N/A,FALSE,"B";#N/A,#N/A,FALSE,"B1";#N/A,#N/A,FALSE,"C";#N/A,#N/A,FALSE,"C1";#N/A,#N/A,FALSE,"C2";#N/A,#N/A,FALSE,"D";#N/A,#N/A,FALSE,"E";#N/A,#N/A,FALSE,"F";#N/A,#N/A,FALSE,"AA";#N/A,#N/A,FALSE,"BB";#N/A,#N/A,FALSE,"CC";#N/A,#N/A,FALSE,"DD";#N/A,#N/A,FALSE,"EE";#N/A,#N/A,FALSE,"FF";#N/A,#N/A,FALSE,"PL10";#N/A,#N/A,FALSE,"PL20";#N/A,#N/A,FALSE,"PL30"}</definedName>
    <definedName name="AH">#N/A</definedName>
    <definedName name="AHF" hidden="1">#REF!</definedName>
    <definedName name="ahs">BLCH</definedName>
    <definedName name="AIRCON" hidden="1">{#N/A,#N/A,FALSE,"단축1";#N/A,#N/A,FALSE,"단축2";#N/A,#N/A,FALSE,"단축3";#N/A,#N/A,FALSE,"장축";#N/A,#N/A,FALSE,"4WD"}</definedName>
    <definedName name="AI상">#REF!</definedName>
    <definedName name="AKS" localSheetId="2" hidden="1">{#N/A,#N/A,FALSE,"BS";#N/A,#N/A,FALSE,"PL";#N/A,#N/A,FALSE,"처분";#N/A,#N/A,FALSE,"현금";#N/A,#N/A,FALSE,"매출";#N/A,#N/A,FALSE,"원가";#N/A,#N/A,FALSE,"경영"}</definedName>
    <definedName name="AKS" hidden="1">{#N/A,#N/A,FALSE,"BS";#N/A,#N/A,FALSE,"PL";#N/A,#N/A,FALSE,"처분";#N/A,#N/A,FALSE,"현금";#N/A,#N/A,FALSE,"매출";#N/A,#N/A,FALSE,"원가";#N/A,#N/A,FALSE,"경영"}</definedName>
    <definedName name="AL">#REF!</definedName>
    <definedName name="AL_ANODE">#N/A</definedName>
    <definedName name="alf" hidden="1">{#N/A,#N/A,TRUE,"경전'96(1)";#N/A,#N/A,TRUE,"경전'96 (2)"}</definedName>
    <definedName name="Align">#REF!</definedName>
    <definedName name="alk" hidden="1">#REF!</definedName>
    <definedName name="All"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_Item">#REF!</definedName>
    <definedName name="allegra">#REF!</definedName>
    <definedName name="ALPIN">#N/A</definedName>
    <definedName name="ALPJYOU">#N/A</definedName>
    <definedName name="ALPTOI">#N/A</definedName>
    <definedName name="ALㅓ머" localSheetId="2" hidden="1">{#N/A,#N/A,FALSE,"UNIT";#N/A,#N/A,FALSE,"UNIT";#N/A,#N/A,FALSE,"계정"}</definedName>
    <definedName name="ALㅓ머" hidden="1">{#N/A,#N/A,FALSE,"UNIT";#N/A,#N/A,FALSE,"UNIT";#N/A,#N/A,FALSE,"계정"}</definedName>
    <definedName name="amaryl">#REF!</definedName>
    <definedName name="AMECH" hidden="1">{#N/A,#N/A,FALSE,"단축1";#N/A,#N/A,FALSE,"단축2";#N/A,#N/A,FALSE,"단축3";#N/A,#N/A,FALSE,"장축";#N/A,#N/A,FALSE,"4WD"}</definedName>
    <definedName name="Amount">#REF!</definedName>
    <definedName name="AN_ANODE">#N/A</definedName>
    <definedName name="anchor">#REF!</definedName>
    <definedName name="AnneeN">#REF!</definedName>
    <definedName name="AnneeN_1">#REF!</definedName>
    <definedName name="ANODE재">#N/A</definedName>
    <definedName name="anscount" hidden="1">1</definedName>
    <definedName name="AO">#N/A</definedName>
    <definedName name="aocnf" localSheetId="2" hidden="1">{#N/A,#N/A,FALSE,"채권채무";#N/A,#N/A,FALSE,"control sheet"}</definedName>
    <definedName name="aocnf" hidden="1">{#N/A,#N/A,FALSE,"채권채무";#N/A,#N/A,FALSE,"control sheet"}</definedName>
    <definedName name="AOCNFTHSDLR" hidden="1">{#N/A,#N/A,FALSE,"정공"}</definedName>
    <definedName name="aolin1" hidden="1">{#N/A,"Base Case",FALSE,"Revenue";#N/A,"£6.25 Fee",FALSE,"Revenue"}</definedName>
    <definedName name="aolinc" hidden="1">{#N/A,"Base Case",FALSE,"Revenue";#N/A,"£6.25 Fee",FALSE,"Revenue"}</definedName>
    <definedName name="AOOO">#N/A</definedName>
    <definedName name="AO상">#REF!</definedName>
    <definedName name="AP">#REF!</definedName>
    <definedName name="APACBrands">#REF!</definedName>
    <definedName name="APP">#REF!</definedName>
    <definedName name="Applicable_no">#REF!</definedName>
    <definedName name="Application">#REF!</definedName>
    <definedName name="ApprovalDate_Plan_DataPage">#REF!</definedName>
    <definedName name="APrice">#REF!</definedName>
    <definedName name="April">#REF!</definedName>
    <definedName name="April.DM">#REF!</definedName>
    <definedName name="aq">#REF!</definedName>
    <definedName name="aqr" hidden="1">#REF!</definedName>
    <definedName name="aQuery1">#REF!</definedName>
    <definedName name="aqw" hidden="1">#REF!</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#REF!</definedName>
    <definedName name="ARA_Threshold">#REF!</definedName>
    <definedName name="arava">#REF!</definedName>
    <definedName name="AREA">#REF!</definedName>
    <definedName name="Area_stampa_MI">#REF!</definedName>
    <definedName name="argsag" hidden="1">{#N/A,#N/A,TRUE,"Cover His PWC";#N/A,#N/A,TRUE,"P&amp;L";#N/A,#N/A,TRUE,"BS";#N/A,#N/A,TRUE,"Depreciation";#N/A,#N/A,TRUE,"GRAPHS";#N/A,#N/A,TRUE,"DCF EBITDA Multiple";#N/A,#N/A,TRUE,"DCF Perpetual Growth"}</definedName>
    <definedName name="ARP_Threshold">#REF!</definedName>
    <definedName name="array">#REF!</definedName>
    <definedName name="AS" hidden="1">#REF!</definedName>
    <definedName name="AS12.5">#REF!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d">#REF!</definedName>
    <definedName name="ASADS" hidden="1">{#N/A,#N/A,FALSE,"단축1";#N/A,#N/A,FALSE,"단축2";#N/A,#N/A,FALSE,"단축3";#N/A,#N/A,FALSE,"장축";#N/A,#N/A,FALSE,"4WD"}</definedName>
    <definedName name="ASAMT">#N/A</definedName>
    <definedName name="asas" localSheetId="2" hidden="1">{#N/A,#N/A,TRUE,"변동비고정비분류(5단계)";#N/A,#N/A,TRUE,"변동비고정비분류(5단계)"}</definedName>
    <definedName name="asas" hidden="1">{#N/A,#N/A,TRUE,"변동비고정비분류(5단계)";#N/A,#N/A,TRUE,"변동비고정비분류(5단계)"}</definedName>
    <definedName name="asasas" localSheetId="2" hidden="1">{#N/A,#N/A,FALSE,"Aging Summary";#N/A,#N/A,FALSE,"Ratio Analysis";#N/A,#N/A,FALSE,"Test 120 Day Accts";#N/A,#N/A,FALSE,"Tickmarks"}</definedName>
    <definedName name="asasas" hidden="1">{#N/A,#N/A,FALSE,"Aging Summary";#N/A,#N/A,FALSE,"Ratio Analysis";#N/A,#N/A,FALSE,"Test 120 Day Accts";#N/A,#N/A,FALSE,"Tickmarks"}</definedName>
    <definedName name="asasasws" hidden="1">{#N/A,#N/A,FALSE,"단축1";#N/A,#N/A,FALSE,"단축2";#N/A,#N/A,FALSE,"단축3";#N/A,#N/A,FALSE,"장축";#N/A,#N/A,FALSE,"4WD"}</definedName>
    <definedName name="asd">#REF!</definedName>
    <definedName name="asdas" localSheetId="2" hidden="1">{#N/A,#N/A,FALSE,"Performance Flash Report"}</definedName>
    <definedName name="asdas" hidden="1">{#N/A,#N/A,FALSE,"Performance Flash Report"}</definedName>
    <definedName name="asdas_1" localSheetId="2" hidden="1">{#N/A,#N/A,FALSE,"Performance Flash Report"}</definedName>
    <definedName name="asdas_1" hidden="1">{#N/A,#N/A,FALSE,"Performance Flash Report"}</definedName>
    <definedName name="asdas_1_1" localSheetId="2" hidden="1">{#N/A,#N/A,FALSE,"Performance Flash Report"}</definedName>
    <definedName name="asdas_1_1" hidden="1">{#N/A,#N/A,FALSE,"Performance Flash Report"}</definedName>
    <definedName name="asdas_1_2" localSheetId="2" hidden="1">{#N/A,#N/A,FALSE,"Performance Flash Report"}</definedName>
    <definedName name="asdas_1_2" hidden="1">{#N/A,#N/A,FALSE,"Performance Flash Report"}</definedName>
    <definedName name="asdas_1_3" localSheetId="2" hidden="1">{#N/A,#N/A,FALSE,"Performance Flash Report"}</definedName>
    <definedName name="asdas_1_3" hidden="1">{#N/A,#N/A,FALSE,"Performance Flash Report"}</definedName>
    <definedName name="asdas_1_4" localSheetId="2" hidden="1">{#N/A,#N/A,FALSE,"Performance Flash Report"}</definedName>
    <definedName name="asdas_1_4" hidden="1">{#N/A,#N/A,FALSE,"Performance Flash Report"}</definedName>
    <definedName name="asdas_2" localSheetId="2" hidden="1">{#N/A,#N/A,FALSE,"Performance Flash Report"}</definedName>
    <definedName name="asdas_2" hidden="1">{#N/A,#N/A,FALSE,"Performance Flash Report"}</definedName>
    <definedName name="asdas_2_1" localSheetId="2" hidden="1">{#N/A,#N/A,FALSE,"Performance Flash Report"}</definedName>
    <definedName name="asdas_2_1" hidden="1">{#N/A,#N/A,FALSE,"Performance Flash Report"}</definedName>
    <definedName name="asdas_2_2" localSheetId="2" hidden="1">{#N/A,#N/A,FALSE,"Performance Flash Report"}</definedName>
    <definedName name="asdas_2_2" hidden="1">{#N/A,#N/A,FALSE,"Performance Flash Report"}</definedName>
    <definedName name="asdas_2_3" localSheetId="2" hidden="1">{#N/A,#N/A,FALSE,"Performance Flash Report"}</definedName>
    <definedName name="asdas_2_3" hidden="1">{#N/A,#N/A,FALSE,"Performance Flash Report"}</definedName>
    <definedName name="asdas_2_4" localSheetId="2" hidden="1">{#N/A,#N/A,FALSE,"Performance Flash Report"}</definedName>
    <definedName name="asdas_2_4" hidden="1">{#N/A,#N/A,FALSE,"Performance Flash Report"}</definedName>
    <definedName name="asdas_3" localSheetId="2" hidden="1">{#N/A,#N/A,FALSE,"Performance Flash Report"}</definedName>
    <definedName name="asdas_3" hidden="1">{#N/A,#N/A,FALSE,"Performance Flash Report"}</definedName>
    <definedName name="asdas_3_1" localSheetId="2" hidden="1">{#N/A,#N/A,FALSE,"Performance Flash Report"}</definedName>
    <definedName name="asdas_3_1" hidden="1">{#N/A,#N/A,FALSE,"Performance Flash Report"}</definedName>
    <definedName name="asdas_3_2" localSheetId="2" hidden="1">{#N/A,#N/A,FALSE,"Performance Flash Report"}</definedName>
    <definedName name="asdas_3_2" hidden="1">{#N/A,#N/A,FALSE,"Performance Flash Report"}</definedName>
    <definedName name="asdas_3_3" localSheetId="2" hidden="1">{#N/A,#N/A,FALSE,"Performance Flash Report"}</definedName>
    <definedName name="asdas_3_3" hidden="1">{#N/A,#N/A,FALSE,"Performance Flash Report"}</definedName>
    <definedName name="asdas_3_4" localSheetId="2" hidden="1">{#N/A,#N/A,FALSE,"Performance Flash Report"}</definedName>
    <definedName name="asdas_3_4" hidden="1">{#N/A,#N/A,FALSE,"Performance Flash Report"}</definedName>
    <definedName name="asdas_4" localSheetId="2" hidden="1">{#N/A,#N/A,FALSE,"Performance Flash Report"}</definedName>
    <definedName name="asdas_4" hidden="1">{#N/A,#N/A,FALSE,"Performance Flash Report"}</definedName>
    <definedName name="asdas_4_1" localSheetId="2" hidden="1">{#N/A,#N/A,FALSE,"Performance Flash Report"}</definedName>
    <definedName name="asdas_4_1" hidden="1">{#N/A,#N/A,FALSE,"Performance Flash Report"}</definedName>
    <definedName name="asdas_4_2" localSheetId="2" hidden="1">{#N/A,#N/A,FALSE,"Performance Flash Report"}</definedName>
    <definedName name="asdas_4_2" hidden="1">{#N/A,#N/A,FALSE,"Performance Flash Report"}</definedName>
    <definedName name="asdas_4_3" localSheetId="2" hidden="1">{#N/A,#N/A,FALSE,"Performance Flash Report"}</definedName>
    <definedName name="asdas_4_3" hidden="1">{#N/A,#N/A,FALSE,"Performance Flash Report"}</definedName>
    <definedName name="asdas_4_4" localSheetId="2" hidden="1">{#N/A,#N/A,FALSE,"Performance Flash Report"}</definedName>
    <definedName name="asdas_4_4" hidden="1">{#N/A,#N/A,FALSE,"Performance Flash Report"}</definedName>
    <definedName name="asdas_5" localSheetId="2" hidden="1">{#N/A,#N/A,FALSE,"Performance Flash Report"}</definedName>
    <definedName name="asdas_5" hidden="1">{#N/A,#N/A,FALSE,"Performance Flash Report"}</definedName>
    <definedName name="asdas_5_1" localSheetId="2" hidden="1">{#N/A,#N/A,FALSE,"Performance Flash Report"}</definedName>
    <definedName name="asdas_5_1" hidden="1">{#N/A,#N/A,FALSE,"Performance Flash Report"}</definedName>
    <definedName name="asdas_5_2" localSheetId="2" hidden="1">{#N/A,#N/A,FALSE,"Performance Flash Report"}</definedName>
    <definedName name="asdas_5_2" hidden="1">{#N/A,#N/A,FALSE,"Performance Flash Report"}</definedName>
    <definedName name="asdas_5_3" localSheetId="2" hidden="1">{#N/A,#N/A,FALSE,"Performance Flash Report"}</definedName>
    <definedName name="asdas_5_3" hidden="1">{#N/A,#N/A,FALSE,"Performance Flash Report"}</definedName>
    <definedName name="asdas_5_4" localSheetId="2" hidden="1">{#N/A,#N/A,FALSE,"Performance Flash Report"}</definedName>
    <definedName name="asdas_5_4" hidden="1">{#N/A,#N/A,FALSE,"Performance Flash Report"}</definedName>
    <definedName name="asdasxfdasfasgadsrts" hidden="1">{#N/A,#N/A,FALSE,"CCTV"}</definedName>
    <definedName name="asdf" hidden="1">#REF!</definedName>
    <definedName name="asdfa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aa" hidden="1">{"print 1.6",#N/A,FALSE,"Sheet1";"print 2.6",#N/A,FALSE,"Sheet1";"print 3.6",#N/A,FALSE,"Sheet1";"print 4.6",#N/A,FALSE,"Sheet1";"print 5.6",#N/A,FALSE,"Sheet1";"print 6.6",#N/A,FALSE,"Sheet1"}</definedName>
    <definedName name="asdfas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dfg" localSheetId="2">{"Book1"}</definedName>
    <definedName name="asdfg">{"Book1"}</definedName>
    <definedName name="asdfgdfg" hidden="1">{#N/A,#N/A,TRUE,"Lines";#N/A,#N/A,TRUE,"Stations";#N/A,#N/A,TRUE,"Cap. Expenses";#N/A,#N/A,TRUE,"Land";#N/A,#N/A,TRUE,"Cen Proces Sys";#N/A,#N/A,TRUE,"telecom";#N/A,#N/A,TRUE,"Other"}</definedName>
    <definedName name="asdgawgwegweg" hidden="1">#REF!</definedName>
    <definedName name="asdj" hidden="1">#REF!</definedName>
    <definedName name="ASDSAD" hidden="1">{#N/A,#N/A,FALSE,"단축1";#N/A,#N/A,FALSE,"단축2";#N/A,#N/A,FALSE,"단축3";#N/A,#N/A,FALSE,"장축";#N/A,#N/A,FALSE,"4WD"}</definedName>
    <definedName name="ASE" localSheetId="2"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f">#REF!</definedName>
    <definedName name="asfasdfasdf">BlankMacro1</definedName>
    <definedName name="asfd" hidden="1">#REF!</definedName>
    <definedName name="asfdsfas">BlankMacro1</definedName>
    <definedName name="asfg">#REF!</definedName>
    <definedName name="ASS" localSheetId="2" hidden="1">{#N/A,#N/A,FALSE,"을지 (4)";#N/A,#N/A,FALSE,"을지 (5)";#N/A,#N/A,FALSE,"을지 (6)"}</definedName>
    <definedName name="ASS" hidden="1">{#N/A,#N/A,FALSE,"을지 (4)";#N/A,#N/A,FALSE,"을지 (5)";#N/A,#N/A,FALSE,"을지 (6)"}</definedName>
    <definedName name="ASSA" hidden="1">{#N/A,#N/A,FALSE,"단축1";#N/A,#N/A,FALSE,"단축2";#N/A,#N/A,FALSE,"단축3";#N/A,#N/A,FALSE,"장축";#N/A,#N/A,FALSE,"4WD"}</definedName>
    <definedName name="assdewdwe" hidden="1">{#N/A,#N/A,FALSE,"단축1";#N/A,#N/A,FALSE,"단축2";#N/A,#N/A,FALSE,"단축3";#N/A,#N/A,FALSE,"장축";#N/A,#N/A,FALSE,"4WD"}</definedName>
    <definedName name="asset">#REF!</definedName>
    <definedName name="AssetSale">#REF!</definedName>
    <definedName name="AssetWriteUp">#REF!</definedName>
    <definedName name="AssetWriteUpDepPd">#REF!</definedName>
    <definedName name="asss" localSheetId="2" hidden="1">{#N/A,#N/A,FALSE,"채권채무";#N/A,#N/A,FALSE,"control sheet"}</definedName>
    <definedName name="asss" hidden="1">{#N/A,#N/A,FALSE,"채권채무";#N/A,#N/A,FALSE,"control sheet"}</definedName>
    <definedName name="ASSSS" hidden="1">{#N/A,#N/A,FALSE,"단축1";#N/A,#N/A,FALSE,"단축2";#N/A,#N/A,FALSE,"단축3";#N/A,#N/A,FALSE,"장축";#N/A,#N/A,FALSE,"4WD"}</definedName>
    <definedName name="ASSUHAR">#REF!</definedName>
    <definedName name="ASSUMPBASE">#REF!</definedName>
    <definedName name="ASSUMPESS">#REF!</definedName>
    <definedName name="ASSUMPOPT">#REF!</definedName>
    <definedName name="Assumptions">#REF!</definedName>
    <definedName name="ASSUOPP">#REF!</definedName>
    <definedName name="ASSUVAL">#REF!</definedName>
    <definedName name="ASSY" hidden="1">{#N/A,#N/A,FALSE,"단축1";#N/A,#N/A,FALSE,"단축2";#N/A,#N/A,FALSE,"단축3";#N/A,#N/A,FALSE,"장축";#N/A,#N/A,FALSE,"4WD"}</definedName>
    <definedName name="asxz">#N/A</definedName>
    <definedName name="AS생산량"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t" hidden="1">#REF!,#REF!,#REF!</definedName>
    <definedName name="Atx">#REF!</definedName>
    <definedName name="Atz">#REF!</definedName>
    <definedName name="AUD">#REF!</definedName>
    <definedName name="audit_button2_click">#REF!</definedName>
    <definedName name="AUDIT_visit">#REF!</definedName>
    <definedName name="Audrectoggle">#REF!</definedName>
    <definedName name="Aug.DM">#REF!</definedName>
    <definedName name="August">#REF!</definedName>
    <definedName name="aut">#REF!</definedName>
    <definedName name="autoexec">#REF!</definedName>
    <definedName name="AUTOSTART">#REF!</definedName>
    <definedName name="AUTOSTOP">#REF!</definedName>
    <definedName name="AV">#REF!</definedName>
    <definedName name="AVTS">#REF!</definedName>
    <definedName name="avtsanp2001">#REF!</definedName>
    <definedName name="avtsanp2002">#REF!</definedName>
    <definedName name="avtsanp2002P">#REF!</definedName>
    <definedName name="avtsanp2003">#REF!</definedName>
    <definedName name="avtsanp2004">#REF!</definedName>
    <definedName name="avtsanp2005">#REF!</definedName>
    <definedName name="avtsanp2006">#REF!</definedName>
    <definedName name="avtsanp2007">#REF!</definedName>
    <definedName name="avtscogs2001">#REF!</definedName>
    <definedName name="avtscogs2002">#REF!</definedName>
    <definedName name="avtscogs2002P">#REF!</definedName>
    <definedName name="avtscogs2002Q1">#REF!</definedName>
    <definedName name="avtscogs2002Q2">#REF!</definedName>
    <definedName name="avtscogs2002Q3">#REF!</definedName>
    <definedName name="avtscogs2002Q4">#REF!</definedName>
    <definedName name="avtscogs2003">#REF!</definedName>
    <definedName name="avtscogs2003Q1">#REF!</definedName>
    <definedName name="avtscogs2003Q2">#REF!</definedName>
    <definedName name="avtscogs2003Q3">#REF!</definedName>
    <definedName name="avtscogs2003Q4">#REF!</definedName>
    <definedName name="avtscogs2004">#REF!</definedName>
    <definedName name="avtscogs2005">#REF!</definedName>
    <definedName name="avtscogs2006">#REF!</definedName>
    <definedName name="avtscogs2007">#REF!</definedName>
    <definedName name="avtsicm2001">#REF!</definedName>
    <definedName name="avtsicm2002">#REF!</definedName>
    <definedName name="avtsicm2002P">#REF!</definedName>
    <definedName name="avtsicm2002Q1">#REF!</definedName>
    <definedName name="avtsicm2002Q2">#REF!</definedName>
    <definedName name="avtsicm2002Q3">#REF!</definedName>
    <definedName name="avtsicm2002Q4">#REF!</definedName>
    <definedName name="avtsicm2003">#REF!</definedName>
    <definedName name="avtsicm2003Q1">#REF!</definedName>
    <definedName name="avtsicm2003Q2">#REF!</definedName>
    <definedName name="avtsicm2003Q3">#REF!</definedName>
    <definedName name="avtsicm2003Q4">#REF!</definedName>
    <definedName name="avtsicm2004">#REF!</definedName>
    <definedName name="avtsicm2005">#REF!</definedName>
    <definedName name="avtsicm2006">#REF!</definedName>
    <definedName name="avtsicm2007">#REF!</definedName>
    <definedName name="avtsicmsample2001">#REF!</definedName>
    <definedName name="avtsicmsample2002">#REF!</definedName>
    <definedName name="avtsicmsample2002p">#REF!</definedName>
    <definedName name="avtsicmsample2003">#REF!</definedName>
    <definedName name="avtsicmsample2004">#REF!</definedName>
    <definedName name="avtsicmsample2005">#REF!</definedName>
    <definedName name="avtsicmsample2006">#REF!</definedName>
    <definedName name="avtsicmsample2007">#REF!</definedName>
    <definedName name="avtsmed2001a">#REF!</definedName>
    <definedName name="avtsmed2002f">#REF!</definedName>
    <definedName name="avtsmed2002p">#REF!</definedName>
    <definedName name="avtsmed2003p">#REF!</definedName>
    <definedName name="avtsmed2004p">#REF!</definedName>
    <definedName name="avtsmed2005p">#REF!</definedName>
    <definedName name="avtsmed2006p">#REF!</definedName>
    <definedName name="avtsmed2007p">#REF!</definedName>
    <definedName name="avtsmedical2001">#REF!</definedName>
    <definedName name="avtsmedical2002">#REF!</definedName>
    <definedName name="avtsmedical2002P">#REF!</definedName>
    <definedName name="avtsmedical2003">#REF!</definedName>
    <definedName name="avtsmedical2004">#REF!</definedName>
    <definedName name="avtsmedical2005">#REF!</definedName>
    <definedName name="avtsmedical2006">#REF!</definedName>
    <definedName name="avtsmedical2007">#REF!</definedName>
    <definedName name="avtsomkt2001">#REF!</definedName>
    <definedName name="avtsomkt2002">#REF!</definedName>
    <definedName name="avtsomkt2002p">#REF!</definedName>
    <definedName name="avtsomkt2003">#REF!</definedName>
    <definedName name="avtsomkt2004">#REF!</definedName>
    <definedName name="avtsomkt2005">#REF!</definedName>
    <definedName name="avtsomkt2006">#REF!</definedName>
    <definedName name="avtsomkt2007">#REF!</definedName>
    <definedName name="AVTSRPRK">#REF!</definedName>
    <definedName name="avtssales2001">#REF!</definedName>
    <definedName name="avtssales2002">#REF!</definedName>
    <definedName name="avtssales2002P">#REF!</definedName>
    <definedName name="avtssales2002Q1">#REF!</definedName>
    <definedName name="avtssales2002Q2">#REF!</definedName>
    <definedName name="avtssales2002Q3">#REF!</definedName>
    <definedName name="avtssales2002Q4">#REF!</definedName>
    <definedName name="avtssales2003">#REF!</definedName>
    <definedName name="avtssales2003Q1">#REF!</definedName>
    <definedName name="avtssales2003Q2">#REF!</definedName>
    <definedName name="avtssales2003Q3">#REF!</definedName>
    <definedName name="avtssales2003Q4">#REF!</definedName>
    <definedName name="avtssales2004">#REF!</definedName>
    <definedName name="avtssales2005">#REF!</definedName>
    <definedName name="avtssales2006">#REF!</definedName>
    <definedName name="avtssales2007">#REF!</definedName>
    <definedName name="avtssample2001">#REF!</definedName>
    <definedName name="avtssample2002">#REF!</definedName>
    <definedName name="avtssample2002p">#REF!</definedName>
    <definedName name="avtssample2003">#REF!</definedName>
    <definedName name="avtssample2004">#REF!</definedName>
    <definedName name="avtssample2005">#REF!</definedName>
    <definedName name="avtssample2006">#REF!</definedName>
    <definedName name="avtssample2007">#REF!</definedName>
    <definedName name="avtssf2001">#REF!</definedName>
    <definedName name="avtssf2002">#REF!</definedName>
    <definedName name="avtssf2002p">#REF!</definedName>
    <definedName name="avtssf2003">#REF!</definedName>
    <definedName name="avtssf2004">#REF!</definedName>
    <definedName name="avtssf2005">#REF!</definedName>
    <definedName name="avtssf2006">#REF!</definedName>
    <definedName name="avtssf2007">#REF!</definedName>
    <definedName name="AWE" hidden="1">{#N/A,#N/A,FALSE,"초도품";#N/A,#N/A,FALSE,"초도품 (2)";#N/A,#N/A,FALSE,"초도품 (3)";#N/A,#N/A,FALSE,"초도품 (4)";#N/A,#N/A,FALSE,"초도품 (5)";#N/A,#N/A,FALSE,"초도품 (6)"}</definedName>
    <definedName name="awear">#REF!</definedName>
    <definedName name="awefrqwr" localSheetId="2" hidden="1">{#N/A,#N/A,FALSE,"Pharm";#N/A,#N/A,FALSE,"WWCM"}</definedName>
    <definedName name="awefrqwr" hidden="1">{#N/A,#N/A,FALSE,"Pharm";#N/A,#N/A,FALSE,"WWCM"}</definedName>
    <definedName name="awsd">#REF!</definedName>
    <definedName name="Ax">#REF!</definedName>
    <definedName name="axcdf" localSheetId="2" hidden="1">{#N/A,#N/A,FALSE,"정공"}</definedName>
    <definedName name="axcdf" hidden="1">{#N/A,#N/A,FALSE,"정공"}</definedName>
    <definedName name="AXD" localSheetId="2"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z">#REF!</definedName>
    <definedName name="AZA">#N/A</definedName>
    <definedName name="AZC">#N/A</definedName>
    <definedName name="AZF">#N/A</definedName>
    <definedName name="AZM">#N/A</definedName>
    <definedName name="AZN">#N/A</definedName>
    <definedName name="AZO">#N/A</definedName>
    <definedName name="AZQ">#N/A</definedName>
    <definedName name="A대체전표">#N/A</definedName>
    <definedName name="A선급비용">#N/A</definedName>
    <definedName name="A양식">#N/A</definedName>
    <definedName name="A유동자산"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b" hidden="1">#REF!</definedName>
    <definedName name="B__OTHERS__">#REF!</definedName>
    <definedName name="B_1">#N/A</definedName>
    <definedName name="B_10">#REF!</definedName>
    <definedName name="B_20">#REF!</definedName>
    <definedName name="b_3s_cu">#REF!</definedName>
    <definedName name="b_3s_Q1">#REF!</definedName>
    <definedName name="b_3s_Q2">#REF!</definedName>
    <definedName name="b_3s_Q3">#REF!</definedName>
    <definedName name="B_40">#REF!</definedName>
    <definedName name="B_50">#REF!</definedName>
    <definedName name="B_60">#REF!</definedName>
    <definedName name="B_70">#REF!</definedName>
    <definedName name="B_90">#REF!</definedName>
    <definedName name="b_cu_cu">#REF!</definedName>
    <definedName name="b_cu_Q1">#REF!</definedName>
    <definedName name="b_cu_Q2">#REF!</definedName>
    <definedName name="b_cu_Q3">#REF!</definedName>
    <definedName name="b_dash">#REF!</definedName>
    <definedName name="B_JEMU">#REF!</definedName>
    <definedName name="b_la_cu">#REF!</definedName>
    <definedName name="b_la_Q1">#REF!</definedName>
    <definedName name="b_la_Q2">#REF!</definedName>
    <definedName name="b_la_Q3">#REF!</definedName>
    <definedName name="b_pl_cu">#REF!</definedName>
    <definedName name="b_pl_Q1">#REF!</definedName>
    <definedName name="b_pl_Q2">#REF!</definedName>
    <definedName name="b_pl_Q3">#REF!</definedName>
    <definedName name="b_pr_cu">#REF!</definedName>
    <definedName name="b_pr_Q1">#REF!</definedName>
    <definedName name="b_pr_Q2">#REF!</definedName>
    <definedName name="b_pr_Q3">#REF!</definedName>
    <definedName name="b_pu_cu">#REF!</definedName>
    <definedName name="b_pu_Q1">#REF!</definedName>
    <definedName name="b_pu_Q2">#REF!</definedName>
    <definedName name="b_pu_Q3">#REF!</definedName>
    <definedName name="b_st_cu">#REF!</definedName>
    <definedName name="b_st_Q1">#REF!</definedName>
    <definedName name="b_st_Q2">#REF!</definedName>
    <definedName name="b_st_Q3">#REF!</definedName>
    <definedName name="b_ta_cu">#REF!</definedName>
    <definedName name="b_ta_Q1">#REF!</definedName>
    <definedName name="b_ta_Q2">#REF!</definedName>
    <definedName name="b_ta_Q3">#REF!</definedName>
    <definedName name="b_te_cu">#REF!</definedName>
    <definedName name="b_te_Q1">#REF!</definedName>
    <definedName name="b_te_Q2">#REF!</definedName>
    <definedName name="b_te_Q3">#REF!</definedName>
    <definedName name="B_TOTAL">#REF!</definedName>
    <definedName name="B_TOTALT">#REF!</definedName>
    <definedName name="b_선행_cu">#REF!</definedName>
    <definedName name="b_선행_Q1">#REF!</definedName>
    <definedName name="b_선행_Q2">#REF!</definedName>
    <definedName name="b_선행_Q3">#REF!</definedName>
    <definedName name="b_외관_cu">#REF!</definedName>
    <definedName name="b_외관_Q1">#REF!</definedName>
    <definedName name="b_외관_Q2">#REF!</definedName>
    <definedName name="b_외관_Q3">#REF!</definedName>
    <definedName name="B10A1P">#REF!</definedName>
    <definedName name="b10a1t">#REF!</definedName>
    <definedName name="b10a2p">#REF!</definedName>
    <definedName name="b10a2t">#REF!</definedName>
    <definedName name="B11A1P">#REF!</definedName>
    <definedName name="b11a1t">#REF!</definedName>
    <definedName name="b11a2p">#REF!</definedName>
    <definedName name="b11a2t">#REF!</definedName>
    <definedName name="B12A1P">#REF!</definedName>
    <definedName name="b12a1t">#REF!</definedName>
    <definedName name="b12a2p">#REF!</definedName>
    <definedName name="b12a2t">#REF!</definedName>
    <definedName name="B13A1P">#REF!</definedName>
    <definedName name="b13a1t">#REF!</definedName>
    <definedName name="b13a2p">#REF!</definedName>
    <definedName name="b13a2t">#REF!</definedName>
    <definedName name="B14A1P">#REF!</definedName>
    <definedName name="b14a1t">#REF!</definedName>
    <definedName name="b14a2p">#REF!</definedName>
    <definedName name="b14a2t">#REF!</definedName>
    <definedName name="B15A1P">#REF!</definedName>
    <definedName name="b15a1t">#REF!</definedName>
    <definedName name="b15a2p">#REF!</definedName>
    <definedName name="b15a2t">#REF!</definedName>
    <definedName name="B16A1T">#REF!</definedName>
    <definedName name="B16A2P">#REF!</definedName>
    <definedName name="B1A1P">#REF!</definedName>
    <definedName name="b1a1t">#REF!</definedName>
    <definedName name="b1a2p">#REF!</definedName>
    <definedName name="b1a2t">#REF!</definedName>
    <definedName name="B2A1P">#REF!</definedName>
    <definedName name="b2a1t">#REF!</definedName>
    <definedName name="b2a2p">#REF!</definedName>
    <definedName name="b2a2t">#REF!</definedName>
    <definedName name="B30A1P">#REF!</definedName>
    <definedName name="b30a1t">#REF!</definedName>
    <definedName name="b30a2p">#REF!</definedName>
    <definedName name="b30a2t">#REF!</definedName>
    <definedName name="B3A1P">#REF!</definedName>
    <definedName name="b3a1t">#REF!</definedName>
    <definedName name="b3a2p">#REF!</definedName>
    <definedName name="b3a2t">#REF!</definedName>
    <definedName name="B4A1P">#REF!</definedName>
    <definedName name="b4a1t">#REF!</definedName>
    <definedName name="b4a2p">#REF!</definedName>
    <definedName name="b4a2t">#REF!</definedName>
    <definedName name="B5A1P">#REF!</definedName>
    <definedName name="b5a1t">#REF!</definedName>
    <definedName name="b5a2p">#REF!</definedName>
    <definedName name="b5a2t">#REF!</definedName>
    <definedName name="B6A1P">#REF!</definedName>
    <definedName name="b6a1t">#REF!</definedName>
    <definedName name="b6a2p">#REF!</definedName>
    <definedName name="b6a2t">#REF!</definedName>
    <definedName name="B7A1P">#REF!</definedName>
    <definedName name="b7a1t">#REF!</definedName>
    <definedName name="b7a2p">#REF!</definedName>
    <definedName name="b7a2t">#REF!</definedName>
    <definedName name="B8A1P">#REF!</definedName>
    <definedName name="b8a1t">#REF!</definedName>
    <definedName name="b8a2p">#REF!</definedName>
    <definedName name="b8a2t">#REF!</definedName>
    <definedName name="B9A1P">#REF!</definedName>
    <definedName name="b9a1t">#REF!</definedName>
    <definedName name="b9a2p">#REF!</definedName>
    <definedName name="b9a2t">#REF!</definedName>
    <definedName name="BA">#REF!</definedName>
    <definedName name="BA1P">#REF!</definedName>
    <definedName name="ba1t">#REF!</definedName>
    <definedName name="ba2p">#REF!</definedName>
    <definedName name="ba2t">#REF!</definedName>
    <definedName name="babo"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dmgr">#REF!</definedName>
    <definedName name="BAEK">#N/A</definedName>
    <definedName name="BalanceSheet">#REF!</definedName>
    <definedName name="BalanceSheet97">#REF!</definedName>
    <definedName name="ban" localSheetId="2" hidden="1">{#N/A,#N/A,FALSE,"P.C.B"}</definedName>
    <definedName name="ban" hidden="1">{#N/A,#N/A,FALSE,"P.C.B"}</definedName>
    <definedName name="BankKey">#REF!</definedName>
    <definedName name="BARC" hidden="1">{#N/A,#N/A,FALSE,"손익표지";#N/A,#N/A,FALSE,"손익계산";#N/A,#N/A,FALSE,"일반관리비";#N/A,#N/A,FALSE,"영업외수익";#N/A,#N/A,FALSE,"영업외비용";#N/A,#N/A,FALSE,"매출액";#N/A,#N/A,FALSE,"요약손익";#N/A,#N/A,FALSE,"요약대차";#N/A,#N/A,FALSE,"매출채권현황";#N/A,#N/A,FALSE,"매출채권명세"}</definedName>
    <definedName name="base">#REF!</definedName>
    <definedName name="BASECOMM">#REF!</definedName>
    <definedName name="baseend">#REF!</definedName>
    <definedName name="baseend1">#REF!</definedName>
    <definedName name="basic">#REF!,#REF!,#REF!,#REF!</definedName>
    <definedName name="basiccell">#REF!</definedName>
    <definedName name="bb">BlankMacro1</definedName>
    <definedName name="bbase">#REF!</definedName>
    <definedName name="BBB"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BB"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bbb">#REF!</definedName>
    <definedName name="bbbbb" hidden="1">{"Outflow 1",#N/A,FALSE,"Outflows-Inflows";"Outflow 2",#N/A,FALSE,"Outflows-Inflows";"Inflow 1",#N/A,FALSE,"Outflows-Inflows";"Inflow 2",#N/A,FALSE,"Outflows-Inflows"}</definedName>
    <definedName name="bbbbbb"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C">#N/A</definedName>
    <definedName name="bcrclcl100rt">#REF!</definedName>
    <definedName name="bcrclcl100rtrkrk">#REF!</definedName>
    <definedName name="BDATA"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cgr">#REF!</definedName>
    <definedName name="BDCODE">#N/A</definedName>
    <definedName name="bdfbe" hidden="1">{#N/A,#N/A,FALSE,"Sheet1"}</definedName>
    <definedName name="bdtgr">#REF!</definedName>
    <definedName name="BE" localSheetId="2" hidden="1">{#N/A,#N/A,FALSE,"기안지";#N/A,#N/A,FALSE,"통신지"}</definedName>
    <definedName name="BE" hidden="1">{#N/A,#N/A,FALSE,"기안지";#N/A,#N/A,FALSE,"통신지"}</definedName>
    <definedName name="befcondc">#REF!</definedName>
    <definedName name="befcondt">#REF!</definedName>
    <definedName name="befconnw">#REF!</definedName>
    <definedName name="befmpadm">#REF!</definedName>
    <definedName name="befmpdc">#REF!</definedName>
    <definedName name="befmpdt">#REF!</definedName>
    <definedName name="befmpnw">#REF!</definedName>
    <definedName name="Belt" hidden="1">{#N/A,#N/A,FALSE,"손익표지";#N/A,#N/A,FALSE,"손익계산";#N/A,#N/A,FALSE,"일반관리비";#N/A,#N/A,FALSE,"영업외수익";#N/A,#N/A,FALSE,"영업외비용";#N/A,#N/A,FALSE,"매출액";#N/A,#N/A,FALSE,"요약손익";#N/A,#N/A,FALSE,"요약대차";#N/A,#N/A,FALSE,"매출채권현황";#N/A,#N/A,FALSE,"매출채권명세"}</definedName>
    <definedName name="BenotaPr">#REF!</definedName>
    <definedName name="BenotaPrR">#REF!</definedName>
    <definedName name="beta">#REF!</definedName>
    <definedName name="betas">#REF!</definedName>
    <definedName name="bethany" hidden="1">{"income statement",#N/A,FALSE,"ATLAS-A"}</definedName>
    <definedName name="BF">#REF!</definedName>
    <definedName name="bfbfdhfdhdfgh" localSheetId="2" hidden="1">{#N/A,#N/A,FALSE,"CCTV"}</definedName>
    <definedName name="bfbfdhfdhdfgh" hidden="1">{#N/A,#N/A,FALSE,"CCTV"}</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_Del" hidden="1">15</definedName>
    <definedName name="BG_Ins" hidden="1">4</definedName>
    <definedName name="BG_Mod" hidden="1">6</definedName>
    <definedName name="BGN">#REF!</definedName>
    <definedName name="bh" hidden="1">{"cover a","1q",FALSE,"Cover";"Op Earn Mgd Q1",#N/A,FALSE,"Op-Earn (Mng)";"Op Earn Rpt Q1",#N/A,FALSE,"Op-Earn (Rpt)";"Loans",#N/A,FALSE,"Loans";"Credit Costs",#N/A,FALSE,"CCosts";"Net Interest Margin",#N/A,FALSE,"Margin";"Nonint Income",#N/A,FALSE,"NonII";"Nonint Exp",#N/A,FALSE,"NonIE";"Valuation",#N/A,FALSE,"Valuation"}</definedName>
    <definedName name="BHJ" hidden="1">{#N/A,#N/A,FALSE,"Sheet6"}</definedName>
    <definedName name="BHU">#REF!</definedName>
    <definedName name="BI" hidden="1">{#N/A,#N/A,FALSE,"이태원철근"}</definedName>
    <definedName name="BIDO" hidden="1">#REF!</definedName>
    <definedName name="BIGO">#N/A</definedName>
    <definedName name="BIO_FF" hidden="1">{#N/A,#N/A,FALSE,"손익표지";#N/A,#N/A,FALSE,"손익계산";#N/A,#N/A,FALSE,"일반관리비";#N/A,#N/A,FALSE,"영업외수익";#N/A,#N/A,FALSE,"영업외비용";#N/A,#N/A,FALSE,"매출액";#N/A,#N/A,FALSE,"요약손익";#N/A,#N/A,FALSE,"요약대차";#N/A,#N/A,FALSE,"매출채권현황";#N/A,#N/A,FALSE,"매출채권명세"}</definedName>
    <definedName name="bizforms">"bizforms.co.kr"</definedName>
    <definedName name="BI상">#REF!</definedName>
    <definedName name="b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lah2" localSheetId="2" hidden="1">{#N/A,#N/A,FALSE,"Performance Flash Report"}</definedName>
    <definedName name="blah2" hidden="1">{#N/A,#N/A,FALSE,"Performance Flash Report"}</definedName>
    <definedName name="blah2_1" localSheetId="2" hidden="1">{#N/A,#N/A,FALSE,"Performance Flash Report"}</definedName>
    <definedName name="blah2_1" hidden="1">{#N/A,#N/A,FALSE,"Performance Flash Report"}</definedName>
    <definedName name="blah2_1_1" localSheetId="2" hidden="1">{#N/A,#N/A,FALSE,"Performance Flash Report"}</definedName>
    <definedName name="blah2_1_1" hidden="1">{#N/A,#N/A,FALSE,"Performance Flash Report"}</definedName>
    <definedName name="blah2_1_2" localSheetId="2" hidden="1">{#N/A,#N/A,FALSE,"Performance Flash Report"}</definedName>
    <definedName name="blah2_1_2" hidden="1">{#N/A,#N/A,FALSE,"Performance Flash Report"}</definedName>
    <definedName name="blah2_1_3" localSheetId="2" hidden="1">{#N/A,#N/A,FALSE,"Performance Flash Report"}</definedName>
    <definedName name="blah2_1_3" hidden="1">{#N/A,#N/A,FALSE,"Performance Flash Report"}</definedName>
    <definedName name="blah2_1_4" localSheetId="2" hidden="1">{#N/A,#N/A,FALSE,"Performance Flash Report"}</definedName>
    <definedName name="blah2_1_4" hidden="1">{#N/A,#N/A,FALSE,"Performance Flash Report"}</definedName>
    <definedName name="blah2_2" localSheetId="2" hidden="1">{#N/A,#N/A,FALSE,"Performance Flash Report"}</definedName>
    <definedName name="blah2_2" hidden="1">{#N/A,#N/A,FALSE,"Performance Flash Report"}</definedName>
    <definedName name="blah2_2_1" localSheetId="2" hidden="1">{#N/A,#N/A,FALSE,"Performance Flash Report"}</definedName>
    <definedName name="blah2_2_1" hidden="1">{#N/A,#N/A,FALSE,"Performance Flash Report"}</definedName>
    <definedName name="blah2_2_2" localSheetId="2" hidden="1">{#N/A,#N/A,FALSE,"Performance Flash Report"}</definedName>
    <definedName name="blah2_2_2" hidden="1">{#N/A,#N/A,FALSE,"Performance Flash Report"}</definedName>
    <definedName name="blah2_2_3" localSheetId="2" hidden="1">{#N/A,#N/A,FALSE,"Performance Flash Report"}</definedName>
    <definedName name="blah2_2_3" hidden="1">{#N/A,#N/A,FALSE,"Performance Flash Report"}</definedName>
    <definedName name="blah2_2_4" localSheetId="2" hidden="1">{#N/A,#N/A,FALSE,"Performance Flash Report"}</definedName>
    <definedName name="blah2_2_4" hidden="1">{#N/A,#N/A,FALSE,"Performance Flash Report"}</definedName>
    <definedName name="blah2_3" localSheetId="2" hidden="1">{#N/A,#N/A,FALSE,"Performance Flash Report"}</definedName>
    <definedName name="blah2_3" hidden="1">{#N/A,#N/A,FALSE,"Performance Flash Report"}</definedName>
    <definedName name="blah2_3_1" localSheetId="2" hidden="1">{#N/A,#N/A,FALSE,"Performance Flash Report"}</definedName>
    <definedName name="blah2_3_1" hidden="1">{#N/A,#N/A,FALSE,"Performance Flash Report"}</definedName>
    <definedName name="blah2_3_2" localSheetId="2" hidden="1">{#N/A,#N/A,FALSE,"Performance Flash Report"}</definedName>
    <definedName name="blah2_3_2" hidden="1">{#N/A,#N/A,FALSE,"Performance Flash Report"}</definedName>
    <definedName name="blah2_3_3" localSheetId="2" hidden="1">{#N/A,#N/A,FALSE,"Performance Flash Report"}</definedName>
    <definedName name="blah2_3_3" hidden="1">{#N/A,#N/A,FALSE,"Performance Flash Report"}</definedName>
    <definedName name="blah2_3_4" localSheetId="2" hidden="1">{#N/A,#N/A,FALSE,"Performance Flash Report"}</definedName>
    <definedName name="blah2_3_4" hidden="1">{#N/A,#N/A,FALSE,"Performance Flash Report"}</definedName>
    <definedName name="blah2_4" localSheetId="2" hidden="1">{#N/A,#N/A,FALSE,"Performance Flash Report"}</definedName>
    <definedName name="blah2_4" hidden="1">{#N/A,#N/A,FALSE,"Performance Flash Report"}</definedName>
    <definedName name="blah2_4_1" localSheetId="2" hidden="1">{#N/A,#N/A,FALSE,"Performance Flash Report"}</definedName>
    <definedName name="blah2_4_1" hidden="1">{#N/A,#N/A,FALSE,"Performance Flash Report"}</definedName>
    <definedName name="blah2_4_2" localSheetId="2" hidden="1">{#N/A,#N/A,FALSE,"Performance Flash Report"}</definedName>
    <definedName name="blah2_4_2" hidden="1">{#N/A,#N/A,FALSE,"Performance Flash Report"}</definedName>
    <definedName name="blah2_4_3" localSheetId="2" hidden="1">{#N/A,#N/A,FALSE,"Performance Flash Report"}</definedName>
    <definedName name="blah2_4_3" hidden="1">{#N/A,#N/A,FALSE,"Performance Flash Report"}</definedName>
    <definedName name="blah2_4_4" localSheetId="2" hidden="1">{#N/A,#N/A,FALSE,"Performance Flash Report"}</definedName>
    <definedName name="blah2_4_4" hidden="1">{#N/A,#N/A,FALSE,"Performance Flash Report"}</definedName>
    <definedName name="blah2_5" localSheetId="2" hidden="1">{#N/A,#N/A,FALSE,"Performance Flash Report"}</definedName>
    <definedName name="blah2_5" hidden="1">{#N/A,#N/A,FALSE,"Performance Flash Report"}</definedName>
    <definedName name="blah2_5_1" localSheetId="2" hidden="1">{#N/A,#N/A,FALSE,"Performance Flash Report"}</definedName>
    <definedName name="blah2_5_1" hidden="1">{#N/A,#N/A,FALSE,"Performance Flash Report"}</definedName>
    <definedName name="blah2_5_2" localSheetId="2" hidden="1">{#N/A,#N/A,FALSE,"Performance Flash Report"}</definedName>
    <definedName name="blah2_5_2" hidden="1">{#N/A,#N/A,FALSE,"Performance Flash Report"}</definedName>
    <definedName name="blah2_5_3" localSheetId="2" hidden="1">{#N/A,#N/A,FALSE,"Performance Flash Report"}</definedName>
    <definedName name="blah2_5_3" hidden="1">{#N/A,#N/A,FALSE,"Performance Flash Report"}</definedName>
    <definedName name="blah2_5_4" localSheetId="2" hidden="1">{#N/A,#N/A,FALSE,"Performance Flash Report"}</definedName>
    <definedName name="blah2_5_4" hidden="1">{#N/A,#N/A,FALSE,"Performance Flash Report"}</definedName>
    <definedName name="blanks">#REF!</definedName>
    <definedName name="bleaseperiod">#REF!</definedName>
    <definedName name="bleaserate">#REF!</definedName>
    <definedName name="BLOCK01">#N/A</definedName>
    <definedName name="BLOCK02">#REF!</definedName>
    <definedName name="BLOCK03">#REF!</definedName>
    <definedName name="BLOCK04">#REF!</definedName>
    <definedName name="block1">#REF!</definedName>
    <definedName name="Blow_up_year">#REF!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hidden="1">#REF!</definedName>
    <definedName name="BLPH450" hidden="1">#REF!</definedName>
    <definedName name="BLPH451" hidden="1">#REF!</definedName>
    <definedName name="BLPH452" hidden="1">#REF!</definedName>
    <definedName name="BLPH453" hidden="1">#REF!</definedName>
    <definedName name="BLPH455" hidden="1">#REF!</definedName>
    <definedName name="BLPH456" hidden="1">#REF!</definedName>
    <definedName name="BLPH457" hidden="1">#REF!</definedName>
    <definedName name="BLPH458" hidden="1">#REF!</definedName>
    <definedName name="BLPH459"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9" hidden="1">#REF!</definedName>
    <definedName name="BLPH58" hidden="1">#REF!</definedName>
    <definedName name="BLPH580" hidden="1">#REF!</definedName>
    <definedName name="BLPH581"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8" hidden="1">#REF!</definedName>
    <definedName name="BLPH669" hidden="1">#REF!</definedName>
    <definedName name="BLPH67"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5"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M" localSheetId="2" hidden="1">{#N/A,#N/A,FALSE,"CCTV"}</definedName>
    <definedName name="BM" hidden="1">{#N/A,#N/A,FALSE,"CCTV"}</definedName>
    <definedName name="BN">BlankMacro1</definedName>
    <definedName name="BNE_MESSAGES_HIDDEN" hidden="1">#REF!</definedName>
    <definedName name="bnumber">#REF!</definedName>
    <definedName name="bnwgr">#REF!</definedName>
    <definedName name="Bo">#REF!</definedName>
    <definedName name="bob"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EH_ING">#REF!</definedName>
    <definedName name="boh" hidden="1">{"PAGE1",#N/A,FALSE,"Consolidation";"PAGE2",#N/A,FALSE,"Consolidation";"PAGE3",#N/A,FALSE,"Consolidation";"PAGE4",#N/A,FALSE,"Consolidation";"PAGE5",#N/A,FALSE,"Consolidation";"PAGE6",#N/A,FALSE,"Consolidation";"PAGE7",#N/A,FALSE,"Consolidation"}</definedName>
    <definedName name="BOH_TOTAL">#N/A</definedName>
    <definedName name="BOH_UC">#N/A</definedName>
    <definedName name="BOHAMT">#N/A</definedName>
    <definedName name="BOHQTY">#N/A</definedName>
    <definedName name="BONAME">#N/A</definedName>
    <definedName name="BONG">#N/A</definedName>
    <definedName name="BOOK" hidden="1">{#N/A,#N/A,FALSE,"단축1";#N/A,#N/A,FALSE,"단축2";#N/A,#N/A,FALSE,"단축3";#N/A,#N/A,FALSE,"장축";#N/A,#N/A,FALSE,"4WD"}</definedName>
    <definedName name="book1" localSheetId="2" hidden="1">{#N/A,#N/A,FALSE,"UNIT";#N/A,#N/A,FALSE,"UNIT";#N/A,#N/A,FALSE,"계정"}</definedName>
    <definedName name="book1" hidden="1">{#N/A,#N/A,FALSE,"UNIT";#N/A,#N/A,FALSE,"UNIT";#N/A,#N/A,FALSE,"계정"}</definedName>
    <definedName name="book2">#N/A</definedName>
    <definedName name="book3">#N/A</definedName>
    <definedName name="botas">#REF!</definedName>
    <definedName name="botdia">#REF!</definedName>
    <definedName name="botinterval">#REF!</definedName>
    <definedName name="botmax">#REF!</definedName>
    <definedName name="BO상">#REF!</definedName>
    <definedName name="BPR_01" localSheetId="2" hidden="1">{#N/A,#N/A,FALSE,"BS";#N/A,#N/A,FALSE,"PL";#N/A,#N/A,FALSE,"처분";#N/A,#N/A,FALSE,"현금";#N/A,#N/A,FALSE,"매출";#N/A,#N/A,FALSE,"원가";#N/A,#N/A,FALSE,"경영"}</definedName>
    <definedName name="BPR_01" hidden="1">{#N/A,#N/A,FALSE,"BS";#N/A,#N/A,FALSE,"PL";#N/A,#N/A,FALSE,"처분";#N/A,#N/A,FALSE,"현금";#N/A,#N/A,FALSE,"매출";#N/A,#N/A,FALSE,"원가";#N/A,#N/A,FALSE,"경영"}</definedName>
    <definedName name="BPSUM">#N/A</definedName>
    <definedName name="BPUPR">#N/A</definedName>
    <definedName name="BQ">#REF!</definedName>
    <definedName name="BQTY">#N/A</definedName>
    <definedName name="BRAND">#REF!</definedName>
    <definedName name="brefreshdesktop">#REF!</definedName>
    <definedName name="brefreshothers">#REF!</definedName>
    <definedName name="BS">BLCH</definedName>
    <definedName name="BS_ACCOUNT">#REF!</definedName>
    <definedName name="BS_AR_Res">#REF!</definedName>
    <definedName name="BS_Cont_Res">#REF!</definedName>
    <definedName name="BS_Eng">#REF!</definedName>
    <definedName name="BS_MC_Liab">#REF!</definedName>
    <definedName name="BS_MC_Res">#REF!</definedName>
    <definedName name="BS_OPTION">#REF!</definedName>
    <definedName name="BS_PIP">#REF!</definedName>
    <definedName name="BS_T">#REF!</definedName>
    <definedName name="BS_Time">#REF!</definedName>
    <definedName name="BS_Time_1Q19">#REF!</definedName>
    <definedName name="BS_Time_FY18">#REF!</definedName>
    <definedName name="BS_기">#REF!,#REF!,#REF!,#REF!,#REF!,#REF!,#REF!</definedName>
    <definedName name="BS_월">#REF!,#REF!,#REF!,#REF!,#REF!,#REF!</definedName>
    <definedName name="BS_잔">#REF!,#REF!</definedName>
    <definedName name="BS_전년" hidden="1">{#N/A,#N/A,FALSE,"지침";#N/A,#N/A,FALSE,"환경분석";#N/A,#N/A,FALSE,"Sheet16"}</definedName>
    <definedName name="BS_후">#REF!,#REF!,#REF!,#REF!,#REF!,#REF!</definedName>
    <definedName name="bsbco"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c" hidden="1">{#N/A,#N/A,FALSE,"손익표지";#N/A,#N/A,FALSE,"손익계산";#N/A,#N/A,FALSE,"일반관리비";#N/A,#N/A,FALSE,"영업외수익";#N/A,#N/A,FALSE,"영업외비용";#N/A,#N/A,FALSE,"매출액";#N/A,#N/A,FALSE,"요약손익";#N/A,#N/A,FALSE,"요약대차";#N/A,#N/A,FALSE,"매출채권현황";#N/A,#N/A,FALSE,"매출채권명세"}</definedName>
    <definedName name="bsNote">#REF!</definedName>
    <definedName name="bs건설">#REF!</definedName>
    <definedName name="bs양재">#REF!</definedName>
    <definedName name="BS차이내역" localSheetId="2" hidden="1">{#N/A,#N/A,FALSE,"정공"}</definedName>
    <definedName name="BS차이내역" hidden="1">{#N/A,#N/A,FALSE,"정공"}</definedName>
    <definedName name="btedc">#REF!</definedName>
    <definedName name="btedt">#REF!</definedName>
    <definedName name="btenw">#REF!</definedName>
    <definedName name="bthk">#REF!</definedName>
    <definedName name="btn">#REF!</definedName>
    <definedName name="btnClose">#REF!</definedName>
    <definedName name="btnFootNoting">#REF!</definedName>
    <definedName name="btnNext">#REF!</definedName>
    <definedName name="btnnnnn">#REF!</definedName>
    <definedName name="btnOK">#REF!</definedName>
    <definedName name="btnPrevious">#REF!</definedName>
    <definedName name="btnr">#REF!</definedName>
    <definedName name="btnReturn">#REF!</definedName>
    <definedName name="BTYPE">#N/A</definedName>
    <definedName name="BUD">#REF!</definedName>
    <definedName name="bule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shit" hidden="1">{"Outflow 1",#N/A,FALSE,"Outflows-Inflows";"Outflow 2",#N/A,FALSE,"Outflows-Inflows";"Inflow 1",#N/A,FALSE,"Outflows-Inflows";"Inflow 2",#N/A,FALSE,"Outflows-Inflows"}</definedName>
    <definedName name="Bull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NHO">#N/A</definedName>
    <definedName name="BUPAN">#REF!</definedName>
    <definedName name="Button_11">"X5수정전망_종합검토_List"</definedName>
    <definedName name="Button30_Click">#REF!</definedName>
    <definedName name="bv" localSheetId="2" hidden="1">{#N/A,#N/A,FALSE,"1.CRITERIA";#N/A,#N/A,FALSE,"2.IS";#N/A,#N/A,FALSE,"3.BS";#N/A,#N/A,FALSE,"4.PER PL";#N/A,#N/A,FALSE,"5.INVESTMENT";#N/A,#N/A,FALSE,"6.공문";#N/A,#N/A,FALSE,"7.netinvest"}</definedName>
    <definedName name="bv" hidden="1">{#N/A,#N/A,FALSE,"1.CRITERIA";#N/A,#N/A,FALSE,"2.IS";#N/A,#N/A,FALSE,"3.BS";#N/A,#N/A,FALSE,"4.PER PL";#N/A,#N/A,FALSE,"5.INVESTMENT";#N/A,#N/A,FALSE,"6.공문";#N/A,#N/A,FALSE,"7.netinvest"}</definedName>
    <definedName name="bwacc">#REF!</definedName>
    <definedName name="BWCopying">#REF!</definedName>
    <definedName name="Bx">#REF!</definedName>
    <definedName name="By">#REF!</definedName>
    <definedName name="BYG" hidden="1">{#N/A,#N/A,FALSE,"손익표지";#N/A,#N/A,FALSE,"손익계산";#N/A,#N/A,FALSE,"일반관리비";#N/A,#N/A,FALSE,"영업외수익";#N/A,#N/A,FALSE,"영업외비용";#N/A,#N/A,FALSE,"매출액";#N/A,#N/A,FALSE,"요약손익";#N/A,#N/A,FALSE,"요약대차";#N/A,#N/A,FALSE,"매출채권현황";#N/A,#N/A,FALSE,"매출채권명세"}</definedName>
    <definedName name="Bz">#REF!</definedName>
    <definedName name="BZC">#N/A</definedName>
    <definedName name="C_">#REF!</definedName>
    <definedName name="c_3s_cu">#REF!</definedName>
    <definedName name="c_3s_Q1">#REF!</definedName>
    <definedName name="c_3s_Q2">#REF!</definedName>
    <definedName name="c_3s_Q3">#REF!</definedName>
    <definedName name="C_4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C_Balance">#REF!</definedName>
    <definedName name="c_Closing.Date.Acq">#REF!</definedName>
    <definedName name="c_Closing.Date.Tar">#REF!</definedName>
    <definedName name="c_Closing.Month.Acq">#REF!</definedName>
    <definedName name="c_Closing.Month.Tar">#REF!</definedName>
    <definedName name="c_cu_cu">#REF!</definedName>
    <definedName name="c_cu_Q1">#REF!</definedName>
    <definedName name="c_cu_Q2">#REF!</definedName>
    <definedName name="c_cu_Q3">#REF!</definedName>
    <definedName name="C_D">#REF!</definedName>
    <definedName name="c_la_cu">#REF!</definedName>
    <definedName name="c_la_Q1">#REF!</definedName>
    <definedName name="c_la_Q2">#REF!</definedName>
    <definedName name="c_la_Q3">#REF!</definedName>
    <definedName name="c_margin">#REF!</definedName>
    <definedName name="c_Month.Acq">#REF!</definedName>
    <definedName name="c_Month.Tar">#REF!</definedName>
    <definedName name="c_OffsetFactor">#REF!</definedName>
    <definedName name="c_pl_cu">#REF!</definedName>
    <definedName name="c_pl_Q1">#REF!</definedName>
    <definedName name="c_pl_Q2">#REF!</definedName>
    <definedName name="c_pl_Q3">#REF!</definedName>
    <definedName name="c_pr_cu">#REF!</definedName>
    <definedName name="c_pr_Q1">#REF!</definedName>
    <definedName name="c_pr_Q2">#REF!</definedName>
    <definedName name="c_pr_Q3">#REF!</definedName>
    <definedName name="c_pu_cu">#REF!</definedName>
    <definedName name="c_pu_Q1">#REF!</definedName>
    <definedName name="c_pu_Q2">#REF!</definedName>
    <definedName name="c_pu_Q3">#REF!</definedName>
    <definedName name="C_S">#REF!</definedName>
    <definedName name="C_SECL">#REF!</definedName>
    <definedName name="c_ShiftFactorX">#REF!</definedName>
    <definedName name="c_ShiftFactorY">#REF!</definedName>
    <definedName name="c_st_cu">#REF!</definedName>
    <definedName name="c_st_Q1">#REF!</definedName>
    <definedName name="c_st_Q2">#REF!</definedName>
    <definedName name="c_st_Q3">#REF!</definedName>
    <definedName name="c_ta_cu">#REF!</definedName>
    <definedName name="c_ta_Q1">#REF!</definedName>
    <definedName name="c_ta_Q2">#REF!</definedName>
    <definedName name="c_ta_Q3">#REF!</definedName>
    <definedName name="c_te_cu">#REF!</definedName>
    <definedName name="c_te_Q1">#REF!</definedName>
    <definedName name="c_te_Q2">#REF!</definedName>
    <definedName name="c_te_Q3">#REF!</definedName>
    <definedName name="C_TEST_SUM">#REF!</definedName>
    <definedName name="c_선행_cu">#REF!</definedName>
    <definedName name="c_선행_Q1">#REF!</definedName>
    <definedName name="c_선행_Q2">#REF!</definedName>
    <definedName name="c_선행_Q3">#REF!</definedName>
    <definedName name="c_외관_cu">#REF!</definedName>
    <definedName name="c_외관_Q1">#REF!</definedName>
    <definedName name="c_외관_Q2">#REF!</definedName>
    <definedName name="c_외관_Q3">#REF!</definedName>
    <definedName name="c1.a1p">#REF!</definedName>
    <definedName name="c1.a1t">#REF!</definedName>
    <definedName name="c1.a2p">#REF!</definedName>
    <definedName name="c1.a2t">#REF!</definedName>
    <definedName name="c2.a1p">#REF!</definedName>
    <definedName name="c2.a1t">#REF!</definedName>
    <definedName name="c2.a2p">#REF!</definedName>
    <definedName name="c2.a2t">#REF!</definedName>
    <definedName name="CA">#REF!</definedName>
    <definedName name="cable">#REF!</definedName>
    <definedName name="CAD_Local">0.85</definedName>
    <definedName name="CAE해석" hidden="1">{#N/A,#N/A,FALSE,"단축1";#N/A,#N/A,FALSE,"단축2";#N/A,#N/A,FALSE,"단축3";#N/A,#N/A,FALSE,"장축";#N/A,#N/A,FALSE,"4WD"}</definedName>
    <definedName name="calculations">#REF!</definedName>
    <definedName name="CALENDAR" hidden="1">{#N/A,#N/A,TRUE,"Y생산";#N/A,#N/A,TRUE,"Y판매";#N/A,#N/A,TRUE,"Y총물량";#N/A,#N/A,TRUE,"Y능력";#N/A,#N/A,TRUE,"YKD"}</definedName>
    <definedName name="Call_Bep"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n_Rate">100%</definedName>
    <definedName name="CAP">#REF!</definedName>
    <definedName name="CAPA" localSheetId="2"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9798" localSheetId="2" hidden="1">{#N/A,#N/A,FALSE,"P.C.B"}</definedName>
    <definedName name="CAPA9798" hidden="1">{#N/A,#N/A,FALSE,"P.C.B"}</definedName>
    <definedName name="CAPBOH">#N/A</definedName>
    <definedName name="CAPCOST">#REF!</definedName>
    <definedName name="CAPEOH">#N/A</definedName>
    <definedName name="Capex2">#REF!</definedName>
    <definedName name="capital">#REF!</definedName>
    <definedName name="CARRIER" hidden="1">{#N/A,#N/A,FALSE,"단축1";#N/A,#N/A,FALSE,"단축2";#N/A,#N/A,FALSE,"단축3";#N/A,#N/A,FALSE,"장축";#N/A,#N/A,FALSE,"4WD"}</definedName>
    <definedName name="CASE" hidden="1">{#N/A,#N/A,FALSE,"단축1";#N/A,#N/A,FALSE,"단축2";#N/A,#N/A,FALSE,"단축3";#N/A,#N/A,FALSE,"장축";#N/A,#N/A,FALSE,"4WD"}</definedName>
    <definedName name="CaseNames">#REF!</definedName>
    <definedName name="CaseNameSelected">#REF!</definedName>
    <definedName name="CaseNumber">#REF!</definedName>
    <definedName name="CaseNumbers">#REF!</definedName>
    <definedName name="CaseNumberSelected">#REF!</definedName>
    <definedName name="cash" localSheetId="2">#REF!,#REF!,#REF!,#REF!,#REF!,#REF!,#REF!,#REF!,#REF!,#REF!</definedName>
    <definedName name="cash">#REF!,#REF!,#REF!,#REF!,#REF!,#REF!,#REF!,#REF!,#REF!,#REF!</definedName>
    <definedName name="cash1">#REF!</definedName>
    <definedName name="CashFlow_Button1_Click">#REF!</definedName>
    <definedName name="CashFlow97">#REF!</definedName>
    <definedName name="cashIndex">#REF!</definedName>
    <definedName name="CASHM">#REF!</definedName>
    <definedName name="CAT">#REF!</definedName>
    <definedName name="Category">#REF!</definedName>
    <definedName name="Category_All">#REF!</definedName>
    <definedName name="CATIN">#N/A</definedName>
    <definedName name="CATJYOU">#N/A</definedName>
    <definedName name="CATREC">#N/A</definedName>
    <definedName name="CATSYU">#N/A</definedName>
    <definedName name="CB">#REF!</definedName>
    <definedName name="cb_ALT_STACKED_COLUMNChart_22_opts" hidden="1">"1, 3, 1, False, 2, True, False, , 0, False, True, 1, 2"</definedName>
    <definedName name="cb_ALT_STACKED_COLUMNChart_23_opts" hidden="1">"1, 3, 1, False, 2, True, False, , 0, False, True, 1, 2"</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2595BBC_opts" hidden="1">"1, 1, 1, False, 2, True, False, , 0, False, False, 2, 2"</definedName>
    <definedName name="cb_sChart12595E44_opts" hidden="1">"1, 3, 1, False, 2, True, False, , 0, True, False, 2, 2"</definedName>
    <definedName name="cb_sChart13893CA8_opts" hidden="1">"1, 3, 1, False, 2, False, False, , 0, False, True, 1, 1"</definedName>
    <definedName name="cb_sChart138A89C6_opts" hidden="1">"1, 5, 1, False, 2, True, False, , 0, False, True, 1, 1"</definedName>
    <definedName name="cb_sChart138A98B2_opts" hidden="1">"1, 3, 1, False, 2, False, False, , 0, False, False, 1, 1"</definedName>
    <definedName name="cb_sChart138A9A2F_opts" hidden="1">"1, 5, 1, False, 2, False, False, , 0, False, False, 1, 1"</definedName>
    <definedName name="cb_sChart138B4149_opts" hidden="1">"1, 5, 1, False, 2, False, False, , 0, False, False, 1, 1"</definedName>
    <definedName name="cb_sChart155036A2_opts" hidden="1">"1, 1, 1, False, 2, True, False, , 0, False, False, 1, 1"</definedName>
    <definedName name="cb_sChart1DB9B8D4_opts" hidden="1">"1, 10, 1, False, 2, False, False, , 0, False, False, 1, 1"</definedName>
    <definedName name="cb_sChart1DB9C5CE_opts" hidden="1">"1, 10, 1, False, 2, False, False, , 0, False, False, 1, 1"</definedName>
    <definedName name="cb_sChart1DBCD0EE_opts" hidden="1">"1, 10, 1, False, 2, False, False, , 0, False, False, 1, 1"</definedName>
    <definedName name="cb_sChart1DBCD418_opts" hidden="1">"1, 10, 1, False, 2, False,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-1215586120</definedName>
    <definedName name="cc" hidden="1">#REF!</definedName>
    <definedName name="cc0" localSheetId="2" hidden="1">{"'5국공정'!$A$1:$E$128"}</definedName>
    <definedName name="cc0" hidden="1">{"'5국공정'!$A$1:$E$128"}</definedName>
    <definedName name="CCC" hidden="1">#REF!</definedName>
    <definedName name="cccccccccccccccccccccc">#N/A</definedName>
    <definedName name="cccddd" hidden="1">{#N/A,#N/A,FALSE,"단축1";#N/A,#N/A,FALSE,"단축2";#N/A,#N/A,FALSE,"단축3";#N/A,#N/A,FALSE,"장축";#N/A,#N/A,FALSE,"4WD"}</definedName>
    <definedName name="CCR" localSheetId="2" hidden="1">{#N/A,#N/A,FALSE,"CCTV"}</definedName>
    <definedName name="CCR" hidden="1">{#N/A,#N/A,FALSE,"CCTV"}</definedName>
    <definedName name="CCR빈양식" localSheetId="2" hidden="1">{#N/A,#N/A,FALSE,"CCTV"}</definedName>
    <definedName name="CCR빈양식" hidden="1">{#N/A,#N/A,FALSE,"CCTV"}</definedName>
    <definedName name="cd">BlankMacro1</definedName>
    <definedName name="cDATA1">#REF!</definedName>
    <definedName name="CDB">CommonDB.xls</definedName>
    <definedName name="cdf">BlankMacro1</definedName>
    <definedName name="CENTA">#REF!</definedName>
    <definedName name="CENTA1">#REF!</definedName>
    <definedName name="CF">#N/A</definedName>
    <definedName name="CF_Eng">#REF!</definedName>
    <definedName name="CF02기초" localSheetId="2" hidden="1">{#N/A,#N/A,TRUE,"Summary";#N/A,#N/A,TRUE,"IS";#N/A,#N/A,TRUE,"Adj";#N/A,#N/A,TRUE,"BS";#N/A,#N/A,TRUE,"CF";#N/A,#N/A,TRUE,"Debt";#N/A,#N/A,TRUE,"IRR"}</definedName>
    <definedName name="CF02기초" hidden="1">{#N/A,#N/A,TRUE,"Summary";#N/A,#N/A,TRUE,"IS";#N/A,#N/A,TRUE,"Adj";#N/A,#N/A,TRUE,"BS";#N/A,#N/A,TRUE,"CF";#N/A,#N/A,TRUE,"Debt";#N/A,#N/A,TRUE,"IRR"}</definedName>
    <definedName name="cfclear" localSheetId="2" hidden="1">{#N/A,#N/A,FALSE,"BS";#N/A,#N/A,FALSE,"PL";#N/A,#N/A,FALSE,"처분";#N/A,#N/A,FALSE,"현금";#N/A,#N/A,FALSE,"매출";#N/A,#N/A,FALSE,"원가";#N/A,#N/A,FALSE,"경영"}</definedName>
    <definedName name="cfclear" hidden="1">{#N/A,#N/A,FALSE,"BS";#N/A,#N/A,FALSE,"PL";#N/A,#N/A,FALSE,"처분";#N/A,#N/A,FALSE,"현금";#N/A,#N/A,FALSE,"매출";#N/A,#N/A,FALSE,"원가";#N/A,#N/A,FALSE,"경영"}</definedName>
    <definedName name="CFICode_Datapage">#REF!</definedName>
    <definedName name="CFkor" localSheetId="2" hidden="1">{#N/A,#N/A,FALSE,"BS";#N/A,#N/A,FALSE,"PL";#N/A,#N/A,FALSE,"A";#N/A,#N/A,FALSE,"B";#N/A,#N/A,FALSE,"B1";#N/A,#N/A,FALSE,"C";#N/A,#N/A,FALSE,"C1";#N/A,#N/A,FALSE,"C2";#N/A,#N/A,FALSE,"D";#N/A,#N/A,FALSE,"E";#N/A,#N/A,FALSE,"F";#N/A,#N/A,FALSE,"AA";#N/A,#N/A,FALSE,"BB";#N/A,#N/A,FALSE,"CC";#N/A,#N/A,FALSE,"DD";#N/A,#N/A,FALSE,"EE";#N/A,#N/A,FALSE,"FF";#N/A,#N/A,FALSE,"PL10";#N/A,#N/A,FALSE,"PL20";#N/A,#N/A,FALSE,"PL30"}</definedName>
    <definedName name="CFkor" hidden="1">{#N/A,#N/A,FALSE,"BS";#N/A,#N/A,FALSE,"PL";#N/A,#N/A,FALSE,"A";#N/A,#N/A,FALSE,"B";#N/A,#N/A,FALSE,"B1";#N/A,#N/A,FALSE,"C";#N/A,#N/A,FALSE,"C1";#N/A,#N/A,FALSE,"C2";#N/A,#N/A,FALSE,"D";#N/A,#N/A,FALSE,"E";#N/A,#N/A,FALSE,"F";#N/A,#N/A,FALSE,"AA";#N/A,#N/A,FALSE,"BB";#N/A,#N/A,FALSE,"CC";#N/A,#N/A,FALSE,"DD";#N/A,#N/A,FALSE,"EE";#N/A,#N/A,FALSE,"FF";#N/A,#N/A,FALSE,"PL10";#N/A,#N/A,FALSE,"PL20";#N/A,#N/A,FALSE,"PL30"}</definedName>
    <definedName name="CFkor_1" localSheetId="2" hidden="1">{#N/A,#N/A,FALSE,"BS";#N/A,#N/A,FALSE,"PL";#N/A,#N/A,FALSE,"A";#N/A,#N/A,FALSE,"B";#N/A,#N/A,FALSE,"B1";#N/A,#N/A,FALSE,"C";#N/A,#N/A,FALSE,"C1";#N/A,#N/A,FALSE,"C2";#N/A,#N/A,FALSE,"D";#N/A,#N/A,FALSE,"E";#N/A,#N/A,FALSE,"F";#N/A,#N/A,FALSE,"AA";#N/A,#N/A,FALSE,"BB";#N/A,#N/A,FALSE,"CC";#N/A,#N/A,FALSE,"DD";#N/A,#N/A,FALSE,"EE";#N/A,#N/A,FALSE,"FF";#N/A,#N/A,FALSE,"PL10";#N/A,#N/A,FALSE,"PL20";#N/A,#N/A,FALSE,"PL30"}</definedName>
    <definedName name="CFkor_1" hidden="1">{#N/A,#N/A,FALSE,"BS";#N/A,#N/A,FALSE,"PL";#N/A,#N/A,FALSE,"A";#N/A,#N/A,FALSE,"B";#N/A,#N/A,FALSE,"B1";#N/A,#N/A,FALSE,"C";#N/A,#N/A,FALSE,"C1";#N/A,#N/A,FALSE,"C2";#N/A,#N/A,FALSE,"D";#N/A,#N/A,FALSE,"E";#N/A,#N/A,FALSE,"F";#N/A,#N/A,FALSE,"AA";#N/A,#N/A,FALSE,"BB";#N/A,#N/A,FALSE,"CC";#N/A,#N/A,FALSE,"DD";#N/A,#N/A,FALSE,"EE";#N/A,#N/A,FALSE,"FF";#N/A,#N/A,FALSE,"PL10";#N/A,#N/A,FALSE,"PL20";#N/A,#N/A,FALSE,"PL30"}</definedName>
    <definedName name="CF손익">#REF!</definedName>
    <definedName name="CF손익구분">#REF!</definedName>
    <definedName name="CF손익내용">#REF!</definedName>
    <definedName name="CF요인" hidden="1">#REF!</definedName>
    <definedName name="CF재무유입">#REF!</definedName>
    <definedName name="CF재무유입구분">#REF!</definedName>
    <definedName name="CF재무유입내용">#REF!</definedName>
    <definedName name="CF재무유출">#REF!</definedName>
    <definedName name="CF재무유출구분">#REF!</definedName>
    <definedName name="CF재무유출내용">#REF!</definedName>
    <definedName name="CF정산_1_3_">#REF!</definedName>
    <definedName name="CF증감">#REF!</definedName>
    <definedName name="CF증감구분">#REF!</definedName>
    <definedName name="CF증감구분1">#REF!</definedName>
    <definedName name="CF증감구분2">#REF!</definedName>
    <definedName name="CF증감내용">#REF!</definedName>
    <definedName name="CF참조">#N/A</definedName>
    <definedName name="CF투자유입">#REF!</definedName>
    <definedName name="CF투자유입구분">#REF!</definedName>
    <definedName name="CF투자유입내용">#REF!</definedName>
    <definedName name="CF투자유출">#REF!</definedName>
    <definedName name="CF투자유출구분">#REF!</definedName>
    <definedName name="CF투자유출내용">#REF!</definedName>
    <definedName name="cg">#REF!</definedName>
    <definedName name="CGM">#REF!</definedName>
    <definedName name="cgmh" hidden="1">{"'용역비'!$A$4:$C$8"}</definedName>
    <definedName name="ch_BS">#REF!</definedName>
    <definedName name="ch_PL">#REF!</definedName>
    <definedName name="CHANG" localSheetId="2" hidden="1">{#N/A,#N/A,FALSE,"P.C.B"}</definedName>
    <definedName name="CHANG" hidden="1">{#N/A,#N/A,FALSE,"P.C.B"}</definedName>
    <definedName name="ChangeRange" hidden="1">#REF!</definedName>
    <definedName name="Charity">#REF!</definedName>
    <definedName name="Chart">#REF!</definedName>
    <definedName name="ChartingArea">#REF!,#REF!</definedName>
    <definedName name="ChartTwo">#REF!</definedName>
    <definedName name="CHD" localSheetId="2" hidden="1">{#N/A,#N/A,FALSE,"손익표지";#N/A,#N/A,FALSE,"손익계산";#N/A,#N/A,FALSE,"일반관리비";#N/A,#N/A,FALSE,"영업외수익";#N/A,#N/A,FALSE,"영업외비용";#N/A,#N/A,FALSE,"매출액";#N/A,#N/A,FALSE,"요약손익";#N/A,#N/A,FALSE,"요약대차";#N/A,#N/A,FALSE,"매출채권현황";#N/A,#N/A,FALSE,"매출채권명세"}</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D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CHD_1" hidden="1">{#N/A,#N/A,FALSE,"손익표지";#N/A,#N/A,FALSE,"손익계산";#N/A,#N/A,FALSE,"일반관리비";#N/A,#N/A,FALSE,"영업외수익";#N/A,#N/A,FALSE,"영업외비용";#N/A,#N/A,FALSE,"매출액";#N/A,#N/A,FALSE,"요약손익";#N/A,#N/A,FALSE,"요약대차";#N/A,#N/A,FALSE,"매출채권현황";#N/A,#N/A,FALSE,"매출채권명세"}</definedName>
    <definedName name="CHECK">#REF!</definedName>
    <definedName name="Checks">#REF!</definedName>
    <definedName name="CHF">#REF!</definedName>
    <definedName name="CHO">#N/A</definedName>
    <definedName name="CI">BlankMacro1</definedName>
    <definedName name="CIE">BlankMacro1</definedName>
    <definedName name="CIG">BlankMacro1</definedName>
    <definedName name="CIGH">BlankMacro1</definedName>
    <definedName name="CIGJL">BlankMacro1</definedName>
    <definedName name="CIHG">BlankMacro1</definedName>
    <definedName name="ciperiod">#REF!</definedName>
    <definedName name="Cipla2" hidden="1">{TRUE,TRUE,-1.25,-15.5,604.5,369,FALSE,FALSE,TRUE,TRUE,0,1,83,1,38,4,5,4,TRUE,TRUE,3,TRUE,1,TRUE,75,"Swvu.inputs._.raw._.data.","ACwvu.inputs._.raw._.data.",#N/A,FALSE,FALSE,0.5,0.5,0.5,0.5,2,"&amp;F","&amp;A&amp;RPage &amp;P",FALSE,FALSE,FALSE,FALSE,1,60,#N/A,#N/A,"=R1C61:R53C89","=C1:C5",#N/A,#N/A,FALSE,FALSE,FALSE,1,600,600,FALSE,FALSE,TRUE,TRUE,TRUE}</definedName>
    <definedName name="CIQWBGuid" hidden="1">"d1c963a0-b82f-41e8-8899-7a947197e6d1"</definedName>
    <definedName name="Circ">#REF!</definedName>
    <definedName name="CIVIL">#N/A</definedName>
    <definedName name="ciwacc">#REF!</definedName>
    <definedName name="CI상">#REF!</definedName>
    <definedName name="CJI">BlankMacro1</definedName>
    <definedName name="CK">#REF!</definedName>
    <definedName name="CKEI">BlankMacro1</definedName>
    <definedName name="CKG" localSheetId="2" hidden="1">{#N/A,#N/A,FALSE,"기안지";#N/A,#N/A,FALSE,"통신지"}</definedName>
    <definedName name="CKG" hidden="1">{#N/A,#N/A,FALSE,"기안지";#N/A,#N/A,FALSE,"통신지"}</definedName>
    <definedName name="CL">#REF!</definedName>
    <definedName name="Claims">#REF!</definedName>
    <definedName name="ClaimsDate">#REF!</definedName>
    <definedName name="ClaimsSpecialty">#REF!</definedName>
    <definedName name="CLASS">#N/A</definedName>
    <definedName name="ClData1">#REF!</definedName>
    <definedName name="ClData2">#REF!</definedName>
    <definedName name="ClData3">#REF!</definedName>
    <definedName name="ClData4">#REF!</definedName>
    <definedName name="Cldata5">#REF!</definedName>
    <definedName name="ClData6">#REF!</definedName>
    <definedName name="ClData7">#REF!</definedName>
    <definedName name="clexane">#REF!</definedName>
    <definedName name="CLIENT_NAME">#REF!</definedName>
    <definedName name="clientd">#REF!</definedName>
    <definedName name="Close_Call">#REF!</definedName>
    <definedName name="CLOSE_onsite">#REF!</definedName>
    <definedName name="CLOSE_onsite_drug">#REF!</definedName>
    <definedName name="CloseAss_Call">#REF!</definedName>
    <definedName name="CM">#REF!</definedName>
    <definedName name="cm1_fct_xl1">#REF!</definedName>
    <definedName name="cmi_amt">#REF!</definedName>
    <definedName name="cmi_amt1">#REF!</definedName>
    <definedName name="cmi_fct">#REF!</definedName>
    <definedName name="cmi_fct_xl">#REF!</definedName>
    <definedName name="cmklldje" hidden="1">{"'Sheet1'!$A$1:$H$36"}</definedName>
    <definedName name="co">#REF!</definedName>
    <definedName name="CO0.6">#REF!</definedName>
    <definedName name="CO1.0">#REF!</definedName>
    <definedName name="CO2_">#N/A</definedName>
    <definedName name="CO20.0">#REF!</definedName>
    <definedName name="COA_10">#REF!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t">#REF!</definedName>
    <definedName name="Code" hidden="1">#REF!</definedName>
    <definedName name="CODE1">#REF!</definedName>
    <definedName name="CODE2">#REF!</definedName>
    <definedName name="CODE3">#REF!</definedName>
    <definedName name="CODE4">#REF!</definedName>
    <definedName name="CODE5">#REF!</definedName>
    <definedName name="CODE6">#REF!</definedName>
    <definedName name="CODE7">#REF!</definedName>
    <definedName name="Codes_AE">#REF!</definedName>
    <definedName name="Codes_Med">#REF!</definedName>
    <definedName name="CODRIE">#REF!</definedName>
    <definedName name="coefficient">#REF!</definedName>
    <definedName name="coefficient2">#REF!</definedName>
    <definedName name="COIL창고" hidden="1">{#N/A,#N/A,FALSE,"신규dep";#N/A,#N/A,FALSE,"신규dep-금형상각후";#N/A,#N/A,FALSE,"신규dep-연구비상각후";#N/A,#N/A,FALSE,"신규dep-기계,공구상각후"}</definedName>
    <definedName name="Col_AC_N_1_AvRepFFApresRet">#REF!</definedName>
    <definedName name="Col_AC_N_1_AvRepLocalApresRet">#REF!</definedName>
    <definedName name="Col_PA_AnneeNFFApresRet">#REF!</definedName>
    <definedName name="Col_PA_AnneeNLocalApresRet">#REF!</definedName>
    <definedName name="Col_PA_N_1_AvRepFFApresRet">#REF!</definedName>
    <definedName name="Col_PA_N_1_AvRepLocalApresRet">#REF!</definedName>
    <definedName name="Col_PA_Retrait">#REF!</definedName>
    <definedName name="Col_PA_SocialAvantRet">#REF!</definedName>
    <definedName name="Col_PAR_3112P260">#REF!</definedName>
    <definedName name="Col_PAR_RETP130">#REF!</definedName>
    <definedName name="ColumnAttributes1">#REF!</definedName>
    <definedName name="ColumnHeadings1">#REF!</definedName>
    <definedName name="COM">#N/A</definedName>
    <definedName name="com_c_sg">#REF!</definedName>
    <definedName name="com_c_sg_xl">#REF!</definedName>
    <definedName name="com_h_sg">#REF!</definedName>
    <definedName name="com_h_sg_xl">#REF!</definedName>
    <definedName name="COMBO">#REF!</definedName>
    <definedName name="COMBO_onsite">#REF!</definedName>
    <definedName name="COMDLLS">#REF!</definedName>
    <definedName name="Common">#REF!</definedName>
    <definedName name="CommonDatabase">#REF!</definedName>
    <definedName name="CommonDatabase1">#REF!</definedName>
    <definedName name="COMPANY">#N/A</definedName>
    <definedName name="con">#REF!</definedName>
    <definedName name="conb1">#REF!</definedName>
    <definedName name="conb10">#REF!</definedName>
    <definedName name="conb100">#REF!</definedName>
    <definedName name="conb101">#REF!</definedName>
    <definedName name="conb102">#REF!</definedName>
    <definedName name="conb103">#REF!</definedName>
    <definedName name="conb104">#REF!</definedName>
    <definedName name="conb105">#REF!</definedName>
    <definedName name="conb106">#REF!</definedName>
    <definedName name="conb107">#REF!</definedName>
    <definedName name="conb108">#REF!</definedName>
    <definedName name="conb109">#REF!</definedName>
    <definedName name="conb11">#REF!</definedName>
    <definedName name="conb110">#REF!</definedName>
    <definedName name="conb111">#REF!</definedName>
    <definedName name="conb112">#REF!</definedName>
    <definedName name="conb113">#REF!</definedName>
    <definedName name="conb114">#REF!</definedName>
    <definedName name="conb115">#REF!</definedName>
    <definedName name="conb116">#REF!</definedName>
    <definedName name="conb117">#REF!</definedName>
    <definedName name="conb118">#REF!</definedName>
    <definedName name="conb119">#REF!</definedName>
    <definedName name="conb12">#REF!</definedName>
    <definedName name="conb120">#REF!</definedName>
    <definedName name="conb121">#REF!</definedName>
    <definedName name="conb13">#REF!</definedName>
    <definedName name="conb14">#REF!</definedName>
    <definedName name="conb15">#REF!</definedName>
    <definedName name="conb16">#REF!</definedName>
    <definedName name="conb17">#REF!</definedName>
    <definedName name="conb18">#REF!</definedName>
    <definedName name="conb19">#REF!</definedName>
    <definedName name="conb2">#REF!</definedName>
    <definedName name="conb20">#REF!</definedName>
    <definedName name="conb21">#REF!</definedName>
    <definedName name="conb22">#REF!</definedName>
    <definedName name="conb23">#REF!</definedName>
    <definedName name="conb24">#REF!</definedName>
    <definedName name="conb25">#REF!</definedName>
    <definedName name="conb26">#REF!</definedName>
    <definedName name="conb27">#REF!</definedName>
    <definedName name="conb28">#REF!</definedName>
    <definedName name="conb29">#REF!</definedName>
    <definedName name="conb3">#REF!</definedName>
    <definedName name="conb30">#REF!</definedName>
    <definedName name="conb31">#REF!</definedName>
    <definedName name="conb33">#REF!</definedName>
    <definedName name="conb34">#REF!</definedName>
    <definedName name="conb36">#REF!</definedName>
    <definedName name="conb37">#REF!</definedName>
    <definedName name="conb38">#REF!</definedName>
    <definedName name="conb39">#REF!</definedName>
    <definedName name="conb4">#REF!</definedName>
    <definedName name="conb40">#REF!</definedName>
    <definedName name="conb41">#REF!</definedName>
    <definedName name="conb42">#REF!</definedName>
    <definedName name="conb43">#REF!</definedName>
    <definedName name="conb44">#REF!</definedName>
    <definedName name="conb45">#REF!</definedName>
    <definedName name="conb46">#REF!</definedName>
    <definedName name="conb47">#REF!</definedName>
    <definedName name="conb48">#REF!</definedName>
    <definedName name="conb49">#REF!</definedName>
    <definedName name="conb5">#REF!</definedName>
    <definedName name="conb50">#REF!</definedName>
    <definedName name="conb51">#REF!</definedName>
    <definedName name="conb52">#REF!</definedName>
    <definedName name="conb53">#REF!</definedName>
    <definedName name="conb54">#REF!</definedName>
    <definedName name="conb55">#REF!</definedName>
    <definedName name="conb58">#REF!</definedName>
    <definedName name="conb59">#REF!</definedName>
    <definedName name="conb6">#REF!</definedName>
    <definedName name="conb60">#REF!</definedName>
    <definedName name="conb61">#REF!</definedName>
    <definedName name="conb62">#REF!</definedName>
    <definedName name="conb63">#REF!</definedName>
    <definedName name="conb64">#REF!</definedName>
    <definedName name="conb65">#REF!</definedName>
    <definedName name="conb66">#REF!</definedName>
    <definedName name="conb67">#REF!</definedName>
    <definedName name="conb68">#REF!</definedName>
    <definedName name="conb69">#REF!</definedName>
    <definedName name="conb7">#REF!</definedName>
    <definedName name="conb70">#REF!</definedName>
    <definedName name="conb71">#REF!</definedName>
    <definedName name="conb72">#REF!</definedName>
    <definedName name="conb73">#REF!</definedName>
    <definedName name="conb74">#REF!</definedName>
    <definedName name="conb75">#REF!</definedName>
    <definedName name="conb76">#REF!</definedName>
    <definedName name="conb77">#REF!</definedName>
    <definedName name="conb78">#REF!</definedName>
    <definedName name="conb79">#REF!</definedName>
    <definedName name="conb8">#REF!</definedName>
    <definedName name="conb80">#REF!</definedName>
    <definedName name="conb81">#REF!</definedName>
    <definedName name="conb82">#REF!</definedName>
    <definedName name="conb83">#REF!</definedName>
    <definedName name="conb84">#REF!</definedName>
    <definedName name="conb85">#REF!</definedName>
    <definedName name="conb86">#REF!</definedName>
    <definedName name="conb87">#REF!</definedName>
    <definedName name="conb88">#REF!</definedName>
    <definedName name="conb89">#REF!</definedName>
    <definedName name="conb9">#REF!</definedName>
    <definedName name="conb90">#REF!</definedName>
    <definedName name="conb91">#REF!</definedName>
    <definedName name="conb92">#REF!</definedName>
    <definedName name="conb93">#REF!</definedName>
    <definedName name="conb94">#REF!</definedName>
    <definedName name="conb95">#REF!</definedName>
    <definedName name="conb96">#REF!</definedName>
    <definedName name="conb97">#REF!</definedName>
    <definedName name="conb98">#REF!</definedName>
    <definedName name="conb99">#REF!</definedName>
    <definedName name="CONC">#N/A</definedName>
    <definedName name="CONCEPT" hidden="1">{#N/A,#N/A,FALSE,"단축1";#N/A,#N/A,FALSE,"단축2";#N/A,#N/A,FALSE,"단축3";#N/A,#N/A,FALSE,"장축";#N/A,#N/A,FALSE,"4WD"}</definedName>
    <definedName name="concrete">#REF!</definedName>
    <definedName name="COND_D">#REF!</definedName>
    <definedName name="Config_Date">#REF!</definedName>
    <definedName name="Config_Excluded">#REF!</definedName>
    <definedName name="Config_ExcludedList">#REF!</definedName>
    <definedName name="Config_ProjStatus">#REF!</definedName>
    <definedName name="ConfSwitch">#REF!</definedName>
    <definedName name="consideration">#REF!</definedName>
    <definedName name="Consol"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ide">#REF!</definedName>
    <definedName name="consulgin" hidden="1">{"'Price List '!$A$1:$R$156"}</definedName>
    <definedName name="CONSUM">#REF!</definedName>
    <definedName name="ContentsHelp" hidden="1">#REF!</definedName>
    <definedName name="Contrac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or">#REF!</definedName>
    <definedName name="controlV">#REF!</definedName>
    <definedName name="COPY" hidden="1">{#N/A,#N/A,FALSE,"단축1";#N/A,#N/A,FALSE,"단축2";#N/A,#N/A,FALSE,"단축3";#N/A,#N/A,FALSE,"장축";#N/A,#N/A,FALSE,"4WD"}</definedName>
    <definedName name="COPY1" hidden="1">{#N/A,#N/A,FALSE,"단축1";#N/A,#N/A,FALSE,"단축2";#N/A,#N/A,FALSE,"단축3";#N/A,#N/A,FALSE,"장축";#N/A,#N/A,FALSE,"4WD"}</definedName>
    <definedName name="COPY990">#REF!</definedName>
    <definedName name="COS">#N/A</definedName>
    <definedName name="COS_UC">#N/A</definedName>
    <definedName name="COST" hidden="1">#REF!</definedName>
    <definedName name="COSTT" hidden="1">#REF!</definedName>
    <definedName name="Countries">#REF!</definedName>
    <definedName name="countrow">#REF!</definedName>
    <definedName name="Country">#REF!</definedName>
    <definedName name="Courses">#REF!</definedName>
    <definedName name="COVER" hidden="1">{#N/A,#N/A,FALSE,"단축1";#N/A,#N/A,FALSE,"단축2";#N/A,#N/A,FALSE,"단축3";#N/A,#N/A,FALSE,"장축";#N/A,#N/A,FALSE,"4WD"}</definedName>
    <definedName name="cox" hidden="1">{#N/A,#N/A,FALSE,"Time Warner";#N/A,#N/A,FALSE,"Entertainment Group";#N/A,#N/A,FALSE,"EBITDA";#N/A,#N/A,FALSE,"Notes"}</definedName>
    <definedName name="CO상">#REF!</definedName>
    <definedName name="cp">#REF!</definedName>
    <definedName name="CPAD" hidden="1">{#N/A,#N/A,FALSE,"단축1";#N/A,#N/A,FALSE,"단축2";#N/A,#N/A,FALSE,"단축3";#N/A,#N/A,FALSE,"장축";#N/A,#N/A,FALSE,"4WD"}</definedName>
    <definedName name="CPIU00">3%</definedName>
    <definedName name="CPIU01">4%</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#N/A</definedName>
    <definedName name="CR3RT">#REF!</definedName>
    <definedName name="CR3RTDK">#REF!</definedName>
    <definedName name="CR5RTDK">#REF!</definedName>
    <definedName name="crap">#REF!</definedName>
    <definedName name="CreateTable" hidden="1">#REF!</definedName>
    <definedName name="crf">#REF!</definedName>
    <definedName name="_xlnm.Criteria">#REF!</definedName>
    <definedName name="Criteria_MI">#REF!</definedName>
    <definedName name="Critical_Component">#REF!</definedName>
    <definedName name="CRJE" localSheetId="2" hidden="1">{#N/A,#N/A,FALSE,"BS";#N/A,#N/A,FALSE,"PL";#N/A,#N/A,FALSE,"처분";#N/A,#N/A,FALSE,"현금";#N/A,#N/A,FALSE,"매출";#N/A,#N/A,FALSE,"원가";#N/A,#N/A,FALSE,"경영"}</definedName>
    <definedName name="CRJE" hidden="1">{#N/A,#N/A,FALSE,"BS";#N/A,#N/A,FALSE,"PL";#N/A,#N/A,FALSE,"처분";#N/A,#N/A,FALSE,"현금";#N/A,#N/A,FALSE,"매출";#N/A,#N/A,FALSE,"원가";#N/A,#N/A,FALSE,"경영"}</definedName>
    <definedName name="CRJE_1" localSheetId="2" hidden="1">{#N/A,#N/A,FALSE,"BS";#N/A,#N/A,FALSE,"PL";#N/A,#N/A,FALSE,"처분";#N/A,#N/A,FALSE,"현금";#N/A,#N/A,FALSE,"매출";#N/A,#N/A,FALSE,"원가";#N/A,#N/A,FALSE,"경영"}</definedName>
    <definedName name="CRJE_1" hidden="1">{#N/A,#N/A,FALSE,"BS";#N/A,#N/A,FALSE,"PL";#N/A,#N/A,FALSE,"처분";#N/A,#N/A,FALSE,"현금";#N/A,#N/A,FALSE,"매출";#N/A,#N/A,FALSE,"원가";#N/A,#N/A,FALSE,"경영"}</definedName>
    <definedName name="crush_s">#REF!</definedName>
    <definedName name="CS">BlankMacro1</definedName>
    <definedName name="CS_Mcal">#REF!</definedName>
    <definedName name="CS_Mcare">#REF!</definedName>
    <definedName name="csd">#REF!</definedName>
    <definedName name="cu102.ShareScalingFactor" hidden="1">1000000</definedName>
    <definedName name="cu103.EmployeeScalingFactor" hidden="1">1000</definedName>
    <definedName name="cu107.EPSSymbol" hidden="1">"CHF"</definedName>
    <definedName name="cu71.ScalingFactor" hidden="1">1000000</definedName>
    <definedName name="CUGH">BlankMacro1</definedName>
    <definedName name="CUM">#REF!</definedName>
    <definedName name="CUMUP">#REF!</definedName>
    <definedName name="Cur">INDIRECT("Data!$d$2:$D$"&amp;COUNTA(#REF!))</definedName>
    <definedName name="curr_div">#REF!</definedName>
    <definedName name="Currency">#REF!</definedName>
    <definedName name="Currency_Threshold">#REF!</definedName>
    <definedName name="Current">#REF!</definedName>
    <definedName name="CurrentPd">#REF!</definedName>
    <definedName name="custcode">#REF!</definedName>
    <definedName name="CV">#REF!</definedName>
    <definedName name="CV_18">#REF!</definedName>
    <definedName name="CV38재">#N/A</definedName>
    <definedName name="CV8재">#N/A</definedName>
    <definedName name="CVC" localSheetId="2" hidden="1">{"'Jibu9811 (3)'!$B$1:$J$433"}</definedName>
    <definedName name="CVC" hidden="1">{"'Jibu9811 (3)'!$B$1:$J$433"}</definedName>
    <definedName name="cvcv" localSheetId="2" hidden="1">{#N/A,#N/A,FALSE,"Aging Summary";#N/A,#N/A,FALSE,"Ratio Analysis";#N/A,#N/A,FALSE,"Test 120 Day Accts";#N/A,#N/A,FALSE,"Tickmarks"}</definedName>
    <definedName name="cvcv" hidden="1">{#N/A,#N/A,FALSE,"Aging Summary";#N/A,#N/A,FALSE,"Ratio Analysis";#N/A,#N/A,FALSE,"Test 120 Day Accts";#N/A,#N/A,FALSE,"Tickmarks"}</definedName>
    <definedName name="CVKAK">BlankMacro1</definedName>
    <definedName name="CW">#REF!</definedName>
    <definedName name="CWAF물정보비">#REF!</definedName>
    <definedName name="CWAF실정보비">#REF!</definedName>
    <definedName name="Cwvu.Annual." hidden="1">#REF!,#REF!</definedName>
    <definedName name="Cwvu.Hist." hidden="1">#REF!,#REF!</definedName>
    <definedName name="Cwvu.Qrtrly." hidden="1">#REF!,#REF!</definedName>
    <definedName name="cxz">#REF!</definedName>
    <definedName name="CY">#REF!</definedName>
    <definedName name="CY_Accounts_Receivable">#REF!</definedName>
    <definedName name="CY_Accruals_and_deferred_income">#REF!</definedName>
    <definedName name="CY_Administration">#REF!</definedName>
    <definedName name="CY_Administrative_expenses">#REF!</definedName>
    <definedName name="CY_all_Assets">#REF!</definedName>
    <definedName name="CY_all_Equity">#REF!</definedName>
    <definedName name="CY_all_Income">#REF!</definedName>
    <definedName name="CY_all_Liabs">#REF!</definedName>
    <definedName name="CY_all_RetEarn_bf">#REF!</definedName>
    <definedName name="CY_Amortisation__depreciation">#REF!</definedName>
    <definedName name="CY_Asset_Management_on_behalf_of_third_parties">#REF!</definedName>
    <definedName name="CY_Assets">#REF!</definedName>
    <definedName name="CY_Called_up_share_capital">#REF!</definedName>
    <definedName name="CY_Cash">#REF!</definedName>
    <definedName name="CY_Cash_and_balances_at_central_banks">#REF!</definedName>
    <definedName name="CY_Cash_Div_Dec">#REF!</definedName>
    <definedName name="CY_Commitments_in_favour_of_credit_institutions">#REF!</definedName>
    <definedName name="CY_Commitments_in_favour_of_customers">#REF!</definedName>
    <definedName name="CY_Commitments_in_respect_of_securities">#REF!</definedName>
    <definedName name="CY_Commitments_received_from_credit_institutions">#REF!</definedName>
    <definedName name="CY_Common_Equity">#REF!</definedName>
    <definedName name="CY_Control_of_profit_and_loss_account__must_equal_zero">#REF!</definedName>
    <definedName name="CY_Cost_of_Sales">#REF!</definedName>
    <definedName name="CY_Currency_desks">#REF!</definedName>
    <definedName name="CY_Current_Liabilities">#REF!</definedName>
    <definedName name="CY_Customer_Accounts">#REF!</definedName>
    <definedName name="CY_Debt_Securities">#REF!</definedName>
    <definedName name="CY_Debt_Securities_in_issue">#REF!</definedName>
    <definedName name="CY_Deposits_by_banks">#REF!</definedName>
    <definedName name="CY_Depreciation">#REF!</definedName>
    <definedName name="CY_Dividend_Income">#REF!</definedName>
    <definedName name="CY_Equity_and_commodity_desks">#REF!</definedName>
    <definedName name="CY_Equity_Shares">#REF!</definedName>
    <definedName name="CY_Fees_and_commissions_payable">#REF!</definedName>
    <definedName name="CY_Fees_and_commissions_receivable">#REF!</definedName>
    <definedName name="CY_Financing_commitments">#REF!</definedName>
    <definedName name="CY_Gross_Profit">#REF!</definedName>
    <definedName name="CY_Guarantees">#REF!</definedName>
    <definedName name="CY_Guarantees_in_respect_of_securities">#REF!</definedName>
    <definedName name="CY_Guarantees_received_from_credit_institutions">#REF!</definedName>
    <definedName name="CY_Guarantees_to_credit_institutions">#REF!</definedName>
    <definedName name="CY_Inc_Bef_Tax">#REF!</definedName>
    <definedName name="CY_Income_from_associated_undertakings">#REF!</definedName>
    <definedName name="CY_Intangible_Assets">#REF!</definedName>
    <definedName name="CY_Intangible_Fixed_Assets">#REF!</definedName>
    <definedName name="CY_Interest_Expense">#REF!</definedName>
    <definedName name="CY_Interest_in_associated_undertakings">#REF!</definedName>
    <definedName name="CY_Interest_payable_and_similar_charges">#REF!</definedName>
    <definedName name="CY_Interest_rate_desks">#REF!</definedName>
    <definedName name="CY_Interest_receivable_and_similar_charges">#REF!</definedName>
    <definedName name="CY_Inventory">#REF!</definedName>
    <definedName name="CY_investment">#REF!</definedName>
    <definedName name="CY_knw_Assets">#REF!</definedName>
    <definedName name="CY_knw_Equity">#REF!</definedName>
    <definedName name="CY_knw_Income">#REF!</definedName>
    <definedName name="CY_knw_Liabs">#REF!</definedName>
    <definedName name="CY_knw_RetEarn_bf">#REF!</definedName>
    <definedName name="CY_LIABIL_EQUITY">#REF!</definedName>
    <definedName name="CY_lik_Assets">#REF!</definedName>
    <definedName name="CY_lik_Equity">#REF!</definedName>
    <definedName name="CY_lik_Income">#REF!</definedName>
    <definedName name="CY_lik_Liabs">#REF!</definedName>
    <definedName name="CY_lik_RetEarn_bf">#REF!</definedName>
    <definedName name="CY_Loans_and_advances_to_banks">#REF!</definedName>
    <definedName name="CY_Loans_and_advances_to_customers">#REF!</definedName>
    <definedName name="CY_Loss_on_sale_of_group_undertakings">#REF!</definedName>
    <definedName name="CY_LT_Debt">#REF!</definedName>
    <definedName name="CY_Market_Value_of_Equity">#REF!</definedName>
    <definedName name="CY_Marketable_Sec">#REF!</definedName>
    <definedName name="CY_Net_Interest_Income">#REF!</definedName>
    <definedName name="CY_NET_PROFIT">#REF!</definedName>
    <definedName name="CY_Net_Revenue">#REF!</definedName>
    <definedName name="CY_Non_Interest_Income">#REF!</definedName>
    <definedName name="CY_Operating_Income">#REF!</definedName>
    <definedName name="CY_Operating_profit">#REF!</definedName>
    <definedName name="CY_Operating_profit_before_provision">#REF!</definedName>
    <definedName name="CY_Other">#REF!</definedName>
    <definedName name="CY_Other_assets">#REF!</definedName>
    <definedName name="CY_Other_commitments_given">#REF!</definedName>
    <definedName name="CY_Other_commitments_received">#REF!</definedName>
    <definedName name="CY_Other_Curr_Assets">#REF!</definedName>
    <definedName name="CY_Other_desks">#REF!</definedName>
    <definedName name="CY_Other_Liabilities">#REF!</definedName>
    <definedName name="CY_Other_LT_Assets">#REF!</definedName>
    <definedName name="CY_Other_LT_Liabilities">#REF!</definedName>
    <definedName name="CY_Other_operating_income">#REF!</definedName>
    <definedName name="CY_Others">#REF!</definedName>
    <definedName name="CY_Preferred_Stock">#REF!</definedName>
    <definedName name="CY_Prepayments_and_accrued_income">#REF!</definedName>
    <definedName name="CY_Profit_and_loss_account">#REF!</definedName>
    <definedName name="CY_Profit_on_Ordinary_activities_after_taxes">#REF!</definedName>
    <definedName name="CY_Profit_on_ordinary_activities_before_taxes">#REF!</definedName>
    <definedName name="CY_Profit_on_sale_of_fixed_asset_investments">#REF!</definedName>
    <definedName name="CY_Provisions">#REF!</definedName>
    <definedName name="CY_Provisions_for_liabilities_and_charges">#REF!</definedName>
    <definedName name="CY_QUICK_ASSETS">#REF!</definedName>
    <definedName name="CY_Reevaluation_reserve">#REF!</definedName>
    <definedName name="CY_Reserves">#REF!</definedName>
    <definedName name="CY_Retained_Earnings">#REF!</definedName>
    <definedName name="CY_Securities_acquired_with_an_option_to_repurchase_or_take_back">#REF!</definedName>
    <definedName name="CY_Securities_sold_with_an_option_to_repurchase_or_take_back">#REF!</definedName>
    <definedName name="CY_Selling">#REF!</definedName>
    <definedName name="CY_Share_premium_account">#REF!</definedName>
    <definedName name="CY_Shareholders_Equity">#REF!</definedName>
    <definedName name="CY_Subordinated_debt">#REF!</definedName>
    <definedName name="CY_Tangible_Assets">#REF!</definedName>
    <definedName name="CY_Tangible_fixed_Assets">#REF!</definedName>
    <definedName name="CY_Tangible_Net_Worth">#REF!</definedName>
    <definedName name="CY_taxes">#REF!</definedName>
    <definedName name="CY_Total__Liabilities">#REF!</definedName>
    <definedName name="CY_Total_Assets">#REF!</definedName>
    <definedName name="CY_TOTAL_COMMITMENTS_RECEIVED">#REF!</definedName>
    <definedName name="CY_TOTAL_CONTINGENT_LIABILITIES">#REF!</definedName>
    <definedName name="CY_TOTAL_CURR_ASSETS">#REF!</definedName>
    <definedName name="CY_TOTAL_DEBT">#REF!</definedName>
    <definedName name="CY_TOTAL_EQUITY">#REF!</definedName>
    <definedName name="CY_Total_trading_activities_results">#REF!</definedName>
    <definedName name="CY_Treasury_bills_and_other_eligible_bills">#REF!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CY_Weighted_Average">#REF!</definedName>
    <definedName name="CY_Working_Capital">#REF!</definedName>
    <definedName name="CY_경상이익">#REF!</definedName>
    <definedName name="CY_단기차입금">#REF!</definedName>
    <definedName name="CY_매입채무">#REF!</definedName>
    <definedName name="CY_사채">#REF!</definedName>
    <definedName name="CY_유동성장기부채">#REF!</definedName>
    <definedName name="CY_장기차입금">#REF!</definedName>
    <definedName name="CY06_FFS_Days">#REF!</definedName>
    <definedName name="cz">#REF!</definedName>
    <definedName name="czx">#REF!</definedName>
    <definedName name="C채권계정과목">#REF!</definedName>
    <definedName name="C채무계정과목">#REF!</definedName>
    <definedName name="d" localSheetId="2" hidden="1">{#N/A,#N/A,FALSE,"UNIT";#N/A,#N/A,FALSE,"UNIT";#N/A,#N/A,FALSE,"계정"}</definedName>
    <definedName name="d" hidden="1">{#N/A,#N/A,FALSE,"UNIT";#N/A,#N/A,FALSE,"UNIT";#N/A,#N/A,FALSE,"계정"}</definedName>
    <definedName name="D_Currency_Threshold">#REF!</definedName>
    <definedName name="D_Percent_Threshold">#REF!</definedName>
    <definedName name="DA">#REF!</definedName>
    <definedName name="dafkj1">#REF!</definedName>
    <definedName name="Dan" hidden="1">#REF!</definedName>
    <definedName name="DANGA">#N/A</definedName>
    <definedName name="DANGA1">#REF!</definedName>
    <definedName name="DANGA10">#REF!</definedName>
    <definedName name="DANGA100">#REF!</definedName>
    <definedName name="DANGA101">#REF!</definedName>
    <definedName name="DANGA102">#REF!</definedName>
    <definedName name="DANGA103">#REF!</definedName>
    <definedName name="DANGA104">#REF!</definedName>
    <definedName name="DANGA105">#REF!</definedName>
    <definedName name="DANGA106">#REF!</definedName>
    <definedName name="DANGA107">#REF!</definedName>
    <definedName name="DANGA108">#REF!</definedName>
    <definedName name="DANGA109">#REF!</definedName>
    <definedName name="DANGA11">#REF!</definedName>
    <definedName name="DANGA110">#REF!</definedName>
    <definedName name="DANGA111">#REF!</definedName>
    <definedName name="DANGA112">#REF!</definedName>
    <definedName name="DANGA113">#REF!</definedName>
    <definedName name="DANGA114">#REF!</definedName>
    <definedName name="DANGA115">#REF!</definedName>
    <definedName name="DANGA116">#REF!</definedName>
    <definedName name="DANGA117">#REF!</definedName>
    <definedName name="DANGA118">#REF!</definedName>
    <definedName name="DANGA119">#REF!</definedName>
    <definedName name="DANGA12">#REF!</definedName>
    <definedName name="DANGA120">#REF!</definedName>
    <definedName name="DANGA121">#REF!</definedName>
    <definedName name="DANGA122">#REF!</definedName>
    <definedName name="DANGA123">#REF!</definedName>
    <definedName name="DANGA124">#REF!</definedName>
    <definedName name="DANGA125">#REF!</definedName>
    <definedName name="DANGA126">#REF!</definedName>
    <definedName name="DANGA127">#REF!</definedName>
    <definedName name="DANGA128">#REF!</definedName>
    <definedName name="DANGA129">#REF!</definedName>
    <definedName name="DANGA13">#REF!</definedName>
    <definedName name="DANGA130">#REF!</definedName>
    <definedName name="DANGA131">#REF!</definedName>
    <definedName name="DANGA132">#REF!</definedName>
    <definedName name="DANGA133">#REF!</definedName>
    <definedName name="DANGA134">#REF!</definedName>
    <definedName name="DANGA135">#REF!</definedName>
    <definedName name="DANGA136">#REF!</definedName>
    <definedName name="DANGA137">#REF!</definedName>
    <definedName name="DANGA138">#REF!</definedName>
    <definedName name="DANGA139">#REF!</definedName>
    <definedName name="DANGA14">#REF!</definedName>
    <definedName name="DANGA140">#REF!</definedName>
    <definedName name="DANGA141">#REF!</definedName>
    <definedName name="DANGA142">#REF!</definedName>
    <definedName name="DANGA143">#REF!</definedName>
    <definedName name="DANGA144">#REF!</definedName>
    <definedName name="DANGA145">#REF!</definedName>
    <definedName name="DANGA146">#REF!</definedName>
    <definedName name="DANGA147">#REF!</definedName>
    <definedName name="DANGA148">#REF!</definedName>
    <definedName name="DANGA149">#REF!</definedName>
    <definedName name="DANGA15">#REF!</definedName>
    <definedName name="DANGA150">#REF!</definedName>
    <definedName name="DANGA151">#REF!</definedName>
    <definedName name="DANGA152">#REF!</definedName>
    <definedName name="DANGA153">#REF!</definedName>
    <definedName name="DANGA154">#REF!</definedName>
    <definedName name="DANGA155">#REF!</definedName>
    <definedName name="DANGA156">#REF!</definedName>
    <definedName name="DANGA157">#REF!</definedName>
    <definedName name="DANGA158">#REF!</definedName>
    <definedName name="DANGA159">#REF!</definedName>
    <definedName name="DANGA16">#REF!</definedName>
    <definedName name="DANGA160">#REF!</definedName>
    <definedName name="DANGA161">#REF!</definedName>
    <definedName name="DANGA162">#REF!</definedName>
    <definedName name="DANGA163">#REF!</definedName>
    <definedName name="DANGA164">#REF!</definedName>
    <definedName name="DANGA165">#REF!</definedName>
    <definedName name="DANGA166">#REF!</definedName>
    <definedName name="DANGA167">#REF!</definedName>
    <definedName name="DANGA168">#REF!</definedName>
    <definedName name="DANGA169">#REF!</definedName>
    <definedName name="DANGA17">#REF!</definedName>
    <definedName name="DANGA170">#REF!</definedName>
    <definedName name="DANGA171">#REF!</definedName>
    <definedName name="DANGA172">#REF!</definedName>
    <definedName name="DANGA173">#REF!</definedName>
    <definedName name="DANGA174">#REF!</definedName>
    <definedName name="DANGA175">#REF!</definedName>
    <definedName name="DANGA176">#REF!</definedName>
    <definedName name="DANGA177">#REF!</definedName>
    <definedName name="DANGA178">#REF!</definedName>
    <definedName name="DANGA179">#REF!</definedName>
    <definedName name="DANGA18">#REF!</definedName>
    <definedName name="DANGA180">#REF!</definedName>
    <definedName name="DANGA181">#REF!</definedName>
    <definedName name="DANGA182">#REF!</definedName>
    <definedName name="DANGA183">#REF!</definedName>
    <definedName name="DANGA184">#REF!</definedName>
    <definedName name="DANGA185">#REF!</definedName>
    <definedName name="DANGA186">#REF!</definedName>
    <definedName name="DANGA187">#REF!</definedName>
    <definedName name="DANGA188">#REF!</definedName>
    <definedName name="DANGA189">#REF!</definedName>
    <definedName name="DANGA19">#REF!</definedName>
    <definedName name="DANGA190">#REF!</definedName>
    <definedName name="DANGA191">#REF!</definedName>
    <definedName name="DANGA192">#REF!</definedName>
    <definedName name="DANGA193">#REF!</definedName>
    <definedName name="DANGA194">#REF!</definedName>
    <definedName name="DANGA195">#REF!</definedName>
    <definedName name="DANGA196">#REF!</definedName>
    <definedName name="DANGA197">#REF!</definedName>
    <definedName name="DANGA198">#REF!</definedName>
    <definedName name="DANGA199">#REF!</definedName>
    <definedName name="DANGA2">#REF!</definedName>
    <definedName name="DANGA20">#REF!</definedName>
    <definedName name="DANGA200">#REF!</definedName>
    <definedName name="DANGA201">#REF!</definedName>
    <definedName name="DANGA202">#REF!</definedName>
    <definedName name="DANGA203">#REF!</definedName>
    <definedName name="DANGA204">#REF!</definedName>
    <definedName name="DANGA205">#REF!</definedName>
    <definedName name="DANGA206">#REF!</definedName>
    <definedName name="DANGA207">#REF!</definedName>
    <definedName name="DANGA208">#REF!</definedName>
    <definedName name="DANGA209">#REF!</definedName>
    <definedName name="DANGA21">#REF!</definedName>
    <definedName name="DANGA210">#REF!</definedName>
    <definedName name="DANGA211">#REF!</definedName>
    <definedName name="DANGA212">#REF!</definedName>
    <definedName name="DANGA213">#REF!</definedName>
    <definedName name="DANGA214">#REF!</definedName>
    <definedName name="DANGA215">#REF!</definedName>
    <definedName name="DANGA216">#REF!</definedName>
    <definedName name="DANGA217">#REF!</definedName>
    <definedName name="DANGA218">#REF!</definedName>
    <definedName name="DANGA219">#REF!</definedName>
    <definedName name="DANGA22">#REF!</definedName>
    <definedName name="DANGA220">#REF!</definedName>
    <definedName name="DANGA221">#REF!</definedName>
    <definedName name="DANGA222">#REF!</definedName>
    <definedName name="DANGA223">#REF!</definedName>
    <definedName name="DANGA224">#REF!</definedName>
    <definedName name="DANGA225">#REF!</definedName>
    <definedName name="DANGA226">#REF!</definedName>
    <definedName name="DANGA227">#REF!</definedName>
    <definedName name="DANGA228">#REF!</definedName>
    <definedName name="DANGA23">#REF!</definedName>
    <definedName name="DANGA24">#REF!</definedName>
    <definedName name="DANGA25">#REF!</definedName>
    <definedName name="DANGA26">#REF!</definedName>
    <definedName name="DANGA27">#REF!</definedName>
    <definedName name="DANGA28">#REF!</definedName>
    <definedName name="DANGA29">#REF!</definedName>
    <definedName name="DANGA3">#REF!</definedName>
    <definedName name="DANGA30">#REF!</definedName>
    <definedName name="DANGA31">#REF!</definedName>
    <definedName name="DANGA32">#REF!</definedName>
    <definedName name="DANGA33">#REF!</definedName>
    <definedName name="DANGA34">#REF!</definedName>
    <definedName name="DANGA35">#REF!</definedName>
    <definedName name="DANGA36">#REF!</definedName>
    <definedName name="DANGA37">#REF!</definedName>
    <definedName name="DANGA38">#REF!</definedName>
    <definedName name="DANGA39">#REF!</definedName>
    <definedName name="DANGA4">#REF!</definedName>
    <definedName name="DANGA40">#REF!</definedName>
    <definedName name="DANGA41">#REF!</definedName>
    <definedName name="DANGA42">#REF!</definedName>
    <definedName name="DANGA43">#REF!</definedName>
    <definedName name="DANGA44">#REF!</definedName>
    <definedName name="DANGA45">#REF!</definedName>
    <definedName name="DANGA46">#REF!</definedName>
    <definedName name="DANGA47">#REF!</definedName>
    <definedName name="DANGA48">#REF!</definedName>
    <definedName name="DANGA49">#REF!</definedName>
    <definedName name="DANGA5">#REF!</definedName>
    <definedName name="DANGA50">#REF!</definedName>
    <definedName name="DANGA51">#REF!</definedName>
    <definedName name="DANGA52">#REF!</definedName>
    <definedName name="DANGA53">#REF!</definedName>
    <definedName name="DANGA54">#REF!</definedName>
    <definedName name="DANGA55">#REF!</definedName>
    <definedName name="DANGA56">#REF!</definedName>
    <definedName name="DANGA57">#REF!</definedName>
    <definedName name="DANGA58">#REF!</definedName>
    <definedName name="DANGA59">#REF!</definedName>
    <definedName name="DANGA6">#REF!</definedName>
    <definedName name="DANGA60">#REF!</definedName>
    <definedName name="DANGA61">#REF!</definedName>
    <definedName name="DANGA62">#REF!</definedName>
    <definedName name="DANGA63">#REF!</definedName>
    <definedName name="DANGA64">#REF!</definedName>
    <definedName name="DANGA65">#REF!</definedName>
    <definedName name="DANGA66">#REF!</definedName>
    <definedName name="DANGA67">#REF!</definedName>
    <definedName name="DANGA68">#REF!</definedName>
    <definedName name="DANGA69">#REF!</definedName>
    <definedName name="DANGA7">#REF!</definedName>
    <definedName name="DANGA70">#REF!</definedName>
    <definedName name="DANGA71">#REF!</definedName>
    <definedName name="DANGA72">#REF!</definedName>
    <definedName name="DANGA73">#REF!</definedName>
    <definedName name="DANGA74">#REF!</definedName>
    <definedName name="DANGA75">#REF!</definedName>
    <definedName name="DANGA76">#REF!</definedName>
    <definedName name="DANGA77">#REF!</definedName>
    <definedName name="DANGA78">#REF!</definedName>
    <definedName name="DANGA79">#REF!</definedName>
    <definedName name="DANGA8">#REF!</definedName>
    <definedName name="DANGA80">#REF!</definedName>
    <definedName name="DANGA81">#REF!</definedName>
    <definedName name="DANGA82">#REF!</definedName>
    <definedName name="DANGA83">#REF!</definedName>
    <definedName name="DANGA84">#REF!</definedName>
    <definedName name="DANGA85">#REF!</definedName>
    <definedName name="DANGA86">#REF!</definedName>
    <definedName name="DANGA87">#REF!</definedName>
    <definedName name="DANGA88">#REF!</definedName>
    <definedName name="DANGA89">#REF!</definedName>
    <definedName name="DANGA9">#REF!</definedName>
    <definedName name="DANGA90">#REF!</definedName>
    <definedName name="DANGA91">#REF!</definedName>
    <definedName name="DANGA92">#REF!</definedName>
    <definedName name="DANGA93">#REF!</definedName>
    <definedName name="DANGA94">#REF!</definedName>
    <definedName name="DANGA95">#REF!</definedName>
    <definedName name="DANGA96">#REF!</definedName>
    <definedName name="DANGA97">#REF!</definedName>
    <definedName name="DANGA98">#REF!</definedName>
    <definedName name="DANGA99">#REF!</definedName>
    <definedName name="DANWI">#N/A</definedName>
    <definedName name="dasdg" hidden="1">{#N/A,"Base Case",FALSE,"Revenue";#N/A,"£6.25 Fee",FALSE,"Revenue"}</definedName>
    <definedName name="dasdsa">#REF!</definedName>
    <definedName name="dassa"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ssa"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T">#REF!</definedName>
    <definedName name="data">OFFSET(#REF!,0,0,COUNTA(#REF!),COUNTA(#REF!))</definedName>
    <definedName name="Data_Freeze">#REF!</definedName>
    <definedName name="Data_Points_Per_Page">#REF!</definedName>
    <definedName name="Data_System">#REF!</definedName>
    <definedName name="data1" hidden="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hidden="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 hidden="1">#REF!</definedName>
    <definedName name="data30">#REF!</definedName>
    <definedName name="data4">#REF!</definedName>
    <definedName name="data5">#REF!</definedName>
    <definedName name="data6">#REF!</definedName>
    <definedName name="data7">#REF!</definedName>
    <definedName name="data8">#REF!</definedName>
    <definedName name="data9">#REF!</definedName>
    <definedName name="datab">#REF!</definedName>
    <definedName name="DATABAS">#REF!</definedName>
    <definedName name="_xlnm.Database">#REF!</definedName>
    <definedName name="Database_MI">#REF!</definedName>
    <definedName name="DATABASE1" hidden="1">#REF!</definedName>
    <definedName name="database2">#REF!</definedName>
    <definedName name="DATACT">#REF!</definedName>
    <definedName name="date">"2001. 03. 31 현재"</definedName>
    <definedName name="Date_Area">#REF!</definedName>
    <definedName name="DateCaseInfoUpdated">#REF!</definedName>
    <definedName name="DateData">#REF!</definedName>
    <definedName name="DateSwitch">#REF!</definedName>
    <definedName name="DATLAST">#REF!</definedName>
    <definedName name="DAY">#N/A</definedName>
    <definedName name="daydb">#REF!</definedName>
    <definedName name="Days_in_year">#REF!</definedName>
    <definedName name="days_invt">#REF!</definedName>
    <definedName name="days_tp">#REF!</definedName>
    <definedName name="days_tr">#REF!</definedName>
    <definedName name="DB">#N/A</definedName>
    <definedName name="DBSENTJQ" localSheetId="2" hidden="1">{#N/A,#N/A,FALSE,"단축1";#N/A,#N/A,FALSE,"단축2";#N/A,#N/A,FALSE,"단축3";#N/A,#N/A,FALSE,"장축";#N/A,#N/A,FALSE,"4WD"}</definedName>
    <definedName name="DBSENTJQ" hidden="1">{#N/A,#N/A,FALSE,"단축1";#N/A,#N/A,FALSE,"단축2";#N/A,#N/A,FALSE,"단축3";#N/A,#N/A,FALSE,"장축";#N/A,#N/A,FALSE,"4WD"}</definedName>
    <definedName name="DCFROR">#REF!</definedName>
    <definedName name="DCportion">#REF!</definedName>
    <definedName name="DD" hidden="1">#REF!</definedName>
    <definedName name="ddd" hidden="1">#REF!</definedName>
    <definedName name="dddd">#REF!</definedName>
    <definedName name="DDDDA">BlankMacro1</definedName>
    <definedName name="ddddd" hidden="1">#REF!</definedName>
    <definedName name="dddddd">#N/A</definedName>
    <definedName name="dddddddd" localSheetId="2" hidden="1">{"'5국공정'!$A$1:$E$128"}</definedName>
    <definedName name="dddddddd" hidden="1">{"'5국공정'!$A$1:$E$128"}</definedName>
    <definedName name="ddddddddd">#REF!</definedName>
    <definedName name="dddddf" hidden="1">{#N/A,#N/A,FALSE,"단축1";#N/A,#N/A,FALSE,"단축2";#N/A,#N/A,FALSE,"단축3";#N/A,#N/A,FALSE,"장축";#N/A,#N/A,FALSE,"4WD"}</definedName>
    <definedName name="dddfg" localSheetId="2" hidden="1">{#N/A,#N/A,FALSE,"정공"}</definedName>
    <definedName name="dddfg" hidden="1">{#N/A,#N/A,FALSE,"정공"}</definedName>
    <definedName name="dDFA" hidden="1">{#N/A,#N/A,FALSE,"단축1";#N/A,#N/A,FALSE,"단축2";#N/A,#N/A,FALSE,"단축3";#N/A,#N/A,FALSE,"장축";#N/A,#N/A,FALSE,"4WD"}</definedName>
    <definedName name="DDFD" localSheetId="2" hidden="1">{#N/A,#N/A,FALSE,"CCTV"}</definedName>
    <definedName name="DDFD" hidden="1">{#N/A,#N/A,FALSE,"CCTV"}</definedName>
    <definedName name="DDQ">BlankMacro1</definedName>
    <definedName name="DDS" localSheetId="2" hidden="1">{#N/A,#N/A,FALSE,"을지 (4)";#N/A,#N/A,FALSE,"을지 (5)";#N/A,#N/A,FALSE,"을지 (6)"}</definedName>
    <definedName name="DDS" hidden="1">{#N/A,#N/A,FALSE,"을지 (4)";#N/A,#N/A,FALSE,"을지 (5)";#N/A,#N/A,FALSE,"을지 (6)"}</definedName>
    <definedName name="DDW">BlankMacro1</definedName>
    <definedName name="DE" hidden="1">#REF!</definedName>
    <definedName name="dead">#REF!</definedName>
    <definedName name="DealTaxRate">#REF!</definedName>
    <definedName name="DebtorLookup">#REF!</definedName>
    <definedName name="DebtorLookupSelected">#REF!</definedName>
    <definedName name="DebtorName">#REF!</definedName>
    <definedName name="DEC">#REF!</definedName>
    <definedName name="ded" hidden="1">{#N/A,#N/A,TRUE,"Julio";#N/A,#N/A,TRUE,"Agosto";#N/A,#N/A,TRUE,"BHCo";#N/A,#N/A,TRUE,"Abril";#N/A,#N/A,TRUE,"Pro Forma"}</definedName>
    <definedName name="DEFERRED">#REF!</definedName>
    <definedName name="DEFERRED2">#REF!</definedName>
    <definedName name="defgh"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k">#REF!</definedName>
    <definedName name="DeleteRange" hidden="1">#REF!</definedName>
    <definedName name="DeleteTable" hidden="1">#REF!</definedName>
    <definedName name="DEM">#REF!</definedName>
    <definedName name="DEPREIN">#REF!</definedName>
    <definedName name="DEPREOUT">#REF!</definedName>
    <definedName name="DETAIL">#N/A</definedName>
    <definedName name="development_stage_dropdown">#REF!</definedName>
    <definedName name="DEVICE">#N/A</definedName>
    <definedName name="Dez.DM">#REF!</definedName>
    <definedName name="Dezember">#REF!</definedName>
    <definedName name="DF" localSheetId="2" hidden="1">{#N/A,#N/A,FALSE,"Aging Summary";#N/A,#N/A,FALSE,"Ratio Analysis";#N/A,#N/A,FALSE,"Test 120 Day Accts";#N/A,#N/A,FALSE,"Tickmarks"}</definedName>
    <definedName name="DF" hidden="1">{#N/A,#N/A,FALSE,"Aging Summary";#N/A,#N/A,FALSE,"Ratio Analysis";#N/A,#N/A,FALSE,"Test 120 Day Accts";#N/A,#N/A,FALSE,"Tickmarks"}</definedName>
    <definedName name="DFA" hidden="1">{#N/A,#N/A,FALSE,"단축1";#N/A,#N/A,FALSE,"단축2";#N/A,#N/A,FALSE,"단축3";#N/A,#N/A,FALSE,"장축";#N/A,#N/A,FALSE,"4WD"}</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efasd">#REF!</definedName>
    <definedName name="dfd" hidden="1">{#N/A,#N/A,FALSE,"Sheet6"}</definedName>
    <definedName name="DFDF" localSheetId="2" hidden="1">{#N/A,#N/A,FALSE,"Aging Summary";#N/A,#N/A,FALSE,"Ratio Analysis";#N/A,#N/A,FALSE,"Test 120 Day Accts";#N/A,#N/A,FALSE,"Tickmarks"}</definedName>
    <definedName name="DFDF" hidden="1">{#N/A,#N/A,FALSE,"Aging Summary";#N/A,#N/A,FALSE,"Ratio Analysis";#N/A,#N/A,FALSE,"Test 120 Day Accts";#N/A,#N/A,FALSE,"Tickmarks"}</definedName>
    <definedName name="dfds">#REF!</definedName>
    <definedName name="dfdsfaf">BlankMacro1</definedName>
    <definedName name="dfdsfdfdfd">#REF!</definedName>
    <definedName name="Dff">#REF!</definedName>
    <definedName name="dffd">#REF!</definedName>
    <definedName name="DFFF" hidden="1">#REF!</definedName>
    <definedName name="dfgdfg">#REF!</definedName>
    <definedName name="DFHGHF" localSheetId="2" hidden="1">{"'Jibu9811 (3)'!$B$1:$J$433"}</definedName>
    <definedName name="DFHGHF" hidden="1">{"'Jibu9811 (3)'!$B$1:$J$433"}</definedName>
    <definedName name="dfhkhfkjsg" hidden="1">{"'Sheet1'!$A$1:$H$36"}</definedName>
    <definedName name="DFJDFJFJFJF" hidden="1">{#N/A,#N/A,TRUE,"Y생산";#N/A,#N/A,TRUE,"Y판매";#N/A,#N/A,TRUE,"Y총물량";#N/A,#N/A,TRUE,"Y능력";#N/A,#N/A,TRUE,"YKD"}</definedName>
    <definedName name="DFJHD" hidden="1">{#N/A,#N/A,FALSE,"단축1";#N/A,#N/A,FALSE,"단축2";#N/A,#N/A,FALSE,"단축3";#N/A,#N/A,FALSE,"장축";#N/A,#N/A,FALSE,"4WD"}</definedName>
    <definedName name="dfjkdhf" hidden="1">{"'Sheet1'!$A$1:$H$36"}</definedName>
    <definedName name="dflhsdpif" localSheetId="2" hidden="1">{"'Jibu9811 (3)'!$B$1:$J$433"}</definedName>
    <definedName name="dflhsdpif" hidden="1">{"'Jibu9811 (3)'!$B$1:$J$433"}</definedName>
    <definedName name="dfs" hidden="1">{#N/A,#N/A,FALSE,"Sheet1"}</definedName>
    <definedName name="dfsad" hidden="1">#REF!</definedName>
    <definedName name="DFSD" hidden="1">{#N/A,#N/A,FALSE,"Sheet6"}</definedName>
    <definedName name="dfsdf">#REF!</definedName>
    <definedName name="dfsdsfsfdsfd" hidden="1">#REF!</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e">BlankMacro1</definedName>
    <definedName name="DGF" hidden="1">{#N/A,#N/A,FALSE,"단축1";#N/A,#N/A,FALSE,"단축2";#N/A,#N/A,FALSE,"단축3";#N/A,#N/A,FALSE,"장축";#N/A,#N/A,FALSE,"4WD"}</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localSheetId="2" hidden="1">{#N/A,#N/A,FALSE,"CCTV"}</definedName>
    <definedName name="dgfgjgj" hidden="1">{#N/A,#N/A,FALSE,"CCTV"}</definedName>
    <definedName name="Dgo">#REF!</definedName>
    <definedName name="dgs" hidden="1">#REF!</definedName>
    <definedName name="dgsg">BLCH</definedName>
    <definedName name="Dgx">#REF!</definedName>
    <definedName name="Dgz">#REF!</definedName>
    <definedName name="dh" hidden="1">{#N/A,#N/A,FALSE,"손익표지";#N/A,#N/A,FALSE,"손익계산";#N/A,#N/A,FALSE,"일반관리비";#N/A,#N/A,FALSE,"영업외수익";#N/A,#N/A,FALSE,"영업외비용";#N/A,#N/A,FALSE,"매출액";#N/A,#N/A,FALSE,"요약손익";#N/A,#N/A,FALSE,"요약대차";#N/A,#N/A,FALSE,"매출채권현황";#N/A,#N/A,FALSE,"매출채권명세"}</definedName>
    <definedName name="dhfkldjk" hidden="1">{"'Sheet1'!$A$1:$H$36"}</definedName>
    <definedName name="dhfls" hidden="1">{#N/A,#N/A,FALSE,"손익표지";#N/A,#N/A,FALSE,"손익계산";#N/A,#N/A,FALSE,"일반관리비";#N/A,#N/A,FALSE,"영업외수익";#N/A,#N/A,FALSE,"영업외비용";#N/A,#N/A,FALSE,"매출액";#N/A,#N/A,FALSE,"요약손익";#N/A,#N/A,FALSE,"요약대차";#N/A,#N/A,FALSE,"매출채권현황";#N/A,#N/A,FALSE,"매출채권명세"}</definedName>
    <definedName name="dhj" hidden="1">{"'용역비'!$A$4:$C$8"}</definedName>
    <definedName name="dhjkfhdjkhslhjkls" hidden="1">{"'Sheet1'!$A$1:$H$36"}</definedName>
    <definedName name="dhksie" hidden="1">{"'Sheet1'!$A$1:$H$36"}</definedName>
    <definedName name="dhsjhsks" hidden="1">{"'Sheet1'!$A$1:$H$36"}</definedName>
    <definedName name="dia">#REF!</definedName>
    <definedName name="diffusion_rate">#REF!</definedName>
    <definedName name="diffusion_rate_xl">#REF!</definedName>
    <definedName name="diffusion_rate_xl1">#REF!</definedName>
    <definedName name="DIG">BlankMacro1</definedName>
    <definedName name="Dio">#REF!</definedName>
    <definedName name="dis">#REF!</definedName>
    <definedName name="Discount" hidden="1">#REF!</definedName>
    <definedName name="display_area_2" hidden="1">#REF!</definedName>
    <definedName name="DivFpb" hidden="1">#REF!</definedName>
    <definedName name="Division">#REF!</definedName>
    <definedName name="divisor">#REF!</definedName>
    <definedName name="Dix">#REF!</definedName>
    <definedName name="Diz">#REF!</definedName>
    <definedName name="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 hidden="1">{#N/A,#N/A,FALSE,"손익표지";#N/A,#N/A,FALSE,"손익계산";#N/A,#N/A,FALSE,"일반관리비";#N/A,#N/A,FALSE,"영업외수익";#N/A,#N/A,FALSE,"영업외비용";#N/A,#N/A,FALSE,"매출액";#N/A,#N/A,FALSE,"요약손익";#N/A,#N/A,FALSE,"요약대차";#N/A,#N/A,FALSE,"매출채권현황";#N/A,#N/A,FALSE,"매출채권명세"}</definedName>
    <definedName name="D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_1" hidden="1">{#N/A,#N/A,FALSE,"손익표지";#N/A,#N/A,FALSE,"손익계산";#N/A,#N/A,FALSE,"일반관리비";#N/A,#N/A,FALSE,"영업외수익";#N/A,#N/A,FALSE,"영업외비용";#N/A,#N/A,FALSE,"매출액";#N/A,#N/A,FALSE,"요약손익";#N/A,#N/A,FALSE,"요약대차";#N/A,#N/A,FALSE,"매출채권현황";#N/A,#N/A,FALSE,"매출채권명세"}</definedName>
    <definedName name="dja" hidden="1">{#N/A,#N/A,TRUE,"경전'96(1)";#N/A,#N/A,TRUE,"경전'96 (2)"}</definedName>
    <definedName name="DJDJ" localSheetId="2" hidden="1">{#N/A,#N/A,FALSE,"9612"}</definedName>
    <definedName name="DJDJ" hidden="1">{#N/A,#N/A,FALSE,"9612"}</definedName>
    <definedName name="djfljdlf">#N/A</definedName>
    <definedName name="djkdjls" hidden="1">{"'Sheet1'!$A$1:$H$36"}</definedName>
    <definedName name="djkjksl" hidden="1">{"'Sheet1'!$A$1:$H$36"}</definedName>
    <definedName name="djklcnkl" hidden="1">{"'Sheet1'!$A$1:$H$36"}</definedName>
    <definedName name="djklsjksj" hidden="1">{"'Sheet1'!$A$1:$H$36"}</definedName>
    <definedName name="djklslls" hidden="1">{"'Sheet1'!$A$1:$H$36"}</definedName>
    <definedName name="djkskls" hidden="1">{"'Sheet1'!$A$1:$H$36"}</definedName>
    <definedName name="djksl" hidden="1">{"'Sheet1'!$A$1:$H$36"}</definedName>
    <definedName name="djld"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jlkslmxl" hidden="1">{"'Sheet1'!$A$1:$H$36"}</definedName>
    <definedName name="dk" hidden="1">#REF!</definedName>
    <definedName name="DKD" localSheetId="2" hidden="1">{#N/A,#N/A,FALSE,"기안지";#N/A,#N/A,FALSE,"통신지"}</definedName>
    <definedName name="DKD" hidden="1">{#N/A,#N/A,FALSE,"기안지";#N/A,#N/A,FALSE,"통신지"}</definedName>
    <definedName name="dkdk" localSheetId="2" hidden="1">{#N/A,#N/A,FALSE,"BS";#N/A,#N/A,FALSE,"PL";#N/A,#N/A,FALSE,"처분";#N/A,#N/A,FALSE,"현금";#N/A,#N/A,FALSE,"매출";#N/A,#N/A,FALSE,"원가";#N/A,#N/A,FALSE,"경영"}</definedName>
    <definedName name="dkdk" hidden="1">{#N/A,#N/A,FALSE,"BS";#N/A,#N/A,FALSE,"PL";#N/A,#N/A,FALSE,"처분";#N/A,#N/A,FALSE,"현금";#N/A,#N/A,FALSE,"매출";#N/A,#N/A,FALSE,"원가";#N/A,#N/A,FALSE,"경영"}</definedName>
    <definedName name="dkdkd" localSheetId="2" hidden="1">{#N/A,#N/A,FALSE,"UNIT";#N/A,#N/A,FALSE,"UNIT";#N/A,#N/A,FALSE,"계정"}</definedName>
    <definedName name="dkdkd" hidden="1">{#N/A,#N/A,FALSE,"UNIT";#N/A,#N/A,FALSE,"UNIT";#N/A,#N/A,FALSE,"계정"}</definedName>
    <definedName name="dkdkdk" hidden="1">{"'Sheet1'!$A$1:$H$36"}</definedName>
    <definedName name="dkdlrh" hidden="1">{"'Sheet1'!$A$1:$D$15"}</definedName>
    <definedName name="DKE">BlankMacro1</definedName>
    <definedName name="dkf" hidden="1">{#N/A,#N/A,FALSE,"단축1";#N/A,#N/A,FALSE,"단축2";#N/A,#N/A,FALSE,"단축3";#N/A,#N/A,FALSE,"장축";#N/A,#N/A,FALSE,"4WD"}</definedName>
    <definedName name="DKHG">BlankMacro1</definedName>
    <definedName name="dkiw">BlankMacro1</definedName>
    <definedName name="dkjiqw">#N/A</definedName>
    <definedName name="dkslke" hidden="1">{"'Sheet1'!$A$1:$H$36"}</definedName>
    <definedName name="dl">#REF!</definedName>
    <definedName name="DLAKL" hidden="1">{#N/A,#N/A,TRUE,"Y생산";#N/A,#N/A,TRUE,"Y판매";#N/A,#N/A,TRUE,"Y총물량";#N/A,#N/A,TRUE,"Y능력";#N/A,#N/A,TRUE,"YKD"}</definedName>
    <definedName name="DLATL" hidden="1">{#N/A,#N/A,FALSE,"단축1";#N/A,#N/A,FALSE,"단축2";#N/A,#N/A,FALSE,"단축3";#N/A,#N/A,FALSE,"장축";#N/A,#N/A,FALSE,"4WD"}</definedName>
    <definedName name="DLDL" hidden="1">{#N/A,#N/A,FALSE,"단축1";#N/A,#N/A,FALSE,"단축2";#N/A,#N/A,FALSE,"단축3";#N/A,#N/A,FALSE,"장축";#N/A,#N/A,FALSE,"4WD"}</definedName>
    <definedName name="DLDLD" hidden="1">{#N/A,#N/A,FALSE,"단축1";#N/A,#N/A,FALSE,"단축2";#N/A,#N/A,FALSE,"단축3";#N/A,#N/A,FALSE,"장축";#N/A,#N/A,FALSE,"4WD"}</definedName>
    <definedName name="dlfma" hidden="1">#REF!</definedName>
    <definedName name="dljg" localSheetId="2" hidden="1">{#N/A,#N/A,FALSE,"기안지";#N/A,#N/A,FALSE,"통신지"}</definedName>
    <definedName name="dljg" hidden="1">{#N/A,#N/A,FALSE,"기안지";#N/A,#N/A,FALSE,"통신지"}</definedName>
    <definedName name="dltmdwo">#N/A</definedName>
    <definedName name="DLWJS">#REF!</definedName>
    <definedName name="dma" localSheetId="2" hidden="1">{#N/A,#N/A,FALSE,"BS";#N/A,#N/A,FALSE,"PL";#N/A,#N/A,FALSE,"처분";#N/A,#N/A,FALSE,"현금";#N/A,#N/A,FALSE,"매출";#N/A,#N/A,FALSE,"원가";#N/A,#N/A,FALSE,"경영"}</definedName>
    <definedName name="dma" hidden="1">{#N/A,#N/A,FALSE,"BS";#N/A,#N/A,FALSE,"PL";#N/A,#N/A,FALSE,"처분";#N/A,#N/A,FALSE,"현금";#N/A,#N/A,FALSE,"매출";#N/A,#N/A,FALSE,"원가";#N/A,#N/A,FALSE,"경영"}</definedName>
    <definedName name="dmf">#REF!</definedName>
    <definedName name="dnfl" localSheetId="2">BlankMacro1</definedName>
    <definedName name="dnfl" localSheetId="0">BlankMacro1</definedName>
    <definedName name="dnfl">BlankMacro1</definedName>
    <definedName name="dnlksnlkslk" hidden="1">{"'Sheet1'!$A$1:$H$36"}</definedName>
    <definedName name="DNTL" hidden="1">{#N/A,#N/A,FALSE,"단축1";#N/A,#N/A,FALSE,"단축2";#N/A,#N/A,FALSE,"단축3";#N/A,#N/A,FALSE,"장축";#N/A,#N/A,FALSE,"4WD"}</definedName>
    <definedName name="DOC">#REF!</definedName>
    <definedName name="DOCK" localSheetId="2" hidden="1">#REF!</definedName>
    <definedName name="DOCK" hidden="1">#REF!</definedName>
    <definedName name="Document_array" localSheetId="2">{"Book1"}</definedName>
    <definedName name="Document_array">{"Book1"}</definedName>
    <definedName name="DOGUB">#REF!</definedName>
    <definedName name="Dollar_Threshold">#REF!</definedName>
    <definedName name="DOM_COS">#N/A</definedName>
    <definedName name="DOM_SALE">#N/A</definedName>
    <definedName name="DOMSALE">#N/A</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ostoev">#N/A</definedName>
    <definedName name="DOWN">#REF!</definedName>
    <definedName name="Dpp">#REF!</definedName>
    <definedName name="DPSWLS" hidden="1">{#N/A,#N/A,FALSE,"표지";#N/A,#N/A,FALSE,"전제";#N/A,#N/A,FALSE,"손익-자 (2)";#N/A,#N/A,FALSE,"손익-자";#N/A,#N/A,FALSE,"손익-마 (2)";#N/A,#N/A,FALSE,"손익-마";#N/A,#N/A,FALSE,"총손최종"}</definedName>
    <definedName name="DR" hidden="1">#REF!</definedName>
    <definedName name="dre" hidden="1">{"comp1",#N/A,FALSE,"COMPS";"footnotes",#N/A,FALSE,"COMPS"}</definedName>
    <definedName name="drg" hidden="1">#REF!</definedName>
    <definedName name="DRIVEABILITY" hidden="1">{#N/A,#N/A,FALSE,"단축1";#N/A,#N/A,FALSE,"단축2";#N/A,#N/A,FALSE,"단축3";#N/A,#N/A,FALSE,"장축";#N/A,#N/A,FALSE,"4WD"}</definedName>
    <definedName name="DropdownPerformedby">#REF!</definedName>
    <definedName name="drsg">#REF!</definedName>
    <definedName name="ds" localSheetId="2">BlankMacro1</definedName>
    <definedName name="ds" localSheetId="0">BlankMacro1</definedName>
    <definedName name="ds">BlankMacro1</definedName>
    <definedName name="DSA" localSheetId="2" hidden="1">{#N/A,#N/A,FALSE,"을지 (4)";#N/A,#N/A,FALSE,"을지 (5)";#N/A,#N/A,FALSE,"을지 (6)"}</definedName>
    <definedName name="DSA" hidden="1">{#N/A,#N/A,FALSE,"을지 (4)";#N/A,#N/A,FALSE,"을지 (5)";#N/A,#N/A,FALSE,"을지 (6)"}</definedName>
    <definedName name="dsa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a"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sa" hidden="1">{"Monthly 1999 Stats",#N/A,FALSE,"Months";"Monthly 1999 IS",#N/A,FALSE,"Months"}</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da" localSheetId="2" hidden="1">{#N/A,#N/A,FALSE,"Aging Summary";#N/A,#N/A,FALSE,"Ratio Analysis";#N/A,#N/A,FALSE,"Test 120 Day Accts";#N/A,#N/A,FALSE,"Tickmarks"}</definedName>
    <definedName name="dsda" hidden="1">{#N/A,#N/A,FALSE,"Aging Summary";#N/A,#N/A,FALSE,"Ratio Analysis";#N/A,#N/A,FALSE,"Test 120 Day Accts";#N/A,#N/A,FALSE,"Tickmarks"}</definedName>
    <definedName name="dsdf" localSheetId="2" hidden="1">{#N/A,#N/A,TRUE,"Summary";#N/A,#N/A,TRUE,"IS";#N/A,#N/A,TRUE,"Adj";#N/A,#N/A,TRUE,"BS";#N/A,#N/A,TRUE,"CF";#N/A,#N/A,TRUE,"Debt";#N/A,#N/A,TRUE,"IRR"}</definedName>
    <definedName name="dsdf" hidden="1">{#N/A,#N/A,TRUE,"Summary";#N/A,#N/A,TRUE,"IS";#N/A,#N/A,TRUE,"Adj";#N/A,#N/A,TRUE,"BS";#N/A,#N/A,TRUE,"CF";#N/A,#N/A,TRUE,"Debt";#N/A,#N/A,TRUE,"IRR"}</definedName>
    <definedName name="DSDS" hidden="1">{#N/A,#N/A,FALSE,"단축1";#N/A,#N/A,FALSE,"단축2";#N/A,#N/A,FALSE,"단축3";#N/A,#N/A,FALSE,"장축";#N/A,#N/A,FALSE,"4WD"}</definedName>
    <definedName name="DSDSD" hidden="1">{#N/A,#N/A,FALSE,"단축1";#N/A,#N/A,FALSE,"단축2";#N/A,#N/A,FALSE,"단축3";#N/A,#N/A,FALSE,"장축";#N/A,#N/A,FALSE,"4WD"}</definedName>
    <definedName name="DSDSLKJFJ" localSheetId="2" hidden="1">{#N/A,#N/A,FALSE,"Aging Summary";#N/A,#N/A,FALSE,"Ratio Analysis";#N/A,#N/A,FALSE,"Test 120 Day Accts";#N/A,#N/A,FALSE,"Tickmarks"}</definedName>
    <definedName name="DSDSLKJFJ" hidden="1">{#N/A,#N/A,FALSE,"Aging Summary";#N/A,#N/A,FALSE,"Ratio Analysis";#N/A,#N/A,FALSE,"Test 120 Day Accts";#N/A,#N/A,FALSE,"Tickmarks"}</definedName>
    <definedName name="DSFDSF">#N/A</definedName>
    <definedName name="DSFS">#N/A</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ssdf" hidden="1">#REF!</definedName>
    <definedName name="DTportion">#REF!</definedName>
    <definedName name="DUCT_GONG">#REF!</definedName>
    <definedName name="DUSRUFㅔㅣ">#REF!</definedName>
    <definedName name="dwe">#REF!</definedName>
    <definedName name="DWS">BlankMacro1</definedName>
    <definedName name="Dx">#REF!</definedName>
    <definedName name="dx_shape">#REF!</definedName>
    <definedName name="Dz">#REF!</definedName>
    <definedName name="e" hidden="1">#REF!</definedName>
    <definedName name="e_margin">#REF!</definedName>
    <definedName name="E0">#REF!</definedName>
    <definedName name="e4t">#REF!</definedName>
    <definedName name="E8IIE">BlankMacro1</definedName>
    <definedName name="EADAF" hidden="1">{#N/A,#N/A,FALSE,"단축1";#N/A,#N/A,FALSE,"단축2";#N/A,#N/A,FALSE,"단축3";#N/A,#N/A,FALSE,"장축";#N/A,#N/A,FALSE,"4WD"}</definedName>
    <definedName name="earn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thz">#REF!</definedName>
    <definedName name="EAWR" hidden="1">{#N/A,#N/A,FALSE,"단축1";#N/A,#N/A,FALSE,"단축2";#N/A,#N/A,FALSE,"단축3";#N/A,#N/A,FALSE,"장축";#N/A,#N/A,FALSE,"4WD"}</definedName>
    <definedName name="EC">#REF!</definedName>
    <definedName name="Economic_Value">#REF!</definedName>
    <definedName name="edge">#REF!</definedName>
    <definedName name="edgh">#REF!</definedName>
    <definedName name="edtgh">#REF!</definedName>
    <definedName name="ee" hidden="1">#REF!</definedName>
    <definedName name="eee"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송운" hidden="1">{#N/A,#N/A,FALSE,"운반시간"}</definedName>
    <definedName name="eeee"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EE" hidden="1">{#N/A,#N/A,FALSE,"손익표지";#N/A,#N/A,FALSE,"손익계산";#N/A,#N/A,FALSE,"일반관리비";#N/A,#N/A,FALSE,"영업외수익";#N/A,#N/A,FALSE,"영업외비용";#N/A,#N/A,FALSE,"매출액";#N/A,#N/A,FALSE,"요약손익";#N/A,#N/A,FALSE,"요약대차";#N/A,#N/A,FALSE,"매출채권현황";#N/A,#N/A,FALSE,"매출채권명세"}</definedName>
    <definedName name="eeeeee"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JEJJEJEJEJE" hidden="1">{#N/A,#N/A,TRUE,"Y생산";#N/A,#N/A,TRUE,"Y판매";#N/A,#N/A,TRUE,"Y총물량";#N/A,#N/A,TRUE,"Y능력";#N/A,#N/A,TRUE,"YKD"}</definedName>
    <definedName name="eeojfkjks" hidden="1">{"'Sheet1'!$A$1:$H$36"}</definedName>
    <definedName name="EF">#REF!</definedName>
    <definedName name="efbar" localSheetId="2" hidden="1">{#N/A,#N/A,FALSE,"Performance Flash Report"}</definedName>
    <definedName name="efbar" hidden="1">{#N/A,#N/A,FALSE,"Performance Flash Report"}</definedName>
    <definedName name="efbar_1" localSheetId="2" hidden="1">{#N/A,#N/A,FALSE,"Performance Flash Report"}</definedName>
    <definedName name="efbar_1" hidden="1">{#N/A,#N/A,FALSE,"Performance Flash Report"}</definedName>
    <definedName name="efbar_1_1" localSheetId="2" hidden="1">{#N/A,#N/A,FALSE,"Performance Flash Report"}</definedName>
    <definedName name="efbar_1_1" hidden="1">{#N/A,#N/A,FALSE,"Performance Flash Report"}</definedName>
    <definedName name="efbar_1_2" localSheetId="2" hidden="1">{#N/A,#N/A,FALSE,"Performance Flash Report"}</definedName>
    <definedName name="efbar_1_2" hidden="1">{#N/A,#N/A,FALSE,"Performance Flash Report"}</definedName>
    <definedName name="efbar_1_3" localSheetId="2" hidden="1">{#N/A,#N/A,FALSE,"Performance Flash Report"}</definedName>
    <definedName name="efbar_1_3" hidden="1">{#N/A,#N/A,FALSE,"Performance Flash Report"}</definedName>
    <definedName name="efbar_1_4" localSheetId="2" hidden="1">{#N/A,#N/A,FALSE,"Performance Flash Report"}</definedName>
    <definedName name="efbar_1_4" hidden="1">{#N/A,#N/A,FALSE,"Performance Flash Report"}</definedName>
    <definedName name="efbar_2" localSheetId="2" hidden="1">{#N/A,#N/A,FALSE,"Performance Flash Report"}</definedName>
    <definedName name="efbar_2" hidden="1">{#N/A,#N/A,FALSE,"Performance Flash Report"}</definedName>
    <definedName name="efbar_2_1" localSheetId="2" hidden="1">{#N/A,#N/A,FALSE,"Performance Flash Report"}</definedName>
    <definedName name="efbar_2_1" hidden="1">{#N/A,#N/A,FALSE,"Performance Flash Report"}</definedName>
    <definedName name="efbar_2_2" localSheetId="2" hidden="1">{#N/A,#N/A,FALSE,"Performance Flash Report"}</definedName>
    <definedName name="efbar_2_2" hidden="1">{#N/A,#N/A,FALSE,"Performance Flash Report"}</definedName>
    <definedName name="efbar_2_3" localSheetId="2" hidden="1">{#N/A,#N/A,FALSE,"Performance Flash Report"}</definedName>
    <definedName name="efbar_2_3" hidden="1">{#N/A,#N/A,FALSE,"Performance Flash Report"}</definedName>
    <definedName name="efbar_2_4" localSheetId="2" hidden="1">{#N/A,#N/A,FALSE,"Performance Flash Report"}</definedName>
    <definedName name="efbar_2_4" hidden="1">{#N/A,#N/A,FALSE,"Performance Flash Report"}</definedName>
    <definedName name="efbar_3" localSheetId="2" hidden="1">{#N/A,#N/A,FALSE,"Performance Flash Report"}</definedName>
    <definedName name="efbar_3" hidden="1">{#N/A,#N/A,FALSE,"Performance Flash Report"}</definedName>
    <definedName name="efbar_3_1" localSheetId="2" hidden="1">{#N/A,#N/A,FALSE,"Performance Flash Report"}</definedName>
    <definedName name="efbar_3_1" hidden="1">{#N/A,#N/A,FALSE,"Performance Flash Report"}</definedName>
    <definedName name="efbar_3_2" localSheetId="2" hidden="1">{#N/A,#N/A,FALSE,"Performance Flash Report"}</definedName>
    <definedName name="efbar_3_2" hidden="1">{#N/A,#N/A,FALSE,"Performance Flash Report"}</definedName>
    <definedName name="efbar_3_3" localSheetId="2" hidden="1">{#N/A,#N/A,FALSE,"Performance Flash Report"}</definedName>
    <definedName name="efbar_3_3" hidden="1">{#N/A,#N/A,FALSE,"Performance Flash Report"}</definedName>
    <definedName name="efbar_3_4" localSheetId="2" hidden="1">{#N/A,#N/A,FALSE,"Performance Flash Report"}</definedName>
    <definedName name="efbar_3_4" hidden="1">{#N/A,#N/A,FALSE,"Performance Flash Report"}</definedName>
    <definedName name="efbar_4" localSheetId="2" hidden="1">{#N/A,#N/A,FALSE,"Performance Flash Report"}</definedName>
    <definedName name="efbar_4" hidden="1">{#N/A,#N/A,FALSE,"Performance Flash Report"}</definedName>
    <definedName name="efbar_4_1" localSheetId="2" hidden="1">{#N/A,#N/A,FALSE,"Performance Flash Report"}</definedName>
    <definedName name="efbar_4_1" hidden="1">{#N/A,#N/A,FALSE,"Performance Flash Report"}</definedName>
    <definedName name="efbar_4_2" localSheetId="2" hidden="1">{#N/A,#N/A,FALSE,"Performance Flash Report"}</definedName>
    <definedName name="efbar_4_2" hidden="1">{#N/A,#N/A,FALSE,"Performance Flash Report"}</definedName>
    <definedName name="efbar_4_3" localSheetId="2" hidden="1">{#N/A,#N/A,FALSE,"Performance Flash Report"}</definedName>
    <definedName name="efbar_4_3" hidden="1">{#N/A,#N/A,FALSE,"Performance Flash Report"}</definedName>
    <definedName name="efbar_4_4" localSheetId="2" hidden="1">{#N/A,#N/A,FALSE,"Performance Flash Report"}</definedName>
    <definedName name="efbar_4_4" hidden="1">{#N/A,#N/A,FALSE,"Performance Flash Report"}</definedName>
    <definedName name="efbar_5" localSheetId="2" hidden="1">{#N/A,#N/A,FALSE,"Performance Flash Report"}</definedName>
    <definedName name="efbar_5" hidden="1">{#N/A,#N/A,FALSE,"Performance Flash Report"}</definedName>
    <definedName name="efbar_5_1" localSheetId="2" hidden="1">{#N/A,#N/A,FALSE,"Performance Flash Report"}</definedName>
    <definedName name="efbar_5_1" hidden="1">{#N/A,#N/A,FALSE,"Performance Flash Report"}</definedName>
    <definedName name="efbar_5_2" localSheetId="2" hidden="1">{#N/A,#N/A,FALSE,"Performance Flash Report"}</definedName>
    <definedName name="efbar_5_2" hidden="1">{#N/A,#N/A,FALSE,"Performance Flash Report"}</definedName>
    <definedName name="efbar_5_3" localSheetId="2" hidden="1">{#N/A,#N/A,FALSE,"Performance Flash Report"}</definedName>
    <definedName name="efbar_5_3" hidden="1">{#N/A,#N/A,FALSE,"Performance Flash Report"}</definedName>
    <definedName name="efbar_5_4" localSheetId="2" hidden="1">{#N/A,#N/A,FALSE,"Performance Flash Report"}</definedName>
    <definedName name="efbar_5_4" hidden="1">{#N/A,#N/A,FALSE,"Performance Flash Report"}</definedName>
    <definedName name="Effective_Tax_Rate">#REF!</definedName>
    <definedName name="EFFOG" hidden="1">{#N/A,#N/A,FALSE,"단축1";#N/A,#N/A,FALSE,"단축2";#N/A,#N/A,FALSE,"단축3";#N/A,#N/A,FALSE,"장축";#N/A,#N/A,FALSE,"4WD"}</definedName>
    <definedName name="efweufwb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제동" hidden="1">{#N/A,#N/A,FALSE,"단축1";#N/A,#N/A,FALSE,"단축2";#N/A,#N/A,FALSE,"단축3";#N/A,#N/A,FALSE,"장축";#N/A,#N/A,FALSE,"4WD"}</definedName>
    <definedName name="ej" hidden="1">{"'용역비'!$A$4:$C$8"}</definedName>
    <definedName name="ejklejle" hidden="1">{"'Sheet1'!$A$1:$H$36"}</definedName>
    <definedName name="EK" hidden="1">#REF!</definedName>
    <definedName name="EKCI">BlankMacro1</definedName>
    <definedName name="ekele" hidden="1">{"'Sheet1'!$A$1:$H$36"}</definedName>
    <definedName name="el" hidden="1">#REF!</definedName>
    <definedName name="EL_FILTER">#REF!</definedName>
    <definedName name="EL1A1P">#REF!</definedName>
    <definedName name="el1a1t">#REF!</definedName>
    <definedName name="el1a2p">#REF!</definedName>
    <definedName name="el1a2t">#REF!</definedName>
    <definedName name="EL2A1P">#REF!</definedName>
    <definedName name="el2a1t">#REF!</definedName>
    <definedName name="el2a2p">#REF!</definedName>
    <definedName name="el2a2t">#REF!</definedName>
    <definedName name="EL3A1P">#REF!</definedName>
    <definedName name="el3a1t">#REF!</definedName>
    <definedName name="el3a2p">#REF!</definedName>
    <definedName name="el3a2t">#REF!</definedName>
    <definedName name="ele">#REF!</definedName>
    <definedName name="ELECT">#N/A</definedName>
    <definedName name="ELECTSUM">#REF!</definedName>
    <definedName name="ELP">#REF!</definedName>
    <definedName name="ELSK" localSheetId="2" hidden="1">{#N/A,#N/A,FALSE,"1.CRITERIA";#N/A,#N/A,FALSE,"2.IS";#N/A,#N/A,FALSE,"3.BS";#N/A,#N/A,FALSE,"4.PER PL";#N/A,#N/A,FALSE,"5.INVESTMENT";#N/A,#N/A,FALSE,"6.공문";#N/A,#N/A,FALSE,"7.netinvest"}</definedName>
    <definedName name="ELSK" hidden="1">{#N/A,#N/A,FALSE,"1.CRITERIA";#N/A,#N/A,FALSE,"2.IS";#N/A,#N/A,FALSE,"3.BS";#N/A,#N/A,FALSE,"4.PER PL";#N/A,#N/A,FALSE,"5.INVESTMENT";#N/A,#N/A,FALSE,"6.공문";#N/A,#N/A,FALSE,"7.netinvest"}</definedName>
    <definedName name="EMDEPTH">#REF!</definedName>
    <definedName name="Employees">#REF!</definedName>
    <definedName name="empty">#REF!</definedName>
    <definedName name="Emst10">#REF!</definedName>
    <definedName name="EN">#REF!</definedName>
    <definedName name="ENCOST">#N/A</definedName>
    <definedName name="Encounter">#REF!</definedName>
    <definedName name="EncounterDate">#REF!</definedName>
    <definedName name="EncounterType">#REF!</definedName>
    <definedName name="eng감가">#REF!</definedName>
    <definedName name="eng매출">#REF!</definedName>
    <definedName name="ENG배부">#REF!</definedName>
    <definedName name="eng인원">#REF!</definedName>
    <definedName name="ENROLL">#REF!</definedName>
    <definedName name="ENT">#REF!</definedName>
    <definedName name="Ent_Acct">#REF!</definedName>
    <definedName name="entity">#REF!</definedName>
    <definedName name="eo" localSheetId="2" hidden="1">{#N/A,#N/A,FALSE,"BS";#N/A,#N/A,FALSE,"PL";#N/A,#N/A,FALSE,"처분";#N/A,#N/A,FALSE,"현금";#N/A,#N/A,FALSE,"매출";#N/A,#N/A,FALSE,"원가";#N/A,#N/A,FALSE,"경영"}</definedName>
    <definedName name="eo" hidden="1">{#N/A,#N/A,FALSE,"BS";#N/A,#N/A,FALSE,"PL";#N/A,#N/A,FALSE,"처분";#N/A,#N/A,FALSE,"현금";#N/A,#N/A,FALSE,"매출";#N/A,#N/A,FALSE,"원가";#N/A,#N/A,FALSE,"경영"}</definedName>
    <definedName name="EOCK">#REF!</definedName>
    <definedName name="EOGH" hidden="1">{#N/A,#N/A,FALSE,"단축1";#N/A,#N/A,FALSE,"단축2";#N/A,#N/A,FALSE,"단축3";#N/A,#N/A,FALSE,"장축";#N/A,#N/A,FALSE,"4WD"}</definedName>
    <definedName name="EOH">#N/A</definedName>
    <definedName name="EOH_UC">#N/A</definedName>
    <definedName name="EOHAMT">#N/A</definedName>
    <definedName name="EOHQTY">#N/A</definedName>
    <definedName name="Ep">#REF!</definedName>
    <definedName name="EPMWorkbookOptions_1" hidden="1">"ZyoAAB+LCAAAAAAABADtWl1zokgUfZ+q+Q8W7wqoGCdFnGLAjEyBUHxkdis1ZbXYau8gsA3G5N9vg4Jf6CrJpiLrg4q3z719uX0OdrfNf32euZUniEPke3cUW2OoCvQcf4S8yR01j8ZVtkV97Xz+xP/08e+h7//WgohAwwrx88Lb5xDdUdMoCm5perFY1BaNmo8ndJ1hWPoPVTGdKZyBKvLCCHgOpDKv0b97UaTXSoUXfc+DTtyn5YtzjKEX"</definedName>
    <definedName name="EPMWorkbookOptions_2" hidden="1">"PSC4SBq3miUQgZWV2PtgBpe9ZT1FcBbMMUq6skOIdQzHkMRzYI0kRHUG97o6+KaLqskyg8eV0zxssOwwcFiGoUMQ0OSS/jV4lBVTkh/IhYSeUFw74JIvY+CGMPvk6TiJdUpCELjIARvlOzm1NMZ2lA3z6o4763R2el8Wa12/Cn2wqYdGI+hJaAa9MMn1MHSdZ7iFIShz6i+yGKLv+rgT4Tnk6ZyGY67JXeR47t3dypEQIoLP0T148jGKSF5r"</definedName>
    <definedName name="EPMWorkbookOptions_3" hidden="1">"372mHfcemkxd8opM6BJOwVEPQQywM0UEm4wpTx/FnJDOPcJhlAY7DNiJlN314YKfitrE2R76ew6TSgqO48+9iKfzGo/FWI4geUxwDNtosxsB8sY28dXwCOIOw9PLi9zoYeCCFx37AcTRS4flWtwYDsdVrjVqVpv18Zdqm4OwygBYb46GN82bYSPuedsrJ7ACwmzkVDgbkgdfDmyb5LkAAln6b5TpURBFze5bv2qPPZa8CYoyWJlM8jTYwx+I"</definedName>
    <definedName name="EPMWorkbookOptions_4" hidden="1">"mzLqZQ2tkOfsrYfcOypmM7WjyONDe5ovTx+/Y54+pXQbo/+fMVX0ZwHwXoozlWGabYY5nahs+Ygqaqou9P9MiSqyLMtdOkPfrhYMe+m1+DhqjWdlJnYKq7XR4Lhms3m6WuvlU6skWIJpiClDLc36KVs9QfpxpWlumkVoCgOAI2IvPgNq3bBMu31zOlMbJWRqVxcMS+2u50BSi2X+tz8t++Ug2iVG69IL8oGEu1rwvmY62Go1GmfMB5sl1K38"</definedName>
    <definedName name="EPMWorkbookOptions_5" hidden="1">"IJuy1t+gqaAMMuuVrXlpFmArGeHR3IkU5MF3XGlz5SOsbmiSLVqK3O+mnNXJoo65dKq+YT0SDQuKEjd9NzRbv+5B5KdZTMd/kSTeUcOtUmr4R1fMpkZ9LTVcOE3fqB5L6caWq3Dz0ywgXANOXjVZPFu3N+XTrdH9vjFV7Gur7xfO0bepBvnRLUc5PpBkg2iZqvOKPf+zddsuoW51S7QNo9sXs81u25SuRM1NswBRzflwhsLXbUaczdMv5eOp"</definedName>
    <definedName name="EPMWorkbookOptions_6" hidden="1">"aX9TZXNzO0IQLVtQrkzNTbMAUy1ie0eOsiX8q9+S1WylXWdYrpYst68UzU2zAEXVrmDaRtd8T5qW8I/+tIyEpfEWWdeQNUkWrzQ9B7SVTT6Ip/OO5W1ZUziJtn9kcdO4f8yRN+AYw3CqeVoAvfTw2LYxwYkuBDgOqnkmeIIpctecYNPznISbUVLGFL3fkODl8AFgBIYuVCGerOF79s+f1jFWh0U7/wAnecslZyoAAA=="</definedName>
    <definedName name="EPMWorkbookOptions_7" hidden="1">"M1Re+0gJK+DT/QmMiKVRL5tXBZkTynuoNzltVJPvRGN5byduWBN3lG33Bc6scfelT1oFYwiCiezKPnCTN/E2jbEf6wATRkllVzOfQeK5bY59k7dbETfDGMbEe3dg038+Ws0aLQT3JrTNoQMkAJ/WGXbsX7+s067epu3+D+eNrNGIOwAA"</definedName>
    <definedName name="EPMWorkbookOptions_8" hidden="1">"oZZu3+twKi8Py3+SO0c1PUMo1ZtsIRrLCmGWSo3EYW1Zcd3eI9qb9B1Fe3tOtAzR3vZh2lC4t1O5xMSFwr2lBfMI4bSfFcZoUZOrqqJYTilBFMvp/bigKDUoSk1BB3A1I03kiuNynXpQWJa/4IAGDyaW/phGgab1QgdmKcuknhFbohq7h7yIoAgTKMJEscdw5SNMFEdp0UHwE0F06rnICovObZ7ePHQUrfh6i85epQTROZtkfmGUFJ2nOBFE"</definedName>
    <definedName name="EPMWorkbookOptions_9" hidden="1">"5yneAQY6T/FcN9F5igKdp0Du8lVzly/OqEUu4klB5CKeNw3kCIwcgYs4aJEjcCkcgZOJp18KTatg7gH/QbZlF9iRX2c6MZRjF8D0tpXKtmY+gkjyODmUjb79GupmEGKMpE8z0vLr2f6u0bz/zfQsc7IAIvDuDzWcpH/+dKh2/23bg/8Bcmv9X6h7AAA="</definedName>
    <definedName name="EPS"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q_index">#REF!</definedName>
    <definedName name="eqoe">#REF!</definedName>
    <definedName name="eqoo">#REF!</definedName>
    <definedName name="EQPT_Rate">#REF!</definedName>
    <definedName name="eqse">#REF!</definedName>
    <definedName name="eqso">#REF!</definedName>
    <definedName name="EQUP">#N/A</definedName>
    <definedName name="er" hidden="1">{#N/A,#N/A,FALSE,"손익표지";#N/A,#N/A,FALSE,"손익계산";#N/A,#N/A,FALSE,"일반관리비";#N/A,#N/A,FALSE,"영업외수익";#N/A,#N/A,FALSE,"영업외비용";#N/A,#N/A,FALSE,"매출액";#N/A,#N/A,FALSE,"요약손익";#N/A,#N/A,FALSE,"요약대차";#N/A,#N/A,FALSE,"매출채권현황";#N/A,#N/A,FALSE,"매출채권명세"}</definedName>
    <definedName name="erew">#REF!</definedName>
    <definedName name="ereware">#REF!</definedName>
    <definedName name="erewr">#REF!</definedName>
    <definedName name="er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RE" hidden="1">{#N/A,#N/A,FALSE,"단축1";#N/A,#N/A,FALSE,"단축2";#N/A,#N/A,FALSE,"단축3";#N/A,#N/A,FALSE,"장축";#N/A,#N/A,FALSE,"4WD"}</definedName>
    <definedName name="ers">#N/A</definedName>
    <definedName name="ertyertye" hidden="1">{"'용역비'!$A$4:$C$8"}</definedName>
    <definedName name="erwrw">#N/A</definedName>
    <definedName name="erwrwe" hidden="1">{#N/A,#N/A,FALSE,"Sheet1"}</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S">#REF!</definedName>
    <definedName name="esnrc100c1_values" hidden="1">{"FTSE100","COMPANIES",TRUE}</definedName>
    <definedName name="esnrc33c1_values" hidden="1">{"EUMOT","COMPANIES",TRUE}</definedName>
    <definedName name="esnrc56c1_values" hidden="1">{"ASCONGRP","COMPANIES",TRUE}</definedName>
    <definedName name="esnrc63c1_values" hidden="1">{"EUUTIGRP","COMPANIES",TRUE}</definedName>
    <definedName name="esnrc91c1_values" hidden="1">{"EUUTI","COMPANIES",TRUE}</definedName>
    <definedName name="EssOptions">"A1000000000121000011001100020_01-03N/A"</definedName>
    <definedName name="EssSamplingValue">100</definedName>
    <definedName name="et">#REF!</definedName>
    <definedName name="ETHGER" hidden="1">#REF!</definedName>
    <definedName name="etw">#REF!</definedName>
    <definedName name="ETWE" hidden="1">{#N/A,#N/A,FALSE,"Sheet6"}</definedName>
    <definedName name="ETWEGF" hidden="1">{#N/A,#N/A,FALSE,"Sheet6"}</definedName>
    <definedName name="etyj" hidden="1">{"'용역비'!$A$4:$C$8"}</definedName>
    <definedName name="etyjj" hidden="1">{"'용역비'!$A$4:$C$8"}</definedName>
    <definedName name="EUR_NPV_BASE_RA">#REF!</definedName>
    <definedName name="EUR_NPV_DOWN_RA">#REF!</definedName>
    <definedName name="EUR_NPV_UP_RA">#REF!</definedName>
    <definedName name="EUR_PL_BASE_RA">#REF!</definedName>
    <definedName name="EUR_PL_DOWN_RA">#REF!</definedName>
    <definedName name="EUR_PL_UP_RA">#REF!</definedName>
    <definedName name="EUR_SALES_BASE_NRA">#REF!</definedName>
    <definedName name="EUR_SALES_BASE_RA">#REF!</definedName>
    <definedName name="EUR_SALES_DOWN_NRA">#REF!</definedName>
    <definedName name="EUR_SALES_DOWN_RA">#REF!</definedName>
    <definedName name="EUR_SALES_UP_NRA">#REF!</definedName>
    <definedName name="EUR_SALES_UP_RA">#REF!</definedName>
    <definedName name="Euro10">#REF!</definedName>
    <definedName name="Euro11">#REF!</definedName>
    <definedName name="Euro12">#REF!</definedName>
    <definedName name="Euro7">#REF!</definedName>
    <definedName name="Euro8">#REF!</definedName>
    <definedName name="Euro9">#REF!</definedName>
    <definedName name="ev.Calculation" hidden="1">-4135</definedName>
    <definedName name="ev.Initialized" hidden="1">FALSE</definedName>
    <definedName name="EV__DECIMALSYMBOL__" hidden="1">"."</definedName>
    <definedName name="EV__EVCOM_OPTIONS__" hidden="1">8</definedName>
    <definedName name="EV__EXPOPTIONS__" hidden="1">0</definedName>
    <definedName name="EV__LASTREFTIME__" hidden="1">39616.3798726852</definedName>
    <definedName name="EV__LOCKEDCVW__CAPITAL" hidden="1">"AllClasses,TotalCapex,AllPriorities,NoProject,C1115,TotWithAdj,D1105,NoProdLine,NoRegion,LC,ACTUAL,2006.TOTAL,PERIODIC,"</definedName>
    <definedName name="EV__LOCKEDCVW__Divisional" hidden="1">"All_Accounts,C101,TotWithAdj,D5104,CORP,P501,NoProject,TotRegion,USD,F3,2017.TOTAL,Periodic"</definedName>
    <definedName name="EV__LOCKEDCVW__DivisionalHC_New" hidden="1">"C101,TotWithAdj,D5104,CORP,All_Employees,AllHRAccounts,P500,R101,USD,F3,2017.TOTAL,Periodic"</definedName>
    <definedName name="EV__LOCKEDCVW__FINANCE" hidden="1">"All_Accounts,C1260,TotWithAdj,D6400,All_Interco,NoProdLine,NoProject,NoRegion,USD,BUDGET2008,2008.TOTAL,PERIODIC,"</definedName>
    <definedName name="EV__LOCKEDCVW__HEADCOUNT" hidden="1">"C1101,TotWithAdj,TotDept,All_Employees,AllHRAccounts,AllJobClasses,AllPayTypes,TotalAllProdGroups,AllProjects,TotRegion,USD,BUDGET2008,2008.TOTAL,PERIODIC,"</definedName>
    <definedName name="EV__LOCKEDCVW__RATE" hidden="1">"AllCurrencies,Avg,RateInput,ACTUAL,2006.TOTAL,PERIODIC,"</definedName>
    <definedName name="EV__LOCKEDCVW__RATEDAY" hidden="1">"AllCurrencies,Avg,RateInput,ACTUAL,2006.TOTAL,PERIODIC,"</definedName>
    <definedName name="EV__LOCKEDCVW__REVENUE" hidden="1">"C1101,TotWithAdj,ALL_PRODUCTSKU,USD,TotalRevenue,ACTUAL,2006.TOTAL,ALL_CUSTOMERS,PERIODIC,"</definedName>
    <definedName name="EV__LOCKSTATUS__" hidden="1">1</definedName>
    <definedName name="EV__MAXEXPCOLS__" hidden="1">100</definedName>
    <definedName name="EV__MAXEXPROWS__" hidden="1">10000</definedName>
    <definedName name="EV__MEMORYCVW__" hidden="1">0</definedName>
    <definedName name="EV__USERCHANGEOPTIONS__" hidden="1">1</definedName>
    <definedName name="EV__WBEVMODE__" hidden="1">1</definedName>
    <definedName name="EV__WBREFOPTIONS__" hidden="1">12</definedName>
    <definedName name="EV__WBVERSION__" hidden="1">0</definedName>
    <definedName name="ew" hidden="1">{#N/A,#N/A,FALSE,"손익표지";#N/A,#N/A,FALSE,"손익계산";#N/A,#N/A,FALSE,"일반관리비";#N/A,#N/A,FALSE,"영업외수익";#N/A,#N/A,FALSE,"영업외비용";#N/A,#N/A,FALSE,"매출액";#N/A,#N/A,FALSE,"요약손익";#N/A,#N/A,FALSE,"요약대차";#N/A,#N/A,FALSE,"매출채권현황";#N/A,#N/A,FALSE,"매출채권명세"}</definedName>
    <definedName name="EWA" hidden="1">{#N/A,#N/A,FALSE,"초도품";#N/A,#N/A,FALSE,"초도품 (2)";#N/A,#N/A,FALSE,"초도품 (3)";#N/A,#N/A,FALSE,"초도품 (4)";#N/A,#N/A,FALSE,"초도품 (5)";#N/A,#N/A,FALSE,"초도품 (6)"}</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ew">#REF!</definedName>
    <definedName name="ewrwer" localSheetId="2" hidden="1">{#N/A,#N/A,FALSE,"Aging Summary";#N/A,#N/A,FALSE,"Ratio Analysis";#N/A,#N/A,FALSE,"Test 120 Day Accts";#N/A,#N/A,FALSE,"Tickmarks"}</definedName>
    <definedName name="ewrwer" hidden="1">{#N/A,#N/A,FALSE,"Aging Summary";#N/A,#N/A,FALSE,"Ratio Analysis";#N/A,#N/A,FALSE,"Test 120 Day Accts";#N/A,#N/A,FALSE,"Tickmarks"}</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TWV" hidden="1">{#N/A,#N/A,FALSE,"Sheet6"}</definedName>
    <definedName name="ewweew" hidden="1">#N/A</definedName>
    <definedName name="Ex">#REF!</definedName>
    <definedName name="ExceptionDates">#REF!</definedName>
    <definedName name="excess_cash">#REF!</definedName>
    <definedName name="excesscash">#REF!</definedName>
    <definedName name="EXE">#N/A</definedName>
    <definedName name="exe_1">#N/A</definedName>
    <definedName name="exe_10">#N/A</definedName>
    <definedName name="exe_11">#N/A</definedName>
    <definedName name="exe_12">#N/A</definedName>
    <definedName name="exe_13">#N/A</definedName>
    <definedName name="exe_14">#N/A</definedName>
    <definedName name="exe_15">#N/A</definedName>
    <definedName name="exe_16">#N/A</definedName>
    <definedName name="exe_17">#N/A</definedName>
    <definedName name="exe_18">#N/A</definedName>
    <definedName name="exe_19">#N/A</definedName>
    <definedName name="exe_2">#N/A</definedName>
    <definedName name="exe_20">#N/A</definedName>
    <definedName name="exe_21">#N/A</definedName>
    <definedName name="exe_22">#N/A</definedName>
    <definedName name="exe_23">#N/A</definedName>
    <definedName name="exe_24">#N/A</definedName>
    <definedName name="exe_25">#N/A</definedName>
    <definedName name="exe_26">#N/A</definedName>
    <definedName name="exe_27">#N/A</definedName>
    <definedName name="exe_28">#N/A</definedName>
    <definedName name="exe_3">#N/A</definedName>
    <definedName name="exe_4">#N/A</definedName>
    <definedName name="exe_5">#N/A</definedName>
    <definedName name="exe_6">#N/A</definedName>
    <definedName name="exe_7">#N/A</definedName>
    <definedName name="exe_8">#N/A</definedName>
    <definedName name="exe_9">#N/A</definedName>
    <definedName name="EXL" hidden="1">#REF!</definedName>
    <definedName name="EXP_COS">#N/A</definedName>
    <definedName name="EXP_SALE">#N/A</definedName>
    <definedName name="Expected_Error_Rate">#REF!</definedName>
    <definedName name="expo">#REF!</definedName>
    <definedName name="EXPSALE">#N/A</definedName>
    <definedName name="EXT" localSheetId="2" hidden="1">{#N/A,#N/A,TRUE,"일정"}</definedName>
    <definedName name="EXT" hidden="1">{#N/A,#N/A,TRUE,"일정"}</definedName>
    <definedName name="_xlnm.Extract">#REF!</definedName>
    <definedName name="Extract_MI">#REF!</definedName>
    <definedName name="EXTT" localSheetId="2" hidden="1">{#N/A,#N/A,TRUE,"일정"}</definedName>
    <definedName name="EXTT" hidden="1">{#N/A,#N/A,TRUE,"일정"}</definedName>
    <definedName name="eyteyt" localSheetId="2" hidden="1">{#N/A,#N/A,FALSE,"CCTV"}</definedName>
    <definedName name="eyteyt" hidden="1">{#N/A,#N/A,FALSE,"CCTV"}</definedName>
    <definedName name="Ez">#REF!</definedName>
    <definedName name="E매출">#REF!</definedName>
    <definedName name="E이자">#REF!</definedName>
    <definedName name="e인원">#REF!</definedName>
    <definedName name="f" hidden="1">#REF!</definedName>
    <definedName name="F_123">#REF!</definedName>
    <definedName name="f_3s_cu">#REF!</definedName>
    <definedName name="f_3s_Q1">#REF!</definedName>
    <definedName name="f_3s_Q2">#REF!</definedName>
    <definedName name="f_3s_Q3">#REF!</definedName>
    <definedName name="F_CODE">#N/A</definedName>
    <definedName name="f_cu_cu">#REF!</definedName>
    <definedName name="f_cu_Q1">#REF!</definedName>
    <definedName name="f_cu_Q2">#REF!</definedName>
    <definedName name="f_cu_Q3">#REF!</definedName>
    <definedName name="F_DESC">#N/A</definedName>
    <definedName name="f_EPED_DD">#REF!</definedName>
    <definedName name="f_GWTD.Acq">#REF!</definedName>
    <definedName name="f_GWTD.Target">#REF!</definedName>
    <definedName name="f_la_cu">#REF!</definedName>
    <definedName name="f_la_Q1">#REF!</definedName>
    <definedName name="f_la_Q2">#REF!</definedName>
    <definedName name="f_la_Q3">#REF!</definedName>
    <definedName name="F_LVL">#N/A</definedName>
    <definedName name="F_PAGE">#N/A</definedName>
    <definedName name="f_pl_cu">#REF!</definedName>
    <definedName name="f_pl_Q1">#REF!</definedName>
    <definedName name="f_pl_Q2">#REF!</definedName>
    <definedName name="f_pl_Q3">#REF!</definedName>
    <definedName name="f_pr_cu">#REF!</definedName>
    <definedName name="f_pr_Q1">#REF!</definedName>
    <definedName name="f_pr_Q2">#REF!</definedName>
    <definedName name="f_pr_Q3">#REF!</definedName>
    <definedName name="f_pu_cu">#REF!</definedName>
    <definedName name="f_pu_Q1">#REF!</definedName>
    <definedName name="f_pu_Q2">#REF!</definedName>
    <definedName name="f_pu_Q3">#REF!</definedName>
    <definedName name="F_REMK">#N/A</definedName>
    <definedName name="F_SEQ">#N/A</definedName>
    <definedName name="f_shape">#REF!</definedName>
    <definedName name="F_SIZE">#N/A</definedName>
    <definedName name="f_st_cu">#REF!</definedName>
    <definedName name="f_st_Q1">#REF!</definedName>
    <definedName name="f_st_Q2">#REF!</definedName>
    <definedName name="f_st_Q3">#REF!</definedName>
    <definedName name="f_ta_cu">#REF!</definedName>
    <definedName name="f_ta_Q1">#REF!</definedName>
    <definedName name="f_ta_Q2">#REF!</definedName>
    <definedName name="f_ta_Q3">#REF!</definedName>
    <definedName name="f_te_cu">#REF!</definedName>
    <definedName name="f_te_Q1">#REF!</definedName>
    <definedName name="f_te_Q2">#REF!</definedName>
    <definedName name="f_te_Q3">#REF!</definedName>
    <definedName name="F_UNIT">#N/A</definedName>
    <definedName name="f_선행_cu">#REF!</definedName>
    <definedName name="f_선행_Q1">#REF!</definedName>
    <definedName name="f_선행_Q2">#REF!</definedName>
    <definedName name="f_선행_Q3">#REF!</definedName>
    <definedName name="f_외관_cu">#REF!</definedName>
    <definedName name="f_외관_Q1">#REF!</definedName>
    <definedName name="f_외관_Q2">#REF!</definedName>
    <definedName name="f_외관_Q3">#REF!</definedName>
    <definedName name="f8345732858328532" hidden="1">#REF!</definedName>
    <definedName name="FAB">#N/A</definedName>
    <definedName name="Factor">#REF!</definedName>
    <definedName name="fadad">BlankMacro1</definedName>
    <definedName name="fall" hidden="1">#REF!</definedName>
    <definedName name="fasdf" hidden="1">#REF!</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ASJFSLFJKLSF" localSheetId="2" hidden="1">{"'Jibu9811 (3)'!$B$1:$J$433"}</definedName>
    <definedName name="FASJFSLFJKLSF" hidden="1">{"'Jibu9811 (3)'!$B$1:$J$433"}</definedName>
    <definedName name="FC" hidden="1">{#N/A,#N/A,FALSE,"단축1";#N/A,#N/A,FALSE,"단축2";#N/A,#N/A,FALSE,"단축3";#N/A,#N/A,FALSE,"장축";#N/A,#N/A,FALSE,"4WD"}</definedName>
    <definedName name="FC." hidden="1">{#N/A,#N/A,FALSE,"단축1";#N/A,#N/A,FALSE,"단축2";#N/A,#N/A,FALSE,"단축3";#N/A,#N/A,FALSE,"장축";#N/A,#N/A,FALSE,"4WD"}</definedName>
    <definedName name="fck">#REF!</definedName>
    <definedName name="FCLINE2" hidden="1">{#N/A,#N/A,FALSE,"단축1";#N/A,#N/A,FALSE,"단축2";#N/A,#N/A,FALSE,"단축3";#N/A,#N/A,FALSE,"장축";#N/A,#N/A,FALSE,"4WD"}</definedName>
    <definedName name="FCode" hidden="1">#REF!</definedName>
    <definedName name="FD" localSheetId="2" hidden="1">{#N/A,#N/A,FALSE,"Aging Summary";#N/A,#N/A,FALSE,"Ratio Analysis";#N/A,#N/A,FALSE,"Test 120 Day Accts";#N/A,#N/A,FALSE,"Tickmarks"}</definedName>
    <definedName name="FD" hidden="1">{#N/A,#N/A,FALSE,"Aging Summary";#N/A,#N/A,FALSE,"Ratio Analysis";#N/A,#N/A,FALSE,"Test 120 Day Accts";#N/A,#N/A,FALSE,"Tickmarks"}</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fhdfhdgh" localSheetId="2" hidden="1">{#N/A,#N/A,FALSE,"CCTV"}</definedName>
    <definedName name="fddfhdfhdgh" hidden="1">{#N/A,#N/A,FALSE,"CCTV"}</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BlankMacro1</definedName>
    <definedName name="fdfd" localSheetId="2" hidden="1">{#N/A,#N/A,FALSE,"Aging Summary";#N/A,#N/A,FALSE,"Ratio Analysis";#N/A,#N/A,FALSE,"Test 120 Day Accts";#N/A,#N/A,FALSE,"Tickmarks"}</definedName>
    <definedName name="fdfd" hidden="1">{#N/A,#N/A,FALSE,"Aging Summary";#N/A,#N/A,FALSE,"Ratio Analysis";#N/A,#N/A,FALSE,"Test 120 Day Accts";#N/A,#N/A,FALSE,"Tickmarks"}</definedName>
    <definedName name="FDFDF" localSheetId="2" hidden="1">{#N/A,#N/A,FALSE,"CCTV"}</definedName>
    <definedName name="FDFDF" hidden="1">{#N/A,#N/A,FALSE,"CCTV"}</definedName>
    <definedName name="FDG" localSheetId="2" hidden="1">{"'Jibu9811 (3)'!$B$1:$J$433"}</definedName>
    <definedName name="FDG" hidden="1">{"'Jibu9811 (3)'!$B$1:$J$433"}</definedName>
    <definedName name="FDGHDFG" hidden="1">{#N/A,#N/A,FALSE,"단축1";#N/A,#N/A,FALSE,"단축2";#N/A,#N/A,FALSE,"단축3";#N/A,#N/A,FALSE,"장축";#N/A,#N/A,FALSE,"4WD"}</definedName>
    <definedName name="fdgs" hidden="1">{#N/A,#N/A,FALSE,"손익표지";#N/A,#N/A,FALSE,"손익계산";#N/A,#N/A,FALSE,"일반관리비";#N/A,#N/A,FALSE,"영업외수익";#N/A,#N/A,FALSE,"영업외비용";#N/A,#N/A,FALSE,"매출액";#N/A,#N/A,FALSE,"요약손익";#N/A,#N/A,FALSE,"요약대차";#N/A,#N/A,FALSE,"매출채권현황";#N/A,#N/A,FALSE,"매출채권명세"}</definedName>
    <definedName name="fdgz">#REF!</definedName>
    <definedName name="fdkjkj" hidden="1">{#N/A,#N/A,FALSE,"단축1";#N/A,#N/A,FALSE,"단축2";#N/A,#N/A,FALSE,"단축3";#N/A,#N/A,FALSE,"장축";#N/A,#N/A,FALSE,"4WD"}</definedName>
    <definedName name="fdn_no">#REF!</definedName>
    <definedName name="FDP_165_1_aUrv" hidden="1">#REF!</definedName>
    <definedName name="FDP_166_1_aUrv" hidden="1">#REF!</definedName>
    <definedName name="FDP_167_1_aUrv" hidden="1">#REF!</definedName>
    <definedName name="FDP_168_1_aSrv" hidden="1">#REF!</definedName>
    <definedName name="FDP_169_1_aUrv" hidden="1">#REF!</definedName>
    <definedName name="FDP_170_1_aSrv" hidden="1">#REF!</definedName>
    <definedName name="FDP_171_1_aUrv" hidden="1">#REF!</definedName>
    <definedName name="FDP_172_1_aUrv" hidden="1">#REF!</definedName>
    <definedName name="FDP_173_1_aUrv" hidden="1">#REF!</definedName>
    <definedName name="FDP_174_1_aSrv" hidden="1">#REF!</definedName>
    <definedName name="FDP_175_1_aUrv" hidden="1">#REF!</definedName>
    <definedName name="FDP_176_1_aUrv" hidden="1">#REF!</definedName>
    <definedName name="FDP_177_1_aSrv" hidden="1">#REF!</definedName>
    <definedName name="FDP_178_1_aSrv" hidden="1">#REF!</definedName>
    <definedName name="FDP_179_1_aSrv" hidden="1">#REF!</definedName>
    <definedName name="FDP_180_1_aSrv" hidden="1">#REF!</definedName>
    <definedName name="FDP_181_1_aUrv" hidden="1">#REF!</definedName>
    <definedName name="FDP_182_1_aSrv" hidden="1">#REF!</definedName>
    <definedName name="FDP_183_1_aSrv" hidden="1">#REF!</definedName>
    <definedName name="FDP_184_1_aUrv" hidden="1">#REF!</definedName>
    <definedName name="FDP_185_1_aSrv" hidden="1">#REF!</definedName>
    <definedName name="FDP_186_1_aUrv" hidden="1">#REF!</definedName>
    <definedName name="FDP_187_1_aSrv" hidden="1">#REF!</definedName>
    <definedName name="FDP_188_1_aUrv" hidden="1">#REF!</definedName>
    <definedName name="FDP_189_1_aUrv" hidden="1">#REF!</definedName>
    <definedName name="FDP_190_1_aUrv" hidden="1">#REF!</definedName>
    <definedName name="FDP_191_1_aUrv" hidden="1">#REF!</definedName>
    <definedName name="FDP_192_1_aSrv" hidden="1">#REF!</definedName>
    <definedName name="FDP_193_1_aUrv" hidden="1">#REF!</definedName>
    <definedName name="FDP_194_1_aUrv" hidden="1">#REF!</definedName>
    <definedName name="FDP_195_1_aUrv" hidden="1">#REF!</definedName>
    <definedName name="FDP_196_1_aSrv" hidden="1">#REF!</definedName>
    <definedName name="FDP_197_1_aUrv" hidden="1">#REF!</definedName>
    <definedName name="FDP_198_1_aSrv" hidden="1">#REF!</definedName>
    <definedName name="FDP_199_1_aUrv" hidden="1">#REF!</definedName>
    <definedName name="FDP_200_1_aUrv" hidden="1">#REF!</definedName>
    <definedName name="FDP_201_1_aUrv" hidden="1">#REF!</definedName>
    <definedName name="FDP_202_1_aUrv" hidden="1">#REF!</definedName>
    <definedName name="FDP_203_1_aSrv" hidden="1">#REF!</definedName>
    <definedName name="FDP_204_1_aUrv" hidden="1">#REF!</definedName>
    <definedName name="FDP_205_1_aUrv" hidden="1">#REF!</definedName>
    <definedName name="FDP_206_1_aUrv" hidden="1">#REF!</definedName>
    <definedName name="FDP_207_1_aUrv" hidden="1">#REF!</definedName>
    <definedName name="FDP_208_1_aSrv" hidden="1">#REF!</definedName>
    <definedName name="FDP_209_1_aUrv" hidden="1">#REF!</definedName>
    <definedName name="FDP_210_1_aUrv" hidden="1">#REF!</definedName>
    <definedName name="FDP_211_1_aUrv" hidden="1">#REF!</definedName>
    <definedName name="FDP_212_1_aUrv" hidden="1">#REF!</definedName>
    <definedName name="FDP_213_1_aSrv" hidden="1">#REF!</definedName>
    <definedName name="FDP_214_1_aUrv" hidden="1">#REF!</definedName>
    <definedName name="FDP_215_1_aUrv" hidden="1">#REF!</definedName>
    <definedName name="FDP_216_1_aUrv" hidden="1">#REF!</definedName>
    <definedName name="FDP_217_1_aUrv" hidden="1">#REF!</definedName>
    <definedName name="FDP_218_1_aSrv" hidden="1">#REF!</definedName>
    <definedName name="FDP_219_1_aSrv" hidden="1">#REF!</definedName>
    <definedName name="FDP_220_1_aSrv" hidden="1">#REF!</definedName>
    <definedName name="FDP_221_1_aSrv" hidden="1">#REF!</definedName>
    <definedName name="FDP_222_1_aSrv" hidden="1">#REF!</definedName>
    <definedName name="FDP_223_1_aSrv" hidden="1">#REF!</definedName>
    <definedName name="FDP_224_1_aUrv" hidden="1">#REF!</definedName>
    <definedName name="FDP_225_1_aUrv" hidden="1">#REF!</definedName>
    <definedName name="FDP_226_1_aUrv" hidden="1">#REF!</definedName>
    <definedName name="FDP_227_1_aUrv" hidden="1">#REF!</definedName>
    <definedName name="FDP_228_1_aSrv" hidden="1">#REF!</definedName>
    <definedName name="FDP_229_1_aSrv" hidden="1">#REF!</definedName>
    <definedName name="FDP_230_1_aSrv" hidden="1">#REF!</definedName>
    <definedName name="FDP_231_1_aSrv" hidden="1">#REF!</definedName>
    <definedName name="FDP_232_1_aSrv" hidden="1">#REF!</definedName>
    <definedName name="FDP_233_1_aSrv" hidden="1">#REF!</definedName>
    <definedName name="FDP_234_1_aUrv" hidden="1">#REF!</definedName>
    <definedName name="FDP_235_1_aUrv" hidden="1">#REF!</definedName>
    <definedName name="FDP_236_1_aUrv" hidden="1">#REF!</definedName>
    <definedName name="FDP_237_1_aUrv" hidden="1">#REF!</definedName>
    <definedName name="FDP_238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0_1_aSrv" hidden="1">#REF!</definedName>
    <definedName name="FDP_261_1_aSrv" hidden="1">#REF!</definedName>
    <definedName name="FDP_264_1_aUrv" hidden="1">#REF!</definedName>
    <definedName name="FDP_265_1_aUrv" hidden="1">#REF!</definedName>
    <definedName name="FDP_266_1_aUrv" hidden="1">#REF!</definedName>
    <definedName name="FDP_267_1_aUrv" hidden="1">#REF!</definedName>
    <definedName name="FDP_268_1_aUrv" hidden="1">#REF!</definedName>
    <definedName name="FDP_269_1_aUrv" hidden="1">#REF!</definedName>
    <definedName name="FDP_270_1_aUrv" hidden="1">#REF!</definedName>
    <definedName name="FDP_271_1_aUrv" hidden="1">#REF!</definedName>
    <definedName name="FDP_272_1_aUrv" hidden="1">#REF!</definedName>
    <definedName name="FDP_273_1_aUrv" hidden="1">#REF!</definedName>
    <definedName name="FDP_274_1_aUrv" hidden="1">#REF!</definedName>
    <definedName name="FDP_275_1_aUrv" hidden="1">#REF!</definedName>
    <definedName name="FDP_276_1_aUrv" hidden="1">#REF!</definedName>
    <definedName name="FDP_277_1_aUrv" hidden="1">#REF!</definedName>
    <definedName name="FDP_278_1_aUrv" hidden="1">#REF!</definedName>
    <definedName name="FDP_279_1_aSrv" hidden="1">#REF!</definedName>
    <definedName name="FDP_280_1_aSrv" hidden="1">#REF!</definedName>
    <definedName name="FDP_281_1_aSrv" hidden="1">#REF!</definedName>
    <definedName name="FDP_282_1_aSrv" hidden="1">#REF!</definedName>
    <definedName name="FDP_283_1_aSrv" hidden="1">#REF!</definedName>
    <definedName name="fdsa" hidden="1">{#N/A,#N/A,FALSE,"단축1";#N/A,#N/A,FALSE,"단축2";#N/A,#N/A,FALSE,"단축3";#N/A,#N/A,FALSE,"장축";#N/A,#N/A,FALSE,"4WD"}</definedName>
    <definedName name="fdsfd"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x">#REF!</definedName>
    <definedName name="Fdz">#REF!</definedName>
    <definedName name="Feb">#REF!</definedName>
    <definedName name="Feb.DM">#REF!</definedName>
    <definedName name="Februar">#REF!</definedName>
    <definedName name="feee" localSheetId="2" hidden="1">{"'買掛金'!$J$6"}</definedName>
    <definedName name="feee" hidden="1">{"'買掛金'!$J$6"}</definedName>
    <definedName name="FEEL">#REF!</definedName>
    <definedName name="fefw">#REF!</definedName>
    <definedName name="Fex">#REF!</definedName>
    <definedName name="Fez">#REF!</definedName>
    <definedName name="FF"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FD" hidden="1">{#N/A,#N/A,FALSE,"단축1";#N/A,#N/A,FALSE,"단축2";#N/A,#N/A,FALSE,"단축3";#N/A,#N/A,FALSE,"장축";#N/A,#N/A,FALSE,"4WD"}</definedName>
    <definedName name="FFDF" hidden="1">{#N/A,#N/A,FALSE,"단축1";#N/A,#N/A,FALSE,"단축2";#N/A,#N/A,FALSE,"단축3";#N/A,#N/A,FALSE,"장축";#N/A,#N/A,FALSE,"4WD"}</definedName>
    <definedName name="ffee" localSheetId="2" hidden="1">{"'買掛金'!$J$6"}</definedName>
    <definedName name="ffee" hidden="1">{"'買掛金'!$J$6"}</definedName>
    <definedName name="FFF">#REF!</definedName>
    <definedName name="FFFFF" hidden="1">{#N/A,#N/A,FALSE,"단축1";#N/A,#N/A,FALSE,"단축2";#N/A,#N/A,FALSE,"단축3";#N/A,#N/A,FALSE,"장축";#N/A,#N/A,FALSE,"4WD"}</definedName>
    <definedName name="ffffff" localSheetId="2" hidden="1">{#N/A,#N/A,FALSE,"CCTV"}</definedName>
    <definedName name="ffffff" hidden="1">{#N/A,#N/A,FALSE,"CCTV"}</definedName>
    <definedName name="fffgfg" hidden="1">{#N/A,#N/A,FALSE,"단축1";#N/A,#N/A,FALSE,"단축2";#N/A,#N/A,FALSE,"단축3";#N/A,#N/A,FALSE,"장축";#N/A,#N/A,FALSE,"4WD"}</definedName>
    <definedName name="ffwefrhj2ljw" localSheetId="2" hidden="1">{"'Jibu9811 (3)'!$B$1:$J$433"}</definedName>
    <definedName name="ffwefrhj2ljw" hidden="1">{"'Jibu9811 (3)'!$B$1:$J$433"}</definedName>
    <definedName name="FG">#REF!</definedName>
    <definedName name="FG46TBTB4RTDKDK">#REF!</definedName>
    <definedName name="FGF" localSheetId="2" hidden="1">{#N/A,#N/A,FALSE,"CCTV"}</definedName>
    <definedName name="FGF" hidden="1">{#N/A,#N/A,FALSE,"CCTV"}</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hgfjk">#N/A</definedName>
    <definedName name="FGHJ" hidden="1">{#N/A,#N/A,FALSE,"단축1";#N/A,#N/A,FALSE,"단축2";#N/A,#N/A,FALSE,"단축3";#N/A,#N/A,FALSE,"장축";#N/A,#N/A,FALSE,"4WD"}</definedName>
    <definedName name="FGJ">#N/A</definedName>
    <definedName name="fgjft" hidden="1">{#N/A,#N/A,FALSE,"Sheet6"}</definedName>
    <definedName name="FGPRPRRKRKRKTBTB2RTDKDK">#REF!</definedName>
    <definedName name="FGPRTBTB1RTDKDK">#REF!</definedName>
    <definedName name="FGR53C11R63C11TB3RTCN">#REF!</definedName>
    <definedName name="FGR6C8R8C8TB4RTCN">#REF!</definedName>
    <definedName name="FGR6C9R8C9TB3RTCN">#REF!</definedName>
    <definedName name="FGRKRKRKRKRKRKRKRKRKRKRKRKRKRKT">#REF!</definedName>
    <definedName name="FGSOUTMP">#N/A</definedName>
    <definedName name="FGSOUTPP">#N/A</definedName>
    <definedName name="fgwehwrhw">#REF!</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gjfghfghgf" localSheetId="2" hidden="1">{#N/A,#N/A,FALSE,"CCTV"}</definedName>
    <definedName name="fhgjfghfghgf" hidden="1">{#N/A,#N/A,FALSE,"CCTV"}</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HKLDFJODFGJD" hidden="1">{#N/A,#N/A,TRUE,"경전'96(1)";#N/A,#N/A,TRUE,"경전'96 (2)"}</definedName>
    <definedName name="fila" localSheetId="2" hidden="1">{#N/A,#N/A,FALSE,"채권채무";#N/A,#N/A,FALSE,"control sheet"}</definedName>
    <definedName name="fila" hidden="1">{#N/A,#N/A,FALSE,"채권채무";#N/A,#N/A,FALSE,"control sheet"}</definedName>
    <definedName name="fila_a" localSheetId="2" hidden="1">{#N/A,#N/A,FALSE,"채권채무";#N/A,#N/A,FALSE,"control sheet"}</definedName>
    <definedName name="fila_a" hidden="1">{#N/A,#N/A,FALSE,"채권채무";#N/A,#N/A,FALSE,"control sheet"}</definedName>
    <definedName name="file">#REF!</definedName>
    <definedName name="file1">#REF!</definedName>
    <definedName name="FILEMAC">#REF!</definedName>
    <definedName name="FilingDate_Plan_DataPage">#REF!</definedName>
    <definedName name="FILL2" hidden="1">#REF!</definedName>
    <definedName name="FIN">#REF!</definedName>
    <definedName name="Fina" hidden="1">#REF!</definedName>
    <definedName name="final" hidden="1">#REF!</definedName>
    <definedName name="FINAL_FS">#REF!</definedName>
    <definedName name="Finale" hidden="1">#REF!</definedName>
    <definedName name="finalReport">#REF!</definedName>
    <definedName name="finance">#REF!</definedName>
    <definedName name="Fin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ing" localSheetId="2" hidden="1">{#N/A,#N/A,FALSE,"BS";#N/A,#N/A,FALSE,"PL";#N/A,#N/A,FALSE,"처분";#N/A,#N/A,FALSE,"현금";#N/A,#N/A,FALSE,"매출";#N/A,#N/A,FALSE,"원가";#N/A,#N/A,FALSE,"경영"}</definedName>
    <definedName name="finding" hidden="1">{#N/A,#N/A,FALSE,"BS";#N/A,#N/A,FALSE,"PL";#N/A,#N/A,FALSE,"처분";#N/A,#N/A,FALSE,"현금";#N/A,#N/A,FALSE,"매출";#N/A,#N/A,FALSE,"원가";#N/A,#N/A,FALSE,"경영"}</definedName>
    <definedName name="FINIMPACT">#REF!</definedName>
    <definedName name="FirstYearOfData">#REF!</definedName>
    <definedName name="FixIndex1_1">#REF!</definedName>
    <definedName name="FixIndex1_2">#REF!</definedName>
    <definedName name="FixIndex10_1">#REF!</definedName>
    <definedName name="FixIndex10_2">#REF!</definedName>
    <definedName name="FixIndex100_1">#REF!</definedName>
    <definedName name="FixIndex101_1">#REF!</definedName>
    <definedName name="FixIndex102_1">#REF!</definedName>
    <definedName name="FixIndex102_2">#REF!</definedName>
    <definedName name="FixIndex102_3">#REF!</definedName>
    <definedName name="FixIndex103_1">#REF!</definedName>
    <definedName name="FixIndex103_2">#REF!</definedName>
    <definedName name="FixIndex103_3">#REF!</definedName>
    <definedName name="FixIndex104_1">#REF!</definedName>
    <definedName name="FixIndex104_2">#REF!</definedName>
    <definedName name="FixIndex105_1">#REF!</definedName>
    <definedName name="FixIndex105_2">#REF!</definedName>
    <definedName name="FixIndex106_1">#REF!</definedName>
    <definedName name="FixIndex11_1">#REF!</definedName>
    <definedName name="FixIndex11_2">#REF!</definedName>
    <definedName name="FixIndex11_3">#REF!</definedName>
    <definedName name="FixIndex11_4">#REF!</definedName>
    <definedName name="FixIndex110_1">#REF!</definedName>
    <definedName name="FixIndex110_2">#REF!</definedName>
    <definedName name="FixIndex111_1">#REF!</definedName>
    <definedName name="FixIndex112_1">#REF!</definedName>
    <definedName name="FixIndex112_2">#REF!</definedName>
    <definedName name="FixIndex113_1">#REF!</definedName>
    <definedName name="FixIndex114_1">#REF!</definedName>
    <definedName name="FixIndex115_1">#REF!</definedName>
    <definedName name="FixIndex12_1">#REF!</definedName>
    <definedName name="FixIndex12_2">#REF!</definedName>
    <definedName name="FixIndex14_1">#REF!</definedName>
    <definedName name="FixIndex15_1">#REF!</definedName>
    <definedName name="FixIndex16_1">#REF!</definedName>
    <definedName name="FixIndex16_2">#REF!</definedName>
    <definedName name="FixIndex16_3">#REF!</definedName>
    <definedName name="FixIndex17_1">#REF!</definedName>
    <definedName name="FixIndex17_2">#REF!</definedName>
    <definedName name="FixIndex17_3">#REF!</definedName>
    <definedName name="FixIndex18_1">#REF!</definedName>
    <definedName name="FixIndex18_2">#REF!</definedName>
    <definedName name="FixIndex19_1">#REF!</definedName>
    <definedName name="FixIndex2_2">#REF!</definedName>
    <definedName name="FixIndex20_1">#REF!</definedName>
    <definedName name="FixIndex21_1">#REF!</definedName>
    <definedName name="FixIndex22_1">#REF!</definedName>
    <definedName name="FixIndex22_2">#REF!</definedName>
    <definedName name="FixIndex23_1">#REF!</definedName>
    <definedName name="FixIndex24_1">#REF!</definedName>
    <definedName name="FixIndex25_1">#REF!</definedName>
    <definedName name="FixIndex27_1">#REF!</definedName>
    <definedName name="FixIndex28_1">#REF!</definedName>
    <definedName name="FixIndex3_1">#REF!</definedName>
    <definedName name="FixIndex30_1">#REF!</definedName>
    <definedName name="FixIndex31_1">#REF!</definedName>
    <definedName name="FixIndex33_1">#REF!</definedName>
    <definedName name="FixIndex34_1">#REF!</definedName>
    <definedName name="FixIndex34_2">#REF!</definedName>
    <definedName name="FixIndex35_1">#REF!</definedName>
    <definedName name="FixIndex36_1">#REF!</definedName>
    <definedName name="FixIndex4_2">#REF!</definedName>
    <definedName name="FixIndex47_1">#REF!</definedName>
    <definedName name="FixIndex48_1">#REF!</definedName>
    <definedName name="FixIndex48_2">#REF!</definedName>
    <definedName name="FixIndex48_3">#REF!</definedName>
    <definedName name="FixIndex49_1">#REF!</definedName>
    <definedName name="FixIndex49_2">#REF!</definedName>
    <definedName name="FixIndex5_1">#REF!</definedName>
    <definedName name="FixIndex50_1">#REF!</definedName>
    <definedName name="FixIndex50_2">#REF!</definedName>
    <definedName name="FixIndex50_3">#REF!</definedName>
    <definedName name="FixIndex51_1">#REF!</definedName>
    <definedName name="FixIndex51_2">#REF!</definedName>
    <definedName name="FixIndex51_3">#REF!</definedName>
    <definedName name="FixIndex52_1">#REF!</definedName>
    <definedName name="FixIndex52_2">#REF!</definedName>
    <definedName name="FixIndex53_1">#REF!</definedName>
    <definedName name="FixIndex53_2">#REF!</definedName>
    <definedName name="FixIndex53_3">#REF!</definedName>
    <definedName name="FixIndex54_1">#REF!</definedName>
    <definedName name="FixIndex54_2">#REF!</definedName>
    <definedName name="FixIndex55_1">#REF!</definedName>
    <definedName name="FixIndex56_1">#REF!</definedName>
    <definedName name="FixIndex56_2">#REF!</definedName>
    <definedName name="FixIndex56_3">#REF!</definedName>
    <definedName name="FixIndex57_1">#REF!</definedName>
    <definedName name="FixIndex57_2">#REF!</definedName>
    <definedName name="FixIndex57_3">#REF!</definedName>
    <definedName name="FixIndex58_1">#REF!</definedName>
    <definedName name="FixIndex59_1">#REF!</definedName>
    <definedName name="FixIndex6_1">#REF!</definedName>
    <definedName name="FixIndex60_1">#REF!</definedName>
    <definedName name="FixIndex61_1">#REF!</definedName>
    <definedName name="FixIndex62_1">#REF!</definedName>
    <definedName name="FixIndex63_1">#REF!</definedName>
    <definedName name="FixIndex64_1">#REF!</definedName>
    <definedName name="FixIndex65_1">#REF!</definedName>
    <definedName name="FixIndex7_2">#REF!</definedName>
    <definedName name="FixIndex7_3">#REF!</definedName>
    <definedName name="FixIndex71_1">#REF!</definedName>
    <definedName name="FixIndex73_1">#REF!</definedName>
    <definedName name="FixIndex73_2">#REF!</definedName>
    <definedName name="FixIndex74_1">#REF!</definedName>
    <definedName name="FixIndex74_2">#REF!</definedName>
    <definedName name="FixIndex75_1">#REF!</definedName>
    <definedName name="FixIndex76_1">#REF!</definedName>
    <definedName name="FixIndex78_1">#REF!</definedName>
    <definedName name="FixIndex8_1">#REF!</definedName>
    <definedName name="FixIndex80_1">#REF!</definedName>
    <definedName name="FixIndex80_2">#REF!</definedName>
    <definedName name="FixIndex81_1">#REF!</definedName>
    <definedName name="FixIndex81_2">#REF!</definedName>
    <definedName name="FixIndex81_3">#REF!</definedName>
    <definedName name="FixIndex82_1">#REF!</definedName>
    <definedName name="FixIndex82_2">#REF!</definedName>
    <definedName name="FixIndex82_3">#REF!</definedName>
    <definedName name="FixIndex82_4">#REF!</definedName>
    <definedName name="FixIndex83_1">#REF!</definedName>
    <definedName name="FixIndex83_2">#REF!</definedName>
    <definedName name="FixIndex83_3">#REF!</definedName>
    <definedName name="FixIndex84_1">#REF!</definedName>
    <definedName name="FixIndex84_2">#REF!</definedName>
    <definedName name="FixIndex84_3">#REF!</definedName>
    <definedName name="FixIndex85_1">#REF!</definedName>
    <definedName name="FixIndex85_2">#REF!</definedName>
    <definedName name="FixIndex85_3">#REF!</definedName>
    <definedName name="FixIndex86_1">#REF!</definedName>
    <definedName name="FixIndex87_1">#REF!</definedName>
    <definedName name="FixIndex88_1">#REF!</definedName>
    <definedName name="FixIndex88_2">#REF!</definedName>
    <definedName name="FixIndex89_1">#REF!</definedName>
    <definedName name="FixIndex89_2">#REF!</definedName>
    <definedName name="FixIndex90_1">#REF!</definedName>
    <definedName name="FixIndex90_2">#REF!</definedName>
    <definedName name="FixIndex90_3">#REF!</definedName>
    <definedName name="FixIndex92_1">#REF!</definedName>
    <definedName name="FixIndex92_2">#REF!</definedName>
    <definedName name="FixIndex92_3">#REF!</definedName>
    <definedName name="FixIndex94_2">#REF!</definedName>
    <definedName name="FixIndex95_1">#REF!</definedName>
    <definedName name="FixIndex95_2">#REF!</definedName>
    <definedName name="FixIndex96_1">#REF!</definedName>
    <definedName name="FixIndex97_1">#REF!</definedName>
    <definedName name="FixIndex98_1">#REF!</definedName>
    <definedName name="FixIndex99_1">#REF!</definedName>
    <definedName name="FJ"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 hidden="1">{#N/A,#N/A,FALSE,"손익표지";#N/A,#N/A,FALSE,"손익계산";#N/A,#N/A,FALSE,"일반관리비";#N/A,#N/A,FALSE,"영업외수익";#N/A,#N/A,FALSE,"영업외비용";#N/A,#N/A,FALSE,"매출액";#N/A,#N/A,FALSE,"요약손익";#N/A,#N/A,FALSE,"요약대차";#N/A,#N/A,FALSE,"매출채권현황";#N/A,#N/A,FALSE,"매출채권명세"}</definedName>
    <definedName name="F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_1" hidden="1">{#N/A,#N/A,FALSE,"손익표지";#N/A,#N/A,FALSE,"손익계산";#N/A,#N/A,FALSE,"일반관리비";#N/A,#N/A,FALSE,"영업외수익";#N/A,#N/A,FALSE,"영업외비용";#N/A,#N/A,FALSE,"매출액";#N/A,#N/A,FALSE,"요약손익";#N/A,#N/A,FALSE,"요약대차";#N/A,#N/A,FALSE,"매출채권현황";#N/A,#N/A,FALSE,"매출채권명세"}</definedName>
    <definedName name="fjalaslaslfasllaa" localSheetId="2" hidden="1">{#N/A,#N/A,FALSE,"을지 (4)";#N/A,#N/A,FALSE,"을지 (5)";#N/A,#N/A,FALSE,"을지 (6)"}</definedName>
    <definedName name="fjalaslaslfasllaa" hidden="1">{#N/A,#N/A,FALSE,"을지 (4)";#N/A,#N/A,FALSE,"을지 (5)";#N/A,#N/A,FALSE,"을지 (6)"}</definedName>
    <definedName name="FJD" localSheetId="2" hidden="1">{#N/A,#N/A,FALSE,"단축1";#N/A,#N/A,FALSE,"단축2";#N/A,#N/A,FALSE,"단축3";#N/A,#N/A,FALSE,"장축";#N/A,#N/A,FALSE,"4WD"}</definedName>
    <definedName name="FJD" hidden="1">{#N/A,#N/A,FALSE,"단축1";#N/A,#N/A,FALSE,"단축2";#N/A,#N/A,FALSE,"단축3";#N/A,#N/A,FALSE,"장축";#N/A,#N/A,FALSE,"4WD"}</definedName>
    <definedName name="fjdi0s" hidden="1">#N/A</definedName>
    <definedName name="fjEFIEHFH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FJ" hidden="1">{#N/A,#N/A,FALSE,"단축1";#N/A,#N/A,FALSE,"단축2";#N/A,#N/A,FALSE,"단축3";#N/A,#N/A,FALSE,"장축";#N/A,#N/A,FALSE,"4WD"}</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klsjkl" hidden="1">{"'Sheet1'!$A$1:$H$36"}</definedName>
    <definedName name="FK" hidden="1">{"'용역비'!$A$4:$C$8"}</definedName>
    <definedName name="FKFK" hidden="1">{#N/A,#N/A,FALSE,"단축1";#N/A,#N/A,FALSE,"단축2";#N/A,#N/A,FALSE,"단축3";#N/A,#N/A,FALSE,"장축";#N/A,#N/A,FALSE,"4WD"}</definedName>
    <definedName name="FLEXIBLE.T.L" localSheetId="2" hidden="1">{#N/A,#N/A,FALSE,"단축1";#N/A,#N/A,FALSE,"단축2";#N/A,#N/A,FALSE,"단축3";#N/A,#N/A,FALSE,"장축";#N/A,#N/A,FALSE,"4WD"}</definedName>
    <definedName name="FLEXIBLE.T.L" hidden="1">{#N/A,#N/A,FALSE,"단축1";#N/A,#N/A,FALSE,"단축2";#N/A,#N/A,FALSE,"단축3";#N/A,#N/A,FALSE,"장축";#N/A,#N/A,FALSE,"4WD"}</definedName>
    <definedName name="flow">#REF!</definedName>
    <definedName name="flsklhdjhjd" hidden="1">{"'Sheet1'!$A$1:$H$36"}</definedName>
    <definedName name="FN">#REF!</definedName>
    <definedName name="fno">#REF!</definedName>
    <definedName name="fnx">#REF!</definedName>
    <definedName name="fnz">#REF!</definedName>
    <definedName name="fo">#REF!</definedName>
    <definedName name="FOB가" hidden="1">{#N/A,#N/A,FALSE,"단축1";#N/A,#N/A,FALSE,"단축2";#N/A,#N/A,FALSE,"단축3";#N/A,#N/A,FALSE,"장축";#N/A,#N/A,FALSE,"4WD"}</definedName>
    <definedName name="footing">#REF!</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orecast_Start_Year">#REF!</definedName>
    <definedName name="Format">#REF!</definedName>
    <definedName name="Format_AT_Actual_List">#REF!</definedName>
    <definedName name="Forward">#REF!</definedName>
    <definedName name="FO투입시UPH조정" hidden="1">{#N/A,#N/A,FALSE,"단축1";#N/A,#N/A,FALSE,"단축2";#N/A,#N/A,FALSE,"단축3";#N/A,#N/A,FALSE,"장축";#N/A,#N/A,FALSE,"4WD"}</definedName>
    <definedName name="fp" hidden="1">{#N/A,#N/A,TRUE,"경전'96(1)";#N/A,#N/A,TRUE,"경전'96 (2)"}</definedName>
    <definedName name="FPA17a">#REF!</definedName>
    <definedName name="FPA17b">#REF!</definedName>
    <definedName name="FPA17c">#REF!</definedName>
    <definedName name="FPA18a">#REF!</definedName>
    <definedName name="FPA18b">#REF!</definedName>
    <definedName name="FPA18c">#REF!</definedName>
    <definedName name="FPA19b">#REF!</definedName>
    <definedName name="FPA19c">#REF!</definedName>
    <definedName name="FPA20b">#REF!</definedName>
    <definedName name="FPA20c">#REF!</definedName>
    <definedName name="FPP3a">#REF!</definedName>
    <definedName name="FPP3b">#REF!</definedName>
    <definedName name="FPS2a">#REF!</definedName>
    <definedName name="FPS2b">#REF!</definedName>
    <definedName name="FQ">BlankMacro1</definedName>
    <definedName name="FR">#REF!</definedName>
    <definedName name="FRE">#REF!</definedName>
    <definedName name="frequency">#REF!</definedName>
    <definedName name="fro">#REF!</definedName>
    <definedName name="frw">#REF!</definedName>
    <definedName name="frx">#REF!</definedName>
    <definedName name="frz">#REF!</definedName>
    <definedName name="FS" localSheetId="2" hidden="1">{#N/A,#N/A,FALSE,"BS";#N/A,#N/A,FALSE,"PL";#N/A,#N/A,FALSE,"처분";#N/A,#N/A,FALSE,"현금";#N/A,#N/A,FALSE,"매출";#N/A,#N/A,FALSE,"원가";#N/A,#N/A,FALSE,"경영"}</definedName>
    <definedName name="FS" hidden="1">{#N/A,#N/A,FALSE,"BS";#N/A,#N/A,FALSE,"PL";#N/A,#N/A,FALSE,"처분";#N/A,#N/A,FALSE,"현금";#N/A,#N/A,FALSE,"매출";#N/A,#N/A,FALSE,"원가";#N/A,#N/A,FALSE,"경영"}</definedName>
    <definedName name="FS_1" localSheetId="2" hidden="1">{#N/A,#N/A,FALSE,"BS";#N/A,#N/A,FALSE,"PL";#N/A,#N/A,FALSE,"처분";#N/A,#N/A,FALSE,"현금";#N/A,#N/A,FALSE,"매출";#N/A,#N/A,FALSE,"원가";#N/A,#N/A,FALSE,"경영"}</definedName>
    <definedName name="FS_1" hidden="1">{#N/A,#N/A,FALSE,"BS";#N/A,#N/A,FALSE,"PL";#N/A,#N/A,FALSE,"처분";#N/A,#N/A,FALSE,"현금";#N/A,#N/A,FALSE,"매출";#N/A,#N/A,FALSE,"원가";#N/A,#N/A,FALSE,"경영"}</definedName>
    <definedName name="fsd">#REF!</definedName>
    <definedName name="FSDF">#REF!</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#N/A</definedName>
    <definedName name="fsdfwe" hidden="1">{"comp1",#N/A,FALSE,"COMPS";"footnotes",#N/A,FALSE,"COMPS"}</definedName>
    <definedName name="fsf">BlankMacro1</definedName>
    <definedName name="FSform">#REF!</definedName>
    <definedName name="fsg" hidden="1">{#N/A,#N/A,TRUE,"Cover His T";#N/A,#N/A,TRUE,"P&amp;L";#N/A,#N/A,TRUE,"BS";#N/A,#N/A,TRUE,"Depreciation";#N/A,#N/A,TRUE,"GRAPHS";#N/A,#N/A,TRUE,"DCF EBITDA Multiple";#N/A,#N/A,TRUE,"DCF Perpetual Growth"}</definedName>
    <definedName name="FSoPacific" hidden="1">{"BS",#N/A,FALSE,"USA"}</definedName>
    <definedName name="fsq" localSheetId="2">BlankMacro1</definedName>
    <definedName name="fsq" localSheetId="0">BlankMacro1</definedName>
    <definedName name="fsq">BlankMacro1</definedName>
    <definedName name="f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FTFTF" hidden="1">{#N/A,#N/A,FALSE,"단축1";#N/A,#N/A,FALSE,"단축2";#N/A,#N/A,FALSE,"단축3";#N/A,#N/A,FALSE,"장축";#N/A,#N/A,FALSE,"4WD"}</definedName>
    <definedName name="Ftx">#REF!</definedName>
    <definedName name="FTYGHJKL" hidden="1">{#N/A,#N/A,TRUE,"경전'96(1)";#N/A,#N/A,TRUE,"경전'96 (2)"}</definedName>
    <definedName name="Ftz">#REF!</definedName>
    <definedName name="fuckyou">#N/A</definedName>
    <definedName name="FUIEA">#N/A</definedName>
    <definedName name="FUYU" hidden="1">{#N/A,#N/A,FALSE,"단축1";#N/A,#N/A,FALSE,"단축2";#N/A,#N/A,FALSE,"단축3";#N/A,#N/A,FALSE,"장축";#N/A,#N/A,FALSE,"4WD"}</definedName>
    <definedName name="Fwd">#REF!</definedName>
    <definedName name="Fx">#REF!</definedName>
    <definedName name="fy">#REF!</definedName>
    <definedName name="g" localSheetId="2">{"Book1"}</definedName>
    <definedName name="g">{"Book1"}</definedName>
    <definedName name="g_range">#REF!</definedName>
    <definedName name="G1A1P">#REF!</definedName>
    <definedName name="g1a1t">#REF!</definedName>
    <definedName name="g1a2p">#REF!</definedName>
    <definedName name="g1a2t">#REF!</definedName>
    <definedName name="G2A1P">#REF!</definedName>
    <definedName name="g2a1t">#REF!</definedName>
    <definedName name="g2a2p">#REF!</definedName>
    <definedName name="g2a2t">#REF!</definedName>
    <definedName name="G3A1P">#REF!</definedName>
    <definedName name="g3a1t">#REF!</definedName>
    <definedName name="g3a2p">#REF!</definedName>
    <definedName name="g3a2t">#REF!</definedName>
    <definedName name="G4A1P">#REF!</definedName>
    <definedName name="g4a1t">#REF!</definedName>
    <definedName name="g4a2p">#REF!</definedName>
    <definedName name="g4a2t">#REF!</definedName>
    <definedName name="G5A1P">#REF!</definedName>
    <definedName name="g5a1t">#REF!</definedName>
    <definedName name="g5a2p">#REF!</definedName>
    <definedName name="g5a2t">#REF!</definedName>
    <definedName name="G6A1P">#REF!</definedName>
    <definedName name="g6a1t">#REF!</definedName>
    <definedName name="g6a2p">#REF!</definedName>
    <definedName name="g6a2t">#REF!</definedName>
    <definedName name="gaag" hidden="1">{#N/A,#N/A,FALSE,"단축1";#N/A,#N/A,FALSE,"단축2";#N/A,#N/A,FALSE,"단축3";#N/A,#N/A,FALSE,"장축";#N/A,#N/A,FALSE,"4WD"}</definedName>
    <definedName name="gamma">#REF!</definedName>
    <definedName name="GandA97">#REF!</definedName>
    <definedName name="gary">#REF!</definedName>
    <definedName name="GASUL">#REF!</definedName>
    <definedName name="gb">#REF!</definedName>
    <definedName name="GBP">#REF!</definedName>
    <definedName name="GBPf">#REF!</definedName>
    <definedName name="gc" localSheetId="2">BlankMacro1</definedName>
    <definedName name="gc" localSheetId="0">BlankMacro1</definedName>
    <definedName name="gc">BlankMacro1</definedName>
    <definedName name="GCJK">#REF!</definedName>
    <definedName name="GCODE">#N/A</definedName>
    <definedName name="g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fdfgdfg">#REF!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h">#N/A</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dg" localSheetId="2" hidden="1">{#N/A,#N/A,FALSE,"Aging Summary";#N/A,#N/A,FALSE,"Ratio Analysis";#N/A,#N/A,FALSE,"Test 120 Day Accts";#N/A,#N/A,FALSE,"Tickmarks"}</definedName>
    <definedName name="gdgdg" hidden="1">{#N/A,#N/A,FALSE,"Aging Summary";#N/A,#N/A,FALSE,"Ratio Analysis";#N/A,#N/A,FALSE,"Test 120 Day Accts";#N/A,#N/A,FALSE,"Tickmarks"}</definedName>
    <definedName name="GE">BlankMacro1</definedName>
    <definedName name="GEMCO" hidden="1">#REF!</definedName>
    <definedName name="gf">#REF!</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gdf">#REF!</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S" hidden="1">{#N/A,#N/A,FALSE,"단축1";#N/A,#N/A,FALSE,"단축2";#N/A,#N/A,FALSE,"단축3";#N/A,#N/A,FALSE,"장축";#N/A,#N/A,FALSE,"4WD"}</definedName>
    <definedName name="gfe">#REF!</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fgf">#N/A</definedName>
    <definedName name="GFGGF" hidden="1">{#N/A,#N/A,FALSE,"단축1";#N/A,#N/A,FALSE,"단축2";#N/A,#N/A,FALSE,"단축3";#N/A,#N/A,FALSE,"장축";#N/A,#N/A,FALSE,"4WD"}</definedName>
    <definedName name="gfggfr">#REF!</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jf" hidden="1">{#N/A,#N/A,FALSE,"Sheet6"}</definedName>
    <definedName name="gfjgfh" localSheetId="2" hidden="1">{#N/A,#N/A,FALSE,"CCTV"}</definedName>
    <definedName name="gfjgfh" hidden="1">{#N/A,#N/A,FALSE,"CCTV"}</definedName>
    <definedName name="gfjgfhfg" localSheetId="2" hidden="1">{#N/A,#N/A,FALSE,"CCTV"}</definedName>
    <definedName name="gfjgfhfg" hidden="1">{#N/A,#N/A,FALSE,"CCTV"}</definedName>
    <definedName name="gg" localSheetId="2" hidden="1">{#N/A,#N/A,TRUE,"Summary";#N/A,#N/A,TRUE,"IS";#N/A,#N/A,TRUE,"Adj";#N/A,#N/A,TRUE,"BS";#N/A,#N/A,TRUE,"CF";#N/A,#N/A,TRUE,"Debt";#N/A,#N/A,TRUE,"IRR"}</definedName>
    <definedName name="gg" hidden="1">{#N/A,#N/A,TRUE,"Summary";#N/A,#N/A,TRUE,"IS";#N/A,#N/A,TRUE,"Adj";#N/A,#N/A,TRUE,"BS";#N/A,#N/A,TRUE,"CF";#N/A,#N/A,TRUE,"Debt";#N/A,#N/A,TRUE,"IRR"}</definedName>
    <definedName name="ggf"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gg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GGG" hidden="1">#REF!</definedName>
    <definedName name="gggdffgfgfgf"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dffgfgfgf"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g"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ggg"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ggggggg"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H">BlankMacro1</definedName>
    <definedName name="GHD">BlankMacro1</definedName>
    <definedName name="GHDJDG" hidden="1">{#N/A,#N/A,FALSE,"단축1";#N/A,#N/A,FALSE,"단축2";#N/A,#N/A,FALSE,"단축3";#N/A,#N/A,FALSE,"장축";#N/A,#N/A,FALSE,"4WD"}</definedName>
    <definedName name="GHE" localSheetId="2" hidden="1">{#N/A,#N/A,FALSE,"이정표"}</definedName>
    <definedName name="GHE" hidden="1">{#N/A,#N/A,FALSE,"이정표"}</definedName>
    <definedName name="ghfj" hidden="1">{#N/A,#N/A,FALSE,"Sheet6"}</definedName>
    <definedName name="GHG">BlankMacro1</definedName>
    <definedName name="GHGF" hidden="1">{#N/A,#N/A,FALSE,"Sheet6"}</definedName>
    <definedName name="GHGHGH" localSheetId="2" hidden="1">{"'미착금액'!$A$4:$G$14"}</definedName>
    <definedName name="GHGHGH" hidden="1">{"'미착금액'!$A$4:$G$14"}</definedName>
    <definedName name="GHJ">#N/A</definedName>
    <definedName name="GHJ9IQA">BlankMacro1</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Q">#REF!</definedName>
    <definedName name="GHTRH" hidden="1">{#N/A,#N/A,FALSE,"Sheet6"}</definedName>
    <definedName name="GHUTGHF" hidden="1">{#N/A,#N/A,FALSE,"96 3월물량표";#N/A,#N/A,FALSE,"96 4월물량표";#N/A,#N/A,FALSE,"96 5월물량표"}</definedName>
    <definedName name="GI">BlankMacro1</definedName>
    <definedName name="GID">BlankMacro1</definedName>
    <definedName name="GIE">BlankMacro1</definedName>
    <definedName name="GIGIGIGIGIGIG" hidden="1">{#N/A,#N/A,FALSE,"단축1";#N/A,#N/A,FALSE,"단축2";#N/A,#N/A,FALSE,"단축3";#N/A,#N/A,FALSE,"장축";#N/A,#N/A,FALSE,"4WD"}</definedName>
    <definedName name="giovann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rder">#REF!</definedName>
    <definedName name="GJGK" hidden="1">{#N/A,#N/A,FALSE,"표지";#N/A,#N/A,FALSE,"전제";#N/A,#N/A,FALSE,"손익-자 (2)";#N/A,#N/A,FALSE,"손익-자";#N/A,#N/A,FALSE,"손익-마 (2)";#N/A,#N/A,FALSE,"손익-마";#N/A,#N/A,FALSE,"총손최종"}</definedName>
    <definedName name="GJIE">BlankMacro1</definedName>
    <definedName name="GJIEQ" localSheetId="2" hidden="1">{#N/A,#N/A,FALSE,"기안지";#N/A,#N/A,FALSE,"통신지"}</definedName>
    <definedName name="GJIEQ" hidden="1">{#N/A,#N/A,FALSE,"기안지";#N/A,#N/A,FALSE,"통신지"}</definedName>
    <definedName name="gjiwe">#N/A</definedName>
    <definedName name="GJJR89">BlankMacro1</definedName>
    <definedName name="gkduvhsjkf" localSheetId="2" hidden="1">{"'Jibu9811 (3)'!$B$1:$J$433"}</definedName>
    <definedName name="gkduvhsjkf" hidden="1">{"'Jibu9811 (3)'!$B$1:$J$433"}</definedName>
    <definedName name="gksmdgjs" localSheetId="2" hidden="1">{#N/A,#N/A,FALSE,"BS";#N/A,#N/A,FALSE,"PL";#N/A,#N/A,FALSE,"A";#N/A,#N/A,FALSE,"B";#N/A,#N/A,FALSE,"B1";#N/A,#N/A,FALSE,"C";#N/A,#N/A,FALSE,"C1";#N/A,#N/A,FALSE,"C2";#N/A,#N/A,FALSE,"D";#N/A,#N/A,FALSE,"E";#N/A,#N/A,FALSE,"F";#N/A,#N/A,FALSE,"AA";#N/A,#N/A,FALSE,"BB";#N/A,#N/A,FALSE,"CC";#N/A,#N/A,FALSE,"DD";#N/A,#N/A,FALSE,"EE";#N/A,#N/A,FALSE,"FF";#N/A,#N/A,FALSE,"PL10";#N/A,#N/A,FALSE,"PL20";#N/A,#N/A,FALSE,"PL30"}</definedName>
    <definedName name="gksmdgjs" hidden="1">{#N/A,#N/A,FALSE,"BS";#N/A,#N/A,FALSE,"PL";#N/A,#N/A,FALSE,"A";#N/A,#N/A,FALSE,"B";#N/A,#N/A,FALSE,"B1";#N/A,#N/A,FALSE,"C";#N/A,#N/A,FALSE,"C1";#N/A,#N/A,FALSE,"C2";#N/A,#N/A,FALSE,"D";#N/A,#N/A,FALSE,"E";#N/A,#N/A,FALSE,"F";#N/A,#N/A,FALSE,"AA";#N/A,#N/A,FALSE,"BB";#N/A,#N/A,FALSE,"CC";#N/A,#N/A,FALSE,"DD";#N/A,#N/A,FALSE,"EE";#N/A,#N/A,FALSE,"FF";#N/A,#N/A,FALSE,"PL10";#N/A,#N/A,FALSE,"PL20";#N/A,#N/A,FALSE,"PL30"}</definedName>
    <definedName name="GL" localSheetId="2" hidden="1">{#N/A,#N/A,FALSE,"단축1";#N/A,#N/A,FALSE,"단축2";#N/A,#N/A,FALSE,"단축3";#N/A,#N/A,FALSE,"장축";#N/A,#N/A,FALSE,"4WD"}</definedName>
    <definedName name="GL" hidden="1">{#N/A,#N/A,FALSE,"단축1";#N/A,#N/A,FALSE,"단축2";#N/A,#N/A,FALSE,"단축3";#N/A,#N/A,FALSE,"장축";#N/A,#N/A,FALSE,"4WD"}</definedName>
    <definedName name="GLA1P">#REF!</definedName>
    <definedName name="gla1t">#REF!</definedName>
    <definedName name="gla2p">#REF!</definedName>
    <definedName name="gla2t">#REF!</definedName>
    <definedName name="gls_ACT_EST_ROW" hidden="1">#REF!</definedName>
    <definedName name="gls_ACT_FORM_OFFSET" hidden="1">#REF!</definedName>
    <definedName name="gls_AnalystEmpNoHeading" hidden="1">#REF!</definedName>
    <definedName name="gls_AnalystNameHeading" hidden="1">#REF!</definedName>
    <definedName name="gls_EST_FORM_OFFSET" hidden="1">#REF!</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LastPriceTargetRevised" hidden="1">#REF!</definedName>
    <definedName name="gls_GenLastPublished" hidden="1">#REF!</definedName>
    <definedName name="gls_GenLastRecRevised" hidden="1">#REF!</definedName>
    <definedName name="gls_GenMainInfo" hidden="1">#REF!</definedName>
    <definedName name="gls_GenProfile" hidden="1">#REF!</definedName>
    <definedName name="gls_GenRecComment" hidden="1">#REF!</definedName>
    <definedName name="gls_GenSheetVersion" hidden="1">#REF!</definedName>
    <definedName name="gls_genStockCore" hidden="1">#REF!</definedName>
    <definedName name="gls_genStockRec" hidden="1">#REF!</definedName>
    <definedName name="gls_GenTargetCurrency" hidden="1">#REF!</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PARE_YEARS" hidden="1">#REF!</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TEMP_PERIOD_CODE" hidden="1">#REF!</definedName>
    <definedName name="gls_YEAR_AE_CONTROL" hidden="1">#REF!</definedName>
    <definedName name="gls_YEAR_END_ROW" hidden="1">#REF!</definedName>
    <definedName name="GMJK">#REF!</definedName>
    <definedName name="GML"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NOPROD">#REF!</definedName>
    <definedName name="gnf">#REF!</definedName>
    <definedName name="GO">#N/A</definedName>
    <definedName name="GoAssetChart">#N/A</definedName>
    <definedName name="GoBack">#N/A</definedName>
    <definedName name="GoBalanceSheet">#N/A</definedName>
    <definedName name="GoCashFlow">#N/A</definedName>
    <definedName name="GOD">#REF!</definedName>
    <definedName name="GoData">#N/A</definedName>
    <definedName name="GoIncomeChart">#N/A</definedName>
    <definedName name="goto_front">#N/A</definedName>
    <definedName name="goto_studio">#N/A</definedName>
    <definedName name="GotoFront">#N/A</definedName>
    <definedName name="gotofront1">#N/A</definedName>
    <definedName name="gotopractice">#N/A</definedName>
    <definedName name="gotosheet1">#N/A</definedName>
    <definedName name="GotoStudio">#N/A</definedName>
    <definedName name="GotoWorkPlace">#N/A</definedName>
    <definedName name="GOVDLLS">#REF!</definedName>
    <definedName name="Gown_Consumables" localSheetId="2">BlankMacro1</definedName>
    <definedName name="Gown_Consumables" localSheetId="0">BlankMacro1</definedName>
    <definedName name="Gown_Consumables">BlankMacro1</definedName>
    <definedName name="GPRIC">#N/A</definedName>
    <definedName name="gr">#REF!</definedName>
    <definedName name="Grade">#REF!</definedName>
    <definedName name="grafici" hidden="1">{#N/A,#N/A,FALSE,"SAFILOR"}</definedName>
    <definedName name="GRMRGN_" localSheetId="2">#REF!</definedName>
    <definedName name="GRMRGN_">#REF!</definedName>
    <definedName name="gross">#REF!</definedName>
    <definedName name="grout_type">#REF!</definedName>
    <definedName name="GSETGS" hidden="1">{#N/A,#N/A,FALSE,"Sheet6"}</definedName>
    <definedName name="GTR" hidden="1">{#N/A,#N/A,FALSE,"단축1";#N/A,#N/A,FALSE,"단축2";#N/A,#N/A,FALSE,"단축3";#N/A,#N/A,FALSE,"장축";#N/A,#N/A,FALSE,"4WD"}</definedName>
    <definedName name="GTY" hidden="1">{#N/A,#N/A,FALSE,"단축1";#N/A,#N/A,FALSE,"단축2";#N/A,#N/A,FALSE,"단축3";#N/A,#N/A,FALSE,"장축";#N/A,#N/A,FALSE,"4WD"}</definedName>
    <definedName name="GUBUN">#N/A</definedName>
    <definedName name="guidanc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KMSDF" hidden="1">{#N/A,#N/A,FALSE,"단축1";#N/A,#N/A,FALSE,"단축2";#N/A,#N/A,FALSE,"단축3";#N/A,#N/A,FALSE,"장축";#N/A,#N/A,FALSE,"4WD"}</definedName>
    <definedName name="guo" hidden="1">{#N/A,#N/A,FALSE,"Sheet6"}</definedName>
    <definedName name="gusg" localSheetId="2" hidden="1">{#N/A,#N/A,TRUE,"Summary";#N/A,#N/A,TRUE,"IS";#N/A,#N/A,TRUE,"Adj";#N/A,#N/A,TRUE,"BS";#N/A,#N/A,TRUE,"CF";#N/A,#N/A,TRUE,"Debt";#N/A,#N/A,TRUE,"IRR"}</definedName>
    <definedName name="gusg" hidden="1">{#N/A,#N/A,TRUE,"Summary";#N/A,#N/A,TRUE,"IS";#N/A,#N/A,TRUE,"Adj";#N/A,#N/A,TRUE,"BS";#N/A,#N/A,TRUE,"CF";#N/A,#N/A,TRUE,"Debt";#N/A,#N/A,TRUE,"IRR"}</definedName>
    <definedName name="gv">#REF!</definedName>
    <definedName name="gve">#REF!</definedName>
    <definedName name="H"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_af">#REF!</definedName>
    <definedName name="h_bf">#REF!</definedName>
    <definedName name="H_CM_Growth_Rate_Scenario">#REF!</definedName>
    <definedName name="H_CM_Saturation_Year">#REF!</definedName>
    <definedName name="H_CMI_Cost">#REF!</definedName>
    <definedName name="H_Cooking_Sales_Grwoth_Rate_2001">#REF!</definedName>
    <definedName name="H_DCFROR">#REF!</definedName>
    <definedName name="H_Heat_Cool_Sales_Growth_Rate_2001">#REF!</definedName>
    <definedName name="H_Household_Increase_Rate">#REF!</definedName>
    <definedName name="H_Industrial_Sales_Volume_Scenario">#REF!</definedName>
    <definedName name="H_Inventories">#REF!</definedName>
    <definedName name="H_irr_all">#REF!</definedName>
    <definedName name="H_Manpower_Cost_Growth_Nominal">#REF!</definedName>
    <definedName name="H_Manpower_Cost_Growth_Real">#REF!</definedName>
    <definedName name="H_Maximum_Diffusion_Rate">#REF!</definedName>
    <definedName name="H_npv_all">#REF!</definedName>
    <definedName name="H_npv_cg">#REF!</definedName>
    <definedName name="H_npv_ws">#REF!</definedName>
    <definedName name="H_Other_Opex">#REF!</definedName>
    <definedName name="H_Per_Household_Comsumption_Growth">#REF!</definedName>
    <definedName name="H_Record_Year_of_Maximum_Diffusion_Rate">#REF!</definedName>
    <definedName name="H_shareholder_v">#REF!</definedName>
    <definedName name="H_Trade_Payables">#REF!</definedName>
    <definedName name="H_Trade_Receivable">#REF!</definedName>
    <definedName name="H_Unit_Pipeline_Cost_Arterial">#REF!</definedName>
    <definedName name="H_User_Contribution">#REF!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1_">#REF!</definedName>
    <definedName name="H10A1P">#REF!</definedName>
    <definedName name="h10a1t">#REF!</definedName>
    <definedName name="h10a2p">#REF!</definedName>
    <definedName name="h10a2t">#REF!</definedName>
    <definedName name="H11A1P">#REF!</definedName>
    <definedName name="h11a1t">#REF!</definedName>
    <definedName name="h11a2p">#REF!</definedName>
    <definedName name="H11A2T">#REF!</definedName>
    <definedName name="H1A1P">#REF!</definedName>
    <definedName name="h1a1t">#REF!</definedName>
    <definedName name="h1a2p">#REF!</definedName>
    <definedName name="h1a2t">#REF!</definedName>
    <definedName name="H2A1P">#REF!</definedName>
    <definedName name="h2a1t">#REF!</definedName>
    <definedName name="h2a2p">#REF!</definedName>
    <definedName name="h2a2t">#REF!</definedName>
    <definedName name="H3A1P">#REF!</definedName>
    <definedName name="h3a1t">#REF!</definedName>
    <definedName name="h3a2p">#REF!</definedName>
    <definedName name="h3a2t">#REF!</definedName>
    <definedName name="H3AP1">#REF!</definedName>
    <definedName name="h4a1p">#REF!</definedName>
    <definedName name="h4a1t">#REF!</definedName>
    <definedName name="h4a2p">#REF!</definedName>
    <definedName name="h4a2t">#REF!</definedName>
    <definedName name="H5A1P">#REF!</definedName>
    <definedName name="h5a1t">#REF!</definedName>
    <definedName name="h5a2p">#REF!</definedName>
    <definedName name="h5a2t">#REF!</definedName>
    <definedName name="H6A1P">#REF!</definedName>
    <definedName name="h6a1t">#REF!</definedName>
    <definedName name="h6a2p">#REF!</definedName>
    <definedName name="h6a2t">#REF!</definedName>
    <definedName name="H7A1P">#REF!</definedName>
    <definedName name="h7a1t">#REF!</definedName>
    <definedName name="h7a2p">#REF!</definedName>
    <definedName name="h7a2t">#REF!</definedName>
    <definedName name="H8A1P">#REF!</definedName>
    <definedName name="h8a1t">#REF!</definedName>
    <definedName name="h8a2p">#REF!</definedName>
    <definedName name="h8a2t">#REF!</definedName>
    <definedName name="H9A1P">#REF!</definedName>
    <definedName name="h9a1t">#REF!</definedName>
    <definedName name="h9a2p">#REF!</definedName>
    <definedName name="h9a2t">#REF!</definedName>
    <definedName name="ha">#REF!</definedName>
    <definedName name="HA1P">#REF!</definedName>
    <definedName name="ha1t">#REF!</definedName>
    <definedName name="ha2p">#REF!</definedName>
    <definedName name="ha2t">#REF!</definedName>
    <definedName name="han">#N/A</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ardwar" hidden="1">#REF!</definedName>
    <definedName name="hb">#REF!</definedName>
    <definedName name="hcc감가">#REF!</definedName>
    <definedName name="hcc매출">#REF!</definedName>
    <definedName name="hcc인원">#REF!</definedName>
    <definedName name="hdokanp2002">#REF!</definedName>
    <definedName name="hdokanp2003">#REF!</definedName>
    <definedName name="hdokanp2004">#REF!</definedName>
    <definedName name="hdokanp2005">#REF!</definedName>
    <definedName name="hdokanp2006">#REF!</definedName>
    <definedName name="hdokanp2007">#REF!</definedName>
    <definedName name="HDOKAVTS">#REF!</definedName>
    <definedName name="hdokcogs2001">#REF!</definedName>
    <definedName name="hdokcogs2002">#REF!</definedName>
    <definedName name="hdokcogs2003">#REF!</definedName>
    <definedName name="hdokcogs2004">#REF!</definedName>
    <definedName name="hdokcogs2005">#REF!</definedName>
    <definedName name="hdokcogs2006">#REF!</definedName>
    <definedName name="hdokcogs2007">#REF!</definedName>
    <definedName name="hdokmedical2001">#REF!</definedName>
    <definedName name="hdokmedical2002">#REF!</definedName>
    <definedName name="hdokmedical2003">#REF!</definedName>
    <definedName name="hdokmedical2004">#REF!</definedName>
    <definedName name="hdokmedical2005">#REF!</definedName>
    <definedName name="hdokmedical2006">#REF!</definedName>
    <definedName name="hdokmedical2007">#REF!</definedName>
    <definedName name="hdoksales2001">#REF!</definedName>
    <definedName name="hdoksales2002">#REF!</definedName>
    <definedName name="hdoksales2003">#REF!</definedName>
    <definedName name="hdoksales2004">#REF!</definedName>
    <definedName name="hdoksales2005">#REF!</definedName>
    <definedName name="hdoksales2006">#REF!</definedName>
    <definedName name="hdoksales2007">#REF!</definedName>
    <definedName name="hdoksample2001">#REF!</definedName>
    <definedName name="hdoksample2002">#REF!</definedName>
    <definedName name="hdoksample2003">#REF!</definedName>
    <definedName name="hdoksample2004">#REF!</definedName>
    <definedName name="hdoksample2005">#REF!</definedName>
    <definedName name="hdoksample2006">#REF!</definedName>
    <definedName name="hdoksample2007">#REF!</definedName>
    <definedName name="HE">BlankMacro1</definedName>
    <definedName name="Headcount_2005">#REF!</definedName>
    <definedName name="HEADER">#REF!</definedName>
    <definedName name="HeaderData">#REF!</definedName>
    <definedName name="Heb">#REF!</definedName>
    <definedName name="height">#REF!</definedName>
    <definedName name="heryyw" hidden="1">{"Outflow 1",#N/A,FALSE,"Outflows-Inflows";"Outflow 2",#N/A,FALSE,"Outflows-Inflows";"Inflow 1",#N/A,FALSE,"Outflows-Inflows";"Inflow 2",#N/A,FALSE,"Outflows-Inflows"}</definedName>
    <definedName name="HEW">#REF!</definedName>
    <definedName name="hf">#REF!</definedName>
    <definedName name="HF1_">#REF!</definedName>
    <definedName name="hfdgfdg" localSheetId="2" hidden="1">{#N/A,#N/A,FALSE,"CCTV"}</definedName>
    <definedName name="hfdgfdg" hidden="1">{#N/A,#N/A,FALSE,"CCTV"}</definedName>
    <definedName name="HFG" hidden="1">{#N/A,#N/A,TRUE,"Y생산";#N/A,#N/A,TRUE,"Y판매";#N/A,#N/A,TRUE,"Y총물량";#N/A,#N/A,TRUE,"Y능력";#N/A,#N/A,TRUE,"YKD"}</definedName>
    <definedName name="hfjhhjj" localSheetId="2" hidden="1">{#N/A,#N/A,FALSE,"CCTV"}</definedName>
    <definedName name="hfjhhjj" hidden="1">{#N/A,#N/A,FALSE,"CCTV"}</definedName>
    <definedName name="HFLDFHIODGHIONB" hidden="1">{#N/A,#N/A,TRUE,"경전'96(1)";#N/A,#N/A,TRUE,"경전'96 (2)"}</definedName>
    <definedName name="HFS">#REF!</definedName>
    <definedName name="hg">#REF!</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hghghghghkf">#N/A</definedName>
    <definedName name="hgj" hidden="1">{#N/A,#N/A,FALSE,"Sheet6"}</definedName>
    <definedName name="hgjfgh" localSheetId="2" hidden="1">{#N/A,#N/A,FALSE,"CCTV"}</definedName>
    <definedName name="hgjfgh" hidden="1">{#N/A,#N/A,FALSE,"CCTV"}</definedName>
    <definedName name="hgjgfhgh" localSheetId="2" hidden="1">{#N/A,#N/A,FALSE,"CCTV"}</definedName>
    <definedName name="hgjgfhgh" hidden="1">{#N/A,#N/A,FALSE,"CCTV"}</definedName>
    <definedName name="hh"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 localSheetId="2" hidden="1">{#N/A,#N/A,FALSE,"BS";#N/A,#N/A,FALSE,"PL";#N/A,#N/A,FALSE,"처분";#N/A,#N/A,FALSE,"현금";#N/A,#N/A,FALSE,"매출";#N/A,#N/A,FALSE,"원가";#N/A,#N/A,FALSE,"경영"}</definedName>
    <definedName name="hhh" hidden="1">{#N/A,#N/A,FALSE,"BS";#N/A,#N/A,FALSE,"PL";#N/A,#N/A,FALSE,"처분";#N/A,#N/A,FALSE,"현금";#N/A,#N/A,FALSE,"매출";#N/A,#N/A,FALSE,"원가";#N/A,#N/A,FALSE,"경영"}</definedName>
    <definedName name="hhhh" hidden="1">{#N/A,#N/A,FALSE,"손익표지";#N/A,#N/A,FALSE,"손익계산";#N/A,#N/A,FALSE,"일반관리비";#N/A,#N/A,FALSE,"영업외수익";#N/A,#N/A,FALSE,"영업외비용";#N/A,#N/A,FALSE,"매출액";#N/A,#N/A,FALSE,"요약손익";#N/A,#N/A,FALSE,"요약대차";#N/A,#N/A,FALSE,"매출채권현황";#N/A,#N/A,FALSE,"매출채권명세"}</definedName>
    <definedName name="hhhhh"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hhhhh"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hhhhhhh">#N/A</definedName>
    <definedName name="hhhhhhhh"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hhhhhhhh">#N/A</definedName>
    <definedName name="hhhjj">#N/A</definedName>
    <definedName name="Hi" hidden="1">#N/A</definedName>
    <definedName name="HICOUT">#N/A</definedName>
    <definedName name="HiddenRows" hidden="1">#REF!</definedName>
    <definedName name="HIHIHIHIHIHFOIHH" hidden="1">{#N/A,#N/A,FALSE,"단축1";#N/A,#N/A,FALSE,"단축2";#N/A,#N/A,FALSE,"단축3";#N/A,#N/A,FALSE,"장축";#N/A,#N/A,FALSE,"4WD"}</definedName>
    <definedName name="hii">#REF!</definedName>
    <definedName name="hiii">#REF!</definedName>
    <definedName name="HIPVC28">#N/A</definedName>
    <definedName name="HIPVC36">#N/A</definedName>
    <definedName name="HJ">#REF!</definedName>
    <definedName name="HJHG" hidden="1">{#N/A,#N/A,FALSE,"단축1";#N/A,#N/A,FALSE,"단축2";#N/A,#N/A,FALSE,"단축3";#N/A,#N/A,FALSE,"장축";#N/A,#N/A,FALSE,"4WD"}</definedName>
    <definedName name="hjj">#REF!</definedName>
    <definedName name="HJK" hidden="1">{#N/A,#N/A,FALSE,"이태원철근"}</definedName>
    <definedName name="HJKLL" hidden="1">{#N/A,#N/A,TRUE,"Y생산";#N/A,#N/A,TRUE,"Y판매";#N/A,#N/A,TRUE,"Y총물량";#N/A,#N/A,TRUE,"Y능력";#N/A,#N/A,TRUE,"YKD"}</definedName>
    <definedName name="HJKOL" hidden="1">#N/A</definedName>
    <definedName name="hkhf">#REF!</definedName>
    <definedName name="HKJJB">#REF!</definedName>
    <definedName name="HLING" hidden="1">{#N/A,#N/A,FALSE,"단축1";#N/A,#N/A,FALSE,"단축2";#N/A,#N/A,FALSE,"단축3";#N/A,#N/A,FALSE,"장축";#N/A,#N/A,FALSE,"4WD"}</definedName>
    <definedName name="HMO_ip">#REF!</definedName>
    <definedName name="HMO_op">#REF!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#REF!,#REF!,#REF!,#REF!,#REF!</definedName>
    <definedName name="hn.DZ_MultByFXRates" hidden="1">#REF!,#REF!,#REF!,#REF!</definedName>
    <definedName name="hn.dz_ThouToMil" hidden="1">#REF!,#REF!,#REF!,#REF!,#REF!</definedName>
    <definedName name="hn.ExtDb" hidden="1">FALSE</definedName>
    <definedName name="hn.LTM_CS" hidden="1">#REF!,#REF!,#REF!,#REF!,#REF!,#REF!</definedName>
    <definedName name="hn.LTM_Misc" hidden="1">#REF!,#REF!,#REF!</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RolledForward" hidden="1">FALSE</definedName>
    <definedName name="hn.YearLabel" hidden="1">#REF!</definedName>
    <definedName name="Ho">#REF!</definedName>
    <definedName name="holding_ratio">#REF!</definedName>
    <definedName name="hope">#REF!</definedName>
    <definedName name="Hos">#REF!</definedName>
    <definedName name="Hospitals">#REF!</definedName>
    <definedName name="house_con">#REF!</definedName>
    <definedName name="house_con_grow">#REF!</definedName>
    <definedName name="house_con_grow_xl">#REF!</definedName>
    <definedName name="house_con_xl">#REF!</definedName>
    <definedName name="How">#REF!</definedName>
    <definedName name="Howt">#REF!</definedName>
    <definedName name="HPS">#REF!</definedName>
    <definedName name="hr">#REF!</definedName>
    <definedName name="hrt">#REF!</definedName>
    <definedName name="HRTYU" hidden="1">{#N/A,#N/A,FALSE,"단축1";#N/A,#N/A,FALSE,"단축2";#N/A,#N/A,FALSE,"단축3";#N/A,#N/A,FALSE,"장축";#N/A,#N/A,FALSE,"4WD"}</definedName>
    <definedName name="HSB">#REF!</definedName>
    <definedName name="HSㅅㄱ">#N/A</definedName>
    <definedName name="htc_단가표_List">#REF!</definedName>
    <definedName name="HTML_CodePage" hidden="1">949</definedName>
    <definedName name="HTML_Control" localSheetId="2" hidden="1">{"'손익현황'!$A$1:$J$29"}</definedName>
    <definedName name="HTML_Control" hidden="1">{"'손익현황'!$A$1:$J$29"}</definedName>
    <definedName name="HTML_Control_1" localSheetId="2" hidden="1">{"'보고양식'!$A$58:$K$111"}</definedName>
    <definedName name="HTML_Control_1" hidden="1">{"'보고양식'!$A$58:$K$111"}</definedName>
    <definedName name="HTML_Control_1_1" localSheetId="2" hidden="1">{"'보고양식'!$A$58:$K$111"}</definedName>
    <definedName name="HTML_Control_1_1" hidden="1">{"'보고양식'!$A$58:$K$111"}</definedName>
    <definedName name="HTML_Control_1_1_1" localSheetId="2" hidden="1">{"'보고양식'!$A$58:$K$111"}</definedName>
    <definedName name="HTML_Control_1_1_1" hidden="1">{"'보고양식'!$A$58:$K$111"}</definedName>
    <definedName name="HTML_Control_1_2" localSheetId="2" hidden="1">{"'보고양식'!$A$58:$K$111"}</definedName>
    <definedName name="HTML_Control_1_2" hidden="1">{"'보고양식'!$A$58:$K$111"}</definedName>
    <definedName name="HTML_Control_1_3" localSheetId="2" hidden="1">{"'보고양식'!$A$58:$K$111"}</definedName>
    <definedName name="HTML_Control_1_3" hidden="1">{"'보고양식'!$A$58:$K$111"}</definedName>
    <definedName name="HTML_Control_1_4" localSheetId="2" hidden="1">{"'보고양식'!$A$58:$K$111"}</definedName>
    <definedName name="HTML_Control_1_4" hidden="1">{"'보고양식'!$A$58:$K$111"}</definedName>
    <definedName name="HTML_Control_2" localSheetId="2" hidden="1">{"'보고양식'!$A$58:$K$111"}</definedName>
    <definedName name="HTML_Control_2" hidden="1">{"'보고양식'!$A$58:$K$111"}</definedName>
    <definedName name="HTML_Control_2_1" localSheetId="2" hidden="1">{"'보고양식'!$A$58:$K$111"}</definedName>
    <definedName name="HTML_Control_2_1" hidden="1">{"'보고양식'!$A$58:$K$111"}</definedName>
    <definedName name="HTML_Control_2_2" localSheetId="2" hidden="1">{"'보고양식'!$A$58:$K$111"}</definedName>
    <definedName name="HTML_Control_2_2" hidden="1">{"'보고양식'!$A$58:$K$111"}</definedName>
    <definedName name="HTML_Control_2_3" localSheetId="2" hidden="1">{"'보고양식'!$A$58:$K$111"}</definedName>
    <definedName name="HTML_Control_2_3" hidden="1">{"'보고양식'!$A$58:$K$111"}</definedName>
    <definedName name="HTML_Control_2_4" localSheetId="2" hidden="1">{"'보고양식'!$A$58:$K$111"}</definedName>
    <definedName name="HTML_Control_2_4" hidden="1">{"'보고양식'!$A$58:$K$111"}</definedName>
    <definedName name="HTML_Control_3" localSheetId="2" hidden="1">{"'보고양식'!$A$58:$K$111"}</definedName>
    <definedName name="HTML_Control_3" hidden="1">{"'보고양식'!$A$58:$K$111"}</definedName>
    <definedName name="HTML_Control_3_1" localSheetId="2" hidden="1">{"'보고양식'!$A$58:$K$111"}</definedName>
    <definedName name="HTML_Control_3_1" hidden="1">{"'보고양식'!$A$58:$K$111"}</definedName>
    <definedName name="HTML_Control_3_2" localSheetId="2" hidden="1">{"'보고양식'!$A$58:$K$111"}</definedName>
    <definedName name="HTML_Control_3_2" hidden="1">{"'보고양식'!$A$58:$K$111"}</definedName>
    <definedName name="HTML_Control_3_3" localSheetId="2" hidden="1">{"'보고양식'!$A$58:$K$111"}</definedName>
    <definedName name="HTML_Control_3_3" hidden="1">{"'보고양식'!$A$58:$K$111"}</definedName>
    <definedName name="HTML_Control_3_4" localSheetId="2" hidden="1">{"'보고양식'!$A$58:$K$111"}</definedName>
    <definedName name="HTML_Control_3_4" hidden="1">{"'보고양식'!$A$58:$K$111"}</definedName>
    <definedName name="HTML_Control_4" localSheetId="2" hidden="1">{"'보고양식'!$A$58:$K$111"}</definedName>
    <definedName name="HTML_Control_4" hidden="1">{"'보고양식'!$A$58:$K$111"}</definedName>
    <definedName name="HTML_Control_4_1" localSheetId="2" hidden="1">{"'보고양식'!$A$58:$K$111"}</definedName>
    <definedName name="HTML_Control_4_1" hidden="1">{"'보고양식'!$A$58:$K$111"}</definedName>
    <definedName name="HTML_Control_4_2" localSheetId="2" hidden="1">{"'보고양식'!$A$58:$K$111"}</definedName>
    <definedName name="HTML_Control_4_2" hidden="1">{"'보고양식'!$A$58:$K$111"}</definedName>
    <definedName name="HTML_Control_4_3" localSheetId="2" hidden="1">{"'보고양식'!$A$58:$K$111"}</definedName>
    <definedName name="HTML_Control_4_3" hidden="1">{"'보고양식'!$A$58:$K$111"}</definedName>
    <definedName name="HTML_Control_4_4" localSheetId="2" hidden="1">{"'보고양식'!$A$58:$K$111"}</definedName>
    <definedName name="HTML_Control_4_4" hidden="1">{"'보고양식'!$A$58:$K$111"}</definedName>
    <definedName name="HTML_Control_5" localSheetId="2" hidden="1">{"'보고양식'!$A$58:$K$111"}</definedName>
    <definedName name="HTML_Control_5" hidden="1">{"'보고양식'!$A$58:$K$111"}</definedName>
    <definedName name="HTML_Control_5_1" localSheetId="2" hidden="1">{"'보고양식'!$A$58:$K$111"}</definedName>
    <definedName name="HTML_Control_5_1" hidden="1">{"'보고양식'!$A$58:$K$111"}</definedName>
    <definedName name="HTML_Control_5_2" localSheetId="2" hidden="1">{"'보고양식'!$A$58:$K$111"}</definedName>
    <definedName name="HTML_Control_5_2" hidden="1">{"'보고양식'!$A$58:$K$111"}</definedName>
    <definedName name="HTML_Control_5_3" localSheetId="2" hidden="1">{"'보고양식'!$A$58:$K$111"}</definedName>
    <definedName name="HTML_Control_5_3" hidden="1">{"'보고양식'!$A$58:$K$111"}</definedName>
    <definedName name="HTML_Control_5_4" localSheetId="2" hidden="1">{"'보고양식'!$A$58:$K$111"}</definedName>
    <definedName name="HTML_Control_5_4" hidden="1">{"'보고양식'!$A$58:$K$111"}</definedName>
    <definedName name="HTML_Description" hidden="1">""</definedName>
    <definedName name="HTML_Email" hidden="1">""</definedName>
    <definedName name="HTML_Header" hidden="1">"손익현황"</definedName>
    <definedName name="HTML_LastUpdate" hidden="1">"99-04-13"</definedName>
    <definedName name="HTML_LineAfter" hidden="1">FALSE</definedName>
    <definedName name="HTML_LineBefore" hidden="1">FALSE</definedName>
    <definedName name="HTML_Name" hidden="1">"윤찬영"</definedName>
    <definedName name="HTML_OBDlg2" hidden="1">TRUE</definedName>
    <definedName name="HTML_OBDlg4" hidden="1">TRUE</definedName>
    <definedName name="HTML_OS" hidden="1">0</definedName>
    <definedName name="HTML_PathFile" hidden="1">"C:\d7100\MyHTML.htm"</definedName>
    <definedName name="HTML_PathFileMac" hidden="1">"Macintosh HD:HomePageStuff:New_Home_Page:datafile:ctryprem.html"</definedName>
    <definedName name="HTML_Title" hidden="1">"결산요약보고3월"</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10_1" hidden="1">"[전화번호부.xls]온산공장!$A$1:$I$57"</definedName>
    <definedName name="HTML10_10" hidden="1">""</definedName>
    <definedName name="HTML10_11" hidden="1">1</definedName>
    <definedName name="HTML10_12" hidden="1">"C:\My Documents\tel\전화번호(온산공장).htm"</definedName>
    <definedName name="HTML10_2" hidden="1">1</definedName>
    <definedName name="HTML10_3" hidden="1">"전화번호부.xls"</definedName>
    <definedName name="HTML10_4" hidden="1">"온산공장"</definedName>
    <definedName name="HTML10_5" hidden="1">""</definedName>
    <definedName name="HTML10_6" hidden="1">-4146</definedName>
    <definedName name="HTML10_7" hidden="1">-4146</definedName>
    <definedName name="HTML10_8" hidden="1">"98-08-17"</definedName>
    <definedName name="HTML10_9" hidden="1">"LG chem"</definedName>
    <definedName name="HTML11_1" hidden="1">"[전화번호부.xls]FAX번호!$A$1:$F$18"</definedName>
    <definedName name="HTML11_10" hidden="1">""</definedName>
    <definedName name="HTML11_11" hidden="1">1</definedName>
    <definedName name="HTML11_12" hidden="1">"C:\My Documents\tel\FAX번호.htm"</definedName>
    <definedName name="HTML11_2" hidden="1">1</definedName>
    <definedName name="HTML11_3" hidden="1">"전화번호부.xls"</definedName>
    <definedName name="HTML11_4" hidden="1">"FAX번호"</definedName>
    <definedName name="HTML11_5" hidden="1">""</definedName>
    <definedName name="HTML11_6" hidden="1">-4146</definedName>
    <definedName name="HTML11_7" hidden="1">-4146</definedName>
    <definedName name="HTML11_8" hidden="1">"98-08-18"</definedName>
    <definedName name="HTML11_9" hidden="1">"LG chem"</definedName>
    <definedName name="HTML12_1" hidden="1">"[전화번호부.xls]온산공장!$A$1:$I$64"</definedName>
    <definedName name="HTML12_10" hidden="1">""</definedName>
    <definedName name="HTML12_11" hidden="1">1</definedName>
    <definedName name="HTML12_12" hidden="1">"C:\My Documents\tel\전화번호(온산공장).htm"</definedName>
    <definedName name="HTML12_2" hidden="1">1</definedName>
    <definedName name="HTML12_3" hidden="1">"전화번호부.xls"</definedName>
    <definedName name="HTML12_4" hidden="1">"온산공장"</definedName>
    <definedName name="HTML12_5" hidden="1">""</definedName>
    <definedName name="HTML12_6" hidden="1">-4146</definedName>
    <definedName name="HTML12_7" hidden="1">-4146</definedName>
    <definedName name="HTML12_8" hidden="1">"98-08-18"</definedName>
    <definedName name="HTML12_9" hidden="1">"LG chem"</definedName>
    <definedName name="HTML13_1" hidden="1">"[전화번호부.xls]카렌다공장!$A$1:$I$65"</definedName>
    <definedName name="HTML13_10" hidden="1">""</definedName>
    <definedName name="HTML13_11" hidden="1">1</definedName>
    <definedName name="HTML13_12" hidden="1">"C:\My Documents\tel\전화번호(카렌다).htm"</definedName>
    <definedName name="HTML13_2" hidden="1">1</definedName>
    <definedName name="HTML13_3" hidden="1">"전화번호부.xls"</definedName>
    <definedName name="HTML13_4" hidden="1">"카렌다공장"</definedName>
    <definedName name="HTML13_5" hidden="1">""</definedName>
    <definedName name="HTML13_6" hidden="1">-4146</definedName>
    <definedName name="HTML13_7" hidden="1">-4146</definedName>
    <definedName name="HTML13_8" hidden="1">"98-08-19"</definedName>
    <definedName name="HTML13_9" hidden="1">"LG chem"</definedName>
    <definedName name="HTML14_1" hidden="1">"[전화번호부.xls]협력업체!$A$1:$F$12"</definedName>
    <definedName name="HTML14_10" hidden="1">""</definedName>
    <definedName name="HTML14_11" hidden="1">1</definedName>
    <definedName name="HTML14_12" hidden="1">"C:\My Documents\tel\협력업체.htm"</definedName>
    <definedName name="HTML14_2" hidden="1">1</definedName>
    <definedName name="HTML14_3" hidden="1">"전화번호부.xls"</definedName>
    <definedName name="HTML14_4" hidden="1">"협력업체"</definedName>
    <definedName name="HTML14_5" hidden="1">""</definedName>
    <definedName name="HTML14_6" hidden="1">-4146</definedName>
    <definedName name="HTML14_7" hidden="1">-4146</definedName>
    <definedName name="HTML14_8" hidden="1">"98-08-21"</definedName>
    <definedName name="HTML14_9" hidden="1">"LG chem"</definedName>
    <definedName name="HTML15_1" hidden="1">"[전화번호부.xls]지원.공통!$A$1:$I$59"</definedName>
    <definedName name="HTML15_10" hidden="1">""</definedName>
    <definedName name="HTML15_11" hidden="1">1</definedName>
    <definedName name="HTML15_12" hidden="1">"C:\My Documents\tel\전화번호(공통).htm"</definedName>
    <definedName name="HTML15_2" hidden="1">1</definedName>
    <definedName name="HTML15_3" hidden="1">"전화번호부.xls"</definedName>
    <definedName name="HTML15_4" hidden="1">"지원.공통"</definedName>
    <definedName name="HTML15_5" hidden="1">""</definedName>
    <definedName name="HTML15_6" hidden="1">-4146</definedName>
    <definedName name="HTML15_7" hidden="1">-4146</definedName>
    <definedName name="HTML15_8" hidden="1">"98-08-21"</definedName>
    <definedName name="HTML15_9" hidden="1">"LG chem"</definedName>
    <definedName name="HTML16_1" hidden="1">"[전화번호부.xls]지원.공통!$A$1:$I$60"</definedName>
    <definedName name="HTML16_10" hidden="1">""</definedName>
    <definedName name="HTML16_11" hidden="1">1</definedName>
    <definedName name="HTML16_12" hidden="1">"C:\My Documents\tel\전화번호(공통).htm"</definedName>
    <definedName name="HTML16_2" hidden="1">1</definedName>
    <definedName name="HTML16_3" hidden="1">"전화번호부.xls"</definedName>
    <definedName name="HTML16_4" hidden="1">"지원.공통"</definedName>
    <definedName name="HTML16_5" hidden="1">""</definedName>
    <definedName name="HTML16_6" hidden="1">-4146</definedName>
    <definedName name="HTML16_7" hidden="1">-4146</definedName>
    <definedName name="HTML16_8" hidden="1">"98-08-28"</definedName>
    <definedName name="HTML16_9" hidden="1">"LG chem"</definedName>
    <definedName name="HTML17_1" hidden="1">"[전화번호부.xls]FAX번호!$A$1:$F$19"</definedName>
    <definedName name="HTML17_10" hidden="1">""</definedName>
    <definedName name="HTML17_11" hidden="1">1</definedName>
    <definedName name="HTML17_12" hidden="1">"C:\My Documents\tel\FAX번호.htm"</definedName>
    <definedName name="HTML17_2" hidden="1">1</definedName>
    <definedName name="HTML17_3" hidden="1">"전화번호부.xls"</definedName>
    <definedName name="HTML17_4" hidden="1">"FAX번호"</definedName>
    <definedName name="HTML17_5" hidden="1">""</definedName>
    <definedName name="HTML17_6" hidden="1">-4146</definedName>
    <definedName name="HTML17_7" hidden="1">-4146</definedName>
    <definedName name="HTML17_8" hidden="1">"98-08-28"</definedName>
    <definedName name="HTML17_9" hidden="1">"LG chem"</definedName>
    <definedName name="HTML18_1" hidden="1">"[전화번호부.xls]FAX번호!$A$2:$F$19"</definedName>
    <definedName name="HTML18_10" hidden="1">""</definedName>
    <definedName name="HTML18_11" hidden="1">1</definedName>
    <definedName name="HTML18_12" hidden="1">"C:\My Documents\tel\FAX번호.htm"</definedName>
    <definedName name="HTML18_2" hidden="1">1</definedName>
    <definedName name="HTML18_3" hidden="1">"전화번호부.xls"</definedName>
    <definedName name="HTML18_4" hidden="1">"FAX번호"</definedName>
    <definedName name="HTML18_5" hidden="1">""</definedName>
    <definedName name="HTML18_6" hidden="1">-4146</definedName>
    <definedName name="HTML18_7" hidden="1">-4146</definedName>
    <definedName name="HTML18_8" hidden="1">"99-02-22"</definedName>
    <definedName name="HTML18_9" hidden="1">"LG chem"</definedName>
    <definedName name="HTML19_1" hidden="1">"[전화번호부.xls]지원.공통!$A$2:$I$60"</definedName>
    <definedName name="HTML19_10" hidden="1">""</definedName>
    <definedName name="HTML19_11" hidden="1">1</definedName>
    <definedName name="HTML19_12" hidden="1">"C:\My Documents\tel\전화번호(공통).htm"</definedName>
    <definedName name="HTML19_2" hidden="1">1</definedName>
    <definedName name="HTML19_3" hidden="1">"전화번호부.xls"</definedName>
    <definedName name="HTML19_4" hidden="1">"지원.공통"</definedName>
    <definedName name="HTML19_5" hidden="1">""</definedName>
    <definedName name="HTML19_6" hidden="1">-4146</definedName>
    <definedName name="HTML19_7" hidden="1">-4146</definedName>
    <definedName name="HTML19_8" hidden="1">"98-08-28"</definedName>
    <definedName name="HTML19_9" hidden="1">"LG chem"</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
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20_1" hidden="1">"[전화번호부.xls]지원.공통!$A$2:$I$64"</definedName>
    <definedName name="HTML20_10" hidden="1">""</definedName>
    <definedName name="HTML20_11" hidden="1">1</definedName>
    <definedName name="HTML20_12" hidden="1">"C:\My Documents\tel\전화번호(공통).htm"</definedName>
    <definedName name="HTML20_2" hidden="1">1</definedName>
    <definedName name="HTML20_3" hidden="1">"전화번호부.xls"</definedName>
    <definedName name="HTML20_4" hidden="1">"지원.공통"</definedName>
    <definedName name="HTML20_5" hidden="1">""</definedName>
    <definedName name="HTML20_6" hidden="1">-4146</definedName>
    <definedName name="HTML20_7" hidden="1">-4146</definedName>
    <definedName name="HTML20_8" hidden="1">"98-12-16"</definedName>
    <definedName name="HTML20_9" hidden="1">"LG chem"</definedName>
    <definedName name="HTML21_1" hidden="1">"[전화번호부.xls]생활공장!$A$2:$F$46"</definedName>
    <definedName name="HTML21_10" hidden="1">""</definedName>
    <definedName name="HTML21_11" hidden="1">1</definedName>
    <definedName name="HTML21_12" hidden="1">"C:\My Documents\tel\전화번호(생활).htm"</definedName>
    <definedName name="HTML21_2" hidden="1">1</definedName>
    <definedName name="HTML21_3" hidden="1">"전화번호부.xls"</definedName>
    <definedName name="HTML21_4" hidden="1">"생활공장"</definedName>
    <definedName name="HTML21_5" hidden="1">""</definedName>
    <definedName name="HTML21_6" hidden="1">-4146</definedName>
    <definedName name="HTML21_7" hidden="1">-4146</definedName>
    <definedName name="HTML21_8" hidden="1">"99-02-22"</definedName>
    <definedName name="HTML21_9" hidden="1">"LG chem"</definedName>
    <definedName name="HTML22_1" hidden="1">"[전화번호부.xls]카렌다공장!$A$2:$I$67"</definedName>
    <definedName name="HTML22_10" hidden="1">""</definedName>
    <definedName name="HTML22_11" hidden="1">1</definedName>
    <definedName name="HTML22_12" hidden="1">"C:\My Documents\tel\전화번호(카렌다).htm"</definedName>
    <definedName name="HTML22_2" hidden="1">1</definedName>
    <definedName name="HTML22_3" hidden="1">"전화번호부.xls"</definedName>
    <definedName name="HTML22_4" hidden="1">"카렌다공장"</definedName>
    <definedName name="HTML22_5" hidden="1">""</definedName>
    <definedName name="HTML22_6" hidden="1">-4146</definedName>
    <definedName name="HTML22_7" hidden="1">-4146</definedName>
    <definedName name="HTML22_8" hidden="1">"99-01-12"</definedName>
    <definedName name="HTML22_9" hidden="1">"LG chem"</definedName>
    <definedName name="HTML23_1" hidden="1">"[전화번호부.xls]사출공장!$A$2:$F$58"</definedName>
    <definedName name="HTML23_10" hidden="1">""</definedName>
    <definedName name="HTML23_11" hidden="1">1</definedName>
    <definedName name="HTML23_12" hidden="1">"C:\My Documents\tel\전화번호(사출).htm"</definedName>
    <definedName name="HTML23_2" hidden="1">1</definedName>
    <definedName name="HTML23_3" hidden="1">"전화번호부.xls"</definedName>
    <definedName name="HTML23_4" hidden="1">"사출공장"</definedName>
    <definedName name="HTML23_5" hidden="1">""</definedName>
    <definedName name="HTML23_6" hidden="1">-4146</definedName>
    <definedName name="HTML23_7" hidden="1">-4146</definedName>
    <definedName name="HTML23_8" hidden="1">"99-01-06"</definedName>
    <definedName name="HTML23_9" hidden="1">"LG chem"</definedName>
    <definedName name="HTML24_1" hidden="1">"[전화번호부.xls]전용회선!$A$2:$F$16"</definedName>
    <definedName name="HTML24_10" hidden="1">""</definedName>
    <definedName name="HTML24_11" hidden="1">1</definedName>
    <definedName name="HTML24_12" hidden="1">"C:\My Documents\tel\전용회선.htm"</definedName>
    <definedName name="HTML24_2" hidden="1">1</definedName>
    <definedName name="HTML24_3" hidden="1">"전화번호부.xls"</definedName>
    <definedName name="HTML24_4" hidden="1">"전용회선"</definedName>
    <definedName name="HTML24_5" hidden="1">""</definedName>
    <definedName name="HTML24_6" hidden="1">-4146</definedName>
    <definedName name="HTML24_7" hidden="1">-4146</definedName>
    <definedName name="HTML24_8" hidden="1">"99-01-09"</definedName>
    <definedName name="HTML24_9" hidden="1">"LG chem"</definedName>
    <definedName name="HTML25_1" hidden="1">"[전화번호부.xls]FAX번호!$A$3:$F$19"</definedName>
    <definedName name="HTML25_10" hidden="1">""</definedName>
    <definedName name="HTML25_11" hidden="1">1</definedName>
    <definedName name="HTML25_12" hidden="1">"C:\My Documents\tel\FAX번호.htm"</definedName>
    <definedName name="HTML25_2" hidden="1">1</definedName>
    <definedName name="HTML25_3" hidden="1">"전화번호부.xls"</definedName>
    <definedName name="HTML25_4" hidden="1">"FAX번호"</definedName>
    <definedName name="HTML25_5" hidden="1">""</definedName>
    <definedName name="HTML25_6" hidden="1">-4146</definedName>
    <definedName name="HTML25_7" hidden="1">-4146</definedName>
    <definedName name="HTML25_8" hidden="1">"98-11-11"</definedName>
    <definedName name="HTML25_9" hidden="1">"LG chem"</definedName>
    <definedName name="HTML26_1" hidden="1">"[전화번호부.xls]온산공장!$A$2:$I$66"</definedName>
    <definedName name="HTML26_10" hidden="1">""</definedName>
    <definedName name="HTML26_11" hidden="1">1</definedName>
    <definedName name="HTML26_12" hidden="1">"C:\My Documents\tel\전화번호(온산공장).htm"</definedName>
    <definedName name="HTML26_2" hidden="1">1</definedName>
    <definedName name="HTML26_3" hidden="1">"전화번호부.xls"</definedName>
    <definedName name="HTML26_4" hidden="1">"온산공장"</definedName>
    <definedName name="HTML26_5" hidden="1">""</definedName>
    <definedName name="HTML26_6" hidden="1">-4146</definedName>
    <definedName name="HTML26_7" hidden="1">-4146</definedName>
    <definedName name="HTML26_8" hidden="1">"98-11-16"</definedName>
    <definedName name="HTML26_9" hidden="1">"LG chem"</definedName>
    <definedName name="HTML27_1" hidden="1">"[전화번호부.xls]온산공장!$A$2:$I$60"</definedName>
    <definedName name="HTML27_10" hidden="1">""</definedName>
    <definedName name="HTML27_11" hidden="1">1</definedName>
    <definedName name="HTML27_12" hidden="1">"C:\My Documents\tel\전화번호(온산공장).htm"</definedName>
    <definedName name="HTML27_2" hidden="1">1</definedName>
    <definedName name="HTML27_3" hidden="1">"전화번호부.xls"</definedName>
    <definedName name="HTML27_4" hidden="1">"온산공장"</definedName>
    <definedName name="HTML27_5" hidden="1">""</definedName>
    <definedName name="HTML27_6" hidden="1">-4146</definedName>
    <definedName name="HTML27_7" hidden="1">-4146</definedName>
    <definedName name="HTML27_8" hidden="1">"99-02-08"</definedName>
    <definedName name="HTML27_9" hidden="1">"LG chem"</definedName>
    <definedName name="HTML28_1" hidden="1">"[전화번호부.xls]지원.공통!$A$2:$I$61"</definedName>
    <definedName name="HTML28_10" hidden="1">""</definedName>
    <definedName name="HTML28_11" hidden="1">1</definedName>
    <definedName name="HTML28_12" hidden="1">"C:\My Documents\tel\전화번호(공통).htm"</definedName>
    <definedName name="HTML28_2" hidden="1">1</definedName>
    <definedName name="HTML28_3" hidden="1">"전화번호부.xls"</definedName>
    <definedName name="HTML28_4" hidden="1">"지원.공통"</definedName>
    <definedName name="HTML28_5" hidden="1">""</definedName>
    <definedName name="HTML28_6" hidden="1">-4146</definedName>
    <definedName name="HTML28_7" hidden="1">-4146</definedName>
    <definedName name="HTML28_8" hidden="1">"99-01-14"</definedName>
    <definedName name="HTML28_9" hidden="1">"LG chem"</definedName>
    <definedName name="HTML29_1" hidden="1">"[전화번호부.xls]기능재OBU!$A$2:$C$18"</definedName>
    <definedName name="HTML29_10" hidden="1">""</definedName>
    <definedName name="HTML29_11" hidden="1">1</definedName>
    <definedName name="HTML29_12" hidden="1">"C:\My Documents\tel\전화번호(기능재OBU).htm"</definedName>
    <definedName name="HTML29_2" hidden="1">1</definedName>
    <definedName name="HTML29_3" hidden="1">"전화번호부.xls"</definedName>
    <definedName name="HTML29_4" hidden="1">"기능재OBU"</definedName>
    <definedName name="HTML29_5" hidden="1">""</definedName>
    <definedName name="HTML29_6" hidden="1">-4146</definedName>
    <definedName name="HTML29_7" hidden="1">-4146</definedName>
    <definedName name="HTML29_8" hidden="1">"99-02-08"</definedName>
    <definedName name="HTML29_9" hidden="1">"LG chem"</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30_1" hidden="1">"[전화번호부.xls]FAX번호!$A$3:$E$20"</definedName>
    <definedName name="HTML30_10" hidden="1">""</definedName>
    <definedName name="HTML30_11" hidden="1">1</definedName>
    <definedName name="HTML30_12" hidden="1">"C:\My Documents\tel\FAX번호.htm"</definedName>
    <definedName name="HTML30_2" hidden="1">1</definedName>
    <definedName name="HTML30_3" hidden="1">"전화번호부.xls"</definedName>
    <definedName name="HTML30_4" hidden="1">"FAX번호"</definedName>
    <definedName name="HTML30_5" hidden="1">""</definedName>
    <definedName name="HTML30_6" hidden="1">-4146</definedName>
    <definedName name="HTML30_7" hidden="1">-4146</definedName>
    <definedName name="HTML30_8" hidden="1">"99-01-06"</definedName>
    <definedName name="HTML30_9" hidden="1">"LG chem"</definedName>
    <definedName name="HTML31_1" hidden="1">"[전화번호부.xls]FAX번호!$A$3:$F$20"</definedName>
    <definedName name="HTML31_10" hidden="1">""</definedName>
    <definedName name="HTML31_11" hidden="1">1</definedName>
    <definedName name="HTML31_12" hidden="1">"C:\My Documents\tel\FAX번호.htm"</definedName>
    <definedName name="HTML31_2" hidden="1">1</definedName>
    <definedName name="HTML31_3" hidden="1">"전화번호부.xls"</definedName>
    <definedName name="HTML31_4" hidden="1">"FAX번호"</definedName>
    <definedName name="HTML31_5" hidden="1">""</definedName>
    <definedName name="HTML31_6" hidden="1">-4146</definedName>
    <definedName name="HTML31_7" hidden="1">-4146</definedName>
    <definedName name="HTML31_8" hidden="1">"99-01-06"</definedName>
    <definedName name="HTML31_9" hidden="1">"LG chem"</definedName>
    <definedName name="HTML32_1" hidden="1">"[전화번호부.xls]사출공장!$A$2:$F$56"</definedName>
    <definedName name="HTML32_10" hidden="1">""</definedName>
    <definedName name="HTML32_11" hidden="1">1</definedName>
    <definedName name="HTML32_12" hidden="1">"C:\My Documents\tel\전화번호(사출).htm"</definedName>
    <definedName name="HTML32_2" hidden="1">1</definedName>
    <definedName name="HTML32_3" hidden="1">"전화번호부.xls"</definedName>
    <definedName name="HTML32_4" hidden="1">"사출공장"</definedName>
    <definedName name="HTML32_5" hidden="1">""</definedName>
    <definedName name="HTML32_6" hidden="1">-4146</definedName>
    <definedName name="HTML32_7" hidden="1">-4146</definedName>
    <definedName name="HTML32_8" hidden="1">"99-01-28"</definedName>
    <definedName name="HTML32_9" hidden="1">"LG chem"</definedName>
    <definedName name="HTML33_1" hidden="1">"[전화번호부.xls]전용회선!$A$1:$F$38"</definedName>
    <definedName name="HTML33_10" hidden="1">""</definedName>
    <definedName name="HTML33_11" hidden="1">1</definedName>
    <definedName name="HTML33_12" hidden="1">"C:\My Documents\tel\전용회선.htm"</definedName>
    <definedName name="HTML33_2" hidden="1">1</definedName>
    <definedName name="HTML33_3" hidden="1">"전화번호부.xls"</definedName>
    <definedName name="HTML33_4" hidden="1">"전용회선"</definedName>
    <definedName name="HTML33_5" hidden="1">""</definedName>
    <definedName name="HTML33_6" hidden="1">-4146</definedName>
    <definedName name="HTML33_7" hidden="1">-4146</definedName>
    <definedName name="HTML33_8" hidden="1">"99-01-09"</definedName>
    <definedName name="HTML33_9" hidden="1">"LG chem"</definedName>
    <definedName name="HTML34_1" hidden="1">"[전화번호부.xls]카렌다공장!$A$2:$I$65"</definedName>
    <definedName name="HTML34_10" hidden="1">""</definedName>
    <definedName name="HTML34_11" hidden="1">1</definedName>
    <definedName name="HTML34_12" hidden="1">"C:\My Documents\tel\전화번호(카렌다).htm"</definedName>
    <definedName name="HTML34_2" hidden="1">1</definedName>
    <definedName name="HTML34_3" hidden="1">"전화번호부.xls"</definedName>
    <definedName name="HTML34_4" hidden="1">"카렌다공장"</definedName>
    <definedName name="HTML34_5" hidden="1">""</definedName>
    <definedName name="HTML34_6" hidden="1">-4146</definedName>
    <definedName name="HTML34_7" hidden="1">-4146</definedName>
    <definedName name="HTML34_8" hidden="1">"99-02-08"</definedName>
    <definedName name="HTML34_9" hidden="1">"LG chem"</definedName>
    <definedName name="HTML35_1" hidden="1">"[전화번호부.xls]사출공장!$A$2:$F$55"</definedName>
    <definedName name="HTML35_10" hidden="1">""</definedName>
    <definedName name="HTML35_11" hidden="1">1</definedName>
    <definedName name="HTML35_12" hidden="1">"C:\My Documents\tel\전화번호(사출).htm"</definedName>
    <definedName name="HTML35_2" hidden="1">1</definedName>
    <definedName name="HTML35_3" hidden="1">"전화번호부.xls"</definedName>
    <definedName name="HTML35_4" hidden="1">"사출공장"</definedName>
    <definedName name="HTML35_5" hidden="1">""</definedName>
    <definedName name="HTML35_6" hidden="1">-4146</definedName>
    <definedName name="HTML35_7" hidden="1">-4146</definedName>
    <definedName name="HTML35_8" hidden="1">"99-02-08"</definedName>
    <definedName name="HTML35_9" hidden="1">"LG chem"</definedName>
    <definedName name="HTML36_1" hidden="1">"[전화번호부.xls]카렌다공장!$A$2:$I$66"</definedName>
    <definedName name="HTML36_10" hidden="1">""</definedName>
    <definedName name="HTML36_11" hidden="1">1</definedName>
    <definedName name="HTML36_12" hidden="1">"C:\My Documents\tel\전화번호(카렌다).htm"</definedName>
    <definedName name="HTML36_2" hidden="1">1</definedName>
    <definedName name="HTML36_3" hidden="1">"전화번호부.xls"</definedName>
    <definedName name="HTML36_4" hidden="1">"카렌다공장"</definedName>
    <definedName name="HTML36_5" hidden="1">""</definedName>
    <definedName name="HTML36_6" hidden="1">-4146</definedName>
    <definedName name="HTML36_7" hidden="1">-4146</definedName>
    <definedName name="HTML36_8" hidden="1">"99-02-22"</definedName>
    <definedName name="HTML36_9" hidden="1">"LG chem"</definedName>
    <definedName name="HTML37_1" hidden="1">"[전화번호부.xls]지원.공통!$A$2:$I$62"</definedName>
    <definedName name="HTML37_10" hidden="1">""</definedName>
    <definedName name="HTML37_11" hidden="1">1</definedName>
    <definedName name="HTML37_12" hidden="1">"C:\My Documents\tel\전화번호(공통).htm"</definedName>
    <definedName name="HTML37_2" hidden="1">1</definedName>
    <definedName name="HTML37_3" hidden="1">"전화번호부.xls"</definedName>
    <definedName name="HTML37_4" hidden="1">"지원.공통"</definedName>
    <definedName name="HTML37_5" hidden="1">""</definedName>
    <definedName name="HTML37_6" hidden="1">-4146</definedName>
    <definedName name="HTML37_7" hidden="1">-4146</definedName>
    <definedName name="HTML37_8" hidden="1">"99-02-22"</definedName>
    <definedName name="HTML37_9" hidden="1">"LG chem"</definedName>
    <definedName name="HTML38_1" hidden="1">"[전화번호부.xls]사출공장!$A$2:$F$61"</definedName>
    <definedName name="HTML38_10" hidden="1">""</definedName>
    <definedName name="HTML38_11" hidden="1">1</definedName>
    <definedName name="HTML38_12" hidden="1">"C:\My Documents\tel\전화번호(사출).htm"</definedName>
    <definedName name="HTML38_2" hidden="1">1</definedName>
    <definedName name="HTML38_3" hidden="1">"전화번호부.xls"</definedName>
    <definedName name="HTML38_4" hidden="1">"사출공장"</definedName>
    <definedName name="HTML38_5" hidden="1">""</definedName>
    <definedName name="HTML38_6" hidden="1">-4146</definedName>
    <definedName name="HTML38_7" hidden="1">-4146</definedName>
    <definedName name="HTML38_8" hidden="1">"99-02-12"</definedName>
    <definedName name="HTML38_9" hidden="1">"LG chem"</definedName>
    <definedName name="HTML39_1" hidden="1">"[전화번호부.xls]사출공장!$A$2:$F$60"</definedName>
    <definedName name="HTML39_10" hidden="1">""</definedName>
    <definedName name="HTML39_11" hidden="1">1</definedName>
    <definedName name="HTML39_12" hidden="1">"C:\My Documents\tel\전화번호(사출).htm"</definedName>
    <definedName name="HTML39_2" hidden="1">1</definedName>
    <definedName name="HTML39_3" hidden="1">"전화번호부.xls"</definedName>
    <definedName name="HTML39_4" hidden="1">"사출공장"</definedName>
    <definedName name="HTML39_5" hidden="1">""</definedName>
    <definedName name="HTML39_6" hidden="1">-4146</definedName>
    <definedName name="HTML39_7" hidden="1">-4146</definedName>
    <definedName name="HTML39_8" hidden="1">"99-02-22"</definedName>
    <definedName name="HTML39_9" hidden="1">"LG chem"</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40_1" hidden="1">"[전화번호부.xls]온산공장!$A$2:$I$58"</definedName>
    <definedName name="HTML40_10" hidden="1">""</definedName>
    <definedName name="HTML40_11" hidden="1">1</definedName>
    <definedName name="HTML40_12" hidden="1">"C:\My Documents\tel\전화번호(온산공장).htm"</definedName>
    <definedName name="HTML40_2" hidden="1">1</definedName>
    <definedName name="HTML40_3" hidden="1">"전화번호부.xls"</definedName>
    <definedName name="HTML40_4" hidden="1">"온산공장"</definedName>
    <definedName name="HTML40_5" hidden="1">""</definedName>
    <definedName name="HTML40_6" hidden="1">-4146</definedName>
    <definedName name="HTML40_7" hidden="1">-4146</definedName>
    <definedName name="HTML40_8" hidden="1">"99-02-22"</definedName>
    <definedName name="HTML40_9" hidden="1">"LG chem"</definedName>
    <definedName name="HTML41_1" hidden="1">"[전화번호.xls]지원.공통!$A$2:$I$63"</definedName>
    <definedName name="HTML41_10" hidden="1">""</definedName>
    <definedName name="HTML41_11" hidden="1">1</definedName>
    <definedName name="HTML41_12" hidden="1">"C:\My Documents\tel\전화번호(공통).htm"</definedName>
    <definedName name="HTML41_2" hidden="1">1</definedName>
    <definedName name="HTML41_3" hidden="1">"전화번호.xls"</definedName>
    <definedName name="HTML41_4" hidden="1">"지원.공통"</definedName>
    <definedName name="HTML41_5" hidden="1">""</definedName>
    <definedName name="HTML41_6" hidden="1">-4146</definedName>
    <definedName name="HTML41_7" hidden="1">-4146</definedName>
    <definedName name="HTML41_8" hidden="1">"2000-01-18"</definedName>
    <definedName name="HTML41_9" hidden="1">"LG chem"</definedName>
    <definedName name="HTML42_1" hidden="1">"[전화번호.xls]카렌다공장!$A$2:$I$66"</definedName>
    <definedName name="HTML42_10" hidden="1">""</definedName>
    <definedName name="HTML42_11" hidden="1">1</definedName>
    <definedName name="HTML42_12" hidden="1">"C:\My Documents\tel\전화번호(카렌다).htm"</definedName>
    <definedName name="HTML42_2" hidden="1">1</definedName>
    <definedName name="HTML42_3" hidden="1">"전화번호.xls"</definedName>
    <definedName name="HTML42_4" hidden="1">"카렌다공장"</definedName>
    <definedName name="HTML42_5" hidden="1">""</definedName>
    <definedName name="HTML42_6" hidden="1">-4146</definedName>
    <definedName name="HTML42_7" hidden="1">-4146</definedName>
    <definedName name="HTML42_8" hidden="1">"99-08-18"</definedName>
    <definedName name="HTML42_9" hidden="1">"LG chem"</definedName>
    <definedName name="HTML43_1" hidden="1">"[전화번호.xls]사출공장!$A$2:$F$60"</definedName>
    <definedName name="HTML43_10" hidden="1">""</definedName>
    <definedName name="HTML43_11" hidden="1">1</definedName>
    <definedName name="HTML43_12" hidden="1">"C:\My Documents\tel\전화번호(사출).htm"</definedName>
    <definedName name="HTML43_2" hidden="1">1</definedName>
    <definedName name="HTML43_3" hidden="1">"전화번호.xls"</definedName>
    <definedName name="HTML43_4" hidden="1">"사출공장"</definedName>
    <definedName name="HTML43_5" hidden="1">""</definedName>
    <definedName name="HTML43_6" hidden="1">-4146</definedName>
    <definedName name="HTML43_7" hidden="1">-4146</definedName>
    <definedName name="HTML43_8" hidden="1">"99-04-12"</definedName>
    <definedName name="HTML43_9" hidden="1">"LG chem"</definedName>
    <definedName name="HTML44_1" hidden="1">"[전화번호.xls]생활공장!$A$2:$F$46"</definedName>
    <definedName name="HTML44_10" hidden="1">""</definedName>
    <definedName name="HTML44_11" hidden="1">1</definedName>
    <definedName name="HTML44_12" hidden="1">"C:\My Documents\tel\전화번호(생활).htm"</definedName>
    <definedName name="HTML44_2" hidden="1">1</definedName>
    <definedName name="HTML44_3" hidden="1">"전화번호.xls"</definedName>
    <definedName name="HTML44_4" hidden="1">"생활공장"</definedName>
    <definedName name="HTML44_5" hidden="1">""</definedName>
    <definedName name="HTML44_6" hidden="1">-4146</definedName>
    <definedName name="HTML44_7" hidden="1">-4146</definedName>
    <definedName name="HTML44_8" hidden="1">"2000-01-17"</definedName>
    <definedName name="HTML44_9" hidden="1">"LG chem"</definedName>
    <definedName name="HTML45_1" hidden="1">"[전화번호.xls]온산공장!$A$2:$I$58"</definedName>
    <definedName name="HTML45_10" hidden="1">""</definedName>
    <definedName name="HTML45_11" hidden="1">1</definedName>
    <definedName name="HTML45_12" hidden="1">"C:\My Documents\tel\전화번호(온산공장).htm"</definedName>
    <definedName name="HTML45_2" hidden="1">1</definedName>
    <definedName name="HTML45_3" hidden="1">"전화번호.xls"</definedName>
    <definedName name="HTML45_4" hidden="1">"온산공장"</definedName>
    <definedName name="HTML45_5" hidden="1">""</definedName>
    <definedName name="HTML45_6" hidden="1">-4146</definedName>
    <definedName name="HTML45_7" hidden="1">-4146</definedName>
    <definedName name="HTML45_8" hidden="1">"99-04-12"</definedName>
    <definedName name="HTML45_9" hidden="1">"LG chem"</definedName>
    <definedName name="HTML46_1" hidden="1">"[전화번호.xls]FAX번호!$A$2:$F$19"</definedName>
    <definedName name="HTML46_10" hidden="1">""</definedName>
    <definedName name="HTML46_11" hidden="1">1</definedName>
    <definedName name="HTML46_12" hidden="1">"C:\My Documents\tel\FAX번호.htm"</definedName>
    <definedName name="HTML46_2" hidden="1">1</definedName>
    <definedName name="HTML46_3" hidden="1">"전화번호.xls"</definedName>
    <definedName name="HTML46_4" hidden="1">"FAX번호"</definedName>
    <definedName name="HTML46_5" hidden="1">""</definedName>
    <definedName name="HTML46_6" hidden="1">-4146</definedName>
    <definedName name="HTML46_7" hidden="1">-4146</definedName>
    <definedName name="HTML46_8" hidden="1">"2000-02-16"</definedName>
    <definedName name="HTML46_9" hidden="1">"LG chem"</definedName>
    <definedName name="HTML47_1" hidden="1">"[전화번호.xls]협력업체!$A$2:$F$11"</definedName>
    <definedName name="HTML47_10" hidden="1">""</definedName>
    <definedName name="HTML47_11" hidden="1">1</definedName>
    <definedName name="HTML47_12" hidden="1">"C:\My Documents\tel\협력업체.htm"</definedName>
    <definedName name="HTML47_2" hidden="1">1</definedName>
    <definedName name="HTML47_3" hidden="1">"전화번호.xls"</definedName>
    <definedName name="HTML47_4" hidden="1">"협력업체"</definedName>
    <definedName name="HTML47_5" hidden="1">""</definedName>
    <definedName name="HTML47_6" hidden="1">-4146</definedName>
    <definedName name="HTML47_7" hidden="1">-4146</definedName>
    <definedName name="HTML47_8" hidden="1">"99-11-09"</definedName>
    <definedName name="HTML47_9" hidden="1">"LG chem"</definedName>
    <definedName name="HTML48_1" hidden="1">"[전화번호.xls]지원.공통!$A$1:$I$63"</definedName>
    <definedName name="HTML48_10" hidden="1">""</definedName>
    <definedName name="HTML48_11" hidden="1">1</definedName>
    <definedName name="HTML48_12" hidden="1">"C:\My Documents\tel\전화번호(공통).htm"</definedName>
    <definedName name="HTML48_2" hidden="1">1</definedName>
    <definedName name="HTML48_3" hidden="1">"전화번호.xls"</definedName>
    <definedName name="HTML48_4" hidden="1">"지원.공통"</definedName>
    <definedName name="HTML48_5" hidden="1">""</definedName>
    <definedName name="HTML48_6" hidden="1">-4146</definedName>
    <definedName name="HTML48_7" hidden="1">-4146</definedName>
    <definedName name="HTML48_8" hidden="1">"2000-01-17"</definedName>
    <definedName name="HTML48_9" hidden="1">"LG CHEM"</definedName>
    <definedName name="HTML49_1" hidden="1">"[전화번호.xls]카렌다공장!$A$1:$I$66"</definedName>
    <definedName name="HTML49_10" hidden="1">""</definedName>
    <definedName name="HTML49_11" hidden="1">1</definedName>
    <definedName name="HTML49_12" hidden="1">"C:\My Documents\tel\전화번호(카렌다).htm"</definedName>
    <definedName name="HTML49_2" hidden="1">1</definedName>
    <definedName name="HTML49_3" hidden="1">"전화번호.xls"</definedName>
    <definedName name="HTML49_4" hidden="1">"카렌다공장"</definedName>
    <definedName name="HTML49_5" hidden="1">""</definedName>
    <definedName name="HTML49_6" hidden="1">-4146</definedName>
    <definedName name="HTML49_7" hidden="1">-4146</definedName>
    <definedName name="HTML49_8" hidden="1">"99-07-15"</definedName>
    <definedName name="HTML49_9" hidden="1">"LG CHEM"</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50_1" hidden="1">"[전화번호.xls]사출공장!$A$1:$F$60"</definedName>
    <definedName name="HTML50_10" hidden="1">""</definedName>
    <definedName name="HTML50_11" hidden="1">1</definedName>
    <definedName name="HTML50_12" hidden="1">"C:\My Documents\tel\전화번호(사출).htm"</definedName>
    <definedName name="HTML50_2" hidden="1">1</definedName>
    <definedName name="HTML50_3" hidden="1">"전화번호.xls"</definedName>
    <definedName name="HTML50_4" hidden="1">"사출공장"</definedName>
    <definedName name="HTML50_5" hidden="1">""</definedName>
    <definedName name="HTML50_6" hidden="1">-4146</definedName>
    <definedName name="HTML50_7" hidden="1">-4146</definedName>
    <definedName name="HTML50_8" hidden="1">"99-07-15"</definedName>
    <definedName name="HTML50_9" hidden="1">"LG CHEM"</definedName>
    <definedName name="HTML51_1" hidden="1">"[전화번호.xls]생활공장!$A$1:$F$46"</definedName>
    <definedName name="HTML51_10" hidden="1">""</definedName>
    <definedName name="HTML51_11" hidden="1">1</definedName>
    <definedName name="HTML51_12" hidden="1">"C:\My Documents\tel\전화번호(생활).htm"</definedName>
    <definedName name="HTML51_2" hidden="1">1</definedName>
    <definedName name="HTML51_3" hidden="1">"전화번호.xls"</definedName>
    <definedName name="HTML51_4" hidden="1">"생활공장"</definedName>
    <definedName name="HTML51_5" hidden="1">""</definedName>
    <definedName name="HTML51_6" hidden="1">-4146</definedName>
    <definedName name="HTML51_7" hidden="1">-4146</definedName>
    <definedName name="HTML51_8" hidden="1">"99-07-15"</definedName>
    <definedName name="HTML51_9" hidden="1">"LG CHEM"</definedName>
    <definedName name="HTML52_1" hidden="1">"[전화번호.xls]온산공장!$A$1:$I$59"</definedName>
    <definedName name="HTML52_10" hidden="1">""</definedName>
    <definedName name="HTML52_11" hidden="1">1</definedName>
    <definedName name="HTML52_12" hidden="1">"C:\My Documents\tel\전화번호(온산공장).htm"</definedName>
    <definedName name="HTML52_2" hidden="1">1</definedName>
    <definedName name="HTML52_3" hidden="1">"전화번호.xls"</definedName>
    <definedName name="HTML52_4" hidden="1">"온산공장"</definedName>
    <definedName name="HTML52_5" hidden="1">""</definedName>
    <definedName name="HTML52_6" hidden="1">-4146</definedName>
    <definedName name="HTML52_7" hidden="1">-4146</definedName>
    <definedName name="HTML52_8" hidden="1">"99-07-15"</definedName>
    <definedName name="HTML52_9" hidden="1">"LG CHEM"</definedName>
    <definedName name="HTML53_1" hidden="1">"[전화번호.xls]카렌다공장!$A$2:$I$69"</definedName>
    <definedName name="HTML53_10" hidden="1">""</definedName>
    <definedName name="HTML53_11" hidden="1">1</definedName>
    <definedName name="HTML53_12" hidden="1">"C:\My Documents\tel\전화번호(카렌다).htm"</definedName>
    <definedName name="HTML53_2" hidden="1">1</definedName>
    <definedName name="HTML53_3" hidden="1">"전화번호.xls"</definedName>
    <definedName name="HTML53_4" hidden="1">"카렌다공장"</definedName>
    <definedName name="HTML53_5" hidden="1">""</definedName>
    <definedName name="HTML53_6" hidden="1">-4146</definedName>
    <definedName name="HTML53_7" hidden="1">-4146</definedName>
    <definedName name="HTML53_8" hidden="1">"99-08-21"</definedName>
    <definedName name="HTML53_9" hidden="1">"LG CHEM"</definedName>
    <definedName name="HTML54_1" hidden="1">"[전화번호.xls]사출공장!$A$2:$F$61"</definedName>
    <definedName name="HTML54_10" hidden="1">""</definedName>
    <definedName name="HTML54_11" hidden="1">1</definedName>
    <definedName name="HTML54_12" hidden="1">"C:\My Documents\tel\전화번호(사출).htm"</definedName>
    <definedName name="HTML54_2" hidden="1">1</definedName>
    <definedName name="HTML54_3" hidden="1">"전화번호.xls"</definedName>
    <definedName name="HTML54_4" hidden="1">"사출공장"</definedName>
    <definedName name="HTML54_5" hidden="1">""</definedName>
    <definedName name="HTML54_6" hidden="1">-4146</definedName>
    <definedName name="HTML54_7" hidden="1">-4146</definedName>
    <definedName name="HTML54_8" hidden="1">"99-11-05"</definedName>
    <definedName name="HTML54_9" hidden="1">"LG CHEM"</definedName>
    <definedName name="HTML55_1" hidden="1">"[전화번호.xls]온산공장!$A$2:$I$61"</definedName>
    <definedName name="HTML55_10" hidden="1">""</definedName>
    <definedName name="HTML55_11" hidden="1">1</definedName>
    <definedName name="HTML55_12" hidden="1">"C:\My Documents\tel\전화번호(온산공장).htm"</definedName>
    <definedName name="HTML55_2" hidden="1">1</definedName>
    <definedName name="HTML55_3" hidden="1">"전화번호.xls"</definedName>
    <definedName name="HTML55_4" hidden="1">"온산공장"</definedName>
    <definedName name="HTML55_5" hidden="1">""</definedName>
    <definedName name="HTML55_6" hidden="1">-4146</definedName>
    <definedName name="HTML55_7" hidden="1">-4146</definedName>
    <definedName name="HTML55_8" hidden="1">"2000-01-19"</definedName>
    <definedName name="HTML55_9" hidden="1">"LG CHEM"</definedName>
    <definedName name="HTML56_1" hidden="1">"[전화번호.xls]전용회선!$A$2:$F$38"</definedName>
    <definedName name="HTML56_10" hidden="1">""</definedName>
    <definedName name="HTML56_11" hidden="1">1</definedName>
    <definedName name="HTML56_12" hidden="1">"C:\My Documents\tel\전용회선.htm"</definedName>
    <definedName name="HTML56_2" hidden="1">1</definedName>
    <definedName name="HTML56_3" hidden="1">"전화번호.xls"</definedName>
    <definedName name="HTML56_4" hidden="1">"전용회선"</definedName>
    <definedName name="HTML56_5" hidden="1">""</definedName>
    <definedName name="HTML56_6" hidden="1">-4146</definedName>
    <definedName name="HTML56_7" hidden="1">-4146</definedName>
    <definedName name="HTML56_8" hidden="1">"99-08-21"</definedName>
    <definedName name="HTML56_9" hidden="1">"LG CHEM"</definedName>
    <definedName name="HTML57_1" hidden="1">"[전화번호.xls]카렌다공장!$A$2:$I$70"</definedName>
    <definedName name="HTML57_10" hidden="1">""</definedName>
    <definedName name="HTML57_11" hidden="1">1</definedName>
    <definedName name="HTML57_12" hidden="1">"C:\My Documents\tel\전화번호(카렌다).htm"</definedName>
    <definedName name="HTML57_2" hidden="1">1</definedName>
    <definedName name="HTML57_3" hidden="1">"전화번호.xls"</definedName>
    <definedName name="HTML57_4" hidden="1">"카렌다공장"</definedName>
    <definedName name="HTML57_5" hidden="1">""</definedName>
    <definedName name="HTML57_6" hidden="1">-4146</definedName>
    <definedName name="HTML57_7" hidden="1">-4146</definedName>
    <definedName name="HTML57_8" hidden="1">"99-08-24"</definedName>
    <definedName name="HTML57_9" hidden="1">"LG CHEM"</definedName>
    <definedName name="HTML58_1" hidden="1">"[전화번호.xls]전용회선!$A$2:$F$16"</definedName>
    <definedName name="HTML58_10" hidden="1">""</definedName>
    <definedName name="HTML58_11" hidden="1">1</definedName>
    <definedName name="HTML58_12" hidden="1">"C:\My Documents\tel\전용회선.htm"</definedName>
    <definedName name="HTML58_2" hidden="1">1</definedName>
    <definedName name="HTML58_3" hidden="1">"전화번호.xls"</definedName>
    <definedName name="HTML58_4" hidden="1">"전용회선"</definedName>
    <definedName name="HTML58_5" hidden="1">""</definedName>
    <definedName name="HTML58_6" hidden="1">-4146</definedName>
    <definedName name="HTML58_7" hidden="1">-4146</definedName>
    <definedName name="HTML58_8" hidden="1">"99-08-21"</definedName>
    <definedName name="HTML58_9" hidden="1">"LG CHEM"</definedName>
    <definedName name="HTML59_1" hidden="1">"[전화번호.xls]카렌다공장!$A$2:$I$73"</definedName>
    <definedName name="HTML59_10" hidden="1">""</definedName>
    <definedName name="HTML59_11" hidden="1">1</definedName>
    <definedName name="HTML59_12" hidden="1">"C:\My Documents\tel\전화번호(카렌다).htm"</definedName>
    <definedName name="HTML59_2" hidden="1">1</definedName>
    <definedName name="HTML59_3" hidden="1">"전화번호.xls"</definedName>
    <definedName name="HTML59_4" hidden="1">"카렌다공장"</definedName>
    <definedName name="HTML59_5" hidden="1">""</definedName>
    <definedName name="HTML59_6" hidden="1">-4146</definedName>
    <definedName name="HTML59_7" hidden="1">-4146</definedName>
    <definedName name="HTML59_8" hidden="1">"99-10-05"</definedName>
    <definedName name="HTML59_9" hidden="1">"LG CHEM"</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60_1" hidden="1">"[전화번호.xls]카렌다공장!$A$2:$I$75"</definedName>
    <definedName name="HTML60_10" hidden="1">""</definedName>
    <definedName name="HTML60_11" hidden="1">1</definedName>
    <definedName name="HTML60_12" hidden="1">"C:\My Documents\tel\전화번호(카렌다).htm"</definedName>
    <definedName name="HTML60_2" hidden="1">1</definedName>
    <definedName name="HTML60_3" hidden="1">"전화번호.xls"</definedName>
    <definedName name="HTML60_4" hidden="1">"카렌다공장"</definedName>
    <definedName name="HTML60_5" hidden="1">""</definedName>
    <definedName name="HTML60_6" hidden="1">-4146</definedName>
    <definedName name="HTML60_7" hidden="1">-4146</definedName>
    <definedName name="HTML60_8" hidden="1">"2000-02-01"</definedName>
    <definedName name="HTML60_9" hidden="1">"LG CHEM"</definedName>
    <definedName name="HTML61_1" hidden="1">"[전화번호.xls]사출공장!$A$2:$F$62"</definedName>
    <definedName name="HTML61_10" hidden="1">""</definedName>
    <definedName name="HTML61_11" hidden="1">1</definedName>
    <definedName name="HTML61_12" hidden="1">"C:\My Documents\tel\전화번호(사출).htm"</definedName>
    <definedName name="HTML61_2" hidden="1">1</definedName>
    <definedName name="HTML61_3" hidden="1">"전화번호.xls"</definedName>
    <definedName name="HTML61_4" hidden="1">"사출공장"</definedName>
    <definedName name="HTML61_5" hidden="1">""</definedName>
    <definedName name="HTML61_6" hidden="1">-4146</definedName>
    <definedName name="HTML61_7" hidden="1">-4146</definedName>
    <definedName name="HTML61_8" hidden="1">"2000-01-03"</definedName>
    <definedName name="HTML61_9" hidden="1">"LG CHEM"</definedName>
    <definedName name="HTML62_1" hidden="1">"[전화번호.xls]FAX번호!$A$1:$F$19"</definedName>
    <definedName name="HTML62_10" hidden="1">""</definedName>
    <definedName name="HTML62_11" hidden="1">1</definedName>
    <definedName name="HTML62_12" hidden="1">"C:\My Documents\tel\FAX번호.htm"</definedName>
    <definedName name="HTML62_2" hidden="1">1</definedName>
    <definedName name="HTML62_3" hidden="1">"전화번호.xls"</definedName>
    <definedName name="HTML62_4" hidden="1">"FAX번호"</definedName>
    <definedName name="HTML62_5" hidden="1">""</definedName>
    <definedName name="HTML62_6" hidden="1">-4146</definedName>
    <definedName name="HTML62_7" hidden="1">-4146</definedName>
    <definedName name="HTML62_8" hidden="1">"2000-01-11"</definedName>
    <definedName name="HTML62_9" hidden="1">"LG CHEM"</definedName>
    <definedName name="HTML63_1" hidden="1">"[전화번호.xls]온산공장!$A$1:$I$61"</definedName>
    <definedName name="HTML63_10" hidden="1">""</definedName>
    <definedName name="HTML63_11" hidden="1">1</definedName>
    <definedName name="HTML63_12" hidden="1">"C:\My Documents\tel\전화번호(온산공장).htm"</definedName>
    <definedName name="HTML63_2" hidden="1">1</definedName>
    <definedName name="HTML63_3" hidden="1">"전화번호.xls"</definedName>
    <definedName name="HTML63_4" hidden="1">"온산공장"</definedName>
    <definedName name="HTML63_5" hidden="1">""</definedName>
    <definedName name="HTML63_6" hidden="1">-4146</definedName>
    <definedName name="HTML63_7" hidden="1">-4146</definedName>
    <definedName name="HTML63_8" hidden="1">"2000-01-15"</definedName>
    <definedName name="HTML63_9" hidden="1">"LG CHEM"</definedName>
    <definedName name="HTML64_1" hidden="1">"[전화번호.xls]카렌다공장!$A$1:$I$75"</definedName>
    <definedName name="HTML64_10" hidden="1">""</definedName>
    <definedName name="HTML64_11" hidden="1">1</definedName>
    <definedName name="HTML64_12" hidden="1">"C:\My Documents\tel\전화번호(카렌다).htm"</definedName>
    <definedName name="HTML64_2" hidden="1">1</definedName>
    <definedName name="HTML64_3" hidden="1">"전화번호.xls"</definedName>
    <definedName name="HTML64_4" hidden="1">"카렌다공장"</definedName>
    <definedName name="HTML64_5" hidden="1">""</definedName>
    <definedName name="HTML64_6" hidden="1">-4146</definedName>
    <definedName name="HTML64_7" hidden="1">-4146</definedName>
    <definedName name="HTML64_8" hidden="1">"2000-02-01"</definedName>
    <definedName name="HTML64_9" hidden="1">"LG CHEM"</definedName>
    <definedName name="HTML65_1" hidden="1">"[전화번호.xls]사출공장!$A$1:$F$63"</definedName>
    <definedName name="HTML65_10" hidden="1">""</definedName>
    <definedName name="HTML65_11" hidden="1">1</definedName>
    <definedName name="HTML65_12" hidden="1">"C:\My Documents\tel\전화번호(사출).htm"</definedName>
    <definedName name="HTML65_2" hidden="1">1</definedName>
    <definedName name="HTML65_3" hidden="1">"전화번호.xls"</definedName>
    <definedName name="HTML65_4" hidden="1">"사출공장"</definedName>
    <definedName name="HTML65_5" hidden="1">""</definedName>
    <definedName name="HTML65_6" hidden="1">-4146</definedName>
    <definedName name="HTML65_7" hidden="1">-4146</definedName>
    <definedName name="HTML65_8" hidden="1">"2000-01-17"</definedName>
    <definedName name="HTML65_9" hidden="1">"LG CHEM"</definedName>
    <definedName name="HTML66_1" hidden="1">"[전화번호.xls]사출공장!$A$2:$F$63"</definedName>
    <definedName name="HTML66_10" hidden="1">""</definedName>
    <definedName name="HTML66_11" hidden="1">1</definedName>
    <definedName name="HTML66_12" hidden="1">"C:\My Documents\tel\전화번호(사출).htm"</definedName>
    <definedName name="HTML66_2" hidden="1">1</definedName>
    <definedName name="HTML66_3" hidden="1">"전화번호.xls"</definedName>
    <definedName name="HTML66_4" hidden="1">"사출공장"</definedName>
    <definedName name="HTML66_5" hidden="1">""</definedName>
    <definedName name="HTML66_6" hidden="1">-4146</definedName>
    <definedName name="HTML66_7" hidden="1">-4146</definedName>
    <definedName name="HTML66_8" hidden="1">"2000-01-24"</definedName>
    <definedName name="HTML66_9" hidden="1">"LG CHEM"</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"[전화번호부.xls]사출공장!$A$1:$F$57"</definedName>
    <definedName name="HTML8_10" hidden="1">""</definedName>
    <definedName name="HTML8_11" hidden="1">1</definedName>
    <definedName name="HTML8_12" hidden="1">"C:\My Documents\tel\전화번호(사출).htm"</definedName>
    <definedName name="HTML8_2" hidden="1">1</definedName>
    <definedName name="HTML8_3" hidden="1">"전화번호부.xls"</definedName>
    <definedName name="HTML8_4" hidden="1">"사출공장"</definedName>
    <definedName name="HTML8_5" hidden="1">""</definedName>
    <definedName name="HTML8_6" hidden="1">-4146</definedName>
    <definedName name="HTML8_7" hidden="1">-4146</definedName>
    <definedName name="HTML8_8" hidden="1">"98-08-17"</definedName>
    <definedName name="HTML8_9" hidden="1">"LG chem"</definedName>
    <definedName name="HTML9_1" hidden="1">"[전화번호부.xls]생활공장!$A$1:$F$44"</definedName>
    <definedName name="HTML9_10" hidden="1">""</definedName>
    <definedName name="HTML9_11" hidden="1">1</definedName>
    <definedName name="HTML9_12" hidden="1">"C:\My Documents\tel\전화번호(생활).htm"</definedName>
    <definedName name="HTML9_2" hidden="1">1</definedName>
    <definedName name="HTML9_3" hidden="1">"전화번호부.xls"</definedName>
    <definedName name="HTML9_4" hidden="1">"생활공장"</definedName>
    <definedName name="HTML9_5" hidden="1">""</definedName>
    <definedName name="HTML9_6" hidden="1">-4146</definedName>
    <definedName name="HTML9_7" hidden="1">-4146</definedName>
    <definedName name="HTML9_8" hidden="1">"98-08-20"</definedName>
    <definedName name="HTML9_9" hidden="1">"LG chem"</definedName>
    <definedName name="HTMLCount" hidden="1">7</definedName>
    <definedName name="htr" hidden="1">#N/A</definedName>
    <definedName name="HTS">#REF!</definedName>
    <definedName name="Htwt">#REF!</definedName>
    <definedName name="HUI" hidden="1">#N/A</definedName>
    <definedName name="HW">#REF!</definedName>
    <definedName name="Hwb">#REF!</definedName>
    <definedName name="Hx">#REF!</definedName>
    <definedName name="HYP" hidden="1">#REF!</definedName>
    <definedName name="Hz">#REF!</definedName>
    <definedName name="H매출">#REF!</definedName>
    <definedName name="H이자">#REF!</definedName>
    <definedName name="H인원">#REF!</definedName>
    <definedName name="I">#N/A</definedName>
    <definedName name="i_CaseDescript">#REF!</definedName>
    <definedName name="i_CaseNumber">#REF!</definedName>
    <definedName name="i_Closing.Yr.Acq">#REF!</definedName>
    <definedName name="i_Closing.Yr.Tar">#REF!</definedName>
    <definedName name="i_ConYrCPS.Deal">#REF!</definedName>
    <definedName name="i_ConYrCSD.Deal">#REF!</definedName>
    <definedName name="i_DebtCapacity.Deal">#REF!</definedName>
    <definedName name="i_DefFees.Deal">#REF!</definedName>
    <definedName name="i_DGWDepPd.Deal">#REF!</definedName>
    <definedName name="i_NOL.Deal">#REF!</definedName>
    <definedName name="i_PIKDiv.Deal">#REF!</definedName>
    <definedName name="i_Synergy.Deal">#REF!</definedName>
    <definedName name="IAA">#N/A</definedName>
    <definedName name="IAB">#N/A</definedName>
    <definedName name="IAC">#N/A</definedName>
    <definedName name="IAD">#N/A</definedName>
    <definedName name="IAE">#N/A</definedName>
    <definedName name="IAF">#N/A</definedName>
    <definedName name="IAG">#N/A</definedName>
    <definedName name="IAH">#N/A</definedName>
    <definedName name="IAI">#N/A</definedName>
    <definedName name="IAJ">#N/A</definedName>
    <definedName name="IAK">#N/A</definedName>
    <definedName name="IAL">#N/A</definedName>
    <definedName name="IBA">#N/A</definedName>
    <definedName name="IBB">#N/A</definedName>
    <definedName name="IBC">#N/A</definedName>
    <definedName name="IBD">#N/A</definedName>
    <definedName name="IBE">#N/A</definedName>
    <definedName name="IBF">#N/A</definedName>
    <definedName name="IBG">#N/A</definedName>
    <definedName name="IBH">#N/A</definedName>
    <definedName name="IBI">#N/A</definedName>
    <definedName name="IBJ">#N/A</definedName>
    <definedName name="IBK">#N/A</definedName>
    <definedName name="IBL">#N/A</definedName>
    <definedName name="IBLOCK">#REF!</definedName>
    <definedName name="IBM">#REF!,#REF!</definedName>
    <definedName name="ibv" hidden="1">#REF!</definedName>
    <definedName name="ic" hidden="1">{#N/A,#N/A,FALSE,"단축1";#N/A,#N/A,FALSE,"단축2";#N/A,#N/A,FALSE,"단축3";#N/A,#N/A,FALSE,"장축";#N/A,#N/A,FALSE,"4WD"}</definedName>
    <definedName name="ICM2002Q2">#REF!</definedName>
    <definedName name="ICM2002Q3">#REF!</definedName>
    <definedName name="ICM2002Q4">#REF!</definedName>
    <definedName name="ICMQ1">#REF!</definedName>
    <definedName name="ICMQ2">#REF!</definedName>
    <definedName name="ICMQ3">#REF!</definedName>
    <definedName name="ICMQ4">#REF!</definedName>
    <definedName name="ICOUNT">#REF!</definedName>
    <definedName name="ID">#N/A</definedName>
    <definedName name="ID_DeptID">#REF!</definedName>
    <definedName name="ID_DeptName">#REF!</definedName>
    <definedName name="ID_FacID">#REF!</definedName>
    <definedName name="ID_FacName">#REF!</definedName>
    <definedName name="If">#REF!</definedName>
    <definedName name="ii" localSheetId="2" hidden="1">{#N/A,#N/A,FALSE,"UNIT";#N/A,#N/A,FALSE,"UNIT";#N/A,#N/A,FALSE,"계정"}</definedName>
    <definedName name="ii" hidden="1">{#N/A,#N/A,FALSE,"UNIT";#N/A,#N/A,FALSE,"UNIT";#N/A,#N/A,FALSE,"계정"}</definedName>
    <definedName name="III" hidden="1">{#N/A,#N/A,FALSE,"Sheet6"}</definedName>
    <definedName name="iiouolkll" localSheetId="2" hidden="1">{#N/A,#N/A,FALSE,"CCTV"}</definedName>
    <definedName name="iiouolkll" hidden="1">{#N/A,#N/A,FALSE,"CCTV"}</definedName>
    <definedName name="IJHY" hidden="1">#N/A</definedName>
    <definedName name="il">#REF!</definedName>
    <definedName name="ils" hidden="1">#REF!</definedName>
    <definedName name="Img_ML_1a9i6f1a" hidden="1">"IMG_11"</definedName>
    <definedName name="Img_ML_1c3d1n6n" hidden="1">"IMG_10"</definedName>
    <definedName name="Img_ML_1e1k9n5y" hidden="1">"IMG_10"</definedName>
    <definedName name="Img_ML_1k4g9u7k" hidden="1">"IMG_18"</definedName>
    <definedName name="Img_ML_1t5s6u1f" hidden="1">"IMG_10"</definedName>
    <definedName name="Img_ML_1y7a6c1t" hidden="1">"IMG_10"</definedName>
    <definedName name="Img_ML_2b1a1a6f" hidden="1">"IMG_4"</definedName>
    <definedName name="Img_ML_2b2b8h8h" hidden="1">"IMG_10"</definedName>
    <definedName name="Img_ML_2e1r5p2m" hidden="1">"IMG_10"</definedName>
    <definedName name="Img_ML_2i4d6c2r" hidden="1">"IMG_10"</definedName>
    <definedName name="Img_ML_2j4h5d5y" hidden="1">"IMG_11"</definedName>
    <definedName name="Img_ML_2j6i5k6b" hidden="1">"IMG_10"</definedName>
    <definedName name="Img_ML_2v6s9i5c" hidden="1">"IMG_18"</definedName>
    <definedName name="Img_ML_2x1b8j5c" hidden="1">"IMG_11"</definedName>
    <definedName name="Img_ML_2x8r4a2e" hidden="1">"IMG_10"</definedName>
    <definedName name="Img_ML_3b3j3x9k" hidden="1">"IMG_11"</definedName>
    <definedName name="Img_ML_3c7g1a7g" hidden="1">"IMG_3"</definedName>
    <definedName name="Img_ML_3e2q4k7i" hidden="1">"IMG_11"</definedName>
    <definedName name="Img_ML_3h2n3p4v" hidden="1">"IMG_18"</definedName>
    <definedName name="Img_ML_3p2b9c6w" hidden="1">"IMG_10"</definedName>
    <definedName name="Img_ML_3p5d9q5j" hidden="1">"IMG_10"</definedName>
    <definedName name="Img_ML_3r4u7k1k" hidden="1">"IMG_11"</definedName>
    <definedName name="Img_ML_3x8m5t8j" hidden="1">"IMG_10"</definedName>
    <definedName name="Img_ML_3y1j4m2m" hidden="1">"IMG_10"</definedName>
    <definedName name="Img_ML_4d4d7g3c" hidden="1">"IMG_4"</definedName>
    <definedName name="Img_ML_4m3p5r8j" hidden="1">"IMG_10"</definedName>
    <definedName name="Img_ML_5d3i8b5s" hidden="1">"IMG_12"</definedName>
    <definedName name="Img_ML_5e1a1a7g" hidden="1">"IMG_11"</definedName>
    <definedName name="Img_ML_5e7g5e5e" hidden="1">"IMG_10"</definedName>
    <definedName name="Img_ML_5e7s6t2u" hidden="1">"IMG_10"</definedName>
    <definedName name="Img_ML_5e9i9i2b" hidden="1">"IMG_11"</definedName>
    <definedName name="Img_ML_5e9m1k3s" hidden="1">"IMG_10"</definedName>
    <definedName name="Img_ML_5f9d1i5x" hidden="1">"IMG_10"</definedName>
    <definedName name="Img_ML_5h6q3g8u" hidden="1">"IMG_10"</definedName>
    <definedName name="Img_ML_5k1g6v5e" hidden="1">"IMG_10"</definedName>
    <definedName name="Img_ML_5k7e4n8n" hidden="1">"IMG_10"</definedName>
    <definedName name="Img_ML_5k8u7s9i" hidden="1">"IMG_10"</definedName>
    <definedName name="Img_ML_6f2b1a5e" hidden="1">"IMG_4"</definedName>
    <definedName name="Img_ML_6f2p1m9g" hidden="1">"IMG_11"</definedName>
    <definedName name="Img_ML_6f9i2b5e" hidden="1">"IMG_11"</definedName>
    <definedName name="Img_ML_6k9c9p4d" hidden="1">"IMG_18"</definedName>
    <definedName name="Img_ML_6r9u1n9k" hidden="1">"IMG_11"</definedName>
    <definedName name="Img_ML_6w6m7b7r" hidden="1">"IMG_5"</definedName>
    <definedName name="Img_ML_6y9f7y3n" hidden="1">"IMG_10"</definedName>
    <definedName name="Img_ML_7g4k9d6i" hidden="1">"IMG_18"</definedName>
    <definedName name="Img_ML_7g5e5e2b" hidden="1">"IMG_3"</definedName>
    <definedName name="Img_ML_7m5m4k3b" hidden="1">"IMG_5"</definedName>
    <definedName name="Img_ML_7n6h3t1t" hidden="1">"IMG_10"</definedName>
    <definedName name="Img_ML_7s4w7c6r" hidden="1">"IMG_10"</definedName>
    <definedName name="Img_ML_8b9j5t1p" hidden="1">"IMG_10"</definedName>
    <definedName name="Img_ML_8c2q5i2r" hidden="1">"IMG_12"</definedName>
    <definedName name="Img_ML_8g3e4a7v" hidden="1">"IMG_10"</definedName>
    <definedName name="Img_ML_8h3m3i1m" hidden="1">"IMG_40"</definedName>
    <definedName name="Img_ML_8h4d9i2b" hidden="1">"IMG_4"</definedName>
    <definedName name="Img_ML_8h7g4d4d" hidden="1">"IMG_3"</definedName>
    <definedName name="Img_ML_8i9u7w8k" hidden="1">"IMG_13"</definedName>
    <definedName name="Img_ML_8j3w6p4c" hidden="1">"IMG_11"</definedName>
    <definedName name="Img_ML_8r1k8t4y" hidden="1">"IMG_10"</definedName>
    <definedName name="Img_ML_8s3q3c1i" hidden="1">"IMG_18"</definedName>
    <definedName name="Img_ML_8t3m5u6f" hidden="1">"IMG_10"</definedName>
    <definedName name="Img_ML_9j3t2m3v" hidden="1">"IMG_10"</definedName>
    <definedName name="Img_ML_9n1s4m5f" hidden="1">"IMG_12"</definedName>
    <definedName name="Img_ML_9u2c1d4e" hidden="1">"IMG_10"</definedName>
    <definedName name="Img_Production_Breakdown" hidden="1">"IMG_3"</definedName>
    <definedName name="Impax" hidden="1">{#N/A,#N/A,TRUE,"Cover Repl";#N/A,#N/A,TRUE,"P&amp;L";#N/A,#N/A,TRUE,"P&amp;L (2)";#N/A,#N/A,TRUE,"BS";#N/A,#N/A,TRUE,"Depreciation";#N/A,#N/A,TRUE,"GRAPHS";#N/A,#N/A,TRUE,"DCF EBITDA Multiple";#N/A,#N/A,TRUE,"DCF Perpetual Growth"}</definedName>
    <definedName name="IMPOR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STABLE">#REF!</definedName>
    <definedName name="in">#REF!</definedName>
    <definedName name="IN_EL_CPC">#REF!</definedName>
    <definedName name="IN_EL_CPC1">#REF!</definedName>
    <definedName name="IN_TAMT">#N/A</definedName>
    <definedName name="IN_TOTAL">#N/A</definedName>
    <definedName name="IN_TQTY">#N/A</definedName>
    <definedName name="IN_UC">#N/A</definedName>
    <definedName name="INA">#N/A</definedName>
    <definedName name="INAMT">#N/A</definedName>
    <definedName name="INB">#N/A</definedName>
    <definedName name="INC">#N/A</definedName>
    <definedName name="IND">#N/A</definedName>
    <definedName name="india">#REF!</definedName>
    <definedName name="IndirectCycles">#REF!</definedName>
    <definedName name="IndirectProbeClean">#REF!</definedName>
    <definedName name="INE">#N/A</definedName>
    <definedName name="INF">#N/A</definedName>
    <definedName name="Inflation">4%</definedName>
    <definedName name="inflation_rate">#REF!</definedName>
    <definedName name="inflation_rate_cum">#REF!</definedName>
    <definedName name="inflation_rate_cum1">#REF!</definedName>
    <definedName name="inflation_rate1">#REF!</definedName>
    <definedName name="ING">#N/A</definedName>
    <definedName name="INH">#N/A</definedName>
    <definedName name="INI">#N/A</definedName>
    <definedName name="ini_button_Click">#REF!</definedName>
    <definedName name="Init_Call">#REF!</definedName>
    <definedName name="INJ">#N/A</definedName>
    <definedName name="INK">#N/A</definedName>
    <definedName name="INL">#N/A</definedName>
    <definedName name="InMon_Call">#REF!</definedName>
    <definedName name="Innovativeness">#REF!</definedName>
    <definedName name="INPUT">#REF!</definedName>
    <definedName name="input1_1">#REF!</definedName>
    <definedName name="input10_1">#REF!</definedName>
    <definedName name="input100_1">#REF!</definedName>
    <definedName name="input101_1">#REF!</definedName>
    <definedName name="input102_1">#REF!</definedName>
    <definedName name="input103_1">#REF!</definedName>
    <definedName name="input104_1">#REF!</definedName>
    <definedName name="input105_1">#REF!</definedName>
    <definedName name="input106_1">#REF!</definedName>
    <definedName name="input107_1">#REF!</definedName>
    <definedName name="input108_1">#REF!</definedName>
    <definedName name="input109_1">#REF!</definedName>
    <definedName name="input11_1">#REF!</definedName>
    <definedName name="input110_1">#REF!</definedName>
    <definedName name="input111_1">#REF!</definedName>
    <definedName name="input112_1">#REF!</definedName>
    <definedName name="input113_1">#REF!</definedName>
    <definedName name="input114_1">#REF!</definedName>
    <definedName name="input115_1">#REF!</definedName>
    <definedName name="input12_1">#REF!</definedName>
    <definedName name="input13_1">#REF!</definedName>
    <definedName name="input14_1">#REF!</definedName>
    <definedName name="input15_1">#REF!</definedName>
    <definedName name="input16_1">#REF!</definedName>
    <definedName name="input17_1">#REF!</definedName>
    <definedName name="input18_1">#REF!</definedName>
    <definedName name="input19_1">#REF!</definedName>
    <definedName name="input2_1">#REF!</definedName>
    <definedName name="input20_1">#REF!</definedName>
    <definedName name="input21_1">#REF!</definedName>
    <definedName name="input22_1">#REF!</definedName>
    <definedName name="input23_1">#REF!</definedName>
    <definedName name="input24_1">#REF!</definedName>
    <definedName name="input25_1">#REF!</definedName>
    <definedName name="input26_1">#REF!</definedName>
    <definedName name="input27_1">#REF!</definedName>
    <definedName name="input28_1">#REF!</definedName>
    <definedName name="input29_1">#REF!</definedName>
    <definedName name="input3_1">#REF!</definedName>
    <definedName name="input30_1">#REF!</definedName>
    <definedName name="input31_1">#REF!</definedName>
    <definedName name="input32_1">#REF!</definedName>
    <definedName name="input33_1">#REF!</definedName>
    <definedName name="input34_1">#REF!</definedName>
    <definedName name="input35_1">#REF!</definedName>
    <definedName name="input36_1">#REF!</definedName>
    <definedName name="input37_1">#REF!</definedName>
    <definedName name="input38_1">#REF!</definedName>
    <definedName name="input39_1">#REF!</definedName>
    <definedName name="input4_1">#REF!</definedName>
    <definedName name="input40_1">#REF!</definedName>
    <definedName name="input41_1">#REF!</definedName>
    <definedName name="input42_1">#REF!</definedName>
    <definedName name="input43_1">#REF!</definedName>
    <definedName name="input44_1">#REF!</definedName>
    <definedName name="input45_1">#REF!</definedName>
    <definedName name="input46_1">#REF!</definedName>
    <definedName name="input47_1">#REF!</definedName>
    <definedName name="input48_1">#REF!</definedName>
    <definedName name="input49_1">#REF!</definedName>
    <definedName name="input5_1">#REF!</definedName>
    <definedName name="input50_1">#REF!</definedName>
    <definedName name="input51_1">#REF!</definedName>
    <definedName name="input52_1">#REF!</definedName>
    <definedName name="input53_1">#REF!</definedName>
    <definedName name="input54_1">#REF!</definedName>
    <definedName name="input55_1">#REF!</definedName>
    <definedName name="input56_1">#REF!</definedName>
    <definedName name="input57_1">#REF!</definedName>
    <definedName name="input58_1">#REF!</definedName>
    <definedName name="input59_1">#REF!</definedName>
    <definedName name="input6_1">#REF!</definedName>
    <definedName name="input60_1">#REF!</definedName>
    <definedName name="input61_1">#REF!</definedName>
    <definedName name="input62_1">#REF!</definedName>
    <definedName name="input63_1">#REF!</definedName>
    <definedName name="input64_1">#REF!</definedName>
    <definedName name="input65_1">#REF!</definedName>
    <definedName name="input66_1">#REF!</definedName>
    <definedName name="input67_1">#REF!</definedName>
    <definedName name="input68_1">#REF!</definedName>
    <definedName name="input69_1">#REF!</definedName>
    <definedName name="input7_1">#REF!</definedName>
    <definedName name="input70_1">#REF!</definedName>
    <definedName name="input71_1">#REF!</definedName>
    <definedName name="input72_1">#REF!</definedName>
    <definedName name="input73_1">#REF!</definedName>
    <definedName name="input74_1">#REF!</definedName>
    <definedName name="input75_1">#REF!</definedName>
    <definedName name="input76_1">#REF!</definedName>
    <definedName name="input77_1">#REF!</definedName>
    <definedName name="input78_1">#REF!</definedName>
    <definedName name="input79_1">#REF!</definedName>
    <definedName name="input8_1">#REF!</definedName>
    <definedName name="input80_1">#REF!</definedName>
    <definedName name="input81_1">#REF!</definedName>
    <definedName name="input82_1">#REF!</definedName>
    <definedName name="input83_1">#REF!</definedName>
    <definedName name="input84_1">#REF!</definedName>
    <definedName name="input85_1">#REF!</definedName>
    <definedName name="input86_1">#REF!</definedName>
    <definedName name="input87_1">#REF!</definedName>
    <definedName name="input88_1">#REF!</definedName>
    <definedName name="input89_1">#REF!</definedName>
    <definedName name="input9_1">#REF!</definedName>
    <definedName name="input90_1">#REF!</definedName>
    <definedName name="input91_1">#REF!</definedName>
    <definedName name="input92_1">#REF!</definedName>
    <definedName name="input93_1">#REF!</definedName>
    <definedName name="input94_1">#REF!</definedName>
    <definedName name="input95_1">#REF!</definedName>
    <definedName name="input96_1">#REF!</definedName>
    <definedName name="input97_1">#REF!</definedName>
    <definedName name="input98_1">#REF!</definedName>
    <definedName name="input99_1">#REF!</definedName>
    <definedName name="INQTY">#N/A</definedName>
    <definedName name="INR">#REF!</definedName>
    <definedName name="Insert">#REF!</definedName>
    <definedName name="INSTDKADU">#REF!</definedName>
    <definedName name="INSTNFGP">#REF!</definedName>
    <definedName name="INSTNGL4">#REF!</definedName>
    <definedName name="INSTPGM">#REF!</definedName>
    <definedName name="INSTPIPELINE">#REF!</definedName>
    <definedName name="INSTTANK">#REF!</definedName>
    <definedName name="int">#REF!</definedName>
    <definedName name="IntCalc">#REF!</definedName>
    <definedName name="Interest_payment">#REF!</definedName>
    <definedName name="INTERINJ">#REF!</definedName>
    <definedName name="interstrate">#REF!</definedName>
    <definedName name="INTEST">#REF!</definedName>
    <definedName name="intrent"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v" hidden="1">#REF!</definedName>
    <definedName name="Inventory_adj.">#REF!</definedName>
    <definedName name="invoice">#REF!</definedName>
    <definedName name="INVPG1">#REF!</definedName>
    <definedName name="INVPG2">#REF!</definedName>
    <definedName name="INVPG3">#REF!</definedName>
    <definedName name="INVPG4">#REF!</definedName>
    <definedName name="inwon" localSheetId="2" hidden="1">{#N/A,#N/A,FALSE,"UNIT";#N/A,#N/A,FALSE,"UNIT";#N/A,#N/A,FALSE,"계정"}</definedName>
    <definedName name="inwon" hidden="1">{#N/A,#N/A,FALSE,"UNIT";#N/A,#N/A,FALSE,"UNIT";#N/A,#N/A,FALSE,"계정"}</definedName>
    <definedName name="Io">#REF!</definedName>
    <definedName name="Io1I">#REF!</definedName>
    <definedName name="Io2I">#REF!</definedName>
    <definedName name="Ip">#REF!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RED_BY_REPORTING_BANK_FDIC" hidden="1">"c6535"</definedName>
    <definedName name="IQ_ACQUISITION_RE_ASSETS">"c1628"</definedName>
    <definedName name="IQ_AD">"c7"</definedName>
    <definedName name="IQ_ADD_PAID_IN">"c1344"</definedName>
    <definedName name="IQ_ADDIN" hidden="1">"AUTO"</definedName>
    <definedName name="IQ_ADDITIONAL_NON_INT_INC_FDIC" hidden="1">"c6574"</definedName>
    <definedName name="IQ_ADJ_AVG_BANK_ASSETS">"c2671"</definedName>
    <definedName name="IQ_ADJUSTABLE_RATE_LOANS_FDIC" hidden="1">"c6375"</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ENDED_BALANCE_PREVIOUS_YR_FDIC" hidden="1">"c6499"</definedName>
    <definedName name="IQ_AMORT_EXPENSE_FDIC" hidden="1">"c6677"</definedName>
    <definedName name="IQ_AMORTIZATION">"c1591"</definedName>
    <definedName name="IQ_AMORTIZED_COST_FDIC" hidden="1">"c6426"</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BACKED_FDIC" hidden="1">"c6301"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HELD_FDIC" hidden="1">"c6305"</definedName>
    <definedName name="IQ_ASSETS_OPER_LEASE_DEPR">"c2070"</definedName>
    <definedName name="IQ_ASSETS_OPER_LEASE_GROSS">"c2071"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"c2072"</definedName>
    <definedName name="IQ_AVG_BANK_LOANS">"c2073"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 hidden="1">"c82"</definedName>
    <definedName name="IQ_AVG_SHAREOUTSTANDING">"c83"</definedName>
    <definedName name="IQ_AVG_TEV">"c84"</definedName>
    <definedName name="IQ_AVG_VOLUME">"c1346"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"c2544"</definedName>
    <definedName name="IQ_BANK_DEBT_PCT">"c2545"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ONDRATING_FITCH" hidden="1">"IQ_BONDRATING_FITCH"</definedName>
    <definedName name="IQ_BONDRATING_SP" hidden="1">"IQ_BONDRATING_SP"</definedName>
    <definedName name="IQ_BOOK_VALUE" hidden="1">"IQ_BOOK_VALUE"</definedName>
    <definedName name="IQ_BROK_COMISSION">"c98"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"c99"</definedName>
    <definedName name="IQ_BUS_SEG_PRIMARY_PIC" hidden="1">"c15584"</definedName>
    <definedName name="IQ_BUS_SEG_PRIMARY_PIC_ABS" hidden="1">"c15572"</definedName>
    <definedName name="IQ_BUS_SEG_SECONDARY_PIC" hidden="1">"c15585"</definedName>
    <definedName name="IQ_BUS_SEG_SECONDARY_PIC_ABS" hidden="1">"c15573"</definedName>
    <definedName name="IQ_BUSINESS_DESCRIPTION">"c322"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"c1349"</definedName>
    <definedName name="IQ_BV_SHARE">"c100"</definedName>
    <definedName name="IQ_BV_STDDEV_EST_REUT" hidden="1">"c5408"</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L_DATE_SCHEDULE">"c2481"</definedName>
    <definedName name="IQ_CALL_FEATURE">"c2197"</definedName>
    <definedName name="IQ_CALL_PRICE_SCHEDULE">"c2482"</definedName>
    <definedName name="IQ_CALLABLE">"c2196"</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SH">"c1458"</definedName>
    <definedName name="IQ_CASH_ACQUIRE_CF">"c116"</definedName>
    <definedName name="IQ_CASH_CONVERSION">"c117"</definedName>
    <definedName name="IQ_CASH_DIVIDENDS_NET_INCOME_FDIC" hidden="1">"c6738"</definedName>
    <definedName name="IQ_CASH_DUE_BANKS">"c1351"</definedName>
    <definedName name="IQ_CASH_EQUIV">"c118"</definedName>
    <definedName name="IQ_CASH_FINAN">"c119"</definedName>
    <definedName name="IQ_CASH_IN_PROCESS_FDIC" hidden="1">"c6386"</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CE_FDIC" hidden="1">"c6296"</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 hidden="1">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"c151"</definedName>
    <definedName name="IQ_CHANGE_NET_WORKING_CAPITAL">"c1909"</definedName>
    <definedName name="IQ_CHANGE_OTHER_NET_OPER_ASSETS_BR" hidden="1">"c3595"</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MO_FDIC" hidden="1">"c6406"</definedName>
    <definedName name="IQ_COGS">"c175"</definedName>
    <definedName name="IQ_COLLECTION_DOMESTIC_FDIC" hidden="1">"c6387"</definedName>
    <definedName name="IQ_COMBINED_RATIO">"c176"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"c177"</definedName>
    <definedName name="IQ_COMMERCIAL_FIRE_WRITTEN">"c178"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"c179"</definedName>
    <definedName name="IQ_COMMERCIAL_RE_CONSTRUCTION_LAND_DEV_FDIC" hidden="1">"c6526"</definedName>
    <definedName name="IQ_COMMERCIAL_RE_LOANS_FDIC" hidden="1">"c6312"</definedName>
    <definedName name="IQ_COMMISS_FEES">"c180"</definedName>
    <definedName name="IQ_COMMISSION_DEF">"c181"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FDIC" hidden="1">"c6350"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"c222"</definedName>
    <definedName name="IQ_CONSUMER_LOANS">"c223"</definedName>
    <definedName name="IQ_CONTRACTS_OTHER_COMMODITIES_EQUITIES._FDIC" hidden="1">"c6522"</definedName>
    <definedName name="IQ_CONTRACTS_OTHER_COMMODITIES_EQUITIES_FDIC" hidden="1">"c6522"</definedName>
    <definedName name="IQ_CONV_DATE">"c2191"</definedName>
    <definedName name="IQ_CONV_EXP_DATE">"c3043"</definedName>
    <definedName name="IQ_CONV_PREMIUM">"c2195"</definedName>
    <definedName name="IQ_CONV_PRICE">"c2193"</definedName>
    <definedName name="IQ_CONV_RATE" hidden="1">"c2192"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"c2936"</definedName>
    <definedName name="IQ_COST_BORROWINGS">"c225"</definedName>
    <definedName name="IQ_COST_OF_FUNDING_ASSETS_FDIC" hidden="1">"c6725"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CHARGE_OFFS_FDIC" hidden="1">"c6652"</definedName>
    <definedName name="IQ_CREDIT_CARD_FEE_BNK">"c231"</definedName>
    <definedName name="IQ_CREDIT_CARD_FEE_FIN">"c1583"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"c232"</definedName>
    <definedName name="IQ_CREDIT_LOSS_PROVISION_NET_CHARGE_OFFS_FDIC" hidden="1">"c6734"</definedName>
    <definedName name="IQ_CUMULATIVE_SPLIT_FACTOR">"c2094"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"c2074"</definedName>
    <definedName name="IQ_CURR_FOREIGN_TAXES">"c2075"</definedName>
    <definedName name="IQ_CURRENCY_COIN_DOMESTIC_FDIC" hidden="1">"c6388"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 hidden="1">500000</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"c1360"</definedName>
    <definedName name="IQ_DEPRE_AMORT_SUPPL">"c1593"</definedName>
    <definedName name="IQ_DEPRE_DEPLE">"c1361"</definedName>
    <definedName name="IQ_DEPRE_SUPP">"c1443"</definedName>
    <definedName name="IQ_DERIVATIVES_FDIC" hidden="1">"c6523"</definedName>
    <definedName name="IQ_DESCRIPTION_LONG">"c1520"</definedName>
    <definedName name="IQ_DEVELOP_LAND">"c323"</definedName>
    <definedName name="IQ_DIFF_LASTCLOSE_TARGET_PRICE" hidden="1">"c1854"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"c3005"</definedName>
    <definedName name="IQ_DISTRIBUTABLE_CASH_SHARE">"c3003"</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CORP_TAX" hidden="1">"c29523"</definedName>
    <definedName name="IQ_DPS_CORP_TAX_ABS" hidden="1">"c29550"</definedName>
    <definedName name="IQ_DPS_GROSS" hidden="1">"c29521"</definedName>
    <definedName name="IQ_DPS_GROSS_ABS" hidden="1">"c29546"</definedName>
    <definedName name="IQ_DPS_IMPUTED_AMT" hidden="1">"c29524"</definedName>
    <definedName name="IQ_DPS_IMPUTED_AMT_ABS" hidden="1">"c29551"</definedName>
    <definedName name="IQ_DPS_IMPUTED_CRD_AMT" hidden="1">"c29526"</definedName>
    <definedName name="IQ_DPS_IMPUTED_CRD_AMT_ABS" hidden="1">"c29553"</definedName>
    <definedName name="IQ_DPS_IMPUTED_PCT" hidden="1">"c29525"</definedName>
    <definedName name="IQ_DPS_IMPUTED_PCT_ABS" hidden="1">"c29552"</definedName>
    <definedName name="IQ_DPS_NET" hidden="1">"c29522"</definedName>
    <definedName name="IQ_DPS_NET_ABS" hidden="1">"c29547"</definedName>
    <definedName name="IQ_DPS_SPEC_GROSS" hidden="1">"c29541"</definedName>
    <definedName name="IQ_DPS_SPEC_GROSS_ABS" hidden="1">"c29548"</definedName>
    <definedName name="IQ_DPS_SPEC_IMPUTED_AMT" hidden="1">"c29527"</definedName>
    <definedName name="IQ_DPS_SPEC_IMPUTED_AMT_ABS" hidden="1">"c29554"</definedName>
    <definedName name="IQ_DPS_SPEC_IMPUTED_CRD_AMT" hidden="1">"c29529"</definedName>
    <definedName name="IQ_DPS_SPEC_IMPUTED_CRD_AMT_ABS" hidden="1">"c29556"</definedName>
    <definedName name="IQ_DPS_SPEC_IMPUTED_PCT" hidden="1">"c29528"</definedName>
    <definedName name="IQ_DPS_SPEC_IMPUTED_PCT_ABS" hidden="1">"c29555"</definedName>
    <definedName name="IQ_DPS_SPEC_NET" hidden="1">"c29542"</definedName>
    <definedName name="IQ_DPS_SPEC_NET_ABS" hidden="1">"c29549"</definedName>
    <definedName name="IQ_DURATION">"c2181"</definedName>
    <definedName name="IQ_EARNING_ASSET_YIELD">"c343"</definedName>
    <definedName name="IQ_EARNING_ASSETS_FDIC" hidden="1">"c6360"</definedName>
    <definedName name="IQ_EARNING_ASSETS_YIELD_FDIC" hidden="1">"c6724"</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 hidden="1">"c1649"</definedName>
    <definedName name="IQ_EARNINGS_ANNOUNCE_DATE_REUT" hidden="1">"c5314"</definedName>
    <definedName name="IQ_EARNINGS_COVERAGE_NET_CHARGE_OFFS_FDIC" hidden="1">"c6735"</definedName>
    <definedName name="IQ_EBIT">"c352"</definedName>
    <definedName name="IQ_EBIT_10K" hidden="1">"IQ_EBIT_10K"</definedName>
    <definedName name="IQ_EBIT_10Q" hidden="1">"IQ_EBIT_10Q"</definedName>
    <definedName name="IQ_EBIT_10Q1" hidden="1">"IQ_EBIT_10Q1"</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GROWTH_1" hidden="1">"IQ_EBIT_GROWTH_1"</definedName>
    <definedName name="IQ_EBIT_GROWTH_2" hidden="1">"IQ_EBIT_GROWTH_2"</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K" hidden="1">"IQ_EBITDA_10K"</definedName>
    <definedName name="IQ_EBITDA_10Q" hidden="1">"IQ_EBITDA_10Q"</definedName>
    <definedName name="IQ_EBITDA_10Q1" hidden="1">"IQ_EBITDA_10Q1"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EST" hidden="1">"c369"</definedName>
    <definedName name="IQ_EBITDA_EST_REUT" hidden="1">"c3640"</definedName>
    <definedName name="IQ_EBITDA_GROWTH_1" hidden="1">"IQ_EBITDA_GROWTH_1"</definedName>
    <definedName name="IQ_EBITDA_GROWTH_2" hidden="1">"IQ_EBITDA_GROWTH_2"</definedName>
    <definedName name="IQ_EBITDA_HIGH_EST" hidden="1">"c370"</definedName>
    <definedName name="IQ_EBITDA_HIGH_EST_REUT" hidden="1">"c3642"</definedName>
    <definedName name="IQ_EBITDA_INT">"c373"</definedName>
    <definedName name="IQ_EBITDA_LOW_EST" hidden="1">"c371"</definedName>
    <definedName name="IQ_EBITDA_LOW_EST_REUT" hidden="1">"c3643"</definedName>
    <definedName name="IQ_EBITDA_MARGIN">"c372"</definedName>
    <definedName name="IQ_EBITDA_MEDIAN_EST_REUT" hidden="1">"c3641"</definedName>
    <definedName name="IQ_EBITDA_NUM_EST" hidden="1">"c374"</definedName>
    <definedName name="IQ_EBITDA_NUM_EST_REUT" hidden="1">"c3644"</definedName>
    <definedName name="IQ_EBITDA_OVER_TOTAL_IE">"c1371"</definedName>
    <definedName name="IQ_EBITDA_STDDEV_EST" hidden="1">"c375"</definedName>
    <definedName name="IQ_EBITDA_STDDEV_EST_REUT" hidden="1">"c3645"</definedName>
    <definedName name="IQ_EBITDAR">"c2989"</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"c1595"</definedName>
    <definedName name="IQ_EFFECT_TAX_RATE">"c1899"</definedName>
    <definedName name="IQ_EFFICIENCY_RATIO">"c391"</definedName>
    <definedName name="IQ_EFFICIENCY_RATIO_FDIC" hidden="1">"c6736"</definedName>
    <definedName name="IQ_EMPLOYEES">"c392"</definedName>
    <definedName name="IQ_ENTERPRISE_VALUE">"c1348"</definedName>
    <definedName name="IQ_EPS" hidden="1">"IQ_EPS"</definedName>
    <definedName name="IQ_EPS_10K" hidden="1">"IQ_EPS_10K"</definedName>
    <definedName name="IQ_EPS_10Q" hidden="1">"IQ_EPS_10Q"</definedName>
    <definedName name="IQ_EPS_10Q1" hidden="1">"IQ_EPS_10Q1"</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 hidden="1">"c2213"</definedName>
    <definedName name="IQ_EPS_EST" hidden="1">"c399"</definedName>
    <definedName name="IQ_EPS_EST_1" hidden="1">"IQ_EPS_EST_1"</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"c1902"</definedName>
    <definedName name="IQ_EPS_NUM_EST" hidden="1">"c402"</definedName>
    <definedName name="IQ_EPS_NUM_EST_REUT" hidden="1">"c5451"</definedName>
    <definedName name="IQ_EPS_STDDEV_EST" hidden="1">"c403"</definedName>
    <definedName name="IQ_EPS_STDDEV_EST_REUT" hidden="1">"c5452"</definedName>
    <definedName name="IQ_EQUITY_AFFIL">"c1451"</definedName>
    <definedName name="IQ_EQUITY_CAPITAL_ASSETS_FDIC" hidden="1">"c6744"</definedName>
    <definedName name="IQ_EQUITY_FDIC" hidden="1">"c6353"</definedName>
    <definedName name="IQ_EQUITY_METHOD">"c404"</definedName>
    <definedName name="IQ_EQUITY_SECURITIES_FDIC" hidden="1">"c6304"</definedName>
    <definedName name="IQ_EQUITY_SECURITY_EXPOSURES_FDIC" hidden="1">"c6664"</definedName>
    <definedName name="IQ_EQV_OVER_BV">"c1596"</definedName>
    <definedName name="IQ_EQV_OVER_LTM_PRETAX_INC">"c1390"</definedName>
    <definedName name="IQ_ESOP_DEBT">"c1597"</definedName>
    <definedName name="IQ_EST_ACT_BV_REUT" hidden="1">"c5409"</definedName>
    <definedName name="IQ_EST_ACT_EPS" hidden="1">"c1648"</definedName>
    <definedName name="IQ_EST_ACT_FFO_REUT" hidden="1">"c3843"</definedName>
    <definedName name="IQ_EST_ACT_FFO_SHARE_SHARE_REUT" hidden="1">"c3843"</definedName>
    <definedName name="IQ_EST_ACT_FFO_SHARE_SHARE_THOM" hidden="1">"c4005"</definedName>
    <definedName name="IQ_EST_ACT_FFO_THOM" hidden="1">"c4005"</definedName>
    <definedName name="IQ_EST_BV_DIFF_REUT" hidden="1">"c5433"</definedName>
    <definedName name="IQ_EST_BV_SURPRISE_PERCENT_REUT" hidden="1">"c5434"</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EPS_SURPRISE" hidden="1">"c1635"</definedName>
    <definedName name="IQ_EST_FFO_DIFF_REUT" hidden="1">"c3890"</definedName>
    <definedName name="IQ_EST_FFO_DIFF_THOM" hidden="1">"c5186"</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URPRISE_PERCENT_REUT" hidden="1">"c3891"</definedName>
    <definedName name="IQ_EST_FFO_SURPRISE_PERCENT_THOM" hidden="1">"c5187"</definedName>
    <definedName name="IQ_EST_NUM_BUY_REUT" hidden="1">"c3869"</definedName>
    <definedName name="IQ_EST_NUM_HOLD_REUT" hidden="1">"c3871"</definedName>
    <definedName name="IQ_EST_NUM_OUTPERFORM_REUT" hidden="1">"c3870"</definedName>
    <definedName name="IQ_EST_NUM_SELL_REUT" hidden="1">"c3873"</definedName>
    <definedName name="IQ_EST_NUM_UNDERPERFORM_REUT" hidden="1">"c3872"</definedName>
    <definedName name="IQ_EST_REV_GROWTH_1YR" hidden="1">"c1638"</definedName>
    <definedName name="IQ_EST_REV_GROWTH_2YR" hidden="1">"c1639"</definedName>
    <definedName name="IQ_EST_REV_GROWTH_Q_1YR" hidden="1">"c1640"</definedName>
    <definedName name="IQ_ESTIMATED_ASSESSABLE_DEPOSITS_FDIC" hidden="1">"c6490"</definedName>
    <definedName name="IQ_ESTIMATED_INSURED_DEPOSITS_FDIC" hidden="1">"c6491"</definedName>
    <definedName name="IQ_EV_OVER_EMPLOYEE">"c1428"</definedName>
    <definedName name="IQ_EV_OVER_LTM_EBIT">"c1426"</definedName>
    <definedName name="IQ_EV_OVER_LTM_EBITDA">"c1427"</definedName>
    <definedName name="IQ_EV_OVER_LTM_REVENUE">"c1429"</definedName>
    <definedName name="IQ_EV_OVER_REVENUE_EST" hidden="1">"IQ_EV_OVER_REVENUE_EST"</definedName>
    <definedName name="IQ_EV_OVER_REVENUE_EST_1" hidden="1">"IQ_EV_OVER_REVENUE_EST_1"</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ENSE_CODE_">"019802400"</definedName>
    <definedName name="IQ_EXPLORE_DRILL">"c409"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"c417"</definedName>
    <definedName name="IQ_FED_FUNDS_PURCHASED_FDIC" hidden="1">"c6343"</definedName>
    <definedName name="IQ_FED_FUNDS_SOLD_FDIC" hidden="1">"c6307"</definedName>
    <definedName name="IQ_FEDFUNDS_SOLD">"c2256"</definedName>
    <definedName name="IQ_FFO">"c1574"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"c4970"</definedName>
    <definedName name="IQ_FFO_EST_REUT" hidden="1">"c3837"</definedName>
    <definedName name="IQ_FFO_EST_THOM" hidden="1">"c3999"</definedName>
    <definedName name="IQ_FFO_HIGH_EST" hidden="1">"c419"</definedName>
    <definedName name="IQ_FFO_HIGH_EST_CIQ" hidden="1">"c4977"</definedName>
    <definedName name="IQ_FFO_HIGH_EST_REUT" hidden="1">"c3839"</definedName>
    <definedName name="IQ_FFO_HIGH_EST_THOM" hidden="1">"c4001"</definedName>
    <definedName name="IQ_FFO_LOW_EST" hidden="1">"c420"</definedName>
    <definedName name="IQ_FFO_LOW_EST_CIQ" hidden="1">"c4978"</definedName>
    <definedName name="IQ_FFO_LOW_EST_REUT" hidden="1">"c3840"</definedName>
    <definedName name="IQ_FFO_LOW_EST_THOM" hidden="1">"c4002"</definedName>
    <definedName name="IQ_FFO_MEDIAN_EST_CIQ" hidden="1">"c4979"</definedName>
    <definedName name="IQ_FFO_MEDIAN_EST_REUT" hidden="1">"c3838"</definedName>
    <definedName name="IQ_FFO_MEDIAN_EST_THOM" hidden="1">"c4000"</definedName>
    <definedName name="IQ_FFO_NUM_EST" hidden="1">"c421"</definedName>
    <definedName name="IQ_FFO_NUM_EST_CIQ" hidden="1">"c4980"</definedName>
    <definedName name="IQ_FFO_NUM_EST_REUT" hidden="1">"c3841"</definedName>
    <definedName name="IQ_FFO_NUM_EST_THOM" hidden="1">"c4003"</definedName>
    <definedName name="IQ_FFO_SHARE_SHARE_EST_DET_EST" hidden="1">"c12059"</definedName>
    <definedName name="IQ_FFO_SHARE_SHARE_EST_DET_EST_CIQ" hidden="1">"c12121"</definedName>
    <definedName name="IQ_FFO_SHARE_SHARE_EST_DET_EST_CURRENCY" hidden="1">"c12466"</definedName>
    <definedName name="IQ_FFO_SHARE_SHARE_EST_DET_EST_CURRENCY_CIQ" hidden="1">"c12512"</definedName>
    <definedName name="IQ_FFO_SHARE_SHARE_EST_DET_EST_DATE" hidden="1">"c12212"</definedName>
    <definedName name="IQ_FFO_SHARE_SHARE_EST_DET_EST_DATE_CIQ" hidden="1">"c12267"</definedName>
    <definedName name="IQ_FFO_SHARE_SHARE_EST_DET_EST_INCL" hidden="1">"c12349"</definedName>
    <definedName name="IQ_FFO_SHARE_SHARE_EST_DET_EST_INCL_CIQ" hidden="1">"c12395"</definedName>
    <definedName name="IQ_FFO_SHARE_SHARE_EST_DET_EST_ORIGIN" hidden="1">"c12722"</definedName>
    <definedName name="IQ_FFO_SHARE_SHARE_EST_DET_EST_ORIGIN_CIQ" hidden="1">"c12720"</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TDDEV_EST" hidden="1">"c422"</definedName>
    <definedName name="IQ_FFO_STDDEV_EST_CIQ" hidden="1">"c4981"</definedName>
    <definedName name="IQ_FFO_STDDEV_EST_REUT" hidden="1">"c3842"</definedName>
    <definedName name="IQ_FFO_STDDEV_EST_THOM" hidden="1">"c4004"</definedName>
    <definedName name="IQ_FH" hidden="1">100000</definedName>
    <definedName name="IQ_FHLB_ADVANCES_FDIC" hidden="1">"c6366"</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CURRENT_PORT_DEBT_TOTAL" hidden="1">"c5524"</definedName>
    <definedName name="IQ_FIN_DIV_CURRENT_PORT_LEASES_TOTAL" hidden="1">"c5523"</definedName>
    <definedName name="IQ_FIN_DIV_DEBT_CURRENT">"c429"</definedName>
    <definedName name="IQ_FIN_DIV_DEBT_LT">"c430"</definedName>
    <definedName name="IQ_FIN_DIV_DEBT_LT_TOTAL" hidden="1">"c5526"</definedName>
    <definedName name="IQ_FIN_DIV_EXP">"c431"</definedName>
    <definedName name="IQ_FIN_DIV_INT_EXP">"c432"</definedName>
    <definedName name="IQ_FIN_DIV_LEASES_LT_TOTAL" hidden="1">"c5525"</definedName>
    <definedName name="IQ_FIN_DIV_LIAB_CURRENT">"c433"</definedName>
    <definedName name="IQ_FIN_DIV_LIAB_LT">"c434"</definedName>
    <definedName name="IQ_FIN_DIV_LOANS_CURRENT">"c435"</definedName>
    <definedName name="IQ_FIN_DIV_LOANS_LT">"c436"</definedName>
    <definedName name="IQ_FIN_DIV_NOTES_PAY_TOTAL" hidden="1">"c5522"</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_YEAR_FIXED_AND_FLOATING_RATE_FDIC" hidden="1">"c6422"</definedName>
    <definedName name="IQ_FIVE_YEAR_MORTGAGE_PASS_THROUGHS_FDIC" hidden="1">"c6414"</definedName>
    <definedName name="IQ_FIVEPERCENT_PERCENT">"c443"</definedName>
    <definedName name="IQ_FIVEPERCENT_SHARES">"c444"</definedName>
    <definedName name="IQ_FIXED_ASSET_TURNS">"c445"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"c446"</definedName>
    <definedName name="IQ_FOREIGN_DEP_NON_IB">"c447"</definedName>
    <definedName name="IQ_FOREIGN_DEPOSITS_NONTRANSACTION_ACCOUNTS_FDIC" hidden="1">"c6549"</definedName>
    <definedName name="IQ_FOREIGN_DEPOSITS_TRANSACTION_ACCOUNTS_FDIC" hidden="1">"c6541"</definedName>
    <definedName name="IQ_FOREIGN_EXCHANGE">"c1376"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"c448"</definedName>
    <definedName name="IQ_FQ">500</definedName>
    <definedName name="IQ_FUEL">"c449"</definedName>
    <definedName name="IQ_FULL_TIME">"c450"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"c451"</definedName>
    <definedName name="IQ_FX_CONTRACTS_FDIC" hidden="1">"c6517"</definedName>
    <definedName name="IQ_FX_CONTRACTS_SPOT_FDIC" hidden="1">"c6356"</definedName>
    <definedName name="IQ_FY">1000</definedName>
    <definedName name="IQ_FY_DATE" hidden="1">"IQ_FY_DATE"</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ELD_MATURITY_FDIC" hidden="1">"c6408"</definedName>
    <definedName name="IQ_HIGH_TARGET_PRICE_REUT" hidden="1">"c5317"</definedName>
    <definedName name="IQ_HIGHPRICE">"c545"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"c547"</definedName>
    <definedName name="IQ_IMPAIRMENT_GW">"c548"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LOANS_FDIC" hidden="1">"c6365"</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 hidden="1">"c6723"</definedName>
    <definedName name="IQ_INSUR_RECEIV">"c1600"</definedName>
    <definedName name="IQ_INSURANCE_COMMISSION_FEES_FDIC" hidden="1">"c6670"</definedName>
    <definedName name="IQ_INSURANCE_UNDERWRITING_INCOME_FDIC" hidden="1">"c6671"</definedName>
    <definedName name="IQ_INT_BORROW">"c583"</definedName>
    <definedName name="IQ_INT_DEMAND_NOTES_FDIC" hidden="1">"c6567"</definedName>
    <definedName name="IQ_INT_DEPOSITS">"c584"</definedName>
    <definedName name="IQ_INT_DIV_INC">"c585"</definedName>
    <definedName name="IQ_INT_DOMESTIC_DEPOSITS_FDIC" hidden="1">"c6564"</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TOTAL_FDIC" hidden="1">"c6569"</definedName>
    <definedName name="IQ_INT_EXP_UTI">"c592"</definedName>
    <definedName name="IQ_INT_FED_FUNDS_FDIC" hidden="1">"c6566"</definedName>
    <definedName name="IQ_INT_FOREIGN_DEPOSITS_FDIC" hidden="1">"c6565"</definedName>
    <definedName name="IQ_INT_INC_BR">"c593"</definedName>
    <definedName name="IQ_INT_INC_DEPOSITORY_INST_FDIC" hidden="1">"c6558"</definedName>
    <definedName name="IQ_INT_INC_DOM_LOANS_FDIC" hidden="1">"c6555"</definedName>
    <definedName name="IQ_INT_INC_FED_FUNDS_FDIC" hidden="1">"c6561"</definedName>
    <definedName name="IQ_INT_INC_FIN">"c594"</definedName>
    <definedName name="IQ_INT_INC_FOREIGN_LOANS_FDIC" hidden="1">"c6556"</definedName>
    <definedName name="IQ_INT_INC_INVEST">"c595"</definedName>
    <definedName name="IQ_INT_INC_LEASE_RECEIVABLES_FDIC" hidden="1">"c6557"</definedName>
    <definedName name="IQ_INT_INC_LOANS">"c596"</definedName>
    <definedName name="IQ_INT_INC_OTHER_FDIC" hidden="1">"c6562"</definedName>
    <definedName name="IQ_INT_INC_REIT">"c597"</definedName>
    <definedName name="IQ_INT_INC_SECURITIES_FDIC" hidden="1">"c6559"</definedName>
    <definedName name="IQ_INT_INC_TOTAL">"c598"</definedName>
    <definedName name="IQ_INT_INC_TOTAL_FDIC" hidden="1">"c6563"</definedName>
    <definedName name="IQ_INT_INC_TRADING_ACCOUNTS_FDIC" hidden="1">"c6560"</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_SUB_NOTES_FDIC" hidden="1">"c6568"</definedName>
    <definedName name="IQ_INTANGIBLES_NET">"c1407"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10K" hidden="1">"IQ_INTEREST_INC_10K"</definedName>
    <definedName name="IQ_INTEREST_INC_10Q" hidden="1">"IQ_INTEREST_INC_10Q"</definedName>
    <definedName name="IQ_INTEREST_INC_10Q1" hidden="1">"IQ_INTEREST_INC_10Q1"</definedName>
    <definedName name="IQ_INTEREST_INC_NON">"c1384"</definedName>
    <definedName name="IQ_INTEREST_INVEST_INC">"c619"</definedName>
    <definedName name="IQ_INTEREST_RATE_CONTRACTS_FDIC" hidden="1">"c6512"</definedName>
    <definedName name="IQ_INTEREST_RATE_EXPOSURES_FDIC" hidden="1">"c6662"</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NVESTMENT_BANKING_OTHER_FEES_FDIC" hidden="1">"c6666"</definedName>
    <definedName name="IQ_IPRD">"c644"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"c1391"</definedName>
    <definedName name="IQ_ISS_STOCK_NET">"c1601"</definedName>
    <definedName name="IQ_ISSUE_CURRENCY">"c2156"</definedName>
    <definedName name="IQ_ISSUE_NAME">"c2142"</definedName>
    <definedName name="IQ_ISSUED_GUARANTEED_US_FDIC" hidden="1">"c6404"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 hidden="1">"1"</definedName>
    <definedName name="IQ_LATESTK">1000</definedName>
    <definedName name="IQ_LATESTKFR" hidden="1">"50"</definedName>
    <definedName name="IQ_LATESTQ">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E_INSURANCE_ASSETS_FDIC" hidden="1">"c6372"</definedName>
    <definedName name="IQ_LIFOR">"c655"</definedName>
    <definedName name="IQ_LL">"c656"</definedName>
    <definedName name="IQ_LOAN_COMMITMENTS_REVOLVING_FDIC" hidden="1">"c6524"</definedName>
    <definedName name="IQ_LOAN_LEASE_RECEIV">"c657"</definedName>
    <definedName name="IQ_LOAN_LOSS">"c1386"</definedName>
    <definedName name="IQ_LOAN_LOSS_ALLOW_FDIC" hidden="1">"c6326"</definedName>
    <definedName name="IQ_LOAN_LOSS_ALLOWANCE_NONCURRENT_LOANS_FDIC" hidden="1">"c6740"</definedName>
    <definedName name="IQ_LOAN_LOSSES_FDIC" hidden="1">"c6580"</definedName>
    <definedName name="IQ_LOAN_SERVICE_REV">"c658"</definedName>
    <definedName name="IQ_LOANS_AND_LEASES_HELD_FDIC" hidden="1">"c6367"</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DEPOSITORY_INSTITUTIONS_FDIC" hidden="1">"c6382"</definedName>
    <definedName name="IQ_LOANS_FOR_SALE">"c666"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"c667"</definedName>
    <definedName name="IQ_LOANS_RECEIV_CURRENT">"c668"</definedName>
    <definedName name="IQ_LOANS_RECEIV_LT">"c669"</definedName>
    <definedName name="IQ_LOANS_RECEIV_LT_UTI">"c670"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"c1387"</definedName>
    <definedName name="IQ_LONG_TERM_DEBT_OVER_TOTAL_CAP">"c1388"</definedName>
    <definedName name="IQ_LONG_TERM_GROWTH">"c671"</definedName>
    <definedName name="IQ_LONG_TERM_INV">"c1389"</definedName>
    <definedName name="IQ_LOSS_ALLOWANCE_LOANS_FDIC" hidden="1">"c6739"</definedName>
    <definedName name="IQ_LOSS_LOSS_EXP">"c672"</definedName>
    <definedName name="IQ_LOSS_TO_NET_EARNED">"c2751"</definedName>
    <definedName name="IQ_LOW_TARGET_PRICE_REUT" hidden="1">"c5318"</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DATE" hidden="1">"IQ_LTM_DATE"</definedName>
    <definedName name="IQ_LTM_REVENUE_OVER_EMPLOYEES">"c1437"</definedName>
    <definedName name="IQ_LTMMONTH" hidden="1">120000</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ATURITY_ONE_YEAR_LESS_FDIC" hidden="1">"c6425"</definedName>
    <definedName name="IQ_MC_RATIO">"c2783"</definedName>
    <definedName name="IQ_MC_STATUTORY_SURPLUS">"c2772"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 hidden="1">"c742"</definedName>
    <definedName name="IQ_MKTCAP_TOTAL_REV_FWD_REUT" hidden="1">"c4048"</definedName>
    <definedName name="IQ_MM_ACCOUNT">"c743"</definedName>
    <definedName name="IQ_MONEY_MARKET_DEPOSIT_ACCOUNTS_FDIC" hidden="1">"c6553"</definedName>
    <definedName name="IQ_MONTH" hidden="1">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 hidden="1">"c6402"</definedName>
    <definedName name="IQ_MORTGAGE_SERV_RIGHTS">"c2242"</definedName>
    <definedName name="IQ_MORTGAGE_SERVICING_FDIC" hidden="1">"c6335"</definedName>
    <definedName name="IQ_MTD" hidden="1">800000</definedName>
    <definedName name="IQ_MULTIFAMILY_RESIDENTIAL_LOANS_FDIC" hidden="1">"c6311"</definedName>
    <definedName name="IQ_NAMES_REVISION_DATE_" hidden="1">40829.4953240741</definedName>
    <definedName name="IQ_NAV_ACT_OR_EST" hidden="1">"c2225"</definedName>
    <definedName name="IQ_NET_CHANGE">"c749"</definedName>
    <definedName name="IQ_NET_CHARGE_OFFS_FDIC" hidden="1">"c6641"</definedName>
    <definedName name="IQ_NET_CHARGE_OFFS_LOANS_FDIC" hidden="1">"c6751"</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10K" hidden="1">"IQ_NET_INC_10K"</definedName>
    <definedName name="IQ_NET_INC_10Q" hidden="1">"IQ_NET_INC_10Q"</definedName>
    <definedName name="IQ_NET_INC_10Q1" hidden="1">"IQ_NET_INC_10Q1"</definedName>
    <definedName name="IQ_NET_INC_BEFORE">"c1368"</definedName>
    <definedName name="IQ_NET_INC_CF">"c1397"</definedName>
    <definedName name="IQ_NET_INC_GROWTH_1" hidden="1">"IQ_NET_INC_GROWTH_1"</definedName>
    <definedName name="IQ_NET_INC_GROWTH_2" hidden="1">"IQ_NET_INC_GROWTH_2"</definedName>
    <definedName name="IQ_NET_INC_MARGIN">"c1398"</definedName>
    <definedName name="IQ_NET_INCOME_FDIC" hidden="1">"c6587"</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NK_FDIC" hidden="1">"c6570"</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INTEREST_MARGIN_FDIC" hidden="1">"c6726"</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LEASES_CORE_DEPOSITS_FDIC" hidden="1">"c6743"</definedName>
    <definedName name="IQ_NET_LOANS_LEASES_DEPOSITS_FDIC" hidden="1">"c6742"</definedName>
    <definedName name="IQ_NET_LOANS_TOTAL_DEPOSITS">"c779"</definedName>
    <definedName name="IQ_NET_OPERATING_INCOME_ASSETS_FDIC" hidden="1">"c6729"</definedName>
    <definedName name="IQ_NET_RENTAL_EXP_FN">"c780"</definedName>
    <definedName name="IQ_NET_SECURITIZATION_INCOME_FDIC" hidden="1">"c6669"</definedName>
    <definedName name="IQ_NET_SERVICING_FEES_FDIC" hidden="1">"c6668"</definedName>
    <definedName name="IQ_NET_TO_GROSS_EARNED">"c2750"</definedName>
    <definedName name="IQ_NET_TO_GROSS_WRITTEN">"c2729"</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EXP_FDIC" hidden="1">"c6579"</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_INC_FDIC" hidden="1">"c6575"</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"c2550"</definedName>
    <definedName name="IQ_NONRECOURSE_DEBT_PCT">"c2551"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DEPOSITS_LESS_THAN_100K_FDIC" hidden="1">"c6495"</definedName>
    <definedName name="IQ_NUMBER_DEPOSITS_MORE_THAN_100K_FDIC" hidden="1">"c6493"</definedName>
    <definedName name="IQ_NUMBER_SHAREHOLDERS">"c1967"</definedName>
    <definedName name="IQ_NUMBER_SHAREHOLDERS_CLASSA">"c1968"</definedName>
    <definedName name="IQ_NUMBER_SHAREHOLDERS_OTHER">"c1969"</definedName>
    <definedName name="IQ_OBLIGATIONS_OF_STATES_TOTAL_LOANS_FOREIGN_FDIC" hidden="1">"c6447"</definedName>
    <definedName name="IQ_OBLIGATIONS_STATES_FDIC" hidden="1">"c6431"</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ACT_OR_EST" hidden="1">"c30079"</definedName>
    <definedName name="IQ_OG_AVG_DAILY_PROD_EST" hidden="1">"c30051"</definedName>
    <definedName name="IQ_OG_AVG_DAILY_PROD_EST_DOWN_2MONTH" hidden="1">"c30066"</definedName>
    <definedName name="IQ_OG_AVG_DAILY_PROD_EST_DOWN_3MONTH" hidden="1">"c30070"</definedName>
    <definedName name="IQ_OG_AVG_DAILY_PROD_EST_DOWN_MONTH" hidden="1">"c30062"</definedName>
    <definedName name="IQ_OG_AVG_DAILY_PROD_EST_NOTE" hidden="1">"c30057"</definedName>
    <definedName name="IQ_OG_AVG_DAILY_PROD_EST_NUM_ANALYSTS_2MONTH" hidden="1">"c30064"</definedName>
    <definedName name="IQ_OG_AVG_DAILY_PROD_EST_NUM_ANALYSTS_3MONTH" hidden="1">"c30068"</definedName>
    <definedName name="IQ_OG_AVG_DAILY_PROD_EST_NUM_ANALYSTS_MONTH" hidden="1">"c30060"</definedName>
    <definedName name="IQ_OG_AVG_DAILY_PROD_EST_REV_DATE_TIME" hidden="1">"c30059"</definedName>
    <definedName name="IQ_OG_AVG_DAILY_PROD_EST_REVISIONS" hidden="1">"c30058"</definedName>
    <definedName name="IQ_OG_AVG_DAILY_PROD_EST_TOTAL_REVISED_2MONTH" hidden="1">"c30067"</definedName>
    <definedName name="IQ_OG_AVG_DAILY_PROD_EST_TOTAL_REVISED_3MONTH" hidden="1">"c30071"</definedName>
    <definedName name="IQ_OG_AVG_DAILY_PROD_EST_TOTAL_REVISED_MONTH" hidden="1">"c30063"</definedName>
    <definedName name="IQ_OG_AVG_DAILY_PROD_EST_UP_2MONTH" hidden="1">"c30065"</definedName>
    <definedName name="IQ_OG_AVG_DAILY_PROD_EST_UP_3MONTH" hidden="1">"c30069"</definedName>
    <definedName name="IQ_OG_AVG_DAILY_PROD_EST_UP_MONTH" hidden="1">"c30061"</definedName>
    <definedName name="IQ_OG_AVG_DAILY_PROD_GAS">"c2910"</definedName>
    <definedName name="IQ_OG_AVG_DAILY_PROD_GAS_ACT_OR_EST" hidden="1">"c29849"</definedName>
    <definedName name="IQ_OG_AVG_DAILY_PROD_GAS_EST" hidden="1">"c29821"</definedName>
    <definedName name="IQ_OG_AVG_DAILY_PROD_GAS_EST_DOWN_2MONTH" hidden="1">"c29836"</definedName>
    <definedName name="IQ_OG_AVG_DAILY_PROD_GAS_EST_DOWN_3MONTH" hidden="1">"c29840"</definedName>
    <definedName name="IQ_OG_AVG_DAILY_PROD_GAS_EST_DOWN_MONTH" hidden="1">"c29832"</definedName>
    <definedName name="IQ_OG_AVG_DAILY_PROD_GAS_EST_NOTE" hidden="1">"c29827"</definedName>
    <definedName name="IQ_OG_AVG_DAILY_PROD_GAS_EST_NUM_ANALYSTS_2MONTH" hidden="1">"c29834"</definedName>
    <definedName name="IQ_OG_AVG_DAILY_PROD_GAS_EST_NUM_ANALYSTS_3MONTH" hidden="1">"c29838"</definedName>
    <definedName name="IQ_OG_AVG_DAILY_PROD_GAS_EST_NUM_ANALYSTS_MONTH" hidden="1">"c29830"</definedName>
    <definedName name="IQ_OG_AVG_DAILY_PROD_GAS_EST_REV_DATE_TIME" hidden="1">"c29829"</definedName>
    <definedName name="IQ_OG_AVG_DAILY_PROD_GAS_EST_REVISIONS" hidden="1">"c29828"</definedName>
    <definedName name="IQ_OG_AVG_DAILY_PROD_GAS_EST_TOTAL_REVISED_2MONTH" hidden="1">"c29837"</definedName>
    <definedName name="IQ_OG_AVG_DAILY_PROD_GAS_EST_TOTAL_REVISED_3MONTH" hidden="1">"c29841"</definedName>
    <definedName name="IQ_OG_AVG_DAILY_PROD_GAS_EST_TOTAL_REVISED_MONTH" hidden="1">"c29833"</definedName>
    <definedName name="IQ_OG_AVG_DAILY_PROD_GAS_EST_UP_2MONTH" hidden="1">"c29835"</definedName>
    <definedName name="IQ_OG_AVG_DAILY_PROD_GAS_EST_UP_3MONTH" hidden="1">"c29839"</definedName>
    <definedName name="IQ_OG_AVG_DAILY_PROD_GAS_EST_UP_MONTH" hidden="1">"c29831"</definedName>
    <definedName name="IQ_OG_AVG_DAILY_PROD_GAS_GUIDANCE" hidden="1">"c29864"</definedName>
    <definedName name="IQ_OG_AVG_DAILY_PROD_GAS_HIGH_EST" hidden="1">"c29823"</definedName>
    <definedName name="IQ_OG_AVG_DAILY_PROD_GAS_HIGH_GUIDANCE" hidden="1">"c29865"</definedName>
    <definedName name="IQ_OG_AVG_DAILY_PROD_GAS_LOW_EST" hidden="1">"c29824"</definedName>
    <definedName name="IQ_OG_AVG_DAILY_PROD_GAS_LOW_GUIDANCE" hidden="1">"c29866"</definedName>
    <definedName name="IQ_OG_AVG_DAILY_PROD_GAS_MEDIAN_EST" hidden="1">"c29822"</definedName>
    <definedName name="IQ_OG_AVG_DAILY_PROD_GAS_NUM_EST" hidden="1">"c29826"</definedName>
    <definedName name="IQ_OG_AVG_DAILY_PROD_GAS_STDDEV_EST" hidden="1">"c29825"</definedName>
    <definedName name="IQ_OG_AVG_DAILY_PROD_GUIDANCE" hidden="1">"c30094"</definedName>
    <definedName name="IQ_OG_AVG_DAILY_PROD_HIGH_EST" hidden="1">"c30053"</definedName>
    <definedName name="IQ_OG_AVG_DAILY_PROD_HIGH_GUIDANCE" hidden="1">"c30095"</definedName>
    <definedName name="IQ_OG_AVG_DAILY_PROD_LOW_EST" hidden="1">"c30054"</definedName>
    <definedName name="IQ_OG_AVG_DAILY_PROD_LOW_GUIDANCE" hidden="1">"c30096"</definedName>
    <definedName name="IQ_OG_AVG_DAILY_PROD_MEDIAN_EST" hidden="1">"c30052"</definedName>
    <definedName name="IQ_OG_AVG_DAILY_PROD_NGL">"c2911"</definedName>
    <definedName name="IQ_OG_AVG_DAILY_PROD_NGL_ACT_OR_EST" hidden="1">"c29987"</definedName>
    <definedName name="IQ_OG_AVG_DAILY_PROD_NGL_EST" hidden="1">"c29959"</definedName>
    <definedName name="IQ_OG_AVG_DAILY_PROD_NGL_EST_DOWN_2MONTH" hidden="1">"c29974"</definedName>
    <definedName name="IQ_OG_AVG_DAILY_PROD_NGL_EST_DOWN_3MONTH" hidden="1">"c29978"</definedName>
    <definedName name="IQ_OG_AVG_DAILY_PROD_NGL_EST_DOWN_MONTH" hidden="1">"c29970"</definedName>
    <definedName name="IQ_OG_AVG_DAILY_PROD_NGL_EST_NOTE" hidden="1">"c29965"</definedName>
    <definedName name="IQ_OG_AVG_DAILY_PROD_NGL_EST_NUM_ANALYSTS_2MONTH" hidden="1">"c29972"</definedName>
    <definedName name="IQ_OG_AVG_DAILY_PROD_NGL_EST_NUM_ANALYSTS_3MONTH" hidden="1">"c29976"</definedName>
    <definedName name="IQ_OG_AVG_DAILY_PROD_NGL_EST_NUM_ANALYSTS_MONTH" hidden="1">"c29968"</definedName>
    <definedName name="IQ_OG_AVG_DAILY_PROD_NGL_EST_REV_DATE_TIME" hidden="1">"c29967"</definedName>
    <definedName name="IQ_OG_AVG_DAILY_PROD_NGL_EST_REVISIONS" hidden="1">"c29966"</definedName>
    <definedName name="IQ_OG_AVG_DAILY_PROD_NGL_EST_TOTAL_REVISED_2MONTH" hidden="1">"c29975"</definedName>
    <definedName name="IQ_OG_AVG_DAILY_PROD_NGL_EST_TOTAL_REVISED_3MONTH" hidden="1">"c29979"</definedName>
    <definedName name="IQ_OG_AVG_DAILY_PROD_NGL_EST_TOTAL_REVISED_MONTH" hidden="1">"c29971"</definedName>
    <definedName name="IQ_OG_AVG_DAILY_PROD_NGL_EST_UP_2MONTH" hidden="1">"c29973"</definedName>
    <definedName name="IQ_OG_AVG_DAILY_PROD_NGL_EST_UP_3MONTH" hidden="1">"c29977"</definedName>
    <definedName name="IQ_OG_AVG_DAILY_PROD_NGL_EST_UP_MONTH" hidden="1">"c29969"</definedName>
    <definedName name="IQ_OG_AVG_DAILY_PROD_NGL_GUIDANCE" hidden="1">"c30002"</definedName>
    <definedName name="IQ_OG_AVG_DAILY_PROD_NGL_HIGH_EST" hidden="1">"c29961"</definedName>
    <definedName name="IQ_OG_AVG_DAILY_PROD_NGL_HIGH_GUIDANCE" hidden="1">"c30003"</definedName>
    <definedName name="IQ_OG_AVG_DAILY_PROD_NGL_LOW_EST" hidden="1">"c29962"</definedName>
    <definedName name="IQ_OG_AVG_DAILY_PROD_NGL_LOW_GUIDANCE" hidden="1">"c30004"</definedName>
    <definedName name="IQ_OG_AVG_DAILY_PROD_NGL_MEDIAN_EST" hidden="1">"c29960"</definedName>
    <definedName name="IQ_OG_AVG_DAILY_PROD_NGL_NUM_EST" hidden="1">"c29964"</definedName>
    <definedName name="IQ_OG_AVG_DAILY_PROD_NGL_STDDEV_EST" hidden="1">"c29963"</definedName>
    <definedName name="IQ_OG_AVG_DAILY_PROD_NUM_EST" hidden="1">"c30056"</definedName>
    <definedName name="IQ_OG_AVG_DAILY_PROD_OIL">"c2909"</definedName>
    <definedName name="IQ_OG_AVG_DAILY_PROD_OIL_ACT_OR_EST" hidden="1">"c29711"</definedName>
    <definedName name="IQ_OG_AVG_DAILY_PROD_OIL_EST" hidden="1">"c29683"</definedName>
    <definedName name="IQ_OG_AVG_DAILY_PROD_OIL_EST_DOWN_2MONTH" hidden="1">"c29698"</definedName>
    <definedName name="IQ_OG_AVG_DAILY_PROD_OIL_EST_DOWN_3MONTH" hidden="1">"c29702"</definedName>
    <definedName name="IQ_OG_AVG_DAILY_PROD_OIL_EST_DOWN_MONTH" hidden="1">"c29694"</definedName>
    <definedName name="IQ_OG_AVG_DAILY_PROD_OIL_EST_NOTE" hidden="1">"c29689"</definedName>
    <definedName name="IQ_OG_AVG_DAILY_PROD_OIL_EST_NUM_ANALYSTS_2MONTH" hidden="1">"c29696"</definedName>
    <definedName name="IQ_OG_AVG_DAILY_PROD_OIL_EST_NUM_ANALYSTS_3MONTH" hidden="1">"c29700"</definedName>
    <definedName name="IQ_OG_AVG_DAILY_PROD_OIL_EST_NUM_ANALYSTS_MONTH" hidden="1">"c29692"</definedName>
    <definedName name="IQ_OG_AVG_DAILY_PROD_OIL_EST_REV_DATE_TIME" hidden="1">"c29691"</definedName>
    <definedName name="IQ_OG_AVG_DAILY_PROD_OIL_EST_REVISIONS" hidden="1">"c29690"</definedName>
    <definedName name="IQ_OG_AVG_DAILY_PROD_OIL_EST_TOTAL_REVISED_2MONTH" hidden="1">"c29699"</definedName>
    <definedName name="IQ_OG_AVG_DAILY_PROD_OIL_EST_TOTAL_REVISED_3MONTH" hidden="1">"c29703"</definedName>
    <definedName name="IQ_OG_AVG_DAILY_PROD_OIL_EST_TOTAL_REVISED_MONTH" hidden="1">"c29695"</definedName>
    <definedName name="IQ_OG_AVG_DAILY_PROD_OIL_EST_UP_2MONTH" hidden="1">"c29697"</definedName>
    <definedName name="IQ_OG_AVG_DAILY_PROD_OIL_EST_UP_3MONTH" hidden="1">"c29701"</definedName>
    <definedName name="IQ_OG_AVG_DAILY_PROD_OIL_EST_UP_MONTH" hidden="1">"c29693"</definedName>
    <definedName name="IQ_OG_AVG_DAILY_PROD_OIL_GUIDANCE" hidden="1">"c29726"</definedName>
    <definedName name="IQ_OG_AVG_DAILY_PROD_OIL_HIGH_EST" hidden="1">"c29685"</definedName>
    <definedName name="IQ_OG_AVG_DAILY_PROD_OIL_HIGH_GUIDANCE" hidden="1">"c29727"</definedName>
    <definedName name="IQ_OG_AVG_DAILY_PROD_OIL_LOW_EST" hidden="1">"c29686"</definedName>
    <definedName name="IQ_OG_AVG_DAILY_PROD_OIL_LOW_GUIDANCE" hidden="1">"c29728"</definedName>
    <definedName name="IQ_OG_AVG_DAILY_PROD_OIL_MEDIAN_EST" hidden="1">"c29684"</definedName>
    <definedName name="IQ_OG_AVG_DAILY_PROD_OIL_NUM_EST" hidden="1">"c29688"</definedName>
    <definedName name="IQ_OG_AVG_DAILY_PROD_OIL_STDDEV_EST" hidden="1">"c29687"</definedName>
    <definedName name="IQ_OG_AVG_DAILY_PROD_STDDEV_EST" hidden="1">"c30055"</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ST_ACT_AVG_DAILY_PROD" hidden="1">"c30078"</definedName>
    <definedName name="IQ_OG_EST_ACT_AVG_DAILY_PROD_GAS" hidden="1">"c29848"</definedName>
    <definedName name="IQ_OG_EST_ACT_AVG_DAILY_PROD_NGL" hidden="1">"c29986"</definedName>
    <definedName name="IQ_OG_EST_ACT_AVG_DAILY_PROD_OIL" hidden="1">"c29710"</definedName>
    <definedName name="IQ_OG_EST_ACT_EXPLORE_COST" hidden="1">"c30032"</definedName>
    <definedName name="IQ_OG_EST_ACT_REV_GAS" hidden="1">"c29802"</definedName>
    <definedName name="IQ_OG_EST_ACT_REV_NGL" hidden="1">"c29940"</definedName>
    <definedName name="IQ_OG_EST_ACT_REV_OIL" hidden="1">"c29664"</definedName>
    <definedName name="IQ_OG_EST_ACT_TOTAL_PROD" hidden="1">"c30124"</definedName>
    <definedName name="IQ_OG_EST_ACT_TOTAL_PROD_GAS" hidden="1">"c29756"</definedName>
    <definedName name="IQ_OG_EST_ACT_TOTAL_PROD_NGL" hidden="1">"c29894"</definedName>
    <definedName name="IQ_OG_EST_ACT_TOTAL_PROD_OIL" hidden="1">"c29618"</definedName>
    <definedName name="IQ_OG_EST_AVG_DAILY_PROD_DIFF" hidden="1">"c30080"</definedName>
    <definedName name="IQ_OG_EST_AVG_DAILY_PROD_GAS_DIFF" hidden="1">"c29850"</definedName>
    <definedName name="IQ_OG_EST_AVG_DAILY_PROD_GAS_SURPRISE_PERCENT" hidden="1">"c29851"</definedName>
    <definedName name="IQ_OG_EST_AVG_DAILY_PROD_NGL_DIFF" hidden="1">"c29988"</definedName>
    <definedName name="IQ_OG_EST_AVG_DAILY_PROD_NGL_SURPRISE_PERCENT" hidden="1">"c29989"</definedName>
    <definedName name="IQ_OG_EST_AVG_DAILY_PROD_OIL_DIFF" hidden="1">"c29712"</definedName>
    <definedName name="IQ_OG_EST_AVG_DAILY_PROD_OIL_SURPRISE_PERCENT" hidden="1">"c29713"</definedName>
    <definedName name="IQ_OG_EST_AVG_DAILY_PROD_SURPRISE_PERCENT" hidden="1">"c30081"</definedName>
    <definedName name="IQ_OG_EST_EXPLORE_COST_DIFF" hidden="1">"c30034"</definedName>
    <definedName name="IQ_OG_EST_EXPLORE_COST_SURPRISE_PERCENT" hidden="1">"c30035"</definedName>
    <definedName name="IQ_OG_EST_REV_GAS_DIFF" hidden="1">"c29804"</definedName>
    <definedName name="IQ_OG_EST_REV_GAS_SURPRISE_PERCENT" hidden="1">"c29805"</definedName>
    <definedName name="IQ_OG_EST_REV_NGL_DIFF" hidden="1">"c29942"</definedName>
    <definedName name="IQ_OG_EST_REV_NGL_SURPRISE_PERCENT" hidden="1">"c29943"</definedName>
    <definedName name="IQ_OG_EST_REV_OIL_DIFF" hidden="1">"c29666"</definedName>
    <definedName name="IQ_OG_EST_REV_OIL_SURPRISE_PERCENT" hidden="1">"c29667"</definedName>
    <definedName name="IQ_OG_EST_TOTAL_PROD_DIFF" hidden="1">"c30126"</definedName>
    <definedName name="IQ_OG_EST_TOTAL_PROD_GAS_DIFF" hidden="1">"c29758"</definedName>
    <definedName name="IQ_OG_EST_TOTAL_PROD_GAS_SURPRISE_PERCENT" hidden="1">"c29759"</definedName>
    <definedName name="IQ_OG_EST_TOTAL_PROD_NGL_DIFF" hidden="1">"c29896"</definedName>
    <definedName name="IQ_OG_EST_TOTAL_PROD_NGL_SURPRISE_PERCENT" hidden="1">"c29897"</definedName>
    <definedName name="IQ_OG_EST_TOTAL_PROD_OIL_DIFF" hidden="1">"c29620"</definedName>
    <definedName name="IQ_OG_EST_TOTAL_PROD_OIL_SURPRISE_PERCENT" hidden="1">"c29621"</definedName>
    <definedName name="IQ_OG_EST_TOTAL_PROD_SURPRISE_PERCENT" hidden="1">"c30127"</definedName>
    <definedName name="IQ_OG_EXPLORATION_COSTS">"c1977"</definedName>
    <definedName name="IQ_OG_EXPLORATION_COSTS_GAS">"c1989"</definedName>
    <definedName name="IQ_OG_EXPLORATION_COSTS_OIL">"c1983"</definedName>
    <definedName name="IQ_OG_EXPLORE_COST_ACT_OR_EST" hidden="1">"c30033"</definedName>
    <definedName name="IQ_OG_EXPLORE_COST_EST" hidden="1">"c30005"</definedName>
    <definedName name="IQ_OG_EXPLORE_COST_EST_DOWN_2MONTH" hidden="1">"c30020"</definedName>
    <definedName name="IQ_OG_EXPLORE_COST_EST_DOWN_3MONTH" hidden="1">"c30024"</definedName>
    <definedName name="IQ_OG_EXPLORE_COST_EST_DOWN_MONTH" hidden="1">"c30016"</definedName>
    <definedName name="IQ_OG_EXPLORE_COST_EST_NOTE" hidden="1">"c30011"</definedName>
    <definedName name="IQ_OG_EXPLORE_COST_EST_NUM_ANALYSTS_2MONTH" hidden="1">"c30018"</definedName>
    <definedName name="IQ_OG_EXPLORE_COST_EST_NUM_ANALYSTS_3MONTH" hidden="1">"c30022"</definedName>
    <definedName name="IQ_OG_EXPLORE_COST_EST_NUM_ANALYSTS_MONTH" hidden="1">"c30014"</definedName>
    <definedName name="IQ_OG_EXPLORE_COST_EST_REV_DATE_TIME" hidden="1">"c30013"</definedName>
    <definedName name="IQ_OG_EXPLORE_COST_EST_REVISIONS" hidden="1">"c30012"</definedName>
    <definedName name="IQ_OG_EXPLORE_COST_EST_TOTAL_REVISED_2MONTH" hidden="1">"c30021"</definedName>
    <definedName name="IQ_OG_EXPLORE_COST_EST_TOTAL_REVISED_3MONTH" hidden="1">"c30025"</definedName>
    <definedName name="IQ_OG_EXPLORE_COST_EST_TOTAL_REVISED_MONTH" hidden="1">"c30017"</definedName>
    <definedName name="IQ_OG_EXPLORE_COST_EST_UP_2MONTH" hidden="1">"c30019"</definedName>
    <definedName name="IQ_OG_EXPLORE_COST_EST_UP_3MONTH" hidden="1">"c30023"</definedName>
    <definedName name="IQ_OG_EXPLORE_COST_EST_UP_MONTH" hidden="1">"c30015"</definedName>
    <definedName name="IQ_OG_EXPLORE_COST_GUIDANCE" hidden="1">"c30048"</definedName>
    <definedName name="IQ_OG_EXPLORE_COST_HIGH_EST" hidden="1">"c30007"</definedName>
    <definedName name="IQ_OG_EXPLORE_COST_HIGH_GUIDANCE" hidden="1">"c30049"</definedName>
    <definedName name="IQ_OG_EXPLORE_COST_LOW_EST" hidden="1">"c30008"</definedName>
    <definedName name="IQ_OG_EXPLORE_COST_LOW_GUIDANCE" hidden="1">"c30050"</definedName>
    <definedName name="IQ_OG_EXPLORE_COST_MEDIAN_EST" hidden="1">"c30006"</definedName>
    <definedName name="IQ_OG_EXPLORE_COST_NUM_EST" hidden="1">"c30010"</definedName>
    <definedName name="IQ_OG_EXPLORE_COST_STDDEV_EST" hidden="1">"c30009"</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_GAS_ACT_OR_EST" hidden="1">"c29803"</definedName>
    <definedName name="IQ_OG_REV_GAS_EST" hidden="1">"c29775"</definedName>
    <definedName name="IQ_OG_REV_GAS_EST_DOWN_2MONTH" hidden="1">"c29790"</definedName>
    <definedName name="IQ_OG_REV_GAS_EST_DOWN_3MONTH" hidden="1">"c29794"</definedName>
    <definedName name="IQ_OG_REV_GAS_EST_DOWN_MONTH" hidden="1">"c29786"</definedName>
    <definedName name="IQ_OG_REV_GAS_EST_NOTE" hidden="1">"c29781"</definedName>
    <definedName name="IQ_OG_REV_GAS_EST_NUM_ANALYSTS_2MONTH" hidden="1">"c29788"</definedName>
    <definedName name="IQ_OG_REV_GAS_EST_NUM_ANALYSTS_3MONTH" hidden="1">"c29792"</definedName>
    <definedName name="IQ_OG_REV_GAS_EST_NUM_ANALYSTS_MONTH" hidden="1">"c29784"</definedName>
    <definedName name="IQ_OG_REV_GAS_EST_REV_DATE_TIME" hidden="1">"c29783"</definedName>
    <definedName name="IQ_OG_REV_GAS_EST_REVISIONS" hidden="1">"c29782"</definedName>
    <definedName name="IQ_OG_REV_GAS_EST_TOTAL_REVISED_2MONTH" hidden="1">"c29791"</definedName>
    <definedName name="IQ_OG_REV_GAS_EST_TOTAL_REVISED_3MONTH" hidden="1">"c29795"</definedName>
    <definedName name="IQ_OG_REV_GAS_EST_TOTAL_REVISED_MONTH" hidden="1">"c29787"</definedName>
    <definedName name="IQ_OG_REV_GAS_EST_UP_2MONTH" hidden="1">"c29789"</definedName>
    <definedName name="IQ_OG_REV_GAS_EST_UP_3MONTH" hidden="1">"c29793"</definedName>
    <definedName name="IQ_OG_REV_GAS_EST_UP_MONTH" hidden="1">"c29785"</definedName>
    <definedName name="IQ_OG_REV_GAS_GUIDANCE" hidden="1">"c29818"</definedName>
    <definedName name="IQ_OG_REV_GAS_HIGH_EST" hidden="1">"c29777"</definedName>
    <definedName name="IQ_OG_REV_GAS_HIGH_GUIDANCE" hidden="1">"c29819"</definedName>
    <definedName name="IQ_OG_REV_GAS_LOW_EST" hidden="1">"c29778"</definedName>
    <definedName name="IQ_OG_REV_GAS_LOW_GUIDANCE" hidden="1">"c29820"</definedName>
    <definedName name="IQ_OG_REV_GAS_MEDIAN_EST" hidden="1">"c29776"</definedName>
    <definedName name="IQ_OG_REV_GAS_NUM_EST" hidden="1">"c29780"</definedName>
    <definedName name="IQ_OG_REV_GAS_STDDEV_EST" hidden="1">"c29779"</definedName>
    <definedName name="IQ_OG_REV_NGL_ACT_OR_EST" hidden="1">"c29941"</definedName>
    <definedName name="IQ_OG_REV_NGL_EST" hidden="1">"c29913"</definedName>
    <definedName name="IQ_OG_REV_NGL_EST_DOWN_2MONTH" hidden="1">"c29928"</definedName>
    <definedName name="IQ_OG_REV_NGL_EST_DOWN_3MONTH" hidden="1">"c29932"</definedName>
    <definedName name="IQ_OG_REV_NGL_EST_DOWN_MONTH" hidden="1">"c29924"</definedName>
    <definedName name="IQ_OG_REV_NGL_EST_NOTE" hidden="1">"c29919"</definedName>
    <definedName name="IQ_OG_REV_NGL_EST_NUM_ANALYSTS_2MONTH" hidden="1">"c29926"</definedName>
    <definedName name="IQ_OG_REV_NGL_EST_NUM_ANALYSTS_3MONTH" hidden="1">"c29930"</definedName>
    <definedName name="IQ_OG_REV_NGL_EST_NUM_ANALYSTS_MONTH" hidden="1">"c29922"</definedName>
    <definedName name="IQ_OG_REV_NGL_EST_REV_DATE_TIME" hidden="1">"c29921"</definedName>
    <definedName name="IQ_OG_REV_NGL_EST_REVISIONS" hidden="1">"c29920"</definedName>
    <definedName name="IQ_OG_REV_NGL_EST_TOTAL_REVISED_2MONTH" hidden="1">"c29929"</definedName>
    <definedName name="IQ_OG_REV_NGL_EST_TOTAL_REVISED_3MONTH" hidden="1">"c29933"</definedName>
    <definedName name="IQ_OG_REV_NGL_EST_TOTAL_REVISED_MONTH" hidden="1">"c29925"</definedName>
    <definedName name="IQ_OG_REV_NGL_EST_UP_2MONTH" hidden="1">"c29927"</definedName>
    <definedName name="IQ_OG_REV_NGL_EST_UP_3MONTH" hidden="1">"c29931"</definedName>
    <definedName name="IQ_OG_REV_NGL_EST_UP_MONTH" hidden="1">"c29923"</definedName>
    <definedName name="IQ_OG_REV_NGL_GUIDANCE" hidden="1">"c29956"</definedName>
    <definedName name="IQ_OG_REV_NGL_HIGH_EST" hidden="1">"c29915"</definedName>
    <definedName name="IQ_OG_REV_NGL_HIGH_GUIDANCE" hidden="1">"c29957"</definedName>
    <definedName name="IQ_OG_REV_NGL_LOW_EST" hidden="1">"c29916"</definedName>
    <definedName name="IQ_OG_REV_NGL_LOW_GUIDANCE" hidden="1">"c29958"</definedName>
    <definedName name="IQ_OG_REV_NGL_MEDIAN_EST" hidden="1">"c29914"</definedName>
    <definedName name="IQ_OG_REV_NGL_NUM_EST" hidden="1">"c29918"</definedName>
    <definedName name="IQ_OG_REV_NGL_STDDEV_EST" hidden="1">"c29917"</definedName>
    <definedName name="IQ_OG_REV_OIL_ACT_OR_EST" hidden="1">"c29665"</definedName>
    <definedName name="IQ_OG_REV_OIL_EST" hidden="1">"c29637"</definedName>
    <definedName name="IQ_OG_REV_OIL_EST_DOWN_2MONTH" hidden="1">"c29652"</definedName>
    <definedName name="IQ_OG_REV_OIL_EST_DOWN_3MONTH" hidden="1">"c29656"</definedName>
    <definedName name="IQ_OG_REV_OIL_EST_DOWN_MONTH" hidden="1">"c29648"</definedName>
    <definedName name="IQ_OG_REV_OIL_EST_NOTE" hidden="1">"c29643"</definedName>
    <definedName name="IQ_OG_REV_OIL_EST_NUM_ANALYSTS_2MONTH" hidden="1">"c29650"</definedName>
    <definedName name="IQ_OG_REV_OIL_EST_NUM_ANALYSTS_3MONTH" hidden="1">"c29654"</definedName>
    <definedName name="IQ_OG_REV_OIL_EST_NUM_ANALYSTS_MONTH" hidden="1">"c29646"</definedName>
    <definedName name="IQ_OG_REV_OIL_EST_REV_DATE_TIME" hidden="1">"c29645"</definedName>
    <definedName name="IQ_OG_REV_OIL_EST_REVISIONS" hidden="1">"c29644"</definedName>
    <definedName name="IQ_OG_REV_OIL_EST_TOTAL_REVISED_2MONTH" hidden="1">"c29653"</definedName>
    <definedName name="IQ_OG_REV_OIL_EST_TOTAL_REVISED_3MONTH" hidden="1">"c29657"</definedName>
    <definedName name="IQ_OG_REV_OIL_EST_TOTAL_REVISED_MONTH" hidden="1">"c29649"</definedName>
    <definedName name="IQ_OG_REV_OIL_EST_UP_2MONTH" hidden="1">"c29651"</definedName>
    <definedName name="IQ_OG_REV_OIL_EST_UP_3MONTH" hidden="1">"c29655"</definedName>
    <definedName name="IQ_OG_REV_OIL_EST_UP_MONTH" hidden="1">"c29647"</definedName>
    <definedName name="IQ_OG_REV_OIL_GUIDANCE" hidden="1">"c29680"</definedName>
    <definedName name="IQ_OG_REV_OIL_HIGH_EST" hidden="1">"c29639"</definedName>
    <definedName name="IQ_OG_REV_OIL_HIGH_GUIDANCE" hidden="1">"c29681"</definedName>
    <definedName name="IQ_OG_REV_OIL_LOW_EST" hidden="1">"c29640"</definedName>
    <definedName name="IQ_OG_REV_OIL_LOW_GUIDANCE" hidden="1">"c29682"</definedName>
    <definedName name="IQ_OG_REV_OIL_MEDIAN_EST" hidden="1">"c29638"</definedName>
    <definedName name="IQ_OG_REV_OIL_NUM_EST" hidden="1">"c29642"</definedName>
    <definedName name="IQ_OG_REV_OIL_STDDEV_EST" hidden="1">"c29641"</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 hidden="1">"c2059"</definedName>
    <definedName name="IQ_OG_TOTAL_PROD_ACT_OR_EST" hidden="1">"c30125"</definedName>
    <definedName name="IQ_OG_TOTAL_PROD_EST" hidden="1">"c30097"</definedName>
    <definedName name="IQ_OG_TOTAL_PROD_EST_DOWN_2MONTH" hidden="1">"c30112"</definedName>
    <definedName name="IQ_OG_TOTAL_PROD_EST_DOWN_3MONTH" hidden="1">"c30116"</definedName>
    <definedName name="IQ_OG_TOTAL_PROD_EST_DOWN_MONTH" hidden="1">"c30108"</definedName>
    <definedName name="IQ_OG_TOTAL_PROD_EST_NOTE" hidden="1">"c30103"</definedName>
    <definedName name="IQ_OG_TOTAL_PROD_EST_NUM_ANALYSTS_2MONTH" hidden="1">"c30110"</definedName>
    <definedName name="IQ_OG_TOTAL_PROD_EST_NUM_ANALYSTS_3MONTH" hidden="1">"c30114"</definedName>
    <definedName name="IQ_OG_TOTAL_PROD_EST_NUM_ANALYSTS_MONTH" hidden="1">"c30106"</definedName>
    <definedName name="IQ_OG_TOTAL_PROD_EST_REV_DATE_TIME" hidden="1">"c30105"</definedName>
    <definedName name="IQ_OG_TOTAL_PROD_EST_REVISIONS" hidden="1">"c30104"</definedName>
    <definedName name="IQ_OG_TOTAL_PROD_EST_TOTAL_REVISED_2MONTH" hidden="1">"c30113"</definedName>
    <definedName name="IQ_OG_TOTAL_PROD_EST_TOTAL_REVISED_3MONTH" hidden="1">"c30117"</definedName>
    <definedName name="IQ_OG_TOTAL_PROD_EST_TOTAL_REVISED_MONTH" hidden="1">"c30109"</definedName>
    <definedName name="IQ_OG_TOTAL_PROD_EST_UP_2MONTH" hidden="1">"c30111"</definedName>
    <definedName name="IQ_OG_TOTAL_PROD_EST_UP_3MONTH" hidden="1">"c30115"</definedName>
    <definedName name="IQ_OG_TOTAL_PROD_EST_UP_MONTH" hidden="1">"c30107"</definedName>
    <definedName name="IQ_OG_TOTAL_PROD_GAS_ACT_OR_EST" hidden="1">"c29757"</definedName>
    <definedName name="IQ_OG_TOTAL_PROD_GAS_EST" hidden="1">"c29729"</definedName>
    <definedName name="IQ_OG_TOTAL_PROD_GAS_EST_DOWN_2MONTH" hidden="1">"c29744"</definedName>
    <definedName name="IQ_OG_TOTAL_PROD_GAS_EST_DOWN_3MONTH" hidden="1">"c29748"</definedName>
    <definedName name="IQ_OG_TOTAL_PROD_GAS_EST_DOWN_MONTH" hidden="1">"c29740"</definedName>
    <definedName name="IQ_OG_TOTAL_PROD_GAS_EST_NOTE" hidden="1">"c29735"</definedName>
    <definedName name="IQ_OG_TOTAL_PROD_GAS_EST_NUM_ANALYSTS_2MONTH" hidden="1">"c29742"</definedName>
    <definedName name="IQ_OG_TOTAL_PROD_GAS_EST_NUM_ANALYSTS_3MONTH" hidden="1">"c29746"</definedName>
    <definedName name="IQ_OG_TOTAL_PROD_GAS_EST_NUM_ANALYSTS_MONTH" hidden="1">"c29738"</definedName>
    <definedName name="IQ_OG_TOTAL_PROD_GAS_EST_REV_DATE_TIME" hidden="1">"c29737"</definedName>
    <definedName name="IQ_OG_TOTAL_PROD_GAS_EST_REVISIONS" hidden="1">"c29736"</definedName>
    <definedName name="IQ_OG_TOTAL_PROD_GAS_EST_TOTAL_REVISED_2MONTH" hidden="1">"c29745"</definedName>
    <definedName name="IQ_OG_TOTAL_PROD_GAS_EST_TOTAL_REVISED_3MONTH" hidden="1">"c29749"</definedName>
    <definedName name="IQ_OG_TOTAL_PROD_GAS_EST_TOTAL_REVISED_MONTH" hidden="1">"c29741"</definedName>
    <definedName name="IQ_OG_TOTAL_PROD_GAS_EST_UP_2MONTH" hidden="1">"c29743"</definedName>
    <definedName name="IQ_OG_TOTAL_PROD_GAS_EST_UP_3MONTH" hidden="1">"c29747"</definedName>
    <definedName name="IQ_OG_TOTAL_PROD_GAS_EST_UP_MONTH" hidden="1">"c29739"</definedName>
    <definedName name="IQ_OG_TOTAL_PROD_GAS_GUIDANCE" hidden="1">"c29772"</definedName>
    <definedName name="IQ_OG_TOTAL_PROD_GAS_HIGH_EST" hidden="1">"c29731"</definedName>
    <definedName name="IQ_OG_TOTAL_PROD_GAS_HIGH_GUIDANCE" hidden="1">"c29773"</definedName>
    <definedName name="IQ_OG_TOTAL_PROD_GAS_LOW_EST" hidden="1">"c29732"</definedName>
    <definedName name="IQ_OG_TOTAL_PROD_GAS_LOW_GUIDANCE" hidden="1">"c29774"</definedName>
    <definedName name="IQ_OG_TOTAL_PROD_GAS_MEDIAN_EST" hidden="1">"c29730"</definedName>
    <definedName name="IQ_OG_TOTAL_PROD_GAS_NUM_EST" hidden="1">"c29734"</definedName>
    <definedName name="IQ_OG_TOTAL_PROD_GAS_STDDEV_EST" hidden="1">"c29733"</definedName>
    <definedName name="IQ_OG_TOTAL_PROD_GUIDANCE" hidden="1">"c30140"</definedName>
    <definedName name="IQ_OG_TOTAL_PROD_HIGH_EST" hidden="1">"c30099"</definedName>
    <definedName name="IQ_OG_TOTAL_PROD_HIGH_GUIDANCE" hidden="1">"c30141"</definedName>
    <definedName name="IQ_OG_TOTAL_PROD_LOW_EST" hidden="1">"c30100"</definedName>
    <definedName name="IQ_OG_TOTAL_PROD_LOW_GUIDANCE" hidden="1">"c30142"</definedName>
    <definedName name="IQ_OG_TOTAL_PROD_MEDIAN_EST" hidden="1">"c30098"</definedName>
    <definedName name="IQ_OG_TOTAL_PROD_NGL_ACT_OR_EST" hidden="1">"c29895"</definedName>
    <definedName name="IQ_OG_TOTAL_PROD_NGL_EST" hidden="1">"c29867"</definedName>
    <definedName name="IQ_OG_TOTAL_PROD_NGL_EST_DOWN_2MONTH" hidden="1">"c29882"</definedName>
    <definedName name="IQ_OG_TOTAL_PROD_NGL_EST_DOWN_3MONTH" hidden="1">"c29886"</definedName>
    <definedName name="IQ_OG_TOTAL_PROD_NGL_EST_DOWN_MONTH" hidden="1">"c29878"</definedName>
    <definedName name="IQ_OG_TOTAL_PROD_NGL_EST_NOTE" hidden="1">"c29873"</definedName>
    <definedName name="IQ_OG_TOTAL_PROD_NGL_EST_NUM_ANALYSTS_2MONTH" hidden="1">"c29880"</definedName>
    <definedName name="IQ_OG_TOTAL_PROD_NGL_EST_NUM_ANALYSTS_3MONTH" hidden="1">"c29884"</definedName>
    <definedName name="IQ_OG_TOTAL_PROD_NGL_EST_NUM_ANALYSTS_MONTH" hidden="1">"c29876"</definedName>
    <definedName name="IQ_OG_TOTAL_PROD_NGL_EST_REV_DATE_TIME" hidden="1">"c29875"</definedName>
    <definedName name="IQ_OG_TOTAL_PROD_NGL_EST_REVISIONS" hidden="1">"c29874"</definedName>
    <definedName name="IQ_OG_TOTAL_PROD_NGL_EST_TOTAL_REVISED_2MONTH" hidden="1">"c29883"</definedName>
    <definedName name="IQ_OG_TOTAL_PROD_NGL_EST_TOTAL_REVISED_3MONTH" hidden="1">"c29887"</definedName>
    <definedName name="IQ_OG_TOTAL_PROD_NGL_EST_TOTAL_REVISED_MONTH" hidden="1">"c29879"</definedName>
    <definedName name="IQ_OG_TOTAL_PROD_NGL_EST_UP_2MONTH" hidden="1">"c29881"</definedName>
    <definedName name="IQ_OG_TOTAL_PROD_NGL_EST_UP_3MONTH" hidden="1">"c29885"</definedName>
    <definedName name="IQ_OG_TOTAL_PROD_NGL_EST_UP_MONTH" hidden="1">"c29877"</definedName>
    <definedName name="IQ_OG_TOTAL_PROD_NGL_GUIDANCE" hidden="1">"c29910"</definedName>
    <definedName name="IQ_OG_TOTAL_PROD_NGL_HIGH_EST" hidden="1">"c29869"</definedName>
    <definedName name="IQ_OG_TOTAL_PROD_NGL_HIGH_GUIDANCE" hidden="1">"c29911"</definedName>
    <definedName name="IQ_OG_TOTAL_PROD_NGL_LOW_EST" hidden="1">"c29870"</definedName>
    <definedName name="IQ_OG_TOTAL_PROD_NGL_LOW_GUIDANCE" hidden="1">"c29912"</definedName>
    <definedName name="IQ_OG_TOTAL_PROD_NGL_MEDIAN_EST" hidden="1">"c29868"</definedName>
    <definedName name="IQ_OG_TOTAL_PROD_NGL_NUM_EST" hidden="1">"c29872"</definedName>
    <definedName name="IQ_OG_TOTAL_PROD_NGL_STDDEV_EST" hidden="1">"c29871"</definedName>
    <definedName name="IQ_OG_TOTAL_PROD_NUM_EST" hidden="1">"c30102"</definedName>
    <definedName name="IQ_OG_TOTAL_PROD_OIL_ACT_OR_EST" hidden="1">"c29619"</definedName>
    <definedName name="IQ_OG_TOTAL_PROD_OIL_EST" hidden="1">"c29591"</definedName>
    <definedName name="IQ_OG_TOTAL_PROD_OIL_EST_DOWN_2MONTH" hidden="1">"c29606"</definedName>
    <definedName name="IQ_OG_TOTAL_PROD_OIL_EST_DOWN_3MONTH" hidden="1">"c29610"</definedName>
    <definedName name="IQ_OG_TOTAL_PROD_OIL_EST_DOWN_MONTH" hidden="1">"c29602"</definedName>
    <definedName name="IQ_OG_TOTAL_PROD_OIL_EST_NOTE" hidden="1">"c29597"</definedName>
    <definedName name="IQ_OG_TOTAL_PROD_OIL_EST_NUM_ANALYSTS_2MONTH" hidden="1">"c29604"</definedName>
    <definedName name="IQ_OG_TOTAL_PROD_OIL_EST_NUM_ANALYSTS_3MONTH" hidden="1">"c29608"</definedName>
    <definedName name="IQ_OG_TOTAL_PROD_OIL_EST_NUM_ANALYSTS_MONTH" hidden="1">"c29600"</definedName>
    <definedName name="IQ_OG_TOTAL_PROD_OIL_EST_REV_DATE_TIME" hidden="1">"c29599"</definedName>
    <definedName name="IQ_OG_TOTAL_PROD_OIL_EST_REVISIONS" hidden="1">"c29598"</definedName>
    <definedName name="IQ_OG_TOTAL_PROD_OIL_EST_TOTAL_REVISED_2MONTH" hidden="1">"c29607"</definedName>
    <definedName name="IQ_OG_TOTAL_PROD_OIL_EST_TOTAL_REVISED_3MONTH" hidden="1">"c29611"</definedName>
    <definedName name="IQ_OG_TOTAL_PROD_OIL_EST_TOTAL_REVISED_MONTH" hidden="1">"c29603"</definedName>
    <definedName name="IQ_OG_TOTAL_PROD_OIL_EST_UP_2MONTH" hidden="1">"c29605"</definedName>
    <definedName name="IQ_OG_TOTAL_PROD_OIL_EST_UP_3MONTH" hidden="1">"c29609"</definedName>
    <definedName name="IQ_OG_TOTAL_PROD_OIL_EST_UP_MONTH" hidden="1">"c29601"</definedName>
    <definedName name="IQ_OG_TOTAL_PROD_OIL_GUIDANCE" hidden="1">"c29634"</definedName>
    <definedName name="IQ_OG_TOTAL_PROD_OIL_HIGH_EST" hidden="1">"c29593"</definedName>
    <definedName name="IQ_OG_TOTAL_PROD_OIL_HIGH_GUIDANCE" hidden="1">"c29635"</definedName>
    <definedName name="IQ_OG_TOTAL_PROD_OIL_LOW_EST" hidden="1">"c29594"</definedName>
    <definedName name="IQ_OG_TOTAL_PROD_OIL_LOW_GUIDANCE" hidden="1">"c29636"</definedName>
    <definedName name="IQ_OG_TOTAL_PROD_OIL_MEDIAN_EST" hidden="1">"c29592"</definedName>
    <definedName name="IQ_OG_TOTAL_PROD_OIL_NUM_EST" hidden="1">"c29596"</definedName>
    <definedName name="IQ_OG_TOTAL_PROD_OIL_STDDEV_EST" hidden="1">"c29595"</definedName>
    <definedName name="IQ_OG_TOTAL_PROD_STDDEV_EST" hidden="1">"c30101"</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ED55" hidden="1">1</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"c859"</definedName>
    <definedName name="IQ_OTHER_AMORT_BR" hidden="1">"c5566"</definedName>
    <definedName name="IQ_OTHER_ASSETS">"c860"</definedName>
    <definedName name="IQ_OTHER_ASSETS_BNK">"c861"</definedName>
    <definedName name="IQ_OTHER_ASSETS_BR">"c862"</definedName>
    <definedName name="IQ_OTHER_ASSETS_FDIC" hidden="1">"c6338"</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BORROWED_FUNDS_FDIC" hidden="1">"c6345"</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OMPREHENSIVE_INCOME_FDIC" hidden="1">"c6503"</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SURANCE_FEES_FDIC" hidden="1">"c6672"</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TANGIBLE_FDIC" hidden="1">"c6337"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IABILITIES_FDIC" hidden="1">"c6347"</definedName>
    <definedName name="IQ_OTHER_LOANS">"c945"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FDIC" hidden="1">"c6578"</definedName>
    <definedName name="IQ_OTHER_NON_INT_EXP_TOTAL">"c954"</definedName>
    <definedName name="IQ_OTHER_NON_INT_EXPENSE_FDIC" hidden="1">"c6679"</definedName>
    <definedName name="IQ_OTHER_NON_INT_INC">"c955"</definedName>
    <definedName name="IQ_OTHER_NON_INT_INC_FDIC" hidden="1">"c6676"</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FF_BS_LIAB_FDIC" hidden="1">"c6533"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_OWNED_FDIC" hidden="1">"c6330"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AVINGS_DEPOSITS_FDIC" hidden="1">"c6554"</definedName>
    <definedName name="IQ_OTHER_STRIKE_PRICE_GRANTED">"c2692"</definedName>
    <definedName name="IQ_OTHER_TRANSACTIONS_FDIC" hidden="1">"c6504"</definedName>
    <definedName name="IQ_OTHER_UNDRAWN">"c2522"</definedName>
    <definedName name="IQ_OTHER_UNUSED_COMMITMENTS_FDIC" hidden="1">"c6530"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"c2160"</definedName>
    <definedName name="IQ_PART_TIME">"c1024"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 hidden="1">"c1030"</definedName>
    <definedName name="IQ_PE_EXCL_FWD_REUT" hidden="1">"c4049"</definedName>
    <definedName name="IQ_PE_NORMALIZED">"c2207"</definedName>
    <definedName name="IQ_PE_RATIO">"c1610"</definedName>
    <definedName name="IQ_PEG_FWD_REUT" hidden="1">"c4052"</definedName>
    <definedName name="IQ_PENSION">"c1031"</definedName>
    <definedName name="IQ_PERCENT_CHANGE_EST_FFO_12MONTHS" hidden="1">"c1828"</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WEEK" hidden="1">"c1823"</definedName>
    <definedName name="IQ_PERCENT_CHANGE_EST_FFO_WEEK_REUT" hidden="1">"c3964"</definedName>
    <definedName name="IQ_PERCENT_CHANGE_EST_FFO_WEEK_THOM" hidden="1">"c5274"</definedName>
    <definedName name="IQ_PERCENT_INSURED_FDIC" hidden="1">"c6374"</definedName>
    <definedName name="IQ_PERIODDATE">"c1414"</definedName>
    <definedName name="IQ_PERIODDATE_BS">"c1032"</definedName>
    <definedName name="IQ_PERIODDATE_CF">"c1033"</definedName>
    <definedName name="IQ_PERIODDATE_FDIC" hidden="1">"c13646"</definedName>
    <definedName name="IQ_PERIODDATE_IS">"c1034"</definedName>
    <definedName name="IQ_PERIODLENGTH_CF">"c1502"</definedName>
    <definedName name="IQ_PERIODLENGTH_IS">"c1503"</definedName>
    <definedName name="IQ_PERTYPE">"c1611"</definedName>
    <definedName name="IQ_PICS_CODE" hidden="1">"c30248"</definedName>
    <definedName name="IQ_PLEDGED_SECURITIES_FDIC" hidden="1">"c6401"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_TAX_INCOME_FDIC" hidden="1">"c6581"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FERRED_FDIC" hidden="1">"c6349"</definedName>
    <definedName name="IQ_PREMISES_EQUIPMENT_FDIC" hidden="1">"c6577"</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RETURN_ASSETS_FDIC" hidden="1">"c6731"</definedName>
    <definedName name="IQ_PRICE_OVER_BVPS">"c1412"</definedName>
    <definedName name="IQ_PRICE_OVER_EPS_EST" hidden="1">"IQ_PRICE_OVER_EPS_EST"</definedName>
    <definedName name="IQ_PRICE_OVER_EPS_EST_1" hidden="1">"IQ_PRICE_OVER_EPS_EST_1"</definedName>
    <definedName name="IQ_PRICE_OVER_LTM_EPS">"c1413"</definedName>
    <definedName name="IQ_PRICE_TARGET" hidden="1">"c82"</definedName>
    <definedName name="IQ_PRICE_TARGET_REUT" hidden="1">"c3631"</definedName>
    <definedName name="IQ_PRICEDATE">"c1069"</definedName>
    <definedName name="IQ_PRICEDATETIME" hidden="1">"IQ_PRICEDATETIME"</definedName>
    <definedName name="IQ_PRICING_DATE">"c1613"</definedName>
    <definedName name="IQ_PRIMARY_EPS_TYPE_THOM" hidden="1">"c5297"</definedName>
    <definedName name="IQ_PRIMARY_INDUSTRY">"c1070"</definedName>
    <definedName name="IQ_PRINCIPAL_AMT">"c2157"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"c2483"</definedName>
    <definedName name="IQ_PUT_NOTIFICATION">"c2485"</definedName>
    <definedName name="IQ_PUT_PRICE_SCHEDULE">"c2484"</definedName>
    <definedName name="IQ_QTD" hidden="1">750000</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"c1093"</definedName>
    <definedName name="IQ_REAL_ESTATE_ASSETS">"c1094"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LATED_PLANS_FDIC" hidden="1">"c6320"</definedName>
    <definedName name="IQ_RENTAL_REV">"c1101"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ATEMENTS_NET_FDIC" hidden="1">"c6500"</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STRUCTURED_LOANS_1_4_RESIDENTIAL_FDIC" hidden="1">"c6378"</definedName>
    <definedName name="IQ_RESTRUCTURED_LOANS_FFIEC" hidden="1">"c30324"</definedName>
    <definedName name="IQ_RESTRUCTURED_LOANS_LEASES_FDIC" hidden="1">"c6377"</definedName>
    <definedName name="IQ_RESTRUCTURED_LOANS_NON_1_4_FDIC" hidden="1">"c6379"</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DEPOSITS_FDIC" hidden="1">"c6488"</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AINED_EARNINGS_AVERAGE_EQUITY_FDIC" hidden="1">"c6733"</definedName>
    <definedName name="IQ_RETURN_ASSETS">"c1113"</definedName>
    <definedName name="IQ_RETURN_ASSETS_BANK">"c1114"</definedName>
    <definedName name="IQ_RETURN_ASSETS_BROK">"c1115"</definedName>
    <definedName name="IQ_RETURN_ASSETS_FDIC" hidden="1">"c6730"</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DIC" hidden="1">"c6732"</definedName>
    <definedName name="IQ_RETURN_EQUITY_FS">"c1121"</definedName>
    <definedName name="IQ_RETURN_INVESTMENT">"c1421"</definedName>
    <definedName name="IQ_REV">"c1122"</definedName>
    <definedName name="IQ_REV_BEFORE_LL">"c1123"</definedName>
    <definedName name="IQ_REV_STDDEV_EST" hidden="1">"c1124"</definedName>
    <definedName name="IQ_REV_STDDEV_EST_REUT" hidden="1">"c3639"</definedName>
    <definedName name="IQ_REV_UTI">"c1125"</definedName>
    <definedName name="IQ_REVALUATION_GAINS_FDIC" hidden="1">"c6428"</definedName>
    <definedName name="IQ_REVALUATION_LOSSES_FDIC" hidden="1">"c6429"</definedName>
    <definedName name="IQ_REVENUE">"c1422"</definedName>
    <definedName name="IQ_REVENUE_10K" hidden="1">"IQ_REVENUE_10K"</definedName>
    <definedName name="IQ_REVENUE_10Q" hidden="1">"IQ_REVENUE_10Q"</definedName>
    <definedName name="IQ_REVENUE_10Q1" hidden="1">"IQ_REVENUE_10Q1"</definedName>
    <definedName name="IQ_REVENUE_EST" hidden="1">"c1126"</definedName>
    <definedName name="IQ_REVENUE_EST_1" hidden="1">"IQ_REVENUE_EST_1"</definedName>
    <definedName name="IQ_REVENUE_EST_REUT" hidden="1">"c3634"</definedName>
    <definedName name="IQ_REVENUE_GROWTH_1" hidden="1">"IQ_REVENUE_GROWTH_1"</definedName>
    <definedName name="IQ_REVENUE_GROWTH_2" hidden="1">"IQ_REVENUE_GROWTH_2"</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_REUT" hidden="1">"c3635"</definedName>
    <definedName name="IQ_REVENUE_NUM_EST" hidden="1">"c1129"</definedName>
    <definedName name="IQ_REVENUE_NUM_EST_REUT" hidden="1">"c3638"</definedName>
    <definedName name="IQ_REVISION_DATE_">"11/15/2006 11:59:13 AM"</definedName>
    <definedName name="IQ_RISK_ADJ_BANK_ASSETS">"c2670"</definedName>
    <definedName name="IQ_RISK_WEIGHTED_ASSETS_FDIC" hidden="1">"c6370"</definedName>
    <definedName name="IQ_SALARY">"c1130"</definedName>
    <definedName name="IQ_SALARY_FDIC" hidden="1">"c6576"</definedName>
    <definedName name="IQ_SALE_CONVERSION_RETIREMENT_STOCK_FDIC" hidden="1">"c6661"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_1_4_FAMILY_DOM_LOANS_RSTRC_TERMS_FFIEC" hidden="1">"c30325"</definedName>
    <definedName name="IQ_SECUR_RECEIV">"c1151"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"c2546"</definedName>
    <definedName name="IQ_SECURED_DEBT_PCT">"c2547"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ERVICE_CHARGES_FDIC" hidden="1">"c6572"</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 hidden="1">"c2171"</definedName>
    <definedName name="IQ_SP_DATE" hidden="1">"c2172"</definedName>
    <definedName name="IQ_SP_REASON" hidden="1">"c2174"</definedName>
    <definedName name="IQ_SP_STATUS" hidden="1">"c2173"</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ES_NONTRANSACTION_ACCOUNTS_FDIC" hidden="1">"c6547"</definedName>
    <definedName name="IQ_STATES_TOTAL_DEPOSITS_FDIC" hidden="1">"c6473"</definedName>
    <definedName name="IQ_STATES_TRANSACTION_ACCOUNTS_FDIC" hidden="1">"c6539"</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FDIC" hidden="1">"c6346"</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RPLUS_FDIC" hidden="1">"c6351"</definedName>
    <definedName name="IQ_SVA">"c1214"</definedName>
    <definedName name="IQ_TARGET_PRICE_NUM_REUT" hidden="1">"c5319"</definedName>
    <definedName name="IQ_TARGET_PRICE_STDDEV_REUT" hidden="1">"c5320"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DA">"c1222"</definedName>
    <definedName name="IQ_TEV_EBITDA_AVG">"c1223"</definedName>
    <definedName name="IQ_TEV_EBITDA_FWD" hidden="1">"c1224"</definedName>
    <definedName name="IQ_TEV_EBITDA_FWD_REUT" hidden="1">"c4050"</definedName>
    <definedName name="IQ_TEV_EMPLOYEE_AVG">"c1225"</definedName>
    <definedName name="IQ_TEV_TOTAL_REV">"c1226"</definedName>
    <definedName name="IQ_TEV_TOTAL_REV_AVG">"c1227"</definedName>
    <definedName name="IQ_TEV_TOTAL_REV_FWD" hidden="1">"c1228"</definedName>
    <definedName name="IQ_TEV_TOTAL_REV_FWD_REUT" hidden="1">"c4051"</definedName>
    <definedName name="IQ_TEV_UFCF">"c2208"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"c2667"</definedName>
    <definedName name="IQ_TIER_ONE_FDIC" hidden="1">"c6369"</definedName>
    <definedName name="IQ_TIER_ONE_RATIO">"c1229"</definedName>
    <definedName name="IQ_TIER_TWO_CAPITAL">"c2669"</definedName>
    <definedName name="IQ_TIME_DEP">"c1230"</definedName>
    <definedName name="IQ_TIME_DEPOSITS_LESS_THAN_100K_FDIC" hidden="1">"c6465"</definedName>
    <definedName name="IQ_TIME_DEPOSITS_MORE_THAN_100K_FDIC" hidden="1">"c6470"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SSETS_FDIC" hidden="1">"c6339"</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ARGE_OFFS_FDIC" hidden="1">"c6603"</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BT_SECURITIES_FDIC" hidden="1">"c6410"</definedName>
    <definedName name="IQ_TOTAL_DEPOSITS">"c1265"</definedName>
    <definedName name="IQ_TOTAL_DEPOSITS_FDIC" hidden="1">"c6342"</definedName>
    <definedName name="IQ_TOTAL_DIV_PAID_CF">"c1266"</definedName>
    <definedName name="IQ_TOTAL_EMPLOYEE">"c2141"</definedName>
    <definedName name="IQ_TOTAL_EMPLOYEES">"c1522"</definedName>
    <definedName name="IQ_TOTAL_EMPLOYEES_FDIC" hidden="1">"c6355"</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EQUITY_FDIC" hidden="1">"c6354"</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IABILITIES_FDIC" hidden="1">"c6348"</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 hidden="1">"c1292"</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COVERIES_FDIC" hidden="1">"c6622"</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NK_FDIC" hidden="1">"c6786"</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RISK_BASED_CAPITAL_RATIO_FDIC" hidden="1">"c6747"</definedName>
    <definedName name="IQ_TOTAL_SECURITIES_FDIC" hidden="1">"c6306"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TIME_DEPOSITS_FDIC" hidden="1">"c6497"</definedName>
    <definedName name="IQ_TOTAL_TIME_SAVINGS_DEPOSITS_FDIC" hidden="1">"c6498"</definedName>
    <definedName name="IQ_TOTAL_UNUSED_COMMITMENTS_FDIC" hidden="1">"c6536"</definedName>
    <definedName name="IQ_TOTAL_UNUSUAL">"c1508"</definedName>
    <definedName name="IQ_TOTAL_UNUSUAL_BR" hidden="1">"c5517"</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DA">"c2381"</definedName>
    <definedName name="IQ_TR_ACQ_FILING_CURRENCY">"c3033"</definedName>
    <definedName name="IQ_TR_ACQ_MCAP_1DAY">"c2345"</definedName>
    <definedName name="IQ_TR_ACQ_MIN_INT">"c2374"</definedName>
    <definedName name="IQ_TR_ACQ_NET_DEBT">"c2373"</definedName>
    <definedName name="IQ_TR_ACQ_NI">"c2378"</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DA">"c2334"</definedName>
    <definedName name="IQ_TR_TARGET_FILING_CURRENCY">"c3034"</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CCOUNT_GAINS_FEES_FDIC" hidden="1">"c6573"</definedName>
    <definedName name="IQ_TRADING_ASSETS">"c1310"</definedName>
    <definedName name="IQ_TRADING_ASSETS_FDIC" hidden="1">"c6328"</definedName>
    <definedName name="IQ_TRADING_CURRENCY">"c2212"</definedName>
    <definedName name="IQ_TRADING_LIABILITIES_FDIC" hidden="1">"c6344"</definedName>
    <definedName name="IQ_TRANSACTION_ACCOUNTS_FDIC" hidden="1">"c6544"</definedName>
    <definedName name="IQ_TRANSACTION_QUICK_COMPS" hidden="1">"c30323"</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EASURY_STOCK_TRANSACTIONS_FDIC" hidden="1">"c6501"</definedName>
    <definedName name="IQ_TRUST_INC">"c1319"</definedName>
    <definedName name="IQ_TRUST_PREF">"c1320"</definedName>
    <definedName name="IQ_TRUST_PREFERRED">"c3029"</definedName>
    <definedName name="IQ_TRUST_PREFERRED_PCT">"c3030"</definedName>
    <definedName name="IQ_TWELVE_MONTHS_FIXED_AND_FLOATING_FDIC" hidden="1">"c6420"</definedName>
    <definedName name="IQ_TWELVE_MONTHS_MORTGAGE_PASS_THROUGHS_FDIC" hidden="1">"c6412"</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IVIDED_PROFITS_FDIC" hidden="1">"c6352"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EARNED_INCOME_FDIC" hidden="1">"c6324"</definedName>
    <definedName name="IQ_UNEARNED_INCOME_FOREIGN_FDIC" hidden="1">"c6385"</definedName>
    <definedName name="IQ_UNLEVERED_FCF">"c1908"</definedName>
    <definedName name="IQ_UNPAID_CLAIMS">"c1330"</definedName>
    <definedName name="IQ_UNPROFITABLE_INSTITUTIONS_FDIC" hidden="1">"c6722"</definedName>
    <definedName name="IQ_UNREALIZED_GAIN">"c1619"</definedName>
    <definedName name="IQ_UNSECURED_DEBT">"c2548"</definedName>
    <definedName name="IQ_UNSECURED_DEBT_PCT">"c2549"</definedName>
    <definedName name="IQ_UNUSED_LOAN_COMMITMENTS_FDIC" hidden="1">"c6368"</definedName>
    <definedName name="IQ_UNUSUAL_EXP">"c1456"</definedName>
    <definedName name="IQ_US_BRANCHES_FOREIGN_BANK_LOANS_FDIC" hidden="1">"c6435"</definedName>
    <definedName name="IQ_US_BRANCHES_FOREIGN_BANKS_FDIC" hidden="1">"c6390"</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"c1620"</definedName>
    <definedName name="IQ_UTIL_REV">"c2091"</definedName>
    <definedName name="IQ_UV_PENSION_LIAB">"c1332"</definedName>
    <definedName name="IQ_VALUATION_ALLOWANCES_FDIC" hidden="1">"c6400"</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C_REVENUE_FDIC" hidden="1">"c6667"</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 hidden="1">"c6364"</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EK" hidden="1">50000</definedName>
    <definedName name="IQ_WEIGHTED_AVG_PRICE">"c1334"</definedName>
    <definedName name="IQ_WIP_INV">"c1335"</definedName>
    <definedName name="IQ_WORKMEN_WRITTEN">"c1336"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 hidden="1">130000</definedName>
    <definedName name="IQ_YTW">"c2163"</definedName>
    <definedName name="IQ_YTW_DATE">"c2164"</definedName>
    <definedName name="IQ_YTW_DATE_TYPE">"c2165"</definedName>
    <definedName name="IQ_Z_SCORE">"c1339"</definedName>
    <definedName name="IQB_BOOKMARK_COUNT" hidden="1">2</definedName>
    <definedName name="IQB_BOOKMARK_LOCATION_0" hidden="1">#REF!</definedName>
    <definedName name="IQB_BOOKMARK_LOCATION_1" hidden="1">#REF!</definedName>
    <definedName name="IQRAA46" hidden="1">"$AA$47:$AA$52"</definedName>
    <definedName name="IQRAA7" hidden="1">"$AA$8:$AA$51"</definedName>
    <definedName name="IQRAB46" hidden="1">"$AB$47:$AB$55"</definedName>
    <definedName name="IQRAC7" hidden="1">"$AC$8:$AC$95"</definedName>
    <definedName name="IQRAD7" hidden="1">"$AD$8:$AD$54"</definedName>
    <definedName name="IQRAE7" hidden="1">"$AE$8:$AE$69"</definedName>
    <definedName name="IQRAF7" hidden="1">"$AF$8:$AF$51"</definedName>
    <definedName name="IQRAG7" hidden="1">"$AG$8:$AG$56"</definedName>
    <definedName name="IQRAH7" hidden="1">"$AH$8:$AH$43"</definedName>
    <definedName name="IQRAI7" hidden="1">"$AI$8:$AI$34"</definedName>
    <definedName name="IQRAJ7" hidden="1">"$AJ$8:$AJ$35"</definedName>
    <definedName name="IQRAL7" hidden="1">"$AL$8:$AL$20"</definedName>
    <definedName name="IQRB4" hidden="1">"$C$4:$IQ$4"</definedName>
    <definedName name="IQRB57" hidden="1">"$B$58:$B$63"</definedName>
    <definedName name="IQRC4" hidden="1">"$C$5:$C$8"</definedName>
    <definedName name="IQRC57" hidden="1">"$C$58:$C$61"</definedName>
    <definedName name="IQRD21" hidden="1">"$D$22:$D$23"</definedName>
    <definedName name="IQRD4" hidden="1">"$D$5:$D$13"</definedName>
    <definedName name="IQRD57" hidden="1">"$D$58:$D$66"</definedName>
    <definedName name="IQRE4" hidden="1">"$E$5"</definedName>
    <definedName name="IQRE57" hidden="1">"$E$58"</definedName>
    <definedName name="IQRF4" hidden="1">"$F$5:$F$12"</definedName>
    <definedName name="IQRF57" hidden="1">"$F$58:$F$65"</definedName>
    <definedName name="IQRG4" hidden="1">"$G$5:$G$13"</definedName>
    <definedName name="IQRG46" hidden="1">"$G$47:$G$48"</definedName>
    <definedName name="IQRG57" hidden="1">"$G$58:$G$66"</definedName>
    <definedName name="IQRH4" hidden="1">"$H$5:$H$10"</definedName>
    <definedName name="IQRH57" hidden="1">"$H$58:$H$63"</definedName>
    <definedName name="IQRI4" hidden="1">"$I$5"</definedName>
    <definedName name="IQRI46" hidden="1">"$I$47:$I$52"</definedName>
    <definedName name="IQRI57" hidden="1">"$I$58"</definedName>
    <definedName name="IQRJ4" hidden="1">"$J$5:$J$6"</definedName>
    <definedName name="IQRJ46" hidden="1">"$J$47:$J$52"</definedName>
    <definedName name="IQRJ57" hidden="1">"$J$58:$J$59"</definedName>
    <definedName name="IQRK4" hidden="1">"$K$5:$K$10"</definedName>
    <definedName name="IQRK49" hidden="1">"$K$50:$K$51"</definedName>
    <definedName name="IQRK57" hidden="1">"$K$58:$K$63"</definedName>
    <definedName name="IQRL4" hidden="1">"$L$5:$L$9"</definedName>
    <definedName name="IQRL57" hidden="1">"$L$58:$L$62"</definedName>
    <definedName name="IQRM4" hidden="1">"$M$5:$M$11"</definedName>
    <definedName name="IQRM57" hidden="1">"$M$58:$M$64"</definedName>
    <definedName name="IQRN38" hidden="1">"$N$39:$N$82"</definedName>
    <definedName name="IQRN4" hidden="1">"$N$5:$N$6"</definedName>
    <definedName name="IQRN49" hidden="1">"$N$50:$N$55"</definedName>
    <definedName name="IQRN57" hidden="1">"$N$58:$N$59"</definedName>
    <definedName name="IQRN82" hidden="1">"$N$83:$N$126"</definedName>
    <definedName name="IQRO4" hidden="1">"$O$5:$O$8"</definedName>
    <definedName name="IQRO57" hidden="1">"$O$58:$O$61"</definedName>
    <definedName name="IQRP4" hidden="1">"$P$5:$P$7"</definedName>
    <definedName name="IQRP57" hidden="1">"$P$58:$P$60"</definedName>
    <definedName name="IQRQ4" hidden="1">"$Q$5:$Q$6"</definedName>
    <definedName name="IQRQ57" hidden="1">"$Q$58:$Q$59"</definedName>
    <definedName name="IQRS12" hidden="1">"$S$13:$S$264"</definedName>
    <definedName name="iQShowHideColumns" hidden="1">"iQShowQuarterlyAnnual"</definedName>
    <definedName name="IQTY">#N/A</definedName>
    <definedName name="IRG">BlankMacro1</definedName>
    <definedName name="IROW">#REF!</definedName>
    <definedName name="irr_all">#REF!</definedName>
    <definedName name="IRS">#REF!</definedName>
    <definedName name="IRS_RWD">#REF!</definedName>
    <definedName name="is">#REF!</definedName>
    <definedName name="IsColHidden" hidden="1">FALSE</definedName>
    <definedName name="IsLTMColHidden" hidden="1">FALSE</definedName>
    <definedName name="IT_intrate">#REF!</definedName>
    <definedName name="IT_period">#REF!</definedName>
    <definedName name="ITNUM">#N/A</definedName>
    <definedName name="iuiuiuiu">#N/A</definedName>
    <definedName name="iuiuiuiuiuiu">#N/A</definedName>
    <definedName name="IUUIUIUIU">#N/A</definedName>
    <definedName name="IVORYPG1">#REF!</definedName>
    <definedName name="iw">#REF!</definedName>
    <definedName name="j"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_filler">#REF!</definedName>
    <definedName name="J2기타">#REF!</definedName>
    <definedName name="J5E">BlankMacro1</definedName>
    <definedName name="Jan" localSheetId="2" hidden="1">{"'Euro Conversion rates'!$A$1:$E$21"}</definedName>
    <definedName name="Jan" hidden="1">{"'Euro Conversion rates'!$A$1:$E$21"}</definedName>
    <definedName name="Jan.DM">#REF!</definedName>
    <definedName name="Jan_1" localSheetId="2" hidden="1">{"'Euro Conversion rates'!$A$1:$E$21"}</definedName>
    <definedName name="Jan_1" hidden="1">{"'Euro Conversion rates'!$A$1:$E$21"}</definedName>
    <definedName name="Januar">#REF!</definedName>
    <definedName name="jeklklw" hidden="1">{"'Sheet1'!$A$1:$H$36"}</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ghiuyfvgn"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j">#REF!</definedName>
    <definedName name="jgi">BlankMacro1</definedName>
    <definedName name="jhbjkhkj" localSheetId="2" hidden="1">{#N/A,#N/A,TRUE,"Summary";#N/A,#N/A,TRUE,"IS";#N/A,#N/A,TRUE,"Adj";#N/A,#N/A,TRUE,"BS";#N/A,#N/A,TRUE,"CF";#N/A,#N/A,TRUE,"Debt";#N/A,#N/A,TRUE,"IRR"}</definedName>
    <definedName name="jhbjkhkj" hidden="1">{#N/A,#N/A,TRUE,"Summary";#N/A,#N/A,TRUE,"IS";#N/A,#N/A,TRUE,"Adj";#N/A,#N/A,TRUE,"BS";#N/A,#N/A,TRUE,"CF";#N/A,#N/A,TRUE,"Debt";#N/A,#N/A,TRUE,"IRR"}</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hhh" localSheetId="2" hidden="1">{#N/A,#N/A,FALSE,"CCTV"}</definedName>
    <definedName name="jhhhh" hidden="1">{#N/A,#N/A,FALSE,"CCTV"}</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hjhjhjjhjh">#N/A</definedName>
    <definedName name="jimm" hidden="1">{"'Directory'!$A$72:$E$91"}</definedName>
    <definedName name="jj"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j"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jj" hidden="1">#REF!</definedName>
    <definedName name="JJJJ" hidden="1">#N/A</definedName>
    <definedName name="JK" localSheetId="2" hidden="1">{#N/A,#N/A,TRUE,"Y생산";#N/A,#N/A,TRUE,"Y판매";#N/A,#N/A,TRUE,"Y총물량";#N/A,#N/A,TRUE,"Y능력";#N/A,#N/A,TRUE,"YKD"}</definedName>
    <definedName name="JK" hidden="1">{#N/A,#N/A,TRUE,"Y생산";#N/A,#N/A,TRUE,"Y판매";#N/A,#N/A,TRUE,"Y총물량";#N/A,#N/A,TRUE,"Y능력";#N/A,#N/A,TRUE,"YKD"}</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lejke" hidden="1">{"'Sheet1'!$A$1:$H$36"}</definedName>
    <definedName name="jkljlkjl" localSheetId="2" hidden="1">{#N/A,#N/A,FALSE,"UNIT";#N/A,#N/A,FALSE,"UNIT";#N/A,#N/A,FALSE,"계정"}</definedName>
    <definedName name="jkljlkjl" hidden="1">{#N/A,#N/A,FALSE,"UNIT";#N/A,#N/A,FALSE,"UNIT";#N/A,#N/A,FALSE,"계정"}</definedName>
    <definedName name="JL" hidden="1">{#N/A,#N/A,FALSE,"단축1";#N/A,#N/A,FALSE,"단축2";#N/A,#N/A,FALSE,"단축3";#N/A,#N/A,FALSE,"장축";#N/A,#N/A,FALSE,"4WD"}</definedName>
    <definedName name="job_run">#REF!</definedName>
    <definedName name="JOBNUM">#REF!</definedName>
    <definedName name="JOKM" hidden="1">{#N/A,#N/A,FALSE,"단축1";#N/A,#N/A,FALSE,"단축2";#N/A,#N/A,FALSE,"단축3";#N/A,#N/A,FALSE,"장축";#N/A,#N/A,FALSE,"4WD"}</definedName>
    <definedName name="JPY">#REF!</definedName>
    <definedName name="Juli">#REF!</definedName>
    <definedName name="Juli.DM">#REF!</definedName>
    <definedName name="Juni">#REF!</definedName>
    <definedName name="Juni.DM">#REF!</definedName>
    <definedName name="JUST">#REF!</definedName>
    <definedName name="JUU" hidden="1">#N/A</definedName>
    <definedName name="JV">#REF!</definedName>
    <definedName name="jwd">#N/A</definedName>
    <definedName name="JWG" hidden="1">{#N/A,#N/A,FALSE,"단축1";#N/A,#N/A,FALSE,"단축2";#N/A,#N/A,FALSE,"단축3";#N/A,#N/A,FALSE,"장축";#N/A,#N/A,FALSE,"4WD"}</definedName>
    <definedName name="JY" localSheetId="2" hidden="1">{#N/A,#N/A,FALSE,"포장2"}</definedName>
    <definedName name="JY" hidden="1">{#N/A,#N/A,FALSE,"포장2"}</definedName>
    <definedName name="JYE" localSheetId="2" hidden="1">{#N/A,#N/A,FALSE,"부대1"}</definedName>
    <definedName name="JYE" hidden="1">{#N/A,#N/A,FALSE,"부대1"}</definedName>
    <definedName name="k" hidden="1">#REF!</definedName>
    <definedName name="k0">#REF!</definedName>
    <definedName name="K2_WBEVMODE" hidden="1">-1</definedName>
    <definedName name="ka" hidden="1">{#N/A,#N/A,FALSE,"단축1";#N/A,#N/A,FALSE,"단축2";#N/A,#N/A,FALSE,"단축3";#N/A,#N/A,FALSE,"장축";#N/A,#N/A,FALSE,"4WD"}</definedName>
    <definedName name="KC" localSheetId="2" hidden="1">{#N/A,#N/A,FALSE,"을지 (4)";#N/A,#N/A,FALSE,"을지 (5)";#N/A,#N/A,FALSE,"을지 (6)"}</definedName>
    <definedName name="KC" hidden="1">{#N/A,#N/A,FALSE,"을지 (4)";#N/A,#N/A,FALSE,"을지 (5)";#N/A,#N/A,FALSE,"을지 (6)"}</definedName>
    <definedName name="kcja">BlankMacro1</definedName>
    <definedName name="KDJ">BlankMacro1</definedName>
    <definedName name="KDJHSKDSKH">BLCH</definedName>
    <definedName name="keiso_data">#REF!</definedName>
    <definedName name="KEPNET">#REF!</definedName>
    <definedName name="ket" hidden="1">#REF!</definedName>
    <definedName name="Kevi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Y" hidden="1">#REF!</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g" hidden="1">#REF!</definedName>
    <definedName name="kghlgh" localSheetId="2" hidden="1">{#N/A,#N/A,FALSE,"CCTV"}</definedName>
    <definedName name="kghlgh" hidden="1">{#N/A,#N/A,FALSE,"CCTV"}</definedName>
    <definedName name="kh">#REF!</definedName>
    <definedName name="KHALID" hidden="1">{#N/A,#N/A,FALSE,"Che-Ga";#N/A,#N/A,FALSE,"Iv-Sm";#N/A,#N/A,FALSE,"So-We";#N/A,#N/A,FALSE,"Me-Po";#N/A,#N/A,FALSE,"Be-Bo";#N/A,#N/A,FALSE,"Cha-Ki";#N/A,#N/A,FALSE,"In";#N/A,#N/A,FALSE,"Schedule 23";#N/A,#N/A,FALSE,"Schedule 22";#N/A,#N/A,FALSE,"WACC"}</definedName>
    <definedName name="khhjguyftdy">#N/A</definedName>
    <definedName name="KHJKH" hidden="1">#REF!</definedName>
    <definedName name="kHKG">#REF!</definedName>
    <definedName name="khsdd" localSheetId="2">BlankMacro1</definedName>
    <definedName name="khsdd" localSheetId="0">BlankMacro1</definedName>
    <definedName name="khsdd">BlankMacro1</definedName>
    <definedName name="KI">#REF!</definedName>
    <definedName name="KIA" hidden="1">{#N/A,#N/A,FALSE,"단축1";#N/A,#N/A,FALSE,"단축2";#N/A,#N/A,FALSE,"단축3";#N/A,#N/A,FALSE,"장축";#N/A,#N/A,FALSE,"4WD"}</definedName>
    <definedName name="KICKOFF"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ECO" hidden="1">#REF!</definedName>
    <definedName name="kiki_data">#REF!</definedName>
    <definedName name="KIM" hidden="1">{#N/A,#N/A,FALSE,"단축1";#N/A,#N/A,FALSE,"단축2";#N/A,#N/A,FALSE,"단축3";#N/A,#N/A,FALSE,"장축";#N/A,#N/A,FALSE,"4WD"}</definedName>
    <definedName name="KIT">#N/A</definedName>
    <definedName name="kiulil" localSheetId="2" hidden="1">{#N/A,#N/A,FALSE,"CCTV"}</definedName>
    <definedName name="kiulil" hidden="1">{#N/A,#N/A,FALSE,"CCTV"}</definedName>
    <definedName name="kj" hidden="1">#REF!</definedName>
    <definedName name="kjh">#N/A</definedName>
    <definedName name="kjhlh" localSheetId="2" hidden="1">{#N/A,#N/A,FALSE,"CCTV"}</definedName>
    <definedName name="kjhlh" hidden="1">{#N/A,#N/A,FALSE,"CCTV"}</definedName>
    <definedName name="kjhljhk" localSheetId="2" hidden="1">{#N/A,#N/A,FALSE,"CCTV"}</definedName>
    <definedName name="kjhljhk" hidden="1">{#N/A,#N/A,FALSE,"CCTV"}</definedName>
    <definedName name="KJNK">BLCH</definedName>
    <definedName name="kk"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k" localSheetId="2" hidden="1">{#N/A,#N/A,FALSE,"BS";#N/A,#N/A,FALSE,"PL";#N/A,#N/A,FALSE,"처분";#N/A,#N/A,FALSE,"현금";#N/A,#N/A,FALSE,"매출";#N/A,#N/A,FALSE,"원가";#N/A,#N/A,FALSE,"경영"}</definedName>
    <definedName name="kkk" hidden="1">{#N/A,#N/A,FALSE,"BS";#N/A,#N/A,FALSE,"PL";#N/A,#N/A,FALSE,"처분";#N/A,#N/A,FALSE,"현금";#N/A,#N/A,FALSE,"매출";#N/A,#N/A,FALSE,"원가";#N/A,#N/A,FALSE,"경영"}</definedName>
    <definedName name="kkkk" localSheetId="2" hidden="1">{#N/A,#N/A,FALSE,"BS";#N/A,#N/A,FALSE,"PL";#N/A,#N/A,FALSE,"처분";#N/A,#N/A,FALSE,"현금";#N/A,#N/A,FALSE,"매출";#N/A,#N/A,FALSE,"원가";#N/A,#N/A,FALSE,"경영"}</definedName>
    <definedName name="kkkk" hidden="1">{#N/A,#N/A,FALSE,"BS";#N/A,#N/A,FALSE,"PL";#N/A,#N/A,FALSE,"처분";#N/A,#N/A,FALSE,"현금";#N/A,#N/A,FALSE,"매출";#N/A,#N/A,FALSE,"원가";#N/A,#N/A,FALSE,"경영"}</definedName>
    <definedName name="kkkkkkk"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kkkkkkkkkkkkkkkkkkk">#N/A</definedName>
    <definedName name="kkks">#N/A</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l" hidden="1">#REF!</definedName>
    <definedName name="KN" localSheetId="2" hidden="1">{#N/A,#N/A,FALSE,"을지 (4)";#N/A,#N/A,FALSE,"을지 (5)";#N/A,#N/A,FALSE,"을지 (6)"}</definedName>
    <definedName name="KN" hidden="1">{#N/A,#N/A,FALSE,"을지 (4)";#N/A,#N/A,FALSE,"을지 (5)";#N/A,#N/A,FALSE,"을지 (6)"}</definedName>
    <definedName name="KO">#REF!</definedName>
    <definedName name="KOI" hidden="1">{#N/A,#N/A,TRUE,"경전'96(1)";#N/A,#N/A,TRUE,"경전'96 (2)"}</definedName>
    <definedName name="kop">#REF!</definedName>
    <definedName name="Kor_cgm_2004P">#REF!</definedName>
    <definedName name="Kor_cgm_2005P">#REF!</definedName>
    <definedName name="Kor_cgm_2006P">#REF!</definedName>
    <definedName name="Kor_cgm_2007P">#REF!</definedName>
    <definedName name="Kor_ICM_2001a">#REF!</definedName>
    <definedName name="Kor_ICM_2002f">#REF!</definedName>
    <definedName name="Kor_ICM_2002p">#REF!</definedName>
    <definedName name="Kor_ICM_2003p">#REF!</definedName>
    <definedName name="Kor_ICM_2004p">#REF!</definedName>
    <definedName name="Kor_ICM_2005p">#REF!</definedName>
    <definedName name="Kor_ICM_2006p">#REF!</definedName>
    <definedName name="Kor_ICM_2007p">#REF!</definedName>
    <definedName name="Kor_sales_2001a">#REF!</definedName>
    <definedName name="Kor_sales_2002f">#REF!</definedName>
    <definedName name="Kor_sales_2002p">#REF!</definedName>
    <definedName name="Kor_sales_2003p">#REF!</definedName>
    <definedName name="Kor_sales_2004p">#REF!</definedName>
    <definedName name="Kor_sales_2005p">#REF!</definedName>
    <definedName name="Kor_sales_2006p">#REF!</definedName>
    <definedName name="Kor_sales_2007p">#REF!</definedName>
    <definedName name="Kor_scogs_2001a">#REF!</definedName>
    <definedName name="Kor_scogs_2002f">#REF!</definedName>
    <definedName name="Kor_scogs_2002p">#REF!</definedName>
    <definedName name="Kor_scogs_2003p">#REF!</definedName>
    <definedName name="Kor_scogs_2004p">#REF!</definedName>
    <definedName name="Kor_scogs_2005p">#REF!</definedName>
    <definedName name="Kor_scogs_2006p">#REF!</definedName>
    <definedName name="Kor_scogs_2007p">#REF!</definedName>
    <definedName name="Kore_Anp_2001A">#REF!</definedName>
    <definedName name="Kore_Anp_2002F">#REF!</definedName>
    <definedName name="Kore_Anp_2002P">#REF!</definedName>
    <definedName name="Kore_Anp_2003P">#REF!</definedName>
    <definedName name="Kore_Anp_2004P">#REF!</definedName>
    <definedName name="Kore_Anp_2005P">#REF!</definedName>
    <definedName name="Kore_Anp_2006P">#REF!</definedName>
    <definedName name="Kore_Anp_2007P">#REF!</definedName>
    <definedName name="Kore_icmS_2001A">#REF!</definedName>
    <definedName name="Kore_icmS_2002F">#REF!</definedName>
    <definedName name="Kore_icmS_2002P">#REF!</definedName>
    <definedName name="Kore_icmS_2003P">#REF!</definedName>
    <definedName name="Kore_icmS_2004P">#REF!</definedName>
    <definedName name="Kore_icmS_2005P">#REF!</definedName>
    <definedName name="Kore_icmS_2006P">#REF!</definedName>
    <definedName name="Kore_icmS_2007P">#REF!</definedName>
    <definedName name="Kore_MED_2001A">#REF!</definedName>
    <definedName name="Kore_MED_2002F">#REF!</definedName>
    <definedName name="Kore_MED_2002P">#REF!</definedName>
    <definedName name="Kore_MED_2003P">#REF!</definedName>
    <definedName name="Kore_MED_2004P">#REF!</definedName>
    <definedName name="Kore_MED_2005P">#REF!</definedName>
    <definedName name="Kore_MED_2006P">#REF!</definedName>
    <definedName name="Kore_MED_2007P">#REF!</definedName>
    <definedName name="Kore_MKT_2001A">#REF!</definedName>
    <definedName name="Kore_MKT_2002F">#REF!</definedName>
    <definedName name="Kore_MKT_2002P">#REF!</definedName>
    <definedName name="Kore_MKT_2003P">#REF!</definedName>
    <definedName name="Kore_MKT_2004P">#REF!</definedName>
    <definedName name="Kore_MKT_2005P">#REF!</definedName>
    <definedName name="Kore_MKT_2006P">#REF!</definedName>
    <definedName name="Kore_MKT_2007P">#REF!</definedName>
    <definedName name="Kore_SAM_2001A">#REF!</definedName>
    <definedName name="Kore_SAM_2002F">#REF!</definedName>
    <definedName name="Kore_SAM_2002P">#REF!</definedName>
    <definedName name="Kore_SAM_2003P">#REF!</definedName>
    <definedName name="Kore_SAM_2004P">#REF!</definedName>
    <definedName name="Kore_SAM_2005P">#REF!</definedName>
    <definedName name="Kore_SAM_2006P">#REF!</definedName>
    <definedName name="Kore_SAM_2007P">#REF!</definedName>
    <definedName name="Kore_SF_2001A">#REF!</definedName>
    <definedName name="Kore_SF_2002F">#REF!</definedName>
    <definedName name="Kore_SF_2002P">#REF!</definedName>
    <definedName name="Kore_SF_2003P">#REF!</definedName>
    <definedName name="Kore_SF_2004P">#REF!</definedName>
    <definedName name="Kore_SF_2005P">#REF!</definedName>
    <definedName name="Kore_SF_2006P">#REF!</definedName>
    <definedName name="Kore_SF_2007P">#REF!</definedName>
    <definedName name="Kore_TOT_2001A">#REF!</definedName>
    <definedName name="Kore_TOT_2002F">#REF!</definedName>
    <definedName name="Kore_TOT_2002P">#REF!</definedName>
    <definedName name="Kore_TOT_2003P">#REF!</definedName>
    <definedName name="Kore_TOT_2004P">#REF!</definedName>
    <definedName name="Kore_TOT_2005P">#REF!</definedName>
    <definedName name="Kore_TOT_2006P">#REF!</definedName>
    <definedName name="Kore_TOT_2007P">#REF!</definedName>
    <definedName name="KR">BlankMacro1</definedName>
    <definedName name="krw">#REF!</definedName>
    <definedName name="ks_awg">#REF!</definedName>
    <definedName name="KSJHGFD" hidden="1">{#N/A,#N/A,FALSE,"단축1";#N/A,#N/A,FALSE,"단축2";#N/A,#N/A,FALSE,"단축3";#N/A,#N/A,FALSE,"장축";#N/A,#N/A,FALSE,"4WD"}</definedName>
    <definedName name="KTB">#REF!</definedName>
    <definedName name="KTB_YTM">#REF!</definedName>
    <definedName name="ktft" hidden="1">3</definedName>
    <definedName name="KTY" hidden="1">{#N/A,#N/A,FALSE,"단축1";#N/A,#N/A,FALSE,"단축2";#N/A,#N/A,FALSE,"단축3";#N/A,#N/A,FALSE,"장축";#N/A,#N/A,FALSE,"4WD"}</definedName>
    <definedName name="KU" hidden="1">{#N/A,#N/A,TRUE,"Y생산";#N/A,#N/A,TRUE,"Y판매";#N/A,#N/A,TRUE,"Y총물량";#N/A,#N/A,TRUE,"Y능력";#N/A,#N/A,TRUE,"YKD"}</definedName>
    <definedName name="kurskol">#REF!</definedName>
    <definedName name="Kx">#REF!</definedName>
    <definedName name="kㅛ" localSheetId="2" hidden="1">{"'Jibu9811 (3)'!$B$1:$J$433"}</definedName>
    <definedName name="kㅛ" hidden="1">{"'Jibu9811 (3)'!$B$1:$J$433"}</definedName>
    <definedName name="l" hidden="1">#REF!</definedName>
    <definedName name="L1A1P">#REF!</definedName>
    <definedName name="l1a1t">#REF!</definedName>
    <definedName name="l1a2p">#REF!</definedName>
    <definedName name="l1a2t">#REF!</definedName>
    <definedName name="L1AS">#REF!</definedName>
    <definedName name="L2A1P">#REF!</definedName>
    <definedName name="l2a1t">#REF!</definedName>
    <definedName name="l2a2p">#REF!</definedName>
    <definedName name="l2a2t">#REF!</definedName>
    <definedName name="L3A1P">#REF!</definedName>
    <definedName name="l3a1t">#REF!</definedName>
    <definedName name="l3a2p">#REF!</definedName>
    <definedName name="l3a2t">#REF!</definedName>
    <definedName name="L4A1P">#REF!</definedName>
    <definedName name="l4a1t">#REF!</definedName>
    <definedName name="l4a2p">#REF!</definedName>
    <definedName name="l4a2t">#REF!</definedName>
    <definedName name="L5A1P">#REF!</definedName>
    <definedName name="l5a1t">#REF!</definedName>
    <definedName name="l5a2p">#REF!</definedName>
    <definedName name="l5a2t">#REF!</definedName>
    <definedName name="L6A1P">#REF!</definedName>
    <definedName name="l6a1t">#REF!</definedName>
    <definedName name="l6a2p">#REF!</definedName>
    <definedName name="l6a2t">#REF!</definedName>
    <definedName name="LA1P">#REF!</definedName>
    <definedName name="la1t">#REF!</definedName>
    <definedName name="la2p">#REF!</definedName>
    <definedName name="la2t">#REF!</definedName>
    <definedName name="labor">#REF!</definedName>
    <definedName name="Labor_Rate">#REF!</definedName>
    <definedName name="Language">#REF!</definedName>
    <definedName name="Langue">#REF!</definedName>
    <definedName name="lantus">#REF!</definedName>
    <definedName name="LAST">#REF!</definedName>
    <definedName name="Lb">#REF!</definedName>
    <definedName name="LBE">#REF!</definedName>
    <definedName name="LBLOCK">#REF!</definedName>
    <definedName name="lbv">#REF!</definedName>
    <definedName name="LCFL예산" hidden="1">{#N/A,#N/A,FALSE,"단축1";#N/A,#N/A,FALSE,"단축2";#N/A,#N/A,FALSE,"단축3";#N/A,#N/A,FALSE,"장축";#N/A,#N/A,FALSE,"4WD"}</definedName>
    <definedName name="LCOLM">#REF!</definedName>
    <definedName name="LCOUNT">#REF!</definedName>
    <definedName name="lean">#REF!</definedName>
    <definedName name="LEASEIN">#REF!</definedName>
    <definedName name="leaseintrate">#REF!</definedName>
    <definedName name="LEASEOUT">#REF!</definedName>
    <definedName name="LEE">#REF!</definedName>
    <definedName name="LEFT">#REF!</definedName>
    <definedName name="LEFT1">#REF!</definedName>
    <definedName name="LENG">#REF!</definedName>
    <definedName name="LESGcode">#REF!</definedName>
    <definedName name="Lev2_명">#REF!</definedName>
    <definedName name="level">#REF!</definedName>
    <definedName name="Lf">#REF!</definedName>
    <definedName name="Lff">#REF!</definedName>
    <definedName name="li" hidden="1">{"'용역비'!$A$4:$C$8"}</definedName>
    <definedName name="li_qu">#REF!</definedName>
    <definedName name="Libo">#REF!</definedName>
    <definedName name="LICENSED">#REF!</definedName>
    <definedName name="licensing_type_dropdown">#REF!</definedName>
    <definedName name="light">"Picture 1"</definedName>
    <definedName name="Ligne">#REF!</definedName>
    <definedName name="limcount" hidden="1">1</definedName>
    <definedName name="LINE검토2" localSheetId="2" hidden="1">{#N/A,#N/A,TRUE,"Y생산";#N/A,#N/A,TRUE,"Y판매";#N/A,#N/A,TRUE,"Y총물량";#N/A,#N/A,TRUE,"Y능력";#N/A,#N/A,TRUE,"YKD"}</definedName>
    <definedName name="LINE검토2" hidden="1">{#N/A,#N/A,TRUE,"Y생산";#N/A,#N/A,TRUE,"Y판매";#N/A,#N/A,TRUE,"Y총물량";#N/A,#N/A,TRUE,"Y능력";#N/A,#N/A,TRUE,"YKD"}</definedName>
    <definedName name="LINE검토3" hidden="1">{#N/A,#N/A,TRUE,"Y생산";#N/A,#N/A,TRUE,"Y판매";#N/A,#N/A,TRUE,"Y총물량";#N/A,#N/A,TRUE,"Y능력";#N/A,#N/A,TRUE,"YKD"}</definedName>
    <definedName name="List">#REF!</definedName>
    <definedName name="ListOffset" hidden="1">9</definedName>
    <definedName name="live">#REF!</definedName>
    <definedName name="LKHGFDF" hidden="1">{#N/A,#N/A,TRUE,"Y생산";#N/A,#N/A,TRUE,"Y판매";#N/A,#N/A,TRUE,"Y총물량";#N/A,#N/A,TRUE,"Y능력";#N/A,#N/A,TRUE,"YKD"}</definedName>
    <definedName name="lkiolki9olkiol">#N/A</definedName>
    <definedName name="LKJ" localSheetId="2" hidden="1">{#N/A,#N/A,FALSE,"을지 (4)";#N/A,#N/A,FALSE,"을지 (5)";#N/A,#N/A,FALSE,"을지 (6)"}</definedName>
    <definedName name="LKJ" hidden="1">{#N/A,#N/A,FALSE,"을지 (4)";#N/A,#N/A,FALSE,"을지 (5)";#N/A,#N/A,FALSE,"을지 (6)"}</definedName>
    <definedName name="lkjgh">#N/A</definedName>
    <definedName name="lkjhgfbnm">#N/A</definedName>
    <definedName name="lkjhghfd">#N/A</definedName>
    <definedName name="lkjhghyufy">#N/A</definedName>
    <definedName name="lkjkj">#N/A</definedName>
    <definedName name="lkk"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LKKK">#N/A</definedName>
    <definedName name="lkkllkkllkkl">#N/A</definedName>
    <definedName name="lklhlkjl" localSheetId="2" hidden="1">{#N/A,#N/A,FALSE,"CCTV"}</definedName>
    <definedName name="lklhlkjl" hidden="1">{#N/A,#N/A,FALSE,"CCTV"}</definedName>
    <definedName name="lklklklk">#N/A</definedName>
    <definedName name="lkll" hidden="1">{"'2 혼례가구(1)'!$C$10"}</definedName>
    <definedName name="LL"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l" hidden="1">{"'Set-Out'!$A$1:$H$30"}</definedName>
    <definedName name="lllllll">#N/A</definedName>
    <definedName name="LM">#REF!</definedName>
    <definedName name="lnk_CoName" hidden="1">#REF!</definedName>
    <definedName name="lnk_countryID" hidden="1">#REF!</definedName>
    <definedName name="lnk_cpyID" hidden="1">#REF!</definedName>
    <definedName name="lnk_display_Currency"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Result"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Result" hidden="1">#REF!</definedName>
    <definedName name="lnk_ScenarioName" hidden="1">#REF!</definedName>
    <definedName name="lnk_TICK" hidden="1">#REF!</definedName>
    <definedName name="lnk_update" hidden="1">#REF!</definedName>
    <definedName name="lnk_version" hidden="1">#REF!</definedName>
    <definedName name="lnl">#REF!</definedName>
    <definedName name="lns">#REF!</definedName>
    <definedName name="LO">#REF!</definedName>
    <definedName name="Load">#REF!</definedName>
    <definedName name="LoanAC">INDIRECT("Data!$B$2:$B$"&amp;COUNTA(#REF!))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okup_table">#REF!</definedName>
    <definedName name="lookup_table1">#REF!</definedName>
    <definedName name="lookup_table2">#REF!</definedName>
    <definedName name="lookup_table2_h">#REF!</definedName>
    <definedName name="LOT_No">#REF!</definedName>
    <definedName name="LOTNO">#REF!</definedName>
    <definedName name="lower">#REF!</definedName>
    <definedName name="Lp">#REF!</definedName>
    <definedName name="LPRIC">#N/A</definedName>
    <definedName name="LPS">#REF!</definedName>
    <definedName name="LPS가동계획">#REF!</definedName>
    <definedName name="LP능력검토" hidden="1">{#N/A,#N/A,FALSE,"단축1";#N/A,#N/A,FALSE,"단축2";#N/A,#N/A,FALSE,"단축3";#N/A,#N/A,FALSE,"장축";#N/A,#N/A,FALSE,"4WD"}</definedName>
    <definedName name="LP투자비" hidden="1">{#N/A,#N/A,FALSE,"단축1";#N/A,#N/A,FALSE,"단축2";#N/A,#N/A,FALSE,"단축3";#N/A,#N/A,FALSE,"장축";#N/A,#N/A,FALSE,"4WD"}</definedName>
    <definedName name="LT">#REF!</definedName>
    <definedName name="lww" localSheetId="2" hidden="1">{#N/A,#N/A,FALSE,"BS";#N/A,#N/A,FALSE,"PL";#N/A,#N/A,FALSE,"A";#N/A,#N/A,FALSE,"B";#N/A,#N/A,FALSE,"B1";#N/A,#N/A,FALSE,"C";#N/A,#N/A,FALSE,"C1";#N/A,#N/A,FALSE,"C2";#N/A,#N/A,FALSE,"D";#N/A,#N/A,FALSE,"E";#N/A,#N/A,FALSE,"F";#N/A,#N/A,FALSE,"AA";#N/A,#N/A,FALSE,"BB";#N/A,#N/A,FALSE,"CC";#N/A,#N/A,FALSE,"DD";#N/A,#N/A,FALSE,"EE";#N/A,#N/A,FALSE,"FF";#N/A,#N/A,FALSE,"PL10";#N/A,#N/A,FALSE,"PL20";#N/A,#N/A,FALSE,"PL30"}</definedName>
    <definedName name="lww" hidden="1">{#N/A,#N/A,FALSE,"BS";#N/A,#N/A,FALSE,"PL";#N/A,#N/A,FALSE,"A";#N/A,#N/A,FALSE,"B";#N/A,#N/A,FALSE,"B1";#N/A,#N/A,FALSE,"C";#N/A,#N/A,FALSE,"C1";#N/A,#N/A,FALSE,"C2";#N/A,#N/A,FALSE,"D";#N/A,#N/A,FALSE,"E";#N/A,#N/A,FALSE,"F";#N/A,#N/A,FALSE,"AA";#N/A,#N/A,FALSE,"BB";#N/A,#N/A,FALSE,"CC";#N/A,#N/A,FALSE,"DD";#N/A,#N/A,FALSE,"EE";#N/A,#N/A,FALSE,"FF";#N/A,#N/A,FALSE,"PL10";#N/A,#N/A,FALSE,"PL20";#N/A,#N/A,FALSE,"PL30"}</definedName>
    <definedName name="lx">#REF!</definedName>
    <definedName name="LY" hidden="1">#REF!</definedName>
    <definedName name="Lz">#REF!</definedName>
    <definedName name="M">#N/A</definedName>
    <definedName name="M.AB">#N/A</definedName>
    <definedName name="M.복귀">#REF!</definedName>
    <definedName name="m_anchor">#REF!</definedName>
    <definedName name="m_BalCheck1">#REF!</definedName>
    <definedName name="m_BalCheck2">#REF!</definedName>
    <definedName name="m_BalCheck3">#REF!</definedName>
    <definedName name="m_CaseArea">#REF!</definedName>
    <definedName name="m_CaseData">#REF!</definedName>
    <definedName name="m_CaseHeader">#REF!</definedName>
    <definedName name="m_CaseNames">#REF!</definedName>
    <definedName name="m_ColumnPrint1">#REF!</definedName>
    <definedName name="m_ColumnPrint2">#REF!</definedName>
    <definedName name="m_ColumnPrint3">#REF!</definedName>
    <definedName name="m_Data">OFFSET(#REF!,0,0,COUNTA(#REF!),7)</definedName>
    <definedName name="m_DataTable1">#REF!</definedName>
    <definedName name="m_DataTable2">#REF!</definedName>
    <definedName name="m_DataTable3">#REF!</definedName>
    <definedName name="m_Decimal_Dollar">#REF!</definedName>
    <definedName name="m_Decimal_Multiple">#REF!</definedName>
    <definedName name="m_Decimal_Pct">#REF!</definedName>
    <definedName name="m_Decimal_Share">#REF!</definedName>
    <definedName name="M_Drama" hidden="1">#REF!</definedName>
    <definedName name="M_F123.CashFlow_Button1_Click">#REF!</definedName>
    <definedName name="m_Fixed">#REF!</definedName>
    <definedName name="m_Instruction">#REF!</definedName>
    <definedName name="M_PlaceofPath" hidden="1">"G:\SECTORS\Household\HOUSEHOL\WILKE\GILLETTE\GENERAL\G_VDF.xls"</definedName>
    <definedName name="m_RowPrint1">#REF!</definedName>
    <definedName name="m_RowPrint2">#REF!</definedName>
    <definedName name="m_RowPrint3">#REF!</definedName>
    <definedName name="m_RowPrint4">#REF!</definedName>
    <definedName name="m_Table3Ref">#REF!</definedName>
    <definedName name="m_Template">#REF!</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1A1P">#REF!</definedName>
    <definedName name="m1a1t">#REF!</definedName>
    <definedName name="m1a2p">#REF!</definedName>
    <definedName name="m1a2t">#REF!</definedName>
    <definedName name="M2A1P">#REF!</definedName>
    <definedName name="m2a1t">#REF!</definedName>
    <definedName name="m2a2p">#REF!</definedName>
    <definedName name="m2a2t">#REF!</definedName>
    <definedName name="M3A1P">#REF!</definedName>
    <definedName name="m3a1t">#REF!</definedName>
    <definedName name="m3a2p">#REF!</definedName>
    <definedName name="m3a2t">#REF!</definedName>
    <definedName name="M4A1P">#REF!</definedName>
    <definedName name="m4a1t">#REF!</definedName>
    <definedName name="m4a2p">#REF!</definedName>
    <definedName name="m4a2t">#REF!</definedName>
    <definedName name="MAA">#REF!</definedName>
    <definedName name="maapplmaint">#REF!</definedName>
    <definedName name="Machinery" localSheetId="2">BlankMacro1</definedName>
    <definedName name="Machinery" localSheetId="0">BlankMacro1</definedName>
    <definedName name="Machinery">BlankMacro1</definedName>
    <definedName name="Macro1">#N/A</definedName>
    <definedName name="Macro2">#N/A</definedName>
    <definedName name="Macro28">#N/A</definedName>
    <definedName name="Macro29">#N/A</definedName>
    <definedName name="Macro3">#N/A</definedName>
    <definedName name="Macro30">#N/A</definedName>
    <definedName name="Macro32">#N/A</definedName>
    <definedName name="Macro33">#N/A</definedName>
    <definedName name="Macro34">#N/A</definedName>
    <definedName name="Macro35">#N/A</definedName>
    <definedName name="Macro37">#N/A</definedName>
    <definedName name="Macro38">#N/A</definedName>
    <definedName name="Macro4">#N/A</definedName>
    <definedName name="Macro47">#N/A</definedName>
    <definedName name="Macro5">#N/A</definedName>
    <definedName name="Macro60">#N/A</definedName>
    <definedName name="Macro67">#N/A</definedName>
    <definedName name="Macro85">#N/A</definedName>
    <definedName name="Macro86">#N/A</definedName>
    <definedName name="Macro87">#N/A</definedName>
    <definedName name="Macro93">#N/A</definedName>
    <definedName name="Macro98">#N/A</definedName>
    <definedName name="MAE" hidden="1">{#N/A,#N/A,FALSE,"단축1";#N/A,#N/A,FALSE,"단축2";#N/A,#N/A,FALSE,"단축3";#N/A,#N/A,FALSE,"장축";#N/A,#N/A,FALSE,"4WD"}</definedName>
    <definedName name="Mai">#REF!</definedName>
    <definedName name="Mai.DM">#REF!</definedName>
    <definedName name="MAIN">#REF!</definedName>
    <definedName name="manufacturing">#REF!</definedName>
    <definedName name="Mar." localSheetId="2" hidden="1">{"'Euro Conversion rates'!$A$1:$E$21"}</definedName>
    <definedName name="Mar." hidden="1">{"'Euro Conversion rates'!$A$1:$E$21"}</definedName>
    <definedName name="Mar._1" localSheetId="2" hidden="1">{"'Euro Conversion rates'!$A$1:$E$21"}</definedName>
    <definedName name="Mar._1" hidden="1">{"'Euro Conversion rates'!$A$1:$E$21"}</definedName>
    <definedName name="März">#REF!</definedName>
    <definedName name="März.DM">#REF!</definedName>
    <definedName name="MatchNum_ProjLevelData">#REF!</definedName>
    <definedName name="Material">#REF!</definedName>
    <definedName name="Materiality">#REF!</definedName>
    <definedName name="MATL_Rate">#REF!</definedName>
    <definedName name="MBC_D" hidden="1">#REF!</definedName>
    <definedName name="mbv">#REF!</definedName>
    <definedName name="mclkd" hidden="1">{"'Sheet1'!$A$1:$H$36"}</definedName>
    <definedName name="md">#REF!</definedName>
    <definedName name="mDataTablePrice">#REF!</definedName>
    <definedName name="mDataTableSynergy">#REF!</definedName>
    <definedName name="Mdo">#REF!</definedName>
    <definedName name="Me">#REF!</definedName>
    <definedName name="Meb">#REF!</definedName>
    <definedName name="Meb01m00">#REF!</definedName>
    <definedName name="Mecaanical">#REF!</definedName>
    <definedName name="MEC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_CPC">#REF!</definedName>
    <definedName name="mech_CPC1">#REF!</definedName>
    <definedName name="MECSUM">#REF!</definedName>
    <definedName name="Meh" hidden="1">{#N/A,"Base Case",FALSE,"Revenue";#N/A,"£6.25 Fee",FALSE,"Revenue"}</definedName>
    <definedName name="Memo" hidden="1">{#N/A,#N/A,FALSE,"Set-Up";#N/A,#N/A,FALSE,"Comparison";#N/A,#N/A,FALSE,"AR";#N/A,#N/A,FALSE,"Inv";#N/A,#N/A,FALSE,"Concentrations";#N/A,#N/A,FALSE,"Past Dues";#N/A,#N/A,FALSE,"Trends";#N/A,#N/A,FALSE,"AR Trends";#N/A,#N/A,FALSE,"Inv Trends"}</definedName>
    <definedName name="MENO">#REF!</definedName>
    <definedName name="menu_button_Click">#REF!</definedName>
    <definedName name="Meo">#REF!</definedName>
    <definedName name="MerrillPrintIt" hidden="1">#REF!</definedName>
    <definedName name="metering" hidden="1">#REF!</definedName>
    <definedName name="MEW">#REF!</definedName>
    <definedName name="MEWarning" hidden="1">1</definedName>
    <definedName name="Mex">#REF!</definedName>
    <definedName name="Mey">#REF!</definedName>
    <definedName name="Mf">#REF!</definedName>
    <definedName name="Mfile_earnins" hidden="1">{"income statement",#N/A,TRUE,"Model";"rig build up",#N/A,TRUE,"Model";"rig status and expenses",#N/A,TRUE,"Model"}</definedName>
    <definedName name="MICON">#N/A</definedName>
    <definedName name="mii">#REF!</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kkl" hidden="1">{"'Sheet1'!$A$1:$H$36"}</definedName>
    <definedName name="mlkcoe" hidden="1">{"'Sheet1'!$A$1:$H$36"}</definedName>
    <definedName name="MM">10^6</definedName>
    <definedName name="MMA">#REF!</definedName>
    <definedName name="mmm">#REF!</definedName>
    <definedName name="mmmmm" localSheetId="2" hidden="1">{#N/A,#N/A,FALSE,"CCTV"}</definedName>
    <definedName name="mmmmm" hidden="1">{#N/A,#N/A,FALSE,"CCTV"}</definedName>
    <definedName name="mncvxjzshdffadsfcvdsfcs">#N/A</definedName>
    <definedName name="MO">#REF!</definedName>
    <definedName name="MOD">#REF!</definedName>
    <definedName name="MoDays">(361/12)</definedName>
    <definedName name="MODEL">#N/A</definedName>
    <definedName name="Module1.exe_1">#N/A</definedName>
    <definedName name="Module1.exe_10">#N/A</definedName>
    <definedName name="Module1.exe_11">#N/A</definedName>
    <definedName name="Module1.exe_12">#N/A</definedName>
    <definedName name="Module1.exe_13">#N/A</definedName>
    <definedName name="Module1.exe_14">#N/A</definedName>
    <definedName name="Module1.exe_15">#N/A</definedName>
    <definedName name="Module1.exe_16">#N/A</definedName>
    <definedName name="Module1.exe_2">#N/A</definedName>
    <definedName name="Module1.exe_3">#N/A</definedName>
    <definedName name="Module1.exe_4">#N/A</definedName>
    <definedName name="Module1.exe_5">#N/A</definedName>
    <definedName name="Module1.exe_6">#N/A</definedName>
    <definedName name="Module1.exe_7">#N/A</definedName>
    <definedName name="Module1.exe_8">#N/A</definedName>
    <definedName name="Module1.exe_9">#N/A</definedName>
    <definedName name="Module1.gotostudio">#N/A</definedName>
    <definedName name="Module1.매크로4">#REF!</definedName>
    <definedName name="Module1.매크로5">#REF!</definedName>
    <definedName name="Module1.매크로6">#REF!</definedName>
    <definedName name="Module1.매크로7">#REF!</definedName>
    <definedName name="MON_onsite_disc">#REF!</definedName>
    <definedName name="MON_onsite_drug">#REF!</definedName>
    <definedName name="MON_onsite_rev">#REF!</definedName>
    <definedName name="Monetary_Precision">#REF!</definedName>
    <definedName name="MONEY">#N/A</definedName>
    <definedName name="monnaie">#REF!</definedName>
    <definedName name="MONTH">#REF!</definedName>
    <definedName name="Months">#REF!</definedName>
    <definedName name="MOS">#REF!</definedName>
    <definedName name="Mot">#REF!</definedName>
    <definedName name="Motivation_Call">#REF!</definedName>
    <definedName name="mow">#REF!</definedName>
    <definedName name="moweeks">(52/12)</definedName>
    <definedName name="Mowt">#REF!</definedName>
    <definedName name="MP" localSheetId="2" hidden="1">{#N/A,#N/A,FALSE,"BS";#N/A,#N/A,FALSE,"PL";#N/A,#N/A,FALSE,"처분";#N/A,#N/A,FALSE,"현금";#N/A,#N/A,FALSE,"매출";#N/A,#N/A,FALSE,"원가";#N/A,#N/A,FALSE,"경영"}</definedName>
    <definedName name="MP" hidden="1">{#N/A,#N/A,FALSE,"BS";#N/A,#N/A,FALSE,"PL";#N/A,#N/A,FALSE,"처분";#N/A,#N/A,FALSE,"현금";#N/A,#N/A,FALSE,"매출";#N/A,#N/A,FALSE,"원가";#N/A,#N/A,FALSE,"경영"}</definedName>
    <definedName name="mp_cst">#REF!</definedName>
    <definedName name="MPBOH">#N/A</definedName>
    <definedName name="MPEOH">#N/A</definedName>
    <definedName name="MPRIC">#N/A</definedName>
    <definedName name="MRP">#REF!</definedName>
    <definedName name="MSB">#REF!</definedName>
    <definedName name="MSF">#REF!</definedName>
    <definedName name="Mt">#REF!</definedName>
    <definedName name="MTBE">#REF!</definedName>
    <definedName name="MTHPH">#REF!</definedName>
    <definedName name="Mto">#REF!</definedName>
    <definedName name="Mtwt">#REF!</definedName>
    <definedName name="mub">#REF!</definedName>
    <definedName name="mut">#REF!</definedName>
    <definedName name="Mwb">#REF!</definedName>
    <definedName name="MWF">#REF!</definedName>
    <definedName name="Mx">#REF!</definedName>
    <definedName name="MyActivateSheetName">"NO MOVE"</definedName>
    <definedName name="mycal">#REF!</definedName>
    <definedName name="MYJ" localSheetId="2" hidden="1">{#N/A,#N/A,FALSE,"UNIT";#N/A,#N/A,FALSE,"UNIT";#N/A,#N/A,FALSE,"계정"}</definedName>
    <definedName name="MYJ" hidden="1">{#N/A,#N/A,FALSE,"UNIT";#N/A,#N/A,FALSE,"UNIT";#N/A,#N/A,FALSE,"계정"}</definedName>
    <definedName name="Mz">#REF!</definedName>
    <definedName name="m記" localSheetId="2" hidden="1">{"'買掛金'!$J$6"}</definedName>
    <definedName name="m記" hidden="1">{"'買掛金'!$J$6"}</definedName>
    <definedName name="M행">#REF!</definedName>
    <definedName name="n"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N.1">#REF!</definedName>
    <definedName name="N.2">#REF!</definedName>
    <definedName name="NAK">#N/A</definedName>
    <definedName name="NAM_1">#N/A</definedName>
    <definedName name="NAME">#REF!</definedName>
    <definedName name="NAME01">#REF!</definedName>
    <definedName name="namekb" hidden="1">#REF!</definedName>
    <definedName name="namekc" hidden="1">#REF!</definedName>
    <definedName name="namekg" hidden="1">{#VALUE!,0,FALSE,0;#N/A,0,FALSE,0;#N/A,0,FALSE,0;#N/A,0,FALSE,0;#N/A,0,FALSE,0;#N/A,0,FALSE,0}</definedName>
    <definedName name="NAV" hidden="1">{#N/A,#N/A,FALSE,"SAFILOR"}</definedName>
    <definedName name="Nave">#REF!</definedName>
    <definedName name="NE">#N/A</definedName>
    <definedName name="NetSales">#REF!</definedName>
    <definedName name="NEW" hidden="1">#REF!</definedName>
    <definedName name="NEWNAME" localSheetId="2" hidden="1">{#N/A,#N/A,FALSE,"CCTV"}</definedName>
    <definedName name="NEWNAME" hidden="1">{#N/A,#N/A,FALSE,"CCTV"}</definedName>
    <definedName name="NewRange" hidden="1">#REF!</definedName>
    <definedName name="Ninlaro">#REF!</definedName>
    <definedName name="nkknk" localSheetId="2" hidden="1">{#N/A,#N/A,FALSE,"CCTV"}</definedName>
    <definedName name="nkknk" hidden="1">{#N/A,#N/A,FALSE,"CCTV"}</definedName>
    <definedName name="nn" hidden="1">{#N/A,#N/A,FALSE,"손익표지";#N/A,#N/A,FALSE,"손익계산";#N/A,#N/A,FALSE,"일반관리비";#N/A,#N/A,FALSE,"영업외수익";#N/A,#N/A,FALSE,"영업외비용";#N/A,#N/A,FALSE,"매출액";#N/A,#N/A,FALSE,"요약손익";#N/A,#N/A,FALSE,"요약대차";#N/A,#N/A,FALSE,"매출채권현황";#N/A,#N/A,FALSE,"매출채권명세"}</definedName>
    <definedName name="nnn">BlankMacro1</definedName>
    <definedName name="nnvk">BlankMacro1</definedName>
    <definedName name="No">#REF!</definedName>
    <definedName name="No._of_Derived_Datasets">#REF!</definedName>
    <definedName name="No_Dry_Runs">#REF!</definedName>
    <definedName name="No_InterimAnalysis">#REF!</definedName>
    <definedName name="NOBOBOGOPGFO" hidden="1">{#N/A,#N/A,FALSE,"단축1";#N/A,#N/A,FALSE,"단축2";#N/A,#N/A,FALSE,"단축3";#N/A,#N/A,FALSE,"장축";#N/A,#N/A,FALSE,"4WD"}</definedName>
    <definedName name="NOLSwitch">#REF!</definedName>
    <definedName name="NOMUBY">#REF!</definedName>
    <definedName name="non">#REF!</definedName>
    <definedName name="NORIN">#N/A</definedName>
    <definedName name="NOTE" hidden="1">{#N/A,#N/A,TRUE,"총괄"}</definedName>
    <definedName name="nouveau_classeur">"="</definedName>
    <definedName name="Nov.DM">#REF!</definedName>
    <definedName name="November">#REF!</definedName>
    <definedName name="npv">#REF!</definedName>
    <definedName name="npv_add">#REF!</definedName>
    <definedName name="npv_all">#REF!</definedName>
    <definedName name="npv_lggas">#REF!</definedName>
    <definedName name="npv_ws">#REF!</definedName>
    <definedName name="nsaveorient">#REF!</definedName>
    <definedName name="nsavepagenumber">#REF!</definedName>
    <definedName name="NUMBER">#REF!</definedName>
    <definedName name="nvnvnv" localSheetId="2" hidden="1">{"'매출이익'!$A$24:$K$45"}</definedName>
    <definedName name="nvnvnv" hidden="1">{"'매출이익'!$A$24:$K$45"}</definedName>
    <definedName name="NvsLayoutType">"M3"</definedName>
    <definedName name="NvsNplSpec">"%,X,RZF..,CNF.."</definedName>
    <definedName name="NvsPanelBusUnit">"V"</definedName>
    <definedName name="NvsPanelEffdt">"V2099-12-31"</definedName>
    <definedName name="NvsPanelSetid">"VGHV01"</definedName>
    <definedName name="NvsReqBU">"VRPT12"</definedName>
    <definedName name="NvsReqBUOnly">"VY"</definedName>
    <definedName name="NvsTransLed">"VN"</definedName>
    <definedName name="NvsTreeASD">"V2016-11-30"</definedName>
    <definedName name="NvsValTbl.ACCOUNT">"GL_ACCOUNT_TBL"</definedName>
    <definedName name="NvsValTbl.CHARTFIELD1">"CHARTFIELD1_TBL"</definedName>
    <definedName name="NvsValTbl.CURRENCY_CD">"CURRENCY_CD_TBL"</definedName>
    <definedName name="NvsValTbl.DEPTID">"DEPT_TBL"</definedName>
    <definedName name="NvsValTbl.OPER_UNIT">"OPER_UNIT_TBL"</definedName>
    <definedName name="NvsValTbl.PRODUCT">"PRODUCT_TBL"</definedName>
    <definedName name="NvsValTbl.SCENARIO">"BD_SCENARIO_TBL"</definedName>
    <definedName name="NvsValTbl.STATISTICS_CODE">"STAT_TBL"</definedName>
    <definedName name="Nx">#REF!</definedName>
    <definedName name="Nz">#REF!</definedName>
    <definedName name="N행">#REF!</definedName>
    <definedName name="o" hidden="1">{#N/A,#N/A,FALSE,"손익표지";#N/A,#N/A,FALSE,"손익계산";#N/A,#N/A,FALSE,"일반관리비";#N/A,#N/A,FALSE,"영업외수익";#N/A,#N/A,FALSE,"영업외비용";#N/A,#N/A,FALSE,"매출액";#N/A,#N/A,FALSE,"요약손익";#N/A,#N/A,FALSE,"요약대차";#N/A,#N/A,FALSE,"매출채권현황";#N/A,#N/A,FALSE,"매출채권명세"}</definedName>
    <definedName name="OAMT">#N/A</definedName>
    <definedName name="ob">#REF!</definedName>
    <definedName name="oc" hidden="1">{#N/A,#N/A,FALSE,"Cellular"}</definedName>
    <definedName name="ocf" hidden="1">#REF!</definedName>
    <definedName name="octf">#REF!</definedName>
    <definedName name="OD">#REF!</definedName>
    <definedName name="ODH" hidden="1">#REF!</definedName>
    <definedName name="oiioioi">#N/A</definedName>
    <definedName name="OIIOIOIOI">#N/A</definedName>
    <definedName name="OIL" hidden="1">{"'용역비'!$A$4:$C$8"}</definedName>
    <definedName name="oililui" localSheetId="2" hidden="1">{#N/A,#N/A,FALSE,"CCTV"}</definedName>
    <definedName name="oililui" hidden="1">{#N/A,#N/A,FALSE,"CCTV"}</definedName>
    <definedName name="Okt.DM">#REF!</definedName>
    <definedName name="Oktober">#REF!</definedName>
    <definedName name="okwon">#REF!</definedName>
    <definedName name="ol">#REF!</definedName>
    <definedName name="OLD_COA">#REF!</definedName>
    <definedName name="Oma_Summ_JAP">#REF!</definedName>
    <definedName name="OMKT2001">#REF!</definedName>
    <definedName name="OMKT2002">#REF!</definedName>
    <definedName name="OMKT2003">#REF!</definedName>
    <definedName name="OMKT2004">#REF!</definedName>
    <definedName name="OMKT2005">#REF!</definedName>
    <definedName name="OMKT2006">#REF!</definedName>
    <definedName name="OMKT2007">#REF!</definedName>
    <definedName name="on" hidden="1">#REF!</definedName>
    <definedName name="ondeo" localSheetId="2" hidden="1">{#N/A,#N/A,FALSE,"BS";#N/A,#N/A,FALSE,"PL";#N/A,#N/A,FALSE,"A";#N/A,#N/A,FALSE,"B";#N/A,#N/A,FALSE,"B1";#N/A,#N/A,FALSE,"C";#N/A,#N/A,FALSE,"C1";#N/A,#N/A,FALSE,"C2";#N/A,#N/A,FALSE,"D";#N/A,#N/A,FALSE,"E";#N/A,#N/A,FALSE,"F";#N/A,#N/A,FALSE,"AA";#N/A,#N/A,FALSE,"BB";#N/A,#N/A,FALSE,"CC";#N/A,#N/A,FALSE,"DD";#N/A,#N/A,FALSE,"EE";#N/A,#N/A,FALSE,"FF";#N/A,#N/A,FALSE,"PL10";#N/A,#N/A,FALSE,"PL20";#N/A,#N/A,FALSE,"PL30"}</definedName>
    <definedName name="ondeo" hidden="1">{#N/A,#N/A,FALSE,"BS";#N/A,#N/A,FALSE,"PL";#N/A,#N/A,FALSE,"A";#N/A,#N/A,FALSE,"B";#N/A,#N/A,FALSE,"B1";#N/A,#N/A,FALSE,"C";#N/A,#N/A,FALSE,"C1";#N/A,#N/A,FALSE,"C2";#N/A,#N/A,FALSE,"D";#N/A,#N/A,FALSE,"E";#N/A,#N/A,FALSE,"F";#N/A,#N/A,FALSE,"AA";#N/A,#N/A,FALSE,"BB";#N/A,#N/A,FALSE,"CC";#N/A,#N/A,FALSE,"DD";#N/A,#N/A,FALSE,"EE";#N/A,#N/A,FALSE,"FF";#N/A,#N/A,FALSE,"PL10";#N/A,#N/A,FALSE,"PL20";#N/A,#N/A,FALSE,"PL30"}</definedName>
    <definedName name="ONP" hidden="1">#REF!</definedName>
    <definedName name="oo" hidden="1">#REF!</definedName>
    <definedName name="OOO" localSheetId="2" hidden="1">{#N/A,#N/A,TRUE,"Y생산";#N/A,#N/A,TRUE,"Y판매";#N/A,#N/A,TRUE,"Y총물량";#N/A,#N/A,TRUE,"Y능력";#N/A,#N/A,TRUE,"YKD"}</definedName>
    <definedName name="OOO" hidden="1">{#N/A,#N/A,TRUE,"Y생산";#N/A,#N/A,TRUE,"Y판매";#N/A,#N/A,TRUE,"Y총물량";#N/A,#N/A,TRUE,"Y능력";#N/A,#N/A,TRUE,"YKD"}</definedName>
    <definedName name="OOO2CIVIL" hidden="1">#REF!</definedName>
    <definedName name="ooooooo" hidden="1">#REF!</definedName>
    <definedName name="op" hidden="1">#REF!</definedName>
    <definedName name="operat">#REF!</definedName>
    <definedName name="opo" hidden="1">{#N/A,#N/A,FALSE,"지침";#N/A,#N/A,FALSE,"환경분석";#N/A,#N/A,FALSE,"Sheet16"}</definedName>
    <definedName name="opt">#REF!</definedName>
    <definedName name="OPTIMISTIC">#REF!</definedName>
    <definedName name="OptionButton21_Click">#REF!</definedName>
    <definedName name="Order" hidden="1">0</definedName>
    <definedName name="OrderTable" hidden="1">#REF!</definedName>
    <definedName name="organization" hidden="1">{#N/A,#N/A,FALSE,"표지";#N/A,#N/A,FALSE,"전제";#N/A,#N/A,FALSE,"대당";#N/A,#N/A,FALSE,"가공비";#N/A,#N/A,FALSE,"재료비";#N/A,#N/A,FALSE,"손익"}</definedName>
    <definedName name="OST">BlankMacro1</definedName>
    <definedName name="OTCMTH">#REF!</definedName>
    <definedName name="OTCYTD">#REF!</definedName>
    <definedName name="OTH_UC">#N/A</definedName>
    <definedName name="OTHAMT">#N/A</definedName>
    <definedName name="OTHBOH">#N/A</definedName>
    <definedName name="OTHEOH">#N/A</definedName>
    <definedName name="OTHER">#N/A</definedName>
    <definedName name="Other_COGs">#REF!</definedName>
    <definedName name="Other_income">#REF!</definedName>
    <definedName name="other_inv_amt">#REF!</definedName>
    <definedName name="other_inv_amt1">#REF!</definedName>
    <definedName name="Other_Marketing_Exp.">#REF!</definedName>
    <definedName name="other_op">#REF!</definedName>
    <definedName name="Otherincome">#REF!</definedName>
    <definedName name="othertoggle1">#REF!</definedName>
    <definedName name="othertoggle2">#REF!</definedName>
    <definedName name="othertoggle3">#REF!</definedName>
    <definedName name="othertoggle4">#REF!</definedName>
    <definedName name="out">#REF!</definedName>
    <definedName name="OUT_TOTAL">#N/A</definedName>
    <definedName name="OUTAMT">#N/A</definedName>
    <definedName name="outc">#REF!</definedName>
    <definedName name="OutEnroll_Call">#REF!</definedName>
    <definedName name="Outlook">#REF!</definedName>
    <definedName name="OUTPUT">#REF!</definedName>
    <definedName name="OUTQTY">#N/A</definedName>
    <definedName name="OutTreat_Call">#REF!</definedName>
    <definedName name="overal" localSheetId="2" hidden="1">{#N/A,#N/A,FALSE,"1.CRITERIA";#N/A,#N/A,FALSE,"2.IS";#N/A,#N/A,FALSE,"3.BS";#N/A,#N/A,FALSE,"4.PER PL";#N/A,#N/A,FALSE,"5.INVESTMENT";#N/A,#N/A,FALSE,"6.공문";#N/A,#N/A,FALSE,"7.netinvest"}</definedName>
    <definedName name="overal" hidden="1">{#N/A,#N/A,FALSE,"1.CRITERIA";#N/A,#N/A,FALSE,"2.IS";#N/A,#N/A,FALSE,"3.BS";#N/A,#N/A,FALSE,"4.PER PL";#N/A,#N/A,FALSE,"5.INVESTMENT";#N/A,#N/A,FALSE,"6.공문";#N/A,#N/A,FALSE,"7.netinvest"}</definedName>
    <definedName name="ow">#REF!</definedName>
    <definedName name="ownership" localSheetId="2" hidden="1">{#N/A,#N/A,TRUE,"Summary";#N/A,#N/A,TRUE,"IS";#N/A,#N/A,TRUE,"Adj";#N/A,#N/A,TRUE,"BS";#N/A,#N/A,TRUE,"CF";#N/A,#N/A,TRUE,"Debt";#N/A,#N/A,TRUE,"IRR"}</definedName>
    <definedName name="ownership" hidden="1">{#N/A,#N/A,TRUE,"Summary";#N/A,#N/A,TRUE,"IS";#N/A,#N/A,TRUE,"Adj";#N/A,#N/A,TRUE,"BS";#N/A,#N/A,TRUE,"CF";#N/A,#N/A,TRUE,"Debt";#N/A,#N/A,TRUE,"IRR"}</definedName>
    <definedName name="ownership2" localSheetId="2" hidden="1">{#N/A,#N/A,TRUE,"Summary";#N/A,#N/A,TRUE,"IS";#N/A,#N/A,TRUE,"Adj";#N/A,#N/A,TRUE,"BS";#N/A,#N/A,TRUE,"CF";#N/A,#N/A,TRUE,"Debt";#N/A,#N/A,TRUE,"IRR"}</definedName>
    <definedName name="ownership2" hidden="1">{#N/A,#N/A,TRUE,"Summary";#N/A,#N/A,TRUE,"IS";#N/A,#N/A,TRUE,"Adj";#N/A,#N/A,TRUE,"BS";#N/A,#N/A,TRUE,"CF";#N/A,#N/A,TRUE,"Debt";#N/A,#N/A,TRUE,"IRR"}</definedName>
    <definedName name="O행">#REF!</definedName>
    <definedName name="p" hidden="1">#REF!</definedName>
    <definedName name="p.Covenants_Titles" hidden="1">#REF!</definedName>
    <definedName name="P__">#REF!</definedName>
    <definedName name="p_acqBS">#REF!</definedName>
    <definedName name="p_acqCF">#REF!</definedName>
    <definedName name="p_acqDA">#REF!</definedName>
    <definedName name="p_acqDPS">#REF!</definedName>
    <definedName name="p_acqIS">#REF!</definedName>
    <definedName name="p_acqtax">#REF!</definedName>
    <definedName name="p_acqwc">#REF!</definedName>
    <definedName name="p_ad">#REF!</definedName>
    <definedName name="p_contribution">#REF!</definedName>
    <definedName name="p_datatab1">#REF!</definedName>
    <definedName name="p_datatab2">#REF!</definedName>
    <definedName name="p_datatab3">#REF!</definedName>
    <definedName name="p_dealBS">#REF!</definedName>
    <definedName name="p_dealCF">#REF!</definedName>
    <definedName name="p_dealDA">#REF!</definedName>
    <definedName name="p_dealdps">#REF!</definedName>
    <definedName name="p_dealdps1">#REF!</definedName>
    <definedName name="p_dealdps2">#REF!</definedName>
    <definedName name="p_dealIS">#REF!</definedName>
    <definedName name="p_dealTAX">#REF!</definedName>
    <definedName name="p_Instructions">#REF!</definedName>
    <definedName name="p_inv_amt">#REF!</definedName>
    <definedName name="p_inv_amt1">#REF!</definedName>
    <definedName name="p_MO">#REF!</definedName>
    <definedName name="p_ratios">#REF!</definedName>
    <definedName name="p_SA">#REF!</definedName>
    <definedName name="p_shape">#REF!</definedName>
    <definedName name="p_SU">#REF!</definedName>
    <definedName name="p_SUMM">#REF!</definedName>
    <definedName name="p_TA">#REF!</definedName>
    <definedName name="p_tarBS">#REF!</definedName>
    <definedName name="p_tarCF">#REF!</definedName>
    <definedName name="p_tarDA">#REF!</definedName>
    <definedName name="p_tardps">#REF!</definedName>
    <definedName name="p_tarIS">#REF!</definedName>
    <definedName name="p_tarSBS">#REF!</definedName>
    <definedName name="p_tarSCF">#REF!</definedName>
    <definedName name="p_tarsis">#REF!</definedName>
    <definedName name="p_tartax">#REF!</definedName>
    <definedName name="p_tarwc">#REF!</definedName>
    <definedName name="p_ValDCFMA">#REF!</definedName>
    <definedName name="p_ValDCFPA">#REF!</definedName>
    <definedName name="p_ValDCFSum">#REF!</definedName>
    <definedName name="p_ValGraph">#REF!</definedName>
    <definedName name="p_ValMatrix">#REF!</definedName>
    <definedName name="p_ValMult">#REF!</definedName>
    <definedName name="p_ValSumNum">#REF!</definedName>
    <definedName name="p_ValSumNum1">#REF!</definedName>
    <definedName name="p_valWacc">#REF!</definedName>
    <definedName name="P3_Interest_receivable_and_similar_charges">#REF!</definedName>
    <definedName name="pa">#REF!</definedName>
    <definedName name="pab">#REF!</definedName>
    <definedName name="PAC물정보비">#REF!</definedName>
    <definedName name="PAC실정보비">#REF!</definedName>
    <definedName name="PAGE1">#N/A</definedName>
    <definedName name="PAGE10">#N/A</definedName>
    <definedName name="PAGE11">#N/A</definedName>
    <definedName name="PAGE12">#N/A</definedName>
    <definedName name="PAGE13">#N/A</definedName>
    <definedName name="PAGE2">#N/A</definedName>
    <definedName name="PAGE3">#N/A</definedName>
    <definedName name="PAGE4">#N/A</definedName>
    <definedName name="PAGE5">#N/A</definedName>
    <definedName name="PAGE6">#N/A</definedName>
    <definedName name="PAGE7">#N/A</definedName>
    <definedName name="PAGE8">#N/A</definedName>
    <definedName name="PAGE9">#N/A</definedName>
    <definedName name="Pages_Per_CRF">#REF!</definedName>
    <definedName name="Pages_Per_Diary">#REF!</definedName>
    <definedName name="Pages_Per_QOL">#REF!</definedName>
    <definedName name="PAGET">#N/A</definedName>
    <definedName name="PANDA2">#REF!</definedName>
    <definedName name="Par_Checks">#REF!</definedName>
    <definedName name="Par_Cloture">#REF!</definedName>
    <definedName name="Par_Code_Societe">#REF!</definedName>
    <definedName name="pat">#REF!</definedName>
    <definedName name="Patient">#REF!</definedName>
    <definedName name="PATIENT_completed">#REF!</definedName>
    <definedName name="PATIENT_enrolled">#REF!</definedName>
    <definedName name="PATIENT_Screened">#REF!</definedName>
    <definedName name="Patient_Visits">#REF!</definedName>
    <definedName name="Paul" hidden="1">{"PAGE1",#N/A,FALSE,"Consolidation";"PAGE2",#N/A,FALSE,"Consolidation";"PAGE3",#N/A,FALSE,"Consolidation";"PAGE4",#N/A,FALSE,"Consolidation";"PAGE5",#N/A,FALSE,"Consolidation";"PAGE6",#N/A,FALSE,"Consolidation";"PAGE7",#N/A,FALSE,"Consolidation"}</definedName>
    <definedName name="Paul2" hidden="1">{"PAGE1",#N/A,FALSE,"Consolidation";"PAGE2",#N/A,FALSE,"Consolidation";"PAGE3",#N/A,FALSE,"Consolidation";"PAGE4",#N/A,FALSE,"Consolidation";"PAGE5",#N/A,FALSE,"Consolidation";"PAGE6",#N/A,FALSE,"Consolidation";"PAGE7",#N/A,FALSE,"Consolidation"}</definedName>
    <definedName name="Paul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4" hidden="1">{"Print Summary",#N/A,FALSE,"Bal_Graphs";"Print Summary",#N/A,FALSE,"DCF";"Print Summary",#N/A,FALSE,"Graphs";"Print Summary",#N/A,FALSE,"Summary"}</definedName>
    <definedName name="pay" hidden="1">#REF!</definedName>
    <definedName name="PAYILMAR" hidden="1">#REF!</definedName>
    <definedName name="payment1" hidden="1">#REF!</definedName>
    <definedName name="pays">#REF!</definedName>
    <definedName name="PAZ">#N/A</definedName>
    <definedName name="PB">#N/A</definedName>
    <definedName name="PB_GUID8e0658ba748e424d8a135fb1244e3be8" hidden="1">#REF!</definedName>
    <definedName name="PB_GUIDcfd04c434f6a41f6b2090b6fa389bf52" hidden="1">#REF!</definedName>
    <definedName name="pbb">#REF!</definedName>
    <definedName name="PBC">#REF!</definedName>
    <definedName name="PBC_List">#REF!</definedName>
    <definedName name="pbt">#REF!</definedName>
    <definedName name="PBZ">#N/A</definedName>
    <definedName name="PC">#N/A</definedName>
    <definedName name="PCZ">#N/A</definedName>
    <definedName name="PD">#REF!</definedName>
    <definedName name="pd분리">BlankMacro1</definedName>
    <definedName name="p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_FL">#REF!</definedName>
    <definedName name="PeakSales_ProjLevelData">#REF!</definedName>
    <definedName name="ped_no">#REF!</definedName>
    <definedName name="ped5.1">#REF!</definedName>
    <definedName name="ped5.2">#REF!</definedName>
    <definedName name="Peer1" hidden="1">#REF!</definedName>
    <definedName name="Percent_QC">#REF!</definedName>
    <definedName name="Percent_Threshold">#REF!</definedName>
    <definedName name="PERIMETER">#REF!</definedName>
    <definedName name="PERIOD">#REF!</definedName>
    <definedName name="PERIOD_END">#REF!</definedName>
    <definedName name="PeriodMax">#REF!</definedName>
    <definedName name="pesize">#REF!</definedName>
    <definedName name="PF">#N/A</definedName>
    <definedName name="PFZ">#N/A</definedName>
    <definedName name="PGM" hidden="1">{#N/A,#N/A,FALSE,"Sheet9"}</definedName>
    <definedName name="PGZ">#N/A</definedName>
    <definedName name="PH">#REF!</definedName>
    <definedName name="PHZ">#N/A</definedName>
    <definedName name="PI">3.141592654</definedName>
    <definedName name="pi_ext">#REF!</definedName>
    <definedName name="PIBOT_TABLE용">#REF!</definedName>
    <definedName name="PICTURE2">#REF!</definedName>
    <definedName name="PILE">#REF!</definedName>
    <definedName name="PILE_LENG">#REF!</definedName>
    <definedName name="pile_no">#REF!</definedName>
    <definedName name="PILE_TYPE">#REF!</definedName>
    <definedName name="PILED">#REF!</definedName>
    <definedName name="pile길이">#REF!</definedName>
    <definedName name="pipe_CPC">#REF!</definedName>
    <definedName name="pipe_CPC1">#REF!</definedName>
    <definedName name="PIPE40">#REF!</definedName>
    <definedName name="PITTWAY" hidden="1">{#N/A,#N/A,FALSE,"Che-Ga";#N/A,#N/A,FALSE,"Iv-Sm";#N/A,#N/A,FALSE,"So-We";#N/A,#N/A,FALSE,"Me-Po";#N/A,#N/A,FALSE,"Be-Bo";#N/A,#N/A,FALSE,"Cha-Ki";#N/A,#N/A,FALSE,"In";#N/A,#N/A,FALSE,"Schedule 23";#N/A,#N/A,FALSE,"Schedule 22";#N/A,#N/A,FALSE,"WACC"}</definedName>
    <definedName name="PjName">"Project Phoenix"</definedName>
    <definedName name="PJT">#N/A</definedName>
    <definedName name="PKG_LD">#N/A</definedName>
    <definedName name="PL">#REF!</definedName>
    <definedName name="PL_ACCOUNT">#REF!</definedName>
    <definedName name="PL_Currency_Threshold">#REF!</definedName>
    <definedName name="PL_Dollar_Threshold">#REF!</definedName>
    <definedName name="PL_Eng">#REF!</definedName>
    <definedName name="pl_inv_al">#REF!</definedName>
    <definedName name="pl_inv_cl">#REF!</definedName>
    <definedName name="pl_inv_hl">#REF!</definedName>
    <definedName name="pl_inv_xl">#REF!</definedName>
    <definedName name="PL_OPTION">#REF!</definedName>
    <definedName name="PL_Percent_Threshold">#REF!</definedName>
    <definedName name="PL_Psych">#REF!</definedName>
    <definedName name="PL_TCode_Group">#REF!</definedName>
    <definedName name="PL_TCode_Sum">#REF!</definedName>
    <definedName name="PL_파생1">#N/A</definedName>
    <definedName name="PL_패생수정">#N/A</definedName>
    <definedName name="PL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ceholder" localSheetId="2" hidden="1">{#N/A,#N/A,FALSE,"Performance Flash Report"}</definedName>
    <definedName name="placeholder" hidden="1">{#N/A,#N/A,FALSE,"Performance Flash Report"}</definedName>
    <definedName name="placeholder_1" localSheetId="2" hidden="1">{#N/A,#N/A,FALSE,"Performance Flash Report"}</definedName>
    <definedName name="placeholder_1" hidden="1">{#N/A,#N/A,FALSE,"Performance Flash Report"}</definedName>
    <definedName name="placeholder_1_1" localSheetId="2" hidden="1">{#N/A,#N/A,FALSE,"Performance Flash Report"}</definedName>
    <definedName name="placeholder_1_1" hidden="1">{#N/A,#N/A,FALSE,"Performance Flash Report"}</definedName>
    <definedName name="placeholder_1_2" localSheetId="2" hidden="1">{#N/A,#N/A,FALSE,"Performance Flash Report"}</definedName>
    <definedName name="placeholder_1_2" hidden="1">{#N/A,#N/A,FALSE,"Performance Flash Report"}</definedName>
    <definedName name="placeholder_1_3" localSheetId="2" hidden="1">{#N/A,#N/A,FALSE,"Performance Flash Report"}</definedName>
    <definedName name="placeholder_1_3" hidden="1">{#N/A,#N/A,FALSE,"Performance Flash Report"}</definedName>
    <definedName name="placeholder_1_4" localSheetId="2" hidden="1">{#N/A,#N/A,FALSE,"Performance Flash Report"}</definedName>
    <definedName name="placeholder_1_4" hidden="1">{#N/A,#N/A,FALSE,"Performance Flash Report"}</definedName>
    <definedName name="placeholder_2" localSheetId="2" hidden="1">{#N/A,#N/A,FALSE,"Performance Flash Report"}</definedName>
    <definedName name="placeholder_2" hidden="1">{#N/A,#N/A,FALSE,"Performance Flash Report"}</definedName>
    <definedName name="placeholder_2_1" localSheetId="2" hidden="1">{#N/A,#N/A,FALSE,"Performance Flash Report"}</definedName>
    <definedName name="placeholder_2_1" hidden="1">{#N/A,#N/A,FALSE,"Performance Flash Report"}</definedName>
    <definedName name="placeholder_2_2" localSheetId="2" hidden="1">{#N/A,#N/A,FALSE,"Performance Flash Report"}</definedName>
    <definedName name="placeholder_2_2" hidden="1">{#N/A,#N/A,FALSE,"Performance Flash Report"}</definedName>
    <definedName name="placeholder_2_3" localSheetId="2" hidden="1">{#N/A,#N/A,FALSE,"Performance Flash Report"}</definedName>
    <definedName name="placeholder_2_3" hidden="1">{#N/A,#N/A,FALSE,"Performance Flash Report"}</definedName>
    <definedName name="placeholder_2_4" localSheetId="2" hidden="1">{#N/A,#N/A,FALSE,"Performance Flash Report"}</definedName>
    <definedName name="placeholder_2_4" hidden="1">{#N/A,#N/A,FALSE,"Performance Flash Report"}</definedName>
    <definedName name="placeholder_3" localSheetId="2" hidden="1">{#N/A,#N/A,FALSE,"Performance Flash Report"}</definedName>
    <definedName name="placeholder_3" hidden="1">{#N/A,#N/A,FALSE,"Performance Flash Report"}</definedName>
    <definedName name="placeholder_3_1" localSheetId="2" hidden="1">{#N/A,#N/A,FALSE,"Performance Flash Report"}</definedName>
    <definedName name="placeholder_3_1" hidden="1">{#N/A,#N/A,FALSE,"Performance Flash Report"}</definedName>
    <definedName name="placeholder_3_2" localSheetId="2" hidden="1">{#N/A,#N/A,FALSE,"Performance Flash Report"}</definedName>
    <definedName name="placeholder_3_2" hidden="1">{#N/A,#N/A,FALSE,"Performance Flash Report"}</definedName>
    <definedName name="placeholder_3_3" localSheetId="2" hidden="1">{#N/A,#N/A,FALSE,"Performance Flash Report"}</definedName>
    <definedName name="placeholder_3_3" hidden="1">{#N/A,#N/A,FALSE,"Performance Flash Report"}</definedName>
    <definedName name="placeholder_3_4" localSheetId="2" hidden="1">{#N/A,#N/A,FALSE,"Performance Flash Report"}</definedName>
    <definedName name="placeholder_3_4" hidden="1">{#N/A,#N/A,FALSE,"Performance Flash Report"}</definedName>
    <definedName name="placeholder_4" localSheetId="2" hidden="1">{#N/A,#N/A,FALSE,"Performance Flash Report"}</definedName>
    <definedName name="placeholder_4" hidden="1">{#N/A,#N/A,FALSE,"Performance Flash Report"}</definedName>
    <definedName name="placeholder_4_1" localSheetId="2" hidden="1">{#N/A,#N/A,FALSE,"Performance Flash Report"}</definedName>
    <definedName name="placeholder_4_1" hidden="1">{#N/A,#N/A,FALSE,"Performance Flash Report"}</definedName>
    <definedName name="placeholder_4_2" localSheetId="2" hidden="1">{#N/A,#N/A,FALSE,"Performance Flash Report"}</definedName>
    <definedName name="placeholder_4_2" hidden="1">{#N/A,#N/A,FALSE,"Performance Flash Report"}</definedName>
    <definedName name="placeholder_4_3" localSheetId="2" hidden="1">{#N/A,#N/A,FALSE,"Performance Flash Report"}</definedName>
    <definedName name="placeholder_4_3" hidden="1">{#N/A,#N/A,FALSE,"Performance Flash Report"}</definedName>
    <definedName name="placeholder_4_4" localSheetId="2" hidden="1">{#N/A,#N/A,FALSE,"Performance Flash Report"}</definedName>
    <definedName name="placeholder_4_4" hidden="1">{#N/A,#N/A,FALSE,"Performance Flash Report"}</definedName>
    <definedName name="placeholder_5" localSheetId="2" hidden="1">{#N/A,#N/A,FALSE,"Performance Flash Report"}</definedName>
    <definedName name="placeholder_5" hidden="1">{#N/A,#N/A,FALSE,"Performance Flash Report"}</definedName>
    <definedName name="placeholder_5_1" localSheetId="2" hidden="1">{#N/A,#N/A,FALSE,"Performance Flash Report"}</definedName>
    <definedName name="placeholder_5_1" hidden="1">{#N/A,#N/A,FALSE,"Performance Flash Report"}</definedName>
    <definedName name="placeholder_5_2" localSheetId="2" hidden="1">{#N/A,#N/A,FALSE,"Performance Flash Report"}</definedName>
    <definedName name="placeholder_5_2" hidden="1">{#N/A,#N/A,FALSE,"Performance Flash Report"}</definedName>
    <definedName name="placeholder_5_3" localSheetId="2" hidden="1">{#N/A,#N/A,FALSE,"Performance Flash Report"}</definedName>
    <definedName name="placeholder_5_3" hidden="1">{#N/A,#N/A,FALSE,"Performance Flash Report"}</definedName>
    <definedName name="placeholder_5_4" localSheetId="2" hidden="1">{#N/A,#N/A,FALSE,"Performance Flash Report"}</definedName>
    <definedName name="placeholder_5_4" hidden="1">{#N/A,#N/A,FALSE,"Performance Flash Report"}</definedName>
    <definedName name="PLAN">#REF!</definedName>
    <definedName name="PLANT_JE_GWAN_GONG">#REF!</definedName>
    <definedName name="Platform">#REF!</definedName>
    <definedName name="plep">#REF!</definedName>
    <definedName name="PLHDOK_2004P">#REF!</definedName>
    <definedName name="PLHDOK_2005P">#REF!</definedName>
    <definedName name="PLINT_TITLES">#REF!</definedName>
    <definedName name="PLKORE_2001A">#REF!</definedName>
    <definedName name="PLKORE_2002F">#REF!</definedName>
    <definedName name="PLKORE_2002P">#REF!</definedName>
    <definedName name="PLKORE_2003P">#REF!</definedName>
    <definedName name="PLKORE_2004P">#REF!</definedName>
    <definedName name="PLKORE_2005P">#REF!</definedName>
    <definedName name="PLN_LBE">#REF!</definedName>
    <definedName name="plNote">#REF!</definedName>
    <definedName name="PLS">#REF!</definedName>
    <definedName name="pl건설">#REF!</definedName>
    <definedName name="pl양재">#REF!</definedName>
    <definedName name="PL환산">#N/A</definedName>
    <definedName name="pm">#REF!</definedName>
    <definedName name="PMS">#REF!</definedName>
    <definedName name="PN">#REF!</definedName>
    <definedName name="PNAME">#N/A</definedName>
    <definedName name="po">#REF!</definedName>
    <definedName name="poiuytrewq">#N/A</definedName>
    <definedName name="poopop">#N/A</definedName>
    <definedName name="PopCache_GL_INTERFACE_REFERENCE7" hidden="1">#REF!</definedName>
    <definedName name="PORR3C1R36C4RTRT">#REF!</definedName>
    <definedName name="Portfarma" hidden="1">#REF!</definedName>
    <definedName name="Post_tax_materiality">#REF!</definedName>
    <definedName name="PostInit_Call">#REF!</definedName>
    <definedName name="PP">#REF!</definedName>
    <definedName name="PPA.PPA">#N/A</definedName>
    <definedName name="PPBOH">#N/A</definedName>
    <definedName name="PPE">#N/A</definedName>
    <definedName name="PPEOH">#N/A</definedName>
    <definedName name="PPG">#N/A</definedName>
    <definedName name="PPK" localSheetId="2" hidden="1">{#N/A,#N/A,FALSE,"96 3월물량표";#N/A,#N/A,FALSE,"96 4월물량표";#N/A,#N/A,FALSE,"96 5월물량표"}</definedName>
    <definedName name="PPK" hidden="1">{#N/A,#N/A,FALSE,"96 3월물량표";#N/A,#N/A,FALSE,"96 4월물량표";#N/A,#N/A,FALSE,"96 5월물량표"}</definedName>
    <definedName name="PPP" hidden="1">{#N/A,#N/A,FALSE,"손익표지";#N/A,#N/A,FALSE,"손익계산";#N/A,#N/A,FALSE,"일반관리비";#N/A,#N/A,FALSE,"영업외수익";#N/A,#N/A,FALSE,"영업외비용";#N/A,#N/A,FALSE,"매출액";#N/A,#N/A,FALSE,"요약손익";#N/A,#N/A,FALSE,"요약대차";#N/A,#N/A,FALSE,"매출채권현황";#N/A,#N/A,FALSE,"매출채권명세"}</definedName>
    <definedName name="pps">#REF!</definedName>
    <definedName name="PR">#REF!</definedName>
    <definedName name="Pre_tax_Materiality">#REF!</definedName>
    <definedName name="preferred_name_dropdown">#REF!</definedName>
    <definedName name="PREPARED_BY">#REF!</definedName>
    <definedName name="PREPARED_DATE">#REF!</definedName>
    <definedName name="PREPLY">#REF!</definedName>
    <definedName name="president">#REF!</definedName>
    <definedName name="pressure">#REF!</definedName>
    <definedName name="PRICE">#N/A</definedName>
    <definedName name="PriceInc">#REF!</definedName>
    <definedName name="PriceIncDollars">#REF!</definedName>
    <definedName name="Pricipal_payment">#REF!</definedName>
    <definedName name="Prin_EUR_PL">#REF!</definedName>
    <definedName name="Prin_EXJAP_PL">#REF!</definedName>
    <definedName name="Prin_Summ">#REF!</definedName>
    <definedName name="Prin_US_PL">#REF!</definedName>
    <definedName name="Prin_WW_PL">#REF!</definedName>
    <definedName name="principal">#REF!</definedName>
    <definedName name="PRINT">#REF!</definedName>
    <definedName name="PRINT_ALL">#REF!</definedName>
    <definedName name="_xlnm.Print_Area" localSheetId="2">#REF!</definedName>
    <definedName name="_xlnm.Print_Area" localSheetId="1">'상세 자료 작성'!$C$1:$O$173</definedName>
    <definedName name="_xlnm.Print_Area" localSheetId="3">'연간 에상 (사장님보고)'!$A$1:$AE$77</definedName>
    <definedName name="_xlnm.Print_Area" localSheetId="0">'요약(보고)'!$A$1:$AC$205</definedName>
    <definedName name="_xlnm.Print_Area">#REF!</definedName>
    <definedName name="PRINT_AREA_MI" localSheetId="2">#REF!</definedName>
    <definedName name="PRINT_AREA_MI">#REF!</definedName>
    <definedName name="PRINT_AREA_MI1">#REF!</definedName>
    <definedName name="Print_Area\C">#REF!</definedName>
    <definedName name="PRINT_PAGE_6">#REF!</definedName>
    <definedName name="_xlnm.Print_Titles" localSheetId="2">#REF!</definedName>
    <definedName name="_xlnm.Print_Titles">#REF!</definedName>
    <definedName name="PRINT_TITLES_MI">#REF!</definedName>
    <definedName name="PRINT_TITLS">#REF!</definedName>
    <definedName name="printarea">#REF!</definedName>
    <definedName name="PrintBuyer" hidden="1">{#N/A,"DR",FALSE,"increm pf";#N/A,"MAMSI",FALSE,"increm pf";#N/A,"MAXI",FALSE,"increm pf";#N/A,"PCAM",FALSE,"increm pf";#N/A,"PHSV",FALSE,"increm pf";#N/A,"SIE",FALSE,"increm pf"}</definedName>
    <definedName name="Printgraphs">#REF!</definedName>
    <definedName name="PrintStart" hidden="1">#REF!</definedName>
    <definedName name="PRINTSUB">#REF!</definedName>
    <definedName name="Prior">#REF!</definedName>
    <definedName name="PriorSSU_Call">#REF!</definedName>
    <definedName name="prj">#REF!</definedName>
    <definedName name="prnit_titles">#REF!</definedName>
    <definedName name="PRO">#REF!</definedName>
    <definedName name="PROBA">#REF!</definedName>
    <definedName name="PROD">#N/A</definedName>
    <definedName name="ProdForm" hidden="1">#REF!</definedName>
    <definedName name="Product" hidden="1">#REF!</definedName>
    <definedName name="PRODUCT_LIST">#REF!</definedName>
    <definedName name="proj">#REF!</definedName>
    <definedName name="PROJECT">#N/A</definedName>
    <definedName name="Project_Name">#REF!</definedName>
    <definedName name="ProjName">#REF!</definedName>
    <definedName name="ProjName_ProjLevelData">#REF!</definedName>
    <definedName name="ProjNum_ProjLevelData">#REF!</definedName>
    <definedName name="PROPOSED"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ROutreachMth">#REF!</definedName>
    <definedName name="PRT6AL5AR40">#REF!</definedName>
    <definedName name="PRT6AU5BA41">#REF!</definedName>
    <definedName name="PRT6B5H25">#REF!</definedName>
    <definedName name="PRT6BD5BK32">#REF!</definedName>
    <definedName name="prt6bn252bt288">#REF!</definedName>
    <definedName name="prt6bn46bt82">#REF!</definedName>
    <definedName name="PRT6BN5BT41">#REF!</definedName>
    <definedName name="prt6bv7cc30">#REF!</definedName>
    <definedName name="prt6cf5cl37">#REF!</definedName>
    <definedName name="prt6co5cs41">#REF!</definedName>
    <definedName name="prt6cv5dg33">#REF!</definedName>
    <definedName name="PRT6K31U52">#REF!</definedName>
    <definedName name="PRT6K4U25">#REF!</definedName>
    <definedName name="PRT6K57W79">#REF!</definedName>
    <definedName name="PRT6K85U107">#REF!</definedName>
    <definedName name="PRT6X4AI25">#REF!</definedName>
    <definedName name="PSSV_onsite">#REF!</definedName>
    <definedName name="psv">#REF!</definedName>
    <definedName name="PTR">#REF!</definedName>
    <definedName name="PUB_FileID" hidden="1">"L10003649.xls"</definedName>
    <definedName name="PUB_UserID" hidden="1">"MAYERX"</definedName>
    <definedName name="PURCHASE_ORDER">#REF!</definedName>
    <definedName name="purchase_price">#REF!</definedName>
    <definedName name="PurPrice">#REF!</definedName>
    <definedName name="PY">#REF!</definedName>
    <definedName name="PY_Accounts_Receivable">#REF!</definedName>
    <definedName name="PY_Accruals_and_deferred_income">#REF!</definedName>
    <definedName name="PY_Administration">#REF!</definedName>
    <definedName name="PY_Administrative_expenses">#REF!</definedName>
    <definedName name="PY_all_Equity">#REF!</definedName>
    <definedName name="PY_all_Income">#REF!</definedName>
    <definedName name="PY_all_RetEarn">#REF!</definedName>
    <definedName name="PY_Amortisation__depreciation">#REF!</definedName>
    <definedName name="PY_Asset_Management_on_behalf_of_third_parties">#REF!</definedName>
    <definedName name="PY_Assets">#REF!</definedName>
    <definedName name="PY_Called_up_share_capital">#REF!</definedName>
    <definedName name="PY_Cash">#REF!</definedName>
    <definedName name="PY_Cash_and_balances_at_central_banks">#REF!</definedName>
    <definedName name="PY_Cash_Div_Dec">#REF!</definedName>
    <definedName name="PY_Commitments_in_favour_of_credit_institutions">#REF!</definedName>
    <definedName name="PY_Commitments_in_favour_of_customers">#REF!</definedName>
    <definedName name="PY_Commitments_in_respect_of_securities">#REF!</definedName>
    <definedName name="PY_Commitments_received_from_credit_institutions">#REF!</definedName>
    <definedName name="PY_Common_Equity">#REF!</definedName>
    <definedName name="PY_Control_of_profit_and_loss_account__must_equal_zero">#REF!</definedName>
    <definedName name="PY_Cost_of_Sales">#REF!</definedName>
    <definedName name="PY_Currency_desks">#REF!</definedName>
    <definedName name="PY_Current_Liabilities">#REF!</definedName>
    <definedName name="PY_Customer_Accounts">#REF!</definedName>
    <definedName name="PY_Debt_Securities">#REF!</definedName>
    <definedName name="PY_Debt_Securities_in_issue">#REF!</definedName>
    <definedName name="PY_Deposits_by_banks">#REF!</definedName>
    <definedName name="PY_Depreciation">#REF!</definedName>
    <definedName name="PY_Dividend_Income">#REF!</definedName>
    <definedName name="PY_Equity_and_commodity_desks">#REF!</definedName>
    <definedName name="PY_Equity_Shares">#REF!</definedName>
    <definedName name="PY_Fees_and_commissions_payable">#REF!</definedName>
    <definedName name="PY_Fees_and_commissions_receivable">#REF!</definedName>
    <definedName name="PY_Financing_commitments">#REF!</definedName>
    <definedName name="PY_Gross_Profit">#REF!</definedName>
    <definedName name="PY_Guarantees">#REF!</definedName>
    <definedName name="PY_Guarantees_in_respect_of_securities">#REF!</definedName>
    <definedName name="PY_Guarantees_received_from_credit_institutions">#REF!</definedName>
    <definedName name="PY_Guarantees_to_credit_institutions">#REF!</definedName>
    <definedName name="PY_Inc_Bef_Tax">#REF!</definedName>
    <definedName name="PY_Income_from_associated_undertakings">#REF!</definedName>
    <definedName name="PY_Intangible_Assets">#REF!</definedName>
    <definedName name="PY_Intangible_Fixed_Assets">#REF!</definedName>
    <definedName name="PY_Interest_Expense">#REF!</definedName>
    <definedName name="PY_Interest_in_associated_undertakings">#REF!</definedName>
    <definedName name="PY_Interest_payable_and_similar_charges">#REF!</definedName>
    <definedName name="PY_Interest_rate_desks">#REF!</definedName>
    <definedName name="PY_Interest_receivable_and_similar_charges">#REF!</definedName>
    <definedName name="PY_Inventory">#REF!</definedName>
    <definedName name="PY_investment">#REF!</definedName>
    <definedName name="PY_knw_Income">#REF!</definedName>
    <definedName name="PY_knw_RetEarn">#REF!</definedName>
    <definedName name="PY_LIABIL_EQUITY">#REF!</definedName>
    <definedName name="PY_lik_Income">#REF!</definedName>
    <definedName name="PY_lik_RetEarn">#REF!</definedName>
    <definedName name="PY_Loans_and_advances_to_banks">#REF!</definedName>
    <definedName name="PY_Loans_and_advances_to_customers">#REF!</definedName>
    <definedName name="PY_Loss_on_sale_of_group_undertakings">#REF!</definedName>
    <definedName name="PY_LT_Debt">#REF!</definedName>
    <definedName name="PY_Market_Value_of_Equity">#REF!</definedName>
    <definedName name="PY_Marketable_Sec">#REF!</definedName>
    <definedName name="PY_Net_Interest_Income">#REF!</definedName>
    <definedName name="PY_NET_PROFIT">#REF!</definedName>
    <definedName name="PY_Net_Revenue">#REF!</definedName>
    <definedName name="PY_Non_Interest_Income">#REF!</definedName>
    <definedName name="PY_Operating_Inc">#REF!</definedName>
    <definedName name="PY_Operating_Income">#REF!</definedName>
    <definedName name="PY_Operating_profit">#REF!</definedName>
    <definedName name="PY_Operating_profit_before_provision">#REF!</definedName>
    <definedName name="PY_Other_assets">#REF!</definedName>
    <definedName name="PY_Other_commitments_given">#REF!</definedName>
    <definedName name="PY_Other_commitments_received">#REF!</definedName>
    <definedName name="PY_Other_Curr_Assets">#REF!</definedName>
    <definedName name="PY_Other_desks">#REF!</definedName>
    <definedName name="PY_Other_Exp">#REF!</definedName>
    <definedName name="PY_Other_Liabilities">#REF!</definedName>
    <definedName name="PY_Other_LT_Assets">#REF!</definedName>
    <definedName name="PY_Other_LT_Liabilities">#REF!</definedName>
    <definedName name="PY_Other_operating_income">#REF!</definedName>
    <definedName name="PY_Others">#REF!</definedName>
    <definedName name="PY_Preferred_Stock">#REF!</definedName>
    <definedName name="PY_Prepayments_and_accrued_income">#REF!</definedName>
    <definedName name="PY_Profit_and_loss_account">#REF!</definedName>
    <definedName name="PY_Profit_on_Ordinary_activities_after_taxes">#REF!</definedName>
    <definedName name="PY_Profit_on_ordinary_activities_before_taxes">#REF!</definedName>
    <definedName name="PY_Profit_on_sale_of_fixed_asset_investments">#REF!</definedName>
    <definedName name="PY_Provisions">#REF!</definedName>
    <definedName name="PY_Provisions_for_liabilities_and_charges">#REF!</definedName>
    <definedName name="PY_QUICK_ASSETS">#REF!</definedName>
    <definedName name="PY_Reevaluation_reserve">#REF!</definedName>
    <definedName name="PY_Reserves">#REF!</definedName>
    <definedName name="PY_Retained_Earnings">#REF!</definedName>
    <definedName name="PY_Securities_acquired_with_an_option_to_repurchase_or_take_back">#REF!</definedName>
    <definedName name="PY_Securities_sold_with_an_option_to_repurchase_or_take_back">#REF!</definedName>
    <definedName name="PY_Selling">#REF!</definedName>
    <definedName name="PY_Share_premium_account">#REF!</definedName>
    <definedName name="PY_Shareholders_Equity">#REF!</definedName>
    <definedName name="PY_Subordinated_debt">#REF!</definedName>
    <definedName name="PY_Tangible_Assets">#REF!</definedName>
    <definedName name="PY_Tangible_fixed_Assets">#REF!</definedName>
    <definedName name="PY_Tangible_Net_Worth">#REF!</definedName>
    <definedName name="PY_taxes">#REF!</definedName>
    <definedName name="PY_tot_knw_Xfoot">#REF!</definedName>
    <definedName name="PY_tot_lik_Xfoot">#REF!</definedName>
    <definedName name="PY_Total__Liabilities">#REF!</definedName>
    <definedName name="PY_Total_Assets">#REF!</definedName>
    <definedName name="PY_TOTAL_COMMITMENTS_RECEIVED">#REF!</definedName>
    <definedName name="PY_TOTAL_CONTINGENT_LIABILITIES">#REF!</definedName>
    <definedName name="PY_TOTAL_CURR_ASSETS">#REF!</definedName>
    <definedName name="PY_TOTAL_DEBT">#REF!</definedName>
    <definedName name="PY_TOTAL_EQUITY">#REF!</definedName>
    <definedName name="PY_Total_trading_activities_results">#REF!</definedName>
    <definedName name="PY_Treasury_bills_and_other_eligible_bills">#REF!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Y_Weighted_Average">#REF!</definedName>
    <definedName name="PY_Working_Capital">#REF!</definedName>
    <definedName name="PY_경상이익">#REF!</definedName>
    <definedName name="PY_단기차입금">#REF!</definedName>
    <definedName name="PY_매입채무">#REF!</definedName>
    <definedName name="PY_사채">#REF!</definedName>
    <definedName name="PY_유동성장기부채">#REF!</definedName>
    <definedName name="PY_장기차입금">#REF!</definedName>
    <definedName name="PY2_Accounts_Receivable">#REF!</definedName>
    <definedName name="PY2_Accruals_and_deferred_income">#REF!</definedName>
    <definedName name="PY2_Administration">#REF!</definedName>
    <definedName name="PY2_Administrative_expenses">#REF!</definedName>
    <definedName name="PY2_Amortisation__depreciation">#REF!</definedName>
    <definedName name="PY2_Asset_Management_on_behalf_of_third_parties">#REF!</definedName>
    <definedName name="PY2_Assets">#REF!</definedName>
    <definedName name="PY2_Called_up_share_capital">#REF!</definedName>
    <definedName name="PY2_Cash">#REF!</definedName>
    <definedName name="PY2_Cash_and_balances_at_central_banks">#REF!</definedName>
    <definedName name="PY2_Cash_Div_Dec">#REF!</definedName>
    <definedName name="PY2_Commitments_in_favour_of_credit_institutions">#REF!</definedName>
    <definedName name="PY2_Commitments_in_favour_of_customers">#REF!</definedName>
    <definedName name="PY2_Commitments_in_respect_of_securities">#REF!</definedName>
    <definedName name="PY2_Commitments_received_from_credit_institutions">#REF!</definedName>
    <definedName name="PY2_Common_Equity">#REF!</definedName>
    <definedName name="PY2_Control_of_profit_and_loss_account__must_equal_zero">#REF!</definedName>
    <definedName name="PY2_Cost_of_Sales">#REF!</definedName>
    <definedName name="PY2_Currency_desks">#REF!</definedName>
    <definedName name="PY2_Current_Liabilities">#REF!</definedName>
    <definedName name="PY2_Customer_Accounts">#REF!</definedName>
    <definedName name="PY2_Debt_Securities">#REF!</definedName>
    <definedName name="PY2_Debt_Securities_in_issue">#REF!</definedName>
    <definedName name="PY2_Deposits_by_banks">#REF!</definedName>
    <definedName name="PY2_Depreciation">#REF!</definedName>
    <definedName name="PY2_Dividend_Income">#REF!</definedName>
    <definedName name="PY2_Equity_and_commodity_desks">#REF!</definedName>
    <definedName name="PY2_Equity_Shares">#REF!</definedName>
    <definedName name="PY2_Fees_and_commissions_payable">#REF!</definedName>
    <definedName name="PY2_Fees_and_commissions_receivable">#REF!</definedName>
    <definedName name="PY2_Financing_commitments">#REF!</definedName>
    <definedName name="PY2_Gross_Profit">#REF!</definedName>
    <definedName name="PY2_Guarantees">#REF!</definedName>
    <definedName name="PY2_Guarantees_in_respect_of_securities">#REF!</definedName>
    <definedName name="PY2_Guarantees_received_from_credit_institutions">#REF!</definedName>
    <definedName name="PY2_Guarantees_to_credit_institutions">#REF!</definedName>
    <definedName name="PY2_Inc_Bef_Tax">#REF!</definedName>
    <definedName name="PY2_Income_from_associated_undertakings">#REF!</definedName>
    <definedName name="PY2_Intangible_Assets">#REF!</definedName>
    <definedName name="PY2_Intangible_Fixed_Assets">#REF!</definedName>
    <definedName name="PY2_Interest_Expense">#REF!</definedName>
    <definedName name="PY2_Interest_in_associated_undertakings">#REF!</definedName>
    <definedName name="PY2_Interest_payable_and_similar_charges">#REF!</definedName>
    <definedName name="PY2_Interest_rate_desks">#REF!</definedName>
    <definedName name="PY2_Interest_receivable_and_similar_charges">#REF!</definedName>
    <definedName name="PY2_Inventory">#REF!</definedName>
    <definedName name="PY2_investment">#REF!</definedName>
    <definedName name="PY2_LIABIL_EQUITY">#REF!</definedName>
    <definedName name="PY2_Loans_and_advances_to_banks">#REF!</definedName>
    <definedName name="PY2_Loans_and_advances_to_customers">#REF!</definedName>
    <definedName name="PY2_Loss_on_sale_of_group_undertakings">#REF!</definedName>
    <definedName name="PY2_LT_Debt">#REF!</definedName>
    <definedName name="PY2_Marketable_Sec">#REF!</definedName>
    <definedName name="PY2_Net_Interest_Income">#REF!</definedName>
    <definedName name="PY2_NET_PROFIT">#REF!</definedName>
    <definedName name="PY2_Net_Revenue">#REF!</definedName>
    <definedName name="PY2_Non_Interest_Income">#REF!</definedName>
    <definedName name="PY2_Operating_Inc">#REF!</definedName>
    <definedName name="PY2_Operating_Income">#REF!</definedName>
    <definedName name="PY2_Operating_profit">#REF!</definedName>
    <definedName name="PY2_Operating_profit_before_provision">#REF!</definedName>
    <definedName name="PY2_Other_assets">#REF!</definedName>
    <definedName name="PY2_Other_commitments_given">#REF!</definedName>
    <definedName name="PY2_Other_commitments_received">#REF!</definedName>
    <definedName name="PY2_Other_Curr_Assets">#REF!</definedName>
    <definedName name="PY2_Other_desks">#REF!</definedName>
    <definedName name="PY2_Other_Exp.">#REF!</definedName>
    <definedName name="PY2_Other_Liabilities">#REF!</definedName>
    <definedName name="PY2_Other_LT_Assets">#REF!</definedName>
    <definedName name="PY2_Other_LT_Liabilities">#REF!</definedName>
    <definedName name="PY2_Other_operating_income">#REF!</definedName>
    <definedName name="PY2_Others">#REF!</definedName>
    <definedName name="PY2_Preferred_Stock">#REF!</definedName>
    <definedName name="PY2_Prepayments_and_accrued_income">#REF!</definedName>
    <definedName name="PY2_Profit_and_loss_account">#REF!</definedName>
    <definedName name="PY2_Profit_on_Ordinary_activities_after_taxes">#REF!</definedName>
    <definedName name="PY2_Profit_on_ordinary_activities_before_taxes">#REF!</definedName>
    <definedName name="PY2_Profit_on_sale_of_fixed_asset_investments">#REF!</definedName>
    <definedName name="PY2_Provisions">#REF!</definedName>
    <definedName name="PY2_Provisions_for_liabilities_and_charges">#REF!</definedName>
    <definedName name="PY2_QUICK_ASSETS">#REF!</definedName>
    <definedName name="PY2_Reevaluation_reserve">#REF!</definedName>
    <definedName name="PY2_Reserves">#REF!</definedName>
    <definedName name="PY2_Retained_Earnings">#REF!</definedName>
    <definedName name="PY2_Securities_acquired_with_an_option_to_repurchase_or_take_back">#REF!</definedName>
    <definedName name="PY2_Securities_sold_with_an_option_to_repurchase_or_take_back">#REF!</definedName>
    <definedName name="PY2_Selling">#REF!</definedName>
    <definedName name="PY2_Share_premium_account">#REF!</definedName>
    <definedName name="PY2_Shareholders_Equity">#REF!</definedName>
    <definedName name="PY2_Subordinated_debt">#REF!</definedName>
    <definedName name="PY2_Tangible_Assets">#REF!</definedName>
    <definedName name="PY2_Tangible_fixed_Assets">#REF!</definedName>
    <definedName name="PY2_Tangible_Net_Worth">#REF!</definedName>
    <definedName name="PY2_taxes">#REF!</definedName>
    <definedName name="PY2_Total__Liabilities">#REF!</definedName>
    <definedName name="PY2_Total_Assets">#REF!</definedName>
    <definedName name="PY2_TOTAL_COMMITMENTS_RECEIVED">#REF!</definedName>
    <definedName name="PY2_TOTAL_CONTINGENT_LIABILITIES">#REF!</definedName>
    <definedName name="PY2_TOTAL_CURR_ASSETS">#REF!</definedName>
    <definedName name="PY2_TOTAL_DEBT">#REF!</definedName>
    <definedName name="PY2_TOTAL_EQUITY">#REF!</definedName>
    <definedName name="PY2_Total_trading_activities_results">#REF!</definedName>
    <definedName name="PY2_Treasury_bills_and_other_eligible_bills">#REF!</definedName>
    <definedName name="PY2_Weighted_Average">#REF!</definedName>
    <definedName name="PY2_Working_Capital">#REF!</definedName>
    <definedName name="PY2_경상이익">#REF!</definedName>
    <definedName name="PY2_단기차입금">#REF!</definedName>
    <definedName name="PY2_매입채무">#REF!</definedName>
    <definedName name="PY2_사채">#REF!</definedName>
    <definedName name="PY2_유동성장기부채">#REF!</definedName>
    <definedName name="PY2_장기차입금">#REF!</definedName>
    <definedName name="PY3_Accruals_and_deferred_income">#REF!</definedName>
    <definedName name="PY3_Administrative_expenses">#REF!</definedName>
    <definedName name="PY3_Amortisation__depreciation">#REF!</definedName>
    <definedName name="PY3_Asset_Management_on_behalf_of_third_parties">#REF!</definedName>
    <definedName name="PY3_Assets">#REF!</definedName>
    <definedName name="PY3_Called_up_share_capital">#REF!</definedName>
    <definedName name="PY3_Cash_and_balances_at_central_banks">#REF!</definedName>
    <definedName name="PY3_Currency_desks">#REF!</definedName>
    <definedName name="PY3_Customer_Accounts">#REF!</definedName>
    <definedName name="PY3_Debt_Securities">#REF!</definedName>
    <definedName name="PY3_Debt_Securities_in_issue">#REF!</definedName>
    <definedName name="PY3_Deposits_by_banks">#REF!</definedName>
    <definedName name="PY3_Dividend_Income">#REF!</definedName>
    <definedName name="PY3_Equity_and_commodity_desks">#REF!</definedName>
    <definedName name="PY3_Equity_Shares">#REF!</definedName>
    <definedName name="PY3_Fees_and_commissions_payable">#REF!</definedName>
    <definedName name="PY3_Fees_and_commissions_receivable">#REF!</definedName>
    <definedName name="PY3_Income_from_associated_undertakings">#REF!</definedName>
    <definedName name="PY3_Intangible_Fixed_Assets">#REF!</definedName>
    <definedName name="PY3_Interest_payable_and_similar_charges">#REF!</definedName>
    <definedName name="PY3_Interest_rate_desks">#REF!</definedName>
    <definedName name="PY3_Loans_and_advances_to_banks">#REF!</definedName>
    <definedName name="PY3_Loans_and_advances_to_customers">#REF!</definedName>
    <definedName name="PY3_Loss_on_sale_of_group_undertakings">#REF!</definedName>
    <definedName name="PY3_Net_Interest_Income">#REF!</definedName>
    <definedName name="PY3_Non_Interest_Income">#REF!</definedName>
    <definedName name="PY3_Operating_Income">#REF!</definedName>
    <definedName name="PY3_Operating_profit">#REF!</definedName>
    <definedName name="PY3_Operating_profit_before_provision">#REF!</definedName>
    <definedName name="PY3_Other_assets">#REF!</definedName>
    <definedName name="PY3_Other_desks">#REF!</definedName>
    <definedName name="PY3_Other_Liabilities">#REF!</definedName>
    <definedName name="PY3_Other_operating_income">#REF!</definedName>
    <definedName name="PY3_Others">#REF!</definedName>
    <definedName name="PY3_Prepayments_and_accrued_income">#REF!</definedName>
    <definedName name="PY3_Profit_and_loss_account">#REF!</definedName>
    <definedName name="PY3_Profit_on_Ordinary_activities_after_taxes">#REF!</definedName>
    <definedName name="PY3_Profit_on_ordinary_activities_before_taxes">#REF!</definedName>
    <definedName name="PY3_Profit_on_sale_of_fixed_asset_investments">#REF!</definedName>
    <definedName name="PY3_Provisions">#REF!</definedName>
    <definedName name="PY3_Provisions_for_liabilities_and_charges">#REF!</definedName>
    <definedName name="PY3_Reevaluation_reserve">#REF!</definedName>
    <definedName name="PY3_Reserves">#REF!</definedName>
    <definedName name="PY3_Share_premium_account">#REF!</definedName>
    <definedName name="PY3_Shareholders_Equity">#REF!</definedName>
    <definedName name="PY3_Subordinated_debt">#REF!</definedName>
    <definedName name="PY3_Tangible_fixed_Assets">#REF!</definedName>
    <definedName name="PY3_taxes">#REF!</definedName>
    <definedName name="PY3_Total__Liabilities">#REF!</definedName>
    <definedName name="PY3_Total_Assets">#REF!</definedName>
    <definedName name="PY3_Total_trading_activities_results">#REF!</definedName>
    <definedName name="PY3_Treasury_bills_and_other_eligible_bills">#REF!</definedName>
    <definedName name="PY4_Accruals_and_deferred_income">#REF!</definedName>
    <definedName name="PY4_Administrative_expenses">#REF!</definedName>
    <definedName name="PY4_Amortisation__depreciation">#REF!</definedName>
    <definedName name="PY4_Asset_Management_on_behalf_of_third_parties">#REF!</definedName>
    <definedName name="PY4_Assets">#REF!</definedName>
    <definedName name="PY4_Called_up_share_capital">#REF!</definedName>
    <definedName name="PY4_Cash_and_balances_at_central_banks">#REF!</definedName>
    <definedName name="PY4_Currency_desks">#REF!</definedName>
    <definedName name="PY4_Customer_Accounts">#REF!</definedName>
    <definedName name="PY4_Debt_Securities">#REF!</definedName>
    <definedName name="PY4_Debt_Securities_in_issue">#REF!</definedName>
    <definedName name="PY4_Deposits_by_banks">#REF!</definedName>
    <definedName name="PY4_Dividend_Income">#REF!</definedName>
    <definedName name="PY4_Equity_and_commodity_desks">#REF!</definedName>
    <definedName name="PY4_Equity_Shares">#REF!</definedName>
    <definedName name="PY4_Fees_and_commissions_payable">#REF!</definedName>
    <definedName name="PY4_Fees_and_commissions_receivable">#REF!</definedName>
    <definedName name="PY4_Income_from_associated_undertakings">#REF!</definedName>
    <definedName name="PY4_Intangible_Fixed_Assets">#REF!</definedName>
    <definedName name="PY4_Interest_payable_and_similar_charges">#REF!</definedName>
    <definedName name="PY4_Interest_rate_desks">#REF!</definedName>
    <definedName name="PY4_Interest_receivable_and_similar_charges">#REF!</definedName>
    <definedName name="PY4_Loans_and_advances_to_banks">#REF!</definedName>
    <definedName name="PY4_Loans_and_advances_to_customers">#REF!</definedName>
    <definedName name="PY4_Loss_on_sale_of_group_undertakings">#REF!</definedName>
    <definedName name="PY4_Net_Interest_Income">#REF!</definedName>
    <definedName name="PY4_Non_Interest_Income">#REF!</definedName>
    <definedName name="PY4_Operating_Income">#REF!</definedName>
    <definedName name="PY4_Operating_profit">#REF!</definedName>
    <definedName name="PY4_Operating_profit_before_provision">#REF!</definedName>
    <definedName name="PY4_Other_assets">#REF!</definedName>
    <definedName name="PY4_Other_desks">#REF!</definedName>
    <definedName name="PY4_Other_Liabilities">#REF!</definedName>
    <definedName name="PY4_Other_operating_income">#REF!</definedName>
    <definedName name="PY4_Others">#REF!</definedName>
    <definedName name="PY4_Prepayments_and_accrued_income">#REF!</definedName>
    <definedName name="PY4_Profit_and_loss_account">#REF!</definedName>
    <definedName name="PY4_Profit_on_Ordinary_activities_after_taxes">#REF!</definedName>
    <definedName name="PY4_Profit_on_ordinary_activities_before_taxes">#REF!</definedName>
    <definedName name="PY4_Profit_on_sale_of_fixed_asset_investments">#REF!</definedName>
    <definedName name="PY4_Provisions">#REF!</definedName>
    <definedName name="PY4_Provisions_for_liabilities_and_charges">#REF!</definedName>
    <definedName name="PY4_Reevaluation_reserve">#REF!</definedName>
    <definedName name="PY4_Reserves">#REF!</definedName>
    <definedName name="PY4_Share_premium_account">#REF!</definedName>
    <definedName name="PY4_Shareholders_Equity">#REF!</definedName>
    <definedName name="PY4_Subordinated_debt">#REF!</definedName>
    <definedName name="PY4_Tangible_fixed_Assets">#REF!</definedName>
    <definedName name="PY4_taxes">#REF!</definedName>
    <definedName name="PY4_Total__Liabilities">#REF!</definedName>
    <definedName name="PY4_Total_Assets">#REF!</definedName>
    <definedName name="PY4_Total_trading_activities_results">#REF!</definedName>
    <definedName name="PY4_Treasury_bills_and_other_eligible_bills">#REF!</definedName>
    <definedName name="PY5_Accruals_and_deferred_income">#REF!</definedName>
    <definedName name="PY5_Administrative_expenses">#REF!</definedName>
    <definedName name="PY5_Amortisation__depreciation">#REF!</definedName>
    <definedName name="PY5_Asset_Management_on_behalf_of_third_parties">#REF!</definedName>
    <definedName name="PY5_Assets">#REF!</definedName>
    <definedName name="PY5_Called_up_share_capital">#REF!</definedName>
    <definedName name="PY5_Cash_and_balances_at_central_banks">#REF!</definedName>
    <definedName name="PY5_Currency_desks">#REF!</definedName>
    <definedName name="PY5_Customer_Accounts">#REF!</definedName>
    <definedName name="PY5_Debt_Securities">#REF!</definedName>
    <definedName name="PY5_Debt_Securities_in_issue">#REF!</definedName>
    <definedName name="PY5_Deposits_by_banks">#REF!</definedName>
    <definedName name="PY5_Dividend_Income">#REF!</definedName>
    <definedName name="PY5_Equity_and_commodity_desks">#REF!</definedName>
    <definedName name="PY5_Equity_Shares">#REF!</definedName>
    <definedName name="PY5_Fees_and_commissions_payable">#REF!</definedName>
    <definedName name="PY5_Fees_and_commissions_receivable">#REF!</definedName>
    <definedName name="PY5_Income_from_associated_undertakings">#REF!</definedName>
    <definedName name="PY5_Intangible_Fixed_Assets">#REF!</definedName>
    <definedName name="PY5_Interest_payable_and_similar_charges">#REF!</definedName>
    <definedName name="PY5_Interest_rate_desks">#REF!</definedName>
    <definedName name="PY5_Interest_receivable_and_similar_charges">#REF!</definedName>
    <definedName name="PY5_Loans_and_advances_to_banks">#REF!</definedName>
    <definedName name="PY5_Loans_and_advances_to_customers">#REF!</definedName>
    <definedName name="PY5_Loss_on_sale_of_group_undertakings">#REF!</definedName>
    <definedName name="PY5_Net_Interest_Income">#REF!</definedName>
    <definedName name="PY5_Non_Interest_Income">#REF!</definedName>
    <definedName name="PY5_Operating_Income">#REF!</definedName>
    <definedName name="PY5_Operating_profit">#REF!</definedName>
    <definedName name="PY5_Operating_profit_before_provision">#REF!</definedName>
    <definedName name="PY5_Other_assets">#REF!</definedName>
    <definedName name="PY5_Other_desks">#REF!</definedName>
    <definedName name="PY5_Other_Liabilities">#REF!</definedName>
    <definedName name="PY5_Other_operating_income">#REF!</definedName>
    <definedName name="PY5_Others">#REF!</definedName>
    <definedName name="PY5_Prepayments_and_accrued_income">#REF!</definedName>
    <definedName name="PY5_Profit_and_loss_account">#REF!</definedName>
    <definedName name="PY5_Profit_on_Ordinary_activities_after_taxes">#REF!</definedName>
    <definedName name="PY5_Profit_on_ordinary_activities_before_taxes">#REF!</definedName>
    <definedName name="PY5_Profit_on_sale_of_fixed_asset_investments">#REF!</definedName>
    <definedName name="PY5_Provisions">#REF!</definedName>
    <definedName name="PY5_Provisions_for_liabilities_and_charges">#REF!</definedName>
    <definedName name="PY5_Reevaluation_reserve">#REF!</definedName>
    <definedName name="PY5_Reserves">#REF!</definedName>
    <definedName name="PY5_Share_premium_account">#REF!</definedName>
    <definedName name="PY5_Shareholders_Equity">#REF!</definedName>
    <definedName name="PY5_Subordinated_debt">#REF!</definedName>
    <definedName name="PY5_Tangible_fixed_Assets">#REF!</definedName>
    <definedName name="PY5_taxes">#REF!</definedName>
    <definedName name="PY5_Total__Liabilities">#REF!</definedName>
    <definedName name="PY5_Total_Assets">#REF!</definedName>
    <definedName name="PY5_Total_trading_activities_results">#REF!</definedName>
    <definedName name="PY5_Treasury_bills_and_other_eligible_bills">#REF!</definedName>
    <definedName name="PYACT">#REF!</definedName>
    <definedName name="P행">#REF!</definedName>
    <definedName name="q" hidden="1">#REF!</definedName>
    <definedName name="Q1123432" localSheetId="2" hidden="1">{#N/A,#N/A,FALSE,"Aging Summary";#N/A,#N/A,FALSE,"Ratio Analysis";#N/A,#N/A,FALSE,"Test 120 Day Accts";#N/A,#N/A,FALSE,"Tickmarks"}</definedName>
    <definedName name="Q1123432" hidden="1">{#N/A,#N/A,FALSE,"Aging Summary";#N/A,#N/A,FALSE,"Ratio Analysis";#N/A,#N/A,FALSE,"Test 120 Day Accts";#N/A,#N/A,FALSE,"Tickmarks"}</definedName>
    <definedName name="q1u">#REF!</definedName>
    <definedName name="q234562456" hidden="1">{"'용역비'!$A$4:$C$8"}</definedName>
    <definedName name="Q2777x2c">#REF!</definedName>
    <definedName name="Qa">#REF!</definedName>
    <definedName name="QAMT86106">#N/A</definedName>
    <definedName name="QAW" localSheetId="2" hidden="1">{#N/A,#N/A,FALSE,"을지 (4)";#N/A,#N/A,FALSE,"을지 (5)";#N/A,#N/A,FALSE,"을지 (6)"}</definedName>
    <definedName name="QAW" hidden="1">{#N/A,#N/A,FALSE,"을지 (4)";#N/A,#N/A,FALSE,"을지 (5)";#N/A,#N/A,FALSE,"을지 (6)"}</definedName>
    <definedName name="QBPL">#REF!</definedName>
    <definedName name="QBPLdates">#REF!</definedName>
    <definedName name="QBPLnames">#REF!</definedName>
    <definedName name="QC">BlankMacro1</definedName>
    <definedName name="QC_1">BlankMacro1</definedName>
    <definedName name="QC_2" localSheetId="2" hidden="1">{#N/A,#N/A,FALSE,"Pharm";#N/A,#N/A,FALSE,"WWCM"}</definedName>
    <definedName name="QC_2" hidden="1">{#N/A,#N/A,FALSE,"Pharm";#N/A,#N/A,FALSE,"WWCM"}</definedName>
    <definedName name="qd">#REF!</definedName>
    <definedName name="QE" localSheetId="2"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eqeqe" localSheetId="2" hidden="1">{#N/A,#N/A,FALSE,"Aging Summary";#N/A,#N/A,FALSE,"Ratio Analysis";#N/A,#N/A,FALSE,"Test 120 Day Accts";#N/A,#N/A,FALSE,"Tickmarks"}</definedName>
    <definedName name="qeqeqe" hidden="1">{#N/A,#N/A,FALSE,"Aging Summary";#N/A,#N/A,FALSE,"Ratio Analysis";#N/A,#N/A,FALSE,"Test 120 Day Accts";#N/A,#N/A,FALSE,"Tickmarks"}</definedName>
    <definedName name="qer" hidden="1">{#N/A,#N/A,FALSE,"손익표지";#N/A,#N/A,FALSE,"손익계산";#N/A,#N/A,FALSE,"일반관리비";#N/A,#N/A,FALSE,"영업외수익";#N/A,#N/A,FALSE,"영업외비용";#N/A,#N/A,FALSE,"매출액";#N/A,#N/A,FALSE,"요약손익";#N/A,#N/A,FALSE,"요약대차";#N/A,#N/A,FALSE,"매출채권현황";#N/A,#N/A,FALSE,"매출채권명세"}</definedName>
    <definedName name="qewqwe">#REF!,#REF!</definedName>
    <definedName name="Qf">#REF!</definedName>
    <definedName name="QI">BlankMacro1</definedName>
    <definedName name="QKRH" hidden="1">{#N/A,#N/A,FALSE,"손익표지";#N/A,#N/A,FALSE,"손익계산";#N/A,#N/A,FALSE,"일반관리비";#N/A,#N/A,FALSE,"영업외수익";#N/A,#N/A,FALSE,"영업외비용";#N/A,#N/A,FALSE,"매출액";#N/A,#N/A,FALSE,"요약손익";#N/A,#N/A,FALSE,"요약대차";#N/A,#N/A,FALSE,"매출채권현황";#N/A,#N/A,FALSE,"매출채권명세"}</definedName>
    <definedName name="qkrk"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Lat_Rate">0.9</definedName>
    <definedName name="QLQL">#REF!</definedName>
    <definedName name="Qm">#REF!</definedName>
    <definedName name="qo">#REF!</definedName>
    <definedName name="QQ" hidden="1">#REF!</definedName>
    <definedName name="qqq" localSheetId="2" hidden="1">{#N/A,#N/A,FALSE,"BS";#N/A,#N/A,FALSE,"PL";#N/A,#N/A,FALSE,"처분";#N/A,#N/A,FALSE,"현금";#N/A,#N/A,FALSE,"매출";#N/A,#N/A,FALSE,"원가";#N/A,#N/A,FALSE,"경영"}</definedName>
    <definedName name="qqq" hidden="1">{#N/A,#N/A,FALSE,"BS";#N/A,#N/A,FALSE,"PL";#N/A,#N/A,FALSE,"처분";#N/A,#N/A,FALSE,"현금";#N/A,#N/A,FALSE,"매출";#N/A,#N/A,FALSE,"원가";#N/A,#N/A,FALSE,"경영"}</definedName>
    <definedName name="QQQAAASSS" localSheetId="2" hidden="1">{#N/A,#N/A,TRUE,"Y생산";#N/A,#N/A,TRUE,"Y판매";#N/A,#N/A,TRUE,"Y총물량";#N/A,#N/A,TRUE,"Y능력";#N/A,#N/A,TRUE,"YKD"}</definedName>
    <definedName name="QQQAAASSS" hidden="1">{#N/A,#N/A,TRUE,"Y생산";#N/A,#N/A,TRUE,"Y판매";#N/A,#N/A,TRUE,"Y총물량";#N/A,#N/A,TRUE,"Y능력";#N/A,#N/A,TRUE,"YKD"}</definedName>
    <definedName name="QQQQ" localSheetId="2" hidden="1">{#N/A,#N/A,FALSE,"단축1";#N/A,#N/A,FALSE,"단축2";#N/A,#N/A,FALSE,"단축3";#N/A,#N/A,FALSE,"장축";#N/A,#N/A,FALSE,"4WD"}</definedName>
    <definedName name="QQQQ" hidden="1">{#N/A,#N/A,FALSE,"단축1";#N/A,#N/A,FALSE,"단축2";#N/A,#N/A,FALSE,"단축3";#N/A,#N/A,FALSE,"장축";#N/A,#N/A,FALSE,"4WD"}</definedName>
    <definedName name="QQQQQ" localSheetId="2" hidden="1">{#N/A,#N/A,FALSE,"UNIT";#N/A,#N/A,FALSE,"UNIT";#N/A,#N/A,FALSE,"계정"}</definedName>
    <definedName name="QQQQQ" hidden="1">{#N/A,#N/A,FALSE,"UNIT";#N/A,#N/A,FALSE,"UNIT";#N/A,#N/A,FALSE,"계정"}</definedName>
    <definedName name="QQQQQQ" hidden="1">{#N/A,#N/A,FALSE,"손익표지";#N/A,#N/A,FALSE,"손익계산";#N/A,#N/A,FALSE,"일반관리비";#N/A,#N/A,FALSE,"영업외수익";#N/A,#N/A,FALSE,"영업외비용";#N/A,#N/A,FALSE,"매출액";#N/A,#N/A,FALSE,"요약손익";#N/A,#N/A,FALSE,"요약대차";#N/A,#N/A,FALSE,"매출채권현황";#N/A,#N/A,FALSE,"매출채권명세"}</definedName>
    <definedName name="QQQQQQQ" localSheetId="2" hidden="1">{#N/A,#N/A,TRUE,"Y생산";#N/A,#N/A,TRUE,"Y판매";#N/A,#N/A,TRUE,"Y총물량";#N/A,#N/A,TRUE,"Y능력";#N/A,#N/A,TRUE,"YKD"}</definedName>
    <definedName name="QQQQQQQ" hidden="1">{#N/A,#N/A,TRUE,"Y생산";#N/A,#N/A,TRUE,"Y판매";#N/A,#N/A,TRUE,"Y총물량";#N/A,#N/A,TRUE,"Y능력";#N/A,#N/A,TRUE,"YKD"}</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 hidden="1">{#N/A,#N/A,FALSE,"단축1";#N/A,#N/A,FALSE,"단축2";#N/A,#N/A,FALSE,"단축3";#N/A,#N/A,FALSE,"장축";#N/A,#N/A,FALSE,"4WD"}</definedName>
    <definedName name="QQQQQQQQQQQQQQQQQQQQ" hidden="1">{#N/A,#N/A,FALSE,"손익표지";#N/A,#N/A,FALSE,"손익계산";#N/A,#N/A,FALSE,"일반관리비";#N/A,#N/A,FALSE,"영업외수익";#N/A,#N/A,FALSE,"영업외비용";#N/A,#N/A,FALSE,"매출액";#N/A,#N/A,FALSE,"요약손익";#N/A,#N/A,FALSE,"요약대차";#N/A,#N/A,FALSE,"매출채권현황";#N/A,#N/A,FALSE,"매출채권명세"}</definedName>
    <definedName name="QQQQQQWWWWWWW">#N/A</definedName>
    <definedName name="qqqrrttrrtret" hidden="1">{#N/A,#N/A,FALSE,"손익표지";#N/A,#N/A,FALSE,"손익계산";#N/A,#N/A,FALSE,"일반관리비";#N/A,#N/A,FALSE,"영업외수익";#N/A,#N/A,FALSE,"영업외비용";#N/A,#N/A,FALSE,"매출액";#N/A,#N/A,FALSE,"요약손익";#N/A,#N/A,FALSE,"요약대차";#N/A,#N/A,FALSE,"매출채권현황";#N/A,#N/A,FALSE,"매출채권명세"}</definedName>
    <definedName name="QRABOH">#N/A</definedName>
    <definedName name="QRAEOH">#N/A</definedName>
    <definedName name="qs">#REF!</definedName>
    <definedName name="Qsa">#REF!</definedName>
    <definedName name="QSS" hidden="1">{#N/A,#N/A,FALSE,"을지 (4)";#N/A,#N/A,FALSE,"을지 (5)";#N/A,#N/A,FALSE,"을지 (6)"}</definedName>
    <definedName name="qtwer" hidden="1">{#N/A,#N/A,FALSE,"손익표지";#N/A,#N/A,FALSE,"손익계산";#N/A,#N/A,FALSE,"일반관리비";#N/A,#N/A,FALSE,"영업외수익";#N/A,#N/A,FALSE,"영업외비용";#N/A,#N/A,FALSE,"매출액";#N/A,#N/A,FALSE,"요약손익";#N/A,#N/A,FALSE,"요약대차";#N/A,#N/A,FALSE,"매출채권현황";#N/A,#N/A,FALSE,"매출채권명세"}</definedName>
    <definedName name="QTY">#N/A</definedName>
    <definedName name="Qual_Call">SUM(#REF!)</definedName>
    <definedName name="quarter">#REF!</definedName>
    <definedName name="Query">#REF!</definedName>
    <definedName name="Query1">#REF!</definedName>
    <definedName name="quit_button_Click">#REF!</definedName>
    <definedName name="qw" localSheetId="2" hidden="1">{#N/A,#N/A,FALSE,"단가표지"}</definedName>
    <definedName name="qw" hidden="1">{#N/A,#N/A,FALSE,"단가표지"}</definedName>
    <definedName name="QWA" localSheetId="2" hidden="1">{#N/A,#N/A,FALSE,"을지 (4)";#N/A,#N/A,FALSE,"을지 (5)";#N/A,#N/A,FALSE,"을지 (6)"}</definedName>
    <definedName name="QWA" hidden="1">{#N/A,#N/A,FALSE,"을지 (4)";#N/A,#N/A,FALSE,"을지 (5)";#N/A,#N/A,FALSE,"을지 (6)"}</definedName>
    <definedName name="qwe" localSheetId="2" hidden="1">{#N/A,#N/A,FALSE,"Aging Summary";#N/A,#N/A,FALSE,"Ratio Analysis";#N/A,#N/A,FALSE,"Test 120 Day Accts";#N/A,#N/A,FALSE,"Tickmarks"}</definedName>
    <definedName name="qwe" hidden="1">{#N/A,#N/A,FALSE,"Aging Summary";#N/A,#N/A,FALSE,"Ratio Analysis";#N/A,#N/A,FALSE,"Test 120 Day Accts";#N/A,#N/A,FALSE,"Tickmarks"}</definedName>
    <definedName name="qweqwe" localSheetId="2" hidden="1">{#N/A,#N/A,FALSE,"Aging Summary";#N/A,#N/A,FALSE,"Ratio Analysis";#N/A,#N/A,FALSE,"Test 120 Day Accts";#N/A,#N/A,FALSE,"Tickmarks"}</definedName>
    <definedName name="qweqwe" hidden="1">{#N/A,#N/A,FALSE,"Aging Summary";#N/A,#N/A,FALSE,"Ratio Analysis";#N/A,#N/A,FALSE,"Test 120 Day Accts";#N/A,#N/A,FALSE,"Tickmarks"}</definedName>
    <definedName name="QWER" hidden="1">#REF!</definedName>
    <definedName name="qwqwqw" localSheetId="2" hidden="1">{#N/A,#N/A,FALSE,"Aging Summary";#N/A,#N/A,FALSE,"Ratio Analysis";#N/A,#N/A,FALSE,"Test 120 Day Accts";#N/A,#N/A,FALSE,"Tickmarks"}</definedName>
    <definedName name="qwqwqw" hidden="1">{#N/A,#N/A,FALSE,"Aging Summary";#N/A,#N/A,FALSE,"Ratio Analysis";#N/A,#N/A,FALSE,"Test 120 Day Accts";#N/A,#N/A,FALSE,"Tickmarks"}</definedName>
    <definedName name="QWRF">#N/A</definedName>
    <definedName name="qwwq" localSheetId="2" hidden="1">{#N/A,#N/A,FALSE,"Aging Summary";#N/A,#N/A,FALSE,"Ratio Analysis";#N/A,#N/A,FALSE,"Test 120 Day Accts";#N/A,#N/A,FALSE,"Tickmarks"}</definedName>
    <definedName name="qwwq" hidden="1">{#N/A,#N/A,FALSE,"Aging Summary";#N/A,#N/A,FALSE,"Ratio Analysis";#N/A,#N/A,FALSE,"Test 120 Day Accts";#N/A,#N/A,FALSE,"Tickmarks"}</definedName>
    <definedName name="QWWWWW" hidden="1">{#N/A,#N/A,FALSE,"단축1";#N/A,#N/A,FALSE,"단축2";#N/A,#N/A,FALSE,"단축3";#N/A,#N/A,FALSE,"장축";#N/A,#N/A,FALSE,"4WD"}</definedName>
    <definedName name="qyk" hidden="1">{"'용역비'!$A$4:$C$8"}</definedName>
    <definedName name="Q행">#REF!</definedName>
    <definedName name="r.CashFlow" hidden="1">#REF!</definedName>
    <definedName name="r.Leverage" hidden="1">#REF!</definedName>
    <definedName name="r.Liquidity" hidden="1">#REF!</definedName>
    <definedName name="r.Market" hidden="1">#REF!</definedName>
    <definedName name="r.Profitability" hidden="1">#REF!</definedName>
    <definedName name="r.Summary" hidden="1">#REF!</definedName>
    <definedName name="R_10">#REF!</definedName>
    <definedName name="R_11">#REF!</definedName>
    <definedName name="R_30">#REF!</definedName>
    <definedName name="R_31">#REF!</definedName>
    <definedName name="R_32">#REF!</definedName>
    <definedName name="R_33">#REF!</definedName>
    <definedName name="R_34">#REF!</definedName>
    <definedName name="R_41">#REF!</definedName>
    <definedName name="R_43">#REF!</definedName>
    <definedName name="R_COVER" localSheetId="2" hidden="1">{#N/A,#N/A,FALSE,"단축1";#N/A,#N/A,FALSE,"단축2";#N/A,#N/A,FALSE,"단축3";#N/A,#N/A,FALSE,"장축";#N/A,#N/A,FALSE,"4WD"}</definedName>
    <definedName name="R_COVER" hidden="1">{#N/A,#N/A,FALSE,"단축1";#N/A,#N/A,FALSE,"단축2";#N/A,#N/A,FALSE,"단축3";#N/A,#N/A,FALSE,"장축";#N/A,#N/A,FALSE,"4WD"}</definedName>
    <definedName name="ra">#REF!</definedName>
    <definedName name="RAC물정보비">#REF!</definedName>
    <definedName name="RAC실정보제외">#REF!</definedName>
    <definedName name="radius">#REF!</definedName>
    <definedName name="RANGEA1">#N/A</definedName>
    <definedName name="RANGEB">#N/A</definedName>
    <definedName name="RANGEB1">#N/A</definedName>
    <definedName name="RANGEB1B">#N/A</definedName>
    <definedName name="RANGEBB">#N/A</definedName>
    <definedName name="RANGEC">#N/A</definedName>
    <definedName name="RANGEC1">#N/A</definedName>
    <definedName name="RANGED">#N/A</definedName>
    <definedName name="RANGED1">#N/A</definedName>
    <definedName name="RANGEE">#N/A</definedName>
    <definedName name="RANGEE1">#N/A</definedName>
    <definedName name="RANGEF">#N/A</definedName>
    <definedName name="RANGEF1">#N/A</definedName>
    <definedName name="RANGEG">#N/A</definedName>
    <definedName name="RANGEG1">#N/A</definedName>
    <definedName name="RangeNewControl">#REF!</definedName>
    <definedName name="RangeNo">#REF!</definedName>
    <definedName name="RangeStep3Q1">#REF!</definedName>
    <definedName name="RangeStep3Q2">#REF!</definedName>
    <definedName name="RangeSubprocesses">#REF!</definedName>
    <definedName name="RangeYes">#REF!</definedName>
    <definedName name="rarewt" localSheetId="2" hidden="1">{#N/A,#N/A,FALSE,"CCTV"}</definedName>
    <definedName name="rarewt" hidden="1">{#N/A,#N/A,FALSE,"CCTV"}</definedName>
    <definedName name="Rate">#REF!</definedName>
    <definedName name="rates">#REF!</definedName>
    <definedName name="RATTLE" hidden="1">{#N/A,#N/A,FALSE,"단축1";#N/A,#N/A,FALSE,"단축2";#N/A,#N/A,FALSE,"단축3";#N/A,#N/A,FALSE,"장축";#N/A,#N/A,FALSE,"4WD"}</definedName>
    <definedName name="RawData">#REF!</definedName>
    <definedName name="RawHeader">#REF!</definedName>
    <definedName name="RCArea" hidden="1">#REF!</definedName>
    <definedName name="rd">#REF!</definedName>
    <definedName name="RDG" hidden="1">{#N/A,#N/A,FALSE,"단축1";#N/A,#N/A,FALSE,"단축2";#N/A,#N/A,FALSE,"단축3";#N/A,#N/A,FALSE,"장축";#N/A,#N/A,FALSE,"4WD"}</definedName>
    <definedName name="RDU">#REF!,#REF!,#REF!,#REF!,#REF!,#REF!</definedName>
    <definedName name="re"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_bar">#REF!</definedName>
    <definedName name="rea">BlankMacro1</definedName>
    <definedName name="readonhand">#REF!</definedName>
    <definedName name="reag">#REF!</definedName>
    <definedName name="rebarallow">#REF!</definedName>
    <definedName name="_xlnm.Recorder">#REF!</definedName>
    <definedName name="RECOUT">#N/A</definedName>
    <definedName name="RedefinePrintTableRange" hidden="1">#REF!</definedName>
    <definedName name="redo" hidden="1">{#N/A,#N/A,FALSE,"ACQ_GRAPHS";#N/A,#N/A,FALSE,"T_1 GRAPHS";#N/A,#N/A,FALSE,"T_2 GRAPHS";#N/A,#N/A,FALSE,"COMB_GRAPHS"}</definedName>
    <definedName name="REF">#REF!</definedName>
    <definedName name="Region_dropdown">#REF!</definedName>
    <definedName name="REM">#N/A</definedName>
    <definedName name="REMK">#N/A</definedName>
    <definedName name="RENN" hidden="1">{"'7-2지역별'!$A$1:$R$44"}</definedName>
    <definedName name="rep" hidden="1">{#N/A,#N/A,FALSE,"COVER";#N/A,#N/A,FALSE,"VALUATION";#N/A,#N/A,FALSE,"FORECAST";#N/A,#N/A,FALSE,"FY ANALYSIS ";#N/A,#N/A,FALSE," HY ANALYSIS"}</definedName>
    <definedName name="Repeat_Figures">#REF!</definedName>
    <definedName name="Repeat_Listings">#REF!</definedName>
    <definedName name="Repeat_Tables">#REF!</definedName>
    <definedName name="report">#REF!</definedName>
    <definedName name="ReportCreated">TRUE</definedName>
    <definedName name="reportP2">#REF!</definedName>
    <definedName name="reportPl">#REF!</definedName>
    <definedName name="ReportTitle1">#REF!</definedName>
    <definedName name="RERER">#N/A</definedName>
    <definedName name="Reset">#REF!</definedName>
    <definedName name="ret" hidden="1">{#N/A,#N/A,FALSE,"손익표지";#N/A,#N/A,FALSE,"손익계산";#N/A,#N/A,FALSE,"일반관리비";#N/A,#N/A,FALSE,"영업외수익";#N/A,#N/A,FALSE,"영업외비용";#N/A,#N/A,FALSE,"매출액";#N/A,#N/A,FALSE,"요약손익";#N/A,#N/A,FALSE,"요약대차";#N/A,#N/A,FALSE,"매출채권현황";#N/A,#N/A,FALSE,"매출채권명세"}</definedName>
    <definedName name="Retrait">#REF!</definedName>
    <definedName name="rew"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s" hidden="1">#N/A</definedName>
    <definedName name="rey" hidden="1">{#N/A,#N/A,FALSE,"손익표지";#N/A,#N/A,FALSE,"손익계산";#N/A,#N/A,FALSE,"일반관리비";#N/A,#N/A,FALSE,"영업외수익";#N/A,#N/A,FALSE,"영업외비용";#N/A,#N/A,FALSE,"매출액";#N/A,#N/A,FALSE,"요약손익";#N/A,#N/A,FALSE,"요약대차";#N/A,#N/A,FALSE,"매출채권현황";#N/A,#N/A,FALSE,"매출채권명세"}</definedName>
    <definedName name="RF" localSheetId="2" hidden="1">{#N/A,#N/A,FALSE,"기안지";#N/A,#N/A,FALSE,"통신지"}</definedName>
    <definedName name="RF" hidden="1">{#N/A,#N/A,FALSE,"기안지";#N/A,#N/A,FALSE,"통신지"}</definedName>
    <definedName name="RFP003A">#REF!</definedName>
    <definedName name="RFP003B">#REF!</definedName>
    <definedName name="RFP003C">#REF!</definedName>
    <definedName name="RFP003D">#REF!</definedName>
    <definedName name="RFP003E">#REF!</definedName>
    <definedName name="RFP003F">#REF!</definedName>
    <definedName name="Rfr">#REF!</definedName>
    <definedName name="RFSDF">BLCH</definedName>
    <definedName name="RGSDG" hidden="1">{#N/A,#N/A,FALSE,"단축1";#N/A,#N/A,FALSE,"단축2";#N/A,#N/A,FALSE,"단축3";#N/A,#N/A,FALSE,"장축";#N/A,#N/A,FALSE,"4WD"}</definedName>
    <definedName name="RH" hidden="1">{"'용역비'!$A$4:$C$8"}</definedName>
    <definedName name="RIGHT">#REF!</definedName>
    <definedName name="risk">#REF!</definedName>
    <definedName name="RiskAfterRecalcMacro" hidden="1">""</definedName>
    <definedName name="RiskAfterSimMacro" hidden="1">""</definedName>
    <definedName name="RiskBeforeRecalcMacro" hidden="1">""</definedName>
    <definedName name="RiskBeforeSimMacro" hidden="1">""</definedName>
    <definedName name="RiskFixedSeed" hidden="1">1</definedName>
    <definedName name="RiskMinimizeOnStart" hidden="1">FALSE</definedName>
    <definedName name="RiskMonitorConvergence" hidden="1">FALSE</definedName>
    <definedName name="RiskMultipleCPUSupportEnabled" hidden="1">TRUE</definedName>
    <definedName name="RiskNumSimulations" hidden="1">5</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K내용" localSheetId="2" hidden="1">{#N/A,#N/A,FALSE,"UNIT";#N/A,#N/A,FALSE,"UNIT";#N/A,#N/A,FALSE,"계정"}</definedName>
    <definedName name="RISK내용" hidden="1">{#N/A,#N/A,FALSE,"UNIT";#N/A,#N/A,FALSE,"UNIT";#N/A,#N/A,FALSE,"계정"}</definedName>
    <definedName name="rk" localSheetId="2" hidden="1">{#N/A,#N/A,FALSE,"BS";#N/A,#N/A,FALSE,"PL";#N/A,#N/A,FALSE,"처분";#N/A,#N/A,FALSE,"현금";#N/A,#N/A,FALSE,"매출";#N/A,#N/A,FALSE,"원가";#N/A,#N/A,FALSE,"경영"}</definedName>
    <definedName name="rk" hidden="1">{#N/A,#N/A,FALSE,"BS";#N/A,#N/A,FALSE,"PL";#N/A,#N/A,FALSE,"처분";#N/A,#N/A,FALSE,"현금";#N/A,#N/A,FALSE,"매출";#N/A,#N/A,FALSE,"원가";#N/A,#N/A,FALSE,"경영"}</definedName>
    <definedName name="rkdd">#REF!</definedName>
    <definedName name="rkq">#REF!</definedName>
    <definedName name="RKRKR" localSheetId="2"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KSK" hidden="1">#REF!</definedName>
    <definedName name="RL">#REF!</definedName>
    <definedName name="RLA" localSheetId="2" hidden="1">{#N/A,#N/A,TRUE,"Y생산";#N/A,#N/A,TRUE,"Y판매";#N/A,#N/A,TRUE,"Y총물량";#N/A,#N/A,TRUE,"Y능력";#N/A,#N/A,TRUE,"YKD"}</definedName>
    <definedName name="RLA" hidden="1">{#N/A,#N/A,TRUE,"Y생산";#N/A,#N/A,TRUE,"Y판매";#N/A,#N/A,TRUE,"Y총물량";#N/A,#N/A,TRUE,"Y능력";#N/A,#N/A,TRUE,"YKD"}</definedName>
    <definedName name="rlr">#REF!</definedName>
    <definedName name="rm">#REF!</definedName>
    <definedName name="rmalfl">#REF!</definedName>
    <definedName name="RMIN">#N/A</definedName>
    <definedName name="RMREOH">#N/A</definedName>
    <definedName name="RMRNOT">#N/A</definedName>
    <definedName name="RNDBOH">#N/A</definedName>
    <definedName name="RNDEOH">#N/A</definedName>
    <definedName name="rnqsj">#REF!,#REF!</definedName>
    <definedName name="RO">#REF!</definedName>
    <definedName name="Rodogyl2004">#REF!</definedName>
    <definedName name="Rodogyl2005">#REF!</definedName>
    <definedName name="Rodogyl2006">#REF!</definedName>
    <definedName name="Rodogyl2007">#REF!</definedName>
    <definedName name="Rodogylcogs2001">#REF!</definedName>
    <definedName name="Rodogylcogs2002">#REF!</definedName>
    <definedName name="Rodogylcogs2002P">#REF!</definedName>
    <definedName name="Rodogylcogs2002Q1">#REF!</definedName>
    <definedName name="Rodogylcogs2002Q2">#REF!</definedName>
    <definedName name="Rodogylcogs2002Q3">#REF!</definedName>
    <definedName name="Rodogylcogs2002Q4">#REF!</definedName>
    <definedName name="Rodogylcogs2003">#REF!</definedName>
    <definedName name="Rodogylcogs2004">#REF!</definedName>
    <definedName name="Rodogylcogs2005">#REF!</definedName>
    <definedName name="Rodogylcogs2006">#REF!</definedName>
    <definedName name="Rodogylcogs2007">#REF!</definedName>
    <definedName name="Rodogylicm2001">#REF!</definedName>
    <definedName name="Rodogylicm2002">#REF!</definedName>
    <definedName name="Rodogylicm2002P">#REF!</definedName>
    <definedName name="Rodogylicm2002Q1">#REF!</definedName>
    <definedName name="Rodogylicm2002Q2">#REF!</definedName>
    <definedName name="Rodogylicm2002Q3">#REF!</definedName>
    <definedName name="Rodogylicm2002Q4">#REF!</definedName>
    <definedName name="Rodogylicm2003">#REF!</definedName>
    <definedName name="Rodogylicm2004">#REF!</definedName>
    <definedName name="Rodogylicm2005">#REF!</definedName>
    <definedName name="Rodogylicm2006">#REF!</definedName>
    <definedName name="Rodogylicm2007">#REF!</definedName>
    <definedName name="Rodogylicmq1">#REF!</definedName>
    <definedName name="Rodogylicmq2">#REF!</definedName>
    <definedName name="Rodogylicmq3">#REF!</definedName>
    <definedName name="Rodogylicmq4">#REF!</definedName>
    <definedName name="Rodogylq1">#REF!</definedName>
    <definedName name="Rodogylq2">#REF!</definedName>
    <definedName name="Rodogylq3">#REF!</definedName>
    <definedName name="Rodogylq4">#REF!</definedName>
    <definedName name="Rodogylscogsq1">#REF!</definedName>
    <definedName name="Rodogylscogsq2">#REF!</definedName>
    <definedName name="Rodogylscogsq3">#REF!</definedName>
    <definedName name="Rodogylscogsq4">#REF!</definedName>
    <definedName name="roh">#REF!</definedName>
    <definedName name="RoneTip">#REF!</definedName>
    <definedName name="ror">#REF!</definedName>
    <definedName name="rOSTOV" hidden="1">{"comp1",#N/A,FALSE,"COMPS";"footnotes",#N/A,FALSE,"COMPS"}</definedName>
    <definedName name="ROTJSRHKWJD1" hidden="1">{#N/A,#N/A,FALSE,"단축1";#N/A,#N/A,FALSE,"단축2";#N/A,#N/A,FALSE,"단축3";#N/A,#N/A,FALSE,"장축";#N/A,#N/A,FALSE,"4WD"}</definedName>
    <definedName name="rout_t">#REF!</definedName>
    <definedName name="routines">#REF!</definedName>
    <definedName name="Row_AC_A101">#REF!</definedName>
    <definedName name="Row_AC_A104">#REF!</definedName>
    <definedName name="Row_AC_A201">#REF!</definedName>
    <definedName name="Row_AC_A206">#REF!</definedName>
    <definedName name="Row_AC_A301">#REF!</definedName>
    <definedName name="Row_AC_A305">#REF!</definedName>
    <definedName name="Row_AC_A451">#REF!</definedName>
    <definedName name="Row_AC_A452">#REF!</definedName>
    <definedName name="Row_AC_A501">#REF!</definedName>
    <definedName name="Row_AC_A502">#REF!</definedName>
    <definedName name="Row_AC_A601">#REF!</definedName>
    <definedName name="Row_AC_A625">#REF!</definedName>
    <definedName name="Row_AC_A701">#REF!</definedName>
    <definedName name="Row_AC_A703">#REF!</definedName>
    <definedName name="Row_AC_A800">#REF!</definedName>
    <definedName name="Row_AC_A850">#REF!</definedName>
    <definedName name="Row_AC_A851">#REF!</definedName>
    <definedName name="Row_AC_A852">#REF!</definedName>
    <definedName name="Row_AC_A853">#REF!</definedName>
    <definedName name="Row_AC_A854">#REF!</definedName>
    <definedName name="Row_AC_A855">#REF!</definedName>
    <definedName name="ROW_NPV_BASE_RA">#REF!</definedName>
    <definedName name="ROW_NPV_DOWN_RA">#REF!</definedName>
    <definedName name="ROW_NPV_UP_RA">#REF!</definedName>
    <definedName name="Row_PA_P005">#REF!</definedName>
    <definedName name="Row_PA_P160">#REF!</definedName>
    <definedName name="Row_PA_P250">#REF!</definedName>
    <definedName name="Row_PA_P270">#REF!</definedName>
    <definedName name="Row_PA_P401">#REF!</definedName>
    <definedName name="Row_PA_P450">#REF!</definedName>
    <definedName name="Row_PA_P500">#REF!</definedName>
    <definedName name="Row_PA_P520">#REF!</definedName>
    <definedName name="Row_PA_P600">#REF!</definedName>
    <definedName name="Row_PA_P710">#REF!</definedName>
    <definedName name="Row_PA_P740">#REF!</definedName>
    <definedName name="Row_PA_Total">#REF!</definedName>
    <definedName name="Row_PAR_Cloture">#REF!</definedName>
    <definedName name="ROW_PL_BASE_RA">#REF!</definedName>
    <definedName name="ROW_PL_DOWN_RA">#REF!</definedName>
    <definedName name="ROW_PL_UP_RA">#REF!</definedName>
    <definedName name="ROW_SALES_BASE_NRA">#REF!</definedName>
    <definedName name="ROW_SALES_BASE_RA">#REF!</definedName>
    <definedName name="ROW_SALES_DOWN_NRA">#REF!</definedName>
    <definedName name="ROW_SALES_DOWN_RA">#REF!</definedName>
    <definedName name="ROW_SALES_UP_NRA">#REF!</definedName>
    <definedName name="ROW_SALES_UP_RA">#REF!</definedName>
    <definedName name="RowDetails1">#REF!</definedName>
    <definedName name="rowvalue">#REF!</definedName>
    <definedName name="roy" hidden="1">#REF!</definedName>
    <definedName name="Royalties">#REF!</definedName>
    <definedName name="rPghlr" localSheetId="2" hidden="1">{#N/A,#N/A,FALSE,"기술료 비교"}</definedName>
    <definedName name="rPghlr" hidden="1">{#N/A,#N/A,FALSE,"기술료 비교"}</definedName>
    <definedName name="RPRK">#REF!</definedName>
    <definedName name="rprkanp2001">#REF!</definedName>
    <definedName name="rprkanp2002">#REF!</definedName>
    <definedName name="rprkanp2002P">#REF!</definedName>
    <definedName name="rprkanp2003">#REF!</definedName>
    <definedName name="rprkanp2004">#REF!</definedName>
    <definedName name="rprkanp2005">#REF!</definedName>
    <definedName name="rprkanp2006">#REF!</definedName>
    <definedName name="rprkanp2007">#REF!</definedName>
    <definedName name="rprkmedical2001">#REF!</definedName>
    <definedName name="rprkmedical2002">#REF!</definedName>
    <definedName name="rprkmedical2002P">#REF!</definedName>
    <definedName name="rprkmedical2003">#REF!</definedName>
    <definedName name="rprkmedical2004">#REF!</definedName>
    <definedName name="rprkmedical2005">#REF!</definedName>
    <definedName name="rprkmedical2006">#REF!</definedName>
    <definedName name="rprkmedical2007">#REF!</definedName>
    <definedName name="rprksales2001">#REF!</definedName>
    <definedName name="rprksales2002">#REF!</definedName>
    <definedName name="rprksales2002P">#REF!</definedName>
    <definedName name="rprksales2002Q1">#REF!</definedName>
    <definedName name="rprksales2002Q2">#REF!</definedName>
    <definedName name="rprksales2002Q3">#REF!</definedName>
    <definedName name="rprksales2002Q4">#REF!</definedName>
    <definedName name="rprksales2003">#REF!</definedName>
    <definedName name="rprksales2003Q1">#REF!</definedName>
    <definedName name="rprksales2003Q2">#REF!</definedName>
    <definedName name="rprksales2003Q3">#REF!</definedName>
    <definedName name="rprksales2003Q4">#REF!</definedName>
    <definedName name="rprksales2004">#REF!</definedName>
    <definedName name="rprksales2005">#REF!</definedName>
    <definedName name="rprksales2006">#REF!</definedName>
    <definedName name="rprksales2007">#REF!</definedName>
    <definedName name="rr"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BRAKE" localSheetId="2" hidden="1">{#N/A,#N/A,FALSE,"단축1";#N/A,#N/A,FALSE,"단축2";#N/A,#N/A,FALSE,"단축3";#N/A,#N/A,FALSE,"장축";#N/A,#N/A,FALSE,"4WD"}</definedName>
    <definedName name="RR.BRAKE" hidden="1">{#N/A,#N/A,FALSE,"단축1";#N/A,#N/A,FALSE,"단축2";#N/A,#N/A,FALSE,"단축3";#N/A,#N/A,FALSE,"장축";#N/A,#N/A,FALSE,"4WD"}</definedName>
    <definedName name="RR.BRK" localSheetId="2" hidden="1">{#N/A,#N/A,FALSE,"단축1";#N/A,#N/A,FALSE,"단축2";#N/A,#N/A,FALSE,"단축3";#N/A,#N/A,FALSE,"장축";#N/A,#N/A,FALSE,"4WD"}</definedName>
    <definedName name="RR.BRK" hidden="1">{#N/A,#N/A,FALSE,"단축1";#N/A,#N/A,FALSE,"단축2";#N/A,#N/A,FALSE,"단축3";#N/A,#N/A,FALSE,"장축";#N/A,#N/A,FALSE,"4WD"}</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I">BlankMacro1</definedName>
    <definedName name="RRR" hidden="1">#REF!</definedName>
    <definedName name="rrrr">#REF!</definedName>
    <definedName name="RRRRR">#REF!</definedName>
    <definedName name="RRRRRRR">#REF!</definedName>
    <definedName name="RS">#REF!</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I">#REF!</definedName>
    <definedName name="rsty" hidden="1">{#N/A,#N/A,FALSE,"견적대비-2"}</definedName>
    <definedName name="RT" hidden="1">{#N/A,#N/A,FALSE,"이태원철근"}</definedName>
    <definedName name="RTDOSING">#REF!</definedName>
    <definedName name="rtfg">#REF!</definedName>
    <definedName name="rth" hidden="1">{"'용역비'!$A$4:$C$8"}</definedName>
    <definedName name="RTIN">#N/A</definedName>
    <definedName name="rtre">#REF!</definedName>
    <definedName name="RTSALES">#REF!</definedName>
    <definedName name="rtugf">#REF!</definedName>
    <definedName name="rty" hidden="1">{"'용역비'!$A$4:$C$8"}</definedName>
    <definedName name="RTYG" hidden="1">{#N/A,#N/A,FALSE,"단축1";#N/A,#N/A,FALSE,"단축2";#N/A,#N/A,FALSE,"단축3";#N/A,#N/A,FALSE,"장축";#N/A,#N/A,FALSE,"4WD"}</definedName>
    <definedName name="Ru">#REF!</definedName>
    <definedName name="rud" hidden="1">{#N/A,#N/A,TRUE,"경전'96(1)";#N/A,#N/A,TRUE,"경전'96 (2)"}</definedName>
    <definedName name="rv">#REF!</definedName>
    <definedName name="rwerw" localSheetId="2" hidden="1">{#N/A,#N/A,FALSE,"Aging Summary";#N/A,#N/A,FALSE,"Ratio Analysis";#N/A,#N/A,FALSE,"Test 120 Day Accts";#N/A,#N/A,FALSE,"Tickmarks"}</definedName>
    <definedName name="rwerw" hidden="1">{#N/A,#N/A,FALSE,"Aging Summary";#N/A,#N/A,FALSE,"Ratio Analysis";#N/A,#N/A,FALSE,"Test 120 Day Accts";#N/A,#N/A,FALSE,"Tickmarks"}</definedName>
    <definedName name="rwrw" localSheetId="2" hidden="1">{#N/A,#N/A,FALSE,"Aging Summary";#N/A,#N/A,FALSE,"Ratio Analysis";#N/A,#N/A,FALSE,"Test 120 Day Accts";#N/A,#N/A,FALSE,"Tickmarks"}</definedName>
    <definedName name="rwrw" hidden="1">{#N/A,#N/A,FALSE,"Aging Summary";#N/A,#N/A,FALSE,"Ratio Analysis";#N/A,#N/A,FALSE,"Test 120 Day Accts";#N/A,#N/A,FALSE,"Tickmarks"}</definedName>
    <definedName name="Rwvu.Annual." hidden="1">#REF!</definedName>
    <definedName name="Rwvu.Hist." hidden="1">#REF!</definedName>
    <definedName name="Rwvu.Qrtrly." hidden="1">#REF!</definedName>
    <definedName name="Rx">#REF!</definedName>
    <definedName name="rxr">#REF!</definedName>
    <definedName name="RYANG">#N/A</definedName>
    <definedName name="ryr" localSheetId="2" hidden="1">{#N/A,#N/A,FALSE,"Aging Summary";#N/A,#N/A,FALSE,"Ratio Analysis";#N/A,#N/A,FALSE,"Test 120 Day Accts";#N/A,#N/A,FALSE,"Tickmarks"}</definedName>
    <definedName name="ryr" hidden="1">{#N/A,#N/A,FALSE,"Aging Summary";#N/A,#N/A,FALSE,"Ratio Analysis";#N/A,#N/A,FALSE,"Test 120 Day Accts";#N/A,#N/A,FALSE,"Tickmarks"}</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yuk" hidden="1">{"'용역비'!$A$4:$C$8"}</definedName>
    <definedName name="Rz">#REF!</definedName>
    <definedName name="rzr">#REF!</definedName>
    <definedName name="R행">#REF!</definedName>
    <definedName name="s" localSheetId="2" hidden="1">{"'손익현황'!$A$1:$J$29"}</definedName>
    <definedName name="s" hidden="1">{"'손익현황'!$A$1:$J$29"}</definedName>
    <definedName name="s_1" localSheetId="2" hidden="1">{"'손익현황'!$A$1:$J$29"}</definedName>
    <definedName name="s_1" hidden="1">{"'손익현황'!$A$1:$J$29"}</definedName>
    <definedName name="s_3s_cu">#REF!</definedName>
    <definedName name="s_3s_Q1">#REF!</definedName>
    <definedName name="s_3s_Q2">#REF!</definedName>
    <definedName name="s_3s_Q3">#REF!</definedName>
    <definedName name="s_cu_cu">#REF!</definedName>
    <definedName name="s_cu_Q1">#REF!</definedName>
    <definedName name="s_cu_Q2">#REF!</definedName>
    <definedName name="s_cu_Q3">#REF!</definedName>
    <definedName name="s_la_cu">#REF!</definedName>
    <definedName name="s_la_Q1">#REF!</definedName>
    <definedName name="s_la_Q2">#REF!</definedName>
    <definedName name="s_la_Q3">#REF!</definedName>
    <definedName name="s_pl_cu">#REF!</definedName>
    <definedName name="s_pl_Q1">#REF!</definedName>
    <definedName name="s_pl_Q2">#REF!</definedName>
    <definedName name="s_pl_Q3">#REF!</definedName>
    <definedName name="s_pr_cu">#REF!</definedName>
    <definedName name="s_pr_Q1">#REF!</definedName>
    <definedName name="s_pr_Q2">#REF!</definedName>
    <definedName name="s_pr_Q3">#REF!</definedName>
    <definedName name="s_pu_cu">#REF!</definedName>
    <definedName name="s_pu_Q1">#REF!</definedName>
    <definedName name="s_pu_Q2">#REF!</definedName>
    <definedName name="s_pu_Q3">#REF!</definedName>
    <definedName name="s_st_cu">#REF!</definedName>
    <definedName name="s_st_Q1">#REF!</definedName>
    <definedName name="s_st_Q2">#REF!</definedName>
    <definedName name="s_st_Q3">#REF!</definedName>
    <definedName name="s_ta_cu">#REF!</definedName>
    <definedName name="s_ta_Q1">#REF!</definedName>
    <definedName name="s_ta_Q2">#REF!</definedName>
    <definedName name="s_ta_Q3">#REF!</definedName>
    <definedName name="s_te_cu">#REF!</definedName>
    <definedName name="s_te_Q1">#REF!</definedName>
    <definedName name="s_te_Q2">#REF!</definedName>
    <definedName name="s_te_Q3">#REF!</definedName>
    <definedName name="s_선행_cu">#REF!</definedName>
    <definedName name="s_선행_Q1">#REF!</definedName>
    <definedName name="s_선행_Q2">#REF!</definedName>
    <definedName name="s_선행_Q3">#REF!</definedName>
    <definedName name="s_외관_cu">#REF!</definedName>
    <definedName name="s_외관_Q1">#REF!</definedName>
    <definedName name="s_외관_Q2">#REF!</definedName>
    <definedName name="s_외관_Q3">#REF!</definedName>
    <definedName name="s50c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a"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a"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aa" hidden="1">{"rtn",#N/A,FALSE,"RTN";"tables",#N/A,FALSE,"RTN";"cf",#N/A,FALSE,"CF";"stats",#N/A,FALSE,"Stats";"prop",#N/A,FALSE,"Prop"}</definedName>
    <definedName name="SABEXrevision2" hidden="1">231</definedName>
    <definedName name="SAD" hidden="1">{#N/A,#N/A,FALSE,"단축1";#N/A,#N/A,FALSE,"단축2";#N/A,#N/A,FALSE,"단축3";#N/A,#N/A,FALSE,"장축";#N/A,#N/A,FALSE,"4WD"}</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 hidden="1">#REF!</definedName>
    <definedName name="sadsad"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E_No.">#REF!</definedName>
    <definedName name="SAE_Reportable">#REF!</definedName>
    <definedName name="safd">#REF!</definedName>
    <definedName name="SAGFSAFS" hidden="1">{#N/A,#N/A,FALSE,"단축1";#N/A,#N/A,FALSE,"단축2";#N/A,#N/A,FALSE,"단축3";#N/A,#N/A,FALSE,"장축";#N/A,#N/A,FALSE,"4WD"}</definedName>
    <definedName name="SALE">#N/A</definedName>
    <definedName name="Sale_date">#REF!</definedName>
    <definedName name="SALEBOH">#N/A</definedName>
    <definedName name="SALEEOH">#N/A</definedName>
    <definedName name="SALEQTY">#N/A</definedName>
    <definedName name="SALES">#REF!</definedName>
    <definedName name="SALES2003">#REF!</definedName>
    <definedName name="SALES2004">#REF!</definedName>
    <definedName name="SALES2005">#REF!</definedName>
    <definedName name="SALES2006">#REF!</definedName>
    <definedName name="SALES2007">#REF!</definedName>
    <definedName name="SALESQ1">#REF!</definedName>
    <definedName name="SALESQ2">#REF!</definedName>
    <definedName name="SALESQ3">#REF!</definedName>
    <definedName name="SALESQ4">#REF!</definedName>
    <definedName name="SAMBOH">#N/A</definedName>
    <definedName name="SAMEOH">#N/A</definedName>
    <definedName name="SAMPLE">BLCH</definedName>
    <definedName name="SAMT">#N/A</definedName>
    <definedName name="sang">#REF!</definedName>
    <definedName name="sang1">#REF!</definedName>
    <definedName name="SANGDAE_AC">#N/A</definedName>
    <definedName name="SAPBEXdnldView" hidden="1">"1UAYACQQF9HOMFGI24UBDMEG7"</definedName>
    <definedName name="SAPBEXhrIndnt" hidden="1">"Wide"</definedName>
    <definedName name="SAPBEXrevision" hidden="1">4</definedName>
    <definedName name="SAPBEXsysID" hidden="1">"BWP"</definedName>
    <definedName name="SAPBEXwbID" hidden="1">"3KERGQBBF71LXL455QRMLTUDU"</definedName>
    <definedName name="SAPEXrevision3" hidden="1">231</definedName>
    <definedName name="sapexrevision4" hidden="1">4</definedName>
    <definedName name="sapexwbid4" hidden="1">"3N5E41CVNKXCIZ2S8I4UWT2K0"</definedName>
    <definedName name="SAPFuncF4Help" hidden="1">Main.SAPF4Help()</definedName>
    <definedName name="SAPsysID" hidden="1">"708C5W7SBKP804JT78WJ0JNKI"</definedName>
    <definedName name="SAPwbID" hidden="1">"ARS"</definedName>
    <definedName name="SAR">#REF!</definedName>
    <definedName name="sas" hidden="1">{"Outflow 1",#N/A,FALSE,"Outflows-Inflows";"Outflow 2",#N/A,FALSE,"Outflows-Inflows";"Inflow 1",#N/A,FALSE,"Outflows-Inflows";"Inflow 2",#N/A,FALSE,"Outflows-Inflows"}</definedName>
    <definedName name="SASA" hidden="1">{#N/A,#N/A,FALSE,"단축1";#N/A,#N/A,FALSE,"단축2";#N/A,#N/A,FALSE,"단축3";#N/A,#N/A,FALSE,"장축";#N/A,#N/A,FALSE,"4WD"}</definedName>
    <definedName name="SAUPJA">#N/A</definedName>
    <definedName name="sawrhbAZ" hidden="1">{#N/A,#N/A,FALSE,"단축1";#N/A,#N/A,FALSE,"단축2";#N/A,#N/A,FALSE,"단축3";#N/A,#N/A,FALSE,"장축";#N/A,#N/A,FALSE,"4WD"}</definedName>
    <definedName name="sayang" hidden="1">{#N/A,#N/A,FALSE,"단축1";#N/A,#N/A,FALSE,"단축2";#N/A,#N/A,FALSE,"단축3";#N/A,#N/A,FALSE,"장축";#N/A,#N/A,FALSE,"4WD"}</definedName>
    <definedName name="SB">#REF!</definedName>
    <definedName name="scale">#REF!</definedName>
    <definedName name="Scenario">#REF!</definedName>
    <definedName name="Sch" hidden="1">#REF!</definedName>
    <definedName name="Schedules">#REF!</definedName>
    <definedName name="ScheduleSelected">#REF!</definedName>
    <definedName name="SCK">#REF!</definedName>
    <definedName name="SCODE">#N/A</definedName>
    <definedName name="SCOGS2002">#REF!</definedName>
    <definedName name="SCOGS2002Q1">#REF!</definedName>
    <definedName name="SCOGS2002Q2">#REF!</definedName>
    <definedName name="SCOGS2002Q3">#REF!</definedName>
    <definedName name="SCOGS2002Q4">#REF!</definedName>
    <definedName name="SCOGS2003">#REF!</definedName>
    <definedName name="SCOGS2004">#REF!</definedName>
    <definedName name="SCOGS2005">#REF!</definedName>
    <definedName name="SCOGS2006">#REF!</definedName>
    <definedName name="SCOGS2007">#REF!</definedName>
    <definedName name="SCOGSQ1">#REF!</definedName>
    <definedName name="SCOGSQ2">#REF!</definedName>
    <definedName name="SCOGSQ3">#REF!</definedName>
    <definedName name="SCOGSQ4">#REF!</definedName>
    <definedName name="SCRBOH">#N/A</definedName>
    <definedName name="SCREOH">#N/A</definedName>
    <definedName name="sd" hidden="1">#REF!</definedName>
    <definedName name="sda">#REF!</definedName>
    <definedName name="sdaaaa">#REF!</definedName>
    <definedName name="sdadasasdas"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fa">#N/A</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FDF" hidden="1">{#N/A,#N/A,FALSE,"단축1";#N/A,#N/A,FALSE,"단축2";#N/A,#N/A,FALSE,"단축3";#N/A,#N/A,FALSE,"장축";#N/A,#N/A,FALSE,"4WD"}</definedName>
    <definedName name="sdds">#N/A</definedName>
    <definedName name="sdewq">#REF!</definedName>
    <definedName name="sdf" localSheetId="2" hidden="1">{#N/A,#N/A,FALSE,"BS";#N/A,#N/A,FALSE,"PL";#N/A,#N/A,FALSE,"처분";#N/A,#N/A,FALSE,"현금";#N/A,#N/A,FALSE,"매출";#N/A,#N/A,FALSE,"원가";#N/A,#N/A,FALSE,"경영"}</definedName>
    <definedName name="sdf" hidden="1">{#N/A,#N/A,FALSE,"BS";#N/A,#N/A,FALSE,"PL";#N/A,#N/A,FALSE,"처분";#N/A,#N/A,FALSE,"현금";#N/A,#N/A,FALSE,"매출";#N/A,#N/A,FALSE,"원가";#N/A,#N/A,FALSE,"경영"}</definedName>
    <definedName name="sdf_1" localSheetId="2" hidden="1">{#N/A,#N/A,FALSE,"BS";#N/A,#N/A,FALSE,"PL";#N/A,#N/A,FALSE,"처분";#N/A,#N/A,FALSE,"현금";#N/A,#N/A,FALSE,"매출";#N/A,#N/A,FALSE,"원가";#N/A,#N/A,FALSE,"경영"}</definedName>
    <definedName name="sdf_1" hidden="1">{#N/A,#N/A,FALSE,"BS";#N/A,#N/A,FALSE,"PL";#N/A,#N/A,FALSE,"처분";#N/A,#N/A,FALSE,"현금";#N/A,#N/A,FALSE,"매출";#N/A,#N/A,FALSE,"원가";#N/A,#N/A,FALSE,"경영"}</definedName>
    <definedName name="sdfass" hidden="1">{"Outflow 1",#N/A,FALSE,"Outflows-Inflows";"Outflow 2",#N/A,FALSE,"Outflows-Inflows";"Inflow 1",#N/A,FALSE,"Outflows-Inflows";"Inflow 2",#N/A,FALSE,"Outflows-Inflows"}</definedName>
    <definedName name="sdfgsdg"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fsd" hidden="1">#REF!</definedName>
    <definedName name="sdfsdf" localSheetId="2" hidden="1">{"'Jibu9811 (3)'!$B$1:$J$433"}</definedName>
    <definedName name="sdfsdf" hidden="1">{"'Jibu9811 (3)'!$B$1:$J$433"}</definedName>
    <definedName name="sdfsdfsdf" localSheetId="2" hidden="1">{#N/A,#N/A,FALSE,"BS";#N/A,#N/A,FALSE,"PL";#N/A,#N/A,FALSE,"A";#N/A,#N/A,FALSE,"B";#N/A,#N/A,FALSE,"B1";#N/A,#N/A,FALSE,"C";#N/A,#N/A,FALSE,"C1";#N/A,#N/A,FALSE,"C2";#N/A,#N/A,FALSE,"D";#N/A,#N/A,FALSE,"E";#N/A,#N/A,FALSE,"F";#N/A,#N/A,FALSE,"AA";#N/A,#N/A,FALSE,"BB";#N/A,#N/A,FALSE,"CC";#N/A,#N/A,FALSE,"DD";#N/A,#N/A,FALSE,"EE";#N/A,#N/A,FALSE,"FF";#N/A,#N/A,FALSE,"PL10";#N/A,#N/A,FALSE,"PL20";#N/A,#N/A,FALSE,"PL30"}</definedName>
    <definedName name="sdfsdfsdf" hidden="1">{#N/A,#N/A,FALSE,"BS";#N/A,#N/A,FALSE,"PL";#N/A,#N/A,FALSE,"A";#N/A,#N/A,FALSE,"B";#N/A,#N/A,FALSE,"B1";#N/A,#N/A,FALSE,"C";#N/A,#N/A,FALSE,"C1";#N/A,#N/A,FALSE,"C2";#N/A,#N/A,FALSE,"D";#N/A,#N/A,FALSE,"E";#N/A,#N/A,FALSE,"F";#N/A,#N/A,FALSE,"AA";#N/A,#N/A,FALSE,"BB";#N/A,#N/A,FALSE,"CC";#N/A,#N/A,FALSE,"DD";#N/A,#N/A,FALSE,"EE";#N/A,#N/A,FALSE,"FF";#N/A,#N/A,FALSE,"PL10";#N/A,#N/A,FALSE,"PL20";#N/A,#N/A,FALSE,"PL30"}</definedName>
    <definedName name="sdgdsfdsgdsfggfdsd" hidden="1">#REF!</definedName>
    <definedName name="SDHYIOFUWEIOFYUWEIO" localSheetId="2" hidden="1">{"'Jibu9811 (3)'!$B$1:$J$433"}</definedName>
    <definedName name="SDHYIOFUWEIOFYUWEIO" hidden="1">{"'Jibu9811 (3)'!$B$1:$J$433"}</definedName>
    <definedName name="sdjkddjk" hidden="1">{"'Sheet1'!$A$1:$H$36"}</definedName>
    <definedName name="sdryhj" hidden="1">{"'용역비'!$A$4:$C$8"}</definedName>
    <definedName name="sds" hidden="1">#REF!</definedName>
    <definedName name="sdsa">#REF!</definedName>
    <definedName name="sdsd" localSheetId="2" hidden="1">{#N/A,#N/A,FALSE,"Aging Summary";#N/A,#N/A,FALSE,"Ratio Analysis";#N/A,#N/A,FALSE,"Test 120 Day Accts";#N/A,#N/A,FALSE,"Tickmarks"}</definedName>
    <definedName name="sdsd" hidden="1">{#N/A,#N/A,FALSE,"Aging Summary";#N/A,#N/A,FALSE,"Ratio Analysis";#N/A,#N/A,FALSE,"Test 120 Day Accts";#N/A,#N/A,FALSE,"Tickmarks"}</definedName>
    <definedName name="sdsdsd" localSheetId="2" hidden="1">{#N/A,#N/A,FALSE,"Aging Summary";#N/A,#N/A,FALSE,"Ratio Analysis";#N/A,#N/A,FALSE,"Test 120 Day Accts";#N/A,#N/A,FALSE,"Tickmarks"}</definedName>
    <definedName name="sdsdsd" hidden="1">{#N/A,#N/A,FALSE,"Aging Summary";#N/A,#N/A,FALSE,"Ratio Analysis";#N/A,#N/A,FALSE,"Test 120 Day Accts";#N/A,#N/A,FALSE,"Tickmarks"}</definedName>
    <definedName name="SDV_Perc">#REF!</definedName>
    <definedName name="SE" hidden="1">{"'용역비'!$A$4:$C$8"}</definedName>
    <definedName name="Season_factor">#REF!</definedName>
    <definedName name="Season_factor1">#REF!</definedName>
    <definedName name="segvx" localSheetId="2" hidden="1">{"'買掛金'!$J$6"}</definedName>
    <definedName name="segvx" hidden="1">{"'買掛金'!$J$6"}</definedName>
    <definedName name="SEJINBS" localSheetId="2" hidden="1">{#N/A,#N/A,FALSE,"정공"}</definedName>
    <definedName name="SEJINBS" hidden="1">{#N/A,#N/A,FALSE,"정공"}</definedName>
    <definedName name="SELECT">#N/A</definedName>
    <definedName name="SelectedBankruptcyID">#REF!</definedName>
    <definedName name="SEMIIN">#N/A</definedName>
    <definedName name="sencount" hidden="1">1</definedName>
    <definedName name="Sep" hidden="1">#REF!</definedName>
    <definedName name="Sep.DM">#REF!</definedName>
    <definedName name="September">#REF!</definedName>
    <definedName name="SEQU">#N/A</definedName>
    <definedName name="service">#REF!</definedName>
    <definedName name="set" localSheetId="2" hidden="1">{"'Jibu9811 (3)'!$B$1:$J$433"}</definedName>
    <definedName name="set" hidden="1">{"'Jibu9811 (3)'!$B$1:$J$433"}</definedName>
    <definedName name="seth" hidden="1">{#N/A,#N/A,TRUE,"Cover Repl";#N/A,#N/A,TRUE,"P&amp;L";#N/A,#N/A,TRUE,"P&amp;L (2)";#N/A,#N/A,TRUE,"BS";#N/A,#N/A,TRUE,"Depreciation";#N/A,#N/A,TRUE,"GRAPHS";#N/A,#N/A,TRUE,"DCF EBITDA Multiple";#N/A,#N/A,TRUE,"DCF Perpetual Growth"}</definedName>
    <definedName name="sethgd"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XP">#N/A</definedName>
    <definedName name="sf" hidden="1">#REF!</definedName>
    <definedName name="sfdas">#REF!</definedName>
    <definedName name="sfdsfs" hidden="1">#REF!</definedName>
    <definedName name="SFE">#REF!</definedName>
    <definedName name="SFFF" hidden="1">#REF!</definedName>
    <definedName name="SFFFFF" hidden="1">#REF!</definedName>
    <definedName name="SFN">#REF!</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FSFSFS" hidden="1">{#N/A,#N/A,FALSE,"단축1";#N/A,#N/A,FALSE,"단축2";#N/A,#N/A,FALSE,"단축3";#N/A,#N/A,FALSE,"장축";#N/A,#N/A,FALSE,"4WD"}</definedName>
    <definedName name="sgfsd">#N/A</definedName>
    <definedName name="shareholder_v">#REF!</definedName>
    <definedName name="shdms" hidden="1">{#N/A,#N/A,FALSE,"손익표지";#N/A,#N/A,FALSE,"손익계산";#N/A,#N/A,FALSE,"일반관리비";#N/A,#N/A,FALSE,"영업외수익";#N/A,#N/A,FALSE,"영업외비용";#N/A,#N/A,FALSE,"매출액";#N/A,#N/A,FALSE,"요약손익";#N/A,#N/A,FALSE,"요약대차";#N/A,#N/A,FALSE,"매출채권현황";#N/A,#N/A,FALSE,"매출채권명세"}</definedName>
    <definedName name="sheet" localSheetId="2" hidden="1">{#N/A,#N/A,FALSE,"UNIT";#N/A,#N/A,FALSE,"UNIT";#N/A,#N/A,FALSE,"계정"}</definedName>
    <definedName name="sheet" hidden="1">{#N/A,#N/A,FALSE,"UNIT";#N/A,#N/A,FALSE,"UNIT";#N/A,#N/A,FALSE,"계정"}</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#REF!</definedName>
    <definedName name="Sheet10">#REF!</definedName>
    <definedName name="Sheet11">#REF!</definedName>
    <definedName name="Sheet12">#REF!</definedName>
    <definedName name="sheet2">#REF!</definedName>
    <definedName name="sheet3">#REF!</definedName>
    <definedName name="Sheet4">#REF!</definedName>
    <definedName name="Sheet5">#REF!</definedName>
    <definedName name="Sheet6">#REF!</definedName>
    <definedName name="Sheet7">#REF!</definedName>
    <definedName name="SHEET8" localSheetId="2" hidden="1">{"'Jibu9811 (3)'!$B$1:$J$433"}</definedName>
    <definedName name="SHEET8" hidden="1">{"'Jibu9811 (3)'!$B$1:$J$433"}</definedName>
    <definedName name="Sheet9">#REF!</definedName>
    <definedName name="sheets_name">#REF!:_RjC2</definedName>
    <definedName name="SHHHH">#REF!</definedName>
    <definedName name="shi" hidden="1">{#N/A,#N/A,FALSE,"단축1";#N/A,#N/A,FALSE,"단축2";#N/A,#N/A,FALSE,"단축3";#N/A,#N/A,FALSE,"장축";#N/A,#N/A,FALSE,"4WD"}</definedName>
    <definedName name="SHIN" localSheetId="2" hidden="1">{#N/A,#N/A,FALSE,"P.C.B"}</definedName>
    <definedName name="SHIN" hidden="1">{#N/A,#N/A,FALSE,"P.C.B"}</definedName>
    <definedName name="shpe">#REF!</definedName>
    <definedName name="SHS" hidden="1">{#N/A,#N/A,FALSE,"단축1";#N/A,#N/A,FALSE,"단축2";#N/A,#N/A,FALSE,"단축3";#N/A,#N/A,FALSE,"장축";#N/A,#N/A,FALSE,"4WD"}</definedName>
    <definedName name="SHSH" hidden="1">{#N/A,#N/A,FALSE,"단축1";#N/A,#N/A,FALSE,"단축2";#N/A,#N/A,FALSE,"단축3";#N/A,#N/A,FALSE,"장축";#N/A,#N/A,FALSE,"4WD"}</definedName>
    <definedName name="SIDE" hidden="1">{#N/A,#N/A,FALSE,"단축1";#N/A,#N/A,FALSE,"단축2";#N/A,#N/A,FALSE,"단축3";#N/A,#N/A,FALSE,"장축";#N/A,#N/A,FALSE,"4WD"}</definedName>
    <definedName name="sigy">#REF!</definedName>
    <definedName name="Site" hidden="1">{#N/A,#N/A,FALSE,"단축1";#N/A,#N/A,FALSE,"단축2";#N/A,#N/A,FALSE,"단축3";#N/A,#N/A,FALSE,"장축";#N/A,#N/A,FALSE,"4WD"}</definedName>
    <definedName name="SITEdATA">#REF!</definedName>
    <definedName name="Sites">#REF!</definedName>
    <definedName name="Sites_Canada">#REF!</definedName>
    <definedName name="Sites_US">#REF!</definedName>
    <definedName name="SIV_onsite">#REF!</definedName>
    <definedName name="SIZE">#N/A</definedName>
    <definedName name="sj" hidden="1">#REF!</definedName>
    <definedName name="sjjf" hidden="1">{#N/A,#N/A,FALSE,"단축1";#N/A,#N/A,FALSE,"단축2";#N/A,#N/A,FALSE,"단축3";#N/A,#N/A,FALSE,"장축";#N/A,#N/A,FALSE,"4WD"}</definedName>
    <definedName name="sjk" hidden="1">{#N/A,#N/A,FALSE,"단축1";#N/A,#N/A,FALSE,"단축2";#N/A,#N/A,FALSE,"단축3";#N/A,#N/A,FALSE,"장축";#N/A,#N/A,FALSE,"4WD"}</definedName>
    <definedName name="SK" hidden="1">#REF!</definedName>
    <definedName name="ŞK" hidden="1">{#N/A,#N/A,FALSE,"단축1";#N/A,#N/A,FALSE,"단축2";#N/A,#N/A,FALSE,"단축3";#N/A,#N/A,FALSE,"장축";#N/A,#N/A,FALSE,"4WD"}</definedName>
    <definedName name="SKEW">#REF!</definedName>
    <definedName name="SKI" hidden="1">#REF!</definedName>
    <definedName name="skii">#N/A</definedName>
    <definedName name="skkdk" hidden="1">#REF!</definedName>
    <definedName name="sksms">#N/A</definedName>
    <definedName name="sl" hidden="1">{#N/A,#N/A,TRUE,"경전'96(1)";#N/A,#N/A,TRUE,"경전'96 (2)"}</definedName>
    <definedName name="SLAB">#N/A</definedName>
    <definedName name="slabt">#REF!</definedName>
    <definedName name="slope">#REF!</definedName>
    <definedName name="SLSNOPR">#REF!</definedName>
    <definedName name="SMAT">#N/A</definedName>
    <definedName name="SMHR">#N/A</definedName>
    <definedName name="smkljljlskjdl" hidden="1">{"'Sheet1'!$A$1:$H$36"}</definedName>
    <definedName name="SMLTOOLS">#REF!</definedName>
    <definedName name="SMMA">#REF!</definedName>
    <definedName name="SmplTip">#REF!</definedName>
    <definedName name="sn">#REF!</definedName>
    <definedName name="Snpv">#REF!</definedName>
    <definedName name="Snpvadm">#REF!</definedName>
    <definedName name="Snpvdc">#REF!</definedName>
    <definedName name="Snpvdt">#REF!</definedName>
    <definedName name="Snpvnw">#REF!</definedName>
    <definedName name="so" hidden="1">#REF!</definedName>
    <definedName name="SOC" hidden="1">{#N/A,#N/A,FALSE,"변경관리예산";#N/A,#N/A,FALSE,"변경장비예산";#N/A,#N/A,FALSE,"변경준설예산";#N/A,#N/A,FALSE,"변경철구예산"}</definedName>
    <definedName name="Social">#REF!</definedName>
    <definedName name="SOC분야" hidden="1">{#N/A,#N/A,FALSE,"예상손익";#N/A,#N/A,FALSE,"관리분석";#N/A,#N/A,FALSE,"장비분석";#N/A,#N/A,FALSE,"준설분석";#N/A,#N/A,FALSE,"철구분석"}</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il">#REF!</definedName>
    <definedName name="SOIL1">#REF!</definedName>
    <definedName name="SOIL2">#REF!</definedName>
    <definedName name="soilcapacity">#REF!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el2" hidden="1">1</definedName>
    <definedName name="solver_rel3" hidden="1">1</definedName>
    <definedName name="solver_rel4" hidden="1">4</definedName>
    <definedName name="solver_rel5" hidden="1">4</definedName>
    <definedName name="solver_rel6" hidden="1">4</definedName>
    <definedName name="solver_rhs1" hidden="1">15</definedName>
    <definedName name="solver_rhs2" hidden="1">15</definedName>
    <definedName name="solver_rhs3" hidden="1">15</definedName>
    <definedName name="solver_scl" hidden="1">2</definedName>
    <definedName name="solver_sho" hidden="1">2</definedName>
    <definedName name="solver_tim" hidden="1">100</definedName>
    <definedName name="solver_tmp" hidden="1">15</definedName>
    <definedName name="solver_tol" hidden="1">0.05</definedName>
    <definedName name="solver_typ" hidden="1">3</definedName>
    <definedName name="solver_val" hidden="1">0.6</definedName>
    <definedName name="SONBOH">#N/A</definedName>
    <definedName name="SONEOH">#N/A</definedName>
    <definedName name="SOON" localSheetId="2" hidden="1">{#N/A,#N/A,FALSE,"P.C.B"}</definedName>
    <definedName name="SOON" hidden="1">{#N/A,#N/A,FALSE,"P.C.B"}</definedName>
    <definedName name="soqneocp">#REF!</definedName>
    <definedName name="SORT" hidden="1">#REF!</definedName>
    <definedName name="SORT1" hidden="1">#REF!</definedName>
    <definedName name="SORT2" hidden="1">#REF!</definedName>
    <definedName name="sort3" hidden="1">#REF!</definedName>
    <definedName name="SORTCODE">#N/A</definedName>
    <definedName name="SP">#REF!</definedName>
    <definedName name="Space">"          "</definedName>
    <definedName name="Spaces">"      "</definedName>
    <definedName name="SPEC2" hidden="1">{#N/A,#N/A,FALSE,"단축1";#N/A,#N/A,FALSE,"단축2";#N/A,#N/A,FALSE,"단축3";#N/A,#N/A,FALSE,"장축";#N/A,#N/A,FALSE,"4WD"}</definedName>
    <definedName name="SPEC22" hidden="1">{#N/A,#N/A,FALSE,"단축1";#N/A,#N/A,FALSE,"단축2";#N/A,#N/A,FALSE,"단축3";#N/A,#N/A,FALSE,"장축";#N/A,#N/A,FALSE,"4WD"}</definedName>
    <definedName name="SPECI">#N/A</definedName>
    <definedName name="SpecialPrice" hidden="1">#REF!</definedName>
    <definedName name="SPLICE">#N/A</definedName>
    <definedName name="spsp">#N/A</definedName>
    <definedName name="sql_statement" hidden="1">#REF!</definedName>
    <definedName name="srf" localSheetId="2" hidden="1">{#N/A,#N/A,FALSE,"BS";#N/A,#N/A,FALSE,"PL";#N/A,#N/A,FALSE,"처분";#N/A,#N/A,FALSE,"현금";#N/A,#N/A,FALSE,"매출";#N/A,#N/A,FALSE,"원가";#N/A,#N/A,FALSE,"경영"}</definedName>
    <definedName name="srf" hidden="1">{#N/A,#N/A,FALSE,"BS";#N/A,#N/A,FALSE,"PL";#N/A,#N/A,FALSE,"처분";#N/A,#N/A,FALSE,"현금";#N/A,#N/A,FALSE,"매출";#N/A,#N/A,FALSE,"원가";#N/A,#N/A,FALSE,"경영"}</definedName>
    <definedName name="srf_1" localSheetId="2" hidden="1">{#N/A,#N/A,FALSE,"BS";#N/A,#N/A,FALSE,"PL";#N/A,#N/A,FALSE,"처분";#N/A,#N/A,FALSE,"현금";#N/A,#N/A,FALSE,"매출";#N/A,#N/A,FALSE,"원가";#N/A,#N/A,FALSE,"경영"}</definedName>
    <definedName name="srf_1" hidden="1">{#N/A,#N/A,FALSE,"BS";#N/A,#N/A,FALSE,"PL";#N/A,#N/A,FALSE,"처분";#N/A,#N/A,FALSE,"현금";#N/A,#N/A,FALSE,"매출";#N/A,#N/A,FALSE,"원가";#N/A,#N/A,FALSE,"경영"}</definedName>
    <definedName name="srth" hidden="1">{"'용역비'!$A$4:$C$8"}</definedName>
    <definedName name="ss" hidden="1">#REF!</definedName>
    <definedName name="ssasd" localSheetId="2" hidden="1">{"'분양원가'!$B$1:$F$113"}</definedName>
    <definedName name="ssasd" hidden="1">{"'분양원가'!$B$1:$F$113"}</definedName>
    <definedName name="ssavecenterfooter">#REF!</definedName>
    <definedName name="ssaveheader">#REF!</definedName>
    <definedName name="SSD" localSheetId="2" hidden="1">{#N/A,#N/A,FALSE,"을지 (4)";#N/A,#N/A,FALSE,"을지 (5)";#N/A,#N/A,FALSE,"을지 (6)"}</definedName>
    <definedName name="SSD" hidden="1">{#N/A,#N/A,FALSE,"을지 (4)";#N/A,#N/A,FALSE,"을지 (5)";#N/A,#N/A,FALSE,"을지 (6)"}</definedName>
    <definedName name="ssklsl" hidden="1">{"'Sheet1'!$A$1:$H$36"}</definedName>
    <definedName name="SSS" hidden="1">#REF!</definedName>
    <definedName name="sssa">BlankMacro1</definedName>
    <definedName name="SSSE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2" hidden="1">{#N/A,#N/A,TRUE,"매출진척-1";#N/A,#N/A,TRUE,"매출진척-2";#N/A,#N/A,TRUE,"제품실적";#N/A,#N/A,TRUE,"RAC";#N/A,#N/A,TRUE,"PAC ";#N/A,#N/A,TRUE,"재고현황";#N/A,#N/A,TRUE,"공지사항"}</definedName>
    <definedName name="ssss" hidden="1">{#N/A,#N/A,TRUE,"매출진척-1";#N/A,#N/A,TRUE,"매출진척-2";#N/A,#N/A,TRUE,"제품실적";#N/A,#N/A,TRUE,"RAC";#N/A,#N/A,TRUE,"PAC ";#N/A,#N/A,TRUE,"재고현황";#N/A,#N/A,TRUE,"공지사항"}</definedName>
    <definedName name="ssssss">BlankMacro1</definedName>
    <definedName name="ssssssss" hidden="1">{#N/A,#N/A,FALSE,"단축1";#N/A,#N/A,FALSE,"단축2";#N/A,#N/A,FALSE,"단축3";#N/A,#N/A,FALSE,"장축";#N/A,#N/A,FALSE,"4WD"}</definedName>
    <definedName name="SSU_CAll">#REF!</definedName>
    <definedName name="ssxsxs" hidden="1">#REF!</definedName>
    <definedName name="staff">#REF!</definedName>
    <definedName name="Standard_discount_rate">#REF!</definedName>
    <definedName name="START">#REF!</definedName>
    <definedName name="Start_date">#REF!</definedName>
    <definedName name="stat_copy">#REF!</definedName>
    <definedName name="StatsActMo">#REF!</definedName>
    <definedName name="StatsBudMo">#REF!</definedName>
    <definedName name="Status">#REF!</definedName>
    <definedName name="status_dropdown">#REF!</definedName>
    <definedName name="StepsLink">#REF!</definedName>
    <definedName name="StepsNolink">#REF!</definedName>
    <definedName name="STR_LPG" hidden="1">{#N/A,#N/A,FALSE,"단축1";#N/A,#N/A,FALSE,"단축2";#N/A,#N/A,FALSE,"단축3";#N/A,#N/A,FALSE,"장축";#N/A,#N/A,FALSE,"4WD"}</definedName>
    <definedName name="Strategy">#REF!</definedName>
    <definedName name="strhgd"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S" hidden="1">{"'용역비'!$A$4:$C$8"}</definedName>
    <definedName name="Stub.Factor.Acq">#REF!</definedName>
    <definedName name="Stub.Factor.Tar">#REF!</definedName>
    <definedName name="subject">#REF!</definedName>
    <definedName name="subsi">#REF!</definedName>
    <definedName name="SUK" hidden="1">#REF!</definedName>
    <definedName name="SUKHEE" hidden="1">#REF!</definedName>
    <definedName name="sum">#REF!</definedName>
    <definedName name="SUMGM">#REF!</definedName>
    <definedName name="SUMGM2">#REF!</definedName>
    <definedName name="SUMGM3">#REF!</definedName>
    <definedName name="SUMM">#REF!</definedName>
    <definedName name="Summ_PL_Prin">#REF!</definedName>
    <definedName name="Summ_PL_Zest">#REF!</definedName>
    <definedName name="SUMMARY" hidden="1">#REF!</definedName>
    <definedName name="Summary_RA">#REF!</definedName>
    <definedName name="SUMMARY1">#REF!</definedName>
    <definedName name="SUMMARY2">#REF!</definedName>
    <definedName name="SUMMARY3">#REF!</definedName>
    <definedName name="SUMMARYT" hidden="1">#REF!</definedName>
    <definedName name="SUP">#N/A</definedName>
    <definedName name="Sup_MATL_Rate">#REF!</definedName>
    <definedName name="Sup_MD_Rate">#REF!</definedName>
    <definedName name="SUYO">#N/A</definedName>
    <definedName name="SW" hidden="1">{#N/A,#N/A,FALSE,"단축1";#N/A,#N/A,FALSE,"단축2";#N/A,#N/A,FALSE,"단축3";#N/A,#N/A,FALSE,"장축";#N/A,#N/A,FALSE,"4WD"}</definedName>
    <definedName name="SWEED" hidden="1">#REF!</definedName>
    <definedName name="SWEED1" hidden="1">#REF!</definedName>
    <definedName name="Swvu.Hist." hidden="1">#REF!</definedName>
    <definedName name="Swvu.inputs._.raw._.data." hidden="1">#REF!</definedName>
    <definedName name="Swvu.OthrCalQtr_AnlChg." hidden="1">#REF!</definedName>
    <definedName name="Swvu.PerIncQtr_AnlChg." hidden="1">#REF!</definedName>
    <definedName name="Swvu.Qrtrly." hidden="1">#REF!</definedName>
    <definedName name="Swvu.SelCalQtr_AnlChg." hidden="1">#REF!</definedName>
    <definedName name="Swvu.SelectUSQtr_AnnlChg." hidden="1">#REF!</definedName>
    <definedName name="Swvu.summary1." hidden="1">#REF!</definedName>
    <definedName name="Swvu.summary2." hidden="1">#REF!</definedName>
    <definedName name="Swvu.summary3." hidden="1">#REF!</definedName>
    <definedName name="SW가능">#N/A</definedName>
    <definedName name="sw사용가능2">#N/A</definedName>
    <definedName name="Sx">#REF!</definedName>
    <definedName name="Sz">#REF!</definedName>
    <definedName name="S방수">#REF!</definedName>
    <definedName name="S행">#REF!</definedName>
    <definedName name="t">BlankMacro1</definedName>
    <definedName name="T_AMOUNT">#N/A</definedName>
    <definedName name="t_house_grow">#REF!</definedName>
    <definedName name="t_house_grow_xl">#REF!</definedName>
    <definedName name="t_house_grow_xl1">#REF!</definedName>
    <definedName name="t_tartax">#REF!</definedName>
    <definedName name="T_UPRICE">#N/A</definedName>
    <definedName name="T1.Column1">#REF!</definedName>
    <definedName name="t1a1p">#REF!</definedName>
    <definedName name="t1a1t">#REF!</definedName>
    <definedName name="t1a2p">#REF!</definedName>
    <definedName name="t1a2t">#REF!</definedName>
    <definedName name="t2a1p">#REF!</definedName>
    <definedName name="t2a1t">#REF!</definedName>
    <definedName name="t2a2p">#REF!</definedName>
    <definedName name="t2a2t">#REF!</definedName>
    <definedName name="T3A1P">#REF!</definedName>
    <definedName name="t3a1t">#REF!</definedName>
    <definedName name="t3a2p">#REF!</definedName>
    <definedName name="t3a2t">#REF!</definedName>
    <definedName name="TA">#REF!</definedName>
    <definedName name="TA_dropdown">#REF!</definedName>
    <definedName name="TA_Group">#REF!</definedName>
    <definedName name="TA1P">#REF!</definedName>
    <definedName name="ta1t">#REF!</definedName>
    <definedName name="ta2p">#REF!</definedName>
    <definedName name="ta2t">#REF!</definedName>
    <definedName name="tab.10">#REF!</definedName>
    <definedName name="tab.11">#REF!</definedName>
    <definedName name="tab.12">#REF!</definedName>
    <definedName name="tab.2">#REF!</definedName>
    <definedName name="tab.3">#REF!</definedName>
    <definedName name="tab.4">#REF!</definedName>
    <definedName name="tab.5">#REF!</definedName>
    <definedName name="tab.6">#REF!</definedName>
    <definedName name="tab.7">#REF!</definedName>
    <definedName name="tab.8">#REF!</definedName>
    <definedName name="tab.9">#REF!</definedName>
    <definedName name="TAB_1">#REF!</definedName>
    <definedName name="TAB_10">#REF!</definedName>
    <definedName name="TAB_11">#REF!</definedName>
    <definedName name="TAB_12">#REF!</definedName>
    <definedName name="TAB_2">#REF!</definedName>
    <definedName name="TAB_3">#REF!</definedName>
    <definedName name="TAB_4">#REF!</definedName>
    <definedName name="TAB_5">#REF!</definedName>
    <definedName name="TAB_6">#REF!</definedName>
    <definedName name="TAB_7">#REF!</definedName>
    <definedName name="TAB_8">#REF!</definedName>
    <definedName name="TAB_9">#REF!</definedName>
    <definedName name="TABLE">#REF!</definedName>
    <definedName name="TABLE_10">#N/A</definedName>
    <definedName name="TABLE_11">#N/A</definedName>
    <definedName name="TABLE_12">#N/A</definedName>
    <definedName name="TABLE_13">#N/A</definedName>
    <definedName name="TABLE_14">#N/A</definedName>
    <definedName name="TABLE_15">#N/A</definedName>
    <definedName name="TABLE_16">#N/A</definedName>
    <definedName name="TABLE_17">#N/A</definedName>
    <definedName name="TABLE_18">#N/A</definedName>
    <definedName name="TABLE_19">#N/A</definedName>
    <definedName name="TABLE_2">#N/A</definedName>
    <definedName name="TABLE_20">#N/A</definedName>
    <definedName name="TABLE_21">#N/A</definedName>
    <definedName name="TABLE_22">#N/A</definedName>
    <definedName name="TABLE_23">#N/A</definedName>
    <definedName name="TABLE_24">#N/A</definedName>
    <definedName name="TABLE_25">#N/A</definedName>
    <definedName name="TABLE_26">#N/A</definedName>
    <definedName name="TABLE_27">#N/A</definedName>
    <definedName name="TABLE_28">#N/A</definedName>
    <definedName name="TABLE_29">#N/A</definedName>
    <definedName name="TABLE_3">#N/A</definedName>
    <definedName name="TABLE_30">#N/A</definedName>
    <definedName name="TABLE_31">#N/A</definedName>
    <definedName name="TABLE_32">#N/A</definedName>
    <definedName name="TABLE_33">#N/A</definedName>
    <definedName name="TABLE_34">#N/A</definedName>
    <definedName name="TABLE_35">#N/A</definedName>
    <definedName name="TABLE_36">#N/A</definedName>
    <definedName name="TABLE_37">#N/A</definedName>
    <definedName name="TABLE_38">#N/A</definedName>
    <definedName name="TABLE_39">#N/A</definedName>
    <definedName name="TABLE_4">#N/A</definedName>
    <definedName name="TABLE_40">#N/A</definedName>
    <definedName name="TABLE_41">#N/A</definedName>
    <definedName name="TABLE_42">#N/A</definedName>
    <definedName name="TABLE_43">#N/A</definedName>
    <definedName name="TABLE_44">#N/A</definedName>
    <definedName name="TABLE_45">#N/A</definedName>
    <definedName name="TABLE_46">#N/A</definedName>
    <definedName name="TABLE_47">#N/A</definedName>
    <definedName name="TABLE_48">#N/A</definedName>
    <definedName name="TABLE_49">#N/A</definedName>
    <definedName name="TABLE_5">#N/A</definedName>
    <definedName name="TABLE_50">#N/A</definedName>
    <definedName name="TABLE_51">#N/A</definedName>
    <definedName name="TABLE_52">#N/A</definedName>
    <definedName name="TABLE_53">#N/A</definedName>
    <definedName name="TABLE_54">#N/A</definedName>
    <definedName name="TABLE_55">#N/A</definedName>
    <definedName name="TABLE_56">#N/A</definedName>
    <definedName name="TABLE_57">#N/A</definedName>
    <definedName name="TABLE_58">#N/A</definedName>
    <definedName name="TABLE_59">#N/A</definedName>
    <definedName name="TABLE_6">#N/A</definedName>
    <definedName name="TABLE_60">#N/A</definedName>
    <definedName name="TABLE_61">#N/A</definedName>
    <definedName name="TABLE_62">#N/A</definedName>
    <definedName name="TABLE_63">#N/A</definedName>
    <definedName name="TABLE_64">#N/A</definedName>
    <definedName name="TABLE_65">#N/A</definedName>
    <definedName name="TABLE_66">#N/A</definedName>
    <definedName name="TABLE_67">#N/A</definedName>
    <definedName name="TABLE_68">#N/A</definedName>
    <definedName name="TABLE_69">#N/A</definedName>
    <definedName name="TABLE_7">#N/A</definedName>
    <definedName name="TABLE_8">#N/A</definedName>
    <definedName name="TABLE_9">#N/A</definedName>
    <definedName name="TABLE1">#REF!</definedName>
    <definedName name="Tables" hidden="1">{"PAGE1",#N/A,FALSE,"Consolidation";"PAGE2",#N/A,FALSE,"Consolidation";"PAGE3",#N/A,FALSE,"Consolidation";"PAGE4",#N/A,FALSE,"Consolidation";"PAGE5",#N/A,FALSE,"Consolidation";"PAGE6",#N/A,FALSE,"Consolidation";"PAGE7",#N/A,FALSE,"Consolidation"}</definedName>
    <definedName name="Tag_no.">#REF!</definedName>
    <definedName name="Tar">#REF!</definedName>
    <definedName name="tar_wc">#REF!</definedName>
    <definedName name="TarCommitFee">#REF!</definedName>
    <definedName name="TarDebtCap">#REF!</definedName>
    <definedName name="TarExistDepYrs">#REF!</definedName>
    <definedName name="TarGwlAmrtYrs">#REF!</definedName>
    <definedName name="TarHistYear">#REF!</definedName>
    <definedName name="TarIntgAmrtYrs">#REF!</definedName>
    <definedName name="TarNewDepYrs">#REF!</definedName>
    <definedName name="TarStubQtr">#REF!</definedName>
    <definedName name="TarTaxRate">#REF!</definedName>
    <definedName name="TarYearEnd">#REF!</definedName>
    <definedName name="tax">#REF!</definedName>
    <definedName name="Tax_Effect_Income">#REF!</definedName>
    <definedName name="Tax_Effect_Liabs">#REF!</definedName>
    <definedName name="Tax_Effect_RetEarn">#REF!</definedName>
    <definedName name="Tax_rate">#REF!</definedName>
    <definedName name="TAXP1장">#N/A</definedName>
    <definedName name="TAXP1장부터10장">#N/A</definedName>
    <definedName name="TAXP1장부터2장">#N/A</definedName>
    <definedName name="TAXP1장부터5장">#N/A</definedName>
    <definedName name="TB">#REF!</definedName>
    <definedName name="TB_SK">#REF!</definedName>
    <definedName name="TB_SKM">#REF!</definedName>
    <definedName name="TB_ST">#REF!</definedName>
    <definedName name="TB_STM">#REF!</definedName>
    <definedName name="TB112.1">#REF!</definedName>
    <definedName name="TB113.1">#REF!</definedName>
    <definedName name="TB114.1">#REF!</definedName>
    <definedName name="TB115.1">#REF!</definedName>
    <definedName name="TB116.1">#REF!</definedName>
    <definedName name="TB117.1">#REF!</definedName>
    <definedName name="TB212.1">#REF!</definedName>
    <definedName name="TB213.1">#REF!</definedName>
    <definedName name="TB221.1">#REF!</definedName>
    <definedName name="TB222.1">#REF!</definedName>
    <definedName name="TB222.2">#REF!</definedName>
    <definedName name="TB223.1">#REF!</definedName>
    <definedName name="TB224.1">#REF!</definedName>
    <definedName name="TB312.1">#REF!</definedName>
    <definedName name="TB313.1">#REF!</definedName>
    <definedName name="TB314.1">#REF!</definedName>
    <definedName name="TB315.1">#REF!</definedName>
    <definedName name="TB316.1">#REF!</definedName>
    <definedName name="TB317.1">#REF!</definedName>
    <definedName name="TB318.1">#REF!</definedName>
    <definedName name="TB601.1">#REF!</definedName>
    <definedName name="TB605.1">#REF!</definedName>
    <definedName name="TB904.1">#REF!</definedName>
    <definedName name="TB904.2">#REF!</definedName>
    <definedName name="tbl_ProdInfo" hidden="1">#REF!</definedName>
    <definedName name="tc" hidden="1">{#N/A,#N/A,FALSE,"단축1";#N/A,#N/A,FALSE,"단축2";#N/A,#N/A,FALSE,"단축3";#N/A,#N/A,FALSE,"장축";#N/A,#N/A,FALSE,"4WD"}</definedName>
    <definedName name="tci" hidden="1">{#N/A,#N/A,FALSE,"단축1";#N/A,#N/A,FALSE,"단축2";#N/A,#N/A,FALSE,"단축3";#N/A,#N/A,FALSE,"장축";#N/A,#N/A,FALSE,"4WD"}</definedName>
    <definedName name="tdrutru" hidden="1">{#N/A,#N/A,FALSE,"Sheet6"}</definedName>
    <definedName name="TE" localSheetId="2" hidden="1">{#N/A,#N/A,FALSE,"기안지";#N/A,#N/A,FALSE,"통신지"}</definedName>
    <definedName name="TE" hidden="1">{#N/A,#N/A,FALSE,"기안지";#N/A,#N/A,FALSE,"통신지"}</definedName>
    <definedName name="telehpone">#REF!</definedName>
    <definedName name="temp">#REF!</definedName>
    <definedName name="TEMPLATE">#REF!</definedName>
    <definedName name="ter" hidden="1">{#N/A,#N/A,FALSE,"손익표지";#N/A,#N/A,FALSE,"손익계산";#N/A,#N/A,FALSE,"일반관리비";#N/A,#N/A,FALSE,"영업외수익";#N/A,#N/A,FALSE,"영업외비용";#N/A,#N/A,FALSE,"매출액";#N/A,#N/A,FALSE,"요약손익";#N/A,#N/A,FALSE,"요약대차";#N/A,#N/A,FALSE,"매출채권현황";#N/A,#N/A,FALSE,"매출채권명세"}</definedName>
    <definedName name="TEST">#REF!</definedName>
    <definedName name="TEST_B">#N/A</definedName>
    <definedName name="TEST_C">#N/A</definedName>
    <definedName name="TEST_D">#N/A</definedName>
    <definedName name="TEST_E">#N/A</definedName>
    <definedName name="TEST0">#REF!</definedName>
    <definedName name="TEST1">#REF!</definedName>
    <definedName name="test2" localSheetId="2" hidden="1">{#N/A,#N/A,FALSE,"Performance Flash Report"}</definedName>
    <definedName name="test2" hidden="1">{#N/A,#N/A,FALSE,"Performance Flash Report"}</definedName>
    <definedName name="test2_1" localSheetId="2" hidden="1">{#N/A,#N/A,FALSE,"Performance Flash Report"}</definedName>
    <definedName name="test2_1" hidden="1">{#N/A,#N/A,FALSE,"Performance Flash Report"}</definedName>
    <definedName name="test2_1_1" localSheetId="2" hidden="1">{#N/A,#N/A,FALSE,"Performance Flash Report"}</definedName>
    <definedName name="test2_1_1" hidden="1">{#N/A,#N/A,FALSE,"Performance Flash Report"}</definedName>
    <definedName name="test2_1_2" localSheetId="2" hidden="1">{#N/A,#N/A,FALSE,"Performance Flash Report"}</definedName>
    <definedName name="test2_1_2" hidden="1">{#N/A,#N/A,FALSE,"Performance Flash Report"}</definedName>
    <definedName name="test2_1_3" localSheetId="2" hidden="1">{#N/A,#N/A,FALSE,"Performance Flash Report"}</definedName>
    <definedName name="test2_1_3" hidden="1">{#N/A,#N/A,FALSE,"Performance Flash Report"}</definedName>
    <definedName name="test2_1_4" localSheetId="2" hidden="1">{#N/A,#N/A,FALSE,"Performance Flash Report"}</definedName>
    <definedName name="test2_1_4" hidden="1">{#N/A,#N/A,FALSE,"Performance Flash Report"}</definedName>
    <definedName name="test2_2" localSheetId="2" hidden="1">{#N/A,#N/A,FALSE,"Performance Flash Report"}</definedName>
    <definedName name="test2_2" hidden="1">{#N/A,#N/A,FALSE,"Performance Flash Report"}</definedName>
    <definedName name="test2_2_1" localSheetId="2" hidden="1">{#N/A,#N/A,FALSE,"Performance Flash Report"}</definedName>
    <definedName name="test2_2_1" hidden="1">{#N/A,#N/A,FALSE,"Performance Flash Report"}</definedName>
    <definedName name="test2_2_2" localSheetId="2" hidden="1">{#N/A,#N/A,FALSE,"Performance Flash Report"}</definedName>
    <definedName name="test2_2_2" hidden="1">{#N/A,#N/A,FALSE,"Performance Flash Report"}</definedName>
    <definedName name="test2_2_3" localSheetId="2" hidden="1">{#N/A,#N/A,FALSE,"Performance Flash Report"}</definedName>
    <definedName name="test2_2_3" hidden="1">{#N/A,#N/A,FALSE,"Performance Flash Report"}</definedName>
    <definedName name="test2_2_4" localSheetId="2" hidden="1">{#N/A,#N/A,FALSE,"Performance Flash Report"}</definedName>
    <definedName name="test2_2_4" hidden="1">{#N/A,#N/A,FALSE,"Performance Flash Report"}</definedName>
    <definedName name="test2_3" localSheetId="2" hidden="1">{#N/A,#N/A,FALSE,"Performance Flash Report"}</definedName>
    <definedName name="test2_3" hidden="1">{#N/A,#N/A,FALSE,"Performance Flash Report"}</definedName>
    <definedName name="test2_3_1" localSheetId="2" hidden="1">{#N/A,#N/A,FALSE,"Performance Flash Report"}</definedName>
    <definedName name="test2_3_1" hidden="1">{#N/A,#N/A,FALSE,"Performance Flash Report"}</definedName>
    <definedName name="test2_3_2" localSheetId="2" hidden="1">{#N/A,#N/A,FALSE,"Performance Flash Report"}</definedName>
    <definedName name="test2_3_2" hidden="1">{#N/A,#N/A,FALSE,"Performance Flash Report"}</definedName>
    <definedName name="test2_3_3" localSheetId="2" hidden="1">{#N/A,#N/A,FALSE,"Performance Flash Report"}</definedName>
    <definedName name="test2_3_3" hidden="1">{#N/A,#N/A,FALSE,"Performance Flash Report"}</definedName>
    <definedName name="test2_3_4" localSheetId="2" hidden="1">{#N/A,#N/A,FALSE,"Performance Flash Report"}</definedName>
    <definedName name="test2_3_4" hidden="1">{#N/A,#N/A,FALSE,"Performance Flash Report"}</definedName>
    <definedName name="test2_4" localSheetId="2" hidden="1">{#N/A,#N/A,FALSE,"Performance Flash Report"}</definedName>
    <definedName name="test2_4" hidden="1">{#N/A,#N/A,FALSE,"Performance Flash Report"}</definedName>
    <definedName name="test2_4_1" localSheetId="2" hidden="1">{#N/A,#N/A,FALSE,"Performance Flash Report"}</definedName>
    <definedName name="test2_4_1" hidden="1">{#N/A,#N/A,FALSE,"Performance Flash Report"}</definedName>
    <definedName name="test2_4_2" localSheetId="2" hidden="1">{#N/A,#N/A,FALSE,"Performance Flash Report"}</definedName>
    <definedName name="test2_4_2" hidden="1">{#N/A,#N/A,FALSE,"Performance Flash Report"}</definedName>
    <definedName name="test2_4_3" localSheetId="2" hidden="1">{#N/A,#N/A,FALSE,"Performance Flash Report"}</definedName>
    <definedName name="test2_4_3" hidden="1">{#N/A,#N/A,FALSE,"Performance Flash Report"}</definedName>
    <definedName name="test2_4_4" localSheetId="2" hidden="1">{#N/A,#N/A,FALSE,"Performance Flash Report"}</definedName>
    <definedName name="test2_4_4" hidden="1">{#N/A,#N/A,FALSE,"Performance Flash Report"}</definedName>
    <definedName name="test2_5" localSheetId="2" hidden="1">{#N/A,#N/A,FALSE,"Performance Flash Report"}</definedName>
    <definedName name="test2_5" hidden="1">{#N/A,#N/A,FALSE,"Performance Flash Report"}</definedName>
    <definedName name="test2_5_1" localSheetId="2" hidden="1">{#N/A,#N/A,FALSE,"Performance Flash Report"}</definedName>
    <definedName name="test2_5_1" hidden="1">{#N/A,#N/A,FALSE,"Performance Flash Report"}</definedName>
    <definedName name="test2_5_2" localSheetId="2" hidden="1">{#N/A,#N/A,FALSE,"Performance Flash Report"}</definedName>
    <definedName name="test2_5_2" hidden="1">{#N/A,#N/A,FALSE,"Performance Flash Report"}</definedName>
    <definedName name="test2_5_3" localSheetId="2" hidden="1">{#N/A,#N/A,FALSE,"Performance Flash Report"}</definedName>
    <definedName name="test2_5_3" hidden="1">{#N/A,#N/A,FALSE,"Performance Flash Report"}</definedName>
    <definedName name="test2_5_4" localSheetId="2" hidden="1">{#N/A,#N/A,FALSE,"Performance Flash Report"}</definedName>
    <definedName name="test2_5_4" hidden="1">{#N/A,#N/A,FALSE,"Performance Flash Report"}</definedName>
    <definedName name="test3" localSheetId="2" hidden="1">{#N/A,#N/A,FALSE,"Performance Flash Report"}</definedName>
    <definedName name="test3" hidden="1">{#N/A,#N/A,FALSE,"Performance Flash Report"}</definedName>
    <definedName name="test3_1" localSheetId="2" hidden="1">{#N/A,#N/A,FALSE,"Performance Flash Report"}</definedName>
    <definedName name="test3_1" hidden="1">{#N/A,#N/A,FALSE,"Performance Flash Report"}</definedName>
    <definedName name="test3_1_1" localSheetId="2" hidden="1">{#N/A,#N/A,FALSE,"Performance Flash Report"}</definedName>
    <definedName name="test3_1_1" hidden="1">{#N/A,#N/A,FALSE,"Performance Flash Report"}</definedName>
    <definedName name="test3_1_2" localSheetId="2" hidden="1">{#N/A,#N/A,FALSE,"Performance Flash Report"}</definedName>
    <definedName name="test3_1_2" hidden="1">{#N/A,#N/A,FALSE,"Performance Flash Report"}</definedName>
    <definedName name="test3_1_3" localSheetId="2" hidden="1">{#N/A,#N/A,FALSE,"Performance Flash Report"}</definedName>
    <definedName name="test3_1_3" hidden="1">{#N/A,#N/A,FALSE,"Performance Flash Report"}</definedName>
    <definedName name="test3_1_4" localSheetId="2" hidden="1">{#N/A,#N/A,FALSE,"Performance Flash Report"}</definedName>
    <definedName name="test3_1_4" hidden="1">{#N/A,#N/A,FALSE,"Performance Flash Report"}</definedName>
    <definedName name="test3_2" localSheetId="2" hidden="1">{#N/A,#N/A,FALSE,"Performance Flash Report"}</definedName>
    <definedName name="test3_2" hidden="1">{#N/A,#N/A,FALSE,"Performance Flash Report"}</definedName>
    <definedName name="test3_2_1" localSheetId="2" hidden="1">{#N/A,#N/A,FALSE,"Performance Flash Report"}</definedName>
    <definedName name="test3_2_1" hidden="1">{#N/A,#N/A,FALSE,"Performance Flash Report"}</definedName>
    <definedName name="test3_2_2" localSheetId="2" hidden="1">{#N/A,#N/A,FALSE,"Performance Flash Report"}</definedName>
    <definedName name="test3_2_2" hidden="1">{#N/A,#N/A,FALSE,"Performance Flash Report"}</definedName>
    <definedName name="test3_2_3" localSheetId="2" hidden="1">{#N/A,#N/A,FALSE,"Performance Flash Report"}</definedName>
    <definedName name="test3_2_3" hidden="1">{#N/A,#N/A,FALSE,"Performance Flash Report"}</definedName>
    <definedName name="test3_2_4" localSheetId="2" hidden="1">{#N/A,#N/A,FALSE,"Performance Flash Report"}</definedName>
    <definedName name="test3_2_4" hidden="1">{#N/A,#N/A,FALSE,"Performance Flash Report"}</definedName>
    <definedName name="test3_3" localSheetId="2" hidden="1">{#N/A,#N/A,FALSE,"Performance Flash Report"}</definedName>
    <definedName name="test3_3" hidden="1">{#N/A,#N/A,FALSE,"Performance Flash Report"}</definedName>
    <definedName name="test3_3_1" localSheetId="2" hidden="1">{#N/A,#N/A,FALSE,"Performance Flash Report"}</definedName>
    <definedName name="test3_3_1" hidden="1">{#N/A,#N/A,FALSE,"Performance Flash Report"}</definedName>
    <definedName name="test3_3_2" localSheetId="2" hidden="1">{#N/A,#N/A,FALSE,"Performance Flash Report"}</definedName>
    <definedName name="test3_3_2" hidden="1">{#N/A,#N/A,FALSE,"Performance Flash Report"}</definedName>
    <definedName name="test3_3_3" localSheetId="2" hidden="1">{#N/A,#N/A,FALSE,"Performance Flash Report"}</definedName>
    <definedName name="test3_3_3" hidden="1">{#N/A,#N/A,FALSE,"Performance Flash Report"}</definedName>
    <definedName name="test3_3_4" localSheetId="2" hidden="1">{#N/A,#N/A,FALSE,"Performance Flash Report"}</definedName>
    <definedName name="test3_3_4" hidden="1">{#N/A,#N/A,FALSE,"Performance Flash Report"}</definedName>
    <definedName name="test3_4" localSheetId="2" hidden="1">{#N/A,#N/A,FALSE,"Performance Flash Report"}</definedName>
    <definedName name="test3_4" hidden="1">{#N/A,#N/A,FALSE,"Performance Flash Report"}</definedName>
    <definedName name="test3_4_1" localSheetId="2" hidden="1">{#N/A,#N/A,FALSE,"Performance Flash Report"}</definedName>
    <definedName name="test3_4_1" hidden="1">{#N/A,#N/A,FALSE,"Performance Flash Report"}</definedName>
    <definedName name="test3_4_2" localSheetId="2" hidden="1">{#N/A,#N/A,FALSE,"Performance Flash Report"}</definedName>
    <definedName name="test3_4_2" hidden="1">{#N/A,#N/A,FALSE,"Performance Flash Report"}</definedName>
    <definedName name="test3_4_3" localSheetId="2" hidden="1">{#N/A,#N/A,FALSE,"Performance Flash Report"}</definedName>
    <definedName name="test3_4_3" hidden="1">{#N/A,#N/A,FALSE,"Performance Flash Report"}</definedName>
    <definedName name="test3_4_4" localSheetId="2" hidden="1">{#N/A,#N/A,FALSE,"Performance Flash Report"}</definedName>
    <definedName name="test3_4_4" hidden="1">{#N/A,#N/A,FALSE,"Performance Flash Report"}</definedName>
    <definedName name="test3_5" localSheetId="2" hidden="1">{#N/A,#N/A,FALSE,"Performance Flash Report"}</definedName>
    <definedName name="test3_5" hidden="1">{#N/A,#N/A,FALSE,"Performance Flash Report"}</definedName>
    <definedName name="test3_5_1" localSheetId="2" hidden="1">{#N/A,#N/A,FALSE,"Performance Flash Report"}</definedName>
    <definedName name="test3_5_1" hidden="1">{#N/A,#N/A,FALSE,"Performance Flash Report"}</definedName>
    <definedName name="test3_5_2" localSheetId="2" hidden="1">{#N/A,#N/A,FALSE,"Performance Flash Report"}</definedName>
    <definedName name="test3_5_2" hidden="1">{#N/A,#N/A,FALSE,"Performance Flash Report"}</definedName>
    <definedName name="test3_5_3" localSheetId="2" hidden="1">{#N/A,#N/A,FALSE,"Performance Flash Report"}</definedName>
    <definedName name="test3_5_3" hidden="1">{#N/A,#N/A,FALSE,"Performance Flash Report"}</definedName>
    <definedName name="test3_5_4" localSheetId="2" hidden="1">{#N/A,#N/A,FALSE,"Performance Flash Report"}</definedName>
    <definedName name="test3_5_4" hidden="1">{#N/A,#N/A,FALSE,"Performance Flash Report"}</definedName>
    <definedName name="TESTHKEY">#REF!</definedName>
    <definedName name="TESTKEYS">#REF!</definedName>
    <definedName name="TESTVKEY">#REF!</definedName>
    <definedName name="TEWR" localSheetId="2" hidden="1">{#N/A,#N/A,TRUE,"Y생산";#N/A,#N/A,TRUE,"Y판매";#N/A,#N/A,TRUE,"Y총물량";#N/A,#N/A,TRUE,"Y능력";#N/A,#N/A,TRUE,"YKD"}</definedName>
    <definedName name="TEWR" hidden="1">{#N/A,#N/A,TRUE,"Y생산";#N/A,#N/A,TRUE,"Y판매";#N/A,#N/A,TRUE,"Y총물량";#N/A,#N/A,TRUE,"Y능력";#N/A,#N/A,TRUE,"YKD"}</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trewr">#REF!</definedName>
    <definedName name="teww" hidden="1">#N/A</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5">#REF!</definedName>
    <definedName name="TextRefCopy5">#REF!</definedName>
    <definedName name="TextRefCopy6">#REF!</definedName>
    <definedName name="TextRefCopy7">#REF!</definedName>
    <definedName name="TextRefCopy8">#REF!</definedName>
    <definedName name="TextRefCopy9">#REF!</definedName>
    <definedName name="TextRefCopyRangeCount" hidden="1">1</definedName>
    <definedName name="Tfan">TEXT(#REF!,"@")&amp;"CMM x "&amp;TEXT(#REF!,"@")&amp;"MMAQ x "&amp;TEXT(#REF!,"@")&amp;"HP"</definedName>
    <definedName name="TFUI" hidden="1">{"'용역비'!$A$4:$C$8"}</definedName>
    <definedName name="tggf" hidden="1">#N/A</definedName>
    <definedName name="tgp">#REF!</definedName>
    <definedName name="TGR">#REF!</definedName>
    <definedName name="th">10^3</definedName>
    <definedName name="THEME2" localSheetId="2" hidden="1">{#N/A,#N/A,FALSE,"96 3월물량표";#N/A,#N/A,FALSE,"96 4월물량표";#N/A,#N/A,FALSE,"96 5월물량표"}</definedName>
    <definedName name="THEME2" hidden="1">{#N/A,#N/A,FALSE,"96 3월물량표";#N/A,#N/A,FALSE,"96 4월물량표";#N/A,#N/A,FALSE,"96 5월물량표"}</definedName>
    <definedName name="there">#REF!</definedName>
    <definedName name="THK">#REF!</definedName>
    <definedName name="THS" hidden="1">{#N/A,#N/A,FALSE,"손익표지";#N/A,#N/A,FALSE,"손익계산";#N/A,#N/A,FALSE,"일반관리비";#N/A,#N/A,FALSE,"영업외수익";#N/A,#N/A,FALSE,"영업외비용";#N/A,#N/A,FALSE,"매출액";#N/A,#N/A,FALSE,"요약손익";#N/A,#N/A,FALSE,"요약대차";#N/A,#N/A,FALSE,"매출채권현황";#N/A,#N/A,FALSE,"매출채권명세"}</definedName>
    <definedName name="THSDLR" hidden="1">{#N/A,#N/A,FALSE,"손익표지";#N/A,#N/A,FALSE,"손익계산";#N/A,#N/A,FALSE,"일반관리비";#N/A,#N/A,FALSE,"영업외수익";#N/A,#N/A,FALSE,"영업외비용";#N/A,#N/A,FALSE,"매출액";#N/A,#N/A,FALSE,"요약손익";#N/A,#N/A,FALSE,"요약대차";#N/A,#N/A,FALSE,"매출채권현황";#N/A,#N/A,FALSE,"매출채권명세"}</definedName>
    <definedName name="thtr">#REF!</definedName>
    <definedName name="THU">#REF!</definedName>
    <definedName name="Tigr_Exhibit05e5b91a_c3b2_41bd_843f_f790b0c305a6" hidden="1">#REF!</definedName>
    <definedName name="Tigr_Exhibit0b7db248_8527_40de_bd9e_0f7b9434a4de" hidden="1">#REF!</definedName>
    <definedName name="Tigr_Exhibit0d1db3b1_bd5b_4e25_a84b_61fb9a5dc2df" hidden="1">#REF!</definedName>
    <definedName name="Tigr_Exhibit11220970_1c92_40fc_8b72_e467c28205b9" hidden="1">#REF!</definedName>
    <definedName name="Tigr_Exhibit12702ec4_4fe2_4f30_b310_03e382b19c31" hidden="1">#REF!</definedName>
    <definedName name="Tigr_Exhibit13f93b11_b06a_454b_88ea_3865393bb9c1" hidden="1">#REF!</definedName>
    <definedName name="Tigr_Exhibit16f0b067_18e1_4b91_af58_50d1ccd2c068" hidden="1">#REF!</definedName>
    <definedName name="Tigr_Exhibit18148549_93d9_460a_8094_25e5cbfee999" hidden="1">#REF!</definedName>
    <definedName name="Tigr_Exhibit18531cd9_ac58_495c_b2dd_015233fb5c2c" hidden="1">#REF!</definedName>
    <definedName name="Tigr_Exhibit18788067_bc27_4bdf_a75d_ed16980cf176" hidden="1">#REF!</definedName>
    <definedName name="Tigr_Exhibit19a01c81_98ed_4116_acfd_882bb3bdfc5b" hidden="1">#REF!</definedName>
    <definedName name="Tigr_Exhibit22ff6ee1_1d98_481b_8b48_200834e61b5e" hidden="1">#REF!</definedName>
    <definedName name="Tigr_Exhibit24e14962_1147_4170_8e36_a430b2ce94ee" hidden="1">#REF!</definedName>
    <definedName name="Tigr_Exhibit2e4377f6_a9c5_4240_ac8b_25017672b924" hidden="1">#REF!</definedName>
    <definedName name="Tigr_Exhibit2f373b45_f098_411d_a515_8632f331e087" hidden="1">#REF!</definedName>
    <definedName name="Tigr_Exhibit33221ef8_90ca_4299_a810_e68e24394cc3" hidden="1">#REF!</definedName>
    <definedName name="Tigr_Exhibit3410bfaa_d0de_4077_b0da_51cea03ea008" hidden="1">#REF!</definedName>
    <definedName name="Tigr_Exhibit373e47f8_def2_4760_b96c_4ec2d1a97515" hidden="1">#REF!</definedName>
    <definedName name="Tigr_Exhibit44ae1ee2_0d16_43a2_aa3b_235d4e841682" hidden="1">#REF!</definedName>
    <definedName name="Tigr_Exhibit4549c626_e4e1_4086_ae2b_d843a17ea929" hidden="1">#REF!</definedName>
    <definedName name="Tigr_Exhibit46107d4a_5629_40e0_a476_6a3bbff5526e" hidden="1">#REF!</definedName>
    <definedName name="Tigr_Exhibit46ffe5ef_a99a_43c1_843b_d00aa14ceed5" hidden="1">#REF!</definedName>
    <definedName name="Tigr_Exhibit4fd7d242_d4d9_4e9b_ae29_84759f5cb7f7" hidden="1">#REF!</definedName>
    <definedName name="Tigr_Exhibit5bd26021_df29_404f_8d5f_c2e6d99ddbbf" hidden="1">#REF!</definedName>
    <definedName name="Tigr_Exhibit63700b08_acd8_46d3_9a24_b4f4d777090c" hidden="1">#REF!</definedName>
    <definedName name="Tigr_Exhibit6456dc27_801e_4255_a00f_bd1d87c3b6c4" hidden="1">#REF!</definedName>
    <definedName name="Tigr_Exhibit65f667bc_586d_4789_993c_3547417b965c" hidden="1">#REF!</definedName>
    <definedName name="Tigr_Exhibit6765910b_ce04_47a7_ac1b_d3239cffdec8" hidden="1">#REF!</definedName>
    <definedName name="Tigr_Exhibit69f3a19c_6a28_4c16_bbc5_4c17ddc27e12" hidden="1">#REF!</definedName>
    <definedName name="Tigr_Exhibit6a8ecc63_dee3_45e4_b78c_b18c285a33df" hidden="1">#REF!</definedName>
    <definedName name="Tigr_Exhibit6c43a7ef_d535_48fd_8366_924c8e89a0df" hidden="1">#REF!</definedName>
    <definedName name="Tigr_Exhibit74a18c19_c2bb_4cd9_8be4_b1568f11ccac" hidden="1">#REF!</definedName>
    <definedName name="Tigr_Exhibit758753bc_5a90_4867_846f_6717097926af" hidden="1">#REF!</definedName>
    <definedName name="Tigr_Exhibit761fe820_9fe0_495d_a0f3_581f0dac559a" hidden="1">#REF!</definedName>
    <definedName name="Tigr_Exhibit76361536_ab18_45fa_9d85_19b5504881de" hidden="1">#REF!</definedName>
    <definedName name="Tigr_Exhibit76e30025_a033_40d2_9ed4_d63bcf584e21" hidden="1">#REF!</definedName>
    <definedName name="Tigr_Exhibit773804d8_9d0a_4951_96e3_6b59a5fc5c79" hidden="1">#REF!</definedName>
    <definedName name="Tigr_Exhibit7b8a8428_6c35_4505_b545_df710d1ee704" hidden="1">#REF!</definedName>
    <definedName name="Tigr_Exhibit7d516c65_40f7_4c69_b5b0_2abd7fd38e4a" hidden="1">#REF!</definedName>
    <definedName name="Tigr_Exhibit839f1a9e_e496_4ca6_8d51_387a38c29cba" hidden="1">#REF!</definedName>
    <definedName name="Tigr_Exhibit842cfada_9277_4a7f_a342_fff1d0424d4c" hidden="1">#REF!</definedName>
    <definedName name="Tigr_Exhibit9099d50b_c8ce_48f9_9e5f_63739ed76e54" hidden="1">#REF!</definedName>
    <definedName name="Tigr_Exhibit94fd5e06_95a1_4048_bab5_fd50c61ffa9c" hidden="1">#REF!</definedName>
    <definedName name="Tigr_Exhibit95e82775_dbba_41ad_b742_8c93978443ab" hidden="1">#REF!</definedName>
    <definedName name="Tigr_Exhibit966295f3_0a3e_4578_89ed_1509d8f54874" hidden="1">#REF!</definedName>
    <definedName name="Tigr_Exhibit9859793c_99bc_4de1_a2b6_eb4d6552c334" hidden="1">#REF!</definedName>
    <definedName name="Tigr_Exhibit98cfbcec_2801_4510_ad07_047350310faa" hidden="1">#REF!</definedName>
    <definedName name="Tigr_Exhibit9e1c5918_96f4_413e_8a5e_f8157bdd9e14" hidden="1">#REF!</definedName>
    <definedName name="Tigr_Exhibita10dcdf0_87ab_4661_b72b_77e51cde7d22" hidden="1">#REF!</definedName>
    <definedName name="Tigr_Exhibita61f70b5_b1a5_47c8_b37c_b0003b2db5fa" hidden="1">#REF!</definedName>
    <definedName name="Tigr_Exhibitabc24b58_4ff7_4cfb_8228_0e32fbc824d5" hidden="1">#REF!</definedName>
    <definedName name="Tigr_Exhibitb1e66864_f7de_492a_ac7c_3f0e0f6c7d01" hidden="1">#REF!</definedName>
    <definedName name="Tigr_Exhibitb5b7bc99_cafb_41fc_a1dc_25af387eb43b" hidden="1">#REF!</definedName>
    <definedName name="Tigr_Exhibitbfcfedb2_d33c_4909_853e_ce2910d3563f" hidden="1">#REF!</definedName>
    <definedName name="Tigr_Exhibitc8208024_8eda_48f7_8b3f_da71a4b2083e" hidden="1">#REF!</definedName>
    <definedName name="Tigr_Exhibitca149985_9034_48f9_bb09_b87ad9c3d44e" hidden="1">#REF!</definedName>
    <definedName name="Tigr_Exhibitcc94038d_3ac9_43ea_b972_1cdc91072631" hidden="1">#REF!</definedName>
    <definedName name="Tigr_Exhibitcf66f16f_2304_49a2_bb90_faaf02cff9a5" hidden="1">#REF!</definedName>
    <definedName name="Tigr_Exhibitd5f33f7e_6b3f_4090_b44c_4575bae296ba" hidden="1">#REF!</definedName>
    <definedName name="Tigr_Exhibitd61ceaa5_3479_499b_b71c_249a64eba4e6" hidden="1">#REF!</definedName>
    <definedName name="Tigr_Exhibitd73ce434_c789_4275_852e_5fb3fc42651a" hidden="1">#REF!</definedName>
    <definedName name="Tigr_Exhibitd8d6372e_d085_4e40_8a54_905152d74317" hidden="1">#REF!</definedName>
    <definedName name="Tigr_Exhibitdc0e660d_c754_4130_ac2a_4cfb0f8bdce4" hidden="1">#REF!</definedName>
    <definedName name="Tigr_Exhibitdffafafa_016f_4d71_b197_20194a89365b" hidden="1">#REF!</definedName>
    <definedName name="Tigr_Exhibite1792956_846d_4514_bba6_984e836e32de" hidden="1">#REF!</definedName>
    <definedName name="Tigr_Exhibite6f47c10_5d7b_4773_8fc0_f516326eab6b" hidden="1">#REF!</definedName>
    <definedName name="Tigr_Exhibitebd428a5_8f70_4b4c_93a3_38a528d6233e" hidden="1">#REF!</definedName>
    <definedName name="Tigr_Exhibitf1995bf3_7c57_46fc_945c_1ef576e6e1ec" hidden="1">#REF!</definedName>
    <definedName name="Tigr_Exhibitf565e68e_b513_45d8_ae40_7e2650e2f2c7" hidden="1">#REF!</definedName>
    <definedName name="Tigr_Exhibitf5e4399a_63b3_40b1_a1ea_446209ffdc16" hidden="1">#REF!</definedName>
    <definedName name="Tigr_Exhibitfa0a547a_2d38_4f0f_bb16_da64f6d79a71" hidden="1">#REF!</definedName>
    <definedName name="Tigr_Exhibitfd8f1306_f9b2_401a_b792_affb6c3dd4b5" hidden="1">#REF!</definedName>
    <definedName name="Tigr_Exhibitfe3d65f9_9d84_4286_b2f3_48c812e0f8b6" hidden="1">#REF!</definedName>
    <definedName name="Tigr_Exhibitffa569f6_9d1d_4096_a7bc_29048cd4e69c" hidden="1">#REF!</definedName>
    <definedName name="TimetoExp">#REF!</definedName>
    <definedName name="TIPAREA">#REF!</definedName>
    <definedName name="TI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T">#REF!</definedName>
    <definedName name="TITLE">#REF!</definedName>
    <definedName name="TITLW">#REF!,#REF!,#REF!,#REF!,#REF!,#REF!</definedName>
    <definedName name="Titre">#REF!</definedName>
    <definedName name="TJAUDLWS" hidden="1">{#N/A,#N/A,TRUE,"Y생산";#N/A,#N/A,TRUE,"Y판매";#N/A,#N/A,TRUE,"Y총물량";#N/A,#N/A,TRUE,"Y능력";#N/A,#N/A,TRUE,"YKD"}</definedName>
    <definedName name="tk" localSheetId="2" hidden="1">{"'Jibu9811 (3)'!$B$1:$J$433"}</definedName>
    <definedName name="tk" hidden="1">{"'Jibu9811 (3)'!$B$1:$J$433"}</definedName>
    <definedName name="tkdl">#N/A</definedName>
    <definedName name="TKTKTK" localSheetId="2" hidden="1">{"'미착금액'!$A$4:$G$14"}</definedName>
    <definedName name="TKTKTK" hidden="1">{"'미착금액'!$A$4:$G$14"}</definedName>
    <definedName name="TLF">{"'10_03일자별'!$A$2:$H$31"}</definedName>
    <definedName name="tlsdmsdk" localSheetId="2" hidden="1">{#N/A,#N/A,FALSE,"Pharm";#N/A,#N/A,FALSE,"WWCM"}</definedName>
    <definedName name="tlsdmsdk" hidden="1">{#N/A,#N/A,FALSE,"Pharm";#N/A,#N/A,FALSE,"WWCM"}</definedName>
    <definedName name="TM1REBUILDOPTION">1</definedName>
    <definedName name="TMqkf" hidden="1">{"'통신지'!$A$1:$J$41"}</definedName>
    <definedName name="TOD">#REF!</definedName>
    <definedName name="todd">#REF!</definedName>
    <definedName name="TODLFMA" hidden="1">#REF!</definedName>
    <definedName name="tog">#REF!</definedName>
    <definedName name="TOO">#N/A</definedName>
    <definedName name="Top"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as">#REF!</definedName>
    <definedName name="topdia">#REF!</definedName>
    <definedName name="topinterval">#REF!</definedName>
    <definedName name="topmax">#REF!</definedName>
    <definedName name="TOPO" hidden="1">#REF!</definedName>
    <definedName name="TORSION" localSheetId="2" hidden="1">{#N/A,#N/A,FALSE,"단축1";#N/A,#N/A,FALSE,"단축2";#N/A,#N/A,FALSE,"단축3";#N/A,#N/A,FALSE,"장축";#N/A,#N/A,FALSE,"4WD"}</definedName>
    <definedName name="TORSION" hidden="1">{#N/A,#N/A,FALSE,"단축1";#N/A,#N/A,FALSE,"단축2";#N/A,#N/A,FALSE,"단축3";#N/A,#N/A,FALSE,"장축";#N/A,#N/A,FALSE,"4WD"}</definedName>
    <definedName name="TOT">#REF!</definedName>
    <definedName name="Tot_knw_Xfoot">#REF!</definedName>
    <definedName name="Tot_lik_Xfoot">#REF!</definedName>
    <definedName name="TOT_MONTHS">#REF!</definedName>
    <definedName name="total">#REF!</definedName>
    <definedName name="Total_Checks">#REF!</definedName>
    <definedName name="Total_Debt">#REF!+#REF!</definedName>
    <definedName name="Total_InboundCalls">#REF!</definedName>
    <definedName name="Total_OutboundCalls">#REF!</definedName>
    <definedName name="TOTAL1">#REF!</definedName>
    <definedName name="TOTAL2">#REF!</definedName>
    <definedName name="TOTAL3">#REF!</definedName>
    <definedName name="TotalInc">#REF!</definedName>
    <definedName name="totalIncDollars">#REF!</definedName>
    <definedName name="totamt">#REF!</definedName>
    <definedName name="TotCRF">#REF!</definedName>
    <definedName name="TotDiary">#REF!</definedName>
    <definedName name="TOTDLLS">#REF!</definedName>
    <definedName name="TotQOL">#REF!</definedName>
    <definedName name="tower">#REF!</definedName>
    <definedName name="TP_Footer_Path" hidden="1">"S:\COMP\2001\04159 - NOVA Chemicals\117\05 ELT Review\Report &amp; Data Files\"</definedName>
    <definedName name="TP_Footer_User" hidden="1">"chim"</definedName>
    <definedName name="TP_Footer_Version" hidden="1">"v3.00"</definedName>
    <definedName name="Tpump">TEXT(#REF!,"@")&amp;"LPM x "&amp;TEXT(#REF!,"@")&amp;"M x "&amp;TEXT(#REF!,"@")&amp;"HP"</definedName>
    <definedName name="tr"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Training" localSheetId="2">BlankMacro1</definedName>
    <definedName name="Training" localSheetId="0">BlankMacro1</definedName>
    <definedName name="Training">BlankMacro1</definedName>
    <definedName name="Transfer">#REF!</definedName>
    <definedName name="TRAY">#REF!</definedName>
    <definedName name="TRAY_D">#REF!</definedName>
    <definedName name="tre" hidden="1">{#N/A,#N/A,FALSE,"손익표지";#N/A,#N/A,FALSE,"손익계산";#N/A,#N/A,FALSE,"일반관리비";#N/A,#N/A,FALSE,"영업외수익";#N/A,#N/A,FALSE,"영업외비용";#N/A,#N/A,FALSE,"매출액";#N/A,#N/A,FALSE,"요약손익";#N/A,#N/A,FALSE,"요약대차";#N/A,#N/A,FALSE,"매출채권현황";#N/A,#N/A,FALSE,"매출채권명세"}</definedName>
    <definedName name="treeList" hidden="1">"10000000000000000000000000000000000000000000000000000000000000000000000000000000000000000000000000000000000000000000000000000000000000000000000000000000000000000000000000000000000000000000000000000000"</definedName>
    <definedName name="TRHEE" hidden="1">{#N/A,#N/A,FALSE,"Sheet6"}</definedName>
    <definedName name="trhr" hidden="1">{#N/A,#N/A,FALSE,"Sheet6"}</definedName>
    <definedName name="TrialBalance2">#REF!</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ryyr">#REF!</definedName>
    <definedName name="TT" localSheetId="2" hidden="1">{#N/A,#N/A,FALSE,"UNIT";#N/A,#N/A,FALSE,"UNIT";#N/A,#N/A,FALSE,"계정"}</definedName>
    <definedName name="TT" hidden="1">{#N/A,#N/A,FALSE,"UNIT";#N/A,#N/A,FALSE,"UNIT";#N/A,#N/A,FALSE,"계정"}</definedName>
    <definedName name="tthh" hidden="1">#N/A</definedName>
    <definedName name="TTI" hidden="1">{#N/A,#N/A,FALSE,"단축1";#N/A,#N/A,FALSE,"단축2";#N/A,#N/A,FALSE,"단축3";#N/A,#N/A,FALSE,"장축";#N/A,#N/A,FALSE,"4WD"}</definedName>
    <definedName name="TTL_COS">#N/A</definedName>
    <definedName name="TTL_SALE">#N/A</definedName>
    <definedName name="TTL_UC">#N/A</definedName>
    <definedName name="TTLSALE">#N/A</definedName>
    <definedName name="ttr" hidden="1">{#N/A,#N/A,FALSE,"Sheet6"}</definedName>
    <definedName name="TTSALE">#N/A</definedName>
    <definedName name="TTT"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t"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t" hidden="1">{#N/A,#N/A,FALSE,"지침";#N/A,#N/A,FALSE,"환경분석";#N/A,#N/A,FALSE,"Sheet16"}</definedName>
    <definedName name="TTTTTTT">#REF!</definedName>
    <definedName name="ttttttttt" hidden="1">{"'Set-Out'!$A$1:$H$30"}</definedName>
    <definedName name="tu" hidden="1">{"'용역비'!$A$4:$C$8"}</definedName>
    <definedName name="tuilol" hidden="1">{"'용역비'!$A$4:$C$8"}</definedName>
    <definedName name="TUJA">#REF!</definedName>
    <definedName name="turtu">#REF!</definedName>
    <definedName name="tut">#REF!</definedName>
    <definedName name="TW">#REF!</definedName>
    <definedName name="TWI">#REF!</definedName>
    <definedName name="Tx">#REF!</definedName>
    <definedName name="ty" hidden="1">#REF!</definedName>
    <definedName name="tyer" hidden="1">{#N/A,#N/A,FALSE,"손익표지";#N/A,#N/A,FALSE,"손익계산";#N/A,#N/A,FALSE,"일반관리비";#N/A,#N/A,FALSE,"영업외수익";#N/A,#N/A,FALSE,"영업외비용";#N/A,#N/A,FALSE,"매출액";#N/A,#N/A,FALSE,"요약손익";#N/A,#N/A,FALSE,"요약대차";#N/A,#N/A,FALSE,"매출채권현황";#N/A,#N/A,FALSE,"매출채권명세"}</definedName>
    <definedName name="tyiutyui" hidden="1">{#N/A,#N/A,FALSE,"Sheet6"}</definedName>
    <definedName name="TYJ" hidden="1">{"'용역비'!$A$4:$C$8"}</definedName>
    <definedName name="tyje" hidden="1">{"'용역비'!$A$4:$C$8"}</definedName>
    <definedName name="tyjet" hidden="1">{"'용역비'!$A$4:$C$8"}</definedName>
    <definedName name="TYPE">#REF!</definedName>
    <definedName name="type_dropdown">#REF!</definedName>
    <definedName name="TYTYTYTYTYT" hidden="1">{#N/A,#N/A,FALSE,"단축1";#N/A,#N/A,FALSE,"단축2";#N/A,#N/A,FALSE,"단축3";#N/A,#N/A,FALSE,"장축";#N/A,#N/A,FALSE,"4WD"}</definedName>
    <definedName name="tyu" hidden="1">{"'용역비'!$A$4:$C$8"}</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z">#REF!</definedName>
    <definedName name="T행">#REF!</definedName>
    <definedName name="u"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100ti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3_운반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cf">#REF!</definedName>
    <definedName name="uHKG">#REF!</definedName>
    <definedName name="ui" hidden="1">#REF!</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o" hidden="1">{"'용역비'!$A$4:$C$8"}</definedName>
    <definedName name="UM">#REF!</definedName>
    <definedName name="UNI_AA_VERSION" hidden="1">"150.1.7"</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QUE_CRF">#REF!</definedName>
    <definedName name="UNIQUE_diary">#REF!</definedName>
    <definedName name="Unique_Figure">#REF!</definedName>
    <definedName name="Unique_Listing">#REF!</definedName>
    <definedName name="UNIQUE_QOL">#REF!</definedName>
    <definedName name="Unique_Table">#REF!</definedName>
    <definedName name="UNIT">#N/A</definedName>
    <definedName name="unit_cm">#REF!</definedName>
    <definedName name="Unit_Flag">#REF!</definedName>
    <definedName name="Unit_Pipeline_Cost_Arterial">#REF!</definedName>
    <definedName name="UNIT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Flag">#REF!</definedName>
    <definedName name="UNITS">#REF!</definedName>
    <definedName name="up" hidden="1">{#N/A,#N/A,FALSE,"지침";#N/A,#N/A,FALSE,"환경분석";#N/A,#N/A,FALSE,"Sheet16"}</definedName>
    <definedName name="upper">#REF!</definedName>
    <definedName name="US_NPV_BASE_RA">#REF!</definedName>
    <definedName name="US_NPV_DOWN_RA">#REF!</definedName>
    <definedName name="US_NPV_UP_RA">#REF!</definedName>
    <definedName name="US_PL_BASE_RA">#REF!</definedName>
    <definedName name="US_PL_DOWN_RA">#REF!</definedName>
    <definedName name="US_PL_UP_RA">#REF!</definedName>
    <definedName name="US_SALES_BASE_NRA">#REF!</definedName>
    <definedName name="US_SALES_BASE_RA">#REF!</definedName>
    <definedName name="US_SALES_DOWN_NRA">#REF!</definedName>
    <definedName name="US_SALES_DOWN_RA">#REF!</definedName>
    <definedName name="US_SALES_UP_NRA">#REF!</definedName>
    <definedName name="US_SALES_UP_RA">#REF!</definedName>
    <definedName name="USD">#REF!</definedName>
    <definedName name="user_cnt">#REF!</definedName>
    <definedName name="User_Contribution_Household">#REF!</definedName>
    <definedName name="ut" hidden="1">{#N/A,#N/A,FALSE,"손익표지";#N/A,#N/A,FALSE,"손익계산";#N/A,#N/A,FALSE,"일반관리비";#N/A,#N/A,FALSE,"영업외수익";#N/A,#N/A,FALSE,"영업외비용";#N/A,#N/A,FALSE,"매출액";#N/A,#N/A,FALSE,"요약손익";#N/A,#N/A,FALSE,"요약대차";#N/A,#N/A,FALSE,"매출채권현황";#N/A,#N/A,FALSE,"매출채권명세"}</definedName>
    <definedName name="UTILITYA" hidden="1">{#N/A,#N/A,FALSE,"손익표지";#N/A,#N/A,FALSE,"손익계산";#N/A,#N/A,FALSE,"일반관리비";#N/A,#N/A,FALSE,"영업외수익";#N/A,#N/A,FALSE,"영업외비용";#N/A,#N/A,FALSE,"매출액";#N/A,#N/A,FALSE,"요약손익";#N/A,#N/A,FALSE,"요약대차";#N/A,#N/A,FALSE,"매출채권현황";#N/A,#N/A,FALSE,"매출채권명세"}</definedName>
    <definedName name="utty" hidden="1">{#N/A,#N/A,FALSE,"손익표지";#N/A,#N/A,FALSE,"손익계산";#N/A,#N/A,FALSE,"일반관리비";#N/A,#N/A,FALSE,"영업외수익";#N/A,#N/A,FALSE,"영업외비용";#N/A,#N/A,FALSE,"매출액";#N/A,#N/A,FALSE,"요약손익";#N/A,#N/A,FALSE,"요약대차";#N/A,#N/A,FALSE,"매출채권현황";#N/A,#N/A,FALSE,"매출채권명세"}</definedName>
    <definedName name="uu" hidden="1">{#N/A,#N/A,FALSE,"손익표지";#N/A,#N/A,FALSE,"손익계산";#N/A,#N/A,FALSE,"일반관리비";#N/A,#N/A,FALSE,"영업외수익";#N/A,#N/A,FALSE,"영업외비용";#N/A,#N/A,FALSE,"매출액";#N/A,#N/A,FALSE,"요약손익";#N/A,#N/A,FALSE,"요약대차";#N/A,#N/A,FALSE,"매출채권현황";#N/A,#N/A,FALSE,"매출채권명세"}</definedName>
    <definedName name="UUN">#N/A</definedName>
    <definedName name="UUU" localSheetId="2" hidden="1">{#N/A,#N/A,FALSE,"CCTV"}</definedName>
    <definedName name="UUU" hidden="1">{#N/A,#N/A,FALSE,"CCTV"}</definedName>
    <definedName name="uuuu" hidden="1">{#N/A,#N/A,FALSE,"단가표지"}</definedName>
    <definedName name="uy" hidden="1">{#N/A,#N/A,FALSE,"손익표지";#N/A,#N/A,FALSE,"손익계산";#N/A,#N/A,FALSE,"일반관리비";#N/A,#N/A,FALSE,"영업외수익";#N/A,#N/A,FALSE,"영업외비용";#N/A,#N/A,FALSE,"매출액";#N/A,#N/A,FALSE,"요약손익";#N/A,#N/A,FALSE,"요약대차";#N/A,#N/A,FALSE,"매출채권현황";#N/A,#N/A,FALSE,"매출채권명세"}</definedName>
    <definedName name="UYR" hidden="1">{#N/A,#N/A,FALSE,"단축1";#N/A,#N/A,FALSE,"단축2";#N/A,#N/A,FALSE,"단축3";#N/A,#N/A,FALSE,"장축";#N/A,#N/A,FALSE,"4WD"}</definedName>
    <definedName name="uyteyj" hidden="1">#REF!</definedName>
    <definedName name="UYTRC" hidden="1">{#N/A,#N/A,FALSE,"단축1";#N/A,#N/A,FALSE,"단축2";#N/A,#N/A,FALSE,"단축3";#N/A,#N/A,FALSE,"장축";#N/A,#N/A,FALSE,"4WD"}</definedName>
    <definedName name="U행">#REF!</definedName>
    <definedName name="v" localSheetId="2" hidden="1">{#N/A,#N/A,FALSE,"BS";#N/A,#N/A,FALSE,"PL";#N/A,#N/A,FALSE,"처분";#N/A,#N/A,FALSE,"현금";#N/A,#N/A,FALSE,"매출";#N/A,#N/A,FALSE,"원가";#N/A,#N/A,FALSE,"경영"}</definedName>
    <definedName name="v" hidden="1">{#N/A,#N/A,FALSE,"BS";#N/A,#N/A,FALSE,"PL";#N/A,#N/A,FALSE,"처분";#N/A,#N/A,FALSE,"현금";#N/A,#N/A,FALSE,"매출";#N/A,#N/A,FALSE,"원가";#N/A,#N/A,FALSE,"경영"}</definedName>
    <definedName name="V_30">#REF!</definedName>
    <definedName name="V_32">#REF!</definedName>
    <definedName name="V_34">#REF!</definedName>
    <definedName name="v_3s_cu">#REF!</definedName>
    <definedName name="v_3s_Q1">#REF!</definedName>
    <definedName name="v_3s_Q2">#REF!</definedName>
    <definedName name="v_3s_Q3">#REF!</definedName>
    <definedName name="v_cu_cu">#REF!</definedName>
    <definedName name="v_cu_Q1">#REF!</definedName>
    <definedName name="v_cu_Q2">#REF!</definedName>
    <definedName name="v_cu_Q3">#REF!</definedName>
    <definedName name="v_la_cu">#REF!</definedName>
    <definedName name="v_la_Q1">#REF!</definedName>
    <definedName name="v_la_Q2">#REF!</definedName>
    <definedName name="v_la_Q3">#REF!</definedName>
    <definedName name="v_pl_cu">#REF!</definedName>
    <definedName name="v_pl_Q1">#REF!</definedName>
    <definedName name="v_pl_Q2">#REF!</definedName>
    <definedName name="v_pl_Q3">#REF!</definedName>
    <definedName name="v_pr_cu">#REF!</definedName>
    <definedName name="v_pr_Q1">#REF!</definedName>
    <definedName name="v_pr_Q2">#REF!</definedName>
    <definedName name="v_pr_Q3">#REF!</definedName>
    <definedName name="v_pu_cu">#REF!</definedName>
    <definedName name="v_pu_Q1">#REF!</definedName>
    <definedName name="v_pu_Q2">#REF!</definedName>
    <definedName name="v_pu_Q3">#REF!</definedName>
    <definedName name="v_st_cu">#REF!</definedName>
    <definedName name="v_st_Q1">#REF!</definedName>
    <definedName name="v_st_Q2">#REF!</definedName>
    <definedName name="v_st_Q3">#REF!</definedName>
    <definedName name="v_ta_cu">#REF!</definedName>
    <definedName name="v_ta_Q1">#REF!</definedName>
    <definedName name="v_ta_Q2">#REF!</definedName>
    <definedName name="v_ta_Q3">#REF!</definedName>
    <definedName name="v_te_cu">#REF!</definedName>
    <definedName name="v_te_Q1">#REF!</definedName>
    <definedName name="v_te_Q2">#REF!</definedName>
    <definedName name="v_te_Q3">#REF!</definedName>
    <definedName name="v_선행_cu">#REF!</definedName>
    <definedName name="v_선행_Q1">#REF!</definedName>
    <definedName name="v_선행_Q2">#REF!</definedName>
    <definedName name="v_선행_Q3">#REF!</definedName>
    <definedName name="v_외관_cu">#REF!</definedName>
    <definedName name="v_외관_Q1">#REF!</definedName>
    <definedName name="v_외관_Q2">#REF!</definedName>
    <definedName name="v_외관_Q3">#REF!</definedName>
    <definedName name="v22072450"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0724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AL" hidden="1">#REF!</definedName>
    <definedName name="Validation">"MAM"</definedName>
    <definedName name="valves">#REF!</definedName>
    <definedName name="VARAMT">#N/A</definedName>
    <definedName name="VAREOH">#N/A</definedName>
    <definedName name="VB" hidden="1">{#N/A,#N/A,FALSE,"이태원철근"}</definedName>
    <definedName name="VBN" hidden="1">{#N/A,#N/A,FALSE,"이태원철근"}</definedName>
    <definedName name="vbnhj" hidden="1">{#N/A,#N/A,FALSE,"Sheet6"}</definedName>
    <definedName name="vds" localSheetId="2" hidden="1">{"'買掛金'!$J$6"}</definedName>
    <definedName name="vds" hidden="1">{"'買掛金'!$J$6"}</definedName>
    <definedName name="VE">#REF!</definedName>
    <definedName name="Vendor">#REF!</definedName>
    <definedName name="veras">#REF!</definedName>
    <definedName name="verdia">#REF!</definedName>
    <definedName name="vermax">#REF!</definedName>
    <definedName name="vernum">#REF!</definedName>
    <definedName name="version">#REF!</definedName>
    <definedName name="Vew">#REF!</definedName>
    <definedName name="vision2" localSheetId="2"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ISNET">#REF!</definedName>
    <definedName name="vjie">BlankMacro1</definedName>
    <definedName name="vks" hidden="1">#REF!</definedName>
    <definedName name="Vmax">#REF!</definedName>
    <definedName name="vngf">#REF!</definedName>
    <definedName name="VO">#REF!</definedName>
    <definedName name="Vol">#REF!</definedName>
    <definedName name="VolumeInc">#REF!</definedName>
    <definedName name="VolumeIncDollars">#REF!</definedName>
    <definedName name="VOS">#REF!</definedName>
    <definedName name="Vot">#REF!</definedName>
    <definedName name="vow">#REF!</definedName>
    <definedName name="Vowt">#REF!</definedName>
    <definedName name="VRTRVTR" hidden="1">{#N/A,#N/A,TRUE,"경전'96(1)";#N/A,#N/A,TRUE,"경전'96 (2)"}</definedName>
    <definedName name="Vtwt">#REF!</definedName>
    <definedName name="vv">Main.SAPF4Help()</definedName>
    <definedName name="vvv" localSheetId="2" hidden="1">{"'買掛金'!$J$6"}</definedName>
    <definedName name="vvv" hidden="1">{"'買掛金'!$J$6"}</definedName>
    <definedName name="vvvv" hidden="1">{TRUE,TRUE,-1.25,-15.5,456.75,279.75,FALSE,FALSE,TRUE,TRUE,0,1,18,1,199,6,3,4,TRUE,TRUE,3,TRUE,1,TRUE,100,"Swvu.cash.","ACwvu.cash.",1,FALSE,FALSE,0.511811023622047,0.511811023622047,0.511811023622047,0.511811023622047,1,"","",FALSE,FALSE,FALSE,FALSE,1,#N/A,1,1,#DIV/0!,FALSE,"Rwvu.cash.",#N/A,FALSE,FALSE}</definedName>
    <definedName name="vvvvvvvvvvvvvvvvvvvvvvvvvvvv">#N/A</definedName>
    <definedName name="VW" localSheetId="2" hidden="1">{#N/A,#N/A,FALSE,"기안지";#N/A,#N/A,FALSE,"통신지"}</definedName>
    <definedName name="VW" hidden="1">{#N/A,#N/A,FALSE,"기안지";#N/A,#N/A,FALSE,"통신지"}</definedName>
    <definedName name="vxccx" localSheetId="2" hidden="1">{"'買掛金'!$J$6"}</definedName>
    <definedName name="vxccx" hidden="1">{"'買掛金'!$J$6"}</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YVY" hidden="1">{#N/A,#N/A,FALSE,"단축1";#N/A,#N/A,FALSE,"단축2";#N/A,#N/A,FALSE,"단축3";#N/A,#N/A,FALSE,"장축";#N/A,#N/A,FALSE,"4WD"}</definedName>
    <definedName name="V행">#REF!</definedName>
    <definedName name="w" hidden="1">#REF!</definedName>
    <definedName name="w4er" hidden="1">{TRUE,TRUE,-1.25,-15.5,604.5,369,FALSE,FALSE,TRUE,TRUE,0,1,83,1,38,4,5,4,TRUE,TRUE,3,TRUE,1,TRUE,75,"Swvu.inputs._.raw._.data.","ACwvu.inputs._.raw._.data.",#N/A,FALSE,FALSE,0.5,0.5,0.5,0.5,2,"&amp;F","&amp;A&amp;RPage &amp;P",FALSE,FALSE,FALSE,FALSE,1,60,#N/A,#N/A,"=R1C61:R53C89","=C1:C5",#N/A,#N/A,FALSE,FALSE,FALSE,1,600,600,FALSE,FALSE,TRUE,TRUE,TRUE}</definedName>
    <definedName name="WA" hidden="1">{#N/A,#N/A,FALSE,"초도품";#N/A,#N/A,FALSE,"초도품 (2)";#N/A,#N/A,FALSE,"초도품 (3)";#N/A,#N/A,FALSE,"초도품 (4)";#N/A,#N/A,FALSE,"초도품 (5)";#N/A,#N/A,FALSE,"초도품 (6)"}</definedName>
    <definedName name="WACC">#REF!</definedName>
    <definedName name="WACC_h">#REF!</definedName>
    <definedName name="wacc1">#REF!</definedName>
    <definedName name="walgreen"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green"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l">#REF!</definedName>
    <definedName name="WALL_FIN">#REF!</definedName>
    <definedName name="wallh">#REF!</definedName>
    <definedName name="water">#REF!</definedName>
    <definedName name="WB">#REF!</definedName>
    <definedName name="WBS"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C">#REF!</definedName>
    <definedName name="wcs">#REF!</definedName>
    <definedName name="wd">#REF!</definedName>
    <definedName name="wdd" localSheetId="2" hidden="1">{#N/A,#N/A,FALSE,"UNIT";#N/A,#N/A,FALSE,"UNIT";#N/A,#N/A,FALSE,"계정"}</definedName>
    <definedName name="wdd" hidden="1">{#N/A,#N/A,FALSE,"UNIT";#N/A,#N/A,FALSE,"UNIT";#N/A,#N/A,FALSE,"계정"}</definedName>
    <definedName name="wdj">#N/A</definedName>
    <definedName name="we" localSheetId="2" hidden="1">{#N/A,#N/A,FALSE,"인원";#N/A,#N/A,FALSE,"비용2";#N/A,#N/A,FALSE,"비용1";#N/A,#N/A,FALSE,"비용";#N/A,#N/A,FALSE,"보증2";#N/A,#N/A,FALSE,"보증1";#N/A,#N/A,FALSE,"보증";#N/A,#N/A,FALSE,"손익1";#N/A,#N/A,FALSE,"손익";#N/A,#N/A,FALSE,"부서별매출";#N/A,#N/A,FALSE,"매출"}</definedName>
    <definedName name="we" hidden="1">{#N/A,#N/A,FALSE,"인원";#N/A,#N/A,FALSE,"비용2";#N/A,#N/A,FALSE,"비용1";#N/A,#N/A,FALSE,"비용";#N/A,#N/A,FALSE,"보증2";#N/A,#N/A,FALSE,"보증1";#N/A,#N/A,FALSE,"보증";#N/A,#N/A,FALSE,"손익1";#N/A,#N/A,FALSE,"손익";#N/A,#N/A,FALSE,"부서별매출";#N/A,#N/A,FALSE,"매출"}</definedName>
    <definedName name="WEARF" localSheetId="2" hidden="1">{#N/A,#N/A,TRUE,"Y생산";#N/A,#N/A,TRUE,"Y판매";#N/A,#N/A,TRUE,"Y총물량";#N/A,#N/A,TRUE,"Y능력";#N/A,#N/A,TRUE,"YKD"}</definedName>
    <definedName name="WEARF" hidden="1">{#N/A,#N/A,TRUE,"Y생산";#N/A,#N/A,TRUE,"Y판매";#N/A,#N/A,TRUE,"Y총물량";#N/A,#N/A,TRUE,"Y능력";#N/A,#N/A,TRUE,"YKD"}</definedName>
    <definedName name="we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 localSheetId="2" hidden="1">{#N/A,#N/A,FALSE,"Performance Flash Report"}</definedName>
    <definedName name="wef" hidden="1">{#N/A,#N/A,FALSE,"Performance Flash Report"}</definedName>
    <definedName name="wef_1" localSheetId="2" hidden="1">{#N/A,#N/A,FALSE,"Performance Flash Report"}</definedName>
    <definedName name="wef_1" hidden="1">{#N/A,#N/A,FALSE,"Performance Flash Report"}</definedName>
    <definedName name="wef_1_1" localSheetId="2" hidden="1">{#N/A,#N/A,FALSE,"Performance Flash Report"}</definedName>
    <definedName name="wef_1_1" hidden="1">{#N/A,#N/A,FALSE,"Performance Flash Report"}</definedName>
    <definedName name="wef_1_2" localSheetId="2" hidden="1">{#N/A,#N/A,FALSE,"Performance Flash Report"}</definedName>
    <definedName name="wef_1_2" hidden="1">{#N/A,#N/A,FALSE,"Performance Flash Report"}</definedName>
    <definedName name="wef_1_3" localSheetId="2" hidden="1">{#N/A,#N/A,FALSE,"Performance Flash Report"}</definedName>
    <definedName name="wef_1_3" hidden="1">{#N/A,#N/A,FALSE,"Performance Flash Report"}</definedName>
    <definedName name="wef_1_4" localSheetId="2" hidden="1">{#N/A,#N/A,FALSE,"Performance Flash Report"}</definedName>
    <definedName name="wef_1_4" hidden="1">{#N/A,#N/A,FALSE,"Performance Flash Report"}</definedName>
    <definedName name="wef_2" localSheetId="2" hidden="1">{#N/A,#N/A,FALSE,"Performance Flash Report"}</definedName>
    <definedName name="wef_2" hidden="1">{#N/A,#N/A,FALSE,"Performance Flash Report"}</definedName>
    <definedName name="wef_2_1" localSheetId="2" hidden="1">{#N/A,#N/A,FALSE,"Performance Flash Report"}</definedName>
    <definedName name="wef_2_1" hidden="1">{#N/A,#N/A,FALSE,"Performance Flash Report"}</definedName>
    <definedName name="wef_2_2" localSheetId="2" hidden="1">{#N/A,#N/A,FALSE,"Performance Flash Report"}</definedName>
    <definedName name="wef_2_2" hidden="1">{#N/A,#N/A,FALSE,"Performance Flash Report"}</definedName>
    <definedName name="wef_2_3" localSheetId="2" hidden="1">{#N/A,#N/A,FALSE,"Performance Flash Report"}</definedName>
    <definedName name="wef_2_3" hidden="1">{#N/A,#N/A,FALSE,"Performance Flash Report"}</definedName>
    <definedName name="wef_2_4" localSheetId="2" hidden="1">{#N/A,#N/A,FALSE,"Performance Flash Report"}</definedName>
    <definedName name="wef_2_4" hidden="1">{#N/A,#N/A,FALSE,"Performance Flash Report"}</definedName>
    <definedName name="wef_3" localSheetId="2" hidden="1">{#N/A,#N/A,FALSE,"Performance Flash Report"}</definedName>
    <definedName name="wef_3" hidden="1">{#N/A,#N/A,FALSE,"Performance Flash Report"}</definedName>
    <definedName name="wef_3_1" localSheetId="2" hidden="1">{#N/A,#N/A,FALSE,"Performance Flash Report"}</definedName>
    <definedName name="wef_3_1" hidden="1">{#N/A,#N/A,FALSE,"Performance Flash Report"}</definedName>
    <definedName name="wef_3_2" localSheetId="2" hidden="1">{#N/A,#N/A,FALSE,"Performance Flash Report"}</definedName>
    <definedName name="wef_3_2" hidden="1">{#N/A,#N/A,FALSE,"Performance Flash Report"}</definedName>
    <definedName name="wef_3_3" localSheetId="2" hidden="1">{#N/A,#N/A,FALSE,"Performance Flash Report"}</definedName>
    <definedName name="wef_3_3" hidden="1">{#N/A,#N/A,FALSE,"Performance Flash Report"}</definedName>
    <definedName name="wef_3_4" localSheetId="2" hidden="1">{#N/A,#N/A,FALSE,"Performance Flash Report"}</definedName>
    <definedName name="wef_3_4" hidden="1">{#N/A,#N/A,FALSE,"Performance Flash Report"}</definedName>
    <definedName name="wef_4" localSheetId="2" hidden="1">{#N/A,#N/A,FALSE,"Performance Flash Report"}</definedName>
    <definedName name="wef_4" hidden="1">{#N/A,#N/A,FALSE,"Performance Flash Report"}</definedName>
    <definedName name="wef_4_1" localSheetId="2" hidden="1">{#N/A,#N/A,FALSE,"Performance Flash Report"}</definedName>
    <definedName name="wef_4_1" hidden="1">{#N/A,#N/A,FALSE,"Performance Flash Report"}</definedName>
    <definedName name="wef_4_2" localSheetId="2" hidden="1">{#N/A,#N/A,FALSE,"Performance Flash Report"}</definedName>
    <definedName name="wef_4_2" hidden="1">{#N/A,#N/A,FALSE,"Performance Flash Report"}</definedName>
    <definedName name="wef_4_3" localSheetId="2" hidden="1">{#N/A,#N/A,FALSE,"Performance Flash Report"}</definedName>
    <definedName name="wef_4_3" hidden="1">{#N/A,#N/A,FALSE,"Performance Flash Report"}</definedName>
    <definedName name="wef_4_4" localSheetId="2" hidden="1">{#N/A,#N/A,FALSE,"Performance Flash Report"}</definedName>
    <definedName name="wef_4_4" hidden="1">{#N/A,#N/A,FALSE,"Performance Flash Report"}</definedName>
    <definedName name="wef_5" localSheetId="2" hidden="1">{#N/A,#N/A,FALSE,"Performance Flash Report"}</definedName>
    <definedName name="wef_5" hidden="1">{#N/A,#N/A,FALSE,"Performance Flash Report"}</definedName>
    <definedName name="wef_5_1" localSheetId="2" hidden="1">{#N/A,#N/A,FALSE,"Performance Flash Report"}</definedName>
    <definedName name="wef_5_1" hidden="1">{#N/A,#N/A,FALSE,"Performance Flash Report"}</definedName>
    <definedName name="wef_5_2" localSheetId="2" hidden="1">{#N/A,#N/A,FALSE,"Performance Flash Report"}</definedName>
    <definedName name="wef_5_2" hidden="1">{#N/A,#N/A,FALSE,"Performance Flash Report"}</definedName>
    <definedName name="wef_5_3" localSheetId="2" hidden="1">{#N/A,#N/A,FALSE,"Performance Flash Report"}</definedName>
    <definedName name="wef_5_3" hidden="1">{#N/A,#N/A,FALSE,"Performance Flash Report"}</definedName>
    <definedName name="wef_5_4" localSheetId="2" hidden="1">{#N/A,#N/A,FALSE,"Performance Flash Report"}</definedName>
    <definedName name="wef_5_4" hidden="1">{#N/A,#N/A,FALSE,"Performance Flash Report"}</definedName>
    <definedName name="wefd"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m">#REF!</definedName>
    <definedName name="WEQ" hidden="1">{#N/A,#N/A,FALSE,"단축1";#N/A,#N/A,FALSE,"단축2";#N/A,#N/A,FALSE,"단축3";#N/A,#N/A,FALSE,"장축";#N/A,#N/A,FALSE,"4WD"}</definedName>
    <definedName name="weqew" localSheetId="2" hidden="1">{#N/A,#N/A,FALSE,"Aging Summary";#N/A,#N/A,FALSE,"Ratio Analysis";#N/A,#N/A,FALSE,"Test 120 Day Accts";#N/A,#N/A,FALSE,"Tickmarks"}</definedName>
    <definedName name="weqew" hidden="1">{#N/A,#N/A,FALSE,"Aging Summary";#N/A,#N/A,FALSE,"Ratio Analysis";#N/A,#N/A,FALSE,"Test 120 Day Accts";#N/A,#N/A,FALSE,"Tickmarks"}</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#REF!</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ssdd">#REF!</definedName>
    <definedName name="wet" hidden="1">{"INCSTMT1",#N/A,FALSE,"COR";"INCSTMT2",#N/A,FALSE,"COR"}</definedName>
    <definedName name="we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w" hidden="1">#REF!</definedName>
    <definedName name="wewew" localSheetId="2" hidden="1">{#N/A,#N/A,FALSE,"Aging Summary";#N/A,#N/A,FALSE,"Ratio Analysis";#N/A,#N/A,FALSE,"Test 120 Day Accts";#N/A,#N/A,FALSE,"Tickmarks"}</definedName>
    <definedName name="wewew" hidden="1">{#N/A,#N/A,FALSE,"Aging Summary";#N/A,#N/A,FALSE,"Ratio Analysis";#N/A,#N/A,FALSE,"Test 120 Day Accts";#N/A,#N/A,FALSE,"Tickmarks"}</definedName>
    <definedName name="WF">#REF!</definedName>
    <definedName name="Wfdn">#REF!</definedName>
    <definedName name="Wft">#REF!</definedName>
    <definedName name="wG">#REF!</definedName>
    <definedName name="WH">#REF!</definedName>
    <definedName name="WHANT">#REF!</definedName>
    <definedName name="what">#REF!</definedName>
    <definedName name="WHRL" hidden="1">{#N/A,#N/A,FALSE,"단축1";#N/A,#N/A,FALSE,"단축2";#N/A,#N/A,FALSE,"단축3";#N/A,#N/A,FALSE,"장축";#N/A,#N/A,FALSE,"4WD"}</definedName>
    <definedName name="WIND1_H">#REF!</definedName>
    <definedName name="WIND1_W">#REF!</definedName>
    <definedName name="WIND2_H">#REF!</definedName>
    <definedName name="WIND2_W">#REF!</definedName>
    <definedName name="windo">#REF!</definedName>
    <definedName name="winds">#REF!</definedName>
    <definedName name="windspeed">#REF!</definedName>
    <definedName name="wip">#REF!</definedName>
    <definedName name="wjd" hidden="1">#REF!</definedName>
    <definedName name="wjs" hidden="1">{#N/A,#N/A,TRUE,"경전'96(1)";#N/A,#N/A,TRUE,"경전'96 (2)"}</definedName>
    <definedName name="WJWJWJW" hidden="1">{#N/A,#N/A,FALSE,"단축1";#N/A,#N/A,FALSE,"단축2";#N/A,#N/A,FALSE,"단축3";#N/A,#N/A,FALSE,"장축";#N/A,#N/A,FALSE,"4WD"}</definedName>
    <definedName name="wkf" hidden="1">{#N/A,#N/A,FALSE,"단축1";#N/A,#N/A,FALSE,"단축2";#N/A,#N/A,FALSE,"단축3";#N/A,#N/A,FALSE,"장축";#N/A,#N/A,FALSE,"4WD"}</definedName>
    <definedName name="wkgk" localSheetId="2" hidden="1">{#N/A,#N/A,FALSE,"BS";#N/A,#N/A,FALSE,"PL";#N/A,#N/A,FALSE,"처분";#N/A,#N/A,FALSE,"현금";#N/A,#N/A,FALSE,"매출";#N/A,#N/A,FALSE,"원가";#N/A,#N/A,FALSE,"경영"}</definedName>
    <definedName name="wkgk" hidden="1">{#N/A,#N/A,FALSE,"BS";#N/A,#N/A,FALSE,"PL";#N/A,#N/A,FALSE,"처분";#N/A,#N/A,FALSE,"현금";#N/A,#N/A,FALSE,"매출";#N/A,#N/A,FALSE,"원가";#N/A,#N/A,FALSE,"경영"}</definedName>
    <definedName name="wkworhgk" hidden="1">{#N/A,#N/A,TRUE,"Y생산";#N/A,#N/A,TRUE,"Y판매";#N/A,#N/A,TRUE,"Y총물량";#N/A,#N/A,TRUE,"Y능력";#N/A,#N/A,TRUE,"YKD"}</definedName>
    <definedName name="wl">#REF!</definedName>
    <definedName name="WLRMA" localSheetId="2" hidden="1">{#N/A,#N/A,FALSE,"Aging Summary";#N/A,#N/A,FALSE,"Ratio Analysis";#N/A,#N/A,FALSE,"Test 120 Day Accts";#N/A,#N/A,FALSE,"Tickmarks"}</definedName>
    <definedName name="WLRMA" hidden="1">{#N/A,#N/A,FALSE,"Aging Summary";#N/A,#N/A,FALSE,"Ratio Analysis";#N/A,#N/A,FALSE,"Test 120 Day Accts";#N/A,#N/A,FALSE,"Tickmarks"}</definedName>
    <definedName name="Wm">#REF!</definedName>
    <definedName name="wm.조골재1" localSheetId="2" hidden="1">{#N/A,#N/A,FALSE,"조골재"}</definedName>
    <definedName name="wm.조골재1" hidden="1">{#N/A,#N/A,FALSE,"조골재"}</definedName>
    <definedName name="WND" hidden="1">{#N/A,#N/A,FALSE,"단축1";#N/A,#N/A,FALSE,"단축2";#N/A,#N/A,FALSE,"단축3";#N/A,#N/A,FALSE,"장축";#N/A,#N/A,FALSE,"4WD"}</definedName>
    <definedName name="wnkllwk" hidden="1">{"'Sheet1'!$A$1:$H$36"}</definedName>
    <definedName name="wnwn"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o">#REF!</definedName>
    <definedName name="Wockhardt" hidden="1">{#N/A,#N/A,TRUE,"Cover Repl";#N/A,#N/A,TRUE,"P&amp;L";#N/A,#N/A,TRUE,"P&amp;L (2)";#N/A,#N/A,TRUE,"BS";#N/A,#N/A,TRUE,"Depreciation";#N/A,#N/A,TRUE,"GRAPHS";#N/A,#N/A,TRUE,"DCF EBITDA Multiple";#N/A,#N/A,TRUE,"DCF Perpetual Growth"}</definedName>
    <definedName name="won_Threshold">#REF!</definedName>
    <definedName name="Wop">#REF!</definedName>
    <definedName name="WP">#REF!</definedName>
    <definedName name="WPL" localSheetId="2" hidden="1">{#N/A,#N/A,FALSE,"BS";#N/A,#N/A,FALSE,"PL";#N/A,#N/A,FALSE,"처분";#N/A,#N/A,FALSE,"현금";#N/A,#N/A,FALSE,"매출";#N/A,#N/A,FALSE,"원가";#N/A,#N/A,FALSE,"경영"}</definedName>
    <definedName name="WPL" hidden="1">{#N/A,#N/A,FALSE,"BS";#N/A,#N/A,FALSE,"PL";#N/A,#N/A,FALSE,"처분";#N/A,#N/A,FALSE,"현금";#N/A,#N/A,FALSE,"매출";#N/A,#N/A,FALSE,"원가";#N/A,#N/A,FALSE,"경영"}</definedName>
    <definedName name="WQ" localSheetId="2" hidden="1">{#N/A,#N/A,FALSE,"을지 (4)";#N/A,#N/A,FALSE,"을지 (5)";#N/A,#N/A,FALSE,"을지 (6)"}</definedName>
    <definedName name="WQ" hidden="1">{#N/A,#N/A,FALSE,"을지 (4)";#N/A,#N/A,FALSE,"을지 (5)";#N/A,#N/A,FALSE,"을지 (6)"}</definedName>
    <definedName name="wqe" hidden="1">{#N/A,#N/A,FALSE,"견적대비-2"}</definedName>
    <definedName name="wqwqw" hidden="1">{#N/A,#N/A,FALSE,"단축1";#N/A,#N/A,FALSE,"단축2";#N/A,#N/A,FALSE,"단축3";#N/A,#N/A,FALSE,"장축";#N/A,#N/A,FALSE,"4WD"}</definedName>
    <definedName name="wr"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ITE" localSheetId="2" hidden="1">{#N/A,#N/A,FALSE,"CCTV"}</definedName>
    <definedName name="WRITE" hidden="1">{#N/A,#N/A,FALSE,"CCTV"}</definedName>
    <definedName name="wrn" hidden="1">{"cap_structure",#N/A,FALSE,"Graph-Mkt Cap";"price",#N/A,FALSE,"Graph-Price";"ebit",#N/A,FALSE,"Graph-EBITDA";"ebitda",#N/A,FALSE,"Graph-EBITDA"}</definedName>
    <definedName name="wrn.2._.pagers." hidden="1">{"Cover",#N/A,FALSE,"Cover";"Summary",#N/A,FALSE,"Summarpage"}</definedName>
    <definedName name="wrn.2번." localSheetId="2" hidden="1">{#N/A,#N/A,FALSE,"2~8번"}</definedName>
    <definedName name="wrn.2번." hidden="1">{#N/A,#N/A,FALSE,"2~8번"}</definedName>
    <definedName name="wrn.345." localSheetId="2" hidden="1">{#N/A,#N/A,FALSE,"96 3월물량표";#N/A,#N/A,FALSE,"96 4월물량표";#N/A,#N/A,FALSE,"96 5월물량표"}</definedName>
    <definedName name="wrn.345." hidden="1">{#N/A,#N/A,FALSE,"96 3월물량표";#N/A,#N/A,FALSE,"96 4월물량표";#N/A,#N/A,FALSE,"96 5월물량표"}</definedName>
    <definedName name="wrn.3cases." hidden="1">{#N/A,"Base",FALSE,"Dividend";#N/A,"Conservative",FALSE,"Dividend";#N/A,"Downside",FALSE,"Dividend"}</definedName>
    <definedName name="wrn.95tr."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년도결산보고서."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종합보고서."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7." hidden="1">{#N/A,#N/A,FALSE,"지침";#N/A,#N/A,FALSE,"환경분석";#N/A,#N/A,FALSE,"Sheet16"}</definedName>
    <definedName name="wrn.97년._.투자계획." localSheetId="2" hidden="1">{#N/A,#N/A,FALSE,"97년 투자계획 세부내역 "}</definedName>
    <definedName name="wrn.97년._.투자계획." hidden="1">{#N/A,#N/A,FALSE,"97년 투자계획 세부내역 "}</definedName>
    <definedName name="wrn.A." hidden="1">{#N/A,#N/A,TRUE,"매출";#N/A,#N/A,TRUE,"손익-재무";#N/A,#N/A,TRUE,"Cash Flow(4)";#N/A,#N/A,TRUE,"Sheet1"}</definedName>
    <definedName name="wrn.aa." localSheetId="2" hidden="1">{#N/A,#N/A,FALSE,"UNIT";#N/A,#N/A,FALSE,"UNIT";#N/A,#N/A,FALSE,"계정"}</definedName>
    <definedName name="wrn.aa." hidden="1">{#N/A,#N/A,FALSE,"UNIT";#N/A,#N/A,FALSE,"UNIT";#N/A,#N/A,FALSE,"계정"}</definedName>
    <definedName name="wrn.abt." hidden="1">{"ww",#N/A,FALSE,"Hospital Products";"us",#N/A,FALSE,"Hospital Products";"in",#N/A,FALSE,"Hospital Products"}</definedName>
    <definedName name="wrn.Accounts." hidden="1">{"turnover",#N/A,FALSE;"profits",#N/A,FALSE;"cash",#N/A,FALSE}</definedName>
    <definedName name="wrn.ACHESON94TAXRETURN." localSheetId="2"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2"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N._.MODELS." hidden="1">{"QTRINC1",#N/A,FALSE,"QTRINC";"QTRINC2",#N/A,FALSE,"QTRINC";"QTRSALES",#N/A,FALSE,"QTRSALES";"ANNSALES",#N/A,FALSE,"ANNSALES";"CASHFLOW",#N/A,FALSE,"CASHFLOW"}</definedName>
    <definedName name="wrn.AHP._.MODELS." hidden="1">{"QTRINC",#N/A,FALSE,"QTRINC";"MARGIN",#N/A,FALSE,"MARGIN";"CASHFLOW",#N/A,FALSE,"CASHFLOW"}</definedName>
    <definedName name="wrn.Alex." hidden="1">{#N/A,#N/A,FALSE,"TradeSumm";#N/A,#N/A,FALSE,"StatsSumm"}</definedName>
    <definedName name="wrn.all." localSheetId="2" hidden="1">{#N/A,#N/A,FALSE,"assumptions";#N/A,#N/A,FALSE,"v_projcy";#N/A,#N/A,FALSE,"tar_proj";#N/A,#N/A,FALSE,"contrib_annual";#N/A,#N/A,FALSE,"Proforma";#N/A,#N/A,FALSE,"purc_97";#N/A,#N/A,FALSE,"syn_purc_97";#N/A,#N/A,FALSE,"pool_97";#N/A,#N/A,FALSE,"syn_pool_97";#N/A,#N/A,FALSE,"pool1_FY2"}</definedName>
    <definedName name="wrn.all." hidden="1">{#N/A,#N/A,FALSE,"assumptions";#N/A,#N/A,FALSE,"v_projcy";#N/A,#N/A,FALSE,"tar_proj";#N/A,#N/A,FALSE,"contrib_annual";#N/A,#N/A,FALSE,"Proforma";#N/A,#N/A,FALSE,"purc_97";#N/A,#N/A,FALSE,"syn_purc_97";#N/A,#N/A,FALSE,"pool_97";#N/A,#N/A,FALSE,"syn_pool_97";#N/A,#N/A,FALSE,"pool1_FY2"}</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1" localSheetId="2" hidden="1">{#N/A,#N/A,FALSE,"assumptions";#N/A,#N/A,FALSE,"v_projcy";#N/A,#N/A,FALSE,"tar_proj";#N/A,#N/A,FALSE,"contrib_annual";#N/A,#N/A,FALSE,"Proforma";#N/A,#N/A,FALSE,"purc_97";#N/A,#N/A,FALSE,"syn_purc_97";#N/A,#N/A,FALSE,"pool_97";#N/A,#N/A,FALSE,"syn_pool_97";#N/A,#N/A,FALSE,"pool1_FY2"}</definedName>
    <definedName name="wrn.all._1" hidden="1">{#N/A,#N/A,FALSE,"assumptions";#N/A,#N/A,FALSE,"v_projcy";#N/A,#N/A,FALSE,"tar_proj";#N/A,#N/A,FALSE,"contrib_annual";#N/A,#N/A,FALSE,"Proforma";#N/A,#N/A,FALSE,"purc_97";#N/A,#N/A,FALSE,"syn_purc_97";#N/A,#N/A,FALSE,"pool_97";#N/A,#N/A,FALSE,"syn_pool_97";#N/A,#N/A,FALSE,"pool1_FY2"}</definedName>
    <definedName name="wrn.all._1_1" localSheetId="2" hidden="1">{#N/A,#N/A,FALSE,"assumptions";#N/A,#N/A,FALSE,"v_projcy";#N/A,#N/A,FALSE,"tar_proj";#N/A,#N/A,FALSE,"contrib_annual";#N/A,#N/A,FALSE,"Proforma";#N/A,#N/A,FALSE,"purc_97";#N/A,#N/A,FALSE,"syn_purc_97";#N/A,#N/A,FALSE,"pool_97";#N/A,#N/A,FALSE,"syn_pool_97";#N/A,#N/A,FALSE,"pool1_FY2"}</definedName>
    <definedName name="wrn.all._1_1" hidden="1">{#N/A,#N/A,FALSE,"assumptions";#N/A,#N/A,FALSE,"v_projcy";#N/A,#N/A,FALSE,"tar_proj";#N/A,#N/A,FALSE,"contrib_annual";#N/A,#N/A,FALSE,"Proforma";#N/A,#N/A,FALSE,"purc_97";#N/A,#N/A,FALSE,"syn_purc_97";#N/A,#N/A,FALSE,"pool_97";#N/A,#N/A,FALSE,"syn_pool_97";#N/A,#N/A,FALSE,"pool1_FY2"}</definedName>
    <definedName name="wrn.all._1_2" localSheetId="2" hidden="1">{#N/A,#N/A,FALSE,"assumptions";#N/A,#N/A,FALSE,"v_projcy";#N/A,#N/A,FALSE,"tar_proj";#N/A,#N/A,FALSE,"contrib_annual";#N/A,#N/A,FALSE,"Proforma";#N/A,#N/A,FALSE,"purc_97";#N/A,#N/A,FALSE,"syn_purc_97";#N/A,#N/A,FALSE,"pool_97";#N/A,#N/A,FALSE,"syn_pool_97";#N/A,#N/A,FALSE,"pool1_FY2"}</definedName>
    <definedName name="wrn.all._1_2" hidden="1">{#N/A,#N/A,FALSE,"assumptions";#N/A,#N/A,FALSE,"v_projcy";#N/A,#N/A,FALSE,"tar_proj";#N/A,#N/A,FALSE,"contrib_annual";#N/A,#N/A,FALSE,"Proforma";#N/A,#N/A,FALSE,"purc_97";#N/A,#N/A,FALSE,"syn_purc_97";#N/A,#N/A,FALSE,"pool_97";#N/A,#N/A,FALSE,"syn_pool_97";#N/A,#N/A,FALSE,"pool1_FY2"}</definedName>
    <definedName name="wrn.all._1_3" localSheetId="2" hidden="1">{#N/A,#N/A,FALSE,"assumptions";#N/A,#N/A,FALSE,"v_projcy";#N/A,#N/A,FALSE,"tar_proj";#N/A,#N/A,FALSE,"contrib_annual";#N/A,#N/A,FALSE,"Proforma";#N/A,#N/A,FALSE,"purc_97";#N/A,#N/A,FALSE,"syn_purc_97";#N/A,#N/A,FALSE,"pool_97";#N/A,#N/A,FALSE,"syn_pool_97";#N/A,#N/A,FALSE,"pool1_FY2"}</definedName>
    <definedName name="wrn.all._1_3" hidden="1">{#N/A,#N/A,FALSE,"assumptions";#N/A,#N/A,FALSE,"v_projcy";#N/A,#N/A,FALSE,"tar_proj";#N/A,#N/A,FALSE,"contrib_annual";#N/A,#N/A,FALSE,"Proforma";#N/A,#N/A,FALSE,"purc_97";#N/A,#N/A,FALSE,"syn_purc_97";#N/A,#N/A,FALSE,"pool_97";#N/A,#N/A,FALSE,"syn_pool_97";#N/A,#N/A,FALSE,"pool1_FY2"}</definedName>
    <definedName name="wrn.all._1_4" localSheetId="2" hidden="1">{#N/A,#N/A,FALSE,"assumptions";#N/A,#N/A,FALSE,"v_projcy";#N/A,#N/A,FALSE,"tar_proj";#N/A,#N/A,FALSE,"contrib_annual";#N/A,#N/A,FALSE,"Proforma";#N/A,#N/A,FALSE,"purc_97";#N/A,#N/A,FALSE,"syn_purc_97";#N/A,#N/A,FALSE,"pool_97";#N/A,#N/A,FALSE,"syn_pool_97";#N/A,#N/A,FALSE,"pool1_FY2"}</definedName>
    <definedName name="wrn.all._1_4" hidden="1">{#N/A,#N/A,FALSE,"assumptions";#N/A,#N/A,FALSE,"v_projcy";#N/A,#N/A,FALSE,"tar_proj";#N/A,#N/A,FALSE,"contrib_annual";#N/A,#N/A,FALSE,"Proforma";#N/A,#N/A,FALSE,"purc_97";#N/A,#N/A,FALSE,"syn_purc_97";#N/A,#N/A,FALSE,"pool_97";#N/A,#N/A,FALSE,"syn_pool_97";#N/A,#N/A,FALSE,"pool1_FY2"}</definedName>
    <definedName name="wrn.all._2" localSheetId="2" hidden="1">{#N/A,#N/A,FALSE,"assumptions";#N/A,#N/A,FALSE,"v_projcy";#N/A,#N/A,FALSE,"tar_proj";#N/A,#N/A,FALSE,"contrib_annual";#N/A,#N/A,FALSE,"Proforma";#N/A,#N/A,FALSE,"purc_97";#N/A,#N/A,FALSE,"syn_purc_97";#N/A,#N/A,FALSE,"pool_97";#N/A,#N/A,FALSE,"syn_pool_97";#N/A,#N/A,FALSE,"pool1_FY2"}</definedName>
    <definedName name="wrn.all._2" hidden="1">{#N/A,#N/A,FALSE,"assumptions";#N/A,#N/A,FALSE,"v_projcy";#N/A,#N/A,FALSE,"tar_proj";#N/A,#N/A,FALSE,"contrib_annual";#N/A,#N/A,FALSE,"Proforma";#N/A,#N/A,FALSE,"purc_97";#N/A,#N/A,FALSE,"syn_purc_97";#N/A,#N/A,FALSE,"pool_97";#N/A,#N/A,FALSE,"syn_pool_97";#N/A,#N/A,FALSE,"pool1_FY2"}</definedName>
    <definedName name="wrn.all._2_1" localSheetId="2" hidden="1">{#N/A,#N/A,FALSE,"assumptions";#N/A,#N/A,FALSE,"v_projcy";#N/A,#N/A,FALSE,"tar_proj";#N/A,#N/A,FALSE,"contrib_annual";#N/A,#N/A,FALSE,"Proforma";#N/A,#N/A,FALSE,"purc_97";#N/A,#N/A,FALSE,"syn_purc_97";#N/A,#N/A,FALSE,"pool_97";#N/A,#N/A,FALSE,"syn_pool_97";#N/A,#N/A,FALSE,"pool1_FY2"}</definedName>
    <definedName name="wrn.all._2_1" hidden="1">{#N/A,#N/A,FALSE,"assumptions";#N/A,#N/A,FALSE,"v_projcy";#N/A,#N/A,FALSE,"tar_proj";#N/A,#N/A,FALSE,"contrib_annual";#N/A,#N/A,FALSE,"Proforma";#N/A,#N/A,FALSE,"purc_97";#N/A,#N/A,FALSE,"syn_purc_97";#N/A,#N/A,FALSE,"pool_97";#N/A,#N/A,FALSE,"syn_pool_97";#N/A,#N/A,FALSE,"pool1_FY2"}</definedName>
    <definedName name="wrn.all._2_2" localSheetId="2" hidden="1">{#N/A,#N/A,FALSE,"assumptions";#N/A,#N/A,FALSE,"v_projcy";#N/A,#N/A,FALSE,"tar_proj";#N/A,#N/A,FALSE,"contrib_annual";#N/A,#N/A,FALSE,"Proforma";#N/A,#N/A,FALSE,"purc_97";#N/A,#N/A,FALSE,"syn_purc_97";#N/A,#N/A,FALSE,"pool_97";#N/A,#N/A,FALSE,"syn_pool_97";#N/A,#N/A,FALSE,"pool1_FY2"}</definedName>
    <definedName name="wrn.all._2_2" hidden="1">{#N/A,#N/A,FALSE,"assumptions";#N/A,#N/A,FALSE,"v_projcy";#N/A,#N/A,FALSE,"tar_proj";#N/A,#N/A,FALSE,"contrib_annual";#N/A,#N/A,FALSE,"Proforma";#N/A,#N/A,FALSE,"purc_97";#N/A,#N/A,FALSE,"syn_purc_97";#N/A,#N/A,FALSE,"pool_97";#N/A,#N/A,FALSE,"syn_pool_97";#N/A,#N/A,FALSE,"pool1_FY2"}</definedName>
    <definedName name="wrn.all._2_3" localSheetId="2" hidden="1">{#N/A,#N/A,FALSE,"assumptions";#N/A,#N/A,FALSE,"v_projcy";#N/A,#N/A,FALSE,"tar_proj";#N/A,#N/A,FALSE,"contrib_annual";#N/A,#N/A,FALSE,"Proforma";#N/A,#N/A,FALSE,"purc_97";#N/A,#N/A,FALSE,"syn_purc_97";#N/A,#N/A,FALSE,"pool_97";#N/A,#N/A,FALSE,"syn_pool_97";#N/A,#N/A,FALSE,"pool1_FY2"}</definedName>
    <definedName name="wrn.all._2_3" hidden="1">{#N/A,#N/A,FALSE,"assumptions";#N/A,#N/A,FALSE,"v_projcy";#N/A,#N/A,FALSE,"tar_proj";#N/A,#N/A,FALSE,"contrib_annual";#N/A,#N/A,FALSE,"Proforma";#N/A,#N/A,FALSE,"purc_97";#N/A,#N/A,FALSE,"syn_purc_97";#N/A,#N/A,FALSE,"pool_97";#N/A,#N/A,FALSE,"syn_pool_97";#N/A,#N/A,FALSE,"pool1_FY2"}</definedName>
    <definedName name="wrn.all._2_4" localSheetId="2" hidden="1">{#N/A,#N/A,FALSE,"assumptions";#N/A,#N/A,FALSE,"v_projcy";#N/A,#N/A,FALSE,"tar_proj";#N/A,#N/A,FALSE,"contrib_annual";#N/A,#N/A,FALSE,"Proforma";#N/A,#N/A,FALSE,"purc_97";#N/A,#N/A,FALSE,"syn_purc_97";#N/A,#N/A,FALSE,"pool_97";#N/A,#N/A,FALSE,"syn_pool_97";#N/A,#N/A,FALSE,"pool1_FY2"}</definedName>
    <definedName name="wrn.all._2_4" hidden="1">{#N/A,#N/A,FALSE,"assumptions";#N/A,#N/A,FALSE,"v_projcy";#N/A,#N/A,FALSE,"tar_proj";#N/A,#N/A,FALSE,"contrib_annual";#N/A,#N/A,FALSE,"Proforma";#N/A,#N/A,FALSE,"purc_97";#N/A,#N/A,FALSE,"syn_purc_97";#N/A,#N/A,FALSE,"pool_97";#N/A,#N/A,FALSE,"syn_pool_97";#N/A,#N/A,FALSE,"pool1_FY2"}</definedName>
    <definedName name="wrn.all._3" localSheetId="2" hidden="1">{#N/A,#N/A,FALSE,"assumptions";#N/A,#N/A,FALSE,"v_projcy";#N/A,#N/A,FALSE,"tar_proj";#N/A,#N/A,FALSE,"contrib_annual";#N/A,#N/A,FALSE,"Proforma";#N/A,#N/A,FALSE,"purc_97";#N/A,#N/A,FALSE,"syn_purc_97";#N/A,#N/A,FALSE,"pool_97";#N/A,#N/A,FALSE,"syn_pool_97";#N/A,#N/A,FALSE,"pool1_FY2"}</definedName>
    <definedName name="wrn.all._3" hidden="1">{#N/A,#N/A,FALSE,"assumptions";#N/A,#N/A,FALSE,"v_projcy";#N/A,#N/A,FALSE,"tar_proj";#N/A,#N/A,FALSE,"contrib_annual";#N/A,#N/A,FALSE,"Proforma";#N/A,#N/A,FALSE,"purc_97";#N/A,#N/A,FALSE,"syn_purc_97";#N/A,#N/A,FALSE,"pool_97";#N/A,#N/A,FALSE,"syn_pool_97";#N/A,#N/A,FALSE,"pool1_FY2"}</definedName>
    <definedName name="wrn.all._3_1" localSheetId="2" hidden="1">{#N/A,#N/A,FALSE,"assumptions";#N/A,#N/A,FALSE,"v_projcy";#N/A,#N/A,FALSE,"tar_proj";#N/A,#N/A,FALSE,"contrib_annual";#N/A,#N/A,FALSE,"Proforma";#N/A,#N/A,FALSE,"purc_97";#N/A,#N/A,FALSE,"syn_purc_97";#N/A,#N/A,FALSE,"pool_97";#N/A,#N/A,FALSE,"syn_pool_97";#N/A,#N/A,FALSE,"pool1_FY2"}</definedName>
    <definedName name="wrn.all._3_1" hidden="1">{#N/A,#N/A,FALSE,"assumptions";#N/A,#N/A,FALSE,"v_projcy";#N/A,#N/A,FALSE,"tar_proj";#N/A,#N/A,FALSE,"contrib_annual";#N/A,#N/A,FALSE,"Proforma";#N/A,#N/A,FALSE,"purc_97";#N/A,#N/A,FALSE,"syn_purc_97";#N/A,#N/A,FALSE,"pool_97";#N/A,#N/A,FALSE,"syn_pool_97";#N/A,#N/A,FALSE,"pool1_FY2"}</definedName>
    <definedName name="wrn.all._3_2" localSheetId="2" hidden="1">{#N/A,#N/A,FALSE,"assumptions";#N/A,#N/A,FALSE,"v_projcy";#N/A,#N/A,FALSE,"tar_proj";#N/A,#N/A,FALSE,"contrib_annual";#N/A,#N/A,FALSE,"Proforma";#N/A,#N/A,FALSE,"purc_97";#N/A,#N/A,FALSE,"syn_purc_97";#N/A,#N/A,FALSE,"pool_97";#N/A,#N/A,FALSE,"syn_pool_97";#N/A,#N/A,FALSE,"pool1_FY2"}</definedName>
    <definedName name="wrn.all._3_2" hidden="1">{#N/A,#N/A,FALSE,"assumptions";#N/A,#N/A,FALSE,"v_projcy";#N/A,#N/A,FALSE,"tar_proj";#N/A,#N/A,FALSE,"contrib_annual";#N/A,#N/A,FALSE,"Proforma";#N/A,#N/A,FALSE,"purc_97";#N/A,#N/A,FALSE,"syn_purc_97";#N/A,#N/A,FALSE,"pool_97";#N/A,#N/A,FALSE,"syn_pool_97";#N/A,#N/A,FALSE,"pool1_FY2"}</definedName>
    <definedName name="wrn.all._3_3" localSheetId="2" hidden="1">{#N/A,#N/A,FALSE,"assumptions";#N/A,#N/A,FALSE,"v_projcy";#N/A,#N/A,FALSE,"tar_proj";#N/A,#N/A,FALSE,"contrib_annual";#N/A,#N/A,FALSE,"Proforma";#N/A,#N/A,FALSE,"purc_97";#N/A,#N/A,FALSE,"syn_purc_97";#N/A,#N/A,FALSE,"pool_97";#N/A,#N/A,FALSE,"syn_pool_97";#N/A,#N/A,FALSE,"pool1_FY2"}</definedName>
    <definedName name="wrn.all._3_3" hidden="1">{#N/A,#N/A,FALSE,"assumptions";#N/A,#N/A,FALSE,"v_projcy";#N/A,#N/A,FALSE,"tar_proj";#N/A,#N/A,FALSE,"contrib_annual";#N/A,#N/A,FALSE,"Proforma";#N/A,#N/A,FALSE,"purc_97";#N/A,#N/A,FALSE,"syn_purc_97";#N/A,#N/A,FALSE,"pool_97";#N/A,#N/A,FALSE,"syn_pool_97";#N/A,#N/A,FALSE,"pool1_FY2"}</definedName>
    <definedName name="wrn.all._3_4" localSheetId="2" hidden="1">{#N/A,#N/A,FALSE,"assumptions";#N/A,#N/A,FALSE,"v_projcy";#N/A,#N/A,FALSE,"tar_proj";#N/A,#N/A,FALSE,"contrib_annual";#N/A,#N/A,FALSE,"Proforma";#N/A,#N/A,FALSE,"purc_97";#N/A,#N/A,FALSE,"syn_purc_97";#N/A,#N/A,FALSE,"pool_97";#N/A,#N/A,FALSE,"syn_pool_97";#N/A,#N/A,FALSE,"pool1_FY2"}</definedName>
    <definedName name="wrn.all._3_4" hidden="1">{#N/A,#N/A,FALSE,"assumptions";#N/A,#N/A,FALSE,"v_projcy";#N/A,#N/A,FALSE,"tar_proj";#N/A,#N/A,FALSE,"contrib_annual";#N/A,#N/A,FALSE,"Proforma";#N/A,#N/A,FALSE,"purc_97";#N/A,#N/A,FALSE,"syn_purc_97";#N/A,#N/A,FALSE,"pool_97";#N/A,#N/A,FALSE,"syn_pool_97";#N/A,#N/A,FALSE,"pool1_FY2"}</definedName>
    <definedName name="wrn.all._4" localSheetId="2" hidden="1">{#N/A,#N/A,FALSE,"assumptions";#N/A,#N/A,FALSE,"v_projcy";#N/A,#N/A,FALSE,"tar_proj";#N/A,#N/A,FALSE,"contrib_annual";#N/A,#N/A,FALSE,"Proforma";#N/A,#N/A,FALSE,"purc_97";#N/A,#N/A,FALSE,"syn_purc_97";#N/A,#N/A,FALSE,"pool_97";#N/A,#N/A,FALSE,"syn_pool_97";#N/A,#N/A,FALSE,"pool1_FY2"}</definedName>
    <definedName name="wrn.all._4" hidden="1">{#N/A,#N/A,FALSE,"assumptions";#N/A,#N/A,FALSE,"v_projcy";#N/A,#N/A,FALSE,"tar_proj";#N/A,#N/A,FALSE,"contrib_annual";#N/A,#N/A,FALSE,"Proforma";#N/A,#N/A,FALSE,"purc_97";#N/A,#N/A,FALSE,"syn_purc_97";#N/A,#N/A,FALSE,"pool_97";#N/A,#N/A,FALSE,"syn_pool_97";#N/A,#N/A,FALSE,"pool1_FY2"}</definedName>
    <definedName name="wrn.all._4_1" localSheetId="2" hidden="1">{#N/A,#N/A,FALSE,"assumptions";#N/A,#N/A,FALSE,"v_projcy";#N/A,#N/A,FALSE,"tar_proj";#N/A,#N/A,FALSE,"contrib_annual";#N/A,#N/A,FALSE,"Proforma";#N/A,#N/A,FALSE,"purc_97";#N/A,#N/A,FALSE,"syn_purc_97";#N/A,#N/A,FALSE,"pool_97";#N/A,#N/A,FALSE,"syn_pool_97";#N/A,#N/A,FALSE,"pool1_FY2"}</definedName>
    <definedName name="wrn.all._4_1" hidden="1">{#N/A,#N/A,FALSE,"assumptions";#N/A,#N/A,FALSE,"v_projcy";#N/A,#N/A,FALSE,"tar_proj";#N/A,#N/A,FALSE,"contrib_annual";#N/A,#N/A,FALSE,"Proforma";#N/A,#N/A,FALSE,"purc_97";#N/A,#N/A,FALSE,"syn_purc_97";#N/A,#N/A,FALSE,"pool_97";#N/A,#N/A,FALSE,"syn_pool_97";#N/A,#N/A,FALSE,"pool1_FY2"}</definedName>
    <definedName name="wrn.all._4_2" localSheetId="2" hidden="1">{#N/A,#N/A,FALSE,"assumptions";#N/A,#N/A,FALSE,"v_projcy";#N/A,#N/A,FALSE,"tar_proj";#N/A,#N/A,FALSE,"contrib_annual";#N/A,#N/A,FALSE,"Proforma";#N/A,#N/A,FALSE,"purc_97";#N/A,#N/A,FALSE,"syn_purc_97";#N/A,#N/A,FALSE,"pool_97";#N/A,#N/A,FALSE,"syn_pool_97";#N/A,#N/A,FALSE,"pool1_FY2"}</definedName>
    <definedName name="wrn.all._4_2" hidden="1">{#N/A,#N/A,FALSE,"assumptions";#N/A,#N/A,FALSE,"v_projcy";#N/A,#N/A,FALSE,"tar_proj";#N/A,#N/A,FALSE,"contrib_annual";#N/A,#N/A,FALSE,"Proforma";#N/A,#N/A,FALSE,"purc_97";#N/A,#N/A,FALSE,"syn_purc_97";#N/A,#N/A,FALSE,"pool_97";#N/A,#N/A,FALSE,"syn_pool_97";#N/A,#N/A,FALSE,"pool1_FY2"}</definedName>
    <definedName name="wrn.all._4_3" localSheetId="2" hidden="1">{#N/A,#N/A,FALSE,"assumptions";#N/A,#N/A,FALSE,"v_projcy";#N/A,#N/A,FALSE,"tar_proj";#N/A,#N/A,FALSE,"contrib_annual";#N/A,#N/A,FALSE,"Proforma";#N/A,#N/A,FALSE,"purc_97";#N/A,#N/A,FALSE,"syn_purc_97";#N/A,#N/A,FALSE,"pool_97";#N/A,#N/A,FALSE,"syn_pool_97";#N/A,#N/A,FALSE,"pool1_FY2"}</definedName>
    <definedName name="wrn.all._4_3" hidden="1">{#N/A,#N/A,FALSE,"assumptions";#N/A,#N/A,FALSE,"v_projcy";#N/A,#N/A,FALSE,"tar_proj";#N/A,#N/A,FALSE,"contrib_annual";#N/A,#N/A,FALSE,"Proforma";#N/A,#N/A,FALSE,"purc_97";#N/A,#N/A,FALSE,"syn_purc_97";#N/A,#N/A,FALSE,"pool_97";#N/A,#N/A,FALSE,"syn_pool_97";#N/A,#N/A,FALSE,"pool1_FY2"}</definedName>
    <definedName name="wrn.all._4_4" localSheetId="2" hidden="1">{#N/A,#N/A,FALSE,"assumptions";#N/A,#N/A,FALSE,"v_projcy";#N/A,#N/A,FALSE,"tar_proj";#N/A,#N/A,FALSE,"contrib_annual";#N/A,#N/A,FALSE,"Proforma";#N/A,#N/A,FALSE,"purc_97";#N/A,#N/A,FALSE,"syn_purc_97";#N/A,#N/A,FALSE,"pool_97";#N/A,#N/A,FALSE,"syn_pool_97";#N/A,#N/A,FALSE,"pool1_FY2"}</definedName>
    <definedName name="wrn.all._4_4" hidden="1">{#N/A,#N/A,FALSE,"assumptions";#N/A,#N/A,FALSE,"v_projcy";#N/A,#N/A,FALSE,"tar_proj";#N/A,#N/A,FALSE,"contrib_annual";#N/A,#N/A,FALSE,"Proforma";#N/A,#N/A,FALSE,"purc_97";#N/A,#N/A,FALSE,"syn_purc_97";#N/A,#N/A,FALSE,"pool_97";#N/A,#N/A,FALSE,"syn_pool_97";#N/A,#N/A,FALSE,"pool1_FY2"}</definedName>
    <definedName name="wrn.all._5" localSheetId="2" hidden="1">{#N/A,#N/A,FALSE,"assumptions";#N/A,#N/A,FALSE,"v_projcy";#N/A,#N/A,FALSE,"tar_proj";#N/A,#N/A,FALSE,"contrib_annual";#N/A,#N/A,FALSE,"Proforma";#N/A,#N/A,FALSE,"purc_97";#N/A,#N/A,FALSE,"syn_purc_97";#N/A,#N/A,FALSE,"pool_97";#N/A,#N/A,FALSE,"syn_pool_97";#N/A,#N/A,FALSE,"pool1_FY2"}</definedName>
    <definedName name="wrn.all._5" hidden="1">{#N/A,#N/A,FALSE,"assumptions";#N/A,#N/A,FALSE,"v_projcy";#N/A,#N/A,FALSE,"tar_proj";#N/A,#N/A,FALSE,"contrib_annual";#N/A,#N/A,FALSE,"Proforma";#N/A,#N/A,FALSE,"purc_97";#N/A,#N/A,FALSE,"syn_purc_97";#N/A,#N/A,FALSE,"pool_97";#N/A,#N/A,FALSE,"syn_pool_97";#N/A,#N/A,FALSE,"pool1_FY2"}</definedName>
    <definedName name="wrn.all._5_1" localSheetId="2" hidden="1">{#N/A,#N/A,FALSE,"assumptions";#N/A,#N/A,FALSE,"v_projcy";#N/A,#N/A,FALSE,"tar_proj";#N/A,#N/A,FALSE,"contrib_annual";#N/A,#N/A,FALSE,"Proforma";#N/A,#N/A,FALSE,"purc_97";#N/A,#N/A,FALSE,"syn_purc_97";#N/A,#N/A,FALSE,"pool_97";#N/A,#N/A,FALSE,"syn_pool_97";#N/A,#N/A,FALSE,"pool1_FY2"}</definedName>
    <definedName name="wrn.all._5_1" hidden="1">{#N/A,#N/A,FALSE,"assumptions";#N/A,#N/A,FALSE,"v_projcy";#N/A,#N/A,FALSE,"tar_proj";#N/A,#N/A,FALSE,"contrib_annual";#N/A,#N/A,FALSE,"Proforma";#N/A,#N/A,FALSE,"purc_97";#N/A,#N/A,FALSE,"syn_purc_97";#N/A,#N/A,FALSE,"pool_97";#N/A,#N/A,FALSE,"syn_pool_97";#N/A,#N/A,FALSE,"pool1_FY2"}</definedName>
    <definedName name="wrn.all._5_2" localSheetId="2" hidden="1">{#N/A,#N/A,FALSE,"assumptions";#N/A,#N/A,FALSE,"v_projcy";#N/A,#N/A,FALSE,"tar_proj";#N/A,#N/A,FALSE,"contrib_annual";#N/A,#N/A,FALSE,"Proforma";#N/A,#N/A,FALSE,"purc_97";#N/A,#N/A,FALSE,"syn_purc_97";#N/A,#N/A,FALSE,"pool_97";#N/A,#N/A,FALSE,"syn_pool_97";#N/A,#N/A,FALSE,"pool1_FY2"}</definedName>
    <definedName name="wrn.all._5_2" hidden="1">{#N/A,#N/A,FALSE,"assumptions";#N/A,#N/A,FALSE,"v_projcy";#N/A,#N/A,FALSE,"tar_proj";#N/A,#N/A,FALSE,"contrib_annual";#N/A,#N/A,FALSE,"Proforma";#N/A,#N/A,FALSE,"purc_97";#N/A,#N/A,FALSE,"syn_purc_97";#N/A,#N/A,FALSE,"pool_97";#N/A,#N/A,FALSE,"syn_pool_97";#N/A,#N/A,FALSE,"pool1_FY2"}</definedName>
    <definedName name="wrn.all._5_3" localSheetId="2" hidden="1">{#N/A,#N/A,FALSE,"assumptions";#N/A,#N/A,FALSE,"v_projcy";#N/A,#N/A,FALSE,"tar_proj";#N/A,#N/A,FALSE,"contrib_annual";#N/A,#N/A,FALSE,"Proforma";#N/A,#N/A,FALSE,"purc_97";#N/A,#N/A,FALSE,"syn_purc_97";#N/A,#N/A,FALSE,"pool_97";#N/A,#N/A,FALSE,"syn_pool_97";#N/A,#N/A,FALSE,"pool1_FY2"}</definedName>
    <definedName name="wrn.all._5_3" hidden="1">{#N/A,#N/A,FALSE,"assumptions";#N/A,#N/A,FALSE,"v_projcy";#N/A,#N/A,FALSE,"tar_proj";#N/A,#N/A,FALSE,"contrib_annual";#N/A,#N/A,FALSE,"Proforma";#N/A,#N/A,FALSE,"purc_97";#N/A,#N/A,FALSE,"syn_purc_97";#N/A,#N/A,FALSE,"pool_97";#N/A,#N/A,FALSE,"syn_pool_97";#N/A,#N/A,FALSE,"pool1_FY2"}</definedName>
    <definedName name="wrn.all._5_4" localSheetId="2" hidden="1">{#N/A,#N/A,FALSE,"assumptions";#N/A,#N/A,FALSE,"v_projcy";#N/A,#N/A,FALSE,"tar_proj";#N/A,#N/A,FALSE,"contrib_annual";#N/A,#N/A,FALSE,"Proforma";#N/A,#N/A,FALSE,"purc_97";#N/A,#N/A,FALSE,"syn_purc_97";#N/A,#N/A,FALSE,"pool_97";#N/A,#N/A,FALSE,"syn_pool_97";#N/A,#N/A,FALSE,"pool1_FY2"}</definedName>
    <definedName name="wrn.all._5_4" hidden="1">{#N/A,#N/A,FALSE,"assumptions";#N/A,#N/A,FALSE,"v_projcy";#N/A,#N/A,FALSE,"tar_proj";#N/A,#N/A,FALSE,"contrib_annual";#N/A,#N/A,FALSE,"Proforma";#N/A,#N/A,FALSE,"purc_97";#N/A,#N/A,FALSE,"syn_purc_97";#N/A,#N/A,FALSE,"pool_97";#N/A,#N/A,FALSE,"syn_pool_97";#N/A,#N/A,FALSE,"pool1_FY2"}</definedName>
    <definedName name="wrn.all3" localSheetId="2" hidden="1">{#N/A,#N/A,FALSE,"assumptions";#N/A,#N/A,FALSE,"v_projcy";#N/A,#N/A,FALSE,"tar_proj";#N/A,#N/A,FALSE,"contrib_annual";#N/A,#N/A,FALSE,"Proforma";#N/A,#N/A,FALSE,"purc_97";#N/A,#N/A,FALSE,"syn_purc_97";#N/A,#N/A,FALSE,"pool_97";#N/A,#N/A,FALSE,"syn_pool_97";#N/A,#N/A,FALSE,"pool1_FY2"}</definedName>
    <definedName name="wrn.all3" hidden="1">{#N/A,#N/A,FALSE,"assumptions";#N/A,#N/A,FALSE,"v_projcy";#N/A,#N/A,FALSE,"tar_proj";#N/A,#N/A,FALSE,"contrib_annual";#N/A,#N/A,FALSE,"Proforma";#N/A,#N/A,FALSE,"purc_97";#N/A,#N/A,FALSE,"syn_purc_97";#N/A,#N/A,FALSE,"pool_97";#N/A,#N/A,FALSE,"syn_pool_97";#N/A,#N/A,FALSE,"pool1_FY2"}</definedName>
    <definedName name="wrn.all3_1" localSheetId="2" hidden="1">{#N/A,#N/A,FALSE,"assumptions";#N/A,#N/A,FALSE,"v_projcy";#N/A,#N/A,FALSE,"tar_proj";#N/A,#N/A,FALSE,"contrib_annual";#N/A,#N/A,FALSE,"Proforma";#N/A,#N/A,FALSE,"purc_97";#N/A,#N/A,FALSE,"syn_purc_97";#N/A,#N/A,FALSE,"pool_97";#N/A,#N/A,FALSE,"syn_pool_97";#N/A,#N/A,FALSE,"pool1_FY2"}</definedName>
    <definedName name="wrn.all3_1" hidden="1">{#N/A,#N/A,FALSE,"assumptions";#N/A,#N/A,FALSE,"v_projcy";#N/A,#N/A,FALSE,"tar_proj";#N/A,#N/A,FALSE,"contrib_annual";#N/A,#N/A,FALSE,"Proforma";#N/A,#N/A,FALSE,"purc_97";#N/A,#N/A,FALSE,"syn_purc_97";#N/A,#N/A,FALSE,"pool_97";#N/A,#N/A,FALSE,"syn_pool_97";#N/A,#N/A,FALSE,"pool1_FY2"}</definedName>
    <definedName name="wrn.all3_1_1" localSheetId="2" hidden="1">{#N/A,#N/A,FALSE,"assumptions";#N/A,#N/A,FALSE,"v_projcy";#N/A,#N/A,FALSE,"tar_proj";#N/A,#N/A,FALSE,"contrib_annual";#N/A,#N/A,FALSE,"Proforma";#N/A,#N/A,FALSE,"purc_97";#N/A,#N/A,FALSE,"syn_purc_97";#N/A,#N/A,FALSE,"pool_97";#N/A,#N/A,FALSE,"syn_pool_97";#N/A,#N/A,FALSE,"pool1_FY2"}</definedName>
    <definedName name="wrn.all3_1_1" hidden="1">{#N/A,#N/A,FALSE,"assumptions";#N/A,#N/A,FALSE,"v_projcy";#N/A,#N/A,FALSE,"tar_proj";#N/A,#N/A,FALSE,"contrib_annual";#N/A,#N/A,FALSE,"Proforma";#N/A,#N/A,FALSE,"purc_97";#N/A,#N/A,FALSE,"syn_purc_97";#N/A,#N/A,FALSE,"pool_97";#N/A,#N/A,FALSE,"syn_pool_97";#N/A,#N/A,FALSE,"pool1_FY2"}</definedName>
    <definedName name="wrn.all3_1_2" localSheetId="2" hidden="1">{#N/A,#N/A,FALSE,"assumptions";#N/A,#N/A,FALSE,"v_projcy";#N/A,#N/A,FALSE,"tar_proj";#N/A,#N/A,FALSE,"contrib_annual";#N/A,#N/A,FALSE,"Proforma";#N/A,#N/A,FALSE,"purc_97";#N/A,#N/A,FALSE,"syn_purc_97";#N/A,#N/A,FALSE,"pool_97";#N/A,#N/A,FALSE,"syn_pool_97";#N/A,#N/A,FALSE,"pool1_FY2"}</definedName>
    <definedName name="wrn.all3_1_2" hidden="1">{#N/A,#N/A,FALSE,"assumptions";#N/A,#N/A,FALSE,"v_projcy";#N/A,#N/A,FALSE,"tar_proj";#N/A,#N/A,FALSE,"contrib_annual";#N/A,#N/A,FALSE,"Proforma";#N/A,#N/A,FALSE,"purc_97";#N/A,#N/A,FALSE,"syn_purc_97";#N/A,#N/A,FALSE,"pool_97";#N/A,#N/A,FALSE,"syn_pool_97";#N/A,#N/A,FALSE,"pool1_FY2"}</definedName>
    <definedName name="wrn.all3_1_3" localSheetId="2" hidden="1">{#N/A,#N/A,FALSE,"assumptions";#N/A,#N/A,FALSE,"v_projcy";#N/A,#N/A,FALSE,"tar_proj";#N/A,#N/A,FALSE,"contrib_annual";#N/A,#N/A,FALSE,"Proforma";#N/A,#N/A,FALSE,"purc_97";#N/A,#N/A,FALSE,"syn_purc_97";#N/A,#N/A,FALSE,"pool_97";#N/A,#N/A,FALSE,"syn_pool_97";#N/A,#N/A,FALSE,"pool1_FY2"}</definedName>
    <definedName name="wrn.all3_1_3" hidden="1">{#N/A,#N/A,FALSE,"assumptions";#N/A,#N/A,FALSE,"v_projcy";#N/A,#N/A,FALSE,"tar_proj";#N/A,#N/A,FALSE,"contrib_annual";#N/A,#N/A,FALSE,"Proforma";#N/A,#N/A,FALSE,"purc_97";#N/A,#N/A,FALSE,"syn_purc_97";#N/A,#N/A,FALSE,"pool_97";#N/A,#N/A,FALSE,"syn_pool_97";#N/A,#N/A,FALSE,"pool1_FY2"}</definedName>
    <definedName name="wrn.all3_1_4" localSheetId="2" hidden="1">{#N/A,#N/A,FALSE,"assumptions";#N/A,#N/A,FALSE,"v_projcy";#N/A,#N/A,FALSE,"tar_proj";#N/A,#N/A,FALSE,"contrib_annual";#N/A,#N/A,FALSE,"Proforma";#N/A,#N/A,FALSE,"purc_97";#N/A,#N/A,FALSE,"syn_purc_97";#N/A,#N/A,FALSE,"pool_97";#N/A,#N/A,FALSE,"syn_pool_97";#N/A,#N/A,FALSE,"pool1_FY2"}</definedName>
    <definedName name="wrn.all3_1_4" hidden="1">{#N/A,#N/A,FALSE,"assumptions";#N/A,#N/A,FALSE,"v_projcy";#N/A,#N/A,FALSE,"tar_proj";#N/A,#N/A,FALSE,"contrib_annual";#N/A,#N/A,FALSE,"Proforma";#N/A,#N/A,FALSE,"purc_97";#N/A,#N/A,FALSE,"syn_purc_97";#N/A,#N/A,FALSE,"pool_97";#N/A,#N/A,FALSE,"syn_pool_97";#N/A,#N/A,FALSE,"pool1_FY2"}</definedName>
    <definedName name="wrn.all3_2" localSheetId="2" hidden="1">{#N/A,#N/A,FALSE,"assumptions";#N/A,#N/A,FALSE,"v_projcy";#N/A,#N/A,FALSE,"tar_proj";#N/A,#N/A,FALSE,"contrib_annual";#N/A,#N/A,FALSE,"Proforma";#N/A,#N/A,FALSE,"purc_97";#N/A,#N/A,FALSE,"syn_purc_97";#N/A,#N/A,FALSE,"pool_97";#N/A,#N/A,FALSE,"syn_pool_97";#N/A,#N/A,FALSE,"pool1_FY2"}</definedName>
    <definedName name="wrn.all3_2" hidden="1">{#N/A,#N/A,FALSE,"assumptions";#N/A,#N/A,FALSE,"v_projcy";#N/A,#N/A,FALSE,"tar_proj";#N/A,#N/A,FALSE,"contrib_annual";#N/A,#N/A,FALSE,"Proforma";#N/A,#N/A,FALSE,"purc_97";#N/A,#N/A,FALSE,"syn_purc_97";#N/A,#N/A,FALSE,"pool_97";#N/A,#N/A,FALSE,"syn_pool_97";#N/A,#N/A,FALSE,"pool1_FY2"}</definedName>
    <definedName name="wrn.all3_2_1" localSheetId="2" hidden="1">{#N/A,#N/A,FALSE,"assumptions";#N/A,#N/A,FALSE,"v_projcy";#N/A,#N/A,FALSE,"tar_proj";#N/A,#N/A,FALSE,"contrib_annual";#N/A,#N/A,FALSE,"Proforma";#N/A,#N/A,FALSE,"purc_97";#N/A,#N/A,FALSE,"syn_purc_97";#N/A,#N/A,FALSE,"pool_97";#N/A,#N/A,FALSE,"syn_pool_97";#N/A,#N/A,FALSE,"pool1_FY2"}</definedName>
    <definedName name="wrn.all3_2_1" hidden="1">{#N/A,#N/A,FALSE,"assumptions";#N/A,#N/A,FALSE,"v_projcy";#N/A,#N/A,FALSE,"tar_proj";#N/A,#N/A,FALSE,"contrib_annual";#N/A,#N/A,FALSE,"Proforma";#N/A,#N/A,FALSE,"purc_97";#N/A,#N/A,FALSE,"syn_purc_97";#N/A,#N/A,FALSE,"pool_97";#N/A,#N/A,FALSE,"syn_pool_97";#N/A,#N/A,FALSE,"pool1_FY2"}</definedName>
    <definedName name="wrn.all3_2_2" localSheetId="2" hidden="1">{#N/A,#N/A,FALSE,"assumptions";#N/A,#N/A,FALSE,"v_projcy";#N/A,#N/A,FALSE,"tar_proj";#N/A,#N/A,FALSE,"contrib_annual";#N/A,#N/A,FALSE,"Proforma";#N/A,#N/A,FALSE,"purc_97";#N/A,#N/A,FALSE,"syn_purc_97";#N/A,#N/A,FALSE,"pool_97";#N/A,#N/A,FALSE,"syn_pool_97";#N/A,#N/A,FALSE,"pool1_FY2"}</definedName>
    <definedName name="wrn.all3_2_2" hidden="1">{#N/A,#N/A,FALSE,"assumptions";#N/A,#N/A,FALSE,"v_projcy";#N/A,#N/A,FALSE,"tar_proj";#N/A,#N/A,FALSE,"contrib_annual";#N/A,#N/A,FALSE,"Proforma";#N/A,#N/A,FALSE,"purc_97";#N/A,#N/A,FALSE,"syn_purc_97";#N/A,#N/A,FALSE,"pool_97";#N/A,#N/A,FALSE,"syn_pool_97";#N/A,#N/A,FALSE,"pool1_FY2"}</definedName>
    <definedName name="wrn.all3_2_3" localSheetId="2" hidden="1">{#N/A,#N/A,FALSE,"assumptions";#N/A,#N/A,FALSE,"v_projcy";#N/A,#N/A,FALSE,"tar_proj";#N/A,#N/A,FALSE,"contrib_annual";#N/A,#N/A,FALSE,"Proforma";#N/A,#N/A,FALSE,"purc_97";#N/A,#N/A,FALSE,"syn_purc_97";#N/A,#N/A,FALSE,"pool_97";#N/A,#N/A,FALSE,"syn_pool_97";#N/A,#N/A,FALSE,"pool1_FY2"}</definedName>
    <definedName name="wrn.all3_2_3" hidden="1">{#N/A,#N/A,FALSE,"assumptions";#N/A,#N/A,FALSE,"v_projcy";#N/A,#N/A,FALSE,"tar_proj";#N/A,#N/A,FALSE,"contrib_annual";#N/A,#N/A,FALSE,"Proforma";#N/A,#N/A,FALSE,"purc_97";#N/A,#N/A,FALSE,"syn_purc_97";#N/A,#N/A,FALSE,"pool_97";#N/A,#N/A,FALSE,"syn_pool_97";#N/A,#N/A,FALSE,"pool1_FY2"}</definedName>
    <definedName name="wrn.all3_2_4" localSheetId="2" hidden="1">{#N/A,#N/A,FALSE,"assumptions";#N/A,#N/A,FALSE,"v_projcy";#N/A,#N/A,FALSE,"tar_proj";#N/A,#N/A,FALSE,"contrib_annual";#N/A,#N/A,FALSE,"Proforma";#N/A,#N/A,FALSE,"purc_97";#N/A,#N/A,FALSE,"syn_purc_97";#N/A,#N/A,FALSE,"pool_97";#N/A,#N/A,FALSE,"syn_pool_97";#N/A,#N/A,FALSE,"pool1_FY2"}</definedName>
    <definedName name="wrn.all3_2_4" hidden="1">{#N/A,#N/A,FALSE,"assumptions";#N/A,#N/A,FALSE,"v_projcy";#N/A,#N/A,FALSE,"tar_proj";#N/A,#N/A,FALSE,"contrib_annual";#N/A,#N/A,FALSE,"Proforma";#N/A,#N/A,FALSE,"purc_97";#N/A,#N/A,FALSE,"syn_purc_97";#N/A,#N/A,FALSE,"pool_97";#N/A,#N/A,FALSE,"syn_pool_97";#N/A,#N/A,FALSE,"pool1_FY2"}</definedName>
    <definedName name="wrn.all3_3" localSheetId="2" hidden="1">{#N/A,#N/A,FALSE,"assumptions";#N/A,#N/A,FALSE,"v_projcy";#N/A,#N/A,FALSE,"tar_proj";#N/A,#N/A,FALSE,"contrib_annual";#N/A,#N/A,FALSE,"Proforma";#N/A,#N/A,FALSE,"purc_97";#N/A,#N/A,FALSE,"syn_purc_97";#N/A,#N/A,FALSE,"pool_97";#N/A,#N/A,FALSE,"syn_pool_97";#N/A,#N/A,FALSE,"pool1_FY2"}</definedName>
    <definedName name="wrn.all3_3" hidden="1">{#N/A,#N/A,FALSE,"assumptions";#N/A,#N/A,FALSE,"v_projcy";#N/A,#N/A,FALSE,"tar_proj";#N/A,#N/A,FALSE,"contrib_annual";#N/A,#N/A,FALSE,"Proforma";#N/A,#N/A,FALSE,"purc_97";#N/A,#N/A,FALSE,"syn_purc_97";#N/A,#N/A,FALSE,"pool_97";#N/A,#N/A,FALSE,"syn_pool_97";#N/A,#N/A,FALSE,"pool1_FY2"}</definedName>
    <definedName name="wrn.all3_3_1" localSheetId="2" hidden="1">{#N/A,#N/A,FALSE,"assumptions";#N/A,#N/A,FALSE,"v_projcy";#N/A,#N/A,FALSE,"tar_proj";#N/A,#N/A,FALSE,"contrib_annual";#N/A,#N/A,FALSE,"Proforma";#N/A,#N/A,FALSE,"purc_97";#N/A,#N/A,FALSE,"syn_purc_97";#N/A,#N/A,FALSE,"pool_97";#N/A,#N/A,FALSE,"syn_pool_97";#N/A,#N/A,FALSE,"pool1_FY2"}</definedName>
    <definedName name="wrn.all3_3_1" hidden="1">{#N/A,#N/A,FALSE,"assumptions";#N/A,#N/A,FALSE,"v_projcy";#N/A,#N/A,FALSE,"tar_proj";#N/A,#N/A,FALSE,"contrib_annual";#N/A,#N/A,FALSE,"Proforma";#N/A,#N/A,FALSE,"purc_97";#N/A,#N/A,FALSE,"syn_purc_97";#N/A,#N/A,FALSE,"pool_97";#N/A,#N/A,FALSE,"syn_pool_97";#N/A,#N/A,FALSE,"pool1_FY2"}</definedName>
    <definedName name="wrn.all3_3_2" localSheetId="2" hidden="1">{#N/A,#N/A,FALSE,"assumptions";#N/A,#N/A,FALSE,"v_projcy";#N/A,#N/A,FALSE,"tar_proj";#N/A,#N/A,FALSE,"contrib_annual";#N/A,#N/A,FALSE,"Proforma";#N/A,#N/A,FALSE,"purc_97";#N/A,#N/A,FALSE,"syn_purc_97";#N/A,#N/A,FALSE,"pool_97";#N/A,#N/A,FALSE,"syn_pool_97";#N/A,#N/A,FALSE,"pool1_FY2"}</definedName>
    <definedName name="wrn.all3_3_2" hidden="1">{#N/A,#N/A,FALSE,"assumptions";#N/A,#N/A,FALSE,"v_projcy";#N/A,#N/A,FALSE,"tar_proj";#N/A,#N/A,FALSE,"contrib_annual";#N/A,#N/A,FALSE,"Proforma";#N/A,#N/A,FALSE,"purc_97";#N/A,#N/A,FALSE,"syn_purc_97";#N/A,#N/A,FALSE,"pool_97";#N/A,#N/A,FALSE,"syn_pool_97";#N/A,#N/A,FALSE,"pool1_FY2"}</definedName>
    <definedName name="wrn.all3_3_3" localSheetId="2" hidden="1">{#N/A,#N/A,FALSE,"assumptions";#N/A,#N/A,FALSE,"v_projcy";#N/A,#N/A,FALSE,"tar_proj";#N/A,#N/A,FALSE,"contrib_annual";#N/A,#N/A,FALSE,"Proforma";#N/A,#N/A,FALSE,"purc_97";#N/A,#N/A,FALSE,"syn_purc_97";#N/A,#N/A,FALSE,"pool_97";#N/A,#N/A,FALSE,"syn_pool_97";#N/A,#N/A,FALSE,"pool1_FY2"}</definedName>
    <definedName name="wrn.all3_3_3" hidden="1">{#N/A,#N/A,FALSE,"assumptions";#N/A,#N/A,FALSE,"v_projcy";#N/A,#N/A,FALSE,"tar_proj";#N/A,#N/A,FALSE,"contrib_annual";#N/A,#N/A,FALSE,"Proforma";#N/A,#N/A,FALSE,"purc_97";#N/A,#N/A,FALSE,"syn_purc_97";#N/A,#N/A,FALSE,"pool_97";#N/A,#N/A,FALSE,"syn_pool_97";#N/A,#N/A,FALSE,"pool1_FY2"}</definedName>
    <definedName name="wrn.all3_3_4" localSheetId="2" hidden="1">{#N/A,#N/A,FALSE,"assumptions";#N/A,#N/A,FALSE,"v_projcy";#N/A,#N/A,FALSE,"tar_proj";#N/A,#N/A,FALSE,"contrib_annual";#N/A,#N/A,FALSE,"Proforma";#N/A,#N/A,FALSE,"purc_97";#N/A,#N/A,FALSE,"syn_purc_97";#N/A,#N/A,FALSE,"pool_97";#N/A,#N/A,FALSE,"syn_pool_97";#N/A,#N/A,FALSE,"pool1_FY2"}</definedName>
    <definedName name="wrn.all3_3_4" hidden="1">{#N/A,#N/A,FALSE,"assumptions";#N/A,#N/A,FALSE,"v_projcy";#N/A,#N/A,FALSE,"tar_proj";#N/A,#N/A,FALSE,"contrib_annual";#N/A,#N/A,FALSE,"Proforma";#N/A,#N/A,FALSE,"purc_97";#N/A,#N/A,FALSE,"syn_purc_97";#N/A,#N/A,FALSE,"pool_97";#N/A,#N/A,FALSE,"syn_pool_97";#N/A,#N/A,FALSE,"pool1_FY2"}</definedName>
    <definedName name="wrn.all3_4" localSheetId="2" hidden="1">{#N/A,#N/A,FALSE,"assumptions";#N/A,#N/A,FALSE,"v_projcy";#N/A,#N/A,FALSE,"tar_proj";#N/A,#N/A,FALSE,"contrib_annual";#N/A,#N/A,FALSE,"Proforma";#N/A,#N/A,FALSE,"purc_97";#N/A,#N/A,FALSE,"syn_purc_97";#N/A,#N/A,FALSE,"pool_97";#N/A,#N/A,FALSE,"syn_pool_97";#N/A,#N/A,FALSE,"pool1_FY2"}</definedName>
    <definedName name="wrn.all3_4" hidden="1">{#N/A,#N/A,FALSE,"assumptions";#N/A,#N/A,FALSE,"v_projcy";#N/A,#N/A,FALSE,"tar_proj";#N/A,#N/A,FALSE,"contrib_annual";#N/A,#N/A,FALSE,"Proforma";#N/A,#N/A,FALSE,"purc_97";#N/A,#N/A,FALSE,"syn_purc_97";#N/A,#N/A,FALSE,"pool_97";#N/A,#N/A,FALSE,"syn_pool_97";#N/A,#N/A,FALSE,"pool1_FY2"}</definedName>
    <definedName name="wrn.all3_4_1" localSheetId="2" hidden="1">{#N/A,#N/A,FALSE,"assumptions";#N/A,#N/A,FALSE,"v_projcy";#N/A,#N/A,FALSE,"tar_proj";#N/A,#N/A,FALSE,"contrib_annual";#N/A,#N/A,FALSE,"Proforma";#N/A,#N/A,FALSE,"purc_97";#N/A,#N/A,FALSE,"syn_purc_97";#N/A,#N/A,FALSE,"pool_97";#N/A,#N/A,FALSE,"syn_pool_97";#N/A,#N/A,FALSE,"pool1_FY2"}</definedName>
    <definedName name="wrn.all3_4_1" hidden="1">{#N/A,#N/A,FALSE,"assumptions";#N/A,#N/A,FALSE,"v_projcy";#N/A,#N/A,FALSE,"tar_proj";#N/A,#N/A,FALSE,"contrib_annual";#N/A,#N/A,FALSE,"Proforma";#N/A,#N/A,FALSE,"purc_97";#N/A,#N/A,FALSE,"syn_purc_97";#N/A,#N/A,FALSE,"pool_97";#N/A,#N/A,FALSE,"syn_pool_97";#N/A,#N/A,FALSE,"pool1_FY2"}</definedName>
    <definedName name="wrn.all3_4_2" localSheetId="2" hidden="1">{#N/A,#N/A,FALSE,"assumptions";#N/A,#N/A,FALSE,"v_projcy";#N/A,#N/A,FALSE,"tar_proj";#N/A,#N/A,FALSE,"contrib_annual";#N/A,#N/A,FALSE,"Proforma";#N/A,#N/A,FALSE,"purc_97";#N/A,#N/A,FALSE,"syn_purc_97";#N/A,#N/A,FALSE,"pool_97";#N/A,#N/A,FALSE,"syn_pool_97";#N/A,#N/A,FALSE,"pool1_FY2"}</definedName>
    <definedName name="wrn.all3_4_2" hidden="1">{#N/A,#N/A,FALSE,"assumptions";#N/A,#N/A,FALSE,"v_projcy";#N/A,#N/A,FALSE,"tar_proj";#N/A,#N/A,FALSE,"contrib_annual";#N/A,#N/A,FALSE,"Proforma";#N/A,#N/A,FALSE,"purc_97";#N/A,#N/A,FALSE,"syn_purc_97";#N/A,#N/A,FALSE,"pool_97";#N/A,#N/A,FALSE,"syn_pool_97";#N/A,#N/A,FALSE,"pool1_FY2"}</definedName>
    <definedName name="wrn.all3_4_3" localSheetId="2" hidden="1">{#N/A,#N/A,FALSE,"assumptions";#N/A,#N/A,FALSE,"v_projcy";#N/A,#N/A,FALSE,"tar_proj";#N/A,#N/A,FALSE,"contrib_annual";#N/A,#N/A,FALSE,"Proforma";#N/A,#N/A,FALSE,"purc_97";#N/A,#N/A,FALSE,"syn_purc_97";#N/A,#N/A,FALSE,"pool_97";#N/A,#N/A,FALSE,"syn_pool_97";#N/A,#N/A,FALSE,"pool1_FY2"}</definedName>
    <definedName name="wrn.all3_4_3" hidden="1">{#N/A,#N/A,FALSE,"assumptions";#N/A,#N/A,FALSE,"v_projcy";#N/A,#N/A,FALSE,"tar_proj";#N/A,#N/A,FALSE,"contrib_annual";#N/A,#N/A,FALSE,"Proforma";#N/A,#N/A,FALSE,"purc_97";#N/A,#N/A,FALSE,"syn_purc_97";#N/A,#N/A,FALSE,"pool_97";#N/A,#N/A,FALSE,"syn_pool_97";#N/A,#N/A,FALSE,"pool1_FY2"}</definedName>
    <definedName name="wrn.all3_4_4" localSheetId="2" hidden="1">{#N/A,#N/A,FALSE,"assumptions";#N/A,#N/A,FALSE,"v_projcy";#N/A,#N/A,FALSE,"tar_proj";#N/A,#N/A,FALSE,"contrib_annual";#N/A,#N/A,FALSE,"Proforma";#N/A,#N/A,FALSE,"purc_97";#N/A,#N/A,FALSE,"syn_purc_97";#N/A,#N/A,FALSE,"pool_97";#N/A,#N/A,FALSE,"syn_pool_97";#N/A,#N/A,FALSE,"pool1_FY2"}</definedName>
    <definedName name="wrn.all3_4_4" hidden="1">{#N/A,#N/A,FALSE,"assumptions";#N/A,#N/A,FALSE,"v_projcy";#N/A,#N/A,FALSE,"tar_proj";#N/A,#N/A,FALSE,"contrib_annual";#N/A,#N/A,FALSE,"Proforma";#N/A,#N/A,FALSE,"purc_97";#N/A,#N/A,FALSE,"syn_purc_97";#N/A,#N/A,FALSE,"pool_97";#N/A,#N/A,FALSE,"syn_pool_97";#N/A,#N/A,FALSE,"pool1_FY2"}</definedName>
    <definedName name="wrn.all3_5" localSheetId="2" hidden="1">{#N/A,#N/A,FALSE,"assumptions";#N/A,#N/A,FALSE,"v_projcy";#N/A,#N/A,FALSE,"tar_proj";#N/A,#N/A,FALSE,"contrib_annual";#N/A,#N/A,FALSE,"Proforma";#N/A,#N/A,FALSE,"purc_97";#N/A,#N/A,FALSE,"syn_purc_97";#N/A,#N/A,FALSE,"pool_97";#N/A,#N/A,FALSE,"syn_pool_97";#N/A,#N/A,FALSE,"pool1_FY2"}</definedName>
    <definedName name="wrn.all3_5" hidden="1">{#N/A,#N/A,FALSE,"assumptions";#N/A,#N/A,FALSE,"v_projcy";#N/A,#N/A,FALSE,"tar_proj";#N/A,#N/A,FALSE,"contrib_annual";#N/A,#N/A,FALSE,"Proforma";#N/A,#N/A,FALSE,"purc_97";#N/A,#N/A,FALSE,"syn_purc_97";#N/A,#N/A,FALSE,"pool_97";#N/A,#N/A,FALSE,"syn_pool_97";#N/A,#N/A,FALSE,"pool1_FY2"}</definedName>
    <definedName name="wrn.all3_5_1" localSheetId="2" hidden="1">{#N/A,#N/A,FALSE,"assumptions";#N/A,#N/A,FALSE,"v_projcy";#N/A,#N/A,FALSE,"tar_proj";#N/A,#N/A,FALSE,"contrib_annual";#N/A,#N/A,FALSE,"Proforma";#N/A,#N/A,FALSE,"purc_97";#N/A,#N/A,FALSE,"syn_purc_97";#N/A,#N/A,FALSE,"pool_97";#N/A,#N/A,FALSE,"syn_pool_97";#N/A,#N/A,FALSE,"pool1_FY2"}</definedName>
    <definedName name="wrn.all3_5_1" hidden="1">{#N/A,#N/A,FALSE,"assumptions";#N/A,#N/A,FALSE,"v_projcy";#N/A,#N/A,FALSE,"tar_proj";#N/A,#N/A,FALSE,"contrib_annual";#N/A,#N/A,FALSE,"Proforma";#N/A,#N/A,FALSE,"purc_97";#N/A,#N/A,FALSE,"syn_purc_97";#N/A,#N/A,FALSE,"pool_97";#N/A,#N/A,FALSE,"syn_pool_97";#N/A,#N/A,FALSE,"pool1_FY2"}</definedName>
    <definedName name="wrn.all3_5_2" localSheetId="2" hidden="1">{#N/A,#N/A,FALSE,"assumptions";#N/A,#N/A,FALSE,"v_projcy";#N/A,#N/A,FALSE,"tar_proj";#N/A,#N/A,FALSE,"contrib_annual";#N/A,#N/A,FALSE,"Proforma";#N/A,#N/A,FALSE,"purc_97";#N/A,#N/A,FALSE,"syn_purc_97";#N/A,#N/A,FALSE,"pool_97";#N/A,#N/A,FALSE,"syn_pool_97";#N/A,#N/A,FALSE,"pool1_FY2"}</definedName>
    <definedName name="wrn.all3_5_2" hidden="1">{#N/A,#N/A,FALSE,"assumptions";#N/A,#N/A,FALSE,"v_projcy";#N/A,#N/A,FALSE,"tar_proj";#N/A,#N/A,FALSE,"contrib_annual";#N/A,#N/A,FALSE,"Proforma";#N/A,#N/A,FALSE,"purc_97";#N/A,#N/A,FALSE,"syn_purc_97";#N/A,#N/A,FALSE,"pool_97";#N/A,#N/A,FALSE,"syn_pool_97";#N/A,#N/A,FALSE,"pool1_FY2"}</definedName>
    <definedName name="wrn.all3_5_3" localSheetId="2" hidden="1">{#N/A,#N/A,FALSE,"assumptions";#N/A,#N/A,FALSE,"v_projcy";#N/A,#N/A,FALSE,"tar_proj";#N/A,#N/A,FALSE,"contrib_annual";#N/A,#N/A,FALSE,"Proforma";#N/A,#N/A,FALSE,"purc_97";#N/A,#N/A,FALSE,"syn_purc_97";#N/A,#N/A,FALSE,"pool_97";#N/A,#N/A,FALSE,"syn_pool_97";#N/A,#N/A,FALSE,"pool1_FY2"}</definedName>
    <definedName name="wrn.all3_5_3" hidden="1">{#N/A,#N/A,FALSE,"assumptions";#N/A,#N/A,FALSE,"v_projcy";#N/A,#N/A,FALSE,"tar_proj";#N/A,#N/A,FALSE,"contrib_annual";#N/A,#N/A,FALSE,"Proforma";#N/A,#N/A,FALSE,"purc_97";#N/A,#N/A,FALSE,"syn_purc_97";#N/A,#N/A,FALSE,"pool_97";#N/A,#N/A,FALSE,"syn_pool_97";#N/A,#N/A,FALSE,"pool1_FY2"}</definedName>
    <definedName name="wrn.all3_5_4" localSheetId="2" hidden="1">{#N/A,#N/A,FALSE,"assumptions";#N/A,#N/A,FALSE,"v_projcy";#N/A,#N/A,FALSE,"tar_proj";#N/A,#N/A,FALSE,"contrib_annual";#N/A,#N/A,FALSE,"Proforma";#N/A,#N/A,FALSE,"purc_97";#N/A,#N/A,FALSE,"syn_purc_97";#N/A,#N/A,FALSE,"pool_97";#N/A,#N/A,FALSE,"syn_pool_97";#N/A,#N/A,FALSE,"pool1_FY2"}</definedName>
    <definedName name="wrn.all3_5_4" hidden="1">{#N/A,#N/A,FALSE,"assumptions";#N/A,#N/A,FALSE,"v_projcy";#N/A,#N/A,FALSE,"tar_proj";#N/A,#N/A,FALSE,"contrib_annual";#N/A,#N/A,FALSE,"Proforma";#N/A,#N/A,FALSE,"purc_97";#N/A,#N/A,FALSE,"syn_purc_97";#N/A,#N/A,FALSE,"pool_97";#N/A,#N/A,FALSE,"syn_pool_97";#N/A,#N/A,FALSE,"pool1_FY2"}</definedName>
    <definedName name="wrn.allpages." hidden="1">{#N/A,#N/A,TRUE,"Historicals";#N/A,#N/A,TRUE,"Charts";#N/A,#N/A,TRUE,"Forecasts"}</definedName>
    <definedName name="wrn.America._.Online." hidden="1">{#N/A,#N/A,FALSE,"Intro";#N/A,#N/A,FALSE,"Inc. St.";#N/A,#N/A,FALSE,"CalYear";#N/A,#N/A,FALSE,"FYear";#N/A,#N/A,FALSE,"Subs";#N/A,#N/A,FALSE,"Other Revs";#N/A,#N/A,FALSE,"Deals";#N/A,#N/A,FALSE,"RevsYear";#N/A,#N/A,FALSE,"Balance";#N/A,#N/A,FALSE,"OpCashFlow";#N/A,#N/A,FALSE,"Val.";#N/A,#N/A,FALSE,"DCFVal"}</definedName>
    <definedName name="wrn.Annual._.Operating._.Earnings."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Appendix." hidden="1">{#N/A,#N/A,TRUE,"Lines";#N/A,#N/A,TRUE,"Stations";#N/A,#N/A,TRUE,"Cap. Expenses";#N/A,#N/A,TRUE,"Land";#N/A,#N/A,TRUE,"Cen Proces Sys";#N/A,#N/A,TRUE,"telecom";#N/A,#N/A,TRUE,"Other"}</definedName>
    <definedName name="wrn.appendix.1" hidden="1">{#N/A,#N/A,TRUE,"Lines";#N/A,#N/A,TRUE,"Stations";#N/A,#N/A,TRUE,"Cap. Expenses";#N/A,#N/A,TRUE,"Land";#N/A,#N/A,TRUE,"Cen Proces Sys";#N/A,#N/A,TRUE,"telecom";#N/A,#N/A,TRUE,"Other"}</definedName>
    <definedName name="wrn.APT."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res_Serono." hidden="1">{"revenue",#N/A,FALSE,"Revenue";"Qearn1",#N/A,FALSE,"Qearn";"Qearn2",#N/A,FALSE,"Qearn";"Qmargin",#N/A,FALSE,"Qmargin";"Cashflow",#N/A,FALSE,"Cashflow"}</definedName>
    <definedName name="wrn.AU._.검사성적서." localSheetId="2" hidden="1">{#N/A,#N/A,FALSE,"을지 (4)";#N/A,#N/A,FALSE,"을지 (5)";#N/A,#N/A,FALSE,"을지 (6)"}</definedName>
    <definedName name="wrn.AU._.검사성적서." hidden="1">{#N/A,#N/A,FALSE,"을지 (4)";#N/A,#N/A,FALSE,"을지 (5)";#N/A,#N/A,FALSE,"을지 (6)"}</definedName>
    <definedName name="wrn.AU._.초도품._.보증서." localSheetId="2"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ºIAI¼a." hidden="1">{#N/A,#N/A,FALSE,"´UA";#N/A,#N/A,FALSE,"´UA";#N/A,#N/A,FALSE,"´UA";#N/A,#N/A,FALSE,"Aa";#N/A,#N/A,FALSE,"4WD"}</definedName>
    <definedName name="wrn.Auto._.Comp." hidden="1">{#N/A,#N/A,FALSE,"Sheet1"}</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ckup." hidden="1">{"financials",#N/A,FALSE,"BASIC";"interest",#N/A,FALSE,"BASIC";"leasing and financing",#N/A,FALSE,"BASIC";"returns back up",#N/A,FALSE,"BASIC"}</definedName>
    <definedName name="wrn.bank._.model." hidden="1">{"banks",#N/A,FALSE,"BASIC"}</definedName>
    <definedName name="wrn.BL94TAXRETURN." localSheetId="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localSheetId="2" hidden="1">{#N/A,#N/A,FALSE,"CCTV"}</definedName>
    <definedName name="wrn.BM." hidden="1">{#N/A,#N/A,FALSE,"CCTV"}</definedName>
    <definedName name="wrn.BMC._.FTEAOB._.90." hidden="1">{"FTEAOB 90",#N/A,FALSE,"FTEAOB - 5.0 Format - Input"}</definedName>
    <definedName name="wrn.BMC._.FTEAOB._.91." hidden="1">{"FTEAOB 91",#N/A,FALSE,"FTEAOB - 5.0 Format - Input"}</definedName>
    <definedName name="wrn.BMC._.FTEAOB._.92." hidden="1">{"FTEAOB 92",#N/A,FALSE,"FTEAOB - 5.0 Format - Input"}</definedName>
    <definedName name="wrn.BMC._.FTEAOB._.93." hidden="1">{"FTEAOB 93",#N/A,FALSE,"FTEAOB - 5.0 Format - Input"}</definedName>
    <definedName name="wrn.BMC._.FTEAOB._.94." hidden="1">{"FTEAOB 94",#N/A,FALSE,"FTEAOB - 5.0 Format - Input"}</definedName>
    <definedName name="wrn.BMC._.FTEAOB._.95." hidden="1">{"FTEAOB 95",#N/A,FALSE,"FTEAOB - 5.0 Format - Input"}</definedName>
    <definedName name="wrn.BMC._.FTEAOB._.96." hidden="1">{"FTEAOB 96",#N/A,FALSE,"FTEAOB - 5.0 Format - Input"}</definedName>
    <definedName name="wrn.BMC._.FTEAOB._.ALL." hidden="1">{"FTEAOB ALL",#N/A,FALSE,"FTEAOB - 5.0 Format - Input"}</definedName>
    <definedName name="wrn.BMC._.FTEAOB._.YEARLY." hidden="1">{"FTEAOB YEARLY",#N/A,FALSE,"FTEAOB - 5.0 Format - Input"}</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ris._.Beard." hidden="1">{#N/A,#N/A,TRUE,"Chris Beard";#N/A,#N/A,TRUE,"P&amp;L - Regent Street";#N/A,#N/A,TRUE,"P&amp;L - Covent Garden";#N/A,#N/A,TRUE,"P&amp;L - Seven Dials"}</definedName>
    <definedName name="wrn.CIC94TAX." localSheetId="2"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lairwyn._.Richardson." hidden="1">{#N/A,#N/A,TRUE,"Clairwyn Richardson";#N/A,#N/A,TRUE,"P&amp;L - Harrogate";#N/A,#N/A,TRUE,"P&amp;L - York";#N/A,#N/A,TRUE,"P&amp;L - Leeds";#N/A,#N/A,TRUE,"P&amp;L - Manchester";#N/A,#N/A,TRUE,"P&amp;L - Deansgate";#N/A,#N/A,TRUE,"P&amp;L - Durham";#N/A,#N/A,TRUE,"P&amp;L - Nottingham";#N/A,#N/A,TRUE,"P&amp;L - The Triangle"}</definedName>
    <definedName name="wrn.Client._.cfbs." hidden="1">{"client cfbs",#N/A,FALSE,"Client"}</definedName>
    <definedName name="wrn.Client._.is." hidden="1">{"Client is",#N/A,FALSE,"Client"}</definedName>
    <definedName name="wrn.Client._.stats." hidden="1">{"Client stats",#N/A,FALSE,"Client"}</definedName>
    <definedName name="wrn.CMI._.Actuals." hidden="1">{"CMI ACT Cover Page",#N/A,FALSE,"Cover Page";"CMI Leadsheet",#N/A,FALSE,"Cover Page";"CMI ACT G&amp;A",#N/A,FALSE,"Cover Page"}</definedName>
    <definedName name="wrn.CMI._.FCST." hidden="1">{"CMI FCST Cover Page",#N/A,FALSE,"Cover Page";"CMI FCST rev by month",#N/A,FALSE,"Cover Page";"CMI Budget rev by month",#N/A,FALSE,"Cover Page";"CMI FCST vs Budget rev by month",#N/A,FALSE,"Cover Page";"CMI FCST G&amp;A",#N/A,FALSE,"Cover Page"}</definedName>
    <definedName name="wrn.COMBINED." hidden="1">{#N/A,#N/A,FALSE,"INPUTS";#N/A,#N/A,FALSE,"PROFORMA BSHEET";#N/A,#N/A,FALSE,"COMBINED";#N/A,#N/A,FALSE,"HIGH YIELD";#N/A,#N/A,FALSE,"COMB_GRAPHS"}</definedName>
    <definedName name="wrn.COMMISSION." localSheetId="2" hidden="1">{"FORM17",#N/A,FALSE,"Commission1";"FORM17.1",#N/A,FALSE,"Commission2"}</definedName>
    <definedName name="wrn.COMMISSION." hidden="1">{"FORM17",#N/A,FALSE,"Commission1";"FORM17.1",#N/A,FALSE,"Commission2"}</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solidated._.Only." hidden="1">{#N/A,#N/A,TRUE,"summary";#N/A,#N/A,TRUE,"model"}</definedName>
    <definedName name="wrn.Consolidated._.Statements." hidden="1">{"view1",#N/A,FALSE,"EARN (US$)";"view1",#N/A,FALSE,"DASTBS (US$)";"view1",#N/A,FALSE,"DASTCF (US$)"}</definedName>
    <definedName name="wrn.CONSOLIDATION." hidden="1">{"PAGE1",#N/A,FALSE,"Consolidation";"PAGE2",#N/A,FALSE,"Consolidation";"PAGE3",#N/A,FALSE,"Consolidation";"PAGE4",#N/A,FALSE,"Consolidation";"PAGE5",#N/A,FALSE,"Consolidation";"PAGE6",#N/A,FALSE,"Consolidation";"PAGE7",#N/A,FALSE,"Consolidation"}</definedName>
    <definedName name="wrn.CORR." hidden="1">{"INCSTMT1",#N/A,FALSE,"COR";"INCSTMT2",#N/A,FALSE,"COR"}</definedName>
    <definedName name="wrn.COSA._.FS._.국문." localSheetId="2"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_.FS._.국문._1" localSheetId="2" hidden="1">{#N/A,#N/A,FALSE,"BS";#N/A,#N/A,FALSE,"PL";#N/A,#N/A,FALSE,"처분";#N/A,#N/A,FALSE,"현금";#N/A,#N/A,FALSE,"매출";#N/A,#N/A,FALSE,"원가";#N/A,#N/A,FALSE,"경영"}</definedName>
    <definedName name="wrn.COSA._.FS._.국문._1" hidden="1">{#N/A,#N/A,FALSE,"BS";#N/A,#N/A,FALSE,"PL";#N/A,#N/A,FALSE,"처분";#N/A,#N/A,FALSE,"현금";#N/A,#N/A,FALSE,"매출";#N/A,#N/A,FALSE,"원가";#N/A,#N/A,FALSE,"경영"}</definedName>
    <definedName name="wrn.COSA94TAXRETURN."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localSheetId="2" hidden="1">{#N/A,#N/A,FALSE,"1.CRITERIA";#N/A,#N/A,FALSE,"2.IS";#N/A,#N/A,FALSE,"3.BS";#N/A,#N/A,FALSE,"4.PER PL";#N/A,#N/A,FALSE,"5.INVESTMENT";#N/A,#N/A,FALSE,"6.공문";#N/A,#N/A,FALSE,"7.netinvest"}</definedName>
    <definedName name="wrn.criteria.95p." hidden="1">{#N/A,#N/A,FALSE,"1.CRITERIA";#N/A,#N/A,FALSE,"2.IS";#N/A,#N/A,FALSE,"3.BS";#N/A,#N/A,FALSE,"4.PER PL";#N/A,#N/A,FALSE,"5.INVESTMENT";#N/A,#N/A,FALSE,"6.공문";#N/A,#N/A,FALSE,"7.netinvest"}</definedName>
    <definedName name="wrn.CS._.Flash._.Test." localSheetId="2" hidden="1">{#N/A,#N/A,FALSE,"Performance Flash Report"}</definedName>
    <definedName name="wrn.CS._.Flash._.Test." hidden="1">{#N/A,#N/A,FALSE,"Performance Flash Report"}</definedName>
    <definedName name="wrn.CS._.Flash._.Test._1" localSheetId="2" hidden="1">{#N/A,#N/A,FALSE,"Performance Flash Report"}</definedName>
    <definedName name="wrn.CS._.Flash._.Test._1" hidden="1">{#N/A,#N/A,FALSE,"Performance Flash Report"}</definedName>
    <definedName name="wrn.CS._.Flash._.Test._1_1" localSheetId="2" hidden="1">{#N/A,#N/A,FALSE,"Performance Flash Report"}</definedName>
    <definedName name="wrn.CS._.Flash._.Test._1_1" hidden="1">{#N/A,#N/A,FALSE,"Performance Flash Report"}</definedName>
    <definedName name="wrn.CS._.Flash._.Test._1_2" localSheetId="2" hidden="1">{#N/A,#N/A,FALSE,"Performance Flash Report"}</definedName>
    <definedName name="wrn.CS._.Flash._.Test._1_2" hidden="1">{#N/A,#N/A,FALSE,"Performance Flash Report"}</definedName>
    <definedName name="wrn.CS._.Flash._.Test._1_3" localSheetId="2" hidden="1">{#N/A,#N/A,FALSE,"Performance Flash Report"}</definedName>
    <definedName name="wrn.CS._.Flash._.Test._1_3" hidden="1">{#N/A,#N/A,FALSE,"Performance Flash Report"}</definedName>
    <definedName name="wrn.CS._.Flash._.Test._1_4" localSheetId="2" hidden="1">{#N/A,#N/A,FALSE,"Performance Flash Report"}</definedName>
    <definedName name="wrn.CS._.Flash._.Test._1_4" hidden="1">{#N/A,#N/A,FALSE,"Performance Flash Report"}</definedName>
    <definedName name="wrn.CS._.Flash._.Test._2" localSheetId="2" hidden="1">{#N/A,#N/A,FALSE,"Performance Flash Report"}</definedName>
    <definedName name="wrn.CS._.Flash._.Test._2" hidden="1">{#N/A,#N/A,FALSE,"Performance Flash Report"}</definedName>
    <definedName name="wrn.CS._.Flash._.Test._2_1" localSheetId="2" hidden="1">{#N/A,#N/A,FALSE,"Performance Flash Report"}</definedName>
    <definedName name="wrn.CS._.Flash._.Test._2_1" hidden="1">{#N/A,#N/A,FALSE,"Performance Flash Report"}</definedName>
    <definedName name="wrn.CS._.Flash._.Test._2_2" localSheetId="2" hidden="1">{#N/A,#N/A,FALSE,"Performance Flash Report"}</definedName>
    <definedName name="wrn.CS._.Flash._.Test._2_2" hidden="1">{#N/A,#N/A,FALSE,"Performance Flash Report"}</definedName>
    <definedName name="wrn.CS._.Flash._.Test._2_3" localSheetId="2" hidden="1">{#N/A,#N/A,FALSE,"Performance Flash Report"}</definedName>
    <definedName name="wrn.CS._.Flash._.Test._2_3" hidden="1">{#N/A,#N/A,FALSE,"Performance Flash Report"}</definedName>
    <definedName name="wrn.CS._.Flash._.Test._2_4" localSheetId="2" hidden="1">{#N/A,#N/A,FALSE,"Performance Flash Report"}</definedName>
    <definedName name="wrn.CS._.Flash._.Test._2_4" hidden="1">{#N/A,#N/A,FALSE,"Performance Flash Report"}</definedName>
    <definedName name="wrn.CS._.Flash._.Test._3" localSheetId="2" hidden="1">{#N/A,#N/A,FALSE,"Performance Flash Report"}</definedName>
    <definedName name="wrn.CS._.Flash._.Test._3" hidden="1">{#N/A,#N/A,FALSE,"Performance Flash Report"}</definedName>
    <definedName name="wrn.CS._.Flash._.Test._3_1" localSheetId="2" hidden="1">{#N/A,#N/A,FALSE,"Performance Flash Report"}</definedName>
    <definedName name="wrn.CS._.Flash._.Test._3_1" hidden="1">{#N/A,#N/A,FALSE,"Performance Flash Report"}</definedName>
    <definedName name="wrn.CS._.Flash._.Test._3_2" localSheetId="2" hidden="1">{#N/A,#N/A,FALSE,"Performance Flash Report"}</definedName>
    <definedName name="wrn.CS._.Flash._.Test._3_2" hidden="1">{#N/A,#N/A,FALSE,"Performance Flash Report"}</definedName>
    <definedName name="wrn.CS._.Flash._.Test._3_3" localSheetId="2" hidden="1">{#N/A,#N/A,FALSE,"Performance Flash Report"}</definedName>
    <definedName name="wrn.CS._.Flash._.Test._3_3" hidden="1">{#N/A,#N/A,FALSE,"Performance Flash Report"}</definedName>
    <definedName name="wrn.CS._.Flash._.Test._3_4" localSheetId="2" hidden="1">{#N/A,#N/A,FALSE,"Performance Flash Report"}</definedName>
    <definedName name="wrn.CS._.Flash._.Test._3_4" hidden="1">{#N/A,#N/A,FALSE,"Performance Flash Report"}</definedName>
    <definedName name="wrn.CS._.Flash._.Test._4" localSheetId="2" hidden="1">{#N/A,#N/A,FALSE,"Performance Flash Report"}</definedName>
    <definedName name="wrn.CS._.Flash._.Test._4" hidden="1">{#N/A,#N/A,FALSE,"Performance Flash Report"}</definedName>
    <definedName name="wrn.CS._.Flash._.Test._4_1" localSheetId="2" hidden="1">{#N/A,#N/A,FALSE,"Performance Flash Report"}</definedName>
    <definedName name="wrn.CS._.Flash._.Test._4_1" hidden="1">{#N/A,#N/A,FALSE,"Performance Flash Report"}</definedName>
    <definedName name="wrn.CS._.Flash._.Test._4_2" localSheetId="2" hidden="1">{#N/A,#N/A,FALSE,"Performance Flash Report"}</definedName>
    <definedName name="wrn.CS._.Flash._.Test._4_2" hidden="1">{#N/A,#N/A,FALSE,"Performance Flash Report"}</definedName>
    <definedName name="wrn.CS._.Flash._.Test._4_3" localSheetId="2" hidden="1">{#N/A,#N/A,FALSE,"Performance Flash Report"}</definedName>
    <definedName name="wrn.CS._.Flash._.Test._4_3" hidden="1">{#N/A,#N/A,FALSE,"Performance Flash Report"}</definedName>
    <definedName name="wrn.CS._.Flash._.Test._4_4" localSheetId="2" hidden="1">{#N/A,#N/A,FALSE,"Performance Flash Report"}</definedName>
    <definedName name="wrn.CS._.Flash._.Test._4_4" hidden="1">{#N/A,#N/A,FALSE,"Performance Flash Report"}</definedName>
    <definedName name="wrn.CS._.Flash._.Test._5" localSheetId="2" hidden="1">{#N/A,#N/A,FALSE,"Performance Flash Report"}</definedName>
    <definedName name="wrn.CS._.Flash._.Test._5" hidden="1">{#N/A,#N/A,FALSE,"Performance Flash Report"}</definedName>
    <definedName name="wrn.CS._.Flash._.Test._5_1" localSheetId="2" hidden="1">{#N/A,#N/A,FALSE,"Performance Flash Report"}</definedName>
    <definedName name="wrn.CS._.Flash._.Test._5_1" hidden="1">{#N/A,#N/A,FALSE,"Performance Flash Report"}</definedName>
    <definedName name="wrn.CS._.Flash._.Test._5_2" localSheetId="2" hidden="1">{#N/A,#N/A,FALSE,"Performance Flash Report"}</definedName>
    <definedName name="wrn.CS._.Flash._.Test._5_2" hidden="1">{#N/A,#N/A,FALSE,"Performance Flash Report"}</definedName>
    <definedName name="wrn.CS._.Flash._.Test._5_3" localSheetId="2" hidden="1">{#N/A,#N/A,FALSE,"Performance Flash Report"}</definedName>
    <definedName name="wrn.CS._.Flash._.Test._5_3" hidden="1">{#N/A,#N/A,FALSE,"Performance Flash Report"}</definedName>
    <definedName name="wrn.CS._.Flash._.Test._5_4" localSheetId="2" hidden="1">{#N/A,#N/A,FALSE,"Performance Flash Report"}</definedName>
    <definedName name="wrn.CS._.Flash._.Test._5_4" hidden="1">{#N/A,#N/A,FALSE,"Performance Flash Report"}</definedName>
    <definedName name="wrn.daily." hidden="1">{#N/A,#N/A,FALSE,"Major v. River";#N/A,#N/A,FALSE,"Large Operators";#N/A,#N/A,FALSE,"Smaller Operators";#N/A,#N/A,FALSE,"Equip. Supply";#N/A,#N/A,FALSE,"EBITDA"}</definedName>
    <definedName name="wrn.Dashboard._.Update._.version."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cf." hidden="1">{"mgmt forecast",#N/A,FALSE,"Mgmt Forecast";"dcf table",#N/A,FALSE,"Mgmt Forecast";"sensitivity",#N/A,FALSE,"Mgmt Forecast";"table inputs",#N/A,FALSE,"Mgmt Forecast";"calculations",#N/A,FALSE,"Mgmt Forecast"}</definedName>
    <definedName name="wrn.dd"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irectors._.Cover._.Sheets." hidden="1">{#N/A,#N/A,TRUE,"P&amp;L - Main Summary";#N/A,#N/A,TRUE,"P&amp;L-Main Detail";#N/A,#N/A,TRUE,"Overhead Analysis";#N/A,#N/A,TRUE,"BalanceSheet"}</definedName>
    <definedName name="wrn.DVI._.Borrowing._.Base." hidden="1">{#N/A,#N/A,FALSE,"Draw BB";#N/A,#N/A,FALSE,"Draw BC";#N/A,#N/A,FALSE,"Draw SH";#N/A,#N/A,FALSE,"Draw WH";#N/A,#N/A,FALSE,"Draw CC";#N/A,#N/A,FALSE,"Draw RV";#N/A,#N/A,FALSE,"Draw SW";#N/A,#N/A,FALSE,"Draw WM &amp; PC";#N/A,#N/A,FALSE,"Draw MM ";#N/A,#N/A,FALSE,"Census";#N/A,#N/A,FALSE,"Analysis";#N/A,#N/A,FALSE,"Fax";#N/A,#N/A,FALSE,"Ineligibles"}</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M." localSheetId="2"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ntire._.Model." hidden="1">{#N/A,#N/A,TRUE,"summary";#N/A,#N/A,TRUE,"model";#N/A,#N/A,TRUE,"Consolidated P&amp;L Summary";#N/A,#N/A,TRUE,"Schwinn";#N/A,#N/A,TRUE,"G.T.";#N/A,#N/A,TRUE,"Hebb"}</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B." localSheetId="2" hidden="1">{"FCB_ALL",#N/A,FALSE,"FCB"}</definedName>
    <definedName name="wrn.FCB." hidden="1">{"FCB_ALL",#N/A,FALSE,"FCB"}</definedName>
    <definedName name="wrn.FCB._1" localSheetId="2" hidden="1">{"FCB_ALL",#N/A,FALSE,"FCB"}</definedName>
    <definedName name="wrn.FCB._1" hidden="1">{"FCB_ALL",#N/A,FALSE,"FCB"}</definedName>
    <definedName name="wrn.FCB._1_1" localSheetId="2" hidden="1">{"FCB_ALL",#N/A,FALSE,"FCB"}</definedName>
    <definedName name="wrn.FCB._1_1" hidden="1">{"FCB_ALL",#N/A,FALSE,"FCB"}</definedName>
    <definedName name="wrn.FCB._1_2" localSheetId="2" hidden="1">{"FCB_ALL",#N/A,FALSE,"FCB"}</definedName>
    <definedName name="wrn.FCB._1_2" hidden="1">{"FCB_ALL",#N/A,FALSE,"FCB"}</definedName>
    <definedName name="wrn.FCB._1_3" localSheetId="2" hidden="1">{"FCB_ALL",#N/A,FALSE,"FCB"}</definedName>
    <definedName name="wrn.FCB._1_3" hidden="1">{"FCB_ALL",#N/A,FALSE,"FCB"}</definedName>
    <definedName name="wrn.FCB._1_4" localSheetId="2" hidden="1">{"FCB_ALL",#N/A,FALSE,"FCB"}</definedName>
    <definedName name="wrn.FCB._1_4" hidden="1">{"FCB_ALL",#N/A,FALSE,"FCB"}</definedName>
    <definedName name="wrn.FCB._2" localSheetId="2" hidden="1">{"FCB_ALL",#N/A,FALSE,"FCB"}</definedName>
    <definedName name="wrn.FCB._2" hidden="1">{"FCB_ALL",#N/A,FALSE,"FCB"}</definedName>
    <definedName name="wrn.FCB._2_1" localSheetId="2" hidden="1">{"FCB_ALL",#N/A,FALSE,"FCB"}</definedName>
    <definedName name="wrn.FCB._2_1" hidden="1">{"FCB_ALL",#N/A,FALSE,"FCB"}</definedName>
    <definedName name="wrn.FCB._2_2" localSheetId="2" hidden="1">{"FCB_ALL",#N/A,FALSE,"FCB"}</definedName>
    <definedName name="wrn.FCB._2_2" hidden="1">{"FCB_ALL",#N/A,FALSE,"FCB"}</definedName>
    <definedName name="wrn.FCB._2_3" localSheetId="2" hidden="1">{"FCB_ALL",#N/A,FALSE,"FCB"}</definedName>
    <definedName name="wrn.FCB._2_3" hidden="1">{"FCB_ALL",#N/A,FALSE,"FCB"}</definedName>
    <definedName name="wrn.FCB._2_4" localSheetId="2" hidden="1">{"FCB_ALL",#N/A,FALSE,"FCB"}</definedName>
    <definedName name="wrn.FCB._2_4" hidden="1">{"FCB_ALL",#N/A,FALSE,"FCB"}</definedName>
    <definedName name="wrn.FCB._3" localSheetId="2" hidden="1">{"FCB_ALL",#N/A,FALSE,"FCB"}</definedName>
    <definedName name="wrn.FCB._3" hidden="1">{"FCB_ALL",#N/A,FALSE,"FCB"}</definedName>
    <definedName name="wrn.FCB._3_1" localSheetId="2" hidden="1">{"FCB_ALL",#N/A,FALSE,"FCB"}</definedName>
    <definedName name="wrn.FCB._3_1" hidden="1">{"FCB_ALL",#N/A,FALSE,"FCB"}</definedName>
    <definedName name="wrn.FCB._3_2" localSheetId="2" hidden="1">{"FCB_ALL",#N/A,FALSE,"FCB"}</definedName>
    <definedName name="wrn.FCB._3_2" hidden="1">{"FCB_ALL",#N/A,FALSE,"FCB"}</definedName>
    <definedName name="wrn.FCB._3_3" localSheetId="2" hidden="1">{"FCB_ALL",#N/A,FALSE,"FCB"}</definedName>
    <definedName name="wrn.FCB._3_3" hidden="1">{"FCB_ALL",#N/A,FALSE,"FCB"}</definedName>
    <definedName name="wrn.FCB._3_4" localSheetId="2" hidden="1">{"FCB_ALL",#N/A,FALSE,"FCB"}</definedName>
    <definedName name="wrn.FCB._3_4" hidden="1">{"FCB_ALL",#N/A,FALSE,"FCB"}</definedName>
    <definedName name="wrn.FCB._4" localSheetId="2" hidden="1">{"FCB_ALL",#N/A,FALSE,"FCB"}</definedName>
    <definedName name="wrn.FCB._4" hidden="1">{"FCB_ALL",#N/A,FALSE,"FCB"}</definedName>
    <definedName name="wrn.FCB._4_1" localSheetId="2" hidden="1">{"FCB_ALL",#N/A,FALSE,"FCB"}</definedName>
    <definedName name="wrn.FCB._4_1" hidden="1">{"FCB_ALL",#N/A,FALSE,"FCB"}</definedName>
    <definedName name="wrn.FCB._4_2" localSheetId="2" hidden="1">{"FCB_ALL",#N/A,FALSE,"FCB"}</definedName>
    <definedName name="wrn.FCB._4_2" hidden="1">{"FCB_ALL",#N/A,FALSE,"FCB"}</definedName>
    <definedName name="wrn.FCB._4_3" localSheetId="2" hidden="1">{"FCB_ALL",#N/A,FALSE,"FCB"}</definedName>
    <definedName name="wrn.FCB._4_3" hidden="1">{"FCB_ALL",#N/A,FALSE,"FCB"}</definedName>
    <definedName name="wrn.FCB._4_4" localSheetId="2" hidden="1">{"FCB_ALL",#N/A,FALSE,"FCB"}</definedName>
    <definedName name="wrn.FCB._4_4" hidden="1">{"FCB_ALL",#N/A,FALSE,"FCB"}</definedName>
    <definedName name="wrn.FCB._5" localSheetId="2" hidden="1">{"FCB_ALL",#N/A,FALSE,"FCB"}</definedName>
    <definedName name="wrn.FCB._5" hidden="1">{"FCB_ALL",#N/A,FALSE,"FCB"}</definedName>
    <definedName name="wrn.FCB._5_1" localSheetId="2" hidden="1">{"FCB_ALL",#N/A,FALSE,"FCB"}</definedName>
    <definedName name="wrn.FCB._5_1" hidden="1">{"FCB_ALL",#N/A,FALSE,"FCB"}</definedName>
    <definedName name="wrn.FCB._5_2" localSheetId="2" hidden="1">{"FCB_ALL",#N/A,FALSE,"FCB"}</definedName>
    <definedName name="wrn.FCB._5_2" hidden="1">{"FCB_ALL",#N/A,FALSE,"FCB"}</definedName>
    <definedName name="wrn.FCB._5_3" localSheetId="2" hidden="1">{"FCB_ALL",#N/A,FALSE,"FCB"}</definedName>
    <definedName name="wrn.FCB._5_3" hidden="1">{"FCB_ALL",#N/A,FALSE,"FCB"}</definedName>
    <definedName name="wrn.FCB._5_4" localSheetId="2" hidden="1">{"FCB_ALL",#N/A,FALSE,"FCB"}</definedName>
    <definedName name="wrn.FCB._5_4" hidden="1">{"FCB_ALL",#N/A,FALSE,"FCB"}</definedName>
    <definedName name="wrn.fcb2" localSheetId="2" hidden="1">{"FCB_ALL",#N/A,FALSE,"FCB"}</definedName>
    <definedName name="wrn.fcb2" hidden="1">{"FCB_ALL",#N/A,FALSE,"FCB"}</definedName>
    <definedName name="wrn.fcb2_1" localSheetId="2" hidden="1">{"FCB_ALL",#N/A,FALSE,"FCB"}</definedName>
    <definedName name="wrn.fcb2_1" hidden="1">{"FCB_ALL",#N/A,FALSE,"FCB"}</definedName>
    <definedName name="wrn.fcb2_1_1" localSheetId="2" hidden="1">{"FCB_ALL",#N/A,FALSE,"FCB"}</definedName>
    <definedName name="wrn.fcb2_1_1" hidden="1">{"FCB_ALL",#N/A,FALSE,"FCB"}</definedName>
    <definedName name="wrn.fcb2_1_2" localSheetId="2" hidden="1">{"FCB_ALL",#N/A,FALSE,"FCB"}</definedName>
    <definedName name="wrn.fcb2_1_2" hidden="1">{"FCB_ALL",#N/A,FALSE,"FCB"}</definedName>
    <definedName name="wrn.fcb2_1_3" localSheetId="2" hidden="1">{"FCB_ALL",#N/A,FALSE,"FCB"}</definedName>
    <definedName name="wrn.fcb2_1_3" hidden="1">{"FCB_ALL",#N/A,FALSE,"FCB"}</definedName>
    <definedName name="wrn.fcb2_1_4" localSheetId="2" hidden="1">{"FCB_ALL",#N/A,FALSE,"FCB"}</definedName>
    <definedName name="wrn.fcb2_1_4" hidden="1">{"FCB_ALL",#N/A,FALSE,"FCB"}</definedName>
    <definedName name="wrn.fcb2_2" localSheetId="2" hidden="1">{"FCB_ALL",#N/A,FALSE,"FCB"}</definedName>
    <definedName name="wrn.fcb2_2" hidden="1">{"FCB_ALL",#N/A,FALSE,"FCB"}</definedName>
    <definedName name="wrn.fcb2_2_1" localSheetId="2" hidden="1">{"FCB_ALL",#N/A,FALSE,"FCB"}</definedName>
    <definedName name="wrn.fcb2_2_1" hidden="1">{"FCB_ALL",#N/A,FALSE,"FCB"}</definedName>
    <definedName name="wrn.fcb2_2_2" localSheetId="2" hidden="1">{"FCB_ALL",#N/A,FALSE,"FCB"}</definedName>
    <definedName name="wrn.fcb2_2_2" hidden="1">{"FCB_ALL",#N/A,FALSE,"FCB"}</definedName>
    <definedName name="wrn.fcb2_2_3" localSheetId="2" hidden="1">{"FCB_ALL",#N/A,FALSE,"FCB"}</definedName>
    <definedName name="wrn.fcb2_2_3" hidden="1">{"FCB_ALL",#N/A,FALSE,"FCB"}</definedName>
    <definedName name="wrn.fcb2_2_4" localSheetId="2" hidden="1">{"FCB_ALL",#N/A,FALSE,"FCB"}</definedName>
    <definedName name="wrn.fcb2_2_4" hidden="1">{"FCB_ALL",#N/A,FALSE,"FCB"}</definedName>
    <definedName name="wrn.fcb2_3" localSheetId="2" hidden="1">{"FCB_ALL",#N/A,FALSE,"FCB"}</definedName>
    <definedName name="wrn.fcb2_3" hidden="1">{"FCB_ALL",#N/A,FALSE,"FCB"}</definedName>
    <definedName name="wrn.fcb2_3_1" localSheetId="2" hidden="1">{"FCB_ALL",#N/A,FALSE,"FCB"}</definedName>
    <definedName name="wrn.fcb2_3_1" hidden="1">{"FCB_ALL",#N/A,FALSE,"FCB"}</definedName>
    <definedName name="wrn.fcb2_3_2" localSheetId="2" hidden="1">{"FCB_ALL",#N/A,FALSE,"FCB"}</definedName>
    <definedName name="wrn.fcb2_3_2" hidden="1">{"FCB_ALL",#N/A,FALSE,"FCB"}</definedName>
    <definedName name="wrn.fcb2_3_3" localSheetId="2" hidden="1">{"FCB_ALL",#N/A,FALSE,"FCB"}</definedName>
    <definedName name="wrn.fcb2_3_3" hidden="1">{"FCB_ALL",#N/A,FALSE,"FCB"}</definedName>
    <definedName name="wrn.fcb2_3_4" localSheetId="2" hidden="1">{"FCB_ALL",#N/A,FALSE,"FCB"}</definedName>
    <definedName name="wrn.fcb2_3_4" hidden="1">{"FCB_ALL",#N/A,FALSE,"FCB"}</definedName>
    <definedName name="wrn.fcb2_4" localSheetId="2" hidden="1">{"FCB_ALL",#N/A,FALSE,"FCB"}</definedName>
    <definedName name="wrn.fcb2_4" hidden="1">{"FCB_ALL",#N/A,FALSE,"FCB"}</definedName>
    <definedName name="wrn.fcb2_4_1" localSheetId="2" hidden="1">{"FCB_ALL",#N/A,FALSE,"FCB"}</definedName>
    <definedName name="wrn.fcb2_4_1" hidden="1">{"FCB_ALL",#N/A,FALSE,"FCB"}</definedName>
    <definedName name="wrn.fcb2_4_2" localSheetId="2" hidden="1">{"FCB_ALL",#N/A,FALSE,"FCB"}</definedName>
    <definedName name="wrn.fcb2_4_2" hidden="1">{"FCB_ALL",#N/A,FALSE,"FCB"}</definedName>
    <definedName name="wrn.fcb2_4_3" localSheetId="2" hidden="1">{"FCB_ALL",#N/A,FALSE,"FCB"}</definedName>
    <definedName name="wrn.fcb2_4_3" hidden="1">{"FCB_ALL",#N/A,FALSE,"FCB"}</definedName>
    <definedName name="wrn.fcb2_4_4" localSheetId="2" hidden="1">{"FCB_ALL",#N/A,FALSE,"FCB"}</definedName>
    <definedName name="wrn.fcb2_4_4" hidden="1">{"FCB_ALL",#N/A,FALSE,"FCB"}</definedName>
    <definedName name="wrn.fcb2_5" localSheetId="2" hidden="1">{"FCB_ALL",#N/A,FALSE,"FCB"}</definedName>
    <definedName name="wrn.fcb2_5" hidden="1">{"FCB_ALL",#N/A,FALSE,"FCB"}</definedName>
    <definedName name="wrn.fcb2_5_1" localSheetId="2" hidden="1">{"FCB_ALL",#N/A,FALSE,"FCB"}</definedName>
    <definedName name="wrn.fcb2_5_1" hidden="1">{"FCB_ALL",#N/A,FALSE,"FCB"}</definedName>
    <definedName name="wrn.fcb2_5_2" localSheetId="2" hidden="1">{"FCB_ALL",#N/A,FALSE,"FCB"}</definedName>
    <definedName name="wrn.fcb2_5_2" hidden="1">{"FCB_ALL",#N/A,FALSE,"FCB"}</definedName>
    <definedName name="wrn.fcb2_5_3" localSheetId="2" hidden="1">{"FCB_ALL",#N/A,FALSE,"FCB"}</definedName>
    <definedName name="wrn.fcb2_5_3" hidden="1">{"FCB_ALL",#N/A,FALSE,"FCB"}</definedName>
    <definedName name="wrn.fcb2_5_4" localSheetId="2" hidden="1">{"FCB_ALL",#N/A,FALSE,"FCB"}</definedName>
    <definedName name="wrn.fcb2_5_4" hidden="1">{"FCB_ALL",#N/A,FALSE,"FCB"}</definedName>
    <definedName name="wrn.Final._.Payable._.By._.Country." hidden="1">{"Final Payable By Country",#N/A,FALSE,"Final Payable"}</definedName>
    <definedName name="wrn.for._.TenneT."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orecast._.Red._.Book." hidden="1">{"RB QY $",#N/A,FALSE,"Fin STMT";"RB QY Stats",#N/A,FALSE,"Fin STMT";"RB 00 $",#N/A,FALSE,"Fin STMT";"RB 00 Stats",#N/A,FALSE,"Fin STMT";"RB 01 $",#N/A,FALSE,"Fin STMT";"RB 01 Stats",#N/A,FALSE,"Fin STMT"}</definedName>
    <definedName name="wrn.Forecast._.Report."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M." hidden="1">{#N/A,#N/A,FALSE,"FORM A";#N/A,#N/A,FALSE,"FORM D";#N/A,#N/A,FALSE,"FORM E-1";#N/A,#N/A,FALSE,"FORM E-2";#N/A,#N/A,FALSE,"FORM F";#N/A,#N/A,FALSE,"FORM G";#N/A,#N/A,FALSE,"FORM H-1";#N/A,#N/A,FALSE,"FORM H-2";#N/A,#N/A,FALSE,"FORM H-3";#N/A,#N/A,FALSE,"FORM H-4";#N/A,#N/A,FALSE,"FORM H-5";#N/A,#N/A,FALSE,"FORM I";#N/A,#N/A,FALSE,"FORM J"}</definedName>
    <definedName name="wrn.Friendly." hidden="1">{#N/A,#N/A,TRUE,"Julio";#N/A,#N/A,TRUE,"Agosto";#N/A,#N/A,TRUE,"BHCo";#N/A,#N/A,TRUE,"Abril";#N/A,#N/A,TRUE,"Pro Forma"}</definedName>
    <definedName name="wrn.Full._.Report."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Report." hidden="1">{"Annual",#N/A,FALSE,"Long Run";"SelectUSQtr_AnnlChg",#N/A,FALSE,"Long Run";"SelCalQtr_AnlChg",#N/A,FALSE,"Long Run";"PerIncQtr_AnlChg",#N/A,FALSE,"Long Run";"OthrCalQtr_AnlChg",#N/A,FALSE,"Long Run"}</definedName>
    <definedName name="wrn.FY97SBP." localSheetId="2" hidden="1">{#N/A,#N/A,FALSE,"FY97";#N/A,#N/A,FALSE,"FY98";#N/A,#N/A,FALSE,"FY99";#N/A,#N/A,FALSE,"FY00";#N/A,#N/A,FALSE,"FY01"}</definedName>
    <definedName name="wrn.FY97SBP." hidden="1">{#N/A,#N/A,FALSE,"FY97";#N/A,#N/A,FALSE,"FY98";#N/A,#N/A,FALSE,"FY99";#N/A,#N/A,FALSE,"FY00";#N/A,#N/A,FALSE,"FY01"}</definedName>
    <definedName name="wrn.FY97SBP._1" localSheetId="2" hidden="1">{#N/A,#N/A,FALSE,"FY97";#N/A,#N/A,FALSE,"FY98";#N/A,#N/A,FALSE,"FY99";#N/A,#N/A,FALSE,"FY00";#N/A,#N/A,FALSE,"FY01"}</definedName>
    <definedName name="wrn.FY97SBP._1" hidden="1">{#N/A,#N/A,FALSE,"FY97";#N/A,#N/A,FALSE,"FY98";#N/A,#N/A,FALSE,"FY99";#N/A,#N/A,FALSE,"FY00";#N/A,#N/A,FALSE,"FY01"}</definedName>
    <definedName name="wrn.FY97SBP._1_1" localSheetId="2" hidden="1">{#N/A,#N/A,FALSE,"FY97";#N/A,#N/A,FALSE,"FY98";#N/A,#N/A,FALSE,"FY99";#N/A,#N/A,FALSE,"FY00";#N/A,#N/A,FALSE,"FY01"}</definedName>
    <definedName name="wrn.FY97SBP._1_1" hidden="1">{#N/A,#N/A,FALSE,"FY97";#N/A,#N/A,FALSE,"FY98";#N/A,#N/A,FALSE,"FY99";#N/A,#N/A,FALSE,"FY00";#N/A,#N/A,FALSE,"FY01"}</definedName>
    <definedName name="wrn.FY97SBP._1_2" localSheetId="2" hidden="1">{#N/A,#N/A,FALSE,"FY97";#N/A,#N/A,FALSE,"FY98";#N/A,#N/A,FALSE,"FY99";#N/A,#N/A,FALSE,"FY00";#N/A,#N/A,FALSE,"FY01"}</definedName>
    <definedName name="wrn.FY97SBP._1_2" hidden="1">{#N/A,#N/A,FALSE,"FY97";#N/A,#N/A,FALSE,"FY98";#N/A,#N/A,FALSE,"FY99";#N/A,#N/A,FALSE,"FY00";#N/A,#N/A,FALSE,"FY01"}</definedName>
    <definedName name="wrn.FY97SBP._1_3" localSheetId="2" hidden="1">{#N/A,#N/A,FALSE,"FY97";#N/A,#N/A,FALSE,"FY98";#N/A,#N/A,FALSE,"FY99";#N/A,#N/A,FALSE,"FY00";#N/A,#N/A,FALSE,"FY01"}</definedName>
    <definedName name="wrn.FY97SBP._1_3" hidden="1">{#N/A,#N/A,FALSE,"FY97";#N/A,#N/A,FALSE,"FY98";#N/A,#N/A,FALSE,"FY99";#N/A,#N/A,FALSE,"FY00";#N/A,#N/A,FALSE,"FY01"}</definedName>
    <definedName name="wrn.FY97SBP._1_4" localSheetId="2" hidden="1">{#N/A,#N/A,FALSE,"FY97";#N/A,#N/A,FALSE,"FY98";#N/A,#N/A,FALSE,"FY99";#N/A,#N/A,FALSE,"FY00";#N/A,#N/A,FALSE,"FY01"}</definedName>
    <definedName name="wrn.FY97SBP._1_4" hidden="1">{#N/A,#N/A,FALSE,"FY97";#N/A,#N/A,FALSE,"FY98";#N/A,#N/A,FALSE,"FY99";#N/A,#N/A,FALSE,"FY00";#N/A,#N/A,FALSE,"FY01"}</definedName>
    <definedName name="wrn.FY97SBP._2" localSheetId="2" hidden="1">{#N/A,#N/A,FALSE,"FY97";#N/A,#N/A,FALSE,"FY98";#N/A,#N/A,FALSE,"FY99";#N/A,#N/A,FALSE,"FY00";#N/A,#N/A,FALSE,"FY01"}</definedName>
    <definedName name="wrn.FY97SBP._2" hidden="1">{#N/A,#N/A,FALSE,"FY97";#N/A,#N/A,FALSE,"FY98";#N/A,#N/A,FALSE,"FY99";#N/A,#N/A,FALSE,"FY00";#N/A,#N/A,FALSE,"FY01"}</definedName>
    <definedName name="wrn.FY97SBP._2_1" localSheetId="2" hidden="1">{#N/A,#N/A,FALSE,"FY97";#N/A,#N/A,FALSE,"FY98";#N/A,#N/A,FALSE,"FY99";#N/A,#N/A,FALSE,"FY00";#N/A,#N/A,FALSE,"FY01"}</definedName>
    <definedName name="wrn.FY97SBP._2_1" hidden="1">{#N/A,#N/A,FALSE,"FY97";#N/A,#N/A,FALSE,"FY98";#N/A,#N/A,FALSE,"FY99";#N/A,#N/A,FALSE,"FY00";#N/A,#N/A,FALSE,"FY01"}</definedName>
    <definedName name="wrn.FY97SBP._2_2" localSheetId="2" hidden="1">{#N/A,#N/A,FALSE,"FY97";#N/A,#N/A,FALSE,"FY98";#N/A,#N/A,FALSE,"FY99";#N/A,#N/A,FALSE,"FY00";#N/A,#N/A,FALSE,"FY01"}</definedName>
    <definedName name="wrn.FY97SBP._2_2" hidden="1">{#N/A,#N/A,FALSE,"FY97";#N/A,#N/A,FALSE,"FY98";#N/A,#N/A,FALSE,"FY99";#N/A,#N/A,FALSE,"FY00";#N/A,#N/A,FALSE,"FY01"}</definedName>
    <definedName name="wrn.FY97SBP._2_3" localSheetId="2" hidden="1">{#N/A,#N/A,FALSE,"FY97";#N/A,#N/A,FALSE,"FY98";#N/A,#N/A,FALSE,"FY99";#N/A,#N/A,FALSE,"FY00";#N/A,#N/A,FALSE,"FY01"}</definedName>
    <definedName name="wrn.FY97SBP._2_3" hidden="1">{#N/A,#N/A,FALSE,"FY97";#N/A,#N/A,FALSE,"FY98";#N/A,#N/A,FALSE,"FY99";#N/A,#N/A,FALSE,"FY00";#N/A,#N/A,FALSE,"FY01"}</definedName>
    <definedName name="wrn.FY97SBP._2_4" localSheetId="2" hidden="1">{#N/A,#N/A,FALSE,"FY97";#N/A,#N/A,FALSE,"FY98";#N/A,#N/A,FALSE,"FY99";#N/A,#N/A,FALSE,"FY00";#N/A,#N/A,FALSE,"FY01"}</definedName>
    <definedName name="wrn.FY97SBP._2_4" hidden="1">{#N/A,#N/A,FALSE,"FY97";#N/A,#N/A,FALSE,"FY98";#N/A,#N/A,FALSE,"FY99";#N/A,#N/A,FALSE,"FY00";#N/A,#N/A,FALSE,"FY01"}</definedName>
    <definedName name="wrn.FY97SBP._3" localSheetId="2" hidden="1">{#N/A,#N/A,FALSE,"FY97";#N/A,#N/A,FALSE,"FY98";#N/A,#N/A,FALSE,"FY99";#N/A,#N/A,FALSE,"FY00";#N/A,#N/A,FALSE,"FY01"}</definedName>
    <definedName name="wrn.FY97SBP._3" hidden="1">{#N/A,#N/A,FALSE,"FY97";#N/A,#N/A,FALSE,"FY98";#N/A,#N/A,FALSE,"FY99";#N/A,#N/A,FALSE,"FY00";#N/A,#N/A,FALSE,"FY01"}</definedName>
    <definedName name="wrn.FY97SBP._3_1" localSheetId="2" hidden="1">{#N/A,#N/A,FALSE,"FY97";#N/A,#N/A,FALSE,"FY98";#N/A,#N/A,FALSE,"FY99";#N/A,#N/A,FALSE,"FY00";#N/A,#N/A,FALSE,"FY01"}</definedName>
    <definedName name="wrn.FY97SBP._3_1" hidden="1">{#N/A,#N/A,FALSE,"FY97";#N/A,#N/A,FALSE,"FY98";#N/A,#N/A,FALSE,"FY99";#N/A,#N/A,FALSE,"FY00";#N/A,#N/A,FALSE,"FY01"}</definedName>
    <definedName name="wrn.FY97SBP._3_2" localSheetId="2" hidden="1">{#N/A,#N/A,FALSE,"FY97";#N/A,#N/A,FALSE,"FY98";#N/A,#N/A,FALSE,"FY99";#N/A,#N/A,FALSE,"FY00";#N/A,#N/A,FALSE,"FY01"}</definedName>
    <definedName name="wrn.FY97SBP._3_2" hidden="1">{#N/A,#N/A,FALSE,"FY97";#N/A,#N/A,FALSE,"FY98";#N/A,#N/A,FALSE,"FY99";#N/A,#N/A,FALSE,"FY00";#N/A,#N/A,FALSE,"FY01"}</definedName>
    <definedName name="wrn.FY97SBP._3_3" localSheetId="2" hidden="1">{#N/A,#N/A,FALSE,"FY97";#N/A,#N/A,FALSE,"FY98";#N/A,#N/A,FALSE,"FY99";#N/A,#N/A,FALSE,"FY00";#N/A,#N/A,FALSE,"FY01"}</definedName>
    <definedName name="wrn.FY97SBP._3_3" hidden="1">{#N/A,#N/A,FALSE,"FY97";#N/A,#N/A,FALSE,"FY98";#N/A,#N/A,FALSE,"FY99";#N/A,#N/A,FALSE,"FY00";#N/A,#N/A,FALSE,"FY01"}</definedName>
    <definedName name="wrn.FY97SBP._3_4" localSheetId="2" hidden="1">{#N/A,#N/A,FALSE,"FY97";#N/A,#N/A,FALSE,"FY98";#N/A,#N/A,FALSE,"FY99";#N/A,#N/A,FALSE,"FY00";#N/A,#N/A,FALSE,"FY01"}</definedName>
    <definedName name="wrn.FY97SBP._3_4" hidden="1">{#N/A,#N/A,FALSE,"FY97";#N/A,#N/A,FALSE,"FY98";#N/A,#N/A,FALSE,"FY99";#N/A,#N/A,FALSE,"FY00";#N/A,#N/A,FALSE,"FY01"}</definedName>
    <definedName name="wrn.FY97SBP._4" localSheetId="2" hidden="1">{#N/A,#N/A,FALSE,"FY97";#N/A,#N/A,FALSE,"FY98";#N/A,#N/A,FALSE,"FY99";#N/A,#N/A,FALSE,"FY00";#N/A,#N/A,FALSE,"FY01"}</definedName>
    <definedName name="wrn.FY97SBP._4" hidden="1">{#N/A,#N/A,FALSE,"FY97";#N/A,#N/A,FALSE,"FY98";#N/A,#N/A,FALSE,"FY99";#N/A,#N/A,FALSE,"FY00";#N/A,#N/A,FALSE,"FY01"}</definedName>
    <definedName name="wrn.FY97SBP._4_1" localSheetId="2" hidden="1">{#N/A,#N/A,FALSE,"FY97";#N/A,#N/A,FALSE,"FY98";#N/A,#N/A,FALSE,"FY99";#N/A,#N/A,FALSE,"FY00";#N/A,#N/A,FALSE,"FY01"}</definedName>
    <definedName name="wrn.FY97SBP._4_1" hidden="1">{#N/A,#N/A,FALSE,"FY97";#N/A,#N/A,FALSE,"FY98";#N/A,#N/A,FALSE,"FY99";#N/A,#N/A,FALSE,"FY00";#N/A,#N/A,FALSE,"FY01"}</definedName>
    <definedName name="wrn.FY97SBP._4_2" localSheetId="2" hidden="1">{#N/A,#N/A,FALSE,"FY97";#N/A,#N/A,FALSE,"FY98";#N/A,#N/A,FALSE,"FY99";#N/A,#N/A,FALSE,"FY00";#N/A,#N/A,FALSE,"FY01"}</definedName>
    <definedName name="wrn.FY97SBP._4_2" hidden="1">{#N/A,#N/A,FALSE,"FY97";#N/A,#N/A,FALSE,"FY98";#N/A,#N/A,FALSE,"FY99";#N/A,#N/A,FALSE,"FY00";#N/A,#N/A,FALSE,"FY01"}</definedName>
    <definedName name="wrn.FY97SBP._4_3" localSheetId="2" hidden="1">{#N/A,#N/A,FALSE,"FY97";#N/A,#N/A,FALSE,"FY98";#N/A,#N/A,FALSE,"FY99";#N/A,#N/A,FALSE,"FY00";#N/A,#N/A,FALSE,"FY01"}</definedName>
    <definedName name="wrn.FY97SBP._4_3" hidden="1">{#N/A,#N/A,FALSE,"FY97";#N/A,#N/A,FALSE,"FY98";#N/A,#N/A,FALSE,"FY99";#N/A,#N/A,FALSE,"FY00";#N/A,#N/A,FALSE,"FY01"}</definedName>
    <definedName name="wrn.FY97SBP._4_4" localSheetId="2" hidden="1">{#N/A,#N/A,FALSE,"FY97";#N/A,#N/A,FALSE,"FY98";#N/A,#N/A,FALSE,"FY99";#N/A,#N/A,FALSE,"FY00";#N/A,#N/A,FALSE,"FY01"}</definedName>
    <definedName name="wrn.FY97SBP._4_4" hidden="1">{#N/A,#N/A,FALSE,"FY97";#N/A,#N/A,FALSE,"FY98";#N/A,#N/A,FALSE,"FY99";#N/A,#N/A,FALSE,"FY00";#N/A,#N/A,FALSE,"FY01"}</definedName>
    <definedName name="wrn.FY97SBP._5" localSheetId="2" hidden="1">{#N/A,#N/A,FALSE,"FY97";#N/A,#N/A,FALSE,"FY98";#N/A,#N/A,FALSE,"FY99";#N/A,#N/A,FALSE,"FY00";#N/A,#N/A,FALSE,"FY01"}</definedName>
    <definedName name="wrn.FY97SBP._5" hidden="1">{#N/A,#N/A,FALSE,"FY97";#N/A,#N/A,FALSE,"FY98";#N/A,#N/A,FALSE,"FY99";#N/A,#N/A,FALSE,"FY00";#N/A,#N/A,FALSE,"FY01"}</definedName>
    <definedName name="wrn.FY97SBP._5_1" localSheetId="2" hidden="1">{#N/A,#N/A,FALSE,"FY97";#N/A,#N/A,FALSE,"FY98";#N/A,#N/A,FALSE,"FY99";#N/A,#N/A,FALSE,"FY00";#N/A,#N/A,FALSE,"FY01"}</definedName>
    <definedName name="wrn.FY97SBP._5_1" hidden="1">{#N/A,#N/A,FALSE,"FY97";#N/A,#N/A,FALSE,"FY98";#N/A,#N/A,FALSE,"FY99";#N/A,#N/A,FALSE,"FY00";#N/A,#N/A,FALSE,"FY01"}</definedName>
    <definedName name="wrn.FY97SBP._5_2" localSheetId="2" hidden="1">{#N/A,#N/A,FALSE,"FY97";#N/A,#N/A,FALSE,"FY98";#N/A,#N/A,FALSE,"FY99";#N/A,#N/A,FALSE,"FY00";#N/A,#N/A,FALSE,"FY01"}</definedName>
    <definedName name="wrn.FY97SBP._5_2" hidden="1">{#N/A,#N/A,FALSE,"FY97";#N/A,#N/A,FALSE,"FY98";#N/A,#N/A,FALSE,"FY99";#N/A,#N/A,FALSE,"FY00";#N/A,#N/A,FALSE,"FY01"}</definedName>
    <definedName name="wrn.FY97SBP._5_3" localSheetId="2" hidden="1">{#N/A,#N/A,FALSE,"FY97";#N/A,#N/A,FALSE,"FY98";#N/A,#N/A,FALSE,"FY99";#N/A,#N/A,FALSE,"FY00";#N/A,#N/A,FALSE,"FY01"}</definedName>
    <definedName name="wrn.FY97SBP._5_3" hidden="1">{#N/A,#N/A,FALSE,"FY97";#N/A,#N/A,FALSE,"FY98";#N/A,#N/A,FALSE,"FY99";#N/A,#N/A,FALSE,"FY00";#N/A,#N/A,FALSE,"FY01"}</definedName>
    <definedName name="wrn.FY97SBP._5_4" localSheetId="2" hidden="1">{#N/A,#N/A,FALSE,"FY97";#N/A,#N/A,FALSE,"FY98";#N/A,#N/A,FALSE,"FY99";#N/A,#N/A,FALSE,"FY00";#N/A,#N/A,FALSE,"FY01"}</definedName>
    <definedName name="wrn.FY97SBP._5_4" hidden="1">{#N/A,#N/A,FALSE,"FY97";#N/A,#N/A,FALSE,"FY98";#N/A,#N/A,FALSE,"FY99";#N/A,#N/A,FALSE,"FY00";#N/A,#N/A,FALSE,"FY01"}</definedName>
    <definedName name="wrn.Giampiero._.Martignoni."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les._.Potter." hidden="1">{#N/A,#N/A,FALSE,"Giles Potter";#N/A,#N/A,FALSE,"P&amp;L - Heathrow";#N/A,#N/A,FALSE,"P&amp;L - Tottenham Court Road";#N/A,#N/A,FALSE,"P&amp;L - Brewer Street";#N/A,#N/A,FALSE,"P&amp;L - Strand";#N/A,#N/A,FALSE,"P&amp;L - Lancaster Place";#N/A,#N/A,FALSE,"P&amp;L - Soho"}</definedName>
    <definedName name="wrn.GRAPHS." hidden="1">{#N/A,#N/A,FALSE,"ACQ_GRAPHS";#N/A,#N/A,FALSE,"T_1 GRAPHS";#N/A,#N/A,FALSE,"T_2 GRAPHS";#N/A,#N/A,FALSE,"COMB_GRAPHS"}</definedName>
    <definedName name="wrn.Historical._.Cost._.PWC." hidden="1">{#N/A,#N/A,TRUE,"Cover His PWC";#N/A,#N/A,TRUE,"P&amp;L";#N/A,#N/A,TRUE,"BS";#N/A,#N/A,TRUE,"Depreciation";#N/A,#N/A,TRUE,"GRAPHS";#N/A,#N/A,TRUE,"DCF EBITDA Multiple";#N/A,#N/A,TRUE,"DCF Perpetual Growth"}</definedName>
    <definedName name="wrn.Historical._.Cost._.PWC.1" hidden="1">{#N/A,#N/A,TRUE,"Cover His PWC";#N/A,#N/A,TRUE,"P&amp;L";#N/A,#N/A,TRUE,"BS";#N/A,#N/A,TRUE,"Depreciation";#N/A,#N/A,TRUE,"GRAPHS";#N/A,#N/A,TRUE,"DCF EBITDA Multiple";#N/A,#N/A,TRUE,"DCF Perpetual Growth"}</definedName>
    <definedName name="wrn.Historical._.Cost._.TenneT." hidden="1">{#N/A,#N/A,TRUE,"Cover His T";#N/A,#N/A,TRUE,"P&amp;L";#N/A,#N/A,TRUE,"BS";#N/A,#N/A,TRUE,"Depreciation";#N/A,#N/A,TRUE,"GRAPHS";#N/A,#N/A,TRUE,"DCF EBITDA Multiple";#N/A,#N/A,TRUE,"DCF Perpetual Growth"}</definedName>
    <definedName name="wrn.Historical._.Cost._.TenneT.1" hidden="1">{#N/A,#N/A,TRUE,"Cover His T";#N/A,#N/A,TRUE,"P&amp;L";#N/A,#N/A,TRUE,"BS";#N/A,#N/A,TRUE,"Depreciation";#N/A,#N/A,TRUE,"GRAPHS";#N/A,#N/A,TRUE,"DCF EBITDA Multiple";#N/A,#N/A,TRUE,"DCF Perpetual Growth"}</definedName>
    <definedName name="wrn.HK._.Telecom." hidden="1">{"Income statement",#N/A,TRUE,"P&amp;L";"Cash flow and Bal sheet",#N/A,TRUE,"P&amp;L";"intl",#N/A,TRUE,"Int'l";"Local and other telecom",#N/A,TRUE,"P&amp;L";"FAs cash and staff",#N/A,TRUE,"P&amp;L";"Loss of revenue",#N/A,TRUE,"Int'l"}</definedName>
    <definedName name="wrn.Hutchison._.Max." hidden="1">{#N/A,#N/A,FALSE,"Cellular"}</definedName>
    <definedName name="wrn.HWITEM." localSheetId="2" hidden="1">{#N/A,#N/A,FALSE,"삼진정공";#N/A,#N/A,FALSE,"영신금속";#N/A,#N/A,FALSE,"태양금속";#N/A,#N/A,FALSE,"진합정공";#N/A,#N/A,FALSE,"코리아";#N/A,#N/A,FALSE,"풍강금속";#N/A,#N/A,FALSE,"선일기계"}</definedName>
    <definedName name="wrn.HWITEM." hidden="1">{#N/A,#N/A,FALSE,"삼진정공";#N/A,#N/A,FALSE,"영신금속";#N/A,#N/A,FALSE,"태양금속";#N/A,#N/A,FALSE,"진합정공";#N/A,#N/A,FALSE,"코리아";#N/A,#N/A,FALSE,"풍강금속";#N/A,#N/A,FALSE,"선일기계"}</definedName>
    <definedName name="wrn.Hyg._.Acq." hidden="1">{#N/A,#N/A,FALSE,"main";#N/A,#N/A,FALSE,"100% Cash";#N/A,#N/A,FALSE,"100% Stock"}</definedName>
    <definedName name="wrn.I1III11."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FF94TAX." localSheetId="2"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GT._.Model." hidden="1">{#N/A,#N/A,TRUE,"IGT";#N/A,#N/A,TRUE,"IGTSLOT"}</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rim." localSheetId="2" hidden="1">{#N/A,#N/A,TRUE,"COFTOT"}</definedName>
    <definedName name="wrn.imprim." hidden="1">{#N/A,#N/A,TRUE,"COFTOT"}</definedName>
    <definedName name="wrn.Income._.Statement." hidden="1">{#N/A,#N/A,FALSE,"Report Print"}</definedName>
    <definedName name="wrn.Income._.Stmt." hidden="1">{"Income Stmt",#N/A,FALSE,"Model"}</definedName>
    <definedName name="wrn.Industry.xls." hidden="1">{#N/A,#N/A,FALSE,"Earnings";#N/A,#N/A,FALSE,"Overview";#N/A,#N/A,FALSE,"Summary";#N/A,#N/A,FALSE,"Summary II";#N/A,#N/A,FALSE,"R&amp;D";#N/A,#N/A,FALSE,"R&amp;D Forecast";#N/A,#N/A,FALSE,"Tax Adj";#N/A,#N/A,FALSE,"Goodwill";#N/A,#N/A,FALSE,"FX ";#N/A,#N/A,FALSE,"Consolidation";#N/A,#N/A,FALSE,"Provisions"}</definedName>
    <definedName name="wrn.Input._.worksheets."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ternal._.is." hidden="1">{"Internal is",#N/A,FALSE,"Model"}</definedName>
    <definedName name="wrn.Introduction."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ohn._.Taffe." hidden="1">{#N/A,#N/A,FALSE,"John Taffe";#N/A,#N/A,FALSE,"P&amp;L - Ashford";#N/A,#N/A,FALSE,"P&amp;L - Bristol";#N/A,#N/A,FALSE,"P&amp;L - Clapham Junction";#N/A,#N/A,FALSE,"P&amp;L - Clapham High Street"}</definedName>
    <definedName name="wrn.JV." hidden="1">{#N/A,#N/A,FALSE,"JV"}</definedName>
    <definedName name="wrn.Key_Financial_Graphs." localSheetId="2"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localSheetId="2"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Lead._.Schedule."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d._.Schedule._1"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_1" hidden="1">{#N/A,#N/A,FALSE,"BS";#N/A,#N/A,FALSE,"PL";#N/A,#N/A,FALSE,"A";#N/A,#N/A,FALSE,"B";#N/A,#N/A,FALSE,"B1";#N/A,#N/A,FALSE,"C";#N/A,#N/A,FALSE,"C1";#N/A,#N/A,FALSE,"C2";#N/A,#N/A,FALSE,"D";#N/A,#N/A,FALSE,"E";#N/A,#N/A,FALSE,"F";#N/A,#N/A,FALSE,"AA";#N/A,#N/A,FALSE,"BB";#N/A,#N/A,FALSE,"CC";#N/A,#N/A,FALSE,"DD";#N/A,#N/A,FALSE,"EE";#N/A,#N/A,FALSE,"FF";#N/A,#N/A,FALSE,"PL10";#N/A,#N/A,FALSE,"PL20";#N/A,#N/A,FALSE,"PL30"}</definedName>
    <definedName name="wrn.Leases.xls." hidden="1">{#N/A,#N/A,FALSE,"Initial Year";#N/A,#N/A,FALSE,"Historical";#N/A,#N/A,FALSE,"balsheet";#N/A,#N/A,FALSE,"incstate";#N/A,#N/A,FALSE,"Fleet"}</definedName>
    <definedName name="wrn.Liesel._.Panchaud." hidden="1">{#N/A,#N/A,FALSE,"Liesel Panchaud";#N/A,#N/A,FALSE,"P&amp;L - Winchester House";#N/A,#N/A,FALSE,"P&amp;L - Wormwood";#N/A,#N/A,FALSE,"P&amp;L - Leadenhall";#N/A,#N/A,FALSE,"P&amp;L - Cranbourn Street";#N/A,#N/A,FALSE,"P&amp;L - Edgeware Road";#N/A,#N/A,FALSE,"P&amp;L - Piccadilly"}</definedName>
    <definedName name="wrn.Lodging." hidden="1">{#N/A,#N/A,FALSE,"EPS";#N/A,#N/A,FALSE,"EBITDA"}</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y._.2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irBellagio." hidden="1">{#N/A,#N/A,FALSE,"MIR";#N/A,#N/A,FALSE,"NYNY"}</definedName>
    <definedName name="wrn.model." hidden="1">{"basic",#N/A,FALSE,"BASIC"}</definedName>
    <definedName name="wrn.MODELS."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nthly." hidden="1">{"Month End Performance",#N/A,FALSE,"Report";"Site Talk Times",#N/A,FALSE,"Report"}</definedName>
    <definedName name="wrn.Monthly._.Financials." hidden="1">{#N/A,#N/A,FALSE,"mfg - consol";#N/A,#N/A,FALSE,"mfg - flo";#N/A,#N/A,FALSE,"mfg - lindsay"}</definedName>
    <definedName name="wrn.Months._.1999." hidden="1">{"Monthly 1999 Stats",#N/A,FALSE,"Months";"Monthly 1999 IS",#N/A,FALSE,"Months"}</definedName>
    <definedName name="wrn.Months._.2000." hidden="1">{"Monthly 2000 Stats",#N/A,FALSE,"Months";"Monthly 2000 IS",#N/A,FALSE,"Months"}</definedName>
    <definedName name="wrn.Months._.2001." hidden="1">{"Monthly 2001 Stats",#N/A,FALSE,"Months";"Monthly 2001 IS",#N/A,FALSE,"Months"}</definedName>
    <definedName name="wrn.Months._.2002." hidden="1">{"Monthly 2002 Stats",#N/A,FALSE,"Months";"Monthly 2002 IS",#N/A,FALSE,"Months"}</definedName>
    <definedName name="wrn.Months._.2003." hidden="1">{"Monthly 2003 Stats",#N/A,FALSE,"Months";"Monthly 2003 IS",#N/A,FALSE,"Months"}</definedName>
    <definedName name="wrn.New._.business."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OVARTIS._.MODELS." hidden="1">{"QTRINC",#N/A,FALSE,"US FORMAT - P&amp;L";"MARGIN",#N/A,FALSE,"US FORMAT-MARGIN";"SALES1",#N/A,FALSE,"US FORMAT - SALES";"SALES2",#N/A,FALSE,"US FORMAT - SALES";"SALES3",#N/A,FALSE,"US FORMAT - SALES";"SALES4",#N/A,FALSE,"US FORMAT - SALES";"SALES5",#N/A,FALSE,"US FORMAT - SALES"}</definedName>
    <definedName name="wrn.Ops._.Units._.Profit._.and._.Loss."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PAIM._.TAX._.PRO." localSheetId="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CB원가계산." localSheetId="2" hidden="1">{#N/A,#N/A,FALSE,"P.C.B"}</definedName>
    <definedName name="wrn.PCB원가계산." hidden="1">{#N/A,#N/A,FALSE,"P.C.B"}</definedName>
    <definedName name="wrn.pc보유현황." localSheetId="2" hidden="1">{#N/A,#N/A,FALSE,"초중조사서식 "}</definedName>
    <definedName name="wrn.pc보유현황." hidden="1">{#N/A,#N/A,FALSE,"초중조사서식 "}</definedName>
    <definedName name="wrn.PERSONNEL." localSheetId="2" hidden="1">{"FORM16",#N/A,TRUE,"Personnel1";"FORM16.2",#N/A,TRUE,"Personnel2";"FORM16.2",#N/A,TRUE,"Personnel3";"FORM16.3",#N/A,TRUE,"Personnel4";"FORM16.4",#N/A,TRUE,"Personnel5"}</definedName>
    <definedName name="wrn.PERSONNEL." hidden="1">{"FORM16",#N/A,TRUE,"Personnel1";"FORM16.2",#N/A,TRUE,"Personnel2";"FORM16.2",#N/A,TRUE,"Personnel3";"FORM16.3",#N/A,TRUE,"Personnel4";"FORM16.4",#N/A,TRUE,"Personnel5"}</definedName>
    <definedName name="wrn.pl." localSheetId="2" hidden="1">{#N/A,#N/A,FALSE,"9612";#N/A,#N/A,FALSE,"9612"}</definedName>
    <definedName name="wrn.pl." hidden="1">{#N/A,#N/A,FALSE,"9612";#N/A,#N/A,FALSE,"9612"}</definedName>
    <definedName name="wrn.Planilhas." hidden="1">{"Presentation","Presentation",FALSE,"3 COT"}</definedName>
    <definedName name="wrn.Portrait._.IS." hidden="1">{"Portrait letter is",#N/A,FALSE,"Model"}</definedName>
    <definedName name="wrn.Portrait._.letter._.is." hidden="1">{"Portrait letter is",#N/A,FALSE,"Model"}</definedName>
    <definedName name="wrn.pres." hidden="1">{#N/A,#N/A,FALSE,"Major v. River";#N/A,#N/A,FALSE,"Industry";#N/A,#N/A,FALSE,"Large Operators";#N/A,#N/A,FALSE,"Smaller Operators";#N/A,#N/A,FALSE,"Equip. Supply";#N/A,#N/A,FALSE,"EBITDA";#N/A,#N/A,FALSE,"States";#N/A,#N/A,FALSE,"LV Detail"}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mary._.Reports." hidden="1">{#N/A,#N/A,FALSE,"Plan Summary";#N/A,#N/A,FALSE,"Monthly Goals";#N/A,#N/A,FALSE,"Profit Detail";#N/A,#N/A,FALSE,"Output Comparison";#N/A,#N/A,FALSE,"Production Goals"}</definedName>
    <definedName name="wrn.Print." hidden="1">{"vi1",#N/A,FALSE,"Financial Statements";"vi2",#N/A,FALSE,"Financial Statements";#N/A,#N/A,FALSE,"DCF"}</definedName>
    <definedName name="wrn.Print._.4." hidden="1">{"Outflow 1",#N/A,FALSE,"Outflows-Inflows";"Outflow 2",#N/A,FALSE,"Outflows-Inflows";"Inflow 1",#N/A,FALSE,"Outflows-Inflows";"Inflow 2",#N/A,FALSE,"Outflows-Inflows"}</definedName>
    <definedName name="wrn.Print._.6." hidden="1">{"print 1.6",#N/A,FALSE,"Sheet1";"print 2.6",#N/A,FALSE,"Sheet1";"print 3.6",#N/A,FALSE,"Sheet1";"print 4.6",#N/A,FALSE,"Sheet1";"print 5.6",#N/A,FALSE,"Sheet1";"print 6.6",#N/A,FALSE,"Sheet1"}</definedName>
    <definedName name="wrn.PRINT._.ALL." localSheetId="2" hidden="1">{#N/A,#N/A,FALSE,"Pharm";#N/A,#N/A,FALSE,"WWCM"}</definedName>
    <definedName name="wrn.PRINT._.ALL." hidden="1">{#N/A,#N/A,FALSE,"Pharm";#N/A,#N/A,FALSE,"WWCM"}</definedName>
    <definedName name="wrn.PRINT._.ALL._1" localSheetId="2" hidden="1">{#N/A,#N/A,FALSE,"Pharm";#N/A,#N/A,FALSE,"WWCM"}</definedName>
    <definedName name="wrn.PRINT._.ALL._1" hidden="1">{#N/A,#N/A,FALSE,"Pharm";#N/A,#N/A,FALSE,"WWCM"}</definedName>
    <definedName name="wrn.print._.area._.1."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graphs." localSheetId="2"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graphs._1" localSheetId="2"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graphs._1_1" localSheetId="2" hidden="1">{"cap_structure",#N/A,FALSE,"Graph-Mkt Cap";"price",#N/A,FALSE,"Graph-Price";"ebit",#N/A,FALSE,"Graph-EBITDA";"ebitda",#N/A,FALSE,"Graph-EBITDA"}</definedName>
    <definedName name="wrn.print._.graphs._1_1" hidden="1">{"cap_structure",#N/A,FALSE,"Graph-Mkt Cap";"price",#N/A,FALSE,"Graph-Price";"ebit",#N/A,FALSE,"Graph-EBITDA";"ebitda",#N/A,FALSE,"Graph-EBITDA"}</definedName>
    <definedName name="wrn.print._.graphs._1_2" localSheetId="2" hidden="1">{"cap_structure",#N/A,FALSE,"Graph-Mkt Cap";"price",#N/A,FALSE,"Graph-Price";"ebit",#N/A,FALSE,"Graph-EBITDA";"ebitda",#N/A,FALSE,"Graph-EBITDA"}</definedName>
    <definedName name="wrn.print._.graphs._1_2" hidden="1">{"cap_structure",#N/A,FALSE,"Graph-Mkt Cap";"price",#N/A,FALSE,"Graph-Price";"ebit",#N/A,FALSE,"Graph-EBITDA";"ebitda",#N/A,FALSE,"Graph-EBITDA"}</definedName>
    <definedName name="wrn.print._.graphs._1_3" localSheetId="2" hidden="1">{"cap_structure",#N/A,FALSE,"Graph-Mkt Cap";"price",#N/A,FALSE,"Graph-Price";"ebit",#N/A,FALSE,"Graph-EBITDA";"ebitda",#N/A,FALSE,"Graph-EBITDA"}</definedName>
    <definedName name="wrn.print._.graphs._1_3" hidden="1">{"cap_structure",#N/A,FALSE,"Graph-Mkt Cap";"price",#N/A,FALSE,"Graph-Price";"ebit",#N/A,FALSE,"Graph-EBITDA";"ebitda",#N/A,FALSE,"Graph-EBITDA"}</definedName>
    <definedName name="wrn.print._.graphs._1_4" localSheetId="2" hidden="1">{"cap_structure",#N/A,FALSE,"Graph-Mkt Cap";"price",#N/A,FALSE,"Graph-Price";"ebit",#N/A,FALSE,"Graph-EBITDA";"ebitda",#N/A,FALSE,"Graph-EBITDA"}</definedName>
    <definedName name="wrn.print._.graphs._1_4" hidden="1">{"cap_structure",#N/A,FALSE,"Graph-Mkt Cap";"price",#N/A,FALSE,"Graph-Price";"ebit",#N/A,FALSE,"Graph-EBITDA";"ebitda",#N/A,FALSE,"Graph-EBITDA"}</definedName>
    <definedName name="wrn.print._.graphs._2" localSheetId="2" hidden="1">{"cap_structure",#N/A,FALSE,"Graph-Mkt Cap";"price",#N/A,FALSE,"Graph-Price";"ebit",#N/A,FALSE,"Graph-EBITDA";"ebitda",#N/A,FALSE,"Graph-EBITDA"}</definedName>
    <definedName name="wrn.print._.graphs._2" hidden="1">{"cap_structure",#N/A,FALSE,"Graph-Mkt Cap";"price",#N/A,FALSE,"Graph-Price";"ebit",#N/A,FALSE,"Graph-EBITDA";"ebitda",#N/A,FALSE,"Graph-EBITDA"}</definedName>
    <definedName name="wrn.print._.graphs._2_1" localSheetId="2" hidden="1">{"cap_structure",#N/A,FALSE,"Graph-Mkt Cap";"price",#N/A,FALSE,"Graph-Price";"ebit",#N/A,FALSE,"Graph-EBITDA";"ebitda",#N/A,FALSE,"Graph-EBITDA"}</definedName>
    <definedName name="wrn.print._.graphs._2_1" hidden="1">{"cap_structure",#N/A,FALSE,"Graph-Mkt Cap";"price",#N/A,FALSE,"Graph-Price";"ebit",#N/A,FALSE,"Graph-EBITDA";"ebitda",#N/A,FALSE,"Graph-EBITDA"}</definedName>
    <definedName name="wrn.print._.graphs._2_2" localSheetId="2" hidden="1">{"cap_structure",#N/A,FALSE,"Graph-Mkt Cap";"price",#N/A,FALSE,"Graph-Price";"ebit",#N/A,FALSE,"Graph-EBITDA";"ebitda",#N/A,FALSE,"Graph-EBITDA"}</definedName>
    <definedName name="wrn.print._.graphs._2_2" hidden="1">{"cap_structure",#N/A,FALSE,"Graph-Mkt Cap";"price",#N/A,FALSE,"Graph-Price";"ebit",#N/A,FALSE,"Graph-EBITDA";"ebitda",#N/A,FALSE,"Graph-EBITDA"}</definedName>
    <definedName name="wrn.print._.graphs._2_3" localSheetId="2" hidden="1">{"cap_structure",#N/A,FALSE,"Graph-Mkt Cap";"price",#N/A,FALSE,"Graph-Price";"ebit",#N/A,FALSE,"Graph-EBITDA";"ebitda",#N/A,FALSE,"Graph-EBITDA"}</definedName>
    <definedName name="wrn.print._.graphs._2_3" hidden="1">{"cap_structure",#N/A,FALSE,"Graph-Mkt Cap";"price",#N/A,FALSE,"Graph-Price";"ebit",#N/A,FALSE,"Graph-EBITDA";"ebitda",#N/A,FALSE,"Graph-EBITDA"}</definedName>
    <definedName name="wrn.print._.graphs._2_4" localSheetId="2" hidden="1">{"cap_structure",#N/A,FALSE,"Graph-Mkt Cap";"price",#N/A,FALSE,"Graph-Price";"ebit",#N/A,FALSE,"Graph-EBITDA";"ebitda",#N/A,FALSE,"Graph-EBITDA"}</definedName>
    <definedName name="wrn.print._.graphs._2_4" hidden="1">{"cap_structure",#N/A,FALSE,"Graph-Mkt Cap";"price",#N/A,FALSE,"Graph-Price";"ebit",#N/A,FALSE,"Graph-EBITDA";"ebitda",#N/A,FALSE,"Graph-EBITDA"}</definedName>
    <definedName name="wrn.print._.graphs._3" localSheetId="2" hidden="1">{"cap_structure",#N/A,FALSE,"Graph-Mkt Cap";"price",#N/A,FALSE,"Graph-Price";"ebit",#N/A,FALSE,"Graph-EBITDA";"ebitda",#N/A,FALSE,"Graph-EBITDA"}</definedName>
    <definedName name="wrn.print._.graphs._3" hidden="1">{"cap_structure",#N/A,FALSE,"Graph-Mkt Cap";"price",#N/A,FALSE,"Graph-Price";"ebit",#N/A,FALSE,"Graph-EBITDA";"ebitda",#N/A,FALSE,"Graph-EBITDA"}</definedName>
    <definedName name="wrn.print._.graphs._3_1" localSheetId="2" hidden="1">{"cap_structure",#N/A,FALSE,"Graph-Mkt Cap";"price",#N/A,FALSE,"Graph-Price";"ebit",#N/A,FALSE,"Graph-EBITDA";"ebitda",#N/A,FALSE,"Graph-EBITDA"}</definedName>
    <definedName name="wrn.print._.graphs._3_1" hidden="1">{"cap_structure",#N/A,FALSE,"Graph-Mkt Cap";"price",#N/A,FALSE,"Graph-Price";"ebit",#N/A,FALSE,"Graph-EBITDA";"ebitda",#N/A,FALSE,"Graph-EBITDA"}</definedName>
    <definedName name="wrn.print._.graphs._3_2" localSheetId="2" hidden="1">{"cap_structure",#N/A,FALSE,"Graph-Mkt Cap";"price",#N/A,FALSE,"Graph-Price";"ebit",#N/A,FALSE,"Graph-EBITDA";"ebitda",#N/A,FALSE,"Graph-EBITDA"}</definedName>
    <definedName name="wrn.print._.graphs._3_2" hidden="1">{"cap_structure",#N/A,FALSE,"Graph-Mkt Cap";"price",#N/A,FALSE,"Graph-Price";"ebit",#N/A,FALSE,"Graph-EBITDA";"ebitda",#N/A,FALSE,"Graph-EBITDA"}</definedName>
    <definedName name="wrn.print._.graphs._3_3" localSheetId="2" hidden="1">{"cap_structure",#N/A,FALSE,"Graph-Mkt Cap";"price",#N/A,FALSE,"Graph-Price";"ebit",#N/A,FALSE,"Graph-EBITDA";"ebitda",#N/A,FALSE,"Graph-EBITDA"}</definedName>
    <definedName name="wrn.print._.graphs._3_3" hidden="1">{"cap_structure",#N/A,FALSE,"Graph-Mkt Cap";"price",#N/A,FALSE,"Graph-Price";"ebit",#N/A,FALSE,"Graph-EBITDA";"ebitda",#N/A,FALSE,"Graph-EBITDA"}</definedName>
    <definedName name="wrn.print._.graphs._3_4" localSheetId="2" hidden="1">{"cap_structure",#N/A,FALSE,"Graph-Mkt Cap";"price",#N/A,FALSE,"Graph-Price";"ebit",#N/A,FALSE,"Graph-EBITDA";"ebitda",#N/A,FALSE,"Graph-EBITDA"}</definedName>
    <definedName name="wrn.print._.graphs._3_4" hidden="1">{"cap_structure",#N/A,FALSE,"Graph-Mkt Cap";"price",#N/A,FALSE,"Graph-Price";"ebit",#N/A,FALSE,"Graph-EBITDA";"ebitda",#N/A,FALSE,"Graph-EBITDA"}</definedName>
    <definedName name="wrn.print._.graphs._4" localSheetId="2" hidden="1">{"cap_structure",#N/A,FALSE,"Graph-Mkt Cap";"price",#N/A,FALSE,"Graph-Price";"ebit",#N/A,FALSE,"Graph-EBITDA";"ebitda",#N/A,FALSE,"Graph-EBITDA"}</definedName>
    <definedName name="wrn.print._.graphs._4" hidden="1">{"cap_structure",#N/A,FALSE,"Graph-Mkt Cap";"price",#N/A,FALSE,"Graph-Price";"ebit",#N/A,FALSE,"Graph-EBITDA";"ebitda",#N/A,FALSE,"Graph-EBITDA"}</definedName>
    <definedName name="wrn.print._.graphs._4_1" localSheetId="2" hidden="1">{"cap_structure",#N/A,FALSE,"Graph-Mkt Cap";"price",#N/A,FALSE,"Graph-Price";"ebit",#N/A,FALSE,"Graph-EBITDA";"ebitda",#N/A,FALSE,"Graph-EBITDA"}</definedName>
    <definedName name="wrn.print._.graphs._4_1" hidden="1">{"cap_structure",#N/A,FALSE,"Graph-Mkt Cap";"price",#N/A,FALSE,"Graph-Price";"ebit",#N/A,FALSE,"Graph-EBITDA";"ebitda",#N/A,FALSE,"Graph-EBITDA"}</definedName>
    <definedName name="wrn.print._.graphs._4_2" localSheetId="2" hidden="1">{"cap_structure",#N/A,FALSE,"Graph-Mkt Cap";"price",#N/A,FALSE,"Graph-Price";"ebit",#N/A,FALSE,"Graph-EBITDA";"ebitda",#N/A,FALSE,"Graph-EBITDA"}</definedName>
    <definedName name="wrn.print._.graphs._4_2" hidden="1">{"cap_structure",#N/A,FALSE,"Graph-Mkt Cap";"price",#N/A,FALSE,"Graph-Price";"ebit",#N/A,FALSE,"Graph-EBITDA";"ebitda",#N/A,FALSE,"Graph-EBITDA"}</definedName>
    <definedName name="wrn.print._.graphs._4_3" localSheetId="2" hidden="1">{"cap_structure",#N/A,FALSE,"Graph-Mkt Cap";"price",#N/A,FALSE,"Graph-Price";"ebit",#N/A,FALSE,"Graph-EBITDA";"ebitda",#N/A,FALSE,"Graph-EBITDA"}</definedName>
    <definedName name="wrn.print._.graphs._4_3" hidden="1">{"cap_structure",#N/A,FALSE,"Graph-Mkt Cap";"price",#N/A,FALSE,"Graph-Price";"ebit",#N/A,FALSE,"Graph-EBITDA";"ebitda",#N/A,FALSE,"Graph-EBITDA"}</definedName>
    <definedName name="wrn.print._.graphs._4_4" localSheetId="2" hidden="1">{"cap_structure",#N/A,FALSE,"Graph-Mkt Cap";"price",#N/A,FALSE,"Graph-Price";"ebit",#N/A,FALSE,"Graph-EBITDA";"ebitda",#N/A,FALSE,"Graph-EBITDA"}</definedName>
    <definedName name="wrn.print._.graphs._4_4" hidden="1">{"cap_structure",#N/A,FALSE,"Graph-Mkt Cap";"price",#N/A,FALSE,"Graph-Price";"ebit",#N/A,FALSE,"Graph-EBITDA";"ebitda",#N/A,FALSE,"Graph-EBITDA"}</definedName>
    <definedName name="wrn.print._.graphs._5" localSheetId="2" hidden="1">{"cap_structure",#N/A,FALSE,"Graph-Mkt Cap";"price",#N/A,FALSE,"Graph-Price";"ebit",#N/A,FALSE,"Graph-EBITDA";"ebitda",#N/A,FALSE,"Graph-EBITDA"}</definedName>
    <definedName name="wrn.print._.graphs._5" hidden="1">{"cap_structure",#N/A,FALSE,"Graph-Mkt Cap";"price",#N/A,FALSE,"Graph-Price";"ebit",#N/A,FALSE,"Graph-EBITDA";"ebitda",#N/A,FALSE,"Graph-EBITDA"}</definedName>
    <definedName name="wrn.print._.graphs._5_1" localSheetId="2" hidden="1">{"cap_structure",#N/A,FALSE,"Graph-Mkt Cap";"price",#N/A,FALSE,"Graph-Price";"ebit",#N/A,FALSE,"Graph-EBITDA";"ebitda",#N/A,FALSE,"Graph-EBITDA"}</definedName>
    <definedName name="wrn.print._.graphs._5_1" hidden="1">{"cap_structure",#N/A,FALSE,"Graph-Mkt Cap";"price",#N/A,FALSE,"Graph-Price";"ebit",#N/A,FALSE,"Graph-EBITDA";"ebitda",#N/A,FALSE,"Graph-EBITDA"}</definedName>
    <definedName name="wrn.print._.graphs._5_2" localSheetId="2" hidden="1">{"cap_structure",#N/A,FALSE,"Graph-Mkt Cap";"price",#N/A,FALSE,"Graph-Price";"ebit",#N/A,FALSE,"Graph-EBITDA";"ebitda",#N/A,FALSE,"Graph-EBITDA"}</definedName>
    <definedName name="wrn.print._.graphs._5_2" hidden="1">{"cap_structure",#N/A,FALSE,"Graph-Mkt Cap";"price",#N/A,FALSE,"Graph-Price";"ebit",#N/A,FALSE,"Graph-EBITDA";"ebitda",#N/A,FALSE,"Graph-EBITDA"}</definedName>
    <definedName name="wrn.print._.graphs._5_3" localSheetId="2" hidden="1">{"cap_structure",#N/A,FALSE,"Graph-Mkt Cap";"price",#N/A,FALSE,"Graph-Price";"ebit",#N/A,FALSE,"Graph-EBITDA";"ebitda",#N/A,FALSE,"Graph-EBITDA"}</definedName>
    <definedName name="wrn.print._.graphs._5_3" hidden="1">{"cap_structure",#N/A,FALSE,"Graph-Mkt Cap";"price",#N/A,FALSE,"Graph-Price";"ebit",#N/A,FALSE,"Graph-EBITDA";"ebitda",#N/A,FALSE,"Graph-EBITDA"}</definedName>
    <definedName name="wrn.print._.graphs._5_4" localSheetId="2" hidden="1">{"cap_structure",#N/A,FALSE,"Graph-Mkt Cap";"price",#N/A,FALSE,"Graph-Price";"ebit",#N/A,FALSE,"Graph-EBITDA";"ebitda",#N/A,FALSE,"Graph-EBITDA"}</definedName>
    <definedName name="wrn.print._.graphs._5_4" hidden="1">{"cap_structure",#N/A,FALSE,"Graph-Mkt Cap";"price",#N/A,FALSE,"Graph-Price";"ebit",#N/A,FALSE,"Graph-EBITDA";"ebitda",#N/A,FALSE,"Graph-EBITDA"}</definedName>
    <definedName name="wrn.print._.raw._.data._.entry." localSheetId="2" hidden="1">{"inputs raw data",#N/A,TRUE,"INPUT"}</definedName>
    <definedName name="wrn.print._.raw._.data._.entry." hidden="1">{"inputs raw data",#N/A,TRUE,"INPUT"}</definedName>
    <definedName name="wrn.print._.raw._.data._.entry._1" localSheetId="2" hidden="1">{"inputs raw data",#N/A,TRUE,"INPUT"}</definedName>
    <definedName name="wrn.print._.raw._.data._.entry._1" hidden="1">{"inputs raw data",#N/A,TRUE,"INPUT"}</definedName>
    <definedName name="wrn.print._.raw._.data._.entry._1_1" localSheetId="2" hidden="1">{"inputs raw data",#N/A,TRUE,"INPUT"}</definedName>
    <definedName name="wrn.print._.raw._.data._.entry._1_1" hidden="1">{"inputs raw data",#N/A,TRUE,"INPUT"}</definedName>
    <definedName name="wrn.print._.raw._.data._.entry._1_2" localSheetId="2" hidden="1">{"inputs raw data",#N/A,TRUE,"INPUT"}</definedName>
    <definedName name="wrn.print._.raw._.data._.entry._1_2" hidden="1">{"inputs raw data",#N/A,TRUE,"INPUT"}</definedName>
    <definedName name="wrn.print._.raw._.data._.entry._1_3" localSheetId="2" hidden="1">{"inputs raw data",#N/A,TRUE,"INPUT"}</definedName>
    <definedName name="wrn.print._.raw._.data._.entry._1_3" hidden="1">{"inputs raw data",#N/A,TRUE,"INPUT"}</definedName>
    <definedName name="wrn.print._.raw._.data._.entry._1_4" localSheetId="2" hidden="1">{"inputs raw data",#N/A,TRUE,"INPUT"}</definedName>
    <definedName name="wrn.print._.raw._.data._.entry._1_4" hidden="1">{"inputs raw data",#N/A,TRUE,"INPUT"}</definedName>
    <definedName name="wrn.print._.raw._.data._.entry._2" localSheetId="2" hidden="1">{"inputs raw data",#N/A,TRUE,"INPUT"}</definedName>
    <definedName name="wrn.print._.raw._.data._.entry._2" hidden="1">{"inputs raw data",#N/A,TRUE,"INPUT"}</definedName>
    <definedName name="wrn.print._.raw._.data._.entry._2_1" localSheetId="2" hidden="1">{"inputs raw data",#N/A,TRUE,"INPUT"}</definedName>
    <definedName name="wrn.print._.raw._.data._.entry._2_1" hidden="1">{"inputs raw data",#N/A,TRUE,"INPUT"}</definedName>
    <definedName name="wrn.print._.raw._.data._.entry._2_2" localSheetId="2" hidden="1">{"inputs raw data",#N/A,TRUE,"INPUT"}</definedName>
    <definedName name="wrn.print._.raw._.data._.entry._2_2" hidden="1">{"inputs raw data",#N/A,TRUE,"INPUT"}</definedName>
    <definedName name="wrn.print._.raw._.data._.entry._2_3" localSheetId="2" hidden="1">{"inputs raw data",#N/A,TRUE,"INPUT"}</definedName>
    <definedName name="wrn.print._.raw._.data._.entry._2_3" hidden="1">{"inputs raw data",#N/A,TRUE,"INPUT"}</definedName>
    <definedName name="wrn.print._.raw._.data._.entry._2_4" localSheetId="2" hidden="1">{"inputs raw data",#N/A,TRUE,"INPUT"}</definedName>
    <definedName name="wrn.print._.raw._.data._.entry._2_4" hidden="1">{"inputs raw data",#N/A,TRUE,"INPUT"}</definedName>
    <definedName name="wrn.print._.raw._.data._.entry._3" localSheetId="2" hidden="1">{"inputs raw data",#N/A,TRUE,"INPUT"}</definedName>
    <definedName name="wrn.print._.raw._.data._.entry._3" hidden="1">{"inputs raw data",#N/A,TRUE,"INPUT"}</definedName>
    <definedName name="wrn.print._.raw._.data._.entry._3_1" localSheetId="2" hidden="1">{"inputs raw data",#N/A,TRUE,"INPUT"}</definedName>
    <definedName name="wrn.print._.raw._.data._.entry._3_1" hidden="1">{"inputs raw data",#N/A,TRUE,"INPUT"}</definedName>
    <definedName name="wrn.print._.raw._.data._.entry._3_2" localSheetId="2" hidden="1">{"inputs raw data",#N/A,TRUE,"INPUT"}</definedName>
    <definedName name="wrn.print._.raw._.data._.entry._3_2" hidden="1">{"inputs raw data",#N/A,TRUE,"INPUT"}</definedName>
    <definedName name="wrn.print._.raw._.data._.entry._3_3" localSheetId="2" hidden="1">{"inputs raw data",#N/A,TRUE,"INPUT"}</definedName>
    <definedName name="wrn.print._.raw._.data._.entry._3_3" hidden="1">{"inputs raw data",#N/A,TRUE,"INPUT"}</definedName>
    <definedName name="wrn.print._.raw._.data._.entry._3_4" localSheetId="2" hidden="1">{"inputs raw data",#N/A,TRUE,"INPUT"}</definedName>
    <definedName name="wrn.print._.raw._.data._.entry._3_4" hidden="1">{"inputs raw data",#N/A,TRUE,"INPUT"}</definedName>
    <definedName name="wrn.print._.raw._.data._.entry._4" localSheetId="2" hidden="1">{"inputs raw data",#N/A,TRUE,"INPUT"}</definedName>
    <definedName name="wrn.print._.raw._.data._.entry._4" hidden="1">{"inputs raw data",#N/A,TRUE,"INPUT"}</definedName>
    <definedName name="wrn.print._.raw._.data._.entry._4_1" localSheetId="2" hidden="1">{"inputs raw data",#N/A,TRUE,"INPUT"}</definedName>
    <definedName name="wrn.print._.raw._.data._.entry._4_1" hidden="1">{"inputs raw data",#N/A,TRUE,"INPUT"}</definedName>
    <definedName name="wrn.print._.raw._.data._.entry._4_2" localSheetId="2" hidden="1">{"inputs raw data",#N/A,TRUE,"INPUT"}</definedName>
    <definedName name="wrn.print._.raw._.data._.entry._4_2" hidden="1">{"inputs raw data",#N/A,TRUE,"INPUT"}</definedName>
    <definedName name="wrn.print._.raw._.data._.entry._4_3" localSheetId="2" hidden="1">{"inputs raw data",#N/A,TRUE,"INPUT"}</definedName>
    <definedName name="wrn.print._.raw._.data._.entry._4_3" hidden="1">{"inputs raw data",#N/A,TRUE,"INPUT"}</definedName>
    <definedName name="wrn.print._.raw._.data._.entry._4_4" localSheetId="2" hidden="1">{"inputs raw data",#N/A,TRUE,"INPUT"}</definedName>
    <definedName name="wrn.print._.raw._.data._.entry._4_4" hidden="1">{"inputs raw data",#N/A,TRUE,"INPUT"}</definedName>
    <definedName name="wrn.print._.raw._.data._.entry._5" localSheetId="2" hidden="1">{"inputs raw data",#N/A,TRUE,"INPUT"}</definedName>
    <definedName name="wrn.print._.raw._.data._.entry._5" hidden="1">{"inputs raw data",#N/A,TRUE,"INPUT"}</definedName>
    <definedName name="wrn.print._.raw._.data._.entry._5_1" localSheetId="2" hidden="1">{"inputs raw data",#N/A,TRUE,"INPUT"}</definedName>
    <definedName name="wrn.print._.raw._.data._.entry._5_1" hidden="1">{"inputs raw data",#N/A,TRUE,"INPUT"}</definedName>
    <definedName name="wrn.print._.raw._.data._.entry._5_2" localSheetId="2" hidden="1">{"inputs raw data",#N/A,TRUE,"INPUT"}</definedName>
    <definedName name="wrn.print._.raw._.data._.entry._5_2" hidden="1">{"inputs raw data",#N/A,TRUE,"INPUT"}</definedName>
    <definedName name="wrn.print._.raw._.data._.entry._5_3" localSheetId="2" hidden="1">{"inputs raw data",#N/A,TRUE,"INPUT"}</definedName>
    <definedName name="wrn.print._.raw._.data._.entry._5_3" hidden="1">{"inputs raw data",#N/A,TRUE,"INPUT"}</definedName>
    <definedName name="wrn.print._.raw._.data._.entry._5_4" localSheetId="2" hidden="1">{"inputs raw data",#N/A,TRUE,"INPUT"}</definedName>
    <definedName name="wrn.print._.raw._.data._.entry._5_4" hidden="1">{"inputs raw data",#N/A,TRUE,"INPUT"}</definedName>
    <definedName name="wrn.print._.standalone." hidden="1">{"standalone1",#N/A,FALSE,"DCFBase";"standalone2",#N/A,FALSE,"DCFBase"}</definedName>
    <definedName name="wrn.print._.summary._.sheets." localSheetId="2" hidden="1">{"summary1",#N/A,TRUE,"Comps";"summary2",#N/A,TRUE,"Comps";"summary3",#N/A,TRUE,"Comps"}</definedName>
    <definedName name="wrn.print._.summary._.sheets." hidden="1">{"summary1",#N/A,TRUE,"Comps";"summary2",#N/A,TRUE,"Comps";"summary3",#N/A,TRUE,"Comps"}</definedName>
    <definedName name="wrn.print._.summary._.sheets._1" localSheetId="2" hidden="1">{"summary1",#N/A,TRUE,"Comps";"summary2",#N/A,TRUE,"Comps";"summary3",#N/A,TRUE,"Comps"}</definedName>
    <definedName name="wrn.print._.summary._.sheets._1" hidden="1">{"summary1",#N/A,TRUE,"Comps";"summary2",#N/A,TRUE,"Comps";"summary3",#N/A,TRUE,"Comps"}</definedName>
    <definedName name="wrn.print._.summary._.sheets._1_1" localSheetId="2" hidden="1">{"summary1",#N/A,TRUE,"Comps";"summary2",#N/A,TRUE,"Comps";"summary3",#N/A,TRUE,"Comps"}</definedName>
    <definedName name="wrn.print._.summary._.sheets._1_1" hidden="1">{"summary1",#N/A,TRUE,"Comps";"summary2",#N/A,TRUE,"Comps";"summary3",#N/A,TRUE,"Comps"}</definedName>
    <definedName name="wrn.print._.summary._.sheets._1_2" localSheetId="2" hidden="1">{"summary1",#N/A,TRUE,"Comps";"summary2",#N/A,TRUE,"Comps";"summary3",#N/A,TRUE,"Comps"}</definedName>
    <definedName name="wrn.print._.summary._.sheets._1_2" hidden="1">{"summary1",#N/A,TRUE,"Comps";"summary2",#N/A,TRUE,"Comps";"summary3",#N/A,TRUE,"Comps"}</definedName>
    <definedName name="wrn.print._.summary._.sheets._1_3" localSheetId="2" hidden="1">{"summary1",#N/A,TRUE,"Comps";"summary2",#N/A,TRUE,"Comps";"summary3",#N/A,TRUE,"Comps"}</definedName>
    <definedName name="wrn.print._.summary._.sheets._1_3" hidden="1">{"summary1",#N/A,TRUE,"Comps";"summary2",#N/A,TRUE,"Comps";"summary3",#N/A,TRUE,"Comps"}</definedName>
    <definedName name="wrn.print._.summary._.sheets._1_4" localSheetId="2" hidden="1">{"summary1",#N/A,TRUE,"Comps";"summary2",#N/A,TRUE,"Comps";"summary3",#N/A,TRUE,"Comps"}</definedName>
    <definedName name="wrn.print._.summary._.sheets._1_4" hidden="1">{"summary1",#N/A,TRUE,"Comps";"summary2",#N/A,TRUE,"Comps";"summary3",#N/A,TRUE,"Comps"}</definedName>
    <definedName name="wrn.print._.summary._.sheets._2" localSheetId="2" hidden="1">{"summary1",#N/A,TRUE,"Comps";"summary2",#N/A,TRUE,"Comps";"summary3",#N/A,TRUE,"Comps"}</definedName>
    <definedName name="wrn.print._.summary._.sheets._2" hidden="1">{"summary1",#N/A,TRUE,"Comps";"summary2",#N/A,TRUE,"Comps";"summary3",#N/A,TRUE,"Comps"}</definedName>
    <definedName name="wrn.print._.summary._.sheets._2_1" localSheetId="2" hidden="1">{"summary1",#N/A,TRUE,"Comps";"summary2",#N/A,TRUE,"Comps";"summary3",#N/A,TRUE,"Comps"}</definedName>
    <definedName name="wrn.print._.summary._.sheets._2_1" hidden="1">{"summary1",#N/A,TRUE,"Comps";"summary2",#N/A,TRUE,"Comps";"summary3",#N/A,TRUE,"Comps"}</definedName>
    <definedName name="wrn.print._.summary._.sheets._2_2" localSheetId="2" hidden="1">{"summary1",#N/A,TRUE,"Comps";"summary2",#N/A,TRUE,"Comps";"summary3",#N/A,TRUE,"Comps"}</definedName>
    <definedName name="wrn.print._.summary._.sheets._2_2" hidden="1">{"summary1",#N/A,TRUE,"Comps";"summary2",#N/A,TRUE,"Comps";"summary3",#N/A,TRUE,"Comps"}</definedName>
    <definedName name="wrn.print._.summary._.sheets._2_3" localSheetId="2" hidden="1">{"summary1",#N/A,TRUE,"Comps";"summary2",#N/A,TRUE,"Comps";"summary3",#N/A,TRUE,"Comps"}</definedName>
    <definedName name="wrn.print._.summary._.sheets._2_3" hidden="1">{"summary1",#N/A,TRUE,"Comps";"summary2",#N/A,TRUE,"Comps";"summary3",#N/A,TRUE,"Comps"}</definedName>
    <definedName name="wrn.print._.summary._.sheets._2_4" localSheetId="2" hidden="1">{"summary1",#N/A,TRUE,"Comps";"summary2",#N/A,TRUE,"Comps";"summary3",#N/A,TRUE,"Comps"}</definedName>
    <definedName name="wrn.print._.summary._.sheets._2_4" hidden="1">{"summary1",#N/A,TRUE,"Comps";"summary2",#N/A,TRUE,"Comps";"summary3",#N/A,TRUE,"Comps"}</definedName>
    <definedName name="wrn.print._.summary._.sheets._3" localSheetId="2" hidden="1">{"summary1",#N/A,TRUE,"Comps";"summary2",#N/A,TRUE,"Comps";"summary3",#N/A,TRUE,"Comps"}</definedName>
    <definedName name="wrn.print._.summary._.sheets._3" hidden="1">{"summary1",#N/A,TRUE,"Comps";"summary2",#N/A,TRUE,"Comps";"summary3",#N/A,TRUE,"Comps"}</definedName>
    <definedName name="wrn.print._.summary._.sheets._3_1" localSheetId="2" hidden="1">{"summary1",#N/A,TRUE,"Comps";"summary2",#N/A,TRUE,"Comps";"summary3",#N/A,TRUE,"Comps"}</definedName>
    <definedName name="wrn.print._.summary._.sheets._3_1" hidden="1">{"summary1",#N/A,TRUE,"Comps";"summary2",#N/A,TRUE,"Comps";"summary3",#N/A,TRUE,"Comps"}</definedName>
    <definedName name="wrn.print._.summary._.sheets._3_2" localSheetId="2" hidden="1">{"summary1",#N/A,TRUE,"Comps";"summary2",#N/A,TRUE,"Comps";"summary3",#N/A,TRUE,"Comps"}</definedName>
    <definedName name="wrn.print._.summary._.sheets._3_2" hidden="1">{"summary1",#N/A,TRUE,"Comps";"summary2",#N/A,TRUE,"Comps";"summary3",#N/A,TRUE,"Comps"}</definedName>
    <definedName name="wrn.print._.summary._.sheets._3_3" localSheetId="2" hidden="1">{"summary1",#N/A,TRUE,"Comps";"summary2",#N/A,TRUE,"Comps";"summary3",#N/A,TRUE,"Comps"}</definedName>
    <definedName name="wrn.print._.summary._.sheets._3_3" hidden="1">{"summary1",#N/A,TRUE,"Comps";"summary2",#N/A,TRUE,"Comps";"summary3",#N/A,TRUE,"Comps"}</definedName>
    <definedName name="wrn.print._.summary._.sheets._3_4" localSheetId="2" hidden="1">{"summary1",#N/A,TRUE,"Comps";"summary2",#N/A,TRUE,"Comps";"summary3",#N/A,TRUE,"Comps"}</definedName>
    <definedName name="wrn.print._.summary._.sheets._3_4" hidden="1">{"summary1",#N/A,TRUE,"Comps";"summary2",#N/A,TRUE,"Comps";"summary3",#N/A,TRUE,"Comps"}</definedName>
    <definedName name="wrn.print._.summary._.sheets._4" localSheetId="2" hidden="1">{"summary1",#N/A,TRUE,"Comps";"summary2",#N/A,TRUE,"Comps";"summary3",#N/A,TRUE,"Comps"}</definedName>
    <definedName name="wrn.print._.summary._.sheets._4" hidden="1">{"summary1",#N/A,TRUE,"Comps";"summary2",#N/A,TRUE,"Comps";"summary3",#N/A,TRUE,"Comps"}</definedName>
    <definedName name="wrn.print._.summary._.sheets._4_1" localSheetId="2" hidden="1">{"summary1",#N/A,TRUE,"Comps";"summary2",#N/A,TRUE,"Comps";"summary3",#N/A,TRUE,"Comps"}</definedName>
    <definedName name="wrn.print._.summary._.sheets._4_1" hidden="1">{"summary1",#N/A,TRUE,"Comps";"summary2",#N/A,TRUE,"Comps";"summary3",#N/A,TRUE,"Comps"}</definedName>
    <definedName name="wrn.print._.summary._.sheets._4_2" localSheetId="2" hidden="1">{"summary1",#N/A,TRUE,"Comps";"summary2",#N/A,TRUE,"Comps";"summary3",#N/A,TRUE,"Comps"}</definedName>
    <definedName name="wrn.print._.summary._.sheets._4_2" hidden="1">{"summary1",#N/A,TRUE,"Comps";"summary2",#N/A,TRUE,"Comps";"summary3",#N/A,TRUE,"Comps"}</definedName>
    <definedName name="wrn.print._.summary._.sheets._4_3" localSheetId="2" hidden="1">{"summary1",#N/A,TRUE,"Comps";"summary2",#N/A,TRUE,"Comps";"summary3",#N/A,TRUE,"Comps"}</definedName>
    <definedName name="wrn.print._.summary._.sheets._4_3" hidden="1">{"summary1",#N/A,TRUE,"Comps";"summary2",#N/A,TRUE,"Comps";"summary3",#N/A,TRUE,"Comps"}</definedName>
    <definedName name="wrn.print._.summary._.sheets._4_4" localSheetId="2" hidden="1">{"summary1",#N/A,TRUE,"Comps";"summary2",#N/A,TRUE,"Comps";"summary3",#N/A,TRUE,"Comps"}</definedName>
    <definedName name="wrn.print._.summary._.sheets._4_4" hidden="1">{"summary1",#N/A,TRUE,"Comps";"summary2",#N/A,TRUE,"Comps";"summary3",#N/A,TRUE,"Comps"}</definedName>
    <definedName name="wrn.print._.summary._.sheets._5" localSheetId="2" hidden="1">{"summary1",#N/A,TRUE,"Comps";"summary2",#N/A,TRUE,"Comps";"summary3",#N/A,TRUE,"Comps"}</definedName>
    <definedName name="wrn.print._.summary._.sheets._5" hidden="1">{"summary1",#N/A,TRUE,"Comps";"summary2",#N/A,TRUE,"Comps";"summary3",#N/A,TRUE,"Comps"}</definedName>
    <definedName name="wrn.print._.summary._.sheets._5_1" localSheetId="2" hidden="1">{"summary1",#N/A,TRUE,"Comps";"summary2",#N/A,TRUE,"Comps";"summary3",#N/A,TRUE,"Comps"}</definedName>
    <definedName name="wrn.print._.summary._.sheets._5_1" hidden="1">{"summary1",#N/A,TRUE,"Comps";"summary2",#N/A,TRUE,"Comps";"summary3",#N/A,TRUE,"Comps"}</definedName>
    <definedName name="wrn.print._.summary._.sheets._5_2" localSheetId="2" hidden="1">{"summary1",#N/A,TRUE,"Comps";"summary2",#N/A,TRUE,"Comps";"summary3",#N/A,TRUE,"Comps"}</definedName>
    <definedName name="wrn.print._.summary._.sheets._5_2" hidden="1">{"summary1",#N/A,TRUE,"Comps";"summary2",#N/A,TRUE,"Comps";"summary3",#N/A,TRUE,"Comps"}</definedName>
    <definedName name="wrn.print._.summary._.sheets._5_3" localSheetId="2" hidden="1">{"summary1",#N/A,TRUE,"Comps";"summary2",#N/A,TRUE,"Comps";"summary3",#N/A,TRUE,"Comps"}</definedName>
    <definedName name="wrn.print._.summary._.sheets._5_3" hidden="1">{"summary1",#N/A,TRUE,"Comps";"summary2",#N/A,TRUE,"Comps";"summary3",#N/A,TRUE,"Comps"}</definedName>
    <definedName name="wrn.print._.summary._.sheets._5_4" localSheetId="2" hidden="1">{"summary1",#N/A,TRUE,"Comps";"summary2",#N/A,TRUE,"Comps";"summary3",#N/A,TRUE,"Comps"}</definedName>
    <definedName name="wrn.print._.summary._.sheets._5_4" hidden="1">{"summary1",#N/A,TRUE,"Comps";"summary2",#N/A,TRUE,"Comps";"summary3",#N/A,TRUE,"Comps"}</definedName>
    <definedName name="wrn.Print_Buyer." localSheetId="2"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Buyer._1" localSheetId="2" hidden="1">{#N/A,"DR",FALSE,"increm pf";#N/A,"MAMSI",FALSE,"increm pf";#N/A,"MAXI",FALSE,"increm pf";#N/A,"PCAM",FALSE,"increm pf";#N/A,"PHSV",FALSE,"increm pf";#N/A,"SIE",FALSE,"increm pf"}</definedName>
    <definedName name="wrn.Print_Buyer._1" hidden="1">{#N/A,"DR",FALSE,"increm pf";#N/A,"MAMSI",FALSE,"increm pf";#N/A,"MAXI",FALSE,"increm pf";#N/A,"PCAM",FALSE,"increm pf";#N/A,"PHSV",FALSE,"increm pf";#N/A,"SIE",FALSE,"increm pf"}</definedName>
    <definedName name="wrn.Print_Buyer._1_1" localSheetId="2" hidden="1">{#N/A,"DR",FALSE,"increm pf";#N/A,"MAMSI",FALSE,"increm pf";#N/A,"MAXI",FALSE,"increm pf";#N/A,"PCAM",FALSE,"increm pf";#N/A,"PHSV",FALSE,"increm pf";#N/A,"SIE",FALSE,"increm pf"}</definedName>
    <definedName name="wrn.Print_Buyer._1_1" hidden="1">{#N/A,"DR",FALSE,"increm pf";#N/A,"MAMSI",FALSE,"increm pf";#N/A,"MAXI",FALSE,"increm pf";#N/A,"PCAM",FALSE,"increm pf";#N/A,"PHSV",FALSE,"increm pf";#N/A,"SIE",FALSE,"increm pf"}</definedName>
    <definedName name="wrn.Print_Buyer._1_2" localSheetId="2" hidden="1">{#N/A,"DR",FALSE,"increm pf";#N/A,"MAMSI",FALSE,"increm pf";#N/A,"MAXI",FALSE,"increm pf";#N/A,"PCAM",FALSE,"increm pf";#N/A,"PHSV",FALSE,"increm pf";#N/A,"SIE",FALSE,"increm pf"}</definedName>
    <definedName name="wrn.Print_Buyer._1_2" hidden="1">{#N/A,"DR",FALSE,"increm pf";#N/A,"MAMSI",FALSE,"increm pf";#N/A,"MAXI",FALSE,"increm pf";#N/A,"PCAM",FALSE,"increm pf";#N/A,"PHSV",FALSE,"increm pf";#N/A,"SIE",FALSE,"increm pf"}</definedName>
    <definedName name="wrn.Print_Buyer._1_3" localSheetId="2" hidden="1">{#N/A,"DR",FALSE,"increm pf";#N/A,"MAMSI",FALSE,"increm pf";#N/A,"MAXI",FALSE,"increm pf";#N/A,"PCAM",FALSE,"increm pf";#N/A,"PHSV",FALSE,"increm pf";#N/A,"SIE",FALSE,"increm pf"}</definedName>
    <definedName name="wrn.Print_Buyer._1_3" hidden="1">{#N/A,"DR",FALSE,"increm pf";#N/A,"MAMSI",FALSE,"increm pf";#N/A,"MAXI",FALSE,"increm pf";#N/A,"PCAM",FALSE,"increm pf";#N/A,"PHSV",FALSE,"increm pf";#N/A,"SIE",FALSE,"increm pf"}</definedName>
    <definedName name="wrn.Print_Buyer._1_4" localSheetId="2" hidden="1">{#N/A,"DR",FALSE,"increm pf";#N/A,"MAMSI",FALSE,"increm pf";#N/A,"MAXI",FALSE,"increm pf";#N/A,"PCAM",FALSE,"increm pf";#N/A,"PHSV",FALSE,"increm pf";#N/A,"SIE",FALSE,"increm pf"}</definedName>
    <definedName name="wrn.Print_Buyer._1_4" hidden="1">{#N/A,"DR",FALSE,"increm pf";#N/A,"MAMSI",FALSE,"increm pf";#N/A,"MAXI",FALSE,"increm pf";#N/A,"PCAM",FALSE,"increm pf";#N/A,"PHSV",FALSE,"increm pf";#N/A,"SIE",FALSE,"increm pf"}</definedName>
    <definedName name="wrn.Print_Buyer._2" localSheetId="2" hidden="1">{#N/A,"DR",FALSE,"increm pf";#N/A,"MAMSI",FALSE,"increm pf";#N/A,"MAXI",FALSE,"increm pf";#N/A,"PCAM",FALSE,"increm pf";#N/A,"PHSV",FALSE,"increm pf";#N/A,"SIE",FALSE,"increm pf"}</definedName>
    <definedName name="wrn.Print_Buyer._2" hidden="1">{#N/A,"DR",FALSE,"increm pf";#N/A,"MAMSI",FALSE,"increm pf";#N/A,"MAXI",FALSE,"increm pf";#N/A,"PCAM",FALSE,"increm pf";#N/A,"PHSV",FALSE,"increm pf";#N/A,"SIE",FALSE,"increm pf"}</definedName>
    <definedName name="wrn.Print_Buyer._2_1" localSheetId="2" hidden="1">{#N/A,"DR",FALSE,"increm pf";#N/A,"MAMSI",FALSE,"increm pf";#N/A,"MAXI",FALSE,"increm pf";#N/A,"PCAM",FALSE,"increm pf";#N/A,"PHSV",FALSE,"increm pf";#N/A,"SIE",FALSE,"increm pf"}</definedName>
    <definedName name="wrn.Print_Buyer._2_1" hidden="1">{#N/A,"DR",FALSE,"increm pf";#N/A,"MAMSI",FALSE,"increm pf";#N/A,"MAXI",FALSE,"increm pf";#N/A,"PCAM",FALSE,"increm pf";#N/A,"PHSV",FALSE,"increm pf";#N/A,"SIE",FALSE,"increm pf"}</definedName>
    <definedName name="wrn.Print_Buyer._2_2" localSheetId="2" hidden="1">{#N/A,"DR",FALSE,"increm pf";#N/A,"MAMSI",FALSE,"increm pf";#N/A,"MAXI",FALSE,"increm pf";#N/A,"PCAM",FALSE,"increm pf";#N/A,"PHSV",FALSE,"increm pf";#N/A,"SIE",FALSE,"increm pf"}</definedName>
    <definedName name="wrn.Print_Buyer._2_2" hidden="1">{#N/A,"DR",FALSE,"increm pf";#N/A,"MAMSI",FALSE,"increm pf";#N/A,"MAXI",FALSE,"increm pf";#N/A,"PCAM",FALSE,"increm pf";#N/A,"PHSV",FALSE,"increm pf";#N/A,"SIE",FALSE,"increm pf"}</definedName>
    <definedName name="wrn.Print_Buyer._2_3" localSheetId="2" hidden="1">{#N/A,"DR",FALSE,"increm pf";#N/A,"MAMSI",FALSE,"increm pf";#N/A,"MAXI",FALSE,"increm pf";#N/A,"PCAM",FALSE,"increm pf";#N/A,"PHSV",FALSE,"increm pf";#N/A,"SIE",FALSE,"increm pf"}</definedName>
    <definedName name="wrn.Print_Buyer._2_3" hidden="1">{#N/A,"DR",FALSE,"increm pf";#N/A,"MAMSI",FALSE,"increm pf";#N/A,"MAXI",FALSE,"increm pf";#N/A,"PCAM",FALSE,"increm pf";#N/A,"PHSV",FALSE,"increm pf";#N/A,"SIE",FALSE,"increm pf"}</definedName>
    <definedName name="wrn.Print_Buyer._2_4" localSheetId="2" hidden="1">{#N/A,"DR",FALSE,"increm pf";#N/A,"MAMSI",FALSE,"increm pf";#N/A,"MAXI",FALSE,"increm pf";#N/A,"PCAM",FALSE,"increm pf";#N/A,"PHSV",FALSE,"increm pf";#N/A,"SIE",FALSE,"increm pf"}</definedName>
    <definedName name="wrn.Print_Buyer._2_4" hidden="1">{#N/A,"DR",FALSE,"increm pf";#N/A,"MAMSI",FALSE,"increm pf";#N/A,"MAXI",FALSE,"increm pf";#N/A,"PCAM",FALSE,"increm pf";#N/A,"PHSV",FALSE,"increm pf";#N/A,"SIE",FALSE,"increm pf"}</definedName>
    <definedName name="wrn.Print_Buyer._3" localSheetId="2" hidden="1">{#N/A,"DR",FALSE,"increm pf";#N/A,"MAMSI",FALSE,"increm pf";#N/A,"MAXI",FALSE,"increm pf";#N/A,"PCAM",FALSE,"increm pf";#N/A,"PHSV",FALSE,"increm pf";#N/A,"SIE",FALSE,"increm pf"}</definedName>
    <definedName name="wrn.Print_Buyer._3" hidden="1">{#N/A,"DR",FALSE,"increm pf";#N/A,"MAMSI",FALSE,"increm pf";#N/A,"MAXI",FALSE,"increm pf";#N/A,"PCAM",FALSE,"increm pf";#N/A,"PHSV",FALSE,"increm pf";#N/A,"SIE",FALSE,"increm pf"}</definedName>
    <definedName name="wrn.Print_Buyer._3_1" localSheetId="2" hidden="1">{#N/A,"DR",FALSE,"increm pf";#N/A,"MAMSI",FALSE,"increm pf";#N/A,"MAXI",FALSE,"increm pf";#N/A,"PCAM",FALSE,"increm pf";#N/A,"PHSV",FALSE,"increm pf";#N/A,"SIE",FALSE,"increm pf"}</definedName>
    <definedName name="wrn.Print_Buyer._3_1" hidden="1">{#N/A,"DR",FALSE,"increm pf";#N/A,"MAMSI",FALSE,"increm pf";#N/A,"MAXI",FALSE,"increm pf";#N/A,"PCAM",FALSE,"increm pf";#N/A,"PHSV",FALSE,"increm pf";#N/A,"SIE",FALSE,"increm pf"}</definedName>
    <definedName name="wrn.Print_Buyer._3_2" localSheetId="2" hidden="1">{#N/A,"DR",FALSE,"increm pf";#N/A,"MAMSI",FALSE,"increm pf";#N/A,"MAXI",FALSE,"increm pf";#N/A,"PCAM",FALSE,"increm pf";#N/A,"PHSV",FALSE,"increm pf";#N/A,"SIE",FALSE,"increm pf"}</definedName>
    <definedName name="wrn.Print_Buyer._3_2" hidden="1">{#N/A,"DR",FALSE,"increm pf";#N/A,"MAMSI",FALSE,"increm pf";#N/A,"MAXI",FALSE,"increm pf";#N/A,"PCAM",FALSE,"increm pf";#N/A,"PHSV",FALSE,"increm pf";#N/A,"SIE",FALSE,"increm pf"}</definedName>
    <definedName name="wrn.Print_Buyer._3_3" localSheetId="2" hidden="1">{#N/A,"DR",FALSE,"increm pf";#N/A,"MAMSI",FALSE,"increm pf";#N/A,"MAXI",FALSE,"increm pf";#N/A,"PCAM",FALSE,"increm pf";#N/A,"PHSV",FALSE,"increm pf";#N/A,"SIE",FALSE,"increm pf"}</definedName>
    <definedName name="wrn.Print_Buyer._3_3" hidden="1">{#N/A,"DR",FALSE,"increm pf";#N/A,"MAMSI",FALSE,"increm pf";#N/A,"MAXI",FALSE,"increm pf";#N/A,"PCAM",FALSE,"increm pf";#N/A,"PHSV",FALSE,"increm pf";#N/A,"SIE",FALSE,"increm pf"}</definedName>
    <definedName name="wrn.Print_Buyer._3_4" localSheetId="2" hidden="1">{#N/A,"DR",FALSE,"increm pf";#N/A,"MAMSI",FALSE,"increm pf";#N/A,"MAXI",FALSE,"increm pf";#N/A,"PCAM",FALSE,"increm pf";#N/A,"PHSV",FALSE,"increm pf";#N/A,"SIE",FALSE,"increm pf"}</definedName>
    <definedName name="wrn.Print_Buyer._3_4" hidden="1">{#N/A,"DR",FALSE,"increm pf";#N/A,"MAMSI",FALSE,"increm pf";#N/A,"MAXI",FALSE,"increm pf";#N/A,"PCAM",FALSE,"increm pf";#N/A,"PHSV",FALSE,"increm pf";#N/A,"SIE",FALSE,"increm pf"}</definedName>
    <definedName name="wrn.Print_Buyer._4" localSheetId="2" hidden="1">{#N/A,"DR",FALSE,"increm pf";#N/A,"MAMSI",FALSE,"increm pf";#N/A,"MAXI",FALSE,"increm pf";#N/A,"PCAM",FALSE,"increm pf";#N/A,"PHSV",FALSE,"increm pf";#N/A,"SIE",FALSE,"increm pf"}</definedName>
    <definedName name="wrn.Print_Buyer._4" hidden="1">{#N/A,"DR",FALSE,"increm pf";#N/A,"MAMSI",FALSE,"increm pf";#N/A,"MAXI",FALSE,"increm pf";#N/A,"PCAM",FALSE,"increm pf";#N/A,"PHSV",FALSE,"increm pf";#N/A,"SIE",FALSE,"increm pf"}</definedName>
    <definedName name="wrn.Print_Buyer._4_1" localSheetId="2" hidden="1">{#N/A,"DR",FALSE,"increm pf";#N/A,"MAMSI",FALSE,"increm pf";#N/A,"MAXI",FALSE,"increm pf";#N/A,"PCAM",FALSE,"increm pf";#N/A,"PHSV",FALSE,"increm pf";#N/A,"SIE",FALSE,"increm pf"}</definedName>
    <definedName name="wrn.Print_Buyer._4_1" hidden="1">{#N/A,"DR",FALSE,"increm pf";#N/A,"MAMSI",FALSE,"increm pf";#N/A,"MAXI",FALSE,"increm pf";#N/A,"PCAM",FALSE,"increm pf";#N/A,"PHSV",FALSE,"increm pf";#N/A,"SIE",FALSE,"increm pf"}</definedName>
    <definedName name="wrn.Print_Buyer._4_2" localSheetId="2" hidden="1">{#N/A,"DR",FALSE,"increm pf";#N/A,"MAMSI",FALSE,"increm pf";#N/A,"MAXI",FALSE,"increm pf";#N/A,"PCAM",FALSE,"increm pf";#N/A,"PHSV",FALSE,"increm pf";#N/A,"SIE",FALSE,"increm pf"}</definedName>
    <definedName name="wrn.Print_Buyer._4_2" hidden="1">{#N/A,"DR",FALSE,"increm pf";#N/A,"MAMSI",FALSE,"increm pf";#N/A,"MAXI",FALSE,"increm pf";#N/A,"PCAM",FALSE,"increm pf";#N/A,"PHSV",FALSE,"increm pf";#N/A,"SIE",FALSE,"increm pf"}</definedName>
    <definedName name="wrn.Print_Buyer._4_3" localSheetId="2" hidden="1">{#N/A,"DR",FALSE,"increm pf";#N/A,"MAMSI",FALSE,"increm pf";#N/A,"MAXI",FALSE,"increm pf";#N/A,"PCAM",FALSE,"increm pf";#N/A,"PHSV",FALSE,"increm pf";#N/A,"SIE",FALSE,"increm pf"}</definedName>
    <definedName name="wrn.Print_Buyer._4_3" hidden="1">{#N/A,"DR",FALSE,"increm pf";#N/A,"MAMSI",FALSE,"increm pf";#N/A,"MAXI",FALSE,"increm pf";#N/A,"PCAM",FALSE,"increm pf";#N/A,"PHSV",FALSE,"increm pf";#N/A,"SIE",FALSE,"increm pf"}</definedName>
    <definedName name="wrn.Print_Buyer._4_4" localSheetId="2" hidden="1">{#N/A,"DR",FALSE,"increm pf";#N/A,"MAMSI",FALSE,"increm pf";#N/A,"MAXI",FALSE,"increm pf";#N/A,"PCAM",FALSE,"increm pf";#N/A,"PHSV",FALSE,"increm pf";#N/A,"SIE",FALSE,"increm pf"}</definedName>
    <definedName name="wrn.Print_Buyer._4_4" hidden="1">{#N/A,"DR",FALSE,"increm pf";#N/A,"MAMSI",FALSE,"increm pf";#N/A,"MAXI",FALSE,"increm pf";#N/A,"PCAM",FALSE,"increm pf";#N/A,"PHSV",FALSE,"increm pf";#N/A,"SIE",FALSE,"increm pf"}</definedName>
    <definedName name="wrn.Print_Buyer._5" localSheetId="2" hidden="1">{#N/A,"DR",FALSE,"increm pf";#N/A,"MAMSI",FALSE,"increm pf";#N/A,"MAXI",FALSE,"increm pf";#N/A,"PCAM",FALSE,"increm pf";#N/A,"PHSV",FALSE,"increm pf";#N/A,"SIE",FALSE,"increm pf"}</definedName>
    <definedName name="wrn.Print_Buyer._5" hidden="1">{#N/A,"DR",FALSE,"increm pf";#N/A,"MAMSI",FALSE,"increm pf";#N/A,"MAXI",FALSE,"increm pf";#N/A,"PCAM",FALSE,"increm pf";#N/A,"PHSV",FALSE,"increm pf";#N/A,"SIE",FALSE,"increm pf"}</definedName>
    <definedName name="wrn.Print_Buyer._5_1" localSheetId="2" hidden="1">{#N/A,"DR",FALSE,"increm pf";#N/A,"MAMSI",FALSE,"increm pf";#N/A,"MAXI",FALSE,"increm pf";#N/A,"PCAM",FALSE,"increm pf";#N/A,"PHSV",FALSE,"increm pf";#N/A,"SIE",FALSE,"increm pf"}</definedName>
    <definedName name="wrn.Print_Buyer._5_1" hidden="1">{#N/A,"DR",FALSE,"increm pf";#N/A,"MAMSI",FALSE,"increm pf";#N/A,"MAXI",FALSE,"increm pf";#N/A,"PCAM",FALSE,"increm pf";#N/A,"PHSV",FALSE,"increm pf";#N/A,"SIE",FALSE,"increm pf"}</definedName>
    <definedName name="wrn.Print_Buyer._5_2" localSheetId="2" hidden="1">{#N/A,"DR",FALSE,"increm pf";#N/A,"MAMSI",FALSE,"increm pf";#N/A,"MAXI",FALSE,"increm pf";#N/A,"PCAM",FALSE,"increm pf";#N/A,"PHSV",FALSE,"increm pf";#N/A,"SIE",FALSE,"increm pf"}</definedName>
    <definedName name="wrn.Print_Buyer._5_2" hidden="1">{#N/A,"DR",FALSE,"increm pf";#N/A,"MAMSI",FALSE,"increm pf";#N/A,"MAXI",FALSE,"increm pf";#N/A,"PCAM",FALSE,"increm pf";#N/A,"PHSV",FALSE,"increm pf";#N/A,"SIE",FALSE,"increm pf"}</definedName>
    <definedName name="wrn.Print_Buyer._5_3" localSheetId="2" hidden="1">{#N/A,"DR",FALSE,"increm pf";#N/A,"MAMSI",FALSE,"increm pf";#N/A,"MAXI",FALSE,"increm pf";#N/A,"PCAM",FALSE,"increm pf";#N/A,"PHSV",FALSE,"increm pf";#N/A,"SIE",FALSE,"increm pf"}</definedName>
    <definedName name="wrn.Print_Buyer._5_3" hidden="1">{#N/A,"DR",FALSE,"increm pf";#N/A,"MAMSI",FALSE,"increm pf";#N/A,"MAXI",FALSE,"increm pf";#N/A,"PCAM",FALSE,"increm pf";#N/A,"PHSV",FALSE,"increm pf";#N/A,"SIE",FALSE,"increm pf"}</definedName>
    <definedName name="wrn.Print_Buyer._5_4" localSheetId="2" hidden="1">{#N/A,"DR",FALSE,"increm pf";#N/A,"MAMSI",FALSE,"increm pf";#N/A,"MAXI",FALSE,"increm pf";#N/A,"PCAM",FALSE,"increm pf";#N/A,"PHSV",FALSE,"increm pf";#N/A,"SIE",FALSE,"increm pf"}</definedName>
    <definedName name="wrn.Print_Buyer._5_4" hidden="1">{#N/A,"DR",FALSE,"increm pf";#N/A,"MAMSI",FALSE,"increm pf";#N/A,"MAXI",FALSE,"increm pf";#N/A,"PCAM",FALSE,"increm pf";#N/A,"PHSV",FALSE,"increm pf";#N/A,"SIE",FALSE,"increm pf"}</definedName>
    <definedName name="wrn.Print_Target."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All." localSheetId="2" hidden="1">{#N/A,#N/A,TRUE,"Summary";#N/A,#N/A,TRUE,"IS";#N/A,#N/A,TRUE,"Adj";#N/A,#N/A,TRUE,"BS";#N/A,#N/A,TRUE,"CF";#N/A,#N/A,TRUE,"Debt";#N/A,#N/A,TRUE,"IRR"}</definedName>
    <definedName name="wrn.PrintAll." hidden="1">{#N/A,#N/A,TRUE,"Summary";#N/A,#N/A,TRUE,"IS";#N/A,#N/A,TRUE,"Adj";#N/A,#N/A,TRUE,"BS";#N/A,#N/A,TRUE,"CF";#N/A,#N/A,TRUE,"Debt";#N/A,#N/A,TRUE,"IRR"}</definedName>
    <definedName name="wrn.Program." hidden="1">{#N/A,#N/A,FALSE,"RPR Grid";#N/A,#N/A,FALSE,"Budget"}</definedName>
    <definedName name="wrn.Pulp." hidden="1">{"Pulp Production",#N/A,FALSE,"Pulp";"Pulp Earnings",#N/A,FALSE,"Pulp"}</definedName>
    <definedName name="wrn.qrt95." hidden="1">{"qrt95",#N/A,FALSE,"BAIRNUMB"}</definedName>
    <definedName name="wrn.Qtr._.Op._.Q1." hidden="1">{"Qtr Op Mgd Q1",#N/A,FALSE,"Qtr-Op (Mng)";"Qtr Op Rpt Q1",#N/A,FALSE,"Qtr-Op (Rpt)";"Operating Vs Reported",#N/A,FALSE,"Rpt-Op Inc"}</definedName>
    <definedName name="wrn.Qtr._.Op._.Q2." hidden="1">{"Qtr Op Mgd Q2",#N/A,FALSE,"Qtr-Op (Mng)";"Qtr Op Rpt Q2",#N/A,FALSE,"Qtr-Op (Rpt)";"Operating Vs Reported",#N/A,FALSE,"Rpt-Op Inc"}</definedName>
    <definedName name="wrn.Qtr._.Op._.Q3." hidden="1">{"Qtr Op Mgd Q3",#N/A,FALSE,"Qtr-Op (Mng)";"Qtr Op Rpt Q3",#N/A,FALSE,"Qtr-Op (Rpt)";"Operating Vs Reported",#N/A,FALSE,"Rpt-Op Inc"}</definedName>
    <definedName name="wrn.Qtr._.Op._.Q4." hidden="1">{"Qtr Op Mgd Q3",#N/A,FALSE,"Qtr-Op (Mng)";"Qtr Op Rpt Q4",#N/A,FALSE,"Qtr-Op (Rpt)";"Operating Vs Reported",#N/A,FALSE,"Rpt-Op Inc"}</definedName>
    <definedName name="wrn.Qtr._.Op._Q2a." hidden="1">{"Qtr Op Mgd Q2",#N/A,FALSE,"Qtr-Op (Mng)";"Qtr Op Rpt Q2",#N/A,FALSE,"Qtr-Op (Rpt)";"Operating Vs Reported",#N/A,FALSE,"Rpt-Op Inc"}</definedName>
    <definedName name="wrn.Qtr_.Op._.Q4." hidden="1">{"Qtr Op Mgd Q3",#N/A,FALSE,"Qtr-Op (Mng)";"Qtr Op Rpt Q4",#N/A,FALSE,"Qtr-Op (Rpt)";"Operating Vs Reported",#N/A,FALSE,"Rpt-Op Inc"}</definedName>
    <definedName name="wrn.quarterly." hidden="1">{"quarterly",#N/A,FALSE,"BAIRNUMB"}</definedName>
    <definedName name="wrn.Raff._.Di._.Landro." hidden="1">{#N/A,#N/A,FALSE,"Raff di Landro";#N/A,#N/A,FALSE,"P&amp;L - Brighton";#N/A,#N/A,FALSE,"P&amp;L - Guildford"}</definedName>
    <definedName name="wrn.rep1." hidden="1">{"add",#N/A,FALSE,"code"}</definedName>
    <definedName name="wrn.Replacement._.Cost." hidden="1">{#N/A,#N/A,TRUE,"Cover Repl";#N/A,#N/A,TRUE,"P&amp;L";#N/A,#N/A,TRUE,"P&amp;L (2)";#N/A,#N/A,TRUE,"BS";#N/A,#N/A,TRUE,"Depreciation";#N/A,#N/A,TRUE,"GRAPHS";#N/A,#N/A,TRUE,"DCF EBITDA Multiple";#N/A,#N/A,TRUE,"DCF Perpetual Growth"}</definedName>
    <definedName name="wrn.Replacement._.Cost.1" hidden="1">{#N/A,#N/A,TRUE,"Cover Repl";#N/A,#N/A,TRUE,"P&amp;L";#N/A,#N/A,TRUE,"P&amp;L (2)";#N/A,#N/A,TRUE,"BS";#N/A,#N/A,TRUE,"Depreciation";#N/A,#N/A,TRUE,"GRAPHS";#N/A,#N/A,TRUE,"DCF EBITDA Multiple";#N/A,#N/A,TRUE,"DCF Perpetual Growth"}</definedName>
    <definedName name="wrn.Report." hidden="1">{#N/A,#N/A,FALSE,"COVER";#N/A,#N/A,FALSE,"FORECAST";#N/A,#N/A,FALSE,"VALUATION";#N/A,#N/A,FALSE,"FY ANALYSIS ";#N/A,#N/A,FALSE," HY ANALYSIS"}</definedName>
    <definedName name="wrn.Report1." localSheetId="2" hidden="1">{#N/A,#N/A,FALSE,"IS";#N/A,#N/A,FALSE,"BS";#N/A,#N/A,FALSE,"CF";#N/A,#N/A,FALSE,"CE";#N/A,#N/A,FALSE,"Depr";#N/A,#N/A,FALSE,"APAL"}</definedName>
    <definedName name="wrn.Report1." hidden="1">{#N/A,#N/A,FALSE,"IS";#N/A,#N/A,FALSE,"BS";#N/A,#N/A,FALSE,"CF";#N/A,#N/A,FALSE,"CE";#N/A,#N/A,FALSE,"Depr";#N/A,#N/A,FALSE,"APAL"}</definedName>
    <definedName name="wrn.Report1._1" localSheetId="2" hidden="1">{#N/A,#N/A,FALSE,"IS";#N/A,#N/A,FALSE,"BS";#N/A,#N/A,FALSE,"CF";#N/A,#N/A,FALSE,"CE";#N/A,#N/A,FALSE,"Depr";#N/A,#N/A,FALSE,"APAL"}</definedName>
    <definedName name="wrn.Report1._1" hidden="1">{#N/A,#N/A,FALSE,"IS";#N/A,#N/A,FALSE,"BS";#N/A,#N/A,FALSE,"CF";#N/A,#N/A,FALSE,"CE";#N/A,#N/A,FALSE,"Depr";#N/A,#N/A,FALSE,"APAL"}</definedName>
    <definedName name="wrn.Report1._1_1" localSheetId="2" hidden="1">{#N/A,#N/A,FALSE,"IS";#N/A,#N/A,FALSE,"BS";#N/A,#N/A,FALSE,"CF";#N/A,#N/A,FALSE,"CE";#N/A,#N/A,FALSE,"Depr";#N/A,#N/A,FALSE,"APAL"}</definedName>
    <definedName name="wrn.Report1._1_1" hidden="1">{#N/A,#N/A,FALSE,"IS";#N/A,#N/A,FALSE,"BS";#N/A,#N/A,FALSE,"CF";#N/A,#N/A,FALSE,"CE";#N/A,#N/A,FALSE,"Depr";#N/A,#N/A,FALSE,"APAL"}</definedName>
    <definedName name="wrn.Report1._1_2" localSheetId="2" hidden="1">{#N/A,#N/A,FALSE,"IS";#N/A,#N/A,FALSE,"BS";#N/A,#N/A,FALSE,"CF";#N/A,#N/A,FALSE,"CE";#N/A,#N/A,FALSE,"Depr";#N/A,#N/A,FALSE,"APAL"}</definedName>
    <definedName name="wrn.Report1._1_2" hidden="1">{#N/A,#N/A,FALSE,"IS";#N/A,#N/A,FALSE,"BS";#N/A,#N/A,FALSE,"CF";#N/A,#N/A,FALSE,"CE";#N/A,#N/A,FALSE,"Depr";#N/A,#N/A,FALSE,"APAL"}</definedName>
    <definedName name="wrn.Report1._1_3" localSheetId="2" hidden="1">{#N/A,#N/A,FALSE,"IS";#N/A,#N/A,FALSE,"BS";#N/A,#N/A,FALSE,"CF";#N/A,#N/A,FALSE,"CE";#N/A,#N/A,FALSE,"Depr";#N/A,#N/A,FALSE,"APAL"}</definedName>
    <definedName name="wrn.Report1._1_3" hidden="1">{#N/A,#N/A,FALSE,"IS";#N/A,#N/A,FALSE,"BS";#N/A,#N/A,FALSE,"CF";#N/A,#N/A,FALSE,"CE";#N/A,#N/A,FALSE,"Depr";#N/A,#N/A,FALSE,"APAL"}</definedName>
    <definedName name="wrn.Report1._1_4" localSheetId="2" hidden="1">{#N/A,#N/A,FALSE,"IS";#N/A,#N/A,FALSE,"BS";#N/A,#N/A,FALSE,"CF";#N/A,#N/A,FALSE,"CE";#N/A,#N/A,FALSE,"Depr";#N/A,#N/A,FALSE,"APAL"}</definedName>
    <definedName name="wrn.Report1._1_4" hidden="1">{#N/A,#N/A,FALSE,"IS";#N/A,#N/A,FALSE,"BS";#N/A,#N/A,FALSE,"CF";#N/A,#N/A,FALSE,"CE";#N/A,#N/A,FALSE,"Depr";#N/A,#N/A,FALSE,"APAL"}</definedName>
    <definedName name="wrn.Report1._2" localSheetId="2" hidden="1">{#N/A,#N/A,FALSE,"IS";#N/A,#N/A,FALSE,"BS";#N/A,#N/A,FALSE,"CF";#N/A,#N/A,FALSE,"CE";#N/A,#N/A,FALSE,"Depr";#N/A,#N/A,FALSE,"APAL"}</definedName>
    <definedName name="wrn.Report1._2" hidden="1">{#N/A,#N/A,FALSE,"IS";#N/A,#N/A,FALSE,"BS";#N/A,#N/A,FALSE,"CF";#N/A,#N/A,FALSE,"CE";#N/A,#N/A,FALSE,"Depr";#N/A,#N/A,FALSE,"APAL"}</definedName>
    <definedName name="wrn.Report1._2_1" localSheetId="2" hidden="1">{#N/A,#N/A,FALSE,"IS";#N/A,#N/A,FALSE,"BS";#N/A,#N/A,FALSE,"CF";#N/A,#N/A,FALSE,"CE";#N/A,#N/A,FALSE,"Depr";#N/A,#N/A,FALSE,"APAL"}</definedName>
    <definedName name="wrn.Report1._2_1" hidden="1">{#N/A,#N/A,FALSE,"IS";#N/A,#N/A,FALSE,"BS";#N/A,#N/A,FALSE,"CF";#N/A,#N/A,FALSE,"CE";#N/A,#N/A,FALSE,"Depr";#N/A,#N/A,FALSE,"APAL"}</definedName>
    <definedName name="wrn.Report1._2_2" localSheetId="2" hidden="1">{#N/A,#N/A,FALSE,"IS";#N/A,#N/A,FALSE,"BS";#N/A,#N/A,FALSE,"CF";#N/A,#N/A,FALSE,"CE";#N/A,#N/A,FALSE,"Depr";#N/A,#N/A,FALSE,"APAL"}</definedName>
    <definedName name="wrn.Report1._2_2" hidden="1">{#N/A,#N/A,FALSE,"IS";#N/A,#N/A,FALSE,"BS";#N/A,#N/A,FALSE,"CF";#N/A,#N/A,FALSE,"CE";#N/A,#N/A,FALSE,"Depr";#N/A,#N/A,FALSE,"APAL"}</definedName>
    <definedName name="wrn.Report1._2_3" localSheetId="2" hidden="1">{#N/A,#N/A,FALSE,"IS";#N/A,#N/A,FALSE,"BS";#N/A,#N/A,FALSE,"CF";#N/A,#N/A,FALSE,"CE";#N/A,#N/A,FALSE,"Depr";#N/A,#N/A,FALSE,"APAL"}</definedName>
    <definedName name="wrn.Report1._2_3" hidden="1">{#N/A,#N/A,FALSE,"IS";#N/A,#N/A,FALSE,"BS";#N/A,#N/A,FALSE,"CF";#N/A,#N/A,FALSE,"CE";#N/A,#N/A,FALSE,"Depr";#N/A,#N/A,FALSE,"APAL"}</definedName>
    <definedName name="wrn.Report1._2_4" localSheetId="2" hidden="1">{#N/A,#N/A,FALSE,"IS";#N/A,#N/A,FALSE,"BS";#N/A,#N/A,FALSE,"CF";#N/A,#N/A,FALSE,"CE";#N/A,#N/A,FALSE,"Depr";#N/A,#N/A,FALSE,"APAL"}</definedName>
    <definedName name="wrn.Report1._2_4" hidden="1">{#N/A,#N/A,FALSE,"IS";#N/A,#N/A,FALSE,"BS";#N/A,#N/A,FALSE,"CF";#N/A,#N/A,FALSE,"CE";#N/A,#N/A,FALSE,"Depr";#N/A,#N/A,FALSE,"APAL"}</definedName>
    <definedName name="wrn.Report1._3" localSheetId="2" hidden="1">{#N/A,#N/A,FALSE,"IS";#N/A,#N/A,FALSE,"BS";#N/A,#N/A,FALSE,"CF";#N/A,#N/A,FALSE,"CE";#N/A,#N/A,FALSE,"Depr";#N/A,#N/A,FALSE,"APAL"}</definedName>
    <definedName name="wrn.Report1._3" hidden="1">{#N/A,#N/A,FALSE,"IS";#N/A,#N/A,FALSE,"BS";#N/A,#N/A,FALSE,"CF";#N/A,#N/A,FALSE,"CE";#N/A,#N/A,FALSE,"Depr";#N/A,#N/A,FALSE,"APAL"}</definedName>
    <definedName name="wrn.Report1._3_1" localSheetId="2" hidden="1">{#N/A,#N/A,FALSE,"IS";#N/A,#N/A,FALSE,"BS";#N/A,#N/A,FALSE,"CF";#N/A,#N/A,FALSE,"CE";#N/A,#N/A,FALSE,"Depr";#N/A,#N/A,FALSE,"APAL"}</definedName>
    <definedName name="wrn.Report1._3_1" hidden="1">{#N/A,#N/A,FALSE,"IS";#N/A,#N/A,FALSE,"BS";#N/A,#N/A,FALSE,"CF";#N/A,#N/A,FALSE,"CE";#N/A,#N/A,FALSE,"Depr";#N/A,#N/A,FALSE,"APAL"}</definedName>
    <definedName name="wrn.Report1._3_2" localSheetId="2" hidden="1">{#N/A,#N/A,FALSE,"IS";#N/A,#N/A,FALSE,"BS";#N/A,#N/A,FALSE,"CF";#N/A,#N/A,FALSE,"CE";#N/A,#N/A,FALSE,"Depr";#N/A,#N/A,FALSE,"APAL"}</definedName>
    <definedName name="wrn.Report1._3_2" hidden="1">{#N/A,#N/A,FALSE,"IS";#N/A,#N/A,FALSE,"BS";#N/A,#N/A,FALSE,"CF";#N/A,#N/A,FALSE,"CE";#N/A,#N/A,FALSE,"Depr";#N/A,#N/A,FALSE,"APAL"}</definedName>
    <definedName name="wrn.Report1._3_3" localSheetId="2" hidden="1">{#N/A,#N/A,FALSE,"IS";#N/A,#N/A,FALSE,"BS";#N/A,#N/A,FALSE,"CF";#N/A,#N/A,FALSE,"CE";#N/A,#N/A,FALSE,"Depr";#N/A,#N/A,FALSE,"APAL"}</definedName>
    <definedName name="wrn.Report1._3_3" hidden="1">{#N/A,#N/A,FALSE,"IS";#N/A,#N/A,FALSE,"BS";#N/A,#N/A,FALSE,"CF";#N/A,#N/A,FALSE,"CE";#N/A,#N/A,FALSE,"Depr";#N/A,#N/A,FALSE,"APAL"}</definedName>
    <definedName name="wrn.Report1._3_4" localSheetId="2" hidden="1">{#N/A,#N/A,FALSE,"IS";#N/A,#N/A,FALSE,"BS";#N/A,#N/A,FALSE,"CF";#N/A,#N/A,FALSE,"CE";#N/A,#N/A,FALSE,"Depr";#N/A,#N/A,FALSE,"APAL"}</definedName>
    <definedName name="wrn.Report1._3_4" hidden="1">{#N/A,#N/A,FALSE,"IS";#N/A,#N/A,FALSE,"BS";#N/A,#N/A,FALSE,"CF";#N/A,#N/A,FALSE,"CE";#N/A,#N/A,FALSE,"Depr";#N/A,#N/A,FALSE,"APAL"}</definedName>
    <definedName name="wrn.Report1._4" localSheetId="2" hidden="1">{#N/A,#N/A,FALSE,"IS";#N/A,#N/A,FALSE,"BS";#N/A,#N/A,FALSE,"CF";#N/A,#N/A,FALSE,"CE";#N/A,#N/A,FALSE,"Depr";#N/A,#N/A,FALSE,"APAL"}</definedName>
    <definedName name="wrn.Report1._4" hidden="1">{#N/A,#N/A,FALSE,"IS";#N/A,#N/A,FALSE,"BS";#N/A,#N/A,FALSE,"CF";#N/A,#N/A,FALSE,"CE";#N/A,#N/A,FALSE,"Depr";#N/A,#N/A,FALSE,"APAL"}</definedName>
    <definedName name="wrn.Report1._4_1" localSheetId="2" hidden="1">{#N/A,#N/A,FALSE,"IS";#N/A,#N/A,FALSE,"BS";#N/A,#N/A,FALSE,"CF";#N/A,#N/A,FALSE,"CE";#N/A,#N/A,FALSE,"Depr";#N/A,#N/A,FALSE,"APAL"}</definedName>
    <definedName name="wrn.Report1._4_1" hidden="1">{#N/A,#N/A,FALSE,"IS";#N/A,#N/A,FALSE,"BS";#N/A,#N/A,FALSE,"CF";#N/A,#N/A,FALSE,"CE";#N/A,#N/A,FALSE,"Depr";#N/A,#N/A,FALSE,"APAL"}</definedName>
    <definedName name="wrn.Report1._4_2" localSheetId="2" hidden="1">{#N/A,#N/A,FALSE,"IS";#N/A,#N/A,FALSE,"BS";#N/A,#N/A,FALSE,"CF";#N/A,#N/A,FALSE,"CE";#N/A,#N/A,FALSE,"Depr";#N/A,#N/A,FALSE,"APAL"}</definedName>
    <definedName name="wrn.Report1._4_2" hidden="1">{#N/A,#N/A,FALSE,"IS";#N/A,#N/A,FALSE,"BS";#N/A,#N/A,FALSE,"CF";#N/A,#N/A,FALSE,"CE";#N/A,#N/A,FALSE,"Depr";#N/A,#N/A,FALSE,"APAL"}</definedName>
    <definedName name="wrn.Report1._4_3" localSheetId="2" hidden="1">{#N/A,#N/A,FALSE,"IS";#N/A,#N/A,FALSE,"BS";#N/A,#N/A,FALSE,"CF";#N/A,#N/A,FALSE,"CE";#N/A,#N/A,FALSE,"Depr";#N/A,#N/A,FALSE,"APAL"}</definedName>
    <definedName name="wrn.Report1._4_3" hidden="1">{#N/A,#N/A,FALSE,"IS";#N/A,#N/A,FALSE,"BS";#N/A,#N/A,FALSE,"CF";#N/A,#N/A,FALSE,"CE";#N/A,#N/A,FALSE,"Depr";#N/A,#N/A,FALSE,"APAL"}</definedName>
    <definedName name="wrn.Report1._4_4" localSheetId="2" hidden="1">{#N/A,#N/A,FALSE,"IS";#N/A,#N/A,FALSE,"BS";#N/A,#N/A,FALSE,"CF";#N/A,#N/A,FALSE,"CE";#N/A,#N/A,FALSE,"Depr";#N/A,#N/A,FALSE,"APAL"}</definedName>
    <definedName name="wrn.Report1._4_4" hidden="1">{#N/A,#N/A,FALSE,"IS";#N/A,#N/A,FALSE,"BS";#N/A,#N/A,FALSE,"CF";#N/A,#N/A,FALSE,"CE";#N/A,#N/A,FALSE,"Depr";#N/A,#N/A,FALSE,"APAL"}</definedName>
    <definedName name="wrn.Report1._5" localSheetId="2" hidden="1">{#N/A,#N/A,FALSE,"IS";#N/A,#N/A,FALSE,"BS";#N/A,#N/A,FALSE,"CF";#N/A,#N/A,FALSE,"CE";#N/A,#N/A,FALSE,"Depr";#N/A,#N/A,FALSE,"APAL"}</definedName>
    <definedName name="wrn.Report1._5" hidden="1">{#N/A,#N/A,FALSE,"IS";#N/A,#N/A,FALSE,"BS";#N/A,#N/A,FALSE,"CF";#N/A,#N/A,FALSE,"CE";#N/A,#N/A,FALSE,"Depr";#N/A,#N/A,FALSE,"APAL"}</definedName>
    <definedName name="wrn.Report1._5_1" localSheetId="2" hidden="1">{#N/A,#N/A,FALSE,"IS";#N/A,#N/A,FALSE,"BS";#N/A,#N/A,FALSE,"CF";#N/A,#N/A,FALSE,"CE";#N/A,#N/A,FALSE,"Depr";#N/A,#N/A,FALSE,"APAL"}</definedName>
    <definedName name="wrn.Report1._5_1" hidden="1">{#N/A,#N/A,FALSE,"IS";#N/A,#N/A,FALSE,"BS";#N/A,#N/A,FALSE,"CF";#N/A,#N/A,FALSE,"CE";#N/A,#N/A,FALSE,"Depr";#N/A,#N/A,FALSE,"APAL"}</definedName>
    <definedName name="wrn.Report1._5_2" localSheetId="2" hidden="1">{#N/A,#N/A,FALSE,"IS";#N/A,#N/A,FALSE,"BS";#N/A,#N/A,FALSE,"CF";#N/A,#N/A,FALSE,"CE";#N/A,#N/A,FALSE,"Depr";#N/A,#N/A,FALSE,"APAL"}</definedName>
    <definedName name="wrn.Report1._5_2" hidden="1">{#N/A,#N/A,FALSE,"IS";#N/A,#N/A,FALSE,"BS";#N/A,#N/A,FALSE,"CF";#N/A,#N/A,FALSE,"CE";#N/A,#N/A,FALSE,"Depr";#N/A,#N/A,FALSE,"APAL"}</definedName>
    <definedName name="wrn.Report1._5_3" localSheetId="2" hidden="1">{#N/A,#N/A,FALSE,"IS";#N/A,#N/A,FALSE,"BS";#N/A,#N/A,FALSE,"CF";#N/A,#N/A,FALSE,"CE";#N/A,#N/A,FALSE,"Depr";#N/A,#N/A,FALSE,"APAL"}</definedName>
    <definedName name="wrn.Report1._5_3" hidden="1">{#N/A,#N/A,FALSE,"IS";#N/A,#N/A,FALSE,"BS";#N/A,#N/A,FALSE,"CF";#N/A,#N/A,FALSE,"CE";#N/A,#N/A,FALSE,"Depr";#N/A,#N/A,FALSE,"APAL"}</definedName>
    <definedName name="wrn.Report1._5_4" localSheetId="2" hidden="1">{#N/A,#N/A,FALSE,"IS";#N/A,#N/A,FALSE,"BS";#N/A,#N/A,FALSE,"CF";#N/A,#N/A,FALSE,"CE";#N/A,#N/A,FALSE,"Depr";#N/A,#N/A,FALSE,"APAL"}</definedName>
    <definedName name="wrn.Report1._5_4" hidden="1">{#N/A,#N/A,FALSE,"IS";#N/A,#N/A,FALSE,"BS";#N/A,#N/A,FALSE,"CF";#N/A,#N/A,FALSE,"CE";#N/A,#N/A,FALSE,"Depr";#N/A,#N/A,FALSE,"APAL"}</definedName>
    <definedName name="wrn.Reports._.to._.EBITDARM."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SULTS." hidden="1">{#N/A,#N/A,FALSE,"HMF";#N/A,#N/A,FALSE,"FACIL";#N/A,#N/A,FALSE,"HMFINANCE";#N/A,#N/A,FALSE,"HMEUROPE";#N/A,#N/A,FALSE,"HHAB CONSO";#N/A,#N/A,FALSE,"PAB";#N/A,#N/A,FALSE,"MMC";#N/A,#N/A,FALSE,"THAI";#N/A,#N/A,FALSE,"SINPA";#N/A,#N/A,FALSE,"POLAND"}</definedName>
    <definedName name="wrn.REV1." localSheetId="2" hidden="1">{"FORM1",#N/A,FALSE,"Revenue";"FORMTR",#N/A,FALSE,"Revenue";"FORM3.1",#N/A,FALSE,"Revenue"}</definedName>
    <definedName name="wrn.REV1." hidden="1">{"FORM1",#N/A,FALSE,"Revenue";"FORMTR",#N/A,FALSE,"Revenue";"FORM3.1",#N/A,FALSE,"Revenue"}</definedName>
    <definedName name="wrn.REVENUE." localSheetId="2" hidden="1">{"FORM1",#N/A,TRUE,"Revenue";"FORM1.1",#N/A,TRUE,"Revenue";"FORM1.2",#N/A,TRUE,"Revenue";"FORM2",#N/A,TRUE,"Revenue";"FORM2.1",#N/A,TRUE,"Revenue"}</definedName>
    <definedName name="wrn.REVENUE." hidden="1">{"FORM1",#N/A,TRUE,"Revenue";"FORM1.1",#N/A,TRUE,"Revenue";"FORM1.2",#N/A,TRUE,"Revenue";"FORM2",#N/A,TRUE,"Revenue";"FORM2.1",#N/A,TRUE,"Revenue"}</definedName>
    <definedName name="wrn.review." hidden="1">{#N/A,#N/A,FALSE,"FRONTPG";#N/A,#N/A,FALSE,"STATUSREC";#N/A,#N/A,FALSE,"INELIG";#N/A,#N/A,FALSE,"ARACTIV";#N/A,#N/A,FALSE,"ARANAL";#N/A,#N/A,FALSE,"INVANAL";#N/A,#N/A,FALSE,"BALSHT";#N/A,#N/A,FALSE,"INCSTMT";#N/A,#N/A,FALSE,"CASHFLOW";#N/A,#N/A,FALSE,"TREND";#N/A,#N/A,FALSE,"LIAB"}</definedName>
    <definedName name="wrn.Review._.all."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iverwood_comp_model." hidden="1">{#N/A,#N/A,FALSE,"Che-Ga";#N/A,#N/A,FALSE,"Iv-Sm";#N/A,#N/A,FALSE,"So-We";#N/A,#N/A,FALSE,"Me-Po";#N/A,#N/A,FALSE,"Be-Bo";#N/A,#N/A,FALSE,"Cha-Ki";#N/A,#N/A,FALSE,"In";#N/A,#N/A,FALSE,"Schedule 23";#N/A,#N/A,FALSE,"Schedule 22";#N/A,#N/A,FALSE,"WACC"}</definedName>
    <definedName name="wrn.RPT." localSheetId="2"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AA94TAX."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f." hidden="1">{#N/A,#N/A,FALSE,"SAFILOR"}</definedName>
    <definedName name="wrn.sales." hidden="1">{"sales",#N/A,FALSE,"Sales";"sales existing",#N/A,FALSE,"Sales";"sales rd1",#N/A,FALSE,"Sales";"sales rd2",#N/A,FALSE,"Sales"}</definedName>
    <definedName name="wrn.SCA._.Acq.." hidden="1">{#N/A,#N/A,FALSE,"main";#N/A,#N/A,FALSE,"Pooling";#N/A,#N/A,FALSE,"Purchase"}</definedName>
    <definedName name="wrn.SCA._.AcqDisv." hidden="1">{#N/A,#N/A,FALSE,"main";#N/A,#N/A,FALSE,"Purchase"}</definedName>
    <definedName name="wrn.Scenario._.Analysis." hidden="1">{#N/A,"Base Case",FALSE,"Revenue";#N/A,"£6.25 Fee",FALSE,"Revenue"}</definedName>
    <definedName name="wrn.SGPMODELS." hidden="1">{"QTRINC1",#N/A,FALSE,"SGPNEW";"QTRINC2",#N/A,FALSE,"SGPNEW";"USSALES1",#N/A,FALSE,"SGPNEW";"USSALES2",#N/A,FALSE,"SGPNEW";"INTLSALES1",#N/A,FALSE,"SGPNEW";"INTLSALES2",#N/A,FALSE,"SGPNEW";"WWSALES1",#N/A,FALSE,"SGPNEW";"WWSALES2",#N/A,FALSE,"SGPNEW";"NEWPRODS",#N/A,FALSE,"SGPNEW";"CASHFLOW",#N/A,FALSE,"SGPNEW"}</definedName>
    <definedName name="wrn.Shareholders._.and._.Employees." hidden="1">{#N/A,#N/A,FALSE,"Share the Wealth";#N/A,#N/A,FALSE,"Shareholders vs Employees";#N/A,#N/A,FALSE,"Share vs Emp Summary"}</definedName>
    <definedName name="wrn.SHIN." localSheetId="2" hidden="1">{#N/A,#N/A,FALSE,"LANOS표면현황";#N/A,#N/A,FALSE,"표면처리업체별";#N/A,#N/A,FALSE,"사양별";#N/A,#N/A,FALSE,"제작업체별";#N/A,#N/A,FALSE,"장착부위";#N/A,#N/A,FALSE,"업체주소";#N/A,#N/A,FALSE,"불량현황"}</definedName>
    <definedName name="wrn.SHIN." hidden="1">{#N/A,#N/A,FALSE,"LANOS표면현황";#N/A,#N/A,FALSE,"표면처리업체별";#N/A,#N/A,FALSE,"사양별";#N/A,#N/A,FALSE,"제작업체별";#N/A,#N/A,FALSE,"장착부위";#N/A,#N/A,FALSE,"업체주소";#N/A,#N/A,FALSE,"불량현황"}</definedName>
    <definedName name="wrn.SKSCS1." hidden="1">{#N/A,#N/A,FALSE,"Antony Financials";#N/A,#N/A,FALSE,"Cowboy Financials";#N/A,#N/A,FALSE,"Combined";#N/A,#N/A,FALSE,"Valuematrix";#N/A,#N/A,FALSE,"DCFAntony";#N/A,#N/A,FALSE,"DCFCowboy";#N/A,#N/A,FALSE,"DCFCombined"}</definedName>
    <definedName name="wrn.SmarTone." hidden="1">{#N/A,#N/A,FALSE,"Financial data";#N/A,#N/A,FALSE,"Cellular analysis";#N/A,#N/A,FALSE,"Accounts detail";#N/A,#N/A,FALSE,"Valn's";#N/A,#N/A,FALSE,"Share price statistics"}</definedName>
    <definedName name="wrn.STAND_ALONE_BOTH." localSheetId="2" hidden="1">{"FCB_ALL",#N/A,FALSE,"FCB";"GREY_ALL",#N/A,FALSE,"GREY"}</definedName>
    <definedName name="wrn.STAND_ALONE_BOTH." hidden="1">{"FCB_ALL",#N/A,FALSE,"FCB";"GREY_ALL",#N/A,FALSE,"GREY"}</definedName>
    <definedName name="wrn.STAND_ALONE_BOTH._1" localSheetId="2" hidden="1">{"FCB_ALL",#N/A,FALSE,"FCB";"GREY_ALL",#N/A,FALSE,"GREY"}</definedName>
    <definedName name="wrn.STAND_ALONE_BOTH._1" hidden="1">{"FCB_ALL",#N/A,FALSE,"FCB";"GREY_ALL",#N/A,FALSE,"GREY"}</definedName>
    <definedName name="wrn.STAND_ALONE_BOTH._1_1" localSheetId="2" hidden="1">{"FCB_ALL",#N/A,FALSE,"FCB";"GREY_ALL",#N/A,FALSE,"GREY"}</definedName>
    <definedName name="wrn.STAND_ALONE_BOTH._1_1" hidden="1">{"FCB_ALL",#N/A,FALSE,"FCB";"GREY_ALL",#N/A,FALSE,"GREY"}</definedName>
    <definedName name="wrn.STAND_ALONE_BOTH._1_2" localSheetId="2" hidden="1">{"FCB_ALL",#N/A,FALSE,"FCB";"GREY_ALL",#N/A,FALSE,"GREY"}</definedName>
    <definedName name="wrn.STAND_ALONE_BOTH._1_2" hidden="1">{"FCB_ALL",#N/A,FALSE,"FCB";"GREY_ALL",#N/A,FALSE,"GREY"}</definedName>
    <definedName name="wrn.STAND_ALONE_BOTH._1_3" localSheetId="2" hidden="1">{"FCB_ALL",#N/A,FALSE,"FCB";"GREY_ALL",#N/A,FALSE,"GREY"}</definedName>
    <definedName name="wrn.STAND_ALONE_BOTH._1_3" hidden="1">{"FCB_ALL",#N/A,FALSE,"FCB";"GREY_ALL",#N/A,FALSE,"GREY"}</definedName>
    <definedName name="wrn.STAND_ALONE_BOTH._1_4" localSheetId="2" hidden="1">{"FCB_ALL",#N/A,FALSE,"FCB";"GREY_ALL",#N/A,FALSE,"GREY"}</definedName>
    <definedName name="wrn.STAND_ALONE_BOTH._1_4" hidden="1">{"FCB_ALL",#N/A,FALSE,"FCB";"GREY_ALL",#N/A,FALSE,"GREY"}</definedName>
    <definedName name="wrn.STAND_ALONE_BOTH._2" localSheetId="2" hidden="1">{"FCB_ALL",#N/A,FALSE,"FCB";"GREY_ALL",#N/A,FALSE,"GREY"}</definedName>
    <definedName name="wrn.STAND_ALONE_BOTH._2" hidden="1">{"FCB_ALL",#N/A,FALSE,"FCB";"GREY_ALL",#N/A,FALSE,"GREY"}</definedName>
    <definedName name="wrn.STAND_ALONE_BOTH._2_1" localSheetId="2" hidden="1">{"FCB_ALL",#N/A,FALSE,"FCB";"GREY_ALL",#N/A,FALSE,"GREY"}</definedName>
    <definedName name="wrn.STAND_ALONE_BOTH._2_1" hidden="1">{"FCB_ALL",#N/A,FALSE,"FCB";"GREY_ALL",#N/A,FALSE,"GREY"}</definedName>
    <definedName name="wrn.STAND_ALONE_BOTH._2_2" localSheetId="2" hidden="1">{"FCB_ALL",#N/A,FALSE,"FCB";"GREY_ALL",#N/A,FALSE,"GREY"}</definedName>
    <definedName name="wrn.STAND_ALONE_BOTH._2_2" hidden="1">{"FCB_ALL",#N/A,FALSE,"FCB";"GREY_ALL",#N/A,FALSE,"GREY"}</definedName>
    <definedName name="wrn.STAND_ALONE_BOTH._2_3" localSheetId="2" hidden="1">{"FCB_ALL",#N/A,FALSE,"FCB";"GREY_ALL",#N/A,FALSE,"GREY"}</definedName>
    <definedName name="wrn.STAND_ALONE_BOTH._2_3" hidden="1">{"FCB_ALL",#N/A,FALSE,"FCB";"GREY_ALL",#N/A,FALSE,"GREY"}</definedName>
    <definedName name="wrn.STAND_ALONE_BOTH._2_4" localSheetId="2" hidden="1">{"FCB_ALL",#N/A,FALSE,"FCB";"GREY_ALL",#N/A,FALSE,"GREY"}</definedName>
    <definedName name="wrn.STAND_ALONE_BOTH._2_4" hidden="1">{"FCB_ALL",#N/A,FALSE,"FCB";"GREY_ALL",#N/A,FALSE,"GREY"}</definedName>
    <definedName name="wrn.STAND_ALONE_BOTH._3" localSheetId="2" hidden="1">{"FCB_ALL",#N/A,FALSE,"FCB";"GREY_ALL",#N/A,FALSE,"GREY"}</definedName>
    <definedName name="wrn.STAND_ALONE_BOTH._3" hidden="1">{"FCB_ALL",#N/A,FALSE,"FCB";"GREY_ALL",#N/A,FALSE,"GREY"}</definedName>
    <definedName name="wrn.STAND_ALONE_BOTH._3_1" localSheetId="2" hidden="1">{"FCB_ALL",#N/A,FALSE,"FCB";"GREY_ALL",#N/A,FALSE,"GREY"}</definedName>
    <definedName name="wrn.STAND_ALONE_BOTH._3_1" hidden="1">{"FCB_ALL",#N/A,FALSE,"FCB";"GREY_ALL",#N/A,FALSE,"GREY"}</definedName>
    <definedName name="wrn.STAND_ALONE_BOTH._3_2" localSheetId="2" hidden="1">{"FCB_ALL",#N/A,FALSE,"FCB";"GREY_ALL",#N/A,FALSE,"GREY"}</definedName>
    <definedName name="wrn.STAND_ALONE_BOTH._3_2" hidden="1">{"FCB_ALL",#N/A,FALSE,"FCB";"GREY_ALL",#N/A,FALSE,"GREY"}</definedName>
    <definedName name="wrn.STAND_ALONE_BOTH._3_3" localSheetId="2" hidden="1">{"FCB_ALL",#N/A,FALSE,"FCB";"GREY_ALL",#N/A,FALSE,"GREY"}</definedName>
    <definedName name="wrn.STAND_ALONE_BOTH._3_3" hidden="1">{"FCB_ALL",#N/A,FALSE,"FCB";"GREY_ALL",#N/A,FALSE,"GREY"}</definedName>
    <definedName name="wrn.STAND_ALONE_BOTH._3_4" localSheetId="2" hidden="1">{"FCB_ALL",#N/A,FALSE,"FCB";"GREY_ALL",#N/A,FALSE,"GREY"}</definedName>
    <definedName name="wrn.STAND_ALONE_BOTH._3_4" hidden="1">{"FCB_ALL",#N/A,FALSE,"FCB";"GREY_ALL",#N/A,FALSE,"GREY"}</definedName>
    <definedName name="wrn.STAND_ALONE_BOTH._4" localSheetId="2" hidden="1">{"FCB_ALL",#N/A,FALSE,"FCB";"GREY_ALL",#N/A,FALSE,"GREY"}</definedName>
    <definedName name="wrn.STAND_ALONE_BOTH._4" hidden="1">{"FCB_ALL",#N/A,FALSE,"FCB";"GREY_ALL",#N/A,FALSE,"GREY"}</definedName>
    <definedName name="wrn.STAND_ALONE_BOTH._4_1" localSheetId="2" hidden="1">{"FCB_ALL",#N/A,FALSE,"FCB";"GREY_ALL",#N/A,FALSE,"GREY"}</definedName>
    <definedName name="wrn.STAND_ALONE_BOTH._4_1" hidden="1">{"FCB_ALL",#N/A,FALSE,"FCB";"GREY_ALL",#N/A,FALSE,"GREY"}</definedName>
    <definedName name="wrn.STAND_ALONE_BOTH._4_2" localSheetId="2" hidden="1">{"FCB_ALL",#N/A,FALSE,"FCB";"GREY_ALL",#N/A,FALSE,"GREY"}</definedName>
    <definedName name="wrn.STAND_ALONE_BOTH._4_2" hidden="1">{"FCB_ALL",#N/A,FALSE,"FCB";"GREY_ALL",#N/A,FALSE,"GREY"}</definedName>
    <definedName name="wrn.STAND_ALONE_BOTH._4_3" localSheetId="2" hidden="1">{"FCB_ALL",#N/A,FALSE,"FCB";"GREY_ALL",#N/A,FALSE,"GREY"}</definedName>
    <definedName name="wrn.STAND_ALONE_BOTH._4_3" hidden="1">{"FCB_ALL",#N/A,FALSE,"FCB";"GREY_ALL",#N/A,FALSE,"GREY"}</definedName>
    <definedName name="wrn.STAND_ALONE_BOTH._4_4" localSheetId="2" hidden="1">{"FCB_ALL",#N/A,FALSE,"FCB";"GREY_ALL",#N/A,FALSE,"GREY"}</definedName>
    <definedName name="wrn.STAND_ALONE_BOTH._4_4" hidden="1">{"FCB_ALL",#N/A,FALSE,"FCB";"GREY_ALL",#N/A,FALSE,"GREY"}</definedName>
    <definedName name="wrn.STAND_ALONE_BOTH._5" localSheetId="2" hidden="1">{"FCB_ALL",#N/A,FALSE,"FCB";"GREY_ALL",#N/A,FALSE,"GREY"}</definedName>
    <definedName name="wrn.STAND_ALONE_BOTH._5" hidden="1">{"FCB_ALL",#N/A,FALSE,"FCB";"GREY_ALL",#N/A,FALSE,"GREY"}</definedName>
    <definedName name="wrn.STAND_ALONE_BOTH._5_1" localSheetId="2" hidden="1">{"FCB_ALL",#N/A,FALSE,"FCB";"GREY_ALL",#N/A,FALSE,"GREY"}</definedName>
    <definedName name="wrn.STAND_ALONE_BOTH._5_1" hidden="1">{"FCB_ALL",#N/A,FALSE,"FCB";"GREY_ALL",#N/A,FALSE,"GREY"}</definedName>
    <definedName name="wrn.STAND_ALONE_BOTH._5_2" localSheetId="2" hidden="1">{"FCB_ALL",#N/A,FALSE,"FCB";"GREY_ALL",#N/A,FALSE,"GREY"}</definedName>
    <definedName name="wrn.STAND_ALONE_BOTH._5_2" hidden="1">{"FCB_ALL",#N/A,FALSE,"FCB";"GREY_ALL",#N/A,FALSE,"GREY"}</definedName>
    <definedName name="wrn.STAND_ALONE_BOTH._5_3" localSheetId="2" hidden="1">{"FCB_ALL",#N/A,FALSE,"FCB";"GREY_ALL",#N/A,FALSE,"GREY"}</definedName>
    <definedName name="wrn.STAND_ALONE_BOTH._5_3" hidden="1">{"FCB_ALL",#N/A,FALSE,"FCB";"GREY_ALL",#N/A,FALSE,"GREY"}</definedName>
    <definedName name="wrn.STAND_ALONE_BOTH._5_4" localSheetId="2" hidden="1">{"FCB_ALL",#N/A,FALSE,"FCB";"GREY_ALL",#N/A,FALSE,"GREY"}</definedName>
    <definedName name="wrn.STAND_ALONE_BOTH._5_4" hidden="1">{"FCB_ALL",#N/A,FALSE,"FCB";"GREY_ALL",#N/A,FALSE,"GREY"}</definedName>
    <definedName name="wrn.su." localSheetId="2"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SUMMARY." hidden="1">{"BS",#N/A,FALSE,"USA"}</definedName>
    <definedName name="wrn.Summary._.Reports."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Pgs." hidden="1">{#N/A,#N/A,FALSE,"CreditStat";#N/A,#N/A,FALSE,"SPbrkup";#N/A,#N/A,FALSE,"MerSPsyn";#N/A,#N/A,FALSE,"MerSPwKCsyn";#N/A,#N/A,FALSE,"MerSPwKCsyn (2)";#N/A,#N/A,FALSE,"CreditStat (2)"}</definedName>
    <definedName name="wrn.SunModel." hidden="1">{#N/A,#N/A,FALSE,"summary";#N/A,#N/A,FALSE,"SIH";#N/A,#N/A,FALSE,"SIH Value";#N/A,#N/A,FALSE,"tax est.";#N/A,#N/A,FALSE,"Mohegan";#N/A,#N/A,FALSE,"Resorts";#N/A,#N/A,FALSE,"Win Per Day";#N/A,#N/A,FALSE,"CapStr"}</definedName>
    <definedName name="wrn.T._.and._.E._.Report." localSheetId="2" hidden="1">{#N/A,#N/A,TRUE,"T&amp;E";#N/A,#N/A,TRUE,"BUS. ENT. DET."}</definedName>
    <definedName name="wrn.T._.and._.E._.Report." hidden="1">{#N/A,#N/A,TRUE,"T&amp;E";#N/A,#N/A,TRUE,"BUS. ENT. DET."}</definedName>
    <definedName name="wrn.Tables." hidden="1">{"view1",#N/A,FALSE,"Tables";"view2",#N/A,FALSE,"Tables";"view3",#N/A,FALSE,"Tables"}</definedName>
    <definedName name="wrn.todo." hidden="1">{#N/A,#N/A,FALSE,"Hip.Bas";#N/A,#N/A,FALSE,"ventas";#N/A,#N/A,FALSE,"ingre-Año";#N/A,#N/A,FALSE,"ventas-Año";#N/A,#N/A,FALSE,"Costepro";#N/A,#N/A,FALSE,"inversion";#N/A,#N/A,FALSE,"personal";#N/A,#N/A,FALSE,"Gastos-V";#N/A,#N/A,FALSE,"Circulante";#N/A,#N/A,FALSE,"CONSOLI";#N/A,#N/A,FALSE,"Es-Fin";#N/A,#N/A,FALSE,"Margen-P"}</definedName>
    <definedName name="wrn.totalcomp." hidden="1">{"comp1",#N/A,FALSE,"COMPS";"footnotes",#N/A,FALSE,"COMPS"}</definedName>
    <definedName name="wrn.tou구매." hidden="1">{#N/A,#N/A,FALSE,"견적대비-2"}</definedName>
    <definedName name="wrn.Tweety." hidden="1">{#N/A,#N/A,FALSE,"A&amp;E";#N/A,#N/A,FALSE,"HighTop";#N/A,#N/A,FALSE,"JG";#N/A,#N/A,FALSE,"RI";#N/A,#N/A,FALSE,"woHT";#N/A,#N/A,FALSE,"woHT&amp;JG"}</definedName>
    <definedName name="wrn.Tycon._.Model." hidden="1">{"rtn",#N/A,FALSE,"RTN";"tables",#N/A,FALSE,"RTN";"cf",#N/A,FALSE,"CF";"stats",#N/A,FALSE,"Stats";"prop",#N/A,FALSE,"Prop"}</definedName>
    <definedName name="wrn.Ü." hidden="1">{#N/A,#N/A,FALSE,"ITHALAT";#N/A,#N/A,FALSE,"ÜRETİM"}</definedName>
    <definedName name="wrn.Unicom._.Financial._.Model." localSheetId="2" hidden="1">{#N/A,#N/A,TRUE,"Cover";#N/A,#N/A,TRUE,"DCF Analysis";#N/A,#N/A,TRUE,"P&amp;L";#N/A,#N/A,TRUE,"BS";#N/A,#N/A,TRUE,"CF";#N/A,#N/A,TRUE,"Assumptions";#N/A,#N/A,TRUE,"Wireless";#N/A,#N/A,TRUE,"LD, Data &amp; Int.";#N/A,#N/A,TRUE,"Paging";#N/A,#N/A,TRUE,"Capex &amp; Depr.";#N/A,#N/A,TRUE,"Non-Op. &amp; Other Items"}</definedName>
    <definedName name="wrn.Unicom._.Financial._.Model." hidden="1">{#N/A,#N/A,TRUE,"Cover";#N/A,#N/A,TRUE,"DCF Analysis";#N/A,#N/A,TRUE,"P&amp;L";#N/A,#N/A,TRUE,"BS";#N/A,#N/A,TRUE,"CF";#N/A,#N/A,TRUE,"Assumptions";#N/A,#N/A,TRUE,"Wireless";#N/A,#N/A,TRUE,"LD, Data &amp; Int.";#N/A,#N/A,TRUE,"Paging";#N/A,#N/A,TRUE,"Capex &amp; Depr.";#N/A,#N/A,TRUE,"Non-Op. &amp; Other Items"}</definedName>
    <definedName name="wrn.Unicom._.Financial._.Model._1" localSheetId="2" hidden="1">{#N/A,#N/A,TRUE,"Cover";#N/A,#N/A,TRUE,"DCF Analysis";#N/A,#N/A,TRUE,"P&amp;L";#N/A,#N/A,TRUE,"BS";#N/A,#N/A,TRUE,"CF";#N/A,#N/A,TRUE,"Assumptions";#N/A,#N/A,TRUE,"Wireless";#N/A,#N/A,TRUE,"LD, Data &amp; Int.";#N/A,#N/A,TRUE,"Paging";#N/A,#N/A,TRUE,"Capex &amp; Depr.";#N/A,#N/A,TRUE,"Non-Op. &amp; Other Items"}</definedName>
    <definedName name="wrn.Unicom._.Financial._.Model._1" hidden="1">{#N/A,#N/A,TRUE,"Cover";#N/A,#N/A,TRUE,"DCF Analysis";#N/A,#N/A,TRUE,"P&amp;L";#N/A,#N/A,TRUE,"BS";#N/A,#N/A,TRUE,"CF";#N/A,#N/A,TRUE,"Assumptions";#N/A,#N/A,TRUE,"Wireless";#N/A,#N/A,TRUE,"LD, Data &amp; Int.";#N/A,#N/A,TRUE,"Paging";#N/A,#N/A,TRUE,"Capex &amp; Depr.";#N/A,#N/A,TRUE,"Non-Op. &amp; Other Items"}</definedName>
    <definedName name="wrn.Unicom._.Financial._.Model._1_1" localSheetId="2" hidden="1">{#N/A,#N/A,TRUE,"Cover";#N/A,#N/A,TRUE,"DCF Analysis";#N/A,#N/A,TRUE,"P&amp;L";#N/A,#N/A,TRUE,"BS";#N/A,#N/A,TRUE,"CF";#N/A,#N/A,TRUE,"Assumptions";#N/A,#N/A,TRUE,"Wireless";#N/A,#N/A,TRUE,"LD, Data &amp; Int.";#N/A,#N/A,TRUE,"Paging";#N/A,#N/A,TRUE,"Capex &amp; Depr.";#N/A,#N/A,TRUE,"Non-Op. &amp; Other Items"}</definedName>
    <definedName name="wrn.Unicom._.Financial._.Model._1_1" hidden="1">{#N/A,#N/A,TRUE,"Cover";#N/A,#N/A,TRUE,"DCF Analysis";#N/A,#N/A,TRUE,"P&amp;L";#N/A,#N/A,TRUE,"BS";#N/A,#N/A,TRUE,"CF";#N/A,#N/A,TRUE,"Assumptions";#N/A,#N/A,TRUE,"Wireless";#N/A,#N/A,TRUE,"LD, Data &amp; Int.";#N/A,#N/A,TRUE,"Paging";#N/A,#N/A,TRUE,"Capex &amp; Depr.";#N/A,#N/A,TRUE,"Non-Op. &amp; Other Items"}</definedName>
    <definedName name="wrn.Unicom._.Financial._.Model._1_2" localSheetId="2" hidden="1">{#N/A,#N/A,TRUE,"Cover";#N/A,#N/A,TRUE,"DCF Analysis";#N/A,#N/A,TRUE,"P&amp;L";#N/A,#N/A,TRUE,"BS";#N/A,#N/A,TRUE,"CF";#N/A,#N/A,TRUE,"Assumptions";#N/A,#N/A,TRUE,"Wireless";#N/A,#N/A,TRUE,"LD, Data &amp; Int.";#N/A,#N/A,TRUE,"Paging";#N/A,#N/A,TRUE,"Capex &amp; Depr.";#N/A,#N/A,TRUE,"Non-Op. &amp; Other Items"}</definedName>
    <definedName name="wrn.Unicom._.Financial._.Model._1_2" hidden="1">{#N/A,#N/A,TRUE,"Cover";#N/A,#N/A,TRUE,"DCF Analysis";#N/A,#N/A,TRUE,"P&amp;L";#N/A,#N/A,TRUE,"BS";#N/A,#N/A,TRUE,"CF";#N/A,#N/A,TRUE,"Assumptions";#N/A,#N/A,TRUE,"Wireless";#N/A,#N/A,TRUE,"LD, Data &amp; Int.";#N/A,#N/A,TRUE,"Paging";#N/A,#N/A,TRUE,"Capex &amp; Depr.";#N/A,#N/A,TRUE,"Non-Op. &amp; Other Items"}</definedName>
    <definedName name="wrn.Unicom._.Financial._.Model._1_3" localSheetId="2" hidden="1">{#N/A,#N/A,TRUE,"Cover";#N/A,#N/A,TRUE,"DCF Analysis";#N/A,#N/A,TRUE,"P&amp;L";#N/A,#N/A,TRUE,"BS";#N/A,#N/A,TRUE,"CF";#N/A,#N/A,TRUE,"Assumptions";#N/A,#N/A,TRUE,"Wireless";#N/A,#N/A,TRUE,"LD, Data &amp; Int.";#N/A,#N/A,TRUE,"Paging";#N/A,#N/A,TRUE,"Capex &amp; Depr.";#N/A,#N/A,TRUE,"Non-Op. &amp; Other Items"}</definedName>
    <definedName name="wrn.Unicom._.Financial._.Model._1_3" hidden="1">{#N/A,#N/A,TRUE,"Cover";#N/A,#N/A,TRUE,"DCF Analysis";#N/A,#N/A,TRUE,"P&amp;L";#N/A,#N/A,TRUE,"BS";#N/A,#N/A,TRUE,"CF";#N/A,#N/A,TRUE,"Assumptions";#N/A,#N/A,TRUE,"Wireless";#N/A,#N/A,TRUE,"LD, Data &amp; Int.";#N/A,#N/A,TRUE,"Paging";#N/A,#N/A,TRUE,"Capex &amp; Depr.";#N/A,#N/A,TRUE,"Non-Op. &amp; Other Items"}</definedName>
    <definedName name="wrn.Unicom._.Financial._.Model._1_4" localSheetId="2" hidden="1">{#N/A,#N/A,TRUE,"Cover";#N/A,#N/A,TRUE,"DCF Analysis";#N/A,#N/A,TRUE,"P&amp;L";#N/A,#N/A,TRUE,"BS";#N/A,#N/A,TRUE,"CF";#N/A,#N/A,TRUE,"Assumptions";#N/A,#N/A,TRUE,"Wireless";#N/A,#N/A,TRUE,"LD, Data &amp; Int.";#N/A,#N/A,TRUE,"Paging";#N/A,#N/A,TRUE,"Capex &amp; Depr.";#N/A,#N/A,TRUE,"Non-Op. &amp; Other Items"}</definedName>
    <definedName name="wrn.Unicom._.Financial._.Model._1_4" hidden="1">{#N/A,#N/A,TRUE,"Cover";#N/A,#N/A,TRUE,"DCF Analysis";#N/A,#N/A,TRUE,"P&amp;L";#N/A,#N/A,TRUE,"BS";#N/A,#N/A,TRUE,"CF";#N/A,#N/A,TRUE,"Assumptions";#N/A,#N/A,TRUE,"Wireless";#N/A,#N/A,TRUE,"LD, Data &amp; Int.";#N/A,#N/A,TRUE,"Paging";#N/A,#N/A,TRUE,"Capex &amp; Depr.";#N/A,#N/A,TRUE,"Non-Op. &amp; Other Items"}</definedName>
    <definedName name="wrn.Unicom._.Financial._.Model._2" localSheetId="2" hidden="1">{#N/A,#N/A,TRUE,"Cover";#N/A,#N/A,TRUE,"DCF Analysis";#N/A,#N/A,TRUE,"P&amp;L";#N/A,#N/A,TRUE,"BS";#N/A,#N/A,TRUE,"CF";#N/A,#N/A,TRUE,"Assumptions";#N/A,#N/A,TRUE,"Wireless";#N/A,#N/A,TRUE,"LD, Data &amp; Int.";#N/A,#N/A,TRUE,"Paging";#N/A,#N/A,TRUE,"Capex &amp; Depr.";#N/A,#N/A,TRUE,"Non-Op. &amp; Other Items"}</definedName>
    <definedName name="wrn.Unicom._.Financial._.Model._2" hidden="1">{#N/A,#N/A,TRUE,"Cover";#N/A,#N/A,TRUE,"DCF Analysis";#N/A,#N/A,TRUE,"P&amp;L";#N/A,#N/A,TRUE,"BS";#N/A,#N/A,TRUE,"CF";#N/A,#N/A,TRUE,"Assumptions";#N/A,#N/A,TRUE,"Wireless";#N/A,#N/A,TRUE,"LD, Data &amp; Int.";#N/A,#N/A,TRUE,"Paging";#N/A,#N/A,TRUE,"Capex &amp; Depr.";#N/A,#N/A,TRUE,"Non-Op. &amp; Other Items"}</definedName>
    <definedName name="wrn.Unicom._.Financial._.Model._2_1" localSheetId="2" hidden="1">{#N/A,#N/A,TRUE,"Cover";#N/A,#N/A,TRUE,"DCF Analysis";#N/A,#N/A,TRUE,"P&amp;L";#N/A,#N/A,TRUE,"BS";#N/A,#N/A,TRUE,"CF";#N/A,#N/A,TRUE,"Assumptions";#N/A,#N/A,TRUE,"Wireless";#N/A,#N/A,TRUE,"LD, Data &amp; Int.";#N/A,#N/A,TRUE,"Paging";#N/A,#N/A,TRUE,"Capex &amp; Depr.";#N/A,#N/A,TRUE,"Non-Op. &amp; Other Items"}</definedName>
    <definedName name="wrn.Unicom._.Financial._.Model._2_1" hidden="1">{#N/A,#N/A,TRUE,"Cover";#N/A,#N/A,TRUE,"DCF Analysis";#N/A,#N/A,TRUE,"P&amp;L";#N/A,#N/A,TRUE,"BS";#N/A,#N/A,TRUE,"CF";#N/A,#N/A,TRUE,"Assumptions";#N/A,#N/A,TRUE,"Wireless";#N/A,#N/A,TRUE,"LD, Data &amp; Int.";#N/A,#N/A,TRUE,"Paging";#N/A,#N/A,TRUE,"Capex &amp; Depr.";#N/A,#N/A,TRUE,"Non-Op. &amp; Other Items"}</definedName>
    <definedName name="wrn.Unicom._.Financial._.Model._2_2" localSheetId="2" hidden="1">{#N/A,#N/A,TRUE,"Cover";#N/A,#N/A,TRUE,"DCF Analysis";#N/A,#N/A,TRUE,"P&amp;L";#N/A,#N/A,TRUE,"BS";#N/A,#N/A,TRUE,"CF";#N/A,#N/A,TRUE,"Assumptions";#N/A,#N/A,TRUE,"Wireless";#N/A,#N/A,TRUE,"LD, Data &amp; Int.";#N/A,#N/A,TRUE,"Paging";#N/A,#N/A,TRUE,"Capex &amp; Depr.";#N/A,#N/A,TRUE,"Non-Op. &amp; Other Items"}</definedName>
    <definedName name="wrn.Unicom._.Financial._.Model._2_2" hidden="1">{#N/A,#N/A,TRUE,"Cover";#N/A,#N/A,TRUE,"DCF Analysis";#N/A,#N/A,TRUE,"P&amp;L";#N/A,#N/A,TRUE,"BS";#N/A,#N/A,TRUE,"CF";#N/A,#N/A,TRUE,"Assumptions";#N/A,#N/A,TRUE,"Wireless";#N/A,#N/A,TRUE,"LD, Data &amp; Int.";#N/A,#N/A,TRUE,"Paging";#N/A,#N/A,TRUE,"Capex &amp; Depr.";#N/A,#N/A,TRUE,"Non-Op. &amp; Other Items"}</definedName>
    <definedName name="wrn.Unicom._.Financial._.Model._2_3" localSheetId="2" hidden="1">{#N/A,#N/A,TRUE,"Cover";#N/A,#N/A,TRUE,"DCF Analysis";#N/A,#N/A,TRUE,"P&amp;L";#N/A,#N/A,TRUE,"BS";#N/A,#N/A,TRUE,"CF";#N/A,#N/A,TRUE,"Assumptions";#N/A,#N/A,TRUE,"Wireless";#N/A,#N/A,TRUE,"LD, Data &amp; Int.";#N/A,#N/A,TRUE,"Paging";#N/A,#N/A,TRUE,"Capex &amp; Depr.";#N/A,#N/A,TRUE,"Non-Op. &amp; Other Items"}</definedName>
    <definedName name="wrn.Unicom._.Financial._.Model._2_3" hidden="1">{#N/A,#N/A,TRUE,"Cover";#N/A,#N/A,TRUE,"DCF Analysis";#N/A,#N/A,TRUE,"P&amp;L";#N/A,#N/A,TRUE,"BS";#N/A,#N/A,TRUE,"CF";#N/A,#N/A,TRUE,"Assumptions";#N/A,#N/A,TRUE,"Wireless";#N/A,#N/A,TRUE,"LD, Data &amp; Int.";#N/A,#N/A,TRUE,"Paging";#N/A,#N/A,TRUE,"Capex &amp; Depr.";#N/A,#N/A,TRUE,"Non-Op. &amp; Other Items"}</definedName>
    <definedName name="wrn.Unicom._.Financial._.Model._2_4" localSheetId="2" hidden="1">{#N/A,#N/A,TRUE,"Cover";#N/A,#N/A,TRUE,"DCF Analysis";#N/A,#N/A,TRUE,"P&amp;L";#N/A,#N/A,TRUE,"BS";#N/A,#N/A,TRUE,"CF";#N/A,#N/A,TRUE,"Assumptions";#N/A,#N/A,TRUE,"Wireless";#N/A,#N/A,TRUE,"LD, Data &amp; Int.";#N/A,#N/A,TRUE,"Paging";#N/A,#N/A,TRUE,"Capex &amp; Depr.";#N/A,#N/A,TRUE,"Non-Op. &amp; Other Items"}</definedName>
    <definedName name="wrn.Unicom._.Financial._.Model._2_4" hidden="1">{#N/A,#N/A,TRUE,"Cover";#N/A,#N/A,TRUE,"DCF Analysis";#N/A,#N/A,TRUE,"P&amp;L";#N/A,#N/A,TRUE,"BS";#N/A,#N/A,TRUE,"CF";#N/A,#N/A,TRUE,"Assumptions";#N/A,#N/A,TRUE,"Wireless";#N/A,#N/A,TRUE,"LD, Data &amp; Int.";#N/A,#N/A,TRUE,"Paging";#N/A,#N/A,TRUE,"Capex &amp; Depr.";#N/A,#N/A,TRUE,"Non-Op. &amp; Other Items"}</definedName>
    <definedName name="wrn.Unicom._.Financial._.Model._3" localSheetId="2" hidden="1">{#N/A,#N/A,TRUE,"Cover";#N/A,#N/A,TRUE,"DCF Analysis";#N/A,#N/A,TRUE,"P&amp;L";#N/A,#N/A,TRUE,"BS";#N/A,#N/A,TRUE,"CF";#N/A,#N/A,TRUE,"Assumptions";#N/A,#N/A,TRUE,"Wireless";#N/A,#N/A,TRUE,"LD, Data &amp; Int.";#N/A,#N/A,TRUE,"Paging";#N/A,#N/A,TRUE,"Capex &amp; Depr.";#N/A,#N/A,TRUE,"Non-Op. &amp; Other Items"}</definedName>
    <definedName name="wrn.Unicom._.Financial._.Model._3" hidden="1">{#N/A,#N/A,TRUE,"Cover";#N/A,#N/A,TRUE,"DCF Analysis";#N/A,#N/A,TRUE,"P&amp;L";#N/A,#N/A,TRUE,"BS";#N/A,#N/A,TRUE,"CF";#N/A,#N/A,TRUE,"Assumptions";#N/A,#N/A,TRUE,"Wireless";#N/A,#N/A,TRUE,"LD, Data &amp; Int.";#N/A,#N/A,TRUE,"Paging";#N/A,#N/A,TRUE,"Capex &amp; Depr.";#N/A,#N/A,TRUE,"Non-Op. &amp; Other Items"}</definedName>
    <definedName name="wrn.Unicom._.Financial._.Model._3_1" localSheetId="2" hidden="1">{#N/A,#N/A,TRUE,"Cover";#N/A,#N/A,TRUE,"DCF Analysis";#N/A,#N/A,TRUE,"P&amp;L";#N/A,#N/A,TRUE,"BS";#N/A,#N/A,TRUE,"CF";#N/A,#N/A,TRUE,"Assumptions";#N/A,#N/A,TRUE,"Wireless";#N/A,#N/A,TRUE,"LD, Data &amp; Int.";#N/A,#N/A,TRUE,"Paging";#N/A,#N/A,TRUE,"Capex &amp; Depr.";#N/A,#N/A,TRUE,"Non-Op. &amp; Other Items"}</definedName>
    <definedName name="wrn.Unicom._.Financial._.Model._3_1" hidden="1">{#N/A,#N/A,TRUE,"Cover";#N/A,#N/A,TRUE,"DCF Analysis";#N/A,#N/A,TRUE,"P&amp;L";#N/A,#N/A,TRUE,"BS";#N/A,#N/A,TRUE,"CF";#N/A,#N/A,TRUE,"Assumptions";#N/A,#N/A,TRUE,"Wireless";#N/A,#N/A,TRUE,"LD, Data &amp; Int.";#N/A,#N/A,TRUE,"Paging";#N/A,#N/A,TRUE,"Capex &amp; Depr.";#N/A,#N/A,TRUE,"Non-Op. &amp; Other Items"}</definedName>
    <definedName name="wrn.Unicom._.Financial._.Model._3_2" localSheetId="2" hidden="1">{#N/A,#N/A,TRUE,"Cover";#N/A,#N/A,TRUE,"DCF Analysis";#N/A,#N/A,TRUE,"P&amp;L";#N/A,#N/A,TRUE,"BS";#N/A,#N/A,TRUE,"CF";#N/A,#N/A,TRUE,"Assumptions";#N/A,#N/A,TRUE,"Wireless";#N/A,#N/A,TRUE,"LD, Data &amp; Int.";#N/A,#N/A,TRUE,"Paging";#N/A,#N/A,TRUE,"Capex &amp; Depr.";#N/A,#N/A,TRUE,"Non-Op. &amp; Other Items"}</definedName>
    <definedName name="wrn.Unicom._.Financial._.Model._3_2" hidden="1">{#N/A,#N/A,TRUE,"Cover";#N/A,#N/A,TRUE,"DCF Analysis";#N/A,#N/A,TRUE,"P&amp;L";#N/A,#N/A,TRUE,"BS";#N/A,#N/A,TRUE,"CF";#N/A,#N/A,TRUE,"Assumptions";#N/A,#N/A,TRUE,"Wireless";#N/A,#N/A,TRUE,"LD, Data &amp; Int.";#N/A,#N/A,TRUE,"Paging";#N/A,#N/A,TRUE,"Capex &amp; Depr.";#N/A,#N/A,TRUE,"Non-Op. &amp; Other Items"}</definedName>
    <definedName name="wrn.Unicom._.Financial._.Model._3_3" localSheetId="2" hidden="1">{#N/A,#N/A,TRUE,"Cover";#N/A,#N/A,TRUE,"DCF Analysis";#N/A,#N/A,TRUE,"P&amp;L";#N/A,#N/A,TRUE,"BS";#N/A,#N/A,TRUE,"CF";#N/A,#N/A,TRUE,"Assumptions";#N/A,#N/A,TRUE,"Wireless";#N/A,#N/A,TRUE,"LD, Data &amp; Int.";#N/A,#N/A,TRUE,"Paging";#N/A,#N/A,TRUE,"Capex &amp; Depr.";#N/A,#N/A,TRUE,"Non-Op. &amp; Other Items"}</definedName>
    <definedName name="wrn.Unicom._.Financial._.Model._3_3" hidden="1">{#N/A,#N/A,TRUE,"Cover";#N/A,#N/A,TRUE,"DCF Analysis";#N/A,#N/A,TRUE,"P&amp;L";#N/A,#N/A,TRUE,"BS";#N/A,#N/A,TRUE,"CF";#N/A,#N/A,TRUE,"Assumptions";#N/A,#N/A,TRUE,"Wireless";#N/A,#N/A,TRUE,"LD, Data &amp; Int.";#N/A,#N/A,TRUE,"Paging";#N/A,#N/A,TRUE,"Capex &amp; Depr.";#N/A,#N/A,TRUE,"Non-Op. &amp; Other Items"}</definedName>
    <definedName name="wrn.Unicom._.Financial._.Model._3_4" localSheetId="2" hidden="1">{#N/A,#N/A,TRUE,"Cover";#N/A,#N/A,TRUE,"DCF Analysis";#N/A,#N/A,TRUE,"P&amp;L";#N/A,#N/A,TRUE,"BS";#N/A,#N/A,TRUE,"CF";#N/A,#N/A,TRUE,"Assumptions";#N/A,#N/A,TRUE,"Wireless";#N/A,#N/A,TRUE,"LD, Data &amp; Int.";#N/A,#N/A,TRUE,"Paging";#N/A,#N/A,TRUE,"Capex &amp; Depr.";#N/A,#N/A,TRUE,"Non-Op. &amp; Other Items"}</definedName>
    <definedName name="wrn.Unicom._.Financial._.Model._3_4" hidden="1">{#N/A,#N/A,TRUE,"Cover";#N/A,#N/A,TRUE,"DCF Analysis";#N/A,#N/A,TRUE,"P&amp;L";#N/A,#N/A,TRUE,"BS";#N/A,#N/A,TRUE,"CF";#N/A,#N/A,TRUE,"Assumptions";#N/A,#N/A,TRUE,"Wireless";#N/A,#N/A,TRUE,"LD, Data &amp; Int.";#N/A,#N/A,TRUE,"Paging";#N/A,#N/A,TRUE,"Capex &amp; Depr.";#N/A,#N/A,TRUE,"Non-Op. &amp; Other Items"}</definedName>
    <definedName name="wrn.Unicom._.Financial._.Model._4" localSheetId="2" hidden="1">{#N/A,#N/A,TRUE,"Cover";#N/A,#N/A,TRUE,"DCF Analysis";#N/A,#N/A,TRUE,"P&amp;L";#N/A,#N/A,TRUE,"BS";#N/A,#N/A,TRUE,"CF";#N/A,#N/A,TRUE,"Assumptions";#N/A,#N/A,TRUE,"Wireless";#N/A,#N/A,TRUE,"LD, Data &amp; Int.";#N/A,#N/A,TRUE,"Paging";#N/A,#N/A,TRUE,"Capex &amp; Depr.";#N/A,#N/A,TRUE,"Non-Op. &amp; Other Items"}</definedName>
    <definedName name="wrn.Unicom._.Financial._.Model._4" hidden="1">{#N/A,#N/A,TRUE,"Cover";#N/A,#N/A,TRUE,"DCF Analysis";#N/A,#N/A,TRUE,"P&amp;L";#N/A,#N/A,TRUE,"BS";#N/A,#N/A,TRUE,"CF";#N/A,#N/A,TRUE,"Assumptions";#N/A,#N/A,TRUE,"Wireless";#N/A,#N/A,TRUE,"LD, Data &amp; Int.";#N/A,#N/A,TRUE,"Paging";#N/A,#N/A,TRUE,"Capex &amp; Depr.";#N/A,#N/A,TRUE,"Non-Op. &amp; Other Items"}</definedName>
    <definedName name="wrn.Unicom._.Financial._.Model._4_1" localSheetId="2" hidden="1">{#N/A,#N/A,TRUE,"Cover";#N/A,#N/A,TRUE,"DCF Analysis";#N/A,#N/A,TRUE,"P&amp;L";#N/A,#N/A,TRUE,"BS";#N/A,#N/A,TRUE,"CF";#N/A,#N/A,TRUE,"Assumptions";#N/A,#N/A,TRUE,"Wireless";#N/A,#N/A,TRUE,"LD, Data &amp; Int.";#N/A,#N/A,TRUE,"Paging";#N/A,#N/A,TRUE,"Capex &amp; Depr.";#N/A,#N/A,TRUE,"Non-Op. &amp; Other Items"}</definedName>
    <definedName name="wrn.Unicom._.Financial._.Model._4_1" hidden="1">{#N/A,#N/A,TRUE,"Cover";#N/A,#N/A,TRUE,"DCF Analysis";#N/A,#N/A,TRUE,"P&amp;L";#N/A,#N/A,TRUE,"BS";#N/A,#N/A,TRUE,"CF";#N/A,#N/A,TRUE,"Assumptions";#N/A,#N/A,TRUE,"Wireless";#N/A,#N/A,TRUE,"LD, Data &amp; Int.";#N/A,#N/A,TRUE,"Paging";#N/A,#N/A,TRUE,"Capex &amp; Depr.";#N/A,#N/A,TRUE,"Non-Op. &amp; Other Items"}</definedName>
    <definedName name="wrn.Unicom._.Financial._.Model._4_2" localSheetId="2" hidden="1">{#N/A,#N/A,TRUE,"Cover";#N/A,#N/A,TRUE,"DCF Analysis";#N/A,#N/A,TRUE,"P&amp;L";#N/A,#N/A,TRUE,"BS";#N/A,#N/A,TRUE,"CF";#N/A,#N/A,TRUE,"Assumptions";#N/A,#N/A,TRUE,"Wireless";#N/A,#N/A,TRUE,"LD, Data &amp; Int.";#N/A,#N/A,TRUE,"Paging";#N/A,#N/A,TRUE,"Capex &amp; Depr.";#N/A,#N/A,TRUE,"Non-Op. &amp; Other Items"}</definedName>
    <definedName name="wrn.Unicom._.Financial._.Model._4_2" hidden="1">{#N/A,#N/A,TRUE,"Cover";#N/A,#N/A,TRUE,"DCF Analysis";#N/A,#N/A,TRUE,"P&amp;L";#N/A,#N/A,TRUE,"BS";#N/A,#N/A,TRUE,"CF";#N/A,#N/A,TRUE,"Assumptions";#N/A,#N/A,TRUE,"Wireless";#N/A,#N/A,TRUE,"LD, Data &amp; Int.";#N/A,#N/A,TRUE,"Paging";#N/A,#N/A,TRUE,"Capex &amp; Depr.";#N/A,#N/A,TRUE,"Non-Op. &amp; Other Items"}</definedName>
    <definedName name="wrn.Unicom._.Financial._.Model._4_3" localSheetId="2" hidden="1">{#N/A,#N/A,TRUE,"Cover";#N/A,#N/A,TRUE,"DCF Analysis";#N/A,#N/A,TRUE,"P&amp;L";#N/A,#N/A,TRUE,"BS";#N/A,#N/A,TRUE,"CF";#N/A,#N/A,TRUE,"Assumptions";#N/A,#N/A,TRUE,"Wireless";#N/A,#N/A,TRUE,"LD, Data &amp; Int.";#N/A,#N/A,TRUE,"Paging";#N/A,#N/A,TRUE,"Capex &amp; Depr.";#N/A,#N/A,TRUE,"Non-Op. &amp; Other Items"}</definedName>
    <definedName name="wrn.Unicom._.Financial._.Model._4_3" hidden="1">{#N/A,#N/A,TRUE,"Cover";#N/A,#N/A,TRUE,"DCF Analysis";#N/A,#N/A,TRUE,"P&amp;L";#N/A,#N/A,TRUE,"BS";#N/A,#N/A,TRUE,"CF";#N/A,#N/A,TRUE,"Assumptions";#N/A,#N/A,TRUE,"Wireless";#N/A,#N/A,TRUE,"LD, Data &amp; Int.";#N/A,#N/A,TRUE,"Paging";#N/A,#N/A,TRUE,"Capex &amp; Depr.";#N/A,#N/A,TRUE,"Non-Op. &amp; Other Items"}</definedName>
    <definedName name="wrn.Unicom._.Financial._.Model._4_4" localSheetId="2" hidden="1">{#N/A,#N/A,TRUE,"Cover";#N/A,#N/A,TRUE,"DCF Analysis";#N/A,#N/A,TRUE,"P&amp;L";#N/A,#N/A,TRUE,"BS";#N/A,#N/A,TRUE,"CF";#N/A,#N/A,TRUE,"Assumptions";#N/A,#N/A,TRUE,"Wireless";#N/A,#N/A,TRUE,"LD, Data &amp; Int.";#N/A,#N/A,TRUE,"Paging";#N/A,#N/A,TRUE,"Capex &amp; Depr.";#N/A,#N/A,TRUE,"Non-Op. &amp; Other Items"}</definedName>
    <definedName name="wrn.Unicom._.Financial._.Model._4_4" hidden="1">{#N/A,#N/A,TRUE,"Cover";#N/A,#N/A,TRUE,"DCF Analysis";#N/A,#N/A,TRUE,"P&amp;L";#N/A,#N/A,TRUE,"BS";#N/A,#N/A,TRUE,"CF";#N/A,#N/A,TRUE,"Assumptions";#N/A,#N/A,TRUE,"Wireless";#N/A,#N/A,TRUE,"LD, Data &amp; Int.";#N/A,#N/A,TRUE,"Paging";#N/A,#N/A,TRUE,"Capex &amp; Depr.";#N/A,#N/A,TRUE,"Non-Op. &amp; Other Items"}</definedName>
    <definedName name="wrn.Unicom._.Financial._.Model._5" localSheetId="2" hidden="1">{#N/A,#N/A,TRUE,"Cover";#N/A,#N/A,TRUE,"DCF Analysis";#N/A,#N/A,TRUE,"P&amp;L";#N/A,#N/A,TRUE,"BS";#N/A,#N/A,TRUE,"CF";#N/A,#N/A,TRUE,"Assumptions";#N/A,#N/A,TRUE,"Wireless";#N/A,#N/A,TRUE,"LD, Data &amp; Int.";#N/A,#N/A,TRUE,"Paging";#N/A,#N/A,TRUE,"Capex &amp; Depr.";#N/A,#N/A,TRUE,"Non-Op. &amp; Other Items"}</definedName>
    <definedName name="wrn.Unicom._.Financial._.Model._5" hidden="1">{#N/A,#N/A,TRUE,"Cover";#N/A,#N/A,TRUE,"DCF Analysis";#N/A,#N/A,TRUE,"P&amp;L";#N/A,#N/A,TRUE,"BS";#N/A,#N/A,TRUE,"CF";#N/A,#N/A,TRUE,"Assumptions";#N/A,#N/A,TRUE,"Wireless";#N/A,#N/A,TRUE,"LD, Data &amp; Int.";#N/A,#N/A,TRUE,"Paging";#N/A,#N/A,TRUE,"Capex &amp; Depr.";#N/A,#N/A,TRUE,"Non-Op. &amp; Other Items"}</definedName>
    <definedName name="wrn.Unicom._.Financial._.Model._5_1" localSheetId="2" hidden="1">{#N/A,#N/A,TRUE,"Cover";#N/A,#N/A,TRUE,"DCF Analysis";#N/A,#N/A,TRUE,"P&amp;L";#N/A,#N/A,TRUE,"BS";#N/A,#N/A,TRUE,"CF";#N/A,#N/A,TRUE,"Assumptions";#N/A,#N/A,TRUE,"Wireless";#N/A,#N/A,TRUE,"LD, Data &amp; Int.";#N/A,#N/A,TRUE,"Paging";#N/A,#N/A,TRUE,"Capex &amp; Depr.";#N/A,#N/A,TRUE,"Non-Op. &amp; Other Items"}</definedName>
    <definedName name="wrn.Unicom._.Financial._.Model._5_1" hidden="1">{#N/A,#N/A,TRUE,"Cover";#N/A,#N/A,TRUE,"DCF Analysis";#N/A,#N/A,TRUE,"P&amp;L";#N/A,#N/A,TRUE,"BS";#N/A,#N/A,TRUE,"CF";#N/A,#N/A,TRUE,"Assumptions";#N/A,#N/A,TRUE,"Wireless";#N/A,#N/A,TRUE,"LD, Data &amp; Int.";#N/A,#N/A,TRUE,"Paging";#N/A,#N/A,TRUE,"Capex &amp; Depr.";#N/A,#N/A,TRUE,"Non-Op. &amp; Other Items"}</definedName>
    <definedName name="wrn.Unicom._.Financial._.Model._5_2" localSheetId="2" hidden="1">{#N/A,#N/A,TRUE,"Cover";#N/A,#N/A,TRUE,"DCF Analysis";#N/A,#N/A,TRUE,"P&amp;L";#N/A,#N/A,TRUE,"BS";#N/A,#N/A,TRUE,"CF";#N/A,#N/A,TRUE,"Assumptions";#N/A,#N/A,TRUE,"Wireless";#N/A,#N/A,TRUE,"LD, Data &amp; Int.";#N/A,#N/A,TRUE,"Paging";#N/A,#N/A,TRUE,"Capex &amp; Depr.";#N/A,#N/A,TRUE,"Non-Op. &amp; Other Items"}</definedName>
    <definedName name="wrn.Unicom._.Financial._.Model._5_2" hidden="1">{#N/A,#N/A,TRUE,"Cover";#N/A,#N/A,TRUE,"DCF Analysis";#N/A,#N/A,TRUE,"P&amp;L";#N/A,#N/A,TRUE,"BS";#N/A,#N/A,TRUE,"CF";#N/A,#N/A,TRUE,"Assumptions";#N/A,#N/A,TRUE,"Wireless";#N/A,#N/A,TRUE,"LD, Data &amp; Int.";#N/A,#N/A,TRUE,"Paging";#N/A,#N/A,TRUE,"Capex &amp; Depr.";#N/A,#N/A,TRUE,"Non-Op. &amp; Other Items"}</definedName>
    <definedName name="wrn.Unicom._.Financial._.Model._5_3" localSheetId="2" hidden="1">{#N/A,#N/A,TRUE,"Cover";#N/A,#N/A,TRUE,"DCF Analysis";#N/A,#N/A,TRUE,"P&amp;L";#N/A,#N/A,TRUE,"BS";#N/A,#N/A,TRUE,"CF";#N/A,#N/A,TRUE,"Assumptions";#N/A,#N/A,TRUE,"Wireless";#N/A,#N/A,TRUE,"LD, Data &amp; Int.";#N/A,#N/A,TRUE,"Paging";#N/A,#N/A,TRUE,"Capex &amp; Depr.";#N/A,#N/A,TRUE,"Non-Op. &amp; Other Items"}</definedName>
    <definedName name="wrn.Unicom._.Financial._.Model._5_3" hidden="1">{#N/A,#N/A,TRUE,"Cover";#N/A,#N/A,TRUE,"DCF Analysis";#N/A,#N/A,TRUE,"P&amp;L";#N/A,#N/A,TRUE,"BS";#N/A,#N/A,TRUE,"CF";#N/A,#N/A,TRUE,"Assumptions";#N/A,#N/A,TRUE,"Wireless";#N/A,#N/A,TRUE,"LD, Data &amp; Int.";#N/A,#N/A,TRUE,"Paging";#N/A,#N/A,TRUE,"Capex &amp; Depr.";#N/A,#N/A,TRUE,"Non-Op. &amp; Other Items"}</definedName>
    <definedName name="wrn.Unicom._.Financial._.Model._5_4" localSheetId="2" hidden="1">{#N/A,#N/A,TRUE,"Cover";#N/A,#N/A,TRUE,"DCF Analysis";#N/A,#N/A,TRUE,"P&amp;L";#N/A,#N/A,TRUE,"BS";#N/A,#N/A,TRUE,"CF";#N/A,#N/A,TRUE,"Assumptions";#N/A,#N/A,TRUE,"Wireless";#N/A,#N/A,TRUE,"LD, Data &amp; Int.";#N/A,#N/A,TRUE,"Paging";#N/A,#N/A,TRUE,"Capex &amp; Depr.";#N/A,#N/A,TRUE,"Non-Op. &amp; Other Items"}</definedName>
    <definedName name="wrn.Unicom._.Financial._.Model._5_4" hidden="1">{#N/A,#N/A,TRUE,"Cover";#N/A,#N/A,TRUE,"DCF Analysis";#N/A,#N/A,TRUE,"P&amp;L";#N/A,#N/A,TRUE,"BS";#N/A,#N/A,TRUE,"CF";#N/A,#N/A,TRUE,"Assumptions";#N/A,#N/A,TRUE,"Wireless";#N/A,#N/A,TRUE,"LD, Data &amp; Int.";#N/A,#N/A,TRUE,"Paging";#N/A,#N/A,TRUE,"Capex &amp; Depr.";#N/A,#N/A,TRUE,"Non-Op. &amp; Other Items"}</definedName>
    <definedName name="wrn.UNIONGAS94TAXRETURN." localSheetId="2"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ts._.Profit._.and._.Loss."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VALUATION." hidden="1">{#N/A,#N/A,FALSE,"Valuation Assumptions";#N/A,#N/A,FALSE,"Summary";#N/A,#N/A,FALSE,"DCF";#N/A,#N/A,FALSE,"Valuation";#N/A,#N/A,FALSE,"WACC";#N/A,#N/A,FALSE,"UBVH";#N/A,#N/A,FALSE,"Free Cash Flow"}</definedName>
    <definedName name="wrn.Valuation._.Committee."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riance._.3." hidden="1">{"Variance Q3",#N/A,FALSE,"Var"}</definedName>
    <definedName name="wrn.Variance._.Q1." hidden="1">{"Variance Q1",#N/A,FALSE,"Var"}</definedName>
    <definedName name="wrn.Variance._.Q2." hidden="1">{"Variance Q2",#N/A,FALSE,"Var"}</definedName>
    <definedName name="wrn.Variance._.Q3." hidden="1">{"Variance Q3",#N/A,FALSE,"Var"}</definedName>
    <definedName name="wrn.Variance._.Q4" hidden="1">{"Variance Q4",#N/A,FALSE,"Var"}</definedName>
    <definedName name="wrn.Variance._.Q4." hidden="1">{"Variance Q4",#N/A,FALSE,"Var"}</definedName>
    <definedName name="wrn.VT수익성._.FULL._.SET."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g." hidden="1">{"inc.ann",#N/A,FALSE,"WAG";"inc.quart",#N/A,FALSE,"WAG"}</definedName>
    <definedName name="wrn.weekly." hidden="1">{#N/A,#N/A,FALSE,"Large Operators";#N/A,#N/A,FALSE,"Smaller Operators";#N/A,#N/A,FALSE,"Equip. Supply";#N/A,#N/A,FALSE,"EBITDA";#N/A,#N/A,FALSE,"perform"}</definedName>
    <definedName name="wrn.WLAVARIANCEANALYSIS." hidden="1">{"INCOME STATEMENT",#N/A,FALSE,"IS";"WWSALES",#N/A,FALSE,"WWSALES";"USSALES",#N/A,FALSE,"USSALES";"INTLSALES",#N/A,FALSE,"INTLSALES"}</definedName>
    <definedName name="wrn.Yahoo." hidden="1">{#N/A,#N/A,FALSE,"Inc. St.";#N/A,#N/A,FALSE,"FYear";#N/A,#N/A,FALSE,"Revs.";#N/A,#N/A,FALSE,"RevsYear";#N/A,#N/A,FALSE,"Balance";#N/A,#N/A,FALSE,"CompVal";#N/A,#N/A,FALSE,"Val.";#N/A,#N/A,FALSE,"DCFval"}</definedName>
    <definedName name="wrn.YUH33400." localSheetId="2" hidden="1">{#N/A,#N/A,FALSE,"2000";#N/A,#N/A,FALSE,"1999_1998"}</definedName>
    <definedName name="wrn.YUH33400." hidden="1">{#N/A,#N/A,FALSE,"2000";#N/A,#N/A,FALSE,"1999_1998"}</definedName>
    <definedName name="wrn.Y차._.종합." localSheetId="2" hidden="1">{#N/A,#N/A,TRUE,"Y생산";#N/A,#N/A,TRUE,"Y판매";#N/A,#N/A,TRUE,"Y총물량";#N/A,#N/A,TRUE,"Y능력";#N/A,#N/A,TRUE,"YKD"}</definedName>
    <definedName name="wrn.Y차._.종합." hidden="1">{#N/A,#N/A,TRUE,"Y생산";#N/A,#N/A,TRUE,"Y판매";#N/A,#N/A,TRUE,"Y총물량";#N/A,#N/A,TRUE,"Y능력";#N/A,#N/A,TRUE,"YKD"}</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설기계사업소._.상반기보고." hidden="1">{#N/A,#N/A,FALSE,"사업총괄";#N/A,#N/A,FALSE,"장비사업";#N/A,#N/A,FALSE,"철구사업";#N/A,#N/A,FALSE,"준설사업"}</definedName>
    <definedName name="wrn.견적." localSheetId="2" hidden="1">{#N/A,#N/A,FALSE,"Sheet1";#N/A,#N/A,FALSE,"Sheet2";#N/A,#N/A,FALSE,"TAB96-1"}</definedName>
    <definedName name="wrn.견적." hidden="1">{#N/A,#N/A,FALSE,"Sheet1";#N/A,#N/A,FALSE,"Sheet2";#N/A,#N/A,FALSE,"TAB96-1"}</definedName>
    <definedName name="wrn.결산서." localSheetId="2" hidden="1">{#N/A,#N/A,TRUE,"최종합계잔액시산표";#N/A,#N/A,TRUE,"최종대차대조표";#N/A,#N/A,TRUE,"최종손익계산서";#N/A,#N/A,TRUE,"재무상태변동표";#N/A,#N/A,TRUE,"이익잉여금처분"}</definedName>
    <definedName name="wrn.결산서." hidden="1">{#N/A,#N/A,TRUE,"최종합계잔액시산표";#N/A,#N/A,TRUE,"최종대차대조표";#N/A,#N/A,TRUE,"최종손익계산서";#N/A,#N/A,TRUE,"재무상태변동표";#N/A,#N/A,TRUE,"이익잉여금처분"}</definedName>
    <definedName name="wrn.결산서._1" localSheetId="2" hidden="1">{#N/A,#N/A,TRUE,"최종합계잔액시산표";#N/A,#N/A,TRUE,"최종대차대조표";#N/A,#N/A,TRUE,"최종손익계산서";#N/A,#N/A,TRUE,"재무상태변동표";#N/A,#N/A,TRUE,"이익잉여금처분"}</definedName>
    <definedName name="wrn.결산서._1" hidden="1">{#N/A,#N/A,TRUE,"최종합계잔액시산표";#N/A,#N/A,TRUE,"최종대차대조표";#N/A,#N/A,TRUE,"최종손익계산서";#N/A,#N/A,TRUE,"재무상태변동표";#N/A,#N/A,TRUE,"이익잉여금처분"}</definedName>
    <definedName name="wrn.경전회의96." hidden="1">{#N/A,#N/A,TRUE,"경전'96(1)";#N/A,#N/A,TRUE,"경전'96 (2)"}</definedName>
    <definedName name="wrn.골재소요량." localSheetId="2" hidden="1">{#N/A,#N/A,FALSE,"골재소요량";#N/A,#N/A,FALSE,"골재소요량"}</definedName>
    <definedName name="wrn.골재소요량." hidden="1">{#N/A,#N/A,FALSE,"골재소요량";#N/A,#N/A,FALSE,"골재소요량"}</definedName>
    <definedName name="wrn.관섬예산."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교대." localSheetId="2"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구소민." localSheetId="2" hidden="1">{#N/A,#N/A,TRUE,"변동비고정비분류(5단계)";#N/A,#N/A,TRUE,"변동비고정비분류(5단계)"}</definedName>
    <definedName name="wrn.구소민." hidden="1">{#N/A,#N/A,TRUE,"변동비고정비분류(5단계)";#N/A,#N/A,TRUE,"변동비고정비분류(5단계)"}</definedName>
    <definedName name="wrn.구조2." localSheetId="2" hidden="1">{#N/A,#N/A,FALSE,"구조2"}</definedName>
    <definedName name="wrn.구조2." hidden="1">{#N/A,#N/A,FALSE,"구조2"}</definedName>
    <definedName name="wrn.급여인상안." localSheetId="2" hidden="1">{#N/A,#N/A,FALSE,"계약직(여)"}</definedName>
    <definedName name="wrn.급여인상안." hidden="1">{#N/A,#N/A,FALSE,"계약직(여)"}</definedName>
    <definedName name="wrn.기술료._.비교." localSheetId="2" hidden="1">{#N/A,#N/A,FALSE,"기술료 비교"}</definedName>
    <definedName name="wrn.기술료._.비교." hidden="1">{#N/A,#N/A,FALSE,"기술료 비교"}</definedName>
    <definedName name="wrn.단가표지." localSheetId="2" hidden="1">{#N/A,#N/A,FALSE,"단가표지"}</definedName>
    <definedName name="wrn.단가표지." hidden="1">{#N/A,#N/A,FALSE,"단가표지"}</definedName>
    <definedName name="wrn.배수1." localSheetId="2" hidden="1">{#N/A,#N/A,FALSE,"배수1"}</definedName>
    <definedName name="wrn.배수1." hidden="1">{#N/A,#N/A,FALSE,"배수1"}</definedName>
    <definedName name="wrn.배수2." localSheetId="2" hidden="1">{#N/A,#N/A,FALSE,"배수2"}</definedName>
    <definedName name="wrn.배수2." hidden="1">{#N/A,#N/A,FALSE,"배수2"}</definedName>
    <definedName name="wrn.변경예산." hidden="1">{#N/A,#N/A,FALSE,"변경관리예산";#N/A,#N/A,FALSE,"변경장비예산";#N/A,#N/A,FALSE,"변경준설예산";#N/A,#N/A,FALSE,"변경철구예산"}</definedName>
    <definedName name="wrn.보고서." localSheetId="2" hidden="1">{#N/A,#N/A,FALSE,"Sheet1";#N/A,#N/A,FALSE,"기평9607"}</definedName>
    <definedName name="wrn.보고서." hidden="1">{#N/A,#N/A,FALSE,"Sheet1";#N/A,#N/A,FALSE,"기평9607"}</definedName>
    <definedName name="wrn.보고서._1" localSheetId="2" hidden="1">{#N/A,#N/A,FALSE,"Sheet1";#N/A,#N/A,FALSE,"기평9607"}</definedName>
    <definedName name="wrn.보고서._1" hidden="1">{#N/A,#N/A,FALSE,"Sheet1";#N/A,#N/A,FALSE,"기평9607"}</definedName>
    <definedName name="wrn.부대1." localSheetId="2" hidden="1">{#N/A,#N/A,FALSE,"부대1"}</definedName>
    <definedName name="wrn.부대1." hidden="1">{#N/A,#N/A,FALSE,"부대1"}</definedName>
    <definedName name="wrn.부대2." localSheetId="2" hidden="1">{#N/A,#N/A,FALSE,"부대2"}</definedName>
    <definedName name="wrn.부대2." hidden="1">{#N/A,#N/A,FALSE,"부대2"}</definedName>
    <definedName name="wrn.부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불량금액." localSheetId="2" hidden="1">{#N/A,#N/A,FALSE,"9612"}</definedName>
    <definedName name="wrn.불량금액." hidden="1">{#N/A,#N/A,FALSE,"9612"}</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선사." localSheetId="2" hidden="1">{#N/A,#N/A,FALSE,"품의서";#N/A,#N/A,FALSE,"전제";#N/A,#N/A,FALSE,"총손";#N/A,#N/A,FALSE,"손익"}</definedName>
    <definedName name="wrn.선사." hidden="1">{#N/A,#N/A,FALSE,"품의서";#N/A,#N/A,FALSE,"전제";#N/A,#N/A,FALSE,"총손";#N/A,#N/A,FALSE,"손익"}</definedName>
    <definedName name="wrn.세무"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 hidden="1">{#N/A,#N/A,FALSE,"속도"}</definedName>
    <definedName name="wrn.속도." hidden="1">{#N/A,#N/A,FALSE,"속도"}</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2" hidden="1">{#N/A,"수불부",FALSE,"사급자재수불서";#N/A,"수불부",FALSE,"사급자재수불서"}</definedName>
    <definedName name="wrn.수." hidden="1">{#N/A,"수불부",FALSE,"사급자재수불서";#N/A,"수불부",FALSE,"사급자재수불서"}</definedName>
    <definedName name="wrn.신규dep._.full._.set." localSheetId="2"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신용찬." localSheetId="2" hidden="1">{#N/A,#N/A,TRUE,"토적및재료집계";#N/A,#N/A,TRUE,"토적및재료집계";#N/A,#N/A,TRUE,"단위량"}</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심창규" localSheetId="2" hidden="1">{#N/A,#N/A,FALSE,"범우구미";#N/A,#N/A,FALSE,"세한케미칼";#N/A,#N/A,FALSE,"세명화학";#N/A,#N/A,FALSE,"신영케미칼";#N/A,#N/A,FALSE,"일석상사"}</definedName>
    <definedName name="WRN.심창규" hidden="1">{#N/A,#N/A,FALSE,"범우구미";#N/A,#N/A,FALSE,"세한케미칼";#N/A,#N/A,FALSE,"세명화학";#N/A,#N/A,FALSE,"신영케미칼";#N/A,#N/A,FALSE,"일석상사"}</definedName>
    <definedName name="wrn.업체별._.견적공사명." hidden="1">{"SJ - 기본 보기",#N/A,FALSE,"공사별 외주견적"}</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연동제." hidden="1">{#N/A,#N/A,TRUE,"총괄"}</definedName>
    <definedName name="wrn.예상손익." hidden="1">{#N/A,#N/A,FALSE,"예상손익";#N/A,#N/A,FALSE,"관리분석";#N/A,#N/A,FALSE,"장비분석";#N/A,#N/A,FALSE,"준설분석";#N/A,#N/A,FALSE,"철구분석"}</definedName>
    <definedName name="wrn.운반시간." localSheetId="2" hidden="1">{#N/A,#N/A,FALSE,"운반시간"}</definedName>
    <definedName name="wrn.운반시간." hidden="1">{#N/A,#N/A,FALSE,"운반시간"}</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추정." localSheetId="2" hidden="1">{#N/A,#N/A,FALSE,"월추정감가상각비";#N/A,#N/A,FALSE,"main_prog"}</definedName>
    <definedName name="wrn.월추정." hidden="1">{#N/A,#N/A,FALSE,"월추정감가상각비";#N/A,#N/A,FALSE,"main_prog"}</definedName>
    <definedName name="wrn.유형자산." hidden="1">{#N/A,#N/A,FALSE,"Sheet1"}</definedName>
    <definedName name="wrn.이정표." localSheetId="2" hidden="1">{#N/A,#N/A,FALSE,"이정표"}</definedName>
    <definedName name="wrn.이정표." hidden="1">{#N/A,#N/A,FALSE,"이정표"}</definedName>
    <definedName name="wrn.이태원._.철근." hidden="1">{#N/A,#N/A,FALSE,"이태원철근"}</definedName>
    <definedName name="wrn.자재코드집." hidden="1">{#N/A,#N/A,FALSE,"Sheet1"}</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무제표." localSheetId="2" hidden="1">{#N/A,#N/A,FALSE,"BS";#N/A,#N/A,FALSE,"IS";#N/A,#N/A,FALSE,"결손금처리";#N/A,#N/A,FALSE,"cashflow"}</definedName>
    <definedName name="wrn.재무제표." hidden="1">{#N/A,#N/A,FALSE,"BS";#N/A,#N/A,FALSE,"IS";#N/A,#N/A,FALSE,"결손금처리";#N/A,#N/A,FALSE,"cashflow"}</definedName>
    <definedName name="wrn.재무제표._1" localSheetId="2" hidden="1">{#N/A,#N/A,FALSE,"BS";#N/A,#N/A,FALSE,"IS";#N/A,#N/A,FALSE,"결손금처리";#N/A,#N/A,FALSE,"cashflow"}</definedName>
    <definedName name="wrn.재무제표._1" hidden="1">{#N/A,#N/A,FALSE,"BS";#N/A,#N/A,FALSE,"IS";#N/A,#N/A,FALSE,"결손금처리";#N/A,#N/A,FALSE,"cashflow"}</definedName>
    <definedName name="wrn.전략보고." localSheetId="2"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략보고."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부인쇄." localSheetId="2" hidden="1">{#N/A,#N/A,FALSE,"단축1";#N/A,#N/A,FALSE,"단축2";#N/A,#N/A,FALSE,"단축3";#N/A,#N/A,FALSE,"장축";#N/A,#N/A,FALSE,"4WD"}</definedName>
    <definedName name="wrn.전부인쇄." hidden="1">{#N/A,#N/A,FALSE,"단축1";#N/A,#N/A,FALSE,"단축2";#N/A,#N/A,FALSE,"단축3";#N/A,#N/A,FALSE,"장축";#N/A,#N/A,FALSE,"4WD"}</definedName>
    <definedName name="wrn.전사예산."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체인쇄." localSheetId="2" hidden="1">{#N/A,#N/A,FALSE,"생산성";#N/A,#N/A,FALSE,"인력1";#N/A,#N/A,FALSE,"인력2";#N/A,#N/A,FALSE,"인력3";#N/A,#N/A,FALSE,"인건1";#N/A,#N/A,FALSE,"인건2";#N/A,#N/A,FALSE,"인건3";#N/A,#N/A,FALSE,"인원증감";#N/A,#N/A,FALSE,"인건증감";#N/A,#N/A,FALSE,"표지등"}</definedName>
    <definedName name="wrn.전체인쇄." hidden="1">{#N/A,#N/A,FALSE,"생산성";#N/A,#N/A,FALSE,"인력1";#N/A,#N/A,FALSE,"인력2";#N/A,#N/A,FALSE,"인력3";#N/A,#N/A,FALSE,"인건1";#N/A,#N/A,FALSE,"인건2";#N/A,#N/A,FALSE,"인건3";#N/A,#N/A,FALSE,"인원증감";#N/A,#N/A,FALSE,"인건증감";#N/A,#N/A,FALSE,"표지등"}</definedName>
    <definedName name="wrn.제조원가." localSheetId="2" hidden="1">{#N/A,#N/A,FALSE,"9612"}</definedName>
    <definedName name="wrn.제조원가." hidden="1">{#N/A,#N/A,FALSE,"9612"}</definedName>
    <definedName name="wrn.제품수불." localSheetId="2" hidden="1">{#N/A,#N/A,FALSE,"9612"}</definedName>
    <definedName name="wrn.제품수불." hidden="1">{#N/A,#N/A,FALSE,"9612"}</definedName>
    <definedName name="wrn.조골재." localSheetId="2" hidden="1">{#N/A,#N/A,FALSE,"조골재"}</definedName>
    <definedName name="wrn.조골재." hidden="1">{#N/A,#N/A,FALSE,"조골재"}</definedName>
    <definedName name="wrn.조흥94세무."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localSheetId="2" hidden="1">{#N/A,#N/A,TRUE,"일정"}</definedName>
    <definedName name="wrn.주간._.보고." hidden="1">{#N/A,#N/A,TRUE,"일정"}</definedName>
    <definedName name="wrn.중장기계획." hidden="1">{#N/A,#N/A,TRUE,"경영목표 및 방침";#N/A,#N/A,TRUE,"매출";#N/A,#N/A,TRUE,"시설-인원";#N/A,#N/A,TRUE,"손익-재무"}</definedName>
    <definedName name="wrn.직좌." localSheetId="2"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2" hidden="1">{#N/A,#N/A,FALSE,"표지";#N/A,#N/A,FALSE,"전제";#N/A,#N/A,FALSE,"대당";#N/A,#N/A,FALSE,"가공비";#N/A,#N/A,FALSE,"재료비";#N/A,#N/A,FALSE,"손익"}</definedName>
    <definedName name="wrn.직중." hidden="1">{#N/A,#N/A,FALSE,"표지";#N/A,#N/A,FALSE,"전제";#N/A,#N/A,FALSE,"대당";#N/A,#N/A,FALSE,"가공비";#N/A,#N/A,FALSE,"재료비";#N/A,#N/A,FALSE,"손익"}</definedName>
    <definedName name="wrn.집기비품보고서._.품목별._.및._.현장별._.집계표." hidden="1">{#N/A,#N/A,FALSE,"Sheet6"}</definedName>
    <definedName name="wrn.채권채무조회서." localSheetId="2" hidden="1">{#N/A,#N/A,FALSE,"채권채무";#N/A,#N/A,FALSE,"control sheet"}</definedName>
    <definedName name="wrn.채권채무조회서." hidden="1">{#N/A,#N/A,FALSE,"채권채무";#N/A,#N/A,FALSE,"control sheet"}</definedName>
    <definedName name="wrn.철골집계표._.5칸." hidden="1">{#N/A,#N/A,FALSE,"Sheet1"}</definedName>
    <definedName name="wrn.토공1." localSheetId="2" hidden="1">{#N/A,#N/A,FALSE,"구조1"}</definedName>
    <definedName name="wrn.토공1." hidden="1">{#N/A,#N/A,FALSE,"구조1"}</definedName>
    <definedName name="wrn.토공2." localSheetId="2" hidden="1">{#N/A,#N/A,FALSE,"토공2"}</definedName>
    <definedName name="wrn.토공2." hidden="1">{#N/A,#N/A,FALSE,"토공2"}</definedName>
    <definedName name="wrn.통신지." localSheetId="2" hidden="1">{#N/A,#N/A,FALSE,"기안지";#N/A,#N/A,FALSE,"통신지"}</definedName>
    <definedName name="wrn.통신지." hidden="1">{#N/A,#N/A,FALSE,"기안지";#N/A,#N/A,FALSE,"통신지"}</definedName>
    <definedName name="wrn.판유리예산."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포장1." localSheetId="2" hidden="1">{#N/A,#N/A,FALSE,"포장1";#N/A,#N/A,FALSE,"포장1"}</definedName>
    <definedName name="wrn.포장1." hidden="1">{#N/A,#N/A,FALSE,"포장1";#N/A,#N/A,FALSE,"포장1"}</definedName>
    <definedName name="wrn.포장2." localSheetId="2" hidden="1">{#N/A,#N/A,FALSE,"포장2"}</definedName>
    <definedName name="wrn.포장2." hidden="1">{#N/A,#N/A,FALSE,"포장2"}</definedName>
    <definedName name="wrn.포항강판." localSheetId="2" hidden="1">{"현수",#N/A,FALSE,"월추정감가상각비"}</definedName>
    <definedName name="wrn.포항강판." hidden="1">{"현수",#N/A,FALSE,"월추정감가상각비"}</definedName>
    <definedName name="wrn.표면처리._.현황." localSheetId="2" hidden="1">{#N/A,#N/A,FALSE,"불량현황";#N/A,#N/A,FALSE,"표면처리업체별";#N/A,#N/A,FALSE,"사양별";#N/A,#N/A,FALSE,"제작업체별";#N/A,#N/A,FALSE,"업체주소";#N/A,#N/A,FALSE,"장착부위";#N/A,#N/A,FALSE,"V-100표면현황 (2)"}</definedName>
    <definedName name="wrn.표면처리._.현황." hidden="1">{#N/A,#N/A,FALSE,"불량현황";#N/A,#N/A,FALSE,"표면처리업체별";#N/A,#N/A,FALSE,"사양별";#N/A,#N/A,FALSE,"제작업체별";#N/A,#N/A,FALSE,"업체주소";#N/A,#N/A,FALSE,"장착부위";#N/A,#N/A,FALSE,"V-100표면현황 (2)"}</definedName>
    <definedName name="wrn.표지목차." localSheetId="2" hidden="1">{#N/A,#N/A,FALSE,"표지목차"}</definedName>
    <definedName name="wrn.표지목차." hidden="1">{#N/A,#N/A,FALSE,"표지목차"}</definedName>
    <definedName name="wrn.함영민." localSheetId="2" hidden="1">{#N/A,#N/A,FALSE,"범우구미";#N/A,#N/A,FALSE,"세한케미칼";#N/A,#N/A,FALSE,"세명화학";#N/A,#N/A,FALSE,"신영케미칼";#N/A,#N/A,FALSE,"일석상사"}</definedName>
    <definedName name="wrn.함영민." hidden="1">{#N/A,#N/A,FALSE,"범우구미";#N/A,#N/A,FALSE,"세한케미칼";#N/A,#N/A,FALSE,"세명화학";#N/A,#N/A,FALSE,"신영케미칼";#N/A,#N/A,FALSE,"일석상사"}</definedName>
    <definedName name="wrn.현대정공구매현황." localSheetId="2" hidden="1">{#N/A,#N/A,FALSE,"정공"}</definedName>
    <definedName name="wrn.현대정공구매현황." hidden="1">{#N/A,#N/A,FALSE,"정공"}</definedName>
    <definedName name="wrn.현장._.NCR._.분석." localSheetId="2" hidden="1">{#N/A,#N/A,FALSE,"현장 NCR 분석";#N/A,#N/A,FALSE,"현장품질감사";#N/A,#N/A,FALSE,"현장품질감사"}</definedName>
    <definedName name="wrn.현장._.NCR._.분석." hidden="1">{#N/A,#N/A,FALSE,"현장 NCR 분석";#N/A,#N/A,FALSE,"현장품질감사";#N/A,#N/A,FALSE,"현장품질감사"}</definedName>
    <definedName name="wrn.현장._.NCR._.분석._1" localSheetId="2" hidden="1">{#N/A,#N/A,FALSE,"현장 NCR 분석";#N/A,#N/A,FALSE,"현장품질감사";#N/A,#N/A,FALSE,"현장품질감사"}</definedName>
    <definedName name="wrn.현장._.NCR._.분석._1" hidden="1">{#N/A,#N/A,FALSE,"현장 NCR 분석";#N/A,#N/A,FALSE,"현장품질감사";#N/A,#N/A,FALSE,"현장품질감사"}</definedName>
    <definedName name="wrn.호." hidden="1">{#N/A,#N/A,FALSE,"Sheet9"}</definedName>
    <definedName name="wrn.혼합골재." localSheetId="2" hidden="1">{#N/A,#N/A,FALSE,"혼합골재"}</definedName>
    <definedName name="wrn.혼합골재." hidden="1">{#N/A,#N/A,FALSE,"혼합골재"}</definedName>
    <definedName name="wrn.회선임차현황." localSheetId="2" hidden="1">{#N/A,#N/A,FALSE,"회선임차현황"}</definedName>
    <definedName name="wrn.회선임차현황." hidden="1">{#N/A,#N/A,FALSE,"회선임차현황"}</definedName>
    <definedName name="wrn.회선임차현황._1" localSheetId="2" hidden="1">{#N/A,#N/A,FALSE,"회선임차현황"}</definedName>
    <definedName name="wrn.회선임차현황._1" hidden="1">{#N/A,#N/A,FALSE,"회선임차현황"}</definedName>
    <definedName name="wrn.회선임차현황._1_1" localSheetId="2" hidden="1">{#N/A,#N/A,FALSE,"회선임차현황"}</definedName>
    <definedName name="wrn.회선임차현황._1_1" hidden="1">{#N/A,#N/A,FALSE,"회선임차현황"}</definedName>
    <definedName name="wrn.회선임차현황._1_2" localSheetId="2" hidden="1">{#N/A,#N/A,FALSE,"회선임차현황"}</definedName>
    <definedName name="wrn.회선임차현황._1_2" hidden="1">{#N/A,#N/A,FALSE,"회선임차현황"}</definedName>
    <definedName name="wrn.회선임차현황._1_3" localSheetId="2" hidden="1">{#N/A,#N/A,FALSE,"회선임차현황"}</definedName>
    <definedName name="wrn.회선임차현황._1_3" hidden="1">{#N/A,#N/A,FALSE,"회선임차현황"}</definedName>
    <definedName name="wrn.회선임차현황._1_4" localSheetId="2" hidden="1">{#N/A,#N/A,FALSE,"회선임차현황"}</definedName>
    <definedName name="wrn.회선임차현황._1_4" hidden="1">{#N/A,#N/A,FALSE,"회선임차현황"}</definedName>
    <definedName name="wrn.회선임차현황._2" localSheetId="2" hidden="1">{#N/A,#N/A,FALSE,"회선임차현황"}</definedName>
    <definedName name="wrn.회선임차현황._2" hidden="1">{#N/A,#N/A,FALSE,"회선임차현황"}</definedName>
    <definedName name="wrn.회선임차현황._2_1" localSheetId="2" hidden="1">{#N/A,#N/A,FALSE,"회선임차현황"}</definedName>
    <definedName name="wrn.회선임차현황._2_1" hidden="1">{#N/A,#N/A,FALSE,"회선임차현황"}</definedName>
    <definedName name="wrn.회선임차현황._2_2" localSheetId="2" hidden="1">{#N/A,#N/A,FALSE,"회선임차현황"}</definedName>
    <definedName name="wrn.회선임차현황._2_2" hidden="1">{#N/A,#N/A,FALSE,"회선임차현황"}</definedName>
    <definedName name="wrn.회선임차현황._2_3" localSheetId="2" hidden="1">{#N/A,#N/A,FALSE,"회선임차현황"}</definedName>
    <definedName name="wrn.회선임차현황._2_3" hidden="1">{#N/A,#N/A,FALSE,"회선임차현황"}</definedName>
    <definedName name="wrn.회선임차현황._2_4" localSheetId="2" hidden="1">{#N/A,#N/A,FALSE,"회선임차현황"}</definedName>
    <definedName name="wrn.회선임차현황._2_4" hidden="1">{#N/A,#N/A,FALSE,"회선임차현황"}</definedName>
    <definedName name="wrn.회선임차현황._3" localSheetId="2" hidden="1">{#N/A,#N/A,FALSE,"회선임차현황"}</definedName>
    <definedName name="wrn.회선임차현황._3" hidden="1">{#N/A,#N/A,FALSE,"회선임차현황"}</definedName>
    <definedName name="wrn.회선임차현황._3_1" localSheetId="2" hidden="1">{#N/A,#N/A,FALSE,"회선임차현황"}</definedName>
    <definedName name="wrn.회선임차현황._3_1" hidden="1">{#N/A,#N/A,FALSE,"회선임차현황"}</definedName>
    <definedName name="wrn.회선임차현황._3_2" localSheetId="2" hidden="1">{#N/A,#N/A,FALSE,"회선임차현황"}</definedName>
    <definedName name="wrn.회선임차현황._3_2" hidden="1">{#N/A,#N/A,FALSE,"회선임차현황"}</definedName>
    <definedName name="wrn.회선임차현황._3_3" localSheetId="2" hidden="1">{#N/A,#N/A,FALSE,"회선임차현황"}</definedName>
    <definedName name="wrn.회선임차현황._3_3" hidden="1">{#N/A,#N/A,FALSE,"회선임차현황"}</definedName>
    <definedName name="wrn.회선임차현황._3_4" localSheetId="2" hidden="1">{#N/A,#N/A,FALSE,"회선임차현황"}</definedName>
    <definedName name="wrn.회선임차현황._3_4" hidden="1">{#N/A,#N/A,FALSE,"회선임차현황"}</definedName>
    <definedName name="wrn.회선임차현황._4" localSheetId="2" hidden="1">{#N/A,#N/A,FALSE,"회선임차현황"}</definedName>
    <definedName name="wrn.회선임차현황._4" hidden="1">{#N/A,#N/A,FALSE,"회선임차현황"}</definedName>
    <definedName name="wrn.회선임차현황._4_1" localSheetId="2" hidden="1">{#N/A,#N/A,FALSE,"회선임차현황"}</definedName>
    <definedName name="wrn.회선임차현황._4_1" hidden="1">{#N/A,#N/A,FALSE,"회선임차현황"}</definedName>
    <definedName name="wrn.회선임차현황._4_2" localSheetId="2" hidden="1">{#N/A,#N/A,FALSE,"회선임차현황"}</definedName>
    <definedName name="wrn.회선임차현황._4_2" hidden="1">{#N/A,#N/A,FALSE,"회선임차현황"}</definedName>
    <definedName name="wrn.회선임차현황._4_3" localSheetId="2" hidden="1">{#N/A,#N/A,FALSE,"회선임차현황"}</definedName>
    <definedName name="wrn.회선임차현황._4_3" hidden="1">{#N/A,#N/A,FALSE,"회선임차현황"}</definedName>
    <definedName name="wrn.회선임차현황._4_4" localSheetId="2" hidden="1">{#N/A,#N/A,FALSE,"회선임차현황"}</definedName>
    <definedName name="wrn.회선임차현황._4_4" hidden="1">{#N/A,#N/A,FALSE,"회선임차현황"}</definedName>
    <definedName name="wrn.회선임차현황._5" localSheetId="2" hidden="1">{#N/A,#N/A,FALSE,"회선임차현황"}</definedName>
    <definedName name="wrn.회선임차현황._5" hidden="1">{#N/A,#N/A,FALSE,"회선임차현황"}</definedName>
    <definedName name="wrn.회선임차현황._5_1" localSheetId="2" hidden="1">{#N/A,#N/A,FALSE,"회선임차현황"}</definedName>
    <definedName name="wrn.회선임차현황._5_1" hidden="1">{#N/A,#N/A,FALSE,"회선임차현황"}</definedName>
    <definedName name="wrn.회선임차현황._5_2" localSheetId="2" hidden="1">{#N/A,#N/A,FALSE,"회선임차현황"}</definedName>
    <definedName name="wrn.회선임차현황._5_2" hidden="1">{#N/A,#N/A,FALSE,"회선임차현황"}</definedName>
    <definedName name="wrn.회선임차현황._5_3" localSheetId="2" hidden="1">{#N/A,#N/A,FALSE,"회선임차현황"}</definedName>
    <definedName name="wrn.회선임차현황._5_3" hidden="1">{#N/A,#N/A,FALSE,"회선임차현황"}</definedName>
    <definedName name="wrn.회선임차현황._5_4" localSheetId="2" hidden="1">{#N/A,#N/A,FALSE,"회선임차현황"}</definedName>
    <definedName name="wrn.회선임차현황._5_4" hidden="1">{#N/A,#N/A,FALSE,"회선임차현황"}</definedName>
    <definedName name="wrn.회의0104.XLS." localSheetId="2" hidden="1">{#N/A,#N/A,TRUE,"매출진척-1";#N/A,#N/A,TRUE,"매출진척-2";#N/A,#N/A,TRUE,"제품실적";#N/A,#N/A,TRUE,"RAC";#N/A,#N/A,TRUE,"PAC ";#N/A,#N/A,TRUE,"재고현황";#N/A,#N/A,TRUE,"공지사항"}</definedName>
    <definedName name="wrn.회의0104.XLS." hidden="1">{#N/A,#N/A,TRUE,"매출진척-1";#N/A,#N/A,TRUE,"매출진척-2";#N/A,#N/A,TRUE,"제품실적";#N/A,#N/A,TRUE,"RAC";#N/A,#N/A,TRUE,"PAC ";#N/A,#N/A,TRUE,"재고현황";#N/A,#N/A,TRUE,"공지사항"}</definedName>
    <definedName name="wrn.회의0104.XLS._1" localSheetId="2" hidden="1">{#N/A,#N/A,TRUE,"매출진척-1";#N/A,#N/A,TRUE,"매출진척-2";#N/A,#N/A,TRUE,"제품실적";#N/A,#N/A,TRUE,"RAC";#N/A,#N/A,TRUE,"PAC ";#N/A,#N/A,TRUE,"재고현황";#N/A,#N/A,TRUE,"공지사항"}</definedName>
    <definedName name="wrn.회의0104.XLS._1" hidden="1">{#N/A,#N/A,TRUE,"매출진척-1";#N/A,#N/A,TRUE,"매출진척-2";#N/A,#N/A,TRUE,"제품실적";#N/A,#N/A,TRUE,"RAC";#N/A,#N/A,TRUE,"PAC ";#N/A,#N/A,TRUE,"재고현황";#N/A,#N/A,TRUE,"공지사항"}</definedName>
    <definedName name="wroof">#REF!</definedName>
    <definedName name="WRR" hidden="1">{#VALUE!,#N/A,FALSE,0;#N/A,#N/A,FALSE,0;#N/A,#N/A,FALSE,0;#N/A,#N/A,FALSE,0}</definedName>
    <definedName name="wrty" hidden="1">{"'용역비'!$A$4:$C$8"}</definedName>
    <definedName name="wrtyrtyrt" hidden="1">{"'용역비'!$A$4:$C$8"}</definedName>
    <definedName name="wrtywrtywr" hidden="1">{"'용역비'!$A$4:$C$8"}</definedName>
    <definedName name="Ws">#REF!</definedName>
    <definedName name="wshell">#REF!</definedName>
    <definedName name="WSU">#REF!</definedName>
    <definedName name="wt">#REF!</definedName>
    <definedName name="Wte">#REF!</definedName>
    <definedName name="Wtest1">#REF!</definedName>
    <definedName name="Wtest2">#REF!</definedName>
    <definedName name="WTOT">#REF!</definedName>
    <definedName name="WTU">#REF!</definedName>
    <definedName name="wuy" hidden="1">{"'용역비'!$A$4:$C$8"}</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Hist."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hrCalQtr_AnlChg."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PerIncQtr_AnlChg."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Qrtrly."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SelCalQtr_AnlChg."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ectUSQtr_AnnlChg."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w"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W_NPV_BASE_RA">#REF!</definedName>
    <definedName name="WW_NPV_DOWN_RA">#REF!</definedName>
    <definedName name="WW_NPV_UP_RA">#REF!</definedName>
    <definedName name="WW_PL_BASE_RA">#REF!</definedName>
    <definedName name="WW_PL_DOWN_RA">#REF!</definedName>
    <definedName name="WW_PL_UP_RA">#REF!</definedName>
    <definedName name="WWDASF">#REF!</definedName>
    <definedName name="WWE" hidden="1">{#N/A,#N/A,FALSE,"단축1";#N/A,#N/A,FALSE,"단축2";#N/A,#N/A,FALSE,"단축3";#N/A,#N/A,FALSE,"장축";#N/A,#N/A,FALSE,"4WD"}</definedName>
    <definedName name="wwererwrwersf" hidden="1">{#N/A,#N/A,FALSE,"Che-Ga";#N/A,#N/A,FALSE,"Iv-Sm";#N/A,#N/A,FALSE,"So-We";#N/A,#N/A,FALSE,"Me-Po";#N/A,#N/A,FALSE,"Be-Bo";#N/A,#N/A,FALSE,"Cha-Ki";#N/A,#N/A,FALSE,"In";#N/A,#N/A,FALSE,"Schedule 23";#N/A,#N/A,FALSE,"Schedule 22";#N/A,#N/A,FALSE,"WACC"}</definedName>
    <definedName name="wwii" hidden="1">{#N/A,#N/A,TRUE,"Clairwyn Richardson";#N/A,#N/A,TRUE,"P&amp;L - Harrogate";#N/A,#N/A,TRUE,"P&amp;L - York";#N/A,#N/A,TRUE,"P&amp;L - Leeds";#N/A,#N/A,TRUE,"P&amp;L - Manchester";#N/A,#N/A,TRUE,"P&amp;L - Deansgate";#N/A,#N/A,TRUE,"P&amp;L - Durham";#N/A,#N/A,TRUE,"P&amp;L - Nottingham";#N/A,#N/A,TRUE,"P&amp;L - The Triangle"}</definedName>
    <definedName name="WWW" localSheetId="2" hidden="1">{#N/A,#N/A,FALSE,"CCTV"}</definedName>
    <definedName name="WWW" hidden="1">{#N/A,#N/A,FALSE,"CCTV"}</definedName>
    <definedName name="wwww" localSheetId="2" hidden="1">{#N/A,#N/A,FALSE,"Aging Summary";#N/A,#N/A,FALSE,"Ratio Analysis";#N/A,#N/A,FALSE,"Test 120 Day Accts";#N/A,#N/A,FALSE,"Tickmarks"}</definedName>
    <definedName name="wwww" hidden="1">{#N/A,#N/A,FALSE,"Aging Summary";#N/A,#N/A,FALSE,"Ratio Analysis";#N/A,#N/A,FALSE,"Test 120 Day Accts";#N/A,#N/A,FALSE,"Tickmarks"}</definedName>
    <definedName name="WWWWWPPPPPPP">#N/A</definedName>
    <definedName name="WZ">#REF!</definedName>
    <definedName name="W행">#REF!</definedName>
    <definedName name="x" hidden="1">{#N/A,#N/A,FALSE,"Che-Ga";#N/A,#N/A,FALSE,"Iv-Sm";#N/A,#N/A,FALSE,"So-We";#N/A,#N/A,FALSE,"Me-Po";#N/A,#N/A,FALSE,"Be-Bo";#N/A,#N/A,FALSE,"Cha-Ki";#N/A,#N/A,FALSE,"In";#N/A,#N/A,FALSE,"Schedule 23";#N/A,#N/A,FALSE,"Schedule 22";#N/A,#N/A,FALSE,"WACC"}</definedName>
    <definedName name="X_10">#REF!</definedName>
    <definedName name="X_11">#REF!</definedName>
    <definedName name="X_41">#REF!</definedName>
    <definedName name="X44A1">#REF!</definedName>
    <definedName name="X4월자금_Sheet8_List">#REF!</definedName>
    <definedName name="xadc">#REF!</definedName>
    <definedName name="xc" hidden="1">{#N/A,#N/A,FALSE,"손익표지";#N/A,#N/A,FALSE,"손익계산";#N/A,#N/A,FALSE,"일반관리비";#N/A,#N/A,FALSE,"영업외수익";#N/A,#N/A,FALSE,"영업외비용";#N/A,#N/A,FALSE,"매출액";#N/A,#N/A,FALSE,"요약손익";#N/A,#N/A,FALSE,"요약대차";#N/A,#N/A,FALSE,"매출채권현황";#N/A,#N/A,FALSE,"매출채권명세"}</definedName>
    <definedName name="XCB" hidden="1">{#N/A,#N/A,FALSE,"Sheet6"}</definedName>
    <definedName name="xcvc" hidden="1">#REF!</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S" localSheetId="2" hidden="1">{#N/A,#N/A,FALSE,"을지 (4)";#N/A,#N/A,FALSE,"을지 (5)";#N/A,#N/A,FALSE,"을지 (6)"}</definedName>
    <definedName name="XDS" hidden="1">{#N/A,#N/A,FALSE,"을지 (4)";#N/A,#N/A,FALSE,"을지 (5)";#N/A,#N/A,FALSE,"을지 (6)"}</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localSheetId="2" hidden="1">{#N/A,#N/A,FALSE,"단축1";#N/A,#N/A,FALSE,"단축2";#N/A,#N/A,FALSE,"단축3";#N/A,#N/A,FALSE,"장축";#N/A,#N/A,FALSE,"4WD"}</definedName>
    <definedName name="xd품확일정" hidden="1">{#N/A,#N/A,FALSE,"단축1";#N/A,#N/A,FALSE,"단축2";#N/A,#N/A,FALSE,"단축3";#N/A,#N/A,FALSE,"장축";#N/A,#N/A,FALSE,"4WD"}</definedName>
    <definedName name="xf" hidden="1">{#N/A,#N/A,FALSE,"Sheet6"}</definedName>
    <definedName name="XG개" hidden="1">{#N/A,#N/A,FALSE,"단축1";#N/A,#N/A,FALSE,"단축2";#N/A,#N/A,FALSE,"단축3";#N/A,#N/A,FALSE,"장축";#N/A,#N/A,FALSE,"4WD"}</definedName>
    <definedName name="XG개선" hidden="1">{#N/A,#N/A,FALSE,"단축1";#N/A,#N/A,FALSE,"단축2";#N/A,#N/A,FALSE,"단축3";#N/A,#N/A,FALSE,"장축";#N/A,#N/A,FALSE,"4WD"}</definedName>
    <definedName name="XlDlg">1</definedName>
    <definedName name="XPrice">#REF!</definedName>
    <definedName name="XREF_COLUMN_1" hidden="1">#REF!</definedName>
    <definedName name="XREF_COLUMN_10" hidden="1">#REF!</definedName>
    <definedName name="XREF_COLUMN_11" hidden="1">#REF!</definedName>
    <definedName name="XREF_COLUMN_110"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#N/A</definedName>
    <definedName name="XREF_COLUMN_21" hidden="1">#REF!</definedName>
    <definedName name="XREF_COLUMN_22" hidden="1">#REF!</definedName>
    <definedName name="XREF_COLUMN_23" hidden="1">#N/A</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#N/A</definedName>
    <definedName name="XREF_COLUMN_35" hidden="1">#REF!</definedName>
    <definedName name="XREF_COLUMN_36" hidden="1">#N/A</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0" hidden="1">#REF!</definedName>
    <definedName name="XREF_COLUMN_71" hidden="1">#REF!</definedName>
    <definedName name="XREF_COLUMN_72" hidden="1">#REF!</definedName>
    <definedName name="XREF_COLUMN_73" hidden="1">#REF!</definedName>
    <definedName name="XREF_COLUMN_74" hidden="1">#REF!</definedName>
    <definedName name="XREF_COLUMN_75" hidden="1">#REF!</definedName>
    <definedName name="XREF_COLUMN_76" hidden="1">#REF!</definedName>
    <definedName name="XREF_COLUMN_77" hidden="1">#REF!</definedName>
    <definedName name="XREF_COLUMN_79" hidden="1">#REF!</definedName>
    <definedName name="XREF_COLUMN_8" hidden="1">#REF!</definedName>
    <definedName name="XREF_COLUMN_81" hidden="1">#REF!</definedName>
    <definedName name="XREF_COLUMN_83" hidden="1">#REF!</definedName>
    <definedName name="XREF_COLUMN_87" hidden="1">#REF!</definedName>
    <definedName name="XREF_COLUMN_89" hidden="1">#REF!</definedName>
    <definedName name="XREF_COLUMN_9" hidden="1">#REF!</definedName>
    <definedName name="XREF_COLUMN_91" hidden="1">#REF!</definedName>
    <definedName name="XREF_COLUMN_93" hidden="1">#REF!</definedName>
    <definedName name="XREF_COLUMN_95" hidden="1">#REF!</definedName>
    <definedName name="XREF_COLUMN_97" hidden="1">#REF!</definedName>
    <definedName name="XRefActiveRow" hidden="1">#REF!</definedName>
    <definedName name="XRefColumnsCount" hidden="1">1</definedName>
    <definedName name="XRefCopy1" hidden="1">#REF!</definedName>
    <definedName name="XRefCopy10" hidden="1">#REF!</definedName>
    <definedName name="XRefCopy100" hidden="1">#REF!</definedName>
    <definedName name="XRefCopy101" hidden="1">#REF!</definedName>
    <definedName name="XRefCopy101Row" hidden="1">#N/A</definedName>
    <definedName name="XRefCopy102" hidden="1">#REF!</definedName>
    <definedName name="XRefCopy103" hidden="1">#REF!</definedName>
    <definedName name="XRefCopy104" hidden="1">#REF!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#REF!</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#REF!</definedName>
    <definedName name="XRefCopy12" hidden="1">#REF!</definedName>
    <definedName name="XRefCopy120" hidden="1">#REF!</definedName>
    <definedName name="XRefCopy122Row" hidden="1">#N/A</definedName>
    <definedName name="XRefCopy123Row" hidden="1">#N/A</definedName>
    <definedName name="XRefCopy124Row" hidden="1">#REF!</definedName>
    <definedName name="XRefCopy125Row" hidden="1">#REF!</definedName>
    <definedName name="XRefCopy126Row"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#N/A</definedName>
    <definedName name="XRefCopy68" hidden="1">#REF!</definedName>
    <definedName name="XRefCopy68Row" hidden="1">#N/A</definedName>
    <definedName name="XRefCopy69" hidden="1">#REF!</definedName>
    <definedName name="XRefCopy69Row" hidden="1">#N/A</definedName>
    <definedName name="XRefCopy6Row" hidden="1">#REF!</definedName>
    <definedName name="XRefCopy7" hidden="1">#REF!</definedName>
    <definedName name="XRefCopy70" hidden="1">#REF!</definedName>
    <definedName name="XRefCopy70Row" hidden="1">#N/A</definedName>
    <definedName name="XRefCopy71" hidden="1">#REF!</definedName>
    <definedName name="XRefCopy71Row" hidden="1">#N/A</definedName>
    <definedName name="XRefCopy72" hidden="1">#REF!</definedName>
    <definedName name="XRefCopy72Row" hidden="1">#N/A</definedName>
    <definedName name="XRefCopy73" hidden="1">#REF!</definedName>
    <definedName name="XRefCopy73Row" hidden="1">#N/A</definedName>
    <definedName name="XRefCopy74" hidden="1">#REF!</definedName>
    <definedName name="XRefCopy74Row" hidden="1">#N/A</definedName>
    <definedName name="XRefCopy75" hidden="1">#REF!</definedName>
    <definedName name="XRefCopy75Row" hidden="1">#N/A</definedName>
    <definedName name="XRefCopy76" hidden="1">#REF!</definedName>
    <definedName name="XRefCopy76Row" hidden="1">#N/A</definedName>
    <definedName name="XRefCopy77" hidden="1">#REF!</definedName>
    <definedName name="XRefCopy77Row" hidden="1">#N/A</definedName>
    <definedName name="XRefCopy78" hidden="1">#REF!</definedName>
    <definedName name="XRefCopy78Row" hidden="1">#N/A</definedName>
    <definedName name="XRefCopy79" hidden="1">#REF!</definedName>
    <definedName name="XRefCopy79Row" hidden="1">#N/A</definedName>
    <definedName name="XRefCopy7Row" hidden="1">#REF!</definedName>
    <definedName name="XRefCopy8" hidden="1">#REF!</definedName>
    <definedName name="XRefCopy80" hidden="1">#REF!</definedName>
    <definedName name="XRefCopy80Row" hidden="1">#N/A</definedName>
    <definedName name="XRefCopy81" hidden="1">#REF!</definedName>
    <definedName name="XRefCopy82" hidden="1">#REF!</definedName>
    <definedName name="XRefCopy83" hidden="1">#REF!</definedName>
    <definedName name="XRefCopy84" hidden="1">#REF!</definedName>
    <definedName name="XRefCopy85" hidden="1">#REF!</definedName>
    <definedName name="XRefCopy86" hidden="1">#REF!</definedName>
    <definedName name="XRefCopy87" hidden="1">#REF!</definedName>
    <definedName name="XRefCopy88" hidden="1">#REF!</definedName>
    <definedName name="XRefCopy89" hidden="1">#REF!</definedName>
    <definedName name="XRefCopy8Row" hidden="1">#REF!</definedName>
    <definedName name="XRefCopy9" hidden="1">#REF!</definedName>
    <definedName name="XRefCopy90" hidden="1">#REF!</definedName>
    <definedName name="XRefCopy91" hidden="1">#REF!</definedName>
    <definedName name="XRefCopy92" hidden="1">#REF!</definedName>
    <definedName name="XRefCopy93" hidden="1">#REF!</definedName>
    <definedName name="XRefCopy94" hidden="1">#REF!</definedName>
    <definedName name="XRefCopy95" hidden="1">#REF!</definedName>
    <definedName name="XRefCopy96" hidden="1">#REF!</definedName>
    <definedName name="XRefCopy97" hidden="1">#REF!</definedName>
    <definedName name="XRefCopy98" hidden="1">#REF!</definedName>
    <definedName name="XRefCopy99" hidden="1">#REF!</definedName>
    <definedName name="XRefCopy9Row" hidden="1">#REF!</definedName>
    <definedName name="XRefCopyRangeCount" hidden="1">1</definedName>
    <definedName name="XRefPaste1" hidden="1">#REF!</definedName>
    <definedName name="XRefPaste1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Row" hidden="1">#REF!</definedName>
    <definedName name="XRefPaste11" hidden="1">#REF!</definedName>
    <definedName name="XRefPaste110" hidden="1">#REF!</definedName>
    <definedName name="XRefPaste111" hidden="1">#REF!</definedName>
    <definedName name="XRefPaste112"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Row" hidden="1">#REF!</definedName>
    <definedName name="XRefPaste12" hidden="1">#REF!</definedName>
    <definedName name="XRefPaste120" hidden="1">#REF!</definedName>
    <definedName name="XRefPaste121" hidden="1">#REF!</definedName>
    <definedName name="XRefPaste124" hidden="1">#REF!</definedName>
    <definedName name="XRefPaste126" hidden="1">#REF!</definedName>
    <definedName name="XRefPaste129" hidden="1">#REF!</definedName>
    <definedName name="XRefPaste12Row" hidden="1">#REF!</definedName>
    <definedName name="XRefPaste13" hidden="1">#REF!</definedName>
    <definedName name="XRefPaste130" hidden="1">#REF!</definedName>
    <definedName name="XRefPaste134" hidden="1">#REF!</definedName>
    <definedName name="XRefPaste135" hidden="1">#REF!</definedName>
    <definedName name="XRefPaste136" hidden="1">#REF!</definedName>
    <definedName name="XRefPaste138" hidden="1">#REF!</definedName>
    <definedName name="XRefPaste13Row" hidden="1">#REF!</definedName>
    <definedName name="XRefPaste14" hidden="1">#REF!</definedName>
    <definedName name="XRefPaste140" hidden="1">#REF!</definedName>
    <definedName name="XRefPaste143" hidden="1">#REF!</definedName>
    <definedName name="XRefPaste144" hidden="1">#REF!</definedName>
    <definedName name="XRefPaste145"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2Row" hidden="1">#REF!</definedName>
    <definedName name="XRefPaste153" hidden="1">#REF!</definedName>
    <definedName name="XRefPaste153Row"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3Row"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 hidden="1">#REF!</definedName>
    <definedName name="XRefPaste170Row" hidden="1">#REF!</definedName>
    <definedName name="XRefPaste171" hidden="1">#REF!</definedName>
    <definedName name="XRefPaste171Row" hidden="1">#REF!</definedName>
    <definedName name="XRefPaste172" hidden="1">#REF!</definedName>
    <definedName name="XRefPaste172Row" hidden="1">#REF!</definedName>
    <definedName name="XRefPaste173" hidden="1">#REF!</definedName>
    <definedName name="XRefPaste173Row" hidden="1">#REF!</definedName>
    <definedName name="XRefPaste174" hidden="1">#REF!</definedName>
    <definedName name="XRefPaste174Row" hidden="1">#REF!</definedName>
    <definedName name="XRefPaste175" hidden="1">#REF!</definedName>
    <definedName name="XRefPaste175Row" hidden="1">#REF!</definedName>
    <definedName name="XRefPaste176"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3" hidden="1">#REF!</definedName>
    <definedName name="XRefPaste183Row" hidden="1">#REF!</definedName>
    <definedName name="XRefPaste184" hidden="1">#REF!</definedName>
    <definedName name="XRefPaste184Row" hidden="1">#REF!</definedName>
    <definedName name="XRefPaste185" hidden="1">#REF!</definedName>
    <definedName name="XRefPaste185Row" hidden="1">#REF!</definedName>
    <definedName name="XRefPaste186" hidden="1">#REF!</definedName>
    <definedName name="XRefPaste186Row" hidden="1">#REF!</definedName>
    <definedName name="XRefPaste187" hidden="1">#REF!</definedName>
    <definedName name="XRefPaste187Row" hidden="1">#REF!</definedName>
    <definedName name="XRefPaste188" hidden="1">#REF!</definedName>
    <definedName name="XRefPaste188Row" hidden="1">#REF!</definedName>
    <definedName name="XRefPaste189" hidden="1">#REF!</definedName>
    <definedName name="XRefPaste189Row" hidden="1">#REF!</definedName>
    <definedName name="XRefPaste18Row" hidden="1">#REF!</definedName>
    <definedName name="XRefPaste19" hidden="1">#REF!</definedName>
    <definedName name="XRefPaste190" hidden="1">#REF!</definedName>
    <definedName name="XRefPaste190Row" hidden="1">#REF!</definedName>
    <definedName name="XRefPaste191" hidden="1">#REF!</definedName>
    <definedName name="XRefPaste191Row" hidden="1">#REF!</definedName>
    <definedName name="XRefPaste192" hidden="1">#REF!</definedName>
    <definedName name="XRefPaste192Row" hidden="1">#REF!</definedName>
    <definedName name="XRefPaste193" hidden="1">#REF!</definedName>
    <definedName name="XRefPaste193Row" hidden="1">#REF!</definedName>
    <definedName name="XRefPaste194" hidden="1">#REF!</definedName>
    <definedName name="XRefPaste194Row" hidden="1">#REF!</definedName>
    <definedName name="XRefPaste195" hidden="1">#REF!</definedName>
    <definedName name="XRefPaste195Row" hidden="1">#REF!</definedName>
    <definedName name="XRefPaste196" hidden="1">#REF!</definedName>
    <definedName name="XRefPaste196Row" hidden="1">#REF!</definedName>
    <definedName name="XRefPaste197" hidden="1">#REF!</definedName>
    <definedName name="XRefPaste197Row" hidden="1">#REF!</definedName>
    <definedName name="XRefPaste198" hidden="1">#REF!</definedName>
    <definedName name="XRefPaste198Row" hidden="1">#REF!</definedName>
    <definedName name="XRefPaste199" hidden="1">#REF!</definedName>
    <definedName name="XRefPaste199Row"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0Row" hidden="1">#REF!</definedName>
    <definedName name="XRefPaste201" hidden="1">#REF!</definedName>
    <definedName name="XRefPaste201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8" hidden="1">#REF!</definedName>
    <definedName name="XRefPaste208Row" hidden="1">#REF!</definedName>
    <definedName name="XRefPaste209" hidden="1">#REF!</definedName>
    <definedName name="XRefPaste209Row" hidden="1">#REF!</definedName>
    <definedName name="XRefPaste20Row" hidden="1">#REF!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hidden="1">#REF!</definedName>
    <definedName name="XRefPaste22" hidden="1">#REF!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hidden="1">#REF!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 hidden="1">#REF!</definedName>
    <definedName name="XRefPaste233Row" hidden="1">#REF!</definedName>
    <definedName name="XRefPaste234" hidden="1">#REF!</definedName>
    <definedName name="XRefPaste234Row" hidden="1">#REF!</definedName>
    <definedName name="XRefPaste235" hidden="1">#REF!</definedName>
    <definedName name="XRefPaste235Row" hidden="1">#REF!</definedName>
    <definedName name="XRefPaste236" hidden="1">#REF!</definedName>
    <definedName name="XRefPaste236Row" hidden="1">#REF!</definedName>
    <definedName name="XRefPaste237" hidden="1">#REF!</definedName>
    <definedName name="XRefPaste237Row" hidden="1">#REF!</definedName>
    <definedName name="XRefPaste238" hidden="1">#REF!</definedName>
    <definedName name="XRefPaste238Row" hidden="1">#REF!</definedName>
    <definedName name="XRefPaste239" hidden="1">#REF!</definedName>
    <definedName name="XRefPaste239Row" hidden="1">#REF!</definedName>
    <definedName name="XRefPaste23Row" hidden="1">#REF!</definedName>
    <definedName name="XRefPaste24" hidden="1">#REF!</definedName>
    <definedName name="XRefPaste240" hidden="1">#REF!</definedName>
    <definedName name="XRefPaste240Row" hidden="1">#REF!</definedName>
    <definedName name="XRefPaste241" hidden="1">#REF!</definedName>
    <definedName name="XRefPaste241Row"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 hidden="1">#REF!</definedName>
    <definedName name="XRefPaste245Row" hidden="1">#REF!</definedName>
    <definedName name="XRefPaste246" hidden="1">#REF!</definedName>
    <definedName name="XRefPaste246Row" hidden="1">#REF!</definedName>
    <definedName name="XRefPaste247" hidden="1">#REF!</definedName>
    <definedName name="XRefPaste247Row" hidden="1">#REF!</definedName>
    <definedName name="XRefPaste248" hidden="1">#REF!</definedName>
    <definedName name="XRefPaste248Row" hidden="1">#REF!</definedName>
    <definedName name="XRefPaste249" hidden="1">#REF!</definedName>
    <definedName name="XRefPaste249Row" hidden="1">#REF!</definedName>
    <definedName name="XRefPaste24Row" hidden="1">#REF!</definedName>
    <definedName name="XRefPaste25" hidden="1">#REF!</definedName>
    <definedName name="XRefPaste250" hidden="1">#REF!</definedName>
    <definedName name="XRefPaste250Row" hidden="1">#REF!</definedName>
    <definedName name="XRefPaste251" hidden="1">#REF!</definedName>
    <definedName name="XRefPaste251Row" hidden="1">#REF!</definedName>
    <definedName name="XRefPaste252" hidden="1">#REF!</definedName>
    <definedName name="XRefPaste254" hidden="1">#REF!</definedName>
    <definedName name="XRefPaste255" hidden="1">#REF!</definedName>
    <definedName name="XRefPaste256" hidden="1">#REF!</definedName>
    <definedName name="XRefPaste257" hidden="1">#REF!</definedName>
    <definedName name="XRefPaste258" hidden="1">#REF!</definedName>
    <definedName name="XRefPaste259" hidden="1">#REF!</definedName>
    <definedName name="XRefPaste25Row" hidden="1">#REF!</definedName>
    <definedName name="XRefPaste26" hidden="1">#REF!</definedName>
    <definedName name="XRefPaste260" hidden="1">#REF!</definedName>
    <definedName name="XRefPaste261" hidden="1">#REF!</definedName>
    <definedName name="XRefPaste262" hidden="1">#REF!</definedName>
    <definedName name="XRefPaste263" hidden="1">#REF!</definedName>
    <definedName name="XRefPaste264" hidden="1">#REF!</definedName>
    <definedName name="XRefPaste265" hidden="1">#REF!</definedName>
    <definedName name="XRefPaste266" hidden="1">#REF!</definedName>
    <definedName name="XRefPaste267" hidden="1">#REF!</definedName>
    <definedName name="XRefPaste269" hidden="1">#REF!</definedName>
    <definedName name="XRefPaste26Row" hidden="1">#REF!</definedName>
    <definedName name="XRefPaste27" hidden="1">#REF!</definedName>
    <definedName name="XRefPaste27Row" hidden="1">#REF!</definedName>
    <definedName name="XRefPaste28" hidden="1">#REF!</definedName>
    <definedName name="XRefPaste289" hidden="1">#REF!</definedName>
    <definedName name="XRefPaste28Row" hidden="1">#REF!</definedName>
    <definedName name="XRefPaste29" hidden="1">#REF!</definedName>
    <definedName name="XRefPaste290" hidden="1">#REF!</definedName>
    <definedName name="XRefPaste291" hidden="1">#REF!</definedName>
    <definedName name="XRefPaste292" hidden="1">#REF!</definedName>
    <definedName name="XRefPaste293" hidden="1">#REF!</definedName>
    <definedName name="XRefPaste29Row" hidden="1">#REF!</definedName>
    <definedName name="XRefPaste2Row" hidden="1">#REF!</definedName>
    <definedName name="XRefPaste3" hidden="1">#REF!</definedName>
    <definedName name="XRefPaste30" hidden="1">#REF!</definedName>
    <definedName name="XRefPaste302" hidden="1">#REF!</definedName>
    <definedName name="XRefPaste305"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4" hidden="1">#REF!</definedName>
    <definedName name="XRefPaste345" hidden="1">#REF!</definedName>
    <definedName name="XRefPaste34Row" hidden="1">#REF!</definedName>
    <definedName name="XRefPaste35" hidden="1">#REF!</definedName>
    <definedName name="XRefPaste350"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4" hidden="1">#REF!</definedName>
    <definedName name="XRefPaste65" hidden="1">#REF!</definedName>
    <definedName name="XRefPaste66" hidden="1">#REF!</definedName>
    <definedName name="XRefPaste68" hidden="1">#REF!</definedName>
    <definedName name="XRefPaste69" hidden="1">#REF!</definedName>
    <definedName name="XRefPaste6Row" hidden="1">#REF!</definedName>
    <definedName name="XRefPaste7" hidden="1">#REF!</definedName>
    <definedName name="XRefPaste70" hidden="1">#REF!</definedName>
    <definedName name="XRefPaste71" hidden="1">#REF!</definedName>
    <definedName name="XRefPaste72" hidden="1">#REF!</definedName>
    <definedName name="XRefPaste73" hidden="1">#REF!</definedName>
    <definedName name="XRefPaste74" hidden="1">#REF!</definedName>
    <definedName name="XRefPaste75" hidden="1">#REF!</definedName>
    <definedName name="XRefPaste76" hidden="1">#REF!</definedName>
    <definedName name="XRefPaste77" hidden="1">#REF!</definedName>
    <definedName name="XRefPaste78" hidden="1">#REF!</definedName>
    <definedName name="XRefPaste79" hidden="1">#REF!</definedName>
    <definedName name="XRefPaste7Row" hidden="1">#REF!</definedName>
    <definedName name="XRefPaste8" hidden="1">#REF!</definedName>
    <definedName name="XRefPaste80" hidden="1">#REF!</definedName>
    <definedName name="XRefPaste81" hidden="1">#REF!</definedName>
    <definedName name="XRefPaste82" hidden="1">#REF!</definedName>
    <definedName name="XRefPaste83" hidden="1">#REF!</definedName>
    <definedName name="XRefPaste84" hidden="1">#REF!</definedName>
    <definedName name="XRefPaste85" hidden="1">#REF!</definedName>
    <definedName name="XRefPaste86" hidden="1">#REF!</definedName>
    <definedName name="XRefPaste87" hidden="1">#REF!</definedName>
    <definedName name="XRefPaste88"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Row"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2</definedName>
    <definedName name="XS" localSheetId="2" hidden="1">{#N/A,#N/A,FALSE,"을지 (4)";#N/A,#N/A,FALSE,"을지 (5)";#N/A,#N/A,FALSE,"을지 (6)"}</definedName>
    <definedName name="XS" hidden="1">{#N/A,#N/A,FALSE,"을지 (4)";#N/A,#N/A,FALSE,"을지 (5)";#N/A,#N/A,FALSE,"을지 (6)"}</definedName>
    <definedName name="xta92경전.서TBr23c13r23c36TBr13">#REF!</definedName>
    <definedName name="xta경영계92.서TBr13c7r41c30TBr1">#REF!</definedName>
    <definedName name="xx" hidden="1">#REF!</definedName>
    <definedName name="xxx" hidden="1">{"FTEAOB 90",#N/A,FALSE,"FTEAOB - 5.0 Format - Input"}</definedName>
    <definedName name="xxxxx" hidden="1">{#N/A,#N/A,FALSE,"Che-Ga";#N/A,#N/A,FALSE,"Iv-Sm";#N/A,#N/A,FALSE,"So-We";#N/A,#N/A,FALSE,"Me-Po";#N/A,#N/A,FALSE,"Be-Bo";#N/A,#N/A,FALSE,"Cha-Ki";#N/A,#N/A,FALSE,"In";#N/A,#N/A,FALSE,"Schedule 23";#N/A,#N/A,FALSE,"Schedule 22";#N/A,#N/A,FALSE,"WACC"}</definedName>
    <definedName name="xxxxxxxxxxxxxxxx">#N/A</definedName>
    <definedName name="X행">#REF!</definedName>
    <definedName name="y" hidden="1">{#N/A,#N/A,FALSE,"손익표지";#N/A,#N/A,FALSE,"손익계산";#N/A,#N/A,FALSE,"일반관리비";#N/A,#N/A,FALSE,"영업외수익";#N/A,#N/A,FALSE,"영업외비용";#N/A,#N/A,FALSE,"매출액";#N/A,#N/A,FALSE,"요약손익";#N/A,#N/A,FALSE,"요약대차";#N/A,#N/A,FALSE,"매출채권현황";#N/A,#N/A,FALSE,"매출채권명세"}</definedName>
    <definedName name="Yahoo" hidden="1">{#N/A,#N/A,FALSE,"Inc. St.";#N/A,#N/A,FALSE,"FYear";#N/A,#N/A,FALSE,"Revs.";#N/A,#N/A,FALSE,"RevsYear";#N/A,#N/A,FALSE,"Balance";#N/A,#N/A,FALSE,"CompVal";#N/A,#N/A,FALSE,"Val.";#N/A,#N/A,FALSE,"DCFval"}</definedName>
    <definedName name="Yash"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E">#N/A</definedName>
    <definedName name="YEAR">#REF!</definedName>
    <definedName name="YEAREND">#REF!</definedName>
    <definedName name="YearStart2">#REF!</definedName>
    <definedName name="YearStart3">#REF!</definedName>
    <definedName name="YearStart4">#REF!</definedName>
    <definedName name="YearStart5">#REF!</definedName>
    <definedName name="YearStart6">#REF!</definedName>
    <definedName name="YearStart7">#REF!</definedName>
    <definedName name="YEKA">#N/A</definedName>
    <definedName name="YEN1">#REF!</definedName>
    <definedName name="YEN2">#REF!</definedName>
    <definedName name="YEN3">#REF!</definedName>
    <definedName name="YEN4">#REF!</definedName>
    <definedName name="YFU" hidden="1">{"'용역비'!$A$4:$C$8"}</definedName>
    <definedName name="yhg" hidden="1">2</definedName>
    <definedName name="Yield">#REF!</definedName>
    <definedName name="YJN">BlankMacro1</definedName>
    <definedName name="yjyg">#REF!</definedName>
    <definedName name="YMMA">#REF!</definedName>
    <definedName name="yrdtytyt" localSheetId="2" hidden="1">{#N/A,#N/A,FALSE,"CCTV"}</definedName>
    <definedName name="yrdtytyt" hidden="1">{#N/A,#N/A,FALSE,"CCTV"}</definedName>
    <definedName name="yre" hidden="1">{#N/A,#N/A,FALSE,"손익표지";#N/A,#N/A,FALSE,"손익계산";#N/A,#N/A,FALSE,"일반관리비";#N/A,#N/A,FALSE,"영업외수익";#N/A,#N/A,FALSE,"영업외비용";#N/A,#N/A,FALSE,"매출액";#N/A,#N/A,FALSE,"요약손익";#N/A,#N/A,FALSE,"요약대차";#N/A,#N/A,FALSE,"매출채권현황";#N/A,#N/A,FALSE,"매출채권명세"}</definedName>
    <definedName name="yt" hidden="1">{#N/A,#N/A,FALSE,"손익표지";#N/A,#N/A,FALSE,"손익계산";#N/A,#N/A,FALSE,"일반관리비";#N/A,#N/A,FALSE,"영업외수익";#N/A,#N/A,FALSE,"영업외비용";#N/A,#N/A,FALSE,"매출액";#N/A,#N/A,FALSE,"요약손익";#N/A,#N/A,FALSE,"요약대차";#N/A,#N/A,FALSE,"매출채권현황";#N/A,#N/A,FALSE,"매출채권명세"}</definedName>
    <definedName name="YTM">#REF!</definedName>
    <definedName name="ytty">#N/A</definedName>
    <definedName name="YTUJYTU" hidden="1">{#N/A,#N/A,FALSE,"단축1";#N/A,#N/A,FALSE,"단축2";#N/A,#N/A,FALSE,"단축3";#N/A,#N/A,FALSE,"장축";#N/A,#N/A,FALSE,"4WD"}</definedName>
    <definedName name="ytutyu">#REF!</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K" hidden="1">{"'용역비'!$A$4:$C$8"}</definedName>
    <definedName name="YUTY" hidden="1">{#N/A,#N/A,FALSE,"Sheet6"}</definedName>
    <definedName name="yy" hidden="1">{#N/A,#N/A,FALSE,"Hip.Bas";#N/A,#N/A,FALSE,"ventas";#N/A,#N/A,FALSE,"ingre-Año";#N/A,#N/A,FALSE,"ventas-Año";#N/A,#N/A,FALSE,"Costepro";#N/A,#N/A,FALSE,"inversion";#N/A,#N/A,FALSE,"personal";#N/A,#N/A,FALSE,"Gastos-V";#N/A,#N/A,FALSE,"Circulante";#N/A,#N/A,FALSE,"CONSOLI";#N/A,#N/A,FALSE,"Es-Fin";#N/A,#N/A,FALSE,"Margen-P"}</definedName>
    <definedName name="yyy"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yyy"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YYYYYYYYY">#REF!</definedName>
    <definedName name="Z">#REF!</definedName>
    <definedName name="Z_1BE16F68_9D44_11D3_8909_0000834298E4_.wvu.PrintArea" hidden="1">#REF!</definedName>
    <definedName name="Z_1BE16F68_9D44_11D3_8909_0000834298E4_.wvu.PrintTitles" hidden="1">#REF!,#REF!</definedName>
    <definedName name="Z_1BE16F69_9D44_11D3_8909_0000834298E4_.wvu.PrintArea" hidden="1">#REF!</definedName>
    <definedName name="Z_1BE16F69_9D44_11D3_8909_0000834298E4_.wvu.PrintTitles" hidden="1">#REF!,#REF!</definedName>
    <definedName name="Z_1BE16F6A_9D44_11D3_8909_0000834298E4_.wvu.PrintArea" hidden="1">#REF!</definedName>
    <definedName name="Z_1BE16F6A_9D44_11D3_8909_0000834298E4_.wvu.PrintTitles" hidden="1">#REF!,#REF!</definedName>
    <definedName name="Z_1BE16F6B_9D44_11D3_8909_0000834298E4_.wvu.PrintArea" hidden="1">#REF!</definedName>
    <definedName name="Z_1BE16F6B_9D44_11D3_8909_0000834298E4_.wvu.PrintTitles" hidden="1">#REF!,#REF!</definedName>
    <definedName name="Z_1BE16F6C_9D44_11D3_8909_0000834298E4_.wvu.PrintArea" hidden="1">#REF!</definedName>
    <definedName name="Z_1BE16F6C_9D44_11D3_8909_0000834298E4_.wvu.PrintTitles" hidden="1">#REF!,#REF!</definedName>
    <definedName name="Z_1D36A23A_A1C1_11D3_890B_0000834298E4_.wvu.PrintArea" hidden="1">#REF!</definedName>
    <definedName name="Z_1D36A23A_A1C1_11D3_890B_0000834298E4_.wvu.PrintTitles" hidden="1">#REF!,#REF!</definedName>
    <definedName name="Z_1D36A23B_A1C1_11D3_890B_0000834298E4_.wvu.PrintArea" hidden="1">#REF!</definedName>
    <definedName name="Z_1D36A23B_A1C1_11D3_890B_0000834298E4_.wvu.PrintTitles" hidden="1">#REF!,#REF!</definedName>
    <definedName name="Z_1D36A23C_A1C1_11D3_890B_0000834298E4_.wvu.PrintArea" hidden="1">#REF!</definedName>
    <definedName name="Z_1D36A23C_A1C1_11D3_890B_0000834298E4_.wvu.PrintTitles" hidden="1">#REF!,#REF!</definedName>
    <definedName name="Z_1D36A23D_A1C1_11D3_890B_0000834298E4_.wvu.PrintArea" hidden="1">#REF!</definedName>
    <definedName name="Z_1D36A23D_A1C1_11D3_890B_0000834298E4_.wvu.PrintTitles" hidden="1">#REF!,#REF!</definedName>
    <definedName name="Z_1D36A23E_A1C1_11D3_890B_0000834298E4_.wvu.PrintArea" hidden="1">#REF!</definedName>
    <definedName name="Z_1D36A23E_A1C1_11D3_890B_0000834298E4_.wvu.PrintTitles" hidden="1">#REF!,#REF!</definedName>
    <definedName name="Z_1F455A30_7293_11D3_8901_0000834298E4_.wvu.PrintArea" hidden="1">#REF!</definedName>
    <definedName name="Z_1F455A30_7293_11D3_8901_0000834298E4_.wvu.PrintTitles" hidden="1">#REF!,#REF!</definedName>
    <definedName name="Z_1F455A31_7293_11D3_8901_0000834298E4_.wvu.PrintArea" hidden="1">#REF!</definedName>
    <definedName name="Z_1F455A31_7293_11D3_8901_0000834298E4_.wvu.PrintTitles" hidden="1">#REF!,#REF!</definedName>
    <definedName name="Z_1F455A32_7293_11D3_8901_0000834298E4_.wvu.PrintArea" hidden="1">#REF!</definedName>
    <definedName name="Z_1F455A32_7293_11D3_8901_0000834298E4_.wvu.PrintTitles" hidden="1">#REF!,#REF!</definedName>
    <definedName name="Z_1F455A33_7293_11D3_8901_0000834298E4_.wvu.PrintArea" hidden="1">#REF!</definedName>
    <definedName name="Z_1F455A33_7293_11D3_8901_0000834298E4_.wvu.PrintTitles" hidden="1">#REF!,#REF!</definedName>
    <definedName name="Z_1F455A34_7293_11D3_8901_0000834298E4_.wvu.PrintArea" hidden="1">#REF!</definedName>
    <definedName name="Z_1F455A34_7293_11D3_8901_0000834298E4_.wvu.PrintTitles" hidden="1">#REF!,#REF!</definedName>
    <definedName name="Z_1F455B2A_7293_11D3_8901_0000834298E4_.wvu.PrintArea" hidden="1">#REF!</definedName>
    <definedName name="Z_1F455B2A_7293_11D3_8901_0000834298E4_.wvu.PrintTitles" hidden="1">#REF!,#REF!</definedName>
    <definedName name="Z_1F455B2B_7293_11D3_8901_0000834298E4_.wvu.PrintArea" hidden="1">#REF!</definedName>
    <definedName name="Z_1F455B2B_7293_11D3_8901_0000834298E4_.wvu.PrintTitles" hidden="1">#REF!,#REF!</definedName>
    <definedName name="Z_1F455B2C_7293_11D3_8901_0000834298E4_.wvu.PrintArea" hidden="1">#REF!</definedName>
    <definedName name="Z_1F455B2C_7293_11D3_8901_0000834298E4_.wvu.PrintTitles" hidden="1">#REF!,#REF!</definedName>
    <definedName name="Z_1F455B2D_7293_11D3_8901_0000834298E4_.wvu.PrintArea" hidden="1">#REF!</definedName>
    <definedName name="Z_1F455B2D_7293_11D3_8901_0000834298E4_.wvu.PrintTitles" hidden="1">#REF!,#REF!</definedName>
    <definedName name="Z_1F455B2E_7293_11D3_8901_0000834298E4_.wvu.PrintArea" hidden="1">#REF!</definedName>
    <definedName name="Z_1F455B2E_7293_11D3_8901_0000834298E4_.wvu.PrintTitles" hidden="1">#REF!,#REF!</definedName>
    <definedName name="Z_1F455C7F_7293_11D3_8901_0000834298E4_.wvu.PrintArea" hidden="1">#REF!</definedName>
    <definedName name="Z_1F455C7F_7293_11D3_8901_0000834298E4_.wvu.PrintTitles" hidden="1">#REF!,#REF!</definedName>
    <definedName name="Z_1F455C80_7293_11D3_8901_0000834298E4_.wvu.PrintArea" hidden="1">#REF!</definedName>
    <definedName name="Z_1F455C80_7293_11D3_8901_0000834298E4_.wvu.PrintTitles" hidden="1">#REF!,#REF!</definedName>
    <definedName name="Z_1F455C81_7293_11D3_8901_0000834298E4_.wvu.PrintArea" hidden="1">#REF!</definedName>
    <definedName name="Z_1F455C81_7293_11D3_8901_0000834298E4_.wvu.PrintTitles" hidden="1">#REF!,#REF!</definedName>
    <definedName name="Z_1F455C82_7293_11D3_8901_0000834298E4_.wvu.PrintArea" hidden="1">#REF!</definedName>
    <definedName name="Z_1F455C82_7293_11D3_8901_0000834298E4_.wvu.PrintTitles" hidden="1">#REF!,#REF!</definedName>
    <definedName name="Z_1F455C83_7293_11D3_8901_0000834298E4_.wvu.PrintArea" hidden="1">#REF!</definedName>
    <definedName name="Z_1F455C83_7293_11D3_8901_0000834298E4_.wvu.PrintTitles" hidden="1">#REF!,#REF!</definedName>
    <definedName name="Z_1F455D42_7293_11D3_8901_0000834298E4_.wvu.PrintArea" hidden="1">#REF!</definedName>
    <definedName name="Z_1F455D42_7293_11D3_8901_0000834298E4_.wvu.PrintTitles" hidden="1">#REF!,#REF!</definedName>
    <definedName name="Z_1F455D43_7293_11D3_8901_0000834298E4_.wvu.PrintArea" hidden="1">#REF!</definedName>
    <definedName name="Z_1F455D43_7293_11D3_8901_0000834298E4_.wvu.PrintTitles" hidden="1">#REF!,#REF!</definedName>
    <definedName name="Z_1F455D44_7293_11D3_8901_0000834298E4_.wvu.PrintArea" hidden="1">#REF!</definedName>
    <definedName name="Z_1F455D44_7293_11D3_8901_0000834298E4_.wvu.PrintTitles" hidden="1">#REF!,#REF!</definedName>
    <definedName name="Z_1F455D45_7293_11D3_8901_0000834298E4_.wvu.PrintArea" hidden="1">#REF!</definedName>
    <definedName name="Z_1F455D45_7293_11D3_8901_0000834298E4_.wvu.PrintTitles" hidden="1">#REF!,#REF!</definedName>
    <definedName name="Z_1F455D46_7293_11D3_8901_0000834298E4_.wvu.PrintArea" hidden="1">#REF!</definedName>
    <definedName name="Z_1F455D46_7293_11D3_8901_0000834298E4_.wvu.PrintTitles" hidden="1">#REF!,#REF!</definedName>
    <definedName name="Z_20CC9B39_69FE_11D3_88F7_0000834298E4_.wvu.Cols" hidden="1">#REF!</definedName>
    <definedName name="Z_20CC9B39_69FE_11D3_88F7_0000834298E4_.wvu.PrintArea" hidden="1">#REF!</definedName>
    <definedName name="Z_20CC9B39_69FE_11D3_88F7_0000834298E4_.wvu.PrintTitles" hidden="1">#REF!</definedName>
    <definedName name="Z_20CC9B39_69FE_11D3_88F7_0000834298E4_.wvu.Rows" hidden="1">#REF!</definedName>
    <definedName name="Z_20CC9B3B_69FE_11D3_88F7_0000834298E4_.wvu.Cols" hidden="1">#REF!</definedName>
    <definedName name="Z_20CC9B3B_69FE_11D3_88F7_0000834298E4_.wvu.PrintArea" hidden="1">#REF!</definedName>
    <definedName name="Z_20CC9B3B_69FE_11D3_88F7_0000834298E4_.wvu.PrintTitles" hidden="1">#REF!</definedName>
    <definedName name="Z_20CC9B3B_69FE_11D3_88F7_0000834298E4_.wvu.Rows" hidden="1">#REF!</definedName>
    <definedName name="Z_20CC9B3D_69FE_11D3_88F7_0000834298E4_.wvu.Cols" hidden="1">#REF!</definedName>
    <definedName name="Z_20CC9B3D_69FE_11D3_88F7_0000834298E4_.wvu.PrintArea" hidden="1">#REF!</definedName>
    <definedName name="Z_20CC9B3D_69FE_11D3_88F7_0000834298E4_.wvu.PrintTitles" hidden="1">#REF!</definedName>
    <definedName name="Z_20CC9B3D_69FE_11D3_88F7_0000834298E4_.wvu.Rows" hidden="1">#REF!</definedName>
    <definedName name="Z_20CC9BCC_69FE_11D3_88F7_0000834298E4_.wvu.Cols" hidden="1">#REF!</definedName>
    <definedName name="Z_20CC9BCC_69FE_11D3_88F7_0000834298E4_.wvu.PrintArea" hidden="1">#REF!</definedName>
    <definedName name="Z_20CC9BCC_69FE_11D3_88F7_0000834298E4_.wvu.PrintTitles" hidden="1">#REF!</definedName>
    <definedName name="Z_20CC9BCC_69FE_11D3_88F7_0000834298E4_.wvu.Rows" hidden="1">#REF!</definedName>
    <definedName name="Z_20CC9BCE_69FE_11D3_88F7_0000834298E4_.wvu.Cols" hidden="1">#REF!</definedName>
    <definedName name="Z_20CC9BCE_69FE_11D3_88F7_0000834298E4_.wvu.PrintArea" hidden="1">#REF!</definedName>
    <definedName name="Z_20CC9BCE_69FE_11D3_88F7_0000834298E4_.wvu.PrintTitles" hidden="1">#REF!</definedName>
    <definedName name="Z_20CC9BCE_69FE_11D3_88F7_0000834298E4_.wvu.Rows" hidden="1">#REF!</definedName>
    <definedName name="Z_20CC9C23_69FE_11D3_88F7_0000834298E4_.wvu.Cols" hidden="1">#REF!</definedName>
    <definedName name="Z_31BD4071_6607_11D3_88F3_0000834298E4_.wvu.Cols" hidden="1">#REF!</definedName>
    <definedName name="Z_31BD4071_6607_11D3_88F3_0000834298E4_.wvu.PrintArea" hidden="1">#REF!</definedName>
    <definedName name="Z_31BD4071_6607_11D3_88F3_0000834298E4_.wvu.PrintTitles" hidden="1">#REF!</definedName>
    <definedName name="Z_31BD4071_6607_11D3_88F3_0000834298E4_.wvu.Rows" hidden="1">#REF!</definedName>
    <definedName name="Z_31BD4073_6607_11D3_88F3_0000834298E4_.wvu.Cols" hidden="1">#REF!</definedName>
    <definedName name="Z_31BD4073_6607_11D3_88F3_0000834298E4_.wvu.PrintArea" hidden="1">#REF!</definedName>
    <definedName name="Z_31BD4073_6607_11D3_88F3_0000834298E4_.wvu.PrintTitles" hidden="1">#REF!</definedName>
    <definedName name="Z_31BD4073_6607_11D3_88F3_0000834298E4_.wvu.Rows" hidden="1">#REF!</definedName>
    <definedName name="Z_31BD4075_6607_11D3_88F3_0000834298E4_.wvu.Cols" hidden="1">#REF!</definedName>
    <definedName name="Z_31BD4075_6607_11D3_88F3_0000834298E4_.wvu.PrintArea" hidden="1">#REF!</definedName>
    <definedName name="Z_31BD4075_6607_11D3_88F3_0000834298E4_.wvu.PrintTitles" hidden="1">#REF!</definedName>
    <definedName name="Z_31BD4075_6607_11D3_88F3_0000834298E4_.wvu.Rows" hidden="1">#REF!</definedName>
    <definedName name="Z_31BD40E5_6607_11D3_88F3_0000834298E4_.wvu.PrintArea" hidden="1">#REF!</definedName>
    <definedName name="Z_31BD40E5_6607_11D3_88F3_0000834298E4_.wvu.PrintTitles" hidden="1">#REF!,#REF!</definedName>
    <definedName name="Z_31BD40E6_6607_11D3_88F3_0000834298E4_.wvu.PrintArea" hidden="1">#REF!</definedName>
    <definedName name="Z_31BD40E6_6607_11D3_88F3_0000834298E4_.wvu.PrintTitles" hidden="1">#REF!,#REF!</definedName>
    <definedName name="Z_31BD40E7_6607_11D3_88F3_0000834298E4_.wvu.PrintArea" hidden="1">#REF!</definedName>
    <definedName name="Z_31BD40E7_6607_11D3_88F3_0000834298E4_.wvu.PrintTitles" hidden="1">#REF!,#REF!</definedName>
    <definedName name="Z_31BD40E8_6607_11D3_88F3_0000834298E4_.wvu.PrintArea" hidden="1">#REF!</definedName>
    <definedName name="Z_31BD40E8_6607_11D3_88F3_0000834298E4_.wvu.PrintTitles" hidden="1">#REF!,#REF!</definedName>
    <definedName name="Z_31BD40E9_6607_11D3_88F3_0000834298E4_.wvu.PrintArea" hidden="1">#REF!</definedName>
    <definedName name="Z_31BD40E9_6607_11D3_88F3_0000834298E4_.wvu.PrintTitles" hidden="1">#REF!,#REF!</definedName>
    <definedName name="Z_31BD4177_6607_11D3_88F3_0000834298E4_.wvu.Cols" hidden="1">#REF!</definedName>
    <definedName name="Z_31BD4177_6607_11D3_88F3_0000834298E4_.wvu.PrintArea" hidden="1">#REF!</definedName>
    <definedName name="Z_31BD4177_6607_11D3_88F3_0000834298E4_.wvu.PrintTitles" hidden="1">#REF!</definedName>
    <definedName name="Z_31BD4177_6607_11D3_88F3_0000834298E4_.wvu.Rows" hidden="1">#REF!</definedName>
    <definedName name="Z_31BD4179_6607_11D3_88F3_0000834298E4_.wvu.Cols" hidden="1">#REF!</definedName>
    <definedName name="Z_31BD4179_6607_11D3_88F3_0000834298E4_.wvu.PrintArea" hidden="1">#REF!</definedName>
    <definedName name="Z_31BD4179_6607_11D3_88F3_0000834298E4_.wvu.PrintTitles" hidden="1">#REF!</definedName>
    <definedName name="Z_31BD4179_6607_11D3_88F3_0000834298E4_.wvu.Rows" hidden="1">#REF!</definedName>
    <definedName name="Z_31BD417B_6607_11D3_88F3_0000834298E4_.wvu.Cols" hidden="1">#REF!</definedName>
    <definedName name="Z_31BD417B_6607_11D3_88F3_0000834298E4_.wvu.PrintArea" hidden="1">#REF!</definedName>
    <definedName name="Z_31BD417B_6607_11D3_88F3_0000834298E4_.wvu.PrintTitles" hidden="1">#REF!</definedName>
    <definedName name="Z_31BD417B_6607_11D3_88F3_0000834298E4_.wvu.Rows" hidden="1">#REF!</definedName>
    <definedName name="Z_31C0CC66_A0FA_11D3_890A_0000834298E4_.wvu.PrintArea" hidden="1">#REF!</definedName>
    <definedName name="Z_31C0CC66_A0FA_11D3_890A_0000834298E4_.wvu.PrintTitles" hidden="1">#REF!,#REF!</definedName>
    <definedName name="Z_31C0CC67_A0FA_11D3_890A_0000834298E4_.wvu.PrintArea" hidden="1">#REF!</definedName>
    <definedName name="Z_31C0CC67_A0FA_11D3_890A_0000834298E4_.wvu.PrintTitles" hidden="1">#REF!,#REF!</definedName>
    <definedName name="Z_31C0CC68_A0FA_11D3_890A_0000834298E4_.wvu.PrintArea" hidden="1">#REF!</definedName>
    <definedName name="Z_31C0CC68_A0FA_11D3_890A_0000834298E4_.wvu.PrintTitles" hidden="1">#REF!,#REF!</definedName>
    <definedName name="Z_31C0CC69_A0FA_11D3_890A_0000834298E4_.wvu.PrintArea" hidden="1">#REF!</definedName>
    <definedName name="Z_31C0CC69_A0FA_11D3_890A_0000834298E4_.wvu.PrintTitles" hidden="1">#REF!,#REF!</definedName>
    <definedName name="Z_31C0CC6A_A0FA_11D3_890A_0000834298E4_.wvu.PrintArea" hidden="1">#REF!</definedName>
    <definedName name="Z_31C0CC6A_A0FA_11D3_890A_0000834298E4_.wvu.PrintTitles" hidden="1">#REF!,#REF!</definedName>
    <definedName name="Z_33E04360_9D15_11D3_8909_0000834298E4_.wvu.PrintArea" hidden="1">#REF!</definedName>
    <definedName name="Z_33E04360_9D15_11D3_8909_0000834298E4_.wvu.PrintTitles" hidden="1">#REF!,#REF!</definedName>
    <definedName name="Z_33E04361_9D15_11D3_8909_0000834298E4_.wvu.PrintArea" hidden="1">#REF!</definedName>
    <definedName name="Z_33E04361_9D15_11D3_8909_0000834298E4_.wvu.PrintTitles" hidden="1">#REF!,#REF!</definedName>
    <definedName name="Z_33E04362_9D15_11D3_8909_0000834298E4_.wvu.PrintArea" hidden="1">#REF!</definedName>
    <definedName name="Z_33E04362_9D15_11D3_8909_0000834298E4_.wvu.PrintTitles" hidden="1">#REF!,#REF!</definedName>
    <definedName name="Z_33E04363_9D15_11D3_8909_0000834298E4_.wvu.PrintArea" hidden="1">#REF!</definedName>
    <definedName name="Z_33E04363_9D15_11D3_8909_0000834298E4_.wvu.PrintTitles" hidden="1">#REF!,#REF!</definedName>
    <definedName name="Z_33E04364_9D15_11D3_8909_0000834298E4_.wvu.PrintArea" hidden="1">#REF!</definedName>
    <definedName name="Z_33E04364_9D15_11D3_8909_0000834298E4_.wvu.PrintTitles" hidden="1">#REF!,#REF!</definedName>
    <definedName name="Z_372AD0D0_7071_11D3_88FD_0000834298E4_.wvu.PrintArea" hidden="1">#REF!</definedName>
    <definedName name="Z_372AD0D0_7071_11D3_88FD_0000834298E4_.wvu.PrintTitles" hidden="1">#REF!,#REF!</definedName>
    <definedName name="Z_372AD0D1_7071_11D3_88FD_0000834298E4_.wvu.PrintArea" hidden="1">#REF!</definedName>
    <definedName name="Z_372AD0D1_7071_11D3_88FD_0000834298E4_.wvu.PrintTitles" hidden="1">#REF!,#REF!</definedName>
    <definedName name="Z_372AD0D2_7071_11D3_88FD_0000834298E4_.wvu.PrintArea" hidden="1">#REF!</definedName>
    <definedName name="Z_372AD0D2_7071_11D3_88FD_0000834298E4_.wvu.PrintTitles" hidden="1">#REF!,#REF!</definedName>
    <definedName name="Z_372AD0D3_7071_11D3_88FD_0000834298E4_.wvu.PrintArea" hidden="1">#REF!</definedName>
    <definedName name="Z_372AD0D3_7071_11D3_88FD_0000834298E4_.wvu.PrintTitles" hidden="1">#REF!,#REF!</definedName>
    <definedName name="Z_372AD0D4_7071_11D3_88FD_0000834298E4_.wvu.PrintArea" hidden="1">#REF!</definedName>
    <definedName name="Z_372AD0D4_7071_11D3_88FD_0000834298E4_.wvu.PrintTitles" hidden="1">#REF!,#REF!</definedName>
    <definedName name="Z_3FDE5923_907D_11D3_88FB_0000834298E4_.wvu.PrintArea" hidden="1">#REF!</definedName>
    <definedName name="Z_3FDE5923_907D_11D3_88FB_0000834298E4_.wvu.PrintTitles" hidden="1">#REF!,#REF!</definedName>
    <definedName name="Z_3FDE5924_907D_11D3_88FB_0000834298E4_.wvu.PrintArea" hidden="1">#REF!</definedName>
    <definedName name="Z_3FDE5924_907D_11D3_88FB_0000834298E4_.wvu.PrintTitles" hidden="1">#REF!,#REF!</definedName>
    <definedName name="Z_3FDE5925_907D_11D3_88FB_0000834298E4_.wvu.PrintArea" hidden="1">#REF!</definedName>
    <definedName name="Z_3FDE5925_907D_11D3_88FB_0000834298E4_.wvu.PrintTitles" hidden="1">#REF!,#REF!</definedName>
    <definedName name="Z_3FDE5926_907D_11D3_88FB_0000834298E4_.wvu.PrintArea" hidden="1">#REF!</definedName>
    <definedName name="Z_3FDE5926_907D_11D3_88FB_0000834298E4_.wvu.PrintTitles" hidden="1">#REF!,#REF!</definedName>
    <definedName name="Z_3FDE5927_907D_11D3_88FB_0000834298E4_.wvu.PrintArea" hidden="1">#REF!</definedName>
    <definedName name="Z_3FDE5927_907D_11D3_88FB_0000834298E4_.wvu.PrintTitles" hidden="1">#REF!,#REF!</definedName>
    <definedName name="Z_52599C1A_5BCA_11D3_88E6_0000834298E4_.wvu.Cols" hidden="1">#REF!</definedName>
    <definedName name="Z_52599C1A_5BCA_11D3_88E6_0000834298E4_.wvu.PrintArea" hidden="1">#REF!</definedName>
    <definedName name="Z_52599C1A_5BCA_11D3_88E6_0000834298E4_.wvu.PrintTitles" hidden="1">#REF!</definedName>
    <definedName name="Z_52599C1C_5BCA_11D3_88E6_0000834298E4_.wvu.Cols" hidden="1">#REF!</definedName>
    <definedName name="Z_52599C1C_5BCA_11D3_88E6_0000834298E4_.wvu.PrintArea" hidden="1">#REF!</definedName>
    <definedName name="Z_52599C1C_5BCA_11D3_88E6_0000834298E4_.wvu.PrintTitles" hidden="1">#REF!</definedName>
    <definedName name="Z_52599C1E_5BCA_11D3_88E6_0000834298E4_.wvu.Cols" hidden="1">#REF!</definedName>
    <definedName name="Z_52599C1E_5BCA_11D3_88E6_0000834298E4_.wvu.PrintArea" hidden="1">#REF!</definedName>
    <definedName name="Z_52599C1E_5BCA_11D3_88E6_0000834298E4_.wvu.PrintTitles" hidden="1">#REF!</definedName>
    <definedName name="Z_52599EEC_5BCA_11D3_88E6_0000834298E4_.wvu.Cols" hidden="1">#REF!</definedName>
    <definedName name="Z_52599EEC_5BCA_11D3_88E6_0000834298E4_.wvu.PrintArea" hidden="1">#REF!</definedName>
    <definedName name="Z_52599EEC_5BCA_11D3_88E6_0000834298E4_.wvu.PrintTitles" hidden="1">#REF!</definedName>
    <definedName name="Z_52599EEE_5BCA_11D3_88E6_0000834298E4_.wvu.Cols" hidden="1">#REF!</definedName>
    <definedName name="Z_52599EEE_5BCA_11D3_88E6_0000834298E4_.wvu.PrintArea" hidden="1">#REF!</definedName>
    <definedName name="Z_52599EEE_5BCA_11D3_88E6_0000834298E4_.wvu.PrintTitles" hidden="1">#REF!</definedName>
    <definedName name="Z_52599EF0_5BCA_11D3_88E6_0000834298E4_.wvu.Cols" hidden="1">#REF!</definedName>
    <definedName name="Z_52599EF0_5BCA_11D3_88E6_0000834298E4_.wvu.PrintArea" hidden="1">#REF!</definedName>
    <definedName name="Z_52599EF0_5BCA_11D3_88E6_0000834298E4_.wvu.PrintTitles" hidden="1">#REF!</definedName>
    <definedName name="Z_5259A2CD_5BCA_11D3_88E6_0000834298E4_.wvu.Cols" hidden="1">#REF!</definedName>
    <definedName name="Z_5259A2CD_5BCA_11D3_88E6_0000834298E4_.wvu.PrintArea" hidden="1">#REF!</definedName>
    <definedName name="Z_5259A2CD_5BCA_11D3_88E6_0000834298E4_.wvu.PrintTitles" hidden="1">#REF!</definedName>
    <definedName name="Z_5259A2CF_5BCA_11D3_88E6_0000834298E4_.wvu.Cols" hidden="1">#REF!</definedName>
    <definedName name="Z_5259A2CF_5BCA_11D3_88E6_0000834298E4_.wvu.PrintArea" hidden="1">#REF!</definedName>
    <definedName name="Z_5259A2CF_5BCA_11D3_88E6_0000834298E4_.wvu.PrintTitles" hidden="1">#REF!</definedName>
    <definedName name="Z_5259A2D1_5BCA_11D3_88E6_0000834298E4_.wvu.Cols" hidden="1">#REF!</definedName>
    <definedName name="Z_5259A2D1_5BCA_11D3_88E6_0000834298E4_.wvu.PrintArea" hidden="1">#REF!</definedName>
    <definedName name="Z_5259A2D1_5BCA_11D3_88E6_0000834298E4_.wvu.PrintTitles" hidden="1">#REF!</definedName>
    <definedName name="Z_5259A4C0_5BCA_11D3_88E6_0000834298E4_.wvu.Cols" hidden="1">#REF!</definedName>
    <definedName name="Z_5259A4C0_5BCA_11D3_88E6_0000834298E4_.wvu.PrintArea" hidden="1">#REF!</definedName>
    <definedName name="Z_5259A4C0_5BCA_11D3_88E6_0000834298E4_.wvu.PrintTitles" hidden="1">#REF!</definedName>
    <definedName name="Z_5259A4C2_5BCA_11D3_88E6_0000834298E4_.wvu.Cols" hidden="1">#REF!</definedName>
    <definedName name="Z_5259A4C2_5BCA_11D3_88E6_0000834298E4_.wvu.PrintArea" hidden="1">#REF!</definedName>
    <definedName name="Z_5259A4C2_5BCA_11D3_88E6_0000834298E4_.wvu.PrintTitles" hidden="1">#REF!</definedName>
    <definedName name="Z_5259A4C4_5BCA_11D3_88E6_0000834298E4_.wvu.Cols" hidden="1">#REF!</definedName>
    <definedName name="Z_5259A4C4_5BCA_11D3_88E6_0000834298E4_.wvu.PrintArea" hidden="1">#REF!</definedName>
    <definedName name="Z_5259A4C4_5BCA_11D3_88E6_0000834298E4_.wvu.PrintTitles" hidden="1">#REF!</definedName>
    <definedName name="Z_575FE831_9D22_11D3_8909_0000834298E4_.wvu.PrintArea" hidden="1">#REF!</definedName>
    <definedName name="Z_575FE831_9D22_11D3_8909_0000834298E4_.wvu.PrintTitles" hidden="1">#REF!,#REF!</definedName>
    <definedName name="Z_575FE832_9D22_11D3_8909_0000834298E4_.wvu.PrintArea" hidden="1">#REF!</definedName>
    <definedName name="Z_575FE832_9D22_11D3_8909_0000834298E4_.wvu.PrintTitles" hidden="1">#REF!,#REF!</definedName>
    <definedName name="Z_575FE833_9D22_11D3_8909_0000834298E4_.wvu.PrintArea" hidden="1">#REF!</definedName>
    <definedName name="Z_575FE833_9D22_11D3_8909_0000834298E4_.wvu.PrintTitles" hidden="1">#REF!,#REF!</definedName>
    <definedName name="Z_575FE834_9D22_11D3_8909_0000834298E4_.wvu.PrintArea" hidden="1">#REF!</definedName>
    <definedName name="Z_575FE834_9D22_11D3_8909_0000834298E4_.wvu.PrintTitles" hidden="1">#REF!,#REF!</definedName>
    <definedName name="Z_575FE835_9D22_11D3_8909_0000834298E4_.wvu.PrintArea" hidden="1">#REF!</definedName>
    <definedName name="Z_575FE835_9D22_11D3_8909_0000834298E4_.wvu.PrintTitles" hidden="1">#REF!,#REF!</definedName>
    <definedName name="Z_58811516_5B2E_11D3_88E5_0000834298E4_.wvu.Cols" hidden="1">#REF!</definedName>
    <definedName name="Z_58811516_5B2E_11D3_88E5_0000834298E4_.wvu.PrintArea" hidden="1">#REF!</definedName>
    <definedName name="Z_58811516_5B2E_11D3_88E5_0000834298E4_.wvu.PrintTitles" hidden="1">#REF!</definedName>
    <definedName name="Z_58811518_5B2E_11D3_88E5_0000834298E4_.wvu.Cols" hidden="1">#REF!</definedName>
    <definedName name="Z_58811518_5B2E_11D3_88E5_0000834298E4_.wvu.PrintArea" hidden="1">#REF!</definedName>
    <definedName name="Z_58811518_5B2E_11D3_88E5_0000834298E4_.wvu.PrintTitles" hidden="1">#REF!</definedName>
    <definedName name="Z_5881151A_5B2E_11D3_88E5_0000834298E4_.wvu.Cols" hidden="1">#REF!</definedName>
    <definedName name="Z_5881151A_5B2E_11D3_88E5_0000834298E4_.wvu.PrintArea" hidden="1">#REF!</definedName>
    <definedName name="Z_5881151A_5B2E_11D3_88E5_0000834298E4_.wvu.PrintTitles" hidden="1">#REF!</definedName>
    <definedName name="Z_806DABE2_654D_11D3_88F1_0000834298E4_.wvu.PrintArea" hidden="1">#REF!</definedName>
    <definedName name="Z_806DABE2_654D_11D3_88F1_0000834298E4_.wvu.PrintTitles" hidden="1">#REF!,#REF!</definedName>
    <definedName name="Z_806DABE3_654D_11D3_88F1_0000834298E4_.wvu.PrintArea" hidden="1">#REF!</definedName>
    <definedName name="Z_806DABE3_654D_11D3_88F1_0000834298E4_.wvu.PrintTitles" hidden="1">#REF!,#REF!</definedName>
    <definedName name="Z_806DABE4_654D_11D3_88F1_0000834298E4_.wvu.PrintArea" hidden="1">#REF!</definedName>
    <definedName name="Z_806DABE4_654D_11D3_88F1_0000834298E4_.wvu.PrintTitles" hidden="1">#REF!,#REF!</definedName>
    <definedName name="Z_806DABE5_654D_11D3_88F1_0000834298E4_.wvu.PrintArea" hidden="1">#REF!</definedName>
    <definedName name="Z_806DABE5_654D_11D3_88F1_0000834298E4_.wvu.PrintTitles" hidden="1">#REF!,#REF!</definedName>
    <definedName name="Z_806DABE6_654D_11D3_88F1_0000834298E4_.wvu.PrintArea" hidden="1">#REF!</definedName>
    <definedName name="Z_806DABE6_654D_11D3_88F1_0000834298E4_.wvu.PrintTitles" hidden="1">#REF!,#REF!</definedName>
    <definedName name="Z_806DAC53_654D_11D3_88F1_0000834298E4_.wvu.PrintArea" hidden="1">#REF!</definedName>
    <definedName name="Z_806DAC53_654D_11D3_88F1_0000834298E4_.wvu.PrintTitles" hidden="1">#REF!,#REF!</definedName>
    <definedName name="Z_806DAC54_654D_11D3_88F1_0000834298E4_.wvu.PrintArea" hidden="1">#REF!</definedName>
    <definedName name="Z_806DAC54_654D_11D3_88F1_0000834298E4_.wvu.PrintTitles" hidden="1">#REF!,#REF!</definedName>
    <definedName name="Z_806DAC55_654D_11D3_88F1_0000834298E4_.wvu.PrintArea" hidden="1">#REF!</definedName>
    <definedName name="Z_806DAC55_654D_11D3_88F1_0000834298E4_.wvu.PrintTitles" hidden="1">#REF!,#REF!</definedName>
    <definedName name="Z_806DAC56_654D_11D3_88F1_0000834298E4_.wvu.PrintArea" hidden="1">#REF!</definedName>
    <definedName name="Z_806DAC56_654D_11D3_88F1_0000834298E4_.wvu.PrintTitles" hidden="1">#REF!,#REF!</definedName>
    <definedName name="Z_806DAC57_654D_11D3_88F1_0000834298E4_.wvu.PrintArea" hidden="1">#REF!</definedName>
    <definedName name="Z_806DAC57_654D_11D3_88F1_0000834298E4_.wvu.PrintTitles" hidden="1">#REF!,#REF!</definedName>
    <definedName name="Z_806DACFE_654D_11D3_88F1_0000834298E4_.wvu.PrintArea" hidden="1">#REF!</definedName>
    <definedName name="Z_806DACFE_654D_11D3_88F1_0000834298E4_.wvu.PrintTitles" hidden="1">#REF!,#REF!</definedName>
    <definedName name="Z_806DACFF_654D_11D3_88F1_0000834298E4_.wvu.PrintArea" hidden="1">#REF!</definedName>
    <definedName name="Z_806DACFF_654D_11D3_88F1_0000834298E4_.wvu.PrintTitles" hidden="1">#REF!,#REF!</definedName>
    <definedName name="Z_806DAD00_654D_11D3_88F1_0000834298E4_.wvu.PrintArea" hidden="1">#REF!</definedName>
    <definedName name="Z_806DAD00_654D_11D3_88F1_0000834298E4_.wvu.PrintTitles" hidden="1">#REF!,#REF!</definedName>
    <definedName name="Z_806DAD01_654D_11D3_88F1_0000834298E4_.wvu.PrintArea" hidden="1">#REF!</definedName>
    <definedName name="Z_806DAD01_654D_11D3_88F1_0000834298E4_.wvu.PrintTitles" hidden="1">#REF!,#REF!</definedName>
    <definedName name="Z_806DAD02_654D_11D3_88F1_0000834298E4_.wvu.PrintArea" hidden="1">#REF!</definedName>
    <definedName name="Z_806DAD02_654D_11D3_88F1_0000834298E4_.wvu.PrintTitles" hidden="1">#REF!,#REF!</definedName>
    <definedName name="Z_87D90C58_8651_11D3_88F0_0000834298E4_.wvu.PrintArea" hidden="1">#REF!</definedName>
    <definedName name="Z_87D90C58_8651_11D3_88F0_0000834298E4_.wvu.PrintTitles" hidden="1">#REF!,#REF!</definedName>
    <definedName name="Z_87D90C59_8651_11D3_88F0_0000834298E4_.wvu.PrintArea" hidden="1">#REF!</definedName>
    <definedName name="Z_87D90C59_8651_11D3_88F0_0000834298E4_.wvu.PrintTitles" hidden="1">#REF!,#REF!</definedName>
    <definedName name="Z_87D90C5A_8651_11D3_88F0_0000834298E4_.wvu.PrintArea" hidden="1">#REF!</definedName>
    <definedName name="Z_87D90C5A_8651_11D3_88F0_0000834298E4_.wvu.PrintTitles" hidden="1">#REF!,#REF!</definedName>
    <definedName name="Z_87D90C5B_8651_11D3_88F0_0000834298E4_.wvu.PrintArea" hidden="1">#REF!</definedName>
    <definedName name="Z_87D90C5B_8651_11D3_88F0_0000834298E4_.wvu.PrintTitles" hidden="1">#REF!,#REF!</definedName>
    <definedName name="Z_87D90C5C_8651_11D3_88F0_0000834298E4_.wvu.PrintArea" hidden="1">#REF!</definedName>
    <definedName name="Z_87D90C5C_8651_11D3_88F0_0000834298E4_.wvu.PrintTitles" hidden="1">#REF!,#REF!</definedName>
    <definedName name="Z_92008C7C_75E1_11D3_8904_0000834298E4_.wvu.PrintArea" hidden="1">#REF!</definedName>
    <definedName name="Z_92008C7C_75E1_11D3_8904_0000834298E4_.wvu.PrintTitles" hidden="1">#REF!,#REF!</definedName>
    <definedName name="Z_92008C7D_75E1_11D3_8904_0000834298E4_.wvu.PrintArea" hidden="1">#REF!</definedName>
    <definedName name="Z_92008C7D_75E1_11D3_8904_0000834298E4_.wvu.PrintTitles" hidden="1">#REF!,#REF!</definedName>
    <definedName name="Z_92008C7E_75E1_11D3_8904_0000834298E4_.wvu.PrintArea" hidden="1">#REF!</definedName>
    <definedName name="Z_92008C7E_75E1_11D3_8904_0000834298E4_.wvu.PrintTitles" hidden="1">#REF!,#REF!</definedName>
    <definedName name="Z_92008C7F_75E1_11D3_8904_0000834298E4_.wvu.PrintArea" hidden="1">#REF!</definedName>
    <definedName name="Z_92008C7F_75E1_11D3_8904_0000834298E4_.wvu.PrintTitles" hidden="1">#REF!,#REF!</definedName>
    <definedName name="Z_92008C80_75E1_11D3_8904_0000834298E4_.wvu.PrintArea" hidden="1">#REF!</definedName>
    <definedName name="Z_92008C80_75E1_11D3_8904_0000834298E4_.wvu.PrintTitles" hidden="1">#REF!,#REF!</definedName>
    <definedName name="Z_96F242F7_9792_11D3_8905_0000834298E4_.wvu.PrintArea" hidden="1">#REF!</definedName>
    <definedName name="Z_96F242F7_9792_11D3_8905_0000834298E4_.wvu.PrintTitles" hidden="1">#REF!,#REF!</definedName>
    <definedName name="Z_96F242F8_9792_11D3_8905_0000834298E4_.wvu.PrintArea" hidden="1">#REF!</definedName>
    <definedName name="Z_96F242F8_9792_11D3_8905_0000834298E4_.wvu.PrintTitles" hidden="1">#REF!,#REF!</definedName>
    <definedName name="Z_96F242F9_9792_11D3_8905_0000834298E4_.wvu.PrintArea" hidden="1">#REF!</definedName>
    <definedName name="Z_96F242F9_9792_11D3_8905_0000834298E4_.wvu.PrintTitles" hidden="1">#REF!,#REF!</definedName>
    <definedName name="Z_96F242FA_9792_11D3_8905_0000834298E4_.wvu.PrintArea" hidden="1">#REF!</definedName>
    <definedName name="Z_96F242FA_9792_11D3_8905_0000834298E4_.wvu.PrintTitles" hidden="1">#REF!,#REF!</definedName>
    <definedName name="Z_96F242FB_9792_11D3_8905_0000834298E4_.wvu.PrintArea" hidden="1">#REF!</definedName>
    <definedName name="Z_96F242FB_9792_11D3_8905_0000834298E4_.wvu.PrintTitles" hidden="1">#REF!,#REF!</definedName>
    <definedName name="Z_9E133267_5193_11D3_9C74_0020352B7F13_.wvu.Cols" hidden="1">#REF!</definedName>
    <definedName name="Z_9E133267_5193_11D3_9C74_0020352B7F13_.wvu.PrintArea" hidden="1">#REF!</definedName>
    <definedName name="Z_9E133267_5193_11D3_9C74_0020352B7F13_.wvu.PrintTitles" hidden="1">#REF!</definedName>
    <definedName name="Z_9E133268_5193_11D3_9C74_0020352B7F13_.wvu.Cols" hidden="1">#REF!</definedName>
    <definedName name="Z_9E133268_5193_11D3_9C74_0020352B7F13_.wvu.PrintArea" hidden="1">#REF!</definedName>
    <definedName name="Z_9E133268_5193_11D3_9C74_0020352B7F13_.wvu.PrintTitles" hidden="1">#REF!</definedName>
    <definedName name="Z_9E133269_5193_11D3_9C74_0020352B7F13_.wvu.Cols" hidden="1">#REF!</definedName>
    <definedName name="Z_9E133269_5193_11D3_9C74_0020352B7F13_.wvu.PrintArea" hidden="1">#REF!</definedName>
    <definedName name="Z_9E133269_5193_11D3_9C74_0020352B7F13_.wvu.PrintTitles" hidden="1">#REF!</definedName>
    <definedName name="Z_9E133318_5193_11D3_9C74_0020352B7F13_.wvu.PrintArea" hidden="1">#REF!</definedName>
    <definedName name="Z_9E133318_5193_11D3_9C74_0020352B7F13_.wvu.PrintTitles" hidden="1">#REF!</definedName>
    <definedName name="Z_9E133319_5193_11D3_9C74_0020352B7F13_.wvu.PrintArea" hidden="1">#REF!</definedName>
    <definedName name="Z_9E133319_5193_11D3_9C74_0020352B7F13_.wvu.PrintTitles" hidden="1">#REF!</definedName>
    <definedName name="Z_9E13331A_5193_11D3_9C74_0020352B7F13_.wvu.PrintArea" hidden="1">#REF!</definedName>
    <definedName name="Z_9E13331A_5193_11D3_9C74_0020352B7F13_.wvu.PrintTitles" hidden="1">#REF!</definedName>
    <definedName name="Z_AC271C04_66FD_11D3_88F4_0000834298E4_.wvu.Cols" hidden="1">#REF!</definedName>
    <definedName name="Z_AC271C04_66FD_11D3_88F4_0000834298E4_.wvu.PrintArea" hidden="1">#REF!</definedName>
    <definedName name="Z_AC271C04_66FD_11D3_88F4_0000834298E4_.wvu.PrintTitles" hidden="1">#REF!</definedName>
    <definedName name="Z_AC271C04_66FD_11D3_88F4_0000834298E4_.wvu.Rows" hidden="1">#REF!</definedName>
    <definedName name="Z_AC271C06_66FD_11D3_88F4_0000834298E4_.wvu.Cols" hidden="1">#REF!</definedName>
    <definedName name="Z_AC271C06_66FD_11D3_88F4_0000834298E4_.wvu.PrintArea" hidden="1">#REF!</definedName>
    <definedName name="Z_AC271C06_66FD_11D3_88F4_0000834298E4_.wvu.PrintTitles" hidden="1">#REF!</definedName>
    <definedName name="Z_AC271C06_66FD_11D3_88F4_0000834298E4_.wvu.Rows" hidden="1">#REF!</definedName>
    <definedName name="Z_AC271C08_66FD_11D3_88F4_0000834298E4_.wvu.Cols" hidden="1">#REF!</definedName>
    <definedName name="Z_AC271C08_66FD_11D3_88F4_0000834298E4_.wvu.PrintArea" hidden="1">#REF!</definedName>
    <definedName name="Z_AC271C08_66FD_11D3_88F4_0000834298E4_.wvu.PrintTitles" hidden="1">#REF!</definedName>
    <definedName name="Z_AC271C08_66FD_11D3_88F4_0000834298E4_.wvu.Rows" hidden="1">#REF!</definedName>
    <definedName name="Z_B2172A22_A087_11D6_A4E5_008013D50C77_.wvu.PrintArea" hidden="1">#REF!</definedName>
    <definedName name="Z_B46E469D_A288_11D3_890C_0000834298E4_.wvu.PrintArea" hidden="1">#REF!</definedName>
    <definedName name="Z_B46E469D_A288_11D3_890C_0000834298E4_.wvu.PrintTitles" hidden="1">#REF!,#REF!</definedName>
    <definedName name="Z_B46E469E_A288_11D3_890C_0000834298E4_.wvu.PrintArea" hidden="1">#REF!</definedName>
    <definedName name="Z_B46E469E_A288_11D3_890C_0000834298E4_.wvu.PrintTitles" hidden="1">#REF!,#REF!</definedName>
    <definedName name="Z_B46E469F_A288_11D3_890C_0000834298E4_.wvu.PrintArea" hidden="1">#REF!</definedName>
    <definedName name="Z_B46E469F_A288_11D3_890C_0000834298E4_.wvu.PrintTitles" hidden="1">#REF!,#REF!</definedName>
    <definedName name="Z_B46E46A0_A288_11D3_890C_0000834298E4_.wvu.PrintArea" hidden="1">#REF!</definedName>
    <definedName name="Z_B46E46A0_A288_11D3_890C_0000834298E4_.wvu.PrintTitles" hidden="1">#REF!,#REF!</definedName>
    <definedName name="Z_B46E46A1_A288_11D3_890C_0000834298E4_.wvu.PrintArea" hidden="1">#REF!</definedName>
    <definedName name="Z_B46E46A1_A288_11D3_890C_0000834298E4_.wvu.PrintTitles" hidden="1">#REF!,#REF!</definedName>
    <definedName name="Z_B46E4950_A288_11D3_890C_0000834298E4_.wvu.PrintArea" hidden="1">#REF!</definedName>
    <definedName name="Z_B46E4950_A288_11D3_890C_0000834298E4_.wvu.PrintTitles" hidden="1">#REF!,#REF!</definedName>
    <definedName name="Z_B46E4951_A288_11D3_890C_0000834298E4_.wvu.PrintArea" hidden="1">#REF!</definedName>
    <definedName name="Z_B46E4951_A288_11D3_890C_0000834298E4_.wvu.PrintTitles" hidden="1">#REF!,#REF!</definedName>
    <definedName name="Z_B46E4952_A288_11D3_890C_0000834298E4_.wvu.PrintArea" hidden="1">#REF!</definedName>
    <definedName name="Z_B46E4952_A288_11D3_890C_0000834298E4_.wvu.PrintTitles" hidden="1">#REF!,#REF!</definedName>
    <definedName name="Z_B46E4953_A288_11D3_890C_0000834298E4_.wvu.PrintArea" hidden="1">#REF!</definedName>
    <definedName name="Z_B46E4953_A288_11D3_890C_0000834298E4_.wvu.PrintTitles" hidden="1">#REF!,#REF!</definedName>
    <definedName name="Z_B46E4954_A288_11D3_890C_0000834298E4_.wvu.PrintArea" hidden="1">#REF!</definedName>
    <definedName name="Z_B46E4954_A288_11D3_890C_0000834298E4_.wvu.PrintTitles" hidden="1">#REF!,#REF!</definedName>
    <definedName name="Z_B4964D6E_51D3_11D3_9C74_0020352B7F13_.wvu.PrintArea" hidden="1">#REF!</definedName>
    <definedName name="Z_B4964D6E_51D3_11D3_9C74_0020352B7F13_.wvu.PrintTitles" hidden="1">#REF!</definedName>
    <definedName name="Z_B4964D6F_51D3_11D3_9C74_0020352B7F13_.wvu.PrintArea" hidden="1">#REF!</definedName>
    <definedName name="Z_B4964D6F_51D3_11D3_9C74_0020352B7F13_.wvu.PrintTitles" hidden="1">#REF!</definedName>
    <definedName name="Z_B4964D70_51D3_11D3_9C74_0020352B7F13_.wvu.PrintArea" hidden="1">#REF!</definedName>
    <definedName name="Z_B4964D70_51D3_11D3_9C74_0020352B7F13_.wvu.PrintTitles" hidden="1">#REF!</definedName>
    <definedName name="Z_E8FEE9A5_163A_11D2_AED0_0000E81DA68C_.wvu.Rows" hidden="1">#REF!</definedName>
    <definedName name="Z_F1A2AD24_5C94_11D3_88E8_0000834298E4_.wvu.Cols" hidden="1">#REF!</definedName>
    <definedName name="Z_F1A2AD24_5C94_11D3_88E8_0000834298E4_.wvu.PrintArea" hidden="1">#REF!</definedName>
    <definedName name="Z_F1A2AD24_5C94_11D3_88E8_0000834298E4_.wvu.PrintTitles" hidden="1">#REF!</definedName>
    <definedName name="Z_F1A2AD26_5C94_11D3_88E8_0000834298E4_.wvu.Cols" hidden="1">#REF!</definedName>
    <definedName name="Z_F1A2AD26_5C94_11D3_88E8_0000834298E4_.wvu.PrintArea" hidden="1">#REF!</definedName>
    <definedName name="Z_F1A2AD26_5C94_11D3_88E8_0000834298E4_.wvu.PrintTitles" hidden="1">#REF!</definedName>
    <definedName name="Z_F1A2AD28_5C94_11D3_88E8_0000834298E4_.wvu.Cols" hidden="1">#REF!</definedName>
    <definedName name="Z_F1A2AD28_5C94_11D3_88E8_0000834298E4_.wvu.PrintArea" hidden="1">#REF!</definedName>
    <definedName name="Z_F1A2AD28_5C94_11D3_88E8_0000834298E4_.wvu.PrintTitles" hidden="1">#REF!</definedName>
    <definedName name="Z_F4B4FE18_7101_11D3_88FE_0000834298E4_.wvu.PrintArea" hidden="1">#REF!</definedName>
    <definedName name="Z_F4B4FE18_7101_11D3_88FE_0000834298E4_.wvu.PrintTitles" hidden="1">#REF!,#REF!</definedName>
    <definedName name="Z_F4B4FE19_7101_11D3_88FE_0000834298E4_.wvu.PrintArea" hidden="1">#REF!</definedName>
    <definedName name="Z_F4B4FE19_7101_11D3_88FE_0000834298E4_.wvu.PrintTitles" hidden="1">#REF!,#REF!</definedName>
    <definedName name="Z_F4B4FE1A_7101_11D3_88FE_0000834298E4_.wvu.PrintArea" hidden="1">#REF!</definedName>
    <definedName name="Z_F4B4FE1A_7101_11D3_88FE_0000834298E4_.wvu.PrintTitles" hidden="1">#REF!,#REF!</definedName>
    <definedName name="Z_F4B4FE1B_7101_11D3_88FE_0000834298E4_.wvu.PrintArea" hidden="1">#REF!</definedName>
    <definedName name="Z_F4B4FE1B_7101_11D3_88FE_0000834298E4_.wvu.PrintTitles" hidden="1">#REF!,#REF!</definedName>
    <definedName name="Z_F4B4FE1C_7101_11D3_88FE_0000834298E4_.wvu.PrintArea" hidden="1">#REF!</definedName>
    <definedName name="Z_F4B4FE1C_7101_11D3_88FE_0000834298E4_.wvu.PrintTitles" hidden="1">#REF!,#REF!</definedName>
    <definedName name="Z_F4B5003C_7101_11D3_88FE_0000834298E4_.wvu.PrintArea" hidden="1">#REF!</definedName>
    <definedName name="Z_F4B5003C_7101_11D3_88FE_0000834298E4_.wvu.PrintTitles" hidden="1">#REF!,#REF!</definedName>
    <definedName name="Z_F4B5003D_7101_11D3_88FE_0000834298E4_.wvu.PrintArea" hidden="1">#REF!</definedName>
    <definedName name="Z_F4B5003D_7101_11D3_88FE_0000834298E4_.wvu.PrintTitles" hidden="1">#REF!,#REF!</definedName>
    <definedName name="Z_F4B5003E_7101_11D3_88FE_0000834298E4_.wvu.PrintArea" hidden="1">#REF!</definedName>
    <definedName name="Z_F4B5003E_7101_11D3_88FE_0000834298E4_.wvu.PrintTitles" hidden="1">#REF!,#REF!</definedName>
    <definedName name="Z_F4B5003F_7101_11D3_88FE_0000834298E4_.wvu.PrintArea" hidden="1">#REF!</definedName>
    <definedName name="Z_F4B5003F_7101_11D3_88FE_0000834298E4_.wvu.PrintTitles" hidden="1">#REF!,#REF!</definedName>
    <definedName name="Z_F4B50040_7101_11D3_88FE_0000834298E4_.wvu.PrintArea" hidden="1">#REF!</definedName>
    <definedName name="Z_F4B50040_7101_11D3_88FE_0000834298E4_.wvu.PrintTitles" hidden="1">#REF!,#REF!</definedName>
    <definedName name="Z_F4B500EF_7101_11D3_88FE_0000834298E4_.wvu.PrintArea" hidden="1">#REF!</definedName>
    <definedName name="Z_F4B500EF_7101_11D3_88FE_0000834298E4_.wvu.PrintTitles" hidden="1">#REF!,#REF!</definedName>
    <definedName name="Z_F4B500F0_7101_11D3_88FE_0000834298E4_.wvu.PrintArea" hidden="1">#REF!</definedName>
    <definedName name="Z_F4B500F0_7101_11D3_88FE_0000834298E4_.wvu.PrintTitles" hidden="1">#REF!,#REF!</definedName>
    <definedName name="Z_F4B500F1_7101_11D3_88FE_0000834298E4_.wvu.PrintArea" hidden="1">#REF!</definedName>
    <definedName name="Z_F4B500F1_7101_11D3_88FE_0000834298E4_.wvu.PrintTitles" hidden="1">#REF!,#REF!</definedName>
    <definedName name="Z_F4B500F2_7101_11D3_88FE_0000834298E4_.wvu.PrintArea" hidden="1">#REF!</definedName>
    <definedName name="Z_F4B500F2_7101_11D3_88FE_0000834298E4_.wvu.PrintTitles" hidden="1">#REF!,#REF!</definedName>
    <definedName name="Z_F4B500F3_7101_11D3_88FE_0000834298E4_.wvu.PrintArea" hidden="1">#REF!</definedName>
    <definedName name="Z_F4B500F3_7101_11D3_88FE_0000834298E4_.wvu.PrintTitles" hidden="1">#REF!,#REF!</definedName>
    <definedName name="Z_FA5DF41B_71D7_11D3_88FF_0000834298E4_.wvu.PrintArea" hidden="1">#REF!</definedName>
    <definedName name="Z_FA5DF41B_71D7_11D3_88FF_0000834298E4_.wvu.PrintTitles" hidden="1">#REF!</definedName>
    <definedName name="Z_FA5DF41B_71D7_11D3_88FF_0000834298E4_.wvu.Rows" hidden="1">#REF!</definedName>
    <definedName name="Z_FA5DF41D_71D7_11D3_88FF_0000834298E4_.wvu.PrintArea" hidden="1">#REF!</definedName>
    <definedName name="Z_FA5DF41D_71D7_11D3_88FF_0000834298E4_.wvu.PrintTitles" hidden="1">#REF!</definedName>
    <definedName name="Z_FA5DF41D_71D7_11D3_88FF_0000834298E4_.wvu.Rows" hidden="1">#REF!</definedName>
    <definedName name="Z_FA5DF41F_71D7_11D3_88FF_0000834298E4_.wvu.PrintArea" hidden="1">#REF!</definedName>
    <definedName name="Z_FA5DF41F_71D7_11D3_88FF_0000834298E4_.wvu.PrintTitles" hidden="1">#REF!</definedName>
    <definedName name="Z_FA5DF41F_71D7_11D3_88FF_0000834298E4_.wvu.Rows" hidden="1">#REF!</definedName>
    <definedName name="z\">#REF!</definedName>
    <definedName name="ZAZB">#N/A</definedName>
    <definedName name="zero" hidden="1">#REF!,#REF!,#REF!</definedName>
    <definedName name="Zest_EUR_PL">#REF!</definedName>
    <definedName name="Zest_EXJAP_PL">#REF!</definedName>
    <definedName name="Zest_Summ">#REF!</definedName>
    <definedName name="Zest_US_PL">#REF!</definedName>
    <definedName name="Zest_WW_PL">#REF!</definedName>
    <definedName name="zgafkhakf" localSheetId="2" hidden="1">{"'Jibu9811 (3)'!$B$1:$J$433"}</definedName>
    <definedName name="zgafkhakf" hidden="1">{"'Jibu9811 (3)'!$B$1:$J$433"}</definedName>
    <definedName name="zip" localSheetId="2">{"Book1"}</definedName>
    <definedName name="zip">{"Book1"}</definedName>
    <definedName name="ZNZN">#N/A</definedName>
    <definedName name="ZP">#REF!</definedName>
    <definedName name="Zpp">#REF!</definedName>
    <definedName name="ZPPX">#REF!</definedName>
    <definedName name="ZPPY">#REF!</definedName>
    <definedName name="ZX" localSheetId="2"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C" hidden="1">{#N/A,#N/A,FALSE,"이태원철근"}</definedName>
    <definedName name="zxcv">#N/A</definedName>
    <definedName name="Zy">#REF!</definedName>
    <definedName name="ZZ">#REF!</definedName>
    <definedName name="ZZZ" hidden="1">{#N/A,#N/A,FALSE,"손익표지";#N/A,#N/A,FALSE,"손익계산";#N/A,#N/A,FALSE,"일반관리비";#N/A,#N/A,FALSE,"영업외수익";#N/A,#N/A,FALSE,"영업외비용";#N/A,#N/A,FALSE,"매출액";#N/A,#N/A,FALSE,"요약손익";#N/A,#N/A,FALSE,"요약대차";#N/A,#N/A,FALSE,"매출채권현황";#N/A,#N/A,FALSE,"매출채권명세"}</definedName>
    <definedName name="zzzz">#N/A</definedName>
    <definedName name="zzzzzzzzzzzzzzz">#N/A</definedName>
    <definedName name="γc">#REF!</definedName>
    <definedName name="γs">#REF!</definedName>
    <definedName name="τv">#REF!</definedName>
    <definedName name="ппп" hidden="1">#N/A</definedName>
    <definedName name="あああ" localSheetId="2" hidden="1">{"'買掛金'!$J$6"}</definedName>
    <definedName name="あああ" hidden="1">{"'買掛金'!$J$6"}</definedName>
    <definedName name="その他の投資" localSheetId="2" hidden="1">{"'買掛金'!$J$6"}</definedName>
    <definedName name="その他の投資" hidden="1">{"'買掛金'!$J$6"}</definedName>
    <definedName name="っっｂ" localSheetId="2" hidden="1">{"'買掛金'!$J$6"}</definedName>
    <definedName name="っっｂ" hidden="1">{"'買掛金'!$J$6"}</definedName>
    <definedName name="テスト" localSheetId="2" hidden="1">{"'買掛金'!$J$6"}</definedName>
    <definedName name="テスト" hidden="1">{"'買掛金'!$J$6"}</definedName>
    <definedName name="ㄱ" localSheetId="2"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2" hidden="1">{#N/A,#N/A,FALSE,"UNIT";#N/A,#N/A,FALSE,"UNIT";#N/A,#N/A,FALSE,"계정"}</definedName>
    <definedName name="ㄱㄱ" hidden="1">{#N/A,#N/A,FALSE,"UNIT";#N/A,#N/A,FALSE,"UNIT";#N/A,#N/A,FALSE,"계정"}</definedName>
    <definedName name="ㄱ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_1" hidden="1">{#N/A,#N/A,FALSE,"손익표지";#N/A,#N/A,FALSE,"손익계산";#N/A,#N/A,FALSE,"일반관리비";#N/A,#N/A,FALSE,"영업외수익";#N/A,#N/A,FALSE,"영업외비용";#N/A,#N/A,FALSE,"매출액";#N/A,#N/A,FALSE,"요약손익";#N/A,#N/A,FALSE,"요약대차";#N/A,#N/A,FALSE,"매출채권현황";#N/A,#N/A,FALSE,"매출채권명세"}</definedName>
    <definedName name="ㄱㄱㄱㄱ" localSheetId="2" hidden="1">{#N/A,#N/A,FALSE,"1.CRITERIA";#N/A,#N/A,FALSE,"2.IS";#N/A,#N/A,FALSE,"3.BS";#N/A,#N/A,FALSE,"4.PER PL";#N/A,#N/A,FALSE,"5.INVESTMENT";#N/A,#N/A,FALSE,"6.공문";#N/A,#N/A,FALSE,"7.netinvest"}</definedName>
    <definedName name="ㄱㄱㄱㄱ" hidden="1">{#N/A,#N/A,FALSE,"1.CRITERIA";#N/A,#N/A,FALSE,"2.IS";#N/A,#N/A,FALSE,"3.BS";#N/A,#N/A,FALSE,"4.PER PL";#N/A,#N/A,FALSE,"5.INVESTMENT";#N/A,#N/A,FALSE,"6.공문";#N/A,#N/A,FALSE,"7.netinvest"}</definedName>
    <definedName name="ㄱㄱㄱㄱㄱ" localSheetId="2" hidden="1">{#N/A,#N/A,FALSE,"UNIT";#N/A,#N/A,FALSE,"UNIT";#N/A,#N/A,FALSE,"계정"}</definedName>
    <definedName name="ㄱㄱㄱㄱㄱ" hidden="1">{#N/A,#N/A,FALSE,"UNIT";#N/A,#N/A,FALSE,"UNIT";#N/A,#N/A,FALSE,"계정"}</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ㄱㄱㄱㄱㄱㄱㄱㄱㄱㄱ" hidden="1">{#N/A,#N/A,FALSE,"단축1";#N/A,#N/A,FALSE,"단축2";#N/A,#N/A,FALSE,"단축3";#N/A,#N/A,FALSE,"장축";#N/A,#N/A,FALSE,"4WD"}</definedName>
    <definedName name="ㄱㄱㄱㄱㄱㄱㄱㄱㄱㄱㄱㄱㄱㄱㄱㄱㄱㄱㄱㄱㄱㄱㄱㄱㄱㄱㄱㄱㄱㄱㄱ" hidden="1">{#N/A,#N/A,FALSE,"단축1";#N/A,#N/A,FALSE,"단축2";#N/A,#N/A,FALSE,"단축3";#N/A,#N/A,FALSE,"장축";#N/A,#N/A,FALSE,"4WD"}</definedName>
    <definedName name="ㄱㄱㄱㅎㄱ" localSheetId="2" hidden="1">{"'Jibu9811 (3)'!$B$1:$J$433"}</definedName>
    <definedName name="ㄱㄱㄱㅎㄱ" hidden="1">{"'Jibu9811 (3)'!$B$1:$J$433"}</definedName>
    <definedName name="ㄱㄴㄷㅎ" localSheetId="2" hidden="1">{"'Jibu9811 (3)'!$B$1:$J$433"}</definedName>
    <definedName name="ㄱㄴㄷㅎ" hidden="1">{"'Jibu9811 (3)'!$B$1:$J$433"}</definedName>
    <definedName name="ㄱ노">#N/A</definedName>
    <definedName name="ㄱ녹ㄴ소">#N/A</definedName>
    <definedName name="ㄱㄷㄱ" hidden="1">{#N/A,#N/A,FALSE,"Sheet6"}</definedName>
    <definedName name="ㄱㄷㅅ" hidden="1">{#N/A,#N/A,FALSE,"Sheet6"}</definedName>
    <definedName name="ㄱㄷㅈ">BlankMacro1</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ㄷㅎ" localSheetId="2" hidden="1">{"'Jibu9811 (3)'!$B$1:$J$433"}</definedName>
    <definedName name="ㄱㄷㅎ" hidden="1">{"'Jibu9811 (3)'!$B$1:$J$433"}</definedName>
    <definedName name="ㄱㄷㅎㄷㄱㅎㄱㅎㄱ" localSheetId="2" hidden="1">{"'Jibu9811 (3)'!$B$1:$J$433"}</definedName>
    <definedName name="ㄱㄷㅎㄷㄱㅎㄱㅎㄱ" hidden="1">{"'Jibu9811 (3)'!$B$1:$J$433"}</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ㄹ">BlankMacro1</definedName>
    <definedName name="ㄱㄹ홍ㄱ호" hidden="1">{#N/A,#N/A,FALSE,"Sheet6"}</definedName>
    <definedName name="ㄱ리">BlankMacro1</definedName>
    <definedName name="ㄱㄿ" hidden="1">{#N/A,#N/A,FALSE,"Sheet1"}</definedName>
    <definedName name="ㄱㅁㅇ리허ㅏㅣ" localSheetId="2" hidden="1">{"'Jibu9811 (3)'!$B$1:$J$433"}</definedName>
    <definedName name="ㄱㅁㅇ리허ㅏㅣ" hidden="1">{"'Jibu9811 (3)'!$B$1:$J$433"}</definedName>
    <definedName name="ㄱㅂㅊ">BlankMacro1</definedName>
    <definedName name="ㄱ보">BlankMacro1</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소ㅠ">#N/A</definedName>
    <definedName name="ㄱ솏">#N/A</definedName>
    <definedName name="ㄱ쇽" hidden="1">{#N/A,#N/A,FALSE,"Sheet6"}</definedName>
    <definedName name="ㄱ슈곡ㄴ">#N/A</definedName>
    <definedName name="ㄱㅇ" localSheetId="2" hidden="1">{#N/A,#N/A,FALSE,"단축1";#N/A,#N/A,FALSE,"단축2";#N/A,#N/A,FALSE,"단축3";#N/A,#N/A,FALSE,"장축";#N/A,#N/A,FALSE,"4WD"}</definedName>
    <definedName name="ㄱㅇ" hidden="1">{#N/A,#N/A,FALSE,"단축1";#N/A,#N/A,FALSE,"단축2";#N/A,#N/A,FALSE,"단축3";#N/A,#N/A,FALSE,"장축";#N/A,#N/A,FALSE,"4WD"}</definedName>
    <definedName name="ㄱㅇㄴ" hidden="1">{#N/A,#N/A,FALSE,"손익표지";#N/A,#N/A,FALSE,"손익계산";#N/A,#N/A,FALSE,"일반관리비";#N/A,#N/A,FALSE,"영업외수익";#N/A,#N/A,FALSE,"영업외비용";#N/A,#N/A,FALSE,"매출액";#N/A,#N/A,FALSE,"요약손익";#N/A,#N/A,FALSE,"요약대차";#N/A,#N/A,FALSE,"매출채권현황";#N/A,#N/A,FALSE,"매출채권명세"}</definedName>
    <definedName name="ㄱㅈ" localSheetId="2" hidden="1">{#N/A,#N/A,FALSE,"기안지";#N/A,#N/A,FALSE,"통신지"}</definedName>
    <definedName name="ㄱㅈ" hidden="1">{#N/A,#N/A,FALSE,"기안지";#N/A,#N/A,FALSE,"통신지"}</definedName>
    <definedName name="ㄱㅈ새새ㅐ재파ㅣㅍㄹ" localSheetId="2" hidden="1">{"'Jibu9811 (3)'!$B$1:$J$433"}</definedName>
    <definedName name="ㄱㅈ새새ㅐ재파ㅣㅍㄹ" hidden="1">{"'Jibu9811 (3)'!$B$1:$J$433"}</definedName>
    <definedName name="ㄱ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ㅎ" hidden="1">{#N/A,#N/A,FALSE,"손익표지";#N/A,#N/A,FALSE,"손익계산";#N/A,#N/A,FALSE,"일반관리비";#N/A,#N/A,FALSE,"영업외수익";#N/A,#N/A,FALSE,"영업외비용";#N/A,#N/A,FALSE,"매출액";#N/A,#N/A,FALSE,"요약손익";#N/A,#N/A,FALSE,"요약대차";#N/A,#N/A,FALSE,"매출채권현황";#N/A,#N/A,FALSE,"매출채권명세"}</definedName>
    <definedName name="ㄱㅎ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ㅎ_1" hidden="1">{#N/A,#N/A,FALSE,"손익표지";#N/A,#N/A,FALSE,"손익계산";#N/A,#N/A,FALSE,"일반관리비";#N/A,#N/A,FALSE,"영업외수익";#N/A,#N/A,FALSE,"영업외비용";#N/A,#N/A,FALSE,"매출액";#N/A,#N/A,FALSE,"요약손익";#N/A,#N/A,FALSE,"요약대차";#N/A,#N/A,FALSE,"매출채권현황";#N/A,#N/A,FALSE,"매출채권명세"}</definedName>
    <definedName name="ㄱㅎㄱㄷ" localSheetId="2" hidden="1">{"'Jibu9811 (3)'!$B$1:$J$433"}</definedName>
    <definedName name="ㄱㅎㄱㄷ" hidden="1">{"'Jibu9811 (3)'!$B$1:$J$433"}</definedName>
    <definedName name="ㄱㅎㄳ" hidden="1">#REF!</definedName>
    <definedName name="ㄱㅎㄷㄱㅎㄱㄷ" hidden="1">#REF!</definedName>
    <definedName name="ㄱ호ㅗㄱㄱㄱ" hidden="1">{#N/A,#N/A,TRUE,"경전'96(1)";#N/A,#N/A,TRUE,"경전'96 (2)"}</definedName>
    <definedName name="ㄱ히망ㅎ" localSheetId="2" hidden="1">{#N/A,#N/A,FALSE,"1.CRITERIA";#N/A,#N/A,FALSE,"2.IS";#N/A,#N/A,FALSE,"3.BS";#N/A,#N/A,FALSE,"4.PER PL";#N/A,#N/A,FALSE,"5.INVESTMENT";#N/A,#N/A,FALSE,"6.공문";#N/A,#N/A,FALSE,"7.netinvest"}</definedName>
    <definedName name="ㄱ히망ㅎ" hidden="1">{#N/A,#N/A,FALSE,"1.CRITERIA";#N/A,#N/A,FALSE,"2.IS";#N/A,#N/A,FALSE,"3.BS";#N/A,#N/A,FALSE,"4.PER PL";#N/A,#N/A,FALSE,"5.INVESTMENT";#N/A,#N/A,FALSE,"6.공문";#N/A,#N/A,FALSE,"7.netinvest"}</definedName>
    <definedName name="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1" localSheetId="2" hidden="1">{#N/A,#N/A,TRUE,"Y생산";#N/A,#N/A,TRUE,"Y판매";#N/A,#N/A,TRUE,"Y총물량";#N/A,#N/A,TRUE,"Y능력";#N/A,#N/A,TRUE,"YKD"}</definedName>
    <definedName name="가1" hidden="1">{#N/A,#N/A,TRUE,"Y생산";#N/A,#N/A,TRUE,"Y판매";#N/A,#N/A,TRUE,"Y총물량";#N/A,#N/A,TRUE,"Y능력";#N/A,#N/A,TRUE,"YKD"}</definedName>
    <definedName name="가가" localSheetId="2" hidden="1">{#N/A,#N/A,FALSE,"UNIT";#N/A,#N/A,FALSE,"UNIT";#N/A,#N/A,FALSE,"계정"}</definedName>
    <definedName name="가가" hidden="1">{#N/A,#N/A,FALSE,"UNIT";#N/A,#N/A,FALSE,"UNIT";#N/A,#N/A,FALSE,"계정"}</definedName>
    <definedName name="가가가"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가가"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기긱" localSheetId="2" hidden="1">{"'미착금액'!$A$4:$G$14"}</definedName>
    <definedName name="가기긱" hidden="1">{"'미착금액'!$A$4:$G$14"}</definedName>
    <definedName name="가나" localSheetId="2" hidden="1">{#N/A,#N/A,FALSE,"1.CRITERIA";#N/A,#N/A,FALSE,"2.IS";#N/A,#N/A,FALSE,"3.BS";#N/A,#N/A,FALSE,"4.PER PL";#N/A,#N/A,FALSE,"5.INVESTMENT";#N/A,#N/A,FALSE,"6.공문";#N/A,#N/A,FALSE,"7.netinvest"}</definedName>
    <definedName name="가나" hidden="1">{#N/A,#N/A,FALSE,"1.CRITERIA";#N/A,#N/A,FALSE,"2.IS";#N/A,#N/A,FALSE,"3.BS";#N/A,#N/A,FALSE,"4.PER PL";#N/A,#N/A,FALSE,"5.INVESTMENT";#N/A,#N/A,FALSE,"6.공문";#N/A,#N/A,FALSE,"7.netinvest"}</definedName>
    <definedName name="가나다" localSheetId="2" hidden="1">{"'Jibu9811 (3)'!$B$1:$J$433"}</definedName>
    <definedName name="가나다" hidden="1">{"'Jibu9811 (3)'!$B$1:$J$433"}</definedName>
    <definedName name="가나다11">#REF!</definedName>
    <definedName name="가나다라"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라"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오" hidden="1">{#N/A,#N/A,FALSE,"정공"}</definedName>
    <definedName name="가나라" localSheetId="2" hidden="1">{#N/A,#N/A,FALSE,"1.CRITERIA";#N/A,#N/A,FALSE,"2.IS";#N/A,#N/A,FALSE,"3.BS";#N/A,#N/A,FALSE,"4.PER PL";#N/A,#N/A,FALSE,"5.INVESTMENT";#N/A,#N/A,FALSE,"6.공문";#N/A,#N/A,FALSE,"7.netinvest"}</definedName>
    <definedName name="가나라" hidden="1">{#N/A,#N/A,FALSE,"1.CRITERIA";#N/A,#N/A,FALSE,"2.IS";#N/A,#N/A,FALSE,"3.BS";#N/A,#N/A,FALSE,"4.PER PL";#N/A,#N/A,FALSE,"5.INVESTMENT";#N/A,#N/A,FALSE,"6.공문";#N/A,#N/A,FALSE,"7.netinvest"}</definedName>
    <definedName name="가나ㅏ">#REF!</definedName>
    <definedName name="가다" localSheetId="2"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대">BlankMacro1</definedName>
    <definedName name="가라" localSheetId="2"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로등부표2">#REF!,#REF!</definedName>
    <definedName name="가명">#REF!</definedName>
    <definedName name="가명2">#REF!</definedName>
    <definedName name="가명3">#REF!</definedName>
    <definedName name="가사">#REF!</definedName>
    <definedName name="가설">#REF!</definedName>
    <definedName name="가설사무실">#REF!</definedName>
    <definedName name="가설재총괄">#N/A</definedName>
    <definedName name="가스">#REF!</definedName>
    <definedName name="가시설">#REF!</definedName>
    <definedName name="가아" localSheetId="2" hidden="1">{#N/A,#N/A,FALSE,"1.CRITERIA";#N/A,#N/A,FALSE,"2.IS";#N/A,#N/A,FALSE,"3.BS";#N/A,#N/A,FALSE,"4.PER PL";#N/A,#N/A,FALSE,"5.INVESTMENT";#N/A,#N/A,FALSE,"6.공문";#N/A,#N/A,FALSE,"7.netinvest"}</definedName>
    <definedName name="가아" hidden="1">{#N/A,#N/A,FALSE,"1.CRITERIA";#N/A,#N/A,FALSE,"2.IS";#N/A,#N/A,FALSE,"3.BS";#N/A,#N/A,FALSE,"4.PER PL";#N/A,#N/A,FALSE,"5.INVESTMENT";#N/A,#N/A,FALSE,"6.공문";#N/A,#N/A,FALSE,"7.netinvest"}</definedName>
    <definedName name="가아나" localSheetId="2" hidden="1">{#N/A,#N/A,TRUE,"Y생산";#N/A,#N/A,TRUE,"Y판매";#N/A,#N/A,TRUE,"Y총물량";#N/A,#N/A,TRUE,"Y능력";#N/A,#N/A,TRUE,"YKD"}</definedName>
    <definedName name="가아나" hidden="1">{#N/A,#N/A,TRUE,"Y생산";#N/A,#N/A,TRUE,"Y판매";#N/A,#N/A,TRUE,"Y총물량";#N/A,#N/A,TRUE,"Y능력";#N/A,#N/A,TRUE,"YKD"}</definedName>
    <definedName name="가아노" localSheetId="2" hidden="1">{#N/A,#N/A,FALSE,"1.CRITERIA";#N/A,#N/A,FALSE,"2.IS";#N/A,#N/A,FALSE,"3.BS";#N/A,#N/A,FALSE,"4.PER PL";#N/A,#N/A,FALSE,"5.INVESTMENT";#N/A,#N/A,FALSE,"6.공문";#N/A,#N/A,FALSE,"7.netinvest"}</definedName>
    <definedName name="가아노" hidden="1">{#N/A,#N/A,FALSE,"1.CRITERIA";#N/A,#N/A,FALSE,"2.IS";#N/A,#N/A,FALSE,"3.BS";#N/A,#N/A,FALSE,"4.PER PL";#N/A,#N/A,FALSE,"5.INVESTMENT";#N/A,#N/A,FALSE,"6.공문";#N/A,#N/A,FALSE,"7.netinvest"}</definedName>
    <definedName name="가아다" localSheetId="2"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localSheetId="2"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아ㅓ라어" localSheetId="2"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가오" localSheetId="2"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localSheetId="2"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localSheetId="2"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자" hidden="1">#REF!</definedName>
    <definedName name="가족수">#REF!</definedName>
    <definedName name="가짜" localSheetId="2" hidden="1">{"'Jibu9811 (3)'!$B$1:$J$433"}</definedName>
    <definedName name="가짜" hidden="1">{"'Jibu9811 (3)'!$B$1:$J$433"}</definedName>
    <definedName name="가짜2" localSheetId="2" hidden="1">{"'Jibu9811 (3)'!$B$1:$J$433"}</definedName>
    <definedName name="가짜2" hidden="1">{"'Jibu9811 (3)'!$B$1:$J$433"}</definedName>
    <definedName name="가카" localSheetId="2" hidden="1">{#N/A,#N/A,FALSE,"1.CRITERIA";#N/A,#N/A,FALSE,"2.IS";#N/A,#N/A,FALSE,"3.BS";#N/A,#N/A,FALSE,"4.PER PL";#N/A,#N/A,FALSE,"5.INVESTMENT";#N/A,#N/A,FALSE,"6.공문";#N/A,#N/A,FALSE,"7.netinvest"}</definedName>
    <definedName name="가카" hidden="1">{#N/A,#N/A,FALSE,"1.CRITERIA";#N/A,#N/A,FALSE,"2.IS";#N/A,#N/A,FALSE,"3.BS";#N/A,#N/A,FALSE,"4.PER PL";#N/A,#N/A,FALSE,"5.INVESTMENT";#N/A,#N/A,FALSE,"6.공문";#N/A,#N/A,FALSE,"7.netinvest"}</definedName>
    <definedName name="가타" localSheetId="2"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가ㅏ" localSheetId="2" hidden="1">{"'매출이익'!$A$24:$K$45"}</definedName>
    <definedName name="가ㅏ" hidden="1">{"'매출이익'!$A$24:$K$45"}</definedName>
    <definedName name="가ㅏㅏㅏㅓ갸">#N/A</definedName>
    <definedName name="각방안" hidden="1">{#N/A,#N/A,FALSE,"단축1";#N/A,#N/A,FALSE,"단축2";#N/A,#N/A,FALSE,"단축3";#N/A,#N/A,FALSE,"장축";#N/A,#N/A,FALSE,"4WD"}</definedName>
    <definedName name="간" localSheetId="2" hidden="1">{#N/A,#N/A,FALSE,"UNIT";#N/A,#N/A,FALSE,"UNIT";#N/A,#N/A,FALSE,"계정"}</definedName>
    <definedName name="간" hidden="1">{#N/A,#N/A,FALSE,"UNIT";#N/A,#N/A,FALSE,"UNIT";#N/A,#N/A,FALSE,"계정"}</definedName>
    <definedName name="간공">#REF!</definedName>
    <definedName name="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서ㅣ랄" localSheetId="2" hidden="1">{"'Jibu9811 (3)'!$B$1:$J$433"}</definedName>
    <definedName name="간서ㅣ랄" hidden="1">{"'Jibu9811 (3)'!$B$1:$J$433"}</definedName>
    <definedName name="간접공사비">#REF!</definedName>
    <definedName name="간접노무비">#REF!</definedName>
    <definedName name="간접노무비율">#REF!</definedName>
    <definedName name="간지">#REF!</definedName>
    <definedName name="갇">BlankMacro1</definedName>
    <definedName name="갈" localSheetId="2" hidden="1">{#N/A,#N/A,FALSE,"1.CRITERIA";#N/A,#N/A,FALSE,"2.IS";#N/A,#N/A,FALSE,"3.BS";#N/A,#N/A,FALSE,"4.PER PL";#N/A,#N/A,FALSE,"5.INVESTMENT";#N/A,#N/A,FALSE,"6.공문";#N/A,#N/A,FALSE,"7.netinvest"}</definedName>
    <definedName name="갈" hidden="1">{#N/A,#N/A,FALSE,"1.CRITERIA";#N/A,#N/A,FALSE,"2.IS";#N/A,#N/A,FALSE,"3.BS";#N/A,#N/A,FALSE,"4.PER PL";#N/A,#N/A,FALSE,"5.INVESTMENT";#N/A,#N/A,FALSE,"6.공문";#N/A,#N/A,FALSE,"7.netinvest"}</definedName>
    <definedName name="갈레닉" localSheetId="2" hidden="1">{"'Jibu9811 (3)'!$B$1:$J$433"}</definedName>
    <definedName name="갈레닉" hidden="1">{"'Jibu9811 (3)'!$B$1:$J$433"}</definedName>
    <definedName name="갈레닉2" localSheetId="2" hidden="1">{"'Jibu9811 (3)'!$B$1:$J$433"}</definedName>
    <definedName name="갈레닉2" hidden="1">{"'Jibu9811 (3)'!$B$1:$J$433"}</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 hidden="1">#REF!</definedName>
    <definedName name="감가뿐각붇">#REF!</definedName>
    <definedName name="감가상">#REF!</definedName>
    <definedName name="감가상각" localSheetId="2" hidden="1">{#N/A,#N/A,FALSE,"9612"}</definedName>
    <definedName name="감가상각" hidden="1">{#N/A,#N/A,FALSE,"9612"}</definedName>
    <definedName name="감가상각2003" localSheetId="2" hidden="1">{"FORM17",#N/A,FALSE,"Commission1";"FORM17.1",#N/A,FALSE,"Commission2"}</definedName>
    <definedName name="감가상각2003" hidden="1">{"FORM17",#N/A,FALSE,"Commission1";"FORM17.1",#N/A,FALSE,"Commission2"}</definedName>
    <definedName name="감가상각비" localSheetId="2" hidden="1">{#N/A,#N/A,FALSE,"1.CRITERIA";#N/A,#N/A,FALSE,"2.IS";#N/A,#N/A,FALSE,"3.BS";#N/A,#N/A,FALSE,"4.PER PL";#N/A,#N/A,FALSE,"5.INVESTMENT";#N/A,#N/A,FALSE,"6.공문";#N/A,#N/A,FALSE,"7.netinvest"}</definedName>
    <definedName name="감가상각비" hidden="1">{#N/A,#N/A,FALSE,"1.CRITERIA";#N/A,#N/A,FALSE,"2.IS";#N/A,#N/A,FALSE,"3.BS";#N/A,#N/A,FALSE,"4.PER PL";#N/A,#N/A,FALSE,"5.INVESTMENT";#N/A,#N/A,FALSE,"6.공문";#N/A,#N/A,FALSE,"7.netinvest"}</definedName>
    <definedName name="감가상각표" hidden="1">{#N/A,#N/A,FALSE,"BS";#N/A,#N/A,FALSE,"PL";#N/A,#N/A,FALSE,"처분";#N/A,#N/A,FALSE,"현금";#N/A,#N/A,FALSE,"매출";#N/A,#N/A,FALSE,"원가";#N/A,#N/A,FALSE,"경영"}</definedName>
    <definedName name="감가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나무">#REF!</definedName>
    <definedName name="감누" hidden="1">{#N/A,#N/A,FALSE,"BS";#N/A,#N/A,FALSE,"PL";#N/A,#N/A,FALSE,"A";#N/A,#N/A,FALSE,"B";#N/A,#N/A,FALSE,"B1";#N/A,#N/A,FALSE,"C";#N/A,#N/A,FALSE,"C1";#N/A,#N/A,FALSE,"C2";#N/A,#N/A,FALSE,"D";#N/A,#N/A,FALSE,"E";#N/A,#N/A,FALSE,"F";#N/A,#N/A,FALSE,"AA";#N/A,#N/A,FALSE,"BB";#N/A,#N/A,FALSE,"CC";#N/A,#N/A,FALSE,"DD";#N/A,#N/A,FALSE,"EE";#N/A,#N/A,FALSE,"FF";#N/A,#N/A,FALSE,"PL10";#N/A,#N/A,FALSE,"PL20";#N/A,#N/A,FALSE,"PL30"}</definedName>
    <definedName name="감리조서2">BLCH</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축실적" hidden="1">{#N/A,#N/A,FALSE,"손익표지";#N/A,#N/A,FALSE,"손익계산";#N/A,#N/A,FALSE,"일반관리비";#N/A,#N/A,FALSE,"영업외수익";#N/A,#N/A,FALSE,"영업외비용";#N/A,#N/A,FALSE,"매출액";#N/A,#N/A,FALSE,"요약손익";#N/A,#N/A,FALSE,"요약대차";#N/A,#N/A,FALSE,"매출채권현황";#N/A,#N/A,FALSE,"매출채권명세"}</definedName>
    <definedName name="감치미" localSheetId="2" hidden="1">{"'Jibu9811 (3)'!$B$1:$J$433"}</definedName>
    <definedName name="감치미" hidden="1">{"'Jibu9811 (3)'!$B$1:$J$433"}</definedName>
    <definedName name="갑">#REF!</definedName>
    <definedName name="갑근세">#REF!</definedName>
    <definedName name="갑지">#REF!</definedName>
    <definedName name="갑지2" localSheetId="2" hidden="1">{#N/A,#N/A,FALSE,"CCTV"}</definedName>
    <definedName name="갑지2" hidden="1">{#N/A,#N/A,FALSE,"CCTV"}</definedName>
    <definedName name="값">#REF!</definedName>
    <definedName name="값2">#REF!</definedName>
    <definedName name="강" localSheetId="2" hidden="1">{#N/A,#N/A,FALSE,"1.CRITERIA";#N/A,#N/A,FALSE,"2.IS";#N/A,#N/A,FALSE,"3.BS";#N/A,#N/A,FALSE,"4.PER PL";#N/A,#N/A,FALSE,"5.INVESTMENT";#N/A,#N/A,FALSE,"6.공문";#N/A,#N/A,FALSE,"7.netinvest"}</definedName>
    <definedName name="강" hidden="1">{#N/A,#N/A,FALSE,"1.CRITERIA";#N/A,#N/A,FALSE,"2.IS";#N/A,#N/A,FALSE,"3.BS";#N/A,#N/A,FALSE,"4.PER PL";#N/A,#N/A,FALSE,"5.INVESTMENT";#N/A,#N/A,FALSE,"6.공문";#N/A,#N/A,FALSE,"7.netinvest"}</definedName>
    <definedName name="강강농" hidden="1">{#N/A,#N/A,FALSE,"단축1";#N/A,#N/A,FALSE,"단축2";#N/A,#N/A,FALSE,"단축3";#N/A,#N/A,FALSE,"장축";#N/A,#N/A,FALSE,"4WD"}</definedName>
    <definedName name="강남">#REF!</definedName>
    <definedName name="강남Count">#REF!</definedName>
    <definedName name="강남Pattern">#REF!</definedName>
    <definedName name="강남Start">#REF!</definedName>
    <definedName name="강동">#REF!</definedName>
    <definedName name="강릉" localSheetId="2" hidden="1">{"'Jibu9811 (3)'!$B$1:$J$433"}</definedName>
    <definedName name="강릉" hidden="1">{"'Jibu9811 (3)'!$B$1:$J$433"}</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북">#REF!</definedName>
    <definedName name="강북신설">#REF!</definedName>
    <definedName name="강서">#REF!</definedName>
    <definedName name="강선희"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선희"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재호" hidden="1">{#N/A,#N/A,FALSE,"변경관리예산";#N/A,#N/A,FALSE,"변경장비예산";#N/A,#N/A,FALSE,"변경준설예산";#N/A,#N/A,FALSE,"변경철구예산"}</definedName>
    <definedName name="강종옥" localSheetId="2" hidden="1">{#N/A,#N/A,FALSE,"단축1";#N/A,#N/A,FALSE,"단축2";#N/A,#N/A,FALSE,"단축3";#N/A,#N/A,FALSE,"장축";#N/A,#N/A,FALSE,"4WD"}</definedName>
    <definedName name="강종옥" hidden="1">{#N/A,#N/A,FALSE,"단축1";#N/A,#N/A,FALSE,"단축2";#N/A,#N/A,FALSE,"단축3";#N/A,#N/A,FALSE,"장축";#N/A,#N/A,FALSE,"4WD"}</definedName>
    <definedName name="개가ㅠㅡ" localSheetId="2" hidden="1">{#N/A,#N/A,FALSE,"부대2"}</definedName>
    <definedName name="개가ㅠㅡ" hidden="1">{#N/A,#N/A,FALSE,"부대2"}</definedName>
    <definedName name="개나리">#REF!</definedName>
    <definedName name="개덯">BlankMacro1</definedName>
    <definedName name="개똥" hidden="1">{#N/A,#N/A,FALSE,"손익표지";#N/A,#N/A,FALSE,"손익계산";#N/A,#N/A,FALSE,"일반관리비";#N/A,#N/A,FALSE,"영업외수익";#N/A,#N/A,FALSE,"영업외비용";#N/A,#N/A,FALSE,"매출액";#N/A,#N/A,FALSE,"요약손익";#N/A,#N/A,FALSE,"요약대차";#N/A,#N/A,FALSE,"매출채권현황";#N/A,#N/A,FALSE,"매출채권명세"}</definedName>
    <definedName name="개똥이">#REF!</definedName>
    <definedName name="개발" hidden="1">{#N/A,#N/A,FALSE,"손익표지";#N/A,#N/A,FALSE,"손익계산";#N/A,#N/A,FALSE,"일반관리비";#N/A,#N/A,FALSE,"영업외수익";#N/A,#N/A,FALSE,"영업외비용";#N/A,#N/A,FALSE,"매출액";#N/A,#N/A,FALSE,"요약손익";#N/A,#N/A,FALSE,"요약대차";#N/A,#N/A,FALSE,"매출채권현황";#N/A,#N/A,FALSE,"매출채권명세"}</definedName>
    <definedName name="개발1" hidden="1">{#N/A,#N/A,FALSE,"손익표지";#N/A,#N/A,FALSE,"손익계산";#N/A,#N/A,FALSE,"일반관리비";#N/A,#N/A,FALSE,"영업외수익";#N/A,#N/A,FALSE,"영업외비용";#N/A,#N/A,FALSE,"매출액";#N/A,#N/A,FALSE,"요약손익";#N/A,#N/A,FALSE,"요약대차";#N/A,#N/A,FALSE,"매출채권현황";#N/A,#N/A,FALSE,"매출채권명세"}</definedName>
    <definedName name="개발2" hidden="1">{#N/A,#N/A,FALSE,"손익표지";#N/A,#N/A,FALSE,"손익계산";#N/A,#N/A,FALSE,"일반관리비";#N/A,#N/A,FALSE,"영업외수익";#N/A,#N/A,FALSE,"영업외비용";#N/A,#N/A,FALSE,"매출액";#N/A,#N/A,FALSE,"요약손익";#N/A,#N/A,FALSE,"요약대차";#N/A,#N/A,FALSE,"매출채권현황";#N/A,#N/A,FALSE,"매출채권명세"}</definedName>
    <definedName name="개발3" hidden="1">{#N/A,#N/A,FALSE,"손익표지";#N/A,#N/A,FALSE,"손익계산";#N/A,#N/A,FALSE,"일반관리비";#N/A,#N/A,FALSE,"영업외수익";#N/A,#N/A,FALSE,"영업외비용";#N/A,#N/A,FALSE,"매출액";#N/A,#N/A,FALSE,"요약손익";#N/A,#N/A,FALSE,"요약대차";#N/A,#N/A,FALSE,"매출채권현황";#N/A,#N/A,FALSE,"매출채권명세"}</definedName>
    <definedName name="개발비"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2003" localSheetId="2" hidden="1">{"FORM1",#N/A,FALSE,"Revenue";"FORMTR",#N/A,FALSE,"Revenue";"FORM3.1",#N/A,FALSE,"Revenue"}</definedName>
    <definedName name="개발비2003" hidden="1">{"FORM1",#N/A,FALSE,"Revenue";"FORMTR",#N/A,FALSE,"Revenue";"FORM3.1",#N/A,FALSE,"Revenue"}</definedName>
    <definedName name="개발시험종합" hidden="1">#REF!</definedName>
    <definedName name="개발일정" hidden="1">{#N/A,#N/A,FALSE,"Aging Summary";#N/A,#N/A,FALSE,"Ratio Analysis";#N/A,#N/A,FALSE,"Test 120 Day Accts";#N/A,#N/A,FALSE,"Tickmarks"}</definedName>
    <definedName name="개발일정수정" hidden="1">{#N/A,#N/A,FALSE,"단축1";#N/A,#N/A,FALSE,"단축2";#N/A,#N/A,FALSE,"단축3";#N/A,#N/A,FALSE,"장축";#N/A,#N/A,FALSE,"4WD"}</definedName>
    <definedName name="개발화학피앤비" hidden="1">{#N/A,#N/A,FALSE,"손익표지";#N/A,#N/A,FALSE,"손익계산";#N/A,#N/A,FALSE,"일반관리비";#N/A,#N/A,FALSE,"영업외수익";#N/A,#N/A,FALSE,"영업외비용";#N/A,#N/A,FALSE,"매출액";#N/A,#N/A,FALSE,"요약손익";#N/A,#N/A,FALSE,"요약대차";#N/A,#N/A,FALSE,"매출채권현황";#N/A,#N/A,FALSE,"매출채권명세"}</definedName>
    <definedName name="개산분">#REF!</definedName>
    <definedName name="개선"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localSheetId="2" hidden="1">{#N/A,#N/A,TRUE,"Y생산";#N/A,#N/A,TRUE,"Y판매";#N/A,#N/A,TRUE,"Y총물량";#N/A,#N/A,TRUE,"Y능력";#N/A,#N/A,TRUE,"YKD"}</definedName>
    <definedName name="개선내용" hidden="1">{#N/A,#N/A,TRUE,"Y생산";#N/A,#N/A,TRUE,"Y판매";#N/A,#N/A,TRUE,"Y총물량";#N/A,#N/A,TRUE,"Y능력";#N/A,#N/A,TRUE,"YKD"}</definedName>
    <definedName name="개선실적" localSheetId="2" hidden="1">{#N/A,#N/A,TRUE,"Y생산";#N/A,#N/A,TRUE,"Y판매";#N/A,#N/A,TRUE,"Y총물량";#N/A,#N/A,TRUE,"Y능력";#N/A,#N/A,TRUE,"YKD"}</definedName>
    <definedName name="개선실적" hidden="1">{#N/A,#N/A,TRUE,"Y생산";#N/A,#N/A,TRUE,"Y판매";#N/A,#N/A,TRUE,"Y총물량";#N/A,#N/A,TRUE,"Y능력";#N/A,#N/A,TRUE,"YKD"}</definedName>
    <definedName name="개선안" hidden="1">#REF!</definedName>
    <definedName name="개선안2" hidden="1">#REF!</definedName>
    <definedName name="개선안3" hidden="1">#REF!</definedName>
    <definedName name="개요" hidden="1">#REF!</definedName>
    <definedName name="개요1" hidden="1">#REF!</definedName>
    <definedName name="개요2" hidden="1">#REF!</definedName>
    <definedName name="개인2" hidden="1">{#N/A,#N/A,FALSE,"손익표지";#N/A,#N/A,FALSE,"손익계산";#N/A,#N/A,FALSE,"일반관리비";#N/A,#N/A,FALSE,"영업외수익";#N/A,#N/A,FALSE,"영업외비용";#N/A,#N/A,FALSE,"매출액";#N/A,#N/A,FALSE,"요약손익";#N/A,#N/A,FALSE,"요약대차";#N/A,#N/A,FALSE,"매출채권현황";#N/A,#N/A,FALSE,"매출채권명세"}</definedName>
    <definedName name="개인관리" localSheetId="2" hidden="1">{#N/A,#N/A,FALSE,"초중조사서식 "}</definedName>
    <definedName name="개인관리" hidden="1">{#N/A,#N/A,FALSE,"초중조사서식 "}</definedName>
    <definedName name="개정세율">#REF!</definedName>
    <definedName name="개정세율2002">#REF!</definedName>
    <definedName name="개정세율2003">#REF!</definedName>
    <definedName name="개정세율2004">#REF!</definedName>
    <definedName name="개정세율2005">#REF!</definedName>
    <definedName name="개정세율2006">#REF!</definedName>
    <definedName name="개정세율2007">#REF!</definedName>
    <definedName name="갤로" localSheetId="2" hidden="1">{#N/A,#N/A,FALSE,"정공"}</definedName>
    <definedName name="갤로" hidden="1">{#N/A,#N/A,FALSE,"정공"}</definedName>
    <definedName name="갸허">BlankMacro1</definedName>
    <definedName name="갸ㅑㅐㅗㅡ" localSheetId="2" hidden="1">{#N/A,#N/A,FALSE,"기안지";#N/A,#N/A,FALSE,"통신지"}</definedName>
    <definedName name="갸ㅑㅐㅗㅡ" hidden="1">{#N/A,#N/A,FALSE,"기안지";#N/A,#N/A,FALSE,"통신지"}</definedName>
    <definedName name="갸ㅗㅓ허ㅏ" localSheetId="2" hidden="1">{#N/A,#N/A,FALSE,"토공2"}</definedName>
    <definedName name="갸ㅗㅓ허ㅏ" hidden="1">{#N/A,#N/A,FALSE,"토공2"}</definedName>
    <definedName name="거" localSheetId="2" hidden="1">{#N/A,#N/A,FALSE,"1.CRITERIA";#N/A,#N/A,FALSE,"2.IS";#N/A,#N/A,FALSE,"3.BS";#N/A,#N/A,FALSE,"4.PER PL";#N/A,#N/A,FALSE,"5.INVESTMENT";#N/A,#N/A,FALSE,"6.공문";#N/A,#N/A,FALSE,"7.netinvest"}</definedName>
    <definedName name="거" hidden="1">{#N/A,#N/A,FALSE,"1.CRITERIA";#N/A,#N/A,FALSE,"2.IS";#N/A,#N/A,FALSE,"3.BS";#N/A,#N/A,FALSE,"4.PER PL";#N/A,#N/A,FALSE,"5.INVESTMENT";#N/A,#N/A,FALSE,"6.공문";#N/A,#N/A,FALSE,"7.netinvest"}</definedName>
    <definedName name="거너" hidden="1">{#N/A,#N/A,FALSE,"단축1";#N/A,#N/A,FALSE,"단축2";#N/A,#N/A,FALSE,"단축3";#N/A,#N/A,FALSE,"장축";#N/A,#N/A,FALSE,"4WD"}</definedName>
    <definedName name="거래선번호">#REF!</definedName>
    <definedName name="거래유형">#REF!</definedName>
    <definedName name="거래처">#REF!</definedName>
    <definedName name="거리도모" localSheetId="2"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거아ㅏ라어" hidden="1">{#N/A,#N/A,FALSE,"손익표지";#N/A,#N/A,FALSE,"손익계산";#N/A,#N/A,FALSE,"일반관리비";#N/A,#N/A,FALSE,"영업외수익";#N/A,#N/A,FALSE,"영업외비용";#N/A,#N/A,FALSE,"매출액";#N/A,#N/A,FALSE,"요약손익";#N/A,#N/A,FALSE,"요약대차";#N/A,#N/A,FALSE,"매출채권현황";#N/A,#N/A,FALSE,"매출채권명세"}</definedName>
    <definedName name="거이" localSheetId="2"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거ㅓㄷㅂ">BlankMacro1</definedName>
    <definedName name="건">#REF!</definedName>
    <definedName name="건강보험료">#REF!</definedName>
    <definedName name="건기" hidden="1">{#N/A,#N/A,FALSE,"사업총괄";#N/A,#N/A,FALSE,"장비사업";#N/A,#N/A,FALSE,"철구사업";#N/A,#N/A,FALSE,"준설사업"}</definedName>
    <definedName name="건기2" hidden="1">{#N/A,#N/A,FALSE,"사업총괄";#N/A,#N/A,FALSE,"장비사업";#N/A,#N/A,FALSE,"철구사업";#N/A,#N/A,FALSE,"준설사업"}</definedName>
    <definedName name="건물" hidden="1">{"'손익현황'!$A$1:$J$29"}</definedName>
    <definedName name="건물관리비" hidden="1">#REF!</definedName>
    <definedName name="건물시부인">#REF!</definedName>
    <definedName name="건물임." localSheetId="2" hidden="1">{"'손익현황'!$A$1:$J$29"}</definedName>
    <definedName name="건물임." hidden="1">{"'손익현황'!$A$1:$J$29"}</definedName>
    <definedName name="건물임._1" localSheetId="2" hidden="1">{"'손익현황'!$A$1:$J$29"}</definedName>
    <definedName name="건물임._1" hidden="1">{"'손익현황'!$A$1:$J$29"}</definedName>
    <definedName name="건설" hidden="1">{#N/A,#N/A,FALSE,"손익표지";#N/A,#N/A,FALSE,"손익계산";#N/A,#N/A,FALSE,"일반관리비";#N/A,#N/A,FALSE,"영업외수익";#N/A,#N/A,FALSE,"영업외비용";#N/A,#N/A,FALSE,"매출액";#N/A,#N/A,FALSE,"요약손익";#N/A,#N/A,FALSE,"요약대차";#N/A,#N/A,FALSE,"매출채권현황";#N/A,#N/A,FALSE,"매출채권명세"}</definedName>
    <definedName name="건설기계새로움" hidden="1">{#VALUE!,#N/A,FALSE,0;#N/A,#N/A,FALSE,0;#N/A,#N/A,FALSE,0;#N/A,#N/A,FALSE,0}</definedName>
    <definedName name="건설중인자산1">BlankMacro1</definedName>
    <definedName name="건설중인자산2">BlankMacro1</definedName>
    <definedName name="건설중자산3">BlankMacro1</definedName>
    <definedName name="건설팀" localSheetId="2" hidden="1">{#N/A,#N/A,TRUE,"Y생산";#N/A,#N/A,TRUE,"Y판매";#N/A,#N/A,TRUE,"Y총물량";#N/A,#N/A,TRUE,"Y능력";#N/A,#N/A,TRUE,"YKD"}</definedName>
    <definedName name="건설팀" hidden="1">{#N/A,#N/A,TRUE,"Y생산";#N/A,#N/A,TRUE,"Y판매";#N/A,#N/A,TRUE,"Y총물량";#N/A,#N/A,TRUE,"Y능력";#N/A,#N/A,TRUE,"YKD"}</definedName>
    <definedName name="건원가">BlankMacro1</definedName>
    <definedName name="건축">BlankMacro1</definedName>
    <definedName name="건축내역1">BlankMacro1</definedName>
    <definedName name="건축내역2">BlankMacro1</definedName>
    <definedName name="건축도급">BlankMacro1</definedName>
    <definedName name="건축목공">#REF!</definedName>
    <definedName name="건축원가" localSheetId="2" hidden="1">{#N/A,#N/A,FALSE,"토공2"}</definedName>
    <definedName name="건축원가" hidden="1">{#N/A,#N/A,FALSE,"토공2"}</definedName>
    <definedName name="건축집계분임">#REF!</definedName>
    <definedName name="건축토공" localSheetId="2" hidden="1">{#N/A,#N/A,FALSE,"기안지";#N/A,#N/A,FALSE,"통신지"}</definedName>
    <definedName name="건축토공" hidden="1">{#N/A,#N/A,FALSE,"기안지";#N/A,#N/A,FALSE,"통신지"}</definedName>
    <definedName name="건축플랜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걸" hidden="1">{#N/A,#N/A,FALSE,"단축1";#N/A,#N/A,FALSE,"단축2";#N/A,#N/A,FALSE,"단축3";#N/A,#N/A,FALSE,"장축";#N/A,#N/A,FALSE,"4WD"}</definedName>
    <definedName name="검사공정">#REF!</definedName>
    <definedName name="검색결과">#REF!</definedName>
    <definedName name="검색기준">#REF!</definedName>
    <definedName name="검증">#REF!</definedName>
    <definedName name="검증start">#REF!</definedName>
    <definedName name="검증순서">#REF!</definedName>
    <definedName name="검증제외">#REF!</definedName>
    <definedName name="견적">#REF!</definedName>
    <definedName name="견적1">Dlog_Show</definedName>
    <definedName name="견적list3" hidden="1">{#N/A,#N/A,FALSE,"단축1";#N/A,#N/A,FALSE,"단축2";#N/A,#N/A,FALSE,"단축3";#N/A,#N/A,FALSE,"장축";#N/A,#N/A,FALSE,"4WD"}</definedName>
    <definedName name="견적비교">#REF!</definedName>
    <definedName name="견적서">#REF!</definedName>
    <definedName name="견적소">BlankMacro1</definedName>
    <definedName name="견적조건">#REF!</definedName>
    <definedName name="견적탱크">#REF!</definedName>
    <definedName name="견질어음수표1">#REF!</definedName>
    <definedName name="결사명세">#REF!</definedName>
    <definedName name="결산년월">#REF!</definedName>
    <definedName name="결산성과"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일">#REF!</definedName>
    <definedName name="결손금" hidden="1">{#N/A,#N/A,FALSE,"Aging Summary";#N/A,#N/A,FALSE,"Ratio Analysis";#N/A,#N/A,FALSE,"Test 120 Day Accts";#N/A,#N/A,FALSE,"Tickmarks"}</definedName>
    <definedName name="결영" localSheetId="2" hidden="1">{#N/A,#N/A,FALSE,"P.C.B"}</definedName>
    <definedName name="결영" hidden="1">{#N/A,#N/A,FALSE,"P.C.B"}</definedName>
    <definedName name="결정세액03">#REF!</definedName>
    <definedName name="결정세액04">#REF!</definedName>
    <definedName name="결품" hidden="1">{#N/A,#N/A,FALSE,"단축1";#N/A,#N/A,FALSE,"단축2";#N/A,#N/A,FALSE,"단축3";#N/A,#N/A,FALSE,"장축";#N/A,#N/A,FALSE,"4WD"}</definedName>
    <definedName name="경" hidden="1">{#N/A,#N/A,TRUE,"경전'96(1)";#N/A,#N/A,TRUE,"경전'96 (2)"}</definedName>
    <definedName name="경001" hidden="1">{#N/A,#N/A,TRUE,"경전'96(1)";#N/A,#N/A,TRUE,"경전'96 (2)"}</definedName>
    <definedName name="경1" hidden="1">{#N/A,#N/A,TRUE,"경전'96(1)";#N/A,#N/A,TRUE,"경전'96 (2)"}</definedName>
    <definedName name="경남"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은행">#REF!</definedName>
    <definedName name="경남지분">#N/A</definedName>
    <definedName name="경남지분법">#N/A</definedName>
    <definedName name="경력연봉">#REF!</definedName>
    <definedName name="경리" localSheetId="2" hidden="1">{#N/A,#N/A,FALSE,"P.C.B"}</definedName>
    <definedName name="경리" hidden="1">{#N/A,#N/A,FALSE,"P.C.B"}</definedName>
    <definedName name="경리손익" hidden="1">{#N/A,#N/A,FALSE,"정공"}</definedName>
    <definedName name="경리일보_지출예정_List">#REF!</definedName>
    <definedName name="경비">#REF!</definedName>
    <definedName name="경비1" hidden="1">#REF!</definedName>
    <definedName name="경비실적" localSheetId="2" hidden="1">{#N/A,#N/A,FALSE,"정공"}</definedName>
    <definedName name="경비실적" hidden="1">{#N/A,#N/A,FALSE,"정공"}</definedName>
    <definedName name="경비예산">#REF!,#REF!</definedName>
    <definedName name="경비율">#REF!</definedName>
    <definedName name="경상비8월" hidden="1">{#N/A,#N/A,FALSE,"단축1";#N/A,#N/A,FALSE,"단축2";#N/A,#N/A,FALSE,"단축3";#N/A,#N/A,FALSE,"장축";#N/A,#N/A,FALSE,"4WD"}</definedName>
    <definedName name="경상재무제표" hidden="1">{#N/A,#N/A,FALSE,"손익표지";#N/A,#N/A,FALSE,"손익계산";#N/A,#N/A,FALSE,"일반관리비";#N/A,#N/A,FALSE,"영업외수익";#N/A,#N/A,FALSE,"영업외비용";#N/A,#N/A,FALSE,"매출액";#N/A,#N/A,FALSE,"요약손익";#N/A,#N/A,FALSE,"요약대차";#N/A,#N/A,FALSE,"매출채권현황";#N/A,#N/A,FALSE,"매출채권명세"}</definedName>
    <definedName name="경순">BlankMacro1</definedName>
    <definedName name="경영" localSheetId="2" hidden="1">{#N/A,#N/A,FALSE,"P.C.B"}</definedName>
    <definedName name="경영" hidden="1">{#N/A,#N/A,FALSE,"P.C.B"}</definedName>
    <definedName name="경영2" hidden="1">#REF!</definedName>
    <definedName name="경영방침" hidden="1">{#N/A,#N/A,FALSE,"손익표지";#N/A,#N/A,FALSE,"손익계산";#N/A,#N/A,FALSE,"일반관리비";#N/A,#N/A,FALSE,"영업외수익";#N/A,#N/A,FALSE,"영업외비용";#N/A,#N/A,FALSE,"매출액";#N/A,#N/A,FALSE,"요약손익";#N/A,#N/A,FALSE,"요약대차";#N/A,#N/A,FALSE,"매출채권현황";#N/A,#N/A,FALSE,"매출채권명세"}</definedName>
    <definedName name="경영실적">#REF!</definedName>
    <definedName name="경영실적1">#REF!</definedName>
    <definedName name="경영전망" hidden="1">0</definedName>
    <definedName name="경영지표" localSheetId="2" hidden="1">{#N/A,#N/A,FALSE,"BS";#N/A,#N/A,FALSE,"PL";#N/A,#N/A,FALSE,"처분";#N/A,#N/A,FALSE,"현금";#N/A,#N/A,FALSE,"매출";#N/A,#N/A,FALSE,"원가";#N/A,#N/A,FALSE,"경영"}</definedName>
    <definedName name="경영지표" hidden="1">{#N/A,#N/A,FALSE,"BS";#N/A,#N/A,FALSE,"PL";#N/A,#N/A,FALSE,"처분";#N/A,#N/A,FALSE,"현금";#N/A,#N/A,FALSE,"매출";#N/A,#N/A,FALSE,"원가";#N/A,#N/A,FALSE,"경영"}</definedName>
    <definedName name="경영지표2" hidden="1">#REF!</definedName>
    <definedName name="경영진보고" localSheetId="2" hidden="1">{"'Sheet1'!$A$1:$H$36"}</definedName>
    <definedName name="경영진보고" hidden="1">{"'Sheet1'!$A$1:$H$36"}</definedName>
    <definedName name="경인" localSheetId="2" hidden="1">{"'Jibu9811 (3)'!$B$1:$J$433"}</definedName>
    <definedName name="경인" hidden="1">{"'Jibu9811 (3)'!$B$1:$J$433"}</definedName>
    <definedName name="경자" hidden="1">#REF!</definedName>
    <definedName name="경쟁사동향" localSheetId="2" hidden="1">{#N/A,#N/A,FALSE,"97년 투자계획 세부내역 "}</definedName>
    <definedName name="경쟁사동향" hidden="1">{#N/A,#N/A,FALSE,"97년 투자계획 세부내역 "}</definedName>
    <definedName name="경전요약" hidden="1">{#N/A,#N/A,TRUE,"경전'96(1)";#N/A,#N/A,TRUE,"경전'96 (2)"}</definedName>
    <definedName name="경주">#REF!</definedName>
    <definedName name="경합금2과운연계획" hidden="1">{#N/A,#N/A,TRUE,"Y생산";#N/A,#N/A,TRUE,"Y판매";#N/A,#N/A,TRUE,"Y총물량";#N/A,#N/A,TRUE,"Y능력";#N/A,#N/A,TRUE,"YKD"}</definedName>
    <definedName name="계">#REF!</definedName>
    <definedName name="계량기재료비분석" localSheetId="2" hidden="1">{#N/A,#N/A,FALSE,"UNIT";#N/A,#N/A,FALSE,"UNIT";#N/A,#N/A,FALSE,"계정"}</definedName>
    <definedName name="계량기재료비분석" hidden="1">{#N/A,#N/A,FALSE,"UNIT";#N/A,#N/A,FALSE,"UNIT";#N/A,#N/A,FALSE,"계정"}</definedName>
    <definedName name="계산" localSheetId="2" hidden="1">{#N/A,#N/A,FALSE,"1.CRITERIA";#N/A,#N/A,FALSE,"2.IS";#N/A,#N/A,FALSE,"3.BS";#N/A,#N/A,FALSE,"4.PER PL";#N/A,#N/A,FALSE,"5.INVESTMENT";#N/A,#N/A,FALSE,"6.공문";#N/A,#N/A,FALSE,"7.netinvest"}</definedName>
    <definedName name="계산" hidden="1">{#N/A,#N/A,FALSE,"1.CRITERIA";#N/A,#N/A,FALSE,"2.IS";#N/A,#N/A,FALSE,"3.BS";#N/A,#N/A,FALSE,"4.PER PL";#N/A,#N/A,FALSE,"5.INVESTMENT";#N/A,#N/A,FALSE,"6.공문";#N/A,#N/A,FALSE,"7.netinvest"}</definedName>
    <definedName name="계수" hidden="1">{#N/A,#N/A,FALSE,"지침";#N/A,#N/A,FALSE,"환경분석";#N/A,#N/A,FALSE,"Sheet16"}</definedName>
    <definedName name="계약" localSheetId="2" hidden="1">{#N/A,#N/A,FALSE,"계약직(여)"}</definedName>
    <definedName name="계약" hidden="1">{#N/A,#N/A,FALSE,"계약직(여)"}</definedName>
    <definedName name="계약유형">#REF!</definedName>
    <definedName name="계약일">#REF!</definedName>
    <definedName name="계약직월">OFFSET(#REF!,0,0,COUNTA(#REF!))</definedName>
    <definedName name="계약직위">#REF!</definedName>
    <definedName name="계약직인원">OFFSET(#REF!,0,0,COUNT(#REF!))</definedName>
    <definedName name="계열a">#REF!</definedName>
    <definedName name="계장">56122</definedName>
    <definedName name="계장공">#N/A</definedName>
    <definedName name="계정">#REF!</definedName>
    <definedName name="계정과목">#REF!</definedName>
    <definedName name="計定明細.書2.A">#REF!</definedName>
    <definedName name="計定明細.書2.B">#REF!</definedName>
    <definedName name="計定明細.書2.D">#REF!</definedName>
    <definedName name="계정코드">#REF!</definedName>
    <definedName name="계측">#REF!</definedName>
    <definedName name="계획" localSheetId="2" hidden="1">{#N/A,#N/A,FALSE,"UNIT";#N/A,#N/A,FALSE,"UNIT";#N/A,#N/A,FALSE,"계정"}</definedName>
    <definedName name="계획" hidden="1">{#N/A,#N/A,FALSE,"UNIT";#N/A,#N/A,FALSE,"UNIT";#N/A,#N/A,FALSE,"계정"}</definedName>
    <definedName name="계획.1" hidden="1">{#N/A,#N/A,FALSE,"단축1";#N/A,#N/A,FALSE,"단축2";#N/A,#N/A,FALSE,"단축3";#N/A,#N/A,FALSE,"장축";#N/A,#N/A,FALSE,"4WD"}</definedName>
    <definedName name="계획1" localSheetId="2" hidden="1">{#N/A,#N/A,FALSE,"UNIT";#N/A,#N/A,FALSE,"UNIT";#N/A,#N/A,FALSE,"계정"}</definedName>
    <definedName name="계획1" hidden="1">{#N/A,#N/A,FALSE,"UNIT";#N/A,#N/A,FALSE,"UNIT";#N/A,#N/A,FALSE,"계정"}</definedName>
    <definedName name="계획2" localSheetId="2" hidden="1">{#N/A,#N/A,FALSE,"정공"}</definedName>
    <definedName name="계획2" hidden="1">{#N/A,#N/A,FALSE,"정공"}</definedName>
    <definedName name="계획표">#REF!</definedName>
    <definedName name="계획표지" hidden="1">{#N/A,#N/A,FALSE,"단축1";#N/A,#N/A,FALSE,"단축2";#N/A,#N/A,FALSE,"단축3";#N/A,#N/A,FALSE,"장축";#N/A,#N/A,FALSE,"4WD"}</definedName>
    <definedName name="고" hidden="1">#REF!</definedName>
    <definedName name="고사" hidden="1">{#N/A,#N/A,FALSE,"CCTV"}</definedName>
    <definedName name="고압케이블전공">#REF!</definedName>
    <definedName name="고양">#REF!</definedName>
    <definedName name="고용보험료">#REF!</definedName>
    <definedName name="고용보험료율">#REF!</definedName>
    <definedName name="고용산재" localSheetId="2" hidden="1">{"FORM1",#N/A,FALSE,"Revenue";"FORMTR",#N/A,FALSE,"Revenue";"FORM3.1",#N/A,FALSE,"Revenue"}</definedName>
    <definedName name="고용산재" hidden="1">{"FORM1",#N/A,FALSE,"Revenue";"FORMTR",#N/A,FALSE,"Revenue";"FORM3.1",#N/A,FALSE,"Revenue"}</definedName>
    <definedName name="고재">#REF!</definedName>
    <definedName name="고정">#REF!</definedName>
    <definedName name="고정부채">#REF!</definedName>
    <definedName name="고정자산" localSheetId="2" hidden="1">{"FORM17",#N/A,FALSE,"Commission1";"FORM17.1",#N/A,FALSE,"Commission2"}</definedName>
    <definedName name="고정자산" hidden="1">{"FORM17",#N/A,FALSE,"Commission1";"FORM17.1",#N/A,FALSE,"Commission2"}</definedName>
    <definedName name="고정자산2" localSheetId="2" hidden="1">{"FORM1",#N/A,TRUE,"Revenue";"FORM1.1",#N/A,TRUE,"Revenue";"FORM1.2",#N/A,TRUE,"Revenue";"FORM2",#N/A,TRUE,"Revenue";"FORM2.1",#N/A,TRUE,"Revenue"}</definedName>
    <definedName name="고정자산2" hidden="1">{"FORM1",#N/A,TRUE,"Revenue";"FORM1.1",#N/A,TRUE,"Revenue";"FORM1.2",#N/A,TRUE,"Revenue";"FORM2",#N/A,TRUE,"Revenue";"FORM2.1",#N/A,TRUE,"Revenue"}</definedName>
    <definedName name="고종택" localSheetId="2" hidden="1">{#N/A,#N/A,FALSE,"1.CRITERIA";#N/A,#N/A,FALSE,"2.IS";#N/A,#N/A,FALSE,"3.BS";#N/A,#N/A,FALSE,"4.PER PL";#N/A,#N/A,FALSE,"5.INVESTMENT";#N/A,#N/A,FALSE,"6.공문";#N/A,#N/A,FALSE,"7.netinvest"}</definedName>
    <definedName name="고종택" hidden="1">{#N/A,#N/A,FALSE,"1.CRITERIA";#N/A,#N/A,FALSE,"2.IS";#N/A,#N/A,FALSE,"3.BS";#N/A,#N/A,FALSE,"4.PER PL";#N/A,#N/A,FALSE,"5.INVESTMENT";#N/A,#N/A,FALSE,"6.공문";#N/A,#N/A,FALSE,"7.netinvest"}</definedName>
    <definedName name="고처분">#REF!</definedName>
    <definedName name="고케">#REF!</definedName>
    <definedName name="곡사명">#REF!</definedName>
    <definedName name="곣논">#N/A</definedName>
    <definedName name="곣놈ㄴㅋ">#N/A</definedName>
    <definedName name="곤ㄱㄴ속ㄴ">#N/A</definedName>
    <definedName name="곧ㄱ" hidden="1">{#N/A,#N/A,FALSE,"Sheet6"}</definedName>
    <definedName name="골" hidden="1">{#N/A,#N/A,FALSE,"단축1";#N/A,#N/A,FALSE,"단축2";#N/A,#N/A,FALSE,"단축3";#N/A,#N/A,FALSE,"장축";#N/A,#N/A,FALSE,"4WD"}</definedName>
    <definedName name="골라인쇄">#REF!</definedName>
    <definedName name="공" localSheetId="2" hidden="1">{"'손익현황'!$A$1:$J$29"}</definedName>
    <definedName name="공" hidden="1">{"'손익현황'!$A$1:$J$29"}</definedName>
    <definedName name="공___종">#REF!</definedName>
    <definedName name="공_1" localSheetId="2" hidden="1">{"'손익현황'!$A$1:$J$29"}</definedName>
    <definedName name="공_1" hidden="1">{"'손익현황'!$A$1:$J$29"}</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구" localSheetId="2" hidden="1">{"'손익현황'!$A$1:$J$29"}</definedName>
    <definedName name="공구" hidden="1">{"'손익현황'!$A$1:$J$29"}</definedName>
    <definedName name="공구_1" localSheetId="2" hidden="1">{"'손익현황'!$A$1:$J$29"}</definedName>
    <definedName name="공구_1" hidden="1">{"'손익현황'!$A$1:$J$29"}</definedName>
    <definedName name="공구기구" localSheetId="2" hidden="1">{"'손익현황'!$A$1:$J$29"}</definedName>
    <definedName name="공구기구" hidden="1">{"'손익현황'!$A$1:$J$29"}</definedName>
    <definedName name="공구기구_1" localSheetId="2" hidden="1">{"'손익현황'!$A$1:$J$29"}</definedName>
    <definedName name="공구기구_1" hidden="1">{"'손익현황'!$A$1:$J$29"}</definedName>
    <definedName name="공구비품">#REF!</definedName>
    <definedName name="공구와비품">#REF!</definedName>
    <definedName name="공구와비품1">#REF!</definedName>
    <definedName name="공급가액">#REF!</definedName>
    <definedName name="공급가액1">#REF!</definedName>
    <definedName name="공급가액10">#REF!</definedName>
    <definedName name="공급가액11">#REF!</definedName>
    <definedName name="공급가액12">#REF!</definedName>
    <definedName name="공급가액13">#REF!</definedName>
    <definedName name="공급가액2">#REF!</definedName>
    <definedName name="공급가액3">#REF!</definedName>
    <definedName name="공급가액4">#REF!</definedName>
    <definedName name="공급가액5">#REF!</definedName>
    <definedName name="공급가액6">#REF!</definedName>
    <definedName name="공급가액7">#REF!</definedName>
    <definedName name="공급가액8">#REF!</definedName>
    <definedName name="공급가액9">#REF!</definedName>
    <definedName name="공급면적">#REF!</definedName>
    <definedName name="공기">#N/A</definedName>
    <definedName name="공기구시부인">#REF!</definedName>
    <definedName name="공기산출">#N/A</definedName>
    <definedName name="공내역서2">#REF!</definedName>
    <definedName name="공동구토공" localSheetId="2" hidden="1">{#N/A,#N/A,FALSE,"기안지";#N/A,#N/A,FALSE,"통신지"}</definedName>
    <definedName name="공동구토공" hidden="1">{#N/A,#N/A,FALSE,"기안지";#N/A,#N/A,FALSE,"통신지"}</definedName>
    <definedName name="공모23" localSheetId="2" hidden="1">{#N/A,#N/A,FALSE,"현장 NCR 분석";#N/A,#N/A,FALSE,"현장품질감사";#N/A,#N/A,FALSE,"현장품질감사"}</definedName>
    <definedName name="공모23" hidden="1">{#N/A,#N/A,FALSE,"현장 NCR 분석";#N/A,#N/A,FALSE,"현장품질감사";#N/A,#N/A,FALSE,"현장품질감사"}</definedName>
    <definedName name="공모23_1" localSheetId="2" hidden="1">{#N/A,#N/A,FALSE,"현장 NCR 분석";#N/A,#N/A,FALSE,"현장품질감사";#N/A,#N/A,FALSE,"현장품질감사"}</definedName>
    <definedName name="공모23_1" hidden="1">{#N/A,#N/A,FALSE,"현장 NCR 분석";#N/A,#N/A,FALSE,"현장품질감사";#N/A,#N/A,FALSE,"현장품질감사"}</definedName>
    <definedName name="공모24" localSheetId="2" hidden="1">{#N/A,#N/A,FALSE,"현장 NCR 분석";#N/A,#N/A,FALSE,"현장품질감사";#N/A,#N/A,FALSE,"현장품질감사"}</definedName>
    <definedName name="공모24" hidden="1">{#N/A,#N/A,FALSE,"현장 NCR 분석";#N/A,#N/A,FALSE,"현장품질감사";#N/A,#N/A,FALSE,"현장품질감사"}</definedName>
    <definedName name="공모24_1" localSheetId="2" hidden="1">{#N/A,#N/A,FALSE,"현장 NCR 분석";#N/A,#N/A,FALSE,"현장품질감사";#N/A,#N/A,FALSE,"현장품질감사"}</definedName>
    <definedName name="공모24_1" hidden="1">{#N/A,#N/A,FALSE,"현장 NCR 분석";#N/A,#N/A,FALSE,"현장품질감사";#N/A,#N/A,FALSE,"현장품질감사"}</definedName>
    <definedName name="공무">#REF!</definedName>
    <definedName name="공사">#REF!</definedName>
    <definedName name="공사개요1">#REF!</definedName>
    <definedName name="공사개요2">#REF!</definedName>
    <definedName name="공사개요3">#REF!</definedName>
    <definedName name="공사개요4">#REF!</definedName>
    <definedName name="공사내용1">#REF!</definedName>
    <definedName name="공사내용10">#REF!</definedName>
    <definedName name="공사내용11">#REF!</definedName>
    <definedName name="공사내용12">#REF!</definedName>
    <definedName name="공사내용13">#REF!</definedName>
    <definedName name="공사내용2">#REF!</definedName>
    <definedName name="공사내용3">#REF!</definedName>
    <definedName name="공사내용4">#REF!</definedName>
    <definedName name="공사내용5">#REF!</definedName>
    <definedName name="공사내용6">#REF!</definedName>
    <definedName name="공사내용7">#REF!</definedName>
    <definedName name="공사내용8">#REF!</definedName>
    <definedName name="공사내용9">#REF!</definedName>
    <definedName name="공사명">#REF!</definedName>
    <definedName name="공사수입"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원가">#REF!</definedName>
    <definedName name="공사원가5" hidden="1">#REF!</definedName>
    <definedName name="공사원가계산서" localSheetId="2" hidden="1">{#N/A,#N/A,TRUE,"토적및재료집계";#N/A,#N/A,TRUE,"토적및재료집계";#N/A,#N/A,TRUE,"단위량"}</definedName>
    <definedName name="공사원가계산서" hidden="1">{#N/A,#N/A,TRUE,"토적및재료집계";#N/A,#N/A,TRUE,"토적및재료집계";#N/A,#N/A,TRUE,"단위량"}</definedName>
    <definedName name="공사위치">#REF!</definedName>
    <definedName name="공사합계">#REF!</definedName>
    <definedName name="공성환" hidden="1">{#N/A,#N/A,FALSE,"단축1";#N/A,#N/A,FALSE,"단축2";#N/A,#N/A,FALSE,"단축3";#N/A,#N/A,FALSE,"장축";#N/A,#N/A,FALSE,"4WD"}</definedName>
    <definedName name="공수투입" localSheetId="2" hidden="1">{#N/A,#N/A,FALSE,"정공"}</definedName>
    <definedName name="공수투입" hidden="1">{#N/A,#N/A,FALSE,"정공"}</definedName>
    <definedName name="공용">#REF!</definedName>
    <definedName name="공용데이타">#REF!</definedName>
    <definedName name="공일">#REF!</definedName>
    <definedName name="공장">#REF!</definedName>
    <definedName name="공장별">#REF!,#REF!,#REF!,#REF!</definedName>
    <definedName name="공장지원" hidden="1">#REF!</definedName>
    <definedName name="공장지원팀" hidden="1">#REF!</definedName>
    <definedName name="공장현황" hidden="1">{#N/A,#N/A,TRUE,"Y생산";#N/A,#N/A,TRUE,"Y판매";#N/A,#N/A,TRUE,"Y총물량";#N/A,#N/A,TRUE,"Y능력";#N/A,#N/A,TRUE,"YKD"}</definedName>
    <definedName name="공정" hidden="1">#REF!</definedName>
    <definedName name="공정계획" hidden="1">{#N/A,#N/A,FALSE,"단축1";#N/A,#N/A,FALSE,"단축2";#N/A,#N/A,FALSE,"단축3";#N/A,#N/A,FALSE,"장축";#N/A,#N/A,FALSE,"4WD"}</definedName>
    <definedName name="공정량">#REF!</definedName>
    <definedName name="공정표11122">#REF!</definedName>
    <definedName name="공제내역">#REF!</definedName>
    <definedName name="공제수량">#REF!</definedName>
    <definedName name="공종별수량합산_qry">#REF!</definedName>
    <definedName name="공주">#REF!</definedName>
    <definedName name="공지사항" localSheetId="2" hidden="1">{"'Jibu9811 (3)'!$B$1:$J$433"}</definedName>
    <definedName name="공지사항" hidden="1">{"'Jibu9811 (3)'!$B$1:$J$433"}</definedName>
    <definedName name="공통" hidden="1">#REF!</definedName>
    <definedName name="공통가설공사" hidden="1">#REF!</definedName>
    <definedName name="공통가설공사1" hidden="1">#REF!</definedName>
    <definedName name="공통부대">#REF!</definedName>
    <definedName name="공통비" hidden="1">#REF!</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공휴일">#REF!</definedName>
    <definedName name="공휴일임">#REF!</definedName>
    <definedName name="과거실적" hidden="1">{#N/A,#N/A,FALSE,"단축1";#N/A,#N/A,FALSE,"단축2";#N/A,#N/A,FALSE,"단축3";#N/A,#N/A,FALSE,"장축";#N/A,#N/A,FALSE,"4WD"}</definedName>
    <definedName name="과학">#REF!</definedName>
    <definedName name="과학실">#REF!</definedName>
    <definedName name="과ㅣ" hidden="1">{#N/A,#N/A,FALSE,"손익표지";#N/A,#N/A,FALSE,"손익계산";#N/A,#N/A,FALSE,"일반관리비";#N/A,#N/A,FALSE,"영업외수익";#N/A,#N/A,FALSE,"영업외비용";#N/A,#N/A,FALSE,"매출액";#N/A,#N/A,FALSE,"요약손익";#N/A,#N/A,FALSE,"요약대차";#N/A,#N/A,FALSE,"매출채권현황";#N/A,#N/A,FALSE,"매출채권명세"}</definedName>
    <definedName name="곽">#REF!</definedName>
    <definedName name="관급">#REF!,#REF!,#REF!</definedName>
    <definedName name="관급자재대">#REF!</definedName>
    <definedName name="관로총괄">#REF!</definedName>
    <definedName name="관리" hidden="1">#REF!</definedName>
    <definedName name="관리비작성기준" hidden="1">#REF!</definedName>
    <definedName name="관목계">#REF!</definedName>
    <definedName name="관세">#REF!</definedName>
    <definedName name="관실적"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정">CommonDB.xls</definedName>
    <definedName name="관할세무서지">#REF!</definedName>
    <definedName name="광">#REF!</definedName>
    <definedName name="광명">#REF!</definedName>
    <definedName name="광주" localSheetId="2" hidden="1">{"'Jibu9811 (3)'!$B$1:$J$433"}</definedName>
    <definedName name="광주" hidden="1">{"'Jibu9811 (3)'!$B$1:$J$433"}</definedName>
    <definedName name="광주2" localSheetId="2" hidden="1">{"'Jibu9811 (3)'!$B$1:$J$433"}</definedName>
    <definedName name="광주2" hidden="1">{"'Jibu9811 (3)'!$B$1:$J$433"}</definedName>
    <definedName name="광주3" localSheetId="2" hidden="1">{"'Jibu9811 (3)'!$B$1:$J$433"}</definedName>
    <definedName name="광주3" hidden="1">{"'Jibu9811 (3)'!$B$1:$J$433"}</definedName>
    <definedName name="광주공장" hidden="1">#REF!</definedName>
    <definedName name="광주지역미수현황.xlx" localSheetId="2" hidden="1">{"'Jibu9811 (3)'!$B$1:$J$433"}</definedName>
    <definedName name="광주지역미수현황.xlx" hidden="1">{"'Jibu9811 (3)'!$B$1:$J$433"}</definedName>
    <definedName name="광주지점사무실" localSheetId="2" hidden="1">{"'Jibu9811 (3)'!$B$1:$J$433"}</definedName>
    <definedName name="광주지점사무실" hidden="1">{"'Jibu9811 (3)'!$B$1:$J$433"}</definedName>
    <definedName name="광중계기">#REF!</definedName>
    <definedName name="광학필름">#REF!</definedName>
    <definedName name="교과">#REF!</definedName>
    <definedName name="교너더ㅛ">#N/A</definedName>
    <definedName name="교동토" hidden="1">#REF!</definedName>
    <definedName name="교동토목공사" hidden="1">{#N/A,#N/A,FALSE,"이태원철근"}</definedName>
    <definedName name="교목계">#REF!</definedName>
    <definedName name="교무">#REF!</definedName>
    <definedName name="교사">#REF!</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교육계획" localSheetId="2" hidden="1">{#N/A,#N/A,FALSE,"단축1";#N/A,#N/A,FALSE,"단축2";#N/A,#N/A,FALSE,"단축3";#N/A,#N/A,FALSE,"장축";#N/A,#N/A,FALSE,"4WD"}</definedName>
    <definedName name="교육계획" hidden="1">{#N/A,#N/A,FALSE,"단축1";#N/A,#N/A,FALSE,"단축2";#N/A,#N/A,FALSE,"단축3";#N/A,#N/A,FALSE,"장축";#N/A,#N/A,FALSE,"4WD"}</definedName>
    <definedName name="교장">#REF!</definedName>
    <definedName name="교환">#REF!</definedName>
    <definedName name="교환미정산2000">#REF!</definedName>
    <definedName name="교환정산2000">#REF!</definedName>
    <definedName name="교환투자2000">#REF!</definedName>
    <definedName name="교ㅓㄳ넌">#N/A</definedName>
    <definedName name="교ㅓ허">#N/A</definedName>
    <definedName name="굗ㄱ" hidden="1">{#N/A,#N/A,FALSE,"Sheet6"}</definedName>
    <definedName name="구" localSheetId="2" hidden="1">{"'손익현황'!$A$1:$J$29"}</definedName>
    <definedName name="구" hidden="1">{"'손익현황'!$A$1:$J$29"}</definedName>
    <definedName name="구_1" localSheetId="2" hidden="1">{"'손익현황'!$A$1:$J$29"}</definedName>
    <definedName name="구_1" hidden="1">{"'손익현황'!$A$1:$J$29"}</definedName>
    <definedName name="구간" hidden="1">{#N/A,#N/A,FALSE,"손익표지";#N/A,#N/A,FALSE,"손익계산";#N/A,#N/A,FALSE,"일반관리비";#N/A,#N/A,FALSE,"영업외수익";#N/A,#N/A,FALSE,"영업외비용";#N/A,#N/A,FALSE,"매출액";#N/A,#N/A,FALSE,"요약손익";#N/A,#N/A,FALSE,"요약대차";#N/A,#N/A,FALSE,"매출채권현황";#N/A,#N/A,FALSE,"매출채권명세"}</definedName>
    <definedName name="구리">#REF!</definedName>
    <definedName name="구매" localSheetId="2" hidden="1">{#N/A,#N/A,TRUE,"Y생산";#N/A,#N/A,TRUE,"Y판매";#N/A,#N/A,TRUE,"Y총물량";#N/A,#N/A,TRUE,"Y능력";#N/A,#N/A,TRUE,"YKD"}</definedName>
    <definedName name="구매" hidden="1">{#N/A,#N/A,TRUE,"Y생산";#N/A,#N/A,TRUE,"Y판매";#N/A,#N/A,TRUE,"Y총물량";#N/A,#N/A,TRUE,"Y능력";#N/A,#N/A,TRUE,"YKD"}</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매자금">#REF!</definedName>
    <definedName name="구미"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미_1" hidden="1">{#N/A,#N/A,FALSE,"손익표지";#N/A,#N/A,FALSE,"손익계산";#N/A,#N/A,FALSE,"일반관리비";#N/A,#N/A,FALSE,"영업외수익";#N/A,#N/A,FALSE,"영업외비용";#N/A,#N/A,FALSE,"매출액";#N/A,#N/A,FALSE,"요약손익";#N/A,#N/A,FALSE,"요약대차";#N/A,#N/A,FALSE,"매출채권현황";#N/A,#N/A,FALSE,"매출채권명세"}</definedName>
    <definedName name="구본" hidden="1">{#N/A,#N/A,FALSE,"Sheet6"}</definedName>
    <definedName name="구분">#REF!</definedName>
    <definedName name="구분1">#REF!</definedName>
    <definedName name="구분10">#REF!</definedName>
    <definedName name="구분11">#REF!</definedName>
    <definedName name="구분12">#REF!</definedName>
    <definedName name="구분13">#REF!</definedName>
    <definedName name="구분2">#REF!</definedName>
    <definedName name="구분3">#REF!</definedName>
    <definedName name="구분4">#REF!</definedName>
    <definedName name="구분5">#REF!</definedName>
    <definedName name="구분6">#REF!</definedName>
    <definedName name="구분7">#REF!</definedName>
    <definedName name="구분8">#REF!</definedName>
    <definedName name="구분9">#REF!</definedName>
    <definedName name="구분손익2" hidden="1">{#N/A,#N/A,FALSE,"손익표지";#N/A,#N/A,FALSE,"손익계산";#N/A,#N/A,FALSE,"일반관리비";#N/A,#N/A,FALSE,"영업외수익";#N/A,#N/A,FALSE,"영업외비용";#N/A,#N/A,FALSE,"매출액";#N/A,#N/A,FALSE,"요약손익";#N/A,#N/A,FALSE,"요약대차";#N/A,#N/A,FALSE,"매출채권현황";#N/A,#N/A,FALSE,"매출채권명세"}</definedName>
    <definedName name="구분장기PL" hidden="1">{#N/A,#N/A,FALSE,"손익표지";#N/A,#N/A,FALSE,"손익계산";#N/A,#N/A,FALSE,"일반관리비";#N/A,#N/A,FALSE,"영업외수익";#N/A,#N/A,FALSE,"영업외비용";#N/A,#N/A,FALSE,"매출액";#N/A,#N/A,FALSE,"요약손익";#N/A,#N/A,FALSE,"요약대차";#N/A,#N/A,FALSE,"매출채권현황";#N/A,#N/A,FALSE,"매출채권명세"}</definedName>
    <definedName name="구산갑지" hidden="1">#REF!</definedName>
    <definedName name="구조물공" localSheetId="2" hidden="1">{#N/A,#N/A,FALSE,"이정표"}</definedName>
    <definedName name="구조물공" hidden="1">{#N/A,#N/A,FALSE,"이정표"}</definedName>
    <definedName name="구조물공사" hidden="1">{#N/A,#N/A,TRUE,"토적및재료집계";#N/A,#N/A,TRUE,"토적및재료집계";#N/A,#N/A,TRUE,"단위량"}</definedName>
    <definedName name="구축물" localSheetId="2" hidden="1">{#N/A,#N/A,FALSE,"9612"}</definedName>
    <definedName name="구축물" hidden="1">{#N/A,#N/A,FALSE,"9612"}</definedName>
    <definedName name="구축물시부인">#REF!</definedName>
    <definedName name="구축물임" localSheetId="2" hidden="1">{"'손익현황'!$A$1:$J$29"}</definedName>
    <definedName name="구축물임" hidden="1">{"'손익현황'!$A$1:$J$29"}</definedName>
    <definedName name="구축물임_1" localSheetId="2" hidden="1">{"'손익현황'!$A$1:$J$29"}</definedName>
    <definedName name="구축물임_1" hidden="1">{"'손익현황'!$A$1:$J$29"}</definedName>
    <definedName name="국_내_매_출">#REF!</definedName>
    <definedName name="국가별일반현황" hidden="1">{#N/A,#N/A,FALSE,"단축1";#N/A,#N/A,FALSE,"단축2";#N/A,#N/A,FALSE,"단축3";#N/A,#N/A,FALSE,"장축";#N/A,#N/A,FALSE,"4WD"}</definedName>
    <definedName name="국공채미수이자" localSheetId="2" hidden="1">{#N/A,#N/A,FALSE,"Aging Summary";#N/A,#N/A,FALSE,"Ratio Analysis";#N/A,#N/A,FALSE,"Test 120 Day Accts";#N/A,#N/A,FALSE,"Tickmarks"}</definedName>
    <definedName name="국공채미수이자" hidden="1">{#N/A,#N/A,FALSE,"Aging Summary";#N/A,#N/A,FALSE,"Ratio Analysis";#N/A,#N/A,FALSE,"Test 120 Day Accts";#N/A,#N/A,FALSE,"Tickmarks"}</definedName>
    <definedName name="국공채미수이자_1" localSheetId="2" hidden="1">{#N/A,#N/A,FALSE,"Aging Summary";#N/A,#N/A,FALSE,"Ratio Analysis";#N/A,#N/A,FALSE,"Test 120 Day Accts";#N/A,#N/A,FALSE,"Tickmarks"}</definedName>
    <definedName name="국공채미수이자_1" hidden="1">{#N/A,#N/A,FALSE,"Aging Summary";#N/A,#N/A,FALSE,"Ratio Analysis";#N/A,#N/A,FALSE,"Test 120 Day Accts";#N/A,#N/A,FALSE,"Tickmarks"}</definedName>
    <definedName name="국구구" hidden="1">{#N/A,#N/A,FALSE,"단축1";#N/A,#N/A,FALSE,"단축2";#N/A,#N/A,FALSE,"단축3";#N/A,#N/A,FALSE,"장축";#N/A,#N/A,FALSE,"4WD"}</definedName>
    <definedName name="국민" hidden="1">{#N/A,#N/A,FALSE,"손익표지";#N/A,#N/A,FALSE,"손익계산";#N/A,#N/A,FALSE,"일반관리비";#N/A,#N/A,FALSE,"영업외수익";#N/A,#N/A,FALSE,"영업외비용";#N/A,#N/A,FALSE,"매출액";#N/A,#N/A,FALSE,"요약손익";#N/A,#N/A,FALSE,"요약대차";#N/A,#N/A,FALSE,"매출채권현황";#N/A,#N/A,FALSE,"매출채권명세"}</definedName>
    <definedName name="국민연금" hidden="1">#REF!</definedName>
    <definedName name="국민연금전환금" hidden="1">#REF!</definedName>
    <definedName name="국민연금전환금_0906" hidden="1">#REF!</definedName>
    <definedName name="국민연금표준소득월액표">#REF!</definedName>
    <definedName name="국산화">#REF!,#REF!</definedName>
    <definedName name="국소카운팅">#REF!</definedName>
    <definedName name="국어">#REF!</definedName>
    <definedName name="국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거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국퇴전">#REF!</definedName>
    <definedName name="군">#REF!</definedName>
    <definedName name="군매출">#REF!</definedName>
    <definedName name="군산">#REF!</definedName>
    <definedName name="군이자">#REF!</definedName>
    <definedName name="군인원">#REF!</definedName>
    <definedName name="군포감가">#REF!</definedName>
    <definedName name="군포매출">#REF!</definedName>
    <definedName name="군포배부">#REF!</definedName>
    <definedName name="군포부품이자">#REF!</definedName>
    <definedName name="군포인원">#REF!</definedName>
    <definedName name="권영덕">#REF!</definedName>
    <definedName name="귀중">#REF!</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규격">#REF!</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#REF!</definedName>
    <definedName name="그래도모도소" localSheetId="2"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2"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2"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로스업03">#REF!</definedName>
    <definedName name="그로스업04">#REF!</definedName>
    <definedName name="그로스업율03">#REF!</definedName>
    <definedName name="그로스업율04">#REF!</definedName>
    <definedName name="그로스업포함배당소득금액03">#REF!</definedName>
    <definedName name="그로스업포함배당소득금액04">#REF!</definedName>
    <definedName name="그룹경영전략종합" hidden="1">{#N/A,#N/A,FALSE,"손익표지";#N/A,#N/A,FALSE,"손익계산";#N/A,#N/A,FALSE,"일반관리비";#N/A,#N/A,FALSE,"영업외수익";#N/A,#N/A,FALSE,"영업외비용";#N/A,#N/A,FALSE,"매출액";#N/A,#N/A,FALSE,"요약손익";#N/A,#N/A,FALSE,"요약대차";#N/A,#N/A,FALSE,"매출채권현황";#N/A,#N/A,FALSE,"매출채권명세"}</definedName>
    <definedName name="그룹방침"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hidden="1">{#N/A,#N/A,FALSE,"손익표지";#N/A,#N/A,FALSE,"손익계산";#N/A,#N/A,FALSE,"일반관리비";#N/A,#N/A,FALSE,"영업외수익";#N/A,#N/A,FALSE,"영업외비용";#N/A,#N/A,FALSE,"매출액";#N/A,#N/A,FALSE,"요약손익";#N/A,#N/A,FALSE,"요약대차";#N/A,#N/A,FALSE,"매출채권현황";#N/A,#N/A,FALSE,"매출채권명세"}</definedName>
    <definedName name="그리도무지" localSheetId="2"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그림">#REF!</definedName>
    <definedName name="그밀">#REF!</definedName>
    <definedName name="근거1" hidden="1">{#N/A,#N/A,FALSE,"단축1";#N/A,#N/A,FALSE,"단축2";#N/A,#N/A,FALSE,"단축3";#N/A,#N/A,FALSE,"장축";#N/A,#N/A,FALSE,"4WD"}</definedName>
    <definedName name="근거2" localSheetId="2" hidden="1">{#N/A,#N/A,FALSE,"단축1";#N/A,#N/A,FALSE,"단축2";#N/A,#N/A,FALSE,"단축3";#N/A,#N/A,FALSE,"장축";#N/A,#N/A,FALSE,"4WD"}</definedName>
    <definedName name="근거2" hidden="1">{#N/A,#N/A,FALSE,"단축1";#N/A,#N/A,FALSE,"단축2";#N/A,#N/A,FALSE,"단축3";#N/A,#N/A,FALSE,"장축";#N/A,#N/A,FALSE,"4WD"}</definedName>
    <definedName name="근로계약서">#REF!</definedName>
    <definedName name="근로소득간이세액표">#REF!</definedName>
    <definedName name="근소공제2">#REF!</definedName>
    <definedName name="근소공제2001">#REF!</definedName>
    <definedName name="근소공제2002">#REF!</definedName>
    <definedName name="근소공제2003">#REF!</definedName>
    <definedName name="근소공제2004">#REF!</definedName>
    <definedName name="근소공제2005">#REF!</definedName>
    <definedName name="근소공제2006">#REF!</definedName>
    <definedName name="근소공제변경">#REF!</definedName>
    <definedName name="글쎄" localSheetId="2" hidden="1">{#N/A,#N/A,FALSE,"97년 투자계획 세부내역 "}</definedName>
    <definedName name="글쎄" hidden="1">{#N/A,#N/A,FALSE,"97년 투자계획 세부내역 "}</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액" localSheetId="2" hidden="1">{"'Jibu9811 (3)'!$B$1:$J$433"}</definedName>
    <definedName name="금액" hidden="1">{"'Jibu9811 (3)'!$B$1:$J$433"}</definedName>
    <definedName name="금액1">#REF!</definedName>
    <definedName name="금액2">#REF!</definedName>
    <definedName name="금액3">#REF!</definedName>
    <definedName name="금액4">#REF!</definedName>
    <definedName name="금액5">#REF!</definedName>
    <definedName name="금액6">#REF!</definedName>
    <definedName name="금액테이블">#REF!</definedName>
    <definedName name="금월" localSheetId="2" hidden="1">{#N/A,#N/A,TRUE,"Y생산";#N/A,#N/A,TRUE,"Y판매";#N/A,#N/A,TRUE,"Y총물량";#N/A,#N/A,TRUE,"Y능력";#N/A,#N/A,TRUE,"YKD"}</definedName>
    <definedName name="금월" hidden="1">{#N/A,#N/A,TRUE,"Y생산";#N/A,#N/A,TRUE,"Y판매";#N/A,#N/A,TRUE,"Y총물량";#N/A,#N/A,TRUE,"Y능력";#N/A,#N/A,TRUE,"YKD"}</definedName>
    <definedName name="금융기관">#REF!</definedName>
    <definedName name="금융비용최종">BlankMacro1</definedName>
    <definedName name="금융소득계03">#REF!</definedName>
    <definedName name="금융소득계04">#REF!</definedName>
    <definedName name="금융소득비교과세산출세액03">#REF!</definedName>
    <definedName name="금융소득비교과세산출세액04">#REF!</definedName>
    <definedName name="금융소득원천징수세율03">#REF!</definedName>
    <definedName name="금융소득원천징수세율04">#REF!</definedName>
    <definedName name="금융소득종합과세기준03">#REF!</definedName>
    <definedName name="금융소득종합과세기준04">#REF!</definedName>
    <definedName name="금융조회기준년">#REF!,#REF!,#REF!,#REF!</definedName>
    <definedName name="금융조회기준월">#REF!,#REF!,#REF!,#REF!</definedName>
    <definedName name="금융조회기준일">#REF!,#REF!,#REF!,#REF!</definedName>
    <definedName name="금융조회서번호">#REF!,#REF!,#REF!,#REF!,#REF!</definedName>
    <definedName name="금융회사명">#REF!,#REF!</definedName>
    <definedName name="금형" localSheetId="2" hidden="1">{#N/A,#N/A,FALSE,"단축1";#N/A,#N/A,FALSE,"단축2";#N/A,#N/A,FALSE,"단축3";#N/A,#N/A,FALSE,"장축";#N/A,#N/A,FALSE,"4WD"}</definedName>
    <definedName name="금형" hidden="1">{#N/A,#N/A,FALSE,"단축1";#N/A,#N/A,FALSE,"단축2";#N/A,#N/A,FALSE,"단축3";#N/A,#N/A,FALSE,"장축";#N/A,#N/A,FALSE,"4WD"}</definedName>
    <definedName name="금형편성표" localSheetId="2" hidden="1">{#N/A,#N/A,FALSE,"단축1";#N/A,#N/A,FALSE,"단축2";#N/A,#N/A,FALSE,"단축3";#N/A,#N/A,FALSE,"장축";#N/A,#N/A,FALSE,"4WD"}</definedName>
    <definedName name="금형편성표" hidden="1">{#N/A,#N/A,FALSE,"단축1";#N/A,#N/A,FALSE,"단축2";#N/A,#N/A,FALSE,"단축3";#N/A,#N/A,FALSE,"장축";#N/A,#N/A,FALSE,"4WD"}</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식">#REF!</definedName>
    <definedName name="급여" localSheetId="2" hidden="1">{#N/A,#N/A,FALSE,"계약직(여)"}</definedName>
    <definedName name="급여" hidden="1">{#N/A,#N/A,FALSE,"계약직(여)"}</definedName>
    <definedName name="급여Query2">#REF!</definedName>
    <definedName name="급여여부조정">"OFFSET(급여여부조정!$A$3,,,COUNTA(급여여부조정!$A$3:$A$999), COUNTA(급여여부조정!$A$3:$AK$3))"</definedName>
    <definedName name="급여인상안" localSheetId="2" hidden="1">{#N/A,#N/A,FALSE,"계약직(여)"}</definedName>
    <definedName name="급여인상안" hidden="1">{#N/A,#N/A,FALSE,"계약직(여)"}</definedName>
    <definedName name="기" localSheetId="2" hidden="1">{#N/A,#N/A,FALSE,"1.CRITERIA";#N/A,#N/A,FALSE,"2.IS";#N/A,#N/A,FALSE,"3.BS";#N/A,#N/A,FALSE,"4.PER PL";#N/A,#N/A,FALSE,"5.INVESTMENT";#N/A,#N/A,FALSE,"6.공문";#N/A,#N/A,FALSE,"7.netinvest"}</definedName>
    <definedName name="기" hidden="1">{#N/A,#N/A,FALSE,"1.CRITERIA";#N/A,#N/A,FALSE,"2.IS";#N/A,#N/A,FALSE,"3.BS";#N/A,#N/A,FALSE,"4.PER PL";#N/A,#N/A,FALSE,"5.INVESTMENT";#N/A,#N/A,FALSE,"6.공문";#N/A,#N/A,FALSE,"7.netinvest"}</definedName>
    <definedName name="기_01">#REF!,#REF!</definedName>
    <definedName name="기_02">#REF!,#REF!</definedName>
    <definedName name="기_03">#REF!,#REF!</definedName>
    <definedName name="기_04">#REF!,#REF!</definedName>
    <definedName name="기_05">#REF!,#REF!</definedName>
    <definedName name="기_06">#REF!,#REF!</definedName>
    <definedName name="기_07">#REF!,#REF!</definedName>
    <definedName name="기_08">#REF!,#REF!</definedName>
    <definedName name="기_09">#REF!,#REF!</definedName>
    <definedName name="기_10">#REF!,#REF!</definedName>
    <definedName name="기_11">#REF!,#REF!</definedName>
    <definedName name="기_12">#REF!,#REF!</definedName>
    <definedName name="기_13">#REF!,#REF!</definedName>
    <definedName name="기_14">#REF!,#REF!</definedName>
    <definedName name="기_60">#REF!,#REF!</definedName>
    <definedName name="기_총">#REF!,#REF!</definedName>
    <definedName name="기97">#REF!</definedName>
    <definedName name="기972">#REF!</definedName>
    <definedName name="기간">#REF!</definedName>
    <definedName name="기계">#REF!</definedName>
    <definedName name="기계3">BlankMacro1</definedName>
    <definedName name="기계공">#REF!</definedName>
    <definedName name="기계설치공">#REF!</definedName>
    <definedName name="기계장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계장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계장치1">#REF!</definedName>
    <definedName name="기계장치시부인">#REF!</definedName>
    <definedName name="기관명">#REF!</definedName>
    <definedName name="기구감가">#REF!</definedName>
    <definedName name="기기" localSheetId="2" hidden="1">{#N/A,#N/A,FALSE,"UNIT";#N/A,#N/A,FALSE,"UNIT";#N/A,#N/A,FALSE,"계정"}</definedName>
    <definedName name="기기" hidden="1">{#N/A,#N/A,FALSE,"UNIT";#N/A,#N/A,FALSE,"UNIT";#N/A,#N/A,FALSE,"계정"}</definedName>
    <definedName name="기기마" hidden="1">#REF!</definedName>
    <definedName name="기기투자리스트" localSheetId="2" hidden="1">{#N/A,#N/A,FALSE,"UNIT";#N/A,#N/A,FALSE,"UNIT";#N/A,#N/A,FALSE,"계정"}</definedName>
    <definedName name="기기투자리스트" hidden="1">{#N/A,#N/A,FALSE,"UNIT";#N/A,#N/A,FALSE,"UNIT";#N/A,#N/A,FALSE,"계정"}</definedName>
    <definedName name="기능" hidden="1">{#N/A,#N/A,FALSE,"단축1";#N/A,#N/A,FALSE,"단축2";#N/A,#N/A,FALSE,"단축3";#N/A,#N/A,FALSE,"장축";#N/A,#N/A,FALSE,"4WD"}</definedName>
    <definedName name="기능시험" hidden="1">{#N/A,#N/A,FALSE,"단축1";#N/A,#N/A,FALSE,"단축2";#N/A,#N/A,FALSE,"단축3";#N/A,#N/A,FALSE,"장축";#N/A,#N/A,FALSE,"4WD"}</definedName>
    <definedName name="기말">#REF!</definedName>
    <definedName name="기말가입자">#REF!</definedName>
    <definedName name="기말고정부채">#REF!</definedName>
    <definedName name="기말당좌자산">#REF!</definedName>
    <definedName name="기말매출채권">#REF!</definedName>
    <definedName name="기말부채총계">#REF!</definedName>
    <definedName name="기말유동부채">#REF!</definedName>
    <definedName name="기말유동자산">#REF!</definedName>
    <definedName name="기말자기자본">#REF!</definedName>
    <definedName name="기말자산총계">#REF!</definedName>
    <definedName name="기말재고자산">#REF!</definedName>
    <definedName name="기말중점검토" localSheetId="2" hidden="1">{#N/A,#N/A,FALSE,"BS";#N/A,#N/A,FALSE,"PL";#N/A,#N/A,FALSE,"처분";#N/A,#N/A,FALSE,"현금";#N/A,#N/A,FALSE,"매출";#N/A,#N/A,FALSE,"원가";#N/A,#N/A,FALSE,"경영"}</definedName>
    <definedName name="기말중점검토" hidden="1">{#N/A,#N/A,FALSE,"BS";#N/A,#N/A,FALSE,"PL";#N/A,#N/A,FALSE,"처분";#N/A,#N/A,FALSE,"현금";#N/A,#N/A,FALSE,"매출";#N/A,#N/A,FALSE,"원가";#N/A,#N/A,FALSE,"경영"}</definedName>
    <definedName name="기명기">#REF!</definedName>
    <definedName name="기밈남" hidden="1">{#N/A,#N/A,FALSE,"손익표지";#N/A,#N/A,FALSE,"손익계산";#N/A,#N/A,FALSE,"일반관리비";#N/A,#N/A,FALSE,"영업외수익";#N/A,#N/A,FALSE,"영업외비용";#N/A,#N/A,FALSE,"매출액";#N/A,#N/A,FALSE,"요약손익";#N/A,#N/A,FALSE,"요약대차";#N/A,#N/A,FALSE,"매출채권현황";#N/A,#N/A,FALSE,"매출채권명세"}</definedName>
    <definedName name="기본세율">#REF!</definedName>
    <definedName name="기본연봉">#REF!</definedName>
    <definedName name="기부금">#REF!</definedName>
    <definedName name="기설">#REF!</definedName>
    <definedName name="기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_1"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성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분_1" hidden="1">{#N/A,#N/A,FALSE,"손익표지";#N/A,#N/A,FALSE,"손익계산";#N/A,#N/A,FALSE,"일반관리비";#N/A,#N/A,FALSE,"영업외수익";#N/A,#N/A,FALSE,"영업외비용";#N/A,#N/A,FALSE,"매출액";#N/A,#N/A,FALSE,"요약손익";#N/A,#N/A,FALSE,"요약대차";#N/A,#N/A,FALSE,"매출채권현황";#N/A,#N/A,FALSE,"매출채권명세"}</definedName>
    <definedName name="기수">#REF!</definedName>
    <definedName name="기술">#REF!</definedName>
    <definedName name="기술사명단" hidden="1">{"'자격급추가지급자'!$A$1:$M$13"}</definedName>
    <definedName name="기술영업" hidden="1">#REF!</definedName>
    <definedName name="기아" localSheetId="2" hidden="1">{#N/A,#N/A,FALSE,"1.CRITERIA";#N/A,#N/A,FALSE,"2.IS";#N/A,#N/A,FALSE,"3.BS";#N/A,#N/A,FALSE,"4.PER PL";#N/A,#N/A,FALSE,"5.INVESTMENT";#N/A,#N/A,FALSE,"6.공문";#N/A,#N/A,FALSE,"7.netinvest"}</definedName>
    <definedName name="기아" hidden="1">{#N/A,#N/A,FALSE,"1.CRITERIA";#N/A,#N/A,FALSE,"2.IS";#N/A,#N/A,FALSE,"3.BS";#N/A,#N/A,FALSE,"4.PER PL";#N/A,#N/A,FALSE,"5.INVESTMENT";#N/A,#N/A,FALSE,"6.공문";#N/A,#N/A,FALSE,"7.netinvest"}</definedName>
    <definedName name="기아모텍" localSheetId="2" hidden="1">{#N/A,#N/A,FALSE,"정공"}</definedName>
    <definedName name="기아모텍" hidden="1">{#N/A,#N/A,FALSE,"정공"}</definedName>
    <definedName name="기아전자" localSheetId="2" hidden="1">{#N/A,#N/A,FALSE,"정공"}</definedName>
    <definedName name="기아전자" hidden="1">{#N/A,#N/A,FALSE,"정공"}</definedName>
    <definedName name="기아차" localSheetId="2" hidden="1">{#N/A,#N/A,FALSE,"1.CRITERIA";#N/A,#N/A,FALSE,"2.IS";#N/A,#N/A,FALSE,"3.BS";#N/A,#N/A,FALSE,"4.PER PL";#N/A,#N/A,FALSE,"5.INVESTMENT";#N/A,#N/A,FALSE,"6.공문";#N/A,#N/A,FALSE,"7.netinvest"}</definedName>
    <definedName name="기아차" hidden="1">{#N/A,#N/A,FALSE,"1.CRITERIA";#N/A,#N/A,FALSE,"2.IS";#N/A,#N/A,FALSE,"3.BS";#N/A,#N/A,FALSE,"4.PER PL";#N/A,#N/A,FALSE,"5.INVESTMENT";#N/A,#N/A,FALSE,"6.공문";#N/A,#N/A,FALSE,"7.netinvest"}</definedName>
    <definedName name="기안">#REF!</definedName>
    <definedName name="기안갑">#REF!</definedName>
    <definedName name="기안서">#REF!</definedName>
    <definedName name="기안을">#REF!</definedName>
    <definedName name="기안일자">#REF!</definedName>
    <definedName name="기안평택">#REF!</definedName>
    <definedName name="기업자유_5103">#REF!</definedName>
    <definedName name="기업투자">#REF!</definedName>
    <definedName name="기존" localSheetId="2" hidden="1">{#N/A,#N/A,FALSE,"UNIT";#N/A,#N/A,FALSE,"UNIT";#N/A,#N/A,FALSE,"계정"}</definedName>
    <definedName name="기존" hidden="1">{#N/A,#N/A,FALSE,"UNIT";#N/A,#N/A,FALSE,"UNIT";#N/A,#N/A,FALSE,"계정"}</definedName>
    <definedName name="기존_서비스_제공_지역">#REF!</definedName>
    <definedName name="기존안비교" hidden="1">{#N/A,#N/A,FALSE,"단축1";#N/A,#N/A,FALSE,"단축2";#N/A,#N/A,FALSE,"단축3";#N/A,#N/A,FALSE,"장축";#N/A,#N/A,FALSE,"4WD"}</definedName>
    <definedName name="기준">#REF!</definedName>
    <definedName name="기준일">#REF!</definedName>
    <definedName name="기준점">#REF!</definedName>
    <definedName name="기준정보">#REF!</definedName>
    <definedName name="기준정보1">#REF!</definedName>
    <definedName name="기지국">#REF!</definedName>
    <definedName name="기지국명">#REF!</definedName>
    <definedName name="기지미정산2000">#REF!</definedName>
    <definedName name="기지정산2000">#REF!</definedName>
    <definedName name="기지투자2000">#REF!</definedName>
    <definedName name="기초">#REF!</definedName>
    <definedName name="기초단가">#REF!</definedName>
    <definedName name="기초단가1">#REF!</definedName>
    <definedName name="기초매출채권">#REF!</definedName>
    <definedName name="기초자기자본">#REF!</definedName>
    <definedName name="기초자산총계">#REF!</definedName>
    <definedName name="기초재고자산">#REF!</definedName>
    <definedName name="기층t">#REF!</definedName>
    <definedName name="기타" hidden="1">{#N/A,#N/A,FALSE,"Sheet1"}</definedName>
    <definedName name="기타경비">#REF!</definedName>
    <definedName name="기타경비율">#REF!</definedName>
    <definedName name="기타미정산2000">#REF!</definedName>
    <definedName name="기타유동부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유동부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자산_종업원채권_Y_List">#REF!</definedName>
    <definedName name="기타정산2000">#REF!</definedName>
    <definedName name="기타차입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투자2000">#REF!</definedName>
    <definedName name="기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기획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획_1" hidden="1">{#N/A,#N/A,FALSE,"손익표지";#N/A,#N/A,FALSE,"손익계산";#N/A,#N/A,FALSE,"일반관리비";#N/A,#N/A,FALSE,"영업외수익";#N/A,#N/A,FALSE,"영업외비용";#N/A,#N/A,FALSE,"매출액";#N/A,#N/A,FALSE,"요약손익";#N/A,#N/A,FALSE,"요약대차";#N/A,#N/A,FALSE,"매출채권현황";#N/A,#N/A,FALSE,"매출채권명세"}</definedName>
    <definedName name="기획채권">#REF!</definedName>
    <definedName name="기흥미완성주택">#REF!</definedName>
    <definedName name="기흥분양원가">#REF!</definedName>
    <definedName name="기흥상가">#REF!</definedName>
    <definedName name="기흥아파트">#REF!</definedName>
    <definedName name="길이">#REF!</definedName>
    <definedName name="김" localSheetId="2" hidden="1">{#N/A,#N/A,FALSE,"Aging Summary";#N/A,#N/A,FALSE,"Ratio Analysis";#N/A,#N/A,FALSE,"Test 120 Day Accts";#N/A,#N/A,FALSE,"Tickmarks"}</definedName>
    <definedName name="김" hidden="1">{#N/A,#N/A,FALSE,"Aging Summary";#N/A,#N/A,FALSE,"Ratio Analysis";#N/A,#N/A,FALSE,"Test 120 Day Accts";#N/A,#N/A,FALSE,"Tickmarks"}</definedName>
    <definedName name="김_1" localSheetId="2" hidden="1">{#N/A,#N/A,FALSE,"Aging Summary";#N/A,#N/A,FALSE,"Ratio Analysis";#N/A,#N/A,FALSE,"Test 120 Day Accts";#N/A,#N/A,FALSE,"Tickmarks"}</definedName>
    <definedName name="김_1" hidden="1">{#N/A,#N/A,FALSE,"Aging Summary";#N/A,#N/A,FALSE,"Ratio Analysis";#N/A,#N/A,FALSE,"Test 120 Day Accts";#N/A,#N/A,FALSE,"Tickmarks"}</definedName>
    <definedName name="김기백" hidden="1">{"'Price List '!$A$1:$R$156"}</definedName>
    <definedName name="김김김" hidden="1">{#N/A,#N/A,FALSE,"손익표지";#N/A,#N/A,FALSE,"손익계산";#N/A,#N/A,FALSE,"일반관리비";#N/A,#N/A,FALSE,"영업외수익";#N/A,#N/A,FALSE,"영업외비용";#N/A,#N/A,FALSE,"매출액";#N/A,#N/A,FALSE,"요약손익";#N/A,#N/A,FALSE,"요약대차";#N/A,#N/A,FALSE,"매출채권현황";#N/A,#N/A,FALSE,"매출채권명세"}</definedName>
    <definedName name="김대업" localSheetId="2" hidden="1">{#N/A,#N/A,FALSE,"기술료 비교"}</definedName>
    <definedName name="김대업" hidden="1">{#N/A,#N/A,FALSE,"기술료 비교"}</definedName>
    <definedName name="김덕연" localSheetId="2" hidden="1">{"'Jibu9811 (3)'!$B$1:$J$433"}</definedName>
    <definedName name="김덕연" hidden="1">{"'Jibu9811 (3)'!$B$1:$J$433"}</definedName>
    <definedName name="김도윤" hidden="1">{#N/A,#N/A,TRUE,"Y생산";#N/A,#N/A,TRUE,"Y판매";#N/A,#N/A,TRUE,"Y총물량";#N/A,#N/A,TRUE,"Y능력";#N/A,#N/A,TRUE,"YKD"}</definedName>
    <definedName name="김동욱" hidden="1">{"'Price List '!$A$1:$R$156"}</definedName>
    <definedName name="김베" hidden="1">{#N/A,#N/A,FALSE,"단축1";#N/A,#N/A,FALSE,"단축2";#N/A,#N/A,FALSE,"단축3";#N/A,#N/A,FALSE,"장축";#N/A,#N/A,FALSE,"4WD"}</definedName>
    <definedName name="김석빈" hidden="1">{#N/A,#N/A,FALSE,"단축1";#N/A,#N/A,FALSE,"단축2";#N/A,#N/A,FALSE,"단축3";#N/A,#N/A,FALSE,"장축";#N/A,#N/A,FALSE,"4WD"}</definedName>
    <definedName name="김선" hidden="1">{#N/A,#N/A,FALSE,"손익표지";#N/A,#N/A,FALSE,"손익계산";#N/A,#N/A,FALSE,"일반관리비";#N/A,#N/A,FALSE,"영업외수익";#N/A,#N/A,FALSE,"영업외비용";#N/A,#N/A,FALSE,"매출액";#N/A,#N/A,FALSE,"요약손익";#N/A,#N/A,FALSE,"요약대차";#N/A,#N/A,FALSE,"매출채권현황";#N/A,#N/A,FALSE,"매출채권명세"}</definedName>
    <definedName name="김성현" hidden="1">{"'Price List '!$A$1:$R$156"}</definedName>
    <definedName name="김심선">#N/A</definedName>
    <definedName name="김아여어엉" hidden="1">{#N/A,#N/A,FALSE,"손익표지";#N/A,#N/A,FALSE,"손익계산";#N/A,#N/A,FALSE,"일반관리비";#N/A,#N/A,FALSE,"영업외수익";#N/A,#N/A,FALSE,"영업외비용";#N/A,#N/A,FALSE,"매출액";#N/A,#N/A,FALSE,"요약손익";#N/A,#N/A,FALSE,"요약대차";#N/A,#N/A,FALSE,"매출채권현황";#N/A,#N/A,FALSE,"매출채권명세"}</definedName>
    <definedName name="김영선" hidden="1">{#N/A,#N/A,FALSE,"손익표지";#N/A,#N/A,FALSE,"손익계산";#N/A,#N/A,FALSE,"일반관리비";#N/A,#N/A,FALSE,"영업외수익";#N/A,#N/A,FALSE,"영업외비용";#N/A,#N/A,FALSE,"매출액";#N/A,#N/A,FALSE,"요약손익";#N/A,#N/A,FALSE,"요약대차";#N/A,#N/A,FALSE,"매출채권현황";#N/A,#N/A,FALSE,"매출채권명세"}</definedName>
    <definedName name="김영선1" hidden="1">{#N/A,#N/A,FALSE,"손익표지";#N/A,#N/A,FALSE,"손익계산";#N/A,#N/A,FALSE,"일반관리비";#N/A,#N/A,FALSE,"영업외수익";#N/A,#N/A,FALSE,"영업외비용";#N/A,#N/A,FALSE,"매출액";#N/A,#N/A,FALSE,"요약손익";#N/A,#N/A,FALSE,"요약대차";#N/A,#N/A,FALSE,"매출채권현황";#N/A,#N/A,FALSE,"매출채권명세"}</definedName>
    <definedName name="김영선21"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영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철_1" hidden="1">{#N/A,#N/A,FALSE,"손익표지";#N/A,#N/A,FALSE,"손익계산";#N/A,#N/A,FALSE,"일반관리비";#N/A,#N/A,FALSE,"영업외수익";#N/A,#N/A,FALSE,"영업외비용";#N/A,#N/A,FALSE,"매출액";#N/A,#N/A,FALSE,"요약손익";#N/A,#N/A,FALSE,"요약대차";#N/A,#N/A,FALSE,"매출채권현황";#N/A,#N/A,FALSE,"매출채권명세"}</definedName>
    <definedName name="김의진">#REF!</definedName>
    <definedName name="김종묵" localSheetId="2" hidden="1">{#N/A,#N/A,FALSE,"기술료 비교"}</definedName>
    <definedName name="김종묵" hidden="1">{#N/A,#N/A,FALSE,"기술료 비교"}</definedName>
    <definedName name="김종범">#REF!</definedName>
    <definedName name="김종삼" hidden="1">{"'Price List '!$A$1:$R$156"}</definedName>
    <definedName name="김종성">BlankMacro1</definedName>
    <definedName name="김종진">#REF!</definedName>
    <definedName name="김중" hidden="1">{#N/A,#N/A,FALSE,"손익표지";#N/A,#N/A,FALSE,"손익계산";#N/A,#N/A,FALSE,"일반관리비";#N/A,#N/A,FALSE,"영업외수익";#N/A,#N/A,FALSE,"영업외비용";#N/A,#N/A,FALSE,"매출액";#N/A,#N/A,FALSE,"요약손익";#N/A,#N/A,FALSE,"요약대차";#N/A,#N/A,FALSE,"매출채권현황";#N/A,#N/A,FALSE,"매출채권명세"}</definedName>
    <definedName name="김중선" hidden="1">{#N/A,#N/A,FALSE,"손익표지";#N/A,#N/A,FALSE,"손익계산";#N/A,#N/A,FALSE,"일반관리비";#N/A,#N/A,FALSE,"영업외수익";#N/A,#N/A,FALSE,"영업외비용";#N/A,#N/A,FALSE,"매출액";#N/A,#N/A,FALSE,"요약손익";#N/A,#N/A,FALSE,"요약대차";#N/A,#N/A,FALSE,"매출채권현황";#N/A,#N/A,FALSE,"매출채권명세"}</definedName>
    <definedName name="김천사업장" localSheetId="2" hidden="1">{"'Jibu9811 (3)'!$B$1:$J$433"}</definedName>
    <definedName name="김천사업장" hidden="1">{"'Jibu9811 (3)'!$B$1:$J$433"}</definedName>
    <definedName name="김하얀">#REF!</definedName>
    <definedName name="김형준" hidden="1">{#N/A,#N/A,FALSE,"손익표지";#N/A,#N/A,FALSE,"손익계산";#N/A,#N/A,FALSE,"일반관리비";#N/A,#N/A,FALSE,"영업외수익";#N/A,#N/A,FALSE,"영업외비용";#N/A,#N/A,FALSE,"매출액";#N/A,#N/A,FALSE,"요약손익";#N/A,#N/A,FALSE,"요약대차";#N/A,#N/A,FALSE,"매출채권현황";#N/A,#N/A,FALSE,"매출채권명세"}</definedName>
    <definedName name="꼬에랑스" localSheetId="2" hidden="1">{"'Jibu9811 (3)'!$B$1:$J$433"}</definedName>
    <definedName name="꼬에랑스" hidden="1">{"'Jibu9811 (3)'!$B$1:$J$433"}</definedName>
    <definedName name="꽃창포">#REF!</definedName>
    <definedName name="꽃향유">#REF!</definedName>
    <definedName name="ㄳㄱㄴ">#N/A</definedName>
    <definedName name="ㄳㄳㄳㄳ" hidden="1">{"'용역비'!$A$4:$C$8"}</definedName>
    <definedName name="ㄳㄳㅅㄱ" hidden="1">{#N/A,#N/A,FALSE,"단축1";#N/A,#N/A,FALSE,"단축2";#N/A,#N/A,FALSE,"단축3";#N/A,#N/A,FALSE,"장축";#N/A,#N/A,FALSE,"4WD"}</definedName>
    <definedName name="ㄳㄳㅅㄷㅅ" localSheetId="2" hidden="1">{#N/A,#N/A,FALSE,"BS";#N/A,#N/A,FALSE,"PL";#N/A,#N/A,FALSE,"A";#N/A,#N/A,FALSE,"B";#N/A,#N/A,FALSE,"B1";#N/A,#N/A,FALSE,"C";#N/A,#N/A,FALSE,"C1";#N/A,#N/A,FALSE,"C2";#N/A,#N/A,FALSE,"D";#N/A,#N/A,FALSE,"E";#N/A,#N/A,FALSE,"F";#N/A,#N/A,FALSE,"AA";#N/A,#N/A,FALSE,"BB";#N/A,#N/A,FALSE,"CC";#N/A,#N/A,FALSE,"DD";#N/A,#N/A,FALSE,"EE";#N/A,#N/A,FALSE,"FF";#N/A,#N/A,FALSE,"PL10";#N/A,#N/A,FALSE,"PL20";#N/A,#N/A,FALSE,"PL30"}</definedName>
    <definedName name="ㄳㄳㅅㄷㅅ" hidden="1">{#N/A,#N/A,FALSE,"BS";#N/A,#N/A,FALSE,"PL";#N/A,#N/A,FALSE,"A";#N/A,#N/A,FALSE,"B";#N/A,#N/A,FALSE,"B1";#N/A,#N/A,FALSE,"C";#N/A,#N/A,FALSE,"C1";#N/A,#N/A,FALSE,"C2";#N/A,#N/A,FALSE,"D";#N/A,#N/A,FALSE,"E";#N/A,#N/A,FALSE,"F";#N/A,#N/A,FALSE,"AA";#N/A,#N/A,FALSE,"BB";#N/A,#N/A,FALSE,"CC";#N/A,#N/A,FALSE,"DD";#N/A,#N/A,FALSE,"EE";#N/A,#N/A,FALSE,"FF";#N/A,#N/A,FALSE,"PL10";#N/A,#N/A,FALSE,"PL20";#N/A,#N/A,FALSE,"PL30"}</definedName>
    <definedName name="ㄳㄳㅅㄷㅅ_1" localSheetId="2" hidden="1">{#N/A,#N/A,FALSE,"BS";#N/A,#N/A,FALSE,"PL";#N/A,#N/A,FALSE,"A";#N/A,#N/A,FALSE,"B";#N/A,#N/A,FALSE,"B1";#N/A,#N/A,FALSE,"C";#N/A,#N/A,FALSE,"C1";#N/A,#N/A,FALSE,"C2";#N/A,#N/A,FALSE,"D";#N/A,#N/A,FALSE,"E";#N/A,#N/A,FALSE,"F";#N/A,#N/A,FALSE,"AA";#N/A,#N/A,FALSE,"BB";#N/A,#N/A,FALSE,"CC";#N/A,#N/A,FALSE,"DD";#N/A,#N/A,FALSE,"EE";#N/A,#N/A,FALSE,"FF";#N/A,#N/A,FALSE,"PL10";#N/A,#N/A,FALSE,"PL20";#N/A,#N/A,FALSE,"PL30"}</definedName>
    <definedName name="ㄳㄳㅅㄷㅅ_1" hidden="1">{#N/A,#N/A,FALSE,"BS";#N/A,#N/A,FALSE,"PL";#N/A,#N/A,FALSE,"A";#N/A,#N/A,FALSE,"B";#N/A,#N/A,FALSE,"B1";#N/A,#N/A,FALSE,"C";#N/A,#N/A,FALSE,"C1";#N/A,#N/A,FALSE,"C2";#N/A,#N/A,FALSE,"D";#N/A,#N/A,FALSE,"E";#N/A,#N/A,FALSE,"F";#N/A,#N/A,FALSE,"AA";#N/A,#N/A,FALSE,"BB";#N/A,#N/A,FALSE,"CC";#N/A,#N/A,FALSE,"DD";#N/A,#N/A,FALSE,"EE";#N/A,#N/A,FALSE,"FF";#N/A,#N/A,FALSE,"PL10";#N/A,#N/A,FALSE,"PL20";#N/A,#N/A,FALSE,"PL30"}</definedName>
    <definedName name="ㄳㄷ" hidden="1">{#N/A,#N/A,FALSE,"Sheet6"}</definedName>
    <definedName name="ㄳㅁㄴ" hidden="1">{#N/A,#N/A,FALSE,"단축1";#N/A,#N/A,FALSE,"단축2";#N/A,#N/A,FALSE,"단축3";#N/A,#N/A,FALSE,"장축";#N/A,#N/A,FALSE,"4WD"}</definedName>
    <definedName name="ㄴ">#REF!</definedName>
    <definedName name="ㄴ222" hidden="1">{#N/A,#N/A,FALSE,"손익표지";#N/A,#N/A,FALSE,"손익계산";#N/A,#N/A,FALSE,"일반관리비";#N/A,#N/A,FALSE,"영업외수익";#N/A,#N/A,FALSE,"영업외비용";#N/A,#N/A,FALSE,"매출액";#N/A,#N/A,FALSE,"요약손익";#N/A,#N/A,FALSE,"요약대차";#N/A,#N/A,FALSE,"매출채권현황";#N/A,#N/A,FALSE,"매출채권명세"}</definedName>
    <definedName name="ㄴㄱ속ㄴ">#N/A</definedName>
    <definedName name="ㄴ거ㅜ">#N/A</definedName>
    <definedName name="ㄴ곡노">#N/A</definedName>
    <definedName name="ㄴ곤ㄱㅁ">#N/A</definedName>
    <definedName name="ㄴ곧ㄴ">#N/A</definedName>
    <definedName name="ㄴ곳ㄱ노">#N/A</definedName>
    <definedName name="ㄴ굔ㄱ">#N/A</definedName>
    <definedName name="ㄴㄴ" localSheetId="2" hidden="1">{#N/A,#N/A,FALSE,"Sheet1";#N/A,#N/A,FALSE,"기평9607"}</definedName>
    <definedName name="ㄴㄴ" hidden="1">{#N/A,#N/A,FALSE,"Sheet1";#N/A,#N/A,FALSE,"기평9607"}</definedName>
    <definedName name="ㄴㄴ_1" localSheetId="2" hidden="1">{#N/A,#N/A,FALSE,"Sheet1";#N/A,#N/A,FALSE,"기평9607"}</definedName>
    <definedName name="ㄴㄴ_1" hidden="1">{#N/A,#N/A,FALSE,"Sheet1";#N/A,#N/A,FALSE,"기평9607"}</definedName>
    <definedName name="ㄴㄴㄴ" localSheetId="2" hidden="1">{"'손익현황'!$A$1:$J$29"}</definedName>
    <definedName name="ㄴㄴㄴ" hidden="1">{"'손익현황'!$A$1:$J$29"}</definedName>
    <definedName name="ㄴㄴㄴ_1" localSheetId="2" hidden="1">{"'손익현황'!$A$1:$J$29"}</definedName>
    <definedName name="ㄴㄴㄴ_1" hidden="1">{"'손익현황'!$A$1:$J$29"}</definedName>
    <definedName name="ㄴㄴㄴㄴ" localSheetId="2" hidden="1">{#N/A,#N/A,FALSE,"UNIT";#N/A,#N/A,FALSE,"UNIT";#N/A,#N/A,FALSE,"계정"}</definedName>
    <definedName name="ㄴㄴㄴㄴ" hidden="1">{#N/A,#N/A,FALSE,"UNIT";#N/A,#N/A,FALSE,"UNIT";#N/A,#N/A,FALSE,"계정"}</definedName>
    <definedName name="ㄴㄴㄴㄴㄴㄴ" hidden="1">{#N/A,#N/A,FALSE,"손익표지";#N/A,#N/A,FALSE,"손익계산";#N/A,#N/A,FALSE,"일반관리비";#N/A,#N/A,FALSE,"영업외수익";#N/A,#N/A,FALSE,"영업외비용";#N/A,#N/A,FALSE,"매출액";#N/A,#N/A,FALSE,"요약손익";#N/A,#N/A,FALSE,"요약대차";#N/A,#N/A,FALSE,"매출채권현황";#N/A,#N/A,FALSE,"매출채권명세"}</definedName>
    <definedName name="ㄴ니" hidden="1">{#N/A,#N/A,FALSE,"손익표지";#N/A,#N/A,FALSE,"손익계산";#N/A,#N/A,FALSE,"일반관리비";#N/A,#N/A,FALSE,"영업외수익";#N/A,#N/A,FALSE,"영업외비용";#N/A,#N/A,FALSE,"매출액";#N/A,#N/A,FALSE,"요약손익";#N/A,#N/A,FALSE,"요약대차";#N/A,#N/A,FALSE,"매출채권현황";#N/A,#N/A,FALSE,"매출채권명세"}</definedName>
    <definedName name="ㄴㄷㄱㅈ" hidden="1">{#N/A,#N/A,FALSE,"Sheet6"}</definedName>
    <definedName name="ㄴㄷ더" hidden="1">{#N/A,#N/A,FALSE,"단축1";#N/A,#N/A,FALSE,"단축2";#N/A,#N/A,FALSE,"단축3";#N/A,#N/A,FALSE,"장축";#N/A,#N/A,FALSE,"4WD"}</definedName>
    <definedName name="ㄴㄹ">#REF!</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롸ㅣ러ㅏㅣㅁ러ㅣ" localSheetId="2" hidden="1">{"'Jibu9811 (3)'!$B$1:$J$433"}</definedName>
    <definedName name="ㄴ롸ㅣ러ㅏㅣㅁ러ㅣ" hidden="1">{"'Jibu9811 (3)'!$B$1:$J$433"}</definedName>
    <definedName name="ㄴ린" hidden="1">{#N/A,#N/A,FALSE,"손익표지";#N/A,#N/A,FALSE,"손익계산";#N/A,#N/A,FALSE,"일반관리비";#N/A,#N/A,FALSE,"영업외수익";#N/A,#N/A,FALSE,"영업외비용";#N/A,#N/A,FALSE,"매출액";#N/A,#N/A,FALSE,"요약손익";#N/A,#N/A,FALSE,"요약대차";#N/A,#N/A,FALSE,"매출채권현황";#N/A,#N/A,FALSE,"매출채권명세"}</definedName>
    <definedName name="ㄴㅁㄱ">BlankMacro1</definedName>
    <definedName name="ㄴㅅㄱㅓ" hidden="1">#REF!</definedName>
    <definedName name="ㄴㅇ"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ㄴ" hidden="1">{#N/A,#N/A,FALSE,"단축1";#N/A,#N/A,FALSE,"단축2";#N/A,#N/A,FALSE,"단축3";#N/A,#N/A,FALSE,"장축";#N/A,#N/A,FALSE,"4WD"}</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ㅀㄹㅇㅎㅇㅀㅎ" hidden="1">{#N/A,#N/A,FALSE,"단축1";#N/A,#N/A,FALSE,"단축2";#N/A,#N/A,FALSE,"단축3";#N/A,#N/A,FALSE,"장축";#N/A,#N/A,FALSE,"4WD"}</definedName>
    <definedName name="ㄴㅇㄹ" localSheetId="2" hidden="1">{#N/A,#N/A,FALSE,"UNIT";#N/A,#N/A,FALSE,"UNIT";#N/A,#N/A,FALSE,"계정"}</definedName>
    <definedName name="ㄴㅇㄹ" hidden="1">{#N/A,#N/A,FALSE,"UNIT";#N/A,#N/A,FALSE,"UNIT";#N/A,#N/A,FALSE,"계정"}</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ㄹㅇㄴ" hidden="1">#REF!</definedName>
    <definedName name="ㄴㅇ라" localSheetId="2" hidden="1">{#N/A,#N/A,FALSE,"계약직(여)"}</definedName>
    <definedName name="ㄴㅇ라" hidden="1">{#N/A,#N/A,FALSE,"계약직(여)"}</definedName>
    <definedName name="ㄴㅇㄻ">#REF!</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ㄴㅇㅀ" hidden="1">#REF!</definedName>
    <definedName name="ㄴㅇㅀㅁㅇㅎㄴㅇㅁㅀㅇㅀㄴㅇㅀ" hidden="1">{#N/A,#N/A,FALSE,"정공"}</definedName>
    <definedName name="ㄴㅇㅁ" localSheetId="2" hidden="1">{"'Jibu9811 (3)'!$B$1:$J$433"}</definedName>
    <definedName name="ㄴㅇㅁ" hidden="1">{"'Jibu9811 (3)'!$B$1:$J$433"}</definedName>
    <definedName name="ㄴㅇㅇ" localSheetId="2" hidden="1">{#N/A,#N/A,TRUE,"일정"}</definedName>
    <definedName name="ㄴㅇㅇ" hidden="1">{#N/A,#N/A,TRUE,"일정"}</definedName>
    <definedName name="ㄴㅇㅇㄴㄹ" localSheetId="2" hidden="1">{#N/A,#N/A,FALSE,"BS";#N/A,#N/A,FALSE,"PL";#N/A,#N/A,FALSE,"처분";#N/A,#N/A,FALSE,"현금";#N/A,#N/A,FALSE,"매출";#N/A,#N/A,FALSE,"원가";#N/A,#N/A,FALSE,"경영"}</definedName>
    <definedName name="ㄴㅇㅇㄴㄹ" hidden="1">{#N/A,#N/A,FALSE,"BS";#N/A,#N/A,FALSE,"PL";#N/A,#N/A,FALSE,"처분";#N/A,#N/A,FALSE,"현금";#N/A,#N/A,FALSE,"매출";#N/A,#N/A,FALSE,"원가";#N/A,#N/A,FALSE,"경영"}</definedName>
    <definedName name="ㄴㅇㅇㄴㄹ_1" localSheetId="2" hidden="1">{#N/A,#N/A,FALSE,"BS";#N/A,#N/A,FALSE,"PL";#N/A,#N/A,FALSE,"처분";#N/A,#N/A,FALSE,"현금";#N/A,#N/A,FALSE,"매출";#N/A,#N/A,FALSE,"원가";#N/A,#N/A,FALSE,"경영"}</definedName>
    <definedName name="ㄴㅇㅇㄴㄹ_1" hidden="1">{#N/A,#N/A,FALSE,"BS";#N/A,#N/A,FALSE,"PL";#N/A,#N/A,FALSE,"처분";#N/A,#N/A,FALSE,"현금";#N/A,#N/A,FALSE,"매출";#N/A,#N/A,FALSE,"원가";#N/A,#N/A,FALSE,"경영"}</definedName>
    <definedName name="ㄴㅇ텃">#N/A</definedName>
    <definedName name="ㄴㅇㅎㄴㄹㅇ" hidden="1">#REF!</definedName>
    <definedName name="ㄴ와ㅣㅎㄴㅇ허ㅣ" localSheetId="2" hidden="1">{"'Jibu9811 (3)'!$B$1:$J$433"}</definedName>
    <definedName name="ㄴ와ㅣㅎㄴㅇ허ㅣ" hidden="1">{"'Jibu9811 (3)'!$B$1:$J$433"}</definedName>
    <definedName name="ㄴㅊㅁㅊㄴㅌ" hidden="1">{#N/A,#N/A,FALSE,"손익표지";#N/A,#N/A,FALSE,"손익계산";#N/A,#N/A,FALSE,"일반관리비";#N/A,#N/A,FALSE,"영업외수익";#N/A,#N/A,FALSE,"영업외비용";#N/A,#N/A,FALSE,"매출액";#N/A,#N/A,FALSE,"요약손익";#N/A,#N/A,FALSE,"요약대차";#N/A,#N/A,FALSE,"매출채권현황";#N/A,#N/A,FALSE,"매출채권명세"}</definedName>
    <definedName name="ㄴㅋ" hidden="1">{#N/A,#N/A,FALSE,"단축1";#N/A,#N/A,FALSE,"단축2";#N/A,#N/A,FALSE,"단축3";#N/A,#N/A,FALSE,"장축";#N/A,#N/A,FALSE,"4WD"}</definedName>
    <definedName name="나" localSheetId="2" hidden="1">{#N/A,#N/A,FALSE,"1.CRITERIA";#N/A,#N/A,FALSE,"2.IS";#N/A,#N/A,FALSE,"3.BS";#N/A,#N/A,FALSE,"4.PER PL";#N/A,#N/A,FALSE,"5.INVESTMENT";#N/A,#N/A,FALSE,"6.공문";#N/A,#N/A,FALSE,"7.netinvest"}</definedName>
    <definedName name="나" hidden="1">{#N/A,#N/A,FALSE,"1.CRITERIA";#N/A,#N/A,FALSE,"2.IS";#N/A,#N/A,FALSE,"3.BS";#N/A,#N/A,FALSE,"4.PER PL";#N/A,#N/A,FALSE,"5.INVESTMENT";#N/A,#N/A,FALSE,"6.공문";#N/A,#N/A,FALSE,"7.netinvest"}</definedName>
    <definedName name="나.">#REF!</definedName>
    <definedName name="나1" hidden="1">{#N/A,#N/A,TRUE,"경전'96(1)";#N/A,#N/A,TRUE,"경전'96 (2)"}</definedName>
    <definedName name="나나" hidden="1">{#N/A,#N/A,FALSE,"손익표지";#N/A,#N/A,FALSE,"손익계산";#N/A,#N/A,FALSE,"일반관리비";#N/A,#N/A,FALSE,"영업외수익";#N/A,#N/A,FALSE,"영업외비용";#N/A,#N/A,FALSE,"매출액";#N/A,#N/A,FALSE,"요약손익";#N/A,#N/A,FALSE,"요약대차";#N/A,#N/A,FALSE,"매출채권현황";#N/A,#N/A,FALSE,"매출채권명세"}</definedName>
    <definedName name="나나나" localSheetId="2" hidden="1">{"'미착금액'!$A$4:$G$14"}</definedName>
    <definedName name="나나나" hidden="1">{"'미착금액'!$A$4:$G$14"}</definedName>
    <definedName name="나다라" localSheetId="2" hidden="1">{#N/A,#N/A,FALSE,"1.CRITERIA";#N/A,#N/A,FALSE,"2.IS";#N/A,#N/A,FALSE,"3.BS";#N/A,#N/A,FALSE,"4.PER PL";#N/A,#N/A,FALSE,"5.INVESTMENT";#N/A,#N/A,FALSE,"6.공문";#N/A,#N/A,FALSE,"7.netinvest"}</definedName>
    <definedName name="나다라" hidden="1">{#N/A,#N/A,FALSE,"1.CRITERIA";#N/A,#N/A,FALSE,"2.IS";#N/A,#N/A,FALSE,"3.BS";#N/A,#N/A,FALSE,"4.PER PL";#N/A,#N/A,FALSE,"5.INVESTMENT";#N/A,#N/A,FALSE,"6.공문";#N/A,#N/A,FALSE,"7.netinvest"}</definedName>
    <definedName name="나두" localSheetId="2" hidden="1">{#N/A,#N/A,FALSE,"초중조사서식 "}</definedName>
    <definedName name="나두" hidden="1">{#N/A,#N/A,FALSE,"초중조사서식 "}</definedName>
    <definedName name="나라" localSheetId="2"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나라사랑" hidden="1">{#N/A,#N/A,FALSE,"정공"}</definedName>
    <definedName name="나리" localSheetId="2" hidden="1">{#N/A,#N/A,FALSE,"P.C.B"}</definedName>
    <definedName name="나리" hidden="1">{#N/A,#N/A,FALSE,"P.C.B"}</definedName>
    <definedName name="나리2" localSheetId="2" hidden="1">{#N/A,#N/A,FALSE,"P.C.B"}</definedName>
    <definedName name="나리2" hidden="1">{#N/A,#N/A,FALSE,"P.C.B"}</definedName>
    <definedName name="나무라오" hidden="1">{#N/A,#N/A,FALSE,"정공"}</definedName>
    <definedName name="나의사랑" hidden="1">{#N/A,#N/A,FALSE,"단축1";#N/A,#N/A,FALSE,"단축2";#N/A,#N/A,FALSE,"단축3";#N/A,#N/A,FALSE,"장축";#N/A,#N/A,FALSE,"4WD"}</definedName>
    <definedName name="나ㅏㅇ" hidden="1">#REF!</definedName>
    <definedName name="나ㅣㄴ" hidden="1">{#N/A,#N/A,FALSE,"손익표지";#N/A,#N/A,FALSE,"손익계산";#N/A,#N/A,FALSE,"일반관리비";#N/A,#N/A,FALSE,"영업외수익";#N/A,#N/A,FALSE,"영업외비용";#N/A,#N/A,FALSE,"매출액";#N/A,#N/A,FALSE,"요약손익";#N/A,#N/A,FALSE,"요약대차";#N/A,#N/A,FALSE,"매출채권현황";#N/A,#N/A,FALSE,"매출채권명세"}</definedName>
    <definedName name="나ㅣ니" hidden="1">{#N/A,#N/A,FALSE,"손익표지";#N/A,#N/A,FALSE,"손익계산";#N/A,#N/A,FALSE,"일반관리비";#N/A,#N/A,FALSE,"영업외수익";#N/A,#N/A,FALSE,"영업외비용";#N/A,#N/A,FALSE,"매출액";#N/A,#N/A,FALSE,"요약손익";#N/A,#N/A,FALSE,"요약대차";#N/A,#N/A,FALSE,"매출채권현황";#N/A,#N/A,FALSE,"매출채권명세"}</definedName>
    <definedName name="낙찰가">#REF!</definedName>
    <definedName name="낙찰율">#REF!</definedName>
    <definedName name="남PICO">#REF!</definedName>
    <definedName name="남덕">BlankMacro1</definedName>
    <definedName name="남덕1">BlankMacro1</definedName>
    <definedName name="남의나라" hidden="1">{#N/A,#N/A,FALSE,"정공"}</definedName>
    <definedName name="내" localSheetId="2" hidden="1">{#N/A,#N/A,FALSE,"1.CRITERIA";#N/A,#N/A,FALSE,"2.IS";#N/A,#N/A,FALSE,"3.BS";#N/A,#N/A,FALSE,"4.PER PL";#N/A,#N/A,FALSE,"5.INVESTMENT";#N/A,#N/A,FALSE,"6.공문";#N/A,#N/A,FALSE,"7.netinvest"}</definedName>
    <definedName name="내" hidden="1">{#N/A,#N/A,FALSE,"1.CRITERIA";#N/A,#N/A,FALSE,"2.IS";#N/A,#N/A,FALSE,"3.BS";#N/A,#N/A,FALSE,"4.PER PL";#N/A,#N/A,FALSE,"5.INVESTMENT";#N/A,#N/A,FALSE,"6.공문";#N/A,#N/A,FALSE,"7.netinvest"}</definedName>
    <definedName name="내공H">#REF!</definedName>
    <definedName name="내공V">#REF!</definedName>
    <definedName name="내공넓이">#REF!</definedName>
    <definedName name="내공높이">#REF!</definedName>
    <definedName name="내맘">#REF!</definedName>
    <definedName name="내벽">#REF!</definedName>
    <definedName name="내선">53401</definedName>
    <definedName name="내선전공">#N/A</definedName>
    <definedName name="내역" hidden="1">#REF!</definedName>
    <definedName name="내역2">#REF!</definedName>
    <definedName name="내역비교">#REF!</definedName>
    <definedName name="내역서1">#REF!</definedName>
    <definedName name="내역서실행분계">#REF!</definedName>
    <definedName name="내용" localSheetId="2" hidden="1">#REF!,#REF!,#REF!,#REF!,#REF!,#REF!,#REF!,#REF!,#REF!,#REF!,#REF!,#REF!,#REF!</definedName>
    <definedName name="내용" hidden="1">#REF!,#REF!,#REF!,#REF!,#REF!,#REF!,#REF!,#REF!,#REF!,#REF!,#REF!,#REF!,#REF!</definedName>
    <definedName name="내전">#REF!</definedName>
    <definedName name="낵역4">#REF!</definedName>
    <definedName name="냉각" hidden="1">{#N/A,#N/A,FALSE,"단축1";#N/A,#N/A,FALSE,"단축2";#N/A,#N/A,FALSE,"단축3";#N/A,#N/A,FALSE,"장축";#N/A,#N/A,FALSE,"4WD"}</definedName>
    <definedName name="너" localSheetId="2" hidden="1">{#N/A,#N/A,FALSE,"인원";#N/A,#N/A,FALSE,"비용2";#N/A,#N/A,FALSE,"비용1";#N/A,#N/A,FALSE,"비용";#N/A,#N/A,FALSE,"보증2";#N/A,#N/A,FALSE,"보증1";#N/A,#N/A,FALSE,"보증";#N/A,#N/A,FALSE,"손익1";#N/A,#N/A,FALSE,"손익";#N/A,#N/A,FALSE,"부서별매출";#N/A,#N/A,FALSE,"매출"}</definedName>
    <definedName name="너" hidden="1">{#N/A,#N/A,FALSE,"인원";#N/A,#N/A,FALSE,"비용2";#N/A,#N/A,FALSE,"비용1";#N/A,#N/A,FALSE,"비용";#N/A,#N/A,FALSE,"보증2";#N/A,#N/A,FALSE,"보증1";#N/A,#N/A,FALSE,"보증";#N/A,#N/A,FALSE,"손익1";#N/A,#N/A,FALSE,"손익";#N/A,#N/A,FALSE,"부서별매출";#N/A,#N/A,FALSE,"매출"}</definedName>
    <definedName name="너니ㅣㅁㄴ" hidden="1">{#N/A,#N/A,FALSE,"손익표지";#N/A,#N/A,FALSE,"손익계산";#N/A,#N/A,FALSE,"일반관리비";#N/A,#N/A,FALSE,"영업외수익";#N/A,#N/A,FALSE,"영업외비용";#N/A,#N/A,FALSE,"매출액";#N/A,#N/A,FALSE,"요약손익";#N/A,#N/A,FALSE,"요약대차";#N/A,#N/A,FALSE,"매출채권현황";#N/A,#N/A,FALSE,"매출채권명세"}</definedName>
    <definedName name="너왜그래">#REF!</definedName>
    <definedName name="너ㅛㄴㄳ">#N/A</definedName>
    <definedName name="너ㅣ니니" hidden="1">{#N/A,#N/A,FALSE,"손익표지";#N/A,#N/A,FALSE,"손익계산";#N/A,#N/A,FALSE,"일반관리비";#N/A,#N/A,FALSE,"영업외수익";#N/A,#N/A,FALSE,"영업외비용";#N/A,#N/A,FALSE,"매출액";#N/A,#N/A,FALSE,"요약손익";#N/A,#N/A,FALSE,"요약대차";#N/A,#N/A,FALSE,"매출채권현황";#N/A,#N/A,FALSE,"매출채권명세"}</definedName>
    <definedName name="넘버">#REF!</definedName>
    <definedName name="네" localSheetId="2" hidden="1">{#N/A,#N/A,FALSE,"P.C.B"}</definedName>
    <definedName name="네" hidden="1">{#N/A,#N/A,FALSE,"P.C.B"}</definedName>
    <definedName name="네고">#REF!</definedName>
    <definedName name="녀" localSheetId="2" hidden="1">{#N/A,#N/A,FALSE,"1.CRITERIA";#N/A,#N/A,FALSE,"2.IS";#N/A,#N/A,FALSE,"3.BS";#N/A,#N/A,FALSE,"4.PER PL";#N/A,#N/A,FALSE,"5.INVESTMENT";#N/A,#N/A,FALSE,"6.공문";#N/A,#N/A,FALSE,"7.netinvest"}</definedName>
    <definedName name="녀" hidden="1">{#N/A,#N/A,FALSE,"1.CRITERIA";#N/A,#N/A,FALSE,"2.IS";#N/A,#N/A,FALSE,"3.BS";#N/A,#N/A,FALSE,"4.PER PL";#N/A,#N/A,FALSE,"5.INVESTMENT";#N/A,#N/A,FALSE,"6.공문";#N/A,#N/A,FALSE,"7.netinvest"}</definedName>
    <definedName name="녀차정산" hidden="1">{"'전일자'!$A$5:$N$17"}</definedName>
    <definedName name="년">#REF!</definedName>
    <definedName name="년___월___일_까지">#REF!</definedName>
    <definedName name="년단위">#REF!</definedName>
    <definedName name="년제조" hidden="1">#REF!</definedName>
    <definedName name="노" localSheetId="2" hidden="1">{#N/A,#N/A,FALSE,"1.CRITERIA";#N/A,#N/A,FALSE,"2.IS";#N/A,#N/A,FALSE,"3.BS";#N/A,#N/A,FALSE,"4.PER PL";#N/A,#N/A,FALSE,"5.INVESTMENT";#N/A,#N/A,FALSE,"6.공문";#N/A,#N/A,FALSE,"7.netinvest"}</definedName>
    <definedName name="노" hidden="1">{#N/A,#N/A,FALSE,"1.CRITERIA";#N/A,#N/A,FALSE,"2.IS";#N/A,#N/A,FALSE,"3.BS";#N/A,#N/A,FALSE,"4.PER PL";#N/A,#N/A,FALSE,"5.INVESTMENT";#N/A,#N/A,FALSE,"6.공문";#N/A,#N/A,FALSE,"7.netinvest"}</definedName>
    <definedName name="노고">#N/A</definedName>
    <definedName name="노라">#REF!</definedName>
    <definedName name="노라2">#REF!</definedName>
    <definedName name="노라3">#REF!</definedName>
    <definedName name="노무">#REF!</definedName>
    <definedName name="노무비" localSheetId="2" hidden="1">{#N/A,#N/A,FALSE,"단축1";#N/A,#N/A,FALSE,"단축2";#N/A,#N/A,FALSE,"단축3";#N/A,#N/A,FALSE,"장축";#N/A,#N/A,FALSE,"4WD"}</definedName>
    <definedName name="노무비" hidden="1">{#N/A,#N/A,FALSE,"단축1";#N/A,#N/A,FALSE,"단축2";#N/A,#N/A,FALSE,"단축3";#N/A,#N/A,FALSE,"장축";#N/A,#N/A,FALSE,"4WD"}</definedName>
    <definedName name="노부비">#REF!</definedName>
    <definedName name="노석지">#REF!</definedName>
    <definedName name="노석지이사품위서">BlankMacro1</definedName>
    <definedName name="노선" hidden="1">{#N/A,#N/A,FALSE,"손익표지";#N/A,#N/A,FALSE,"손익계산";#N/A,#N/A,FALSE,"일반관리비";#N/A,#N/A,FALSE,"영업외수익";#N/A,#N/A,FALSE,"영업외비용";#N/A,#N/A,FALSE,"매출액";#N/A,#N/A,FALSE,"요약손익";#N/A,#N/A,FALSE,"요약대차";#N/A,#N/A,FALSE,"매출채권현황";#N/A,#N/A,FALSE,"매출채권명세"}</definedName>
    <definedName name="노선1" hidden="1">{#N/A,#N/A,FALSE,"손익표지";#N/A,#N/A,FALSE,"손익계산";#N/A,#N/A,FALSE,"일반관리비";#N/A,#N/A,FALSE,"영업외수익";#N/A,#N/A,FALSE,"영업외비용";#N/A,#N/A,FALSE,"매출액";#N/A,#N/A,FALSE,"요약손익";#N/A,#N/A,FALSE,"요약대차";#N/A,#N/A,FALSE,"매출채권현황";#N/A,#N/A,FALSE,"매출채권명세"}</definedName>
    <definedName name="노선구조" hidden="1">{#N/A,#N/A,FALSE,"손익표지";#N/A,#N/A,FALSE,"손익계산";#N/A,#N/A,FALSE,"일반관리비";#N/A,#N/A,FALSE,"영업외수익";#N/A,#N/A,FALSE,"영업외비용";#N/A,#N/A,FALSE,"매출액";#N/A,#N/A,FALSE,"요약손익";#N/A,#N/A,FALSE,"요약대차";#N/A,#N/A,FALSE,"매출채권현황";#N/A,#N/A,FALSE,"매출채권명세"}</definedName>
    <definedName name="노원" hidden="1">{#N/A,#N/A,FALSE,"단축1";#N/A,#N/A,FALSE,"단축2";#N/A,#N/A,FALSE,"단축3";#N/A,#N/A,FALSE,"장축";#N/A,#N/A,FALSE,"4WD"}</definedName>
    <definedName name="노은준" hidden="1">{#N/A,#N/A,FALSE,"손익표지";#N/A,#N/A,FALSE,"손익계산";#N/A,#N/A,FALSE,"일반관리비";#N/A,#N/A,FALSE,"영업외수익";#N/A,#N/A,FALSE,"영업외비용";#N/A,#N/A,FALSE,"매출액";#N/A,#N/A,FALSE,"요약손익";#N/A,#N/A,FALSE,"요약대차";#N/A,#N/A,FALSE,"매출채권현황";#N/A,#N/A,FALSE,"매출채권명세"}</definedName>
    <definedName name="노임1">BlankMacro1</definedName>
    <definedName name="노임단가">#REF!</definedName>
    <definedName name="노출직부">#REF!</definedName>
    <definedName name="노트" hidden="1">{#N/A,#N/A,TRUE,"총괄"}</definedName>
    <definedName name="논ㄱ">#N/A</definedName>
    <definedName name="논현동외" hidden="1">{#N/A,#N/A,FALSE,"Sheet6"}</definedName>
    <definedName name="놈">#N/A</definedName>
    <definedName name="농원" hidden="1">{#N/A,#N/A,FALSE,"신규dep";#N/A,#N/A,FALSE,"신규dep-금형상각후";#N/A,#N/A,FALSE,"신규dep-연구비상각후";#N/A,#N/A,FALSE,"신규dep-기계,공구상각후"}</definedName>
    <definedName name="뇨고노">#N/A</definedName>
    <definedName name="뇨ㅓㄱㄴ요">#N/A</definedName>
    <definedName name="누계1" hidden="1">{#N/A,#N/A,FALSE,"손익표지";#N/A,#N/A,FALSE,"손익계산";#N/A,#N/A,FALSE,"일반관리비";#N/A,#N/A,FALSE,"영업외수익";#N/A,#N/A,FALSE,"영업외비용";#N/A,#N/A,FALSE,"매출액";#N/A,#N/A,FALSE,"요약손익";#N/A,#N/A,FALSE,"요약대차";#N/A,#N/A,FALSE,"매출채권현황";#N/A,#N/A,FALSE,"매출채권명세"}</definedName>
    <definedName name="누계손익">#REF!</definedName>
    <definedName name="누계증감" hidden="1">{#N/A,#N/A,FALSE,"손익표지";#N/A,#N/A,FALSE,"손익계산";#N/A,#N/A,FALSE,"일반관리비";#N/A,#N/A,FALSE,"영업외수익";#N/A,#N/A,FALSE,"영업외비용";#N/A,#N/A,FALSE,"매출액";#N/A,#N/A,FALSE,"요약손익";#N/A,#N/A,FALSE,"요약대차";#N/A,#N/A,FALSE,"매출채권현황";#N/A,#N/A,FALSE,"매출채권명세"}</definedName>
    <definedName name="누계판매직접비">#REF!</definedName>
    <definedName name="누적" hidden="1">{#N/A,#N/A,FALSE,"Sheet1"}</definedName>
    <definedName name="누진세율적용대상금융소득03">#REF!</definedName>
    <definedName name="누진세율적용대상금융소득04">#REF!</definedName>
    <definedName name="누진세율적용시산출세액03">#REF!</definedName>
    <definedName name="누진세율적용시산출세액04">#REF!</definedName>
    <definedName name="눈주목">#REF!</definedName>
    <definedName name="뉴">#REF!</definedName>
    <definedName name="뉴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뉴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뉴셀_1" hidden="1">{#N/A,#N/A,FALSE,"손익표지";#N/A,#N/A,FALSE,"손익계산";#N/A,#N/A,FALSE,"일반관리비";#N/A,#N/A,FALSE,"영업외수익";#N/A,#N/A,FALSE,"영업외비용";#N/A,#N/A,FALSE,"매출액";#N/A,#N/A,FALSE,"요약손익";#N/A,#N/A,FALSE,"요약대차";#N/A,#N/A,FALSE,"매출채권현황";#N/A,#N/A,FALSE,"매출채권명세"}</definedName>
    <definedName name="느티나무">#REF!</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니" hidden="1">{#N/A,#N/A,TRUE,"경전'96(1)";#N/A,#N/A,TRUE,"경전'96 (2)"}</definedName>
    <definedName name="니기미" hidden="1">{#N/A,#N/A,FALSE,"손익표지";#N/A,#N/A,FALSE,"손익계산";#N/A,#N/A,FALSE,"일반관리비";#N/A,#N/A,FALSE,"영업외수익";#N/A,#N/A,FALSE,"영업외비용";#N/A,#N/A,FALSE,"매출액";#N/A,#N/A,FALSE,"요약손익";#N/A,#N/A,FALSE,"요약대차";#N/A,#N/A,FALSE,"매출채권현황";#N/A,#N/A,FALSE,"매출채권명세"}</definedName>
    <definedName name="니니ㅣㄴ" hidden="1">{#N/A,#N/A,FALSE,"손익표지";#N/A,#N/A,FALSE,"손익계산";#N/A,#N/A,FALSE,"일반관리비";#N/A,#N/A,FALSE,"영업외수익";#N/A,#N/A,FALSE,"영업외비용";#N/A,#N/A,FALSE,"매출액";#N/A,#N/A,FALSE,"요약손익";#N/A,#N/A,FALSE,"요약대차";#N/A,#N/A,FALSE,"매출채권현황";#N/A,#N/A,FALSE,"매출채권명세"}</definedName>
    <definedName name="니ㅣㄴ" hidden="1">{#N/A,#N/A,FALSE,"손익표지";#N/A,#N/A,FALSE,"손익계산";#N/A,#N/A,FALSE,"일반관리비";#N/A,#N/A,FALSE,"영업외수익";#N/A,#N/A,FALSE,"영업외비용";#N/A,#N/A,FALSE,"매출액";#N/A,#N/A,FALSE,"요약손익";#N/A,#N/A,FALSE,"요약대차";#N/A,#N/A,FALSE,"매출채권현황";#N/A,#N/A,FALSE,"매출채권명세"}</definedName>
    <definedName name="닌" hidden="1">{#N/A,#N/A,FALSE,"손익표지";#N/A,#N/A,FALSE,"손익계산";#N/A,#N/A,FALSE,"일반관리비";#N/A,#N/A,FALSE,"영업외수익";#N/A,#N/A,FALSE,"영업외비용";#N/A,#N/A,FALSE,"매출액";#N/A,#N/A,FALSE,"요약손익";#N/A,#N/A,FALSE,"요약대차";#N/A,#N/A,FALSE,"매출채권현황";#N/A,#N/A,FALSE,"매출채권명세"}</definedName>
    <definedName name="ㄶㄴㄷㄹ렂다ㅣㄹ" localSheetId="2" hidden="1">{"'Jibu9811 (3)'!$B$1:$J$433"}</definedName>
    <definedName name="ㄶㄴㄷㄹ렂다ㅣㄹ" hidden="1">{"'Jibu9811 (3)'!$B$1:$J$433"}</definedName>
    <definedName name="ㄶㅁ" hidden="1">{#N/A,#N/A,TRUE,"경전'96(1)";#N/A,#N/A,TRUE,"경전'96 (2)"}</definedName>
    <definedName name="ㄷ" localSheetId="2" hidden="1">{#N/A,#N/A,FALSE,"BS";#N/A,#N/A,FALSE,"PL";#N/A,#N/A,FALSE,"처분";#N/A,#N/A,FALSE,"현금";#N/A,#N/A,FALSE,"매출";#N/A,#N/A,FALSE,"원가";#N/A,#N/A,FALSE,"경영"}</definedName>
    <definedName name="ㄷ" hidden="1">{#N/A,#N/A,FALSE,"BS";#N/A,#N/A,FALSE,"PL";#N/A,#N/A,FALSE,"처분";#N/A,#N/A,FALSE,"현금";#N/A,#N/A,FALSE,"매출";#N/A,#N/A,FALSE,"원가";#N/A,#N/A,FALSE,"경영"}</definedName>
    <definedName name="ㄷ119">#REF!</definedName>
    <definedName name="ㄷ3" localSheetId="2" hidden="1">{#N/A,#N/A,FALSE,"9612"}</definedName>
    <definedName name="ㄷ3" hidden="1">{#N/A,#N/A,FALSE,"9612"}</definedName>
    <definedName name="ㄷㄱ" hidden="1">{#N/A,#N/A,FALSE,"손익표지";#N/A,#N/A,FALSE,"손익계산";#N/A,#N/A,FALSE,"일반관리비";#N/A,#N/A,FALSE,"영업외수익";#N/A,#N/A,FALSE,"영업외비용";#N/A,#N/A,FALSE,"매출액";#N/A,#N/A,FALSE,"요약손익";#N/A,#N/A,FALSE,"요약대차";#N/A,#N/A,FALSE,"매출채권현황";#N/A,#N/A,FALSE,"매출채권명세"}</definedName>
    <definedName name="ㄷㄱㄱ" localSheetId="2" hidden="1">{"'Jibu9811 (3)'!$B$1:$J$433"}</definedName>
    <definedName name="ㄷㄱㄱ" hidden="1">{"'Jibu9811 (3)'!$B$1:$J$433"}</definedName>
    <definedName name="ㄷㄱㄷㄱ">#REF!</definedName>
    <definedName name="ㄷㄱㄷㅈㄹㅊㅇ" hidden="1">{"'용역비'!$A$4:$C$8"}</definedName>
    <definedName name="ㄷㄱㅈㄷ" localSheetId="2" hidden="1">{"'매출이익'!$A$24:$K$45"}</definedName>
    <definedName name="ㄷㄱㅈㄷ" hidden="1">{"'매출이익'!$A$24:$K$45"}</definedName>
    <definedName name="ㄷ갲">BlankMacro1</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 localSheetId="2" hidden="1">{#N/A,#N/A,FALSE,"단축1";#N/A,#N/A,FALSE,"단축2";#N/A,#N/A,FALSE,"단축3";#N/A,#N/A,FALSE,"장축";#N/A,#N/A,FALSE,"4WD"}</definedName>
    <definedName name="ㄷㄳ" hidden="1">{#N/A,#N/A,FALSE,"단축1";#N/A,#N/A,FALSE,"단축2";#N/A,#N/A,FALSE,"단축3";#N/A,#N/A,FALSE,"장축";#N/A,#N/A,FALSE,"4WD"}</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ㄳㅇㅀㄹㅇㄴㄹ">BlankMacro1</definedName>
    <definedName name="ㄷㄳㅇㅀㅊ">#N/A</definedName>
    <definedName name="ㄷㄷ" localSheetId="2" hidden="1">{#N/A,#N/A,FALSE,"BS";#N/A,#N/A,FALSE,"PL";#N/A,#N/A,FALSE,"처분";#N/A,#N/A,FALSE,"현금";#N/A,#N/A,FALSE,"매출";#N/A,#N/A,FALSE,"원가";#N/A,#N/A,FALSE,"경영"}</definedName>
    <definedName name="ㄷㄷ" hidden="1">{#N/A,#N/A,FALSE,"BS";#N/A,#N/A,FALSE,"PL";#N/A,#N/A,FALSE,"처분";#N/A,#N/A,FALSE,"현금";#N/A,#N/A,FALSE,"매출";#N/A,#N/A,FALSE,"원가";#N/A,#N/A,FALSE,"경영"}</definedName>
    <definedName name="ㄷㄷ_1" localSheetId="2" hidden="1">{#N/A,#N/A,FALSE,"BS";#N/A,#N/A,FALSE,"PL";#N/A,#N/A,FALSE,"처분";#N/A,#N/A,FALSE,"현금";#N/A,#N/A,FALSE,"매출";#N/A,#N/A,FALSE,"원가";#N/A,#N/A,FALSE,"경영"}</definedName>
    <definedName name="ㄷㄷ_1" hidden="1">{#N/A,#N/A,FALSE,"BS";#N/A,#N/A,FALSE,"PL";#N/A,#N/A,FALSE,"처분";#N/A,#N/A,FALSE,"현금";#N/A,#N/A,FALSE,"매출";#N/A,#N/A,FALSE,"원가";#N/A,#N/A,FALSE,"경영"}</definedName>
    <definedName name="ㄷㄷEEE" hidden="1">{#N/A,#N/A,FALSE,"단축1";#N/A,#N/A,FALSE,"단축2";#N/A,#N/A,FALSE,"단축3";#N/A,#N/A,FALSE,"장축";#N/A,#N/A,FALSE,"4WD"}</definedName>
    <definedName name="ㄷㄷㄷ" localSheetId="2" hidden="1">{#N/A,#N/A,FALSE,"UNIT";#N/A,#N/A,FALSE,"UNIT";#N/A,#N/A,FALSE,"계정"}</definedName>
    <definedName name="ㄷㄷㄷ" hidden="1">{#N/A,#N/A,FALSE,"UNIT";#N/A,#N/A,FALSE,"UNIT";#N/A,#N/A,FALSE,"계정"}</definedName>
    <definedName name="ㄷㄷㄷㄷㄷ" hidden="1">#REF!</definedName>
    <definedName name="ㄷㄷㄷㄹㅇ" hidden="1">{#N/A,#N/A,FALSE,"Sheet1"}</definedName>
    <definedName name="ㄷㄹ">#REF!</definedName>
    <definedName name="ㄷ랴겋" localSheetId="2" hidden="1">{#N/A,#N/A,FALSE,"구조2"}</definedName>
    <definedName name="ㄷ랴겋" hidden="1">{#N/A,#N/A,FALSE,"구조2"}</definedName>
    <definedName name="ㄷㅂ">BlankMacro1</definedName>
    <definedName name="ㄷㅅ">BlankMacro1</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ㅇ" localSheetId="2" hidden="1">{#N/A,#N/A,TRUE,"Y생산";#N/A,#N/A,TRUE,"Y판매";#N/A,#N/A,TRUE,"Y총물량";#N/A,#N/A,TRUE,"Y능력";#N/A,#N/A,TRUE,"YKD"}</definedName>
    <definedName name="ㄷㅇ" hidden="1">{#N/A,#N/A,TRUE,"Y생산";#N/A,#N/A,TRUE,"Y판매";#N/A,#N/A,TRUE,"Y총물량";#N/A,#N/A,TRUE,"Y능력";#N/A,#N/A,TRUE,"YKD"}</definedName>
    <definedName name="ㄷㅇㄹㄴ" hidden="1">#REF!</definedName>
    <definedName name="ㄷㅈ" hidden="1">#REF!</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ㅎㄱㅎㄱ" localSheetId="2" hidden="1">{"'Jibu9811 (3)'!$B$1:$J$433"}</definedName>
    <definedName name="ㄷㅎㄱㅎㄱ" hidden="1">{"'Jibu9811 (3)'!$B$1:$J$433"}</definedName>
    <definedName name="ㄷㅎㄷㄳㄷ공ㄱ" localSheetId="2" hidden="1">{"'Jibu9811 (3)'!$B$1:$J$433"}</definedName>
    <definedName name="ㄷㅎㄷㄳㄷ공ㄱ" hidden="1">{"'Jibu9811 (3)'!$B$1:$J$433"}</definedName>
    <definedName name="ㄷ흇ㅇㄹㅊ">#N/A</definedName>
    <definedName name="다" localSheetId="2" hidden="1">{#N/A,#N/A,FALSE,"1.CRITERIA";#N/A,#N/A,FALSE,"2.IS";#N/A,#N/A,FALSE,"3.BS";#N/A,#N/A,FALSE,"4.PER PL";#N/A,#N/A,FALSE,"5.INVESTMENT";#N/A,#N/A,FALSE,"6.공문";#N/A,#N/A,FALSE,"7.netinvest"}</definedName>
    <definedName name="다" hidden="1">{#N/A,#N/A,FALSE,"1.CRITERIA";#N/A,#N/A,FALSE,"2.IS";#N/A,#N/A,FALSE,"3.BS";#N/A,#N/A,FALSE,"4.PER PL";#N/A,#N/A,FALSE,"5.INVESTMENT";#N/A,#N/A,FALSE,"6.공문";#N/A,#N/A,FALSE,"7.netinvest"}</definedName>
    <definedName name="다.">#REF!</definedName>
    <definedName name="다가아노는" localSheetId="2"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나가라" hidden="1">{#N/A,#N/A,FALSE,"정공"}</definedName>
    <definedName name="다다" hidden="1">{#N/A,#N/A,FALSE,"정공"}</definedName>
    <definedName name="다다익선" localSheetId="2" hidden="1">{#N/A,#N/A,FALSE,"정공"}</definedName>
    <definedName name="다다익선" hidden="1">{#N/A,#N/A,FALSE,"정공"}</definedName>
    <definedName name="다달이" localSheetId="2" hidden="1">{#N/A,#N/A,FALSE,"정공"}</definedName>
    <definedName name="다달이" hidden="1">{#N/A,#N/A,FALSE,"정공"}</definedName>
    <definedName name="다라" hidden="1">{#N/A,#N/A,FALSE,"표지목차"}</definedName>
    <definedName name="다라니경" localSheetId="2" hidden="1">{#N/A,#N/A,FALSE,"정공"}</definedName>
    <definedName name="다라니경" hidden="1">{#N/A,#N/A,FALSE,"정공"}</definedName>
    <definedName name="다라니경을피우자" localSheetId="2" hidden="1">{#N/A,#N/A,FALSE,"정공"}</definedName>
    <definedName name="다라니경을피우자" hidden="1">{#N/A,#N/A,FALSE,"정공"}</definedName>
    <definedName name="다른" localSheetId="2" hidden="1">{#N/A,#N/A,FALSE,"BS";#N/A,#N/A,FALSE,"PL";#N/A,#N/A,FALSE,"처분";#N/A,#N/A,FALSE,"현금";#N/A,#N/A,FALSE,"매출";#N/A,#N/A,FALSE,"원가";#N/A,#N/A,FALSE,"경영"}</definedName>
    <definedName name="다른" hidden="1">{#N/A,#N/A,FALSE,"BS";#N/A,#N/A,FALSE,"PL";#N/A,#N/A,FALSE,"처분";#N/A,#N/A,FALSE,"현금";#N/A,#N/A,FALSE,"매출";#N/A,#N/A,FALSE,"원가";#N/A,#N/A,FALSE,"경영"}</definedName>
    <definedName name="다른종합소득03">#REF!</definedName>
    <definedName name="다른종합소득04">#REF!</definedName>
    <definedName name="다른종합소득과세표준">#REF!</definedName>
    <definedName name="다바" localSheetId="2" hidden="1">{#N/A,#N/A,FALSE,"1.CRITERIA";#N/A,#N/A,FALSE,"2.IS";#N/A,#N/A,FALSE,"3.BS";#N/A,#N/A,FALSE,"4.PER PL";#N/A,#N/A,FALSE,"5.INVESTMENT";#N/A,#N/A,FALSE,"6.공문";#N/A,#N/A,FALSE,"7.netinvest"}</definedName>
    <definedName name="다바" hidden="1">{#N/A,#N/A,FALSE,"1.CRITERIA";#N/A,#N/A,FALSE,"2.IS";#N/A,#N/A,FALSE,"3.BS";#N/A,#N/A,FALSE,"4.PER PL";#N/A,#N/A,FALSE,"5.INVESTMENT";#N/A,#N/A,FALSE,"6.공문";#N/A,#N/A,FALSE,"7.netinvest"}</definedName>
    <definedName name="다짐">#REF!</definedName>
    <definedName name="닥트">#REF!</definedName>
    <definedName name="단가">#REF!</definedName>
    <definedName name="단가기준" localSheetId="2" hidden="1">{#N/A,#N/A,TRUE,"Y생산";#N/A,#N/A,TRUE,"Y판매";#N/A,#N/A,TRUE,"Y총물량";#N/A,#N/A,TRUE,"Y능력";#N/A,#N/A,TRUE,"YKD"}</definedName>
    <definedName name="단가기준" hidden="1">{#N/A,#N/A,TRUE,"Y생산";#N/A,#N/A,TRUE,"Y판매";#N/A,#N/A,TRUE,"Y총물량";#N/A,#N/A,TRUE,"Y능력";#N/A,#N/A,TRUE,"YKD"}</definedName>
    <definedName name="단가대" hidden="1">#REF!</definedName>
    <definedName name="단가비교표">#REF!,#REF!</definedName>
    <definedName name="단가산출서">#REF!</definedName>
    <definedName name="단기" localSheetId="2" hidden="1">{#N/A,#N/A,TRUE,"Y생산";#N/A,#N/A,TRUE,"Y판매";#N/A,#N/A,TRUE,"Y총물량";#N/A,#N/A,TRUE,"Y능력";#N/A,#N/A,TRUE,"YKD"}</definedName>
    <definedName name="단기" hidden="1">{#N/A,#N/A,TRUE,"Y생산";#N/A,#N/A,TRUE,"Y판매";#N/A,#N/A,TRUE,"Y총물량";#N/A,#N/A,TRUE,"Y능력";#N/A,#N/A,TRUE,"YKD"}</definedName>
    <definedName name="단기대여금" localSheetId="2" hidden="1">{#N/A,#N/A,TRUE,"Y생산";#N/A,#N/A,TRUE,"Y판매";#N/A,#N/A,TRUE,"Y총물량";#N/A,#N/A,TRUE,"Y능력";#N/A,#N/A,TRUE,"YKD"}</definedName>
    <definedName name="단기대여금" hidden="1">{#N/A,#N/A,TRUE,"Y생산";#N/A,#N/A,TRUE,"Y판매";#N/A,#N/A,TRUE,"Y총물량";#N/A,#N/A,TRUE,"Y능력";#N/A,#N/A,TRUE,"YKD"}</definedName>
    <definedName name="단기입력">#REF!</definedName>
    <definedName name="단기차입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2" localSheetId="2" hidden="1">{#N/A,#N/A,FALSE,"Aging Summary";#N/A,#N/A,FALSE,"Ratio Analysis";#N/A,#N/A,FALSE,"Test 120 Day Accts";#N/A,#N/A,FALSE,"Tickmarks"}</definedName>
    <definedName name="단기차입금2" hidden="1">{#N/A,#N/A,FALSE,"Aging Summary";#N/A,#N/A,FALSE,"Ratio Analysis";#N/A,#N/A,FALSE,"Test 120 Day Accts";#N/A,#N/A,FALSE,"Tickmarks"}</definedName>
    <definedName name="短期借入金" localSheetId="2" hidden="1">{"'買掛金'!$J$6"}</definedName>
    <definedName name="短期借入金" hidden="1">{"'買掛金'!$J$6"}</definedName>
    <definedName name="단김승호">#REF!</definedName>
    <definedName name="단말기" localSheetId="2" hidden="1">{#N/A,#N/A,FALSE,"정공"}</definedName>
    <definedName name="단말기" hidden="1">{#N/A,#N/A,FALSE,"정공"}</definedName>
    <definedName name="단말기번호" localSheetId="2" hidden="1">{#N/A,#N/A,FALSE,"정공"}</definedName>
    <definedName name="단말기번호" hidden="1">{#N/A,#N/A,FALSE,"정공"}</definedName>
    <definedName name="단알기" localSheetId="2" hidden="1">{#N/A,#N/A,FALSE,"정공"}</definedName>
    <definedName name="단알기" hidden="1">{#N/A,#N/A,FALSE,"정공"}</definedName>
    <definedName name="단위">#REF!</definedName>
    <definedName name="단위_백만원">#REF!</definedName>
    <definedName name="단위량">#REF!</definedName>
    <definedName name="단조편성표" localSheetId="2" hidden="1">{#N/A,#N/A,FALSE,"단축1";#N/A,#N/A,FALSE,"단축2";#N/A,#N/A,FALSE,"단축3";#N/A,#N/A,FALSE,"장축";#N/A,#N/A,FALSE,"4WD"}</definedName>
    <definedName name="단조편성표" hidden="1">{#N/A,#N/A,FALSE,"단축1";#N/A,#N/A,FALSE,"단축2";#N/A,#N/A,FALSE,"단축3";#N/A,#N/A,FALSE,"장축";#N/A,#N/A,FALSE,"4WD"}</definedName>
    <definedName name="단충">#REF!</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달러환율">#REF!</definedName>
    <definedName name="담당별조정" hidden="1">{#N/A,#N/A,FALSE,"신규dep";#N/A,#N/A,FALSE,"신규dep-금형상각후";#N/A,#N/A,FALSE,"신규dep-연구비상각후";#N/A,#N/A,FALSE,"신규dep-기계,공구상각후"}</definedName>
    <definedName name="당" hidden="1">{#N/A,#N/A,FALSE,"단축1";#N/A,#N/A,FALSE,"단축2";#N/A,#N/A,FALSE,"단축3";#N/A,#N/A,FALSE,"장축";#N/A,#N/A,FALSE,"4WD"}</definedName>
    <definedName name="당기">#REF!</definedName>
    <definedName name="당기경상이익">#REF!</definedName>
    <definedName name="당기당기순이익">#REF!</definedName>
    <definedName name="당기매출액">#REF!</definedName>
    <definedName name="당기매출채권">#REF!</definedName>
    <definedName name="당기순매출액">#REF!</definedName>
    <definedName name="당기순이익">#REF!</definedName>
    <definedName name="당기영업이자" hidden="1">{#N/A,#N/A,FALSE,"지침";#N/A,#N/A,FALSE,"환경분석";#N/A,#N/A,FALSE,"Sheet16"}</definedName>
    <definedName name="당기유동자산">#REF!</definedName>
    <definedName name="당기입고">#REF!</definedName>
    <definedName name="당기입고2">#REF!</definedName>
    <definedName name="당기중선" hidden="1">{#N/A,#N/A,FALSE,"손익표지";#N/A,#N/A,FALSE,"손익계산";#N/A,#N/A,FALSE,"일반관리비";#N/A,#N/A,FALSE,"영업외수익";#N/A,#N/A,FALSE,"영업외비용";#N/A,#N/A,FALSE,"매출액";#N/A,#N/A,FALSE,"요약손익";#N/A,#N/A,FALSE,"요약대차";#N/A,#N/A,FALSE,"매출채권현황";#N/A,#N/A,FALSE,"매출채권명세"}</definedName>
    <definedName name="당월분지우개">#REF!,#REF!,#REF!,#REF!,#REF!,#REF!,#REF!,#REF!,#REF!,#REF!,#REF!,#REF!,#REF!,#REF!,#REF!,#REF!,#REF!,#REF!,#REF!</definedName>
    <definedName name="당월손익">#REF!</definedName>
    <definedName name="당월판매직접비">#REF!</definedName>
    <definedName name="당조">#REF!</definedName>
    <definedName name="당좌끝년">#REF!,#REF!,#REF!,#REF!</definedName>
    <definedName name="당좌끝월">#REF!,#REF!,#REF!,#REF!</definedName>
    <definedName name="당좌끝일">#REF!,#REF!,#REF!,#REF!</definedName>
    <definedName name="당좌시작년">#REF!,#REF!,#REF!,#REF!</definedName>
    <definedName name="당좌시작월">#REF!,#REF!,#REF!,#REF!</definedName>
    <definedName name="당좌시작일">#REF!,#REF!,#REF!,#REF!</definedName>
    <definedName name="당좌예금_5102">#REF!</definedName>
    <definedName name="당좌자산">#REF!</definedName>
    <definedName name="당진">#REF!</definedName>
    <definedName name="당초계획" hidden="1">#REF!</definedName>
    <definedName name="당초기준손이" hidden="1">{#N/A,#N/A,FALSE,"정공"}</definedName>
    <definedName name="당초손익표" hidden="1">{#N/A,#N/A,FALSE,"정공"}</definedName>
    <definedName name="닻">BlankMacro1</definedName>
    <definedName name="대" hidden="1">#REF!</definedName>
    <definedName name="대_표_자_명">#REF!</definedName>
    <definedName name="대계정">#REF!</definedName>
    <definedName name="대구">#REF!</definedName>
    <definedName name="대구서울" hidden="1">#REF!</definedName>
    <definedName name="대나무">#REF!</definedName>
    <definedName name="대련" localSheetId="2" hidden="1">{#N/A,#N/A,FALSE,"UNIT";#N/A,#N/A,FALSE,"UNIT";#N/A,#N/A,FALSE,"계정"}</definedName>
    <definedName name="대련" hidden="1">{#N/A,#N/A,FALSE,"UNIT";#N/A,#N/A,FALSE,"UNIT";#N/A,#N/A,FALSE,"계정"}</definedName>
    <definedName name="대리님" localSheetId="2" hidden="1">{#N/A,#N/A,FALSE,"정공"}</definedName>
    <definedName name="대리님" hidden="1">{#N/A,#N/A,FALSE,"정공"}</definedName>
    <definedName name="대방총괄" localSheetId="2" hidden="1">{#N/A,#N/A,FALSE,"단축1";#N/A,#N/A,FALSE,"단축2";#N/A,#N/A,FALSE,"단축3";#N/A,#N/A,FALSE,"장축";#N/A,#N/A,FALSE,"4WD"}</definedName>
    <definedName name="대방총괄" hidden="1">{#N/A,#N/A,FALSE,"단축1";#N/A,#N/A,FALSE,"단축2";#N/A,#N/A,FALSE,"단축3";#N/A,#N/A,FALSE,"장축";#N/A,#N/A,FALSE,"4WD"}</definedName>
    <definedName name="대변">#REF!</definedName>
    <definedName name="대변시작">#REF!</definedName>
    <definedName name="대변추가">#REF!</definedName>
    <definedName name="대분">#REF!</definedName>
    <definedName name="대비표">#REF!</definedName>
    <definedName name="대상">#REF!</definedName>
    <definedName name="대상시트" localSheetId="2" hidden="1">{#N/A,#N/A,FALSE,"정공"}</definedName>
    <definedName name="대상시트" hidden="1">{#N/A,#N/A,FALSE,"정공"}</definedName>
    <definedName name="대상자산">#REF!</definedName>
    <definedName name="대손"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충당금" localSheetId="2" hidden="1">{#N/A,#N/A,FALSE,"1.CRITERIA";#N/A,#N/A,FALSE,"2.IS";#N/A,#N/A,FALSE,"3.BS";#N/A,#N/A,FALSE,"4.PER PL";#N/A,#N/A,FALSE,"5.INVESTMENT";#N/A,#N/A,FALSE,"6.공문";#N/A,#N/A,FALSE,"7.netinvest"}</definedName>
    <definedName name="대손충당금" hidden="1">{#N/A,#N/A,FALSE,"1.CRITERIA";#N/A,#N/A,FALSE,"2.IS";#N/A,#N/A,FALSE,"3.BS";#N/A,#N/A,FALSE,"4.PER PL";#N/A,#N/A,FALSE,"5.INVESTMENT";#N/A,#N/A,FALSE,"6.공문";#N/A,#N/A,FALSE,"7.netinvest"}</definedName>
    <definedName name="대손충당금." localSheetId="2" hidden="1">{#N/A,#N/A,FALSE,"BS";#N/A,#N/A,FALSE,"PL";#N/A,#N/A,FALSE,"A";#N/A,#N/A,FALSE,"B";#N/A,#N/A,FALSE,"B1";#N/A,#N/A,FALSE,"C";#N/A,#N/A,FALSE,"C1";#N/A,#N/A,FALSE,"C2";#N/A,#N/A,FALSE,"D";#N/A,#N/A,FALSE,"E";#N/A,#N/A,FALSE,"F";#N/A,#N/A,FALSE,"AA";#N/A,#N/A,FALSE,"BB";#N/A,#N/A,FALSE,"CC";#N/A,#N/A,FALSE,"DD";#N/A,#N/A,FALSE,"EE";#N/A,#N/A,FALSE,"FF";#N/A,#N/A,FALSE,"PL10";#N/A,#N/A,FALSE,"PL20";#N/A,#N/A,FALSE,"PL30"}</definedName>
    <definedName name="대손충당금." hidden="1">{#N/A,#N/A,FALSE,"BS";#N/A,#N/A,FALSE,"PL";#N/A,#N/A,FALSE,"A";#N/A,#N/A,FALSE,"B";#N/A,#N/A,FALSE,"B1";#N/A,#N/A,FALSE,"C";#N/A,#N/A,FALSE,"C1";#N/A,#N/A,FALSE,"C2";#N/A,#N/A,FALSE,"D";#N/A,#N/A,FALSE,"E";#N/A,#N/A,FALSE,"F";#N/A,#N/A,FALSE,"AA";#N/A,#N/A,FALSE,"BB";#N/A,#N/A,FALSE,"CC";#N/A,#N/A,FALSE,"DD";#N/A,#N/A,FALSE,"EE";#N/A,#N/A,FALSE,"FF";#N/A,#N/A,FALSE,"PL10";#N/A,#N/A,FALSE,"PL20";#N/A,#N/A,FALSE,"PL30"}</definedName>
    <definedName name="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_1"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일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1_1" hidden="1">{#N/A,#N/A,FALSE,"손익표지";#N/A,#N/A,FALSE,"손익계산";#N/A,#N/A,FALSE,"일반관리비";#N/A,#N/A,FALSE,"영업외수익";#N/A,#N/A,FALSE,"영업외비용";#N/A,#N/A,FALSE,"매출액";#N/A,#N/A,FALSE,"요약손익";#N/A,#N/A,FALSE,"요약대차";#N/A,#N/A,FALSE,"매출채권현황";#N/A,#N/A,FALSE,"매출채권명세"}</definedName>
    <definedName name="대장" hidden="1">{"'전일자'!$A$5:$N$17"}</definedName>
    <definedName name="대전">#REF!</definedName>
    <definedName name="대정부1" hidden="1">{#N/A,#N/A,FALSE,"손익표지";#N/A,#N/A,FALSE,"손익계산";#N/A,#N/A,FALSE,"일반관리비";#N/A,#N/A,FALSE,"영업외수익";#N/A,#N/A,FALSE,"영업외비용";#N/A,#N/A,FALSE,"매출액";#N/A,#N/A,FALSE,"요약손익";#N/A,#N/A,FALSE,"요약대차";#N/A,#N/A,FALSE,"매출채권현황";#N/A,#N/A,FALSE,"매출채권명세"}</definedName>
    <definedName name="대차">#REF!</definedName>
    <definedName name="대차2" localSheetId="2" hidden="1">{#N/A,#N/A,FALSE,"BS";#N/A,#N/A,FALSE,"PL";#N/A,#N/A,FALSE,"처분";#N/A,#N/A,FALSE,"현금";#N/A,#N/A,FALSE,"매출";#N/A,#N/A,FALSE,"원가";#N/A,#N/A,FALSE,"경영"}</definedName>
    <definedName name="대차2" hidden="1">{#N/A,#N/A,FALSE,"BS";#N/A,#N/A,FALSE,"PL";#N/A,#N/A,FALSE,"처분";#N/A,#N/A,FALSE,"현금";#N/A,#N/A,FALSE,"매출";#N/A,#N/A,FALSE,"원가";#N/A,#N/A,FALSE,"경영"}</definedName>
    <definedName name="대차대조표">#REF!</definedName>
    <definedName name="대체거래">#REF!</definedName>
    <definedName name="대체대변">#REF!</definedName>
    <definedName name="대체차변">#REF!</definedName>
    <definedName name="대표자_주민등록번호">#REF!</definedName>
    <definedName name="대표자명_성명">#REF!</definedName>
    <definedName name="대표자성명">#REF!</definedName>
    <definedName name="대표자주민등록번호">#REF!</definedName>
    <definedName name="대퓨ㅜ허" localSheetId="2" hidden="1">{#N/A,#N/A,FALSE,"구조1"}</definedName>
    <definedName name="대퓨ㅜ허" hidden="1">{#N/A,#N/A,FALSE,"구조1"}</definedName>
    <definedName name="대한" localSheetId="2" hidden="1">{#N/A,#N/A,FALSE,"UNIT";#N/A,#N/A,FALSE,"UNIT";#N/A,#N/A,FALSE,"계정"}</definedName>
    <definedName name="대한" hidden="1">{#N/A,#N/A,FALSE,"UNIT";#N/A,#N/A,FALSE,"UNIT";#N/A,#N/A,FALSE,"계정"}</definedName>
    <definedName name="대회">#REF!</definedName>
    <definedName name="댜러혀">BlankMacro1</definedName>
    <definedName name="댜해ㅜ">BlankMacro1</definedName>
    <definedName name="댜ㅐㅐ허">BlankMacro1</definedName>
    <definedName name="댜ㅑㅓ">BlankMacro1</definedName>
    <definedName name="댜ㅓㅎ">BlankMacro1</definedName>
    <definedName name="댱추">BlankMacro1</definedName>
    <definedName name="더">#REF!</definedName>
    <definedName name="더ㅑㅂ">#REF!</definedName>
    <definedName name="던기차입금" localSheetId="2" hidden="1">{"'買掛金'!$J$6"}</definedName>
    <definedName name="던기차입금" hidden="1">{"'買掛金'!$J$6"}</definedName>
    <definedName name="도" localSheetId="2" hidden="1">{#N/A,#N/A,FALSE,"1.CRITERIA";#N/A,#N/A,FALSE,"2.IS";#N/A,#N/A,FALSE,"3.BS";#N/A,#N/A,FALSE,"4.PER PL";#N/A,#N/A,FALSE,"5.INVESTMENT";#N/A,#N/A,FALSE,"6.공문";#N/A,#N/A,FALSE,"7.netinvest"}</definedName>
    <definedName name="도" hidden="1">{#N/A,#N/A,FALSE,"1.CRITERIA";#N/A,#N/A,FALSE,"2.IS";#N/A,#N/A,FALSE,"3.BS";#N/A,#N/A,FALSE,"4.PER PL";#N/A,#N/A,FALSE,"5.INVESTMENT";#N/A,#N/A,FALSE,"6.공문";#N/A,#N/A,FALSE,"7.netinvest"}</definedName>
    <definedName name="도급">#REF!</definedName>
    <definedName name="도급예정액">#REF!</definedName>
    <definedName name="도모" localSheetId="2"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서">#REF!</definedName>
    <definedName name="도서인쇄비" hidden="1">{#N/A,#N/A,FALSE,"손익표지";#N/A,#N/A,FALSE,"손익계산";#N/A,#N/A,FALSE,"일반관리비";#N/A,#N/A,FALSE,"영업외수익";#N/A,#N/A,FALSE,"영업외비용";#N/A,#N/A,FALSE,"매출액";#N/A,#N/A,FALSE,"요약손익";#N/A,#N/A,FALSE,"요약대차";#N/A,#N/A,FALSE,"매출채권현황";#N/A,#N/A,FALSE,"매출채권명세"}</definedName>
    <definedName name="도용" hidden="1">#REF!</definedName>
    <definedName name="도장">#REF!</definedName>
    <definedName name="도장공">#REF!</definedName>
    <definedName name="도조" localSheetId="2" hidden="1">{#N/A,#N/A,FALSE,"BS";#N/A,#N/A,FALSE,"PL";#N/A,#N/A,FALSE,"처분";#N/A,#N/A,FALSE,"현금";#N/A,#N/A,FALSE,"매출";#N/A,#N/A,FALSE,"원가";#N/A,#N/A,FALSE,"경영"}</definedName>
    <definedName name="도조" hidden="1">{#N/A,#N/A,FALSE,"BS";#N/A,#N/A,FALSE,"PL";#N/A,#N/A,FALSE,"처분";#N/A,#N/A,FALSE,"현금";#N/A,#N/A,FALSE,"매출";#N/A,#N/A,FALSE,"원가";#N/A,#N/A,FALSE,"경영"}</definedName>
    <definedName name="도준석"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독립기초" localSheetId="2" hidden="1">{#N/A,#N/A,FALSE,"기안지";#N/A,#N/A,FALSE,"통신지"}</definedName>
    <definedName name="독립기초" hidden="1">{#N/A,#N/A,FALSE,"기안지";#N/A,#N/A,FALSE,"통신지"}</definedName>
    <definedName name="독립기초토공수량산출" localSheetId="2" hidden="1">{#N/A,#N/A,FALSE,"기안지";#N/A,#N/A,FALSE,"통신지"}</definedName>
    <definedName name="독립기초토공수량산출" hidden="1">{#N/A,#N/A,FALSE,"기안지";#N/A,#N/A,FALSE,"통신지"}</definedName>
    <definedName name="돌" hidden="1">{#N/A,#N/A,FALSE,"단축1";#N/A,#N/A,FALSE,"단축2";#N/A,#N/A,FALSE,"단축3";#N/A,#N/A,FALSE,"장축";#N/A,#N/A,FALSE,"4WD"}</definedName>
    <definedName name="돌단풍">#REF!</definedName>
    <definedName name="돌돋소" hidden="1">{#N/A,#N/A,TRUE,"경전'96(1)";#N/A,#N/A,TRUE,"경전'96 (2)"}</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규" hidden="1">{#N/A,#N/A,FALSE,"손익표지";#N/A,#N/A,FALSE,"손익계산";#N/A,#N/A,FALSE,"일반관리비";#N/A,#N/A,FALSE,"영업외수익";#N/A,#N/A,FALSE,"영업외비용";#N/A,#N/A,FALSE,"매출액";#N/A,#N/A,FALSE,"요약손익";#N/A,#N/A,FALSE,"요약대차";#N/A,#N/A,FALSE,"매출채권현황";#N/A,#N/A,FALSE,"매출채권명세"}</definedName>
    <definedName name="동력"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hidden="1">{#N/A,#N/A,FALSE,"단축1";#N/A,#N/A,FALSE,"단축2";#N/A,#N/A,FALSE,"단축3";#N/A,#N/A,FALSE,"장축";#N/A,#N/A,FALSE,"4WD"}</definedName>
    <definedName name="동방" localSheetId="2" hidden="1">{#N/A,#N/A,FALSE,"BS";#N/A,#N/A,FALSE,"PL";#N/A,#N/A,FALSE,"처분";#N/A,#N/A,FALSE,"현금";#N/A,#N/A,FALSE,"매출";#N/A,#N/A,FALSE,"원가";#N/A,#N/A,FALSE,"경영"}</definedName>
    <definedName name="동방" hidden="1">{#N/A,#N/A,FALSE,"BS";#N/A,#N/A,FALSE,"PL";#N/A,#N/A,FALSE,"처분";#N/A,#N/A,FALSE,"현금";#N/A,#N/A,FALSE,"매출";#N/A,#N/A,FALSE,"원가";#N/A,#N/A,FALSE,"경영"}</definedName>
    <definedName name="동방_1" localSheetId="2" hidden="1">{#N/A,#N/A,FALSE,"BS";#N/A,#N/A,FALSE,"PL";#N/A,#N/A,FALSE,"처분";#N/A,#N/A,FALSE,"현금";#N/A,#N/A,FALSE,"매출";#N/A,#N/A,FALSE,"원가";#N/A,#N/A,FALSE,"경영"}</definedName>
    <definedName name="동방_1" hidden="1">{#N/A,#N/A,FALSE,"BS";#N/A,#N/A,FALSE,"PL";#N/A,#N/A,FALSE,"처분";#N/A,#N/A,FALSE,"현금";#N/A,#N/A,FALSE,"매출";#N/A,#N/A,FALSE,"원가";#N/A,#N/A,FALSE,"경영"}</definedName>
    <definedName name="동방1" localSheetId="2"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방1_1" localSheetId="2" hidden="1">{#N/A,#N/A,FALSE,"BS";#N/A,#N/A,FALSE,"PL";#N/A,#N/A,FALSE,"A";#N/A,#N/A,FALSE,"B";#N/A,#N/A,FALSE,"B1";#N/A,#N/A,FALSE,"C";#N/A,#N/A,FALSE,"C1";#N/A,#N/A,FALSE,"C2";#N/A,#N/A,FALSE,"D";#N/A,#N/A,FALSE,"E";#N/A,#N/A,FALSE,"F";#N/A,#N/A,FALSE,"AA";#N/A,#N/A,FALSE,"BB";#N/A,#N/A,FALSE,"CC";#N/A,#N/A,FALSE,"DD";#N/A,#N/A,FALSE,"EE";#N/A,#N/A,FALSE,"FF";#N/A,#N/A,FALSE,"PL10";#N/A,#N/A,FALSE,"PL20";#N/A,#N/A,FALSE,"PL30"}</definedName>
    <definedName name="동방1_1" hidden="1">{#N/A,#N/A,FALSE,"BS";#N/A,#N/A,FALSE,"PL";#N/A,#N/A,FALSE,"A";#N/A,#N/A,FALSE,"B";#N/A,#N/A,FALSE,"B1";#N/A,#N/A,FALSE,"C";#N/A,#N/A,FALSE,"C1";#N/A,#N/A,FALSE,"C2";#N/A,#N/A,FALSE,"D";#N/A,#N/A,FALSE,"E";#N/A,#N/A,FALSE,"F";#N/A,#N/A,FALSE,"AA";#N/A,#N/A,FALSE,"BB";#N/A,#N/A,FALSE,"CC";#N/A,#N/A,FALSE,"DD";#N/A,#N/A,FALSE,"EE";#N/A,#N/A,FALSE,"FF";#N/A,#N/A,FALSE,"PL10";#N/A,#N/A,FALSE,"PL20";#N/A,#N/A,FALSE,"PL30"}</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신갑지">#REF!</definedName>
    <definedName name="동신을지">#REF!</definedName>
    <definedName name="동원인원계획">#REF!</definedName>
    <definedName name="돠" localSheetId="2" hidden="1">{#N/A,#N/A,FALSE,"1.CRITERIA";#N/A,#N/A,FALSE,"2.IS";#N/A,#N/A,FALSE,"3.BS";#N/A,#N/A,FALSE,"4.PER PL";#N/A,#N/A,FALSE,"5.INVESTMENT";#N/A,#N/A,FALSE,"6.공문";#N/A,#N/A,FALSE,"7.netinvest"}</definedName>
    <definedName name="돠" hidden="1">{#N/A,#N/A,FALSE,"1.CRITERIA";#N/A,#N/A,FALSE,"2.IS";#N/A,#N/A,FALSE,"3.BS";#N/A,#N/A,FALSE,"4.PER PL";#N/A,#N/A,FALSE,"5.INVESTMENT";#N/A,#N/A,FALSE,"6.공문";#N/A,#N/A,FALSE,"7.netinvest"}</definedName>
    <definedName name="됴" localSheetId="2" hidden="1">{#N/A,#N/A,FALSE,"BS";#N/A,#N/A,FALSE,"PL";#N/A,#N/A,FALSE,"처분";#N/A,#N/A,FALSE,"현금";#N/A,#N/A,FALSE,"매출";#N/A,#N/A,FALSE,"원가";#N/A,#N/A,FALSE,"경영"}</definedName>
    <definedName name="됴" hidden="1">{#N/A,#N/A,FALSE,"BS";#N/A,#N/A,FALSE,"PL";#N/A,#N/A,FALSE,"처분";#N/A,#N/A,FALSE,"현금";#N/A,#N/A,FALSE,"매출";#N/A,#N/A,FALSE,"원가";#N/A,#N/A,FALSE,"경영"}</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 localSheetId="2"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2" hidden="1">{#N/A,#N/A,FALSE,"BS";#N/A,#N/A,FALSE,"PL";#N/A,#N/A,FALSE,"처분";#N/A,#N/A,FALSE,"현금";#N/A,#N/A,FALSE,"매출";#N/A,#N/A,FALSE,"원가";#N/A,#N/A,FALSE,"경영"}</definedName>
    <definedName name="두려" hidden="1">{#N/A,#N/A,FALSE,"BS";#N/A,#N/A,FALSE,"PL";#N/A,#N/A,FALSE,"처분";#N/A,#N/A,FALSE,"현금";#N/A,#N/A,FALSE,"매출";#N/A,#N/A,FALSE,"원가";#N/A,#N/A,FALSE,"경영"}</definedName>
    <definedName name="두번째" localSheetId="2" hidden="1">{#N/A,#N/A,FALSE,"정공"}</definedName>
    <definedName name="두번째" hidden="1">{#N/A,#N/A,FALSE,"정공"}</definedName>
    <definedName name="디" localSheetId="2" hidden="1">{#N/A,#N/A,FALSE,"1.CRITERIA";#N/A,#N/A,FALSE,"2.IS";#N/A,#N/A,FALSE,"3.BS";#N/A,#N/A,FALSE,"4.PER PL";#N/A,#N/A,FALSE,"5.INVESTMENT";#N/A,#N/A,FALSE,"6.공문";#N/A,#N/A,FALSE,"7.netinvest"}</definedName>
    <definedName name="디" hidden="1">{#N/A,#N/A,FALSE,"1.CRITERIA";#N/A,#N/A,FALSE,"2.IS";#N/A,#N/A,FALSE,"3.BS";#N/A,#N/A,FALSE,"4.PER PL";#N/A,#N/A,FALSE,"5.INVESTMENT";#N/A,#N/A,FALSE,"6.공문";#N/A,#N/A,FALSE,"7.netinvest"}</definedName>
    <definedName name="딜레마" localSheetId="2" hidden="1">{"'Jibu9811 (3)'!$B$1:$J$433"}</definedName>
    <definedName name="딜레마" hidden="1">{"'Jibu9811 (3)'!$B$1:$J$433"}</definedName>
    <definedName name="또기타">#REF!</definedName>
    <definedName name="ㄹ" localSheetId="2" hidden="1">{#N/A,#N/A,FALSE,"BS";#N/A,#N/A,FALSE,"PL";#N/A,#N/A,FALSE,"처분";#N/A,#N/A,FALSE,"현금";#N/A,#N/A,FALSE,"매출";#N/A,#N/A,FALSE,"원가";#N/A,#N/A,FALSE,"경영"}</definedName>
    <definedName name="ㄹ" hidden="1">{#N/A,#N/A,FALSE,"BS";#N/A,#N/A,FALSE,"PL";#N/A,#N/A,FALSE,"처분";#N/A,#N/A,FALSE,"현금";#N/A,#N/A,FALSE,"매출";#N/A,#N/A,FALSE,"원가";#N/A,#N/A,FALSE,"경영"}</definedName>
    <definedName name="ㄹ2">#REF!</definedName>
    <definedName name="ㄹ403">#REF!</definedName>
    <definedName name="ㄹㄴ" localSheetId="2" hidden="1">{"'Jibu9811 (3)'!$B$1:$J$433"}</definedName>
    <definedName name="ㄹㄴ" hidden="1">{"'Jibu9811 (3)'!$B$1:$J$433"}</definedName>
    <definedName name="ㄹㄴㄹ" localSheetId="2" hidden="1">{"'Jibu9811 (3)'!$B$1:$J$433"}</definedName>
    <definedName name="ㄹㄴㄹ" hidden="1">{"'Jibu9811 (3)'!$B$1:$J$433"}</definedName>
    <definedName name="ㄹㄴㅇ" localSheetId="2" hidden="1">{"'Jibu9811 (3)'!$B$1:$J$433"}</definedName>
    <definedName name="ㄹㄴㅇ" hidden="1">{"'Jibu9811 (3)'!$B$1:$J$433"}</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 localSheetId="2" hidden="1">{"'Jibu9811 (3)'!$B$1:$J$433"}</definedName>
    <definedName name="ㄹㄴㅇㄹㄴㅇ" hidden="1">{"'Jibu9811 (3)'!$B$1:$J$433"}</definedName>
    <definedName name="ㄹㄷ" localSheetId="2" hidden="1">{#N/A,#N/A,FALSE,"기안지";#N/A,#N/A,FALSE,"통신지"}</definedName>
    <definedName name="ㄹㄷ" hidden="1">{#N/A,#N/A,FALSE,"기안지";#N/A,#N/A,FALSE,"통신지"}</definedName>
    <definedName name="ㄹㄷㄱ" localSheetId="2" hidden="1">{"'Jibu9811 (3)'!$B$1:$J$433"}</definedName>
    <definedName name="ㄹㄷㄱ" hidden="1">{"'Jibu9811 (3)'!$B$1:$J$433"}</definedName>
    <definedName name="ㄹㄷㅈ" localSheetId="2" hidden="1">{"'Jibu9811 (3)'!$B$1:$J$433"}</definedName>
    <definedName name="ㄹㄷㅈ" hidden="1">{"'Jibu9811 (3)'!$B$1:$J$433"}</definedName>
    <definedName name="ㄹㄷㅈㄹㄹㄹ" hidden="1">#N/A</definedName>
    <definedName name="ㄹㄹ" localSheetId="2" hidden="1">{#N/A,#N/A,FALSE,"BS";#N/A,#N/A,FALSE,"PL";#N/A,#N/A,FALSE,"처분";#N/A,#N/A,FALSE,"현금";#N/A,#N/A,FALSE,"매출";#N/A,#N/A,FALSE,"원가";#N/A,#N/A,FALSE,"경영"}</definedName>
    <definedName name="ㄹㄹ" hidden="1">{#N/A,#N/A,FALSE,"BS";#N/A,#N/A,FALSE,"PL";#N/A,#N/A,FALSE,"처분";#N/A,#N/A,FALSE,"현금";#N/A,#N/A,FALSE,"매출";#N/A,#N/A,FALSE,"원가";#N/A,#N/A,FALSE,"경영"}</definedName>
    <definedName name="ㄹㄹㄴ" hidden="1">{#N/A,#N/A,FALSE,"단축1";#N/A,#N/A,FALSE,"단축2";#N/A,#N/A,FALSE,"단축3";#N/A,#N/A,FALSE,"장축";#N/A,#N/A,FALSE,"4WD"}</definedName>
    <definedName name="ㄹㄹㄹ" localSheetId="2" hidden="1">{"'Jibu9811 (3)'!$B$1:$J$433"}</definedName>
    <definedName name="ㄹㄹㄹ" hidden="1">{"'Jibu9811 (3)'!$B$1:$J$433"}</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localSheetId="2" hidden="1">{#N/A,#N/A,FALSE,"BS";#N/A,#N/A,FALSE,"IS";#N/A,#N/A,FALSE,"결손금처리";#N/A,#N/A,FALSE,"cashflow"}</definedName>
    <definedName name="ㄹㄹㄹㄹㄹㄹ" hidden="1">{#N/A,#N/A,FALSE,"BS";#N/A,#N/A,FALSE,"IS";#N/A,#N/A,FALSE,"결손금처리";#N/A,#N/A,FALSE,"cashflow"}</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 hidden="1">{#N/A,#N/A,FALSE,"Sheet1"}</definedName>
    <definedName name="ㄹㄹㄹㄹㄹㄹㄹㄹㄹㄹㄹㄹ" hidden="1">#REF!</definedName>
    <definedName name="ㄹㄹㅇㄹㅇㄴㄹㅇㄴㅇㄴ" hidden="1">#REF!</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라너란" localSheetId="2" hidden="1">{#N/A,#N/A,FALSE,"BS";#N/A,#N/A,FALSE,"PL";#N/A,#N/A,FALSE,"처분";#N/A,#N/A,FALSE,"현금";#N/A,#N/A,FALSE,"매출";#N/A,#N/A,FALSE,"원가";#N/A,#N/A,FALSE,"경영"}</definedName>
    <definedName name="ㄹ라너란" hidden="1">{#N/A,#N/A,FALSE,"BS";#N/A,#N/A,FALSE,"PL";#N/A,#N/A,FALSE,"처분";#N/A,#N/A,FALSE,"현금";#N/A,#N/A,FALSE,"매출";#N/A,#N/A,FALSE,"원가";#N/A,#N/A,FALSE,"경영"}</definedName>
    <definedName name="ㄹ러ㅏ허ㅣ">BlankMacro1</definedName>
    <definedName name="ㄹ로ㅓ채패ㅛ해ㅑㅎ" localSheetId="2" hidden="1">{"'Jibu9811 (3)'!$B$1:$J$433"}</definedName>
    <definedName name="ㄹ로ㅓ채패ㅛ해ㅑㅎ" hidden="1">{"'Jibu9811 (3)'!$B$1:$J$433"}</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ㅇ" hidden="1">{#N/A,#N/A,FALSE,"손익표지";#N/A,#N/A,FALSE,"손익계산";#N/A,#N/A,FALSE,"일반관리비";#N/A,#N/A,FALSE,"영업외수익";#N/A,#N/A,FALSE,"영업외비용";#N/A,#N/A,FALSE,"매출액";#N/A,#N/A,FALSE,"요약손익";#N/A,#N/A,FALSE,"요약대차";#N/A,#N/A,FALSE,"매출채권현황";#N/A,#N/A,FALSE,"매출채권명세"}</definedName>
    <definedName name="ㄹㅇㄴㄻ" localSheetId="2" hidden="1">{"'Jibu9811 (3)'!$B$1:$J$433"}</definedName>
    <definedName name="ㄹㅇㄴㄻ" hidden="1">{"'Jibu9811 (3)'!$B$1:$J$433"}</definedName>
    <definedName name="ㄹㅇㄴㅁ"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ㄹ"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ㅇㄹ" hidden="1">#REF!</definedName>
    <definedName name="ㄹㅇㄹㅇㄹㄴㅇㄹ" hidden="1">#REF!</definedName>
    <definedName name="ㄹㅇㅀㅇㄹ" hidden="1">{#N/A,#N/A,FALSE,"Sheet1"}</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localSheetId="2" hidden="1">{#N/A,#N/A,FALSE,"UNIT";#N/A,#N/A,FALSE,"UNIT";#N/A,#N/A,FALSE,"계정"}</definedName>
    <definedName name="ㄹ아ㅣㅇㅎ리" hidden="1">{#N/A,#N/A,FALSE,"UNIT";#N/A,#N/A,FALSE,"UNIT";#N/A,#N/A,FALSE,"계정"}</definedName>
    <definedName name="ㄹ어ㅓ럴" hidden="1">{#N/A,#N/A,FALSE,"단축1";#N/A,#N/A,FALSE,"단축2";#N/A,#N/A,FALSE,"단축3";#N/A,#N/A,FALSE,"장축";#N/A,#N/A,FALSE,"4WD"}</definedName>
    <definedName name="ㄹ오ㅗㅓ" hidden="1">{#N/A,#N/A,FALSE,"단축1";#N/A,#N/A,FALSE,"단축2";#N/A,#N/A,FALSE,"단축3";#N/A,#N/A,FALSE,"장축";#N/A,#N/A,FALSE,"4WD"}</definedName>
    <definedName name="ㄹㅎㄹㅎㅀ" hidden="1">#REF!</definedName>
    <definedName name="ㄹ호" hidden="1">{#N/A,#N/A,FALSE,"단축1";#N/A,#N/A,FALSE,"단축2";#N/A,#N/A,FALSE,"단축3";#N/A,#N/A,FALSE,"장축";#N/A,#N/A,FALSE,"4WD"}</definedName>
    <definedName name="ㄹ호ㅓㅓ" hidden="1">{#N/A,#N/A,FALSE,"단축1";#N/A,#N/A,FALSE,"단축2";#N/A,#N/A,FALSE,"단축3";#N/A,#N/A,FALSE,"장축";#N/A,#N/A,FALSE,"4WD"}</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 localSheetId="2" hidden="1">{#N/A,#N/A,FALSE,"1.CRITERIA";#N/A,#N/A,FALSE,"2.IS";#N/A,#N/A,FALSE,"3.BS";#N/A,#N/A,FALSE,"4.PER PL";#N/A,#N/A,FALSE,"5.INVESTMENT";#N/A,#N/A,FALSE,"6.공문";#N/A,#N/A,FALSE,"7.netinvest"}</definedName>
    <definedName name="라" hidden="1">{#N/A,#N/A,FALSE,"1.CRITERIA";#N/A,#N/A,FALSE,"2.IS";#N/A,#N/A,FALSE,"3.BS";#N/A,#N/A,FALSE,"4.PER PL";#N/A,#N/A,FALSE,"5.INVESTMENT";#N/A,#N/A,FALSE,"6.공문";#N/A,#N/A,FALSE,"7.netinvest"}</definedName>
    <definedName name="라아아" localSheetId="2"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라ㅏ러">#N/A</definedName>
    <definedName name="라ㅣ"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란다리아" localSheetId="2" hidden="1">{#N/A,#N/A,FALSE,"정공"}</definedName>
    <definedName name="란다리아" hidden="1">{#N/A,#N/A,FALSE,"정공"}</definedName>
    <definedName name="랴" localSheetId="2" hidden="1">{#N/A,#N/A,FALSE,"기안지";#N/A,#N/A,FALSE,"통신지"}</definedName>
    <definedName name="랴" hidden="1">{#N/A,#N/A,FALSE,"기안지";#N/A,#N/A,FALSE,"통신지"}</definedName>
    <definedName name="랻">#N/A</definedName>
    <definedName name="러시아" hidden="1">{#N/A,#N/A,FALSE,"단축1";#N/A,#N/A,FALSE,"단축2";#N/A,#N/A,FALSE,"단축3";#N/A,#N/A,FALSE,"장축";#N/A,#N/A,FALSE,"4WD"}</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ㅣ러니러니런ㄹㅈㄷㄹ" localSheetId="2" hidden="1">{"'Jibu9811 (3)'!$B$1:$J$433"}</definedName>
    <definedName name="러ㅣ러니러니런ㄹㅈㄷㄹ" hidden="1">{"'Jibu9811 (3)'!$B$1:$J$433"}</definedName>
    <definedName name="레" hidden="1">{#N/A,#N/A,TRUE,"경전'96(1)";#N/A,#N/A,TRUE,"경전'96 (2)"}</definedName>
    <definedName name="레180">#REF!</definedName>
    <definedName name="레210">#REF!</definedName>
    <definedName name="렌터카부문미반영" hidden="1">{#N/A,#N/A,FALSE,"손익표지";#N/A,#N/A,FALSE,"손익계산";#N/A,#N/A,FALSE,"일반관리비";#N/A,#N/A,FALSE,"영업외수익";#N/A,#N/A,FALSE,"영업외비용";#N/A,#N/A,FALSE,"매출액";#N/A,#N/A,FALSE,"요약손익";#N/A,#N/A,FALSE,"요약대차";#N/A,#N/A,FALSE,"매출채권현황";#N/A,#N/A,FALSE,"매출채권명세"}</definedName>
    <definedName name="로" localSheetId="2" hidden="1">{#N/A,#N/A,FALSE,"1.CRITERIA";#N/A,#N/A,FALSE,"2.IS";#N/A,#N/A,FALSE,"3.BS";#N/A,#N/A,FALSE,"4.PER PL";#N/A,#N/A,FALSE,"5.INVESTMENT";#N/A,#N/A,FALSE,"6.공문";#N/A,#N/A,FALSE,"7.netinvest"}</definedName>
    <definedName name="로" hidden="1">{#N/A,#N/A,FALSE,"1.CRITERIA";#N/A,#N/A,FALSE,"2.IS";#N/A,#N/A,FALSE,"3.BS";#N/A,#N/A,FALSE,"4.PER PL";#N/A,#N/A,FALSE,"5.INVESTMENT";#N/A,#N/A,FALSE,"6.공문";#N/A,#N/A,FALSE,"7.netinvest"}</definedName>
    <definedName name="로커커버" localSheetId="2" hidden="1">{#N/A,#N/A,FALSE,"단축1";#N/A,#N/A,FALSE,"단축2";#N/A,#N/A,FALSE,"단축3";#N/A,#N/A,FALSE,"장축";#N/A,#N/A,FALSE,"4WD"}</definedName>
    <definedName name="로커커버" hidden="1">{#N/A,#N/A,FALSE,"단축1";#N/A,#N/A,FALSE,"단축2";#N/A,#N/A,FALSE,"단축3";#N/A,#N/A,FALSE,"장축";#N/A,#N/A,FALSE,"4WD"}</definedName>
    <definedName name="로ㅗㅀ" hidden="1">{#N/A,#N/A,FALSE,"손익표지";#N/A,#N/A,FALSE,"손익계산";#N/A,#N/A,FALSE,"일반관리비";#N/A,#N/A,FALSE,"영업외수익";#N/A,#N/A,FALSE,"영업외비용";#N/A,#N/A,FALSE,"매출액";#N/A,#N/A,FALSE,"요약손익";#N/A,#N/A,FALSE,"요약대차";#N/A,#N/A,FALSE,"매출채권현황";#N/A,#N/A,FALSE,"매출채권명세"}</definedName>
    <definedName name="롯데기공">#N/A</definedName>
    <definedName name="롸ㅡㅗ" hidden="1">{#N/A,#N/A,FALSE,"단축1";#N/A,#N/A,FALSE,"단축2";#N/A,#N/A,FALSE,"단축3";#N/A,#N/A,FALSE,"장축";#N/A,#N/A,FALSE,"4WD"}</definedName>
    <definedName name="류" localSheetId="2" hidden="1">{#N/A,#N/A,FALSE,"1.CRITERIA";#N/A,#N/A,FALSE,"2.IS";#N/A,#N/A,FALSE,"3.BS";#N/A,#N/A,FALSE,"4.PER PL";#N/A,#N/A,FALSE,"5.INVESTMENT";#N/A,#N/A,FALSE,"6.공문";#N/A,#N/A,FALSE,"7.netinvest"}</definedName>
    <definedName name="류" hidden="1">{#N/A,#N/A,FALSE,"1.CRITERIA";#N/A,#N/A,FALSE,"2.IS";#N/A,#N/A,FALSE,"3.BS";#N/A,#N/A,FALSE,"4.PER PL";#N/A,#N/A,FALSE,"5.INVESTMENT";#N/A,#N/A,FALSE,"6.공문";#N/A,#N/A,FALSE,"7.netinvest"}</definedName>
    <definedName name="리" hidden="1">#REF!</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베로" hidden="1">{#N/A,#N/A,FALSE,"단축1";#N/A,#N/A,FALSE,"단축2";#N/A,#N/A,FALSE,"단축3";#N/A,#N/A,FALSE,"장축";#N/A,#N/A,FALSE,"4WD"}</definedName>
    <definedName name="리비" hidden="1">#REF!</definedName>
    <definedName name="리비아" hidden="1">#REF!</definedName>
    <definedName name="리비아아" hidden="1">#REF!</definedName>
    <definedName name="裏書譲渡手形" localSheetId="2" hidden="1">{"'買掛金'!$J$6"}</definedName>
    <definedName name="裏書譲渡手形" hidden="1">{"'買掛金'!$J$6"}</definedName>
    <definedName name="리셋">#REF!</definedName>
    <definedName name="리스">#REF!</definedName>
    <definedName name="리스조회기준년">#REF!,#REF!,#REF!,#REF!,#REF!,#REF!</definedName>
    <definedName name="리스조회기준월">#REF!,#REF!,#REF!,#REF!,#REF!,#REF!</definedName>
    <definedName name="리스조회기준일">#REF!,#REF!,#REF!,#REF!,#REF!,#REF!</definedName>
    <definedName name="리스조회서번호">#REF!,#REF!,#REF!</definedName>
    <definedName name="리스트">#REF!</definedName>
    <definedName name="리스회사명">#REF!,#REF!,#REF!,#REF!,#REF!,#REF!</definedName>
    <definedName name="리얼"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오" localSheetId="2" hidden="1">{"'Jibu9811 (3)'!$B$1:$J$433"}</definedName>
    <definedName name="리오" hidden="1">{"'Jibu9811 (3)'!$B$1:$J$433"}</definedName>
    <definedName name="링클라인" localSheetId="2" hidden="1">{"'Jibu9811 (3)'!$B$1:$J$433"}</definedName>
    <definedName name="링클라인" hidden="1">{"'Jibu9811 (3)'!$B$1:$J$433"}</definedName>
    <definedName name="ㄺ" hidden="1">{#N/A,#N/A,FALSE,"손익표지";#N/A,#N/A,FALSE,"손익계산";#N/A,#N/A,FALSE,"일반관리비";#N/A,#N/A,FALSE,"영업외수익";#N/A,#N/A,FALSE,"영업외비용";#N/A,#N/A,FALSE,"매출액";#N/A,#N/A,FALSE,"요약손익";#N/A,#N/A,FALSE,"요약대차";#N/A,#N/A,FALSE,"매출채권현황";#N/A,#N/A,FALSE,"매출채권명세"}</definedName>
    <definedName name="ㄺㄹ" localSheetId="2" hidden="1">{#N/A,#N/A,FALSE,"UNIT";#N/A,#N/A,FALSE,"UNIT";#N/A,#N/A,FALSE,"계정"}</definedName>
    <definedName name="ㄺㄹ" hidden="1">{#N/A,#N/A,FALSE,"UNIT";#N/A,#N/A,FALSE,"UNIT";#N/A,#N/A,FALSE,"계정"}</definedName>
    <definedName name="ㄺㅅ"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ㄻ" localSheetId="2" hidden="1">{#N/A,#N/A,FALSE,"포장2"}</definedName>
    <definedName name="ㄻ" hidden="1">{#N/A,#N/A,FALSE,"포장2"}</definedName>
    <definedName name="ㄻㄴ" hidden="1">{#N/A,#N/A,FALSE,"단축1";#N/A,#N/A,FALSE,"단축2";#N/A,#N/A,FALSE,"단축3";#N/A,#N/A,FALSE,"장축";#N/A,#N/A,FALSE,"4WD"}</definedName>
    <definedName name="ㄻ뢀ㄴㄹㄹ" localSheetId="2" hidden="1">{"'Jibu9811 (3)'!$B$1:$J$433"}</definedName>
    <definedName name="ㄻ뢀ㄴㄹㄹ" hidden="1">{"'Jibu9811 (3)'!$B$1:$J$433"}</definedName>
    <definedName name="ㄼ호">BlankMacro1</definedName>
    <definedName name="ㅀ" localSheetId="2" hidden="1">{#N/A,#N/A,TRUE,"토적및재료집계";#N/A,#N/A,TRUE,"토적및재료집계";#N/A,#N/A,TRUE,"단위량"}</definedName>
    <definedName name="ㅀ" hidden="1">{#N/A,#N/A,TRUE,"토적및재료집계";#N/A,#N/A,TRUE,"토적및재료집계";#N/A,#N/A,TRUE,"단위량"}</definedName>
    <definedName name="ㅀ미리밀ㅎ밈림" localSheetId="2" hidden="1">{#N/A,#N/A,FALSE,"을지 (4)";#N/A,#N/A,FALSE,"을지 (5)";#N/A,#N/A,FALSE,"을지 (6)"}</definedName>
    <definedName name="ㅀ미리밀ㅎ밈림" hidden="1">{#N/A,#N/A,FALSE,"을지 (4)";#N/A,#N/A,FALSE,"을지 (5)";#N/A,#N/A,FALSE,"을지 (6)"}</definedName>
    <definedName name="ㅀㅅㄱ" hidden="1">{#N/A,#N/A,FALSE,"Sheet6"}</definedName>
    <definedName name="ㅀㅇㄹㄶㅀㄹ" localSheetId="2" hidden="1">{#N/A,#N/A,FALSE,"UNIT";#N/A,#N/A,FALSE,"UNIT";#N/A,#N/A,FALSE,"계정"}</definedName>
    <definedName name="ㅀㅇㄹㄶㅀㄹ" hidden="1">{#N/A,#N/A,FALSE,"UNIT";#N/A,#N/A,FALSE,"UNIT";#N/A,#N/A,FALSE,"계정"}</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ㅁ" localSheetId="2" hidden="1">{#N/A,#N/A,FALSE,"UNIT";#N/A,#N/A,FALSE,"UNIT";#N/A,#N/A,FALSE,"계정"}</definedName>
    <definedName name="ㅁ" hidden="1">{#N/A,#N/A,FALSE,"UNIT";#N/A,#N/A,FALSE,"UNIT";#N/A,#N/A,FALSE,"계정"}</definedName>
    <definedName name="ㅁ0">#REF!</definedName>
    <definedName name="ㅁ1">#REF!</definedName>
    <definedName name="ㅁ100">#REF!</definedName>
    <definedName name="ㅁ1000">#REF!</definedName>
    <definedName name="ㅁ1180">#REF!</definedName>
    <definedName name="ㅁ139">#REF!</definedName>
    <definedName name="ㅁ1390">#REF!</definedName>
    <definedName name="ㅁ1510.">#REF!</definedName>
    <definedName name="ㅁ1700">#REF!</definedName>
    <definedName name="ㅁ1800">#REF!</definedName>
    <definedName name="ㅁ188">#REF!</definedName>
    <definedName name="ㅁ1882">#REF!</definedName>
    <definedName name="ㅁ2" localSheetId="2">BlankMacro1</definedName>
    <definedName name="ㅁ2" localSheetId="0">BlankMacro1</definedName>
    <definedName name="ㅁ2">BlankMacro1</definedName>
    <definedName name="ㅁ220">#REF!</definedName>
    <definedName name="ㅁ2200">#REF!</definedName>
    <definedName name="ㅁ232">#REF!</definedName>
    <definedName name="ㅁ2400">#REF!</definedName>
    <definedName name="ㅁ3">#REF!</definedName>
    <definedName name="ㅁ310">#REF!</definedName>
    <definedName name="ㅁ380">#REF!</definedName>
    <definedName name="ㅁ500">#REF!</definedName>
    <definedName name="ㅁ561">#REF!</definedName>
    <definedName name="ㅁ65">#REF!</definedName>
    <definedName name="ㅁ754">#REF!</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 localSheetId="2" hidden="1">{#N/A,#N/A,TRUE,"매출진척-1";#N/A,#N/A,TRUE,"매출진척-2";#N/A,#N/A,TRUE,"제품실적";#N/A,#N/A,TRUE,"RAC";#N/A,#N/A,TRUE,"PAC ";#N/A,#N/A,TRUE,"재고현황";#N/A,#N/A,TRUE,"공지사항"}</definedName>
    <definedName name="ㅁㄴ" hidden="1">{#N/A,#N/A,TRUE,"매출진척-1";#N/A,#N/A,TRUE,"매출진척-2";#N/A,#N/A,TRUE,"제품실적";#N/A,#N/A,TRUE,"RAC";#N/A,#N/A,TRUE,"PAC ";#N/A,#N/A,TRUE,"재고현황";#N/A,#N/A,TRUE,"공지사항"}</definedName>
    <definedName name="ㅁㄴㄴㄴㄴ">#REF!</definedName>
    <definedName name="ㅁㄴㄴㅁ" hidden="1">{#N/A,#N/A,FALSE,"단축1";#N/A,#N/A,FALSE,"단축2";#N/A,#N/A,FALSE,"단축3";#N/A,#N/A,FALSE,"장축";#N/A,#N/A,FALSE,"4WD"}</definedName>
    <definedName name="ㅁㄴ도모" hidden="1">{#N/A,#N/A,TRUE,"경전'96(1)";#N/A,#N/A,TRUE,"경전'96 (2)"}</definedName>
    <definedName name="ㅁㄴㄹ" hidden="1">{#N/A,#N/A,FALSE,"전력간선"}</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ㄻ">#REF!</definedName>
    <definedName name="ㅁㄴㅁ" hidden="1">{#N/A,#N/A,FALSE,"단축1";#N/A,#N/A,FALSE,"단축2";#N/A,#N/A,FALSE,"단축3";#N/A,#N/A,FALSE,"장축";#N/A,#N/A,FALSE,"4WD"}</definedName>
    <definedName name="ㅁㄴㅁㅇ" hidden="1">#REF!</definedName>
    <definedName name="ㅁㄴㅇ" hidden="1">#REF!</definedName>
    <definedName name="ㅁㄴㅇㄴㅇㄹㄴㅇ" hidden="1">{#N/A,#N/A,FALSE,"단축1";#N/A,#N/A,FALSE,"단축2";#N/A,#N/A,FALSE,"단축3";#N/A,#N/A,FALSE,"장축";#N/A,#N/A,FALSE,"4WD"}</definedName>
    <definedName name="ㅁㄴ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ㄹ" hidden="1">{#N/A,#N/A,FALSE,"손익표지";#N/A,#N/A,FALSE,"손익계산";#N/A,#N/A,FALSE,"일반관리비";#N/A,#N/A,FALSE,"영업외수익";#N/A,#N/A,FALSE,"영업외비용";#N/A,#N/A,FALSE,"매출액";#N/A,#N/A,FALSE,"요약손익";#N/A,#N/A,FALSE,"요약대차";#N/A,#N/A,FALSE,"매출채권현황";#N/A,#N/A,FALSE,"매출채권명세"}</definedName>
    <definedName name="ㅁㄴㅇ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ㄹ_1" hidden="1">{#N/A,#N/A,FALSE,"손익표지";#N/A,#N/A,FALSE,"손익계산";#N/A,#N/A,FALSE,"일반관리비";#N/A,#N/A,FALSE,"영업외수익";#N/A,#N/A,FALSE,"영업외비용";#N/A,#N/A,FALSE,"매출액";#N/A,#N/A,FALSE,"요약손익";#N/A,#N/A,FALSE,"요약대차";#N/A,#N/A,FALSE,"매출채권현황";#N/A,#N/A,FALSE,"매출채권명세"}</definedName>
    <definedName name="ㅁㄴㅇㄹㅇㄴㄹ" hidden="1">#REF!</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ㄼㄷㅈㄱㅂ">#N/A</definedName>
    <definedName name="ㅁㄴㅇㅁ" hidden="1">#REF!</definedName>
    <definedName name="ㅁㄴㅇㅁㄴㅇ" hidden="1">{#N/A,#N/A,FALSE,"단축1";#N/A,#N/A,FALSE,"단축2";#N/A,#N/A,FALSE,"단축3";#N/A,#N/A,FALSE,"장축";#N/A,#N/A,FALSE,"4WD"}</definedName>
    <definedName name="ㅁㄴㅇㅁㄻㄹㄹ">#N/A</definedName>
    <definedName name="ㅁㄴㅇㅎㅎ" hidden="1">#REF!</definedName>
    <definedName name="ㅁ니러나럼닐" localSheetId="2" hidden="1">{"'Jibu9811 (3)'!$B$1:$J$433"}</definedName>
    <definedName name="ㅁ니러나럼닐" hidden="1">{"'Jibu9811 (3)'!$B$1:$J$433"}</definedName>
    <definedName name="ㅁㄶㅇㅎㅁ">BlankMacro1</definedName>
    <definedName name="ㅁㄷㅀ">#N/A</definedName>
    <definedName name="ㅁㄹㄴㅁㄿ추ㅘㅘ"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ㄴㅁㄿ추ㅘㅘ"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ㄻㅁㄹ">#REF!</definedName>
    <definedName name="ㅁㄹㅇㅁ" hidden="1">#REF!</definedName>
    <definedName name="ㅁㄻㄴㄹㄴ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ㄴㄹㄴ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ㄻㄻㄹ"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ㄹ"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ㄻㄻㄹ15ㄱㅂㄼㄱㄹㄹ" hidden="1">#REF!</definedName>
    <definedName name="ㅁㄻㄻㄻㅁㅁㅁㅁ">#REF!</definedName>
    <definedName name="ㅁ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 localSheetId="2" hidden="1">{#N/A,#N/A,FALSE,"UNIT";#N/A,#N/A,FALSE,"UNIT";#N/A,#N/A,FALSE,"계정"}</definedName>
    <definedName name="ㅁㅁㅁ" hidden="1">{#N/A,#N/A,FALSE,"UNIT";#N/A,#N/A,FALSE,"UNIT";#N/A,#N/A,FALSE,"계정"}</definedName>
    <definedName name="ㅁㅁㅁㅁ" localSheetId="2" hidden="1">{#N/A,#N/A,FALSE,"UNIT";#N/A,#N/A,FALSE,"UNIT";#N/A,#N/A,FALSE,"계정"}</definedName>
    <definedName name="ㅁㅁㅁㅁ" hidden="1">{#N/A,#N/A,FALSE,"UNIT";#N/A,#N/A,FALSE,"UNIT";#N/A,#N/A,FALSE,"계정"}</definedName>
    <definedName name="ㅁㅁㅁㅁㅁ" localSheetId="2" hidden="1">{#N/A,#N/A,FALSE,"UNIT";#N/A,#N/A,FALSE,"UNIT";#N/A,#N/A,FALSE,"계정"}</definedName>
    <definedName name="ㅁㅁㅁㅁㅁ" hidden="1">{#N/A,#N/A,FALSE,"UNIT";#N/A,#N/A,FALSE,"UNIT";#N/A,#N/A,FALSE,"계정"}</definedName>
    <definedName name="ㅁㅁㅁㅁㅁㅁㅁ">#REF!</definedName>
    <definedName name="ㅁㅁㅁㅁㅁㅁㅁㅁㅁ">#REF!</definedName>
    <definedName name="ㅁㅁㅁㅁㅁㅁㅁㅁㅁㅁㅁㅁㅁㅁ" hidden="1">{#N/A,#N/A,FALSE,"단축1";#N/A,#N/A,FALSE,"단축2";#N/A,#N/A,FALSE,"단축3";#N/A,#N/A,FALSE,"장축";#N/A,#N/A,FALSE,"4WD"}</definedName>
    <definedName name="ㅁㅁㅁㅁㅁㅁㅁㅁㅁㅁㅁㅁㅁㅁㅁㅁㅁㅁㅁㅁ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ㅁㅁㅁㅁㅁㅁㅁㅁㅁㅁㅁㅁㅁㅁㅁㅁ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ㅇ" hidden="1">{#N/A,#N/A,FALSE,"단축1";#N/A,#N/A,FALSE,"단축2";#N/A,#N/A,FALSE,"단축3";#N/A,#N/A,FALSE,"장축";#N/A,#N/A,FALSE,"4WD"}</definedName>
    <definedName name="ㅁㅁ심힘ㄴㄹ" localSheetId="2" hidden="1">{"'Jibu9811 (3)'!$B$1:$J$433"}</definedName>
    <definedName name="ㅁㅁ심힘ㄴㄹ" hidden="1">{"'Jibu9811 (3)'!$B$1:$J$433"}</definedName>
    <definedName name="ㅁㅂ">#REF!</definedName>
    <definedName name="ㅁㅂㅇㄴㄹ">#N/A</definedName>
    <definedName name="ㅁㅇ" hidden="1">{#N/A,#N/A,FALSE,"단축1";#N/A,#N/A,FALSE,"단축2";#N/A,#N/A,FALSE,"단축3";#N/A,#N/A,FALSE,"장축";#N/A,#N/A,FALSE,"4WD"}</definedName>
    <definedName name="ㅁㅇㄴㄹ" hidden="1">{"SJ - 기본 보기",#N/A,FALSE,"공사별 외주견적"}</definedName>
    <definedName name="ㅁㅇㄹ" hidden="1">{#N/A,#N/A,FALSE,"단축1";#N/A,#N/A,FALSE,"단축2";#N/A,#N/A,FALSE,"단축3";#N/A,#N/A,FALSE,"장축";#N/A,#N/A,FALSE,"4WD"}</definedName>
    <definedName name="ㅁㅎㅁㅎ" hidden="1">{#N/A,#N/A,TRUE,"경전'96(1)";#N/A,#N/A,TRUE,"경전'96 (2)"}</definedName>
    <definedName name="ㅁㅎㅎ" hidden="1">#REF!</definedName>
    <definedName name="ㅁ호ㅗㅎ" hidden="1">{#N/A,#N/A,TRUE,"경전'96(1)";#N/A,#N/A,TRUE,"경전'96 (2)"}</definedName>
    <definedName name="마" localSheetId="2" hidden="1">{#N/A,#N/A,FALSE,"1.CRITERIA";#N/A,#N/A,FALSE,"2.IS";#N/A,#N/A,FALSE,"3.BS";#N/A,#N/A,FALSE,"4.PER PL";#N/A,#N/A,FALSE,"5.INVESTMENT";#N/A,#N/A,FALSE,"6.공문";#N/A,#N/A,FALSE,"7.netinvest"}</definedName>
    <definedName name="마" hidden="1">{#N/A,#N/A,FALSE,"1.CRITERIA";#N/A,#N/A,FALSE,"2.IS";#N/A,#N/A,FALSE,"3.BS";#N/A,#N/A,FALSE,"4.PER PL";#N/A,#N/A,FALSE,"5.INVESTMENT";#N/A,#N/A,FALSE,"6.공문";#N/A,#N/A,FALSE,"7.netinvest"}</definedName>
    <definedName name="마감" localSheetId="2" hidden="1">{#N/A,#N/A,TRUE,"Y생산";#N/A,#N/A,TRUE,"Y판매";#N/A,#N/A,TRUE,"Y총물량";#N/A,#N/A,TRUE,"Y능력";#N/A,#N/A,TRUE,"YKD"}</definedName>
    <definedName name="마감" hidden="1">{#N/A,#N/A,TRUE,"Y생산";#N/A,#N/A,TRUE,"Y판매";#N/A,#N/A,TRUE,"Y총물량";#N/A,#N/A,TRUE,"Y능력";#N/A,#N/A,TRUE,"YKD"}</definedName>
    <definedName name="마감공사비A3" hidden="1">#REF!</definedName>
    <definedName name="마마" localSheetId="2"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보이" hidden="1">{#N/A,#N/A,FALSE,"정공"}</definedName>
    <definedName name="마마오" localSheetId="2"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localSheetId="2"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바" hidden="1">{"'FAX번호'!$A$2:$F$21"}</definedName>
    <definedName name="마산">#REF!</definedName>
    <definedName name="마아" localSheetId="2"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마음" hidden="1">{"'손익현황'!$A$1:$J$29"}</definedName>
    <definedName name="마지막예산" hidden="1">{#N/A,#N/A,FALSE,"단축1";#N/A,#N/A,FALSE,"단축2";#N/A,#N/A,FALSE,"단축3";#N/A,#N/A,FALSE,"장축";#N/A,#N/A,FALSE,"4WD"}</definedName>
    <definedName name="마케팅" localSheetId="2" hidden="1">{"'5국공정'!$A$1:$E$128"}</definedName>
    <definedName name="마케팅" hidden="1">{"'5국공정'!$A$1:$E$128"}</definedName>
    <definedName name="마케팅2" localSheetId="2" hidden="1">{"'5국공정'!$A$1:$E$128"}</definedName>
    <definedName name="마케팅2" hidden="1">{"'5국공정'!$A$1:$E$128"}</definedName>
    <definedName name="만기보장수익율">#REF!</definedName>
    <definedName name="말">BlankMacro1</definedName>
    <definedName name="말자" hidden="1">{#N/A,#N/A,FALSE,"단축1";#N/A,#N/A,FALSE,"단축2";#N/A,#N/A,FALSE,"단축3";#N/A,#N/A,FALSE,"장축";#N/A,#N/A,FALSE,"4WD"}</definedName>
    <definedName name="망">#REF!</definedName>
    <definedName name="매" localSheetId="2" hidden="1">{#N/A,#N/A,FALSE,"1.CRITERIA";#N/A,#N/A,FALSE,"2.IS";#N/A,#N/A,FALSE,"3.BS";#N/A,#N/A,FALSE,"4.PER PL";#N/A,#N/A,FALSE,"5.INVESTMENT";#N/A,#N/A,FALSE,"6.공문";#N/A,#N/A,FALSE,"7.netinvest"}</definedName>
    <definedName name="매" hidden="1">{#N/A,#N/A,FALSE,"1.CRITERIA";#N/A,#N/A,FALSE,"2.IS";#N/A,#N/A,FALSE,"3.BS";#N/A,#N/A,FALSE,"4.PER PL";#N/A,#N/A,FALSE,"5.INVESTMENT";#N/A,#N/A,FALSE,"6.공문";#N/A,#N/A,FALSE,"7.netinvest"}</definedName>
    <definedName name="買掛金" localSheetId="2" hidden="1">{"'買掛金'!$J$6"}</definedName>
    <definedName name="買掛金" hidden="1">{"'買掛金'!$J$6"}</definedName>
    <definedName name="매료" localSheetId="2" hidden="1">{#N/A,#N/A,FALSE,"1.CRITERIA";#N/A,#N/A,FALSE,"2.IS";#N/A,#N/A,FALSE,"3.BS";#N/A,#N/A,FALSE,"4.PER PL";#N/A,#N/A,FALSE,"5.INVESTMENT";#N/A,#N/A,FALSE,"6.공문";#N/A,#N/A,FALSE,"7.netinvest"}</definedName>
    <definedName name="매료" hidden="1">{#N/A,#N/A,FALSE,"1.CRITERIA";#N/A,#N/A,FALSE,"2.IS";#N/A,#N/A,FALSE,"3.BS";#N/A,#N/A,FALSE,"4.PER PL";#N/A,#N/A,FALSE,"5.INVESTMENT";#N/A,#N/A,FALSE,"6.공문";#N/A,#N/A,FALSE,"7.netinvest"}</definedName>
    <definedName name="매입">#REF!</definedName>
    <definedName name="매입내역">#REF!</definedName>
    <definedName name="매입처">#REF!</definedName>
    <definedName name="매축액2" localSheetId="2"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hidden="1">#REF!</definedName>
    <definedName name="매출04" hidden="1">{#N/A,#N/A,FALSE,"손익표지";#N/A,#N/A,FALSE,"손익계산";#N/A,#N/A,FALSE,"일반관리비";#N/A,#N/A,FALSE,"영업외수익";#N/A,#N/A,FALSE,"영업외비용";#N/A,#N/A,FALSE,"매출액";#N/A,#N/A,FALSE,"요약손익";#N/A,#N/A,FALSE,"요약대차";#N/A,#N/A,FALSE,"매출채권현황";#N/A,#N/A,FALSE,"매출채권명세"}</definedName>
    <definedName name="매출1">#N/A</definedName>
    <definedName name="매출2">#N/A</definedName>
    <definedName name="매출bogo"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bogo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_1" hidden="1">{#N/A,#N/A,FALSE,"손익표지";#N/A,#N/A,FALSE,"손익계산";#N/A,#N/A,FALSE,"일반관리비";#N/A,#N/A,FALSE,"영업외수익";#N/A,#N/A,FALSE,"영업외비용";#N/A,#N/A,FALSE,"매출액";#N/A,#N/A,FALSE,"요약손익";#N/A,#N/A,FALSE,"요약대차";#N/A,#N/A,FALSE,"매출채권현황";#N/A,#N/A,FALSE,"매출채권명세"}</definedName>
    <definedName name="매출tt" localSheetId="2" hidden="1">{#N/A,#N/A,FALSE,"BS";#N/A,#N/A,FALSE,"PL";#N/A,#N/A,FALSE,"처분";#N/A,#N/A,FALSE,"현금";#N/A,#N/A,FALSE,"매출";#N/A,#N/A,FALSE,"원가";#N/A,#N/A,FALSE,"경영"}</definedName>
    <definedName name="매출tt" hidden="1">{#N/A,#N/A,FALSE,"BS";#N/A,#N/A,FALSE,"PL";#N/A,#N/A,FALSE,"처분";#N/A,#N/A,FALSE,"현금";#N/A,#N/A,FALSE,"매출";#N/A,#N/A,FALSE,"원가";#N/A,#N/A,FALSE,"경영"}</definedName>
    <definedName name="매출계획" localSheetId="2" hidden="1">{#N/A,#N/A,FALSE,"UNIT";#N/A,#N/A,FALSE,"UNIT";#N/A,#N/A,FALSE,"계정"}</definedName>
    <definedName name="매출계획" hidden="1">{#N/A,#N/A,FALSE,"UNIT";#N/A,#N/A,FALSE,"UNIT";#N/A,#N/A,FALSE,"계정"}</definedName>
    <definedName name="매출계획2" localSheetId="2" hidden="1">{"'Sheet1'!$A$1:$H$36"}</definedName>
    <definedName name="매출계획2" hidden="1">{"'Sheet1'!$A$1:$H$36"}</definedName>
    <definedName name="매출구분">#REF!</definedName>
    <definedName name="매출금">#REF!</definedName>
    <definedName name="매출기준" hidden="1">{#N/A,#N/A,FALSE,"정공"}</definedName>
    <definedName name="매출및원가">#REF!</definedName>
    <definedName name="매출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보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보고_1" hidden="1">{#N/A,#N/A,FALSE,"손익표지";#N/A,#N/A,FALSE,"손익계산";#N/A,#N/A,FALSE,"일반관리비";#N/A,#N/A,FALSE,"영업외수익";#N/A,#N/A,FALSE,"영업외비용";#N/A,#N/A,FALSE,"매출액";#N/A,#N/A,FALSE,"요약손익";#N/A,#N/A,FALSE,"요약대차";#N/A,#N/A,FALSE,"매출채권현황";#N/A,#N/A,FALSE,"매출채권명세"}</definedName>
    <definedName name="매출분석">#REF!,#REF!</definedName>
    <definedName name="매출손익" hidden="1">{#N/A,#N/A,FALSE,"정공"}</definedName>
    <definedName name="매출액" hidden="1">#REF!</definedName>
    <definedName name="매출액2" localSheetId="2" hidden="1">{#N/A,#N/A,FALSE,"1.CRITERIA";#N/A,#N/A,FALSE,"2.IS";#N/A,#N/A,FALSE,"3.BS";#N/A,#N/A,FALSE,"4.PER PL";#N/A,#N/A,FALSE,"5.INVESTMENT";#N/A,#N/A,FALSE,"6.공문";#N/A,#N/A,FALSE,"7.netinvest"}</definedName>
    <definedName name="매출액2" hidden="1">{#N/A,#N/A,FALSE,"1.CRITERIA";#N/A,#N/A,FALSE,"2.IS";#N/A,#N/A,FALSE,"3.BS";#N/A,#N/A,FALSE,"4.PER PL";#N/A,#N/A,FALSE,"5.INVESTMENT";#N/A,#N/A,FALSE,"6.공문";#N/A,#N/A,FALSE,"7.netinvest"}</definedName>
    <definedName name="매출원">#N/A</definedName>
    <definedName name="매출원6">#N/A</definedName>
    <definedName name="매출원가">#REF!</definedName>
    <definedName name="매출원가1" localSheetId="2" hidden="1">{#N/A,#N/A,FALSE,"Aging Summary";#N/A,#N/A,FALSE,"Ratio Analysis";#N/A,#N/A,FALSE,"Test 120 Day Accts";#N/A,#N/A,FALSE,"Tickmarks"}</definedName>
    <definedName name="매출원가1" hidden="1">{#N/A,#N/A,FALSE,"Aging Summary";#N/A,#N/A,FALSE,"Ratio Analysis";#N/A,#N/A,FALSE,"Test 120 Day Accts";#N/A,#N/A,FALSE,"Tickmarks"}</definedName>
    <definedName name="매출원가사본">#N/A</definedName>
    <definedName name="매출전환손익" hidden="1">{#N/A,#N/A,FALSE,"정공"}</definedName>
    <definedName name="매출조정" localSheetId="2" hidden="1">{"'Jibu9811 (3)'!$B$1:$J$433"}</definedName>
    <definedName name="매출조정" hidden="1">{"'Jibu9811 (3)'!$B$1:$J$433"}</definedName>
    <definedName name="매출채권">#REF!</definedName>
    <definedName name="매출채권_1" localSheetId="2" hidden="1">{#N/A,#N/A,FALSE,"Aging Summary";#N/A,#N/A,FALSE,"Ratio Analysis";#N/A,#N/A,FALSE,"Test 120 Day Accts";#N/A,#N/A,FALSE,"Tickmarks"}</definedName>
    <definedName name="매출채권_1" hidden="1">{#N/A,#N/A,FALSE,"Aging Summary";#N/A,#N/A,FALSE,"Ratio Analysis";#N/A,#N/A,FALSE,"Test 120 Day Accts";#N/A,#N/A,FALSE,"Tickmarks"}</definedName>
    <definedName name="매출채권_1_1" localSheetId="2" hidden="1">{#N/A,#N/A,FALSE,"Aging Summary";#N/A,#N/A,FALSE,"Ratio Analysis";#N/A,#N/A,FALSE,"Test 120 Day Accts";#N/A,#N/A,FALSE,"Tickmarks"}</definedName>
    <definedName name="매출채권_1_1" hidden="1">{#N/A,#N/A,FALSE,"Aging Summary";#N/A,#N/A,FALSE,"Ratio Analysis";#N/A,#N/A,FALSE,"Test 120 Day Accts";#N/A,#N/A,FALSE,"Tickmarks"}</definedName>
    <definedName name="매출채권_다른거">#REF!</definedName>
    <definedName name="매출채권비율" localSheetId="2" hidden="1">{"'손익현황'!$A$1:$J$29"}</definedName>
    <definedName name="매출채권비율" hidden="1">{"'손익현황'!$A$1:$J$29"}</definedName>
    <definedName name="매출채권비율_1" localSheetId="2" hidden="1">{"'손익현황'!$A$1:$J$29"}</definedName>
    <definedName name="매출채권비율_1" hidden="1">{"'손익현황'!$A$1:$J$29"}</definedName>
    <definedName name="매출채권평균">#REF!</definedName>
    <definedName name="매출채권할인내역">#REF!</definedName>
    <definedName name="매출채권할인및양도">#REF!</definedName>
    <definedName name="매출채권할인및융통어음내역">#REF!</definedName>
    <definedName name="매출추1" localSheetId="2" hidden="1">{#N/A,#N/A,FALSE,"정공"}</definedName>
    <definedName name="매출추1" hidden="1">{#N/A,#N/A,FALSE,"정공"}</definedName>
    <definedName name="매출추정" localSheetId="2" hidden="1">{#N/A,#N/A,FALSE,"정공"}</definedName>
    <definedName name="매출추정" hidden="1">{#N/A,#N/A,FALSE,"정공"}</definedName>
    <definedName name="매크로3">#REF!</definedName>
    <definedName name="맥문동">#REF!</definedName>
    <definedName name="머라ㅗㅁㄴ라ㅓ"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라ㅗㅁㄴ라ㅓ"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머" localSheetId="2" hidden="1">{#N/A,#N/A,FALSE,"1.CRITERIA";#N/A,#N/A,FALSE,"2.IS";#N/A,#N/A,FALSE,"3.BS";#N/A,#N/A,FALSE,"4.PER PL";#N/A,#N/A,FALSE,"5.INVESTMENT";#N/A,#N/A,FALSE,"6.공문";#N/A,#N/A,FALSE,"7.netinvest"}</definedName>
    <definedName name="머머" hidden="1">{#N/A,#N/A,FALSE,"1.CRITERIA";#N/A,#N/A,FALSE,"2.IS";#N/A,#N/A,FALSE,"3.BS";#N/A,#N/A,FALSE,"4.PER PL";#N/A,#N/A,FALSE,"5.INVESTMENT";#N/A,#N/A,FALSE,"6.공문";#N/A,#N/A,FALSE,"7.netinvest"}</definedName>
    <definedName name="머지">#REF!</definedName>
    <definedName name="머ㅏㅑㄷ">BlankMacro1</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멋진승하0">#REF!</definedName>
    <definedName name="며며" localSheetId="2" hidden="1">{#N/A,#N/A,FALSE,"1.CRITERIA";#N/A,#N/A,FALSE,"2.IS";#N/A,#N/A,FALSE,"3.BS";#N/A,#N/A,FALSE,"4.PER PL";#N/A,#N/A,FALSE,"5.INVESTMENT";#N/A,#N/A,FALSE,"6.공문";#N/A,#N/A,FALSE,"7.netinvest"}</definedName>
    <definedName name="며며" hidden="1">{#N/A,#N/A,FALSE,"1.CRITERIA";#N/A,#N/A,FALSE,"2.IS";#N/A,#N/A,FALSE,"3.BS";#N/A,#N/A,FALSE,"4.PER PL";#N/A,#N/A,FALSE,"5.INVESTMENT";#N/A,#N/A,FALSE,"6.공문";#N/A,#N/A,FALSE,"7.netinvest"}</definedName>
    <definedName name="면벅">#REF!</definedName>
    <definedName name="면벽높이">#REF!</definedName>
    <definedName name="면벽두께">#REF!</definedName>
    <definedName name="면적">#REF!</definedName>
    <definedName name="명단2" localSheetId="2" hidden="1">{"'Jibu9811 (3)'!$B$1:$J$433"}</definedName>
    <definedName name="명단2" hidden="1">{"'Jibu9811 (3)'!$B$1:$J$433"}</definedName>
    <definedName name="명단결과" localSheetId="2" hidden="1">{"'Jibu9811 (3)'!$B$1:$J$433"}</definedName>
    <definedName name="명단결과" hidden="1">{"'Jibu9811 (3)'!$B$1:$J$433"}</definedName>
    <definedName name="명칭">#REF!</definedName>
    <definedName name="명퇴과표">#REF!</definedName>
    <definedName name="명퇴금">#REF!</definedName>
    <definedName name="명퇴산출세액">#REF!</definedName>
    <definedName name="명퇴연평균과표">#REF!</definedName>
    <definedName name="명퇴퇴직소득공제계">#REF!</definedName>
    <definedName name="명퇴환산세액">#REF!</definedName>
    <definedName name="모" localSheetId="2" hidden="1">{#N/A,#N/A,FALSE,"Aging Summary";#N/A,#N/A,FALSE,"Ratio Analysis";#N/A,#N/A,FALSE,"Test 120 Day Accts";#N/A,#N/A,FALSE,"Tickmarks"}</definedName>
    <definedName name="모" hidden="1">{#N/A,#N/A,FALSE,"Aging Summary";#N/A,#N/A,FALSE,"Ratio Analysis";#N/A,#N/A,FALSE,"Test 120 Day Accts";#N/A,#N/A,FALSE,"Tickmarks"}</definedName>
    <definedName name="모_1" localSheetId="2" hidden="1">{#N/A,#N/A,FALSE,"Aging Summary";#N/A,#N/A,FALSE,"Ratio Analysis";#N/A,#N/A,FALSE,"Test 120 Day Accts";#N/A,#N/A,FALSE,"Tickmarks"}</definedName>
    <definedName name="모_1" hidden="1">{#N/A,#N/A,FALSE,"Aging Summary";#N/A,#N/A,FALSE,"Ratio Analysis";#N/A,#N/A,FALSE,"Test 120 Day Accts";#N/A,#N/A,FALSE,"Tickmarks"}</definedName>
    <definedName name="모과나무">#REF!</definedName>
    <definedName name="모나리자아" hidden="1">{#N/A,#N/A,FALSE,"정공"}</definedName>
    <definedName name="모두" hidden="1">{#N/A,#N/A,FALSE,"손익표지";#N/A,#N/A,FALSE,"손익계산";#N/A,#N/A,FALSE,"일반관리비";#N/A,#N/A,FALSE,"영업외수익";#N/A,#N/A,FALSE,"영업외비용";#N/A,#N/A,FALSE,"매출액";#N/A,#N/A,FALSE,"요약손익";#N/A,#N/A,FALSE,"요약대차";#N/A,#N/A,FALSE,"매출채권현황";#N/A,#N/A,FALSE,"매출채권명세"}</definedName>
    <definedName name="모두발언" hidden="1">{#N/A,#N/A,FALSE,"손익표지";#N/A,#N/A,FALSE,"손익계산";#N/A,#N/A,FALSE,"일반관리비";#N/A,#N/A,FALSE,"영업외수익";#N/A,#N/A,FALSE,"영업외비용";#N/A,#N/A,FALSE,"매출액";#N/A,#N/A,FALSE,"요약손익";#N/A,#N/A,FALSE,"요약대차";#N/A,#N/A,FALSE,"매출채권현황";#N/A,#N/A,FALSE,"매출채권명세"}</definedName>
    <definedName name="모리" localSheetId="2" hidden="1">{#N/A,#N/A,FALSE,"1.CRITERIA";#N/A,#N/A,FALSE,"2.IS";#N/A,#N/A,FALSE,"3.BS";#N/A,#N/A,FALSE,"4.PER PL";#N/A,#N/A,FALSE,"5.INVESTMENT";#N/A,#N/A,FALSE,"6.공문";#N/A,#N/A,FALSE,"7.netinvest"}</definedName>
    <definedName name="모리" hidden="1">{#N/A,#N/A,FALSE,"1.CRITERIA";#N/A,#N/A,FALSE,"2.IS";#N/A,#N/A,FALSE,"3.BS";#N/A,#N/A,FALSE,"4.PER PL";#N/A,#N/A,FALSE,"5.INVESTMENT";#N/A,#N/A,FALSE,"6.공문";#N/A,#N/A,FALSE,"7.netinvest"}</definedName>
    <definedName name="모모" localSheetId="2"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야" localSheetId="2" hidden="1">{#N/A,#N/A,FALSE,"BS";#N/A,#N/A,FALSE,"PL";#N/A,#N/A,FALSE,"처분";#N/A,#N/A,FALSE,"현금";#N/A,#N/A,FALSE,"매출";#N/A,#N/A,FALSE,"원가";#N/A,#N/A,FALSE,"경영"}</definedName>
    <definedName name="모야" hidden="1">{#N/A,#N/A,FALSE,"BS";#N/A,#N/A,FALSE,"PL";#N/A,#N/A,FALSE,"처분";#N/A,#N/A,FALSE,"현금";#N/A,#N/A,FALSE,"매출";#N/A,#N/A,FALSE,"원가";#N/A,#N/A,FALSE,"경영"}</definedName>
    <definedName name="모야_1" localSheetId="2" hidden="1">{#N/A,#N/A,FALSE,"BS";#N/A,#N/A,FALSE,"PL";#N/A,#N/A,FALSE,"처분";#N/A,#N/A,FALSE,"현금";#N/A,#N/A,FALSE,"매출";#N/A,#N/A,FALSE,"원가";#N/A,#N/A,FALSE,"경영"}</definedName>
    <definedName name="모야_1" hidden="1">{#N/A,#N/A,FALSE,"BS";#N/A,#N/A,FALSE,"PL";#N/A,#N/A,FALSE,"처분";#N/A,#N/A,FALSE,"현금";#N/A,#N/A,FALSE,"매출";#N/A,#N/A,FALSE,"원가";#N/A,#N/A,FALSE,"경영"}</definedName>
    <definedName name="목" hidden="1">{#N/A,#N/A,FALSE,"손익표지";#N/A,#N/A,FALSE,"손익계산";#N/A,#N/A,FALSE,"일반관리비";#N/A,#N/A,FALSE,"영업외수익";#N/A,#N/A,FALSE,"영업외비용";#N/A,#N/A,FALSE,"매출액";#N/A,#N/A,FALSE,"요약손익";#N/A,#N/A,FALSE,"요약대차";#N/A,#N/A,FALSE,"매출채권현황";#N/A,#N/A,FALSE,"매출채권명세"}</definedName>
    <definedName name="목ㄱ돋">BLCH</definedName>
    <definedName name="목공">#REF!</definedName>
    <definedName name="목도공">#REF!</definedName>
    <definedName name="목돈입력">#REF!</definedName>
    <definedName name="목동현대">BLCH</definedName>
    <definedName name="목록">OFFSET(#REF!,0,0,COUNTA(#REF!),1)</definedName>
    <definedName name="목백합">#REF!</definedName>
    <definedName name="목차" localSheetId="2" hidden="1">{#N/A,#N/A,FALSE,"단축1";#N/A,#N/A,FALSE,"단축2";#N/A,#N/A,FALSE,"단축3";#N/A,#N/A,FALSE,"장축";#N/A,#N/A,FALSE,"4WD"}</definedName>
    <definedName name="목차" hidden="1">{#N/A,#N/A,FALSE,"단축1";#N/A,#N/A,FALSE,"단축2";#N/A,#N/A,FALSE,"단축3";#N/A,#N/A,FALSE,"장축";#N/A,#N/A,FALSE,"4WD"}</definedName>
    <definedName name="목차1" hidden="1">{#N/A,#N/A,FALSE,"손익표지";#N/A,#N/A,FALSE,"손익계산";#N/A,#N/A,FALSE,"일반관리비";#N/A,#N/A,FALSE,"영업외수익";#N/A,#N/A,FALSE,"영업외비용";#N/A,#N/A,FALSE,"매출액";#N/A,#N/A,FALSE,"요약손익";#N/A,#N/A,FALSE,"요약대차";#N/A,#N/A,FALSE,"매출채권현황";#N/A,#N/A,FALSE,"매출채권명세"}</definedName>
    <definedName name="목차2" hidden="1">#REF!</definedName>
    <definedName name="목차도" hidden="1">{#N/A,#N/A,FALSE,"정공"}</definedName>
    <definedName name="목포">#REF!</definedName>
    <definedName name="목포다" hidden="1">{#N/A,#N/A,FALSE,"손익표지";#N/A,#N/A,FALSE,"손익계산";#N/A,#N/A,FALSE,"일반관리비";#N/A,#N/A,FALSE,"영업외수익";#N/A,#N/A,FALSE,"영업외비용";#N/A,#N/A,FALSE,"매출액";#N/A,#N/A,FALSE,"요약손익";#N/A,#N/A,FALSE,"요약대차";#N/A,#N/A,FALSE,"매출채권현황";#N/A,#N/A,FALSE,"매출채권명세"}</definedName>
    <definedName name="목포발" hidden="1">{#N/A,#N/A,FALSE,"손익표지";#N/A,#N/A,FALSE,"손익계산";#N/A,#N/A,FALSE,"일반관리비";#N/A,#N/A,FALSE,"영업외수익";#N/A,#N/A,FALSE,"영업외비용";#N/A,#N/A,FALSE,"매출액";#N/A,#N/A,FALSE,"요약손익";#N/A,#N/A,FALSE,"요약대차";#N/A,#N/A,FALSE,"매출채권현황";#N/A,#N/A,FALSE,"매출채권명세"}</definedName>
    <definedName name="목표">#N/A</definedName>
    <definedName name="몬" hidden="1">{#N/A,#N/A,FALSE,"표지목차"}</definedName>
    <definedName name="몰">BlankMacro1</definedName>
    <definedName name="몰라" localSheetId="2" hidden="1">{#N/A,#N/A,FALSE,"정공"}</definedName>
    <definedName name="몰라" hidden="1">{#N/A,#N/A,FALSE,"정공"}</definedName>
    <definedName name="몰랄ㄹ" localSheetId="2" hidden="1">{#N/A,#N/A,FALSE,"초중조사서식 "}</definedName>
    <definedName name="몰랄ㄹ" hidden="1">{#N/A,#N/A,FALSE,"초중조사서식 "}</definedName>
    <definedName name="뫌" localSheetId="2" hidden="1">{#N/A,#N/A,FALSE,"1.CRITERIA";#N/A,#N/A,FALSE,"2.IS";#N/A,#N/A,FALSE,"3.BS";#N/A,#N/A,FALSE,"4.PER PL";#N/A,#N/A,FALSE,"5.INVESTMENT";#N/A,#N/A,FALSE,"6.공문";#N/A,#N/A,FALSE,"7.netinvest"}</definedName>
    <definedName name="뫌" hidden="1">{#N/A,#N/A,FALSE,"1.CRITERIA";#N/A,#N/A,FALSE,"2.IS";#N/A,#N/A,FALSE,"3.BS";#N/A,#N/A,FALSE,"4.PER PL";#N/A,#N/A,FALSE,"5.INVESTMENT";#N/A,#N/A,FALSE,"6.공문";#N/A,#N/A,FALSE,"7.netinvest"}</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무궁화">#REF!</definedName>
    <definedName name="무무" localSheetId="2" hidden="1">{#N/A,#N/A,FALSE,"1.CRITERIA";#N/A,#N/A,FALSE,"2.IS";#N/A,#N/A,FALSE,"3.BS";#N/A,#N/A,FALSE,"4.PER PL";#N/A,#N/A,FALSE,"5.INVESTMENT";#N/A,#N/A,FALSE,"6.공문";#N/A,#N/A,FALSE,"7.netinvest"}</definedName>
    <definedName name="무무" hidden="1">{#N/A,#N/A,FALSE,"1.CRITERIA";#N/A,#N/A,FALSE,"2.IS";#N/A,#N/A,FALSE,"3.BS";#N/A,#N/A,FALSE,"4.PER PL";#N/A,#N/A,FALSE,"5.INVESTMENT";#N/A,#N/A,FALSE,"6.공문";#N/A,#N/A,FALSE,"7.netinvest"}</definedName>
    <definedName name="무선안테나공">#REF!</definedName>
    <definedName name="무야" localSheetId="2" hidden="1">{#N/A,#N/A,FALSE,"BS";#N/A,#N/A,FALSE,"PL";#N/A,#N/A,FALSE,"A";#N/A,#N/A,FALSE,"B";#N/A,#N/A,FALSE,"B1";#N/A,#N/A,FALSE,"C";#N/A,#N/A,FALSE,"C1";#N/A,#N/A,FALSE,"C2";#N/A,#N/A,FALSE,"D";#N/A,#N/A,FALSE,"E";#N/A,#N/A,FALSE,"F";#N/A,#N/A,FALSE,"AA";#N/A,#N/A,FALSE,"BB";#N/A,#N/A,FALSE,"CC";#N/A,#N/A,FALSE,"DD";#N/A,#N/A,FALSE,"EE";#N/A,#N/A,FALSE,"FF";#N/A,#N/A,FALSE,"PL10";#N/A,#N/A,FALSE,"PL20";#N/A,#N/A,FALSE,"PL30"}</definedName>
    <definedName name="무야" hidden="1">{#N/A,#N/A,FALSE,"BS";#N/A,#N/A,FALSE,"PL";#N/A,#N/A,FALSE,"A";#N/A,#N/A,FALSE,"B";#N/A,#N/A,FALSE,"B1";#N/A,#N/A,FALSE,"C";#N/A,#N/A,FALSE,"C1";#N/A,#N/A,FALSE,"C2";#N/A,#N/A,FALSE,"D";#N/A,#N/A,FALSE,"E";#N/A,#N/A,FALSE,"F";#N/A,#N/A,FALSE,"AA";#N/A,#N/A,FALSE,"BB";#N/A,#N/A,FALSE,"CC";#N/A,#N/A,FALSE,"DD";#N/A,#N/A,FALSE,"EE";#N/A,#N/A,FALSE,"FF";#N/A,#N/A,FALSE,"PL10";#N/A,#N/A,FALSE,"PL20";#N/A,#N/A,FALSE,"PL30"}</definedName>
    <definedName name="무야_1" localSheetId="2" hidden="1">{#N/A,#N/A,FALSE,"BS";#N/A,#N/A,FALSE,"PL";#N/A,#N/A,FALSE,"A";#N/A,#N/A,FALSE,"B";#N/A,#N/A,FALSE,"B1";#N/A,#N/A,FALSE,"C";#N/A,#N/A,FALSE,"C1";#N/A,#N/A,FALSE,"C2";#N/A,#N/A,FALSE,"D";#N/A,#N/A,FALSE,"E";#N/A,#N/A,FALSE,"F";#N/A,#N/A,FALSE,"AA";#N/A,#N/A,FALSE,"BB";#N/A,#N/A,FALSE,"CC";#N/A,#N/A,FALSE,"DD";#N/A,#N/A,FALSE,"EE";#N/A,#N/A,FALSE,"FF";#N/A,#N/A,FALSE,"PL10";#N/A,#N/A,FALSE,"PL20";#N/A,#N/A,FALSE,"PL30"}</definedName>
    <definedName name="무야_1" hidden="1">{#N/A,#N/A,FALSE,"BS";#N/A,#N/A,FALSE,"PL";#N/A,#N/A,FALSE,"A";#N/A,#N/A,FALSE,"B";#N/A,#N/A,FALSE,"B1";#N/A,#N/A,FALSE,"C";#N/A,#N/A,FALSE,"C1";#N/A,#N/A,FALSE,"C2";#N/A,#N/A,FALSE,"D";#N/A,#N/A,FALSE,"E";#N/A,#N/A,FALSE,"F";#N/A,#N/A,FALSE,"AA";#N/A,#N/A,FALSE,"BB";#N/A,#N/A,FALSE,"CC";#N/A,#N/A,FALSE,"DD";#N/A,#N/A,FALSE,"EE";#N/A,#N/A,FALSE,"FF";#N/A,#N/A,FALSE,"PL10";#N/A,#N/A,FALSE,"PL20";#N/A,#N/A,FALSE,"PL30"}</definedName>
    <definedName name="무형자산" hidden="1">{#N/A,#N/A,FALSE,"Aging Summary";#N/A,#N/A,FALSE,"Ratio Analysis";#N/A,#N/A,FALSE,"Test 120 Day Accts";#N/A,#N/A,FALSE,"Tickmarks"}</definedName>
    <definedName name="문서의_처음">#N/A</definedName>
    <definedName name="문성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성수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성수_1" hidden="1">{#N/A,#N/A,FALSE,"손익표지";#N/A,#N/A,FALSE,"손익계산";#N/A,#N/A,FALSE,"일반관리비";#N/A,#N/A,FALSE,"영업외수익";#N/A,#N/A,FALSE,"영업외비용";#N/A,#N/A,FALSE,"매출액";#N/A,#N/A,FALSE,"요약손익";#N/A,#N/A,FALSE,"요약대차";#N/A,#N/A,FALSE,"매출채권현황";#N/A,#N/A,FALSE,"매출채권명세"}</definedName>
    <definedName name="문장주" hidden="1">{#N/A,#N/A,FALSE,"손익표지";#N/A,#N/A,FALSE,"손익계산";#N/A,#N/A,FALSE,"일반관리비";#N/A,#N/A,FALSE,"영업외수익";#N/A,#N/A,FALSE,"영업외비용";#N/A,#N/A,FALSE,"매출액";#N/A,#N/A,FALSE,"요약손익";#N/A,#N/A,FALSE,"요약대차";#N/A,#N/A,FALSE,"매출채권현황";#N/A,#N/A,FALSE,"매출채권명세"}</definedName>
    <definedName name="문제3" localSheetId="2" hidden="1">{#N/A,#N/A,FALSE,"단축1";#N/A,#N/A,FALSE,"단축2";#N/A,#N/A,FALSE,"단축3";#N/A,#N/A,FALSE,"장축";#N/A,#N/A,FALSE,"4WD"}</definedName>
    <definedName name="문제3" hidden="1">{#N/A,#N/A,FALSE,"단축1";#N/A,#N/A,FALSE,"단축2";#N/A,#N/A,FALSE,"단축3";#N/A,#N/A,FALSE,"장축";#N/A,#N/A,FALSE,"4WD"}</definedName>
    <definedName name="문제점" localSheetId="2" hidden="1">{"'Jibu9811 (3)'!$B$1:$J$433"}</definedName>
    <definedName name="문제점" hidden="1">{"'Jibu9811 (3)'!$B$1:$J$433"}</definedName>
    <definedName name="물"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가" hidden="1">{#N/A,#N/A,FALSE,"이태원철근"}</definedName>
    <definedName name="물가순">#REF!</definedName>
    <definedName name="물가자료">#REF!</definedName>
    <definedName name="물가정보">#REF!</definedName>
    <definedName name="물가제외순공사비">#REF!</definedName>
    <definedName name="물랴자" localSheetId="2" hidden="1">{#N/A,#N/A,TRUE,"Y생산";#N/A,#N/A,TRUE,"Y판매";#N/A,#N/A,TRUE,"Y총물량";#N/A,#N/A,TRUE,"Y능력";#N/A,#N/A,TRUE,"YKD"}</definedName>
    <definedName name="물랴자" hidden="1">{#N/A,#N/A,TRUE,"Y생산";#N/A,#N/A,TRUE,"Y판매";#N/A,#N/A,TRUE,"Y총물량";#N/A,#N/A,TRUE,"Y능력";#N/A,#N/A,TRUE,"YKD"}</definedName>
    <definedName name="물량수" localSheetId="2" hidden="1">{#N/A,#N/A,TRUE,"Y생산";#N/A,#N/A,TRUE,"Y판매";#N/A,#N/A,TRUE,"Y총물량";#N/A,#N/A,TRUE,"Y능력";#N/A,#N/A,TRUE,"YKD"}</definedName>
    <definedName name="물량수" hidden="1">{#N/A,#N/A,TRUE,"Y생산";#N/A,#N/A,TRUE,"Y판매";#N/A,#N/A,TRUE,"Y총물량";#N/A,#N/A,TRUE,"Y능력";#N/A,#N/A,TRUE,"YKD"}</definedName>
    <definedName name="물량수정" localSheetId="2" hidden="1">{#N/A,#N/A,TRUE,"Y생산";#N/A,#N/A,TRUE,"Y판매";#N/A,#N/A,TRUE,"Y총물량";#N/A,#N/A,TRUE,"Y능력";#N/A,#N/A,TRUE,"YKD"}</definedName>
    <definedName name="물량수정" hidden="1">{#N/A,#N/A,TRUE,"Y생산";#N/A,#N/A,TRUE,"Y판매";#N/A,#N/A,TRUE,"Y총물량";#N/A,#N/A,TRUE,"Y능력";#N/A,#N/A,TRUE,"YKD"}</definedName>
    <definedName name="물량수정1" localSheetId="2" hidden="1">{#N/A,#N/A,TRUE,"Y생산";#N/A,#N/A,TRUE,"Y판매";#N/A,#N/A,TRUE,"Y총물량";#N/A,#N/A,TRUE,"Y능력";#N/A,#N/A,TRUE,"YKD"}</definedName>
    <definedName name="물량수정1" hidden="1">{#N/A,#N/A,TRUE,"Y생산";#N/A,#N/A,TRUE,"Y판매";#N/A,#N/A,TRUE,"Y총물량";#N/A,#N/A,TRUE,"Y능력";#N/A,#N/A,TRUE,"YKD"}</definedName>
    <definedName name="물량수정2" localSheetId="2" hidden="1">{#N/A,#N/A,TRUE,"Y생산";#N/A,#N/A,TRUE,"Y판매";#N/A,#N/A,TRUE,"Y총물량";#N/A,#N/A,TRUE,"Y능력";#N/A,#N/A,TRUE,"YKD"}</definedName>
    <definedName name="물량수정2" hidden="1">{#N/A,#N/A,TRUE,"Y생산";#N/A,#N/A,TRUE,"Y판매";#N/A,#N/A,TRUE,"Y총물량";#N/A,#N/A,TRUE,"Y능력";#N/A,#N/A,TRUE,"YKD"}</definedName>
    <definedName name="물량정" localSheetId="2" hidden="1">{#N/A,#N/A,TRUE,"Y생산";#N/A,#N/A,TRUE,"Y판매";#N/A,#N/A,TRUE,"Y총물량";#N/A,#N/A,TRUE,"Y능력";#N/A,#N/A,TRUE,"YKD"}</definedName>
    <definedName name="물량정" hidden="1">{#N/A,#N/A,TRUE,"Y생산";#N/A,#N/A,TRUE,"Y판매";#N/A,#N/A,TRUE,"Y총물량";#N/A,#N/A,TRUE,"Y능력";#N/A,#N/A,TRUE,"YKD"}</definedName>
    <definedName name="물량조정" localSheetId="2" hidden="1">{#N/A,#N/A,TRUE,"Y생산";#N/A,#N/A,TRUE,"Y판매";#N/A,#N/A,TRUE,"Y총물량";#N/A,#N/A,TRUE,"Y능력";#N/A,#N/A,TRUE,"YKD"}</definedName>
    <definedName name="물량조정" hidden="1">{#N/A,#N/A,TRUE,"Y생산";#N/A,#N/A,TRUE,"Y판매";#N/A,#N/A,TRUE,"Y총물량";#N/A,#N/A,TRUE,"Y능력";#N/A,#N/A,TRUE,"YKD"}</definedName>
    <definedName name="물류" localSheetId="2" hidden="1">{#N/A,#N/A,TRUE,"일정"}</definedName>
    <definedName name="물류" hidden="1">{#N/A,#N/A,TRUE,"일정"}</definedName>
    <definedName name="물류혁신" localSheetId="2" hidden="1">{#N/A,#N/A,FALSE,"인원";#N/A,#N/A,FALSE,"비용2";#N/A,#N/A,FALSE,"비용1";#N/A,#N/A,FALSE,"비용";#N/A,#N/A,FALSE,"보증2";#N/A,#N/A,FALSE,"보증1";#N/A,#N/A,FALSE,"보증";#N/A,#N/A,FALSE,"손익1";#N/A,#N/A,FALSE,"손익";#N/A,#N/A,FALSE,"부서별매출";#N/A,#N/A,FALSE,"매출"}</definedName>
    <definedName name="물류혁신" hidden="1">{#N/A,#N/A,FALSE,"인원";#N/A,#N/A,FALSE,"비용2";#N/A,#N/A,FALSE,"비용1";#N/A,#N/A,FALSE,"비용";#N/A,#N/A,FALSE,"보증2";#N/A,#N/A,FALSE,"보증1";#N/A,#N/A,FALSE,"보증";#N/A,#N/A,FALSE,"손익1";#N/A,#N/A,FALSE,"손익";#N/A,#N/A,FALSE,"부서별매출";#N/A,#N/A,FALSE,"매출"}</definedName>
    <definedName name="물류혁신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수" localSheetId="2" hidden="1">{#N/A,#N/A,TRUE,"Y생산";#N/A,#N/A,TRUE,"Y판매";#N/A,#N/A,TRUE,"Y총물량";#N/A,#N/A,TRUE,"Y능력";#N/A,#N/A,TRUE,"YKD"}</definedName>
    <definedName name="물수" hidden="1">{#N/A,#N/A,TRUE,"Y생산";#N/A,#N/A,TRUE,"Y판매";#N/A,#N/A,TRUE,"Y총물량";#N/A,#N/A,TRUE,"Y능력";#N/A,#N/A,TRUE,"YKD"}</definedName>
    <definedName name="물자" hidden="1">#REF!</definedName>
    <definedName name="뭐">#REF!</definedName>
    <definedName name="뭐가이태원이야" hidden="1">{#N/A,#N/A,FALSE,"이태원철근"}</definedName>
    <definedName name="뭐야"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뭐야"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뭔지모르ㅔ" hidden="1">{#N/A,#N/A,FALSE,"손익표지";#N/A,#N/A,FALSE,"손익계산";#N/A,#N/A,FALSE,"일반관리비";#N/A,#N/A,FALSE,"영업외수익";#N/A,#N/A,FALSE,"영업외비용";#N/A,#N/A,FALSE,"매출액";#N/A,#N/A,FALSE,"요약손익";#N/A,#N/A,FALSE,"요약대차";#N/A,#N/A,FALSE,"매출채권현황";#N/A,#N/A,FALSE,"매출채권명세"}</definedName>
    <definedName name="뮤" localSheetId="2" hidden="1">{#N/A,#N/A,FALSE,"기술료 비교"}</definedName>
    <definedName name="뮤" hidden="1">{#N/A,#N/A,FALSE,"기술료 비교"}</definedName>
    <definedName name="뮤629">#REF!</definedName>
    <definedName name="뮤뮤" localSheetId="2" hidden="1">{#N/A,#N/A,FALSE,"1.CRITERIA";#N/A,#N/A,FALSE,"2.IS";#N/A,#N/A,FALSE,"3.BS";#N/A,#N/A,FALSE,"4.PER PL";#N/A,#N/A,FALSE,"5.INVESTMENT";#N/A,#N/A,FALSE,"6.공문";#N/A,#N/A,FALSE,"7.netinvest"}</definedName>
    <definedName name="뮤뮤" hidden="1">{#N/A,#N/A,FALSE,"1.CRITERIA";#N/A,#N/A,FALSE,"2.IS";#N/A,#N/A,FALSE,"3.BS";#N/A,#N/A,FALSE,"4.PER PL";#N/A,#N/A,FALSE,"5.INVESTMENT";#N/A,#N/A,FALSE,"6.공문";#N/A,#N/A,FALSE,"7.netinvest"}</definedName>
    <definedName name="므" localSheetId="2" hidden="1">{#N/A,#N/A,TRUE,"일정"}</definedName>
    <definedName name="므" hidden="1">{#N/A,#N/A,TRUE,"일정"}</definedName>
    <definedName name="미" localSheetId="2" hidden="1">{#N/A,#N/A,TRUE,"일정"}</definedName>
    <definedName name="미" hidden="1">{#N/A,#N/A,TRUE,"일정"}</definedName>
    <definedName name="미금" hidden="1">#REF!</definedName>
    <definedName name="미라" localSheetId="2" hidden="1">{#N/A,#N/A,FALSE,"1.CRITERIA";#N/A,#N/A,FALSE,"2.IS";#N/A,#N/A,FALSE,"3.BS";#N/A,#N/A,FALSE,"4.PER PL";#N/A,#N/A,FALSE,"5.INVESTMENT";#N/A,#N/A,FALSE,"6.공문";#N/A,#N/A,FALSE,"7.netinvest"}</definedName>
    <definedName name="미라" hidden="1">{#N/A,#N/A,FALSE,"1.CRITERIA";#N/A,#N/A,FALSE,"2.IS";#N/A,#N/A,FALSE,"3.BS";#N/A,#N/A,FALSE,"4.PER PL";#N/A,#N/A,FALSE,"5.INVESTMENT";#N/A,#N/A,FALSE,"6.공문";#N/A,#N/A,FALSE,"7.netinvest"}</definedName>
    <definedName name="미로" localSheetId="2"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localSheetId="2"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localSheetId="2"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localSheetId="2"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미아" localSheetId="2" hidden="1">{#N/A,#N/A,FALSE,"정공"}</definedName>
    <definedName name="미미미아" hidden="1">{#N/A,#N/A,FALSE,"정공"}</definedName>
    <definedName name="未払" localSheetId="2" hidden="1">{"'買掛金'!$J$6"}</definedName>
    <definedName name="未払" hidden="1">{"'買掛金'!$J$6"}</definedName>
    <definedName name="未払金" localSheetId="2" hidden="1">{"'買掛金'!$J$6"}</definedName>
    <definedName name="未払金" hidden="1">{"'買掛金'!$J$6"}</definedName>
    <definedName name="미석" localSheetId="2" hidden="1">{#N/A,#N/A,FALSE,"정공"}</definedName>
    <definedName name="미석" hidden="1">{#N/A,#N/A,FALSE,"정공"}</definedName>
    <definedName name="미수" localSheetId="2" hidden="1">{#N/A,#N/A,FALSE,"계약직(여)"}</definedName>
    <definedName name="미수" hidden="1">{#N/A,#N/A,FALSE,"계약직(여)"}</definedName>
    <definedName name="미수금" hidden="1">#REF!</definedName>
    <definedName name="미수수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수수익" hidden="1">{#N/A,#N/A,FALSE,"손익표지";#N/A,#N/A,FALSE,"손익계산";#N/A,#N/A,FALSE,"일반관리비";#N/A,#N/A,FALSE,"영업외수익";#N/A,#N/A,FALSE,"영업외비용";#N/A,#N/A,FALSE,"매출액";#N/A,#N/A,FALSE,"요약손익";#N/A,#N/A,FALSE,"요약대차";#N/A,#N/A,FALSE,"매출채권현황";#N/A,#N/A,FALSE,"매출채권명세"}</definedName>
    <definedName name="미수수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수수익_1" hidden="1">{#N/A,#N/A,FALSE,"손익표지";#N/A,#N/A,FALSE,"손익계산";#N/A,#N/A,FALSE,"일반관리비";#N/A,#N/A,FALSE,"영업외수익";#N/A,#N/A,FALSE,"영업외비용";#N/A,#N/A,FALSE,"매출액";#N/A,#N/A,FALSE,"요약손익";#N/A,#N/A,FALSE,"요약대차";#N/A,#N/A,FALSE,"매출채권현황";#N/A,#N/A,FALSE,"매출채권명세"}</definedName>
    <definedName name="미술">#REF!</definedName>
    <definedName name="미승인"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완성">#REF!</definedName>
    <definedName name="미완성상가">#REF!</definedName>
    <definedName name="미완성주택">#REF!</definedName>
    <definedName name="미음" hidden="1">{"'FAX번호'!$A$2:$F$21"}</definedName>
    <definedName name="미일초등">#REF!</definedName>
    <definedName name="미지" localSheetId="2" hidden="1">{#N/A,#N/A,FALSE,"UNIT";#N/A,#N/A,FALSE,"UNIT";#N/A,#N/A,FALSE,"계정"}</definedName>
    <definedName name="미지" hidden="1">{#N/A,#N/A,FALSE,"UNIT";#N/A,#N/A,FALSE,"UNIT";#N/A,#N/A,FALSE,"계정"}</definedName>
    <definedName name="미지급" localSheetId="2" hidden="1">{#N/A,#N/A,FALSE,"BS";#N/A,#N/A,FALSE,"PL";#N/A,#N/A,FALSE,"처분";#N/A,#N/A,FALSE,"현금";#N/A,#N/A,FALSE,"매출";#N/A,#N/A,FALSE,"원가";#N/A,#N/A,FALSE,"경영"}</definedName>
    <definedName name="미지급" hidden="1">{#N/A,#N/A,FALSE,"BS";#N/A,#N/A,FALSE,"PL";#N/A,#N/A,FALSE,"처분";#N/A,#N/A,FALSE,"현금";#N/A,#N/A,FALSE,"매출";#N/A,#N/A,FALSE,"원가";#N/A,#N/A,FALSE,"경영"}</definedName>
    <definedName name="미지급금">#REF!</definedName>
    <definedName name="미지급금06" hidden="1">#REF!</definedName>
    <definedName name="미지급명세" localSheetId="2" hidden="1">{"'보고양식'!$A$58:$K$111"}</definedName>
    <definedName name="미지급명세" hidden="1">{"'보고양식'!$A$58:$K$111"}</definedName>
    <definedName name="미지급분쟁">#REF!</definedName>
    <definedName name="미지급분쟁대상">#REF!</definedName>
    <definedName name="미지급분쟁무">#REF!</definedName>
    <definedName name="미지급브">BlankMacro1</definedName>
    <definedName name="미지급비용" localSheetId="2" hidden="1">{#N/A,#N/A,FALSE,"1.CRITERIA";#N/A,#N/A,FALSE,"2.IS";#N/A,#N/A,FALSE,"3.BS";#N/A,#N/A,FALSE,"4.PER PL";#N/A,#N/A,FALSE,"5.INVESTMENT";#N/A,#N/A,FALSE,"6.공문";#N/A,#N/A,FALSE,"7.netinvest"}</definedName>
    <definedName name="미지급비용" hidden="1">{#N/A,#N/A,FALSE,"1.CRITERIA";#N/A,#N/A,FALSE,"2.IS";#N/A,#N/A,FALSE,"3.BS";#N/A,#N/A,FALSE,"4.PER PL";#N/A,#N/A,FALSE,"5.INVESTMENT";#N/A,#N/A,FALSE,"6.공문";#N/A,#N/A,FALSE,"7.netinvest"}</definedName>
    <definedName name="미지급비용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분류" localSheetId="2" hidden="1">{#N/A,#N/A,FALSE,"계약직(여)"}</definedName>
    <definedName name="미지급비용분류" hidden="1">{#N/A,#N/A,FALSE,"계약직(여)"}</definedName>
    <definedName name="미지급이자" localSheetId="2" hidden="1">{"FORM17",#N/A,FALSE,"Commission1";"FORM17.1",#N/A,FALSE,"Commission2"}</definedName>
    <definedName name="미지급이자" hidden="1">{"FORM17",#N/A,FALSE,"Commission1";"FORM17.1",#N/A,FALSE,"Commission2"}</definedName>
    <definedName name="미지급이자분쟁무">#REF!</definedName>
    <definedName name="미지비용">#REF!</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미착기계" localSheetId="2" hidden="1">{#N/A,#N/A,FALSE,"9612"}</definedName>
    <definedName name="미착기계" hidden="1">{#N/A,#N/A,FALSE,"9612"}</definedName>
    <definedName name="미ㅣ하ㅣ미ㅣㅣㄴ" localSheetId="2" hidden="1">{"'Jibu9811 (3)'!$B$1:$J$433"}</definedName>
    <definedName name="미ㅣ하ㅣ미ㅣㅣㄴ" hidden="1">{"'Jibu9811 (3)'!$B$1:$J$433"}</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자사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_1" hidden="1">{#N/A,#N/A,FALSE,"손익표지";#N/A,#N/A,FALSE,"손익계산";#N/A,#N/A,FALSE,"일반관리비";#N/A,#N/A,FALSE,"영업외수익";#N/A,#N/A,FALSE,"영업외비용";#N/A,#N/A,FALSE,"매출액";#N/A,#N/A,FALSE,"요약손익";#N/A,#N/A,FALSE,"요약대차";#N/A,#N/A,FALSE,"매출채권현황";#N/A,#N/A,FALSE,"매출채권명세"}</definedName>
    <definedName name="민자사업2" hidden="1">{#N/A,#N/A,FALSE,"손익표지";#N/A,#N/A,FALSE,"손익계산";#N/A,#N/A,FALSE,"일반관리비";#N/A,#N/A,FALSE,"영업외수익";#N/A,#N/A,FALSE,"영업외비용";#N/A,#N/A,FALSE,"매출액";#N/A,#N/A,FALSE,"요약손익";#N/A,#N/A,FALSE,"요약대차";#N/A,#N/A,FALSE,"매출채권현황";#N/A,#N/A,FALSE,"매출채권명세"}</definedName>
    <definedName name="민자산업" hidden="1">{#N/A,#N/A,FALSE,"손익표지";#N/A,#N/A,FALSE,"손익계산";#N/A,#N/A,FALSE,"일반관리비";#N/A,#N/A,FALSE,"영업외수익";#N/A,#N/A,FALSE,"영업외비용";#N/A,#N/A,FALSE,"매출액";#N/A,#N/A,FALSE,"요약손익";#N/A,#N/A,FALSE,"요약대차";#N/A,#N/A,FALSE,"매출채권현황";#N/A,#N/A,FALSE,"매출채권명세"}</definedName>
    <definedName name="민지사업1"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2" hidden="1">{#N/A,#N/A,FALSE,"을지 (4)";#N/A,#N/A,FALSE,"을지 (5)";#N/A,#N/A,FALSE,"을지 (6)"}</definedName>
    <definedName name="민총2" hidden="1">{#N/A,#N/A,FALSE,"을지 (4)";#N/A,#N/A,FALSE,"을지 (5)";#N/A,#N/A,FALSE,"을지 (6)"}</definedName>
    <definedName name="밀" hidden="1">{#N/A,#N/A,TRUE,"경전'96(1)";#N/A,#N/A,TRUE,"경전'96 (2)"}</definedName>
    <definedName name="ㅂ"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2ㅂ2" hidden="1">{#N/A,#N/A,TRUE,"경전'96(1)";#N/A,#N/A,TRUE,"경전'96 (2)"}</definedName>
    <definedName name="ㅂ3ㄱ" localSheetId="2" hidden="1">{#N/A,#N/A,FALSE,"BS";#N/A,#N/A,FALSE,"PL";#N/A,#N/A,FALSE,"처분";#N/A,#N/A,FALSE,"현금";#N/A,#N/A,FALSE,"매출";#N/A,#N/A,FALSE,"원가";#N/A,#N/A,FALSE,"경영"}</definedName>
    <definedName name="ㅂ3ㄱ" hidden="1">{#N/A,#N/A,FALSE,"BS";#N/A,#N/A,FALSE,"PL";#N/A,#N/A,FALSE,"처분";#N/A,#N/A,FALSE,"현금";#N/A,#N/A,FALSE,"매출";#N/A,#N/A,FALSE,"원가";#N/A,#N/A,FALSE,"경영"}</definedName>
    <definedName name="ㅂ3ㄱ_1" localSheetId="2" hidden="1">{#N/A,#N/A,FALSE,"BS";#N/A,#N/A,FALSE,"PL";#N/A,#N/A,FALSE,"처분";#N/A,#N/A,FALSE,"현금";#N/A,#N/A,FALSE,"매출";#N/A,#N/A,FALSE,"원가";#N/A,#N/A,FALSE,"경영"}</definedName>
    <definedName name="ㅂ3ㄱ_1" hidden="1">{#N/A,#N/A,FALSE,"BS";#N/A,#N/A,FALSE,"PL";#N/A,#N/A,FALSE,"처분";#N/A,#N/A,FALSE,"현금";#N/A,#N/A,FALSE,"매출";#N/A,#N/A,FALSE,"원가";#N/A,#N/A,FALSE,"경영"}</definedName>
    <definedName name="ㅂㄱㄱ"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갷ㄻ" localSheetId="2" hidden="1">{"'Jibu9811 (3)'!$B$1:$J$433"}</definedName>
    <definedName name="ㅂ갷ㄻ" hidden="1">{"'Jibu9811 (3)'!$B$1:$J$433"}</definedName>
    <definedName name="ㅂㄳㄱ" hidden="1">{#N/A,#N/A,FALSE,"손익표지";#N/A,#N/A,FALSE,"손익계산";#N/A,#N/A,FALSE,"일반관리비";#N/A,#N/A,FALSE,"영업외수익";#N/A,#N/A,FALSE,"영업외비용";#N/A,#N/A,FALSE,"매출액";#N/A,#N/A,FALSE,"요약손익";#N/A,#N/A,FALSE,"요약대차";#N/A,#N/A,FALSE,"매출채권현황";#N/A,#N/A,FALSE,"매출채권명세"}</definedName>
    <definedName name="ㅂㄴㅁㅋ" hidden="1">{#N/A,#N/A,FALSE,"단축1";#N/A,#N/A,FALSE,"단축2";#N/A,#N/A,FALSE,"단축3";#N/A,#N/A,FALSE,"장축";#N/A,#N/A,FALSE,"4WD"}</definedName>
    <definedName name="ㅂㄷㄱ" hidden="1">{#N/A,#N/A,FALSE,"손익표지";#N/A,#N/A,FALSE,"손익계산";#N/A,#N/A,FALSE,"일반관리비";#N/A,#N/A,FALSE,"영업외수익";#N/A,#N/A,FALSE,"영업외비용";#N/A,#N/A,FALSE,"매출액";#N/A,#N/A,FALSE,"요약손익";#N/A,#N/A,FALSE,"요약대차";#N/A,#N/A,FALSE,"매출채권현황";#N/A,#N/A,FALSE,"매출채권명세"}</definedName>
    <definedName name="ㅂㄷㄳㄷㅂㄱ" hidden="1">#REF!</definedName>
    <definedName name="ㅂㄷㅂㄷ"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ㅂㄷ"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ㅅㅄ" hidden="1">#REF!</definedName>
    <definedName name="ㅂㄷㅈ.ㅂㄷㅂㄷㅂ"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ㅈ.ㅂㄷㅂㄷㅂ"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ㅂ" localSheetId="2" hidden="1">{#N/A,#N/A,TRUE,"일정"}</definedName>
    <definedName name="ㅂㅂㅂ" hidden="1">{#N/A,#N/A,TRUE,"일정"}</definedName>
    <definedName name="ㅂㅂㅂㅂ" hidden="1">#REF!</definedName>
    <definedName name="ㅂㅂㅂㅂㅂㅂ">#REF!</definedName>
    <definedName name="ㅂㅂㅂㅂㅂㅂㅂㅂ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ㅂㅂㅂㅂㅂㅂㅂ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ㅂㅂㅂㅂㅂㅂㅂㅂㅂㅂㅂㅂㅂㅂ" hidden="1">{#N/A,#N/A,FALSE,"단축1";#N/A,#N/A,FALSE,"단축2";#N/A,#N/A,FALSE,"단축3";#N/A,#N/A,FALSE,"장축";#N/A,#N/A,FALSE,"4WD"}</definedName>
    <definedName name="ㅂㅈ" hidden="1">{#N/A,#N/A,FALSE,"손익표지";#N/A,#N/A,FALSE,"손익계산";#N/A,#N/A,FALSE,"일반관리비";#N/A,#N/A,FALSE,"영업외수익";#N/A,#N/A,FALSE,"영업외비용";#N/A,#N/A,FALSE,"매출액";#N/A,#N/A,FALSE,"요약손익";#N/A,#N/A,FALSE,"요약대차";#N/A,#N/A,FALSE,"매출채권현황";#N/A,#N/A,FALSE,"매출채권명세"}</definedName>
    <definedName name="ㅂㅈㄷㄷ" hidden="1">{#N/A,#N/A,FALSE,"손익표지";#N/A,#N/A,FALSE,"손익계산";#N/A,#N/A,FALSE,"일반관리비";#N/A,#N/A,FALSE,"영업외수익";#N/A,#N/A,FALSE,"영업외비용";#N/A,#N/A,FALSE,"매출액";#N/A,#N/A,FALSE,"요약손익";#N/A,#N/A,FALSE,"요약대차";#N/A,#N/A,FALSE,"매출채권현황";#N/A,#N/A,FALSE,"매출채권명세"}</definedName>
    <definedName name="ㅂㅈㄷㄷㄱㄱ" localSheetId="2" hidden="1">{#N/A,#N/A,FALSE,"UNIT";#N/A,#N/A,FALSE,"UNIT";#N/A,#N/A,FALSE,"계정"}</definedName>
    <definedName name="ㅂㅈㄷㄷㄱㄱ" hidden="1">{#N/A,#N/A,FALSE,"UNIT";#N/A,#N/A,FALSE,"UNIT";#N/A,#N/A,FALSE,"계정"}</definedName>
    <definedName name="ㅂㅈㄷㅂㅈㄷ" hidden="1">#REF!</definedName>
    <definedName name="ㅂㅈㄷㅈㄷ" hidden="1">{#N/A,#N/A,FALSE,"단축1";#N/A,#N/A,FALSE,"단축2";#N/A,#N/A,FALSE,"단축3";#N/A,#N/A,FALSE,"장축";#N/A,#N/A,FALSE,"4WD"}</definedName>
    <definedName name="바" localSheetId="2" hidden="1">{#N/A,#N/A,FALSE,"1.CRITERIA";#N/A,#N/A,FALSE,"2.IS";#N/A,#N/A,FALSE,"3.BS";#N/A,#N/A,FALSE,"4.PER PL";#N/A,#N/A,FALSE,"5.INVESTMENT";#N/A,#N/A,FALSE,"6.공문";#N/A,#N/A,FALSE,"7.netinvest"}</definedName>
    <definedName name="바" hidden="1">{#N/A,#N/A,FALSE,"1.CRITERIA";#N/A,#N/A,FALSE,"2.IS";#N/A,#N/A,FALSE,"3.BS";#N/A,#N/A,FALSE,"4.PER PL";#N/A,#N/A,FALSE,"5.INVESTMENT";#N/A,#N/A,FALSE,"6.공문";#N/A,#N/A,FALSE,"7.netinvest"}</definedName>
    <definedName name="바가" localSheetId="2"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나" localSheetId="2"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localSheetId="2"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디카밍" localSheetId="2" hidden="1">{"'Jibu9811 (3)'!$B$1:$J$433"}</definedName>
    <definedName name="바디카밍" hidden="1">{"'Jibu9811 (3)'!$B$1:$J$433"}</definedName>
    <definedName name="바라" localSheetId="2"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라오" localSheetId="2"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람" hidden="1">#REF!</definedName>
    <definedName name="바랑라" localSheetId="2" hidden="1">{#N/A,#N/A,FALSE,"정공"}</definedName>
    <definedName name="바랑라" hidden="1">{#N/A,#N/A,FALSE,"정공"}</definedName>
    <definedName name="바로" localSheetId="2" hidden="1">{#N/A,#N/A,FALSE,"1.CRITERIA";#N/A,#N/A,FALSE,"2.IS";#N/A,#N/A,FALSE,"3.BS";#N/A,#N/A,FALSE,"4.PER PL";#N/A,#N/A,FALSE,"5.INVESTMENT";#N/A,#N/A,FALSE,"6.공문";#N/A,#N/A,FALSE,"7.netinvest"}</definedName>
    <definedName name="바로" hidden="1">{#N/A,#N/A,FALSE,"1.CRITERIA";#N/A,#N/A,FALSE,"2.IS";#N/A,#N/A,FALSE,"3.BS";#N/A,#N/A,FALSE,"4.PER PL";#N/A,#N/A,FALSE,"5.INVESTMENT";#N/A,#N/A,FALSE,"6.공문";#N/A,#N/A,FALSE,"7.netinvest"}</definedName>
    <definedName name="바로가기" hidden="1">{#N/A,#N/A,FALSE,"단축1";#N/A,#N/A,FALSE,"단축2";#N/A,#N/A,FALSE,"단축3";#N/A,#N/A,FALSE,"장축";#N/A,#N/A,FALSE,"4WD"}</definedName>
    <definedName name="바바" localSheetId="2"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바라" localSheetId="2" hidden="1">{#N/A,#N/A,TRUE,"Y생산";#N/A,#N/A,TRUE,"Y판매";#N/A,#N/A,TRUE,"Y총물량";#N/A,#N/A,TRUE,"Y능력";#N/A,#N/A,TRUE,"YKD"}</definedName>
    <definedName name="바바라" hidden="1">{#N/A,#N/A,TRUE,"Y생산";#N/A,#N/A,TRUE,"Y판매";#N/A,#N/A,TRUE,"Y총물량";#N/A,#N/A,TRUE,"Y능력";#N/A,#N/A,TRUE,"YKD"}</definedName>
    <definedName name="바보" localSheetId="2" hidden="1">{#N/A,#N/A,FALSE,"정공"}</definedName>
    <definedName name="바보" hidden="1">{#N/A,#N/A,FALSE,"정공"}</definedName>
    <definedName name="바보상자" localSheetId="2" hidden="1">{#N/A,#N/A,FALSE,"정공"}</definedName>
    <definedName name="바보상자" hidden="1">{#N/A,#N/A,FALSE,"정공"}</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바부팅이" hidden="1">#REF!</definedName>
    <definedName name="바아" localSheetId="2" hidden="1">{#N/A,#N/A,FALSE,"1.CRITERIA";#N/A,#N/A,FALSE,"2.IS";#N/A,#N/A,FALSE,"3.BS";#N/A,#N/A,FALSE,"4.PER PL";#N/A,#N/A,FALSE,"5.INVESTMENT";#N/A,#N/A,FALSE,"6.공문";#N/A,#N/A,FALSE,"7.netinvest"}</definedName>
    <definedName name="바아" hidden="1">{#N/A,#N/A,FALSE,"1.CRITERIA";#N/A,#N/A,FALSE,"2.IS";#N/A,#N/A,FALSE,"3.BS";#N/A,#N/A,FALSE,"4.PER PL";#N/A,#N/A,FALSE,"5.INVESTMENT";#N/A,#N/A,FALSE,"6.공문";#N/A,#N/A,FALSE,"7.netinvest"}</definedName>
    <definedName name="바아가" localSheetId="2"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localSheetId="2"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localSheetId="2"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localSheetId="2"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바이오사업팀" localSheetId="2">BlankMacro1</definedName>
    <definedName name="바이오사업팀" localSheetId="0">BlankMacro1</definedName>
    <definedName name="바이오사업팀">BlankMacro1</definedName>
    <definedName name="박" localSheetId="2" hidden="1">{#N/A,#N/A,FALSE,"1.CRITERIA";#N/A,#N/A,FALSE,"2.IS";#N/A,#N/A,FALSE,"3.BS";#N/A,#N/A,FALSE,"4.PER PL";#N/A,#N/A,FALSE,"5.INVESTMENT";#N/A,#N/A,FALSE,"6.공문";#N/A,#N/A,FALSE,"7.netinvest"}</definedName>
    <definedName name="박" hidden="1">{#N/A,#N/A,FALSE,"1.CRITERIA";#N/A,#N/A,FALSE,"2.IS";#N/A,#N/A,FALSE,"3.BS";#N/A,#N/A,FALSE,"4.PER PL";#N/A,#N/A,FALSE,"5.INVESTMENT";#N/A,#N/A,FALSE,"6.공문";#N/A,#N/A,FALSE,"7.netinvest"}</definedName>
    <definedName name="박남규" localSheetId="2" hidden="1">{#N/A,#N/A,FALSE,"BS";#N/A,#N/A,FALSE,"IS";#N/A,#N/A,FALSE,"결손금처리";#N/A,#N/A,FALSE,"cashflow"}</definedName>
    <definedName name="박남규" hidden="1">{#N/A,#N/A,FALSE,"BS";#N/A,#N/A,FALSE,"IS";#N/A,#N/A,FALSE,"결손금처리";#N/A,#N/A,FALSE,"cashflow"}</definedName>
    <definedName name="박남규_1" localSheetId="2" hidden="1">{#N/A,#N/A,FALSE,"BS";#N/A,#N/A,FALSE,"IS";#N/A,#N/A,FALSE,"결손금처리";#N/A,#N/A,FALSE,"cashflow"}</definedName>
    <definedName name="박남규_1" hidden="1">{#N/A,#N/A,FALSE,"BS";#N/A,#N/A,FALSE,"IS";#N/A,#N/A,FALSE,"결손금처리";#N/A,#N/A,FALSE,"cashflow"}</definedName>
    <definedName name="박어쟈루" hidden="1">#REF!</definedName>
    <definedName name="박영화">#REF!</definedName>
    <definedName name="박은하">Dlog_Show</definedName>
    <definedName name="박인철" hidden="1">{#N/A,#N/A,FALSE,"변경관리예산";#N/A,#N/A,FALSE,"변경장비예산";#N/A,#N/A,FALSE,"변경준설예산";#N/A,#N/A,FALSE,"변경철구예산"}</definedName>
    <definedName name="박재영" hidden="1">#REF!</definedName>
    <definedName name="박진만" localSheetId="2" hidden="1">{#N/A,#N/A,FALSE,"단축1";#N/A,#N/A,FALSE,"단축2";#N/A,#N/A,FALSE,"단축3";#N/A,#N/A,FALSE,"장축";#N/A,#N/A,FALSE,"4WD"}</definedName>
    <definedName name="박진만" hidden="1">{#N/A,#N/A,FALSE,"단축1";#N/A,#N/A,FALSE,"단축2";#N/A,#N/A,FALSE,"단축3";#N/A,#N/A,FALSE,"장축";#N/A,#N/A,FALSE,"4WD"}</definedName>
    <definedName name="박태기">#REF!</definedName>
    <definedName name="반">#REF!</definedName>
    <definedName name="반기조정후이연법인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차이조정후수정분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현금흐름표" localSheetId="2" hidden="1">{#N/A,#N/A,FALSE,"BS";#N/A,#N/A,FALSE,"PL";#N/A,#N/A,FALSE,"처분";#N/A,#N/A,FALSE,"현금";#N/A,#N/A,FALSE,"매출";#N/A,#N/A,FALSE,"원가";#N/A,#N/A,FALSE,"경영"}</definedName>
    <definedName name="반기현금흐름표" hidden="1">{#N/A,#N/A,FALSE,"BS";#N/A,#N/A,FALSE,"PL";#N/A,#N/A,FALSE,"처분";#N/A,#N/A,FALSE,"현금";#N/A,#N/A,FALSE,"매출";#N/A,#N/A,FALSE,"원가";#N/A,#N/A,FALSE,"경영"}</definedName>
    <definedName name="반기현금흐름표_1" localSheetId="2" hidden="1">{#N/A,#N/A,FALSE,"BS";#N/A,#N/A,FALSE,"PL";#N/A,#N/A,FALSE,"처분";#N/A,#N/A,FALSE,"현금";#N/A,#N/A,FALSE,"매출";#N/A,#N/A,FALSE,"원가";#N/A,#N/A,FALSE,"경영"}</definedName>
    <definedName name="반기현금흐름표_1" hidden="1">{#N/A,#N/A,FALSE,"BS";#N/A,#N/A,FALSE,"PL";#N/A,#N/A,FALSE,"처분";#N/A,#N/A,FALSE,"현금";#N/A,#N/A,FALSE,"매출";#N/A,#N/A,FALSE,"원가";#N/A,#N/A,FALSE,"경영"}</definedName>
    <definedName name="반납">#REF!</definedName>
    <definedName name="반품">#REF!</definedName>
    <definedName name="받" hidden="1">{#N/A,#N/A,TRUE,"Y생산";#N/A,#N/A,TRUE,"Y판매";#N/A,#N/A,TRUE,"Y총물량";#N/A,#N/A,TRUE,"Y능력";#N/A,#N/A,TRUE,"YKD"}</definedName>
    <definedName name="받을어음">#REF!</definedName>
    <definedName name="발" localSheetId="2" hidden="1">{#N/A,#N/A,FALSE,"1.CRITERIA";#N/A,#N/A,FALSE,"2.IS";#N/A,#N/A,FALSE,"3.BS";#N/A,#N/A,FALSE,"4.PER PL";#N/A,#N/A,FALSE,"5.INVESTMENT";#N/A,#N/A,FALSE,"6.공문";#N/A,#N/A,FALSE,"7.netinvest"}</definedName>
    <definedName name="발" hidden="1">{#N/A,#N/A,FALSE,"1.CRITERIA";#N/A,#N/A,FALSE,"2.IS";#N/A,#N/A,FALSE,"3.BS";#N/A,#N/A,FALSE,"4.PER PL";#N/A,#N/A,FALSE,"5.INVESTMENT";#N/A,#N/A,FALSE,"6.공문";#N/A,#N/A,FALSE,"7.netinvest"}</definedName>
    <definedName name="발생전" localSheetId="2" hidden="1">{"'매출이익'!$A$24:$K$45"}</definedName>
    <definedName name="발생전" hidden="1">{"'매출이익'!$A$24:$K$45"}</definedName>
    <definedName name="발주">#REF!</definedName>
    <definedName name="발주처">#REF!</definedName>
    <definedName name="밤">#REF!</definedName>
    <definedName name="밥통" hidden="1">#REF!</definedName>
    <definedName name="방송">#REF!</definedName>
    <definedName name="방수공">#REF!</definedName>
    <definedName name="방안" hidden="1">{#N/A,#N/A,FALSE,"단축1";#N/A,#N/A,FALSE,"단축2";#N/A,#N/A,FALSE,"단축3";#N/A,#N/A,FALSE,"장축";#N/A,#N/A,FALSE,"4WD"}</definedName>
    <definedName name="방진고무" hidden="1">{#N/A,#N/A,FALSE,"단축1";#N/A,#N/A,FALSE,"단축2";#N/A,#N/A,FALSE,"단축3";#N/A,#N/A,FALSE,"장축";#N/A,#N/A,FALSE,"4WD"}</definedName>
    <definedName name="배" localSheetId="2" hidden="1">{#N/A,#N/A,FALSE,"1.CRITERIA";#N/A,#N/A,FALSE,"2.IS";#N/A,#N/A,FALSE,"3.BS";#N/A,#N/A,FALSE,"4.PER PL";#N/A,#N/A,FALSE,"5.INVESTMENT";#N/A,#N/A,FALSE,"6.공문";#N/A,#N/A,FALSE,"7.netinvest"}</definedName>
    <definedName name="배" hidden="1">{#N/A,#N/A,FALSE,"1.CRITERIA";#N/A,#N/A,FALSE,"2.IS";#N/A,#N/A,FALSE,"3.BS";#N/A,#N/A,FALSE,"4.PER PL";#N/A,#N/A,FALSE,"5.INVESTMENT";#N/A,#N/A,FALSE,"6.공문";#N/A,#N/A,FALSE,"7.netinvest"}</definedName>
    <definedName name="배관">#REF!</definedName>
    <definedName name="배관공">#REF!</definedName>
    <definedName name="배관명세" hidden="1">#REF!</definedName>
    <definedName name="배당세액공제03">#REF!</definedName>
    <definedName name="배당세액공제04">#REF!</definedName>
    <definedName name="배당소득03">#REF!</definedName>
    <definedName name="배당소득04">#REF!</definedName>
    <definedName name="배롱나무">#REF!</definedName>
    <definedName name="배배배" localSheetId="2" hidden="1">{"'미착금액'!$A$4:$G$14"}</definedName>
    <definedName name="배배배" hidden="1">{"'미착금액'!$A$4:$G$14"}</definedName>
    <definedName name="배부" hidden="1">{#N/A,#N/A,FALSE,"지침";#N/A,#N/A,FALSE,"환경분석";#N/A,#N/A,FALSE,"Sheet16"}</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액">#REF!</definedName>
    <definedName name="배부영업자산" hidden="1">{#N/A,#N/A,FALSE,"지침";#N/A,#N/A,FALSE,"환경분석";#N/A,#N/A,FALSE,"Sheet16"}</definedName>
    <definedName name="배분액" localSheetId="2" hidden="1">{"FORM1",#N/A,FALSE,"Revenue";"FORMTR",#N/A,FALSE,"Revenue";"FORM3.1",#N/A,FALSE,"Revenue"}</definedName>
    <definedName name="배분액" hidden="1">{"FORM1",#N/A,FALSE,"Revenue";"FORMTR",#N/A,FALSE,"Revenue";"FORM3.1",#N/A,FALSE,"Revenue"}</definedName>
    <definedName name="배수공">#REF!</definedName>
    <definedName name="배수관">#REF!</definedName>
    <definedName name="배전">#REF!</definedName>
    <definedName name="배전전공">#REF!</definedName>
    <definedName name="배치수전체">#REF!</definedName>
    <definedName name="백">#REF!</definedName>
    <definedName name="백만">#REF!</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버" localSheetId="2" hidden="1">{#N/A,#N/A,FALSE,"1.CRITERIA";#N/A,#N/A,FALSE,"2.IS";#N/A,#N/A,FALSE,"3.BS";#N/A,#N/A,FALSE,"4.PER PL";#N/A,#N/A,FALSE,"5.INVESTMENT";#N/A,#N/A,FALSE,"6.공문";#N/A,#N/A,FALSE,"7.netinvest"}</definedName>
    <definedName name="버버" hidden="1">{#N/A,#N/A,FALSE,"1.CRITERIA";#N/A,#N/A,FALSE,"2.IS";#N/A,#N/A,FALSE,"3.BS";#N/A,#N/A,FALSE,"4.PER PL";#N/A,#N/A,FALSE,"5.INVESTMENT";#N/A,#N/A,FALSE,"6.공문";#N/A,#N/A,FALSE,"7.netinvest"}</definedName>
    <definedName name="번지">#REF!</definedName>
    <definedName name="번호">#REF!</definedName>
    <definedName name="범위">#N/A</definedName>
    <definedName name="법_인_명_상_호">#REF!</definedName>
    <definedName name="법_인_명_상호">#REF!</definedName>
    <definedName name="법인등록번호">#REF!</definedName>
    <definedName name="법인명_상호명">#REF!</definedName>
    <definedName name="법인세">#REF!</definedName>
    <definedName name="법인세비용">#REF!</definedName>
    <definedName name="법인세비용_수정" localSheetId="2"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법인세율">#REF!</definedName>
    <definedName name="법인세주석사항정리" localSheetId="2" hidden="1">{#N/A,#N/A,FALSE,"UNIT";#N/A,#N/A,FALSE,"UNIT";#N/A,#N/A,FALSE,"계정"}</definedName>
    <definedName name="법인세주석사항정리" hidden="1">{#N/A,#N/A,FALSE,"UNIT";#N/A,#N/A,FALSE,"UNIT";#N/A,#N/A,FALSE,"계정"}</definedName>
    <definedName name="법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법정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법정_1" hidden="1">{#N/A,#N/A,FALSE,"손익표지";#N/A,#N/A,FALSE,"손익계산";#N/A,#N/A,FALSE,"일반관리비";#N/A,#N/A,FALSE,"영업외수익";#N/A,#N/A,FALSE,"영업외비용";#N/A,#N/A,FALSE,"매출액";#N/A,#N/A,FALSE,"요약손익";#N/A,#N/A,FALSE,"요약대차";#N/A,#N/A,FALSE,"매출채권현황";#N/A,#N/A,FALSE,"매출채권명세"}</definedName>
    <definedName name="벙" hidden="1">{#N/A,#N/A,FALSE,"Sheet6"}</definedName>
    <definedName name="베" localSheetId="2" hidden="1">{#N/A,#N/A,FALSE,"1.CRITERIA";#N/A,#N/A,FALSE,"2.IS";#N/A,#N/A,FALSE,"3.BS";#N/A,#N/A,FALSE,"4.PER PL";#N/A,#N/A,FALSE,"5.INVESTMENT";#N/A,#N/A,FALSE,"6.공문";#N/A,#N/A,FALSE,"7.netinvest"}</definedName>
    <definedName name="베" hidden="1">{#N/A,#N/A,FALSE,"1.CRITERIA";#N/A,#N/A,FALSE,"2.IS";#N/A,#N/A,FALSE,"3.BS";#N/A,#N/A,FALSE,"4.PER PL";#N/A,#N/A,FALSE,"5.INVESTMENT";#N/A,#N/A,FALSE,"6.공문";#N/A,#N/A,FALSE,"7.netinvest"}</definedName>
    <definedName name="변간접노무비">#REF!</definedName>
    <definedName name="변경2" localSheetId="2" hidden="1">{"'Jibu9811 (3)'!$B$1:$J$433"}</definedName>
    <definedName name="변경2" hidden="1">{"'Jibu9811 (3)'!$B$1:$J$433"}</definedName>
    <definedName name="변경개요1">#REF!</definedName>
    <definedName name="변경개요2">#REF!</definedName>
    <definedName name="변경개요3">#REF!</definedName>
    <definedName name="변경개요4">#REF!</definedName>
    <definedName name="변경건" localSheetId="2" hidden="1">{"'Jibu9811 (3)'!$B$1:$J$433"}</definedName>
    <definedName name="변경건" hidden="1">{"'Jibu9811 (3)'!$B$1:$J$433"}</definedName>
    <definedName name="변경공사원가">#REF!</definedName>
    <definedName name="변경내역서갑지">#REF!</definedName>
    <definedName name="변경목차" localSheetId="2" hidden="1">{#N/A,#N/A,FALSE,"단축1";#N/A,#N/A,FALSE,"단축2";#N/A,#N/A,FALSE,"단축3";#N/A,#N/A,FALSE,"장축";#N/A,#N/A,FALSE,"4WD"}</definedName>
    <definedName name="변경목차" hidden="1">{#N/A,#N/A,FALSE,"단축1";#N/A,#N/A,FALSE,"단축2";#N/A,#N/A,FALSE,"단축3";#N/A,#N/A,FALSE,"장축";#N/A,#N/A,FALSE,"4WD"}</definedName>
    <definedName name="변경범위2" hidden="1">{#N/A,#N/A,FALSE,"단축1";#N/A,#N/A,FALSE,"단축2";#N/A,#N/A,FALSE,"단축3";#N/A,#N/A,FALSE,"장축";#N/A,#N/A,FALSE,"4WD"}</definedName>
    <definedName name="변경비">#REF!</definedName>
    <definedName name="변경실시공내역">#REF!</definedName>
    <definedName name="변경후" hidden="1">{#N/A,#N/A,FALSE,"단축1";#N/A,#N/A,FALSE,"단축2";#N/A,#N/A,FALSE,"단축3";#N/A,#N/A,FALSE,"장축";#N/A,#N/A,FALSE,"4WD"}</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동" hidden="1">{#N/A,#N/A,FALSE,"Sheet1"}</definedName>
    <definedName name="변동비" hidden="1">{#N/A,#N/A,FALSE,"Sheet1"}</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별"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근" hidden="1">{#N/A,#N/A,FALSE,"손익표지";#N/A,#N/A,FALSE,"손익계산";#N/A,#N/A,FALSE,"일반관리비";#N/A,#N/A,FALSE,"영업외수익";#N/A,#N/A,FALSE,"영업외비용";#N/A,#N/A,FALSE,"매출액";#N/A,#N/A,FALSE,"요약손익";#N/A,#N/A,FALSE,"요약대차";#N/A,#N/A,FALSE,"매출채권현황";#N/A,#N/A,FALSE,"매출채권명세"}</definedName>
    <definedName name="별도투자비" hidden="1">{#N/A,#N/A,FALSE,"단축1";#N/A,#N/A,FALSE,"단축2";#N/A,#N/A,FALSE,"단축3";#N/A,#N/A,FALSE,"장축";#N/A,#N/A,FALSE,"4WD"}</definedName>
    <definedName name="별지_제6_2호_서식">#REF!</definedName>
    <definedName name="별지_제6_3_2_호_서식">#REF!</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첨5" hidden="1">{"'Price List '!$A$1:$R$156"}</definedName>
    <definedName name="별첨퇴직" localSheetId="2" hidden="1">{"'매출이익'!$A$24:$K$45"}</definedName>
    <definedName name="별첨퇴직" hidden="1">{"'매출이익'!$A$24:$K$45"}</definedName>
    <definedName name="별퇴직급여" localSheetId="2" hidden="1">{"'매출이익'!$A$24:$K$45"}</definedName>
    <definedName name="별퇴직급여" hidden="1">{"'매출이익'!$A$24:$K$45"}</definedName>
    <definedName name="병근" hidden="1">{#N/A,#N/A,FALSE,"손익표지";#N/A,#N/A,FALSE,"손익계산";#N/A,#N/A,FALSE,"일반관리비";#N/A,#N/A,FALSE,"영업외수익";#N/A,#N/A,FALSE,"영업외비용";#N/A,#N/A,FALSE,"매출액";#N/A,#N/A,FALSE,"요약손익";#N/A,#N/A,FALSE,"요약대차";#N/A,#N/A,FALSE,"매출채권현황";#N/A,#N/A,FALSE,"매출채권명세"}</definedName>
    <definedName name="보" localSheetId="2" hidden="1">{#N/A,#N/A,FALSE,"1.CRITERIA";#N/A,#N/A,FALSE,"2.IS";#N/A,#N/A,FALSE,"3.BS";#N/A,#N/A,FALSE,"4.PER PL";#N/A,#N/A,FALSE,"5.INVESTMENT";#N/A,#N/A,FALSE,"6.공문";#N/A,#N/A,FALSE,"7.netinvest"}</definedName>
    <definedName name="보" hidden="1">{#N/A,#N/A,FALSE,"1.CRITERIA";#N/A,#N/A,FALSE,"2.IS";#N/A,#N/A,FALSE,"3.BS";#N/A,#N/A,FALSE,"4.PER PL";#N/A,#N/A,FALSE,"5.INVESTMENT";#N/A,#N/A,FALSE,"6.공문";#N/A,#N/A,FALSE,"7.netinvest"}</definedName>
    <definedName name="보고" localSheetId="2" hidden="1">{#N/A,#N/A,FALSE,"UNIT";#N/A,#N/A,FALSE,"UNIT";#N/A,#N/A,FALSE,"계정"}</definedName>
    <definedName name="보고" hidden="1">{#N/A,#N/A,FALSE,"UNIT";#N/A,#N/A,FALSE,"UNIT";#N/A,#N/A,FALSE,"계정"}</definedName>
    <definedName name="보고1" hidden="1">{#N/A,#N/A,FALSE,"단축1";#N/A,#N/A,FALSE,"단축2";#N/A,#N/A,FALSE,"단축3";#N/A,#N/A,FALSE,"장축";#N/A,#N/A,FALSE,"4WD"}</definedName>
    <definedName name="보고가" hidden="1">{#N/A,#N/A,FALSE,"손익표지";#N/A,#N/A,FALSE,"손익계산";#N/A,#N/A,FALSE,"일반관리비";#N/A,#N/A,FALSE,"영업외수익";#N/A,#N/A,FALSE,"영업외비용";#N/A,#N/A,FALSE,"매출액";#N/A,#N/A,FALSE,"요약손익";#N/A,#N/A,FALSE,"요약대차";#N/A,#N/A,FALSE,"매출채권현황";#N/A,#N/A,FALSE,"매출채권명세"}</definedName>
    <definedName name="보고기준" localSheetId="2" hidden="1">{#N/A,#N/A,FALSE,"UNIT";#N/A,#N/A,FALSE,"UNIT";#N/A,#N/A,FALSE,"계정"}</definedName>
    <definedName name="보고기준" hidden="1">{#N/A,#N/A,FALSE,"UNIT";#N/A,#N/A,FALSE,"UNIT";#N/A,#N/A,FALSE,"계정"}</definedName>
    <definedName name="보고서1" hidden="1">{#N/A,#N/A,FALSE,"단축1";#N/A,#N/A,FALSE,"단축2";#N/A,#N/A,FALSE,"단축3";#N/A,#N/A,FALSE,"장축";#N/A,#N/A,FALSE,"4WD"}</definedName>
    <definedName name="보고서CF">#REF!</definedName>
    <definedName name="보고서표지">#REF!</definedName>
    <definedName name="보고용">BlankMacro1</definedName>
    <definedName name="보관1">#REF!</definedName>
    <definedName name="보관2">#REF!</definedName>
    <definedName name="보라차" localSheetId="2" hidden="1">{#N/A,#N/A,FALSE,"1.CRITERIA";#N/A,#N/A,FALSE,"2.IS";#N/A,#N/A,FALSE,"3.BS";#N/A,#N/A,FALSE,"4.PER PL";#N/A,#N/A,FALSE,"5.INVESTMENT";#N/A,#N/A,FALSE,"6.공문";#N/A,#N/A,FALSE,"7.netinvest"}</definedName>
    <definedName name="보라차" hidden="1">{#N/A,#N/A,FALSE,"1.CRITERIA";#N/A,#N/A,FALSE,"2.IS";#N/A,#N/A,FALSE,"3.BS";#N/A,#N/A,FALSE,"4.PER PL";#N/A,#N/A,FALSE,"5.INVESTMENT";#N/A,#N/A,FALSE,"6.공문";#N/A,#N/A,FALSE,"7.netinvest"}</definedName>
    <definedName name="보립">#REF!</definedName>
    <definedName name="보봉" hidden="1">{#N/A,#N/A,FALSE,"손익표지";#N/A,#N/A,FALSE,"손익계산";#N/A,#N/A,FALSE,"일반관리비";#N/A,#N/A,FALSE,"영업외수익";#N/A,#N/A,FALSE,"영업외비용";#N/A,#N/A,FALSE,"매출액";#N/A,#N/A,FALSE,"요약손익";#N/A,#N/A,FALSE,"요약대차";#N/A,#N/A,FALSE,"매출채권현황";#N/A,#N/A,FALSE,"매출채권명세"}</definedName>
    <definedName name="보상비">#REF!</definedName>
    <definedName name="보아리" localSheetId="2"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온">#REF!</definedName>
    <definedName name="보이" localSheetId="2"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localSheetId="2"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인">#REF!</definedName>
    <definedName name="보일">#REF!</definedName>
    <definedName name="보조기층">#REF!</definedName>
    <definedName name="보존년한">#REF!</definedName>
    <definedName name="보증금">#REF!</definedName>
    <definedName name="보증기관">#REF!</definedName>
    <definedName name="보충" hidden="1">#REF!</definedName>
    <definedName name="보통" localSheetId="2" hidden="1">{#N/A,#N/A,FALSE,"BS";#N/A,#N/A,FALSE,"PL";#N/A,#N/A,FALSE,"처분";#N/A,#N/A,FALSE,"현금";#N/A,#N/A,FALSE,"매출";#N/A,#N/A,FALSE,"원가";#N/A,#N/A,FALSE,"경영"}</definedName>
    <definedName name="보통" hidden="1">{#N/A,#N/A,FALSE,"BS";#N/A,#N/A,FALSE,"PL";#N/A,#N/A,FALSE,"처분";#N/A,#N/A,FALSE,"현금";#N/A,#N/A,FALSE,"매출";#N/A,#N/A,FALSE,"원가";#N/A,#N/A,FALSE,"경영"}</definedName>
    <definedName name="보통예금" localSheetId="2" hidden="1">{#N/A,#N/A,FALSE,"BS";#N/A,#N/A,FALSE,"PL";#N/A,#N/A,FALSE,"처분";#N/A,#N/A,FALSE,"현금";#N/A,#N/A,FALSE,"매출";#N/A,#N/A,FALSE,"원가";#N/A,#N/A,FALSE,"경영"}</definedName>
    <definedName name="보통예금" hidden="1">{#N/A,#N/A,FALSE,"BS";#N/A,#N/A,FALSE,"PL";#N/A,#N/A,FALSE,"처분";#N/A,#N/A,FALSE,"현금";#N/A,#N/A,FALSE,"매출";#N/A,#N/A,FALSE,"원가";#N/A,#N/A,FALSE,"경영"}</definedName>
    <definedName name="보통인부">#N/A</definedName>
    <definedName name="보통인부노">#N/A</definedName>
    <definedName name="보통인부노임">#REF!</definedName>
    <definedName name="보험기준일">#REF!,#REF!,#REF!,#REF!,#REF!,#REF!,#REF!,#REF!</definedName>
    <definedName name="보험조회기준년">#REF!,#REF!,#REF!,#REF!,#REF!,#REF!,#REF!,#REF!</definedName>
    <definedName name="보험조회기준월">#REF!,#REF!,#REF!,#REF!,#REF!,#REF!,#REF!,#REF!</definedName>
    <definedName name="보험조회기준일">#REF!,#REF!,#REF!,#REF!,#REF!,#REF!,#REF!,#REF!</definedName>
    <definedName name="보험조회서번호">#REF!,#REF!,#REF!</definedName>
    <definedName name="보험회사명">#REF!,#REF!,#REF!,#REF!,#REF!,#REF!</definedName>
    <definedName name="복귀">#REF!</definedName>
    <definedName name="복리후생비집계">#REF!</definedName>
    <definedName name="복사"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본부">#REF!</definedName>
    <definedName name="본뷔">#REF!</definedName>
    <definedName name="본선거리">#REF!</definedName>
    <definedName name="본선차도폭">#REF!</definedName>
    <definedName name="볼" localSheetId="2" hidden="1">{#N/A,#N/A,FALSE,"1.CRITERIA";#N/A,#N/A,FALSE,"2.IS";#N/A,#N/A,FALSE,"3.BS";#N/A,#N/A,FALSE,"4.PER PL";#N/A,#N/A,FALSE,"5.INVESTMENT";#N/A,#N/A,FALSE,"6.공문";#N/A,#N/A,FALSE,"7.netinvest"}</definedName>
    <definedName name="볼" hidden="1">{#N/A,#N/A,FALSE,"1.CRITERIA";#N/A,#N/A,FALSE,"2.IS";#N/A,#N/A,FALSE,"3.BS";#N/A,#N/A,FALSE,"4.PER PL";#N/A,#N/A,FALSE,"5.INVESTMENT";#N/A,#N/A,FALSE,"6.공문";#N/A,#N/A,FALSE,"7.netinvest"}</definedName>
    <definedName name="볼라" hidden="1">#REF!</definedName>
    <definedName name="볼트수정" localSheetId="2" hidden="1">{#N/A,#N/A,FALSE,"단축1";#N/A,#N/A,FALSE,"단축2";#N/A,#N/A,FALSE,"단축3";#N/A,#N/A,FALSE,"장축";#N/A,#N/A,FALSE,"4WD"}</definedName>
    <definedName name="볼트수정" hidden="1">{#N/A,#N/A,FALSE,"단축1";#N/A,#N/A,FALSE,"단축2";#N/A,#N/A,FALSE,"단축3";#N/A,#N/A,FALSE,"장축";#N/A,#N/A,FALSE,"4WD"}</definedName>
    <definedName name="봉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투출력">#REF!</definedName>
    <definedName name="봐" localSheetId="2" hidden="1">{#N/A,#N/A,FALSE,"1.CRITERIA";#N/A,#N/A,FALSE,"2.IS";#N/A,#N/A,FALSE,"3.BS";#N/A,#N/A,FALSE,"4.PER PL";#N/A,#N/A,FALSE,"5.INVESTMENT";#N/A,#N/A,FALSE,"6.공문";#N/A,#N/A,FALSE,"7.netinvest"}</definedName>
    <definedName name="봐" hidden="1">{#N/A,#N/A,FALSE,"1.CRITERIA";#N/A,#N/A,FALSE,"2.IS";#N/A,#N/A,FALSE,"3.BS";#N/A,#N/A,FALSE,"4.PER PL";#N/A,#N/A,FALSE,"5.INVESTMENT";#N/A,#N/A,FALSE,"6.공문";#N/A,#N/A,FALSE,"7.netinvest"}</definedName>
    <definedName name="부가가치세">#REF!</definedName>
    <definedName name="부가세대급"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금"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대건축2" hidden="1">#REF!</definedName>
    <definedName name="부대공">#REF!</definedName>
    <definedName name="부대공사" hidden="1">#REF!</definedName>
    <definedName name="부대구조" hidden="1">{#N/A,#N/A,FALSE,"골재소요량";#N/A,#N/A,FALSE,"골재소요량"}</definedName>
    <definedName name="부대내역비교">#REF!</definedName>
    <definedName name="부대방안" hidden="1">{#N/A,#N/A,FALSE,"단가표지"}</definedName>
    <definedName name="부대사항">#REF!</definedName>
    <definedName name="부대원본" localSheetId="2" hidden="1">{#N/A,#N/A,FALSE,"토공2"}</definedName>
    <definedName name="부대원본" hidden="1">{#N/A,#N/A,FALSE,"토공2"}</definedName>
    <definedName name="부대입찰서류작성" hidden="1">#REF!</definedName>
    <definedName name="부대입찰잡비">Dlog_Show</definedName>
    <definedName name="부대토목">#REF!</definedName>
    <definedName name="부도어음" localSheetId="2" hidden="1">{#N/A,#N/A,FALSE,"BS";#N/A,#N/A,FALSE,"PL";#N/A,#N/A,FALSE,"A";#N/A,#N/A,FALSE,"B";#N/A,#N/A,FALSE,"B1";#N/A,#N/A,FALSE,"C";#N/A,#N/A,FALSE,"C1";#N/A,#N/A,FALSE,"C2";#N/A,#N/A,FALSE,"D";#N/A,#N/A,FALSE,"E";#N/A,#N/A,FALSE,"F";#N/A,#N/A,FALSE,"AA";#N/A,#N/A,FALSE,"BB";#N/A,#N/A,FALSE,"CC";#N/A,#N/A,FALSE,"DD";#N/A,#N/A,FALSE,"EE";#N/A,#N/A,FALSE,"FF";#N/A,#N/A,FALSE,"PL10";#N/A,#N/A,FALSE,"PL20";#N/A,#N/A,FALSE,"PL30"}</definedName>
    <definedName name="부도어음" hidden="1">{#N/A,#N/A,FALSE,"BS";#N/A,#N/A,FALSE,"PL";#N/A,#N/A,FALSE,"A";#N/A,#N/A,FALSE,"B";#N/A,#N/A,FALSE,"B1";#N/A,#N/A,FALSE,"C";#N/A,#N/A,FALSE,"C1";#N/A,#N/A,FALSE,"C2";#N/A,#N/A,FALSE,"D";#N/A,#N/A,FALSE,"E";#N/A,#N/A,FALSE,"F";#N/A,#N/A,FALSE,"AA";#N/A,#N/A,FALSE,"BB";#N/A,#N/A,FALSE,"CC";#N/A,#N/A,FALSE,"DD";#N/A,#N/A,FALSE,"EE";#N/A,#N/A,FALSE,"FF";#N/A,#N/A,FALSE,"PL10";#N/A,#N/A,FALSE,"PL20";#N/A,#N/A,FALSE,"PL30"}</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문별손익안분명세서">#N/A</definedName>
    <definedName name="부분품">#REF!</definedName>
    <definedName name="부산">#REF!</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상">#REF!</definedName>
    <definedName name="부서">#REF!</definedName>
    <definedName name="부서별공수">#REF!</definedName>
    <definedName name="부속" hidden="1">#REF!</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양가족">#REF!</definedName>
    <definedName name="부채" hidden="1">#REF!</definedName>
    <definedName name="부채자본">#REF!</definedName>
    <definedName name="부채총계">#REF!</definedName>
    <definedName name="부토">Dlog_Show</definedName>
    <definedName name="부품문제" hidden="1">{#N/A,#N/A,FALSE,"단축1";#N/A,#N/A,FALSE,"단축2";#N/A,#N/A,FALSE,"단축3";#N/A,#N/A,FALSE,"장축";#N/A,#N/A,FALSE,"4WD"}</definedName>
    <definedName name="북부">#REF!</definedName>
    <definedName name="분" hidden="1">{#N/A,#N/A,FALSE,"이태원철근"}</definedName>
    <definedName name="분개및수수료계상">#REF!</definedName>
    <definedName name="분기" localSheetId="2" hidden="1">{"'Jibu9811 (3)'!$B$1:$J$433"}</definedName>
    <definedName name="분기" hidden="1">{"'Jibu9811 (3)'!$B$1:$J$433"}</definedName>
    <definedName name="분기별" localSheetId="2" hidden="1">{#N/A,#N/A,TRUE,"Y생산";#N/A,#N/A,TRUE,"Y판매";#N/A,#N/A,TRUE,"Y총물량";#N/A,#N/A,TRUE,"Y능력";#N/A,#N/A,TRUE,"YKD"}</definedName>
    <definedName name="분기별" hidden="1">{#N/A,#N/A,TRUE,"Y생산";#N/A,#N/A,TRUE,"Y판매";#N/A,#N/A,TRUE,"Y총물량";#N/A,#N/A,TRUE,"Y능력";#N/A,#N/A,TRUE,"YKD"}</definedName>
    <definedName name="분당공" hidden="1">#REF!</definedName>
    <definedName name="분당내역서" hidden="1">#REF!</definedName>
    <definedName name="분당물가" hidden="1">#REF!</definedName>
    <definedName name="분당아파트">#REF!</definedName>
    <definedName name="분당코아" hidden="1">#REF!</definedName>
    <definedName name="분당협조" hidden="1">{#N/A,#N/A,FALSE,"이태원철근"}</definedName>
    <definedName name="분류코드">#REF!</definedName>
    <definedName name="분류표">#REF!</definedName>
    <definedName name="분리과세시산출세액03">#REF!</definedName>
    <definedName name="분리과세시산출세액04">#REF!</definedName>
    <definedName name="분석" localSheetId="2" hidden="1">{#N/A,#N/A,FALSE,"BS";#N/A,#N/A,FALSE,"PL";#N/A,#N/A,FALSE,"처분";#N/A,#N/A,FALSE,"현금";#N/A,#N/A,FALSE,"매출";#N/A,#N/A,FALSE,"원가";#N/A,#N/A,FALSE,"경영"}</definedName>
    <definedName name="분석" hidden="1">{#N/A,#N/A,FALSE,"BS";#N/A,#N/A,FALSE,"PL";#N/A,#N/A,FALSE,"처분";#N/A,#N/A,FALSE,"현금";#N/A,#N/A,FALSE,"매출";#N/A,#N/A,FALSE,"원가";#N/A,#N/A,FALSE,"경영"}</definedName>
    <definedName name="분석4"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분석4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석4_1" hidden="1">{#N/A,#N/A,FALSE,"손익표지";#N/A,#N/A,FALSE,"손익계산";#N/A,#N/A,FALSE,"일반관리비";#N/A,#N/A,FALSE,"영업외수익";#N/A,#N/A,FALSE,"영업외비용";#N/A,#N/A,FALSE,"매출액";#N/A,#N/A,FALSE,"요약손익";#N/A,#N/A,FALSE,"요약대차";#N/A,#N/A,FALSE,"매출채권현황";#N/A,#N/A,FALSE,"매출채권명세"}</definedName>
    <definedName name="분양">#REF!</definedName>
    <definedName name="분양상가">#REF!</definedName>
    <definedName name="분양수입">#REF!</definedName>
    <definedName name="분양원가">#REF!</definedName>
    <definedName name="분양율">#REF!</definedName>
    <definedName name="분쟁대상미지급">#REF!</definedName>
    <definedName name="분전반">BlankMacro1</definedName>
    <definedName name="뷰샨" localSheetId="2" hidden="1">{"'Jibu9811 (3)'!$B$1:$J$433"}</definedName>
    <definedName name="뷰샨" hidden="1">{"'Jibu9811 (3)'!$B$1:$J$433"}</definedName>
    <definedName name="브라켓길이1">#REF!</definedName>
    <definedName name="브라켓길이2">#REF!</definedName>
    <definedName name="브라켓높이1">#REF!</definedName>
    <definedName name="브라켓높이2">#REF!</definedName>
    <definedName name="브라켓폭">#REF!</definedName>
    <definedName name="블록H">#REF!</definedName>
    <definedName name="블록V">#REF!</definedName>
    <definedName name="비" localSheetId="2" hidden="1">{#N/A,#N/A,FALSE,"1.CRITERIA";#N/A,#N/A,FALSE,"2.IS";#N/A,#N/A,FALSE,"3.BS";#N/A,#N/A,FALSE,"4.PER PL";#N/A,#N/A,FALSE,"5.INVESTMENT";#N/A,#N/A,FALSE,"6.공문";#N/A,#N/A,FALSE,"7.netinvest"}</definedName>
    <definedName name="비" hidden="1">{#N/A,#N/A,FALSE,"1.CRITERIA";#N/A,#N/A,FALSE,"2.IS";#N/A,#N/A,FALSE,"3.BS";#N/A,#N/A,FALSE,"4.PER PL";#N/A,#N/A,FALSE,"5.INVESTMENT";#N/A,#N/A,FALSE,"6.공문";#N/A,#N/A,FALSE,"7.netinvest"}</definedName>
    <definedName name="비2" hidden="1">{#N/A,#N/A,FALSE,"손익표지";#N/A,#N/A,FALSE,"손익계산";#N/A,#N/A,FALSE,"일반관리비";#N/A,#N/A,FALSE,"영업외수익";#N/A,#N/A,FALSE,"영업외비용";#N/A,#N/A,FALSE,"매출액";#N/A,#N/A,FALSE,"요약손익";#N/A,#N/A,FALSE,"요약대차";#N/A,#N/A,FALSE,"매출채권현황";#N/A,#N/A,FALSE,"매출채권명세"}</definedName>
    <definedName name="비계">#REF!</definedName>
    <definedName name="비계공">#REF!</definedName>
    <definedName name="비고">#REF!</definedName>
    <definedName name="비과세" hidden="1">#REF!</definedName>
    <definedName name="비교"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손익당초" hidden="1">{#N/A,#N/A,FALSE,"정공"}</definedName>
    <definedName name="비교차종" hidden="1">{#N/A,#N/A,FALSE,"단축1";#N/A,#N/A,FALSE,"단축2";#N/A,#N/A,FALSE,"단축3";#N/A,#N/A,FALSE,"장축";#N/A,#N/A,FALSE,"4WD"}</definedName>
    <definedName name="비교표1">255</definedName>
    <definedName name="비교표2" hidden="1">#REF!</definedName>
    <definedName name="비목1">#REF!</definedName>
    <definedName name="비목2">#REF!</definedName>
    <definedName name="비목3">#REF!</definedName>
    <definedName name="비목4">#REF!</definedName>
    <definedName name="비목분개">#REF!</definedName>
    <definedName name="비비비" hidden="1">#REF!</definedName>
    <definedName name="비비추">#REF!</definedName>
    <definedName name="비용거래">#REF!</definedName>
    <definedName name="비용배분">#REF!</definedName>
    <definedName name="비율">#REF!</definedName>
    <definedName name="비율1">#REF!</definedName>
    <definedName name="비율2" hidden="1">#REF!</definedName>
    <definedName name="비율3">#REF!</definedName>
    <definedName name="비율4">#REF!</definedName>
    <definedName name="비율5">#REF!</definedName>
    <definedName name="비율제목1">#REF!</definedName>
    <definedName name="비율제목2">#REF!</definedName>
    <definedName name="비율제목3">#REF!</definedName>
    <definedName name="비율제목4">#REF!</definedName>
    <definedName name="비율제목5">#REF!</definedName>
    <definedName name="비음음"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중소기업"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즈폼">"bizforms.co.kr"</definedName>
    <definedName name="비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빈" hidden="1">{#N/A,#N/A,FALSE,"단축1";#N/A,#N/A,FALSE,"단축2";#N/A,#N/A,FALSE,"단축3";#N/A,#N/A,FALSE,"장축";#N/A,#N/A,FALSE,"4WD"}</definedName>
    <definedName name="빈양식" localSheetId="2" hidden="1">{#N/A,#N/A,FALSE,"CCTV"}</definedName>
    <definedName name="빈양식" hidden="1">{#N/A,#N/A,FALSE,"CCTV"}</definedName>
    <definedName name="빙수" localSheetId="2" hidden="1">{#N/A,#N/A,FALSE,"1.CRITERIA";#N/A,#N/A,FALSE,"2.IS";#N/A,#N/A,FALSE,"3.BS";#N/A,#N/A,FALSE,"4.PER PL";#N/A,#N/A,FALSE,"5.INVESTMENT";#N/A,#N/A,FALSE,"6.공문";#N/A,#N/A,FALSE,"7.netinvest"}</definedName>
    <definedName name="빙수" hidden="1">{#N/A,#N/A,FALSE,"1.CRITERIA";#N/A,#N/A,FALSE,"2.IS";#N/A,#N/A,FALSE,"3.BS";#N/A,#N/A,FALSE,"4.PER PL";#N/A,#N/A,FALSE,"5.INVESTMENT";#N/A,#N/A,FALSE,"6.공문";#N/A,#N/A,FALSE,"7.netinvest"}</definedName>
    <definedName name="뽀뽀뽀" localSheetId="2" hidden="1">{#N/A,#N/A,FALSE,"Aging Summary";#N/A,#N/A,FALSE,"Ratio Analysis";#N/A,#N/A,FALSE,"Test 120 Day Accts";#N/A,#N/A,FALSE,"Tickmarks"}</definedName>
    <definedName name="뽀뽀뽀" hidden="1">{#N/A,#N/A,FALSE,"Aging Summary";#N/A,#N/A,FALSE,"Ratio Analysis";#N/A,#N/A,FALSE,"Test 120 Day Accts";#N/A,#N/A,FALSE,"Tickmarks"}</definedName>
    <definedName name="ㅅ" localSheetId="2" hidden="1">{#N/A,#N/A,FALSE,"BS";#N/A,#N/A,FALSE,"PL";#N/A,#N/A,FALSE,"처분";#N/A,#N/A,FALSE,"현금";#N/A,#N/A,FALSE,"매출";#N/A,#N/A,FALSE,"원가";#N/A,#N/A,FALSE,"경영"}</definedName>
    <definedName name="ㅅ" hidden="1">{#N/A,#N/A,FALSE,"BS";#N/A,#N/A,FALSE,"PL";#N/A,#N/A,FALSE,"처분";#N/A,#N/A,FALSE,"현금";#N/A,#N/A,FALSE,"매출";#N/A,#N/A,FALSE,"원가";#N/A,#N/A,FALSE,"경영"}</definedName>
    <definedName name="ㅅ54ㅛㄳ" hidden="1">#REF!</definedName>
    <definedName name="ㅅㄱ">#N/A</definedName>
    <definedName name="ㅅㄱㄴ곤">#N/A</definedName>
    <definedName name="ㅅㄱㄷ" hidden="1">#REF!</definedName>
    <definedName name="ㅅㄱ혿ㄱㅎ" hidden="1">{#N/A,#N/A,FALSE,"Sheet6"}</definedName>
    <definedName name="ㅅ건거">#N/A</definedName>
    <definedName name="ㅅ곣ㅈ궈ㅕ" hidden="1">#REF!</definedName>
    <definedName name="ㅅ곳ㄷㄴ">#N/A</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굔ㄱㄷ" hidden="1">{#N/A,#N/A,FALSE,"Sheet6"}</definedName>
    <definedName name="ㅅㄷ">BlankMacro1</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ㅅ" hidden="1">{#N/A,#N/A,FALSE,"단축1";#N/A,#N/A,FALSE,"단축2";#N/A,#N/A,FALSE,"단축3";#N/A,#N/A,FALSE,"장축";#N/A,#N/A,FALSE,"4WD"}</definedName>
    <definedName name="ㅅㅅㅅ" localSheetId="2" hidden="1">{"'손익현황'!$A$1:$J$29"}</definedName>
    <definedName name="ㅅㅅㅅ" hidden="1">{"'손익현황'!$A$1:$J$29"}</definedName>
    <definedName name="ㅅㅅㅅ_1" localSheetId="2" hidden="1">{"'손익현황'!$A$1:$J$29"}</definedName>
    <definedName name="ㅅㅅㅅ_1" hidden="1">{"'손익현황'!$A$1:$J$29"}</definedName>
    <definedName name="ㅅㅅㅅㅅ" localSheetId="2" hidden="1">{#N/A,#N/A,FALSE,"UNIT";#N/A,#N/A,FALSE,"UNIT";#N/A,#N/A,FALSE,"계정"}</definedName>
    <definedName name="ㅅㅅㅅㅅ" hidden="1">{#N/A,#N/A,FALSE,"UNIT";#N/A,#N/A,FALSE,"UNIT";#N/A,#N/A,FALSE,"계정"}</definedName>
    <definedName name="ㅅㅅㅅㅅㅅ" localSheetId="2" hidden="1">{#N/A,#N/A,FALSE,"1.CRITERIA";#N/A,#N/A,FALSE,"2.IS";#N/A,#N/A,FALSE,"3.BS";#N/A,#N/A,FALSE,"4.PER PL";#N/A,#N/A,FALSE,"5.INVESTMENT";#N/A,#N/A,FALSE,"6.공문";#N/A,#N/A,FALSE,"7.netinvest"}</definedName>
    <definedName name="ㅅㅅㅅㅅㅅ" hidden="1">{#N/A,#N/A,FALSE,"1.CRITERIA";#N/A,#N/A,FALSE,"2.IS";#N/A,#N/A,FALSE,"3.BS";#N/A,#N/A,FALSE,"4.PER PL";#N/A,#N/A,FALSE,"5.INVESTMENT";#N/A,#N/A,FALSE,"6.공문";#N/A,#N/A,FALSE,"7.netinvest"}</definedName>
    <definedName name="ㅅㅅㅅㅅㅅㅅㅅ" localSheetId="2" hidden="1">{#N/A,#N/A,FALSE,"UNIT";#N/A,#N/A,FALSE,"UNIT";#N/A,#N/A,FALSE,"계정"}</definedName>
    <definedName name="ㅅㅅㅅㅅㅅㅅㅅ" hidden="1">{#N/A,#N/A,FALSE,"UNIT";#N/A,#N/A,FALSE,"UNIT";#N/A,#N/A,FALSE,"계정"}</definedName>
    <definedName name="ㅅ언">#N/A</definedName>
    <definedName name="ㅅ엇ㅇ">#N/A</definedName>
    <definedName name="ㅅㅎㅎ" localSheetId="2" hidden="1">{"'Jibu9811 (3)'!$B$1:$J$433"}</definedName>
    <definedName name="ㅅㅎㅎ" hidden="1">{"'Jibu9811 (3)'!$B$1:$J$433"}</definedName>
    <definedName name="ㅅㅓ" hidden="1">#REF!</definedName>
    <definedName name="사" hidden="1">#REF!</definedName>
    <definedName name="사1" hidden="1">{#N/A,#N/A,FALSE,"지침";#N/A,#N/A,FALSE,"환경분석";#N/A,#N/A,FALSE,"Sheet16"}</definedName>
    <definedName name="사고수상실적" hidden="1">{#N/A,#N/A,FALSE,"손익표지";#N/A,#N/A,FALSE,"손익계산";#N/A,#N/A,FALSE,"일반관리비";#N/A,#N/A,FALSE,"영업외수익";#N/A,#N/A,FALSE,"영업외비용";#N/A,#N/A,FALSE,"매출액";#N/A,#N/A,FALSE,"요약손익";#N/A,#N/A,FALSE,"요약대차";#N/A,#N/A,FALSE,"매출채권현황";#N/A,#N/A,FALSE,"매출채권명세"}</definedName>
    <definedName name="사고종합2001_2" localSheetId="2" hidden="1">{#N/A,#N/A,FALSE,"범우구미";#N/A,#N/A,FALSE,"세한케미칼";#N/A,#N/A,FALSE,"세명화학";#N/A,#N/A,FALSE,"신영케미칼";#N/A,#N/A,FALSE,"일석상사"}</definedName>
    <definedName name="사고종합2001_2" hidden="1">{#N/A,#N/A,FALSE,"범우구미";#N/A,#N/A,FALSE,"세한케미칼";#N/A,#N/A,FALSE,"세명화학";#N/A,#N/A,FALSE,"신영케미칼";#N/A,#N/A,FALSE,"일석상사"}</definedName>
    <definedName name="사고종합2001_22" localSheetId="2" hidden="1">{#N/A,#N/A,FALSE,"범우구미";#N/A,#N/A,FALSE,"세한케미칼";#N/A,#N/A,FALSE,"세명화학";#N/A,#N/A,FALSE,"신영케미칼";#N/A,#N/A,FALSE,"일석상사"}</definedName>
    <definedName name="사고종합2001_22" hidden="1">{#N/A,#N/A,FALSE,"범우구미";#N/A,#N/A,FALSE,"세한케미칼";#N/A,#N/A,FALSE,"세명화학";#N/A,#N/A,FALSE,"신영케미칼";#N/A,#N/A,FALSE,"일석상사"}</definedName>
    <definedName name="사고채권" localSheetId="2" hidden="1">{#N/A,#N/A,FALSE,"범우구미";#N/A,#N/A,FALSE,"세한케미칼";#N/A,#N/A,FALSE,"세명화학";#N/A,#N/A,FALSE,"신영케미칼";#N/A,#N/A,FALSE,"일석상사"}</definedName>
    <definedName name="사고채권" hidden="1">{#N/A,#N/A,FALSE,"범우구미";#N/A,#N/A,FALSE,"세한케미칼";#N/A,#N/A,FALSE,"세명화학";#N/A,#N/A,FALSE,"신영케미칼";#N/A,#N/A,FALSE,"일석상사"}</definedName>
    <definedName name="사고채권1" localSheetId="2" hidden="1">{#N/A,#N/A,FALSE,"범우구미";#N/A,#N/A,FALSE,"세한케미칼";#N/A,#N/A,FALSE,"세명화학";#N/A,#N/A,FALSE,"신영케미칼";#N/A,#N/A,FALSE,"일석상사"}</definedName>
    <definedName name="사고채권1" hidden="1">{#N/A,#N/A,FALSE,"범우구미";#N/A,#N/A,FALSE,"세한케미칼";#N/A,#N/A,FALSE,"세명화학";#N/A,#N/A,FALSE,"신영케미칼";#N/A,#N/A,FALSE,"일석상사"}</definedName>
    <definedName name="사고채권2" localSheetId="2" hidden="1">{#N/A,#N/A,FALSE,"범우구미";#N/A,#N/A,FALSE,"세한케미칼";#N/A,#N/A,FALSE,"세명화학";#N/A,#N/A,FALSE,"신영케미칼";#N/A,#N/A,FALSE,"일석상사"}</definedName>
    <definedName name="사고채권2" hidden="1">{#N/A,#N/A,FALSE,"범우구미";#N/A,#N/A,FALSE,"세한케미칼";#N/A,#N/A,FALSE,"세명화학";#N/A,#N/A,FALSE,"신영케미칼";#N/A,#N/A,FALSE,"일석상사"}</definedName>
    <definedName name="사급">#REF!</definedName>
    <definedName name="사급자재1">#REF!</definedName>
    <definedName name="사급자재2">#REF!</definedName>
    <definedName name="사다함이" localSheetId="2" hidden="1">{#N/A,#N/A,FALSE,"정공"}</definedName>
    <definedName name="사다함이" hidden="1">{#N/A,#N/A,FALSE,"정공"}</definedName>
    <definedName name="사람" localSheetId="2" hidden="1">{#N/A,#N/A,FALSE,"BS";#N/A,#N/A,FALSE,"PL";#N/A,#N/A,FALSE,"처분";#N/A,#N/A,FALSE,"현금";#N/A,#N/A,FALSE,"매출";#N/A,#N/A,FALSE,"원가";#N/A,#N/A,FALSE,"경영"}</definedName>
    <definedName name="사람" hidden="1">{#N/A,#N/A,FALSE,"BS";#N/A,#N/A,FALSE,"PL";#N/A,#N/A,FALSE,"처분";#N/A,#N/A,FALSE,"현금";#N/A,#N/A,FALSE,"매출";#N/A,#N/A,FALSE,"원가";#N/A,#N/A,FALSE,"경영"}</definedName>
    <definedName name="사람이야" hidden="1">{#N/A,#N/A,FALSE,"정공"}</definedName>
    <definedName name="사랑" hidden="1">{#N/A,#N/A,TRUE,"경전'96(1)";#N/A,#N/A,TRUE,"경전'96 (2)"}</definedName>
    <definedName name="사랑하오" hidden="1">{#N/A,#N/A,FALSE,"정공"}</definedName>
    <definedName name="사망"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본" hidden="1">{#N/A,#N/A,FALSE,"정공"}</definedName>
    <definedName name="사소" localSheetId="2" hidden="1">{#N/A,#N/A,FALSE,"BS";#N/A,#N/A,FALSE,"PL";#N/A,#N/A,FALSE,"처분";#N/A,#N/A,FALSE,"현금";#N/A,#N/A,FALSE,"매출";#N/A,#N/A,FALSE,"원가";#N/A,#N/A,FALSE,"경영"}</definedName>
    <definedName name="사소" hidden="1">{#N/A,#N/A,FALSE,"BS";#N/A,#N/A,FALSE,"PL";#N/A,#N/A,FALSE,"처분";#N/A,#N/A,FALSE,"현금";#N/A,#N/A,FALSE,"매출";#N/A,#N/A,FALSE,"원가";#N/A,#N/A,FALSE,"경영"}</definedName>
    <definedName name="사양안" hidden="1">{#N/A,#N/A,FALSE,"단축1";#N/A,#N/A,FALSE,"단축2";#N/A,#N/A,FALSE,"단축3";#N/A,#N/A,FALSE,"장축";#N/A,#N/A,FALSE,"4WD"}</definedName>
    <definedName name="사어" hidden="1">{#N/A,#N/A,FALSE,"손익표지";#N/A,#N/A,FALSE,"손익계산";#N/A,#N/A,FALSE,"일반관리비";#N/A,#N/A,FALSE,"영업외수익";#N/A,#N/A,FALSE,"영업외비용";#N/A,#N/A,FALSE,"매출액";#N/A,#N/A,FALSE,"요약손익";#N/A,#N/A,FALSE,"요약대차";#N/A,#N/A,FALSE,"매출채권현황";#N/A,#N/A,FALSE,"매출채권명세"}</definedName>
    <definedName name="사업" localSheetId="2" hidden="1">{#N/A,#N/A,FALSE,"UNIT";#N/A,#N/A,FALSE,"UNIT";#N/A,#N/A,FALSE,"계정"}</definedName>
    <definedName name="사업" hidden="1">{#N/A,#N/A,FALSE,"UNIT";#N/A,#N/A,FALSE,"UNIT";#N/A,#N/A,FALSE,"계정"}</definedName>
    <definedName name="사업개발" hidden="1">{#N/A,#N/A,FALSE,"손익표지";#N/A,#N/A,FALSE,"손익계산";#N/A,#N/A,FALSE,"일반관리비";#N/A,#N/A,FALSE,"영업외수익";#N/A,#N/A,FALSE,"영업외비용";#N/A,#N/A,FALSE,"매출액";#N/A,#N/A,FALSE,"요약손익";#N/A,#N/A,FALSE,"요약대차";#N/A,#N/A,FALSE,"매출채권현황";#N/A,#N/A,FALSE,"매출채권명세"}</definedName>
    <definedName name="사업계획" localSheetId="2" hidden="1">{#N/A,#N/A,FALSE,"기술료 비교"}</definedName>
    <definedName name="사업계획" hidden="1">{#N/A,#N/A,FALSE,"기술료 비교"}</definedName>
    <definedName name="사업별">#REF!</definedName>
    <definedName name="사업별실적입력">#REF!</definedName>
    <definedName name="사업부손" hidden="1">{#N/A,#N/A,FALSE,"손익표지";#N/A,#N/A,FALSE,"손익계산";#N/A,#N/A,FALSE,"일반관리비";#N/A,#N/A,FALSE,"영업외수익";#N/A,#N/A,FALSE,"영업외비용";#N/A,#N/A,FALSE,"매출액";#N/A,#N/A,FALSE,"요약손익";#N/A,#N/A,FALSE,"요약대차";#N/A,#N/A,FALSE,"매출채권현황";#N/A,#N/A,FALSE,"매출채권명세"}</definedName>
    <definedName name="사업부양식2" hidden="1">#REF!</definedName>
    <definedName name="사업비교표" hidden="1">{#N/A,#N/A,FALSE,"정공"}</definedName>
    <definedName name="사업자등록번호">#REF!</definedName>
    <definedName name="사업장소재지">#REF!</definedName>
    <definedName name="사업추진" localSheetId="2" hidden="1">{#N/A,#N/A,FALSE,"정공"}</definedName>
    <definedName name="사업추진" hidden="1">{#N/A,#N/A,FALSE,"정공"}</definedName>
    <definedName name="사업활성" localSheetId="2" hidden="1">{#N/A,#N/A,FALSE,"UNIT";#N/A,#N/A,FALSE,"UNIT";#N/A,#N/A,FALSE,"계정"}</definedName>
    <definedName name="사업활성" hidden="1">{#N/A,#N/A,FALSE,"UNIT";#N/A,#N/A,FALSE,"UNIT";#N/A,#N/A,FALSE,"계정"}</definedName>
    <definedName name="사원">#REF!</definedName>
    <definedName name="사원미지급" localSheetId="2" hidden="1">{#N/A,#N/A,FALSE,"1.CRITERIA";#N/A,#N/A,FALSE,"2.IS";#N/A,#N/A,FALSE,"3.BS";#N/A,#N/A,FALSE,"4.PER PL";#N/A,#N/A,FALSE,"5.INVESTMENT";#N/A,#N/A,FALSE,"6.공문";#N/A,#N/A,FALSE,"7.netinvest"}</definedName>
    <definedName name="사원미지급" hidden="1">{#N/A,#N/A,FALSE,"1.CRITERIA";#N/A,#N/A,FALSE,"2.IS";#N/A,#N/A,FALSE,"3.BS";#N/A,#N/A,FALSE,"4.PER PL";#N/A,#N/A,FALSE,"5.INVESTMENT";#N/A,#N/A,FALSE,"6.공문";#N/A,#N/A,FALSE,"7.netinvest"}</definedName>
    <definedName name="사이로" hidden="1">{#N/A,#N/A,FALSE,"단축1";#N/A,#N/A,FALSE,"단축2";#N/A,#N/A,FALSE,"단축3";#N/A,#N/A,FALSE,"장축";#N/A,#N/A,FALSE,"4WD"}</definedName>
    <definedName name="사전공" hidden="1">#REF!</definedName>
    <definedName name="사전공사" hidden="1">#REF!</definedName>
    <definedName name="사전신청" hidden="1">#REF!</definedName>
    <definedName name="사진" localSheetId="2" hidden="1">{#N/A,#N/A,FALSE,"단축1";#N/A,#N/A,FALSE,"단축2";#N/A,#N/A,FALSE,"단축3";#N/A,#N/A,FALSE,"장축";#N/A,#N/A,FALSE,"4WD"}</definedName>
    <definedName name="사진" hidden="1">{#N/A,#N/A,FALSE,"단축1";#N/A,#N/A,FALSE,"단축2";#N/A,#N/A,FALSE,"단축3";#N/A,#N/A,FALSE,"장축";#N/A,#N/A,FALSE,"4WD"}</definedName>
    <definedName name="사진1" localSheetId="2"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사질" localSheetId="2" hidden="1">{#N/A,#N/A,FALSE,"BS";#N/A,#N/A,FALSE,"PL";#N/A,#N/A,FALSE,"처분";#N/A,#N/A,FALSE,"현금";#N/A,#N/A,FALSE,"매출";#N/A,#N/A,FALSE,"원가";#N/A,#N/A,FALSE,"경영"}</definedName>
    <definedName name="사질" hidden="1">{#N/A,#N/A,FALSE,"BS";#N/A,#N/A,FALSE,"PL";#N/A,#N/A,FALSE,"처분";#N/A,#N/A,FALSE,"현금";#N/A,#N/A,FALSE,"매출";#N/A,#N/A,FALSE,"원가";#N/A,#N/A,FALSE,"경영"}</definedName>
    <definedName name="사채" hidden="1">#REF!</definedName>
    <definedName name="사채명세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hidden="1">{#N/A,#N/A,FALSE,"손익표지";#N/A,#N/A,FALSE,"손익계산";#N/A,#N/A,FALSE,"일반관리비";#N/A,#N/A,FALSE,"영업외수익";#N/A,#N/A,FALSE,"영업외비용";#N/A,#N/A,FALSE,"매출액";#N/A,#N/A,FALSE,"요약손익";#N/A,#N/A,FALSE,"요약대차";#N/A,#N/A,FALSE,"매출채권현황";#N/A,#N/A,FALSE,"매출채권명세"}</definedName>
    <definedName name="사회">#REF!</definedName>
    <definedName name="산">#REF!</definedName>
    <definedName name="산기">#REF!</definedName>
    <definedName name="산업수요2" hidden="1">{#N/A,#N/A,FALSE,"단축1";#N/A,#N/A,FALSE,"단축2";#N/A,#N/A,FALSE,"단축3";#N/A,#N/A,FALSE,"장축";#N/A,#N/A,FALSE,"4WD"}</definedName>
    <definedName name="산재보험료">#REF!</definedName>
    <definedName name="산재보험료율">#REF!</definedName>
    <definedName name="산철쭉">#REF!</definedName>
    <definedName name="산출">#REF!</definedName>
    <definedName name="산출근거">BlankMacro1</definedName>
    <definedName name="산출내역">#REF!</definedName>
    <definedName name="산출내역1" hidden="1">#REF!</definedName>
    <definedName name="산출냐역">#REF!</definedName>
    <definedName name="산출세액계">#REF!</definedName>
    <definedName name="살">#REF!</definedName>
    <definedName name="삼성" localSheetId="2" hidden="1">{#N/A,#N/A,FALSE,"정공"}</definedName>
    <definedName name="삼성" hidden="1">{#N/A,#N/A,FALSE,"정공"}</definedName>
    <definedName name="삼성2" localSheetId="2" hidden="1">{#N/A,#N/A,FALSE,"정공"}</definedName>
    <definedName name="삼성2" hidden="1">{#N/A,#N/A,FALSE,"정공"}</definedName>
    <definedName name="삽" hidden="1">{#N/A,#N/A,FALSE,"Sheet6"}</definedName>
    <definedName name="삽입" hidden="1">{#N/A,#N/A,FALSE,"단축1";#N/A,#N/A,FALSE,"단축2";#N/A,#N/A,FALSE,"단축3";#N/A,#N/A,FALSE,"장축";#N/A,#N/A,FALSE,"4WD"}</definedName>
    <definedName name="상">#REF!</definedName>
    <definedName name="상가" hidden="1">#REF!</definedName>
    <definedName name="상각비">#REF!</definedName>
    <definedName name="상담">#REF!</definedName>
    <definedName name="상당5" hidden="1">{#N/A,#N/A,FALSE,"단축1";#N/A,#N/A,FALSE,"단축2";#N/A,#N/A,FALSE,"단축3";#N/A,#N/A,FALSE,"장축";#N/A,#N/A,FALSE,"4WD"}</definedName>
    <definedName name="상당6" hidden="1">{#N/A,#N/A,FALSE,"단축1";#N/A,#N/A,FALSE,"단축2";#N/A,#N/A,FALSE,"단축3";#N/A,#N/A,FALSE,"장축";#N/A,#N/A,FALSE,"4WD"}</definedName>
    <definedName name="상당7" hidden="1">{#N/A,#N/A,FALSE,"단축1";#N/A,#N/A,FALSE,"단축2";#N/A,#N/A,FALSE,"단축3";#N/A,#N/A,FALSE,"장축";#N/A,#N/A,FALSE,"4WD"}</definedName>
    <definedName name="상당8" hidden="1">{#N/A,#N/A,FALSE,"단축1";#N/A,#N/A,FALSE,"단축2";#N/A,#N/A,FALSE,"단축3";#N/A,#N/A,FALSE,"장축";#N/A,#N/A,FALSE,"4WD"}</definedName>
    <definedName name="상당9" hidden="1">{#N/A,#N/A,FALSE,"신규dep";#N/A,#N/A,FALSE,"신규dep-금형상각후";#N/A,#N/A,FALSE,"신규dep-연구비상각후";#N/A,#N/A,FALSE,"신규dep-기계,공구상각후"}</definedName>
    <definedName name="상로허호" localSheetId="2" hidden="1">{#N/A,#N/A,FALSE,"정공"}</definedName>
    <definedName name="상로허호" hidden="1">{#N/A,#N/A,FALSE,"정공"}</definedName>
    <definedName name="상미">#REF!</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반기" hidden="1">{#N/A,#N/A,FALSE,"단축1";#N/A,#N/A,FALSE,"단축2";#N/A,#N/A,FALSE,"단축3";#N/A,#N/A,FALSE,"장축";#N/A,#N/A,FALSE,"4WD"}</definedName>
    <definedName name="상부슬라브">#REF!</definedName>
    <definedName name="상분">#REF!</definedName>
    <definedName name="상수">#REF!</definedName>
    <definedName name="상수도">#REF!</definedName>
    <definedName name="상수불">#REF!</definedName>
    <definedName name="상업">#REF!</definedName>
    <definedName name="상여">#REF!</definedName>
    <definedName name="상여금">#REF!</definedName>
    <definedName name="상여급여Query1">#REF!</definedName>
    <definedName name="상주" localSheetId="2" hidden="1">{"'Jibu9811 (3)'!$B$1:$J$433"}</definedName>
    <definedName name="상주" hidden="1">{"'Jibu9811 (3)'!$B$1:$J$433"}</definedName>
    <definedName name="상품" hidden="1">#REF!</definedName>
    <definedName name="상품매출">#REF!</definedName>
    <definedName name="상품매출1">#REF!</definedName>
    <definedName name="상품성1" hidden="1">{#N/A,#N/A,FALSE,"단축1";#N/A,#N/A,FALSE,"단축2";#N/A,#N/A,FALSE,"단축3";#N/A,#N/A,FALSE,"장축";#N/A,#N/A,FALSE,"4WD"}</definedName>
    <definedName name="상품시화">#REF!</definedName>
    <definedName name="상품입출">#REF!</definedName>
    <definedName name="상품입출1">#REF!</definedName>
    <definedName name="상하검토" hidden="1">{#N/A,#N/A,FALSE,"단축1";#N/A,#N/A,FALSE,"단축2";#N/A,#N/A,FALSE,"단축3";#N/A,#N/A,FALSE,"장축";#N/A,#N/A,FALSE,"4WD"}</definedName>
    <definedName name="상한금액조정">OFFSET(#REF!,,,COUNTA(#REF!), COUNTA(#REF!))</definedName>
    <definedName name="새" hidden="1">{#N/A,#N/A,FALSE,"손익표지";#N/A,#N/A,FALSE,"손익계산";#N/A,#N/A,FALSE,"일반관리비";#N/A,#N/A,FALSE,"영업외수익";#N/A,#N/A,FALSE,"영업외비용";#N/A,#N/A,FALSE,"매출액";#N/A,#N/A,FALSE,"요약손익";#N/A,#N/A,FALSE,"요약대차";#N/A,#N/A,FALSE,"매출채권현황";#N/A,#N/A,FALSE,"매출채권명세"}</definedName>
    <definedName name="새것" hidden="1">{#N/A,#N/A,FALSE,"손익표지";#N/A,#N/A,FALSE,"손익계산";#N/A,#N/A,FALSE,"일반관리비";#N/A,#N/A,FALSE,"영업외수익";#N/A,#N/A,FALSE,"영업외비용";#N/A,#N/A,FALSE,"매출액";#N/A,#N/A,FALSE,"요약손익";#N/A,#N/A,FALSE,"요약대차";#N/A,#N/A,FALSE,"매출채권현황";#N/A,#N/A,FALSE,"매출채권명세"}</definedName>
    <definedName name="새공통" hidden="1">{#N/A,#N/A,FALSE,"이태원철근"}</definedName>
    <definedName name="새로운" hidden="1">{#N/A,#N/A,FALSE,"단축1";#N/A,#N/A,FALSE,"단축2";#N/A,#N/A,FALSE,"단축3";#N/A,#N/A,FALSE,"장축";#N/A,#N/A,FALSE,"4WD"}</definedName>
    <definedName name="새로운미지급" localSheetId="2" hidden="1">{#N/A,#N/A,FALSE,"Aging Summary";#N/A,#N/A,FALSE,"Ratio Analysis";#N/A,#N/A,FALSE,"Test 120 Day Accts";#N/A,#N/A,FALSE,"Tickmarks"}</definedName>
    <definedName name="새로운미지급" hidden="1">{#N/A,#N/A,FALSE,"Aging Summary";#N/A,#N/A,FALSE,"Ratio Analysis";#N/A,#N/A,FALSE,"Test 120 Day Accts";#N/A,#N/A,FALSE,"Tickmarks"}</definedName>
    <definedName name="새로운미지급_1" localSheetId="2" hidden="1">{#N/A,#N/A,FALSE,"Aging Summary";#N/A,#N/A,FALSE,"Ratio Analysis";#N/A,#N/A,FALSE,"Test 120 Day Accts";#N/A,#N/A,FALSE,"Tickmarks"}</definedName>
    <definedName name="새로운미지급_1" hidden="1">{#N/A,#N/A,FALSE,"Aging Summary";#N/A,#N/A,FALSE,"Ratio Analysis";#N/A,#N/A,FALSE,"Test 120 Day Accts";#N/A,#N/A,FALSE,"Tickmarks"}</definedName>
    <definedName name="새로운이름" localSheetId="2" hidden="1">{#N/A,#N/A,FALSE,"UNIT";#N/A,#N/A,FALSE,"UNIT";#N/A,#N/A,FALSE,"계정"}</definedName>
    <definedName name="새로운이름" hidden="1">{#N/A,#N/A,FALSE,"UNIT";#N/A,#N/A,FALSE,"UNIT";#N/A,#N/A,FALSE,"계정"}</definedName>
    <definedName name="새로운폼" hidden="1">#REF!</definedName>
    <definedName name="새로이" localSheetId="2" hidden="1">{"'Jibu9811 (3)'!$B$1:$J$433"}</definedName>
    <definedName name="새로이" hidden="1">{"'Jibu9811 (3)'!$B$1:$J$433"}</definedName>
    <definedName name="새새샛" localSheetId="2" hidden="1">{"'미착금액'!$A$4:$G$14"}</definedName>
    <definedName name="새새샛" hidden="1">{"'미착금액'!$A$4:$G$14"}</definedName>
    <definedName name="새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이름" hidden="1">#REF!</definedName>
    <definedName name="새이름인겨" localSheetId="2" hidden="1">{#N/A,#N/A,FALSE,"Aging Summary";#N/A,#N/A,FALSE,"Ratio Analysis";#N/A,#N/A,FALSE,"Test 120 Day Accts";#N/A,#N/A,FALSE,"Tickmarks"}</definedName>
    <definedName name="새이름인겨" hidden="1">{#N/A,#N/A,FALSE,"Aging Summary";#N/A,#N/A,FALSE,"Ratio Analysis";#N/A,#N/A,FALSE,"Test 120 Day Accts";#N/A,#N/A,FALSE,"Tickmarks"}</definedName>
    <definedName name="새파일편집" localSheetId="2" hidden="1">{#N/A,#N/A,FALSE,"정공"}</definedName>
    <definedName name="새파일편집" hidden="1">{#N/A,#N/A,FALSE,"정공"}</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TON" hidden="1">{#N/A,#N/A,TRUE,"Y생산";#N/A,#N/A,TRUE,"Y판매";#N/A,#N/A,TRUE,"Y총물량";#N/A,#N/A,TRUE,"Y능력";#N/A,#N/A,TRUE,"YKD"}</definedName>
    <definedName name="생산관리부" hidden="1">{#N/A,#N/A,FALSE,"단축1";#N/A,#N/A,FALSE,"단축2";#N/A,#N/A,FALSE,"단축3";#N/A,#N/A,FALSE,"장축";#N/A,#N/A,FALSE,"4WD"}</definedName>
    <definedName name="생산능력" localSheetId="2" hidden="1">{#N/A,#N/A,FALSE,"정공"}</definedName>
    <definedName name="생산능력" hidden="1">{#N/A,#N/A,FALSE,"정공"}</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성" hidden="1">{#N/A,#N/A,FALSE,"단축1";#N/A,#N/A,FALSE,"단축2";#N/A,#N/A,FALSE,"단축3";#N/A,#N/A,FALSE,"장축";#N/A,#N/A,FALSE,"4WD"}</definedName>
    <definedName name="생산성1">#REF!</definedName>
    <definedName name="생산성2">#REF!,#REF!</definedName>
    <definedName name="생산손익" hidden="1">{#N/A,#N/A,FALSE,"정공"}</definedName>
    <definedName name="생산실적" localSheetId="2">{"XG6PR2"}</definedName>
    <definedName name="생산실적">{"XG6PR2"}</definedName>
    <definedName name="생산실적2" localSheetId="2">{"XG6PR2"}</definedName>
    <definedName name="생산실적2">{"XG6PR2"}</definedName>
    <definedName name="생산재고" localSheetId="2" hidden="1">{#N/A,#N/A,FALSE,"Aging Summary";#N/A,#N/A,FALSE,"Ratio Analysis";#N/A,#N/A,FALSE,"Test 120 Day Accts";#N/A,#N/A,FALSE,"Tickmarks"}</definedName>
    <definedName name="생산재고" hidden="1">{#N/A,#N/A,FALSE,"Aging Summary";#N/A,#N/A,FALSE,"Ratio Analysis";#N/A,#N/A,FALSE,"Test 120 Day Accts";#N/A,#N/A,FALSE,"Tickmarks"}</definedName>
    <definedName name="생산품목" localSheetId="2" hidden="1">{#N/A,#N/A,FALSE,"정공"}</definedName>
    <definedName name="생산품목" hidden="1">{#N/A,#N/A,FALSE,"정공"}</definedName>
    <definedName name="샤워">#REF!</definedName>
    <definedName name="서" hidden="1">#REF!</definedName>
    <definedName name="서구1" localSheetId="2" hidden="1">{"'Jibu9811 (3)'!$B$1:$J$433"}</definedName>
    <definedName name="서구1" hidden="1">{"'Jibu9811 (3)'!$B$1:$J$433"}</definedName>
    <definedName name="서부">#N/A</definedName>
    <definedName name="서산">#REF!</definedName>
    <definedName name="서상">#REF!</definedName>
    <definedName name="서울">#REF!</definedName>
    <definedName name="서울공동">#REF!</definedName>
    <definedName name="서울낙찰율">#REF!</definedName>
    <definedName name="서울신용">#REF!</definedName>
    <definedName name="서이" localSheetId="2" hidden="1">{#N/A,#N/A,FALSE,"1.CRITERIA";#N/A,#N/A,FALSE,"2.IS";#N/A,#N/A,FALSE,"3.BS";#N/A,#N/A,FALSE,"4.PER PL";#N/A,#N/A,FALSE,"5.INVESTMENT";#N/A,#N/A,FALSE,"6.공문";#N/A,#N/A,FALSE,"7.netinvest"}</definedName>
    <definedName name="서이" hidden="1">{#N/A,#N/A,FALSE,"1.CRITERIA";#N/A,#N/A,FALSE,"2.IS";#N/A,#N/A,FALSE,"3.BS";#N/A,#N/A,FALSE,"4.PER PL";#N/A,#N/A,FALSE,"5.INVESTMENT";#N/A,#N/A,FALSE,"6.공문";#N/A,#N/A,FALSE,"7.netinvest"}</definedName>
    <definedName name="석공">#REF!</definedName>
    <definedName name="석빈" hidden="1">{#N/A,#N/A,FALSE,"단축1";#N/A,#N/A,FALSE,"단축2";#N/A,#N/A,FALSE,"단축3";#N/A,#N/A,FALSE,"장축";#N/A,#N/A,FALSE,"4WD"}</definedName>
    <definedName name="석희" hidden="1">#REF!</definedName>
    <definedName name="선그그그급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그그그급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 localSheetId="2" hidden="1">{#N/A,#N/A,FALSE,"1.CRITERIA";#N/A,#N/A,FALSE,"2.IS";#N/A,#N/A,FALSE,"3.BS";#N/A,#N/A,FALSE,"4.PER PL";#N/A,#N/A,FALSE,"5.INVESTMENT";#N/A,#N/A,FALSE,"6.공문";#N/A,#N/A,FALSE,"7.netinvest"}</definedName>
    <definedName name="선급금" hidden="1">{#N/A,#N/A,FALSE,"1.CRITERIA";#N/A,#N/A,FALSE,"2.IS";#N/A,#N/A,FALSE,"3.BS";#N/A,#N/A,FALSE,"4.PER PL";#N/A,#N/A,FALSE,"5.INVESTMENT";#N/A,#N/A,FALSE,"6.공문";#N/A,#N/A,FALSE,"7.netinvest"}</definedName>
    <definedName name="선급금12"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1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2" localSheetId="2" hidden="1">{#N/A,#N/A,FALSE,"BS";#N/A,#N/A,FALSE,"PL";#N/A,#N/A,FALSE,"처분";#N/A,#N/A,FALSE,"현금";#N/A,#N/A,FALSE,"매출";#N/A,#N/A,FALSE,"원가";#N/A,#N/A,FALSE,"경영"}</definedName>
    <definedName name="선급금2" hidden="1">{#N/A,#N/A,FALSE,"BS";#N/A,#N/A,FALSE,"PL";#N/A,#N/A,FALSE,"처분";#N/A,#N/A,FALSE,"현금";#N/A,#N/A,FALSE,"매출";#N/A,#N/A,FALSE,"원가";#N/A,#N/A,FALSE,"경영"}</definedName>
    <definedName name="선급법인세">#REF!</definedName>
    <definedName name="선급법인세9">#REF!</definedName>
    <definedName name="선급부가세" localSheetId="2" hidden="1">{#N/A,#N/A,FALSE,"BS";#N/A,#N/A,FALSE,"PL";#N/A,#N/A,FALSE,"A";#N/A,#N/A,FALSE,"B";#N/A,#N/A,FALSE,"B1";#N/A,#N/A,FALSE,"C";#N/A,#N/A,FALSE,"C1";#N/A,#N/A,FALSE,"C2";#N/A,#N/A,FALSE,"D";#N/A,#N/A,FALSE,"E";#N/A,#N/A,FALSE,"F";#N/A,#N/A,FALSE,"AA";#N/A,#N/A,FALSE,"BB";#N/A,#N/A,FALSE,"CC";#N/A,#N/A,FALSE,"DD";#N/A,#N/A,FALSE,"EE";#N/A,#N/A,FALSE,"FF";#N/A,#N/A,FALSE,"PL10";#N/A,#N/A,FALSE,"PL20";#N/A,#N/A,FALSE,"PL30"}</definedName>
    <definedName name="선급부가세" hidden="1">{#N/A,#N/A,FALSE,"BS";#N/A,#N/A,FALSE,"PL";#N/A,#N/A,FALSE,"A";#N/A,#N/A,FALSE,"B";#N/A,#N/A,FALSE,"B1";#N/A,#N/A,FALSE,"C";#N/A,#N/A,FALSE,"C1";#N/A,#N/A,FALSE,"C2";#N/A,#N/A,FALSE,"D";#N/A,#N/A,FALSE,"E";#N/A,#N/A,FALSE,"F";#N/A,#N/A,FALSE,"AA";#N/A,#N/A,FALSE,"BB";#N/A,#N/A,FALSE,"CC";#N/A,#N/A,FALSE,"DD";#N/A,#N/A,FALSE,"EE";#N/A,#N/A,FALSE,"FF";#N/A,#N/A,FALSE,"PL10";#N/A,#N/A,FALSE,"PL20";#N/A,#N/A,FALSE,"PL30"}</definedName>
    <definedName name="선급비용">#REF!</definedName>
    <definedName name="선급이자" localSheetId="2" hidden="1">{"FORM17",#N/A,FALSE,"Commission1";"FORM17.1",#N/A,FALSE,"Commission2"}</definedName>
    <definedName name="선급이자" hidden="1">{"FORM17",#N/A,FALSE,"Commission1";"FORM17.1",#N/A,FALSE,"Commission2"}</definedName>
    <definedName name="선급이자계상" localSheetId="2" hidden="1">{"FORM1",#N/A,FALSE,"Revenue";"FORMTR",#N/A,FALSE,"Revenue";"FORM3.1",#N/A,FALSE,"Revenue"}</definedName>
    <definedName name="선급이자계상" hidden="1">{"FORM1",#N/A,FALSE,"Revenue";"FORMTR",#N/A,FALSE,"Revenue";"FORM3.1",#N/A,FALSE,"Revenue"}</definedName>
    <definedName name="선납관세" localSheetId="2" hidden="1">{#N/A,#N/A,FALSE,"BS";#N/A,#N/A,FALSE,"PL";#N/A,#N/A,FALSE,"처분";#N/A,#N/A,FALSE,"현금";#N/A,#N/A,FALSE,"매출";#N/A,#N/A,FALSE,"원가";#N/A,#N/A,FALSE,"경영"}</definedName>
    <definedName name="선납관세" hidden="1">{#N/A,#N/A,FALSE,"BS";#N/A,#N/A,FALSE,"PL";#N/A,#N/A,FALSE,"처분";#N/A,#N/A,FALSE,"현금";#N/A,#N/A,FALSE,"매출";#N/A,#N/A,FALSE,"원가";#N/A,#N/A,FALSE,"경영"}</definedName>
    <definedName name="선수금" hidden="1">#REF!</definedName>
    <definedName name="선택">#REF!</definedName>
    <definedName name="설" hidden="1">{#N/A,#N/A,TRUE,"총괄"}</definedName>
    <definedName name="설계">#N/A</definedName>
    <definedName name="설계2팀" localSheetId="2" hidden="1">{#N/A,#N/A,FALSE,"UNIT";#N/A,#N/A,FALSE,"UNIT";#N/A,#N/A,FALSE,"계정"}</definedName>
    <definedName name="설계2팀" hidden="1">{#N/A,#N/A,FALSE,"UNIT";#N/A,#N/A,FALSE,"UNIT";#N/A,#N/A,FALSE,"계정"}</definedName>
    <definedName name="설계가">#REF!</definedName>
    <definedName name="설계배포" localSheetId="2" hidden="1">{#N/A,#N/A,FALSE,"삼진정공";#N/A,#N/A,FALSE,"영신금속";#N/A,#N/A,FALSE,"태양금속";#N/A,#N/A,FALSE,"진합정공";#N/A,#N/A,FALSE,"코리아";#N/A,#N/A,FALSE,"풍강금속";#N/A,#N/A,FALSE,"선일기계"}</definedName>
    <definedName name="설계배포" hidden="1">{#N/A,#N/A,FALSE,"삼진정공";#N/A,#N/A,FALSE,"영신금속";#N/A,#N/A,FALSE,"태양금속";#N/A,#N/A,FALSE,"진합정공";#N/A,#N/A,FALSE,"코리아";#N/A,#N/A,FALSE,"풍강금속";#N/A,#N/A,FALSE,"선일기계"}</definedName>
    <definedName name="설계지침수정중" hidden="1">{#N/A,#N/A,FALSE,"단축1";#N/A,#N/A,FALSE,"단축2";#N/A,#N/A,FALSE,"단축3";#N/A,#N/A,FALSE,"장축";#N/A,#N/A,FALSE,"4WD"}</definedName>
    <definedName name="설명서" hidden="1">{#N/A,#N/A,FALSE,"손익표지";#N/A,#N/A,FALSE,"손익계산";#N/A,#N/A,FALSE,"일반관리비";#N/A,#N/A,FALSE,"영업외수익";#N/A,#N/A,FALSE,"영업외비용";#N/A,#N/A,FALSE,"매출액";#N/A,#N/A,FALSE,"요약손익";#N/A,#N/A,FALSE,"요약대차";#N/A,#N/A,FALSE,"매출채권현황";#N/A,#N/A,FALSE,"매출채권명세"}</definedName>
    <definedName name="설변" hidden="1">{#N/A,#N/A,TRUE,"총괄"}</definedName>
    <definedName name="설비" hidden="1">{#N/A,#N/A,FALSE,"이태원철근"}</definedName>
    <definedName name="설비물량">#REF!</definedName>
    <definedName name="설비절감방안" hidden="1">{#N/A,#N/A,FALSE,"단축1";#N/A,#N/A,FALSE,"단축2";#N/A,#N/A,FALSE,"단축3";#N/A,#N/A,FALSE,"장축";#N/A,#N/A,FALSE,"4WD"}</definedName>
    <definedName name="설비투자" localSheetId="2" hidden="1">{#N/A,#N/A,FALSE,"정공"}</definedName>
    <definedName name="설비투자" hidden="1">{#N/A,#N/A,FALSE,"정공"}</definedName>
    <definedName name="설설" hidden="1">{#N/A,#N/A,FALSE,"단축1";#N/A,#N/A,FALSE,"단축2";#N/A,#N/A,FALSE,"단축3";#N/A,#N/A,FALSE,"장축";#N/A,#N/A,FALSE,"4WD"}</definedName>
    <definedName name="설악" hidden="1">{#N/A,#N/A,FALSE,"손익표지";#N/A,#N/A,FALSE,"손익계산";#N/A,#N/A,FALSE,"일반관리비";#N/A,#N/A,FALSE,"영업외수익";#N/A,#N/A,FALSE,"영업외비용";#N/A,#N/A,FALSE,"매출액";#N/A,#N/A,FALSE,"요약손익";#N/A,#N/A,FALSE,"요약대차";#N/A,#N/A,FALSE,"매출채권현황";#N/A,#N/A,FALSE,"매출채권명세"}</definedName>
    <definedName name="설영">#N/A</definedName>
    <definedName name="설정률적용"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정률적용"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집">#REF!</definedName>
    <definedName name="설치" localSheetId="2" hidden="1">{#N/A,#N/A,FALSE,"초중조사서식 "}</definedName>
    <definedName name="설치" hidden="1">{#N/A,#N/A,FALSE,"초중조사서식 "}</definedName>
    <definedName name="설치간재">#REF!</definedName>
    <definedName name="설치누계">#N/A</definedName>
    <definedName name="설치직노">#REF!</definedName>
    <definedName name="설치직재">#REF!</definedName>
    <definedName name="성" localSheetId="2" hidden="1">{#N/A,#N/A,FALSE,"UNIT";#N/A,#N/A,FALSE,"UNIT";#N/A,#N/A,FALSE,"계정"}</definedName>
    <definedName name="성" hidden="1">{#N/A,#N/A,FALSE,"UNIT";#N/A,#N/A,FALSE,"UNIT";#N/A,#N/A,FALSE,"계정"}</definedName>
    <definedName name="성남" localSheetId="2" hidden="1">{"'Jibu9811 (3)'!$B$1:$J$433"}</definedName>
    <definedName name="성남" hidden="1">{"'Jibu9811 (3)'!$B$1:$J$433"}</definedName>
    <definedName name="성명">OFFSET(#REF!,0,0,COUNTA(#REF!),1)</definedName>
    <definedName name="성적">#REF!</definedName>
    <definedName name="성지안분" localSheetId="2" hidden="1">{"'Jibu9811 (3)'!$B$1:$J$433"}</definedName>
    <definedName name="성지안분" hidden="1">{"'Jibu9811 (3)'!$B$1:$J$433"}</definedName>
    <definedName name="성형동소방">#REF!</definedName>
    <definedName name="세목테이블">#REF!</definedName>
    <definedName name="세무"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모든양식2"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부" localSheetId="2" hidden="1">{"'Jibu9811 (3)'!$B$1:$J$433"}</definedName>
    <definedName name="세부" hidden="1">{"'Jibu9811 (3)'!$B$1:$J$433"}</definedName>
    <definedName name="세부근거" localSheetId="2" hidden="1">{"'Jibu9811 (3)'!$B$1:$J$433"}</definedName>
    <definedName name="세부근거" hidden="1">{"'Jibu9811 (3)'!$B$1:$J$433"}</definedName>
    <definedName name="세부생산계획" hidden="1">{#N/A,#N/A,TRUE,"Y생산";#N/A,#N/A,TRUE,"Y판매";#N/A,#N/A,TRUE,"Y총물량";#N/A,#N/A,TRUE,"Y능력";#N/A,#N/A,TRUE,"YKD"}</definedName>
    <definedName name="세부안" hidden="1">#REF!</definedName>
    <definedName name="세부안2" hidden="1">#REF!</definedName>
    <definedName name="세부안3" hidden="1">#REF!</definedName>
    <definedName name="세부일정" localSheetId="2" hidden="1">{#N/A,#N/A,FALSE,"단축1";#N/A,#N/A,FALSE,"단축2";#N/A,#N/A,FALSE,"단축3";#N/A,#N/A,FALSE,"장축";#N/A,#N/A,FALSE,"4WD"}</definedName>
    <definedName name="세부일정" hidden="1">{#N/A,#N/A,FALSE,"단축1";#N/A,#N/A,FALSE,"단축2";#N/A,#N/A,FALSE,"단축3";#N/A,#N/A,FALSE,"장축";#N/A,#N/A,FALSE,"4WD"}</definedName>
    <definedName name="세부일정.1" localSheetId="2" hidden="1">{#N/A,#N/A,FALSE,"단축1";#N/A,#N/A,FALSE,"단축2";#N/A,#N/A,FALSE,"단축3";#N/A,#N/A,FALSE,"장축";#N/A,#N/A,FALSE,"4WD"}</definedName>
    <definedName name="세부일정.1" hidden="1">{#N/A,#N/A,FALSE,"단축1";#N/A,#N/A,FALSE,"단축2";#N/A,#N/A,FALSE,"단축3";#N/A,#N/A,FALSE,"장축";#N/A,#N/A,FALSE,"4WD"}</definedName>
    <definedName name="세부판매직접비">#REF!</definedName>
    <definedName name="세연" hidden="1">{#N/A,#N/A,FALSE,"손익표지";#N/A,#N/A,FALSE,"손익계산";#N/A,#N/A,FALSE,"일반관리비";#N/A,#N/A,FALSE,"영업외수익";#N/A,#N/A,FALSE,"영업외비용";#N/A,#N/A,FALSE,"매출액";#N/A,#N/A,FALSE,"요약손익";#N/A,#N/A,FALSE,"요약대차";#N/A,#N/A,FALSE,"매출채권현황";#N/A,#N/A,FALSE,"매출채권명세"}</definedName>
    <definedName name="세연1" hidden="1">{#N/A,#N/A,FALSE,"손익표지";#N/A,#N/A,FALSE,"손익계산";#N/A,#N/A,FALSE,"일반관리비";#N/A,#N/A,FALSE,"영업외수익";#N/A,#N/A,FALSE,"영업외비용";#N/A,#N/A,FALSE,"매출액";#N/A,#N/A,FALSE,"요약손익";#N/A,#N/A,FALSE,"요약대차";#N/A,#N/A,FALSE,"매출채권현황";#N/A,#N/A,FALSE,"매출채권명세"}</definedName>
    <definedName name="세왕123" hidden="1">{#N/A,#N/A,FALSE,"단축1";#N/A,#N/A,FALSE,"단축2";#N/A,#N/A,FALSE,"단축3";#N/A,#N/A,FALSE,"장축";#N/A,#N/A,FALSE,"4WD"}</definedName>
    <definedName name="세율">#REF!</definedName>
    <definedName name="세율98">#REF!</definedName>
    <definedName name="세율변동">#REF!</definedName>
    <definedName name="세율변동2007">#REF!</definedName>
    <definedName name="세전익익" hidden="1">{#N/A,#N/A,FALSE,"지침";#N/A,#N/A,FALSE,"환경분석";#N/A,#N/A,FALSE,"Sheet16"}</definedName>
    <definedName name="세진">#REF!</definedName>
    <definedName name="세진2">#REF!</definedName>
    <definedName name="세진3">#N/A</definedName>
    <definedName name="셀리카" hidden="1">#REF!</definedName>
    <definedName name="셔ㅛ셔">#REF!</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B7">#REF!</definedName>
    <definedName name="소계">#REF!</definedName>
    <definedName name="소구경_supt자재" hidden="1">#REF!</definedName>
    <definedName name="소나무">#REF!</definedName>
    <definedName name="소득"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금액" localSheetId="2" hidden="1">{#N/A,#N/A,FALSE,"UNIT";#N/A,#N/A,FALSE,"UNIT";#N/A,#N/A,FALSE,"계정"}</definedName>
    <definedName name="소득금액" hidden="1">{#N/A,#N/A,FALSE,"UNIT";#N/A,#N/A,FALSE,"UNIT";#N/A,#N/A,FALSE,"계정"}</definedName>
    <definedName name="소득금액2000" localSheetId="2" hidden="1">{#N/A,#N/A,FALSE,"UNIT";#N/A,#N/A,FALSE,"UNIT";#N/A,#N/A,FALSE,"계정"}</definedName>
    <definedName name="소득금액2000" hidden="1">{#N/A,#N/A,FALSE,"UNIT";#N/A,#N/A,FALSE,"UNIT";#N/A,#N/A,FALSE,"계정"}</definedName>
    <definedName name="소득세율2002">#REF!</definedName>
    <definedName name="소뮨" hidden="1">{#N/A,#N/A,FALSE,"단축1";#N/A,#N/A,FALSE,"단축2";#N/A,#N/A,FALSE,"단축3";#N/A,#N/A,FALSE,"장축";#N/A,#N/A,FALSE,"4WD"}</definedName>
    <definedName name="소방" hidden="1">{"SJ - 기본 보기",#N/A,FALSE,"공사별 외주견적"}</definedName>
    <definedName name="소방내역">BlankMacro1</definedName>
    <definedName name="소방내역서">BlankMacro1</definedName>
    <definedName name="소요금액" hidden="1">{#N/A,#N/A,FALSE,"단축1";#N/A,#N/A,FALSE,"단축2";#N/A,#N/A,FALSE,"단축3";#N/A,#N/A,FALSE,"장축";#N/A,#N/A,FALSE,"4WD"}</definedName>
    <definedName name="소요기간" localSheetId="2" hidden="1">{#N/A,#N/A,FALSE,"정공"}</definedName>
    <definedName name="소요기간" hidden="1">{#N/A,#N/A,FALSE,"정공"}</definedName>
    <definedName name="소장">#REF!</definedName>
    <definedName name="소재지_사업장">#REF!</definedName>
    <definedName name="소제목">#REF!,#REF!,#REF!,#REF!,#REF!,#REF!,#REF!,#REF!,#REF!,#REF!,#REF!,#REF!,#REF!,#REF!,#REF!,#REF!,#REF!,#REF!</definedName>
    <definedName name="소집통지서">#REF!</definedName>
    <definedName name="소하프로젝트" hidden="1">{#N/A,#N/A,FALSE,"단축1";#N/A,#N/A,FALSE,"단축2";#N/A,#N/A,FALSE,"단축3";#N/A,#N/A,FALSE,"장축";#N/A,#N/A,FALSE,"4WD"}</definedName>
    <definedName name="소화갑지" hidden="1">{#N/A,#N/A,FALSE,"CCTV"}</definedName>
    <definedName name="소화주철장판" localSheetId="2" hidden="1">{#N/A,#N/A,FALSE,"단축1";#N/A,#N/A,FALSE,"단축2";#N/A,#N/A,FALSE,"단축3";#N/A,#N/A,FALSE,"장축";#N/A,#N/A,FALSE,"4WD"}</definedName>
    <definedName name="소화주철장판" hidden="1">{#N/A,#N/A,FALSE,"단축1";#N/A,#N/A,FALSE,"단축2";#N/A,#N/A,FALSE,"단축3";#N/A,#N/A,FALSE,"장축";#N/A,#N/A,FALSE,"4WD"}</definedName>
    <definedName name="속초">#REF!</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1" hidden="1">{#N/A,#N/A,FALSE,"손익표지";#N/A,#N/A,FALSE,"손익계산";#N/A,#N/A,FALSE,"일반관리비";#N/A,#N/A,FALSE,"영업외수익";#N/A,#N/A,FALSE,"영업외비용";#N/A,#N/A,FALSE,"매출액";#N/A,#N/A,FALSE,"요약손익";#N/A,#N/A,FALSE,"요약대차";#N/A,#N/A,FALSE,"매출채권현황";#N/A,#N/A,FALSE,"매출채권명세"}</definedName>
    <definedName name="손료">#REF!</definedName>
    <definedName name="손실" localSheetId="2" hidden="1">{#N/A,#N/A,FALSE,"1.CRITERIA";#N/A,#N/A,FALSE,"2.IS";#N/A,#N/A,FALSE,"3.BS";#N/A,#N/A,FALSE,"4.PER PL";#N/A,#N/A,FALSE,"5.INVESTMENT";#N/A,#N/A,FALSE,"6.공문";#N/A,#N/A,FALSE,"7.netinvest"}</definedName>
    <definedName name="손실" hidden="1">{#N/A,#N/A,FALSE,"1.CRITERIA";#N/A,#N/A,FALSE,"2.IS";#N/A,#N/A,FALSE,"3.BS";#N/A,#N/A,FALSE,"4.PER PL";#N/A,#N/A,FALSE,"5.INVESTMENT";#N/A,#N/A,FALSE,"6.공문";#N/A,#N/A,FALSE,"7.netinvest"}</definedName>
    <definedName name="손액계산서"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익"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2">#REF!</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localSheetId="2" hidden="1">{#N/A,#N/A,FALSE,"UNIT";#N/A,#N/A,FALSE,"UNIT";#N/A,#N/A,FALSE,"계정"}</definedName>
    <definedName name="손익3" hidden="1">{#N/A,#N/A,FALSE,"UNIT";#N/A,#N/A,FALSE,"UNIT";#N/A,#N/A,FALSE,"계정"}</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 localSheetId="2" hidden="1">{#N/A,#N/A,FALSE,"정공"}</definedName>
    <definedName name="손익계산" hidden="1">{#N/A,#N/A,FALSE,"정공"}</definedName>
    <definedName name="손익계산서" hidden="1">#REF!</definedName>
    <definedName name="손익계산서200312">#REF!</definedName>
    <definedName name="손익계산서검토후">#REF!</definedName>
    <definedName name="손익계산서의성">#REF!</definedName>
    <definedName name="손익계산서조정_04_12" localSheetId="2" hidden="1">{#N/A,#N/A,FALSE,"1.CRITERIA";#N/A,#N/A,FALSE,"2.IS";#N/A,#N/A,FALSE,"3.BS";#N/A,#N/A,FALSE,"4.PER PL";#N/A,#N/A,FALSE,"5.INVESTMENT";#N/A,#N/A,FALSE,"6.공문";#N/A,#N/A,FALSE,"7.netinvest"}</definedName>
    <definedName name="손익계산서조정_04_12" hidden="1">{#N/A,#N/A,FALSE,"1.CRITERIA";#N/A,#N/A,FALSE,"2.IS";#N/A,#N/A,FALSE,"3.BS";#N/A,#N/A,FALSE,"4.PER PL";#N/A,#N/A,FALSE,"5.INVESTMENT";#N/A,#N/A,FALSE,"6.공문";#N/A,#N/A,FALSE,"7.netinvest"}</definedName>
    <definedName name="손익계산신">#N/A</definedName>
    <definedName name="손익변경" hidden="1">{#N/A,#N/A,FALSE,"지침";#N/A,#N/A,FALSE,"환경분석";#N/A,#N/A,FALSE,"Sheet16"}</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고예산">#REF!</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손익예상" localSheetId="2" hidden="1">{#N/A,#N/A,FALSE,"UNIT";#N/A,#N/A,FALSE,"UNIT";#N/A,#N/A,FALSE,"계정"}</definedName>
    <definedName name="손익예상" hidden="1">{#N/A,#N/A,FALSE,"UNIT";#N/A,#N/A,FALSE,"UNIT";#N/A,#N/A,FALSE,"계정"}</definedName>
    <definedName name="손익인쇄">#REF!</definedName>
    <definedName name="손익항목">#REF!</definedName>
    <definedName name="솔비쥬재고" localSheetId="2" hidden="1">{"'Jibu9811 (3)'!$B$1:$J$433"}</definedName>
    <definedName name="솔비쥬재고" hidden="1">{"'Jibu9811 (3)'!$B$1:$J$433"}</definedName>
    <definedName name="솔재고" localSheetId="2" hidden="1">{"'Jibu9811 (3)'!$B$1:$J$433"}</definedName>
    <definedName name="솔재고" hidden="1">{"'Jibu9811 (3)'!$B$1:$J$433"}</definedName>
    <definedName name="송" localSheetId="2" hidden="1">{#N/A,#N/A,TRUE,"Y생산";#N/A,#N/A,TRUE,"Y판매";#N/A,#N/A,TRUE,"Y총물량";#N/A,#N/A,TRUE,"Y능력";#N/A,#N/A,TRUE,"YKD"}</definedName>
    <definedName name="송" hidden="1">{#N/A,#N/A,TRUE,"Y생산";#N/A,#N/A,TRUE,"Y판매";#N/A,#N/A,TRUE,"Y총물량";#N/A,#N/A,TRUE,"Y능력";#N/A,#N/A,TRUE,"YKD"}</definedName>
    <definedName name="송년" localSheetId="2" hidden="1">{"'Jibu9811 (3)'!$B$1:$J$433"}</definedName>
    <definedName name="송년" hidden="1">{"'Jibu9811 (3)'!$B$1:$J$433"}</definedName>
    <definedName name="송익" localSheetId="2" hidden="1">{#N/A,#N/A,FALSE,"정공"}</definedName>
    <definedName name="송익" hidden="1">{#N/A,#N/A,FALSE,"정공"}</definedName>
    <definedName name="송재동" localSheetId="2" hidden="1">{"'Jibu9811 (3)'!$B$1:$J$433"}</definedName>
    <definedName name="송재동" hidden="1">{"'Jibu9811 (3)'!$B$1:$J$433"}</definedName>
    <definedName name="송전전공">#REF!</definedName>
    <definedName name="송창기" localSheetId="2" hidden="1">{#N/A,#N/A,TRUE,"Y생산";#N/A,#N/A,TRUE,"Y판매";#N/A,#N/A,TRUE,"Y총물량";#N/A,#N/A,TRUE,"Y능력";#N/A,#N/A,TRUE,"YKD"}</definedName>
    <definedName name="송창기" hidden="1">{#N/A,#N/A,TRUE,"Y생산";#N/A,#N/A,TRUE,"Y판매";#N/A,#N/A,TRUE,"Y총물량";#N/A,#N/A,TRUE,"Y능력";#N/A,#N/A,TRUE,"YKD"}</definedName>
    <definedName name="쇼바2" localSheetId="2" hidden="1">{#N/A,#N/A,FALSE,"단축1";#N/A,#N/A,FALSE,"단축2";#N/A,#N/A,FALSE,"단축3";#N/A,#N/A,FALSE,"장축";#N/A,#N/A,FALSE,"4WD"}</definedName>
    <definedName name="쇼바2" hidden="1">{#N/A,#N/A,FALSE,"단축1";#N/A,#N/A,FALSE,"단축2";#N/A,#N/A,FALSE,"단축3";#N/A,#N/A,FALSE,"장축";#N/A,#N/A,FALSE,"4WD"}</definedName>
    <definedName name="쇼쇼">#REF!</definedName>
    <definedName name="쇼쇼쇼쇼쇼쇼쇼쇼쇼쇼" hidden="1">{#N/A,#N/A,FALSE,"단축1";#N/A,#N/A,FALSE,"단축2";#N/A,#N/A,FALSE,"단축3";#N/A,#N/A,FALSE,"장축";#N/A,#N/A,FALSE,"4WD"}</definedName>
    <definedName name="쇼ㅏㅅ" hidden="1">{#N/A,#N/A,FALSE,"Sheet6"}</definedName>
    <definedName name="쇼ㅓㅇㄱ셔ㅓ">#N/A</definedName>
    <definedName name="쇼ㅓㅇㅅ">#N/A</definedName>
    <definedName name="숏교" hidden="1">{#N/A,#N/A,FALSE,"Sheet6"}</definedName>
    <definedName name="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_______출">#REF!</definedName>
    <definedName name="수____종">#REF!</definedName>
    <definedName name="수1소B">#REF!</definedName>
    <definedName name="수경단가">#REF!</definedName>
    <definedName name="수경단가1">#REF!</definedName>
    <definedName name="수경일위">#REF!</definedName>
    <definedName name="수단별" hidden="1">{#N/A,#N/A,FALSE,"손익표지";#N/A,#N/A,FALSE,"손익계산";#N/A,#N/A,FALSE,"일반관리비";#N/A,#N/A,FALSE,"영업외수익";#N/A,#N/A,FALSE,"영업외비용";#N/A,#N/A,FALSE,"매출액";#N/A,#N/A,FALSE,"요약손익";#N/A,#N/A,FALSE,"요약대차";#N/A,#N/A,FALSE,"매출채권현황";#N/A,#N/A,FALSE,"매출채권명세"}</definedName>
    <definedName name="수도광열비">#REF!</definedName>
    <definedName name="수량">#REF!</definedName>
    <definedName name="수량2">BlankMacro1</definedName>
    <definedName name="수량산출">BlankMacro1</definedName>
    <definedName name="수량산출2">BlankMacro1</definedName>
    <definedName name="수량산출5">BlankMacro1</definedName>
    <definedName name="수량산출서">#REF!</definedName>
    <definedName name="수량산출서표지">BlankMacro1</definedName>
    <definedName name="수량입력">#REF!</definedName>
    <definedName name="수량추정" localSheetId="2" hidden="1">{#N/A,#N/A,FALSE,"정공"}</definedName>
    <definedName name="수량추정" hidden="1">{#N/A,#N/A,FALSE,"정공"}</definedName>
    <definedName name="수리비">#REF!</definedName>
    <definedName name="수목수량">#REF!</definedName>
    <definedName name="수불">#REF!</definedName>
    <definedName name="수불현황" localSheetId="2" hidden="1">{#N/A,#N/A,FALSE,"정공"}</definedName>
    <definedName name="수불현황" hidden="1">{#N/A,#N/A,FALSE,"정공"}</definedName>
    <definedName name="수선비첨부5" localSheetId="2" hidden="1">{#N/A,#N/A,FALSE,"단축1";#N/A,#N/A,FALSE,"단축2";#N/A,#N/A,FALSE,"단축3";#N/A,#N/A,FALSE,"장축";#N/A,#N/A,FALSE,"4WD"}</definedName>
    <definedName name="수선비첨부5" hidden="1">{#N/A,#N/A,FALSE,"단축1";#N/A,#N/A,FALSE,"단축2";#N/A,#N/A,FALSE,"단축3";#N/A,#N/A,FALSE,"장축";#N/A,#N/A,FALSE,"4WD"}</definedName>
    <definedName name="수송2">#REF!</definedName>
    <definedName name="수수꽃다리">#REF!</definedName>
    <definedName name="수수료계상">#REF!</definedName>
    <definedName name="수습형태">#REF!</definedName>
    <definedName name="수요분석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hidden="1">{#N/A,#N/A,FALSE,"손익표지";#N/A,#N/A,FALSE,"손익계산";#N/A,#N/A,FALSE,"일반관리비";#N/A,#N/A,FALSE,"영업외수익";#N/A,#N/A,FALSE,"영업외비용";#N/A,#N/A,FALSE,"매출액";#N/A,#N/A,FALSE,"요약손익";#N/A,#N/A,FALSE,"요약대차";#N/A,#N/A,FALSE,"매출채권현황";#N/A,#N/A,FALSE,"매출채권명세"}</definedName>
    <definedName name="수원">#REF!</definedName>
    <definedName name="수원정자">#REF!</definedName>
    <definedName name="수익" hidden="1">#REF!</definedName>
    <definedName name="수익4속" localSheetId="2" hidden="1">{#N/A,#N/A,FALSE,"단축1";#N/A,#N/A,FALSE,"단축2";#N/A,#N/A,FALSE,"단축3";#N/A,#N/A,FALSE,"장축";#N/A,#N/A,FALSE,"4WD"}</definedName>
    <definedName name="수익4속" hidden="1">{#N/A,#N/A,FALSE,"단축1";#N/A,#N/A,FALSE,"단축2";#N/A,#N/A,FALSE,"단축3";#N/A,#N/A,FALSE,"장축";#N/A,#N/A,FALSE,"4WD"}</definedName>
    <definedName name="수입" hidden="1">{#N/A,#N/A,FALSE,"손익표지";#N/A,#N/A,FALSE,"손익계산";#N/A,#N/A,FALSE,"일반관리비";#N/A,#N/A,FALSE,"영업외수익";#N/A,#N/A,FALSE,"영업외비용";#N/A,#N/A,FALSE,"매출액";#N/A,#N/A,FALSE,"요약손익";#N/A,#N/A,FALSE,"요약대차";#N/A,#N/A,FALSE,"매출채권현황";#N/A,#N/A,FALSE,"매출채권명세"}</definedName>
    <definedName name="수입금액조정며엣서">#REF!</definedName>
    <definedName name="수입보증금">#REF!</definedName>
    <definedName name="수ㅈ1ㅇ">#REF!</definedName>
    <definedName name="수정" localSheetId="2" hidden="1">{#N/A,#N/A,FALSE,"BS";#N/A,#N/A,FALSE,"PL";#N/A,#N/A,FALSE,"처분";#N/A,#N/A,FALSE,"현금";#N/A,#N/A,FALSE,"매출";#N/A,#N/A,FALSE,"원가";#N/A,#N/A,FALSE,"경영"}</definedName>
    <definedName name="수정" hidden="1">{#N/A,#N/A,FALSE,"BS";#N/A,#N/A,FALSE,"PL";#N/A,#N/A,FALSE,"처분";#N/A,#N/A,FALSE,"현금";#N/A,#N/A,FALSE,"매출";#N/A,#N/A,FALSE,"원가";#N/A,#N/A,FALSE,"경영"}</definedName>
    <definedName name="수정1212">{"'10_03일자별'!$A$2:$H$31"}</definedName>
    <definedName name="수정169억" hidden="1">{#N/A,#N/A,FALSE,"단축1";#N/A,#N/A,FALSE,"단축2";#N/A,#N/A,FALSE,"단축3";#N/A,#N/A,FALSE,"장축";#N/A,#N/A,FALSE,"4WD"}</definedName>
    <definedName name="수정CF" localSheetId="2" hidden="1">{#N/A,#N/A,TRUE,"Summary";#N/A,#N/A,TRUE,"IS";#N/A,#N/A,TRUE,"Adj";#N/A,#N/A,TRUE,"BS";#N/A,#N/A,TRUE,"CF";#N/A,#N/A,TRUE,"Debt";#N/A,#N/A,TRUE,"IRR"}</definedName>
    <definedName name="수정CF" hidden="1">{#N/A,#N/A,TRUE,"Summary";#N/A,#N/A,TRUE,"IS";#N/A,#N/A,TRUE,"Adj";#N/A,#N/A,TRUE,"BS";#N/A,#N/A,TRUE,"CF";#N/A,#N/A,TRUE,"Debt";#N/A,#N/A,TRUE,"IRR"}</definedName>
    <definedName name="수정sk가스" localSheetId="2" hidden="1">{#N/A,#N/A,FALSE,"BS";#N/A,#N/A,FALSE,"PL";#N/A,#N/A,FALSE,"A";#N/A,#N/A,FALSE,"B";#N/A,#N/A,FALSE,"B1";#N/A,#N/A,FALSE,"C";#N/A,#N/A,FALSE,"C1";#N/A,#N/A,FALSE,"C2";#N/A,#N/A,FALSE,"D";#N/A,#N/A,FALSE,"E";#N/A,#N/A,FALSE,"F";#N/A,#N/A,FALSE,"AA";#N/A,#N/A,FALSE,"BB";#N/A,#N/A,FALSE,"CC";#N/A,#N/A,FALSE,"DD";#N/A,#N/A,FALSE,"EE";#N/A,#N/A,FALSE,"FF";#N/A,#N/A,FALSE,"PL10";#N/A,#N/A,FALSE,"PL20";#N/A,#N/A,FALSE,"PL30"}</definedName>
    <definedName name="수정sk가스" hidden="1">{#N/A,#N/A,FALSE,"BS";#N/A,#N/A,FALSE,"PL";#N/A,#N/A,FALSE,"A";#N/A,#N/A,FALSE,"B";#N/A,#N/A,FALSE,"B1";#N/A,#N/A,FALSE,"C";#N/A,#N/A,FALSE,"C1";#N/A,#N/A,FALSE,"C2";#N/A,#N/A,FALSE,"D";#N/A,#N/A,FALSE,"E";#N/A,#N/A,FALSE,"F";#N/A,#N/A,FALSE,"AA";#N/A,#N/A,FALSE,"BB";#N/A,#N/A,FALSE,"CC";#N/A,#N/A,FALSE,"DD";#N/A,#N/A,FALSE,"EE";#N/A,#N/A,FALSE,"FF";#N/A,#N/A,FALSE,"PL10";#N/A,#N/A,FALSE,"PL20";#N/A,#N/A,FALSE,"PL30"}</definedName>
    <definedName name="수정물량" localSheetId="2" hidden="1">{#N/A,#N/A,TRUE,"Y생산";#N/A,#N/A,TRUE,"Y판매";#N/A,#N/A,TRUE,"Y총물량";#N/A,#N/A,TRUE,"Y능력";#N/A,#N/A,TRUE,"YKD"}</definedName>
    <definedName name="수정물량" hidden="1">{#N/A,#N/A,TRUE,"Y생산";#N/A,#N/A,TRUE,"Y판매";#N/A,#N/A,TRUE,"Y총물량";#N/A,#N/A,TRUE,"Y능력";#N/A,#N/A,TRUE,"YKD"}</definedName>
    <definedName name="수정부서">#REF!</definedName>
    <definedName name="수정분임" hidden="1">{#N/A,#N/A,FALSE,"손익표지";#N/A,#N/A,FALSE,"손익계산";#N/A,#N/A,FALSE,"일반관리비";#N/A,#N/A,FALSE,"영업외수익";#N/A,#N/A,FALSE,"영업외비용";#N/A,#N/A,FALSE,"매출액";#N/A,#N/A,FALSE,"요약손익";#N/A,#N/A,FALSE,"요약대차";#N/A,#N/A,FALSE,"매출채권현황";#N/A,#N/A,FALSE,"매출채권명세"}</definedName>
    <definedName name="수정사항"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1" localSheetId="2" hidden="1">{#N/A,#N/A,FALSE,"BS";#N/A,#N/A,FALSE,"PL";#N/A,#N/A,FALSE,"처분";#N/A,#N/A,FALSE,"현금";#N/A,#N/A,FALSE,"매출";#N/A,#N/A,FALSE,"원가";#N/A,#N/A,FALSE,"경영"}</definedName>
    <definedName name="수정사항1" hidden="1">{#N/A,#N/A,FALSE,"BS";#N/A,#N/A,FALSE,"PL";#N/A,#N/A,FALSE,"처분";#N/A,#N/A,FALSE,"현금";#N/A,#N/A,FALSE,"매출";#N/A,#N/A,FALSE,"원가";#N/A,#N/A,FALSE,"경영"}</definedName>
    <definedName name="수정사항집계표" hidden="1">#REF!</definedName>
    <definedName name="수정손익" hidden="1">{#N/A,#N/A,FALSE,"정공"}</definedName>
    <definedName name="수정현금흐름표" localSheetId="2"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2" hidden="1">{#N/A,#N/A,TRUE,"Summary";#N/A,#N/A,TRUE,"IS";#N/A,#N/A,TRUE,"Adj";#N/A,#N/A,TRUE,"BS";#N/A,#N/A,TRUE,"CF";#N/A,#N/A,TRUE,"Debt";#N/A,#N/A,TRUE,"IRR"}</definedName>
    <definedName name="수정현금흐름표_pjh" hidden="1">{#N/A,#N/A,TRUE,"Summary";#N/A,#N/A,TRUE,"IS";#N/A,#N/A,TRUE,"Adj";#N/A,#N/A,TRUE,"BS";#N/A,#N/A,TRUE,"CF";#N/A,#N/A,TRUE,"Debt";#N/A,#N/A,TRUE,"IRR"}</definedName>
    <definedName name="수정현금흐름표2" localSheetId="2" hidden="1">{#N/A,#N/A,TRUE,"Summary";#N/A,#N/A,TRUE,"IS";#N/A,#N/A,TRUE,"Adj";#N/A,#N/A,TRUE,"BS";#N/A,#N/A,TRUE,"CF";#N/A,#N/A,TRUE,"Debt";#N/A,#N/A,TRUE,"IRR"}</definedName>
    <definedName name="수정현금흐름표2" hidden="1">{#N/A,#N/A,TRUE,"Summary";#N/A,#N/A,TRUE,"IS";#N/A,#N/A,TRUE,"Adj";#N/A,#N/A,TRUE,"BS";#N/A,#N/A,TRUE,"CF";#N/A,#N/A,TRUE,"Debt";#N/A,#N/A,TRUE,"IRR"}</definedName>
    <definedName name="수주" hidden="1">{#N/A,#N/A,FALSE,"기안지";#N/A,#N/A,FALSE,"통신지"}</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출"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촉비총괄" hidden="1">#N/A</definedName>
    <definedName name="수학">#REF!</definedName>
    <definedName name="숙직">#REF!</definedName>
    <definedName name="순공사비">#REF!</definedName>
    <definedName name="순공사원가">#REF!</definedName>
    <definedName name="순매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서" hidden="1">{#N/A,#N/A,FALSE,"신규dep";#N/A,#N/A,FALSE,"신규dep-금형상각후";#N/A,#N/A,FALSE,"신규dep-연구비상각후";#N/A,#N/A,FALSE,"신규dep-기계,공구상각후"}</definedName>
    <definedName name="순위">#REF!</definedName>
    <definedName name="순천" hidden="1">{#N/A,#N/A,FALSE,"손익표지";#N/A,#N/A,FALSE,"손익계산";#N/A,#N/A,FALSE,"일반관리비";#N/A,#N/A,FALSE,"영업외수익";#N/A,#N/A,FALSE,"영업외비용";#N/A,#N/A,FALSE,"매출액";#N/A,#N/A,FALSE,"요약손익";#N/A,#N/A,FALSE,"요약대차";#N/A,#N/A,FALSE,"매출채권현황";#N/A,#N/A,FALSE,"매출채권명세"}</definedName>
    <definedName name="순천_연향_1차">#REF!</definedName>
    <definedName name="순천이" hidden="1">{#N/A,#N/A,FALSE,"손익표지";#N/A,#N/A,FALSE,"손익계산";#N/A,#N/A,FALSE,"일반관리비";#N/A,#N/A,FALSE,"영업외수익";#N/A,#N/A,FALSE,"영업외비용";#N/A,#N/A,FALSE,"매출액";#N/A,#N/A,FALSE,"요약손익";#N/A,#N/A,FALSE,"요약대차";#N/A,#N/A,FALSE,"매출채권현황";#N/A,#N/A,FALSE,"매출채권명세"}</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케줄">#REF!</definedName>
    <definedName name="스타렉스" hidden="1">{#N/A,#N/A,FALSE,"단축1";#N/A,#N/A,FALSE,"단축2";#N/A,#N/A,FALSE,"단축3";#N/A,#N/A,FALSE,"장축";#N/A,#N/A,FALSE,"4WD"}</definedName>
    <definedName name="승렬">#REF!</definedName>
    <definedName name="승인서" localSheetId="2" hidden="1">{#N/A,#N/A,FALSE,"범우구미";#N/A,#N/A,FALSE,"세한케미칼";#N/A,#N/A,FALSE,"세명화학";#N/A,#N/A,FALSE,"신영케미칼";#N/A,#N/A,FALSE,"일석상사"}</definedName>
    <definedName name="승인서" hidden="1">{#N/A,#N/A,FALSE,"범우구미";#N/A,#N/A,FALSE,"세한케미칼";#N/A,#N/A,FALSE,"세명화학";#N/A,#N/A,FALSE,"신영케미칼";#N/A,#N/A,FALSE,"일석상사"}</definedName>
    <definedName name="시">#REF!</definedName>
    <definedName name="시간" hidden="1">{#N/A,#N/A,TRUE,"Y생산";#N/A,#N/A,TRUE,"Y판매";#N/A,#N/A,TRUE,"Y총물량";#N/A,#N/A,TRUE,"Y능력";#N/A,#N/A,TRUE,"YKD"}</definedName>
    <definedName name="시간외근무_인사" hidden="1">#REF!</definedName>
    <definedName name="시공업체">#REF!</definedName>
    <definedName name="시내교통비" hidden="1">{#N/A,#N/A,FALSE,"손익표지";#N/A,#N/A,FALSE,"손익계산";#N/A,#N/A,FALSE,"일반관리비";#N/A,#N/A,FALSE,"영업외수익";#N/A,#N/A,FALSE,"영업외비용";#N/A,#N/A,FALSE,"매출액";#N/A,#N/A,FALSE,"요약손익";#N/A,#N/A,FALSE,"요약대차";#N/A,#N/A,FALSE,"매출채권현황";#N/A,#N/A,FALSE,"매출채권명세"}</definedName>
    <definedName name="시료수">#REF!</definedName>
    <definedName name="시매출">#REF!</definedName>
    <definedName name="시멘트산출">#N/A</definedName>
    <definedName name="시부인">#REF!</definedName>
    <definedName name="시부인용자료">#REF!</definedName>
    <definedName name="시산2">#N/A</definedName>
    <definedName name="시산표">#REF!</definedName>
    <definedName name="시산표1">BlankMacro1</definedName>
    <definedName name="시산표2" localSheetId="2"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산표작성" localSheetId="2" hidden="1">{#N/A,#N/A,FALSE,"BS";#N/A,#N/A,FALSE,"PL";#N/A,#N/A,FALSE,"A";#N/A,#N/A,FALSE,"B";#N/A,#N/A,FALSE,"B1";#N/A,#N/A,FALSE,"C";#N/A,#N/A,FALSE,"C1";#N/A,#N/A,FALSE,"C2";#N/A,#N/A,FALSE,"D";#N/A,#N/A,FALSE,"E";#N/A,#N/A,FALSE,"F";#N/A,#N/A,FALSE,"AA";#N/A,#N/A,FALSE,"BB";#N/A,#N/A,FALSE,"CC";#N/A,#N/A,FALSE,"DD";#N/A,#N/A,FALSE,"EE";#N/A,#N/A,FALSE,"FF";#N/A,#N/A,FALSE,"PL10";#N/A,#N/A,FALSE,"PL20";#N/A,#N/A,FALSE,"PL30"}</definedName>
    <definedName name="시산표작성" hidden="1">{#N/A,#N/A,FALSE,"BS";#N/A,#N/A,FALSE,"PL";#N/A,#N/A,FALSE,"A";#N/A,#N/A,FALSE,"B";#N/A,#N/A,FALSE,"B1";#N/A,#N/A,FALSE,"C";#N/A,#N/A,FALSE,"C1";#N/A,#N/A,FALSE,"C2";#N/A,#N/A,FALSE,"D";#N/A,#N/A,FALSE,"E";#N/A,#N/A,FALSE,"F";#N/A,#N/A,FALSE,"AA";#N/A,#N/A,FALSE,"BB";#N/A,#N/A,FALSE,"CC";#N/A,#N/A,FALSE,"DD";#N/A,#N/A,FALSE,"EE";#N/A,#N/A,FALSE,"FF";#N/A,#N/A,FALSE,"PL10";#N/A,#N/A,FALSE,"PL20";#N/A,#N/A,FALSE,"PL30"}</definedName>
    <definedName name="시산표작성_1" localSheetId="2" hidden="1">{#N/A,#N/A,FALSE,"BS";#N/A,#N/A,FALSE,"PL";#N/A,#N/A,FALSE,"A";#N/A,#N/A,FALSE,"B";#N/A,#N/A,FALSE,"B1";#N/A,#N/A,FALSE,"C";#N/A,#N/A,FALSE,"C1";#N/A,#N/A,FALSE,"C2";#N/A,#N/A,FALSE,"D";#N/A,#N/A,FALSE,"E";#N/A,#N/A,FALSE,"F";#N/A,#N/A,FALSE,"AA";#N/A,#N/A,FALSE,"BB";#N/A,#N/A,FALSE,"CC";#N/A,#N/A,FALSE,"DD";#N/A,#N/A,FALSE,"EE";#N/A,#N/A,FALSE,"FF";#N/A,#N/A,FALSE,"PL10";#N/A,#N/A,FALSE,"PL20";#N/A,#N/A,FALSE,"PL30"}</definedName>
    <definedName name="시산표작성_1" hidden="1">{#N/A,#N/A,FALSE,"BS";#N/A,#N/A,FALSE,"PL";#N/A,#N/A,FALSE,"A";#N/A,#N/A,FALSE,"B";#N/A,#N/A,FALSE,"B1";#N/A,#N/A,FALSE,"C";#N/A,#N/A,FALSE,"C1";#N/A,#N/A,FALSE,"C2";#N/A,#N/A,FALSE,"D";#N/A,#N/A,FALSE,"E";#N/A,#N/A,FALSE,"F";#N/A,#N/A,FALSE,"AA";#N/A,#N/A,FALSE,"BB";#N/A,#N/A,FALSE,"CC";#N/A,#N/A,FALSE,"DD";#N/A,#N/A,FALSE,"EE";#N/A,#N/A,FALSE,"FF";#N/A,#N/A,FALSE,"PL10";#N/A,#N/A,FALSE,"PL20";#N/A,#N/A,FALSE,"PL30"}</definedName>
    <definedName name="시설수량">#REF!</definedName>
    <definedName name="시설일위">#REF!</definedName>
    <definedName name="시설일위1">#REF!</definedName>
    <definedName name="시설일위금액">#REF!</definedName>
    <definedName name="시설투자" localSheetId="2" hidden="1">{#N/A,#N/A,FALSE,"UNIT";#N/A,#N/A,FALSE,"UNIT";#N/A,#N/A,FALSE,"계정"}</definedName>
    <definedName name="시설투자" hidden="1">{#N/A,#N/A,FALSE,"UNIT";#N/A,#N/A,FALSE,"UNIT";#N/A,#N/A,FALSE,"계정"}</definedName>
    <definedName name="시설투자계획_월별" localSheetId="2" hidden="1">{#N/A,#N/A,FALSE,"UNIT";#N/A,#N/A,FALSE,"UNIT";#N/A,#N/A,FALSE,"계정"}</definedName>
    <definedName name="시설투자계획_월별" hidden="1">{#N/A,#N/A,FALSE,"UNIT";#N/A,#N/A,FALSE,"UNIT";#N/A,#N/A,FALSE,"계정"}</definedName>
    <definedName name="시설투자총괄" localSheetId="2" hidden="1">{#N/A,#N/A,FALSE,"UNIT";#N/A,#N/A,FALSE,"UNIT";#N/A,#N/A,FALSE,"계정"}</definedName>
    <definedName name="시설투자총괄" hidden="1">{#N/A,#N/A,FALSE,"UNIT";#N/A,#N/A,FALSE,"UNIT";#N/A,#N/A,FALSE,"계정"}</definedName>
    <definedName name="시스템" localSheetId="2" hidden="1">{#N/A,#N/A,FALSE,"UNIT";#N/A,#N/A,FALSE,"UNIT";#N/A,#N/A,FALSE,"계정"}</definedName>
    <definedName name="시스템" hidden="1">{#N/A,#N/A,FALSE,"UNIT";#N/A,#N/A,FALSE,"UNIT";#N/A,#N/A,FALSE,"계정"}</definedName>
    <definedName name="시이자">#REF!</definedName>
    <definedName name="시인원">#REF!</definedName>
    <definedName name="시작1">#REF!</definedName>
    <definedName name="시장">#REF!</definedName>
    <definedName name="시장동향" localSheetId="2" hidden="1">{#N/A,#N/A,TRUE,"Y생산";#N/A,#N/A,TRUE,"Y판매";#N/A,#N/A,TRUE,"Y총물량";#N/A,#N/A,TRUE,"Y능력";#N/A,#N/A,TRUE,"YKD"}</definedName>
    <definedName name="시장동향" hidden="1">{#N/A,#N/A,TRUE,"Y생산";#N/A,#N/A,TRUE,"Y판매";#N/A,#N/A,TRUE,"Y총물량";#N/A,#N/A,TRUE,"Y능력";#N/A,#N/A,TRUE,"YKD"}</definedName>
    <definedName name="시책" localSheetId="2" hidden="1">{#N/A,#N/A,FALSE,"단축1";#N/A,#N/A,FALSE,"단축2";#N/A,#N/A,FALSE,"단축3";#N/A,#N/A,FALSE,"장축";#N/A,#N/A,FALSE,"4WD"}</definedName>
    <definedName name="시책" hidden="1">{#N/A,#N/A,FALSE,"단축1";#N/A,#N/A,FALSE,"단축2";#N/A,#N/A,FALSE,"단축3";#N/A,#N/A,FALSE,"장축";#N/A,#N/A,FALSE,"4WD"}</definedName>
    <definedName name="시청">#REF!</definedName>
    <definedName name="시행" hidden="1">{#N/A,#N/A,FALSE,"이태원철근"}</definedName>
    <definedName name="시행일자">#REF!</definedName>
    <definedName name="시험편">#N/A</definedName>
    <definedName name="시화감가">#REF!</definedName>
    <definedName name="시화매출">#REF!</definedName>
    <definedName name="시화배부">#REF!</definedName>
    <definedName name="시화인원">#REF!</definedName>
    <definedName name="시화재료">#REF!</definedName>
    <definedName name="시화제품제고">#REF!</definedName>
    <definedName name="식당">#REF!</definedName>
    <definedName name="식재단가">#REF!</definedName>
    <definedName name="식재단가1">#REF!</definedName>
    <definedName name="식재일위">#REF!</definedName>
    <definedName name="신" localSheetId="2" hidden="1">{"'Jibu9811 (3)'!$B$1:$J$433"}</definedName>
    <definedName name="신" hidden="1">{"'Jibu9811 (3)'!$B$1:$J$433"}</definedName>
    <definedName name="신AT종합" localSheetId="2" hidden="1">{#N/A,#N/A,FALSE,"단축1";#N/A,#N/A,FALSE,"단축2";#N/A,#N/A,FALSE,"단축3";#N/A,#N/A,FALSE,"장축";#N/A,#N/A,FALSE,"4WD"}</definedName>
    <definedName name="신AT종합" hidden="1">{#N/A,#N/A,FALSE,"단축1";#N/A,#N/A,FALSE,"단축2";#N/A,#N/A,FALSE,"단축3";#N/A,#N/A,FALSE,"장축";#N/A,#N/A,FALSE,"4WD"}</definedName>
    <definedName name="신고여부">#REF!</definedName>
    <definedName name="신고일조정">#REF!</definedName>
    <definedName name="신공장">BlankMacro1</definedName>
    <definedName name="신규" localSheetId="2" hidden="1">{#N/A,#N/A,FALSE,"UNIT";#N/A,#N/A,FALSE,"UNIT";#N/A,#N/A,FALSE,"계정"}</definedName>
    <definedName name="신규" hidden="1">{#N/A,#N/A,FALSE,"UNIT";#N/A,#N/A,FALSE,"UNIT";#N/A,#N/A,FALSE,"계정"}</definedName>
    <definedName name="신규가입자">#REF!</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명근" localSheetId="2" hidden="1">{#N/A,#N/A,FALSE,"1.CRITERIA";#N/A,#N/A,FALSE,"2.IS";#N/A,#N/A,FALSE,"3.BS";#N/A,#N/A,FALSE,"4.PER PL";#N/A,#N/A,FALSE,"5.INVESTMENT";#N/A,#N/A,FALSE,"6.공문";#N/A,#N/A,FALSE,"7.netinvest"}</definedName>
    <definedName name="신명근" hidden="1">{#N/A,#N/A,FALSE,"1.CRITERIA";#N/A,#N/A,FALSE,"2.IS";#N/A,#N/A,FALSE,"3.BS";#N/A,#N/A,FALSE,"4.PER PL";#N/A,#N/A,FALSE,"5.INVESTMENT";#N/A,#N/A,FALSE,"6.공문";#N/A,#N/A,FALSE,"7.netinvest"}</definedName>
    <definedName name="신번전">#N/A</definedName>
    <definedName name="신부1">#REF!</definedName>
    <definedName name="신부2">#REF!</definedName>
    <definedName name="신비1">#REF!</definedName>
    <definedName name="신비2">#REF!</definedName>
    <definedName name="신세대종합" localSheetId="2" hidden="1">{#N/A,#N/A,FALSE,"단축1";#N/A,#N/A,FALSE,"단축2";#N/A,#N/A,FALSE,"단축3";#N/A,#N/A,FALSE,"장축";#N/A,#N/A,FALSE,"4WD"}</definedName>
    <definedName name="신세대종합" hidden="1">{#N/A,#N/A,FALSE,"단축1";#N/A,#N/A,FALSE,"단축2";#N/A,#N/A,FALSE,"단축3";#N/A,#N/A,FALSE,"장축";#N/A,#N/A,FALSE,"4WD"}</definedName>
    <definedName name="신수1">#REF!</definedName>
    <definedName name="신수2">#REF!</definedName>
    <definedName name="신신자">#REF!</definedName>
    <definedName name="신안금고">#N/A</definedName>
    <definedName name="신용" localSheetId="2"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입사원" hidden="1">{"'전일자'!$A$5:$N$17"}</definedName>
    <definedName name="신입시론" hidden="1">{#N/A,#N/A,FALSE,"단축1";#N/A,#N/A,FALSE,"단축2";#N/A,#N/A,FALSE,"단축3";#N/A,#N/A,FALSE,"장축";#N/A,#N/A,FALSE,"4WD"}</definedName>
    <definedName name="신자">#REF!</definedName>
    <definedName name="신자1">#REF!</definedName>
    <definedName name="신자2">#REF!</definedName>
    <definedName name="신제품" localSheetId="2" hidden="1">{"'Jibu9811 (3)'!$B$1:$J$433"}</definedName>
    <definedName name="신제품" hidden="1">{"'Jibu9811 (3)'!$B$1:$J$433"}</definedName>
    <definedName name="신제품세부내역" localSheetId="2" hidden="1">{"'Jibu9811 (3)'!$B$1:$J$433"}</definedName>
    <definedName name="신제품세부내역" hidden="1">{"'Jibu9811 (3)'!$B$1:$J$433"}</definedName>
    <definedName name="신준수">#REF!</definedName>
    <definedName name="신차품질일정" hidden="1">{#N/A,#N/A,FALSE,"단축1";#N/A,#N/A,FALSE,"단축2";#N/A,#N/A,FALSE,"단축3";#N/A,#N/A,FALSE,"장축";#N/A,#N/A,FALSE,"4WD"}</definedName>
    <definedName name="신축이음각도">#REF!</definedName>
    <definedName name="신축이음갯수">#REF!</definedName>
    <definedName name="신한은행_1" localSheetId="2" hidden="1">{#N/A,#N/A,FALSE,"Aging Summary";#N/A,#N/A,FALSE,"Ratio Analysis";#N/A,#N/A,FALSE,"Test 120 Day Accts";#N/A,#N/A,FALSE,"Tickmarks"}</definedName>
    <definedName name="신한은행_1" hidden="1">{#N/A,#N/A,FALSE,"Aging Summary";#N/A,#N/A,FALSE,"Ratio Analysis";#N/A,#N/A,FALSE,"Test 120 Day Accts";#N/A,#N/A,FALSE,"Tickmarks"}</definedName>
    <definedName name="신한은행_2" localSheetId="2" hidden="1">{#N/A,#N/A,FALSE,"Aging Summary";#N/A,#N/A,FALSE,"Ratio Analysis";#N/A,#N/A,FALSE,"Test 120 Day Accts";#N/A,#N/A,FALSE,"Tickmarks"}</definedName>
    <definedName name="신한은행_2" hidden="1">{#N/A,#N/A,FALSE,"Aging Summary";#N/A,#N/A,FALSE,"Ratio Analysis";#N/A,#N/A,FALSE,"Test 120 Day Accts";#N/A,#N/A,FALSE,"Tickmarks"}</definedName>
    <definedName name="신한은행수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한은행수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희용">#REF!</definedName>
    <definedName name="신희용2">#REF!</definedName>
    <definedName name="실내">BlankMacro1</definedName>
    <definedName name="실비적용">#REF!</definedName>
    <definedName name="실습동">BlankMacro1</definedName>
    <definedName name="실시" localSheetId="2" hidden="1">{#N/A,#N/A,FALSE,"단축1";#N/A,#N/A,FALSE,"단축2";#N/A,#N/A,FALSE,"단축3";#N/A,#N/A,FALSE,"장축";#N/A,#N/A,FALSE,"4WD"}</definedName>
    <definedName name="실시" hidden="1">{#N/A,#N/A,FALSE,"단축1";#N/A,#N/A,FALSE,"단축2";#N/A,#N/A,FALSE,"단축3";#N/A,#N/A,FALSE,"장축";#N/A,#N/A,FALSE,"4WD"}</definedName>
    <definedName name="실적" localSheetId="2" hidden="1">{"'Jibu9811 (3)'!$B$1:$J$433"}</definedName>
    <definedName name="실적" hidden="1">{"'Jibu9811 (3)'!$B$1:$J$433"}</definedName>
    <definedName name="실적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4월" localSheetId="2" hidden="1">{#N/A,#N/A,FALSE,"UNIT";#N/A,#N/A,FALSE,"UNIT";#N/A,#N/A,FALSE,"계정"}</definedName>
    <definedName name="실적4월" hidden="1">{#N/A,#N/A,FALSE,"UNIT";#N/A,#N/A,FALSE,"UNIT";#N/A,#N/A,FALSE,"계정"}</definedName>
    <definedName name="실적6월" localSheetId="2" hidden="1">{#N/A,#N/A,FALSE,"UNIT";#N/A,#N/A,FALSE,"UNIT";#N/A,#N/A,FALSE,"계정"}</definedName>
    <definedName name="실적6월" hidden="1">{#N/A,#N/A,FALSE,"UNIT";#N/A,#N/A,FALSE,"UNIT";#N/A,#N/A,FALSE,"계정"}</definedName>
    <definedName name="실적자료" hidden="1">{#N/A,#N/A,FALSE,"손익표지";#N/A,#N/A,FALSE,"손익계산";#N/A,#N/A,FALSE,"일반관리비";#N/A,#N/A,FALSE,"영업외수익";#N/A,#N/A,FALSE,"영업외비용";#N/A,#N/A,FALSE,"매출액";#N/A,#N/A,FALSE,"요약손익";#N/A,#N/A,FALSE,"요약대차";#N/A,#N/A,FALSE,"매출채권현황";#N/A,#N/A,FALSE,"매출채권명세"}</definedName>
    <definedName name="실행">#REF!</definedName>
    <definedName name="실행검토" hidden="1">#REF!</definedName>
    <definedName name="실행금액">#REF!</definedName>
    <definedName name="실행내역">#REF!</definedName>
    <definedName name="실행예산1">#REF!</definedName>
    <definedName name="실행예산10">#REF!</definedName>
    <definedName name="실행예산11">#REF!</definedName>
    <definedName name="실행예산12">#REF!</definedName>
    <definedName name="실행예산13">#REF!</definedName>
    <definedName name="실행예산2">#REF!</definedName>
    <definedName name="실행예산3">#REF!</definedName>
    <definedName name="실행예산4">#REF!</definedName>
    <definedName name="실행예산5">#REF!</definedName>
    <definedName name="실행예산6">#REF!</definedName>
    <definedName name="실행예산7">#REF!</definedName>
    <definedName name="실행예산8">#REF!</definedName>
    <definedName name="실행예산9">#REF!</definedName>
    <definedName name="실행예상액" hidden="1">#REF!</definedName>
    <definedName name="실행총괄">#REF!</definedName>
    <definedName name="심의보고단기종합" hidden="1">{#N/A,#N/A,FALSE,"단축1";#N/A,#N/A,FALSE,"단축2";#N/A,#N/A,FALSE,"단축3";#N/A,#N/A,FALSE,"장축";#N/A,#N/A,FALSE,"4WD"}</definedName>
    <definedName name="십습동">BlankMacro1</definedName>
    <definedName name="십이월">#REF!</definedName>
    <definedName name="십이월시간외">#REF!</definedName>
    <definedName name="쌍용클레임분담" localSheetId="2" hidden="1">{#N/A,#N/A,FALSE,"단축1";#N/A,#N/A,FALSE,"단축2";#N/A,#N/A,FALSE,"단축3";#N/A,#N/A,FALSE,"장축";#N/A,#N/A,FALSE,"4WD"}</definedName>
    <definedName name="쌍용클레임분담" hidden="1">{#N/A,#N/A,FALSE,"단축1";#N/A,#N/A,FALSE,"단축2";#N/A,#N/A,FALSE,"단축3";#N/A,#N/A,FALSE,"장축";#N/A,#N/A,FALSE,"4WD"}</definedName>
    <definedName name="ㅇ" localSheetId="2" hidden="1">{#N/A,#N/A,FALSE,"BS";#N/A,#N/A,FALSE,"PL";#N/A,#N/A,FALSE,"처분";#N/A,#N/A,FALSE,"현금";#N/A,#N/A,FALSE,"매출";#N/A,#N/A,FALSE,"원가";#N/A,#N/A,FALSE,"경영"}</definedName>
    <definedName name="ㅇ" hidden="1">{#N/A,#N/A,FALSE,"BS";#N/A,#N/A,FALSE,"PL";#N/A,#N/A,FALSE,"처분";#N/A,#N/A,FALSE,"현금";#N/A,#N/A,FALSE,"매출";#N/A,#N/A,FALSE,"원가";#N/A,#N/A,FALSE,"경영"}</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191">#REF!</definedName>
    <definedName name="ㅇADKFJDA" localSheetId="2" hidden="1">{#N/A,#N/A,FALSE,"을지 (4)";#N/A,#N/A,FALSE,"을지 (5)";#N/A,#N/A,FALSE,"을지 (6)"}</definedName>
    <definedName name="ㅇADKFJDA" hidden="1">{#N/A,#N/A,FALSE,"을지 (4)";#N/A,#N/A,FALSE,"을지 (5)";#N/A,#N/A,FALSE,"을지 (6)"}</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 hidden="1">{#N/A,#N/A,FALSE,"손익표지";#N/A,#N/A,FALSE,"손익계산";#N/A,#N/A,FALSE,"일반관리비";#N/A,#N/A,FALSE,"영업외수익";#N/A,#N/A,FALSE,"영업외비용";#N/A,#N/A,FALSE,"매출액";#N/A,#N/A,FALSE,"요약손익";#N/A,#N/A,FALSE,"요약대차";#N/A,#N/A,FALSE,"매출채권현황";#N/A,#N/A,FALSE,"매출채권명세"}</definedName>
    <definedName name="ㅇㄴㄹㅇ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_1" hidden="1">{#N/A,#N/A,FALSE,"손익표지";#N/A,#N/A,FALSE,"손익계산";#N/A,#N/A,FALSE,"일반관리비";#N/A,#N/A,FALSE,"영업외수익";#N/A,#N/A,FALSE,"영업외비용";#N/A,#N/A,FALSE,"매출액";#N/A,#N/A,FALSE,"요약손익";#N/A,#N/A,FALSE,"요약대차";#N/A,#N/A,FALSE,"매출채권현황";#N/A,#N/A,FALSE,"매출채권명세"}</definedName>
    <definedName name="ㅇㄴㅀ" hidden="1">{#N/A,#N/A,TRUE,"경전'96(1)";#N/A,#N/A,TRUE,"경전'96 (2)"}</definedName>
    <definedName name="ㅇㄴㅇ" hidden="1">{#N/A,#N/A,FALSE,"단축1";#N/A,#N/A,FALSE,"단축2";#N/A,#N/A,FALSE,"단축3";#N/A,#N/A,FALSE,"장축";#N/A,#N/A,FALSE,"4WD"}</definedName>
    <definedName name="ㅇㄴㅇㅇ" localSheetId="2" hidden="1">{#N/A,#N/A,FALSE,"UNIT";#N/A,#N/A,FALSE,"UNIT";#N/A,#N/A,FALSE,"계정"}</definedName>
    <definedName name="ㅇㄴㅇㅇ" hidden="1">{#N/A,#N/A,FALSE,"UNIT";#N/A,#N/A,FALSE,"UNIT";#N/A,#N/A,FALSE,"계정"}</definedName>
    <definedName name="ㅇ노라ㅓㅗㅇ" hidden="1">{#N/A,#N/A,FALSE,"손익표지";#N/A,#N/A,FALSE,"손익계산";#N/A,#N/A,FALSE,"일반관리비";#N/A,#N/A,FALSE,"영업외수익";#N/A,#N/A,FALSE,"영업외비용";#N/A,#N/A,FALSE,"매출액";#N/A,#N/A,FALSE,"요약손익";#N/A,#N/A,FALSE,"요약대차";#N/A,#N/A,FALSE,"매출채권현황";#N/A,#N/A,FALSE,"매출채권명세"}</definedName>
    <definedName name="ㅇ누" hidden="1">#REF!</definedName>
    <definedName name="ㅇㄶ" hidden="1">{#N/A,#N/A,FALSE,"단축1";#N/A,#N/A,FALSE,"단축2";#N/A,#N/A,FALSE,"단축3";#N/A,#N/A,FALSE,"장축";#N/A,#N/A,FALSE,"4WD"}</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댜댜ㅏ">BlankMacro1</definedName>
    <definedName name="ㅇㄹ" hidden="1">#REF!</definedName>
    <definedName name="ㅇㄹㄴ" localSheetId="2"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ㄴㅁ" hidden="1">{#N/A,#N/A,FALSE,"손익표지";#N/A,#N/A,FALSE,"손익계산";#N/A,#N/A,FALSE,"일반관리비";#N/A,#N/A,FALSE,"영업외수익";#N/A,#N/A,FALSE,"영업외비용";#N/A,#N/A,FALSE,"매출액";#N/A,#N/A,FALSE,"요약손익";#N/A,#N/A,FALSE,"요약대차";#N/A,#N/A,FALSE,"매출채권현황";#N/A,#N/A,FALSE,"매출채권명세"}</definedName>
    <definedName name="ㅇㄹㄴㅇㄹㄴㅇㄹㄴ">BlankMacro1</definedName>
    <definedName name="ㅇㄹ니ㅓㄷ" hidden="1">#REF!</definedName>
    <definedName name="ㅇㄹㄹ" hidden="1">#REF!</definedName>
    <definedName name="ㅇㄹㄹㄹㄴㄹ" hidden="1">{#N/A,#N/A,FALSE,"단축1";#N/A,#N/A,FALSE,"단축2";#N/A,#N/A,FALSE,"단축3";#N/A,#N/A,FALSE,"장축";#N/A,#N/A,FALSE,"4WD"}</definedName>
    <definedName name="ㅇㄹㄹㅇㅁㄴ">BlankMacro1</definedName>
    <definedName name="ㅇㄹㅇ" localSheetId="2"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#REF!</definedName>
    <definedName name="ㅇㄹㅇㄹ" hidden="1">#REF!</definedName>
    <definedName name="ㅇㄹㅇㄹㅇ" localSheetId="2" hidden="1">{#N/A,#N/A,FALSE,"정공"}</definedName>
    <definedName name="ㅇㄹㅇㄹㅇ" hidden="1">{#N/A,#N/A,FALSE,"정공"}</definedName>
    <definedName name="ㅇㄹㅇㄹㅇㄹㅇ" localSheetId="2" hidden="1">{#N/A,#N/A,FALSE,"UNIT";#N/A,#N/A,FALSE,"UNIT";#N/A,#N/A,FALSE,"계정"}</definedName>
    <definedName name="ㅇㄹㅇㄹㅇㄹㅇ" hidden="1">{#N/A,#N/A,FALSE,"UNIT";#N/A,#N/A,FALSE,"UNIT";#N/A,#N/A,FALSE,"계정"}</definedName>
    <definedName name="ㅇㄹㅇㄹㅇㄹㅇㄹ" hidden="1">#REF!</definedName>
    <definedName name="ㅇㄹㅇㅁㄴㄹ" hidden="1">{#N/A,#N/A,FALSE,"손익표지";#N/A,#N/A,FALSE,"손익계산";#N/A,#N/A,FALSE,"일반관리비";#N/A,#N/A,FALSE,"영업외수익";#N/A,#N/A,FALSE,"영업외비용";#N/A,#N/A,FALSE,"매출액";#N/A,#N/A,FALSE,"요약손익";#N/A,#N/A,FALSE,"요약대차";#N/A,#N/A,FALSE,"매출채권현황";#N/A,#N/A,FALSE,"매출채권명세"}</definedName>
    <definedName name="ㅇㄹ허" hidden="1">{#N/A,#N/A,FALSE,"토공2"}</definedName>
    <definedName name="ㅇㄹ호">#REF!</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라마">BlankMacro1</definedName>
    <definedName name="ㅇ라ㅏㅇ">BlankMacro1</definedName>
    <definedName name="ㅇ로">#N/A</definedName>
    <definedName name="ㅇㄻㄴㅇㄹ" hidden="1">#REF!</definedName>
    <definedName name="ㅇㅀ" localSheetId="2" hidden="1">{#N/A,#N/A,FALSE,"BS";#N/A,#N/A,FALSE,"PL";#N/A,#N/A,FALSE,"A";#N/A,#N/A,FALSE,"B";#N/A,#N/A,FALSE,"B1";#N/A,#N/A,FALSE,"C";#N/A,#N/A,FALSE,"C1";#N/A,#N/A,FALSE,"C2";#N/A,#N/A,FALSE,"D";#N/A,#N/A,FALSE,"E";#N/A,#N/A,FALSE,"F";#N/A,#N/A,FALSE,"AA";#N/A,#N/A,FALSE,"BB";#N/A,#N/A,FALSE,"CC";#N/A,#N/A,FALSE,"DD";#N/A,#N/A,FALSE,"EE";#N/A,#N/A,FALSE,"FF";#N/A,#N/A,FALSE,"PL10";#N/A,#N/A,FALSE,"PL20";#N/A,#N/A,FALSE,"PL30"}</definedName>
    <definedName name="ㅇㅀ" hidden="1">{#N/A,#N/A,FALSE,"BS";#N/A,#N/A,FALSE,"PL";#N/A,#N/A,FALSE,"A";#N/A,#N/A,FALSE,"B";#N/A,#N/A,FALSE,"B1";#N/A,#N/A,FALSE,"C";#N/A,#N/A,FALSE,"C1";#N/A,#N/A,FALSE,"C2";#N/A,#N/A,FALSE,"D";#N/A,#N/A,FALSE,"E";#N/A,#N/A,FALSE,"F";#N/A,#N/A,FALSE,"AA";#N/A,#N/A,FALSE,"BB";#N/A,#N/A,FALSE,"CC";#N/A,#N/A,FALSE,"DD";#N/A,#N/A,FALSE,"EE";#N/A,#N/A,FALSE,"FF";#N/A,#N/A,FALSE,"PL10";#N/A,#N/A,FALSE,"PL20";#N/A,#N/A,FALSE,"PL30"}</definedName>
    <definedName name="ㅇㅀ_1" localSheetId="2" hidden="1">{#N/A,#N/A,FALSE,"BS";#N/A,#N/A,FALSE,"PL";#N/A,#N/A,FALSE,"A";#N/A,#N/A,FALSE,"B";#N/A,#N/A,FALSE,"B1";#N/A,#N/A,FALSE,"C";#N/A,#N/A,FALSE,"C1";#N/A,#N/A,FALSE,"C2";#N/A,#N/A,FALSE,"D";#N/A,#N/A,FALSE,"E";#N/A,#N/A,FALSE,"F";#N/A,#N/A,FALSE,"AA";#N/A,#N/A,FALSE,"BB";#N/A,#N/A,FALSE,"CC";#N/A,#N/A,FALSE,"DD";#N/A,#N/A,FALSE,"EE";#N/A,#N/A,FALSE,"FF";#N/A,#N/A,FALSE,"PL10";#N/A,#N/A,FALSE,"PL20";#N/A,#N/A,FALSE,"PL30"}</definedName>
    <definedName name="ㅇㅀ_1" hidden="1">{#N/A,#N/A,FALSE,"BS";#N/A,#N/A,FALSE,"PL";#N/A,#N/A,FALSE,"A";#N/A,#N/A,FALSE,"B";#N/A,#N/A,FALSE,"B1";#N/A,#N/A,FALSE,"C";#N/A,#N/A,FALSE,"C1";#N/A,#N/A,FALSE,"C2";#N/A,#N/A,FALSE,"D";#N/A,#N/A,FALSE,"E";#N/A,#N/A,FALSE,"F";#N/A,#N/A,FALSE,"AA";#N/A,#N/A,FALSE,"BB";#N/A,#N/A,FALSE,"CC";#N/A,#N/A,FALSE,"DD";#N/A,#N/A,FALSE,"EE";#N/A,#N/A,FALSE,"FF";#N/A,#N/A,FALSE,"PL10";#N/A,#N/A,FALSE,"PL20";#N/A,#N/A,FALSE,"PL30"}</definedName>
    <definedName name="ㅇㅀㄹㅇㅁㅎ" hidden="1">#REF!</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ㅇㅀ" hidden="1">{#N/A,#N/A,FALSE,"Performance Flash Report"}</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ㅇ" hidden="1">{#N/A,#N/A,FALSE,"단축1";#N/A,#N/A,FALSE,"단축2";#N/A,#N/A,FALSE,"단축3";#N/A,#N/A,FALSE,"장축";#N/A,#N/A,FALSE,"4WD"}</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ㅁㅇㅇㅁㅁㅇㅇ" localSheetId="2" hidden="1">{#N/A,#N/A,FALSE,"Sheet1";#N/A,#N/A,FALSE,"기평9607"}</definedName>
    <definedName name="ㅇㅁㅁㅇㅇㅁㅁㅇㅇ" hidden="1">{#N/A,#N/A,FALSE,"Sheet1";#N/A,#N/A,FALSE,"기평9607"}</definedName>
    <definedName name="ㅇㅁㅇㅁㅇㅁㅇㅁㅇㅁㅇㄴㅁㅇㅁㅇㅇㅁ2434"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ㅁㅇㅁㅇㅁㅇㅁㅇㅁㅇㄴㅁㅇㅁㅇㅇㅁ243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ㅂ">BlankMacro1</definedName>
    <definedName name="ㅇㅂㅎ">BlankMacro1</definedName>
    <definedName name="ㅇㅅ거ㅛ">#N/A</definedName>
    <definedName name="ㅇㅇ"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000" hidden="1">{#N/A,#N/A,FALSE,"손익표지";#N/A,#N/A,FALSE,"손익계산";#N/A,#N/A,FALSE,"일반관리비";#N/A,#N/A,FALSE,"영업외수익";#N/A,#N/A,FALSE,"영업외비용";#N/A,#N/A,FALSE,"매출액";#N/A,#N/A,FALSE,"요약손익";#N/A,#N/A,FALSE,"요약대차";#N/A,#N/A,FALSE,"매출채권현황";#N/A,#N/A,FALSE,"매출채권명세"}</definedName>
    <definedName name="ㅇㅇㄴㄴㄴㄴ" localSheetId="2" hidden="1">{#N/A,#N/A,FALSE,"BS";#N/A,#N/A,FALSE,"PL";#N/A,#N/A,FALSE,"A";#N/A,#N/A,FALSE,"B";#N/A,#N/A,FALSE,"B1";#N/A,#N/A,FALSE,"C";#N/A,#N/A,FALSE,"C1";#N/A,#N/A,FALSE,"C2";#N/A,#N/A,FALSE,"D";#N/A,#N/A,FALSE,"E";#N/A,#N/A,FALSE,"F";#N/A,#N/A,FALSE,"AA";#N/A,#N/A,FALSE,"BB";#N/A,#N/A,FALSE,"CC";#N/A,#N/A,FALSE,"DD";#N/A,#N/A,FALSE,"EE";#N/A,#N/A,FALSE,"FF";#N/A,#N/A,FALSE,"PL10";#N/A,#N/A,FALSE,"PL20";#N/A,#N/A,FALSE,"PL30"}</definedName>
    <definedName name="ㅇㅇㄴㄴㄴㄴ" hidden="1">{#N/A,#N/A,FALSE,"BS";#N/A,#N/A,FALSE,"PL";#N/A,#N/A,FALSE,"A";#N/A,#N/A,FALSE,"B";#N/A,#N/A,FALSE,"B1";#N/A,#N/A,FALSE,"C";#N/A,#N/A,FALSE,"C1";#N/A,#N/A,FALSE,"C2";#N/A,#N/A,FALSE,"D";#N/A,#N/A,FALSE,"E";#N/A,#N/A,FALSE,"F";#N/A,#N/A,FALSE,"AA";#N/A,#N/A,FALSE,"BB";#N/A,#N/A,FALSE,"CC";#N/A,#N/A,FALSE,"DD";#N/A,#N/A,FALSE,"EE";#N/A,#N/A,FALSE,"FF";#N/A,#N/A,FALSE,"PL10";#N/A,#N/A,FALSE,"PL20";#N/A,#N/A,FALSE,"PL30"}</definedName>
    <definedName name="ㅇㅇㄷㄷㄷㄱㅇㅇ">#REF!</definedName>
    <definedName name="ㅇㅇㄹㄹ" localSheetId="2"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ㄻ" localSheetId="2" hidden="1">{"'Jibu9811 (3)'!$B$1:$J$433"}</definedName>
    <definedName name="ㅇㅇㄻ" hidden="1">{"'Jibu9811 (3)'!$B$1:$J$433"}</definedName>
    <definedName name="ㅇㅇㅀ" localSheetId="2" hidden="1">{#N/A,#N/A,FALSE,"BS";#N/A,#N/A,FALSE,"PL";#N/A,#N/A,FALSE,"A";#N/A,#N/A,FALSE,"B";#N/A,#N/A,FALSE,"B1";#N/A,#N/A,FALSE,"C";#N/A,#N/A,FALSE,"C1";#N/A,#N/A,FALSE,"C2";#N/A,#N/A,FALSE,"D";#N/A,#N/A,FALSE,"E";#N/A,#N/A,FALSE,"F";#N/A,#N/A,FALSE,"AA";#N/A,#N/A,FALSE,"BB";#N/A,#N/A,FALSE,"CC";#N/A,#N/A,FALSE,"DD";#N/A,#N/A,FALSE,"EE";#N/A,#N/A,FALSE,"FF";#N/A,#N/A,FALSE,"PL10";#N/A,#N/A,FALSE,"PL20";#N/A,#N/A,FALSE,"PL30"}</definedName>
    <definedName name="ㅇㅇㅀ" hidden="1">{#N/A,#N/A,FALSE,"BS";#N/A,#N/A,FALSE,"PL";#N/A,#N/A,FALSE,"A";#N/A,#N/A,FALSE,"B";#N/A,#N/A,FALSE,"B1";#N/A,#N/A,FALSE,"C";#N/A,#N/A,FALSE,"C1";#N/A,#N/A,FALSE,"C2";#N/A,#N/A,FALSE,"D";#N/A,#N/A,FALSE,"E";#N/A,#N/A,FALSE,"F";#N/A,#N/A,FALSE,"AA";#N/A,#N/A,FALSE,"BB";#N/A,#N/A,FALSE,"CC";#N/A,#N/A,FALSE,"DD";#N/A,#N/A,FALSE,"EE";#N/A,#N/A,FALSE,"FF";#N/A,#N/A,FALSE,"PL10";#N/A,#N/A,FALSE,"PL20";#N/A,#N/A,FALSE,"PL30"}</definedName>
    <definedName name="ㅇㅇㅀ_1" localSheetId="2" hidden="1">{#N/A,#N/A,FALSE,"BS";#N/A,#N/A,FALSE,"PL";#N/A,#N/A,FALSE,"A";#N/A,#N/A,FALSE,"B";#N/A,#N/A,FALSE,"B1";#N/A,#N/A,FALSE,"C";#N/A,#N/A,FALSE,"C1";#N/A,#N/A,FALSE,"C2";#N/A,#N/A,FALSE,"D";#N/A,#N/A,FALSE,"E";#N/A,#N/A,FALSE,"F";#N/A,#N/A,FALSE,"AA";#N/A,#N/A,FALSE,"BB";#N/A,#N/A,FALSE,"CC";#N/A,#N/A,FALSE,"DD";#N/A,#N/A,FALSE,"EE";#N/A,#N/A,FALSE,"FF";#N/A,#N/A,FALSE,"PL10";#N/A,#N/A,FALSE,"PL20";#N/A,#N/A,FALSE,"PL30"}</definedName>
    <definedName name="ㅇㅇㅀ_1" hidden="1">{#N/A,#N/A,FALSE,"BS";#N/A,#N/A,FALSE,"PL";#N/A,#N/A,FALSE,"A";#N/A,#N/A,FALSE,"B";#N/A,#N/A,FALSE,"B1";#N/A,#N/A,FALSE,"C";#N/A,#N/A,FALSE,"C1";#N/A,#N/A,FALSE,"C2";#N/A,#N/A,FALSE,"D";#N/A,#N/A,FALSE,"E";#N/A,#N/A,FALSE,"F";#N/A,#N/A,FALSE,"AA";#N/A,#N/A,FALSE,"BB";#N/A,#N/A,FALSE,"CC";#N/A,#N/A,FALSE,"DD";#N/A,#N/A,FALSE,"EE";#N/A,#N/A,FALSE,"FF";#N/A,#N/A,FALSE,"PL10";#N/A,#N/A,FALSE,"PL20";#N/A,#N/A,FALSE,"PL30"}</definedName>
    <definedName name="ㅇㅇㅇ" localSheetId="2" hidden="1">{#N/A,#N/A,FALSE,"정공"}</definedName>
    <definedName name="ㅇㅇㅇ" hidden="1">{#N/A,#N/A,FALSE,"정공"}</definedName>
    <definedName name="ㅇㅇㅇ_1" localSheetId="2" hidden="1">{#N/A,#N/A,FALSE,"정공"}</definedName>
    <definedName name="ㅇㅇㅇ_1" hidden="1">{#N/A,#N/A,FALSE,"정공"}</definedName>
    <definedName name="ㅇㅇㅇㅇ" hidden="1">#REF!</definedName>
    <definedName name="ㅇㅇㅇㅇㄹㄼㅂㅂ">#REF!</definedName>
    <definedName name="ㅇㅇㅇㅇ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ㅇ" localSheetId="2" hidden="1">{"'Jibu9811 (3)'!$B$1:$J$433"}</definedName>
    <definedName name="ㅇㅇㅇㅇㅇㅇ" hidden="1">{"'Jibu9811 (3)'!$B$1:$J$433"}</definedName>
    <definedName name="ㅇㅇㅇㅇㅇㅇㅇㅇㄹㄹㄹㄹ" hidden="1">#REF!</definedName>
    <definedName name="ㅇㅇㅇㅇㅇㅇㅇㅇㅇ" hidden="1">{#N/A,#N/A,FALSE,"단축1";#N/A,#N/A,FALSE,"단축2";#N/A,#N/A,FALSE,"단축3";#N/A,#N/A,FALSE,"장축";#N/A,#N/A,FALSE,"4WD"}</definedName>
    <definedName name="ㅇㅇㅇㅇㅇㅇㅇㅇㅇㅇㅇㅇㅇㅇㅇ">#REF!</definedName>
    <definedName name="ㅇㅇㅇㅇㅇㅇㅇㅇㅇㅇㅇㅇㅇㅇㅇㅇㅇㅇㅇ">#REF!</definedName>
    <definedName name="ㅇㅇ허ㅓㅎㄱ">BlankMacro1</definedName>
    <definedName name="ㅇ이" hidden="1">{#N/A,#N/A,FALSE,"손익표지";#N/A,#N/A,FALSE,"손익계산";#N/A,#N/A,FALSE,"일반관리비";#N/A,#N/A,FALSE,"영업외수익";#N/A,#N/A,FALSE,"영업외비용";#N/A,#N/A,FALSE,"매출액";#N/A,#N/A,FALSE,"요약손익";#N/A,#N/A,FALSE,"요약대차";#N/A,#N/A,FALSE,"매출채권현황";#N/A,#N/A,FALSE,"매출채권명세"}</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ㅈㅂ">BlankMacro1</definedName>
    <definedName name="ㅇㅈㅇㄴㅇㅈㅇ" hidden="1">#REF!</definedName>
    <definedName name="ㅇ자" localSheetId="2" hidden="1">{"'Jibu9811 (3)'!$B$1:$J$433"}</definedName>
    <definedName name="ㅇ자" hidden="1">{"'Jibu9811 (3)'!$B$1:$J$433"}</definedName>
    <definedName name="ㅇㅎ" localSheetId="2" hidden="1">{#N/A,#N/A,FALSE,"단축1";#N/A,#N/A,FALSE,"단축2";#N/A,#N/A,FALSE,"단축3";#N/A,#N/A,FALSE,"장축";#N/A,#N/A,FALSE,"4WD"}</definedName>
    <definedName name="ㅇㅎ" hidden="1">{#N/A,#N/A,FALSE,"단축1";#N/A,#N/A,FALSE,"단축2";#N/A,#N/A,FALSE,"단축3";#N/A,#N/A,FALSE,"장축";#N/A,#N/A,FALSE,"4WD"}</definedName>
    <definedName name="ㅇㅎㄷㄱ" localSheetId="2" hidden="1">{#N/A,#N/A,FALSE,"부대1"}</definedName>
    <definedName name="ㅇㅎㄷㄱ" hidden="1">{#N/A,#N/A,FALSE,"부대1"}</definedName>
    <definedName name="ㅇㅎㅁ" localSheetId="2" hidden="1">{#N/A,#N/A,FALSE,"97년 투자계획 세부내역 "}</definedName>
    <definedName name="ㅇㅎㅁ" hidden="1">{#N/A,#N/A,FALSE,"97년 투자계획 세부내역 "}</definedName>
    <definedName name="ㅇ햡">#N/A</definedName>
    <definedName name="ㅇ허호">BlankMacro1</definedName>
    <definedName name="ㅇ허ㅏㅎ">BlankMacro1</definedName>
    <definedName name="ㅇ호">#REF!</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ㅇ홍" hidden="1">{#N/A,#N/A,FALSE,"단축1";#N/A,#N/A,FALSE,"단축2";#N/A,#N/A,FALSE,"단축3";#N/A,#N/A,FALSE,"장축";#N/A,#N/A,FALSE,"4WD"}</definedName>
    <definedName name="아" localSheetId="2" hidden="1">{#N/A,#N/A,FALSE,"1.CRITERIA";#N/A,#N/A,FALSE,"2.IS";#N/A,#N/A,FALSE,"3.BS";#N/A,#N/A,FALSE,"4.PER PL";#N/A,#N/A,FALSE,"5.INVESTMENT";#N/A,#N/A,FALSE,"6.공문";#N/A,#N/A,FALSE,"7.netinvest"}</definedName>
    <definedName name="아" hidden="1">{#N/A,#N/A,FALSE,"1.CRITERIA";#N/A,#N/A,FALSE,"2.IS";#N/A,#N/A,FALSE,"3.BS";#N/A,#N/A,FALSE,"4.PER PL";#N/A,#N/A,FALSE,"5.INVESTMENT";#N/A,#N/A,FALSE,"6.공문";#N/A,#N/A,FALSE,"7.netinvest"}</definedName>
    <definedName name="아2" localSheetId="2" hidden="1">{"'Jibu9811 (3)'!$B$1:$J$433"}</definedName>
    <definedName name="아2" hidden="1">{"'Jibu9811 (3)'!$B$1:$J$433"}</definedName>
    <definedName name="아나나" hidden="1">{#N/A,#N/A,FALSE,"정공"}</definedName>
    <definedName name="아나마오" hidden="1">{#N/A,#N/A,FALSE,"정공"}</definedName>
    <definedName name="아논" localSheetId="2" hidden="1">{#N/A,#N/A,FALSE,"채권채무";#N/A,#N/A,FALSE,"control sheet"}</definedName>
    <definedName name="아논" hidden="1">{#N/A,#N/A,FALSE,"채권채무";#N/A,#N/A,FALSE,"control sheet"}</definedName>
    <definedName name="아늘믿">BlankMacro1</definedName>
    <definedName name="아니" localSheetId="2" hidden="1">{#N/A,#N/A,FALSE,"BS";#N/A,#N/A,FALSE,"PL";#N/A,#N/A,FALSE,"처분";#N/A,#N/A,FALSE,"현금";#N/A,#N/A,FALSE,"매출";#N/A,#N/A,FALSE,"원가";#N/A,#N/A,FALSE,"경영"}</definedName>
    <definedName name="아니" hidden="1">{#N/A,#N/A,FALSE,"BS";#N/A,#N/A,FALSE,"PL";#N/A,#N/A,FALSE,"처분";#N/A,#N/A,FALSE,"현금";#N/A,#N/A,FALSE,"매출";#N/A,#N/A,FALSE,"원가";#N/A,#N/A,FALSE,"경영"}</definedName>
    <definedName name="아니1" hidden="1">{#N/A,#N/A,FALSE,"단축1";#N/A,#N/A,FALSE,"단축2";#N/A,#N/A,FALSE,"단축3";#N/A,#N/A,FALSE,"장축";#N/A,#N/A,FALSE,"4WD"}</definedName>
    <definedName name="아니면말고" localSheetId="2" hidden="1">{#N/A,#N/A,FALSE,"정공"}</definedName>
    <definedName name="아니면말고" hidden="1">{#N/A,#N/A,FALSE,"정공"}</definedName>
    <definedName name="아니오" localSheetId="2" hidden="1">{#N/A,#N/A,FALSE,"정공"}</definedName>
    <definedName name="아니오" hidden="1">{#N/A,#N/A,FALSE,"정공"}</definedName>
    <definedName name="아니오1" hidden="1">{"'Price List '!$A$1:$R$156"}</definedName>
    <definedName name="아님">#REF!</definedName>
    <definedName name="아닙니다" hidden="1">{#N/A,#N/A,FALSE,"정공"}</definedName>
    <definedName name="아다">BlankMacro1</definedName>
    <definedName name="아디">BlankMacro1</definedName>
    <definedName name="아러" localSheetId="2" hidden="1">{#N/A,#N/A,FALSE,"BS";#N/A,#N/A,FALSE,"PL";#N/A,#N/A,FALSE,"처분";#N/A,#N/A,FALSE,"현금";#N/A,#N/A,FALSE,"매출";#N/A,#N/A,FALSE,"원가";#N/A,#N/A,FALSE,"경영"}</definedName>
    <definedName name="아러" hidden="1">{#N/A,#N/A,FALSE,"BS";#N/A,#N/A,FALSE,"PL";#N/A,#N/A,FALSE,"처분";#N/A,#N/A,FALSE,"현금";#N/A,#N/A,FALSE,"매출";#N/A,#N/A,FALSE,"원가";#N/A,#N/A,FALSE,"경영"}</definedName>
    <definedName name="아러ㅏ" localSheetId="2" hidden="1">{"'매출이익'!$A$24:$K$45"}</definedName>
    <definedName name="아러ㅏ" hidden="1">{"'매출이익'!$A$24:$K$45"}</definedName>
    <definedName name="아름다은" localSheetId="2"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마도" localSheetId="2" hidden="1">{#N/A,#N/A,FALSE,"97년 투자계획 세부내역 "}</definedName>
    <definedName name="아마도" hidden="1">{#N/A,#N/A,FALSE,"97년 투자계획 세부내역 "}</definedName>
    <definedName name="아메리카"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무개" localSheetId="2" hidden="1">{#N/A,#N/A,TRUE,"Summary";#N/A,#N/A,TRUE,"IS";#N/A,#N/A,TRUE,"Adj";#N/A,#N/A,TRUE,"BS";#N/A,#N/A,TRUE,"CF";#N/A,#N/A,TRUE,"Debt";#N/A,#N/A,TRUE,"IRR"}</definedName>
    <definedName name="아무개" hidden="1">{#N/A,#N/A,TRUE,"Summary";#N/A,#N/A,TRUE,"IS";#N/A,#N/A,TRUE,"Adj";#N/A,#N/A,TRUE,"BS";#N/A,#N/A,TRUE,"CF";#N/A,#N/A,TRUE,"Debt";#N/A,#N/A,TRUE,"IRR"}</definedName>
    <definedName name="아무거나" hidden="1">#REF!</definedName>
    <definedName name="아서">BlankMacro1</definedName>
    <definedName name="아스콘기층">#REF!</definedName>
    <definedName name="아스콘표층">#REF!</definedName>
    <definedName name="아아" localSheetId="2" hidden="1">{#N/A,#N/A,FALSE,"1.CRITERIA";#N/A,#N/A,FALSE,"2.IS";#N/A,#N/A,FALSE,"3.BS";#N/A,#N/A,FALSE,"4.PER PL";#N/A,#N/A,FALSE,"5.INVESTMENT";#N/A,#N/A,FALSE,"6.공문";#N/A,#N/A,FALSE,"7.netinvest"}</definedName>
    <definedName name="아아" hidden="1">{#N/A,#N/A,FALSE,"1.CRITERIA";#N/A,#N/A,FALSE,"2.IS";#N/A,#N/A,FALSE,"3.BS";#N/A,#N/A,FALSE,"4.PER PL";#N/A,#N/A,FALSE,"5.INVESTMENT";#N/A,#N/A,FALSE,"6.공문";#N/A,#N/A,FALSE,"7.netinvest"}</definedName>
    <definedName name="아아아" localSheetId="2" hidden="1">{#N/A,#N/A,FALSE,"정공"}</definedName>
    <definedName name="아아아" hidden="1">{#N/A,#N/A,FALSE,"정공"}</definedName>
    <definedName name="아아ㅏ" localSheetId="2" hidden="1">{#N/A,#N/A,FALSE,"기안지";#N/A,#N/A,FALSE,"통신지"}</definedName>
    <definedName name="아아ㅏ" hidden="1">{#N/A,#N/A,FALSE,"기안지";#N/A,#N/A,FALSE,"통신지"}</definedName>
    <definedName name="아앙"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연도28C">#N/A</definedName>
    <definedName name="아이" localSheetId="2" hidden="1">{#N/A,#N/A,FALSE,"정공"}</definedName>
    <definedName name="아이" hidden="1">{#N/A,#N/A,FALSE,"정공"}</definedName>
    <definedName name="아조하아" localSheetId="2" hidden="1">{#N/A,#N/A,FALSE,"UNIT";#N/A,#N/A,FALSE,"UNIT";#N/A,#N/A,FALSE,"계정"}</definedName>
    <definedName name="아조하아" hidden="1">{#N/A,#N/A,FALSE,"UNIT";#N/A,#N/A,FALSE,"UNIT";#N/A,#N/A,FALSE,"계정"}</definedName>
    <definedName name="아파트">#REF!</definedName>
    <definedName name="아햐">#N/A</definedName>
    <definedName name="아허ㅑ">BlankMacro1</definedName>
    <definedName name="아혀뱌">BlankMacro1</definedName>
    <definedName name="아ㅏ">BlankMacro1</definedName>
    <definedName name="아ㅏㅂ">BlankMacro1</definedName>
    <definedName name="아ㅏㅇ">#REF!</definedName>
    <definedName name="아ㅏ아아아아아" localSheetId="2" hidden="1">{#N/A,#N/A,FALSE,"UNIT";#N/A,#N/A,FALSE,"UNIT";#N/A,#N/A,FALSE,"계정"}</definedName>
    <definedName name="아ㅏ아아아아아" hidden="1">{#N/A,#N/A,FALSE,"UNIT";#N/A,#N/A,FALSE,"UNIT";#N/A,#N/A,FALSE,"계정"}</definedName>
    <definedName name="아ㅏㅏㄷ" localSheetId="2" hidden="1">{#N/A,#N/A,FALSE,"기안지";#N/A,#N/A,FALSE,"통신지"}</definedName>
    <definedName name="아ㅏㅏㄷ" hidden="1">{#N/A,#N/A,FALSE,"기안지";#N/A,#N/A,FALSE,"통신지"}</definedName>
    <definedName name="아ㅓ" localSheetId="2" hidden="1">{#N/A,#N/A,FALSE,"기안지";#N/A,#N/A,FALSE,"통신지"}</definedName>
    <definedName name="아ㅓ" hidden="1">{#N/A,#N/A,FALSE,"기안지";#N/A,#N/A,FALSE,"통신지"}</definedName>
    <definedName name="아ㅓㄹ" hidden="1">{#N/A,#N/A,FALSE,"손익표지";#N/A,#N/A,FALSE,"손익계산";#N/A,#N/A,FALSE,"일반관리비";#N/A,#N/A,FALSE,"영업외수익";#N/A,#N/A,FALSE,"영업외비용";#N/A,#N/A,FALSE,"매출액";#N/A,#N/A,FALSE,"요약손익";#N/A,#N/A,FALSE,"요약대차";#N/A,#N/A,FALSE,"매출채권현황";#N/A,#N/A,FALSE,"매출채권명세"}</definedName>
    <definedName name="아ㅓㅁㅂ" localSheetId="2" hidden="1">{#N/A,#N/A,FALSE,"기안지";#N/A,#N/A,FALSE,"통신지"}</definedName>
    <definedName name="아ㅓㅁㅂ" hidden="1">{#N/A,#N/A,FALSE,"기안지";#N/A,#N/A,FALSE,"통신지"}</definedName>
    <definedName name="아ㅓㅂ">BlankMacro1</definedName>
    <definedName name="아ㅓㅎ">BlankMacro1</definedName>
    <definedName name="아ㅓㅎ어호">BlankMacro1</definedName>
    <definedName name="아ㅓ호">BlankMacro1</definedName>
    <definedName name="아ㅓㅏㅓ" hidden="1">{#N/A,#N/A,FALSE,"단축1";#N/A,#N/A,FALSE,"단축2";#N/A,#N/A,FALSE,"단축3";#N/A,#N/A,FALSE,"장축";#N/A,#N/A,FALSE,"4WD"}</definedName>
    <definedName name="아ㅓㅑㅂ">BlankMacro1</definedName>
    <definedName name="아ㅕㅂ">BlankMacro1</definedName>
    <definedName name="안" hidden="1">#REF!</definedName>
    <definedName name="안건" localSheetId="2" hidden="1">{#N/A,#N/A,FALSE,"BS";#N/A,#N/A,FALSE,"PL";#N/A,#N/A,FALSE,"처분";#N/A,#N/A,FALSE,"현금";#N/A,#N/A,FALSE,"매출";#N/A,#N/A,FALSE,"원가";#N/A,#N/A,FALSE,"경영"}</definedName>
    <definedName name="안건" hidden="1">{#N/A,#N/A,FALSE,"BS";#N/A,#N/A,FALSE,"PL";#N/A,#N/A,FALSE,"처분";#N/A,#N/A,FALSE,"현금";#N/A,#N/A,FALSE,"매출";#N/A,#N/A,FALSE,"원가";#N/A,#N/A,FALSE,"경영"}</definedName>
    <definedName name="안산">#REF!</definedName>
    <definedName name="안양">#REF!</definedName>
    <definedName name="안전">#REF!</definedName>
    <definedName name="안전관리비기초액">#REF!</definedName>
    <definedName name="안전관리비율">#REF!</definedName>
    <definedName name="안전시험">#REF!</definedName>
    <definedName name="안정성계획v2.0" hidden="1">Country_Summary</definedName>
    <definedName name="안진"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현모" hidden="1">{#N/A,#N/A,FALSE,"단축1";#N/A,#N/A,FALSE,"단축2";#N/A,#N/A,FALSE,"단축3";#N/A,#N/A,FALSE,"장축";#N/A,#N/A,FALSE,"4WD"}</definedName>
    <definedName name="알파">#REF!</definedName>
    <definedName name="알파Ⅰ" hidden="1">{#N/A,#N/A,FALSE,"단축1";#N/A,#N/A,FALSE,"단축2";#N/A,#N/A,FALSE,"단축3";#N/A,#N/A,FALSE,"장축";#N/A,#N/A,FALSE,"4WD"}</definedName>
    <definedName name="앗서" localSheetId="2" hidden="1">{#N/A,#N/A,FALSE,"정공"}</definedName>
    <definedName name="앗서" hidden="1">{#N/A,#N/A,FALSE,"정공"}</definedName>
    <definedName name="앙" localSheetId="2" hidden="1">{#N/A,#N/A,FALSE,"BS";#N/A,#N/A,FALSE,"PL";#N/A,#N/A,FALSE,"처분";#N/A,#N/A,FALSE,"현금";#N/A,#N/A,FALSE,"매출";#N/A,#N/A,FALSE,"원가";#N/A,#N/A,FALSE,"경영"}</definedName>
    <definedName name="앙" hidden="1">{#N/A,#N/A,FALSE,"BS";#N/A,#N/A,FALSE,"PL";#N/A,#N/A,FALSE,"처분";#N/A,#N/A,FALSE,"현금";#N/A,#N/A,FALSE,"매출";#N/A,#N/A,FALSE,"원가";#N/A,#N/A,FALSE,"경영"}</definedName>
    <definedName name="앙_1" localSheetId="2" hidden="1">{#N/A,#N/A,FALSE,"BS";#N/A,#N/A,FALSE,"PL";#N/A,#N/A,FALSE,"처분";#N/A,#N/A,FALSE,"현금";#N/A,#N/A,FALSE,"매출";#N/A,#N/A,FALSE,"원가";#N/A,#N/A,FALSE,"경영"}</definedName>
    <definedName name="앙_1" hidden="1">{#N/A,#N/A,FALSE,"BS";#N/A,#N/A,FALSE,"PL";#N/A,#N/A,FALSE,"처분";#N/A,#N/A,FALSE,"현금";#N/A,#N/A,FALSE,"매출";#N/A,#N/A,FALSE,"원가";#N/A,#N/A,FALSE,"경영"}</definedName>
    <definedName name="앙1" localSheetId="2" hidden="1">{#N/A,#N/A,FALSE,"BS";#N/A,#N/A,FALSE,"PL";#N/A,#N/A,FALSE,"처분";#N/A,#N/A,FALSE,"현금";#N/A,#N/A,FALSE,"매출";#N/A,#N/A,FALSE,"원가";#N/A,#N/A,FALSE,"경영"}</definedName>
    <definedName name="앙1" hidden="1">{#N/A,#N/A,FALSE,"BS";#N/A,#N/A,FALSE,"PL";#N/A,#N/A,FALSE,"처분";#N/A,#N/A,FALSE,"현금";#N/A,#N/A,FALSE,"매출";#N/A,#N/A,FALSE,"원가";#N/A,#N/A,FALSE,"경영"}</definedName>
    <definedName name="앙1_1" localSheetId="2" hidden="1">{#N/A,#N/A,FALSE,"BS";#N/A,#N/A,FALSE,"PL";#N/A,#N/A,FALSE,"처분";#N/A,#N/A,FALSE,"현금";#N/A,#N/A,FALSE,"매출";#N/A,#N/A,FALSE,"원가";#N/A,#N/A,FALSE,"경영"}</definedName>
    <definedName name="앙1_1" hidden="1">{#N/A,#N/A,FALSE,"BS";#N/A,#N/A,FALSE,"PL";#N/A,#N/A,FALSE,"처분";#N/A,#N/A,FALSE,"현금";#N/A,#N/A,FALSE,"매출";#N/A,#N/A,FALSE,"원가";#N/A,#N/A,FALSE,"경영"}</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앟">BlankMacro1</definedName>
    <definedName name="액슬" hidden="1">{#N/A,#N/A,FALSE,"단축1";#N/A,#N/A,FALSE,"단축2";#N/A,#N/A,FALSE,"단축3";#N/A,#N/A,FALSE,"장축";#N/A,#N/A,FALSE,"4WD"}</definedName>
    <definedName name="야" localSheetId="2" hidden="1">{#N/A,#N/A,FALSE,"UNIT";#N/A,#N/A,FALSE,"UNIT";#N/A,#N/A,FALSE,"계정"}</definedName>
    <definedName name="야" hidden="1">{#N/A,#N/A,FALSE,"UNIT";#N/A,#N/A,FALSE,"UNIT";#N/A,#N/A,FALSE,"계정"}</definedName>
    <definedName name="약도" hidden="1">{"'전일자'!$A$5:$N$17"}</definedName>
    <definedName name="약식손익" hidden="1">{#N/A,#N/A,FALSE,"정공"}</definedName>
    <definedName name="약정사항"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잉자" localSheetId="2" hidden="1">{#N/A,#N/A,FALSE,"정공"}</definedName>
    <definedName name="약정잉자" hidden="1">{#N/A,#N/A,FALSE,"정공"}</definedName>
    <definedName name="양" localSheetId="2" hidden="1">{#N/A,#N/A,FALSE,"UNIT";#N/A,#N/A,FALSE,"UNIT";#N/A,#N/A,FALSE,"계정"}</definedName>
    <definedName name="양" hidden="1">{#N/A,#N/A,FALSE,"UNIT";#N/A,#N/A,FALSE,"UNIT";#N/A,#N/A,FALSE,"계정"}</definedName>
    <definedName name="양대호" hidden="1">{#N/A,#N/A,FALSE,"단축1";#N/A,#N/A,FALSE,"단축2";#N/A,#N/A,FALSE,"단축3";#N/A,#N/A,FALSE,"장축";#N/A,#N/A,FALSE,"4WD"}</definedName>
    <definedName name="양산조직"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양식" hidden="1">{#N/A,#N/A,FALSE,"손익표지";#N/A,#N/A,FALSE,"손익계산";#N/A,#N/A,FALSE,"일반관리비";#N/A,#N/A,FALSE,"영업외수익";#N/A,#N/A,FALSE,"영업외비용";#N/A,#N/A,FALSE,"매출액";#N/A,#N/A,FALSE,"요약손익";#N/A,#N/A,FALSE,"요약대차";#N/A,#N/A,FALSE,"매출채권현황";#N/A,#N/A,FALSE,"매출채권명세"}</definedName>
    <definedName name="양식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양식_1" hidden="1">{#N/A,#N/A,FALSE,"손익표지";#N/A,#N/A,FALSE,"손익계산";#N/A,#N/A,FALSE,"일반관리비";#N/A,#N/A,FALSE,"영업외수익";#N/A,#N/A,FALSE,"영업외비용";#N/A,#N/A,FALSE,"매출액";#N/A,#N/A,FALSE,"요약손익";#N/A,#N/A,FALSE,"요약대차";#N/A,#N/A,FALSE,"매출채권현황";#N/A,#N/A,FALSE,"매출채권명세"}</definedName>
    <definedName name="양식1" hidden="1">{#N/A,#N/A,FALSE,"단축1";#N/A,#N/A,FALSE,"단축2";#N/A,#N/A,FALSE,"단축3";#N/A,#N/A,FALSE,"장축";#N/A,#N/A,FALSE,"4WD"}</definedName>
    <definedName name="양식2">#REF!</definedName>
    <definedName name="양식3">#REF!</definedName>
    <definedName name="양행" localSheetId="2" hidden="1">{#N/A,#N/A,FALSE,"범우구미";#N/A,#N/A,FALSE,"세한케미칼";#N/A,#N/A,FALSE,"세명화학";#N/A,#N/A,FALSE,"신영케미칼";#N/A,#N/A,FALSE,"일석상사"}</definedName>
    <definedName name="양행" hidden="1">{#N/A,#N/A,FALSE,"범우구미";#N/A,#N/A,FALSE,"세한케미칼";#N/A,#N/A,FALSE,"세명화학";#N/A,#N/A,FALSE,"신영케미칼";#N/A,#N/A,FALSE,"일석상사"}</definedName>
    <definedName name="양호">#REF!</definedName>
    <definedName name="어" localSheetId="2" hidden="1">{"'매출이익'!$A$24:$K$45"}</definedName>
    <definedName name="어" hidden="1">{"'매출이익'!$A$24:$K$45"}</definedName>
    <definedName name="어떻하지" hidden="1">#REF!</definedName>
    <definedName name="어랑" localSheetId="2" hidden="1">{#N/A,#N/A,FALSE,"BS";#N/A,#N/A,FALSE,"PL";#N/A,#N/A,FALSE,"처분";#N/A,#N/A,FALSE,"현금";#N/A,#N/A,FALSE,"매출";#N/A,#N/A,FALSE,"원가";#N/A,#N/A,FALSE,"경영"}</definedName>
    <definedName name="어랑" hidden="1">{#N/A,#N/A,FALSE,"BS";#N/A,#N/A,FALSE,"PL";#N/A,#N/A,FALSE,"처분";#N/A,#N/A,FALSE,"현금";#N/A,#N/A,FALSE,"매출";#N/A,#N/A,FALSE,"원가";#N/A,#N/A,FALSE,"경영"}</definedName>
    <definedName name="어뱌">BlankMacro1</definedName>
    <definedName name="어서">#N/A</definedName>
    <definedName name="어스앙카">#REF!</definedName>
    <definedName name="어어" localSheetId="2" hidden="1">{#N/A,#N/A,FALSE,"1.CRITERIA";#N/A,#N/A,FALSE,"2.IS";#N/A,#N/A,FALSE,"3.BS";#N/A,#N/A,FALSE,"4.PER PL";#N/A,#N/A,FALSE,"5.INVESTMENT";#N/A,#N/A,FALSE,"6.공문";#N/A,#N/A,FALSE,"7.netinvest"}</definedName>
    <definedName name="어어" hidden="1">{#N/A,#N/A,FALSE,"1.CRITERIA";#N/A,#N/A,FALSE,"2.IS";#N/A,#N/A,FALSE,"3.BS";#N/A,#N/A,FALSE,"4.PER PL";#N/A,#N/A,FALSE,"5.INVESTMENT";#N/A,#N/A,FALSE,"6.공문";#N/A,#N/A,FALSE,"7.netinvest"}</definedName>
    <definedName name="어엉">BlankMacro1</definedName>
    <definedName name="어음" hidden="1">#REF!</definedName>
    <definedName name="어음수표" localSheetId="2" hidden="1">{#N/A,#N/A,FALSE,"1.CRITERIA";#N/A,#N/A,FALSE,"2.IS";#N/A,#N/A,FALSE,"3.BS";#N/A,#N/A,FALSE,"4.PER PL";#N/A,#N/A,FALSE,"5.INVESTMENT";#N/A,#N/A,FALSE,"6.공문";#N/A,#N/A,FALSE,"7.netinvest"}</definedName>
    <definedName name="어음수표" hidden="1">{#N/A,#N/A,FALSE,"1.CRITERIA";#N/A,#N/A,FALSE,"2.IS";#N/A,#N/A,FALSE,"3.BS";#N/A,#N/A,FALSE,"4.PER PL";#N/A,#N/A,FALSE,"5.INVESTMENT";#N/A,#N/A,FALSE,"6.공문";#N/A,#N/A,FALSE,"7.netinvest"}</definedName>
    <definedName name="어쩌라구" localSheetId="2" hidden="1">{#N/A,#N/A,FALSE,"Aging Summary";#N/A,#N/A,FALSE,"Ratio Analysis";#N/A,#N/A,FALSE,"Test 120 Day Accts";#N/A,#N/A,FALSE,"Tickmarks"}</definedName>
    <definedName name="어쩌라구" hidden="1">{#N/A,#N/A,FALSE,"Aging Summary";#N/A,#N/A,FALSE,"Ratio Analysis";#N/A,#N/A,FALSE,"Test 120 Day Accts";#N/A,#N/A,FALSE,"Tickmarks"}</definedName>
    <definedName name="어쩌라구_1" localSheetId="2" hidden="1">{#N/A,#N/A,FALSE,"Aging Summary";#N/A,#N/A,FALSE,"Ratio Analysis";#N/A,#N/A,FALSE,"Test 120 Day Accts";#N/A,#N/A,FALSE,"Tickmarks"}</definedName>
    <definedName name="어쩌라구_1" hidden="1">{#N/A,#N/A,FALSE,"Aging Summary";#N/A,#N/A,FALSE,"Ratio Analysis";#N/A,#N/A,FALSE,"Test 120 Day Accts";#N/A,#N/A,FALSE,"Tickmarks"}</definedName>
    <definedName name="어학">#REF!</definedName>
    <definedName name="어허ㅑㅂ">BlankMacro1</definedName>
    <definedName name="어호" localSheetId="2" hidden="1">{#N/A,#N/A,FALSE,"기안지";#N/A,#N/A,FALSE,"통신지"}</definedName>
    <definedName name="어호" hidden="1">{#N/A,#N/A,FALSE,"기안지";#N/A,#N/A,FALSE,"통신지"}</definedName>
    <definedName name="어호ㅚㅏ">BlankMacro1</definedName>
    <definedName name="어ㅑ" localSheetId="2" hidden="1">{#N/A,#N/A,FALSE,"기안지";#N/A,#N/A,FALSE,"통신지"}</definedName>
    <definedName name="어ㅑ" hidden="1">{#N/A,#N/A,FALSE,"기안지";#N/A,#N/A,FALSE,"통신지"}</definedName>
    <definedName name="어ㅑㄷ">BlankMacro1</definedName>
    <definedName name="어ㅑㅑㄷ">BlankMacro1</definedName>
    <definedName name="어ㅑㅑㅑㅑㅁㅂ">BlankMacro1</definedName>
    <definedName name="어ㅓ">BlankMacro1</definedName>
    <definedName name="어ㅓㅏㅇ">BlankMacro1</definedName>
    <definedName name="억">#REF!</definedName>
    <definedName name="언" hidden="1">{#N/A,#N/A,FALSE,"단축1";#N/A,#N/A,FALSE,"단축2";#N/A,#N/A,FALSE,"단축3";#N/A,#N/A,FALSE,"장축";#N/A,#N/A,FALSE,"4WD"}</definedName>
    <definedName name="얼">#REF!</definedName>
    <definedName name="엄" hidden="1">{#N/A,#N/A,TRUE,"경전'96(1)";#N/A,#N/A,TRUE,"경전'96 (2)"}</definedName>
    <definedName name="업_________태">#REF!</definedName>
    <definedName name="업무">#REF!</definedName>
    <definedName name="업무2">#REF!</definedName>
    <definedName name="업무보고">#REF!</definedName>
    <definedName name="업무보고용" hidden="1">{#N/A,#N/A,FALSE,"정공"}</definedName>
    <definedName name="업체" hidden="1">{#N/A,#N/A,FALSE,"단축1";#N/A,#N/A,FALSE,"단축2";#N/A,#N/A,FALSE,"단축3";#N/A,#N/A,FALSE,"장축";#N/A,#N/A,FALSE,"4WD"}</definedName>
    <definedName name="없애버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없애버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없애버림_1" hidden="1">{#N/A,#N/A,FALSE,"손익표지";#N/A,#N/A,FALSE,"손익계산";#N/A,#N/A,FALSE,"일반관리비";#N/A,#N/A,FALSE,"영업외수익";#N/A,#N/A,FALSE,"영업외비용";#N/A,#N/A,FALSE,"매출액";#N/A,#N/A,FALSE,"요약손익";#N/A,#N/A,FALSE,"요약대차";#N/A,#N/A,FALSE,"매출채권현황";#N/A,#N/A,FALSE,"매출채권명세"}</definedName>
    <definedName name="없애자" localSheetId="2" hidden="1">{#N/A,#N/A,FALSE,"Aging Summary";#N/A,#N/A,FALSE,"Ratio Analysis";#N/A,#N/A,FALSE,"Test 120 Day Accts";#N/A,#N/A,FALSE,"Tickmarks"}</definedName>
    <definedName name="없애자" hidden="1">{#N/A,#N/A,FALSE,"Aging Summary";#N/A,#N/A,FALSE,"Ratio Analysis";#N/A,#N/A,FALSE,"Test 120 Day Accts";#N/A,#N/A,FALSE,"Tickmarks"}</definedName>
    <definedName name="엉" hidden="1">{#N/A,#N/A,FALSE,"손익표지";#N/A,#N/A,FALSE,"손익계산";#N/A,#N/A,FALSE,"일반관리비";#N/A,#N/A,FALSE,"영업외수익";#N/A,#N/A,FALSE,"영업외비용";#N/A,#N/A,FALSE,"매출액";#N/A,#N/A,FALSE,"요약손익";#N/A,#N/A,FALSE,"요약대차";#N/A,#N/A,FALSE,"매출채권현황";#N/A,#N/A,FALSE,"매출채권명세"}</definedName>
    <definedName name="엉ㅁ">BlankMacro1</definedName>
    <definedName name="엏" localSheetId="2" hidden="1">{#N/A,#N/A,FALSE,"기안지";#N/A,#N/A,FALSE,"통신지"}</definedName>
    <definedName name="엏" hidden="1">{#N/A,#N/A,FALSE,"기안지";#N/A,#N/A,FALSE,"통신지"}</definedName>
    <definedName name="엏걉">BlankMacro1</definedName>
    <definedName name="에어벤트" hidden="1">{#N/A,#N/A,FALSE,"단축1";#N/A,#N/A,FALSE,"단축2";#N/A,#N/A,FALSE,"단축3";#N/A,#N/A,FALSE,"장축";#N/A,#N/A,FALSE,"4WD"}</definedName>
    <definedName name="에이" hidden="1">{#N/A,#N/A,TRUE,"Y생산";#N/A,#N/A,TRUE,"Y판매";#N/A,#N/A,TRUE,"Y총물량";#N/A,#N/A,TRUE,"Y능력";#N/A,#N/A,TRUE,"YKD"}</definedName>
    <definedName name="에쿠스" hidden="1">{#N/A,#N/A,FALSE,"견적대비-2"}</definedName>
    <definedName name="엔진" hidden="1">{#N/A,#N/A,FALSE,"단축1";#N/A,#N/A,FALSE,"단축2";#N/A,#N/A,FALSE,"단축3";#N/A,#N/A,FALSE,"장축";#N/A,#N/A,FALSE,"4WD"}</definedName>
    <definedName name="엔진표지" hidden="1">{#N/A,#N/A,FALSE,"단축1";#N/A,#N/A,FALSE,"단축2";#N/A,#N/A,FALSE,"단축3";#N/A,#N/A,FALSE,"장축";#N/A,#N/A,FALSE,"4WD"}</definedName>
    <definedName name="엔환율">#REF!</definedName>
    <definedName name="여건22" hidden="1">#REF!</definedName>
    <definedName name="여수" hidden="1">{#N/A,#N/A,FALSE,"손익표지";#N/A,#N/A,FALSE,"손익계산";#N/A,#N/A,FALSE,"일반관리비";#N/A,#N/A,FALSE,"영업외수익";#N/A,#N/A,FALSE,"영업외비용";#N/A,#N/A,FALSE,"매출액";#N/A,#N/A,FALSE,"요약손익";#N/A,#N/A,FALSE,"요약대차";#N/A,#N/A,FALSE,"매출채권현황";#N/A,#N/A,FALSE,"매출채권명세"}</definedName>
    <definedName name="여유비율">#REF!</definedName>
    <definedName name="여의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의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의도_1" hidden="1">{#N/A,#N/A,FALSE,"손익표지";#N/A,#N/A,FALSE,"손익계산";#N/A,#N/A,FALSE,"일반관리비";#N/A,#N/A,FALSE,"영업외수익";#N/A,#N/A,FALSE,"영업외비용";#N/A,#N/A,FALSE,"매출액";#N/A,#N/A,FALSE,"요약손익";#N/A,#N/A,FALSE,"요약대차";#N/A,#N/A,FALSE,"매출채권현황";#N/A,#N/A,FALSE,"매출채권명세"}</definedName>
    <definedName name="여이" localSheetId="2" hidden="1">{#N/A,#N/A,FALSE,"1.CRITERIA";#N/A,#N/A,FALSE,"2.IS";#N/A,#N/A,FALSE,"3.BS";#N/A,#N/A,FALSE,"4.PER PL";#N/A,#N/A,FALSE,"5.INVESTMENT";#N/A,#N/A,FALSE,"6.공문";#N/A,#N/A,FALSE,"7.netinvest"}</definedName>
    <definedName name="여이" hidden="1">{#N/A,#N/A,FALSE,"1.CRITERIA";#N/A,#N/A,FALSE,"2.IS";#N/A,#N/A,FALSE,"3.BS";#N/A,#N/A,FALSE,"4.PER PL";#N/A,#N/A,FALSE,"5.INVESTMENT";#N/A,#N/A,FALSE,"6.공문";#N/A,#N/A,FALSE,"7.netinvest"}</definedName>
    <definedName name="연간예상" localSheetId="2" hidden="1">{#N/A,#N/A,FALSE,"UNIT";#N/A,#N/A,FALSE,"UNIT";#N/A,#N/A,FALSE,"계정"}</definedName>
    <definedName name="연간예상" hidden="1">{#N/A,#N/A,FALSE,"UNIT";#N/A,#N/A,FALSE,"UNIT";#N/A,#N/A,FALSE,"계정"}</definedName>
    <definedName name="연결PL">#REF!</definedName>
    <definedName name="연결정산표2" localSheetId="2" hidden="1">{#N/A,#N/A,FALSE,"Aging Summary";#N/A,#N/A,FALSE,"Ratio Analysis";#N/A,#N/A,FALSE,"Test 120 Day Accts";#N/A,#N/A,FALSE,"Tickmarks"}</definedName>
    <definedName name="연결정산표2" hidden="1">{#N/A,#N/A,FALSE,"Aging Summary";#N/A,#N/A,FALSE,"Ratio Analysis";#N/A,#N/A,FALSE,"Test 120 Day Accts";#N/A,#N/A,FALSE,"Tickmarks"}</definedName>
    <definedName name="연결지분법_Excel_v6_8_1217_연결지분법분개_List">#REF!</definedName>
    <definedName name="연결현금흐름표1">#REF!</definedName>
    <definedName name="연구1" hidden="1">{#N/A,#N/A,TRUE,"경전'96(1)";#N/A,#N/A,TRUE,"경전'96 (2)"}</definedName>
    <definedName name="연구개발" hidden="1">{#N/A,#N/A,TRUE,"경전'96(1)";#N/A,#N/A,TRUE,"경전'96 (2)"}</definedName>
    <definedName name="연구소" hidden="1">{#N/A,#N/A,TRUE,"경전'96(1)";#N/A,#N/A,TRUE,"경전'96 (2)"}</definedName>
    <definedName name="연구소1" hidden="1">{#N/A,#N/A,TRUE,"경전'96(1)";#N/A,#N/A,TRUE,"경전'96 (2)"}</definedName>
    <definedName name="연구소계" localSheetId="2" hidden="1">{"'5국공정'!$A$1:$E$128"}</definedName>
    <definedName name="연구소계" hidden="1">{"'5국공정'!$A$1:$E$128"}</definedName>
    <definedName name="연금보험료">#REF!</definedName>
    <definedName name="연도">#REF!</definedName>
    <definedName name="연도1">#REF!</definedName>
    <definedName name="연도2">#REF!</definedName>
    <definedName name="연도3">#REF!</definedName>
    <definedName name="연도4">#REF!</definedName>
    <definedName name="연도5">#REF!</definedName>
    <definedName name="연료2" hidden="1">{#N/A,#N/A,FALSE,"단축1";#N/A,#N/A,FALSE,"단축2";#N/A,#N/A,FALSE,"단축3";#N/A,#N/A,FALSE,"장축";#N/A,#N/A,FALSE,"4WD"}</definedName>
    <definedName name="연말손익" localSheetId="2" hidden="1">{#N/A,#N/A,FALSE,"UNIT";#N/A,#N/A,FALSE,"UNIT";#N/A,#N/A,FALSE,"계정"}</definedName>
    <definedName name="연말손익" hidden="1">{#N/A,#N/A,FALSE,"UNIT";#N/A,#N/A,FALSE,"UNIT";#N/A,#N/A,FALSE,"계정"}</definedName>
    <definedName name="연습" hidden="1">#REF!</definedName>
    <definedName name="연습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1_1" hidden="1">{#N/A,#N/A,FALSE,"손익표지";#N/A,#N/A,FALSE,"손익계산";#N/A,#N/A,FALSE,"일반관리비";#N/A,#N/A,FALSE,"영업외수익";#N/A,#N/A,FALSE,"영업외비용";#N/A,#N/A,FALSE,"매출액";#N/A,#N/A,FALSE,"요약손익";#N/A,#N/A,FALSE,"요약대차";#N/A,#N/A,FALSE,"매출채권현황";#N/A,#N/A,FALSE,"매출채권명세"}</definedName>
    <definedName name="연습2" hidden="1">#REF!</definedName>
    <definedName name="연습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습3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3_1" hidden="1">{#N/A,#N/A,FALSE,"손익표지";#N/A,#N/A,FALSE,"손익계산";#N/A,#N/A,FALSE,"일반관리비";#N/A,#N/A,FALSE,"영업외수익";#N/A,#N/A,FALSE,"영업외비용";#N/A,#N/A,FALSE,"매출액";#N/A,#N/A,FALSE,"요약손익";#N/A,#N/A,FALSE,"요약대차";#N/A,#N/A,FALSE,"매출채권현황";#N/A,#N/A,FALSE,"매출채권명세"}</definedName>
    <definedName name="연월차">#REF!</definedName>
    <definedName name="연장">#REF!</definedName>
    <definedName name="연주얀" localSheetId="2" hidden="1">{#N/A,#N/A,FALSE,"정공"}</definedName>
    <definedName name="연주얀" hidden="1">{#N/A,#N/A,FALSE,"정공"}</definedName>
    <definedName name="연차" hidden="1">{"'전일자'!$A$5:$N$17"}</definedName>
    <definedName name="연차예" hidden="1">{"'전일자'!$A$5:$N$17"}</definedName>
    <definedName name="연차정산" hidden="1">{"'전일자'!$A$5:$N$17"}</definedName>
    <definedName name="연평균과표계">#REF!</definedName>
    <definedName name="열">#REF!</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열세항목"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처리" localSheetId="2" hidden="1">{#N/A,#N/A,FALSE,"단축1";#N/A,#N/A,FALSE,"단축2";#N/A,#N/A,FALSE,"단축3";#N/A,#N/A,FALSE,"장축";#N/A,#N/A,FALSE,"4WD"}</definedName>
    <definedName name="열처리" hidden="1">{#N/A,#N/A,FALSE,"단축1";#N/A,#N/A,FALSE,"단축2";#N/A,#N/A,FALSE,"단축3";#N/A,#N/A,FALSE,"장축";#N/A,#N/A,FALSE,"4WD"}</definedName>
    <definedName name="영" localSheetId="2" hidden="1">{#N/A,#N/A,FALSE,"1.CRITERIA";#N/A,#N/A,FALSE,"2.IS";#N/A,#N/A,FALSE,"3.BS";#N/A,#N/A,FALSE,"4.PER PL";#N/A,#N/A,FALSE,"5.INVESTMENT";#N/A,#N/A,FALSE,"6.공문";#N/A,#N/A,FALSE,"7.netinvest"}</definedName>
    <definedName name="영" hidden="1">{#N/A,#N/A,FALSE,"1.CRITERIA";#N/A,#N/A,FALSE,"2.IS";#N/A,#N/A,FALSE,"3.BS";#N/A,#N/A,FALSE,"4.PER PL";#N/A,#N/A,FALSE,"5.INVESTMENT";#N/A,#N/A,FALSE,"6.공문";#N/A,#N/A,FALSE,"7.netinvest"}</definedName>
    <definedName name="영2"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복" hidden="1">{#N/A,#N/A,FALSE,"단축1";#N/A,#N/A,FALSE,"단축2";#N/A,#N/A,FALSE,"단축3";#N/A,#N/A,FALSE,"장축";#N/A,#N/A,FALSE,"4WD"}</definedName>
    <definedName name="영산홍">#REF!</definedName>
    <definedName name="영성기업" localSheetId="2" hidden="1">{#N/A,#N/A,FALSE,"범우구미";#N/A,#N/A,FALSE,"세한케미칼";#N/A,#N/A,FALSE,"세명화학";#N/A,#N/A,FALSE,"신영케미칼";#N/A,#N/A,FALSE,"일석상사"}</definedName>
    <definedName name="영성기업" hidden="1">{#N/A,#N/A,FALSE,"범우구미";#N/A,#N/A,FALSE,"세한케미칼";#N/A,#N/A,FALSE,"세명화학";#N/A,#N/A,FALSE,"신영케미칼";#N/A,#N/A,FALSE,"일석상사"}</definedName>
    <definedName name="영어">#REF!</definedName>
    <definedName name="영업" localSheetId="2" hidden="1">{#N/A,#N/A,FALSE,"P.C.B"}</definedName>
    <definedName name="영업" hidden="1">{#N/A,#N/A,FALSE,"P.C.B"}</definedName>
    <definedName name="영업1">#REF!</definedName>
    <definedName name="영업2">#REF!</definedName>
    <definedName name="영업권" localSheetId="2" hidden="1">{#N/A,#N/A,FALSE,"BS";#N/A,#N/A,FALSE,"PL";#N/A,#N/A,FALSE,"처분";#N/A,#N/A,FALSE,"현금";#N/A,#N/A,FALSE,"매출";#N/A,#N/A,FALSE,"원가";#N/A,#N/A,FALSE,"경영"}</definedName>
    <definedName name="영업권" hidden="1">{#N/A,#N/A,FALSE,"BS";#N/A,#N/A,FALSE,"PL";#N/A,#N/A,FALSE,"처분";#N/A,#N/A,FALSE,"현금";#N/A,#N/A,FALSE,"매출";#N/A,#N/A,FALSE,"원가";#N/A,#N/A,FALSE,"경영"}</definedName>
    <definedName name="영업권_1" localSheetId="2" hidden="1">{#N/A,#N/A,FALSE,"BS";#N/A,#N/A,FALSE,"PL";#N/A,#N/A,FALSE,"처분";#N/A,#N/A,FALSE,"현금";#N/A,#N/A,FALSE,"매출";#N/A,#N/A,FALSE,"원가";#N/A,#N/A,FALSE,"경영"}</definedName>
    <definedName name="영업권_1" hidden="1">{#N/A,#N/A,FALSE,"BS";#N/A,#N/A,FALSE,"PL";#N/A,#N/A,FALSE,"처분";#N/A,#N/A,FALSE,"현금";#N/A,#N/A,FALSE,"매출";#N/A,#N/A,FALSE,"원가";#N/A,#N/A,FALSE,"경영"}</definedName>
    <definedName name="영업수" localSheetId="2" hidden="1">{#N/A,#N/A,FALSE,"1.CRITERIA";#N/A,#N/A,FALSE,"2.IS";#N/A,#N/A,FALSE,"3.BS";#N/A,#N/A,FALSE,"4.PER PL";#N/A,#N/A,FALSE,"5.INVESTMENT";#N/A,#N/A,FALSE,"6.공문";#N/A,#N/A,FALSE,"7.netinvest"}</definedName>
    <definedName name="영업수" hidden="1">{#N/A,#N/A,FALSE,"1.CRITERIA";#N/A,#N/A,FALSE,"2.IS";#N/A,#N/A,FALSE,"3.BS";#N/A,#N/A,FALSE,"4.PER PL";#N/A,#N/A,FALSE,"5.INVESTMENT";#N/A,#N/A,FALSE,"6.공문";#N/A,#N/A,FALSE,"7.netinvest"}</definedName>
    <definedName name="영업수익"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외" localSheetId="2" hidden="1">{#N/A,#N/A,FALSE,"1.CRITERIA";#N/A,#N/A,FALSE,"2.IS";#N/A,#N/A,FALSE,"3.BS";#N/A,#N/A,FALSE,"4.PER PL";#N/A,#N/A,FALSE,"5.INVESTMENT";#N/A,#N/A,FALSE,"6.공문";#N/A,#N/A,FALSE,"7.netinvest"}</definedName>
    <definedName name="영업외" hidden="1">{#N/A,#N/A,FALSE,"1.CRITERIA";#N/A,#N/A,FALSE,"2.IS";#N/A,#N/A,FALSE,"3.BS";#N/A,#N/A,FALSE,"4.PER PL";#N/A,#N/A,FALSE,"5.INVESTMENT";#N/A,#N/A,FALSE,"6.공문";#N/A,#N/A,FALSE,"7.netinvest"}</definedName>
    <definedName name="영업외비용" localSheetId="2" hidden="1">{#N/A,#N/A,FALSE,"BS";#N/A,#N/A,FALSE,"PL";#N/A,#N/A,FALSE,"처분";#N/A,#N/A,FALSE,"현금";#N/A,#N/A,FALSE,"매출";#N/A,#N/A,FALSE,"원가";#N/A,#N/A,FALSE,"경영"}</definedName>
    <definedName name="영업외비용" hidden="1">{#N/A,#N/A,FALSE,"BS";#N/A,#N/A,FALSE,"PL";#N/A,#N/A,FALSE,"처분";#N/A,#N/A,FALSE,"현금";#N/A,#N/A,FALSE,"매출";#N/A,#N/A,FALSE,"원가";#N/A,#N/A,FALSE,"경영"}</definedName>
    <definedName name="영업외수" hidden="1">#REF!</definedName>
    <definedName name="영업외수익"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인건배부" localSheetId="2" hidden="1">{#N/A,#N/A,FALSE,"97년 투자계획 세부내역 "}</definedName>
    <definedName name="영업인건배부" hidden="1">{#N/A,#N/A,FALSE,"97년 투자계획 세부내역 "}</definedName>
    <definedName name="영업인건비배부" localSheetId="2" hidden="1">{#N/A,#N/A,FALSE,"97년 투자계획 세부내역 "}</definedName>
    <definedName name="영업인건비배부" hidden="1">{#N/A,#N/A,FALSE,"97년 투자계획 세부내역 "}</definedName>
    <definedName name="영업현금" hidden="1">{#N/A,#N/A,FALSE,"지침";#N/A,#N/A,FALSE,"환경분석";#N/A,#N/A,FALSE,"Sheet16"}</definedName>
    <definedName name="영역">#REF!</definedName>
    <definedName name="영역1">#REF!</definedName>
    <definedName name="영외수">#REF!</definedName>
    <definedName name="옂ㅂ">BlankMacro1</definedName>
    <definedName name="예">#REF!</definedName>
    <definedName name="예1" hidden="1">{#N/A,#N/A,FALSE,"정공"}</definedName>
    <definedName name="예2" hidden="1">{#N/A,#N/A,FALSE,"정공"}</definedName>
    <definedName name="예3" hidden="1">{#N/A,#N/A,FALSE,"정공"}</definedName>
    <definedName name="預り保証金" localSheetId="2" hidden="1">{"'買掛金'!$J$6"}</definedName>
    <definedName name="預り保証金" hidden="1">{"'買掛金'!$J$6"}</definedName>
    <definedName name="예광" localSheetId="2" hidden="1">{#N/A,#N/A,FALSE,"UNIT";#N/A,#N/A,FALSE,"UNIT";#N/A,#N/A,FALSE,"계정"}</definedName>
    <definedName name="예광" hidden="1">{#N/A,#N/A,FALSE,"UNIT";#N/A,#N/A,FALSE,"UNIT";#N/A,#N/A,FALSE,"계정"}</definedName>
    <definedName name="예금" localSheetId="2"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비분석">#REF!</definedName>
    <definedName name="예산">BlankMacro1</definedName>
    <definedName name="예산세부내역" localSheetId="2" hidden="1">{"'Jibu9811 (3)'!$B$1:$J$433"}</definedName>
    <definedName name="예산세부내역" hidden="1">{"'Jibu9811 (3)'!$B$1:$J$433"}</definedName>
    <definedName name="예산이원화포함" hidden="1">{#N/A,#N/A,FALSE,"단축1";#N/A,#N/A,FALSE,"단축2";#N/A,#N/A,FALSE,"단축3";#N/A,#N/A,FALSE,"장축";#N/A,#N/A,FALSE,"4WD"}</definedName>
    <definedName name="예산현황">#REF!</definedName>
    <definedName name="예산현황표">#REF!</definedName>
    <definedName name="예상내역" localSheetId="2" hidden="1">{#N/A,#N/A,FALSE,"생산성";#N/A,#N/A,FALSE,"인력1";#N/A,#N/A,FALSE,"인력2";#N/A,#N/A,FALSE,"인력3";#N/A,#N/A,FALSE,"인건1";#N/A,#N/A,FALSE,"인건2";#N/A,#N/A,FALSE,"인건3";#N/A,#N/A,FALSE,"인원증감";#N/A,#N/A,FALSE,"인건증감";#N/A,#N/A,FALSE,"표지등"}</definedName>
    <definedName name="예상내역" hidden="1">{#N/A,#N/A,FALSE,"생산성";#N/A,#N/A,FALSE,"인력1";#N/A,#N/A,FALSE,"인력2";#N/A,#N/A,FALSE,"인력3";#N/A,#N/A,FALSE,"인건1";#N/A,#N/A,FALSE,"인건2";#N/A,#N/A,FALSE,"인건3";#N/A,#N/A,FALSE,"인원증감";#N/A,#N/A,FALSE,"인건증감";#N/A,#N/A,FALSE,"표지등"}</definedName>
    <definedName name="예수금">#REF!</definedName>
    <definedName name="예수금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2"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실대비_Duplicated" hidden="1">#REF!</definedName>
    <definedName name="예적금미수수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hidden="1">{#N/A,#N/A,FALSE,"손익표지";#N/A,#N/A,FALSE,"손익계산";#N/A,#N/A,FALSE,"일반관리비";#N/A,#N/A,FALSE,"영업외수익";#N/A,#N/A,FALSE,"영업외비용";#N/A,#N/A,FALSE,"매출액";#N/A,#N/A,FALSE,"요약손익";#N/A,#N/A,FALSE,"요약대차";#N/A,#N/A,FALSE,"매출채권현황";#N/A,#N/A,FALSE,"매출채권명세"}</definedName>
    <definedName name="예절">#REF!</definedName>
    <definedName name="예정가">#REF!</definedName>
    <definedName name="예치보증금">{"'분양원가'!$B$1:$F$113"}</definedName>
    <definedName name="옛날세율89">#REF!</definedName>
    <definedName name="옛날세율91">#REF!</definedName>
    <definedName name="옛날세율93">#REF!</definedName>
    <definedName name="오" localSheetId="2" hidden="1">{#N/A,#N/A,FALSE,"UNIT";#N/A,#N/A,FALSE,"UNIT";#N/A,#N/A,FALSE,"계정"}</definedName>
    <definedName name="오" hidden="1">{#N/A,#N/A,FALSE,"UNIT";#N/A,#N/A,FALSE,"UNIT";#N/A,#N/A,FALSE,"계정"}</definedName>
    <definedName name="오." localSheetId="2" hidden="1">{#N/A,#N/A,FALSE,"UNIT";#N/A,#N/A,FALSE,"UNIT";#N/A,#N/A,FALSE,"계정"}</definedName>
    <definedName name="오." hidden="1">{#N/A,#N/A,FALSE,"UNIT";#N/A,#N/A,FALSE,"UNIT";#N/A,#N/A,FALSE,"계정"}</definedName>
    <definedName name="오.." localSheetId="2" hidden="1">{#N/A,#N/A,FALSE,"UNIT";#N/A,#N/A,FALSE,"UNIT";#N/A,#N/A,FALSE,"계정"}</definedName>
    <definedName name="오.." hidden="1">{#N/A,#N/A,FALSE,"UNIT";#N/A,#N/A,FALSE,"UNIT";#N/A,#N/A,FALSE,"계정"}</definedName>
    <definedName name="오빠" localSheetId="2" hidden="1">{"'Jibu9811 (3)'!$B$1:$J$433"}</definedName>
    <definedName name="오빠" hidden="1">{"'Jibu9811 (3)'!$B$1:$J$433"}</definedName>
    <definedName name="오서방" localSheetId="2" hidden="1">{#N/A,#N/A,FALSE,"97년 투자계획 세부내역 "}</definedName>
    <definedName name="오서방" hidden="1">{#N/A,#N/A,FALSE,"97년 투자계획 세부내역 "}</definedName>
    <definedName name="오성협" localSheetId="2" hidden="1">{#N/A,#N/A,TRUE,"Y생산";#N/A,#N/A,TRUE,"Y판매";#N/A,#N/A,TRUE,"Y총물량";#N/A,#N/A,TRUE,"Y능력";#N/A,#N/A,TRUE,"YKD"}</definedName>
    <definedName name="오성협" hidden="1">{#N/A,#N/A,TRUE,"Y생산";#N/A,#N/A,TRUE,"Y판매";#N/A,#N/A,TRUE,"Y총물량";#N/A,#N/A,TRUE,"Y능력";#N/A,#N/A,TRUE,"YKD"}</definedName>
    <definedName name="오세범" localSheetId="2" hidden="1">{#N/A,#N/A,FALSE,"97년 투자계획 세부내역 "}</definedName>
    <definedName name="오세범" hidden="1">{#N/A,#N/A,FALSE,"97년 투자계획 세부내역 "}</definedName>
    <definedName name="오세범1" localSheetId="2" hidden="1">{#N/A,#N/A,FALSE,"97년 투자계획 세부내역 "}</definedName>
    <definedName name="오세범1" hidden="1">{#N/A,#N/A,FALSE,"97년 투자계획 세부내역 "}</definedName>
    <definedName name="오세범2" localSheetId="2" hidden="1">{#N/A,#N/A,FALSE,"97년 투자계획 세부내역 "}</definedName>
    <definedName name="오세범2" hidden="1">{#N/A,#N/A,FALSE,"97년 투자계획 세부내역 "}</definedName>
    <definedName name="오세범3" localSheetId="2" hidden="1">{#N/A,#N/A,FALSE,"97년 투자계획 세부내역 "}</definedName>
    <definedName name="오세범3" hidden="1">{#N/A,#N/A,FALSE,"97년 투자계획 세부내역 "}</definedName>
    <definedName name="오수토공" localSheetId="2" hidden="1">{#N/A,#N/A,FALSE,"기안지";#N/A,#N/A,FALSE,"통신지"}</definedName>
    <definedName name="오수토공" hidden="1">{#N/A,#N/A,FALSE,"기안지";#N/A,#N/A,FALSE,"통신지"}</definedName>
    <definedName name="오옹" hidden="1">{#N/A,#N/A,FALSE,"손익표지";#N/A,#N/A,FALSE,"손익계산";#N/A,#N/A,FALSE,"일반관리비";#N/A,#N/A,FALSE,"영업외수익";#N/A,#N/A,FALSE,"영업외비용";#N/A,#N/A,FALSE,"매출액";#N/A,#N/A,FALSE,"요약손익";#N/A,#N/A,FALSE,"요약대차";#N/A,#N/A,FALSE,"매출채권현황";#N/A,#N/A,FALSE,"매출채권명세"}</definedName>
    <definedName name="옥외공사" hidden="1">{#N/A,#N/A,FALSE,"이태원철근"}</definedName>
    <definedName name="옥외대비" hidden="1">{#N/A,#N/A,FALSE,"이태원철근"}</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옹벽">#REF!</definedName>
    <definedName name="옹벽면적">#REF!</definedName>
    <definedName name="옹벽연장">#REF!</definedName>
    <definedName name="와와" hidden="1">{#N/A,#N/A,FALSE,"손익표지";#N/A,#N/A,FALSE,"손익계산";#N/A,#N/A,FALSE,"일반관리비";#N/A,#N/A,FALSE,"영업외수익";#N/A,#N/A,FALSE,"영업외비용";#N/A,#N/A,FALSE,"매출액";#N/A,#N/A,FALSE,"요약손익";#N/A,#N/A,FALSE,"요약대차";#N/A,#N/A,FALSE,"매출채권현황";#N/A,#N/A,FALSE,"매출채권명세"}</definedName>
    <definedName name="완료예정일자1">#REF!</definedName>
    <definedName name="완료예정일자2">#REF!</definedName>
    <definedName name="완성"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상가">#REF!</definedName>
    <definedName name="완성주택">#REF!</definedName>
    <definedName name="완성차물류비" localSheetId="2" hidden="1">{#N/A,#N/A,FALSE,"인원";#N/A,#N/A,FALSE,"비용2";#N/A,#N/A,FALSE,"비용1";#N/A,#N/A,FALSE,"비용";#N/A,#N/A,FALSE,"보증2";#N/A,#N/A,FALSE,"보증1";#N/A,#N/A,FALSE,"보증";#N/A,#N/A,FALSE,"손익1";#N/A,#N/A,FALSE,"손익";#N/A,#N/A,FALSE,"부서별매출";#N/A,#N/A,FALSE,"매출"}</definedName>
    <definedName name="완성차물류비" hidden="1">{#N/A,#N/A,FALSE,"인원";#N/A,#N/A,FALSE,"비용2";#N/A,#N/A,FALSE,"비용1";#N/A,#N/A,FALSE,"비용";#N/A,#N/A,FALSE,"보증2";#N/A,#N/A,FALSE,"보증1";#N/A,#N/A,FALSE,"보증";#N/A,#N/A,FALSE,"손익1";#N/A,#N/A,FALSE,"손익";#N/A,#N/A,FALSE,"부서별매출";#N/A,#N/A,FALSE,"매출"}</definedName>
    <definedName name="완제품" localSheetId="2" hidden="1">{#N/A,#N/A,FALSE,"1.CRITERIA";#N/A,#N/A,FALSE,"2.IS";#N/A,#N/A,FALSE,"3.BS";#N/A,#N/A,FALSE,"4.PER PL";#N/A,#N/A,FALSE,"5.INVESTMENT";#N/A,#N/A,FALSE,"6.공문";#N/A,#N/A,FALSE,"7.netinvest"}</definedName>
    <definedName name="완제품" hidden="1">{#N/A,#N/A,FALSE,"1.CRITERIA";#N/A,#N/A,FALSE,"2.IS";#N/A,#N/A,FALSE,"3.BS";#N/A,#N/A,FALSE,"4.PER PL";#N/A,#N/A,FALSE,"5.INVESTMENT";#N/A,#N/A,FALSE,"6.공문";#N/A,#N/A,FALSE,"7.netinvest"}</definedName>
    <definedName name="완제품제조원가">#REF!</definedName>
    <definedName name="왕벚나무">#REF!</definedName>
    <definedName name="왜냐규" hidden="1">{#N/A,#N/A,FALSE,"손익표지";#N/A,#N/A,FALSE,"손익계산";#N/A,#N/A,FALSE,"일반관리비";#N/A,#N/A,FALSE,"영업외수익";#N/A,#N/A,FALSE,"영업외비용";#N/A,#N/A,FALSE,"매출액";#N/A,#N/A,FALSE,"요약손익";#N/A,#N/A,FALSE,"요약대차";#N/A,#N/A,FALSE,"매출채권현황";#N/A,#N/A,FALSE,"매출채권명세"}</definedName>
    <definedName name="왜성도라지">#REF!</definedName>
    <definedName name="왜이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_1" hidden="1">{#N/A,#N/A,FALSE,"손익표지";#N/A,#N/A,FALSE,"손익계산";#N/A,#N/A,FALSE,"일반관리비";#N/A,#N/A,FALSE,"영업외수익";#N/A,#N/A,FALSE,"영업외비용";#N/A,#N/A,FALSE,"매출액";#N/A,#N/A,FALSE,"요약손익";#N/A,#N/A,FALSE,"요약대차";#N/A,#N/A,FALSE,"매출채권현황";#N/A,#N/A,FALSE,"매출채권명세"}</definedName>
    <definedName name="왜이러지" localSheetId="2" hidden="1">{#N/A,#N/A,FALSE,"BS";#N/A,#N/A,FALSE,"PL";#N/A,#N/A,FALSE,"처분";#N/A,#N/A,FALSE,"현금";#N/A,#N/A,FALSE,"매출";#N/A,#N/A,FALSE,"원가";#N/A,#N/A,FALSE,"경영"}</definedName>
    <definedName name="왜이러지" hidden="1">{#N/A,#N/A,FALSE,"BS";#N/A,#N/A,FALSE,"PL";#N/A,#N/A,FALSE,"처분";#N/A,#N/A,FALSE,"현금";#N/A,#N/A,FALSE,"매출";#N/A,#N/A,FALSE,"원가";#N/A,#N/A,FALSE,"경영"}</definedName>
    <definedName name="왜이러지_1" localSheetId="2" hidden="1">{#N/A,#N/A,FALSE,"BS";#N/A,#N/A,FALSE,"PL";#N/A,#N/A,FALSE,"처분";#N/A,#N/A,FALSE,"현금";#N/A,#N/A,FALSE,"매출";#N/A,#N/A,FALSE,"원가";#N/A,#N/A,FALSE,"경영"}</definedName>
    <definedName name="왜이러지_1" hidden="1">{#N/A,#N/A,FALSE,"BS";#N/A,#N/A,FALSE,"PL";#N/A,#N/A,FALSE,"처분";#N/A,#N/A,FALSE,"현금";#N/A,#N/A,FALSE,"매출";#N/A,#N/A,FALSE,"원가";#N/A,#N/A,FALSE,"경영"}</definedName>
    <definedName name="외국">#REF!</definedName>
    <definedName name="외국인급여">#REF!</definedName>
    <definedName name="외벽">#REF!</definedName>
    <definedName name="외부소음영향" hidden="1">{#N/A,#N/A,FALSE,"단축1";#N/A,#N/A,FALSE,"단축2";#N/A,#N/A,FALSE,"단축3";#N/A,#N/A,FALSE,"장축";#N/A,#N/A,FALSE,"4WD"}</definedName>
    <definedName name="외상" hidden="1">#REF!</definedName>
    <definedName name="외상매입">#REF!</definedName>
    <definedName name="외상매입금">#REF!</definedName>
    <definedName name="외상매출금">#REF!</definedName>
    <definedName name="외상매출금2" localSheetId="2" hidden="1">{#N/A,#N/A,FALSE,"BS";#N/A,#N/A,FALSE,"PL";#N/A,#N/A,FALSE,"A";#N/A,#N/A,FALSE,"B";#N/A,#N/A,FALSE,"B1";#N/A,#N/A,FALSE,"C";#N/A,#N/A,FALSE,"C1";#N/A,#N/A,FALSE,"C2";#N/A,#N/A,FALSE,"D";#N/A,#N/A,FALSE,"E";#N/A,#N/A,FALSE,"F";#N/A,#N/A,FALSE,"AA";#N/A,#N/A,FALSE,"BB";#N/A,#N/A,FALSE,"CC";#N/A,#N/A,FALSE,"DD";#N/A,#N/A,FALSE,"EE";#N/A,#N/A,FALSE,"FF";#N/A,#N/A,FALSE,"PL10";#N/A,#N/A,FALSE,"PL20";#N/A,#N/A,FALSE,"PL30"}</definedName>
    <definedName name="외상매출금2" hidden="1">{#N/A,#N/A,FALSE,"BS";#N/A,#N/A,FALSE,"PL";#N/A,#N/A,FALSE,"A";#N/A,#N/A,FALSE,"B";#N/A,#N/A,FALSE,"B1";#N/A,#N/A,FALSE,"C";#N/A,#N/A,FALSE,"C1";#N/A,#N/A,FALSE,"C2";#N/A,#N/A,FALSE,"D";#N/A,#N/A,FALSE,"E";#N/A,#N/A,FALSE,"F";#N/A,#N/A,FALSE,"AA";#N/A,#N/A,FALSE,"BB";#N/A,#N/A,FALSE,"CC";#N/A,#N/A,FALSE,"DD";#N/A,#N/A,FALSE,"EE";#N/A,#N/A,FALSE,"FF";#N/A,#N/A,FALSE,"PL10";#N/A,#N/A,FALSE,"PL20";#N/A,#N/A,FALSE,"PL30"}</definedName>
    <definedName name="외예금" localSheetId="2" hidden="1">{#N/A,#N/A,FALSE,"1.CRITERIA";#N/A,#N/A,FALSE,"2.IS";#N/A,#N/A,FALSE,"3.BS";#N/A,#N/A,FALSE,"4.PER PL";#N/A,#N/A,FALSE,"5.INVESTMENT";#N/A,#N/A,FALSE,"6.공문";#N/A,#N/A,FALSE,"7.netinvest"}</definedName>
    <definedName name="외예금" hidden="1">{#N/A,#N/A,FALSE,"1.CRITERIA";#N/A,#N/A,FALSE,"2.IS";#N/A,#N/A,FALSE,"3.BS";#N/A,#N/A,FALSE,"4.PER PL";#N/A,#N/A,FALSE,"5.INVESTMENT";#N/A,#N/A,FALSE,"6.공문";#N/A,#N/A,FALSE,"7.netinvest"}</definedName>
    <definedName name="외주계획" hidden="1">{#N/A,#N/A,TRUE,"Y생산";#N/A,#N/A,TRUE,"Y판매";#N/A,#N/A,TRUE,"Y총물량";#N/A,#N/A,TRUE,"Y능력";#N/A,#N/A,TRUE,"YKD"}</definedName>
    <definedName name="외주공과잡비">#REF!</definedName>
    <definedName name="외화"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실제">#REF!</definedName>
    <definedName name="외화외상" localSheetId="2" hidden="1">{#N/A,#N/A,FALSE,"Aging Summary";#N/A,#N/A,FALSE,"Ratio Analysis";#N/A,#N/A,FALSE,"Test 120 Day Accts";#N/A,#N/A,FALSE,"Tickmarks"}</definedName>
    <definedName name="외화외상" hidden="1">{#N/A,#N/A,FALSE,"Aging Summary";#N/A,#N/A,FALSE,"Ratio Analysis";#N/A,#N/A,FALSE,"Test 120 Day Accts";#N/A,#N/A,FALSE,"Tickmarks"}</definedName>
    <definedName name="외화외상매입금" localSheetId="2" hidden="1">{#N/A,#N/A,FALSE,"Aging Summary";#N/A,#N/A,FALSE,"Ratio Analysis";#N/A,#N/A,FALSE,"Test 120 Day Accts";#N/A,#N/A,FALSE,"Tickmarks"}</definedName>
    <definedName name="외화외상매입금" hidden="1">{#N/A,#N/A,FALSE,"Aging Summary";#N/A,#N/A,FALSE,"Ratio Analysis";#N/A,#N/A,FALSE,"Test 120 Day Accts";#N/A,#N/A,FALSE,"Tickmarks"}</definedName>
    <definedName name="외화외상매출">#REF!</definedName>
    <definedName name="외화장기DATA">#REF!</definedName>
    <definedName name="외화평가">#REF!</definedName>
    <definedName name="외화환차" hidden="1">{#N/A,#N/A,FALSE,"정공"}</definedName>
    <definedName name="외화환차1" hidden="1">{#N/A,#N/A,FALSE,"정공"}</definedName>
    <definedName name="요" localSheetId="2" hidden="1">{#N/A,#N/A,FALSE,"1.CRITERIA";#N/A,#N/A,FALSE,"2.IS";#N/A,#N/A,FALSE,"3.BS";#N/A,#N/A,FALSE,"4.PER PL";#N/A,#N/A,FALSE,"5.INVESTMENT";#N/A,#N/A,FALSE,"6.공문";#N/A,#N/A,FALSE,"7.netinvest"}</definedName>
    <definedName name="요" hidden="1">{#N/A,#N/A,FALSE,"1.CRITERIA";#N/A,#N/A,FALSE,"2.IS";#N/A,#N/A,FALSE,"3.BS";#N/A,#N/A,FALSE,"4.PER PL";#N/A,#N/A,FALSE,"5.INVESTMENT";#N/A,#N/A,FALSE,"6.공문";#N/A,#N/A,FALSE,"7.netinvest"}</definedName>
    <definedName name="요구사항" hidden="1">{#N/A,#N/A,FALSE,"단축1";#N/A,#N/A,FALSE,"단축2";#N/A,#N/A,FALSE,"단축3";#N/A,#N/A,FALSE,"장축";#N/A,#N/A,FALSE,"4WD"}</definedName>
    <definedName name="요섟언">#N/A</definedName>
    <definedName name="요약" localSheetId="2" hidden="1">{#N/A,#N/A,FALSE,"정공"}</definedName>
    <definedName name="요약" hidden="1">{#N/A,#N/A,FALSE,"정공"}</definedName>
    <definedName name="요약." localSheetId="2" hidden="1">{"'매출이익'!$A$24:$K$45"}</definedName>
    <definedName name="요약." hidden="1">{"'매출이익'!$A$24:$K$45"}</definedName>
    <definedName name="요약1차">#REF!,#REF!</definedName>
    <definedName name="요약2차">#REF!,#REF!</definedName>
    <definedName name="요약3" localSheetId="2" hidden="1">{#N/A,#N/A,FALSE,"정공"}</definedName>
    <definedName name="요약3" hidden="1">{#N/A,#N/A,FALSE,"정공"}</definedName>
    <definedName name="요약4" localSheetId="2" hidden="1">{"'매출이익'!$A$24:$K$45"}</definedName>
    <definedName name="요약4" hidden="1">{"'매출이익'!$A$24:$K$45"}</definedName>
    <definedName name="요약5" localSheetId="2" hidden="1">{"'매출이익'!$A$24:$K$45"}</definedName>
    <definedName name="요약5" hidden="1">{"'매출이익'!$A$24:$K$45"}</definedName>
    <definedName name="요약총괄" hidden="1">{#N/A,#N/A,FALSE,"정공"}</definedName>
    <definedName name="요율">#REF!</definedName>
    <definedName name="요율인쇄">#REF!</definedName>
    <definedName name="요인비교차종1" hidden="1">{#N/A,#N/A,FALSE,"단축1";#N/A,#N/A,FALSE,"단축2";#N/A,#N/A,FALSE,"단축3";#N/A,#N/A,FALSE,"장축";#N/A,#N/A,FALSE,"4WD"}</definedName>
    <definedName name="요인비교차종별1" hidden="1">{#N/A,#N/A,FALSE,"단축1";#N/A,#N/A,FALSE,"단축2";#N/A,#N/A,FALSE,"단축3";#N/A,#N/A,FALSE,"장축";#N/A,#N/A,FALSE,"4WD"}</definedName>
    <definedName name="용" localSheetId="2" hidden="1">{#N/A,#N/A,FALSE,"P.C.B"}</definedName>
    <definedName name="용" hidden="1">{#N/A,#N/A,FALSE,"P.C.B"}</definedName>
    <definedName name="용도차" hidden="1">{#N/A,#N/A,FALSE,"단축1";#N/A,#N/A,FALSE,"단축2";#N/A,#N/A,FALSE,"단축3";#N/A,#N/A,FALSE,"장축";#N/A,#N/A,FALSE,"4WD"}</definedName>
    <definedName name="용수로">#REF!</definedName>
    <definedName name="용어" hidden="1">{#N/A,#N/A,FALSE,"손익표지";#N/A,#N/A,FALSE,"손익계산";#N/A,#N/A,FALSE,"일반관리비";#N/A,#N/A,FALSE,"영업외수익";#N/A,#N/A,FALSE,"영업외비용";#N/A,#N/A,FALSE,"매출액";#N/A,#N/A,FALSE,"요약손익";#N/A,#N/A,FALSE,"요약대차";#N/A,#N/A,FALSE,"매출채권현황";#N/A,#N/A,FALSE,"매출채권명세"}</definedName>
    <definedName name="용역">#REF!</definedName>
    <definedName name="용인">#REF!</definedName>
    <definedName name="용접">#REF!</definedName>
    <definedName name="용접공">#REF!</definedName>
    <definedName name="우" hidden="1">{#N/A,#N/A,TRUE,"경전'96(1)";#N/A,#N/A,TRUE,"경전'96 (2)"}</definedName>
    <definedName name="우라" hidden="1">{"'Sheet1'!$A$1:$D$15"}</definedName>
    <definedName name="우리" localSheetId="2" hidden="1">{#N/A,#N/A,FALSE,"인원";#N/A,#N/A,FALSE,"비용2";#N/A,#N/A,FALSE,"비용1";#N/A,#N/A,FALSE,"비용";#N/A,#N/A,FALSE,"보증2";#N/A,#N/A,FALSE,"보증1";#N/A,#N/A,FALSE,"보증";#N/A,#N/A,FALSE,"손익1";#N/A,#N/A,FALSE,"손익";#N/A,#N/A,FALSE,"부서별매출";#N/A,#N/A,FALSE,"매출"}</definedName>
    <definedName name="우리" hidden="1">{#N/A,#N/A,FALSE,"인원";#N/A,#N/A,FALSE,"비용2";#N/A,#N/A,FALSE,"비용1";#N/A,#N/A,FALSE,"비용";#N/A,#N/A,FALSE,"보증2";#N/A,#N/A,FALSE,"보증1";#N/A,#N/A,FALSE,"보증";#N/A,#N/A,FALSE,"손익1";#N/A,#N/A,FALSE,"손익";#N/A,#N/A,FALSE,"부서별매출";#N/A,#N/A,FALSE,"매출"}</definedName>
    <definedName name="우리사주">#REF!</definedName>
    <definedName name="우승" hidden="1">{#N/A,#N/A,FALSE,"손익표지";#N/A,#N/A,FALSE,"손익계산";#N/A,#N/A,FALSE,"일반관리비";#N/A,#N/A,FALSE,"영업외수익";#N/A,#N/A,FALSE,"영업외비용";#N/A,#N/A,FALSE,"매출액";#N/A,#N/A,FALSE,"요약손익";#N/A,#N/A,FALSE,"요약대차";#N/A,#N/A,FALSE,"매출채권현황";#N/A,#N/A,FALSE,"매출채권명세"}</definedName>
    <definedName name="우오수공" hidden="1">{#N/A,#N/A,FALSE,"기안지";#N/A,#N/A,FALSE,"통신지"}</definedName>
    <definedName name="우와" hidden="1">{#N/A,#N/A,FALSE,"손익표지";#N/A,#N/A,FALSE,"손익계산";#N/A,#N/A,FALSE,"일반관리비";#N/A,#N/A,FALSE,"영업외수익";#N/A,#N/A,FALSE,"영업외비용";#N/A,#N/A,FALSE,"매출액";#N/A,#N/A,FALSE,"요약손익";#N/A,#N/A,FALSE,"요약대차";#N/A,#N/A,FALSE,"매출채권현황";#N/A,#N/A,FALSE,"매출채권명세"}</definedName>
    <definedName name="우우웅" hidden="1">{#N/A,#N/A,FALSE,"손익표지";#N/A,#N/A,FALSE,"손익계산";#N/A,#N/A,FALSE,"일반관리비";#N/A,#N/A,FALSE,"영업외수익";#N/A,#N/A,FALSE,"영업외비용";#N/A,#N/A,FALSE,"매출액";#N/A,#N/A,FALSE,"요약손익";#N/A,#N/A,FALSE,"요약대차";#N/A,#N/A,FALSE,"매출채권현황";#N/A,#N/A,FALSE,"매출채권명세"}</definedName>
    <definedName name="운반공">#REF!</definedName>
    <definedName name="운반비9">#N/A</definedName>
    <definedName name="운송">#REF!</definedName>
    <definedName name="운송ㅁ">#REF!</definedName>
    <definedName name="운송명세">#REF!</definedName>
    <definedName name="운어" hidden="1">{#N/A,#N/A,FALSE,"손익표지";#N/A,#N/A,FALSE,"손익계산";#N/A,#N/A,FALSE,"일반관리비";#N/A,#N/A,FALSE,"영업외수익";#N/A,#N/A,FALSE,"영업외비용";#N/A,#N/A,FALSE,"매출액";#N/A,#N/A,FALSE,"요약손익";#N/A,#N/A,FALSE,"요약대차";#N/A,#N/A,FALSE,"매출채권현황";#N/A,#N/A,FALSE,"매출채권명세"}</definedName>
    <definedName name="운영1" hidden="1">{#N/A,#N/A,FALSE,"단축1";#N/A,#N/A,FALSE,"단축2";#N/A,#N/A,FALSE,"단축3";#N/A,#N/A,FALSE,"장축";#N/A,#N/A,FALSE,"4WD"}</definedName>
    <definedName name="운영경비계힉">BlankMacro1</definedName>
    <definedName name="운영방안" hidden="1">{#N/A,#N/A,FALSE,"단축1";#N/A,#N/A,FALSE,"단축2";#N/A,#N/A,FALSE,"단축3";#N/A,#N/A,FALSE,"장축";#N/A,#N/A,FALSE,"4WD"}</definedName>
    <definedName name="운영비증가율">#REF!</definedName>
    <definedName name="운영지표" hidden="1">{#N/A,#N/A,FALSE,"손익표지";#N/A,#N/A,FALSE,"손익계산";#N/A,#N/A,FALSE,"일반관리비";#N/A,#N/A,FALSE,"영업외수익";#N/A,#N/A,FALSE,"영업외비용";#N/A,#N/A,FALSE,"매출액";#N/A,#N/A,FALSE,"요약손익";#N/A,#N/A,FALSE,"요약대차";#N/A,#N/A,FALSE,"매출채권현황";#N/A,#N/A,FALSE,"매출채권명세"}</definedName>
    <definedName name="운영팀2" localSheetId="2" hidden="1">{#N/A,#N/A,TRUE,"Y생산";#N/A,#N/A,TRUE,"Y판매";#N/A,#N/A,TRUE,"Y총물량";#N/A,#N/A,TRUE,"Y능력";#N/A,#N/A,TRUE,"YKD"}</definedName>
    <definedName name="운영팀2" hidden="1">{#N/A,#N/A,TRUE,"Y생산";#N/A,#N/A,TRUE,"Y판매";#N/A,#N/A,TRUE,"Y총물량";#N/A,#N/A,TRUE,"Y능력";#N/A,#N/A,TRUE,"YKD"}</definedName>
    <definedName name="운전">#REF!</definedName>
    <definedName name="운전사">#REF!</definedName>
    <definedName name="운전조">#REF!</definedName>
    <definedName name="울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울산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울산_1" hidden="1">{#N/A,#N/A,FALSE,"손익표지";#N/A,#N/A,FALSE,"손익계산";#N/A,#N/A,FALSE,"일반관리비";#N/A,#N/A,FALSE,"영업외수익";#N/A,#N/A,FALSE,"영업외비용";#N/A,#N/A,FALSE,"매출액";#N/A,#N/A,FALSE,"요약손익";#N/A,#N/A,FALSE,"요약대차";#N/A,#N/A,FALSE,"매출채권현황";#N/A,#N/A,FALSE,"매출채권명세"}</definedName>
    <definedName name="원">#REF!</definedName>
    <definedName name="원가" localSheetId="2" hidden="1">{#N/A,#N/A,FALSE,"1.CRITERIA";#N/A,#N/A,FALSE,"2.IS";#N/A,#N/A,FALSE,"3.BS";#N/A,#N/A,FALSE,"4.PER PL";#N/A,#N/A,FALSE,"5.INVESTMENT";#N/A,#N/A,FALSE,"6.공문";#N/A,#N/A,FALSE,"7.netinvest"}</definedName>
    <definedName name="원가" hidden="1">{#N/A,#N/A,FALSE,"1.CRITERIA";#N/A,#N/A,FALSE,"2.IS";#N/A,#N/A,FALSE,"3.BS";#N/A,#N/A,FALSE,"4.PER PL";#N/A,#N/A,FALSE,"5.INVESTMENT";#N/A,#N/A,FALSE,"6.공문";#N/A,#N/A,FALSE,"7.netinvest"}</definedName>
    <definedName name="원가개선">#REF!</definedName>
    <definedName name="원가관리라" localSheetId="2" hidden="1">{#N/A,#N/A,FALSE,"정공"}</definedName>
    <definedName name="원가관리라" hidden="1">{#N/A,#N/A,FALSE,"정공"}</definedName>
    <definedName name="원가분석" localSheetId="2" hidden="1">{#N/A,#N/A,FALSE,"1.CRITERIA";#N/A,#N/A,FALSE,"2.IS";#N/A,#N/A,FALSE,"3.BS";#N/A,#N/A,FALSE,"4.PER PL";#N/A,#N/A,FALSE,"5.INVESTMENT";#N/A,#N/A,FALSE,"6.공문";#N/A,#N/A,FALSE,"7.netinvest"}</definedName>
    <definedName name="원가분석" hidden="1">{#N/A,#N/A,FALSE,"1.CRITERIA";#N/A,#N/A,FALSE,"2.IS";#N/A,#N/A,FALSE,"3.BS";#N/A,#N/A,FALSE,"4.PER PL";#N/A,#N/A,FALSE,"5.INVESTMENT";#N/A,#N/A,FALSE,"6.공문";#N/A,#N/A,FALSE,"7.netinvest"}</definedName>
    <definedName name="원가적용" localSheetId="2" hidden="1">{#N/A,#N/A,FALSE,"정공"}</definedName>
    <definedName name="원가적용" hidden="1">{#N/A,#N/A,FALSE,"정공"}</definedName>
    <definedName name="원가전표입력">#REF!</definedName>
    <definedName name="원격미정산2000">#REF!</definedName>
    <definedName name="원격정산2000">#REF!</definedName>
    <definedName name="원격투자2000">#REF!</definedName>
    <definedName name="원시">#REF!</definedName>
    <definedName name="원식">#REF!</definedName>
    <definedName name="원식2">#REF!</definedName>
    <definedName name="원재료" localSheetId="2" hidden="1">{#N/A,#N/A,FALSE,"범우구미";#N/A,#N/A,FALSE,"세한케미칼";#N/A,#N/A,FALSE,"세명화학";#N/A,#N/A,FALSE,"신영케미칼";#N/A,#N/A,FALSE,"일석상사"}</definedName>
    <definedName name="원재료" hidden="1">{#N/A,#N/A,FALSE,"범우구미";#N/A,#N/A,FALSE,"세한케미칼";#N/A,#N/A,FALSE,"세명화학";#N/A,#N/A,FALSE,"신영케미칼";#N/A,#N/A,FALSE,"일석상사"}</definedName>
    <definedName name="원재료생산현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hidden="1">{#N/A,#N/A,FALSE,"손익표지";#N/A,#N/A,FALSE,"손익계산";#N/A,#N/A,FALSE,"일반관리비";#N/A,#N/A,FALSE,"영업외수익";#N/A,#N/A,FALSE,"영업외비용";#N/A,#N/A,FALSE,"매출액";#N/A,#N/A,FALSE,"요약손익";#N/A,#N/A,FALSE,"요약대차";#N/A,#N/A,FALSE,"매출채권현황";#N/A,#N/A,FALSE,"매출채권명세"}</definedName>
    <definedName name="원재료수불2">#REF!</definedName>
    <definedName name="원주">#REF!</definedName>
    <definedName name="원천납부8"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 localSheetId="2" hidden="1">{#N/A,#N/A,FALSE,"1.CRITERIA";#N/A,#N/A,FALSE,"2.IS";#N/A,#N/A,FALSE,"3.BS";#N/A,#N/A,FALSE,"4.PER PL";#N/A,#N/A,FALSE,"5.INVESTMENT";#N/A,#N/A,FALSE,"6.공문";#N/A,#N/A,FALSE,"7.netinvest"}</definedName>
    <definedName name="월" hidden="1">{#N/A,#N/A,FALSE,"1.CRITERIA";#N/A,#N/A,FALSE,"2.IS";#N/A,#N/A,FALSE,"3.BS";#N/A,#N/A,FALSE,"4.PER PL";#N/A,#N/A,FALSE,"5.INVESTMENT";#N/A,#N/A,FALSE,"6.공문";#N/A,#N/A,FALSE,"7.netinvest"}</definedName>
    <definedName name="월_01">#REF!,#REF!</definedName>
    <definedName name="월_02">#REF!,#REF!</definedName>
    <definedName name="월_03">#REF!,#REF!</definedName>
    <definedName name="월_04">#REF!,#REF!</definedName>
    <definedName name="월_05">#REF!,#REF!</definedName>
    <definedName name="월_06">#REF!,#REF!</definedName>
    <definedName name="월_07">#REF!,#REF!</definedName>
    <definedName name="월_08">#REF!,#REF!</definedName>
    <definedName name="월_09">#REF!,#REF!</definedName>
    <definedName name="월_10">#REF!,#REF!</definedName>
    <definedName name="월_11">#REF!,#REF!</definedName>
    <definedName name="월_12">#REF!,#REF!</definedName>
    <definedName name="월_13">#REF!,#REF!</definedName>
    <definedName name="월_14">#REF!,#REF!</definedName>
    <definedName name="월_60">#REF!,#REF!</definedName>
    <definedName name="월_판매">#REF!</definedName>
    <definedName name="월드건설" hidden="1">{#N/A,#N/A,FALSE,"이태원철근"}</definedName>
    <definedName name="월말" localSheetId="2" hidden="1">{#N/A,#N/A,FALSE,"1.CRITERIA";#N/A,#N/A,FALSE,"2.IS";#N/A,#N/A,FALSE,"3.BS";#N/A,#N/A,FALSE,"4.PER PL";#N/A,#N/A,FALSE,"5.INVESTMENT";#N/A,#N/A,FALSE,"6.공문";#N/A,#N/A,FALSE,"7.netinvest"}</definedName>
    <definedName name="월말" hidden="1">{#N/A,#N/A,FALSE,"1.CRITERIA";#N/A,#N/A,FALSE,"2.IS";#N/A,#N/A,FALSE,"3.BS";#N/A,#N/A,FALSE,"4.PER PL";#N/A,#N/A,FALSE,"5.INVESTMENT";#N/A,#N/A,FALSE,"6.공문";#N/A,#N/A,FALSE,"7.netinvest"}</definedName>
    <definedName name="월별" localSheetId="2"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매출3" localSheetId="2" hidden="1">{#N/A,#N/A,FALSE,"97년 투자계획 세부내역 "}</definedName>
    <definedName name="월별매출3" hidden="1">{#N/A,#N/A,FALSE,"97년 투자계획 세부내역 "}</definedName>
    <definedName name="월별목" localSheetId="2" hidden="1">{"'Jibu9811 (3)'!$B$1:$J$433"}</definedName>
    <definedName name="월별목" hidden="1">{"'Jibu9811 (3)'!$B$1:$J$433"}</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월별실적" hidden="1">#REF!</definedName>
    <definedName name="월별영업비용" localSheetId="2"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월별원가절감상세" hidden="1">{#N/A,#N/A,FALSE,"정공"}</definedName>
    <definedName name="월산량">#REF!</definedName>
    <definedName name="위병면회소">#REF!</definedName>
    <definedName name="위생">#REF!</definedName>
    <definedName name="위치">#N/A</definedName>
    <definedName name="위치조서">#REF!</definedName>
    <definedName name="윙비트6">#N/A</definedName>
    <definedName name="유" localSheetId="2" hidden="1">{#N/A,#N/A,FALSE,"97년 투자계획 세부내역 "}</definedName>
    <definedName name="유" hidden="1">{#N/A,#N/A,FALSE,"97년 투자계획 세부내역 "}</definedName>
    <definedName name="유가" localSheetId="2" hidden="1">{#N/A,#N/A,FALSE,"BS";#N/A,#N/A,FALSE,"PL";#N/A,#N/A,FALSE,"처분";#N/A,#N/A,FALSE,"현금";#N/A,#N/A,FALSE,"매출";#N/A,#N/A,FALSE,"원가";#N/A,#N/A,FALSE,"경영"}</definedName>
    <definedName name="유가" hidden="1">{#N/A,#N/A,FALSE,"BS";#N/A,#N/A,FALSE,"PL";#N/A,#N/A,FALSE,"처분";#N/A,#N/A,FALSE,"현금";#N/A,#N/A,FALSE,"매출";#N/A,#N/A,FALSE,"원가";#N/A,#N/A,FALSE,"경영"}</definedName>
    <definedName name="유가00">#REF!</definedName>
    <definedName name="유가증권" localSheetId="2" hidden="1">{#N/A,#N/A,FALSE,"Aging Summary";#N/A,#N/A,FALSE,"Ratio Analysis";#N/A,#N/A,FALSE,"Test 120 Day Accts";#N/A,#N/A,FALSE,"Tickmarks"}</definedName>
    <definedName name="유가증권" hidden="1">{#N/A,#N/A,FALSE,"Aging Summary";#N/A,#N/A,FALSE,"Ratio Analysis";#N/A,#N/A,FALSE,"Test 120 Day Accts";#N/A,#N/A,FALSE,"Tickmarks"}</definedName>
    <definedName name="유가증권평가" hidden="1">#REF!</definedName>
    <definedName name="유급휴가" hidden="1">#REF!</definedName>
    <definedName name="유기">#REF!</definedName>
    <definedName name="유동" localSheetId="2" hidden="1">{#N/A,#N/A,FALSE,"BS";#N/A,#N/A,FALSE,"PL";#N/A,#N/A,FALSE,"처분";#N/A,#N/A,FALSE,"현금";#N/A,#N/A,FALSE,"매출";#N/A,#N/A,FALSE,"원가";#N/A,#N/A,FALSE,"경영"}</definedName>
    <definedName name="유동" hidden="1">{#N/A,#N/A,FALSE,"BS";#N/A,#N/A,FALSE,"PL";#N/A,#N/A,FALSE,"처분";#N/A,#N/A,FALSE,"현금";#N/A,#N/A,FALSE,"매출";#N/A,#N/A,FALSE,"원가";#N/A,#N/A,FALSE,"경영"}</definedName>
    <definedName name="유동부채">#REF!</definedName>
    <definedName name="유동부채참조" localSheetId="2" hidden="1">{#N/A,#N/A,FALSE,"채권채무";#N/A,#N/A,FALSE,"control sheet"}</definedName>
    <definedName name="유동부채참조" hidden="1">{#N/A,#N/A,FALSE,"채권채무";#N/A,#N/A,FALSE,"control sheet"}</definedName>
    <definedName name="유동성" hidden="1">#REF!</definedName>
    <definedName name="유동성사채">#REF!</definedName>
    <definedName name="유동성장기부채" localSheetId="2" hidden="1">{#N/A,#N/A,FALSE,"BS";#N/A,#N/A,FALSE,"PL";#N/A,#N/A,FALSE,"처분";#N/A,#N/A,FALSE,"현금";#N/A,#N/A,FALSE,"매출";#N/A,#N/A,FALSE,"원가";#N/A,#N/A,FALSE,"경영"}</definedName>
    <definedName name="유동성장기부채" hidden="1">{#N/A,#N/A,FALSE,"BS";#N/A,#N/A,FALSE,"PL";#N/A,#N/A,FALSE,"처분";#N/A,#N/A,FALSE,"현금";#N/A,#N/A,FALSE,"매출";#N/A,#N/A,FALSE,"원가";#N/A,#N/A,FALSE,"경영"}</definedName>
    <definedName name="유동성장기부채_1" localSheetId="2" hidden="1">{#N/A,#N/A,FALSE,"BS";#N/A,#N/A,FALSE,"PL";#N/A,#N/A,FALSE,"처분";#N/A,#N/A,FALSE,"현금";#N/A,#N/A,FALSE,"매출";#N/A,#N/A,FALSE,"원가";#N/A,#N/A,FALSE,"경영"}</definedName>
    <definedName name="유동성장기부채_1" hidden="1">{#N/A,#N/A,FALSE,"BS";#N/A,#N/A,FALSE,"PL";#N/A,#N/A,FALSE,"처분";#N/A,#N/A,FALSE,"현금";#N/A,#N/A,FALSE,"매출";#N/A,#N/A,FALSE,"원가";#N/A,#N/A,FALSE,"경영"}</definedName>
    <definedName name="유동자산">BlankMacro1</definedName>
    <definedName name="유럽별도" hidden="1">{#N/A,#N/A,FALSE,"단축1";#N/A,#N/A,FALSE,"단축2";#N/A,#N/A,FALSE,"단축3";#N/A,#N/A,FALSE,"장축";#N/A,#N/A,FALSE,"4WD"}</definedName>
    <definedName name="유산" hidden="1">#REF!</definedName>
    <definedName name="유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_1"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승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주_1" hidden="1">{#N/A,#N/A,FALSE,"손익표지";#N/A,#N/A,FALSE,"손익계산";#N/A,#N/A,FALSE,"일반관리비";#N/A,#N/A,FALSE,"영업외수익";#N/A,#N/A,FALSE,"영업외비용";#N/A,#N/A,FALSE,"매출액";#N/A,#N/A,FALSE,"요약손익";#N/A,#N/A,FALSE,"요약대차";#N/A,#N/A,FALSE,"매출채권현황";#N/A,#N/A,FALSE,"매출채권명세"}</definedName>
    <definedName name="유이" localSheetId="2" hidden="1">{#N/A,#N/A,FALSE,"1.CRITERIA";#N/A,#N/A,FALSE,"2.IS";#N/A,#N/A,FALSE,"3.BS";#N/A,#N/A,FALSE,"4.PER PL";#N/A,#N/A,FALSE,"5.INVESTMENT";#N/A,#N/A,FALSE,"6.공문";#N/A,#N/A,FALSE,"7.netinvest"}</definedName>
    <definedName name="유이" hidden="1">{#N/A,#N/A,FALSE,"1.CRITERIA";#N/A,#N/A,FALSE,"2.IS";#N/A,#N/A,FALSE,"3.BS";#N/A,#N/A,FALSE,"4.PER PL";#N/A,#N/A,FALSE,"5.INVESTMENT";#N/A,#N/A,FALSE,"6.공문";#N/A,#N/A,FALSE,"7.netinvest"}</definedName>
    <definedName name="유지니" localSheetId="2" hidden="1">{#N/A,#N/A,FALSE,"97년 투자계획 세부내역 "}</definedName>
    <definedName name="유지니" hidden="1">{#N/A,#N/A,FALSE,"97년 투자계획 세부내역 "}</definedName>
    <definedName name="유지니네" localSheetId="2" hidden="1">{#N/A,#N/A,FALSE,"97년 투자계획 세부내역 "}</definedName>
    <definedName name="유지니네" hidden="1">{#N/A,#N/A,FALSE,"97년 투자계획 세부내역 "}</definedName>
    <definedName name="유지니다" localSheetId="2" hidden="1">{#N/A,#N/A,FALSE,"97년 투자계획 세부내역 "}</definedName>
    <definedName name="유지니다" hidden="1">{#N/A,#N/A,FALSE,"97년 투자계획 세부내역 "}</definedName>
    <definedName name="유치원">#REF!</definedName>
    <definedName name="유형">#REF!</definedName>
    <definedName name="유형고정자산" localSheetId="2" hidden="1">{#N/A,#N/A,FALSE,"9612"}</definedName>
    <definedName name="유형고정자산" hidden="1">{#N/A,#N/A,FALSE,"9612"}</definedName>
    <definedName name="유형무형자산평균">#REF!</definedName>
    <definedName name="유형무형투자자산">#REF!</definedName>
    <definedName name="유형자산" hidden="1">{#N/A,#N/A,FALSE,"BS";#N/A,#N/A,FALSE,"PL";#N/A,#N/A,FALSE,"A";#N/A,#N/A,FALSE,"B";#N/A,#N/A,FALSE,"B1";#N/A,#N/A,FALSE,"C";#N/A,#N/A,FALSE,"C1";#N/A,#N/A,FALSE,"C2";#N/A,#N/A,FALSE,"D";#N/A,#N/A,FALSE,"E";#N/A,#N/A,FALSE,"F";#N/A,#N/A,FALSE,"AA";#N/A,#N/A,FALSE,"BB";#N/A,#N/A,FALSE,"CC";#N/A,#N/A,FALSE,"DD";#N/A,#N/A,FALSE,"EE";#N/A,#N/A,FALSE,"FF";#N/A,#N/A,FALSE,"PL10";#N/A,#N/A,FALSE,"PL20";#N/A,#N/A,FALSE,"PL30"}</definedName>
    <definedName name="유형자산." localSheetId="2" hidden="1">{#N/A,#N/A,FALSE,"채권채무";#N/A,#N/A,FALSE,"control sheet"}</definedName>
    <definedName name="유형자산." hidden="1">{#N/A,#N/A,FALSE,"채권채무";#N/A,#N/A,FALSE,"control sheet"}</definedName>
    <definedName name="유형자산명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재계산" hidden="1">#REF!</definedName>
    <definedName name="유화처분" localSheetId="2" hidden="1">{#N/A,#N/A,FALSE,"매출이익"}</definedName>
    <definedName name="유화처분" hidden="1">{#N/A,#N/A,FALSE,"매출이익"}</definedName>
    <definedName name="유효" localSheetId="2" hidden="1">{#N/A,#N/A,FALSE,"초중조사서식 "}</definedName>
    <definedName name="유효" hidden="1">{#N/A,#N/A,FALSE,"초중조사서식 "}</definedName>
    <definedName name="유휴율95">#REF!</definedName>
    <definedName name="유휴율96">#REF!</definedName>
    <definedName name="유휴율97">#REF!</definedName>
    <definedName name="윤소원" localSheetId="2" hidden="1">{"'Jibu9811 (3)'!$B$1:$J$433"}</definedName>
    <definedName name="윤소원" hidden="1">{"'Jibu9811 (3)'!$B$1:$J$433"}</definedName>
    <definedName name="윤정문" hidden="1">#REF!</definedName>
    <definedName name="율리1총괄표"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은행나무">#REF!</definedName>
    <definedName name="은행조회기준년">#REF!,#REF!,#REF!,#REF!,#REF!,#REF!,#REF!,#REF!,#REF!,#REF!,#REF!,#REF!</definedName>
    <definedName name="은행조회기준월">#REF!,#REF!,#REF!,#REF!,#REF!,#REF!,#REF!,#REF!,#REF!,#REF!,#REF!,#REF!</definedName>
    <definedName name="은행조회기준일">#REF!,#REF!,#REF!,#REF!,#REF!,#REF!,#REF!,#REF!,#REF!,#REF!,#REF!,#REF!</definedName>
    <definedName name="은행조회서번호">#REF!,#REF!,#REF!,#REF!,#REF!,#REF!,#REF!,#REF!,#REF!</definedName>
    <definedName name="은행회사명">#REF!,#REF!,#REF!,#REF!,#REF!,#REF!,#REF!,#REF!,#REF!,#REF!,#REF!,#REF!,#REF!,#REF!,#REF!,#REF!</definedName>
    <definedName name="을지1">#REF!</definedName>
    <definedName name="을태">#REF!</definedName>
    <definedName name="음..">#REF!</definedName>
    <definedName name="음악">#REF!</definedName>
    <definedName name="응암개략산정표">#REF!</definedName>
    <definedName name="응암개략집계표">#REF!</definedName>
    <definedName name="응용연구센타" hidden="1">{#N/A,#N/A,FALSE,"손익표지";#N/A,#N/A,FALSE,"손익계산";#N/A,#N/A,FALSE,"일반관리비";#N/A,#N/A,FALSE,"영업외수익";#N/A,#N/A,FALSE,"영업외비용";#N/A,#N/A,FALSE,"매출액";#N/A,#N/A,FALSE,"요약손익";#N/A,#N/A,FALSE,"요약대차";#N/A,#N/A,FALSE,"매출채권현황";#N/A,#N/A,FALSE,"매출채권명세"}</definedName>
    <definedName name="의" hidden="1">{#N/A,#N/A,TRUE,"경전'96(1)";#N/A,#N/A,TRUE,"경전'96 (2)"}</definedName>
    <definedName name="의정부">#REF!</definedName>
    <definedName name="이" localSheetId="2" hidden="1">{#N/A,#N/A,FALSE,"BS";#N/A,#N/A,FALSE,"PL";#N/A,#N/A,FALSE,"처분";#N/A,#N/A,FALSE,"현금";#N/A,#N/A,FALSE,"매출";#N/A,#N/A,FALSE,"원가";#N/A,#N/A,FALSE,"경영"}</definedName>
    <definedName name="이" hidden="1">{#N/A,#N/A,FALSE,"BS";#N/A,#N/A,FALSE,"PL";#N/A,#N/A,FALSE,"처분";#N/A,#N/A,FALSE,"현금";#N/A,#N/A,FALSE,"매출";#N/A,#N/A,FALSE,"원가";#N/A,#N/A,FALSE,"경영"}</definedName>
    <definedName name="이건형" hidden="1">{#N/A,#N/A,FALSE,"단축1";#N/A,#N/A,FALSE,"단축2";#N/A,#N/A,FALSE,"단축3";#N/A,#N/A,FALSE,"장축";#N/A,#N/A,FALSE,"4WD"}</definedName>
    <definedName name="이겅ㄴ" hidden="1">{#N/A,#N/A,FALSE,"단축1";#N/A,#N/A,FALSE,"단축2";#N/A,#N/A,FALSE,"단축3";#N/A,#N/A,FALSE,"장축";#N/A,#N/A,FALSE,"4WD"}</definedName>
    <definedName name="이공구가설비">#REF!</definedName>
    <definedName name="이공구간접노무비">#REF!</definedName>
    <definedName name="이공구공사원가">#REF!</definedName>
    <definedName name="이공구기타경비">#REF!</definedName>
    <definedName name="이공구산재보험료">#REF!</definedName>
    <definedName name="이공구안전관리비">#REF!</definedName>
    <definedName name="이공구이윤">#REF!</definedName>
    <definedName name="이공구일반관리비">#REF!</definedName>
    <definedName name="이국" hidden="1">{#N/A,#N/A,FALSE,"단축1";#N/A,#N/A,FALSE,"단축2";#N/A,#N/A,FALSE,"단축3";#N/A,#N/A,FALSE,"장축";#N/A,#N/A,FALSE,"4WD"}</definedName>
    <definedName name="이근" hidden="1">{#N/A,#N/A,FALSE,"단축1";#N/A,#N/A,FALSE,"단축2";#N/A,#N/A,FALSE,"단축3";#N/A,#N/A,FALSE,"장축";#N/A,#N/A,FALSE,"4WD"}</definedName>
    <definedName name="이근우" localSheetId="2" hidden="1">{#N/A,#N/A,FALSE,"BS";#N/A,#N/A,FALSE,"PL";#N/A,#N/A,FALSE,"처분";#N/A,#N/A,FALSE,"현금";#N/A,#N/A,FALSE,"매출";#N/A,#N/A,FALSE,"원가";#N/A,#N/A,FALSE,"경영"}</definedName>
    <definedName name="이근우" hidden="1">{#N/A,#N/A,FALSE,"BS";#N/A,#N/A,FALSE,"PL";#N/A,#N/A,FALSE,"처분";#N/A,#N/A,FALSE,"현금";#N/A,#N/A,FALSE,"매출";#N/A,#N/A,FALSE,"원가";#N/A,#N/A,FALSE,"경영"}</definedName>
    <definedName name="이근한" hidden="1">{#N/A,#N/A,FALSE,"단축1";#N/A,#N/A,FALSE,"단축2";#N/A,#N/A,FALSE,"단축3";#N/A,#N/A,FALSE,"장축";#N/A,#N/A,FALSE,"4WD"}</definedName>
    <definedName name="이동" localSheetId="2" hidden="1">{#N/A,#N/A,FALSE,"을지 (4)";#N/A,#N/A,FALSE,"을지 (5)";#N/A,#N/A,FALSE,"을지 (6)"}</definedName>
    <definedName name="이동" hidden="1">{#N/A,#N/A,FALSE,"을지 (4)";#N/A,#N/A,FALSE,"을지 (5)";#N/A,#N/A,FALSE,"을지 (6)"}</definedName>
    <definedName name="이란" hidden="1">{#N/A,#N/A,FALSE,"단축1";#N/A,#N/A,FALSE,"단축2";#N/A,#N/A,FALSE,"단축3";#N/A,#N/A,FALSE,"장축";#N/A,#N/A,FALSE,"4WD"}</definedName>
    <definedName name="이런" localSheetId="2" hidden="1">{"'보고양식'!$A$58:$K$111"}</definedName>
    <definedName name="이런" hidden="1">{"'보고양식'!$A$58:$K$111"}</definedName>
    <definedName name="이렇게" hidden="1">{#N/A,#N/A,FALSE,"손익표지";#N/A,#N/A,FALSE,"손익계산";#N/A,#N/A,FALSE,"일반관리비";#N/A,#N/A,FALSE,"영업외수익";#N/A,#N/A,FALSE,"영업외비용";#N/A,#N/A,FALSE,"매출액";#N/A,#N/A,FALSE,"요약손익";#N/A,#N/A,FALSE,"요약대차";#N/A,#N/A,FALSE,"매출채권현황";#N/A,#N/A,FALSE,"매출채권명세"}</definedName>
    <definedName name="이름">#REF!</definedName>
    <definedName name="이름변경">#REF!</definedName>
    <definedName name="이름충돌" localSheetId="2" hidden="1">{#N/A,#N/A,FALSE,"UNIT";#N/A,#N/A,FALSE,"UNIT";#N/A,#N/A,FALSE,"계정"}</definedName>
    <definedName name="이름충돌" hidden="1">{#N/A,#N/A,FALSE,"UNIT";#N/A,#N/A,FALSE,"UNIT";#N/A,#N/A,FALSE,"계정"}</definedName>
    <definedName name="이매출">#REF!</definedName>
    <definedName name="이명호" hidden="1">#REF!</definedName>
    <definedName name="이미">#REF!</definedName>
    <definedName name="이병화"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 hidden="1">{#N/A,#N/A,FALSE,"손익표지";#N/A,#N/A,FALSE,"손익계산";#N/A,#N/A,FALSE,"일반관리비";#N/A,#N/A,FALSE,"영업외수익";#N/A,#N/A,FALSE,"영업외비용";#N/A,#N/A,FALSE,"매출액";#N/A,#N/A,FALSE,"요약손익";#N/A,#N/A,FALSE,"요약대차";#N/A,#N/A,FALSE,"매출채권현황";#N/A,#N/A,FALSE,"매출채권명세"}</definedName>
    <definedName name="이상곤" hidden="1">{#N/A,#N/A,FALSE,"손익표지";#N/A,#N/A,FALSE,"손익계산";#N/A,#N/A,FALSE,"일반관리비";#N/A,#N/A,FALSE,"영업외수익";#N/A,#N/A,FALSE,"영업외비용";#N/A,#N/A,FALSE,"매출액";#N/A,#N/A,FALSE,"요약손익";#N/A,#N/A,FALSE,"요약대차";#N/A,#N/A,FALSE,"매출채권현황";#N/A,#N/A,FALSE,"매출채권명세"}</definedName>
    <definedName name="이상권" localSheetId="2" hidden="1">{#N/A,#N/A,FALSE,"범우구미";#N/A,#N/A,FALSE,"세한케미칼";#N/A,#N/A,FALSE,"세명화학";#N/A,#N/A,FALSE,"신영케미칼";#N/A,#N/A,FALSE,"일석상사"}</definedName>
    <definedName name="이상권" hidden="1">{#N/A,#N/A,FALSE,"범우구미";#N/A,#N/A,FALSE,"세한케미칼";#N/A,#N/A,FALSE,"세명화학";#N/A,#N/A,FALSE,"신영케미칼";#N/A,#N/A,FALSE,"일석상사"}</definedName>
    <definedName name="이상권2" localSheetId="2" hidden="1">{#N/A,#N/A,FALSE,"범우구미";#N/A,#N/A,FALSE,"세한케미칼";#N/A,#N/A,FALSE,"세명화학";#N/A,#N/A,FALSE,"신영케미칼";#N/A,#N/A,FALSE,"일석상사"}</definedName>
    <definedName name="이상권2" hidden="1">{#N/A,#N/A,FALSE,"범우구미";#N/A,#N/A,FALSE,"세한케미칼";#N/A,#N/A,FALSE,"세명화학";#N/A,#N/A,FALSE,"신영케미칼";#N/A,#N/A,FALSE,"일석상사"}</definedName>
    <definedName name="이상훈" hidden="1">{#N/A,#N/A,FALSE,"손익표지";#N/A,#N/A,FALSE,"손익계산";#N/A,#N/A,FALSE,"일반관리비";#N/A,#N/A,FALSE,"영업외수익";#N/A,#N/A,FALSE,"영업외비용";#N/A,#N/A,FALSE,"매출액";#N/A,#N/A,FALSE,"요약손익";#N/A,#N/A,FALSE,"요약대차";#N/A,#N/A,FALSE,"매출채권현황";#N/A,#N/A,FALSE,"매출채권명세"}</definedName>
    <definedName name="이선유" hidden="1">{#N/A,#N/A,FALSE,"단축1";#N/A,#N/A,FALSE,"단축2";#N/A,#N/A,FALSE,"단축3";#N/A,#N/A,FALSE,"장축";#N/A,#N/A,FALSE,"4WD"}</definedName>
    <definedName name="이설공사_광양07호_시설진행중">BLCH</definedName>
    <definedName name="이성일" localSheetId="2" hidden="1">{"'5국공정'!$A$1:$E$128"}</definedName>
    <definedName name="이성일" hidden="1">{"'5국공정'!$A$1:$E$128"}</definedName>
    <definedName name="이소" hidden="1">#REF!</definedName>
    <definedName name="이소영" hidden="1">#REF!</definedName>
    <definedName name="이슈" localSheetId="2" hidden="1">{#N/A,#N/A,TRUE,"일정"}</definedName>
    <definedName name="이슈" hidden="1">{#N/A,#N/A,TRUE,"일정"}</definedName>
    <definedName name="이시혁" hidden="1">{#N/A,#N/A,FALSE,"단축1";#N/A,#N/A,FALSE,"단축2";#N/A,#N/A,FALSE,"단축3";#N/A,#N/A,FALSE,"장축";#N/A,#N/A,FALSE,"4WD"}</definedName>
    <definedName name="이식단가">#REF!</definedName>
    <definedName name="이식단가1">#REF!</definedName>
    <definedName name="이식일위">#REF!</definedName>
    <definedName name="이연부채">#REF!</definedName>
    <definedName name="이연자산">#REF!</definedName>
    <definedName name="이유림">BlankMacro1</definedName>
    <definedName name="이윤">#REF!</definedName>
    <definedName name="이윤율">#REF!</definedName>
    <definedName name="이율">#REF!</definedName>
    <definedName name="이이" localSheetId="2" hidden="1">{#N/A,#N/A,TRUE,"Y생산";#N/A,#N/A,TRUE,"Y판매";#N/A,#N/A,TRUE,"Y총물량";#N/A,#N/A,TRUE,"Y능력";#N/A,#N/A,TRUE,"YKD"}</definedName>
    <definedName name="이이" hidden="1">{#N/A,#N/A,TRUE,"Y생산";#N/A,#N/A,TRUE,"Y판매";#N/A,#N/A,TRUE,"Y총물량";#N/A,#N/A,TRUE,"Y능력";#N/A,#N/A,TRUE,"YKD"}</definedName>
    <definedName name="이이이" hidden="1">{#N/A,#N/A,FALSE,"단축1";#N/A,#N/A,FALSE,"단축2";#N/A,#N/A,FALSE,"단축3";#N/A,#N/A,FALSE,"장축";#N/A,#N/A,FALSE,"4WD"}</definedName>
    <definedName name="이이잉" hidden="1">#REF!</definedName>
    <definedName name="이이자">#REF!</definedName>
    <definedName name="이익">#REF!</definedName>
    <definedName name="이익잉여금">#REF!</definedName>
    <definedName name="이익잉여금처분계산서" localSheetId="2" hidden="1">{#N/A,#N/A,FALSE,"현장 NCR 분석";#N/A,#N/A,FALSE,"현장품질감사";#N/A,#N/A,FALSE,"현장품질감사"}</definedName>
    <definedName name="이익잉여금처분계산서" hidden="1">{#N/A,#N/A,FALSE,"현장 NCR 분석";#N/A,#N/A,FALSE,"현장품질감사";#N/A,#N/A,FALSE,"현장품질감사"}</definedName>
    <definedName name="이익잉여금처분계산서_1" localSheetId="2" hidden="1">{#N/A,#N/A,FALSE,"현장 NCR 분석";#N/A,#N/A,FALSE,"현장품질감사";#N/A,#N/A,FALSE,"현장품질감사"}</definedName>
    <definedName name="이익잉여금처분계산서_1" hidden="1">{#N/A,#N/A,FALSE,"현장 NCR 분석";#N/A,#N/A,FALSE,"현장품질감사";#N/A,#N/A,FALSE,"현장품질감사"}</definedName>
    <definedName name="이익잉영금">#REF!</definedName>
    <definedName name="이인원">#REF!</definedName>
    <definedName name="이잉" hidden="1">{#N/A,#N/A,FALSE,"손익표지";#N/A,#N/A,FALSE,"손익계산";#N/A,#N/A,FALSE,"일반관리비";#N/A,#N/A,FALSE,"영업외수익";#N/A,#N/A,FALSE,"영업외비용";#N/A,#N/A,FALSE,"매출액";#N/A,#N/A,FALSE,"요약손익";#N/A,#N/A,FALSE,"요약대차";#N/A,#N/A,FALSE,"매출채권현황";#N/A,#N/A,FALSE,"매출채권명세"}</definedName>
    <definedName name="이자" hidden="1">{#N/A,#N/A,FALSE,"지침";#N/A,#N/A,FALSE,"환경분석";#N/A,#N/A,FALSE,"Sheet16"}</definedName>
    <definedName name="이자소득03">#REF!</definedName>
    <definedName name="이자소득04">#REF!</definedName>
    <definedName name="이자수익OVERALL">#REF!</definedName>
    <definedName name="이주">#REF!</definedName>
    <definedName name="이준호" hidden="1">{#N/A,#N/A,FALSE,"손익표지";#N/A,#N/A,FALSE,"손익계산";#N/A,#N/A,FALSE,"일반관리비";#N/A,#N/A,FALSE,"영업외수익";#N/A,#N/A,FALSE,"영업외비용";#N/A,#N/A,FALSE,"매출액";#N/A,#N/A,FALSE,"요약손익";#N/A,#N/A,FALSE,"요약대차";#N/A,#N/A,FALSE,"매출채권현황";#N/A,#N/A,FALSE,"매출채권명세"}</definedName>
    <definedName name="이중근">BlankMacro1</definedName>
    <definedName name="이중정분해">#REF!</definedName>
    <definedName name="이중정세척">#REF!</definedName>
    <definedName name="이중정조립">#REF!</definedName>
    <definedName name="이중정청결">#REF!</definedName>
    <definedName name="이창희" localSheetId="2" hidden="1">{#N/A,#N/A,FALSE,"범우구미";#N/A,#N/A,FALSE,"세한케미칼";#N/A,#N/A,FALSE,"세명화학";#N/A,#N/A,FALSE,"신영케미칼";#N/A,#N/A,FALSE,"일석상사"}</definedName>
    <definedName name="이창희" hidden="1">{#N/A,#N/A,FALSE,"범우구미";#N/A,#N/A,FALSE,"세한케미칼";#N/A,#N/A,FALSE,"세명화학";#N/A,#N/A,FALSE,"신영케미칼";#N/A,#N/A,FALSE,"일석상사"}</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철호" localSheetId="2" hidden="1">{#N/A,#N/A,FALSE,"Aging Summary";#N/A,#N/A,FALSE,"Ratio Analysis";#N/A,#N/A,FALSE,"Test 120 Day Accts";#N/A,#N/A,FALSE,"Tickmarks"}</definedName>
    <definedName name="이철호" hidden="1">{#N/A,#N/A,FALSE,"Aging Summary";#N/A,#N/A,FALSE,"Ratio Analysis";#N/A,#N/A,FALSE,"Test 120 Day Accts";#N/A,#N/A,FALSE,"Tickmarks"}</definedName>
    <definedName name="이화감가">#REF!</definedName>
    <definedName name="이화매출">#REF!</definedName>
    <definedName name="이화인원">#REF!</definedName>
    <definedName name="이희선">#REF!,#REF!</definedName>
    <definedName name="인" hidden="1">{#N/A,#N/A,FALSE,"Sheet1"}</definedName>
    <definedName name="인공">#REF!</definedName>
    <definedName name="인니" localSheetId="2" hidden="1">{#N/A,#N/A,FALSE,"UNIT";#N/A,#N/A,FALSE,"UNIT";#N/A,#N/A,FALSE,"계정"}</definedName>
    <definedName name="인니" hidden="1">{#N/A,#N/A,FALSE,"UNIT";#N/A,#N/A,FALSE,"UNIT";#N/A,#N/A,FALSE,"계정"}</definedName>
    <definedName name="인당평균사원수" hidden="1">{#N/A,#N/A,TRUE,"경전'96(1)";#N/A,#N/A,TRUE,"경전'96 (2)"}</definedName>
    <definedName name="인당평균인원" hidden="1">{#N/A,#N/A,TRUE,"경전'96(1)";#N/A,#N/A,TRUE,"경전'96 (2)"}</definedName>
    <definedName name="인도네시아" localSheetId="2" hidden="1">{#N/A,#N/A,FALSE,"UNIT";#N/A,#N/A,FALSE,"UNIT";#N/A,#N/A,FALSE,"계정"}</definedName>
    <definedName name="인도네시아" hidden="1">{#N/A,#N/A,FALSE,"UNIT";#N/A,#N/A,FALSE,"UNIT";#N/A,#N/A,FALSE,"계정"}</definedName>
    <definedName name="인동덩쿨">#REF!</definedName>
    <definedName name="인력계획2" hidden="1">#REF!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사" hidden="1">#REF!</definedName>
    <definedName name="인사팀" hidden="1">#REF!</definedName>
    <definedName name="인상1안" hidden="1">{#N/A,#N/A,FALSE,"단축1";#N/A,#N/A,FALSE,"단축2";#N/A,#N/A,FALSE,"단축3";#N/A,#N/A,FALSE,"장축";#N/A,#N/A,FALSE,"4WD"}</definedName>
    <definedName name="인상익">BlankMacro1</definedName>
    <definedName name="인쇄BU" hidden="1">{#N/A,#N/A,FALSE,"지침";#N/A,#N/A,FALSE,"환경분석";#N/A,#N/A,FALSE,"Sheet16"}</definedName>
    <definedName name="인쇄영역">#REF!,#REF!,#REF!</definedName>
    <definedName name="인우너" hidden="1">{#N/A,#N/A,TRUE,"경전'96(1)";#N/A,#N/A,TRUE,"경전'96 (2)"}</definedName>
    <definedName name="인원" hidden="1">{#N/A,#N/A,FALSE,"손익표지";#N/A,#N/A,FALSE,"손익계산";#N/A,#N/A,FALSE,"일반관리비";#N/A,#N/A,FALSE,"영업외수익";#N/A,#N/A,FALSE,"영업외비용";#N/A,#N/A,FALSE,"매출액";#N/A,#N/A,FALSE,"요약손익";#N/A,#N/A,FALSE,"요약대차";#N/A,#N/A,FALSE,"매출채권현황";#N/A,#N/A,FALSE,"매출채권명세"}</definedName>
    <definedName name="인원2" hidden="1">{#N/A,#N/A,FALSE,"손익표지";#N/A,#N/A,FALSE,"손익계산";#N/A,#N/A,FALSE,"일반관리비";#N/A,#N/A,FALSE,"영업외수익";#N/A,#N/A,FALSE,"영업외비용";#N/A,#N/A,FALSE,"매출액";#N/A,#N/A,FALSE,"요약손익";#N/A,#N/A,FALSE,"요약대차";#N/A,#N/A,FALSE,"매출채권현황";#N/A,#N/A,FALSE,"매출채권명세"}</definedName>
    <definedName name="인원3"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계획_담당포함" hidden="1">#REF!</definedName>
    <definedName name="인원증감" hidden="1">{"'BSC(2001)'!$A$27:$G$32"}</definedName>
    <definedName name="인원충원사유" localSheetId="2" hidden="1">{#N/A,#N/A,FALSE,"계약직(여)"}</definedName>
    <definedName name="인원충원사유" hidden="1">{#N/A,#N/A,FALSE,"계약직(여)"}</definedName>
    <definedName name="인원현황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hidden="1">{#N/A,#N/A,FALSE,"손익표지";#N/A,#N/A,FALSE,"손익계산";#N/A,#N/A,FALSE,"일반관리비";#N/A,#N/A,FALSE,"영업외수익";#N/A,#N/A,FALSE,"영업외비용";#N/A,#N/A,FALSE,"매출액";#N/A,#N/A,FALSE,"요약손익";#N/A,#N/A,FALSE,"요약대차";#N/A,#N/A,FALSE,"매출채권현황";#N/A,#N/A,FALSE,"매출채권명세"}</definedName>
    <definedName name="인적공제and표준공제03">#REF!</definedName>
    <definedName name="인적공제and표준공제04">#REF!</definedName>
    <definedName name="인천">#REF!</definedName>
    <definedName name="인테리어팀" localSheetId="2" hidden="1">{#N/A,#N/A,TRUE,"Y생산";#N/A,#N/A,TRUE,"Y판매";#N/A,#N/A,TRUE,"Y총물량";#N/A,#N/A,TRUE,"Y능력";#N/A,#N/A,TRUE,"YKD"}</definedName>
    <definedName name="인테리어팀" hidden="1">{#N/A,#N/A,TRUE,"Y생산";#N/A,#N/A,TRUE,"Y판매";#N/A,#N/A,TRUE,"Y총물량";#N/A,#N/A,TRUE,"Y능력";#N/A,#N/A,TRUE,"YKD"}</definedName>
    <definedName name="인할">#REF!</definedName>
    <definedName name="일">#REF!</definedName>
    <definedName name="일B0.6">#REF!</definedName>
    <definedName name="일B6">#REF!</definedName>
    <definedName name="일공구직영비">#REF!</definedName>
    <definedName name="일단끝">#REF!</definedName>
    <definedName name="일대">#REF!</definedName>
    <definedName name="일대1">#REF!</definedName>
    <definedName name="일대10">#REF!</definedName>
    <definedName name="일대11">#REF!</definedName>
    <definedName name="일대12">#REF!</definedName>
    <definedName name="일대13">#REF!</definedName>
    <definedName name="일대14">#REF!</definedName>
    <definedName name="일대15">#REF!</definedName>
    <definedName name="일대2">#REF!</definedName>
    <definedName name="일대3">#REF!</definedName>
    <definedName name="일대4">#REF!</definedName>
    <definedName name="일대5">#REF!</definedName>
    <definedName name="일대6">#REF!</definedName>
    <definedName name="일대7">#REF!</definedName>
    <definedName name="일대8">#REF!</definedName>
    <definedName name="일대9">#REF!</definedName>
    <definedName name="일반" hidden="1">#REF!</definedName>
    <definedName name="일반1" hidden="1">#REF!</definedName>
    <definedName name="一般管理" localSheetId="2" hidden="1">{"'買掛金'!$J$6"}</definedName>
    <definedName name="一般管理" hidden="1">{"'買掛金'!$J$6"}</definedName>
    <definedName name="일반관리비" hidden="1">{#N/A,#N/A,FALSE,"Sheet1"}</definedName>
    <definedName name="일반관리비율">#REF!</definedName>
    <definedName name="일반교실">#REF!</definedName>
    <definedName name="일반직사무인원">OFFSET(#REF!,0,0,COUNT(#REF!))</definedName>
    <definedName name="일반직월">OFFSET(#REF!,0,0,COUNTA(#REF!))</definedName>
    <definedName name="일반직특수인원">OFFSET(#REF!,0,0,COUNT(#REF!))</definedName>
    <definedName name="일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산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산_1" hidden="1">{#N/A,#N/A,FALSE,"손익표지";#N/A,#N/A,FALSE,"손익계산";#N/A,#N/A,FALSE,"일반관리비";#N/A,#N/A,FALSE,"영업외수익";#N/A,#N/A,FALSE,"영업외비용";#N/A,#N/A,FALSE,"매출액";#N/A,#N/A,FALSE,"요약손익";#N/A,#N/A,FALSE,"요약대차";#N/A,#N/A,FALSE,"매출채권현황";#N/A,#N/A,FALSE,"매출채권명세"}</definedName>
    <definedName name="일산사업팀">BlankMacro1</definedName>
    <definedName name="일용직">#REF!</definedName>
    <definedName name="일위" hidden="1">#REF!</definedName>
    <definedName name="일위단가">#REF!</definedName>
    <definedName name="일위대가표">#REF!</definedName>
    <definedName name="일이ㅏㄹ" hidden="1">{#N/A,#N/A,FALSE,"단축1";#N/A,#N/A,FALSE,"단축2";#N/A,#N/A,FALSE,"단축3";#N/A,#N/A,FALSE,"장축";#N/A,#N/A,FALSE,"4WD"}</definedName>
    <definedName name="일자" hidden="1">{#N/A,#N/A,FALSE,"손익표지";#N/A,#N/A,FALSE,"손익계산";#N/A,#N/A,FALSE,"일반관리비";#N/A,#N/A,FALSE,"영업외수익";#N/A,#N/A,FALSE,"영업외비용";#N/A,#N/A,FALSE,"매출액";#N/A,#N/A,FALSE,"요약손익";#N/A,#N/A,FALSE,"요약대차";#N/A,#N/A,FALSE,"매출채권현황";#N/A,#N/A,FALSE,"매출채권명세"}</definedName>
    <definedName name="일자1">#REF!</definedName>
    <definedName name="일자10">#REF!</definedName>
    <definedName name="일자11">#REF!</definedName>
    <definedName name="일자12">#REF!</definedName>
    <definedName name="일자13">#REF!</definedName>
    <definedName name="일자2">#REF!</definedName>
    <definedName name="일자3">#REF!</definedName>
    <definedName name="일자4">#REF!</definedName>
    <definedName name="일자5">#REF!</definedName>
    <definedName name="일자6">#REF!</definedName>
    <definedName name="일자7">#REF!</definedName>
    <definedName name="일자8">#REF!</definedName>
    <definedName name="일자9">#REF!</definedName>
    <definedName name="일자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자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별_1" hidden="1">{#N/A,#N/A,FALSE,"손익표지";#N/A,#N/A,FALSE,"손익계산";#N/A,#N/A,FALSE,"일반관리비";#N/A,#N/A,FALSE,"영업외수익";#N/A,#N/A,FALSE,"영업외비용";#N/A,#N/A,FALSE,"매출액";#N/A,#N/A,FALSE,"요약손익";#N/A,#N/A,FALSE,"요약대차";#N/A,#N/A,FALSE,"매출채권현황";#N/A,#N/A,FALSE,"매출채권명세"}</definedName>
    <definedName name="일정" localSheetId="2" hidden="1">{#N/A,#N/A,FALSE,"단축1";#N/A,#N/A,FALSE,"단축2";#N/A,#N/A,FALSE,"단축3";#N/A,#N/A,FALSE,"장축";#N/A,#N/A,FALSE,"4WD"}</definedName>
    <definedName name="일정" hidden="1">{#N/A,#N/A,FALSE,"단축1";#N/A,#N/A,FALSE,"단축2";#N/A,#N/A,FALSE,"단축3";#N/A,#N/A,FALSE,"장축";#N/A,#N/A,FALSE,"4WD"}</definedName>
    <definedName name="일정1" hidden="1">{#N/A,#N/A,FALSE,"단축1";#N/A,#N/A,FALSE,"단축2";#N/A,#N/A,FALSE,"단축3";#N/A,#N/A,FALSE,"장축";#N/A,#N/A,FALSE,"4WD"}</definedName>
    <definedName name="일정3" hidden="1">{#N/A,#N/A,FALSE,"단축1";#N/A,#N/A,FALSE,"단축2";#N/A,#N/A,FALSE,"단축3";#N/A,#N/A,FALSE,"장축";#N/A,#N/A,FALSE,"4WD"}</definedName>
    <definedName name="일진" localSheetId="2" hidden="1">{#N/A,#N/A,FALSE,"BS";#N/A,#N/A,FALSE,"PL";#N/A,#N/A,FALSE,"처분";#N/A,#N/A,FALSE,"현금";#N/A,#N/A,FALSE,"매출";#N/A,#N/A,FALSE,"원가";#N/A,#N/A,FALSE,"경영"}</definedName>
    <definedName name="일진" hidden="1">{#N/A,#N/A,FALSE,"BS";#N/A,#N/A,FALSE,"PL";#N/A,#N/A,FALSE,"처분";#N/A,#N/A,FALSE,"현금";#N/A,#N/A,FALSE,"매출";#N/A,#N/A,FALSE,"원가";#N/A,#N/A,FALSE,"경영"}</definedName>
    <definedName name="일진_1" localSheetId="2" hidden="1">{#N/A,#N/A,FALSE,"BS";#N/A,#N/A,FALSE,"PL";#N/A,#N/A,FALSE,"처분";#N/A,#N/A,FALSE,"현금";#N/A,#N/A,FALSE,"매출";#N/A,#N/A,FALSE,"원가";#N/A,#N/A,FALSE,"경영"}</definedName>
    <definedName name="일진_1" hidden="1">{#N/A,#N/A,FALSE,"BS";#N/A,#N/A,FALSE,"PL";#N/A,#N/A,FALSE,"처분";#N/A,#N/A,FALSE,"현금";#N/A,#N/A,FALSE,"매출";#N/A,#N/A,FALSE,"원가";#N/A,#N/A,FALSE,"경영"}</definedName>
    <definedName name="일진1" localSheetId="2" hidden="1">{#N/A,#N/A,FALSE,"BS";#N/A,#N/A,FALSE,"PL";#N/A,#N/A,FALSE,"A";#N/A,#N/A,FALSE,"B";#N/A,#N/A,FALSE,"B1";#N/A,#N/A,FALSE,"C";#N/A,#N/A,FALSE,"C1";#N/A,#N/A,FALSE,"C2";#N/A,#N/A,FALSE,"D";#N/A,#N/A,FALSE,"E";#N/A,#N/A,FALSE,"F";#N/A,#N/A,FALSE,"AA";#N/A,#N/A,FALSE,"BB";#N/A,#N/A,FALSE,"CC";#N/A,#N/A,FALSE,"DD";#N/A,#N/A,FALSE,"EE";#N/A,#N/A,FALSE,"FF";#N/A,#N/A,FALSE,"PL10";#N/A,#N/A,FALSE,"PL20";#N/A,#N/A,FALSE,"PL30"}</definedName>
    <definedName name="일진1" hidden="1">{#N/A,#N/A,FALSE,"BS";#N/A,#N/A,FALSE,"PL";#N/A,#N/A,FALSE,"A";#N/A,#N/A,FALSE,"B";#N/A,#N/A,FALSE,"B1";#N/A,#N/A,FALSE,"C";#N/A,#N/A,FALSE,"C1";#N/A,#N/A,FALSE,"C2";#N/A,#N/A,FALSE,"D";#N/A,#N/A,FALSE,"E";#N/A,#N/A,FALSE,"F";#N/A,#N/A,FALSE,"AA";#N/A,#N/A,FALSE,"BB";#N/A,#N/A,FALSE,"CC";#N/A,#N/A,FALSE,"DD";#N/A,#N/A,FALSE,"EE";#N/A,#N/A,FALSE,"FF";#N/A,#N/A,FALSE,"PL10";#N/A,#N/A,FALSE,"PL20";#N/A,#N/A,FALSE,"PL30"}</definedName>
    <definedName name="일진1_1" localSheetId="2" hidden="1">{#N/A,#N/A,FALSE,"BS";#N/A,#N/A,FALSE,"PL";#N/A,#N/A,FALSE,"A";#N/A,#N/A,FALSE,"B";#N/A,#N/A,FALSE,"B1";#N/A,#N/A,FALSE,"C";#N/A,#N/A,FALSE,"C1";#N/A,#N/A,FALSE,"C2";#N/A,#N/A,FALSE,"D";#N/A,#N/A,FALSE,"E";#N/A,#N/A,FALSE,"F";#N/A,#N/A,FALSE,"AA";#N/A,#N/A,FALSE,"BB";#N/A,#N/A,FALSE,"CC";#N/A,#N/A,FALSE,"DD";#N/A,#N/A,FALSE,"EE";#N/A,#N/A,FALSE,"FF";#N/A,#N/A,FALSE,"PL10";#N/A,#N/A,FALSE,"PL20";#N/A,#N/A,FALSE,"PL30"}</definedName>
    <definedName name="일진1_1" hidden="1">{#N/A,#N/A,FALSE,"BS";#N/A,#N/A,FALSE,"PL";#N/A,#N/A,FALSE,"A";#N/A,#N/A,FALSE,"B";#N/A,#N/A,FALSE,"B1";#N/A,#N/A,FALSE,"C";#N/A,#N/A,FALSE,"C1";#N/A,#N/A,FALSE,"C2";#N/A,#N/A,FALSE,"D";#N/A,#N/A,FALSE,"E";#N/A,#N/A,FALSE,"F";#N/A,#N/A,FALSE,"AA";#N/A,#N/A,FALSE,"BB";#N/A,#N/A,FALSE,"CC";#N/A,#N/A,FALSE,"DD";#N/A,#N/A,FALSE,"EE";#N/A,#N/A,FALSE,"FF";#N/A,#N/A,FALSE,"PL10";#N/A,#N/A,FALSE,"PL20";#N/A,#N/A,FALSE,"PL30"}</definedName>
    <definedName name="일진2" localSheetId="2" hidden="1">{#N/A,#N/A,FALSE,"BS";#N/A,#N/A,FALSE,"PL";#N/A,#N/A,FALSE,"A";#N/A,#N/A,FALSE,"B";#N/A,#N/A,FALSE,"B1";#N/A,#N/A,FALSE,"C";#N/A,#N/A,FALSE,"C1";#N/A,#N/A,FALSE,"C2";#N/A,#N/A,FALSE,"D";#N/A,#N/A,FALSE,"E";#N/A,#N/A,FALSE,"F";#N/A,#N/A,FALSE,"AA";#N/A,#N/A,FALSE,"BB";#N/A,#N/A,FALSE,"CC";#N/A,#N/A,FALSE,"DD";#N/A,#N/A,FALSE,"EE";#N/A,#N/A,FALSE,"FF";#N/A,#N/A,FALSE,"PL10";#N/A,#N/A,FALSE,"PL20";#N/A,#N/A,FALSE,"PL30"}</definedName>
    <definedName name="일진2" hidden="1">{#N/A,#N/A,FALSE,"BS";#N/A,#N/A,FALSE,"PL";#N/A,#N/A,FALSE,"A";#N/A,#N/A,FALSE,"B";#N/A,#N/A,FALSE,"B1";#N/A,#N/A,FALSE,"C";#N/A,#N/A,FALSE,"C1";#N/A,#N/A,FALSE,"C2";#N/A,#N/A,FALSE,"D";#N/A,#N/A,FALSE,"E";#N/A,#N/A,FALSE,"F";#N/A,#N/A,FALSE,"AA";#N/A,#N/A,FALSE,"BB";#N/A,#N/A,FALSE,"CC";#N/A,#N/A,FALSE,"DD";#N/A,#N/A,FALSE,"EE";#N/A,#N/A,FALSE,"FF";#N/A,#N/A,FALSE,"PL10";#N/A,#N/A,FALSE,"PL20";#N/A,#N/A,FALSE,"PL30"}</definedName>
    <definedName name="일진2_1" localSheetId="2" hidden="1">{#N/A,#N/A,FALSE,"BS";#N/A,#N/A,FALSE,"PL";#N/A,#N/A,FALSE,"A";#N/A,#N/A,FALSE,"B";#N/A,#N/A,FALSE,"B1";#N/A,#N/A,FALSE,"C";#N/A,#N/A,FALSE,"C1";#N/A,#N/A,FALSE,"C2";#N/A,#N/A,FALSE,"D";#N/A,#N/A,FALSE,"E";#N/A,#N/A,FALSE,"F";#N/A,#N/A,FALSE,"AA";#N/A,#N/A,FALSE,"BB";#N/A,#N/A,FALSE,"CC";#N/A,#N/A,FALSE,"DD";#N/A,#N/A,FALSE,"EE";#N/A,#N/A,FALSE,"FF";#N/A,#N/A,FALSE,"PL10";#N/A,#N/A,FALSE,"PL20";#N/A,#N/A,FALSE,"PL30"}</definedName>
    <definedName name="일진2_1" hidden="1">{#N/A,#N/A,FALSE,"BS";#N/A,#N/A,FALSE,"PL";#N/A,#N/A,FALSE,"A";#N/A,#N/A,FALSE,"B";#N/A,#N/A,FALSE,"B1";#N/A,#N/A,FALSE,"C";#N/A,#N/A,FALSE,"C1";#N/A,#N/A,FALSE,"C2";#N/A,#N/A,FALSE,"D";#N/A,#N/A,FALSE,"E";#N/A,#N/A,FALSE,"F";#N/A,#N/A,FALSE,"AA";#N/A,#N/A,FALSE,"BB";#N/A,#N/A,FALSE,"CC";#N/A,#N/A,FALSE,"DD";#N/A,#N/A,FALSE,"EE";#N/A,#N/A,FALSE,"FF";#N/A,#N/A,FALSE,"PL10";#N/A,#N/A,FALSE,"PL20";#N/A,#N/A,FALSE,"PL30"}</definedName>
    <definedName name="임금시뮬레이션" hidden="1">{#N/A,#N/A,FALSE,"손익표지";#N/A,#N/A,FALSE,"손익계산";#N/A,#N/A,FALSE,"일반관리비";#N/A,#N/A,FALSE,"영업외수익";#N/A,#N/A,FALSE,"영업외비용";#N/A,#N/A,FALSE,"매출액";#N/A,#N/A,FALSE,"요약손익";#N/A,#N/A,FALSE,"요약대차";#N/A,#N/A,FALSE,"매출채권현황";#N/A,#N/A,FALSE,"매출채권명세"}</definedName>
    <definedName name="임대미수" hidden="1">#REF!</definedName>
    <definedName name="임대보증금" localSheetId="2" hidden="1">{#N/A,#N/A,FALSE,"BS";#N/A,#N/A,FALSE,"PL";#N/A,#N/A,FALSE,"처분";#N/A,#N/A,FALSE,"현금";#N/A,#N/A,FALSE,"매출";#N/A,#N/A,FALSE,"원가";#N/A,#N/A,FALSE,"경영"}</definedName>
    <definedName name="임대보증금" hidden="1">{#N/A,#N/A,FALSE,"BS";#N/A,#N/A,FALSE,"PL";#N/A,#N/A,FALSE,"처분";#N/A,#N/A,FALSE,"현금";#N/A,#N/A,FALSE,"매출";#N/A,#N/A,FALSE,"원가";#N/A,#N/A,FALSE,"경영"}</definedName>
    <definedName name="임대부대공사">#REF!</definedName>
    <definedName name="임대상가">#REF!</definedName>
    <definedName name="임동원" localSheetId="2" hidden="1">{#N/A,#N/A,FALSE,"정공"}</definedName>
    <definedName name="임동원" hidden="1">{#N/A,#N/A,FALSE,"정공"}</definedName>
    <definedName name="임병길" hidden="1">{#N/A,#N/A,FALSE,"단축1";#N/A,#N/A,FALSE,"단축2";#N/A,#N/A,FALSE,"단축3";#N/A,#N/A,FALSE,"장축";#N/A,#N/A,FALSE,"4WD"}</definedName>
    <definedName name="임시">BLCH</definedName>
    <definedName name="임시2" hidden="1">{#N/A,#N/A,FALSE,"단축1";#N/A,#N/A,FALSE,"단축2";#N/A,#N/A,FALSE,"단축3";#N/A,#N/A,FALSE,"장축";#N/A,#N/A,FALSE,"4WD"}</definedName>
    <definedName name="임직">#REF!</definedName>
    <definedName name="임차2">{"'분양원가'!$B$1:$F$113"}</definedName>
    <definedName name="임차보증금">#REF!</definedName>
    <definedName name="임차시설k"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입">#REF!</definedName>
    <definedName name="입고현황_원단명" localSheetId="2">{"XG6PR2"}</definedName>
    <definedName name="입고현황_원단명">{"XG6PR2"}</definedName>
    <definedName name="입력선택">#REF!</definedName>
    <definedName name="입사일">#REF!</definedName>
    <definedName name="잉여_Eng">#REF!</definedName>
    <definedName name="잉여금"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잉여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ㅈ" localSheetId="2" hidden="1">{#N/A,#N/A,FALSE,"BS";#N/A,#N/A,FALSE,"PL";#N/A,#N/A,FALSE,"처분";#N/A,#N/A,FALSE,"현금";#N/A,#N/A,FALSE,"매출";#N/A,#N/A,FALSE,"원가";#N/A,#N/A,FALSE,"경영"}</definedName>
    <definedName name="ㅈ" hidden="1">{#N/A,#N/A,FALSE,"BS";#N/A,#N/A,FALSE,"PL";#N/A,#N/A,FALSE,"처분";#N/A,#N/A,FALSE,"현금";#N/A,#N/A,FALSE,"매출";#N/A,#N/A,FALSE,"원가";#N/A,#N/A,FALSE,"경영"}</definedName>
    <definedName name="ㅈ_1" localSheetId="2" hidden="1">{#N/A,#N/A,FALSE,"BS";#N/A,#N/A,FALSE,"PL";#N/A,#N/A,FALSE,"처분";#N/A,#N/A,FALSE,"현금";#N/A,#N/A,FALSE,"매출";#N/A,#N/A,FALSE,"원가";#N/A,#N/A,FALSE,"경영"}</definedName>
    <definedName name="ㅈ_1" hidden="1">{#N/A,#N/A,FALSE,"BS";#N/A,#N/A,FALSE,"PL";#N/A,#N/A,FALSE,"처분";#N/A,#N/A,FALSE,"현금";#N/A,#N/A,FALSE,"매출";#N/A,#N/A,FALSE,"원가";#N/A,#N/A,FALSE,"경영"}</definedName>
    <definedName name="ㅈ3ㄱㄷ" hidden="1">{#N/A,#N/A,FALSE,"단축1";#N/A,#N/A,FALSE,"단축2";#N/A,#N/A,FALSE,"단축3";#N/A,#N/A,FALSE,"장축";#N/A,#N/A,FALSE,"4WD"}</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손익표지";#N/A,#N/A,FALSE,"손익계산";#N/A,#N/A,FALSE,"일반관리비";#N/A,#N/A,FALSE,"영업외수익";#N/A,#N/A,FALSE,"영업외비용";#N/A,#N/A,FALSE,"매출액";#N/A,#N/A,FALSE,"요약손익";#N/A,#N/A,FALSE,"요약대차";#N/A,#N/A,FALSE,"매출채권현황";#N/A,#N/A,FALSE,"매출채권명세"}</definedName>
    <definedName name="ㅈㄷㄱ" localSheetId="2" hidden="1">{#N/A,#N/A,FALSE,"BS";#N/A,#N/A,FALSE,"PL";#N/A,#N/A,FALSE,"처분";#N/A,#N/A,FALSE,"현금";#N/A,#N/A,FALSE,"매출";#N/A,#N/A,FALSE,"원가";#N/A,#N/A,FALSE,"경영"}</definedName>
    <definedName name="ㅈㄷㄱ" hidden="1">{#N/A,#N/A,FALSE,"BS";#N/A,#N/A,FALSE,"PL";#N/A,#N/A,FALSE,"처분";#N/A,#N/A,FALSE,"현금";#N/A,#N/A,FALSE,"매출";#N/A,#N/A,FALSE,"원가";#N/A,#N/A,FALSE,"경영"}</definedName>
    <definedName name="ㅈㄷㄱㄱ" hidden="1">{#N/A,#N/A,FALSE,"손익표지";#N/A,#N/A,FALSE,"손익계산";#N/A,#N/A,FALSE,"일반관리비";#N/A,#N/A,FALSE,"영업외수익";#N/A,#N/A,FALSE,"영업외비용";#N/A,#N/A,FALSE,"매출액";#N/A,#N/A,FALSE,"요약손익";#N/A,#N/A,FALSE,"요약대차";#N/A,#N/A,FALSE,"매출채권현황";#N/A,#N/A,FALSE,"매출채권명세"}</definedName>
    <definedName name="ㅈㄷㄱㄷㄱㄷ" hidden="1">{"'용역비'!$A$4:$C$8"}</definedName>
    <definedName name="ㅈㄷㄱㄷㄱ호ㅗ" localSheetId="2" hidden="1">{"'Jibu9811 (3)'!$B$1:$J$433"}</definedName>
    <definedName name="ㅈㄷㄱㄷㄱ호ㅗ" hidden="1">{"'Jibu9811 (3)'!$B$1:$J$433"}</definedName>
    <definedName name="ㅈㄷㄱㅈ" hidden="1">{#N/A,#N/A,FALSE,"Sheet6"}</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ㄳㅈㄷ" hidden="1">{#N/A,#N/A,FALSE,"Sheet6"}</definedName>
    <definedName name="ㅈㄷㄴ" hidden="1">{#N/A,#N/A,FALSE,"단축1";#N/A,#N/A,FALSE,"단축2";#N/A,#N/A,FALSE,"단축3";#N/A,#N/A,FALSE,"장축";#N/A,#N/A,FALSE,"4WD"}</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ㄿ">BlankMacro1</definedName>
    <definedName name="ㅈㅂ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ㅂㄷ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ㅂㄷ_1" hidden="1">{#N/A,#N/A,FALSE,"손익표지";#N/A,#N/A,FALSE,"손익계산";#N/A,#N/A,FALSE,"일반관리비";#N/A,#N/A,FALSE,"영업외수익";#N/A,#N/A,FALSE,"영업외비용";#N/A,#N/A,FALSE,"매출액";#N/A,#N/A,FALSE,"요약손익";#N/A,#N/A,FALSE,"요약대차";#N/A,#N/A,FALSE,"매출채권현황";#N/A,#N/A,FALSE,"매출채권명세"}</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ㅈ"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ㅈ" localSheetId="2" hidden="1">{#N/A,#N/A,FALSE,"BS";#N/A,#N/A,FALSE,"PL";#N/A,#N/A,FALSE,"처분";#N/A,#N/A,FALSE,"현금";#N/A,#N/A,FALSE,"매출";#N/A,#N/A,FALSE,"원가";#N/A,#N/A,FALSE,"경영"}</definedName>
    <definedName name="ㅈㅈㅈ" hidden="1">{#N/A,#N/A,FALSE,"BS";#N/A,#N/A,FALSE,"PL";#N/A,#N/A,FALSE,"처분";#N/A,#N/A,FALSE,"현금";#N/A,#N/A,FALSE,"매출";#N/A,#N/A,FALSE,"원가";#N/A,#N/A,FALSE,"경영"}</definedName>
    <definedName name="ㅈㅈㅈㅈ" hidden="1">{#N/A,#N/A,TRUE,"Y생산";#N/A,#N/A,TRUE,"Y판매";#N/A,#N/A,TRUE,"Y총물량";#N/A,#N/A,TRUE,"Y능력";#N/A,#N/A,TRUE,"YKD"}</definedName>
    <definedName name="ㅈㅈㅈㅈㅈ">BlankMacro1</definedName>
    <definedName name="ㅈㅈㅈㅈㅈㅈㅈㅈㅈㅈㅈㅈㅈㅈㅈㅈㅈㅈㅈ" localSheetId="2" hidden="1">{#N/A,#N/A,FALSE,"1.CRITERIA";#N/A,#N/A,FALSE,"2.IS";#N/A,#N/A,FALSE,"3.BS";#N/A,#N/A,FALSE,"4.PER PL";#N/A,#N/A,FALSE,"5.INVESTMENT";#N/A,#N/A,FALSE,"6.공문";#N/A,#N/A,FALSE,"7.netinvest"}</definedName>
    <definedName name="ㅈㅈㅈㅈㅈㅈㅈㅈㅈㅈㅈㅈㅈㅈㅈㅈㅈㅈㅈ" hidden="1">{#N/A,#N/A,FALSE,"1.CRITERIA";#N/A,#N/A,FALSE,"2.IS";#N/A,#N/A,FALSE,"3.BS";#N/A,#N/A,FALSE,"4.PER PL";#N/A,#N/A,FALSE,"5.INVESTMENT";#N/A,#N/A,FALSE,"6.공문";#N/A,#N/A,FALSE,"7.netinvest"}</definedName>
    <definedName name="ㅈㅈㅈㅈㅈㅈㅈㅈㅈㅈㅈㅈㅈㅈㅈㅈㅈㅈㅈㅈㅈ" localSheetId="2" hidden="1">{#N/A,#N/A,FALSE,"1.CRITERIA";#N/A,#N/A,FALSE,"2.IS";#N/A,#N/A,FALSE,"3.BS";#N/A,#N/A,FALSE,"4.PER PL";#N/A,#N/A,FALSE,"5.INVESTMENT";#N/A,#N/A,FALSE,"6.공문";#N/A,#N/A,FALSE,"7.netinvest"}</definedName>
    <definedName name="ㅈㅈㅈㅈㅈㅈㅈㅈㅈㅈㅈㅈㅈㅈㅈㅈㅈㅈㅈㅈㅈ" hidden="1">{#N/A,#N/A,FALSE,"1.CRITERIA";#N/A,#N/A,FALSE,"2.IS";#N/A,#N/A,FALSE,"3.BS";#N/A,#N/A,FALSE,"4.PER PL";#N/A,#N/A,FALSE,"5.INVESTMENT";#N/A,#N/A,FALSE,"6.공문";#N/A,#N/A,FALSE,"7.netinvest"}</definedName>
    <definedName name="ㅈㅎㅎ" hidden="1">{#N/A,#N/A,TRUE,"경전'96(1)";#N/A,#N/A,TRUE,"경전'96 (2)"}</definedName>
    <definedName name="자" localSheetId="2" hidden="1">{#N/A,#N/A,FALSE,"UNIT";#N/A,#N/A,FALSE,"UNIT";#N/A,#N/A,FALSE,"계정"}</definedName>
    <definedName name="자" hidden="1">{#N/A,#N/A,FALSE,"UNIT";#N/A,#N/A,FALSE,"UNIT";#N/A,#N/A,FALSE,"계정"}</definedName>
    <definedName name="자." localSheetId="2" hidden="1">{#N/A,#N/A,FALSE,"UNIT";#N/A,#N/A,FALSE,"UNIT";#N/A,#N/A,FALSE,"계정"}</definedName>
    <definedName name="자." hidden="1">{#N/A,#N/A,FALSE,"UNIT";#N/A,#N/A,FALSE,"UNIT";#N/A,#N/A,FALSE,"계정"}</definedName>
    <definedName name="자.." localSheetId="2" hidden="1">{#N/A,#N/A,FALSE,"UNIT";#N/A,#N/A,FALSE,"UNIT";#N/A,#N/A,FALSE,"계정"}</definedName>
    <definedName name="자.." hidden="1">{#N/A,#N/A,FALSE,"UNIT";#N/A,#N/A,FALSE,"UNIT";#N/A,#N/A,FALSE,"계정"}</definedName>
    <definedName name="자귀나무">#REF!</definedName>
    <definedName name="자금수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_00"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기자본평균">#REF!</definedName>
    <definedName name="자동제어1차공량산출">BlankMacro1</definedName>
    <definedName name="자동화" localSheetId="2" hidden="1">{#N/A,#N/A,FALSE,"UNIT";#N/A,#N/A,FALSE,"UNIT";#N/A,#N/A,FALSE,"계정"}</definedName>
    <definedName name="자동화" hidden="1">{#N/A,#N/A,FALSE,"UNIT";#N/A,#N/A,FALSE,"UNIT";#N/A,#N/A,FALSE,"계정"}</definedName>
    <definedName name="자료" hidden="1">{#N/A,#N/A,FALSE,"단축1";#N/A,#N/A,FALSE,"단축2";#N/A,#N/A,FALSE,"단축3";#N/A,#N/A,FALSE,"장축";#N/A,#N/A,FALSE,"4WD"}</definedName>
    <definedName name="자료1">#N/A</definedName>
    <definedName name="자료2">#N/A</definedName>
    <definedName name="자료3">#REF!</definedName>
    <definedName name="자매출">#REF!</definedName>
    <definedName name="자본" hidden="1">#REF!</definedName>
    <definedName name="자본금" localSheetId="2" hidden="1">{#N/A,#N/A,FALSE,"정공"}</definedName>
    <definedName name="자본금" hidden="1">{#N/A,#N/A,FALSE,"정공"}</definedName>
    <definedName name="자본금과잉여금">#REF!</definedName>
    <definedName name="자본반기" hidden="1">#REF!</definedName>
    <definedName name="자본변동표3" localSheetId="2" hidden="1">{#N/A,#N/A,FALSE,"Aging Summary";#N/A,#N/A,FALSE,"Ratio Analysis";#N/A,#N/A,FALSE,"Test 120 Day Accts";#N/A,#N/A,FALSE,"Tickmarks"}</definedName>
    <definedName name="자본변동표3" hidden="1">{#N/A,#N/A,FALSE,"Aging Summary";#N/A,#N/A,FALSE,"Ratio Analysis";#N/A,#N/A,FALSE,"Test 120 Day Accts";#N/A,#N/A,FALSE,"Tickmarks"}</definedName>
    <definedName name="자본평균">#REF!</definedName>
    <definedName name="자산" localSheetId="2" hidden="1">{#N/A,#N/A,FALSE,"BS";#N/A,#N/A,FALSE,"PL";#N/A,#N/A,FALSE,"A";#N/A,#N/A,FALSE,"B";#N/A,#N/A,FALSE,"B1";#N/A,#N/A,FALSE,"C";#N/A,#N/A,FALSE,"C1";#N/A,#N/A,FALSE,"C2";#N/A,#N/A,FALSE,"D";#N/A,#N/A,FALSE,"E";#N/A,#N/A,FALSE,"F";#N/A,#N/A,FALSE,"AA";#N/A,#N/A,FALSE,"BB";#N/A,#N/A,FALSE,"CC";#N/A,#N/A,FALSE,"DD";#N/A,#N/A,FALSE,"EE";#N/A,#N/A,FALSE,"FF";#N/A,#N/A,FALSE,"PL10";#N/A,#N/A,FALSE,"PL20";#N/A,#N/A,FALSE,"PL30"}</definedName>
    <definedName name="자산" hidden="1">{#N/A,#N/A,FALSE,"BS";#N/A,#N/A,FALSE,"PL";#N/A,#N/A,FALSE,"A";#N/A,#N/A,FALSE,"B";#N/A,#N/A,FALSE,"B1";#N/A,#N/A,FALSE,"C";#N/A,#N/A,FALSE,"C1";#N/A,#N/A,FALSE,"C2";#N/A,#N/A,FALSE,"D";#N/A,#N/A,FALSE,"E";#N/A,#N/A,FALSE,"F";#N/A,#N/A,FALSE,"AA";#N/A,#N/A,FALSE,"BB";#N/A,#N/A,FALSE,"CC";#N/A,#N/A,FALSE,"DD";#N/A,#N/A,FALSE,"EE";#N/A,#N/A,FALSE,"FF";#N/A,#N/A,FALSE,"PL10";#N/A,#N/A,FALSE,"PL20";#N/A,#N/A,FALSE,"PL30"}</definedName>
    <definedName name="자산1" localSheetId="2" hidden="1">{#N/A,#N/A,FALSE,"BS";#N/A,#N/A,FALSE,"PL";#N/A,#N/A,FALSE,"A";#N/A,#N/A,FALSE,"B";#N/A,#N/A,FALSE,"B1";#N/A,#N/A,FALSE,"C";#N/A,#N/A,FALSE,"C1";#N/A,#N/A,FALSE,"C2";#N/A,#N/A,FALSE,"D";#N/A,#N/A,FALSE,"E";#N/A,#N/A,FALSE,"F";#N/A,#N/A,FALSE,"AA";#N/A,#N/A,FALSE,"BB";#N/A,#N/A,FALSE,"CC";#N/A,#N/A,FALSE,"DD";#N/A,#N/A,FALSE,"EE";#N/A,#N/A,FALSE,"FF";#N/A,#N/A,FALSE,"PL10";#N/A,#N/A,FALSE,"PL20";#N/A,#N/A,FALSE,"PL30"}</definedName>
    <definedName name="자산1" hidden="1">{#N/A,#N/A,FALSE,"BS";#N/A,#N/A,FALSE,"PL";#N/A,#N/A,FALSE,"A";#N/A,#N/A,FALSE,"B";#N/A,#N/A,FALSE,"B1";#N/A,#N/A,FALSE,"C";#N/A,#N/A,FALSE,"C1";#N/A,#N/A,FALSE,"C2";#N/A,#N/A,FALSE,"D";#N/A,#N/A,FALSE,"E";#N/A,#N/A,FALSE,"F";#N/A,#N/A,FALSE,"AA";#N/A,#N/A,FALSE,"BB";#N/A,#N/A,FALSE,"CC";#N/A,#N/A,FALSE,"DD";#N/A,#N/A,FALSE,"EE";#N/A,#N/A,FALSE,"FF";#N/A,#N/A,FALSE,"PL10";#N/A,#N/A,FALSE,"PL20";#N/A,#N/A,FALSE,"PL30"}</definedName>
    <definedName name="자산건전성">#REF!</definedName>
    <definedName name="자산부증" hidden="1">#REF!</definedName>
    <definedName name="자산평균">#REF!</definedName>
    <definedName name="자연" hidden="1">{#N/A,#N/A,FALSE,"UNIT";#N/A,#N/A,FALSE,"UNIT";#N/A,#N/A,FALSE,"계정"}</definedName>
    <definedName name="자이자">#REF!</definedName>
    <definedName name="자인원">#REF!</definedName>
    <definedName name="자잦" hidden="1">{#N/A,#N/A,FALSE,"단축1";#N/A,#N/A,FALSE,"단축2";#N/A,#N/A,FALSE,"단축3";#N/A,#N/A,FALSE,"장축";#N/A,#N/A,FALSE,"4WD"}</definedName>
    <definedName name="자재">#REF!</definedName>
    <definedName name="자재1" hidden="1">{#N/A,#N/A,FALSE,"단축1";#N/A,#N/A,FALSE,"단축2";#N/A,#N/A,FALSE,"단축3";#N/A,#N/A,FALSE,"장축";#N/A,#N/A,FALSE,"4WD"}</definedName>
    <definedName name="자재2" hidden="1">{#N/A,#N/A,FALSE,"단축1";#N/A,#N/A,FALSE,"단축2";#N/A,#N/A,FALSE,"단축3";#N/A,#N/A,FALSE,"장축";#N/A,#N/A,FALSE,"4WD"}</definedName>
    <definedName name="자재3" hidden="1">{#N/A,#N/A,FALSE,"단축1";#N/A,#N/A,FALSE,"단축2";#N/A,#N/A,FALSE,"단축3";#N/A,#N/A,FALSE,"장축";#N/A,#N/A,FALSE,"4WD"}</definedName>
    <definedName name="자재기준" hidden="1">{#N/A,#N/A,TRUE,"Y생산";#N/A,#N/A,TRUE,"Y판매";#N/A,#N/A,TRUE,"Y총물량";#N/A,#N/A,TRUE,"Y능력";#N/A,#N/A,TRUE,"YKD"}</definedName>
    <definedName name="자재단가" hidden="1">{#N/A,#N/A,TRUE,"총괄"}</definedName>
    <definedName name="자재단가비교">#REF!</definedName>
    <definedName name="자재매각">#REF!</definedName>
    <definedName name="자재입력">#REF!</definedName>
    <definedName name="자재재고">#REF!</definedName>
    <definedName name="자재집계5">BlankMacro1</definedName>
    <definedName name="자재현황비교">#REF!</definedName>
    <definedName name="자진" hidden="1">#REF!</definedName>
    <definedName name="자챧">BlankMacro1</definedName>
    <definedName name="자챰">BlankMacro1</definedName>
    <definedName name="자판간접">#REF!</definedName>
    <definedName name="자회사" hidden="1">#REF!</definedName>
    <definedName name="작성자">#REF!</definedName>
    <definedName name="작성조서" localSheetId="2" hidden="1">{#N/A,#N/A,FALSE,"BS";#N/A,#N/A,FALSE,"PL";#N/A,#N/A,FALSE,"처분";#N/A,#N/A,FALSE,"현금";#N/A,#N/A,FALSE,"매출";#N/A,#N/A,FALSE,"원가";#N/A,#N/A,FALSE,"경영"}</definedName>
    <definedName name="작성조서" hidden="1">{#N/A,#N/A,FALSE,"BS";#N/A,#N/A,FALSE,"PL";#N/A,#N/A,FALSE,"처분";#N/A,#N/A,FALSE,"현금";#N/A,#N/A,FALSE,"매출";#N/A,#N/A,FALSE,"원가";#N/A,#N/A,FALSE,"경영"}</definedName>
    <definedName name="작성표">#REF!</definedName>
    <definedName name="작업">#REF!</definedName>
    <definedName name="작업반장">#REF!</definedName>
    <definedName name="작업시간">#REF!</definedName>
    <definedName name="작업용"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잔다르크" localSheetId="2" hidden="1">{#N/A,#N/A,FALSE,"정공"}</definedName>
    <definedName name="잔다르크" hidden="1">{#N/A,#N/A,FALSE,"정공"}</definedName>
    <definedName name="잔디_평떼">#REF!</definedName>
    <definedName name="잔액">#REF!</definedName>
    <definedName name="잔양" localSheetId="2" hidden="1">{#N/A,#N/A,FALSE,"P.C.B"}</definedName>
    <definedName name="잔양" hidden="1">{#N/A,#N/A,FALSE,"P.C.B"}</definedName>
    <definedName name="잔존" localSheetId="2" hidden="1">{#N/A,#N/A,FALSE,"단축1";#N/A,#N/A,FALSE,"단축2";#N/A,#N/A,FALSE,"단축3";#N/A,#N/A,FALSE,"장축";#N/A,#N/A,FALSE,"4WD"}</definedName>
    <definedName name="잔존" hidden="1">{#N/A,#N/A,FALSE,"단축1";#N/A,#N/A,FALSE,"단축2";#N/A,#N/A,FALSE,"단축3";#N/A,#N/A,FALSE,"장축";#N/A,#N/A,FALSE,"4WD"}</definedName>
    <definedName name="잔존가율">#REF!</definedName>
    <definedName name="잔존만기">#REF!</definedName>
    <definedName name="잘먹었슴다">#N/A</definedName>
    <definedName name="雑費" localSheetId="2" hidden="1">{"'買掛金'!$J$6"}</definedName>
    <definedName name="雑費" hidden="1">{"'買掛金'!$J$6"}</definedName>
    <definedName name="잡손실" localSheetId="2" hidden="1">{#N/A,#N/A,FALSE,"1.CRITERIA";#N/A,#N/A,FALSE,"2.IS";#N/A,#N/A,FALSE,"3.BS";#N/A,#N/A,FALSE,"4.PER PL";#N/A,#N/A,FALSE,"5.INVESTMENT";#N/A,#N/A,FALSE,"6.공문";#N/A,#N/A,FALSE,"7.netinvest"}</definedName>
    <definedName name="잡손실" hidden="1">{#N/A,#N/A,FALSE,"1.CRITERIA";#N/A,#N/A,FALSE,"2.IS";#N/A,#N/A,FALSE,"3.BS";#N/A,#N/A,FALSE,"4.PER PL";#N/A,#N/A,FALSE,"5.INVESTMENT";#N/A,#N/A,FALSE,"6.공문";#N/A,#N/A,FALSE,"7.netinvest"}</definedName>
    <definedName name="잡이익" localSheetId="2"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잣나무">#REF!</definedName>
    <definedName name="장VP" localSheetId="2" hidden="1">{#N/A,#N/A,FALSE,"UNIT";#N/A,#N/A,FALSE,"UNIT";#N/A,#N/A,FALSE,"계정"}</definedName>
    <definedName name="장VP" hidden="1">{#N/A,#N/A,FALSE,"UNIT";#N/A,#N/A,FALSE,"UNIT";#N/A,#N/A,FALSE,"계정"}</definedName>
    <definedName name="장구" hidden="1">{#N/A,#N/A,FALSE,"Sheet6"}</definedName>
    <definedName name="장기" localSheetId="2" hidden="1">{#N/A,#N/A,TRUE,"Y생산";#N/A,#N/A,TRUE,"Y판매";#N/A,#N/A,TRUE,"Y총물량";#N/A,#N/A,TRUE,"Y능력";#N/A,#N/A,TRUE,"YKD"}</definedName>
    <definedName name="장기" hidden="1">{#N/A,#N/A,TRUE,"Y생산";#N/A,#N/A,TRUE,"Y판매";#N/A,#N/A,TRUE,"Y총물량";#N/A,#N/A,TRUE,"Y능력";#N/A,#N/A,TRUE,"YKD"}</definedName>
    <definedName name="장기금융상품">#REF!</definedName>
    <definedName name="장기미수금" localSheetId="2" hidden="1">{#N/A,#N/A,FALSE,"UNIT";#N/A,#N/A,FALSE,"UNIT";#N/A,#N/A,FALSE,"계정"}</definedName>
    <definedName name="장기미수금" hidden="1">{#N/A,#N/A,FALSE,"UNIT";#N/A,#N/A,FALSE,"UNIT";#N/A,#N/A,FALSE,"계정"}</definedName>
    <definedName name="장기인원" hidden="1">{#N/A,#N/A,FALSE,"손익표지";#N/A,#N/A,FALSE,"손익계산";#N/A,#N/A,FALSE,"일반관리비";#N/A,#N/A,FALSE,"영업외수익";#N/A,#N/A,FALSE,"영업외비용";#N/A,#N/A,FALSE,"매출액";#N/A,#N/A,FALSE,"요약손익";#N/A,#N/A,FALSE,"요약대차";#N/A,#N/A,FALSE,"매출채권현황";#N/A,#N/A,FALSE,"매출채권명세"}</definedName>
    <definedName name="장기차입">#REF!</definedName>
    <definedName name="장기차입2000" hidden="1">#REF!</definedName>
    <definedName name="장기차입금" localSheetId="2" hidden="1">{#N/A,#N/A,FALSE,"BS";#N/A,#N/A,FALSE,"PL";#N/A,#N/A,FALSE,"처분";#N/A,#N/A,FALSE,"현금";#N/A,#N/A,FALSE,"매출";#N/A,#N/A,FALSE,"원가";#N/A,#N/A,FALSE,"경영"}</definedName>
    <definedName name="장기차입금" hidden="1">{#N/A,#N/A,FALSE,"BS";#N/A,#N/A,FALSE,"PL";#N/A,#N/A,FALSE,"처분";#N/A,#N/A,FALSE,"현금";#N/A,#N/A,FALSE,"매출";#N/A,#N/A,FALSE,"원가";#N/A,#N/A,FALSE,"경영"}</definedName>
    <definedName name="장기채권">#REF!</definedName>
    <definedName name="장기환산평가">#REF!</definedName>
    <definedName name="長島" localSheetId="2" hidden="1">{"'買掛金'!$J$6"}</definedName>
    <definedName name="長島" hidden="1">{"'買掛金'!$J$6"}</definedName>
    <definedName name="장부가액">#REF!</definedName>
    <definedName name="장부가액합계">#REF!</definedName>
    <definedName name="장산교">#REF!</definedName>
    <definedName name="장상수" hidden="1">{#N/A,#N/A,FALSE,"손익표지";#N/A,#N/A,FALSE,"손익계산";#N/A,#N/A,FALSE,"일반관리비";#N/A,#N/A,FALSE,"영업외수익";#N/A,#N/A,FALSE,"영업외비용";#N/A,#N/A,FALSE,"매출액";#N/A,#N/A,FALSE,"요약손익";#N/A,#N/A,FALSE,"요약대차";#N/A,#N/A,FALSE,"매출채권현황";#N/A,#N/A,FALSE,"매출채권명세"}</definedName>
    <definedName name="장호대" hidden="1">{#N/A,#N/A,FALSE,"단축1";#N/A,#N/A,FALSE,"단축2";#N/A,#N/A,FALSE,"단축3";#N/A,#N/A,FALSE,"장축";#N/A,#N/A,FALSE,"4WD"}</definedName>
    <definedName name="재" localSheetId="2" hidden="1">{#N/A,#N/A,FALSE,"UNIT";#N/A,#N/A,FALSE,"UNIT";#N/A,#N/A,FALSE,"계정"}</definedName>
    <definedName name="재" hidden="1">{#N/A,#N/A,FALSE,"UNIT";#N/A,#N/A,FALSE,"UNIT";#N/A,#N/A,FALSE,"계정"}</definedName>
    <definedName name="재가ㅗㄹ" localSheetId="2" hidden="1">{#N/A,#N/A,FALSE,"배수1"}</definedName>
    <definedName name="재가ㅗㄹ" hidden="1">{#N/A,#N/A,FALSE,"배수1"}</definedName>
    <definedName name="재경" localSheetId="2" hidden="1">{#N/A,#N/A,FALSE,"UNIT";#N/A,#N/A,FALSE,"UNIT";#N/A,#N/A,FALSE,"계정"}</definedName>
    <definedName name="재경" hidden="1">{#N/A,#N/A,FALSE,"UNIT";#N/A,#N/A,FALSE,"UNIT";#N/A,#N/A,FALSE,"계정"}</definedName>
    <definedName name="재고"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자산">#REF!</definedName>
    <definedName name="재고자산수량"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이자최종">{"'분양원가'!$B$1:$F$113"}</definedName>
    <definedName name="재고자산평균">#REF!</definedName>
    <definedName name="재고장">#REF!</definedName>
    <definedName name="재공입력">#REF!</definedName>
    <definedName name="재공재고">#REF!</definedName>
    <definedName name="재공품">#REF!</definedName>
    <definedName name="재공합계표">#REF!</definedName>
    <definedName name="재공현황비교">#REF!</definedName>
    <definedName name="재노">#REF!</definedName>
    <definedName name="재량">#REF!</definedName>
    <definedName name="재료" localSheetId="2" hidden="1">{#N/A,#N/A,FALSE,"UNIT";#N/A,#N/A,FALSE,"UNIT";#N/A,#N/A,FALSE,"계정"}</definedName>
    <definedName name="재료" hidden="1">{#N/A,#N/A,FALSE,"UNIT";#N/A,#N/A,FALSE,"UNIT";#N/A,#N/A,FALSE,"계정"}</definedName>
    <definedName name="재료비">#REF!</definedName>
    <definedName name="재료비RS" hidden="1">{#N/A,#N/A,FALSE,"단축1";#N/A,#N/A,FALSE,"단축2";#N/A,#N/A,FALSE,"단축3";#N/A,#N/A,FALSE,"장축";#N/A,#N/A,FALSE,"4WD"}</definedName>
    <definedName name="재료집계2">#REF!</definedName>
    <definedName name="재료집계3">#REF!</definedName>
    <definedName name="재료집계호남">#REF!</definedName>
    <definedName name="재무" hidden="1">#REF!</definedName>
    <definedName name="재무비율">#REF!</definedName>
    <definedName name="재무제표" localSheetId="2" hidden="1">{#N/A,#N/A,FALSE,"BS";#N/A,#N/A,FALSE,"PL";#N/A,#N/A,FALSE,"A";#N/A,#N/A,FALSE,"B";#N/A,#N/A,FALSE,"B1";#N/A,#N/A,FALSE,"C";#N/A,#N/A,FALSE,"C1";#N/A,#N/A,FALSE,"C2";#N/A,#N/A,FALSE,"D";#N/A,#N/A,FALSE,"E";#N/A,#N/A,FALSE,"F";#N/A,#N/A,FALSE,"AA";#N/A,#N/A,FALSE,"BB";#N/A,#N/A,FALSE,"CC";#N/A,#N/A,FALSE,"DD";#N/A,#N/A,FALSE,"EE";#N/A,#N/A,FALSE,"FF";#N/A,#N/A,FALSE,"PL10";#N/A,#N/A,FALSE,"PL20";#N/A,#N/A,FALSE,"PL30"}</definedName>
    <definedName name="재무제표" hidden="1">{#N/A,#N/A,FALSE,"BS";#N/A,#N/A,FALSE,"PL";#N/A,#N/A,FALSE,"A";#N/A,#N/A,FALSE,"B";#N/A,#N/A,FALSE,"B1";#N/A,#N/A,FALSE,"C";#N/A,#N/A,FALSE,"C1";#N/A,#N/A,FALSE,"C2";#N/A,#N/A,FALSE,"D";#N/A,#N/A,FALSE,"E";#N/A,#N/A,FALSE,"F";#N/A,#N/A,FALSE,"AA";#N/A,#N/A,FALSE,"BB";#N/A,#N/A,FALSE,"CC";#N/A,#N/A,FALSE,"DD";#N/A,#N/A,FALSE,"EE";#N/A,#N/A,FALSE,"FF";#N/A,#N/A,FALSE,"PL10";#N/A,#N/A,FALSE,"PL20";#N/A,#N/A,FALSE,"PL30"}</definedName>
    <definedName name="재무제표_1" localSheetId="2" hidden="1">{#N/A,#N/A,FALSE,"BS";#N/A,#N/A,FALSE,"PL";#N/A,#N/A,FALSE,"A";#N/A,#N/A,FALSE,"B";#N/A,#N/A,FALSE,"B1";#N/A,#N/A,FALSE,"C";#N/A,#N/A,FALSE,"C1";#N/A,#N/A,FALSE,"C2";#N/A,#N/A,FALSE,"D";#N/A,#N/A,FALSE,"E";#N/A,#N/A,FALSE,"F";#N/A,#N/A,FALSE,"AA";#N/A,#N/A,FALSE,"BB";#N/A,#N/A,FALSE,"CC";#N/A,#N/A,FALSE,"DD";#N/A,#N/A,FALSE,"EE";#N/A,#N/A,FALSE,"FF";#N/A,#N/A,FALSE,"PL10";#N/A,#N/A,FALSE,"PL20";#N/A,#N/A,FALSE,"PL30"}</definedName>
    <definedName name="재무제표_1" hidden="1">{#N/A,#N/A,FALSE,"BS";#N/A,#N/A,FALSE,"PL";#N/A,#N/A,FALSE,"A";#N/A,#N/A,FALSE,"B";#N/A,#N/A,FALSE,"B1";#N/A,#N/A,FALSE,"C";#N/A,#N/A,FALSE,"C1";#N/A,#N/A,FALSE,"C2";#N/A,#N/A,FALSE,"D";#N/A,#N/A,FALSE,"E";#N/A,#N/A,FALSE,"F";#N/A,#N/A,FALSE,"AA";#N/A,#N/A,FALSE,"BB";#N/A,#N/A,FALSE,"CC";#N/A,#N/A,FALSE,"DD";#N/A,#N/A,FALSE,"EE";#N/A,#N/A,FALSE,"FF";#N/A,#N/A,FALSE,"PL10";#N/A,#N/A,FALSE,"PL20";#N/A,#N/A,FALSE,"PL30"}</definedName>
    <definedName name="재무제표_CF_">#REF!</definedName>
    <definedName name="재무제표4월"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hidden="1">{#N/A,#N/A,FALSE,"손익표지";#N/A,#N/A,FALSE,"손익계산";#N/A,#N/A,FALSE,"일반관리비";#N/A,#N/A,FALSE,"영업외수익";#N/A,#N/A,FALSE,"영업외비용";#N/A,#N/A,FALSE,"매출액";#N/A,#N/A,FALSE,"요약손익";#N/A,#N/A,FALSE,"요약대차";#N/A,#N/A,FALSE,"매출채권현황";#N/A,#N/A,FALSE,"매출채권명세"}</definedName>
    <definedName name="재재재" localSheetId="2" hidden="1">{"'미착금액'!$A$4:$G$14"}</definedName>
    <definedName name="재재재" hidden="1">{"'미착금액'!$A$4:$G$14"}</definedName>
    <definedName name="재쟏" localSheetId="2" hidden="1">{#N/A,#N/A,FALSE,"배수2"}</definedName>
    <definedName name="재쟏" hidden="1">{#N/A,#N/A,FALSE,"배수2"}</definedName>
    <definedName name="재직노">#REF!</definedName>
    <definedName name="재ㅔㅈ하" localSheetId="2" hidden="1">{#N/A,#N/A,FALSE,"부대1"}</definedName>
    <definedName name="재ㅔㅈ하" hidden="1">{#N/A,#N/A,FALSE,"부대1"}</definedName>
    <definedName name="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1" hidden="1">{#N/A,#N/A,FALSE,"정공"}</definedName>
    <definedName name="저2" hidden="1">{#N/A,#N/A,FALSE,"정공"}</definedName>
    <definedName name="저압케이블공">91867</definedName>
    <definedName name="저압케이블공노">#N/A</definedName>
    <definedName name="저압케이블전공">#REF!</definedName>
    <definedName name="저장품">#REF!</definedName>
    <definedName name="저저" localSheetId="2" hidden="1">{#N/A,#N/A,FALSE,"UNIT";#N/A,#N/A,FALSE,"UNIT";#N/A,#N/A,FALSE,"계정"}</definedName>
    <definedName name="저저" hidden="1">{#N/A,#N/A,FALSE,"UNIT";#N/A,#N/A,FALSE,"UNIT";#N/A,#N/A,FALSE,"계정"}</definedName>
    <definedName name="저케">#REF!</definedName>
    <definedName name="적금입력">#REF!</definedName>
    <definedName name="전" hidden="1">{#N/A,#N/A,FALSE,"신규dep";#N/A,#N/A,FALSE,"신규dep-금형상각후";#N/A,#N/A,FALSE,"신규dep-연구비상각후";#N/A,#N/A,FALSE,"신규dep-기계,공구상각후"}</definedName>
    <definedName name="전_화_번_호">#REF!</definedName>
    <definedName name="전1">#REF!</definedName>
    <definedName name="전2" localSheetId="2" hidden="1">{#N/A,#N/A,FALSE,"정공"}</definedName>
    <definedName name="전2" hidden="1">{#N/A,#N/A,FALSE,"정공"}</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국">#REF!</definedName>
    <definedName name="전기">#REF!</definedName>
    <definedName name="전기경상이익">#REF!</definedName>
    <definedName name="전기계장">#REF!</definedName>
    <definedName name="전기공사">#N/A</definedName>
    <definedName name="전기공사원가">BlankMacro1</definedName>
    <definedName name="전기공사원가내역">BlankMacro1</definedName>
    <definedName name="전기당기순이익">#REF!</definedName>
    <definedName name="전기매출액">#REF!</definedName>
    <definedName name="전기순매출액">#REF!</definedName>
    <definedName name="전기순이익">#REF!</definedName>
    <definedName name="전기이월">#REF!</definedName>
    <definedName name="전년">#REF!</definedName>
    <definedName name="전년해당월">#REF!</definedName>
    <definedName name="전대차입" hidden="1">#REF!</definedName>
    <definedName name="전도" localSheetId="2" hidden="1">{"FORM1",#N/A,FALSE,"Revenue";"FORMTR",#N/A,FALSE,"Revenue";"FORM3.1",#N/A,FALSE,"Revenue"}</definedName>
    <definedName name="전도" hidden="1">{"FORM1",#N/A,FALSE,"Revenue";"FORMTR",#N/A,FALSE,"Revenue";"FORM3.1",#N/A,FALSE,"Revenue"}</definedName>
    <definedName name="전도\" localSheetId="2" hidden="1">{"FORM17",#N/A,FALSE,"Commission1";"FORM17.1",#N/A,FALSE,"Commission2"}</definedName>
    <definedName name="전도\" hidden="1">{"FORM17",#N/A,FALSE,"Commission1";"FORM17.1",#N/A,FALSE,"Commission2"}</definedName>
    <definedName name="전도금2" localSheetId="2" hidden="1">{"FORM17",#N/A,FALSE,"Commission1";"FORM17.1",#N/A,FALSE,"Commission2"}</definedName>
    <definedName name="전도금2" hidden="1">{"FORM17",#N/A,FALSE,"Commission1";"FORM17.1",#N/A,FALSE,"Commission2"}</definedName>
    <definedName name="전등노무비">#REF!</definedName>
    <definedName name="전등자재비">#REF!</definedName>
    <definedName name="전략" localSheetId="2" hidden="1">{#N/A,#N/A,FALSE,"정공"}</definedName>
    <definedName name="전략" hidden="1">{#N/A,#N/A,FALSE,"정공"}</definedName>
    <definedName name="전략2" localSheetId="2" hidden="1">{#N/A,#N/A,FALSE,"정공"}</definedName>
    <definedName name="전략2" hidden="1">{#N/A,#N/A,FALSE,"정공"}</definedName>
    <definedName name="전략투" localSheetId="2" hidden="1">{#N/A,#N/A,FALSE,"정공"}</definedName>
    <definedName name="전략투" hidden="1">{#N/A,#N/A,FALSE,"정공"}</definedName>
    <definedName name="전부" hidden="1">{#N/A,#N/A,FALSE,"단축1";#N/A,#N/A,FALSE,"단축2";#N/A,#N/A,FALSE,"단축3";#N/A,#N/A,FALSE,"장축";#N/A,#N/A,FALSE,"4WD"}</definedName>
    <definedName name="전사" hidden="1">#REF!</definedName>
    <definedName name="전사교육계획"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산망공사">#REF!</definedName>
    <definedName name="전선">100%</definedName>
    <definedName name="전선관">100%</definedName>
    <definedName name="전선관및접지내역서" hidden="1">#REF!</definedName>
    <definedName name="전신전화"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가입권명세서">#REF!</definedName>
    <definedName name="전용면적">#REF!</definedName>
    <definedName name="전용원" localSheetId="2" hidden="1">{#N/A,#N/A,FALSE,"97년 투자계획 세부내역 "}</definedName>
    <definedName name="전용원" hidden="1">{#N/A,#N/A,FALSE,"97년 투자계획 세부내역 "}</definedName>
    <definedName name="전용원1" localSheetId="2" hidden="1">{#N/A,#N/A,FALSE,"97년 투자계획 세부내역 "}</definedName>
    <definedName name="전용원1" hidden="1">{#N/A,#N/A,FALSE,"97년 투자계획 세부내역 "}</definedName>
    <definedName name="전입액">#REF!</definedName>
    <definedName name="전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자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자_1" hidden="1">{#N/A,#N/A,FALSE,"손익표지";#N/A,#N/A,FALSE,"손익계산";#N/A,#N/A,FALSE,"일반관리비";#N/A,#N/A,FALSE,"영업외수익";#N/A,#N/A,FALSE,"영업외비용";#N/A,#N/A,FALSE,"매출액";#N/A,#N/A,FALSE,"요약손익";#N/A,#N/A,FALSE,"요약대차";#N/A,#N/A,FALSE,"매출채권현황";#N/A,#N/A,FALSE,"매출채권명세"}</definedName>
    <definedName name="전장">#REF!</definedName>
    <definedName name="전장설계" localSheetId="2" hidden="1">{#N/A,#N/A,FALSE,"불량현황";#N/A,#N/A,FALSE,"표면처리업체별";#N/A,#N/A,FALSE,"사양별";#N/A,#N/A,FALSE,"제작업체별";#N/A,#N/A,FALSE,"업체주소";#N/A,#N/A,FALSE,"장착부위";#N/A,#N/A,FALSE,"V-100표면현황 (2)"}</definedName>
    <definedName name="전장설계" hidden="1">{#N/A,#N/A,FALSE,"불량현황";#N/A,#N/A,FALSE,"표면처리업체별";#N/A,#N/A,FALSE,"사양별";#N/A,#N/A,FALSE,"제작업체별";#N/A,#N/A,FALSE,"업체주소";#N/A,#N/A,FALSE,"장착부위";#N/A,#N/A,FALSE,"V-100표면현황 (2)"}</definedName>
    <definedName name="전주" localSheetId="2" hidden="1">{"'Jibu9811 (3)'!$B$1:$J$433"}</definedName>
    <definedName name="전주" hidden="1">{"'Jibu9811 (3)'!$B$1:$J$433"}</definedName>
    <definedName name="전주2" localSheetId="2" hidden="1">{"'Jibu9811 (3)'!$B$1:$J$433"}</definedName>
    <definedName name="전주2" hidden="1">{"'Jibu9811 (3)'!$B$1:$J$433"}</definedName>
    <definedName name="전직사유">#REF!</definedName>
    <definedName name="전차종" localSheetId="2" hidden="1">{#N/A,#N/A,FALSE,"표지";#N/A,#N/A,FALSE,"전제";#N/A,#N/A,FALSE,"대당";#N/A,#N/A,FALSE,"가공비";#N/A,#N/A,FALSE,"재료비";#N/A,#N/A,FALSE,"손익"}</definedName>
    <definedName name="전차종" hidden="1">{#N/A,#N/A,FALSE,"표지";#N/A,#N/A,FALSE,"전제";#N/A,#N/A,FALSE,"대당";#N/A,#N/A,FALSE,"가공비";#N/A,#N/A,FALSE,"재료비";#N/A,#N/A,FALSE,"손익"}</definedName>
    <definedName name="전철" hidden="1">0</definedName>
    <definedName name="전체" hidden="1">#REF!</definedName>
    <definedName name="전체근속연수">#REF!</definedName>
    <definedName name="전체범위">#REF!</definedName>
    <definedName name="전체현황" hidden="1">{#N/A,#N/A,FALSE,"단축1";#N/A,#N/A,FALSE,"단축2";#N/A,#N/A,FALSE,"단축3";#N/A,#N/A,FALSE,"장축";#N/A,#N/A,FALSE,"4WD"}</definedName>
    <definedName name="전화">#REF!</definedName>
    <definedName name="전화가입권" localSheetId="2" hidden="1">{#N/A,#N/A,FALSE,"정공"}</definedName>
    <definedName name="전화가입권" hidden="1">{#N/A,#N/A,FALSE,"정공"}</definedName>
    <definedName name="절" hidden="1">#REF!</definedName>
    <definedName name="절감">#REF!</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감계산2" hidden="1">{#N/A,#N/A,FALSE,"단축1";#N/A,#N/A,FALSE,"단축2";#N/A,#N/A,FALSE,"단축3";#N/A,#N/A,FALSE,"장축";#N/A,#N/A,FALSE,"4WD"}</definedName>
    <definedName name="절감내역상세" hidden="1">{#N/A,#N/A,FALSE,"정공"}</definedName>
    <definedName name="절감반기계획對실적" hidden="1">{#N/A,#N/A,FALSE,"정공"}</definedName>
    <definedName name="絶費" localSheetId="2" hidden="1">{"'買掛金'!$J$6"}</definedName>
    <definedName name="絶費" hidden="1">{"'買掛金'!$J$6"}</definedName>
    <definedName name="절삭">#REF!</definedName>
    <definedName name="절삭2">#REF!</definedName>
    <definedName name="점소">#N/A</definedName>
    <definedName name="점수표">#REF!</definedName>
    <definedName name="접대비"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속도로">#REF!</definedName>
    <definedName name="접속면적">#REF!</definedName>
    <definedName name="접속슬라브길이1">#REF!</definedName>
    <definedName name="접속슬라브길이2">#REF!</definedName>
    <definedName name="접속슬라브폭1">#REF!</definedName>
    <definedName name="접속슬라브폭2">#REF!</definedName>
    <definedName name="접속슬라브폭3">#REF!</definedName>
    <definedName name="접속슬라브폭4">#REF!</definedName>
    <definedName name="접속저판길이1">#REF!</definedName>
    <definedName name="접속저판길이2">#REF!</definedName>
    <definedName name="접속저판폭1">#REF!</definedName>
    <definedName name="접속저판폭2">#REF!</definedName>
    <definedName name="접속저판폭3">#REF!</definedName>
    <definedName name="접속저판폭4">#REF!</definedName>
    <definedName name="접속현황">#REF!</definedName>
    <definedName name="정" localSheetId="2" hidden="1">{#N/A,#N/A,FALSE,"UNIT";#N/A,#N/A,FALSE,"UNIT";#N/A,#N/A,FALSE,"계정"}</definedName>
    <definedName name="정" hidden="1">{#N/A,#N/A,FALSE,"UNIT";#N/A,#N/A,FALSE,"UNIT";#N/A,#N/A,FALSE,"계정"}</definedName>
    <definedName name="정규직월">OFFSET(#REF!,0,0,COUNTA(#REF!))</definedName>
    <definedName name="정규직인원">OFFSET(#REF!,0,0,COUNT(#REF!))</definedName>
    <definedName name="정렬">#REF!</definedName>
    <definedName name="정렬범위">#REF!</definedName>
    <definedName name="정류기">#N/A</definedName>
    <definedName name="정류기재">#N/A</definedName>
    <definedName name="정말" hidden="1">{#N/A,#N/A,FALSE,"손익표지";#N/A,#N/A,FALSE,"손익계산";#N/A,#N/A,FALSE,"일반관리비";#N/A,#N/A,FALSE,"영업외수익";#N/A,#N/A,FALSE,"영업외비용";#N/A,#N/A,FALSE,"매출액";#N/A,#N/A,FALSE,"요약손익";#N/A,#N/A,FALSE,"요약대차";#N/A,#N/A,FALSE,"매출채권현황";#N/A,#N/A,FALSE,"매출채권명세"}</definedName>
    <definedName name="정문" localSheetId="2" hidden="1">{#N/A,#N/A,FALSE,"UNIT";#N/A,#N/A,FALSE,"UNIT";#N/A,#N/A,FALSE,"계정"}</definedName>
    <definedName name="정문" hidden="1">{#N/A,#N/A,FALSE,"UNIT";#N/A,#N/A,FALSE,"UNIT";#N/A,#N/A,FALSE,"계정"}</definedName>
    <definedName name="정문식" localSheetId="2" hidden="1">{#N/A,#N/A,FALSE,"UNIT";#N/A,#N/A,FALSE,"UNIT";#N/A,#N/A,FALSE,"계정"}</definedName>
    <definedName name="정문식" hidden="1">{#N/A,#N/A,FALSE,"UNIT";#N/A,#N/A,FALSE,"UNIT";#N/A,#N/A,FALSE,"계정"}</definedName>
    <definedName name="정미아" localSheetId="2" hidden="1">{#N/A,#N/A,FALSE,"BS";#N/A,#N/A,FALSE,"PL";#N/A,#N/A,FALSE,"처분";#N/A,#N/A,FALSE,"현금";#N/A,#N/A,FALSE,"매출";#N/A,#N/A,FALSE,"원가";#N/A,#N/A,FALSE,"경영"}</definedName>
    <definedName name="정미아" hidden="1">{#N/A,#N/A,FALSE,"BS";#N/A,#N/A,FALSE,"PL";#N/A,#N/A,FALSE,"처분";#N/A,#N/A,FALSE,"현금";#N/A,#N/A,FALSE,"매출";#N/A,#N/A,FALSE,"원가";#N/A,#N/A,FALSE,"경영"}</definedName>
    <definedName name="정봉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봉용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봉용_1" hidden="1">{#N/A,#N/A,FALSE,"손익표지";#N/A,#N/A,FALSE,"손익계산";#N/A,#N/A,FALSE,"일반관리비";#N/A,#N/A,FALSE,"영업외수익";#N/A,#N/A,FALSE,"영업외비용";#N/A,#N/A,FALSE,"매출액";#N/A,#N/A,FALSE,"요약손익";#N/A,#N/A,FALSE,"요약대차";#N/A,#N/A,FALSE,"매출채권현황";#N/A,#N/A,FALSE,"매출채권명세"}</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확정" hidden="1">#REF!</definedName>
    <definedName name="정산표" localSheetId="2" hidden="1">{#N/A,#N/A,FALSE,"BS";#N/A,#N/A,FALSE,"PL";#N/A,#N/A,FALSE,"처분";#N/A,#N/A,FALSE,"현금";#N/A,#N/A,FALSE,"매출";#N/A,#N/A,FALSE,"원가";#N/A,#N/A,FALSE,"경영"}</definedName>
    <definedName name="정산표" hidden="1">{#N/A,#N/A,FALSE,"BS";#N/A,#N/A,FALSE,"PL";#N/A,#N/A,FALSE,"처분";#N/A,#N/A,FALSE,"현금";#N/A,#N/A,FALSE,"매출";#N/A,#N/A,FALSE,"원가";#N/A,#N/A,FALSE,"경영"}</definedName>
    <definedName name="정산표_CF_4_6_">#REF!</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석희" hidden="1">#REF!</definedName>
    <definedName name="정수용" localSheetId="2" hidden="1">{#N/A,#N/A,TRUE,"Y생산";#N/A,#N/A,TRUE,"Y판매";#N/A,#N/A,TRUE,"Y총물량";#N/A,#N/A,TRUE,"Y능력";#N/A,#N/A,TRUE,"YKD"}</definedName>
    <definedName name="정수용" hidden="1">{#N/A,#N/A,TRUE,"Y생산";#N/A,#N/A,TRUE,"Y판매";#N/A,#N/A,TRUE,"Y총물량";#N/A,#N/A,TRUE,"Y능력";#N/A,#N/A,TRUE,"YKD"}</definedName>
    <definedName name="정어어ㅇㅓㅇ"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_1"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인보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보_1" hidden="1">{#N/A,#N/A,FALSE,"손익표지";#N/A,#N/A,FALSE,"손익계산";#N/A,#N/A,FALSE,"일반관리비";#N/A,#N/A,FALSE,"영업외수익";#N/A,#N/A,FALSE,"영업외비용";#N/A,#N/A,FALSE,"매출액";#N/A,#N/A,FALSE,"요약손익";#N/A,#N/A,FALSE,"요약대차";#N/A,#N/A,FALSE,"매출채권현황";#N/A,#N/A,FALSE,"매출채권명세"}</definedName>
    <definedName name="정종" localSheetId="2" hidden="1">{"'Jibu9811 (3)'!$B$1:$J$433"}</definedName>
    <definedName name="정종" hidden="1">{"'Jibu9811 (3)'!$B$1:$J$433"}</definedName>
    <definedName name="정종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종구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종구_1" hidden="1">{#N/A,#N/A,FALSE,"손익표지";#N/A,#N/A,FALSE,"손익계산";#N/A,#N/A,FALSE,"일반관리비";#N/A,#N/A,FALSE,"영업외수익";#N/A,#N/A,FALSE,"영업외비용";#N/A,#N/A,FALSE,"매출액";#N/A,#N/A,FALSE,"요약손익";#N/A,#N/A,FALSE,"요약대차";#N/A,#N/A,FALSE,"매출채권현황";#N/A,#N/A,FALSE,"매출채권명세"}</definedName>
    <definedName name="정현석" hidden="1">{#N/A,#N/A,TRUE,"경전'96(1)";#N/A,#N/A,TRUE,"경전'96 (2)"}</definedName>
    <definedName name="젖" hidden="1">{#N/A,#N/A,FALSE,"단축1";#N/A,#N/A,FALSE,"단축2";#N/A,#N/A,FALSE,"단축3";#N/A,#N/A,FALSE,"장축";#N/A,#N/A,FALSE,"4WD"}</definedName>
    <definedName name="제1안" localSheetId="2" hidden="1">{#N/A,#N/A,TRUE,"매출진척-1";#N/A,#N/A,TRUE,"매출진척-2";#N/A,#N/A,TRUE,"제품실적";#N/A,#N/A,TRUE,"RAC";#N/A,#N/A,TRUE,"PAC ";#N/A,#N/A,TRUE,"재고현황";#N/A,#N/A,TRUE,"공지사항"}</definedName>
    <definedName name="제1안" hidden="1">{#N/A,#N/A,TRUE,"매출진척-1";#N/A,#N/A,TRUE,"매출진척-2";#N/A,#N/A,TRUE,"제품실적";#N/A,#N/A,TRUE,"RAC";#N/A,#N/A,TRUE,"PAC ";#N/A,#N/A,TRUE,"재고현황";#N/A,#N/A,TRUE,"공지사항"}</definedName>
    <definedName name="제1안_1" localSheetId="2" hidden="1">{#N/A,#N/A,TRUE,"매출진척-1";#N/A,#N/A,TRUE,"매출진척-2";#N/A,#N/A,TRUE,"제품실적";#N/A,#N/A,TRUE,"RAC";#N/A,#N/A,TRUE,"PAC ";#N/A,#N/A,TRUE,"재고현황";#N/A,#N/A,TRUE,"공지사항"}</definedName>
    <definedName name="제1안_1" hidden="1">{#N/A,#N/A,TRUE,"매출진척-1";#N/A,#N/A,TRUE,"매출진척-2";#N/A,#N/A,TRUE,"제품실적";#N/A,#N/A,TRUE,"RAC";#N/A,#N/A,TRUE,"PAC ";#N/A,#N/A,TRUE,"재고현황";#N/A,#N/A,TRUE,"공지사항"}</definedName>
    <definedName name="제1호표">#REF!</definedName>
    <definedName name="제2호표">#REF!</definedName>
    <definedName name="제3호표">#REF!</definedName>
    <definedName name="제4호표">#REF!</definedName>
    <definedName name="제5호표">#REF!</definedName>
    <definedName name="제6호표">#REF!</definedName>
    <definedName name="제동" hidden="1">{#N/A,#N/A,FALSE,"단축1";#N/A,#N/A,FALSE,"단축2";#N/A,#N/A,FALSE,"단축3";#N/A,#N/A,FALSE,"장축";#N/A,#N/A,FALSE,"4WD"}</definedName>
    <definedName name="제목">#REF!</definedName>
    <definedName name="제외">#REF!</definedName>
    <definedName name="제원">#REF!</definedName>
    <definedName name="제원종합" hidden="1">#REF!</definedName>
    <definedName name="제작현황" hidden="1">{#N/A,#N/A,FALSE,"단축1";#N/A,#N/A,FALSE,"단축2";#N/A,#N/A,FALSE,"단축3";#N/A,#N/A,FALSE,"장축";#N/A,#N/A,FALSE,"4WD"}</definedName>
    <definedName name="제잡비">#REF!</definedName>
    <definedName name="제조" localSheetId="2" hidden="1">{#N/A,#N/A,FALSE,"UNIT";#N/A,#N/A,FALSE,"UNIT";#N/A,#N/A,FALSE,"계정"}</definedName>
    <definedName name="제조" hidden="1">{#N/A,#N/A,FALSE,"UNIT";#N/A,#N/A,FALSE,"UNIT";#N/A,#N/A,FALSE,"계정"}</definedName>
    <definedName name="제조경비">#REF!</definedName>
    <definedName name="제조발" localSheetId="2" hidden="1">{"'매출이익'!$A$24:$K$45"}</definedName>
    <definedName name="제조발" hidden="1">{"'매출이익'!$A$24:$K$45"}</definedName>
    <definedName name="제조발생전" localSheetId="2" hidden="1">{"'매출이익'!$A$24:$K$45"}</definedName>
    <definedName name="제조발생전" hidden="1">{"'매출이익'!$A$24:$K$45"}</definedName>
    <definedName name="제조발생전파일" localSheetId="2" hidden="1">{"'매출이익'!$A$24:$K$45"}</definedName>
    <definedName name="제조발생전파일" hidden="1">{"'매출이익'!$A$24:$K$45"}</definedName>
    <definedName name="제조원가">#REF!</definedName>
    <definedName name="제조원가명세서" localSheetId="2" hidden="1">{#N/A,#N/A,FALSE,"정공"}</definedName>
    <definedName name="제조원가명세서" hidden="1">{#N/A,#N/A,FALSE,"정공"}</definedName>
    <definedName name="제조원가절감추진실적" hidden="1">{"'BSC(2001)'!$A$27:$G$32"}</definedName>
    <definedName name="제주" hidden="1">{#N/A,#N/A,FALSE,"손익표지";#N/A,#N/A,FALSE,"손익계산";#N/A,#N/A,FALSE,"일반관리비";#N/A,#N/A,FALSE,"영업외수익";#N/A,#N/A,FALSE,"영업외비용";#N/A,#N/A,FALSE,"매출액";#N/A,#N/A,FALSE,"요약손익";#N/A,#N/A,FALSE,"요약대차";#N/A,#N/A,FALSE,"매출채권현황";#N/A,#N/A,FALSE,"매출채권명세"}</definedName>
    <definedName name="제주도"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 localSheetId="2" hidden="1">{#N/A,#N/A,FALSE,"9612"}</definedName>
    <definedName name="제품" hidden="1">{#N/A,#N/A,FALSE,"9612"}</definedName>
    <definedName name="제품개발계획">BlankMacro1</definedName>
    <definedName name="제품구성" localSheetId="2" hidden="1">{"'Jibu9811 (3)'!$B$1:$J$433"}</definedName>
    <definedName name="제품구성" hidden="1">{"'Jibu9811 (3)'!$B$1:$J$433"}</definedName>
    <definedName name="제품명">#REF!</definedName>
    <definedName name="제품별사업전략" localSheetId="2" hidden="1">{#N/A,#N/A,FALSE,"UNIT";#N/A,#N/A,FALSE,"UNIT";#N/A,#N/A,FALSE,"계정"}</definedName>
    <definedName name="제품별사업전략" hidden="1">{#N/A,#N/A,FALSE,"UNIT";#N/A,#N/A,FALSE,"UNIT";#N/A,#N/A,FALSE,"계정"}</definedName>
    <definedName name="제품시화">#REF!</definedName>
    <definedName name="제품입출">#REF!</definedName>
    <definedName name="제품종류">#REF!</definedName>
    <definedName name="조" localSheetId="2" hidden="1">{#N/A,#N/A,FALSE,"1.CRITERIA";#N/A,#N/A,FALSE,"2.IS";#N/A,#N/A,FALSE,"3.BS";#N/A,#N/A,FALSE,"4.PER PL";#N/A,#N/A,FALSE,"5.INVESTMENT";#N/A,#N/A,FALSE,"6.공문";#N/A,#N/A,FALSE,"7.netinvest"}</definedName>
    <definedName name="조" hidden="1">{#N/A,#N/A,FALSE,"1.CRITERIA";#N/A,#N/A,FALSE,"2.IS";#N/A,#N/A,FALSE,"3.BS";#N/A,#N/A,FALSE,"4.PER PL";#N/A,#N/A,FALSE,"5.INVESTMENT";#N/A,#N/A,FALSE,"6.공문";#N/A,#N/A,FALSE,"7.netinvest"}</definedName>
    <definedName name="조가선재">#N/A</definedName>
    <definedName name="조건1">IF(#REF!=10,67020,IF(#REF!=20,88500,IF(#REF!=30,108990,IF(#REF!=40,128630,IF(#REF!=50,142030,IF(#REF!=60,151930))))))</definedName>
    <definedName name="조건2">IF(#REF!=80,172580,IF(#REF!=90,182150,IF(#REF!=100,189650,IF(#REF!=120,195480,IF(#REF!=140,211630,IF(#REF!=160,222630))))))</definedName>
    <definedName name="조건3">IF(#REF!=200,249790,IF(#REF!=230,253200,IF(#REF!=260,265760,IF(#REF!=290,283590,IF(#REF!=320,291520,IF(#REF!=350,307080))))))</definedName>
    <definedName name="조건4">IF(#REF!=410,342320,IF(#REF!=460,368920,IF(#REF!=510,391640)))</definedName>
    <definedName name="조견표1" hidden="1">{#N/A,#N/A,FALSE,"예상손익";#N/A,#N/A,FALSE,"관리분석";#N/A,#N/A,FALSE,"장비분석";#N/A,#N/A,FALSE,"준설분석";#N/A,#N/A,FALSE,"철구분석"}</definedName>
    <definedName name="조광원" localSheetId="2" hidden="1">{#N/A,#N/A,FALSE,"UNIT";#N/A,#N/A,FALSE,"UNIT";#N/A,#N/A,FALSE,"계정"}</definedName>
    <definedName name="조광원" hidden="1">{#N/A,#N/A,FALSE,"UNIT";#N/A,#N/A,FALSE,"UNIT";#N/A,#N/A,FALSE,"계정"}</definedName>
    <definedName name="조달수수료">#REF!</definedName>
    <definedName name="조동" hidden="1">{#N/A,#N/A,FALSE,"단축1";#N/A,#N/A,FALSE,"단축2";#N/A,#N/A,FALSE,"단축3";#N/A,#N/A,FALSE,"장축";#N/A,#N/A,FALSE,"4WD"}</definedName>
    <definedName name="조동신" hidden="1">{#N/A,#N/A,FALSE,"단축1";#N/A,#N/A,FALSE,"단축2";#N/A,#N/A,FALSE,"단축3";#N/A,#N/A,FALSE,"장축";#N/A,#N/A,FALSE,"4WD"}</definedName>
    <definedName name="조력공">#REF!</definedName>
    <definedName name="조립" localSheetId="2" hidden="1">{#N/A,#N/A,FALSE,"단축1";#N/A,#N/A,FALSE,"단축2";#N/A,#N/A,FALSE,"단축3";#N/A,#N/A,FALSE,"장축";#N/A,#N/A,FALSE,"4WD"}</definedName>
    <definedName name="조립" hidden="1">{#N/A,#N/A,FALSE,"단축1";#N/A,#N/A,FALSE,"단축2";#N/A,#N/A,FALSE,"단축3";#N/A,#N/A,FALSE,"장축";#N/A,#N/A,FALSE,"4WD"}</definedName>
    <definedName name="조립일정8">#REF!</definedName>
    <definedName name="조사가" hidden="1">#REF!</definedName>
    <definedName name="조세" hidden="1">#REF!</definedName>
    <definedName name="조장">#REF!</definedName>
    <definedName name="조적">#REF!</definedName>
    <definedName name="조적공">#REF!</definedName>
    <definedName name="조전">#REF!</definedName>
    <definedName name="조정" hidden="1">#REF!</definedName>
    <definedName name="조정계정">#REF!</definedName>
    <definedName name="조정후손익" localSheetId="2" hidden="1">{#N/A,#N/A,FALSE,"정공"}</definedName>
    <definedName name="조정후손익" hidden="1">{#N/A,#N/A,FALSE,"정공"}</definedName>
    <definedName name="조직" hidden="1">#REF!</definedName>
    <definedName name="조직1" localSheetId="2" hidden="1">{#N/A,#N/A,FALSE,"정공"}</definedName>
    <definedName name="조직1" hidden="1">{#N/A,#N/A,FALSE,"정공"}</definedName>
    <definedName name="조직3" localSheetId="2" hidden="1">{#N/A,#N/A,FALSE,"정공"}</definedName>
    <definedName name="조직3" hidden="1">{#N/A,#N/A,FALSE,"정공"}</definedName>
    <definedName name="조직도" hidden="1">{#N/A,#N/A,FALSE,"Sheet6"}</definedName>
    <definedName name="조직도2002">#REF!</definedName>
    <definedName name="조직도3안" hidden="1">#REF!</definedName>
    <definedName name="조직도최종" hidden="1">#REF!</definedName>
    <definedName name="조진원" hidden="1">#REF!</definedName>
    <definedName name="조치" localSheetId="2" hidden="1">{#N/A,#N/A,FALSE,"단축1";#N/A,#N/A,FALSE,"단축2";#N/A,#N/A,FALSE,"단축3";#N/A,#N/A,FALSE,"장축";#N/A,#N/A,FALSE,"4WD"}</definedName>
    <definedName name="조치" hidden="1">{#N/A,#N/A,FALSE,"단축1";#N/A,#N/A,FALSE,"단축2";#N/A,#N/A,FALSE,"단축3";#N/A,#N/A,FALSE,"장축";#N/A,#N/A,FALSE,"4WD"}</definedName>
    <definedName name="조회" hidden="1">{#N/A,#N/A,FALSE,"채권채무";#N/A,#N/A,FALSE,"control sheet"}</definedName>
    <definedName name="조회번호">#REF!</definedName>
    <definedName name="조회범위">#REF!</definedName>
    <definedName name="조회서">#REF!</definedName>
    <definedName name="조회주화면">#REF!</definedName>
    <definedName name="조회처목록">#REF!</definedName>
    <definedName name="종_________목">#REF!</definedName>
    <definedName name="종주" hidden="1">{#N/A,#N/A,FALSE,"단축1";#N/A,#N/A,FALSE,"단축2";#N/A,#N/A,FALSE,"단축3";#N/A,#N/A,FALSE,"장축";#N/A,#N/A,FALSE,"4WD"}</definedName>
    <definedName name="종합2" localSheetId="2" hidden="1">{#N/A,#N/A,FALSE,"정공"}</definedName>
    <definedName name="종합2" hidden="1">{#N/A,#N/A,FALSE,"정공"}</definedName>
    <definedName name="종합과세대상금융소득">#REF!</definedName>
    <definedName name="종합그래프" hidden="1">{#N/A,#N/A,FALSE,"단축1";#N/A,#N/A,FALSE,"단축2";#N/A,#N/A,FALSE,"단축3";#N/A,#N/A,FALSE,"장축";#N/A,#N/A,FALSE,"4WD"}</definedName>
    <definedName name="종합미래2" localSheetId="2" hidden="1">{#N/A,#N/A,FALSE,"정공"}</definedName>
    <definedName name="종합미래2" hidden="1">{#N/A,#N/A,FALSE,"정공"}</definedName>
    <definedName name="종합소득금액03">#REF!</definedName>
    <definedName name="종합소득금액04">#REF!</definedName>
    <definedName name="종합소득세율">#REF!</definedName>
    <definedName name="종합소득종합과세기준">#REF!</definedName>
    <definedName name="종합어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합어음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어음_1" hidden="1">{#N/A,#N/A,FALSE,"손익표지";#N/A,#N/A,FALSE,"손익계산";#N/A,#N/A,FALSE,"일반관리비";#N/A,#N/A,FALSE,"영업외수익";#N/A,#N/A,FALSE,"영업외비용";#N/A,#N/A,FALSE,"매출액";#N/A,#N/A,FALSE,"요약손익";#N/A,#N/A,FALSE,"요약대차";#N/A,#N/A,FALSE,"매출채권현황";#N/A,#N/A,FALSE,"매출채권명세"}</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추이">#REF!</definedName>
    <definedName name="좋은금고">#N/A</definedName>
    <definedName name="주" localSheetId="2" hidden="1">{#N/A,#N/A,FALSE,"UNIT";#N/A,#N/A,FALSE,"UNIT";#N/A,#N/A,FALSE,"계정"}</definedName>
    <definedName name="주" hidden="1">{#N/A,#N/A,FALSE,"UNIT";#N/A,#N/A,FALSE,"UNIT";#N/A,#N/A,FALSE,"계정"}</definedName>
    <definedName name="주목">#REF!</definedName>
    <definedName name="주미정산2000">#REF!</definedName>
    <definedName name="주부신수익권증서_400">#REF!</definedName>
    <definedName name="주소">#REF!</definedName>
    <definedName name="주소범위">#REF!</definedName>
    <definedName name="주소범위2">#REF!</definedName>
    <definedName name="주요" hidden="1">{#N/A,#N/A,TRUE,"Y생산";#N/A,#N/A,TRUE,"Y판매";#N/A,#N/A,TRUE,"Y총물량";#N/A,#N/A,TRUE,"Y능력";#N/A,#N/A,TRUE,"YKD"}</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업무1">#REF!</definedName>
    <definedName name="주요업무2" localSheetId="2" hidden="1">{#N/A,#N/A,TRUE,"Y생산";#N/A,#N/A,TRUE,"Y판매";#N/A,#N/A,TRUE,"Y총물량";#N/A,#N/A,TRUE,"Y능력";#N/A,#N/A,TRUE,"YKD"}</definedName>
    <definedName name="주요업무2" hidden="1">{#N/A,#N/A,TRUE,"Y생산";#N/A,#N/A,TRUE,"Y판매";#N/A,#N/A,TRUE,"Y총물량";#N/A,#N/A,TRUE,"Y능력";#N/A,#N/A,TRUE,"YKD"}</definedName>
    <definedName name="주요업무3" localSheetId="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주요지표" hidden="1">{#N/A,#N/A,FALSE,"손익표지";#N/A,#N/A,FALSE,"손익계산";#N/A,#N/A,FALSE,"일반관리비";#N/A,#N/A,FALSE,"영업외수익";#N/A,#N/A,FALSE,"영업외비용";#N/A,#N/A,FALSE,"매출액";#N/A,#N/A,FALSE,"요약손익";#N/A,#N/A,FALSE,"요약대차";#N/A,#N/A,FALSE,"매출채권현황";#N/A,#N/A,FALSE,"매출채권명세"}</definedName>
    <definedName name="주요현안" hidden="1">{#N/A,#N/A,FALSE,"표지목차"}</definedName>
    <definedName name="주재원" hidden="1">#REF!</definedName>
    <definedName name="주정산2000">#REF!</definedName>
    <definedName name="주제어동인원" hidden="1">{#N/A,#N/A,FALSE,"CCTV"}</definedName>
    <definedName name="주종단체">#REF!</definedName>
    <definedName name="주차계획" localSheetId="2" hidden="1">{#N/A,#N/A,FALSE,"UNIT";#N/A,#N/A,FALSE,"UNIT";#N/A,#N/A,FALSE,"계정"}</definedName>
    <definedName name="주차계획" hidden="1">{#N/A,#N/A,FALSE,"UNIT";#N/A,#N/A,FALSE,"UNIT";#N/A,#N/A,FALSE,"계정"}</definedName>
    <definedName name="주택" hidden="1">{#N/A,#N/A,FALSE,"지침";#N/A,#N/A,FALSE,"환경분석";#N/A,#N/A,FALSE,"Sheet16"}</definedName>
    <definedName name="주택매출">#REF!</definedName>
    <definedName name="주택원가">#REF!</definedName>
    <definedName name="주택최종">#REF!</definedName>
    <definedName name="주투자2000">#REF!</definedName>
    <definedName name="준" localSheetId="2" hidden="1">{#N/A,#N/A,FALSE,"Aging Summary";#N/A,#N/A,FALSE,"Ratio Analysis";#N/A,#N/A,FALSE,"Test 120 Day Accts";#N/A,#N/A,FALSE,"Tickmarks"}</definedName>
    <definedName name="준" hidden="1">{#N/A,#N/A,FALSE,"Aging Summary";#N/A,#N/A,FALSE,"Ratio Analysis";#N/A,#N/A,FALSE,"Test 120 Day Accts";#N/A,#N/A,FALSE,"Tickmarks"}</definedName>
    <definedName name="준_1" localSheetId="2" hidden="1">{#N/A,#N/A,FALSE,"Aging Summary";#N/A,#N/A,FALSE,"Ratio Analysis";#N/A,#N/A,FALSE,"Test 120 Day Accts";#N/A,#N/A,FALSE,"Tickmarks"}</definedName>
    <definedName name="준_1" hidden="1">{#N/A,#N/A,FALSE,"Aging Summary";#N/A,#N/A,FALSE,"Ratio Analysis";#N/A,#N/A,FALSE,"Test 120 Day Accts";#N/A,#N/A,FALSE,"Tickmarks"}</definedName>
    <definedName name="준공">BLCH</definedName>
    <definedName name="준공2">BLCH</definedName>
    <definedName name="준공계2">BLCH</definedName>
    <definedName name="준공일">#REF!</definedName>
    <definedName name="준비금"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수">#REF!</definedName>
    <definedName name="줄사철">#REF!</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localSheetId="2"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간정산이후근속연수">#REF!</definedName>
    <definedName name="중간정산일">#REF!</definedName>
    <definedName name="중경">#REF!</definedName>
    <definedName name="중계동분양원가">#REF!</definedName>
    <definedName name="중계동상가">#REF!</definedName>
    <definedName name="중계동아파트">#REF!</definedName>
    <definedName name="중계동완성상가">#REF!</definedName>
    <definedName name="중계동완성주택">#REF!</definedName>
    <definedName name="중계미정산2000">#REF!</definedName>
    <definedName name="중계정산2000">#REF!</definedName>
    <definedName name="중계투자2000">#REF!</definedName>
    <definedName name="중국평균환율">#REF!</definedName>
    <definedName name="중근">#REF!</definedName>
    <definedName name="중기" localSheetId="2" hidden="1">{#N/A,#N/A,FALSE,"정공"}</definedName>
    <definedName name="중기" hidden="1">{#N/A,#N/A,FALSE,"정공"}</definedName>
    <definedName name="중기운전기사">#REF!</definedName>
    <definedName name="중기운전사">#N/A</definedName>
    <definedName name="중동동상가원가">#REF!</definedName>
    <definedName name="중분류">#REF!</definedName>
    <definedName name="중선" hidden="1">{#N/A,#N/A,FALSE,"손익표지";#N/A,#N/A,FALSE,"손익계산";#N/A,#N/A,FALSE,"일반관리비";#N/A,#N/A,FALSE,"영업외수익";#N/A,#N/A,FALSE,"영업외비용";#N/A,#N/A,FALSE,"매출액";#N/A,#N/A,FALSE,"요약손익";#N/A,#N/A,FALSE,"요약대차";#N/A,#N/A,FALSE,"매출채권현황";#N/A,#N/A,FALSE,"매출채권명세"}</definedName>
    <definedName name="중소기업">#REF!</definedName>
    <definedName name="중앙" localSheetId="2" hidden="1">{#N/A,#N/A,FALSE,"단축1";#N/A,#N/A,FALSE,"단축2";#N/A,#N/A,FALSE,"단축3";#N/A,#N/A,FALSE,"장축";#N/A,#N/A,FALSE,"4WD"}</definedName>
    <definedName name="중앙" hidden="1">{#N/A,#N/A,FALSE,"단축1";#N/A,#N/A,FALSE,"단축2";#N/A,#N/A,FALSE,"단축3";#N/A,#N/A,FALSE,"장축";#N/A,#N/A,FALSE,"4WD"}</definedName>
    <definedName name="중일정3" hidden="1">{#N/A,#N/A,FALSE,"단축1";#N/A,#N/A,FALSE,"단축2";#N/A,#N/A,FALSE,"단축3";#N/A,#N/A,FALSE,"장축";#N/A,#N/A,FALSE,"4WD"}</definedName>
    <definedName name="중재">#REF!</definedName>
    <definedName name="중점" hidden="1">{"'BSC(2001)'!$A$27:$G$32"}</definedName>
    <definedName name="중점검토" localSheetId="2" hidden="1">{#N/A,#N/A,FALSE,"BS";#N/A,#N/A,FALSE,"PL";#N/A,#N/A,FALSE,"처분";#N/A,#N/A,FALSE,"현금";#N/A,#N/A,FALSE,"매출";#N/A,#N/A,FALSE,"원가";#N/A,#N/A,FALSE,"경영"}</definedName>
    <definedName name="중점검토" hidden="1">{#N/A,#N/A,FALSE,"BS";#N/A,#N/A,FALSE,"PL";#N/A,#N/A,FALSE,"처분";#N/A,#N/A,FALSE,"현금";#N/A,#N/A,FALSE,"매출";#N/A,#N/A,FALSE,"원가";#N/A,#N/A,FALSE,"경영"}</definedName>
    <definedName name="중점추" hidden="1">{"'BSC(2001)'!$A$27:$G$32"}</definedName>
    <definedName name="중점추진" localSheetId="2" hidden="1">{#N/A,#N/A,TRUE,"일정"}</definedName>
    <definedName name="중점추진" hidden="1">{#N/A,#N/A,TRUE,"일정"}</definedName>
    <definedName name="중점추진상" hidden="1">{"'BSC(2001)'!$A$27:$G$32"}</definedName>
    <definedName name="중퇴과표">#REF!</definedName>
    <definedName name="중퇴근속연수">#REF!</definedName>
    <definedName name="중퇴금">#REF!</definedName>
    <definedName name="중퇴명퇴금">#REF!</definedName>
    <definedName name="중퇴산출세액">#REF!</definedName>
    <definedName name="중퇴연평균과표">#REF!</definedName>
    <definedName name="중퇴퇴직소득공제2">#REF!</definedName>
    <definedName name="중퇴퇴직소득공제계">#REF!</definedName>
    <definedName name="중퇴환산세액">#REF!</definedName>
    <definedName name="중표지" localSheetId="2" hidden="1">{#N/A,#N/A,FALSE,"인원";#N/A,#N/A,FALSE,"비용2";#N/A,#N/A,FALSE,"비용1";#N/A,#N/A,FALSE,"비용";#N/A,#N/A,FALSE,"보증2";#N/A,#N/A,FALSE,"보증1";#N/A,#N/A,FALSE,"보증";#N/A,#N/A,FALSE,"손익1";#N/A,#N/A,FALSE,"손익";#N/A,#N/A,FALSE,"부서별매출";#N/A,#N/A,FALSE,"매출"}</definedName>
    <definedName name="중표지" hidden="1">{#N/A,#N/A,FALSE,"인원";#N/A,#N/A,FALSE,"비용2";#N/A,#N/A,FALSE,"비용1";#N/A,#N/A,FALSE,"비용";#N/A,#N/A,FALSE,"보증2";#N/A,#N/A,FALSE,"보증1";#N/A,#N/A,FALSE,"보증";#N/A,#N/A,FALSE,"손익1";#N/A,#N/A,FALSE,"손익";#N/A,#N/A,FALSE,"부서별매출";#N/A,#N/A,FALSE,"매출"}</definedName>
    <definedName name="중표지5" localSheetId="2"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증감분석96계획95실적" localSheetId="2" hidden="1">{#N/A,#N/A,FALSE,"97년 투자계획 세부내역 "}</definedName>
    <definedName name="증감분석96계획95실적" hidden="1">{#N/A,#N/A,FALSE,"97년 투자계획 세부내역 "}</definedName>
    <definedName name="증권">#REF!</definedName>
    <definedName name="증빙">#N/A</definedName>
    <definedName name="지" localSheetId="2" hidden="1">{#N/A,#N/A,TRUE,"Y생산";#N/A,#N/A,TRUE,"Y판매";#N/A,#N/A,TRUE,"Y총물량";#N/A,#N/A,TRUE,"Y능력";#N/A,#N/A,TRUE,"YKD"}</definedName>
    <definedName name="지" hidden="1">{#N/A,#N/A,TRUE,"Y생산";#N/A,#N/A,TRUE,"Y판매";#N/A,#N/A,TRUE,"Y총물량";#N/A,#N/A,TRUE,"Y능력";#N/A,#N/A,TRUE,"YKD"}</definedName>
    <definedName name="지급미포함차액">#REF!</definedName>
    <definedName name="지급방법">#REF!</definedName>
    <definedName name="지급보증받은사항">#REF!</definedName>
    <definedName name="지급어음">#REF!</definedName>
    <definedName name="지급어음1130" hidden="1">#REF!</definedName>
    <definedName name="지급어음2005" localSheetId="2" hidden="1">{#N/A,#N/A,FALSE,"Aging Summary";#N/A,#N/A,FALSE,"Ratio Analysis";#N/A,#N/A,FALSE,"Test 120 Day Accts";#N/A,#N/A,FALSE,"Tickmarks"}</definedName>
    <definedName name="지급어음2005" hidden="1">{#N/A,#N/A,FALSE,"Aging Summary";#N/A,#N/A,FALSE,"Ratio Analysis";#N/A,#N/A,FALSE,"Test 120 Day Accts";#N/A,#N/A,FALSE,"Tickmarks"}</definedName>
    <definedName name="지급어음만기별" hidden="1">#REF!</definedName>
    <definedName name="지급어음명세서3" hidden="1">{#N/A,#N/A,FALSE,"정공"}</definedName>
    <definedName name="지급율">#REF!</definedName>
    <definedName name="지급자재비">#REF!</definedName>
    <definedName name="지급조건">#REF!</definedName>
    <definedName name="지도" localSheetId="2" hidden="1">{"'Jibu9811 (3)'!$B$1:$J$433"}</definedName>
    <definedName name="지도" hidden="1">{"'Jibu9811 (3)'!$B$1:$J$433"}</definedName>
    <definedName name="지방1" localSheetId="2" hidden="1">{#N/A,#N/A,FALSE,"생산성";#N/A,#N/A,FALSE,"인력1";#N/A,#N/A,FALSE,"인력2";#N/A,#N/A,FALSE,"인력3";#N/A,#N/A,FALSE,"인건1";#N/A,#N/A,FALSE,"인건2";#N/A,#N/A,FALSE,"인건3";#N/A,#N/A,FALSE,"인원증감";#N/A,#N/A,FALSE,"인건증감";#N/A,#N/A,FALSE,"표지등"}</definedName>
    <definedName name="지방1" hidden="1">{#N/A,#N/A,FALSE,"생산성";#N/A,#N/A,FALSE,"인력1";#N/A,#N/A,FALSE,"인력2";#N/A,#N/A,FALSE,"인력3";#N/A,#N/A,FALSE,"인건1";#N/A,#N/A,FALSE,"인건2";#N/A,#N/A,FALSE,"인건3";#N/A,#N/A,FALSE,"인원증감";#N/A,#N/A,FALSE,"인건증감";#N/A,#N/A,FALSE,"표지등"}</definedName>
    <definedName name="지부실적" localSheetId="2" hidden="1">{"'Jibu9811 (3)'!$B$1:$J$433"}</definedName>
    <definedName name="지부실적" hidden="1">{"'Jibu9811 (3)'!$B$1:$J$433"}</definedName>
    <definedName name="지부와실적" localSheetId="2" hidden="1">{"'Jibu9811 (3)'!$B$1:$J$433"}</definedName>
    <definedName name="지부와실적" hidden="1">{"'Jibu9811 (3)'!$B$1:$J$433"}</definedName>
    <definedName name="지분법" localSheetId="2" hidden="1">{#N/A,#N/A,FALSE,"BS";#N/A,#N/A,FALSE,"PL";#N/A,#N/A,FALSE,"A";#N/A,#N/A,FALSE,"B";#N/A,#N/A,FALSE,"B1";#N/A,#N/A,FALSE,"C";#N/A,#N/A,FALSE,"C1";#N/A,#N/A,FALSE,"C2";#N/A,#N/A,FALSE,"D";#N/A,#N/A,FALSE,"E";#N/A,#N/A,FALSE,"F";#N/A,#N/A,FALSE,"AA";#N/A,#N/A,FALSE,"BB";#N/A,#N/A,FALSE,"CC";#N/A,#N/A,FALSE,"DD";#N/A,#N/A,FALSE,"EE";#N/A,#N/A,FALSE,"FF";#N/A,#N/A,FALSE,"PL10";#N/A,#N/A,FALSE,"PL20";#N/A,#N/A,FALSE,"PL30"}</definedName>
    <definedName name="지분법" hidden="1">{#N/A,#N/A,FALSE,"BS";#N/A,#N/A,FALSE,"PL";#N/A,#N/A,FALSE,"A";#N/A,#N/A,FALSE,"B";#N/A,#N/A,FALSE,"B1";#N/A,#N/A,FALSE,"C";#N/A,#N/A,FALSE,"C1";#N/A,#N/A,FALSE,"C2";#N/A,#N/A,FALSE,"D";#N/A,#N/A,FALSE,"E";#N/A,#N/A,FALSE,"F";#N/A,#N/A,FALSE,"AA";#N/A,#N/A,FALSE,"BB";#N/A,#N/A,FALSE,"CC";#N/A,#N/A,FALSE,"DD";#N/A,#N/A,FALSE,"EE";#N/A,#N/A,FALSE,"FF";#N/A,#N/A,FALSE,"PL10";#N/A,#N/A,FALSE,"PL20";#N/A,#N/A,FALSE,"PL30"}</definedName>
    <definedName name="지분율">#REF!</definedName>
    <definedName name="支払" localSheetId="2" hidden="1">{"'買掛金'!$J$6"}</definedName>
    <definedName name="支払" hidden="1">{"'買掛金'!$J$6"}</definedName>
    <definedName name="支払手形" localSheetId="2" hidden="1">{"'買掛金'!$J$6"}</definedName>
    <definedName name="支払手形" hidden="1">{"'買掛金'!$J$6"}</definedName>
    <definedName name="지역">#N/A</definedName>
    <definedName name="지역명">#REF!</definedName>
    <definedName name="지자">#REF!</definedName>
    <definedName name="지점제시기준" localSheetId="2" hidden="1">{"'Jibu9811 (3)'!$B$1:$J$433"}</definedName>
    <definedName name="지점제시기준" hidden="1">{"'Jibu9811 (3)'!$B$1:$J$433"}</definedName>
    <definedName name="지주">#N/A</definedName>
    <definedName name="지지">#REF!</definedName>
    <definedName name="지지지" localSheetId="2" hidden="1">{"'미착금액'!$A$4:$G$14"}</definedName>
    <definedName name="지지지" hidden="1">{"'미착금액'!$A$4:$G$14"}</definedName>
    <definedName name="직">#REF!</definedName>
    <definedName name="직1CO">#REF!</definedName>
    <definedName name="직공">#REF!</definedName>
    <definedName name="직급공정" hidden="1">#REF!</definedName>
    <definedName name="직급별3" hidden="1">{#N/A,#N/A,FALSE,"Sheet1"}</definedName>
    <definedName name="직급별초입비교"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노">#REF!</definedName>
    <definedName name="직매54P" localSheetId="2" hidden="1">{#N/A,#N/A,TRUE,"토적및재료집계";#N/A,#N/A,TRUE,"토적및재료집계";#N/A,#N/A,TRUE,"단위량"}</definedName>
    <definedName name="직매54P" hidden="1">{#N/A,#N/A,TRUE,"토적및재료집계";#N/A,#N/A,TRUE,"토적및재료집계";#N/A,#N/A,TRUE,"단위량"}</definedName>
    <definedName name="직위">#REF!</definedName>
    <definedName name="직접공사비">#REF!</definedName>
    <definedName name="직접노무비">#REF!</definedName>
    <definedName name="직접법">#N/A</definedName>
    <definedName name="직접율95">#REF!</definedName>
    <definedName name="직접율96">#REF!</definedName>
    <definedName name="직접율97">#REF!</definedName>
    <definedName name="직접인원" hidden="1">{#N/A,#N/A,FALSE,"CCTV"}</definedName>
    <definedName name="직접재료비">#REF!</definedName>
    <definedName name="직종">#REF!</definedName>
    <definedName name="진" localSheetId="2" hidden="1">{"'Jibu9811 (3)'!$B$1:$J$433"}</definedName>
    <definedName name="진" hidden="1">{"'Jibu9811 (3)'!$B$1:$J$433"}</definedName>
    <definedName name="진단표"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빠" hidden="1">{#N/A,#N/A,FALSE,"손익표지";#N/A,#N/A,FALSE,"손익계산";#N/A,#N/A,FALSE,"일반관리비";#N/A,#N/A,FALSE,"영업외수익";#N/A,#N/A,FALSE,"영업외비용";#N/A,#N/A,FALSE,"매출액";#N/A,#N/A,FALSE,"요약손익";#N/A,#N/A,FALSE,"요약대차";#N/A,#N/A,FALSE,"매출채권현황";#N/A,#N/A,FALSE,"매출채권명세"}</definedName>
    <definedName name="진자" localSheetId="2" hidden="1">{"'Jibu9811 (3)'!$B$1:$J$433"}</definedName>
    <definedName name="진자" hidden="1">{"'Jibu9811 (3)'!$B$1:$J$433"}</definedName>
    <definedName name="진주">#REF!</definedName>
    <definedName name="진짜" localSheetId="2" hidden="1">{"'Jibu9811 (3)'!$B$1:$J$433"}</definedName>
    <definedName name="진짜" hidden="1">{"'Jibu9811 (3)'!$B$1:$J$433"}</definedName>
    <definedName name="진짜살림">#REF!</definedName>
    <definedName name="진짜연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연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연습_1"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_1" hidden="1">{#N/A,#N/A,FALSE,"손익표지";#N/A,#N/A,FALSE,"손익계산";#N/A,#N/A,FALSE,"일반관리비";#N/A,#N/A,FALSE,"영업외수익";#N/A,#N/A,FALSE,"영업외비용";#N/A,#N/A,FALSE,"매출액";#N/A,#N/A,FALSE,"요약손익";#N/A,#N/A,FALSE,"요약대차";#N/A,#N/A,FALSE,"매출채권현황";#N/A,#N/A,FALSE,"매출채권명세"}</definedName>
    <definedName name="진짜현금작성조서" localSheetId="2"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진행사항보고.xls" localSheetId="2" hidden="1">{#N/A,#N/A,FALSE,"97년 투자계획 세부내역 "}</definedName>
    <definedName name="진행사항보고.xls" hidden="1">{#N/A,#N/A,FALSE,"97년 투자계획 세부내역 "}</definedName>
    <definedName name="짇">#REF!</definedName>
    <definedName name="집" hidden="1">#REF!</definedName>
    <definedName name="집계">#REF!</definedName>
    <definedName name="집계1">#REF!</definedName>
    <definedName name="집계2">#REF!</definedName>
    <definedName name="집기">#REF!</definedName>
    <definedName name="집기비품"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기비품"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행계획">#REF!</definedName>
    <definedName name="ㅊ" localSheetId="2" hidden="1">{#N/A,#N/A,FALSE,"BS";#N/A,#N/A,FALSE,"PL";#N/A,#N/A,FALSE,"처분";#N/A,#N/A,FALSE,"현금";#N/A,#N/A,FALSE,"매출";#N/A,#N/A,FALSE,"원가";#N/A,#N/A,FALSE,"경영"}</definedName>
    <definedName name="ㅊ" hidden="1">{#N/A,#N/A,FALSE,"BS";#N/A,#N/A,FALSE,"PL";#N/A,#N/A,FALSE,"처분";#N/A,#N/A,FALSE,"현금";#N/A,#N/A,FALSE,"매출";#N/A,#N/A,FALSE,"원가";#N/A,#N/A,FALSE,"경영"}</definedName>
    <definedName name="ㅊ1055">#REF!</definedName>
    <definedName name="ㅊ3030">#REF!</definedName>
    <definedName name="ㅊ댜ㅓㅏㅎ">BlankMacro1</definedName>
    <definedName name="ㅊㅂㄷ" localSheetId="2" hidden="1">{#N/A,#N/A,FALSE,"기안지";#N/A,#N/A,FALSE,"통신지"}</definedName>
    <definedName name="ㅊㅂㄷ" hidden="1">{#N/A,#N/A,FALSE,"기안지";#N/A,#N/A,FALSE,"통신지"}</definedName>
    <definedName name="ㅊㅇ" localSheetId="2" hidden="1">{#N/A,#N/A,FALSE,"기안지";#N/A,#N/A,FALSE,"통신지"}</definedName>
    <definedName name="ㅊㅇ" hidden="1">{#N/A,#N/A,FALSE,"기안지";#N/A,#N/A,FALSE,"통신지"}</definedName>
    <definedName name="ㅊ어ㅑㅐ">BlankMacro1</definedName>
    <definedName name="ㅊㅊ">BlankMacro1</definedName>
    <definedName name="ㅊㅊㅊ" hidden="1">{#N/A,#N/A,FALSE,"단축1";#N/A,#N/A,FALSE,"단축2";#N/A,#N/A,FALSE,"단축3";#N/A,#N/A,FALSE,"장축";#N/A,#N/A,FALSE,"4WD"}</definedName>
    <definedName name="ㅊㅊㅊㅊㅊ" localSheetId="2" hidden="1">{#N/A,#N/A,FALSE,"인원";#N/A,#N/A,FALSE,"비용2";#N/A,#N/A,FALSE,"비용1";#N/A,#N/A,FALSE,"비용";#N/A,#N/A,FALSE,"보증2";#N/A,#N/A,FALSE,"보증1";#N/A,#N/A,FALSE,"보증";#N/A,#N/A,FALSE,"손익1";#N/A,#N/A,FALSE,"손익";#N/A,#N/A,FALSE,"부서별매출";#N/A,#N/A,FALSE,"매출"}</definedName>
    <definedName name="ㅊㅊㅊㅊㅊ" hidden="1">{#N/A,#N/A,FALSE,"인원";#N/A,#N/A,FALSE,"비용2";#N/A,#N/A,FALSE,"비용1";#N/A,#N/A,FALSE,"비용";#N/A,#N/A,FALSE,"보증2";#N/A,#N/A,FALSE,"보증1";#N/A,#N/A,FALSE,"보증";#N/A,#N/A,FALSE,"손익1";#N/A,#N/A,FALSE,"손익";#N/A,#N/A,FALSE,"부서별매출";#N/A,#N/A,FALSE,"매출"}</definedName>
    <definedName name="ㅊㅊ창">#REF!</definedName>
    <definedName name="ㅊ차ㅓ">BlankMacro1</definedName>
    <definedName name="ㅊ퍄">BlankMacro1</definedName>
    <definedName name="ㅊ폴" hidden="1">{#N/A,#N/A,FALSE,"Sheet6"}</definedName>
    <definedName name="차" localSheetId="2" hidden="1">{#N/A,#N/A,FALSE,"1.CRITERIA";#N/A,#N/A,FALSE,"2.IS";#N/A,#N/A,FALSE,"3.BS";#N/A,#N/A,FALSE,"4.PER PL";#N/A,#N/A,FALSE,"5.INVESTMENT";#N/A,#N/A,FALSE,"6.공문";#N/A,#N/A,FALSE,"7.netinvest"}</definedName>
    <definedName name="차" hidden="1">{#N/A,#N/A,FALSE,"1.CRITERIA";#N/A,#N/A,FALSE,"2.IS";#N/A,#N/A,FALSE,"3.BS";#N/A,#N/A,FALSE,"4.PER PL";#N/A,#N/A,FALSE,"5.INVESTMENT";#N/A,#N/A,FALSE,"6.공문";#N/A,#N/A,FALSE,"7.netinvest"}</definedName>
    <definedName name="차." localSheetId="2" hidden="1">{#N/A,#N/A,FALSE,"UNIT";#N/A,#N/A,FALSE,"UNIT";#N/A,#N/A,FALSE,"계정"}</definedName>
    <definedName name="차." hidden="1">{#N/A,#N/A,FALSE,"UNIT";#N/A,#N/A,FALSE,"UNIT";#N/A,#N/A,FALSE,"계정"}</definedName>
    <definedName name="차댜">BlankMacro1</definedName>
    <definedName name="차댬ㅎ">BlankMacro1</definedName>
    <definedName name="차댱" localSheetId="2" hidden="1">{#N/A,#N/A,FALSE,"기안지";#N/A,#N/A,FALSE,"통신지"}</definedName>
    <definedName name="차댱" hidden="1">{#N/A,#N/A,FALSE,"기안지";#N/A,#N/A,FALSE,"통신지"}</definedName>
    <definedName name="차량" localSheetId="2" hidden="1">{#N/A,#N/A,FALSE,"UNIT";#N/A,#N/A,FALSE,"UNIT";#N/A,#N/A,FALSE,"계정"}</definedName>
    <definedName name="차량" hidden="1">{#N/A,#N/A,FALSE,"UNIT";#N/A,#N/A,FALSE,"UNIT";#N/A,#N/A,FALSE,"계정"}</definedName>
    <definedName name="차량SVC" localSheetId="2" hidden="1">{#N/A,#N/A,FALSE,"UNIT";#N/A,#N/A,FALSE,"UNIT";#N/A,#N/A,FALSE,"계정"}</definedName>
    <definedName name="차량SVC" hidden="1">{#N/A,#N/A,FALSE,"UNIT";#N/A,#N/A,FALSE,"UNIT";#N/A,#N/A,FALSE,"계정"}</definedName>
    <definedName name="차량감가">#REF!</definedName>
    <definedName name="차량시부인">#REF!</definedName>
    <definedName name="차량운반구" localSheetId="2" hidden="1">{"'손익현황'!$A$1:$J$29"}</definedName>
    <definedName name="차량운반구" hidden="1">{"'손익현황'!$A$1:$J$29"}</definedName>
    <definedName name="차변">#REF!</definedName>
    <definedName name="차변금액">#REF!</definedName>
    <definedName name="차변추가">#REF!</definedName>
    <definedName name="차수벽높이">#REF!</definedName>
    <definedName name="차수벽두께">#REF!</definedName>
    <definedName name="차아">BlankMacro1</definedName>
    <definedName name="차이조">#REF!</definedName>
    <definedName name="차이조정분" hidden="1">{"'Sheet1'!$A$1:$D$15"}</definedName>
    <definedName name="차이조회">#REF!</definedName>
    <definedName name="차입" hidden="1">{#N/A,#N/A,FALSE,"Sheet1"}</definedName>
    <definedName name="차입금">#REF!</definedName>
    <definedName name="차입금리">#REF!</definedName>
    <definedName name="差入保証金" localSheetId="2" hidden="1">{"'買掛金'!$J$6"}</definedName>
    <definedName name="差入保証金" hidden="1">{"'買掛金'!$J$6"}</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종별기본생산계획"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체1" hidden="1">{#N/A,#N/A,FALSE,"단축1";#N/A,#N/A,FALSE,"단축2";#N/A,#N/A,FALSE,"단축3";#N/A,#N/A,FALSE,"장축";#N/A,#N/A,FALSE,"4WD"}</definedName>
    <definedName name="차트" localSheetId="2" hidden="1">{#N/A,#N/A,FALSE,"정공"}</definedName>
    <definedName name="차트" hidden="1">{#N/A,#N/A,FALSE,"정공"}</definedName>
    <definedName name="차ㅏ">BlankMacro1</definedName>
    <definedName name="차ㅏㄷ">BlankMacro1</definedName>
    <definedName name="차ㅏㅇ">BlankMacro1</definedName>
    <definedName name="차ㅏ아">BlankMacro1</definedName>
    <definedName name="차ㅏㅈ" localSheetId="2" hidden="1">{#N/A,#N/A,FALSE,"기안지";#N/A,#N/A,FALSE,"통신지"}</definedName>
    <definedName name="차ㅏㅈ" hidden="1">{#N/A,#N/A,FALSE,"기안지";#N/A,#N/A,FALSE,"통신지"}</definedName>
    <definedName name="차ㅏㅊ" localSheetId="2" hidden="1">{#N/A,#N/A,FALSE,"기안지";#N/A,#N/A,FALSE,"통신지"}</definedName>
    <definedName name="차ㅏㅊ" hidden="1">{#N/A,#N/A,FALSE,"기안지";#N/A,#N/A,FALSE,"통신지"}</definedName>
    <definedName name="차ㅏㅏㅏㅏㅕ다ㅣ">BlankMacro1</definedName>
    <definedName name="차ㅏㅓ허" localSheetId="2" hidden="1">{#N/A,#N/A,FALSE,"기안지";#N/A,#N/A,FALSE,"통신지"}</definedName>
    <definedName name="차ㅏㅓ허" hidden="1">{#N/A,#N/A,FALSE,"기안지";#N/A,#N/A,FALSE,"통신지"}</definedName>
    <definedName name="차ㅓㅇ">BlankMacro1</definedName>
    <definedName name="차ㅓㅎ">BlankMacro1</definedName>
    <definedName name="차ㅓㅓ">BlankMacro1</definedName>
    <definedName name="차ㅕ도호">BlankMacro1</definedName>
    <definedName name="착공월">#REF!</definedName>
    <definedName name="착공일">#REF!</definedName>
    <definedName name="착정">#N/A</definedName>
    <definedName name="참고" localSheetId="2" hidden="1">{#N/A,#N/A,FALSE,"BS";#N/A,#N/A,FALSE,"PL";#N/A,#N/A,FALSE,"처분";#N/A,#N/A,FALSE,"현금";#N/A,#N/A,FALSE,"매출";#N/A,#N/A,FALSE,"원가";#N/A,#N/A,FALSE,"경영"}</definedName>
    <definedName name="참고" hidden="1">{#N/A,#N/A,FALSE,"BS";#N/A,#N/A,FALSE,"PL";#N/A,#N/A,FALSE,"처분";#N/A,#N/A,FALSE,"현금";#N/A,#N/A,FALSE,"매출";#N/A,#N/A,FALSE,"원가";#N/A,#N/A,FALSE,"경영"}</definedName>
    <definedName name="참고_1" localSheetId="2" hidden="1">{#N/A,#N/A,FALSE,"BS";#N/A,#N/A,FALSE,"PL";#N/A,#N/A,FALSE,"처분";#N/A,#N/A,FALSE,"현금";#N/A,#N/A,FALSE,"매출";#N/A,#N/A,FALSE,"원가";#N/A,#N/A,FALSE,"경영"}</definedName>
    <definedName name="참고_1" hidden="1">{#N/A,#N/A,FALSE,"BS";#N/A,#N/A,FALSE,"PL";#N/A,#N/A,FALSE,"처분";#N/A,#N/A,FALSE,"현금";#N/A,#N/A,FALSE,"매출";#N/A,#N/A,FALSE,"원가";#N/A,#N/A,FALSE,"경영"}</definedName>
    <definedName name="참고1장" hidden="1">{#N/A,#N/A,FALSE,"단축1";#N/A,#N/A,FALSE,"단축2";#N/A,#N/A,FALSE,"단축3";#N/A,#N/A,FALSE,"장축";#N/A,#N/A,FALSE,"4WD"}</definedName>
    <definedName name="참고2" hidden="1">#REF!</definedName>
    <definedName name="참고자료" hidden="1">{#VALUE!,#N/A,FALSE,0;#N/A,#N/A,FALSE,0;#N/A,#N/A,FALSE,0;#N/A,#N/A,FALSE,0}</definedName>
    <definedName name="창고">#REF!</definedName>
    <definedName name="채권과다" localSheetId="2" hidden="1">{#N/A,#N/A,FALSE,"범우구미";#N/A,#N/A,FALSE,"세한케미칼";#N/A,#N/A,FALSE,"세명화학";#N/A,#N/A,FALSE,"신영케미칼";#N/A,#N/A,FALSE,"일석상사"}</definedName>
    <definedName name="채권과다" hidden="1">{#N/A,#N/A,FALSE,"범우구미";#N/A,#N/A,FALSE,"세한케미칼";#N/A,#N/A,FALSE,"세명화학";#N/A,#N/A,FALSE,"신영케미칼";#N/A,#N/A,FALSE,"일석상사"}</definedName>
    <definedName name="채권과다1" localSheetId="2" hidden="1">{#N/A,#N/A,FALSE,"범우구미";#N/A,#N/A,FALSE,"세한케미칼";#N/A,#N/A,FALSE,"세명화학";#N/A,#N/A,FALSE,"신영케미칼";#N/A,#N/A,FALSE,"일석상사"}</definedName>
    <definedName name="채권과다1" hidden="1">{#N/A,#N/A,FALSE,"범우구미";#N/A,#N/A,FALSE,"세한케미칼";#N/A,#N/A,FALSE,"세명화학";#N/A,#N/A,FALSE,"신영케미칼";#N/A,#N/A,FALSE,"일석상사"}</definedName>
    <definedName name="채권과다2" localSheetId="2" hidden="1">{#N/A,#N/A,FALSE,"범우구미";#N/A,#N/A,FALSE,"세한케미칼";#N/A,#N/A,FALSE,"세명화학";#N/A,#N/A,FALSE,"신영케미칼";#N/A,#N/A,FALSE,"일석상사"}</definedName>
    <definedName name="채권과다2" hidden="1">{#N/A,#N/A,FALSE,"범우구미";#N/A,#N/A,FALSE,"세한케미칼";#N/A,#N/A,FALSE,"세명화학";#N/A,#N/A,FALSE,"신영케미칼";#N/A,#N/A,FALSE,"일석상사"}</definedName>
    <definedName name="채권과다현황" localSheetId="2" hidden="1">{#N/A,#N/A,FALSE,"범우구미";#N/A,#N/A,FALSE,"세한케미칼";#N/A,#N/A,FALSE,"세명화학";#N/A,#N/A,FALSE,"신영케미칼";#N/A,#N/A,FALSE,"일석상사"}</definedName>
    <definedName name="채권과다현황" hidden="1">{#N/A,#N/A,FALSE,"범우구미";#N/A,#N/A,FALSE,"세한케미칼";#N/A,#N/A,FALSE,"세명화학";#N/A,#N/A,FALSE,"신영케미칼";#N/A,#N/A,FALSE,"일석상사"}</definedName>
    <definedName name="채권많음" localSheetId="2" hidden="1">{#N/A,#N/A,FALSE,"범우구미";#N/A,#N/A,FALSE,"세한케미칼";#N/A,#N/A,FALSE,"세명화학";#N/A,#N/A,FALSE,"신영케미칼";#N/A,#N/A,FALSE,"일석상사"}</definedName>
    <definedName name="채권많음" hidden="1">{#N/A,#N/A,FALSE,"범우구미";#N/A,#N/A,FALSE,"세한케미칼";#N/A,#N/A,FALSE,"세명화학";#N/A,#N/A,FALSE,"신영케미칼";#N/A,#N/A,FALSE,"일석상사"}</definedName>
    <definedName name="채권액과다현황" localSheetId="2" hidden="1">{#N/A,#N/A,FALSE,"범우구미";#N/A,#N/A,FALSE,"세한케미칼";#N/A,#N/A,FALSE,"세명화학";#N/A,#N/A,FALSE,"신영케미칼";#N/A,#N/A,FALSE,"일석상사"}</definedName>
    <definedName name="채권액과다현황" hidden="1">{#N/A,#N/A,FALSE,"범우구미";#N/A,#N/A,FALSE,"세한케미칼";#N/A,#N/A,FALSE,"세명화학";#N/A,#N/A,FALSE,"신영케미칼";#N/A,#N/A,FALSE,"일석상사"}</definedName>
    <definedName name="채권재" localSheetId="2" hidden="1">{#N/A,#N/A,FALSE,"채권채무";#N/A,#N/A,FALSE,"control sheet"}</definedName>
    <definedName name="채권재" hidden="1">{#N/A,#N/A,FALSE,"채권채무";#N/A,#N/A,FALSE,"control sheet"}</definedName>
    <definedName name="채권전체">#REF!</definedName>
    <definedName name="채권채무통제표">#N/A</definedName>
    <definedName name="채무" localSheetId="2" hidden="1">{"'매출이익'!$A$24:$K$45"}</definedName>
    <definedName name="채무" hidden="1">{"'매출이익'!$A$24:$K$45"}</definedName>
    <definedName name="채무내역" localSheetId="2" hidden="1">{"'매출이익'!$A$24:$K$45"}</definedName>
    <definedName name="채무내역" hidden="1">{"'매출이익'!$A$24:$K$45"}</definedName>
    <definedName name="채ㅏ더ㅓㅓㅎ">BlankMacro1</definedName>
    <definedName name="책">BlankMacro1</definedName>
    <definedName name="챠">BlankMacro1</definedName>
    <definedName name="챠다">BlankMacro1</definedName>
    <definedName name="챠더히햐">BlankMacro1</definedName>
    <definedName name="챠뎌" localSheetId="2" hidden="1">{#N/A,#N/A,FALSE,"기안지";#N/A,#N/A,FALSE,"통신지"}</definedName>
    <definedName name="챠뎌" hidden="1">{#N/A,#N/A,FALSE,"기안지";#N/A,#N/A,FALSE,"통신지"}</definedName>
    <definedName name="챠디">BlankMacro1</definedName>
    <definedName name="챠어">BlankMacro1</definedName>
    <definedName name="챠ㅏㅏ어">BlankMacro1</definedName>
    <definedName name="챠ㅐㅏㅣㅣㅇ">BlankMacro1</definedName>
    <definedName name="챧">BlankMacro1</definedName>
    <definedName name="챧ㅁ">BlankMacro1</definedName>
    <definedName name="챰ㅂ">BlankMacro1</definedName>
    <definedName name="챶당">BlankMacro1</definedName>
    <definedName name="처" localSheetId="2" hidden="1">{#N/A,#N/A,FALSE,"기안지";#N/A,#N/A,FALSE,"통신지"}</definedName>
    <definedName name="처" hidden="1">{#N/A,#N/A,FALSE,"기안지";#N/A,#N/A,FALSE,"통신지"}</definedName>
    <definedName name="처댜">BlankMacro1</definedName>
    <definedName name="처댜차ㅏㅓㅇ">BlankMacro1</definedName>
    <definedName name="처뱌">BlankMacro1</definedName>
    <definedName name="처아아" localSheetId="2" hidden="1">{#N/A,#N/A,FALSE,"기안지";#N/A,#N/A,FALSE,"통신지"}</definedName>
    <definedName name="처아아" hidden="1">{#N/A,#N/A,FALSE,"기안지";#N/A,#N/A,FALSE,"통신지"}</definedName>
    <definedName name="처어ㅓ">BlankMacro1</definedName>
    <definedName name="처장신규" localSheetId="2" hidden="1">{"'Jibu9811 (3)'!$B$1:$J$433"}</definedName>
    <definedName name="처장신규" hidden="1">{"'Jibu9811 (3)'!$B$1:$J$433"}</definedName>
    <definedName name="처허아">BlankMacro1</definedName>
    <definedName name="처허ㅏㅣ">BlankMacro1</definedName>
    <definedName name="처허ㅓㅇ">BlankMacro1</definedName>
    <definedName name="처호">BlankMacro1</definedName>
    <definedName name="처회">BlankMacro1</definedName>
    <definedName name="처ㅏㄷ">BlankMacro1</definedName>
    <definedName name="처ㅏㅇ">BlankMacro1</definedName>
    <definedName name="처ㅏ허">BlankMacro1</definedName>
    <definedName name="처ㅏㅏㅇ">BlankMacro1</definedName>
    <definedName name="처ㅏㅏㅏㅇ">BlankMacro1</definedName>
    <definedName name="처ㅏㅐㄷㄱ" localSheetId="2" hidden="1">{#N/A,#N/A,FALSE,"기안지";#N/A,#N/A,FALSE,"통신지"}</definedName>
    <definedName name="처ㅏㅐㄷㄱ" hidden="1">{#N/A,#N/A,FALSE,"기안지";#N/A,#N/A,FALSE,"통신지"}</definedName>
    <definedName name="처ㅑ">BlankMacro1</definedName>
    <definedName name="처ㅑㄷㄱ" localSheetId="2" hidden="1">{#N/A,#N/A,FALSE,"기안지";#N/A,#N/A,FALSE,"통신지"}</definedName>
    <definedName name="처ㅑㄷㄱ" hidden="1">{#N/A,#N/A,FALSE,"기안지";#N/A,#N/A,FALSE,"통신지"}</definedName>
    <definedName name="처ㅑ다">BlankMacro1</definedName>
    <definedName name="처ㅑ디">BlankMacro1</definedName>
    <definedName name="처ㅑㅂ">BlankMacro1</definedName>
    <definedName name="처ㅓ" localSheetId="2" hidden="1">{#N/A,#N/A,FALSE,"기안지";#N/A,#N/A,FALSE,"통신지"}</definedName>
    <definedName name="처ㅓ" hidden="1">{#N/A,#N/A,FALSE,"기안지";#N/A,#N/A,FALSE,"통신지"}</definedName>
    <definedName name="처ㅓㄹ">BlankMacro1</definedName>
    <definedName name="처ㅓㅇ">BlankMacro1</definedName>
    <definedName name="처ㅓㅇ아">BlankMacro1</definedName>
    <definedName name="처ㅓㅎ">BlankMacro1</definedName>
    <definedName name="처ㅓ하">BlankMacro1</definedName>
    <definedName name="처ㅓ허ㅓㅇ">BlankMacro1</definedName>
    <definedName name="처ㅓㅓㅇ" localSheetId="2" hidden="1">{#N/A,#N/A,FALSE,"기안지";#N/A,#N/A,FALSE,"통신지"}</definedName>
    <definedName name="처ㅓㅓㅇ" hidden="1">{#N/A,#N/A,FALSE,"기안지";#N/A,#N/A,FALSE,"통신지"}</definedName>
    <definedName name="처ㅓㅓㅑㄷ">BlankMacro1</definedName>
    <definedName name="천">#REF!</definedName>
    <definedName name="천안">#REF!</definedName>
    <definedName name="천천천">BlankMacro1</definedName>
    <definedName name="철거현황" hidden="1">{#N/A,#N/A,FALSE,"단축1";#N/A,#N/A,FALSE,"단축2";#N/A,#N/A,FALSE,"단축3";#N/A,#N/A,FALSE,"장축";#N/A,#N/A,FALSE,"4WD"}</definedName>
    <definedName name="철공">#REF!</definedName>
    <definedName name="철근13">#REF!</definedName>
    <definedName name="철근공">#REF!</definedName>
    <definedName name="철콘">#REF!</definedName>
    <definedName name="철탑">#REF!</definedName>
    <definedName name="철호" localSheetId="2" hidden="1">{"'Jibu9811 (3)'!$B$1:$J$433"}</definedName>
    <definedName name="철호" hidden="1">{"'Jibu9811 (3)'!$B$1:$J$433"}</definedName>
    <definedName name="첨" hidden="1">{#N/A,#N/A,FALSE,"단축1";#N/A,#N/A,FALSE,"단축2";#N/A,#N/A,FALSE,"단축3";#N/A,#N/A,FALSE,"장축";#N/A,#N/A,FALSE,"4WD"}</definedName>
    <definedName name="첨부." hidden="1">#REF!</definedName>
    <definedName name="첨부101" hidden="1">{#N/A,#N/A,FALSE,"단축1";#N/A,#N/A,FALSE,"단축2";#N/A,#N/A,FALSE,"단축3";#N/A,#N/A,FALSE,"장축";#N/A,#N/A,FALSE,"4WD"}</definedName>
    <definedName name="첨부11">BlankMacro1</definedName>
    <definedName name="첩모">BlankMacro1</definedName>
    <definedName name="첫장" hidden="1">{#N/A,#N/A,TRUE,"총괄"}</definedName>
    <definedName name="첫장1" hidden="1">{"'용역비'!$A$4:$C$8"}</definedName>
    <definedName name="청단풍">#REF!</definedName>
    <definedName name="청주">#REF!</definedName>
    <definedName name="청주가동률">{"Book1"}</definedName>
    <definedName name="첳">BlankMacro1</definedName>
    <definedName name="초고압" localSheetId="2" hidden="1">{#N/A,#N/A,FALSE,"UNIT";#N/A,#N/A,FALSE,"UNIT";#N/A,#N/A,FALSE,"계정"}</definedName>
    <definedName name="초고압" hidden="1">{#N/A,#N/A,FALSE,"UNIT";#N/A,#N/A,FALSE,"UNIT";#N/A,#N/A,FALSE,"계정"}</definedName>
    <definedName name="초기작업"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안" hidden="1">{#N/A,#N/A,FALSE,"단축1";#N/A,#N/A,FALSE,"단축2";#N/A,#N/A,FALSE,"단축3";#N/A,#N/A,FALSE,"장축";#N/A,#N/A,FALSE,"4WD"}</definedName>
    <definedName name="초임금비교" localSheetId="2" hidden="1">{#N/A,#N/A,FALSE,"계약직(여)"}</definedName>
    <definedName name="초임금비교" hidden="1">{#N/A,#N/A,FALSE,"계약직(여)"}</definedName>
    <definedName name="초임급" localSheetId="2" hidden="1">{#N/A,#N/A,FALSE,"계약직(여)"}</definedName>
    <definedName name="초임급" hidden="1">{#N/A,#N/A,FALSE,"계약직(여)"}</definedName>
    <definedName name="초ㅓㅑㅂ">BlankMacro1</definedName>
    <definedName name="총">#REF!</definedName>
    <definedName name="총갑지" hidden="1">#REF!</definedName>
    <definedName name="총계">#REF!</definedName>
    <definedName name="총계0">#REF!</definedName>
    <definedName name="총계1">#REF!</definedName>
    <definedName name="총계8">#REF!</definedName>
    <definedName name="총계9">#REF!</definedName>
    <definedName name="총공" localSheetId="2" hidden="1">{#N/A,#N/A,FALSE,"운반시간"}</definedName>
    <definedName name="총공" hidden="1">{#N/A,#N/A,FALSE,"운반시간"}</definedName>
    <definedName name="총괄"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_신세대" localSheetId="2" hidden="1">{#N/A,#N/A,FALSE,"정공"}</definedName>
    <definedName name="총괄_신세대" hidden="1">{#N/A,#N/A,FALSE,"정공"}</definedName>
    <definedName name="총괄1" localSheetId="2" hidden="1">{#N/A,#N/A,FALSE,"UNIT";#N/A,#N/A,FALSE,"UNIT";#N/A,#N/A,FALSE,"계정"}</definedName>
    <definedName name="총괄1" hidden="1">{#N/A,#N/A,FALSE,"UNIT";#N/A,#N/A,FALSE,"UNIT";#N/A,#N/A,FALSE,"계정"}</definedName>
    <definedName name="총괄내역" hidden="1">{#N/A,#N/A,TRUE,"총괄"}</definedName>
    <definedName name="총괄내역서" hidden="1">{#N/A,#N/A,TRUE,"총괄"}</definedName>
    <definedName name="총괄표" hidden="1">{#N/A,#N/A,FALSE,"손익표지";#N/A,#N/A,FALSE,"손익계산";#N/A,#N/A,FALSE,"일반관리비";#N/A,#N/A,FALSE,"영업외수익";#N/A,#N/A,FALSE,"영업외비용";#N/A,#N/A,FALSE,"매출액";#N/A,#N/A,FALSE,"요약손익";#N/A,#N/A,FALSE,"요약대차";#N/A,#N/A,FALSE,"매출채권현황";#N/A,#N/A,FALSE,"매출채권명세"}</definedName>
    <definedName name="총괄표0" hidden="1">#REF!</definedName>
    <definedName name="총괄회의자료" hidden="1">#REF!</definedName>
    <definedName name="총무" localSheetId="2" hidden="1">{#N/A,#N/A,FALSE,"P.C.B"}</definedName>
    <definedName name="총무" hidden="1">{#N/A,#N/A,FALSE,"P.C.B"}</definedName>
    <definedName name="총무3" hidden="1">{#N/A,#N/A,FALSE,"단축1";#N/A,#N/A,FALSE,"단축2";#N/A,#N/A,FALSE,"단축3";#N/A,#N/A,FALSE,"장축";#N/A,#N/A,FALSE,"4WD"}</definedName>
    <definedName name="총원가">#REF!</definedName>
    <definedName name="총원가2">#REF!</definedName>
    <definedName name="총자산평균">#REF!</definedName>
    <definedName name="총추심현황" localSheetId="2" hidden="1">{#N/A,#N/A,FALSE,"범우구미";#N/A,#N/A,FALSE,"세한케미칼";#N/A,#N/A,FALSE,"세명화학";#N/A,#N/A,FALSE,"신영케미칼";#N/A,#N/A,FALSE,"일석상사"}</definedName>
    <definedName name="총추심현황" hidden="1">{#N/A,#N/A,FALSE,"범우구미";#N/A,#N/A,FALSE,"세한케미칼";#N/A,#N/A,FALSE,"세명화학";#N/A,#N/A,FALSE,"신영케미칼";#N/A,#N/A,FALSE,"일석상사"}</definedName>
    <definedName name="총토탈">#REF!</definedName>
    <definedName name="총토탈1">#REF!</definedName>
    <definedName name="총토탈2">#REF!</definedName>
    <definedName name="총폭">#REF!</definedName>
    <definedName name="촤" localSheetId="2" hidden="1">{#N/A,#N/A,FALSE,"1.CRITERIA";#N/A,#N/A,FALSE,"2.IS";#N/A,#N/A,FALSE,"3.BS";#N/A,#N/A,FALSE,"4.PER PL";#N/A,#N/A,FALSE,"5.INVESTMENT";#N/A,#N/A,FALSE,"6.공문";#N/A,#N/A,FALSE,"7.netinvest"}</definedName>
    <definedName name="촤" hidden="1">{#N/A,#N/A,FALSE,"1.CRITERIA";#N/A,#N/A,FALSE,"2.IS";#N/A,#N/A,FALSE,"3.BS";#N/A,#N/A,FALSE,"4.PER PL";#N/A,#N/A,FALSE,"5.INVESTMENT";#N/A,#N/A,FALSE,"6.공문";#N/A,#N/A,FALSE,"7.netinvest"}</definedName>
    <definedName name="최수종" hidden="1">{#N/A,#N/A,FALSE,"손익표지";#N/A,#N/A,FALSE,"손익계산";#N/A,#N/A,FALSE,"일반관리비";#N/A,#N/A,FALSE,"영업외수익";#N/A,#N/A,FALSE,"영업외비용";#N/A,#N/A,FALSE,"매출액";#N/A,#N/A,FALSE,"요약손익";#N/A,#N/A,FALSE,"요약대차";#N/A,#N/A,FALSE,"매출채권현황";#N/A,#N/A,FALSE,"매출채권명세"}</definedName>
    <definedName name="최영" localSheetId="2" hidden="1">{#N/A,#N/A,FALSE,"정공"}</definedName>
    <definedName name="최영" hidden="1">{#N/A,#N/A,FALSE,"정공"}</definedName>
    <definedName name="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_1"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4안" hidden="1">#REF!</definedName>
    <definedName name="최종afm010">#REF!</definedName>
    <definedName name="최종고객규모">#REF!</definedName>
    <definedName name="최종분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임_1"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hidden="1">{#N/A,#N/A,FALSE,"손익표지";#N/A,#N/A,FALSE,"손익계산";#N/A,#N/A,FALSE,"일반관리비";#N/A,#N/A,FALSE,"영업외수익";#N/A,#N/A,FALSE,"영업외비용";#N/A,#N/A,FALSE,"매출액";#N/A,#N/A,FALSE,"요약손익";#N/A,#N/A,FALSE,"요약대차";#N/A,#N/A,FALSE,"매출채권현황";#N/A,#N/A,FALSE,"매출채권명세"}</definedName>
    <definedName name="최초">#REF!</definedName>
    <definedName name="최치" hidden="1">{#N/A,#N/A,TRUE,"경전'96(1)";#N/A,#N/A,TRUE,"경전'96 (2)"}</definedName>
    <definedName name="추" hidden="1">{#N/A,#N/A,FALSE,"단축1";#N/A,#N/A,FALSE,"단축2";#N/A,#N/A,FALSE,"단축3";#N/A,#N/A,FALSE,"장축";#N/A,#N/A,FALSE,"4WD"}</definedName>
    <definedName name="추가">#REF!</definedName>
    <definedName name="추계">#N/A</definedName>
    <definedName name="추계합계">#REF!</definedName>
    <definedName name="추이" hidden="1">{#VALUE!,#N/A,FALSE,0;#N/A,#N/A,FALSE,0;#N/A,#N/A,FALSE,0;#N/A,#N/A,FALSE,0}</definedName>
    <definedName name="추정" localSheetId="2" hidden="1">{#N/A,#N/A,FALSE,"Aging Summary";#N/A,#N/A,FALSE,"Ratio Analysis";#N/A,#N/A,FALSE,"Test 120 Day Accts";#N/A,#N/A,FALSE,"Tickmarks"}</definedName>
    <definedName name="추정" hidden="1">{#N/A,#N/A,FALSE,"Aging Summary";#N/A,#N/A,FALSE,"Ratio Analysis";#N/A,#N/A,FALSE,"Test 120 Day Accts";#N/A,#N/A,FALSE,"Tickmarks"}</definedName>
    <definedName name="추정대차" localSheetId="2" hidden="1">{#N/A,#N/A,FALSE,"BS";#N/A,#N/A,FALSE,"PL";#N/A,#N/A,FALSE,"처분";#N/A,#N/A,FALSE,"현금";#N/A,#N/A,FALSE,"매출";#N/A,#N/A,FALSE,"원가";#N/A,#N/A,FALSE,"경영"}</definedName>
    <definedName name="추정대차" hidden="1">{#N/A,#N/A,FALSE,"BS";#N/A,#N/A,FALSE,"PL";#N/A,#N/A,FALSE,"처분";#N/A,#N/A,FALSE,"현금";#N/A,#N/A,FALSE,"매출";#N/A,#N/A,FALSE,"원가";#N/A,#N/A,FALSE,"경영"}</definedName>
    <definedName name="추정대차_1" localSheetId="2" hidden="1">{#N/A,#N/A,FALSE,"BS";#N/A,#N/A,FALSE,"PL";#N/A,#N/A,FALSE,"처분";#N/A,#N/A,FALSE,"현금";#N/A,#N/A,FALSE,"매출";#N/A,#N/A,FALSE,"원가";#N/A,#N/A,FALSE,"경영"}</definedName>
    <definedName name="추정대차_1" hidden="1">{#N/A,#N/A,FALSE,"BS";#N/A,#N/A,FALSE,"PL";#N/A,#N/A,FALSE,"처분";#N/A,#N/A,FALSE,"현금";#N/A,#N/A,FALSE,"매출";#N/A,#N/A,FALSE,"원가";#N/A,#N/A,FALSE,"경영"}</definedName>
    <definedName name="추정손익">#N/A</definedName>
    <definedName name="추정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추정작성기준" hidden="1">#REF!</definedName>
    <definedName name="추정재무">#N/A</definedName>
    <definedName name="추진" localSheetId="2" hidden="1">{#N/A,#N/A,FALSE,"정공"}</definedName>
    <definedName name="추진" hidden="1">{#N/A,#N/A,FALSE,"정공"}</definedName>
    <definedName name="추진과제" hidden="1">{#N/A,#N/A,FALSE,"단축1";#N/A,#N/A,FALSE,"단축2";#N/A,#N/A,FALSE,"단축3";#N/A,#N/A,FALSE,"장축";#N/A,#N/A,FALSE,"4WD"}</definedName>
    <definedName name="추진방안" localSheetId="2" hidden="1">{#N/A,#N/A,FALSE,"인원";#N/A,#N/A,FALSE,"비용2";#N/A,#N/A,FALSE,"비용1";#N/A,#N/A,FALSE,"비용";#N/A,#N/A,FALSE,"보증2";#N/A,#N/A,FALSE,"보증1";#N/A,#N/A,FALSE,"보증";#N/A,#N/A,FALSE,"손익1";#N/A,#N/A,FALSE,"손익";#N/A,#N/A,FALSE,"부서별매출";#N/A,#N/A,FALSE,"매출"}</definedName>
    <definedName name="추진방안" hidden="1">{#N/A,#N/A,FALSE,"인원";#N/A,#N/A,FALSE,"비용2";#N/A,#N/A,FALSE,"비용1";#N/A,#N/A,FALSE,"비용";#N/A,#N/A,FALSE,"보증2";#N/A,#N/A,FALSE,"보증1";#N/A,#N/A,FALSE,"보증";#N/A,#N/A,FALSE,"손익1";#N/A,#N/A,FALSE,"손익";#N/A,#N/A,FALSE,"부서별매출";#N/A,#N/A,FALSE,"매출"}</definedName>
    <definedName name="추진배경" hidden="1">{#N/A,#N/A,FALSE,"단축1";#N/A,#N/A,FALSE,"단축2";#N/A,#N/A,FALSE,"단축3";#N/A,#N/A,FALSE,"장축";#N/A,#N/A,FALSE,"4WD"}</definedName>
    <definedName name="추진전략" localSheetId="2" hidden="1">{#N/A,#N/A,FALSE,"정공"}</definedName>
    <definedName name="추진전략" hidden="1">{#N/A,#N/A,FALSE,"정공"}</definedName>
    <definedName name="추진효과" hidden="1">{"'BSC(2001)'!$A$27:$G$32"}</definedName>
    <definedName name="춘천">#REF!</definedName>
    <definedName name="출고">#REF!</definedName>
    <definedName name="출자금">#REF!</definedName>
    <definedName name="출처">#REF!</definedName>
    <definedName name="출처2">#REF!</definedName>
    <definedName name="출판" hidden="1">{#N/A,#N/A,FALSE,"지침";#N/A,#N/A,FALSE,"환경분석";#N/A,#N/A,FALSE,"Sheet16"}</definedName>
    <definedName name="충당금">#REF!</definedName>
    <definedName name="충당금1" hidden="1">#REF!</definedName>
    <definedName name="충당집계a">#REF!</definedName>
    <definedName name="충돌" hidden="1">{#N/A,#N/A,FALSE,"단축1";#N/A,#N/A,FALSE,"단축2";#N/A,#N/A,FALSE,"단축3";#N/A,#N/A,FALSE,"장축";#N/A,#N/A,FALSE,"4WD"}</definedName>
    <definedName name="충무" hidden="1">{#N/A,#N/A,FALSE,"손익표지";#N/A,#N/A,FALSE,"손익계산";#N/A,#N/A,FALSE,"일반관리비";#N/A,#N/A,FALSE,"영업외수익";#N/A,#N/A,FALSE,"영업외비용";#N/A,#N/A,FALSE,"매출액";#N/A,#N/A,FALSE,"요약손익";#N/A,#N/A,FALSE,"요약대차";#N/A,#N/A,FALSE,"매출채권현황";#N/A,#N/A,FALSE,"매출채권명세"}</definedName>
    <definedName name="충무2" hidden="1">{#N/A,#N/A,FALSE,"손익표지";#N/A,#N/A,FALSE,"손익계산";#N/A,#N/A,FALSE,"일반관리비";#N/A,#N/A,FALSE,"영업외수익";#N/A,#N/A,FALSE,"영업외비용";#N/A,#N/A,FALSE,"매출액";#N/A,#N/A,FALSE,"요약손익";#N/A,#N/A,FALSE,"요약대차";#N/A,#N/A,FALSE,"매출채권현황";#N/A,#N/A,FALSE,"매출채권명세"}</definedName>
    <definedName name="충무업장" hidden="1">{#N/A,#N/A,FALSE,"손익표지";#N/A,#N/A,FALSE,"손익계산";#N/A,#N/A,FALSE,"일반관리비";#N/A,#N/A,FALSE,"영업외수익";#N/A,#N/A,FALSE,"영업외비용";#N/A,#N/A,FALSE,"매출액";#N/A,#N/A,FALSE,"요약손익";#N/A,#N/A,FALSE,"요약대차";#N/A,#N/A,FALSE,"매출채권현황";#N/A,#N/A,FALSE,"매출채권명세"}</definedName>
    <definedName name="충무총괄" hidden="1">{#N/A,#N/A,FALSE,"손익표지";#N/A,#N/A,FALSE,"손익계산";#N/A,#N/A,FALSE,"일반관리비";#N/A,#N/A,FALSE,"영업외수익";#N/A,#N/A,FALSE,"영업외비용";#N/A,#N/A,FALSE,"매출액";#N/A,#N/A,FALSE,"요약손익";#N/A,#N/A,FALSE,"요약대차";#N/A,#N/A,FALSE,"매출채권현황";#N/A,#N/A,FALSE,"매출채권명세"}</definedName>
    <definedName name="충상">#REF!</definedName>
    <definedName name="충주" hidden="1">#REF!</definedName>
    <definedName name="취"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기준일">#REF!</definedName>
    <definedName name="취득자산"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소">#REF!</definedName>
    <definedName name="취소국소">BLCH</definedName>
    <definedName name="츄" hidden="1">{#N/A,#N/A,FALSE,"Sheet1"}</definedName>
    <definedName name="측구">#REF!</definedName>
    <definedName name="측량">#REF!</definedName>
    <definedName name="측정함">#N/A</definedName>
    <definedName name="츧갸허">BlankMacro1</definedName>
    <definedName name="치" localSheetId="2" hidden="1">{#N/A,#N/A,FALSE,"97년 투자계획 세부내역 "}</definedName>
    <definedName name="치" hidden="1">{#N/A,#N/A,FALSE,"97년 투자계획 세부내역 "}</definedName>
    <definedName name="치버ㅑ">BlankMacro1</definedName>
    <definedName name="치장벽돌공">#REF!</definedName>
    <definedName name="치ㅑㄷ">BlankMacro1</definedName>
    <definedName name="칭">BlankMacro1</definedName>
    <definedName name="ㅋ" localSheetId="2" hidden="1">{#N/A,#N/A,FALSE,"UNIT";#N/A,#N/A,FALSE,"UNIT";#N/A,#N/A,FALSE,"계정"}</definedName>
    <definedName name="ㅋ" hidden="1">{#N/A,#N/A,FALSE,"UNIT";#N/A,#N/A,FALSE,"UNIT";#N/A,#N/A,FALSE,"계정"}</definedName>
    <definedName name="ㅋㄴ" hidden="1">{#N/A,#N/A,FALSE,"단축1";#N/A,#N/A,FALSE,"단축2";#N/A,#N/A,FALSE,"단축3";#N/A,#N/A,FALSE,"장축";#N/A,#N/A,FALSE,"4WD"}</definedName>
    <definedName name="ㅋㄷㅎㄷㅎㅁ" hidden="1">{#N/A,#N/A,TRUE,"경전'96(1)";#N/A,#N/A,TRUE,"경전'96 (2)"}</definedName>
    <definedName name="ㅋ돔ㄷ롬ㄷ" hidden="1">{#N/A,#N/A,TRUE,"경전'96(1)";#N/A,#N/A,TRUE,"경전'96 (2)"}</definedName>
    <definedName name="ㅋㅇ로" hidden="1">{#N/A,#N/A,TRUE,"경전'96(1)";#N/A,#N/A,TRUE,"경전'96 (2)"}</definedName>
    <definedName name="ㅋㅇㅎㅇㅎ" hidden="1">{#N/A,#N/A,TRUE,"경전'96(1)";#N/A,#N/A,TRUE,"경전'96 (2)"}</definedName>
    <definedName name="ㅋㅋ" localSheetId="2" hidden="1">{#N/A,#N/A,TRUE,"Y생산";#N/A,#N/A,TRUE,"Y판매";#N/A,#N/A,TRUE,"Y총물량";#N/A,#N/A,TRUE,"Y능력";#N/A,#N/A,TRUE,"YKD"}</definedName>
    <definedName name="ㅋㅋ" hidden="1">{#N/A,#N/A,TRUE,"Y생산";#N/A,#N/A,TRUE,"Y판매";#N/A,#N/A,TRUE,"Y총물량";#N/A,#N/A,TRUE,"Y능력";#N/A,#N/A,TRUE,"YKD"}</definedName>
    <definedName name="ㅋㅋㅋ" localSheetId="2" hidden="1">{"'Jibu9811 (3)'!$B$1:$J$433"}</definedName>
    <definedName name="ㅋㅋㅋ" hidden="1">{"'Jibu9811 (3)'!$B$1:$J$433"}</definedName>
    <definedName name="ㅋㅋㅋㅋ" hidden="1">#REF!</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ㅋ"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ㅌㅊ" hidden="1">{#N/A,#N/A,FALSE,"Sheet1"}</definedName>
    <definedName name="ㅋㅌㅊ퓨">#N/A</definedName>
    <definedName name="ㅋㅌㅌ" hidden="1">#REF!</definedName>
    <definedName name="ㅋㅍㅋㅍㅋㅍㅋㅌㅍㅎㅁㅎㅁㅎㅁㅎㅁㅎㅎㅁㅎ" hidden="1">#REF!</definedName>
    <definedName name="ㅋㅍㅌㅍㅋㅌㅍㅍㅌㅋㅍㅍㅋㅍㅋㅍㅍㅋ" hidden="1">#REF!</definedName>
    <definedName name="카" hidden="1">{#N/A,#N/A,FALSE,"단축1";#N/A,#N/A,FALSE,"단축2";#N/A,#N/A,FALSE,"단축3";#N/A,#N/A,FALSE,"장축";#N/A,#N/A,FALSE,"4WD"}</definedName>
    <definedName name="카러" localSheetId="2" hidden="1">{#N/A,#N/A,FALSE,"1.CRITERIA";#N/A,#N/A,FALSE,"2.IS";#N/A,#N/A,FALSE,"3.BS";#N/A,#N/A,FALSE,"4.PER PL";#N/A,#N/A,FALSE,"5.INVESTMENT";#N/A,#N/A,FALSE,"6.공문";#N/A,#N/A,FALSE,"7.netinvest"}</definedName>
    <definedName name="카러" hidden="1">{#N/A,#N/A,FALSE,"1.CRITERIA";#N/A,#N/A,FALSE,"2.IS";#N/A,#N/A,FALSE,"3.BS";#N/A,#N/A,FALSE,"4.PER PL";#N/A,#N/A,FALSE,"5.INVESTMENT";#N/A,#N/A,FALSE,"6.공문";#N/A,#N/A,FALSE,"7.netinvest"}</definedName>
    <definedName name="카메라" localSheetId="2" hidden="1">{#N/A,#N/A,FALSE,"단축1";#N/A,#N/A,FALSE,"단축2";#N/A,#N/A,FALSE,"단축3";#N/A,#N/A,FALSE,"장축";#N/A,#N/A,FALSE,"4WD"}</definedName>
    <definedName name="카메라" hidden="1">{#N/A,#N/A,FALSE,"단축1";#N/A,#N/A,FALSE,"단축2";#N/A,#N/A,FALSE,"단축3";#N/A,#N/A,FALSE,"장축";#N/A,#N/A,FALSE,"4WD"}</definedName>
    <definedName name="칷__?____?">#REF!</definedName>
    <definedName name="캐쉬" hidden="1">{#N/A,#N/A,FALSE,"지침";#N/A,#N/A,FALSE,"환경분석";#N/A,#N/A,FALSE,"Sheet16"}</definedName>
    <definedName name="캡슐분해">#REF!</definedName>
    <definedName name="캡슐세척">#REF!</definedName>
    <definedName name="캡슐익일">#REF!</definedName>
    <definedName name="캡슐조립">#REF!</definedName>
    <definedName name="캡슐청결">#REF!</definedName>
    <definedName name="커머" localSheetId="2"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컴">#REF!</definedName>
    <definedName name="컴퓨">#REF!</definedName>
    <definedName name="컼커" localSheetId="2"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케이블간지" localSheetId="2" hidden="1">{#N/A,#N/A,TRUE,"토적및재료집계";#N/A,#N/A,TRUE,"토적및재료집계";#N/A,#N/A,TRUE,"단위량"}</definedName>
    <definedName name="케이블간지" hidden="1">{#N/A,#N/A,TRUE,"토적및재료집계";#N/A,#N/A,TRUE,"토적및재료집계";#N/A,#N/A,TRUE,"단위량"}</definedName>
    <definedName name="케이블공노">#N/A</definedName>
    <definedName name="케이스" hidden="1">{#N/A,#N/A,FALSE,"단축1";#N/A,#N/A,FALSE,"단축2";#N/A,#N/A,FALSE,"단축3";#N/A,#N/A,FALSE,"장축";#N/A,#N/A,FALSE,"4WD"}</definedName>
    <definedName name="코" localSheetId="2" hidden="1">{#N/A,#N/A,FALSE,"1.CRITERIA";#N/A,#N/A,FALSE,"2.IS";#N/A,#N/A,FALSE,"3.BS";#N/A,#N/A,FALSE,"4.PER PL";#N/A,#N/A,FALSE,"5.INVESTMENT";#N/A,#N/A,FALSE,"6.공문";#N/A,#N/A,FALSE,"7.netinvest"}</definedName>
    <definedName name="코" hidden="1">{#N/A,#N/A,FALSE,"1.CRITERIA";#N/A,#N/A,FALSE,"2.IS";#N/A,#N/A,FALSE,"3.BS";#N/A,#N/A,FALSE,"4.PER PL";#N/A,#N/A,FALSE,"5.INVESTMENT";#N/A,#N/A,FALSE,"6.공문";#N/A,#N/A,FALSE,"7.netinvest"}</definedName>
    <definedName name="코드명">#REF!</definedName>
    <definedName name="코드입력">#REF!</definedName>
    <definedName name="콘도" hidden="1">{#N/A,#N/A,FALSE,"손익표지";#N/A,#N/A,FALSE,"손익계산";#N/A,#N/A,FALSE,"일반관리비";#N/A,#N/A,FALSE,"영업외수익";#N/A,#N/A,FALSE,"영업외비용";#N/A,#N/A,FALSE,"매출액";#N/A,#N/A,FALSE,"요약손익";#N/A,#N/A,FALSE,"요약대차";#N/A,#N/A,FALSE,"매출채권현황";#N/A,#N/A,FALSE,"매출채권명세"}</definedName>
    <definedName name="콘크">#REF!</definedName>
    <definedName name="콘크리트공">#REF!</definedName>
    <definedName name="콘크리트접속면적">#REF!</definedName>
    <definedName name="콛소" hidden="1">{#N/A,#N/A,TRUE,"경전'96(1)";#N/A,#N/A,TRUE,"경전'96 (2)"}</definedName>
    <definedName name="콤프">#N/A</definedName>
    <definedName name="큐ㅗㅅㄹ">#N/A</definedName>
    <definedName name="크" hidden="1">{#N/A,#N/A,FALSE,"단축1";#N/A,#N/A,FALSE,"단축2";#N/A,#N/A,FALSE,"단축3";#N/A,#N/A,FALSE,"장축";#N/A,#N/A,FALSE,"4WD"}</definedName>
    <definedName name="크랑" hidden="1">{#N/A,#N/A,FALSE,"단축1";#N/A,#N/A,FALSE,"단축2";#N/A,#N/A,FALSE,"단축3";#N/A,#N/A,FALSE,"장축";#N/A,#N/A,FALSE,"4WD"}</definedName>
    <definedName name="크레인">#REF!</definedName>
    <definedName name="키" localSheetId="2" hidden="1">{#N/A,#N/A,FALSE,"1.CRITERIA";#N/A,#N/A,FALSE,"2.IS";#N/A,#N/A,FALSE,"3.BS";#N/A,#N/A,FALSE,"4.PER PL";#N/A,#N/A,FALSE,"5.INVESTMENT";#N/A,#N/A,FALSE,"6.공문";#N/A,#N/A,FALSE,"7.netinvest"}</definedName>
    <definedName name="키" hidden="1">{#N/A,#N/A,FALSE,"1.CRITERIA";#N/A,#N/A,FALSE,"2.IS";#N/A,#N/A,FALSE,"3.BS";#N/A,#N/A,FALSE,"4.PER PL";#N/A,#N/A,FALSE,"5.INVESTMENT";#N/A,#N/A,FALSE,"6.공문";#N/A,#N/A,FALSE,"7.netinvest"}</definedName>
    <definedName name="키니" localSheetId="2" hidden="1">{#N/A,#N/A,FALSE,"인원";#N/A,#N/A,FALSE,"비용2";#N/A,#N/A,FALSE,"비용1";#N/A,#N/A,FALSE,"비용";#N/A,#N/A,FALSE,"보증2";#N/A,#N/A,FALSE,"보증1";#N/A,#N/A,FALSE,"보증";#N/A,#N/A,FALSE,"손익1";#N/A,#N/A,FALSE,"손익";#N/A,#N/A,FALSE,"부서별매출";#N/A,#N/A,FALSE,"매출"}</definedName>
    <definedName name="키니" hidden="1">{#N/A,#N/A,FALSE,"인원";#N/A,#N/A,FALSE,"비용2";#N/A,#N/A,FALSE,"비용1";#N/A,#N/A,FALSE,"비용";#N/A,#N/A,FALSE,"보증2";#N/A,#N/A,FALSE,"보증1";#N/A,#N/A,FALSE,"보증";#N/A,#N/A,FALSE,"손익1";#N/A,#N/A,FALSE,"손익";#N/A,#N/A,FALSE,"부서별매출";#N/A,#N/A,FALSE,"매출"}</definedName>
    <definedName name="키치" localSheetId="2" hidden="1">{#N/A,#N/A,FALSE,"인원";#N/A,#N/A,FALSE,"비용2";#N/A,#N/A,FALSE,"비용1";#N/A,#N/A,FALSE,"비용";#N/A,#N/A,FALSE,"보증2";#N/A,#N/A,FALSE,"보증1";#N/A,#N/A,FALSE,"보증";#N/A,#N/A,FALSE,"손익1";#N/A,#N/A,FALSE,"손익";#N/A,#N/A,FALSE,"부서별매출";#N/A,#N/A,FALSE,"매출"}</definedName>
    <definedName name="키치" hidden="1">{#N/A,#N/A,FALSE,"인원";#N/A,#N/A,FALSE,"비용2";#N/A,#N/A,FALSE,"비용1";#N/A,#N/A,FALSE,"비용";#N/A,#N/A,FALSE,"보증2";#N/A,#N/A,FALSE,"보증1";#N/A,#N/A,FALSE,"보증";#N/A,#N/A,FALSE,"손익1";#N/A,#N/A,FALSE,"손익";#N/A,#N/A,FALSE,"부서별매출";#N/A,#N/A,FALSE,"매출"}</definedName>
    <definedName name="키프코" localSheetId="2" hidden="1">{#N/A,#N/A,FALSE,"을지 (4)";#N/A,#N/A,FALSE,"을지 (5)";#N/A,#N/A,FALSE,"을지 (6)"}</definedName>
    <definedName name="키프코" hidden="1">{#N/A,#N/A,FALSE,"을지 (4)";#N/A,#N/A,FALSE,"을지 (5)";#N/A,#N/A,FALSE,"을지 (6)"}</definedName>
    <definedName name="ㅌ" localSheetId="2" hidden="1">{#N/A,#N/A,FALSE,"BS";#N/A,#N/A,FALSE,"PL";#N/A,#N/A,FALSE,"처분";#N/A,#N/A,FALSE,"현금";#N/A,#N/A,FALSE,"매출";#N/A,#N/A,FALSE,"원가";#N/A,#N/A,FALSE,"경영"}</definedName>
    <definedName name="ㅌ" hidden="1">{#N/A,#N/A,FALSE,"BS";#N/A,#N/A,FALSE,"PL";#N/A,#N/A,FALSE,"처분";#N/A,#N/A,FALSE,"현금";#N/A,#N/A,FALSE,"매출";#N/A,#N/A,FALSE,"원가";#N/A,#N/A,FALSE,"경영"}</definedName>
    <definedName name="ㅌ750">#REF!</definedName>
    <definedName name="ㅌㄴㅇ" localSheetId="2" hidden="1">{#N/A,#N/A,FALSE,"단축1";#N/A,#N/A,FALSE,"단축2";#N/A,#N/A,FALSE,"단축3";#N/A,#N/A,FALSE,"장축";#N/A,#N/A,FALSE,"4WD"}</definedName>
    <definedName name="ㅌㄴㅇ" hidden="1">{#N/A,#N/A,FALSE,"단축1";#N/A,#N/A,FALSE,"단축2";#N/A,#N/A,FALSE,"단축3";#N/A,#N/A,FALSE,"장축";#N/A,#N/A,FALSE,"4WD"}</definedName>
    <definedName name="ㅌㄷ">BlankMacro1</definedName>
    <definedName name="ㅌㅇ로" hidden="1">{#N/A,#N/A,FALSE,"단축1";#N/A,#N/A,FALSE,"단축2";#N/A,#N/A,FALSE,"단축3";#N/A,#N/A,FALSE,"장축";#N/A,#N/A,FALSE,"4WD"}</definedName>
    <definedName name="ㅌㅊ" hidden="1">{#N/A,#N/A,FALSE,"단축1";#N/A,#N/A,FALSE,"단축2";#N/A,#N/A,FALSE,"단축3";#N/A,#N/A,FALSE,"장축";#N/A,#N/A,FALSE,"4WD"}</definedName>
    <definedName name="ㅌㅌ" localSheetId="2" hidden="1">{"'매출이익'!$A$24:$K$45"}</definedName>
    <definedName name="ㅌㅌ" hidden="1">{"'매출이익'!$A$24:$K$45"}</definedName>
    <definedName name="ㅌㅌㅌ" localSheetId="2" hidden="1">{#N/A,#N/A,TRUE,"일정"}</definedName>
    <definedName name="ㅌㅌㅌ" hidden="1">{#N/A,#N/A,TRUE,"일정"}</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ㅌㅎ">#REF!</definedName>
    <definedName name="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계정">#REF!</definedName>
    <definedName name="타디"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이어">#REF!</definedName>
    <definedName name="타이틀">#REF!</definedName>
    <definedName name="타정기분해">#REF!</definedName>
    <definedName name="타정기세척">#REF!</definedName>
    <definedName name="타정기익일">#REF!</definedName>
    <definedName name="타정기조립">#REF!</definedName>
    <definedName name="타정기청결">#REF!</definedName>
    <definedName name="타정기터렛">#REF!</definedName>
    <definedName name="탈의">#REF!</definedName>
    <definedName name="택코팅">#REF!</definedName>
    <definedName name="탠">#N/A</definedName>
    <definedName name="터널" localSheetId="2" hidden="1">{#N/A,#N/A,FALSE,"부대1"}</definedName>
    <definedName name="터널" hidden="1">{#N/A,#N/A,FALSE,"부대1"}</definedName>
    <definedName name="터라기2">#REF!</definedName>
    <definedName name="터파기1">#REF!</definedName>
    <definedName name="터파기2">#REF!</definedName>
    <definedName name="텃ㅌㅇ">#N/A</definedName>
    <definedName name="테넌트" localSheetId="2" hidden="1">{#N/A,#N/A,TRUE,"Y생산";#N/A,#N/A,TRUE,"Y판매";#N/A,#N/A,TRUE,"Y총물량";#N/A,#N/A,TRUE,"Y능력";#N/A,#N/A,TRUE,"YKD"}</definedName>
    <definedName name="테넌트" hidden="1">{#N/A,#N/A,TRUE,"Y생산";#N/A,#N/A,TRUE,"Y판매";#N/A,#N/A,TRUE,"Y총물량";#N/A,#N/A,TRUE,"Y능력";#N/A,#N/A,TRUE,"YKD"}</definedName>
    <definedName name="테넌트팀" localSheetId="2" hidden="1">{#N/A,#N/A,TRUE,"Y생산";#N/A,#N/A,TRUE,"Y판매";#N/A,#N/A,TRUE,"Y총물량";#N/A,#N/A,TRUE,"Y능력";#N/A,#N/A,TRUE,"YKD"}</definedName>
    <definedName name="테넌트팀" hidden="1">{#N/A,#N/A,TRUE,"Y생산";#N/A,#N/A,TRUE,"Y판매";#N/A,#N/A,TRUE,"Y총물량";#N/A,#N/A,TRUE,"Y능력";#N/A,#N/A,TRUE,"YKD"}</definedName>
    <definedName name="템플">BlankMacro1</definedName>
    <definedName name="템플리트모듈1" localSheetId="2">BlankMacro1</definedName>
    <definedName name="템플리트모듈1" localSheetId="0">BlankMacro1</definedName>
    <definedName name="템플리트모듈1">BlankMacro1</definedName>
    <definedName name="템플리트모듈10">BlankMacro1</definedName>
    <definedName name="템플리트모듈2" localSheetId="2">BlankMacro1</definedName>
    <definedName name="템플리트모듈2" localSheetId="0">BlankMacro1</definedName>
    <definedName name="템플리트모듈2">BlankMacro1</definedName>
    <definedName name="템플리트모듈3" localSheetId="2">BlankMacro1</definedName>
    <definedName name="템플리트모듈3" localSheetId="0">BlankMacro1</definedName>
    <definedName name="템플리트모듈3">BlankMacro1</definedName>
    <definedName name="템플리트모듈4" localSheetId="2">BlankMacro1</definedName>
    <definedName name="템플리트모듈4" localSheetId="0">BlankMacro1</definedName>
    <definedName name="템플리트모듈4">BlankMacro1</definedName>
    <definedName name="템플리트모듈5" localSheetId="2">BlankMacro1</definedName>
    <definedName name="템플리트모듈5" localSheetId="0">BlankMacro1</definedName>
    <definedName name="템플리트모듈5">BlankMacro1</definedName>
    <definedName name="템플리트모듈6" localSheetId="2">BlankMacro1</definedName>
    <definedName name="템플리트모듈6" localSheetId="0">BlankMacro1</definedName>
    <definedName name="템플리트모듈6">BlankMacro1</definedName>
    <definedName name="토">#REF!</definedName>
    <definedName name="토건">#REF!</definedName>
    <definedName name="토공">#REF!</definedName>
    <definedName name="토공량" hidden="1">{#N/A,#N/A,FALSE,"기안지";#N/A,#N/A,FALSE,"통신지"}</definedName>
    <definedName name="토공사">#REF!</definedName>
    <definedName name="토목">#REF!</definedName>
    <definedName name="토목공사" hidden="1">{#N/A,#N/A,FALSE,"이태원철근"}</definedName>
    <definedName name="토목공사강릉" localSheetId="2" hidden="1">#REF!</definedName>
    <definedName name="토목공사강릉" hidden="1">#REF!</definedName>
    <definedName name="토목내역">#REF!</definedName>
    <definedName name="토목법규">#REF!</definedName>
    <definedName name="토목설계" localSheetId="2" hidden="1">{#N/A,#N/A,FALSE,"골재소요량";#N/A,#N/A,FALSE,"골재소요량"}</definedName>
    <definedName name="토목설계" hidden="1">{#N/A,#N/A,FALSE,"골재소요량";#N/A,#N/A,FALSE,"골재소요량"}</definedName>
    <definedName name="토목실견적" hidden="1">{#N/A,#N/A,FALSE,"이태원철근"}</definedName>
    <definedName name="토용임" localSheetId="2" hidden="1">{"'Jibu9811 (3)'!$B$1:$J$433"}</definedName>
    <definedName name="토용임" hidden="1">{"'Jibu9811 (3)'!$B$1:$J$433"}</definedName>
    <definedName name="토적집계">#REF!</definedName>
    <definedName name="통2">#REF!</definedName>
    <definedName name="통신">#REF!</definedName>
    <definedName name="통신기사1급">#REF!</definedName>
    <definedName name="통신기사2급">#REF!</definedName>
    <definedName name="통신내선공">#REF!</definedName>
    <definedName name="통신설비공">#REF!</definedName>
    <definedName name="통신외선공">#REF!</definedName>
    <definedName name="통신집계">BlankMacro1</definedName>
    <definedName name="통신케이블공">#REF!</definedName>
    <definedName name="통영수량">#REF!</definedName>
    <definedName name="통제권">#REF!</definedName>
    <definedName name="통제범위">#REF!</definedName>
    <definedName name="통지서">#REF!</definedName>
    <definedName name="통합" localSheetId="2" hidden="1">{"'Jibu9811 (3)'!$B$1:$J$433"}</definedName>
    <definedName name="통합" hidden="1">{"'Jibu9811 (3)'!$B$1:$J$433"}</definedName>
    <definedName name="통합1장" hidden="1">{#N/A,#N/A,FALSE,"단축1";#N/A,#N/A,FALSE,"단축2";#N/A,#N/A,FALSE,"단축3";#N/A,#N/A,FALSE,"장축";#N/A,#N/A,FALSE,"4WD"}</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퇴사일">#REF!</definedName>
    <definedName name="퇴직공제부금비">#REF!</definedName>
    <definedName name="퇴직금">#REF!</definedName>
    <definedName name="퇴직금과표">#REF!</definedName>
    <definedName name="퇴직금산출세액">#REF!</definedName>
    <definedName name="퇴직금연평균과표">#REF!</definedName>
    <definedName name="퇴직금추계액">#REF!</definedName>
    <definedName name="퇴직금퇴직소득공제">#REF!</definedName>
    <definedName name="퇴직금환산세액">#REF!</definedName>
    <definedName name="퇴직급여" localSheetId="2" hidden="1">{"'매출이익'!$A$24:$K$45"}</definedName>
    <definedName name="퇴직급여" hidden="1">{"'매출이익'!$A$24:$K$45"}</definedName>
    <definedName name="퇴직급여충당금" hidden="1">{#N/A,#N/A,FALSE,"손익표지";#N/A,#N/A,FALSE,"손익계산";#N/A,#N/A,FALSE,"일반관리비";#N/A,#N/A,FALSE,"영업외수익";#N/A,#N/A,FALSE,"영업외비용";#N/A,#N/A,FALSE,"매출액";#N/A,#N/A,FALSE,"요약손익";#N/A,#N/A,FALSE,"요약대차";#N/A,#N/A,FALSE,"매출채권현황";#N/A,#N/A,FALSE,"매출채권명세"}</definedName>
    <definedName name="퇴직보험">#REF!</definedName>
    <definedName name="퇴직사유">#REF!</definedName>
    <definedName name="퇴직소득공제">#REF!</definedName>
    <definedName name="퇴직전환">#N/A</definedName>
    <definedName name="퇴직충당">#REF!</definedName>
    <definedName name="퇴직충당금">#REF!</definedName>
    <definedName name="퇴충"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퇴충"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퇴충98">#REF!</definedName>
    <definedName name="퇴충명세"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실적" hidden="1">{#N/A,#N/A,TRUE,"경전'96(1)";#N/A,#N/A,TRUE,"경전'96 (2)"}</definedName>
    <definedName name="투" hidden="1">#REF!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순공사원가">#REF!</definedName>
    <definedName name="투안전관리비">#REF!</definedName>
    <definedName name="투여표">{"A","내복";"B","주사";"C","외용";"D","기타"}</definedName>
    <definedName name="투이윤">#REF!</definedName>
    <definedName name="투일반관리비">#REF!</definedName>
    <definedName name="투자" localSheetId="2" hidden="1">{#N/A,#N/A,FALSE,"삼진정공";#N/A,#N/A,FALSE,"영신금속";#N/A,#N/A,FALSE,"태양금속";#N/A,#N/A,FALSE,"진합정공";#N/A,#N/A,FALSE,"코리아";#N/A,#N/A,FALSE,"풍강금속";#N/A,#N/A,FALSE,"선일기계"}</definedName>
    <definedName name="투자" hidden="1">{#N/A,#N/A,FALSE,"삼진정공";#N/A,#N/A,FALSE,"영신금속";#N/A,#N/A,FALSE,"태양금속";#N/A,#N/A,FALSE,"진합정공";#N/A,#N/A,FALSE,"코리아";#N/A,#N/A,FALSE,"풍강금속";#N/A,#N/A,FALSE,"선일기계"}</definedName>
    <definedName name="투자CONC.182억" localSheetId="2" hidden="1">{#N/A,#N/A,FALSE,"단축1";#N/A,#N/A,FALSE,"단축2";#N/A,#N/A,FALSE,"단축3";#N/A,#N/A,FALSE,"장축";#N/A,#N/A,FALSE,"4WD"}</definedName>
    <definedName name="투자CONC.182억" hidden="1">{#N/A,#N/A,FALSE,"단축1";#N/A,#N/A,FALSE,"단축2";#N/A,#N/A,FALSE,"단축3";#N/A,#N/A,FALSE,"장축";#N/A,#N/A,FALSE,"4WD"}</definedName>
    <definedName name="투자TOT" localSheetId="2" hidden="1">{#N/A,#N/A,FALSE,"Aging Summary";#N/A,#N/A,FALSE,"Ratio Analysis";#N/A,#N/A,FALSE,"Test 120 Day Accts";#N/A,#N/A,FALSE,"Tickmarks"}</definedName>
    <definedName name="투자TOT" hidden="1">{#N/A,#N/A,FALSE,"Aging Summary";#N/A,#N/A,FALSE,"Ratio Analysis";#N/A,#N/A,FALSE,"Test 120 Day Accts";#N/A,#N/A,FALSE,"Tickmarks"}</definedName>
    <definedName name="투자계획" localSheetId="2" hidden="1">{#N/A,#N/A,FALSE,"UNIT";#N/A,#N/A,FALSE,"UNIT";#N/A,#N/A,FALSE,"계정"}</definedName>
    <definedName name="투자계획" hidden="1">{#N/A,#N/A,FALSE,"UNIT";#N/A,#N/A,FALSE,"UNIT";#N/A,#N/A,FALSE,"계정"}</definedName>
    <definedName name="투자계획1" localSheetId="2" hidden="1">{#N/A,#N/A,FALSE,"UNIT";#N/A,#N/A,FALSE,"UNIT";#N/A,#N/A,FALSE,"계정"}</definedName>
    <definedName name="투자계획1" hidden="1">{#N/A,#N/A,FALSE,"UNIT";#N/A,#N/A,FALSE,"UNIT";#N/A,#N/A,FALSE,"계정"}</definedName>
    <definedName name="투자계획2" localSheetId="2" hidden="1">{#N/A,#N/A,FALSE,"UNIT";#N/A,#N/A,FALSE,"UNIT";#N/A,#N/A,FALSE,"계정"}</definedName>
    <definedName name="투자계획2" hidden="1">{#N/A,#N/A,FALSE,"UNIT";#N/A,#N/A,FALSE,"UNIT";#N/A,#N/A,FALSE,"계정"}</definedName>
    <definedName name="투자대상" hidden="1">{#N/A,#N/A,FALSE,"단축1";#N/A,#N/A,FALSE,"단축2";#N/A,#N/A,FALSE,"단축3";#N/A,#N/A,FALSE,"장축";#N/A,#N/A,FALSE,"4WD"}</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3"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복" hidden="1">{#N/A,#N/A,FALSE,"단축1";#N/A,#N/A,FALSE,"단축2";#N/A,#N/A,FALSE,"단축3";#N/A,#N/A,FALSE,"장축";#N/A,#N/A,FALSE,"4WD"}</definedName>
    <definedName name="투자비비교" localSheetId="2"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유가증권" hidden="1">{#N/A,#N/A,FALSE,"BS";#N/A,#N/A,FALSE,"PL";#N/A,#N/A,FALSE,"처분";#N/A,#N/A,FALSE,"현금";#N/A,#N/A,FALSE,"매출";#N/A,#N/A,FALSE,"원가";#N/A,#N/A,FALSE,"경영"}</definedName>
    <definedName name="투자자산">#REF!</definedName>
    <definedName name="투자자산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현황" localSheetId="2" hidden="1">{#N/A,#N/A,FALSE,"UNIT";#N/A,#N/A,FALSE,"UNIT";#N/A,#N/A,FALSE,"계정"}</definedName>
    <definedName name="투자현황" hidden="1">{#N/A,#N/A,FALSE,"UNIT";#N/A,#N/A,FALSE,"UNIT";#N/A,#N/A,FALSE,"계정"}</definedName>
    <definedName name="투재료비">#REF!</definedName>
    <definedName name="투찰" hidden="1">{#N/A,#N/A,FALSE,"단가표지"}</definedName>
    <definedName name="투폐기물처리비">#REF!</definedName>
    <definedName name="튜" hidden="1">{#N/A,#N/A,FALSE,"Sheet1"}</definedName>
    <definedName name="특고">#REF!</definedName>
    <definedName name="특근" localSheetId="2" hidden="1">{#N/A,#N/A,FALSE,"단축1";#N/A,#N/A,FALSE,"단축2";#N/A,#N/A,FALSE,"단축3";#N/A,#N/A,FALSE,"장축";#N/A,#N/A,FALSE,"4WD"}</definedName>
    <definedName name="특근" hidden="1">{#N/A,#N/A,FALSE,"단축1";#N/A,#N/A,FALSE,"단축2";#N/A,#N/A,FALSE,"단축3";#N/A,#N/A,FALSE,"장축";#N/A,#N/A,FALSE,"4WD"}</definedName>
    <definedName name="특별">#REF!</definedName>
    <definedName name="특별인부">#REF!</definedName>
    <definedName name="특별인부노임">#REF!</definedName>
    <definedName name="특수">#REF!</definedName>
    <definedName name="특수비계공">#REF!</definedName>
    <definedName name="특인">#REF!</definedName>
    <definedName name="특정" localSheetId="2" hidden="1">{#N/A,#N/A,FALSE,"1.CRITERIA";#N/A,#N/A,FALSE,"2.IS";#N/A,#N/A,FALSE,"3.BS";#N/A,#N/A,FALSE,"4.PER PL";#N/A,#N/A,FALSE,"5.INVESTMENT";#N/A,#N/A,FALSE,"6.공문";#N/A,#N/A,FALSE,"7.netinvest"}</definedName>
    <definedName name="특정" hidden="1">{#N/A,#N/A,FALSE,"1.CRITERIA";#N/A,#N/A,FALSE,"2.IS";#N/A,#N/A,FALSE,"3.BS";#N/A,#N/A,FALSE,"4.PER PL";#N/A,#N/A,FALSE,"5.INVESTMENT";#N/A,#N/A,FALSE,"6.공문";#N/A,#N/A,FALSE,"7.netinvest"}</definedName>
    <definedName name="특정현금">#REF!</definedName>
    <definedName name="특케">#REF!</definedName>
    <definedName name="팀">#REF!</definedName>
    <definedName name="팀목표"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별계획" localSheetId="2" hidden="1">{#N/A,#N/A,FALSE,"UNIT";#N/A,#N/A,FALSE,"UNIT";#N/A,#N/A,FALSE,"계정"}</definedName>
    <definedName name="팀별계획" hidden="1">{#N/A,#N/A,FALSE,"UNIT";#N/A,#N/A,FALSE,"UNIT";#N/A,#N/A,FALSE,"계정"}</definedName>
    <definedName name="팀에분석" localSheetId="2" hidden="1">{"'Jibu9811 (3)'!$B$1:$J$433"}</definedName>
    <definedName name="팀에분석" hidden="1">{"'Jibu9811 (3)'!$B$1:$J$433"}</definedName>
    <definedName name="팀장" localSheetId="2" hidden="1">{"'Jibu9811 (3)'!$B$1:$J$433"}</definedName>
    <definedName name="팀장" hidden="1">{"'Jibu9811 (3)'!$B$1:$J$433"}</definedName>
    <definedName name="ㅍ" hidden="1">#REF!</definedName>
    <definedName name="ㅍ77">#REF!</definedName>
    <definedName name="ㅍㄱ">BlankMacro1</definedName>
    <definedName name="ㅍㄹ">BlankMacro1</definedName>
    <definedName name="ㅍㄹㄷㅁㅁ" hidden="1">#REF!</definedName>
    <definedName name="ㅍ르ㅜ" localSheetId="2" hidden="1">{#N/A,#N/A,FALSE,"인원";#N/A,#N/A,FALSE,"비용2";#N/A,#N/A,FALSE,"비용1";#N/A,#N/A,FALSE,"비용";#N/A,#N/A,FALSE,"보증2";#N/A,#N/A,FALSE,"보증1";#N/A,#N/A,FALSE,"보증";#N/A,#N/A,FALSE,"손익1";#N/A,#N/A,FALSE,"손익";#N/A,#N/A,FALSE,"부서별매출";#N/A,#N/A,FALSE,"매출"}</definedName>
    <definedName name="ㅍ르ㅜ" hidden="1">{#N/A,#N/A,FALSE,"인원";#N/A,#N/A,FALSE,"비용2";#N/A,#N/A,FALSE,"비용1";#N/A,#N/A,FALSE,"비용";#N/A,#N/A,FALSE,"보증2";#N/A,#N/A,FALSE,"보증1";#N/A,#N/A,FALSE,"보증";#N/A,#N/A,FALSE,"손익1";#N/A,#N/A,FALSE,"손익";#N/A,#N/A,FALSE,"부서별매출";#N/A,#N/A,FALSE,"매출"}</definedName>
    <definedName name="ㅍㅈ">BlankMacro1</definedName>
    <definedName name="ㅍㅍ" hidden="1">#REF!</definedName>
    <definedName name="ㅍㅍㅍ" hidden="1">{#N/A,#N/A,FALSE,"단축1";#N/A,#N/A,FALSE,"단축2";#N/A,#N/A,FALSE,"단축3";#N/A,#N/A,FALSE,"장축";#N/A,#N/A,FALSE,"4WD"}</definedName>
    <definedName name="ㅍㅍㅍㅍ" localSheetId="2" hidden="1">{#N/A,#N/A,FALSE,"UNIT";#N/A,#N/A,FALSE,"UNIT";#N/A,#N/A,FALSE,"계정"}</definedName>
    <definedName name="ㅍㅍㅍㅍ" hidden="1">{#N/A,#N/A,FALSE,"UNIT";#N/A,#N/A,FALSE,"UNIT";#N/A,#N/A,FALSE,"계정"}</definedName>
    <definedName name="ㅍㅍㅍㅍㅍㅍ" hidden="1">#REF!</definedName>
    <definedName name="ㅍㅎ">BlankMacro1</definedName>
    <definedName name="ㅍㅎㄴㄷㅇㅎㄽㄴㄷㅎ" localSheetId="2" hidden="1">{"'Jibu9811 (3)'!$B$1:$J$433"}</definedName>
    <definedName name="ㅍㅎㄴㄷㅇㅎㄽㄴㄷㅎ" hidden="1">{"'Jibu9811 (3)'!$B$1:$J$433"}</definedName>
    <definedName name="파" localSheetId="2" hidden="1">{#N/A,#N/A,FALSE,"1.CRITERIA";#N/A,#N/A,FALSE,"2.IS";#N/A,#N/A,FALSE,"3.BS";#N/A,#N/A,FALSE,"4.PER PL";#N/A,#N/A,FALSE,"5.INVESTMENT";#N/A,#N/A,FALSE,"6.공문";#N/A,#N/A,FALSE,"7.netinvest"}</definedName>
    <definedName name="파" hidden="1">{#N/A,#N/A,FALSE,"1.CRITERIA";#N/A,#N/A,FALSE,"2.IS";#N/A,#N/A,FALSE,"3.BS";#N/A,#N/A,FALSE,"4.PER PL";#N/A,#N/A,FALSE,"5.INVESTMENT";#N/A,#N/A,FALSE,"6.공문";#N/A,#N/A,FALSE,"7.netinvest"}</definedName>
    <definedName name="파과" localSheetId="2" hidden="1">{#N/A,#N/A,FALSE,"UNIT";#N/A,#N/A,FALSE,"UNIT";#N/A,#N/A,FALSE,"계정"}</definedName>
    <definedName name="파과" hidden="1">{#N/A,#N/A,FALSE,"UNIT";#N/A,#N/A,FALSE,"UNIT";#N/A,#N/A,FALSE,"계정"}</definedName>
    <definedName name="파생" hidden="1">{#N/A,#N/A,FALSE,"Sheet1"}</definedName>
    <definedName name="파생상품"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아라" localSheetId="2"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일길이">#REF!</definedName>
    <definedName name="파일산출3" hidden="1">#REF!</definedName>
    <definedName name="파일종갯수">#REF!</definedName>
    <definedName name="파일횡갯수">#REF!</definedName>
    <definedName name="파하" localSheetId="2"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파해가호" localSheetId="2" hidden="1">{#N/A,#N/A,FALSE,"포장1";#N/A,#N/A,FALSE,"포장1"}</definedName>
    <definedName name="파해가호" hidden="1">{#N/A,#N/A,FALSE,"포장1";#N/A,#N/A,FALSE,"포장1"}</definedName>
    <definedName name="파ㅏ">BlankMacro1</definedName>
    <definedName name="파ㅑㅈ">BlankMacro1</definedName>
    <definedName name="판관" localSheetId="2" hidden="1">{#N/A,#N/A,FALSE,"UNIT";#N/A,#N/A,FALSE,"UNIT";#N/A,#N/A,FALSE,"계정"}</definedName>
    <definedName name="판관" hidden="1">{#N/A,#N/A,FALSE,"UNIT";#N/A,#N/A,FALSE,"UNIT";#N/A,#N/A,FALSE,"계정"}</definedName>
    <definedName name="판관비" localSheetId="2">{#N/A,#N/A,FALSE,"UNIT";#N/A,#N/A,FALSE,"UNIT";#N/A,#N/A,FALSE,"계정"}</definedName>
    <definedName name="판관비">{#N/A,#N/A,FALSE,"UNIT";#N/A,#N/A,FALSE,"UNIT";#N/A,#N/A,FALSE,"계정"}</definedName>
    <definedName name="판관비TOT" hidden="1">{#N/A,#N/A,FALSE,"Aging Summary";#N/A,#N/A,FALSE,"Ratio Analysis";#N/A,#N/A,FALSE,"Test 120 Day Accts";#N/A,#N/A,FALSE,"Tickmarks"}</definedName>
    <definedName name="판관비누계" hidden="1">{#N/A,#N/A,FALSE,"Sheet1"}</definedName>
    <definedName name="판관비현황비교2" hidden="1">{#N/A,#N/A,FALSE,"Sheet1"}</definedName>
    <definedName name="판교사업" hidden="1">#REF!</definedName>
    <definedName name="판도라상자" localSheetId="2" hidden="1">{#N/A,#N/A,FALSE,"정공"}</definedName>
    <definedName name="판도라상자" hidden="1">{#N/A,#N/A,FALSE,"정공"}</definedName>
    <definedName name="판매목표2" hidden="1">{#N/A,#N/A,FALSE,"단축1";#N/A,#N/A,FALSE,"단축2";#N/A,#N/A,FALSE,"단축3";#N/A,#N/A,FALSE,"장축";#N/A,#N/A,FALSE,"4WD"}</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촉비계산용" hidden="1">{#N/A,#N/A,TRUE,"Y생산";#N/A,#N/A,TRUE,"Y판매";#N/A,#N/A,TRUE,"Y총물량";#N/A,#N/A,TRUE,"Y능력";#N/A,#N/A,TRUE,"YKD"}</definedName>
    <definedName name="판촉지원적립금" localSheetId="2" hidden="1">{#N/A,#N/A,TRUE,"매출진척-1";#N/A,#N/A,TRUE,"매출진척-2";#N/A,#N/A,TRUE,"제품실적";#N/A,#N/A,TRUE,"RAC";#N/A,#N/A,TRUE,"PAC ";#N/A,#N/A,TRUE,"재고현황";#N/A,#N/A,TRUE,"공지사항"}</definedName>
    <definedName name="판촉지원적립금" hidden="1">{#N/A,#N/A,TRUE,"매출진척-1";#N/A,#N/A,TRUE,"매출진척-2";#N/A,#N/A,TRUE,"제품실적";#N/A,#N/A,TRUE,"RAC";#N/A,#N/A,TRUE,"PAC ";#N/A,#N/A,TRUE,"재고현황";#N/A,#N/A,TRUE,"공지사항"}</definedName>
    <definedName name="판촉지원적립금_1" localSheetId="2" hidden="1">{#N/A,#N/A,TRUE,"매출진척-1";#N/A,#N/A,TRUE,"매출진척-2";#N/A,#N/A,TRUE,"제품실적";#N/A,#N/A,TRUE,"RAC";#N/A,#N/A,TRUE,"PAC ";#N/A,#N/A,TRUE,"재고현황";#N/A,#N/A,TRUE,"공지사항"}</definedName>
    <definedName name="판촉지원적립금_1" hidden="1">{#N/A,#N/A,TRUE,"매출진척-1";#N/A,#N/A,TRUE,"매출진척-2";#N/A,#N/A,TRUE,"제품실적";#N/A,#N/A,TRUE,"RAC";#N/A,#N/A,TRUE,"PAC ";#N/A,#N/A,TRUE,"재고현황";#N/A,#N/A,TRUE,"공지사항"}</definedName>
    <definedName name="팔레" localSheetId="2" hidden="1">{#N/A,#N/A,FALSE,"손익표지";#N/A,#N/A,FALSE,"손익계산";#N/A,#N/A,FALSE,"일반관리비";#N/A,#N/A,FALSE,"영업외수익";#N/A,#N/A,FALSE,"영업외비용";#N/A,#N/A,FALSE,"매출액";#N/A,#N/A,FALSE,"요약손익";#N/A,#N/A,FALSE,"요약대차";#N/A,#N/A,FALSE,"매출채권현황";#N/A,#N/A,FALSE,"매출채권명세"}</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팔레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팔레_1" hidden="1">{#N/A,#N/A,FALSE,"손익표지";#N/A,#N/A,FALSE,"손익계산";#N/A,#N/A,FALSE,"일반관리비";#N/A,#N/A,FALSE,"영업외수익";#N/A,#N/A,FALSE,"영업외비용";#N/A,#N/A,FALSE,"매출액";#N/A,#N/A,FALSE,"요약손익";#N/A,#N/A,FALSE,"요약대차";#N/A,#N/A,FALSE,"매출채권현황";#N/A,#N/A,FALSE,"매출채권명세"}</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퍄" localSheetId="2" hidden="1">{#N/A,#N/A,FALSE,"1.CRITERIA";#N/A,#N/A,FALSE,"2.IS";#N/A,#N/A,FALSE,"3.BS";#N/A,#N/A,FALSE,"4.PER PL";#N/A,#N/A,FALSE,"5.INVESTMENT";#N/A,#N/A,FALSE,"6.공문";#N/A,#N/A,FALSE,"7.netinvest"}</definedName>
    <definedName name="퍄" hidden="1">{#N/A,#N/A,FALSE,"1.CRITERIA";#N/A,#N/A,FALSE,"2.IS";#N/A,#N/A,FALSE,"3.BS";#N/A,#N/A,FALSE,"4.PER PL";#N/A,#N/A,FALSE,"5.INVESTMENT";#N/A,#N/A,FALSE,"6.공문";#N/A,#N/A,FALSE,"7.netinvest"}</definedName>
    <definedName name="퍼">BlankMacro1</definedName>
    <definedName name="퍼아">BlankMacro1</definedName>
    <definedName name="퍼ㅏㄹ">BlankMacro1</definedName>
    <definedName name="퍼ㅏㅂ" localSheetId="2" hidden="1">{#N/A,#N/A,FALSE,"기안지";#N/A,#N/A,FALSE,"통신지"}</definedName>
    <definedName name="퍼ㅏㅂ" hidden="1">{#N/A,#N/A,FALSE,"기안지";#N/A,#N/A,FALSE,"통신지"}</definedName>
    <definedName name="퍼ㅓㄷ갸">BlankMacro1</definedName>
    <definedName name="퍼ㅓㅇ" localSheetId="2" hidden="1">{#N/A,#N/A,FALSE,"기안지";#N/A,#N/A,FALSE,"통신지"}</definedName>
    <definedName name="퍼ㅓㅇ" hidden="1">{#N/A,#N/A,FALSE,"기안지";#N/A,#N/A,FALSE,"통신지"}</definedName>
    <definedName name="퍼ㅓㅇ아">BlankMacro1</definedName>
    <definedName name="퍼ㅓ아">BlankMacro1</definedName>
    <definedName name="페" localSheetId="2"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펴" localSheetId="2"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평가손익2">#REF!</definedName>
    <definedName name="평가수정" hidden="1">{#N/A,#N/A,FALSE,"손익표지";#N/A,#N/A,FALSE,"손익계산";#N/A,#N/A,FALSE,"일반관리비";#N/A,#N/A,FALSE,"영업외수익";#N/A,#N/A,FALSE,"영업외비용";#N/A,#N/A,FALSE,"매출액";#N/A,#N/A,FALSE,"요약손익";#N/A,#N/A,FALSE,"요약대차";#N/A,#N/A,FALSE,"매출채권현황";#N/A,#N/A,FALSE,"매출채권명세"}</definedName>
    <definedName name="평가전">#REF!</definedName>
    <definedName name="평가종합" localSheetId="2" hidden="1">{#N/A,#N/A,FALSE,"단축1";#N/A,#N/A,FALSE,"단축2";#N/A,#N/A,FALSE,"단축3";#N/A,#N/A,FALSE,"장축";#N/A,#N/A,FALSE,"4WD"}</definedName>
    <definedName name="평가종합" hidden="1">{#N/A,#N/A,FALSE,"단축1";#N/A,#N/A,FALSE,"단축2";#N/A,#N/A,FALSE,"단축3";#N/A,#N/A,FALSE,"장축";#N/A,#N/A,FALSE,"4WD"}</definedName>
    <definedName name="평가후">#REF!</definedName>
    <definedName name="평균">#REF!</definedName>
    <definedName name="평균1">#REF!</definedName>
    <definedName name="평균2">#REF!</definedName>
    <definedName name="평균3">#REF!</definedName>
    <definedName name="평균4">#REF!</definedName>
    <definedName name="평균5">#REF!</definedName>
    <definedName name="평균가입자">#REF!</definedName>
    <definedName name="평균이자율" hidden="1">#REF!</definedName>
    <definedName name="평당단가" hidden="1">#REF!</definedName>
    <definedName name="평의자">#REF!</definedName>
    <definedName name="평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폐기물처리비">#REF!</definedName>
    <definedName name="포" localSheetId="2" hidden="1">{#N/A,#N/A,FALSE,"1.CRITERIA";#N/A,#N/A,FALSE,"2.IS";#N/A,#N/A,FALSE,"3.BS";#N/A,#N/A,FALSE,"4.PER PL";#N/A,#N/A,FALSE,"5.INVESTMENT";#N/A,#N/A,FALSE,"6.공문";#N/A,#N/A,FALSE,"7.netinvest"}</definedName>
    <definedName name="포" hidden="1">{#N/A,#N/A,FALSE,"1.CRITERIA";#N/A,#N/A,FALSE,"2.IS";#N/A,#N/A,FALSE,"3.BS";#N/A,#N/A,FALSE,"4.PER PL";#N/A,#N/A,FALSE,"5.INVESTMENT";#N/A,#N/A,FALSE,"6.공문";#N/A,#N/A,FALSE,"7.netinvest"}</definedName>
    <definedName name="포공화학" localSheetId="2" hidden="1">{#N/A,#N/A,FALSE,"범우구미";#N/A,#N/A,FALSE,"세한케미칼";#N/A,#N/A,FALSE,"세명화학";#N/A,#N/A,FALSE,"신영케미칼";#N/A,#N/A,FALSE,"일석상사"}</definedName>
    <definedName name="포공화학" hidden="1">{#N/A,#N/A,FALSE,"범우구미";#N/A,#N/A,FALSE,"세한케미칼";#N/A,#N/A,FALSE,"세명화학";#N/A,#N/A,FALSE,"신영케미칼";#N/A,#N/A,FALSE,"일석상사"}</definedName>
    <definedName name="포기3" hidden="1">{#N/A,#N/A,FALSE,"표지목차"}</definedName>
    <definedName name="포장2월ocf" hidden="1">{#N/A,#N/A,FALSE,"지침";#N/A,#N/A,FALSE,"환경분석";#N/A,#N/A,FALSE,"Sheet16"}</definedName>
    <definedName name="포장ocf" hidden="1">{#N/A,#N/A,FALSE,"지침";#N/A,#N/A,FALSE,"환경분석";#N/A,#N/A,FALSE,"Sheet16"}</definedName>
    <definedName name="포장공">#REF!</definedName>
    <definedName name="포장공1">BlankMacro1</definedName>
    <definedName name="폭래">BlankMacro1</definedName>
    <definedName name="표">#REF!</definedName>
    <definedName name="표_2" localSheetId="2" hidden="1">{#N/A,#N/A,FALSE,"P.C.B"}</definedName>
    <definedName name="표_2" hidden="1">{#N/A,#N/A,FALSE,"P.C.B"}</definedName>
    <definedName name="표1" localSheetId="2" hidden="1">{#N/A,#N/A,FALSE,"P.C.B"}</definedName>
    <definedName name="표1" hidden="1">{#N/A,#N/A,FALSE,"P.C.B"}</definedName>
    <definedName name="표2" hidden="1">#REF!</definedName>
    <definedName name="표22" hidden="1">Country_Summary</definedName>
    <definedName name="표23" hidden="1">{#N/A,#N/A,FALSE,"P.C.B"}</definedName>
    <definedName name="표3">#REF!</definedName>
    <definedName name="표4">#REF!</definedName>
    <definedName name="표5">#REF!</definedName>
    <definedName name="표종류">#REF!</definedName>
    <definedName name="표준">#REF!</definedName>
    <definedName name="표준안전관리비">#REF!</definedName>
    <definedName name="표준화실적99" hidden="1">{#N/A,#N/A,FALSE,"단축1";#N/A,#N/A,FALSE,"단축2";#N/A,#N/A,FALSE,"단축3";#N/A,#N/A,FALSE,"장축";#N/A,#N/A,FALSE,"4WD"}</definedName>
    <definedName name="표지" hidden="1">#REF!</definedName>
    <definedName name="표지." hidden="1">#REF!</definedName>
    <definedName name="표지1">#REF!</definedName>
    <definedName name="표지2" hidden="1">#REF!</definedName>
    <definedName name="표지3">#REF!</definedName>
    <definedName name="표지다">#REF!</definedName>
    <definedName name="표지자료" hidden="1">{#N/A,#N/A,FALSE,"단축1";#N/A,#N/A,FALSE,"단축2";#N/A,#N/A,FALSE,"단축3";#N/A,#N/A,FALSE,"장축";#N/A,#N/A,FALSE,"4WD"}</definedName>
    <definedName name="표층t">#REF!</definedName>
    <definedName name="표표">#REF!</definedName>
    <definedName name="표표표" localSheetId="2" hidden="1">{#N/A,#N/A,FALSE,"P.C.B"}</definedName>
    <definedName name="표표표" hidden="1">{#N/A,#N/A,FALSE,"P.C.B"}</definedName>
    <definedName name="푸" hidden="1">{#N/A,#N/A,FALSE,"단축1";#N/A,#N/A,FALSE,"단축2";#N/A,#N/A,FALSE,"단축3";#N/A,#N/A,FALSE,"장축";#N/A,#N/A,FALSE,"4WD"}</definedName>
    <definedName name="품" localSheetId="2" hidden="1">{#N/A,#N/A,TRUE,"Y생산";#N/A,#N/A,TRUE,"Y판매";#N/A,#N/A,TRUE,"Y총물량";#N/A,#N/A,TRUE,"Y능력";#N/A,#N/A,TRUE,"YKD"}</definedName>
    <definedName name="품" hidden="1">{#N/A,#N/A,TRUE,"Y생산";#N/A,#N/A,TRUE,"Y판매";#N/A,#N/A,TRUE,"Y총물량";#N/A,#N/A,TRUE,"Y능력";#N/A,#N/A,TRUE,"YKD"}</definedName>
    <definedName name="품100경">#REF!</definedName>
    <definedName name="품100노">#REF!</definedName>
    <definedName name="품100재">#REF!</definedName>
    <definedName name="품101경">#REF!</definedName>
    <definedName name="품101노">#REF!</definedName>
    <definedName name="품101재">#REF!</definedName>
    <definedName name="품102경">#REF!</definedName>
    <definedName name="품102노">#REF!</definedName>
    <definedName name="품102재">#REF!</definedName>
    <definedName name="품103경">#REF!</definedName>
    <definedName name="품103노">#REF!</definedName>
    <definedName name="품103재">#REF!</definedName>
    <definedName name="품104경">#REF!</definedName>
    <definedName name="품104노">#REF!</definedName>
    <definedName name="품104재">#REF!</definedName>
    <definedName name="품105경">#REF!</definedName>
    <definedName name="품105노">#REF!</definedName>
    <definedName name="품105재">#REF!</definedName>
    <definedName name="품106경">#REF!</definedName>
    <definedName name="품106노">#REF!</definedName>
    <definedName name="품106재">#REF!</definedName>
    <definedName name="품107경">#REF!</definedName>
    <definedName name="품107노">#REF!</definedName>
    <definedName name="품107재">#REF!</definedName>
    <definedName name="품108경">#REF!</definedName>
    <definedName name="품108노">#REF!</definedName>
    <definedName name="품108재">#REF!</definedName>
    <definedName name="품109노">#REF!</definedName>
    <definedName name="품10노">#REF!</definedName>
    <definedName name="품10재">#REF!</definedName>
    <definedName name="품110노">#REF!</definedName>
    <definedName name="품111노">#REF!</definedName>
    <definedName name="품112노">#REF!</definedName>
    <definedName name="품113노">#REF!</definedName>
    <definedName name="품113재">#REF!</definedName>
    <definedName name="품114노">#REF!</definedName>
    <definedName name="품115노">#REF!</definedName>
    <definedName name="품116노">#REF!</definedName>
    <definedName name="품117노">#REF!</definedName>
    <definedName name="품118노">#REF!</definedName>
    <definedName name="품119노">#REF!</definedName>
    <definedName name="품11노">#REF!</definedName>
    <definedName name="품11재">#REF!</definedName>
    <definedName name="품120노">#REF!</definedName>
    <definedName name="품120재">#REF!</definedName>
    <definedName name="품121재">#REF!</definedName>
    <definedName name="품122재">#REF!</definedName>
    <definedName name="품123노">#REF!</definedName>
    <definedName name="품123재">#REF!</definedName>
    <definedName name="품124노">#REF!</definedName>
    <definedName name="품124재">#REF!</definedName>
    <definedName name="품125노">#REF!</definedName>
    <definedName name="품125재">#REF!</definedName>
    <definedName name="품126노">#REF!</definedName>
    <definedName name="품126재">#REF!</definedName>
    <definedName name="품127노">#REF!</definedName>
    <definedName name="품127재">#REF!</definedName>
    <definedName name="품128노">#REF!</definedName>
    <definedName name="품128재">#REF!</definedName>
    <definedName name="품129노">#REF!</definedName>
    <definedName name="품129재">#REF!</definedName>
    <definedName name="품12노">#REF!</definedName>
    <definedName name="품12재">#REF!</definedName>
    <definedName name="품130노">#REF!</definedName>
    <definedName name="품130재">#REF!</definedName>
    <definedName name="품131재">#REF!</definedName>
    <definedName name="품132노">#REF!</definedName>
    <definedName name="품132재">#REF!</definedName>
    <definedName name="품133재">#REF!</definedName>
    <definedName name="품134재">#REF!</definedName>
    <definedName name="품135재">#REF!</definedName>
    <definedName name="품136노">#REF!</definedName>
    <definedName name="품136재">#REF!</definedName>
    <definedName name="품137노">#REF!</definedName>
    <definedName name="품137재">#REF!</definedName>
    <definedName name="품138노">#REF!</definedName>
    <definedName name="품138재">#REF!</definedName>
    <definedName name="품139노">#REF!</definedName>
    <definedName name="품139재">#REF!</definedName>
    <definedName name="품13노">#REF!</definedName>
    <definedName name="품140노">#REF!</definedName>
    <definedName name="품140재">#REF!</definedName>
    <definedName name="품141노">#REF!</definedName>
    <definedName name="품141재">#REF!</definedName>
    <definedName name="품142노">#REF!</definedName>
    <definedName name="품142재">#REF!</definedName>
    <definedName name="품143노">#REF!</definedName>
    <definedName name="품143재">#REF!</definedName>
    <definedName name="품144노">#REF!</definedName>
    <definedName name="품144재">#REF!</definedName>
    <definedName name="품145노">#REF!</definedName>
    <definedName name="품145재">#REF!</definedName>
    <definedName name="품146노">#REF!</definedName>
    <definedName name="품146재">#REF!</definedName>
    <definedName name="품147노">#REF!</definedName>
    <definedName name="품147재">#REF!</definedName>
    <definedName name="품148노">#REF!</definedName>
    <definedName name="품148재">#REF!</definedName>
    <definedName name="품149노">#REF!</definedName>
    <definedName name="품149재">#REF!</definedName>
    <definedName name="품14노">#REF!</definedName>
    <definedName name="품14재">#REF!</definedName>
    <definedName name="품150노">#REF!</definedName>
    <definedName name="품150재">#REF!</definedName>
    <definedName name="품151노">#REF!</definedName>
    <definedName name="품151재">#REF!</definedName>
    <definedName name="품152노">#REF!</definedName>
    <definedName name="품152재">#REF!</definedName>
    <definedName name="품153노">#REF!</definedName>
    <definedName name="품153재">#REF!</definedName>
    <definedName name="품154노">#REF!</definedName>
    <definedName name="품154재">#REF!</definedName>
    <definedName name="품155노">#REF!</definedName>
    <definedName name="품155재">#REF!</definedName>
    <definedName name="품156재">#REF!</definedName>
    <definedName name="품157노">#REF!</definedName>
    <definedName name="품157재">#REF!</definedName>
    <definedName name="품158노">#REF!</definedName>
    <definedName name="품158재">#REF!</definedName>
    <definedName name="품159노">#REF!</definedName>
    <definedName name="품159재">#REF!</definedName>
    <definedName name="품15노">#REF!</definedName>
    <definedName name="품15재">#REF!</definedName>
    <definedName name="품160재">#REF!</definedName>
    <definedName name="품161노">#REF!</definedName>
    <definedName name="품161재">#REF!</definedName>
    <definedName name="품162노">#REF!</definedName>
    <definedName name="품162재">#REF!</definedName>
    <definedName name="품163노">#REF!</definedName>
    <definedName name="품163재">#REF!</definedName>
    <definedName name="품164노">#REF!</definedName>
    <definedName name="품164재">#REF!</definedName>
    <definedName name="품165노">#REF!</definedName>
    <definedName name="품165재">#REF!</definedName>
    <definedName name="품166노">#REF!</definedName>
    <definedName name="품166재">#REF!</definedName>
    <definedName name="품167노">#REF!</definedName>
    <definedName name="품167재">#REF!</definedName>
    <definedName name="품168경">#REF!</definedName>
    <definedName name="품168노">#REF!</definedName>
    <definedName name="품168재">#REF!</definedName>
    <definedName name="품169경">#REF!</definedName>
    <definedName name="품169노">#REF!</definedName>
    <definedName name="품169재">#REF!</definedName>
    <definedName name="품16노">#REF!</definedName>
    <definedName name="품170경">#REF!</definedName>
    <definedName name="품170노">#REF!</definedName>
    <definedName name="품170재">#REF!</definedName>
    <definedName name="품171경">#REF!</definedName>
    <definedName name="품171노">#REF!</definedName>
    <definedName name="품171재">#REF!</definedName>
    <definedName name="품172노">#REF!</definedName>
    <definedName name="품172재">#REF!</definedName>
    <definedName name="품173노">#REF!</definedName>
    <definedName name="품173재">#REF!</definedName>
    <definedName name="품174경">#REF!</definedName>
    <definedName name="품174노">#REF!</definedName>
    <definedName name="품174재">#REF!</definedName>
    <definedName name="품175경">#REF!</definedName>
    <definedName name="품175노">#REF!</definedName>
    <definedName name="품175재">#REF!</definedName>
    <definedName name="품176경">#REF!</definedName>
    <definedName name="품176노">#REF!</definedName>
    <definedName name="품176재">#REF!</definedName>
    <definedName name="품177노">#REF!</definedName>
    <definedName name="품177재">#REF!</definedName>
    <definedName name="품178경">#REF!</definedName>
    <definedName name="품178경1">#REF!</definedName>
    <definedName name="품178노">#REF!</definedName>
    <definedName name="품178노1">#REF!</definedName>
    <definedName name="품178재">#REF!</definedName>
    <definedName name="품178재1">#REF!</definedName>
    <definedName name="품179경">#REF!</definedName>
    <definedName name="품179노">#REF!</definedName>
    <definedName name="품179재">#REF!</definedName>
    <definedName name="품17노">#REF!</definedName>
    <definedName name="품17재">#REF!</definedName>
    <definedName name="품180경">#REF!</definedName>
    <definedName name="품180노">#REF!</definedName>
    <definedName name="품180재">#REF!</definedName>
    <definedName name="품181노">#REF!</definedName>
    <definedName name="품182노">#REF!</definedName>
    <definedName name="품182재">#REF!</definedName>
    <definedName name="품183경">#REF!</definedName>
    <definedName name="품183노">#REF!</definedName>
    <definedName name="품183재">#REF!</definedName>
    <definedName name="품184경">#REF!</definedName>
    <definedName name="품184노">#REF!</definedName>
    <definedName name="품184재">#REF!</definedName>
    <definedName name="품18노">#REF!</definedName>
    <definedName name="품19노">#REF!</definedName>
    <definedName name="품19재">#REF!</definedName>
    <definedName name="품1노">#REF!</definedName>
    <definedName name="품1재">#REF!</definedName>
    <definedName name="품20노">#REF!</definedName>
    <definedName name="품21노">#REF!</definedName>
    <definedName name="품21재">#REF!</definedName>
    <definedName name="품22경">#REF!</definedName>
    <definedName name="품22노">#REF!</definedName>
    <definedName name="품22재">#REF!</definedName>
    <definedName name="품23경">#REF!</definedName>
    <definedName name="품23노">#REF!</definedName>
    <definedName name="품23재">#REF!</definedName>
    <definedName name="품24경">#REF!</definedName>
    <definedName name="품24노">#REF!</definedName>
    <definedName name="품24재">#REF!</definedName>
    <definedName name="품25노">#REF!</definedName>
    <definedName name="품26노">#REF!</definedName>
    <definedName name="품27노">#REF!</definedName>
    <definedName name="품27재">#REF!</definedName>
    <definedName name="품283경">#REF!</definedName>
    <definedName name="품283노">#REF!</definedName>
    <definedName name="품283재">#REF!</definedName>
    <definedName name="품28노">#REF!</definedName>
    <definedName name="품28재">#REF!</definedName>
    <definedName name="품29노">#REF!</definedName>
    <definedName name="품29재">#REF!</definedName>
    <definedName name="품2노">#REF!</definedName>
    <definedName name="품2재">#REF!</definedName>
    <definedName name="품30노">#REF!</definedName>
    <definedName name="품30재">#REF!</definedName>
    <definedName name="품31노">#REF!</definedName>
    <definedName name="품31재">#REF!</definedName>
    <definedName name="품32노">#REF!</definedName>
    <definedName name="품32재">#REF!</definedName>
    <definedName name="품33노">#REF!</definedName>
    <definedName name="품33재">#REF!</definedName>
    <definedName name="품34경">#REF!</definedName>
    <definedName name="품34재">#REF!</definedName>
    <definedName name="품35노">#REF!</definedName>
    <definedName name="품36노">#REF!</definedName>
    <definedName name="품37노">#REF!</definedName>
    <definedName name="품38노">#REF!</definedName>
    <definedName name="품39노">#REF!</definedName>
    <definedName name="품3노">#REF!</definedName>
    <definedName name="품3재">#REF!</definedName>
    <definedName name="품40노">#REF!</definedName>
    <definedName name="품41노">#REF!</definedName>
    <definedName name="품42노">#REF!</definedName>
    <definedName name="품43노">#REF!</definedName>
    <definedName name="품44노">#REF!</definedName>
    <definedName name="품44재">#REF!</definedName>
    <definedName name="품45노">#REF!</definedName>
    <definedName name="품46노">#REF!</definedName>
    <definedName name="품46재">#REF!</definedName>
    <definedName name="품47노">#REF!</definedName>
    <definedName name="품47재">#REF!</definedName>
    <definedName name="품48노">#REF!</definedName>
    <definedName name="품48재">#REF!</definedName>
    <definedName name="품49재">#REF!</definedName>
    <definedName name="품4노">#REF!</definedName>
    <definedName name="품4재">#REF!</definedName>
    <definedName name="품50노">#REF!</definedName>
    <definedName name="품50재">#REF!</definedName>
    <definedName name="품51노">#REF!</definedName>
    <definedName name="품51재">#REF!</definedName>
    <definedName name="품52노">#REF!</definedName>
    <definedName name="품52재">#REF!</definedName>
    <definedName name="품53노">#REF!</definedName>
    <definedName name="품53재">#REF!</definedName>
    <definedName name="품54노">#REF!</definedName>
    <definedName name="품54재">#REF!</definedName>
    <definedName name="품55노">#REF!</definedName>
    <definedName name="품55노1">#REF!</definedName>
    <definedName name="품55재">#REF!</definedName>
    <definedName name="품55재1">#REF!</definedName>
    <definedName name="품56노">#REF!</definedName>
    <definedName name="품56재">#REF!</definedName>
    <definedName name="품57노">#REF!</definedName>
    <definedName name="품57재">#REF!</definedName>
    <definedName name="품58노">#REF!</definedName>
    <definedName name="품58재">#REF!</definedName>
    <definedName name="품59노">#REF!</definedName>
    <definedName name="품59재">#REF!</definedName>
    <definedName name="품5노">#REF!</definedName>
    <definedName name="품5재">#REF!</definedName>
    <definedName name="품60노">#REF!</definedName>
    <definedName name="품60재">#REF!</definedName>
    <definedName name="품61노">#REF!</definedName>
    <definedName name="품61재">#REF!</definedName>
    <definedName name="품62노">#REF!</definedName>
    <definedName name="품62재">#REF!</definedName>
    <definedName name="품63노">#REF!</definedName>
    <definedName name="품63재">#REF!</definedName>
    <definedName name="품64노">#REF!</definedName>
    <definedName name="품64재">#REF!</definedName>
    <definedName name="품65노">#REF!</definedName>
    <definedName name="품65재">#REF!</definedName>
    <definedName name="품66노">#REF!</definedName>
    <definedName name="품66재">#REF!</definedName>
    <definedName name="품67노">#REF!</definedName>
    <definedName name="품67재">#REF!</definedName>
    <definedName name="품68노">#REF!</definedName>
    <definedName name="품68재">#REF!</definedName>
    <definedName name="품69노">#REF!</definedName>
    <definedName name="품69재">#REF!</definedName>
    <definedName name="품6노">#REF!</definedName>
    <definedName name="품6재">#REF!</definedName>
    <definedName name="품70노">#REF!</definedName>
    <definedName name="품70재">#REF!</definedName>
    <definedName name="품71노">#REF!</definedName>
    <definedName name="품71재">#REF!</definedName>
    <definedName name="품72노">#REF!</definedName>
    <definedName name="품72노1">#REF!</definedName>
    <definedName name="품73경">#REF!</definedName>
    <definedName name="품73노">#REF!</definedName>
    <definedName name="품73재">#REF!</definedName>
    <definedName name="품74노">#REF!</definedName>
    <definedName name="품74재">#REF!</definedName>
    <definedName name="품75재">#REF!</definedName>
    <definedName name="품76경">#REF!</definedName>
    <definedName name="품76노">#REF!</definedName>
    <definedName name="품76재">#REF!</definedName>
    <definedName name="품77경">#REF!</definedName>
    <definedName name="품77노">#REF!</definedName>
    <definedName name="품77재">#REF!</definedName>
    <definedName name="품78경">#REF!</definedName>
    <definedName name="품78노">#REF!</definedName>
    <definedName name="품78재">#REF!</definedName>
    <definedName name="품79경">#REF!</definedName>
    <definedName name="품79노">#REF!</definedName>
    <definedName name="품79재">#REF!</definedName>
    <definedName name="품7노">#REF!</definedName>
    <definedName name="품7재">#REF!</definedName>
    <definedName name="품80경">#REF!</definedName>
    <definedName name="품80노">#REF!</definedName>
    <definedName name="품80재">#REF!</definedName>
    <definedName name="품81경">#REF!</definedName>
    <definedName name="품81노">#REF!</definedName>
    <definedName name="품81재">#REF!</definedName>
    <definedName name="품82경">#REF!</definedName>
    <definedName name="품82노">#REF!</definedName>
    <definedName name="품82재">#REF!</definedName>
    <definedName name="품83경">#REF!</definedName>
    <definedName name="품83노">#REF!</definedName>
    <definedName name="품83재">#REF!</definedName>
    <definedName name="품84경">#REF!</definedName>
    <definedName name="품84노">#REF!</definedName>
    <definedName name="품84재">#REF!</definedName>
    <definedName name="품85경">#REF!</definedName>
    <definedName name="품85노">#REF!</definedName>
    <definedName name="품85재">#REF!</definedName>
    <definedName name="품86경">#REF!</definedName>
    <definedName name="품86노">#REF!</definedName>
    <definedName name="품86재">#REF!</definedName>
    <definedName name="품87경">#REF!</definedName>
    <definedName name="품87노">#REF!</definedName>
    <definedName name="품87재">#REF!</definedName>
    <definedName name="품88경">#REF!</definedName>
    <definedName name="품88노">#REF!</definedName>
    <definedName name="품88재">#REF!</definedName>
    <definedName name="품89경">#REF!</definedName>
    <definedName name="품89노">#REF!</definedName>
    <definedName name="품89재">#REF!</definedName>
    <definedName name="품8노">#REF!</definedName>
    <definedName name="품8재">#REF!</definedName>
    <definedName name="품90경">#REF!</definedName>
    <definedName name="품90노">#REF!</definedName>
    <definedName name="품90재">#REF!</definedName>
    <definedName name="품91경">#REF!</definedName>
    <definedName name="품91노">#REF!</definedName>
    <definedName name="품91재">#REF!</definedName>
    <definedName name="품92경">#REF!</definedName>
    <definedName name="품92경1">#REF!</definedName>
    <definedName name="품92노">#REF!</definedName>
    <definedName name="품92노1">#REF!</definedName>
    <definedName name="품92재">#REF!</definedName>
    <definedName name="품92재1">#REF!</definedName>
    <definedName name="품93경">#REF!</definedName>
    <definedName name="품93노">#REF!</definedName>
    <definedName name="품93재">#REF!</definedName>
    <definedName name="품94경">#REF!</definedName>
    <definedName name="품94노">#REF!</definedName>
    <definedName name="품94재">#REF!</definedName>
    <definedName name="품95경">#REF!</definedName>
    <definedName name="품95노">#REF!</definedName>
    <definedName name="품95재">#REF!</definedName>
    <definedName name="품96경">#REF!</definedName>
    <definedName name="품96노">#REF!</definedName>
    <definedName name="품96재">#REF!</definedName>
    <definedName name="품97경">#REF!</definedName>
    <definedName name="품97노">#REF!</definedName>
    <definedName name="품97재">#REF!</definedName>
    <definedName name="품98경">#REF!</definedName>
    <definedName name="품98노">#REF!</definedName>
    <definedName name="품98재">#REF!</definedName>
    <definedName name="품99경">#REF!</definedName>
    <definedName name="품99노">#REF!</definedName>
    <definedName name="품99재">#REF!</definedName>
    <definedName name="품9노">#REF!</definedName>
    <definedName name="품9재">#REF!</definedName>
    <definedName name="품명">#REF!</definedName>
    <definedName name="품명및규격">#REF!</definedName>
    <definedName name="품목별매출">#REF!</definedName>
    <definedName name="품셈계">#REF!</definedName>
    <definedName name="품셈단가표">#N/A</definedName>
    <definedName name="품위내역서">BlankMacro1</definedName>
    <definedName name="품의">#REF!</definedName>
    <definedName name="품의서">#REF!</definedName>
    <definedName name="품질" hidden="1">{#N/A,#N/A,FALSE,"단축1";#N/A,#N/A,FALSE,"단축2";#N/A,#N/A,FALSE,"단축3";#N/A,#N/A,FALSE,"장축";#N/A,#N/A,FALSE,"4WD"}</definedName>
    <definedName name="품질개선" hidden="1">#REF!</definedName>
    <definedName name="품질현황">#REF!,#REF!</definedName>
    <definedName name="품확1" hidden="1">{#N/A,#N/A,FALSE,"단축1";#N/A,#N/A,FALSE,"단축2";#N/A,#N/A,FALSE,"단축3";#N/A,#N/A,FALSE,"장축";#N/A,#N/A,FALSE,"4WD"}</definedName>
    <definedName name="풍납동" hidden="1">#REF!</definedName>
    <definedName name="풍납동아파트" hidden="1">#REF!</definedName>
    <definedName name="퓾ㄴ" localSheetId="2" hidden="1">{#N/A,#N/A,FALSE,"기안지";#N/A,#N/A,FALSE,"통신지"}</definedName>
    <definedName name="퓾ㄴ" hidden="1">{#N/A,#N/A,FALSE,"기안지";#N/A,#N/A,FALSE,"통신지"}</definedName>
    <definedName name="프라임코팅">#REF!</definedName>
    <definedName name="프레스" hidden="1">{#N/A,#N/A,FALSE,"단축1";#N/A,#N/A,FALSE,"단축2";#N/A,#N/A,FALSE,"단축3";#N/A,#N/A,FALSE,"장축";#N/A,#N/A,FALSE,"4WD"}</definedName>
    <definedName name="프로내용_4월" hidden="1">#REF!</definedName>
    <definedName name="프로젝트" hidden="1">#REF!</definedName>
    <definedName name="플기">#REF!</definedName>
    <definedName name="플랜트">56509</definedName>
    <definedName name="플랜트노">#N/A</definedName>
    <definedName name="플랜트전공">#REF!</definedName>
    <definedName name="플러스"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배">#REF!</definedName>
    <definedName name="플용">#REF!</definedName>
    <definedName name="피로티" hidden="1">{#N/A,#N/A,FALSE,"이태원철근"}</definedName>
    <definedName name="피로티1" hidden="1">{#N/A,#N/A,FALSE,"이태원철근"}</definedName>
    <definedName name="피비씨">#REF!</definedName>
    <definedName name="피비씨리스트">#REF!</definedName>
    <definedName name="필터">#REF!</definedName>
    <definedName name="핌너ㅏ">BlankMacro1</definedName>
    <definedName name="ㅎ" localSheetId="2" hidden="1">{#N/A,#N/A,FALSE,"BS";#N/A,#N/A,FALSE,"PL";#N/A,#N/A,FALSE,"처분";#N/A,#N/A,FALSE,"현금";#N/A,#N/A,FALSE,"매출";#N/A,#N/A,FALSE,"원가";#N/A,#N/A,FALSE,"경영"}</definedName>
    <definedName name="ㅎ" hidden="1">{#N/A,#N/A,FALSE,"BS";#N/A,#N/A,FALSE,"PL";#N/A,#N/A,FALSE,"처분";#N/A,#N/A,FALSE,"현금";#N/A,#N/A,FALSE,"매출";#N/A,#N/A,FALSE,"원가";#N/A,#N/A,FALSE,"경영"}</definedName>
    <definedName name="ㅎ1244">#REF!</definedName>
    <definedName name="ㅎ384">#REF!</definedName>
    <definedName name="ㅎ4ㅎ">#N/A</definedName>
    <definedName name="ㅎ5ㄱㅎ" localSheetId="2" hidden="1">{"'Jibu9811 (3)'!$B$1:$J$433"}</definedName>
    <definedName name="ㅎ5ㄱㅎ" hidden="1">{"'Jibu9811 (3)'!$B$1:$J$433"}</definedName>
    <definedName name="ㅎㄱ">BlankMacro1</definedName>
    <definedName name="ㅎㄱㄱ" localSheetId="2" hidden="1">{"'Jibu9811 (3)'!$B$1:$J$433"}</definedName>
    <definedName name="ㅎㄱㄱ" hidden="1">{"'Jibu9811 (3)'!$B$1:$J$433"}</definedName>
    <definedName name="ㅎㄱㄱㄱ" localSheetId="2" hidden="1">{"'Jibu9811 (3)'!$B$1:$J$433"}</definedName>
    <definedName name="ㅎㄱㄱㄱ" hidden="1">{"'Jibu9811 (3)'!$B$1:$J$433"}</definedName>
    <definedName name="ㅎㄱㅂ">BlankMacro1</definedName>
    <definedName name="ㅎㄱㅂㄷ">BlankMacro1</definedName>
    <definedName name="ㅎㄱㅂㅂㅂㅂ">BlankMacro1</definedName>
    <definedName name="ㅎㄴ" localSheetId="2" hidden="1">{"'Jibu9811 (3)'!$B$1:$J$433"}</definedName>
    <definedName name="ㅎㄴ" hidden="1">{"'Jibu9811 (3)'!$B$1:$J$433"}</definedName>
    <definedName name="ㅎ노">{"'Sheet1'!$A$1:$C$75"}</definedName>
    <definedName name="ㅎㄷㄱㅎㄱ" localSheetId="2" hidden="1">{"'Jibu9811 (3)'!$B$1:$J$433"}</definedName>
    <definedName name="ㅎㄷㄱㅎㄱ" hidden="1">{"'Jibu9811 (3)'!$B$1:$J$433"}</definedName>
    <definedName name="ㅎㄷㅁㄱ" hidden="1">{#N/A,#N/A,FALSE,"단축1";#N/A,#N/A,FALSE,"단축2";#N/A,#N/A,FALSE,"단축3";#N/A,#N/A,FALSE,"장축";#N/A,#N/A,FALSE,"4WD"}</definedName>
    <definedName name="ㅎㄷ뮤">#N/A</definedName>
    <definedName name="ㅎㄹㄴ" localSheetId="2" hidden="1">{#N/A,#N/A,FALSE,"97년 투자계획 세부내역 "}</definedName>
    <definedName name="ㅎㄹㄴ" hidden="1">{#N/A,#N/A,FALSE,"97년 투자계획 세부내역 "}</definedName>
    <definedName name="ㅎ라ㅏㅊ">BlankMacro1</definedName>
    <definedName name="ㅎ랄" localSheetId="2" hidden="1">{#N/A,#N/A,FALSE,"기안지";#N/A,#N/A,FALSE,"통신지"}</definedName>
    <definedName name="ㅎ랄" hidden="1">{#N/A,#N/A,FALSE,"기안지";#N/A,#N/A,FALSE,"통신지"}</definedName>
    <definedName name="ㅎ러닢ㅎㄶㅎ" localSheetId="2" hidden="1">{"'Jibu9811 (3)'!$B$1:$J$433"}</definedName>
    <definedName name="ㅎ러닢ㅎㄶㅎ" hidden="1">{"'Jibu9811 (3)'!$B$1:$J$433"}</definedName>
    <definedName name="ㅎ러ㅗㅀ" hidden="1">{#N/A,#N/A,FALSE,"단축1";#N/A,#N/A,FALSE,"단축2";#N/A,#N/A,FALSE,"단축3";#N/A,#N/A,FALSE,"장축";#N/A,#N/A,FALSE,"4WD"}</definedName>
    <definedName name="ㅎ러ㅗㅎ로ㅓ" hidden="1">#REF!</definedName>
    <definedName name="ㅎ러ㅗㅓㅏㅇ노" hidden="1">#REF!</definedName>
    <definedName name="ㅎ로" hidden="1">{#N/A,#N/A,FALSE,"단축1";#N/A,#N/A,FALSE,"단축2";#N/A,#N/A,FALSE,"단축3";#N/A,#N/A,FALSE,"장축";#N/A,#N/A,FALSE,"4WD"}</definedName>
    <definedName name="ㅎ로ㅎ로" localSheetId="2" hidden="1">{#N/A,#N/A,FALSE,"삼진정공";#N/A,#N/A,FALSE,"영신금속";#N/A,#N/A,FALSE,"태양금속";#N/A,#N/A,FALSE,"진합정공";#N/A,#N/A,FALSE,"코리아";#N/A,#N/A,FALSE,"풍강금속";#N/A,#N/A,FALSE,"선일기계"}</definedName>
    <definedName name="ㅎ로ㅎ로" hidden="1">{#N/A,#N/A,FALSE,"삼진정공";#N/A,#N/A,FALSE,"영신금속";#N/A,#N/A,FALSE,"태양금속";#N/A,#N/A,FALSE,"진합정공";#N/A,#N/A,FALSE,"코리아";#N/A,#N/A,FALSE,"풍강금속";#N/A,#N/A,FALSE,"선일기계"}</definedName>
    <definedName name="ㅎ룰후ㅎㅎ" hidden="1">{#N/A,#N/A,FALSE,"단축1";#N/A,#N/A,FALSE,"단축2";#N/A,#N/A,FALSE,"단축3";#N/A,#N/A,FALSE,"장축";#N/A,#N/A,FALSE,"4WD"}</definedName>
    <definedName name="ㅎㄽ" localSheetId="2" hidden="1">{#N/A,#N/A,FALSE,"UNIT";#N/A,#N/A,FALSE,"UNIT";#N/A,#N/A,FALSE,"계정"}</definedName>
    <definedName name="ㅎㄽ" hidden="1">{#N/A,#N/A,FALSE,"UNIT";#N/A,#N/A,FALSE,"UNIT";#N/A,#N/A,FALSE,"계정"}</definedName>
    <definedName name="ㅎㅀ" hidden="1">{#N/A,#N/A,FALSE,"단축1";#N/A,#N/A,FALSE,"단축2";#N/A,#N/A,FALSE,"단축3";#N/A,#N/A,FALSE,"장축";#N/A,#N/A,FALSE,"4WD"}</definedName>
    <definedName name="ㅎㅀㄹ">BlankMacro1</definedName>
    <definedName name="ㅎㅀㅀ" hidden="1">#REF!</definedName>
    <definedName name="ㅎㅀㅀㄹ" hidden="1">#REF!</definedName>
    <definedName name="ㅎㅀㅇ" hidden="1">#REF!</definedName>
    <definedName name="ㅎㅁㄴ" hidden="1">#REF!</definedName>
    <definedName name="ㅎㅁㅇㅎㅇㅁㅀㅁㅎ" hidden="1">#REF!</definedName>
    <definedName name="ㅎㅂㅈㄷ"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바ㅏㅇ">BlankMacro1</definedName>
    <definedName name="ㅎ바ㅑㅂ">#N/A</definedName>
    <definedName name="ㅎ뱌">BlankMacro1</definedName>
    <definedName name="ㅎㅇㄴㄻㅇㄴㄹ" localSheetId="2" hidden="1">{"'수정손익계산서'!$AT$97:$AY$174"}</definedName>
    <definedName name="ㅎㅇㄴㄻㅇㄴㄹ" hidden="1">{"'수정손익계산서'!$AT$97:$AY$174"}</definedName>
    <definedName name="ㅎㅇㄴㄻㅇㄴㄹ_1" localSheetId="2" hidden="1">{"'수정손익계산서'!$AT$97:$AY$174"}</definedName>
    <definedName name="ㅎㅇㄴㄻㅇㄴㄹ_1" hidden="1">{"'수정손익계산서'!$AT$97:$AY$174"}</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ㅀㅇㅀㅇㅀ" hidden="1">{#N/A,#N/A,FALSE,"Performance Flash Report"}</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ㅈ">#N/A</definedName>
    <definedName name="ㅎㅊㅇ">BlankMacro1</definedName>
    <definedName name="ㅎㅎ" localSheetId="2" hidden="1">{#N/A,#N/A,FALSE,"BS";#N/A,#N/A,FALSE,"PL";#N/A,#N/A,FALSE,"처분";#N/A,#N/A,FALSE,"현금";#N/A,#N/A,FALSE,"매출";#N/A,#N/A,FALSE,"원가";#N/A,#N/A,FALSE,"경영"}</definedName>
    <definedName name="ㅎㅎ" hidden="1">{#N/A,#N/A,FALSE,"BS";#N/A,#N/A,FALSE,"PL";#N/A,#N/A,FALSE,"처분";#N/A,#N/A,FALSE,"현금";#N/A,#N/A,FALSE,"매출";#N/A,#N/A,FALSE,"원가";#N/A,#N/A,FALSE,"경영"}</definedName>
    <definedName name="ㅎㅎ2" localSheetId="2" hidden="1">{#N/A,#N/A,TRUE,"Summary";#N/A,#N/A,TRUE,"IS";#N/A,#N/A,TRUE,"Adj";#N/A,#N/A,TRUE,"BS";#N/A,#N/A,TRUE,"CF";#N/A,#N/A,TRUE,"Debt";#N/A,#N/A,TRUE,"IRR"}</definedName>
    <definedName name="ㅎㅎ2" hidden="1">{#N/A,#N/A,TRUE,"Summary";#N/A,#N/A,TRUE,"IS";#N/A,#N/A,TRUE,"Adj";#N/A,#N/A,TRUE,"BS";#N/A,#N/A,TRUE,"CF";#N/A,#N/A,TRUE,"Debt";#N/A,#N/A,TRUE,"IRR"}</definedName>
    <definedName name="ㅎㅎㅀ" hidden="1">#REF!</definedName>
    <definedName name="ㅎㅎㅎ" hidden="1">{#N/A,#N/A,FALSE,"손익표지";#N/A,#N/A,FALSE,"손익계산";#N/A,#N/A,FALSE,"일반관리비";#N/A,#N/A,FALSE,"영업외수익";#N/A,#N/A,FALSE,"영업외비용";#N/A,#N/A,FALSE,"매출액";#N/A,#N/A,FALSE,"요약손익";#N/A,#N/A,FALSE,"요약대차";#N/A,#N/A,FALSE,"매출채권현황";#N/A,#N/A,FALSE,"매출채권명세"}</definedName>
    <definedName name="ㅎㅎㅎㅎ" localSheetId="2" hidden="1">{#N/A,#N/A,FALSE,"BS";#N/A,#N/A,FALSE,"PL";#N/A,#N/A,FALSE,"처분";#N/A,#N/A,FALSE,"현금";#N/A,#N/A,FALSE,"매출";#N/A,#N/A,FALSE,"원가";#N/A,#N/A,FALSE,"경영"}</definedName>
    <definedName name="ㅎㅎㅎㅎ" hidden="1">{#N/A,#N/A,FALSE,"BS";#N/A,#N/A,FALSE,"PL";#N/A,#N/A,FALSE,"처분";#N/A,#N/A,FALSE,"현금";#N/A,#N/A,FALSE,"매출";#N/A,#N/A,FALSE,"원가";#N/A,#N/A,FALSE,"경영"}</definedName>
    <definedName name="ㅎ햐궇" localSheetId="2" hidden="1">{#N/A,#N/A,FALSE,"이정표"}</definedName>
    <definedName name="ㅎ햐궇" hidden="1">{#N/A,#N/A,FALSE,"이정표"}</definedName>
    <definedName name="ㅎ헝">BlankMacro1</definedName>
    <definedName name="하" localSheetId="2" hidden="1">{#N/A,#N/A,FALSE,"1.CRITERIA";#N/A,#N/A,FALSE,"2.IS";#N/A,#N/A,FALSE,"3.BS";#N/A,#N/A,FALSE,"4.PER PL";#N/A,#N/A,FALSE,"5.INVESTMENT";#N/A,#N/A,FALSE,"6.공문";#N/A,#N/A,FALSE,"7.netinvest"}</definedName>
    <definedName name="하" hidden="1">{#N/A,#N/A,FALSE,"1.CRITERIA";#N/A,#N/A,FALSE,"2.IS";#N/A,#N/A,FALSE,"3.BS";#N/A,#N/A,FALSE,"4.PER PL";#N/A,#N/A,FALSE,"5.INVESTMENT";#N/A,#N/A,FALSE,"6.공문";#N/A,#N/A,FALSE,"7.netinvest"}</definedName>
    <definedName name="하기">#REF!</definedName>
    <definedName name="하댜">BlankMacro1</definedName>
    <definedName name="하도공종1">#REF!</definedName>
    <definedName name="하도공종2">#REF!</definedName>
    <definedName name="하도공종3">#REF!</definedName>
    <definedName name="하도공종4">#REF!</definedName>
    <definedName name="하도공종5">#REF!</definedName>
    <definedName name="하도공종6">#REF!</definedName>
    <definedName name="하도급">#REF!</definedName>
    <definedName name="하도급계획서">#REF!</definedName>
    <definedName name="하도대상" hidden="1">{#N/A,#N/A,FALSE,"골재소요량";#N/A,#N/A,FALSE,"골재소요량"}</definedName>
    <definedName name="하도업체1">#REF!</definedName>
    <definedName name="하도업체2">#REF!</definedName>
    <definedName name="하도업체3">#REF!</definedName>
    <definedName name="하도업체4">#REF!</definedName>
    <definedName name="하도업체5">#REF!</definedName>
    <definedName name="하도업체6">#REF!</definedName>
    <definedName name="하반기차입금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hidden="1">{#N/A,#N/A,FALSE,"손익표지";#N/A,#N/A,FALSE,"손익계산";#N/A,#N/A,FALSE,"일반관리비";#N/A,#N/A,FALSE,"영업외수익";#N/A,#N/A,FALSE,"영업외비용";#N/A,#N/A,FALSE,"매출액";#N/A,#N/A,FALSE,"요약손익";#N/A,#N/A,FALSE,"요약대차";#N/A,#N/A,FALSE,"매출채권현황";#N/A,#N/A,FALSE,"매출채권명세"}</definedName>
    <definedName name="하부슬라브">#REF!</definedName>
    <definedName name="하실적" hidden="1">{#N/A,#N/A,FALSE,"단축1";#N/A,#N/A,FALSE,"단축2";#N/A,#N/A,FALSE,"단축3";#N/A,#N/A,FALSE,"장축";#N/A,#N/A,FALSE,"4WD"}</definedName>
    <definedName name="하아">BlankMacro1</definedName>
    <definedName name="하아ㅏ">#N/A</definedName>
    <definedName name="하위직심사기준" localSheetId="2" hidden="1">{#N/A,#N/A,FALSE,"생산성";#N/A,#N/A,FALSE,"인력1";#N/A,#N/A,FALSE,"인력2";#N/A,#N/A,FALSE,"인력3";#N/A,#N/A,FALSE,"인건1";#N/A,#N/A,FALSE,"인건2";#N/A,#N/A,FALSE,"인건3";#N/A,#N/A,FALSE,"인원증감";#N/A,#N/A,FALSE,"인건증감";#N/A,#N/A,FALSE,"표지등"}</definedName>
    <definedName name="하위직심사기준" hidden="1">{#N/A,#N/A,FALSE,"생산성";#N/A,#N/A,FALSE,"인력1";#N/A,#N/A,FALSE,"인력2";#N/A,#N/A,FALSE,"인력3";#N/A,#N/A,FALSE,"인건1";#N/A,#N/A,FALSE,"인건2";#N/A,#N/A,FALSE,"인건3";#N/A,#N/A,FALSE,"인원증감";#N/A,#N/A,FALSE,"인건증감";#N/A,#N/A,FALSE,"표지등"}</definedName>
    <definedName name="하자공종1">#REF!</definedName>
    <definedName name="하자공종2">#REF!</definedName>
    <definedName name="하자기간1">#REF!</definedName>
    <definedName name="하자기간2">#REF!</definedName>
    <definedName name="하자기간3">#REF!</definedName>
    <definedName name="하자기간4">#REF!</definedName>
    <definedName name="하자기간5">#REF!</definedName>
    <definedName name="하자기간6">#REF!</definedName>
    <definedName name="하자말자" hidden="1">{#N/A,#N/A,FALSE,"손익표지";#N/A,#N/A,FALSE,"손익계산";#N/A,#N/A,FALSE,"일반관리비";#N/A,#N/A,FALSE,"영업외수익";#N/A,#N/A,FALSE,"영업외비용";#N/A,#N/A,FALSE,"매출액";#N/A,#N/A,FALSE,"요약손익";#N/A,#N/A,FALSE,"요약대차";#N/A,#N/A,FALSE,"매출채권현황";#N/A,#N/A,FALSE,"매출채권명세"}</definedName>
    <definedName name="하자보증기간1">#REF!</definedName>
    <definedName name="하자보증기간2">#REF!</definedName>
    <definedName name="하처">BlankMacro1</definedName>
    <definedName name="하하" localSheetId="2" hidden="1">{#N/A,#N/A,FALSE,"BS";#N/A,#N/A,FALSE,"PL";#N/A,#N/A,FALSE,"처분";#N/A,#N/A,FALSE,"현금";#N/A,#N/A,FALSE,"매출";#N/A,#N/A,FALSE,"원가";#N/A,#N/A,FALSE,"경영"}</definedName>
    <definedName name="하하" hidden="1">{#N/A,#N/A,FALSE,"BS";#N/A,#N/A,FALSE,"PL";#N/A,#N/A,FALSE,"처분";#N/A,#N/A,FALSE,"현금";#N/A,#N/A,FALSE,"매출";#N/A,#N/A,FALSE,"원가";#N/A,#N/A,FALSE,"경영"}</definedName>
    <definedName name="하하하" localSheetId="2" hidden="1">{#N/A,#N/A,FALSE,"BS";#N/A,#N/A,FALSE,"PL";#N/A,#N/A,FALSE,"A";#N/A,#N/A,FALSE,"B";#N/A,#N/A,FALSE,"B1";#N/A,#N/A,FALSE,"C";#N/A,#N/A,FALSE,"C1";#N/A,#N/A,FALSE,"C2";#N/A,#N/A,FALSE,"D";#N/A,#N/A,FALSE,"E";#N/A,#N/A,FALSE,"F";#N/A,#N/A,FALSE,"AA";#N/A,#N/A,FALSE,"BB";#N/A,#N/A,FALSE,"CC";#N/A,#N/A,FALSE,"DD";#N/A,#N/A,FALSE,"EE";#N/A,#N/A,FALSE,"FF";#N/A,#N/A,FALSE,"PL10";#N/A,#N/A,FALSE,"PL20";#N/A,#N/A,FALSE,"PL30"}</definedName>
    <definedName name="하하하" hidden="1">{#N/A,#N/A,FALSE,"BS";#N/A,#N/A,FALSE,"PL";#N/A,#N/A,FALSE,"A";#N/A,#N/A,FALSE,"B";#N/A,#N/A,FALSE,"B1";#N/A,#N/A,FALSE,"C";#N/A,#N/A,FALSE,"C1";#N/A,#N/A,FALSE,"C2";#N/A,#N/A,FALSE,"D";#N/A,#N/A,FALSE,"E";#N/A,#N/A,FALSE,"F";#N/A,#N/A,FALSE,"AA";#N/A,#N/A,FALSE,"BB";#N/A,#N/A,FALSE,"CC";#N/A,#N/A,FALSE,"DD";#N/A,#N/A,FALSE,"EE";#N/A,#N/A,FALSE,"FF";#N/A,#N/A,FALSE,"PL10";#N/A,#N/A,FALSE,"PL20";#N/A,#N/A,FALSE,"PL30"}</definedName>
    <definedName name="하하하_1" localSheetId="2" hidden="1">{#N/A,#N/A,FALSE,"BS";#N/A,#N/A,FALSE,"PL";#N/A,#N/A,FALSE,"A";#N/A,#N/A,FALSE,"B";#N/A,#N/A,FALSE,"B1";#N/A,#N/A,FALSE,"C";#N/A,#N/A,FALSE,"C1";#N/A,#N/A,FALSE,"C2";#N/A,#N/A,FALSE,"D";#N/A,#N/A,FALSE,"E";#N/A,#N/A,FALSE,"F";#N/A,#N/A,FALSE,"AA";#N/A,#N/A,FALSE,"BB";#N/A,#N/A,FALSE,"CC";#N/A,#N/A,FALSE,"DD";#N/A,#N/A,FALSE,"EE";#N/A,#N/A,FALSE,"FF";#N/A,#N/A,FALSE,"PL10";#N/A,#N/A,FALSE,"PL20";#N/A,#N/A,FALSE,"PL30"}</definedName>
    <definedName name="하하하_1" hidden="1">{#N/A,#N/A,FALSE,"BS";#N/A,#N/A,FALSE,"PL";#N/A,#N/A,FALSE,"A";#N/A,#N/A,FALSE,"B";#N/A,#N/A,FALSE,"B1";#N/A,#N/A,FALSE,"C";#N/A,#N/A,FALSE,"C1";#N/A,#N/A,FALSE,"C2";#N/A,#N/A,FALSE,"D";#N/A,#N/A,FALSE,"E";#N/A,#N/A,FALSE,"F";#N/A,#N/A,FALSE,"AA";#N/A,#N/A,FALSE,"BB";#N/A,#N/A,FALSE,"CC";#N/A,#N/A,FALSE,"DD";#N/A,#N/A,FALSE,"EE";#N/A,#N/A,FALSE,"FF";#N/A,#N/A,FALSE,"PL10";#N/A,#N/A,FALSE,"PL20";#N/A,#N/A,FALSE,"PL30"}</definedName>
    <definedName name="하하핳"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하핳" localSheetId="2" hidden="1">{#N/A,#N/A,TRUE,"Y생산";#N/A,#N/A,TRUE,"Y판매";#N/A,#N/A,TRUE,"Y총물량";#N/A,#N/A,TRUE,"Y능력";#N/A,#N/A,TRUE,"YKD"}</definedName>
    <definedName name="하핳" hidden="1">{#N/A,#N/A,TRUE,"Y생산";#N/A,#N/A,TRUE,"Y판매";#N/A,#N/A,TRUE,"Y총물량";#N/A,#N/A,TRUE,"Y능력";#N/A,#N/A,TRUE,"YKD"}</definedName>
    <definedName name="하ㅏㅇ">#N/A</definedName>
    <definedName name="하ㅓㅂ">BlankMacro1</definedName>
    <definedName name="학교" hidden="1">#REF!</definedName>
    <definedName name="학생">#REF!</definedName>
    <definedName name="한"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글" hidden="1">#REF!</definedName>
    <definedName name="한라구절초">#REF!</definedName>
    <definedName name="한승헌" localSheetId="2" hidden="1">{#N/A,#N/A,TRUE,"매출진척-1";#N/A,#N/A,TRUE,"매출진척-2";#N/A,#N/A,TRUE,"제품실적";#N/A,#N/A,TRUE,"RAC";#N/A,#N/A,TRUE,"PAC ";#N/A,#N/A,TRUE,"재고현황";#N/A,#N/A,TRUE,"공지사항"}</definedName>
    <definedName name="한승헌" hidden="1">{#N/A,#N/A,TRUE,"매출진척-1";#N/A,#N/A,TRUE,"매출진척-2";#N/A,#N/A,TRUE,"제품실적";#N/A,#N/A,TRUE,"RAC";#N/A,#N/A,TRUE,"PAC ";#N/A,#N/A,TRUE,"재고현황";#N/A,#N/A,TRUE,"공지사항"}</definedName>
    <definedName name="한영사전" localSheetId="2" hidden="1">{#N/A,#N/A,TRUE,"Y생산";#N/A,#N/A,TRUE,"Y판매";#N/A,#N/A,TRUE,"Y총물량";#N/A,#N/A,TRUE,"Y능력";#N/A,#N/A,TRUE,"YKD"}</definedName>
    <definedName name="한영사전" hidden="1">{#N/A,#N/A,TRUE,"Y생산";#N/A,#N/A,TRUE,"Y판매";#N/A,#N/A,TRUE,"Y총물량";#N/A,#N/A,TRUE,"Y능력";#N/A,#N/A,TRUE,"YKD"}</definedName>
    <definedName name="한원양행" localSheetId="2" hidden="1">{#N/A,#N/A,FALSE,"범우구미";#N/A,#N/A,FALSE,"세한케미칼";#N/A,#N/A,FALSE,"세명화학";#N/A,#N/A,FALSE,"신영케미칼";#N/A,#N/A,FALSE,"일석상사"}</definedName>
    <definedName name="한원양행" hidden="1">{#N/A,#N/A,FALSE,"범우구미";#N/A,#N/A,FALSE,"세한케미칼";#N/A,#N/A,FALSE,"세명화학";#N/A,#N/A,FALSE,"신영케미칼";#N/A,#N/A,FALSE,"일석상사"}</definedName>
    <definedName name="한은보고2">#REF!</definedName>
    <definedName name="한은평균">#REF!</definedName>
    <definedName name="한은평균1">#REF!</definedName>
    <definedName name="한은평균2">#REF!</definedName>
    <definedName name="한은평균3">#REF!</definedName>
    <definedName name="한은평균4">#REF!</definedName>
    <definedName name="한은평균5">#REF!</definedName>
    <definedName name="한총2" localSheetId="2" hidden="1">{#N/A,#N/A,FALSE,"을지 (4)";#N/A,#N/A,FALSE,"을지 (5)";#N/A,#N/A,FALSE,"을지 (6)"}</definedName>
    <definedName name="한총2" hidden="1">{#N/A,#N/A,FALSE,"을지 (4)";#N/A,#N/A,FALSE,"을지 (5)";#N/A,#N/A,FALSE,"을지 (6)"}</definedName>
    <definedName name="할석공">#REF!</definedName>
    <definedName name="할인9월" localSheetId="2" hidden="1">{#N/A,#N/A,FALSE,"BS";#N/A,#N/A,FALSE,"PL";#N/A,#N/A,FALSE,"처분";#N/A,#N/A,FALSE,"현금";#N/A,#N/A,FALSE,"매출";#N/A,#N/A,FALSE,"원가";#N/A,#N/A,FALSE,"경영"}</definedName>
    <definedName name="할인9월" hidden="1">{#N/A,#N/A,FALSE,"BS";#N/A,#N/A,FALSE,"PL";#N/A,#N/A,FALSE,"처분";#N/A,#N/A,FALSE,"현금";#N/A,#N/A,FALSE,"매출";#N/A,#N/A,FALSE,"원가";#N/A,#N/A,FALSE,"경영"}</definedName>
    <definedName name="할인9월_1" localSheetId="2" hidden="1">{#N/A,#N/A,FALSE,"BS";#N/A,#N/A,FALSE,"PL";#N/A,#N/A,FALSE,"처분";#N/A,#N/A,FALSE,"현금";#N/A,#N/A,FALSE,"매출";#N/A,#N/A,FALSE,"원가";#N/A,#N/A,FALSE,"경영"}</definedName>
    <definedName name="할인9월_1" hidden="1">{#N/A,#N/A,FALSE,"BS";#N/A,#N/A,FALSE,"PL";#N/A,#N/A,FALSE,"처분";#N/A,#N/A,FALSE,"현금";#N/A,#N/A,FALSE,"매출";#N/A,#N/A,FALSE,"원가";#N/A,#N/A,FALSE,"경영"}</definedName>
    <definedName name="할인어음" localSheetId="2" hidden="1">{#N/A,#N/A,FALSE,"BS";#N/A,#N/A,FALSE,"PL";#N/A,#N/A,FALSE,"처분";#N/A,#N/A,FALSE,"현금";#N/A,#N/A,FALSE,"매출";#N/A,#N/A,FALSE,"원가";#N/A,#N/A,FALSE,"경영"}</definedName>
    <definedName name="할인어음" hidden="1">{#N/A,#N/A,FALSE,"BS";#N/A,#N/A,FALSE,"PL";#N/A,#N/A,FALSE,"처분";#N/A,#N/A,FALSE,"현금";#N/A,#N/A,FALSE,"매출";#N/A,#N/A,FALSE,"원가";#N/A,#N/A,FALSE,"경영"}</definedName>
    <definedName name="할인어음_1" localSheetId="2" hidden="1">{#N/A,#N/A,FALSE,"BS";#N/A,#N/A,FALSE,"PL";#N/A,#N/A,FALSE,"처분";#N/A,#N/A,FALSE,"현금";#N/A,#N/A,FALSE,"매출";#N/A,#N/A,FALSE,"원가";#N/A,#N/A,FALSE,"경영"}</definedName>
    <definedName name="할인어음_1" hidden="1">{#N/A,#N/A,FALSE,"BS";#N/A,#N/A,FALSE,"PL";#N/A,#N/A,FALSE,"처분";#N/A,#N/A,FALSE,"현금";#N/A,#N/A,FALSE,"매출";#N/A,#N/A,FALSE,"원가";#N/A,#N/A,FALSE,"경영"}</definedName>
    <definedName name="할험">BlankMacro1</definedName>
    <definedName name="함석">#REF!</definedName>
    <definedName name="합">BlankMacro1</definedName>
    <definedName name="합계">#REF!</definedName>
    <definedName name="합뎌">BlankMacro1</definedName>
    <definedName name="합리화4월" localSheetId="2" hidden="1">{#N/A,#N/A,FALSE,"단축1";#N/A,#N/A,FALSE,"단축2";#N/A,#N/A,FALSE,"단축3";#N/A,#N/A,FALSE,"장축";#N/A,#N/A,FALSE,"4WD"}</definedName>
    <definedName name="합리화4월" hidden="1">{#N/A,#N/A,FALSE,"단축1";#N/A,#N/A,FALSE,"단축2";#N/A,#N/A,FALSE,"단축3";#N/A,#N/A,FALSE,"장축";#N/A,#N/A,FALSE,"4WD"}</definedName>
    <definedName name="합잔">#REF!</definedName>
    <definedName name="합판거푸집">#REF!</definedName>
    <definedName name="항">BlankMacro1</definedName>
    <definedName name="항공수요"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항목" hidden="1">{#N/A,#N/A,FALSE,"손익표지";#N/A,#N/A,FALSE,"손익계산";#N/A,#N/A,FALSE,"일반관리비";#N/A,#N/A,FALSE,"영업외수익";#N/A,#N/A,FALSE,"영업외비용";#N/A,#N/A,FALSE,"매출액";#N/A,#N/A,FALSE,"요약손익";#N/A,#N/A,FALSE,"요약대차";#N/A,#N/A,FALSE,"매출채권현황";#N/A,#N/A,FALSE,"매출채권명세"}</definedName>
    <definedName name="항목수">#REF!</definedName>
    <definedName name="항목제목">#REF!</definedName>
    <definedName name="항ㅎ">#N/A</definedName>
    <definedName name="핯">BlankMacro1</definedName>
    <definedName name="해당년">#REF!</definedName>
    <definedName name="해당월">#REF!</definedName>
    <definedName name="해당화">#REF!</definedName>
    <definedName name="해외">#N/A</definedName>
    <definedName name="해외2" hidden="1">{#N/A,#N/A,FALSE,"손익표지";#N/A,#N/A,FALSE,"손익계산";#N/A,#N/A,FALSE,"일반관리비";#N/A,#N/A,FALSE,"영업외수익";#N/A,#N/A,FALSE,"영업외비용";#N/A,#N/A,FALSE,"매출액";#N/A,#N/A,FALSE,"요약손익";#N/A,#N/A,FALSE,"요약대차";#N/A,#N/A,FALSE,"매출채권현황";#N/A,#N/A,FALSE,"매출채권명세"}</definedName>
    <definedName name="해외출장비_일비">#REF!</definedName>
    <definedName name="해체">#REF!</definedName>
    <definedName name="해한" localSheetId="2" hidden="1">{#N/A,#N/A,FALSE,"BS";#N/A,#N/A,FALSE,"PL";#N/A,#N/A,FALSE,"A";#N/A,#N/A,FALSE,"B";#N/A,#N/A,FALSE,"B1";#N/A,#N/A,FALSE,"C";#N/A,#N/A,FALSE,"C1";#N/A,#N/A,FALSE,"C2";#N/A,#N/A,FALSE,"D";#N/A,#N/A,FALSE,"E";#N/A,#N/A,FALSE,"F";#N/A,#N/A,FALSE,"AA";#N/A,#N/A,FALSE,"BB";#N/A,#N/A,FALSE,"CC";#N/A,#N/A,FALSE,"DD";#N/A,#N/A,FALSE,"EE";#N/A,#N/A,FALSE,"FF";#N/A,#N/A,FALSE,"PL10";#N/A,#N/A,FALSE,"PL20";#N/A,#N/A,FALSE,"PL30"}</definedName>
    <definedName name="해한" hidden="1">{#N/A,#N/A,FALSE,"BS";#N/A,#N/A,FALSE,"PL";#N/A,#N/A,FALSE,"A";#N/A,#N/A,FALSE,"B";#N/A,#N/A,FALSE,"B1";#N/A,#N/A,FALSE,"C";#N/A,#N/A,FALSE,"C1";#N/A,#N/A,FALSE,"C2";#N/A,#N/A,FALSE,"D";#N/A,#N/A,FALSE,"E";#N/A,#N/A,FALSE,"F";#N/A,#N/A,FALSE,"AA";#N/A,#N/A,FALSE,"BB";#N/A,#N/A,FALSE,"CC";#N/A,#N/A,FALSE,"DD";#N/A,#N/A,FALSE,"EE";#N/A,#N/A,FALSE,"FF";#N/A,#N/A,FALSE,"PL10";#N/A,#N/A,FALSE,"PL20";#N/A,#N/A,FALSE,"PL30"}</definedName>
    <definedName name="해ㅑㄷㄱ">BlankMacro1</definedName>
    <definedName name="핻ㄱ">BlankMacro1</definedName>
    <definedName name="행삭제">#REF!</definedName>
    <definedName name="햐" localSheetId="2" hidden="1">{#N/A,#N/A,FALSE,"1.CRITERIA";#N/A,#N/A,FALSE,"2.IS";#N/A,#N/A,FALSE,"3.BS";#N/A,#N/A,FALSE,"4.PER PL";#N/A,#N/A,FALSE,"5.INVESTMENT";#N/A,#N/A,FALSE,"6.공문";#N/A,#N/A,FALSE,"7.netinvest"}</definedName>
    <definedName name="햐" hidden="1">{#N/A,#N/A,FALSE,"1.CRITERIA";#N/A,#N/A,FALSE,"2.IS";#N/A,#N/A,FALSE,"3.BS";#N/A,#N/A,FALSE,"4.PER PL";#N/A,#N/A,FALSE,"5.INVESTMENT";#N/A,#N/A,FALSE,"6.공문";#N/A,#N/A,FALSE,"7.netinvest"}</definedName>
    <definedName name="햑">BlankMacro1</definedName>
    <definedName name="햡">#N/A</definedName>
    <definedName name="향수" localSheetId="2" hidden="1">{"'Jibu9811 (3)'!$B$1:$J$433"}</definedName>
    <definedName name="향수" hidden="1">{"'Jibu9811 (3)'!$B$1:$J$433"}</definedName>
    <definedName name="향후계획1" hidden="1">{#N/A,#N/A,FALSE,"단축1";#N/A,#N/A,FALSE,"단축2";#N/A,#N/A,FALSE,"단축3";#N/A,#N/A,FALSE,"장축";#N/A,#N/A,FALSE,"4WD"}</definedName>
    <definedName name="향후방향" localSheetId="2" hidden="1">{#N/A,#N/A,FALSE,"단축1";#N/A,#N/A,FALSE,"단축2";#N/A,#N/A,FALSE,"단축3";#N/A,#N/A,FALSE,"장축";#N/A,#N/A,FALSE,"4WD"}</definedName>
    <definedName name="향후방향" hidden="1">{#N/A,#N/A,FALSE,"단축1";#N/A,#N/A,FALSE,"단축2";#N/A,#N/A,FALSE,"단축3";#N/A,#N/A,FALSE,"장축";#N/A,#N/A,FALSE,"4WD"}</definedName>
    <definedName name="허">BlankMacro1</definedName>
    <definedName name="허허" hidden="1">{#N/A,#N/A,TRUE,"Y생산";#N/A,#N/A,TRUE,"Y판매";#N/A,#N/A,TRUE,"Y총물량";#N/A,#N/A,TRUE,"Y능력";#N/A,#N/A,TRUE,"YKD"}</definedName>
    <definedName name="허ㅏㅏㅇ라">BlankMacro1</definedName>
    <definedName name="허ㅑㄷ">BlankMacro1</definedName>
    <definedName name="허ㅑㄷㄱ">BlankMacro1</definedName>
    <definedName name="허ㅑㅂ">BlankMacro1</definedName>
    <definedName name="허ㅑㅑ다허">BlankMacro1</definedName>
    <definedName name="허ㅑㅣㅣ">BlankMacro1</definedName>
    <definedName name="허ㅓ" localSheetId="2" hidden="1">{#N/A,#N/A,FALSE,"단축1";#N/A,#N/A,FALSE,"단축2";#N/A,#N/A,FALSE,"단축3";#N/A,#N/A,FALSE,"장축";#N/A,#N/A,FALSE,"4WD"}</definedName>
    <definedName name="허ㅓ" hidden="1">{#N/A,#N/A,FALSE,"단축1";#N/A,#N/A,FALSE,"단축2";#N/A,#N/A,FALSE,"단축3";#N/A,#N/A,FALSE,"장축";#N/A,#N/A,FALSE,"4WD"}</definedName>
    <definedName name="허ㅓㄷ">BlankMacro1</definedName>
    <definedName name="허ㅓㅇ">BlankMacro1</definedName>
    <definedName name="허ㅓ아">BlankMacro1</definedName>
    <definedName name="헌" hidden="1">{#N/A,#N/A,FALSE,"손익표지";#N/A,#N/A,FALSE,"손익계산";#N/A,#N/A,FALSE,"일반관리비";#N/A,#N/A,FALSE,"영업외수익";#N/A,#N/A,FALSE,"영업외비용";#N/A,#N/A,FALSE,"매출액";#N/A,#N/A,FALSE,"요약손익";#N/A,#N/A,FALSE,"요약대차";#N/A,#N/A,FALSE,"매출채권현황";#N/A,#N/A,FALSE,"매출채권명세"}</definedName>
    <definedName name="헌전">#N/A</definedName>
    <definedName name="헌치H">#REF!</definedName>
    <definedName name="헌치V">#REF!</definedName>
    <definedName name="헙">BlankMacro1</definedName>
    <definedName name="헙댜ㅐ">#N/A</definedName>
    <definedName name="헙뱌ㅐ" localSheetId="2" hidden="1">{#N/A,#N/A,FALSE,"기안지";#N/A,#N/A,FALSE,"통신지"}</definedName>
    <definedName name="헙뱌ㅐ" hidden="1">{#N/A,#N/A,FALSE,"기안지";#N/A,#N/A,FALSE,"통신지"}</definedName>
    <definedName name="헤드" hidden="1">{#N/A,#N/A,FALSE,"손익표지";#N/A,#N/A,FALSE,"손익계산";#N/A,#N/A,FALSE,"일반관리비";#N/A,#N/A,FALSE,"영업외수익";#N/A,#N/A,FALSE,"영업외비용";#N/A,#N/A,FALSE,"매출액";#N/A,#N/A,FALSE,"요약손익";#N/A,#N/A,FALSE,"요약대차";#N/A,#N/A,FALSE,"매출채권현황";#N/A,#N/A,FALSE,"매출채권명세"}</definedName>
    <definedName name="혀" localSheetId="2" hidden="1">{#N/A,#N/A,FALSE,"1.CRITERIA";#N/A,#N/A,FALSE,"2.IS";#N/A,#N/A,FALSE,"3.BS";#N/A,#N/A,FALSE,"4.PER PL";#N/A,#N/A,FALSE,"5.INVESTMENT";#N/A,#N/A,FALSE,"6.공문";#N/A,#N/A,FALSE,"7.netinvest"}</definedName>
    <definedName name="혀" hidden="1">{#N/A,#N/A,FALSE,"1.CRITERIA";#N/A,#N/A,FALSE,"2.IS";#N/A,#N/A,FALSE,"3.BS";#N/A,#N/A,FALSE,"4.PER PL";#N/A,#N/A,FALSE,"5.INVESTMENT";#N/A,#N/A,FALSE,"6.공문";#N/A,#N/A,FALSE,"7.netinvest"}</definedName>
    <definedName name="현" hidden="1">{#N/A,#N/A,FALSE,"단축1";#N/A,#N/A,FALSE,"단축2";#N/A,#N/A,FALSE,"단축3";#N/A,#N/A,FALSE,"장축";#N/A,#N/A,FALSE,"4WD"}</definedName>
    <definedName name="현금"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_당기말">#REF!</definedName>
    <definedName name="현금_전기말">#REF!</definedName>
    <definedName name="현금23" localSheetId="2" hidden="1">{#N/A,#N/A,FALSE,"BS";#N/A,#N/A,FALSE,"PL";#N/A,#N/A,FALSE,"처분";#N/A,#N/A,FALSE,"현금";#N/A,#N/A,FALSE,"매출";#N/A,#N/A,FALSE,"원가";#N/A,#N/A,FALSE,"경영"}</definedName>
    <definedName name="현금23" hidden="1">{#N/A,#N/A,FALSE,"BS";#N/A,#N/A,FALSE,"PL";#N/A,#N/A,FALSE,"처분";#N/A,#N/A,FALSE,"현금";#N/A,#N/A,FALSE,"매출";#N/A,#N/A,FALSE,"원가";#N/A,#N/A,FALSE,"경영"}</definedName>
    <definedName name="현금거래_5300">#REF!</definedName>
    <definedName name="현금검증표" localSheetId="2" hidden="1">{#N/A,#N/A,FALSE,"1.CRITERIA";#N/A,#N/A,FALSE,"2.IS";#N/A,#N/A,FALSE,"3.BS";#N/A,#N/A,FALSE,"4.PER PL";#N/A,#N/A,FALSE,"5.INVESTMENT";#N/A,#N/A,FALSE,"6.공문";#N/A,#N/A,FALSE,"7.netinvest"}</definedName>
    <definedName name="현금검증표" hidden="1">{#N/A,#N/A,FALSE,"1.CRITERIA";#N/A,#N/A,FALSE,"2.IS";#N/A,#N/A,FALSE,"3.BS";#N/A,#N/A,FALSE,"4.PER PL";#N/A,#N/A,FALSE,"5.INVESTMENT";#N/A,#N/A,FALSE,"6.공문";#N/A,#N/A,FALSE,"7.netinvest"}</definedName>
    <definedName name="현금과예금">#REF!</definedName>
    <definedName name="현금등가물"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정산" hidden="1">{#N/A,#N/A,FALSE,"Aging Summary";#N/A,#N/A,FALSE,"Ratio Analysis";#N/A,#N/A,FALSE,"Test 120 Day Accts";#N/A,#N/A,FALSE,"Tickmarks"}</definedName>
    <definedName name="현금정산표">#REF!</definedName>
    <definedName name="현금출납장">#REF!</definedName>
    <definedName name="현금표">#N/A</definedName>
    <definedName name="현금흐">#REF!</definedName>
    <definedName name="현금흐름"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흐름" hidden="1">{#N/A,#N/A,FALSE,"손익표지";#N/A,#N/A,FALSE,"손익계산";#N/A,#N/A,FALSE,"일반관리비";#N/A,#N/A,FALSE,"영업외수익";#N/A,#N/A,FALSE,"영업외비용";#N/A,#N/A,FALSE,"매출액";#N/A,#N/A,FALSE,"요약손익";#N/A,#N/A,FALSE,"요약대차";#N/A,#N/A,FALSE,"매출채권현황";#N/A,#N/A,FALSE,"매출채권명세"}</definedName>
    <definedName name="현금흐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흐름_1" hidden="1">{#N/A,#N/A,FALSE,"손익표지";#N/A,#N/A,FALSE,"손익계산";#N/A,#N/A,FALSE,"일반관리비";#N/A,#N/A,FALSE,"영업외수익";#N/A,#N/A,FALSE,"영업외비용";#N/A,#N/A,FALSE,"매출액";#N/A,#N/A,FALSE,"요약손익";#N/A,#N/A,FALSE,"요약대차";#N/A,#N/A,FALSE,"매출채권현황";#N/A,#N/A,FALSE,"매출채권명세"}</definedName>
    <definedName name="현금흐름12월" hidden="1">#REF!</definedName>
    <definedName name="현금흐름정산표1111">#N/A</definedName>
    <definedName name="현금흐름표"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대" localSheetId="2" hidden="1">{#N/A,#N/A,FALSE,"정공"}</definedName>
    <definedName name="현대" hidden="1">{#N/A,#N/A,FALSE,"정공"}</definedName>
    <definedName name="현대내자터미널">#REF!</definedName>
    <definedName name="現代綜合商事經由分">#REF!</definedName>
    <definedName name="현설내역">#REF!</definedName>
    <definedName name="현성황" localSheetId="2" hidden="1">{#N/A,#N/A,FALSE,"UNIT";#N/A,#N/A,FALSE,"UNIT";#N/A,#N/A,FALSE,"계정"}</definedName>
    <definedName name="현성황" hidden="1">{#N/A,#N/A,FALSE,"UNIT";#N/A,#N/A,FALSE,"UNIT";#N/A,#N/A,FALSE,"계정"}</definedName>
    <definedName name="현안이슈2" hidden="1">#REF!</definedName>
    <definedName name="현작성조서" localSheetId="2"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현장대리인">#REF!</definedName>
    <definedName name="현장운영비산출" hidden="1">#REF!</definedName>
    <definedName name="현장충당금">#REF!</definedName>
    <definedName name="현지사무원급료">#REF!</definedName>
    <definedName name="현충탑">BlankMacro1</definedName>
    <definedName name="현황">{"A","내복";"B","주사";"C","외용";"D","기타"}</definedName>
    <definedName name="현황2" hidden="1">{#N/A,#N/A,FALSE,"단축1";#N/A,#N/A,FALSE,"단축2";#N/A,#N/A,FALSE,"단축3";#N/A,#N/A,FALSE,"장축";#N/A,#N/A,FALSE,"4WD"}</definedName>
    <definedName name="현황종합"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표2" hidden="1">{#N/A,#N/A,FALSE,"단축1";#N/A,#N/A,FALSE,"단축2";#N/A,#N/A,FALSE,"단축3";#N/A,#N/A,FALSE,"장축";#N/A,#N/A,FALSE,"4WD"}</definedName>
    <definedName name="혈액원1">#REF!</definedName>
    <definedName name="협조사항" hidden="1">{#N/A,#N/A,FALSE,"단축1";#N/A,#N/A,FALSE,"단축2";#N/A,#N/A,FALSE,"단축3";#N/A,#N/A,FALSE,"장축";#N/A,#N/A,FALSE,"4WD"}</definedName>
    <definedName name="협조전" localSheetId="2" hidden="1">{#N/A,#N/A,FALSE,"정공"}</definedName>
    <definedName name="협조전" hidden="1">{#N/A,#N/A,FALSE,"정공"}</definedName>
    <definedName name="형틀">#REF!</definedName>
    <definedName name="형틀목공">#REF!</definedName>
    <definedName name="호" localSheetId="2" hidden="1">{#N/A,#N/A,FALSE,"UNIT";#N/A,#N/A,FALSE,"UNIT";#N/A,#N/A,FALSE,"계정"}</definedName>
    <definedName name="호" hidden="1">{#N/A,#N/A,FALSE,"UNIT";#N/A,#N/A,FALSE,"UNIT";#N/A,#N/A,FALSE,"계정"}</definedName>
    <definedName name="호박">#REF!</definedName>
    <definedName name="호아ㅐ">BlankMacro1</definedName>
    <definedName name="호허">BlankMacro1</definedName>
    <definedName name="호호" hidden="1">{#N/A,#N/A,TRUE,"경전'96(1)";#N/A,#N/A,TRUE,"경전'96 (2)"}</definedName>
    <definedName name="호호호">BlankMacro1</definedName>
    <definedName name="호ㅓ" hidden="1">#REF!</definedName>
    <definedName name="호ㅓ마ㅣ">#REF!</definedName>
    <definedName name="호ㅓㅂ">BlankMacro1</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ㅓㅗㅓ" localSheetId="2" hidden="1">{#N/A,#N/A,FALSE,"삼진정공";#N/A,#N/A,FALSE,"영신금속";#N/A,#N/A,FALSE,"태양금속";#N/A,#N/A,FALSE,"진합정공";#N/A,#N/A,FALSE,"코리아";#N/A,#N/A,FALSE,"풍강금속";#N/A,#N/A,FALSE,"선일기계"}</definedName>
    <definedName name="호ㅓㅓㅗㅓ" hidden="1">{#N/A,#N/A,FALSE,"삼진정공";#N/A,#N/A,FALSE,"영신금속";#N/A,#N/A,FALSE,"태양금속";#N/A,#N/A,FALSE,"진합정공";#N/A,#N/A,FALSE,"코리아";#N/A,#N/A,FALSE,"풍강금속";#N/A,#N/A,FALSE,"선일기계"}</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호ㅗ" hidden="1">{#N/A,#N/A,FALSE,"단축1";#N/A,#N/A,FALSE,"단축2";#N/A,#N/A,FALSE,"단축3";#N/A,#N/A,FALSE,"장축";#N/A,#N/A,FALSE,"4WD"}</definedName>
    <definedName name="혼ㅇ로" hidden="1">#REF!</definedName>
    <definedName name="홇" hidden="1">{#N/A,#N/A,FALSE,"Sheet6"}</definedName>
    <definedName name="홈">#REF!</definedName>
    <definedName name="홉호">BlankMacro1</definedName>
    <definedName name="홋ㄱ" hidden="1">{#N/A,#N/A,FALSE,"Sheet6"}</definedName>
    <definedName name="홍" localSheetId="2" hidden="1">{#N/A,#N/A,FALSE,"96 3월물량표";#N/A,#N/A,FALSE,"96 4월물량표";#N/A,#N/A,FALSE,"96 5월물량표"}</definedName>
    <definedName name="홍" hidden="1">{#N/A,#N/A,FALSE,"96 3월물량표";#N/A,#N/A,FALSE,"96 4월물량표";#N/A,#N/A,FALSE,"96 5월물량표"}</definedName>
    <definedName name="홍단풍">#REF!</definedName>
    <definedName name="홍성태"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홍성태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홍성태_1" hidden="1">{#N/A,#N/A,FALSE,"손익표지";#N/A,#N/A,FALSE,"손익계산";#N/A,#N/A,FALSE,"일반관리비";#N/A,#N/A,FALSE,"영업외수익";#N/A,#N/A,FALSE,"영업외비용";#N/A,#N/A,FALSE,"매출액";#N/A,#N/A,FALSE,"요약손익";#N/A,#N/A,FALSE,"요약대차";#N/A,#N/A,FALSE,"매출채권현황";#N/A,#N/A,FALSE,"매출채권명세"}</definedName>
    <definedName name="화" hidden="1">{#N/A,#N/A,FALSE,"기안지";#N/A,#N/A,FALSE,"통신지"}</definedName>
    <definedName name="확" localSheetId="2"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2" hidden="1">{#N/A,#N/A,FALSE,"UNIT";#N/A,#N/A,FALSE,"UNIT";#N/A,#N/A,FALSE,"계정"}</definedName>
    <definedName name="확대3" hidden="1">{#N/A,#N/A,FALSE,"UNIT";#N/A,#N/A,FALSE,"UNIT";#N/A,#N/A,FALSE,"계정"}</definedName>
    <definedName name="확인">#REF!</definedName>
    <definedName name="환경" localSheetId="2" hidden="1">{#N/A,#N/A,FALSE,"UNIT";#N/A,#N/A,FALSE,"UNIT";#N/A,#N/A,FALSE,"계정"}</definedName>
    <definedName name="환경" hidden="1">{#N/A,#N/A,FALSE,"UNIT";#N/A,#N/A,FALSE,"UNIT";#N/A,#N/A,FALSE,"계정"}</definedName>
    <definedName name="환산율1" hidden="1">#REF!</definedName>
    <definedName name="환율">#REF!</definedName>
    <definedName name="환율유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환율유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환율유가_1" hidden="1">{#N/A,#N/A,FALSE,"손익표지";#N/A,#N/A,FALSE,"손익계산";#N/A,#N/A,FALSE,"일반관리비";#N/A,#N/A,FALSE,"영업외수익";#N/A,#N/A,FALSE,"영업외비용";#N/A,#N/A,FALSE,"매출액";#N/A,#N/A,FALSE,"요약손익";#N/A,#N/A,FALSE,"요약대차";#N/A,#N/A,FALSE,"매출채권현황";#N/A,#N/A,FALSE,"매출채권명세"}</definedName>
    <definedName name="홧" localSheetId="2" hidden="1">{"'Jibu9811 (3)'!$B$1:$J$433"}</definedName>
    <definedName name="홧" hidden="1">{"'Jibu9811 (3)'!$B$1:$J$433"}</definedName>
    <definedName name="황" hidden="1">#REF!</definedName>
    <definedName name="황달" hidden="1">{#N/A,#N/A,FALSE,"표지";#N/A,#N/A,FALSE,"전제";#N/A,#N/A,FALSE,"대당";#N/A,#N/A,FALSE,"가공비";#N/A,#N/A,FALSE,"재료비";#N/A,#N/A,FALSE,"손익"}</definedName>
    <definedName name="황당" hidden="1">{#N/A,#N/A,FALSE,"단축1";#N/A,#N/A,FALSE,"단축2";#N/A,#N/A,FALSE,"단축3";#N/A,#N/A,FALSE,"장축";#N/A,#N/A,FALSE,"4WD"}</definedName>
    <definedName name="황당1" hidden="1">{#N/A,#N/A,FALSE,"단축1";#N/A,#N/A,FALSE,"단축2";#N/A,#N/A,FALSE,"단축3";#N/A,#N/A,FALSE,"장축";#N/A,#N/A,FALSE,"4WD"}</definedName>
    <definedName name="황당3" hidden="1">{#N/A,#N/A,FALSE,"단축1";#N/A,#N/A,FALSE,"단축2";#N/A,#N/A,FALSE,"단축3";#N/A,#N/A,FALSE,"장축";#N/A,#N/A,FALSE,"4WD"}</definedName>
    <definedName name="황당4" hidden="1">{#N/A,#N/A,FALSE,"단축1";#N/A,#N/A,FALSE,"단축2";#N/A,#N/A,FALSE,"단축3";#N/A,#N/A,FALSE,"장축";#N/A,#N/A,FALSE,"4WD"}</definedName>
    <definedName name="황당9" hidden="1">{#N/A,#N/A,FALSE,"품의서";#N/A,#N/A,FALSE,"전제";#N/A,#N/A,FALSE,"총손";#N/A,#N/A,FALSE,"손익";#N/A,#N/A,FALSE,"대당";#N/A,#N/A,FALSE,"가공비";#N/A,#N/A,FALSE,"재료비";#N/A,#N/A,FALSE,"판비";#N/A,#N/A,FALSE,"가격"}</definedName>
    <definedName name="황덕영">BlankMacro1</definedName>
    <definedName name="황병" hidden="1">#REF!</definedName>
    <definedName name="황병용" hidden="1">{#N/A,#N/A,FALSE,"UNIT";#N/A,#N/A,FALSE,"UNIT";#N/A,#N/A,FALSE,"계정"}</definedName>
    <definedName name="황정수" localSheetId="2" hidden="1">{"'Jibu9811 (3)'!$B$1:$J$433"}</definedName>
    <definedName name="황정수" hidden="1">{"'Jibu9811 (3)'!$B$1:$J$433"}</definedName>
    <definedName name="황정수1" localSheetId="2" hidden="1">{"'Jibu9811 (3)'!$B$1:$J$433"}</definedName>
    <definedName name="황정수1" hidden="1">{"'Jibu9811 (3)'!$B$1:$J$433"}</definedName>
    <definedName name="황정수2" localSheetId="2" hidden="1">{"'Jibu9811 (3)'!$B$1:$J$433"}</definedName>
    <definedName name="황정수2" hidden="1">{"'Jibu9811 (3)'!$B$1:$J$433"}</definedName>
    <definedName name="황정수3" localSheetId="2" hidden="1">{"'Jibu9811 (3)'!$B$1:$J$433"}</definedName>
    <definedName name="황정수3" hidden="1">{"'Jibu9811 (3)'!$B$1:$J$433"}</definedName>
    <definedName name="황정수4" localSheetId="2" hidden="1">{"'Jibu9811 (3)'!$B$1:$J$433"}</definedName>
    <definedName name="황정수4" hidden="1">{"'Jibu9811 (3)'!$B$1:$J$433"}</definedName>
    <definedName name="황정수5" localSheetId="2" hidden="1">{"'Jibu9811 (3)'!$B$1:$J$433"}</definedName>
    <definedName name="황정수5" hidden="1">{"'Jibu9811 (3)'!$B$1:$J$433"}</definedName>
    <definedName name="황정수6" localSheetId="2" hidden="1">{"'Jibu9811 (3)'!$B$1:$J$433"}</definedName>
    <definedName name="황정수6" hidden="1">{"'Jibu9811 (3)'!$B$1:$J$433"}</definedName>
    <definedName name="황정수7" localSheetId="2" hidden="1">{"'Jibu9811 (3)'!$B$1:$J$433"}</definedName>
    <definedName name="황정수7" hidden="1">{"'Jibu9811 (3)'!$B$1:$J$433"}</definedName>
    <definedName name="황정수8" localSheetId="2" hidden="1">{"'Jibu9811 (3)'!$B$1:$J$433"}</definedName>
    <definedName name="황정수8" hidden="1">{"'Jibu9811 (3)'!$B$1:$J$433"}</definedName>
    <definedName name="회" hidden="1">{#N/A,#N/A,TRUE,"경전'96(1)";#N/A,#N/A,TRUE,"경전'96 (2)"}</definedName>
    <definedName name="회계년도">#REF!</definedName>
    <definedName name="회계와세무의가액검토" localSheetId="2" hidden="1">{#N/A,#N/A,FALSE,"9612"}</definedName>
    <definedName name="회계와세무의가액검토" hidden="1">{#N/A,#N/A,FALSE,"9612"}</definedName>
    <definedName name="회계잔액" hidden="1">#REF!</definedName>
    <definedName name="회계팀_수정분" hidden="1">#REF!</definedName>
    <definedName name="회사">#REF!</definedName>
    <definedName name="회사명">#REF!</definedName>
    <definedName name="회사정산표">#N/A</definedName>
    <definedName name="회사측대손">#REF!</definedName>
    <definedName name="회사현금흐름표">#REF!</definedName>
    <definedName name="회원가입권">#REF!</definedName>
    <definedName name="회원권">#REF!</definedName>
    <definedName name="회장1" hidden="1">{#N/A,#N/A,FALSE,"단축1";#N/A,#N/A,FALSE,"단축2";#N/A,#N/A,FALSE,"단축3";#N/A,#N/A,FALSE,"장축";#N/A,#N/A,FALSE,"4WD"}</definedName>
    <definedName name="회장님" hidden="1">{#N/A,#N/A,FALSE,"단축1";#N/A,#N/A,FALSE,"단축2";#N/A,#N/A,FALSE,"단축3";#N/A,#N/A,FALSE,"장축";#N/A,#N/A,FALSE,"4WD"}</definedName>
    <definedName name="회현"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회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현_1" hidden="1">{#N/A,#N/A,FALSE,"손익표지";#N/A,#N/A,FALSE,"손익계산";#N/A,#N/A,FALSE,"일반관리비";#N/A,#N/A,FALSE,"영업외수익";#N/A,#N/A,FALSE,"영업외비용";#N/A,#N/A,FALSE,"매출액";#N/A,#N/A,FALSE,"요약손익";#N/A,#N/A,FALSE,"요약대차";#N/A,#N/A,FALSE,"매출채권현황";#N/A,#N/A,FALSE,"매출채권명세"}</definedName>
    <definedName name="획" hidden="1">{#N/A,#N/A,FALSE,"손익표지";#N/A,#N/A,FALSE,"손익계산";#N/A,#N/A,FALSE,"일반관리비";#N/A,#N/A,FALSE,"영업외수익";#N/A,#N/A,FALSE,"영업외비용";#N/A,#N/A,FALSE,"매출액";#N/A,#N/A,FALSE,"요약손익";#N/A,#N/A,FALSE,"요약대차";#N/A,#N/A,FALSE,"매출채권현황";#N/A,#N/A,FALSE,"매출채권명세"}</definedName>
    <definedName name="효" localSheetId="2" hidden="1">{#N/A,#N/A,FALSE,"1.CRITERIA";#N/A,#N/A,FALSE,"2.IS";#N/A,#N/A,FALSE,"3.BS";#N/A,#N/A,FALSE,"4.PER PL";#N/A,#N/A,FALSE,"5.INVESTMENT";#N/A,#N/A,FALSE,"6.공문";#N/A,#N/A,FALSE,"7.netinvest"}</definedName>
    <definedName name="효" hidden="1">{#N/A,#N/A,FALSE,"1.CRITERIA";#N/A,#N/A,FALSE,"2.IS";#N/A,#N/A,FALSE,"3.BS";#N/A,#N/A,FALSE,"4.PER PL";#N/A,#N/A,FALSE,"5.INVESTMENT";#N/A,#N/A,FALSE,"6.공문";#N/A,#N/A,FALSE,"7.netinvest"}</definedName>
    <definedName name="효구">Dlog_Show</definedName>
    <definedName name="효자">Dlog_Show</definedName>
    <definedName name="효자건설">Dlog_Show</definedName>
    <definedName name="횩ㄷ" localSheetId="2" hidden="1">{"'Jibu9811 (3)'!$B$1:$J$433"}</definedName>
    <definedName name="횩ㄷ" hidden="1">{"'Jibu9811 (3)'!$B$1:$J$433"}</definedName>
    <definedName name="후" localSheetId="2" hidden="1">{#N/A,#N/A,FALSE,"1.CRITERIA";#N/A,#N/A,FALSE,"2.IS";#N/A,#N/A,FALSE,"3.BS";#N/A,#N/A,FALSE,"4.PER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후_01">#REF!,#REF!</definedName>
    <definedName name="후_02">#REF!,#REF!</definedName>
    <definedName name="후_03">#REF!,#REF!</definedName>
    <definedName name="후_04">#REF!,#REF!</definedName>
    <definedName name="후_05">#REF!,#REF!</definedName>
    <definedName name="후_06">#REF!,#REF!</definedName>
    <definedName name="후_07">#REF!,#REF!</definedName>
    <definedName name="후_08">#REF!,#REF!</definedName>
    <definedName name="후_09">#REF!,#REF!</definedName>
    <definedName name="후_10">#REF!,#REF!</definedName>
    <definedName name="후_11">#REF!,#REF!</definedName>
    <definedName name="후_12">#REF!,#REF!</definedName>
    <definedName name="후_13">#REF!,#REF!</definedName>
    <definedName name="후_14">#REF!,#REF!</definedName>
    <definedName name="후후후" localSheetId="2" hidden="1">{"'미착금액'!$A$4:$G$14"}</definedName>
    <definedName name="후후후" hidden="1">{"'미착금액'!$A$4:$G$14"}</definedName>
    <definedName name="휴" localSheetId="2" hidden="1">{#N/A,#N/A,FALSE,"1.CRITERIA";#N/A,#N/A,FALSE,"2.IS";#N/A,#N/A,FALSE,"3.BS";#N/A,#N/A,FALSE,"4.PER PL";#N/A,#N/A,FALSE,"5.INVESTMENT";#N/A,#N/A,FALSE,"6.공문";#N/A,#N/A,FALSE,"7.netinvest"}</definedName>
    <definedName name="휴" hidden="1">{#N/A,#N/A,FALSE,"1.CRITERIA";#N/A,#N/A,FALSE,"2.IS";#N/A,#N/A,FALSE,"3.BS";#N/A,#N/A,FALSE,"4.PER PL";#N/A,#N/A,FALSE,"5.INVESTMENT";#N/A,#N/A,FALSE,"6.공문";#N/A,#N/A,FALSE,"7.netinvest"}</definedName>
    <definedName name="휴게">#REF!</definedName>
    <definedName name="휴일">#REF!</definedName>
    <definedName name="흄관" hidden="1">{#N/A,#N/A,FALSE,"기안지";#N/A,#N/A,FALSE,"통신지"}</definedName>
    <definedName name="흐" localSheetId="2"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흐름" localSheetId="2" hidden="1">{#N/A,#N/A,FALSE,"BS";#N/A,#N/A,FALSE,"PL";#N/A,#N/A,FALSE,"처분";#N/A,#N/A,FALSE,"현금";#N/A,#N/A,FALSE,"매출";#N/A,#N/A,FALSE,"원가";#N/A,#N/A,FALSE,"경영"}</definedName>
    <definedName name="흐름" hidden="1">{#N/A,#N/A,FALSE,"BS";#N/A,#N/A,FALSE,"PL";#N/A,#N/A,FALSE,"처분";#N/A,#N/A,FALSE,"현금";#N/A,#N/A,FALSE,"매출";#N/A,#N/A,FALSE,"원가";#N/A,#N/A,FALSE,"경영"}</definedName>
    <definedName name="흐름표">#N/A</definedName>
    <definedName name="흠" hidden="1">{#N/A,#N/A,FALSE,"단축1";#N/A,#N/A,FALSE,"단축2";#N/A,#N/A,FALSE,"단축3";#N/A,#N/A,FALSE,"장축";#N/A,#N/A,FALSE,"4WD"}</definedName>
    <definedName name="흡2" hidden="1">{#N/A,#N/A,FALSE,"단축1";#N/A,#N/A,FALSE,"단축2";#N/A,#N/A,FALSE,"단축3";#N/A,#N/A,FALSE,"장축";#N/A,#N/A,FALSE,"4WD"}</definedName>
    <definedName name="흡기" hidden="1">{#N/A,#N/A,FALSE,"단축1";#N/A,#N/A,FALSE,"단축2";#N/A,#N/A,FALSE,"단축3";#N/A,#N/A,FALSE,"장축";#N/A,#N/A,FALSE,"4WD"}</definedName>
    <definedName name="희선">#REF!,#REF!,#REF!,#REF!,#REF!,#REF!,#REF!,#REF!,#REF!,#REF!,#REF!,#REF!,#REF!,#REF!,#REF!,#REF!,#REF!,#REF!,#REF!</definedName>
    <definedName name="히패가ㅗ" localSheetId="2" hidden="1">{#N/A,#N/A,FALSE,"포장2"}</definedName>
    <definedName name="히패가ㅗ" hidden="1">{#N/A,#N/A,FALSE,"포장2"}</definedName>
    <definedName name="히히" hidden="1">{#N/A,#N/A,TRUE,"경전'96(1)";#N/A,#N/A,TRUE,"경전'96 (2)"}</definedName>
    <definedName name="ㅏ" localSheetId="2" hidden="1">{#N/A,#N/A,FALSE,"BS";#N/A,#N/A,FALSE,"PL";#N/A,#N/A,FALSE,"처분";#N/A,#N/A,FALSE,"현금";#N/A,#N/A,FALSE,"매출";#N/A,#N/A,FALSE,"원가";#N/A,#N/A,FALSE,"경영"}</definedName>
    <definedName name="ㅏ" hidden="1">{#N/A,#N/A,FALSE,"BS";#N/A,#N/A,FALSE,"PL";#N/A,#N/A,FALSE,"처분";#N/A,#N/A,FALSE,"현금";#N/A,#N/A,FALSE,"매출";#N/A,#N/A,FALSE,"원가";#N/A,#N/A,FALSE,"경영"}</definedName>
    <definedName name="ㅏ271">#REF!</definedName>
    <definedName name="ㅏㄴ얼">#REF!</definedName>
    <definedName name="ㅏㄹ얒ㅈ" localSheetId="2" hidden="1">{#N/A,#N/A,FALSE,"기안지";#N/A,#N/A,FALSE,"통신지"}</definedName>
    <definedName name="ㅏㄹ얒ㅈ" hidden="1">{#N/A,#N/A,FALSE,"기안지";#N/A,#N/A,FALSE,"통신지"}</definedName>
    <definedName name="ㅏ멀" localSheetId="2" hidden="1">{#N/A,#N/A,FALSE,"기안지";#N/A,#N/A,FALSE,"통신지"}</definedName>
    <definedName name="ㅏ멀" hidden="1">{#N/A,#N/A,FALSE,"기안지";#N/A,#N/A,FALSE,"통신지"}</definedName>
    <definedName name="ㅏㅇ">#N/A</definedName>
    <definedName name="ㅏ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아" hidden="1">#REF!</definedName>
    <definedName name="ㅏ아ㅏㅇ">BlankMacro1</definedName>
    <definedName name="ㅏ아ㅗ">BlankMacro1</definedName>
    <definedName name="ㅏ차ㅏㅇ">#REF!</definedName>
    <definedName name="ㅏ팝덤ㅈ">BlankMacro1</definedName>
    <definedName name="ㅏ호">BlankMacro1</definedName>
    <definedName name="ㅏ호ㅓㅏㅎ"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호ㅓㅏㅎ"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ㅏ" hidden="1">{#N/A,#N/A,FALSE,"손익표지";#N/A,#N/A,FALSE,"손익계산";#N/A,#N/A,FALSE,"일반관리비";#N/A,#N/A,FALSE,"영업외수익";#N/A,#N/A,FALSE,"영업외비용";#N/A,#N/A,FALSE,"매출액";#N/A,#N/A,FALSE,"요약손익";#N/A,#N/A,FALSE,"요약대차";#N/A,#N/A,FALSE,"매출채권현황";#N/A,#N/A,FALSE,"매출채권명세"}</definedName>
    <definedName name="ㅏㅏ어">#N/A</definedName>
    <definedName name="ㅏㅏㅏ" hidden="1">#REF!</definedName>
    <definedName name="ㅏㅏㅏㅏㅏㅏㅏㅏㅏㅏㅏㅏㅏ" localSheetId="2" hidden="1">{#N/A,#N/A,FALSE,"불량현황";#N/A,#N/A,FALSE,"표면처리업체별";#N/A,#N/A,FALSE,"사양별";#N/A,#N/A,FALSE,"제작업체별";#N/A,#N/A,FALSE,"업체주소";#N/A,#N/A,FALSE,"장착부위";#N/A,#N/A,FALSE,"V-100표면현황 (2)"}</definedName>
    <definedName name="ㅏㅏㅏㅏㅏㅏㅏㅏㅏㅏㅏㅏㅏ" hidden="1">{#N/A,#N/A,FALSE,"불량현황";#N/A,#N/A,FALSE,"표면처리업체별";#N/A,#N/A,FALSE,"사양별";#N/A,#N/A,FALSE,"제작업체별";#N/A,#N/A,FALSE,"업체주소";#N/A,#N/A,FALSE,"장착부위";#N/A,#N/A,FALSE,"V-100표면현황 (2)"}</definedName>
    <definedName name="ㅏㅏㅏㅓㅁ">BlankMacro1</definedName>
    <definedName name="ㅏㅐㅏㅔㅐㅣ" localSheetId="2" hidden="1">{#N/A,#N/A,FALSE,"UNIT";#N/A,#N/A,FALSE,"UNIT";#N/A,#N/A,FALSE,"계정"}</definedName>
    <definedName name="ㅏㅐㅏㅔㅐㅣ" hidden="1">{#N/A,#N/A,FALSE,"UNIT";#N/A,#N/A,FALSE,"UNIT";#N/A,#N/A,FALSE,"계정"}</definedName>
    <definedName name="ㅏㅑㅊ" localSheetId="2" hidden="1">{#N/A,#N/A,FALSE,"기안지";#N/A,#N/A,FALSE,"통신지"}</definedName>
    <definedName name="ㅏㅑㅊ" hidden="1">{#N/A,#N/A,FALSE,"기안지";#N/A,#N/A,FALSE,"통신지"}</definedName>
    <definedName name="ㅏㅓ" localSheetId="2" hidden="1">{#N/A,#N/A,FALSE,"단축1";#N/A,#N/A,FALSE,"단축2";#N/A,#N/A,FALSE,"단축3";#N/A,#N/A,FALSE,"장축";#N/A,#N/A,FALSE,"4WD"}</definedName>
    <definedName name="ㅏㅓ" hidden="1">{#N/A,#N/A,FALSE,"단축1";#N/A,#N/A,FALSE,"단축2";#N/A,#N/A,FALSE,"단축3";#N/A,#N/A,FALSE,"장축";#N/A,#N/A,FALSE,"4WD"}</definedName>
    <definedName name="ㅏㅓㅗ">BlankMacro1</definedName>
    <definedName name="ㅏㅕ" localSheetId="2" hidden="1">{"'Jibu9811 (3)'!$B$1:$J$433"}</definedName>
    <definedName name="ㅏㅕ" hidden="1">{"'Jibu9811 (3)'!$B$1:$J$433"}</definedName>
    <definedName name="ㅏㅕㅛㅛㅕ" localSheetId="2" hidden="1">{"'Jibu9811 (3)'!$B$1:$J$433"}</definedName>
    <definedName name="ㅏㅕㅛㅛㅕ" hidden="1">{"'Jibu9811 (3)'!$B$1:$J$433"}</definedName>
    <definedName name="ㅏㅗ" hidden="1">#REF!</definedName>
    <definedName name="ㅏㅛ">BlankMacro1</definedName>
    <definedName name="ㅏㅛㅕㅏㅛㅕ" localSheetId="2" hidden="1">{"'Jibu9811 (3)'!$B$1:$J$433"}</definedName>
    <definedName name="ㅏㅛㅕㅏㅛㅕ" hidden="1">{"'Jibu9811 (3)'!$B$1:$J$433"}</definedName>
    <definedName name="ㅏㅣ" hidden="1">{#N/A,#N/A,FALSE,"96 3월물량표";#N/A,#N/A,FALSE,"96 4월물량표";#N/A,#N/A,FALSE,"96 5월물량표"}</definedName>
    <definedName name="ㅏㅣㅏ"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ㅣㅏㅣㅣㅓ" hidden="1">#REF!</definedName>
    <definedName name="ㅐ" hidden="1">{#N/A,#N/A,FALSE,"이태원철근"}</definedName>
    <definedName name="ㅐ15">#N/A</definedName>
    <definedName name="ㅐ랙">BlankMacro1</definedName>
    <definedName name="ㅐㅐ" localSheetId="2" hidden="1">{#N/A,#N/A,FALSE,"을지 (4)";#N/A,#N/A,FALSE,"을지 (5)";#N/A,#N/A,FALSE,"을지 (6)"}</definedName>
    <definedName name="ㅐㅐ" hidden="1">{#N/A,#N/A,FALSE,"을지 (4)";#N/A,#N/A,FALSE,"을지 (5)";#N/A,#N/A,FALSE,"을지 (6)"}</definedName>
    <definedName name="ㅐㅐㅐ" hidden="1">{#N/A,#N/A,FALSE,"지침";#N/A,#N/A,FALSE,"환경분석";#N/A,#N/A,FALSE,"Sheet16"}</definedName>
    <definedName name="ㅐㅓㅐㅔㅓ" hidden="1">{#N/A,#N/A,FALSE,"단축1";#N/A,#N/A,FALSE,"단축2";#N/A,#N/A,FALSE,"단축3";#N/A,#N/A,FALSE,"장축";#N/A,#N/A,FALSE,"4WD"}</definedName>
    <definedName name="ㅐㅔㅔ" hidden="1">#REF!</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ㅐㅗㅅ">#REF!</definedName>
    <definedName name="ㅑ" localSheetId="2" hidden="1">{#N/A,#N/A,FALSE,"Aging Summary";#N/A,#N/A,FALSE,"Ratio Analysis";#N/A,#N/A,FALSE,"Test 120 Day Accts";#N/A,#N/A,FALSE,"Tickmarks"}</definedName>
    <definedName name="ㅑ" hidden="1">{#N/A,#N/A,FALSE,"Aging Summary";#N/A,#N/A,FALSE,"Ratio Analysis";#N/A,#N/A,FALSE,"Test 120 Day Accts";#N/A,#N/A,FALSE,"Tickmarks"}</definedName>
    <definedName name="ㅑ3081">#REF!</definedName>
    <definedName name="ㅑ525">#REF!</definedName>
    <definedName name="ㅑ갹" localSheetId="2" hidden="1">{#N/A,#N/A,FALSE,"기안지";#N/A,#N/A,FALSE,"통신지"}</definedName>
    <definedName name="ㅑ갹" hidden="1">{#N/A,#N/A,FALSE,"기안지";#N/A,#N/A,FALSE,"통신지"}</definedName>
    <definedName name="ㅑ다ㅏㅇ">BlankMacro1</definedName>
    <definedName name="ㅑㅂ">BlankMacro1</definedName>
    <definedName name="ㅑㅐ댇" localSheetId="2" hidden="1">{#N/A,#N/A,FALSE,"기안지";#N/A,#N/A,FALSE,"통신지"}</definedName>
    <definedName name="ㅑㅐ댇" hidden="1">{#N/A,#N/A,FALSE,"기안지";#N/A,#N/A,FALSE,"통신지"}</definedName>
    <definedName name="ㅑㅐㅔㅕㅑㅐ" hidden="1">{#N/A,#N/A,FALSE,"단축1";#N/A,#N/A,FALSE,"단축2";#N/A,#N/A,FALSE,"단축3";#N/A,#N/A,FALSE,"장축";#N/A,#N/A,FALSE,"4WD"}</definedName>
    <definedName name="ㅑㅑㅑ" localSheetId="2"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ㅑㅑㅑㅑ" localSheetId="2" hidden="1">{#N/A,#N/A,FALSE,"삼진정공";#N/A,#N/A,FALSE,"영신금속";#N/A,#N/A,FALSE,"태양금속";#N/A,#N/A,FALSE,"진합정공";#N/A,#N/A,FALSE,"코리아";#N/A,#N/A,FALSE,"풍강금속";#N/A,#N/A,FALSE,"선일기계"}</definedName>
    <definedName name="ㅑㅑㅑㅑ" hidden="1">{#N/A,#N/A,FALSE,"삼진정공";#N/A,#N/A,FALSE,"영신금속";#N/A,#N/A,FALSE,"태양금속";#N/A,#N/A,FALSE,"진합정공";#N/A,#N/A,FALSE,"코리아";#N/A,#N/A,FALSE,"풍강금속";#N/A,#N/A,FALSE,"선일기계"}</definedName>
    <definedName name="ㅑㅑㅑㅑㅑㅑㅑ" hidden="1">{#N/A,#N/A,FALSE,"Sheet6"}</definedName>
    <definedName name="ㅓ" localSheetId="2" hidden="1">{#N/A,#N/A,TRUE,"Y생산";#N/A,#N/A,TRUE,"Y판매";#N/A,#N/A,TRUE,"Y총물량";#N/A,#N/A,TRUE,"Y능력";#N/A,#N/A,TRUE,"YKD"}</definedName>
    <definedName name="ㅓ" hidden="1">{#N/A,#N/A,TRUE,"Y생산";#N/A,#N/A,TRUE,"Y판매";#N/A,#N/A,TRUE,"Y총물량";#N/A,#N/A,TRUE,"Y능력";#N/A,#N/A,TRUE,"YKD"}</definedName>
    <definedName name="ㅓ1514">#REF!</definedName>
    <definedName name="ㅓ24">#REF!</definedName>
    <definedName name="ㅓ39">#REF!</definedName>
    <definedName name="ㅓㄴㄱㄴㄱ">#N/A</definedName>
    <definedName name="ㅓㄴ교ㅓ">#N/A</definedName>
    <definedName name="ㅓㄴㄴ뇨ㅓ">#N/A</definedName>
    <definedName name="ㅓㄴ서">#N/A</definedName>
    <definedName name="ㅓ니닌" hidden="1">{#N/A,#N/A,FALSE,"손익표지";#N/A,#N/A,FALSE,"손익계산";#N/A,#N/A,FALSE,"일반관리비";#N/A,#N/A,FALSE,"영업외수익";#N/A,#N/A,FALSE,"영업외비용";#N/A,#N/A,FALSE,"매출액";#N/A,#N/A,FALSE,"요약손익";#N/A,#N/A,FALSE,"요약대차";#N/A,#N/A,FALSE,"매출채권현황";#N/A,#N/A,FALSE,"매출채권명세"}</definedName>
    <definedName name="ㅓㄷ">BlankMacro1</definedName>
    <definedName name="ㅓㄷㄱㄷ">BlankMacro1</definedName>
    <definedName name="ㅓ랴">#N/A</definedName>
    <definedName name="ㅓㅅㄱㅇㄴ쇼ㅓ">#N/A</definedName>
    <definedName name="ㅓㅇ섯">#N/A</definedName>
    <definedName name="ㅓㅇ쇼ㅓㄴ">#N/A</definedName>
    <definedName name="ㅓ앙">BlankMacro1</definedName>
    <definedName name="ㅓ요선ㅇ">#N/A</definedName>
    <definedName name="ㅓ파ㅏ" localSheetId="2" hidden="1">{#N/A,#N/A,FALSE,"기안지";#N/A,#N/A,FALSE,"통신지"}</definedName>
    <definedName name="ㅓ파ㅏ" hidden="1">{#N/A,#N/A,FALSE,"기안지";#N/A,#N/A,FALSE,"통신지"}</definedName>
    <definedName name="ㅓㅎ" hidden="1">{#N/A,#N/A,FALSE,"Sheet1"}</definedName>
    <definedName name="ㅓㅎㄹ">#REF!</definedName>
    <definedName name="ㅓ하">#N/A</definedName>
    <definedName name="ㅓ햐">BlankMacro1</definedName>
    <definedName name="ㅓㅏㄱ">BlankMacro1</definedName>
    <definedName name="ㅓㅏ리앙" localSheetId="2" hidden="1">{#N/A,#N/A,FALSE,"UNIT";#N/A,#N/A,FALSE,"UNIT";#N/A,#N/A,FALSE,"계정"}</definedName>
    <definedName name="ㅓㅏ리앙" hidden="1">{#N/A,#N/A,FALSE,"UNIT";#N/A,#N/A,FALSE,"UNIT";#N/A,#N/A,FALSE,"계정"}</definedName>
    <definedName name="ㅓㅏㅇㄹ너ㅏㄹㅇ나ㅓ" hidden="1">#REF!</definedName>
    <definedName name="ㅓㅏㅑㅇ">BlankMacro1</definedName>
    <definedName name="ㅓㅏㅣㅕㅑㅔ" hidden="1">{#N/A,#N/A,FALSE,"단축1";#N/A,#N/A,FALSE,"단축2";#N/A,#N/A,FALSE,"단축3";#N/A,#N/A,FALSE,"장축";#N/A,#N/A,FALSE,"4WD"}</definedName>
    <definedName name="ㅓㅓ" localSheetId="2" hidden="1">{#N/A,#N/A,FALSE,"CCTV"}</definedName>
    <definedName name="ㅓㅓ" hidden="1">{#N/A,#N/A,FALSE,"CCTV"}</definedName>
    <definedName name="ㅓㅓ로" hidden="1">{#N/A,#N/A,FALSE,"단축1";#N/A,#N/A,FALSE,"단축2";#N/A,#N/A,FALSE,"단축3";#N/A,#N/A,FALSE,"장축";#N/A,#N/A,FALSE,"4WD"}</definedName>
    <definedName name="ㅓㅓㅏㅊㄹ">BlankMacro1</definedName>
    <definedName name="ㅓㅓㅓ" localSheetId="2" hidden="1">{#N/A,#N/A,FALSE,"97년 투자계획 세부내역 "}</definedName>
    <definedName name="ㅓㅓㅓ" hidden="1">{#N/A,#N/A,FALSE,"97년 투자계획 세부내역 "}</definedName>
    <definedName name="ㅓㅕㅏ" hidden="1">{#N/A,#N/A,FALSE,"Sheet6"}</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ㅓㅗㅓㅗ" hidden="1">#REF!</definedName>
    <definedName name="ㅓㅘㄹ">BlankMacro1</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ㅓㅛㄴㅇ교ㅓ">#N/A</definedName>
    <definedName name="ㅓㅛㅅ언">#N/A</definedName>
    <definedName name="ㅓㅛㅅ엉ㅅ">#N/A</definedName>
    <definedName name="ㅓㅛㅇ서">#N/A</definedName>
    <definedName name="ㅔ" localSheetId="2" hidden="1">{#N/A,#N/A,FALSE,"단축1";#N/A,#N/A,FALSE,"단축2";#N/A,#N/A,FALSE,"단축3";#N/A,#N/A,FALSE,"장축";#N/A,#N/A,FALSE,"4WD"}</definedName>
    <definedName name="ㅔ" hidden="1">{#N/A,#N/A,FALSE,"단축1";#N/A,#N/A,FALSE,"단축2";#N/A,#N/A,FALSE,"단축3";#N/A,#N/A,FALSE,"장축";#N/A,#N/A,FALSE,"4WD"}</definedName>
    <definedName name="ㅔ285">#REF!</definedName>
    <definedName name="ㅔㅔ" localSheetId="2"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ㅔㅔㅔ" hidden="1">{#N/A,#N/A,FALSE,"단축1";#N/A,#N/A,FALSE,"단축2";#N/A,#N/A,FALSE,"단축3";#N/A,#N/A,FALSE,"장축";#N/A,#N/A,FALSE,"4WD"}</definedName>
    <definedName name="ㅕ" localSheetId="2" hidden="1">{#N/A,#N/A,FALSE,"BS";#N/A,#N/A,FALSE,"PL";#N/A,#N/A,FALSE,"처분";#N/A,#N/A,FALSE,"현금";#N/A,#N/A,FALSE,"매출";#N/A,#N/A,FALSE,"원가";#N/A,#N/A,FALSE,"경영"}</definedName>
    <definedName name="ㅕ" hidden="1">{#N/A,#N/A,FALSE,"BS";#N/A,#N/A,FALSE,"PL";#N/A,#N/A,FALSE,"처분";#N/A,#N/A,FALSE,"현금";#N/A,#N/A,FALSE,"매출";#N/A,#N/A,FALSE,"원가";#N/A,#N/A,FALSE,"경영"}</definedName>
    <definedName name="ㅕㅅㅎ">BlankMacro1</definedName>
    <definedName name="ㅕㅏ쇼" hidden="1">{#N/A,#N/A,FALSE,"Sheet6"}</definedName>
    <definedName name="ㅕㅏㅛㅏㅕ" localSheetId="2" hidden="1">{"'Jibu9811 (3)'!$B$1:$J$433"}</definedName>
    <definedName name="ㅕㅏㅛㅏㅕ" hidden="1">{"'Jibu9811 (3)'!$B$1:$J$433"}</definedName>
    <definedName name="ㅕㅏㅛㅕㅏ" hidden="1">{#N/A,#N/A,FALSE,"Sheet6"}</definedName>
    <definedName name="ㅕㅑㅐ" hidden="1">{#N/A,#N/A,FALSE,"Sheet6"}</definedName>
    <definedName name="ㅕㅕ" hidden="1">{#N/A,#N/A,FALSE,"단축1";#N/A,#N/A,FALSE,"단축2";#N/A,#N/A,FALSE,"단축3";#N/A,#N/A,FALSE,"장축";#N/A,#N/A,FALSE,"4WD"}</definedName>
    <definedName name="ㅕㅕㅕ" localSheetId="2" hidden="1">{#N/A,#N/A,FALSE,"을지 (4)";#N/A,#N/A,FALSE,"을지 (5)";#N/A,#N/A,FALSE,"을지 (6)"}</definedName>
    <definedName name="ㅕㅕㅕ" hidden="1">{#N/A,#N/A,FALSE,"을지 (4)";#N/A,#N/A,FALSE,"을지 (5)";#N/A,#N/A,FALSE,"을지 (6)"}</definedName>
    <definedName name="ㅕㅕㅕㅕㅕㅕㅕㅕㅕㅕㅕㅕㅕ" hidden="1">{"'FAX번호'!$A$2:$F$21"}</definedName>
    <definedName name="ㅕㅕㅕㅕㅕㅕㅕㅕㅕㅕㅕㅕㅕㅕㅕㅕㅕㅕㅕㅕㅕㅕㅕㅕㅕㅕㅕㅕ" hidden="1">{"'FAX번호'!$A$2:$F$21"}</definedName>
    <definedName name="ㅕㅛ" hidden="1">{#N/A,#N/A,FALSE,"Sheet1"}</definedName>
    <definedName name="ㅗ"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264">#REF!</definedName>
    <definedName name="ㅗ3">#REF!</definedName>
    <definedName name="ㅗ7254">#REF!</definedName>
    <definedName name="ㅗㄱㄴ">#N/A</definedName>
    <definedName name="ㅗㄱㄴㄴㄱ속ㄴ">#N/A</definedName>
    <definedName name="ㅗㄱㄴ속ㄴ">#N/A</definedName>
    <definedName name="ㅗㄱㄴ손">#N/A</definedName>
    <definedName name="ㅗㄱ녹ㄴ">#N/A</definedName>
    <definedName name="ㅗㄱㄷ">#N/A</definedName>
    <definedName name="ㅗㄱ소">#N/A</definedName>
    <definedName name="ㅗㄳㄷ곧ㄴ">#N/A</definedName>
    <definedName name="ㅗㄴㄱ소">#N/A</definedName>
    <definedName name="ㅗㄴㄱ손">#N/A</definedName>
    <definedName name="ㅗㄴㄱ손ㄱ">#N/A</definedName>
    <definedName name="ㅗㄴㄱ솟ㄱㄴ">#N/A</definedName>
    <definedName name="ㅗㄴ곤">#N/A</definedName>
    <definedName name="ㅗㄴㄳ">#N/A</definedName>
    <definedName name="ㅗㄷ손">#N/A</definedName>
    <definedName name="ㅗㄷㅎㄷ" hidden="1">#REF!</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홓로" hidden="1">#REF!</definedName>
    <definedName name="ㅗㅁㅎㅇㅀ" localSheetId="2" hidden="1">{"'Registration'!$A$1:$B$94"}</definedName>
    <definedName name="ㅗㅁㅎㅇㅀ" hidden="1">{"'Registration'!$A$1:$B$94"}</definedName>
    <definedName name="ㅗㅅㄱ" localSheetId="2" hidden="1">{"'Jibu9811 (3)'!$B$1:$J$433"}</definedName>
    <definedName name="ㅗㅅㄱ" hidden="1">{"'Jibu9811 (3)'!$B$1:$J$433"}</definedName>
    <definedName name="ㅗㅅㄱ노ㅠㅍ">#N/A</definedName>
    <definedName name="ㅗㅅㄱ논">#N/A</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ㅅ곤">#N/A</definedName>
    <definedName name="ㅗㅅㄴ곤고">#N/A</definedName>
    <definedName name="ㅗㅈㄳ">#N/A</definedName>
    <definedName name="ㅗㅈㅊㅍ">BlankMacro1</definedName>
    <definedName name="ㅗㅎ" hidden="1">#REF!</definedName>
    <definedName name="ㅗㅎㄹㅇ노노" hidden="1">#REF!</definedName>
    <definedName name="ㅗㅎㄹㅊㅌ">BlankMacro1</definedName>
    <definedName name="ㅗㅎ롷롷ㄹ" hidden="1">#REF!</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혀ㅑㄷ" localSheetId="2" hidden="1">{"'Jibu9811 (3)'!$B$1:$J$433"}</definedName>
    <definedName name="ㅗ혀ㅑㄷ" hidden="1">{"'Jibu9811 (3)'!$B$1:$J$433"}</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ㅓㄷㅈㄹㄷㄱ" hidden="1">#REF!</definedName>
    <definedName name="ㅗㅓㅏ" hidden="1">#REF!</definedName>
    <definedName name="ㅗㅓㅏㅣ" hidden="1">{#N/A,#N/A,FALSE,"단축1";#N/A,#N/A,FALSE,"단축2";#N/A,#N/A,FALSE,"단축3";#N/A,#N/A,FALSE,"장축";#N/A,#N/A,FALSE,"4WD"}</definedName>
    <definedName name="ㅗㅓㅕㅑㅕ" hidden="1">{#N/A,#N/A,FALSE,"Sheet6"}</definedName>
    <definedName name="ㅗㅓㅗㅎ" localSheetId="2" hidden="1">{#N/A,#N/A,FALSE,"삼진정공";#N/A,#N/A,FALSE,"영신금속";#N/A,#N/A,FALSE,"태양금속";#N/A,#N/A,FALSE,"진합정공";#N/A,#N/A,FALSE,"코리아";#N/A,#N/A,FALSE,"풍강금속";#N/A,#N/A,FALSE,"선일기계"}</definedName>
    <definedName name="ㅗㅓㅗㅎ" hidden="1">{#N/A,#N/A,FALSE,"삼진정공";#N/A,#N/A,FALSE,"영신금속";#N/A,#N/A,FALSE,"태양금속";#N/A,#N/A,FALSE,"진합정공";#N/A,#N/A,FALSE,"코리아";#N/A,#N/A,FALSE,"풍강금속";#N/A,#N/A,FALSE,"선일기계"}</definedName>
    <definedName name="ㅗㅓㅛㅎ" hidden="1">{#N/A,#N/A,FALSE,"Sheet6"}</definedName>
    <definedName name="ㅗㅕ">#REF!</definedName>
    <definedName name="ㅗㅗ" localSheetId="2" hidden="1">{#N/A,#N/A,FALSE,"초도품";#N/A,#N/A,FALSE,"초도품 (2)";#N/A,#N/A,FALSE,"초도품 (3)";#N/A,#N/A,FALSE,"초도품 (4)";#N/A,#N/A,FALSE,"초도품 (5)";#N/A,#N/A,FALSE,"초도품 (6)"}</definedName>
    <definedName name="ㅗㅗ" hidden="1">{#N/A,#N/A,FALSE,"초도품";#N/A,#N/A,FALSE,"초도품 (2)";#N/A,#N/A,FALSE,"초도품 (3)";#N/A,#N/A,FALSE,"초도품 (4)";#N/A,#N/A,FALSE,"초도품 (5)";#N/A,#N/A,FALSE,"초도품 (6)"}</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ㅗㅗㅗ" hidden="1">{#N/A,#N/A,FALSE,"단축1";#N/A,#N/A,FALSE,"단축2";#N/A,#N/A,FALSE,"단축3";#N/A,#N/A,FALSE,"장축";#N/A,#N/A,FALSE,"4WD"}</definedName>
    <definedName name="ㅗㅗㅗㅋㄶ" hidden="1">{#N/A,#N/A,TRUE,"경전'96(1)";#N/A,#N/A,TRUE,"경전'96 (2)"}</definedName>
    <definedName name="ㅗㅗㅗㅗ" hidden="1">#REF!</definedName>
    <definedName name="ㅗㅗㅗㅗㅇ">BlankMacro1</definedName>
    <definedName name="ㅗㅗㅗㅗㅗ" hidden="1">{#N/A,#N/A,FALSE,"단축1";#N/A,#N/A,FALSE,"단축2";#N/A,#N/A,FALSE,"단축3";#N/A,#N/A,FALSE,"장축";#N/A,#N/A,FALSE,"4WD"}</definedName>
    <definedName name="ㅗㅗㅗㅗㅗㅗ">BlankMacro1</definedName>
    <definedName name="ㅗㅛ">#REF!</definedName>
    <definedName name="ㅘ아ㅑ">BlankMacro1</definedName>
    <definedName name="ㅙㄱ래">BlankMacro1</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localSheetId="2" hidden="1">{#N/A,#N/A,FALSE,"BS";#N/A,#N/A,FALSE,"PL";#N/A,#N/A,FALSE,"처분";#N/A,#N/A,FALSE,"현금";#N/A,#N/A,FALSE,"매출";#N/A,#N/A,FALSE,"원가";#N/A,#N/A,FALSE,"경영"}</definedName>
    <definedName name="ㅛ" hidden="1">{#N/A,#N/A,FALSE,"BS";#N/A,#N/A,FALSE,"PL";#N/A,#N/A,FALSE,"처분";#N/A,#N/A,FALSE,"현금";#N/A,#N/A,FALSE,"매출";#N/A,#N/A,FALSE,"원가";#N/A,#N/A,FALSE,"경영"}</definedName>
    <definedName name="ㅛ걱">#N/A</definedName>
    <definedName name="ㅛ건">#N/A</definedName>
    <definedName name="ㅛ래" hidden="1">{#N/A,#N/A,TRUE,"경전'96(1)";#N/A,#N/A,TRUE,"경전'96 (2)"}</definedName>
    <definedName name="ㅛㅅㄱㄷㅈ" hidden="1">{#N/A,#N/A,FALSE,"단축1";#N/A,#N/A,FALSE,"단축2";#N/A,#N/A,FALSE,"단축3";#N/A,#N/A,FALSE,"장축";#N/A,#N/A,FALSE,"4WD"}</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셔쇼ㅕ" hidden="1">{#N/A,#N/A,FALSE,"Sheet6"}</definedName>
    <definedName name="ㅛㅇㅅ겅ㅅ">#N/A</definedName>
    <definedName name="ㅛㅓ">#N/A</definedName>
    <definedName name="ㅛㅓㄴ">#N/A</definedName>
    <definedName name="ㅛㅓ쇼" hidden="1">{#N/A,#N/A,FALSE,"Sheet6"}</definedName>
    <definedName name="ㅛㅕ" localSheetId="2" hidden="1">{#N/A,#N/A,FALSE,"1.CRITERIA";#N/A,#N/A,FALSE,"2.IS";#N/A,#N/A,FALSE,"3.BS";#N/A,#N/A,FALSE,"4.PER PL";#N/A,#N/A,FALSE,"5.INVESTMENT";#N/A,#N/A,FALSE,"6.공문";#N/A,#N/A,FALSE,"7.netinvest"}</definedName>
    <definedName name="ㅛㅕ" hidden="1">{#N/A,#N/A,FALSE,"1.CRITERIA";#N/A,#N/A,FALSE,"2.IS";#N/A,#N/A,FALSE,"3.BS";#N/A,#N/A,FALSE,"4.PER PL";#N/A,#N/A,FALSE,"5.INVESTMENT";#N/A,#N/A,FALSE,"6.공문";#N/A,#N/A,FALSE,"7.netinvest"}</definedName>
    <definedName name="ㅛㅛㅕㅗㅓ" hidden="1">{#N/A,#N/A,FALSE,"단축1";#N/A,#N/A,FALSE,"단축2";#N/A,#N/A,FALSE,"단축3";#N/A,#N/A,FALSE,"장축";#N/A,#N/A,FALSE,"4WD"}</definedName>
    <definedName name="ㅛㅛㅛ" localSheetId="2"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ㅛㅛㅛㅛ" localSheetId="2" hidden="1">{#N/A,#N/A,FALSE,"1.CRITERIA";#N/A,#N/A,FALSE,"2.IS";#N/A,#N/A,FALSE,"3.BS";#N/A,#N/A,FALSE,"4.PER PL";#N/A,#N/A,FALSE,"5.INVESTMENT";#N/A,#N/A,FALSE,"6.공문";#N/A,#N/A,FALSE,"7.netinvest"}</definedName>
    <definedName name="ㅛㅛㅛㅛ" hidden="1">{#N/A,#N/A,FALSE,"1.CRITERIA";#N/A,#N/A,FALSE,"2.IS";#N/A,#N/A,FALSE,"3.BS";#N/A,#N/A,FALSE,"4.PER PL";#N/A,#N/A,FALSE,"5.INVESTMENT";#N/A,#N/A,FALSE,"6.공문";#N/A,#N/A,FALSE,"7.netinvest"}</definedName>
    <definedName name="ㅜ" localSheetId="2" hidden="1">{#N/A,#N/A,FALSE,"단축1";#N/A,#N/A,FALSE,"단축2";#N/A,#N/A,FALSE,"단축3";#N/A,#N/A,FALSE,"장축";#N/A,#N/A,FALSE,"4WD"}</definedName>
    <definedName name="ㅜ" hidden="1">{#N/A,#N/A,FALSE,"단축1";#N/A,#N/A,FALSE,"단축2";#N/A,#N/A,FALSE,"단축3";#N/A,#N/A,FALSE,"장축";#N/A,#N/A,FALSE,"4WD"}</definedName>
    <definedName name="ㅜㄱ">BlankMacro1</definedName>
    <definedName name="ㅜㄷㅈ" hidden="1">{#N/A,#N/A,FALSE,"단축1";#N/A,#N/A,FALSE,"단축2";#N/A,#N/A,FALSE,"단축3";#N/A,#N/A,FALSE,"장축";#N/A,#N/A,FALSE,"4WD"}</definedName>
    <definedName name="ㅜ챶" localSheetId="2" hidden="1">{#N/A,#N/A,FALSE,"기안지";#N/A,#N/A,FALSE,"통신지"}</definedName>
    <definedName name="ㅜ챶" hidden="1">{#N/A,#N/A,FALSE,"기안지";#N/A,#N/A,FALSE,"통신지"}</definedName>
    <definedName name="ㅜㅋㄱ" hidden="1">{#N/A,#N/A,TRUE,"경전'96(1)";#N/A,#N/A,TRUE,"경전'96 (2)"}</definedName>
    <definedName name="ㅜㅍ챠ㅑㄷㅇ" localSheetId="2" hidden="1">{#N/A,#N/A,FALSE,"기안지";#N/A,#N/A,FALSE,"통신지"}</definedName>
    <definedName name="ㅜㅍ챠ㅑㄷㅇ" hidden="1">{#N/A,#N/A,FALSE,"기안지";#N/A,#N/A,FALSE,"통신지"}</definedName>
    <definedName name="ㅜ퍋">BlankMacro1</definedName>
    <definedName name="ㅜ퍼야" localSheetId="2" hidden="1">{#N/A,#N/A,FALSE,"부대1"}</definedName>
    <definedName name="ㅜ퍼야" hidden="1">{#N/A,#N/A,FALSE,"부대1"}</definedName>
    <definedName name="ㅜ퍼ㅑㄷ">BlankMacro1</definedName>
    <definedName name="ㅜ펃">BlankMacro1</definedName>
    <definedName name="ㅜ펃ㅇ">BlankMacro1</definedName>
    <definedName name="ㅜ펴ㅓㅑㅕㄷ">BlankMacro1</definedName>
    <definedName name="ㅜㅗㅛ" hidden="1">{#N/A,#N/A,FALSE,"Sheet1"}</definedName>
    <definedName name="ㅜㅛㅜㅛㅛㅜ" hidden="1">{#N/A,#N/A,FALSE,"단축1";#N/A,#N/A,FALSE,"단축2";#N/A,#N/A,FALSE,"단축3";#N/A,#N/A,FALSE,"장축";#N/A,#N/A,FALSE,"4WD"}</definedName>
    <definedName name="ㅜㅜ">BlankMacro1</definedName>
    <definedName name="ㅜㅜㅏㅓ">BlankMacro1</definedName>
    <definedName name="ㅜㅜㅛㅜㅛㅜㅛㅜㅛㅜㅜㅜㅛㅜㅛㅜㅛㅜㅛㅜㅛㅛㅜㅛㅜㅛㅜㅜㅜㅜㅜ" hidden="1">{#N/A,#N/A,FALSE,"단축1";#N/A,#N/A,FALSE,"단축2";#N/A,#N/A,FALSE,"단축3";#N/A,#N/A,FALSE,"장축";#N/A,#N/A,FALSE,"4WD"}</definedName>
    <definedName name="ㅜㅜㅜ" hidden="1">{#N/A,#N/A,FALSE,"단축1";#N/A,#N/A,FALSE,"단축2";#N/A,#N/A,FALSE,"단축3";#N/A,#N/A,FALSE,"장축";#N/A,#N/A,FALSE,"4WD"}</definedName>
    <definedName name="ㅜㅜㅜㅜ" localSheetId="2" hidden="1">{#N/A,#N/A,FALSE,"초중조사서식 "}</definedName>
    <definedName name="ㅜㅜㅜㅜ" hidden="1">{#N/A,#N/A,FALSE,"초중조사서식 "}</definedName>
    <definedName name="ㅜㅜㅜㅜㅜㅜㅜㅜㅜ" hidden="1">{#N/A,#N/A,FALSE,"Sheet1"}</definedName>
    <definedName name="ㅜㅠㅑㅑㄷ" localSheetId="2" hidden="1">{#N/A,#N/A,FALSE,"기안지";#N/A,#N/A,FALSE,"통신지"}</definedName>
    <definedName name="ㅜㅠㅑㅑㄷ" hidden="1">{#N/A,#N/A,FALSE,"기안지";#N/A,#N/A,FALSE,"통신지"}</definedName>
    <definedName name="ㅜㅠㅠㅠ">#REF!</definedName>
    <definedName name="ㅠ" localSheetId="2" hidden="1">{#N/A,#N/A,FALSE,"단축1";#N/A,#N/A,FALSE,"단축2";#N/A,#N/A,FALSE,"단축3";#N/A,#N/A,FALSE,"장축";#N/A,#N/A,FALSE,"4WD"}</definedName>
    <definedName name="ㅠ" hidden="1">{#N/A,#N/A,FALSE,"단축1";#N/A,#N/A,FALSE,"단축2";#N/A,#N/A,FALSE,"단축3";#N/A,#N/A,FALSE,"장축";#N/A,#N/A,FALSE,"4WD"}</definedName>
    <definedName name="ㅠㄱㄴㄳ">#N/A</definedName>
    <definedName name="ㅠㄷ">BlankMacro1</definedName>
    <definedName name="ㅠㄷㅁ">#N/A</definedName>
    <definedName name="ㅠㅅ귷">#N/A</definedName>
    <definedName name="ㅠㅇㅎㄹ" hidden="1">#REF!</definedName>
    <definedName name="ㅠㅈ죶">BlankMacro1</definedName>
    <definedName name="ㅠ츄ㅓ">BlankMacro1</definedName>
    <definedName name="ㅠㅑㅜ" hidden="1">#REF!</definedName>
    <definedName name="ㅠㅛㄱ">BlankMacro1</definedName>
    <definedName name="ㅠㅜㅛ" hidden="1">{#N/A,#N/A,FALSE,"Sheet6"}</definedName>
    <definedName name="ㅠㅠ">#REF!</definedName>
    <definedName name="ㅠㅠㅠ" hidden="1">{#N/A,#N/A,FALSE,"지침";#N/A,#N/A,FALSE,"환경분석";#N/A,#N/A,FALSE,"Sheet16"}</definedName>
    <definedName name="ㅠㅠㅠㅠㅠㅠ">#N/A</definedName>
    <definedName name="ㅡ" localSheetId="2" hidden="1">{#N/A,#N/A,FALSE,"Aging Summary";#N/A,#N/A,FALSE,"Ratio Analysis";#N/A,#N/A,FALSE,"Test 120 Day Accts";#N/A,#N/A,FALSE,"Tickmarks"}</definedName>
    <definedName name="ㅡ" hidden="1">{#N/A,#N/A,FALSE,"Aging Summary";#N/A,#N/A,FALSE,"Ratio Analysis";#N/A,#N/A,FALSE,"Test 120 Day Accts";#N/A,#N/A,FALSE,"Tickmarks"}</definedName>
    <definedName name="ㅡ480">#REF!</definedName>
    <definedName name="ㅡ퍼갸" localSheetId="2" hidden="1">{#N/A,#N/A,FALSE,"속도"}</definedName>
    <definedName name="ㅡ퍼갸" hidden="1">{#N/A,#N/A,FALSE,"속도"}</definedName>
    <definedName name="ㅡㅜㅡ" localSheetId="2" hidden="1">{#N/A,#N/A,FALSE,"LANOS표면현황";#N/A,#N/A,FALSE,"표면처리업체별";#N/A,#N/A,FALSE,"사양별";#N/A,#N/A,FALSE,"제작업체별";#N/A,#N/A,FALSE,"장착부위";#N/A,#N/A,FALSE,"업체주소";#N/A,#N/A,FALSE,"불량현황"}</definedName>
    <definedName name="ㅡㅜㅡ" hidden="1">{#N/A,#N/A,FALSE,"LANOS표면현황";#N/A,#N/A,FALSE,"표면처리업체별";#N/A,#N/A,FALSE,"사양별";#N/A,#N/A,FALSE,"제작업체별";#N/A,#N/A,FALSE,"장착부위";#N/A,#N/A,FALSE,"업체주소";#N/A,#N/A,FALSE,"불량현황"}</definedName>
    <definedName name="ㅡㅡㅡ" hidden="1">{#N/A,#N/A,FALSE,"지침";#N/A,#N/A,FALSE,"환경분석";#N/A,#N/A,FALSE,"Sheet16"}</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 localSheetId="2" hidden="1">{#N/A,#N/A,FALSE,"LANOS표면현황";#N/A,#N/A,FALSE,"표면처리업체별";#N/A,#N/A,FALSE,"사양별";#N/A,#N/A,FALSE,"제작업체별";#N/A,#N/A,FALSE,"장착부위";#N/A,#N/A,FALSE,"업체주소";#N/A,#N/A,FALSE,"불량현황"}</definedName>
    <definedName name="ㅣ" hidden="1">{#N/A,#N/A,FALSE,"LANOS표면현황";#N/A,#N/A,FALSE,"표면처리업체별";#N/A,#N/A,FALSE,"사양별";#N/A,#N/A,FALSE,"제작업체별";#N/A,#N/A,FALSE,"장착부위";#N/A,#N/A,FALSE,"업체주소";#N/A,#N/A,FALSE,"불량현황"}</definedName>
    <definedName name="ㅣ110">#REF!</definedName>
    <definedName name="ㅣ275">#REF!</definedName>
    <definedName name="ㅣ81">#REF!</definedName>
    <definedName name="ㅣ니니니" hidden="1">{#N/A,#N/A,FALSE,"손익표지";#N/A,#N/A,FALSE,"손익계산";#N/A,#N/A,FALSE,"일반관리비";#N/A,#N/A,FALSE,"영업외수익";#N/A,#N/A,FALSE,"영업외비용";#N/A,#N/A,FALSE,"매출액";#N/A,#N/A,FALSE,"요약손익";#N/A,#N/A,FALSE,"요약대차";#N/A,#N/A,FALSE,"매출채권현황";#N/A,#N/A,FALSE,"매출채권명세"}</definedName>
    <definedName name="ㅣ잉">BlankMacro1</definedName>
    <definedName name="ㅣ칭">BlankMacro1</definedName>
    <definedName name="ㅣ호ㅗ">BlankMacro1</definedName>
    <definedName name="ㅣㅏ" localSheetId="2" hidden="1">{#N/A,#N/A,FALSE,"단축1";#N/A,#N/A,FALSE,"단축2";#N/A,#N/A,FALSE,"단축3";#N/A,#N/A,FALSE,"장축";#N/A,#N/A,FALSE,"4WD"}</definedName>
    <definedName name="ㅣㅏ" hidden="1">{#N/A,#N/A,FALSE,"단축1";#N/A,#N/A,FALSE,"단축2";#N/A,#N/A,FALSE,"단축3";#N/A,#N/A,FALSE,"장축";#N/A,#N/A,FALSE,"4WD"}</definedName>
    <definedName name="ㅣㅏㅏ" localSheetId="2" hidden="1">{#N/A,#N/A,FALSE,"97년 투자계획 세부내역 "}</definedName>
    <definedName name="ㅣㅏㅏ" hidden="1">{#N/A,#N/A,FALSE,"97년 투자계획 세부내역 "}</definedName>
    <definedName name="ㅣㅏㅐㄷ">BlankMacro1</definedName>
    <definedName name="ㅣㅗ">BlankMacro1</definedName>
    <definedName name="ㅣㅣ" localSheetId="2" hidden="1">{#N/A,#N/A,FALSE,"을지 (4)";#N/A,#N/A,FALSE,"을지 (5)";#N/A,#N/A,FALSE,"을지 (6)"}</definedName>
    <definedName name="ㅣㅣ" hidden="1">{#N/A,#N/A,FALSE,"을지 (4)";#N/A,#N/A,FALSE,"을지 (5)";#N/A,#N/A,FALSE,"을지 (6)"}</definedName>
    <definedName name="ㅣㅣㅣ" localSheetId="2" hidden="1">{#N/A,#N/A,FALSE,"삼진정공";#N/A,#N/A,FALSE,"영신금속";#N/A,#N/A,FALSE,"태양금속";#N/A,#N/A,FALSE,"진합정공";#N/A,#N/A,FALSE,"코리아";#N/A,#N/A,FALSE,"풍강금속";#N/A,#N/A,FALSE,"선일기계"}</definedName>
    <definedName name="ㅣㅣㅣ" hidden="1">{#N/A,#N/A,FALSE,"삼진정공";#N/A,#N/A,FALSE,"영신금속";#N/A,#N/A,FALSE,"태양금속";#N/A,#N/A,FALSE,"진합정공";#N/A,#N/A,FALSE,"코리아";#N/A,#N/A,FALSE,"풍강금속";#N/A,#N/A,FALSE,"선일기계"}</definedName>
    <definedName name="ㅣㅣㅣㅣ" localSheetId="2" hidden="1">{"'변동비고정비분류(5단계)'!$A$1:$O$48"}</definedName>
    <definedName name="ㅣㅣㅣㅣ" hidden="1">{"'변동비고정비분류(5단계)'!$A$1:$O$48"}</definedName>
    <definedName name="ㅣㅣㅣㅣㅣㅣㅣㄹㄹㄹㄹㄹㄹㄹ">#N/A</definedName>
    <definedName name="ㅣㅣㅣㅣㅣㅣㅣㅣㅣㅣㅣ" hidden="1">{#N/A,#N/A,FALSE,"Sheet1"}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29" i="14" l="1"/>
  <c r="N330" i="14"/>
  <c r="K319" i="14"/>
  <c r="K320" i="14"/>
  <c r="P315" i="14"/>
  <c r="P316" i="14"/>
  <c r="P314" i="14"/>
  <c r="N316" i="14"/>
  <c r="N315" i="14"/>
  <c r="Q185" i="25"/>
  <c r="P185" i="25"/>
  <c r="M181" i="25"/>
  <c r="M178" i="25"/>
  <c r="N303" i="14"/>
  <c r="N302" i="14"/>
  <c r="D15" i="25" l="1"/>
  <c r="D12" i="25"/>
  <c r="D9" i="25"/>
  <c r="D8" i="25" l="1"/>
  <c r="R308" i="14"/>
  <c r="L321" i="14" l="1"/>
  <c r="D391" i="14"/>
  <c r="D392" i="14" s="1"/>
  <c r="D393" i="14" s="1"/>
  <c r="D394" i="14" s="1"/>
  <c r="D378" i="14"/>
  <c r="D379" i="14" s="1"/>
  <c r="D380" i="14" s="1"/>
  <c r="D381" i="14" s="1"/>
  <c r="D365" i="14"/>
  <c r="D366" i="14" s="1"/>
  <c r="D367" i="14" s="1"/>
  <c r="D368" i="14" s="1"/>
  <c r="D351" i="14"/>
  <c r="D352" i="14" s="1"/>
  <c r="D353" i="14" s="1"/>
  <c r="D354" i="14" s="1"/>
  <c r="D338" i="14"/>
  <c r="D339" i="14" s="1"/>
  <c r="D340" i="14" s="1"/>
  <c r="D341" i="14" s="1"/>
  <c r="D325" i="14"/>
  <c r="D326" i="14" s="1"/>
  <c r="D327" i="14" s="1"/>
  <c r="D328" i="14" s="1"/>
  <c r="D311" i="14"/>
  <c r="D312" i="14" s="1"/>
  <c r="D313" i="14" s="1"/>
  <c r="D314" i="14" s="1"/>
  <c r="D298" i="14"/>
  <c r="D299" i="14" s="1"/>
  <c r="D300" i="14" s="1"/>
  <c r="D301" i="14" s="1"/>
  <c r="D285" i="14"/>
  <c r="D405" i="14"/>
  <c r="D406" i="14" s="1"/>
  <c r="D407" i="14" s="1"/>
  <c r="D408" i="14" s="1"/>
  <c r="D418" i="14"/>
  <c r="D419" i="14" s="1"/>
  <c r="D420" i="14" s="1"/>
  <c r="D421" i="14" s="1"/>
  <c r="D431" i="14"/>
  <c r="D432" i="14" s="1"/>
  <c r="D433" i="14" s="1"/>
  <c r="D434" i="14" s="1"/>
  <c r="D148" i="14"/>
  <c r="D149" i="14" s="1"/>
  <c r="D150" i="14" s="1"/>
  <c r="D151" i="14" s="1"/>
  <c r="D152" i="14" s="1"/>
  <c r="D153" i="14" s="1"/>
  <c r="D154" i="14" s="1"/>
  <c r="D155" i="14" s="1"/>
  <c r="D156" i="14" s="1"/>
  <c r="D272" i="14"/>
  <c r="D273" i="14" s="1"/>
  <c r="D274" i="14" s="1"/>
  <c r="D275" i="14" s="1"/>
  <c r="D276" i="14" s="1"/>
  <c r="D277" i="14" s="1"/>
  <c r="D278" i="14" s="1"/>
  <c r="D279" i="14" s="1"/>
  <c r="D280" i="14" s="1"/>
  <c r="D261" i="14"/>
  <c r="D262" i="14" s="1"/>
  <c r="D263" i="14" s="1"/>
  <c r="D264" i="14" s="1"/>
  <c r="D265" i="14" s="1"/>
  <c r="D266" i="14" s="1"/>
  <c r="D267" i="14" s="1"/>
  <c r="D268" i="14" s="1"/>
  <c r="D269" i="14" s="1"/>
  <c r="D250" i="14"/>
  <c r="D251" i="14" s="1"/>
  <c r="D252" i="14" s="1"/>
  <c r="D253" i="14" s="1"/>
  <c r="D254" i="14" s="1"/>
  <c r="D255" i="14" s="1"/>
  <c r="D256" i="14" s="1"/>
  <c r="D257" i="14" s="1"/>
  <c r="D258" i="14" s="1"/>
  <c r="D238" i="14"/>
  <c r="D239" i="14" s="1"/>
  <c r="D240" i="14" s="1"/>
  <c r="D241" i="14" s="1"/>
  <c r="D242" i="14" s="1"/>
  <c r="D243" i="14" s="1"/>
  <c r="D244" i="14" s="1"/>
  <c r="D245" i="14" s="1"/>
  <c r="D246" i="14" s="1"/>
  <c r="D227" i="14"/>
  <c r="D228" i="14" s="1"/>
  <c r="D229" i="14" s="1"/>
  <c r="D230" i="14" s="1"/>
  <c r="D231" i="14" s="1"/>
  <c r="D232" i="14" s="1"/>
  <c r="D233" i="14" s="1"/>
  <c r="D234" i="14" s="1"/>
  <c r="D235" i="14" s="1"/>
  <c r="D216" i="14"/>
  <c r="D217" i="14" s="1"/>
  <c r="D218" i="14" s="1"/>
  <c r="D219" i="14" s="1"/>
  <c r="D220" i="14" s="1"/>
  <c r="D221" i="14" s="1"/>
  <c r="D222" i="14" s="1"/>
  <c r="D223" i="14" s="1"/>
  <c r="D224" i="14" s="1"/>
  <c r="D204" i="14"/>
  <c r="D205" i="14" s="1"/>
  <c r="D206" i="14" s="1"/>
  <c r="D207" i="14" s="1"/>
  <c r="D208" i="14" s="1"/>
  <c r="D209" i="14" s="1"/>
  <c r="D210" i="14" s="1"/>
  <c r="D211" i="14" s="1"/>
  <c r="D212" i="14" s="1"/>
  <c r="D193" i="14"/>
  <c r="D194" i="14" s="1"/>
  <c r="D195" i="14" s="1"/>
  <c r="D196" i="14" s="1"/>
  <c r="D197" i="14" s="1"/>
  <c r="D198" i="14" s="1"/>
  <c r="D199" i="14" s="1"/>
  <c r="D200" i="14" s="1"/>
  <c r="D201" i="14" s="1"/>
  <c r="D182" i="14"/>
  <c r="D183" i="14" s="1"/>
  <c r="D184" i="14" s="1"/>
  <c r="D185" i="14" s="1"/>
  <c r="D186" i="14" s="1"/>
  <c r="D187" i="14" s="1"/>
  <c r="D188" i="14" s="1"/>
  <c r="D189" i="14" s="1"/>
  <c r="D190" i="14" s="1"/>
  <c r="D170" i="14"/>
  <c r="D171" i="14" s="1"/>
  <c r="D172" i="14" s="1"/>
  <c r="D173" i="14" s="1"/>
  <c r="D174" i="14" s="1"/>
  <c r="D175" i="14" s="1"/>
  <c r="D176" i="14" s="1"/>
  <c r="D177" i="14" s="1"/>
  <c r="D178" i="14" s="1"/>
  <c r="D159" i="14"/>
  <c r="D160" i="14" s="1"/>
  <c r="D161" i="14" s="1"/>
  <c r="D162" i="14" s="1"/>
  <c r="D163" i="14" s="1"/>
  <c r="D397" i="14" l="1"/>
  <c r="D398" i="14" s="1"/>
  <c r="D399" i="14" s="1"/>
  <c r="D400" i="14" s="1"/>
  <c r="D401" i="14" s="1"/>
  <c r="D395" i="14"/>
  <c r="D396" i="14" s="1"/>
  <c r="D384" i="14"/>
  <c r="D385" i="14" s="1"/>
  <c r="D386" i="14" s="1"/>
  <c r="D387" i="14" s="1"/>
  <c r="D388" i="14" s="1"/>
  <c r="D382" i="14"/>
  <c r="D383" i="14" s="1"/>
  <c r="D371" i="14"/>
  <c r="D372" i="14" s="1"/>
  <c r="D373" i="14" s="1"/>
  <c r="D374" i="14" s="1"/>
  <c r="D375" i="14" s="1"/>
  <c r="D369" i="14"/>
  <c r="D370" i="14" s="1"/>
  <c r="D411" i="14"/>
  <c r="D412" i="14" s="1"/>
  <c r="D413" i="14" s="1"/>
  <c r="D414" i="14" s="1"/>
  <c r="D415" i="14" s="1"/>
  <c r="D409" i="14"/>
  <c r="D410" i="14" s="1"/>
  <c r="D424" i="14"/>
  <c r="D425" i="14" s="1"/>
  <c r="D426" i="14" s="1"/>
  <c r="D427" i="14" s="1"/>
  <c r="D428" i="14" s="1"/>
  <c r="D422" i="14"/>
  <c r="D423" i="14" s="1"/>
  <c r="D437" i="14"/>
  <c r="D438" i="14" s="1"/>
  <c r="D439" i="14" s="1"/>
  <c r="D440" i="14" s="1"/>
  <c r="D441" i="14" s="1"/>
  <c r="D435" i="14"/>
  <c r="D436" i="14" s="1"/>
  <c r="D357" i="14"/>
  <c r="D358" i="14" s="1"/>
  <c r="D359" i="14" s="1"/>
  <c r="D360" i="14" s="1"/>
  <c r="D361" i="14" s="1"/>
  <c r="D355" i="14"/>
  <c r="D356" i="14" s="1"/>
  <c r="D344" i="14"/>
  <c r="D345" i="14" s="1"/>
  <c r="D346" i="14" s="1"/>
  <c r="D347" i="14" s="1"/>
  <c r="D348" i="14" s="1"/>
  <c r="D342" i="14"/>
  <c r="D343" i="14" s="1"/>
  <c r="D331" i="14"/>
  <c r="D332" i="14" s="1"/>
  <c r="D333" i="14" s="1"/>
  <c r="D334" i="14" s="1"/>
  <c r="D335" i="14" s="1"/>
  <c r="D329" i="14"/>
  <c r="D330" i="14" s="1"/>
  <c r="D304" i="14"/>
  <c r="D305" i="14" s="1"/>
  <c r="D306" i="14" s="1"/>
  <c r="D307" i="14" s="1"/>
  <c r="D308" i="14" s="1"/>
  <c r="D302" i="14"/>
  <c r="D303" i="14" s="1"/>
  <c r="D317" i="14"/>
  <c r="D318" i="14" s="1"/>
  <c r="D319" i="14" s="1"/>
  <c r="D320" i="14" s="1"/>
  <c r="D321" i="14" s="1"/>
  <c r="D315" i="14"/>
  <c r="D316" i="14" s="1"/>
  <c r="J11" i="25"/>
  <c r="N11" i="25"/>
  <c r="R11" i="25"/>
  <c r="D180" i="25" s="1"/>
  <c r="S11" i="25"/>
  <c r="E180" i="25" s="1"/>
  <c r="T11" i="25"/>
  <c r="G180" i="25" s="1"/>
  <c r="O11" i="25"/>
  <c r="D286" i="14"/>
  <c r="P11" i="25"/>
  <c r="L11" i="25"/>
  <c r="K11" i="25"/>
  <c r="R10" i="25"/>
  <c r="D179" i="25" s="1"/>
  <c r="N13" i="25"/>
  <c r="R14" i="25"/>
  <c r="D183" i="25" s="1"/>
  <c r="J10" i="25"/>
  <c r="N10" i="25"/>
  <c r="R13" i="25"/>
  <c r="D182" i="25" s="1"/>
  <c r="J14" i="25"/>
  <c r="N14" i="25"/>
  <c r="J13" i="25"/>
  <c r="D164" i="14"/>
  <c r="N17" i="25" s="1"/>
  <c r="M442" i="14"/>
  <c r="J442" i="14"/>
  <c r="I442" i="14"/>
  <c r="N441" i="14"/>
  <c r="L441" i="14"/>
  <c r="N440" i="14"/>
  <c r="N439" i="14"/>
  <c r="L439" i="14"/>
  <c r="N438" i="14"/>
  <c r="L438" i="14"/>
  <c r="N437" i="14"/>
  <c r="L437" i="14"/>
  <c r="N434" i="14"/>
  <c r="L434" i="14"/>
  <c r="N433" i="14"/>
  <c r="L433" i="14"/>
  <c r="K442" i="14"/>
  <c r="N431" i="14"/>
  <c r="N430" i="14"/>
  <c r="L430" i="14"/>
  <c r="M429" i="14"/>
  <c r="K429" i="14"/>
  <c r="J429" i="14"/>
  <c r="I429" i="14"/>
  <c r="N428" i="14"/>
  <c r="L428" i="14"/>
  <c r="N427" i="14"/>
  <c r="N426" i="14"/>
  <c r="L426" i="14"/>
  <c r="N425" i="14"/>
  <c r="L425" i="14"/>
  <c r="N424" i="14"/>
  <c r="L424" i="14"/>
  <c r="N421" i="14"/>
  <c r="L421" i="14"/>
  <c r="N420" i="14"/>
  <c r="L420" i="14"/>
  <c r="N419" i="14"/>
  <c r="N418" i="14"/>
  <c r="N417" i="14"/>
  <c r="L417" i="14"/>
  <c r="M416" i="14"/>
  <c r="K416" i="14"/>
  <c r="J416" i="14"/>
  <c r="I416" i="14"/>
  <c r="N415" i="14"/>
  <c r="L415" i="14"/>
  <c r="N414" i="14"/>
  <c r="N413" i="14"/>
  <c r="L413" i="14"/>
  <c r="N412" i="14"/>
  <c r="L412" i="14"/>
  <c r="N411" i="14"/>
  <c r="L411" i="14"/>
  <c r="N408" i="14"/>
  <c r="L408" i="14"/>
  <c r="N407" i="14"/>
  <c r="L407" i="14"/>
  <c r="N406" i="14"/>
  <c r="N405" i="14"/>
  <c r="N404" i="14"/>
  <c r="L404" i="14"/>
  <c r="M402" i="14"/>
  <c r="K402" i="14"/>
  <c r="J402" i="14"/>
  <c r="I402" i="14"/>
  <c r="N401" i="14"/>
  <c r="L401" i="14"/>
  <c r="N400" i="14"/>
  <c r="N399" i="14"/>
  <c r="L399" i="14"/>
  <c r="N398" i="14"/>
  <c r="L398" i="14"/>
  <c r="N397" i="14"/>
  <c r="L397" i="14"/>
  <c r="N394" i="14"/>
  <c r="L394" i="14"/>
  <c r="N393" i="14"/>
  <c r="L393" i="14"/>
  <c r="N392" i="14"/>
  <c r="N391" i="14"/>
  <c r="N390" i="14"/>
  <c r="L390" i="14"/>
  <c r="M389" i="14"/>
  <c r="K389" i="14"/>
  <c r="J389" i="14"/>
  <c r="I389" i="14"/>
  <c r="N388" i="14"/>
  <c r="L388" i="14"/>
  <c r="N387" i="14"/>
  <c r="N386" i="14"/>
  <c r="L386" i="14"/>
  <c r="N385" i="14"/>
  <c r="L385" i="14"/>
  <c r="N384" i="14"/>
  <c r="L384" i="14"/>
  <c r="N381" i="14"/>
  <c r="L381" i="14"/>
  <c r="N380" i="14"/>
  <c r="L380" i="14"/>
  <c r="N379" i="14"/>
  <c r="N378" i="14"/>
  <c r="N377" i="14"/>
  <c r="L377" i="14"/>
  <c r="M376" i="14"/>
  <c r="K376" i="14"/>
  <c r="J376" i="14"/>
  <c r="I376" i="14"/>
  <c r="N375" i="14"/>
  <c r="L375" i="14"/>
  <c r="N374" i="14"/>
  <c r="N373" i="14"/>
  <c r="L373" i="14"/>
  <c r="N372" i="14"/>
  <c r="L372" i="14"/>
  <c r="N371" i="14"/>
  <c r="L371" i="14"/>
  <c r="N368" i="14"/>
  <c r="L368" i="14"/>
  <c r="N367" i="14"/>
  <c r="L367" i="14"/>
  <c r="N366" i="14"/>
  <c r="N365" i="14"/>
  <c r="N364" i="14"/>
  <c r="L364" i="14"/>
  <c r="M362" i="14"/>
  <c r="K362" i="14"/>
  <c r="J362" i="14"/>
  <c r="I362" i="14"/>
  <c r="N361" i="14"/>
  <c r="L361" i="14"/>
  <c r="N360" i="14"/>
  <c r="N359" i="14"/>
  <c r="L359" i="14"/>
  <c r="N358" i="14"/>
  <c r="L358" i="14"/>
  <c r="N357" i="14"/>
  <c r="L357" i="14"/>
  <c r="N354" i="14"/>
  <c r="L354" i="14"/>
  <c r="N353" i="14"/>
  <c r="L353" i="14"/>
  <c r="N352" i="14"/>
  <c r="N351" i="14"/>
  <c r="N350" i="14"/>
  <c r="L350" i="14"/>
  <c r="M349" i="14"/>
  <c r="K349" i="14"/>
  <c r="J349" i="14"/>
  <c r="I349" i="14"/>
  <c r="N348" i="14"/>
  <c r="L348" i="14"/>
  <c r="N347" i="14"/>
  <c r="N346" i="14"/>
  <c r="L346" i="14"/>
  <c r="N345" i="14"/>
  <c r="L345" i="14"/>
  <c r="N344" i="14"/>
  <c r="L344" i="14"/>
  <c r="N341" i="14"/>
  <c r="L341" i="14"/>
  <c r="N340" i="14"/>
  <c r="L340" i="14"/>
  <c r="N339" i="14"/>
  <c r="N338" i="14"/>
  <c r="N337" i="14"/>
  <c r="L337" i="14"/>
  <c r="M336" i="14"/>
  <c r="K336" i="14"/>
  <c r="J336" i="14"/>
  <c r="I336" i="14"/>
  <c r="N335" i="14"/>
  <c r="L335" i="14"/>
  <c r="N334" i="14"/>
  <c r="N333" i="14"/>
  <c r="L333" i="14"/>
  <c r="N332" i="14"/>
  <c r="L332" i="14"/>
  <c r="N331" i="14"/>
  <c r="L331" i="14"/>
  <c r="N328" i="14"/>
  <c r="L328" i="14"/>
  <c r="N327" i="14"/>
  <c r="L327" i="14"/>
  <c r="N326" i="14"/>
  <c r="N325" i="14"/>
  <c r="N324" i="14"/>
  <c r="L324" i="14"/>
  <c r="M322" i="14"/>
  <c r="K322" i="14"/>
  <c r="I322" i="14"/>
  <c r="N321" i="14"/>
  <c r="N320" i="14"/>
  <c r="N319" i="14"/>
  <c r="L319" i="14"/>
  <c r="N318" i="14"/>
  <c r="L318" i="14"/>
  <c r="N317" i="14"/>
  <c r="L317" i="14"/>
  <c r="N314" i="14"/>
  <c r="L314" i="14"/>
  <c r="N313" i="14"/>
  <c r="L313" i="14"/>
  <c r="N312" i="14"/>
  <c r="N311" i="14"/>
  <c r="N310" i="14"/>
  <c r="J322" i="14"/>
  <c r="M309" i="14"/>
  <c r="K309" i="14"/>
  <c r="J309" i="14"/>
  <c r="I309" i="14"/>
  <c r="N308" i="14"/>
  <c r="L308" i="14"/>
  <c r="N307" i="14"/>
  <c r="N306" i="14"/>
  <c r="L306" i="14"/>
  <c r="N305" i="14"/>
  <c r="L305" i="14"/>
  <c r="N304" i="14"/>
  <c r="L304" i="14"/>
  <c r="N301" i="14"/>
  <c r="L301" i="14"/>
  <c r="N300" i="14"/>
  <c r="L300" i="14"/>
  <c r="N299" i="14"/>
  <c r="N298" i="14"/>
  <c r="N297" i="14"/>
  <c r="L297" i="14"/>
  <c r="M296" i="14"/>
  <c r="K296" i="14"/>
  <c r="I296" i="14"/>
  <c r="N295" i="14"/>
  <c r="L295" i="14"/>
  <c r="N294" i="14"/>
  <c r="N293" i="14"/>
  <c r="L293" i="14"/>
  <c r="N292" i="14"/>
  <c r="L292" i="14"/>
  <c r="N291" i="14"/>
  <c r="L291" i="14"/>
  <c r="N288" i="14"/>
  <c r="L288" i="14"/>
  <c r="N287" i="14"/>
  <c r="L287" i="14"/>
  <c r="N286" i="14"/>
  <c r="J296" i="14"/>
  <c r="N285" i="14"/>
  <c r="N284" i="14"/>
  <c r="L284" i="14"/>
  <c r="D181" i="25" l="1"/>
  <c r="K182" i="25"/>
  <c r="D178" i="25"/>
  <c r="K180" i="25"/>
  <c r="K183" i="25"/>
  <c r="K181" i="25" s="1"/>
  <c r="K179" i="25"/>
  <c r="L180" i="25"/>
  <c r="N180" i="25"/>
  <c r="I180" i="25"/>
  <c r="J180" i="25"/>
  <c r="H180" i="25"/>
  <c r="K167" i="25"/>
  <c r="L165" i="25"/>
  <c r="K164" i="25"/>
  <c r="K168" i="25"/>
  <c r="K165" i="25"/>
  <c r="N165" i="25"/>
  <c r="L389" i="14"/>
  <c r="D287" i="14"/>
  <c r="T10" i="25"/>
  <c r="K10" i="25"/>
  <c r="P10" i="25"/>
  <c r="L10" i="25"/>
  <c r="O10" i="25"/>
  <c r="O9" i="25" s="1"/>
  <c r="S10" i="25"/>
  <c r="L309" i="14"/>
  <c r="N12" i="25"/>
  <c r="J12" i="25"/>
  <c r="R9" i="25"/>
  <c r="R12" i="25"/>
  <c r="N9" i="25"/>
  <c r="J9" i="25"/>
  <c r="J17" i="25"/>
  <c r="R17" i="25"/>
  <c r="D186" i="25" s="1"/>
  <c r="M403" i="14"/>
  <c r="M443" i="14"/>
  <c r="L349" i="14"/>
  <c r="L362" i="14"/>
  <c r="D165" i="14"/>
  <c r="I363" i="14"/>
  <c r="N416" i="14"/>
  <c r="N362" i="14"/>
  <c r="N349" i="14"/>
  <c r="K363" i="14"/>
  <c r="L442" i="14"/>
  <c r="J443" i="14"/>
  <c r="L429" i="14"/>
  <c r="L402" i="14"/>
  <c r="J363" i="14"/>
  <c r="N429" i="14"/>
  <c r="I443" i="14"/>
  <c r="K443" i="14"/>
  <c r="L416" i="14"/>
  <c r="N402" i="14"/>
  <c r="N389" i="14"/>
  <c r="I403" i="14"/>
  <c r="J403" i="14"/>
  <c r="K403" i="14"/>
  <c r="N376" i="14"/>
  <c r="M363" i="14"/>
  <c r="N336" i="14"/>
  <c r="N322" i="14"/>
  <c r="N309" i="14"/>
  <c r="M323" i="14"/>
  <c r="N296" i="14"/>
  <c r="K323" i="14"/>
  <c r="J323" i="14"/>
  <c r="L322" i="14"/>
  <c r="L296" i="14"/>
  <c r="I323" i="14"/>
  <c r="L336" i="14"/>
  <c r="N432" i="14"/>
  <c r="N442" i="14" s="1"/>
  <c r="L310" i="14"/>
  <c r="L376" i="14"/>
  <c r="K178" i="25" l="1"/>
  <c r="Q180" i="25"/>
  <c r="K171" i="25"/>
  <c r="K186" i="25"/>
  <c r="L179" i="25"/>
  <c r="L178" i="25" s="1"/>
  <c r="S9" i="25"/>
  <c r="E179" i="25"/>
  <c r="E178" i="25" s="1"/>
  <c r="P180" i="25"/>
  <c r="O180" i="25"/>
  <c r="T9" i="25"/>
  <c r="G179" i="25"/>
  <c r="L9" i="25"/>
  <c r="N179" i="25"/>
  <c r="K9" i="25"/>
  <c r="L164" i="25"/>
  <c r="P9" i="25"/>
  <c r="N164" i="25"/>
  <c r="P14" i="25"/>
  <c r="O14" i="25"/>
  <c r="L14" i="25"/>
  <c r="S14" i="25"/>
  <c r="E183" i="25" s="1"/>
  <c r="K14" i="25"/>
  <c r="T14" i="25"/>
  <c r="G183" i="25" s="1"/>
  <c r="D288" i="14"/>
  <c r="D289" i="14" s="1"/>
  <c r="D290" i="14" s="1"/>
  <c r="N403" i="14"/>
  <c r="L363" i="14"/>
  <c r="J16" i="25"/>
  <c r="N16" i="25"/>
  <c r="R16" i="25"/>
  <c r="D185" i="25" s="1"/>
  <c r="L443" i="14"/>
  <c r="D166" i="14"/>
  <c r="M444" i="14"/>
  <c r="N443" i="14"/>
  <c r="N363" i="14"/>
  <c r="N323" i="14"/>
  <c r="K444" i="14"/>
  <c r="J444" i="14"/>
  <c r="L403" i="14"/>
  <c r="I444" i="14"/>
  <c r="L323" i="14"/>
  <c r="N274" i="14"/>
  <c r="L183" i="25" l="1"/>
  <c r="N183" i="25"/>
  <c r="H179" i="25"/>
  <c r="H178" i="25" s="1"/>
  <c r="J179" i="25"/>
  <c r="J178" i="25" s="1"/>
  <c r="I179" i="25"/>
  <c r="I178" i="25" s="1"/>
  <c r="G178" i="25"/>
  <c r="P179" i="25"/>
  <c r="P178" i="25" s="1"/>
  <c r="O179" i="25"/>
  <c r="O178" i="25" s="1"/>
  <c r="Q179" i="25"/>
  <c r="Q178" i="25" s="1"/>
  <c r="N178" i="25"/>
  <c r="J183" i="25"/>
  <c r="I183" i="25"/>
  <c r="H183" i="25"/>
  <c r="L168" i="25"/>
  <c r="K170" i="25"/>
  <c r="N168" i="25"/>
  <c r="L13" i="25"/>
  <c r="T13" i="25"/>
  <c r="G182" i="25" s="1"/>
  <c r="P13" i="25"/>
  <c r="S13" i="25"/>
  <c r="E182" i="25" s="1"/>
  <c r="E181" i="25" s="1"/>
  <c r="K13" i="25"/>
  <c r="O13" i="25"/>
  <c r="O12" i="25" s="1"/>
  <c r="D291" i="14"/>
  <c r="J18" i="25"/>
  <c r="R18" i="25"/>
  <c r="D187" i="25" s="1"/>
  <c r="N18" i="25"/>
  <c r="D167" i="14"/>
  <c r="N444" i="14"/>
  <c r="L444" i="14"/>
  <c r="K187" i="25" l="1"/>
  <c r="L182" i="25"/>
  <c r="L181" i="25" s="1"/>
  <c r="Q183" i="25"/>
  <c r="O183" i="25"/>
  <c r="P183" i="25"/>
  <c r="N182" i="25"/>
  <c r="O182" i="25" s="1"/>
  <c r="J182" i="25"/>
  <c r="J181" i="25" s="1"/>
  <c r="I182" i="25"/>
  <c r="I181" i="25" s="1"/>
  <c r="H182" i="25"/>
  <c r="H181" i="25" s="1"/>
  <c r="G181" i="25"/>
  <c r="L167" i="25"/>
  <c r="K172" i="25"/>
  <c r="P12" i="25"/>
  <c r="N167" i="25"/>
  <c r="S12" i="25"/>
  <c r="T12" i="25"/>
  <c r="L12" i="25"/>
  <c r="K12" i="25"/>
  <c r="D292" i="14"/>
  <c r="N19" i="25"/>
  <c r="N15" i="25" s="1"/>
  <c r="J19" i="25"/>
  <c r="R19" i="25"/>
  <c r="L267" i="14"/>
  <c r="O181" i="25" l="1"/>
  <c r="K188" i="25"/>
  <c r="R15" i="25"/>
  <c r="D188" i="25"/>
  <c r="D184" i="25" s="1"/>
  <c r="D177" i="25" s="1"/>
  <c r="Q182" i="25"/>
  <c r="Q181" i="25" s="1"/>
  <c r="N181" i="25"/>
  <c r="P182" i="25"/>
  <c r="P181" i="25" s="1"/>
  <c r="J15" i="25"/>
  <c r="K173" i="25"/>
  <c r="S17" i="25"/>
  <c r="E186" i="25" s="1"/>
  <c r="L17" i="25"/>
  <c r="O17" i="25"/>
  <c r="P17" i="25"/>
  <c r="K17" i="25"/>
  <c r="T17" i="25"/>
  <c r="G186" i="25" s="1"/>
  <c r="D293" i="14"/>
  <c r="L186" i="25" l="1"/>
  <c r="N186" i="25"/>
  <c r="H186" i="25"/>
  <c r="J186" i="25"/>
  <c r="I186" i="25"/>
  <c r="L171" i="25"/>
  <c r="N171" i="25"/>
  <c r="K16" i="25"/>
  <c r="S16" i="25"/>
  <c r="E185" i="25" s="1"/>
  <c r="L16" i="25"/>
  <c r="T16" i="25"/>
  <c r="G185" i="25" s="1"/>
  <c r="P16" i="25"/>
  <c r="O16" i="25"/>
  <c r="D294" i="14"/>
  <c r="Q245" i="14"/>
  <c r="R245" i="14" s="1"/>
  <c r="Q244" i="14"/>
  <c r="R244" i="14" s="1"/>
  <c r="Q243" i="14"/>
  <c r="R243" i="14" s="1"/>
  <c r="Q242" i="14"/>
  <c r="R242" i="14" s="1"/>
  <c r="Q241" i="14"/>
  <c r="R241" i="14" s="1"/>
  <c r="Q240" i="14"/>
  <c r="R240" i="14" s="1"/>
  <c r="Q239" i="14"/>
  <c r="R239" i="14" s="1"/>
  <c r="Q186" i="25" l="1"/>
  <c r="O186" i="25"/>
  <c r="P186" i="25"/>
  <c r="H185" i="25"/>
  <c r="I185" i="25"/>
  <c r="J185" i="25"/>
  <c r="L170" i="25"/>
  <c r="N170" i="25"/>
  <c r="S18" i="25"/>
  <c r="E187" i="25" s="1"/>
  <c r="P18" i="25"/>
  <c r="L18" i="25"/>
  <c r="O18" i="25"/>
  <c r="T18" i="25"/>
  <c r="G187" i="25" s="1"/>
  <c r="K18" i="25"/>
  <c r="D295" i="14"/>
  <c r="V201" i="14"/>
  <c r="V200" i="14"/>
  <c r="V199" i="14"/>
  <c r="V198" i="14"/>
  <c r="V197" i="14"/>
  <c r="V196" i="14"/>
  <c r="V195" i="14"/>
  <c r="V194" i="14"/>
  <c r="L187" i="25" l="1"/>
  <c r="N187" i="25"/>
  <c r="P187" i="25" s="1"/>
  <c r="J187" i="25"/>
  <c r="I187" i="25"/>
  <c r="H187" i="25"/>
  <c r="L172" i="25"/>
  <c r="N172" i="25"/>
  <c r="T19" i="25"/>
  <c r="L19" i="25"/>
  <c r="S19" i="25"/>
  <c r="K19" i="25"/>
  <c r="P19" i="25"/>
  <c r="O19" i="25"/>
  <c r="O15" i="25" s="1"/>
  <c r="G50" i="25"/>
  <c r="G49" i="25"/>
  <c r="G48" i="25"/>
  <c r="G47" i="25"/>
  <c r="G46" i="25"/>
  <c r="G44" i="25"/>
  <c r="G43" i="25"/>
  <c r="G41" i="25"/>
  <c r="K236" i="14"/>
  <c r="L188" i="25" l="1"/>
  <c r="S15" i="25"/>
  <c r="E188" i="25"/>
  <c r="E184" i="25" s="1"/>
  <c r="E177" i="25" s="1"/>
  <c r="O187" i="25"/>
  <c r="Q187" i="25"/>
  <c r="T15" i="25"/>
  <c r="G188" i="25"/>
  <c r="L15" i="25"/>
  <c r="N188" i="25"/>
  <c r="K15" i="25"/>
  <c r="L173" i="25"/>
  <c r="P15" i="25"/>
  <c r="N173" i="25"/>
  <c r="G184" i="25" l="1"/>
  <c r="G177" i="25" s="1"/>
  <c r="J188" i="25"/>
  <c r="J184" i="25" s="1"/>
  <c r="I188" i="25"/>
  <c r="I184" i="25" s="1"/>
  <c r="H188" i="25"/>
  <c r="H184" i="25" s="1"/>
  <c r="Q188" i="25"/>
  <c r="Q184" i="25" s="1"/>
  <c r="O188" i="25"/>
  <c r="P188" i="25"/>
  <c r="P184" i="25" s="1"/>
  <c r="J177" i="25" l="1"/>
  <c r="I177" i="25"/>
  <c r="H177" i="25"/>
  <c r="I56" i="25"/>
  <c r="I57" i="25"/>
  <c r="I58" i="25"/>
  <c r="I59" i="25"/>
  <c r="I60" i="25"/>
  <c r="I61" i="25"/>
  <c r="I62" i="25"/>
  <c r="I63" i="25"/>
  <c r="I64" i="25"/>
  <c r="I65" i="25"/>
  <c r="I66" i="25"/>
  <c r="L56" i="25" l="1"/>
  <c r="L57" i="25"/>
  <c r="L58" i="25"/>
  <c r="L59" i="25"/>
  <c r="L60" i="25"/>
  <c r="L61" i="25"/>
  <c r="L62" i="25"/>
  <c r="L63" i="25"/>
  <c r="L64" i="25"/>
  <c r="L65" i="25"/>
  <c r="L66" i="25"/>
  <c r="P195" i="14" l="1"/>
  <c r="G173" i="25" l="1"/>
  <c r="G172" i="25"/>
  <c r="G170" i="25"/>
  <c r="G171" i="25"/>
  <c r="G167" i="25"/>
  <c r="G168" i="25"/>
  <c r="G164" i="25"/>
  <c r="G165" i="25"/>
  <c r="E164" i="25"/>
  <c r="E165" i="25"/>
  <c r="M11" i="25"/>
  <c r="D173" i="25"/>
  <c r="D172" i="25"/>
  <c r="D170" i="25"/>
  <c r="D171" i="25"/>
  <c r="D167" i="25"/>
  <c r="D168" i="25"/>
  <c r="D164" i="25"/>
  <c r="D165" i="25"/>
  <c r="D166" i="25" l="1"/>
  <c r="E163" i="25"/>
  <c r="D163" i="25"/>
  <c r="D169" i="25"/>
  <c r="G166" i="25"/>
  <c r="G169" i="25"/>
  <c r="I172" i="25"/>
  <c r="I173" i="25"/>
  <c r="E172" i="25"/>
  <c r="J172" i="25" s="1"/>
  <c r="I167" i="25"/>
  <c r="I171" i="25"/>
  <c r="I170" i="25"/>
  <c r="E170" i="25"/>
  <c r="E173" i="25"/>
  <c r="J173" i="25" s="1"/>
  <c r="E168" i="25"/>
  <c r="J168" i="25" s="1"/>
  <c r="E167" i="25"/>
  <c r="E171" i="25"/>
  <c r="J171" i="25" s="1"/>
  <c r="I165" i="25"/>
  <c r="J165" i="25"/>
  <c r="I164" i="25"/>
  <c r="J164" i="25"/>
  <c r="I168" i="25"/>
  <c r="U16" i="25"/>
  <c r="G150" i="25"/>
  <c r="H150" i="25" s="1"/>
  <c r="G149" i="25"/>
  <c r="H149" i="25" s="1"/>
  <c r="G153" i="25"/>
  <c r="H153" i="25" s="1"/>
  <c r="G152" i="25"/>
  <c r="H152" i="25" s="1"/>
  <c r="G156" i="25"/>
  <c r="H156" i="25" s="1"/>
  <c r="G155" i="25"/>
  <c r="H155" i="25" s="1"/>
  <c r="G157" i="25"/>
  <c r="H157" i="25" s="1"/>
  <c r="W13" i="25"/>
  <c r="AA13" i="25" s="1"/>
  <c r="E13" i="25" s="1"/>
  <c r="D152" i="25"/>
  <c r="D155" i="25"/>
  <c r="D157" i="25"/>
  <c r="E150" i="25"/>
  <c r="D158" i="25"/>
  <c r="D150" i="25"/>
  <c r="U11" i="25"/>
  <c r="D156" i="25"/>
  <c r="E149" i="25"/>
  <c r="D149" i="25"/>
  <c r="E156" i="25"/>
  <c r="D153" i="25"/>
  <c r="E153" i="25"/>
  <c r="E152" i="25"/>
  <c r="E155" i="25"/>
  <c r="X19" i="25"/>
  <c r="G158" i="25"/>
  <c r="H158" i="25" s="1"/>
  <c r="W18" i="25"/>
  <c r="AA18" i="25" s="1"/>
  <c r="E18" i="25" s="1"/>
  <c r="E157" i="25"/>
  <c r="W11" i="25"/>
  <c r="W14" i="25"/>
  <c r="AA14" i="25" s="1"/>
  <c r="E14" i="25" s="1"/>
  <c r="W19" i="25"/>
  <c r="AA19" i="25" s="1"/>
  <c r="E19" i="25" s="1"/>
  <c r="E158" i="25"/>
  <c r="X16" i="25"/>
  <c r="X14" i="25"/>
  <c r="X13" i="25"/>
  <c r="W17" i="25"/>
  <c r="AA17" i="25" s="1"/>
  <c r="E17" i="25" s="1"/>
  <c r="X10" i="25"/>
  <c r="AB10" i="25" s="1"/>
  <c r="X11" i="25"/>
  <c r="AB11" i="25" s="1"/>
  <c r="U18" i="25"/>
  <c r="U19" i="25"/>
  <c r="U13" i="25"/>
  <c r="U14" i="25"/>
  <c r="W10" i="25"/>
  <c r="U10" i="25"/>
  <c r="X18" i="25"/>
  <c r="X17" i="25"/>
  <c r="W16" i="25"/>
  <c r="AA16" i="25" s="1"/>
  <c r="U17" i="25"/>
  <c r="E197" i="25" l="1"/>
  <c r="AA11" i="25"/>
  <c r="E11" i="25" s="1"/>
  <c r="E196" i="25"/>
  <c r="AA10" i="25"/>
  <c r="E10" i="25" s="1"/>
  <c r="M185" i="25"/>
  <c r="M184" i="25" s="1"/>
  <c r="E16" i="25"/>
  <c r="G36" i="25"/>
  <c r="AB19" i="25"/>
  <c r="G33" i="25"/>
  <c r="AB16" i="25"/>
  <c r="N185" i="25" s="1"/>
  <c r="N184" i="25" s="1"/>
  <c r="N177" i="25" s="1"/>
  <c r="G31" i="25"/>
  <c r="AB14" i="25"/>
  <c r="G30" i="25"/>
  <c r="AB13" i="25"/>
  <c r="G35" i="25"/>
  <c r="AB18" i="25"/>
  <c r="G34" i="25"/>
  <c r="AB17" i="25"/>
  <c r="E199" i="25"/>
  <c r="E30" i="25"/>
  <c r="E204" i="25"/>
  <c r="E35" i="25"/>
  <c r="E200" i="25"/>
  <c r="E31" i="25"/>
  <c r="E205" i="25"/>
  <c r="E36" i="25"/>
  <c r="E203" i="25"/>
  <c r="E34" i="25"/>
  <c r="E202" i="25"/>
  <c r="E33" i="25"/>
  <c r="E195" i="25"/>
  <c r="W12" i="25"/>
  <c r="J170" i="25"/>
  <c r="J169" i="25" s="1"/>
  <c r="E169" i="25"/>
  <c r="J167" i="25"/>
  <c r="J166" i="25" s="1"/>
  <c r="E166" i="25"/>
  <c r="I169" i="25"/>
  <c r="J163" i="25"/>
  <c r="I166" i="25"/>
  <c r="G163" i="25"/>
  <c r="X12" i="25"/>
  <c r="U15" i="25"/>
  <c r="X15" i="25"/>
  <c r="W15" i="25"/>
  <c r="W9" i="25"/>
  <c r="U12" i="25"/>
  <c r="X9" i="25"/>
  <c r="U9" i="25"/>
  <c r="N205" i="25"/>
  <c r="N200" i="25"/>
  <c r="N196" i="25"/>
  <c r="N197" i="25"/>
  <c r="L205" i="25"/>
  <c r="I46" i="25"/>
  <c r="K46" i="25" s="1"/>
  <c r="I48" i="25"/>
  <c r="K48" i="25" s="1"/>
  <c r="I50" i="25"/>
  <c r="K50" i="25" s="1"/>
  <c r="I44" i="25"/>
  <c r="K44" i="25" s="1"/>
  <c r="I43" i="25"/>
  <c r="K43" i="25" s="1"/>
  <c r="I49" i="25"/>
  <c r="K49" i="25" s="1"/>
  <c r="I47" i="25"/>
  <c r="K47" i="25" s="1"/>
  <c r="E44" i="25"/>
  <c r="I163" i="25"/>
  <c r="E43" i="25"/>
  <c r="R8" i="25"/>
  <c r="T8" i="25"/>
  <c r="S8" i="25"/>
  <c r="I33" i="25" l="1"/>
  <c r="I36" i="25"/>
  <c r="I35" i="25"/>
  <c r="I31" i="25"/>
  <c r="I34" i="25"/>
  <c r="E29" i="25"/>
  <c r="AA12" i="25"/>
  <c r="E12" i="25" s="1"/>
  <c r="E32" i="25"/>
  <c r="AA15" i="25"/>
  <c r="E15" i="25" s="1"/>
  <c r="E28" i="25"/>
  <c r="AA9" i="25"/>
  <c r="E9" i="25" s="1"/>
  <c r="I30" i="25"/>
  <c r="O177" i="25"/>
  <c r="G29" i="25"/>
  <c r="I29" i="25" s="1"/>
  <c r="AB12" i="25"/>
  <c r="G32" i="25"/>
  <c r="I32" i="25" s="1"/>
  <c r="AB15" i="25"/>
  <c r="G28" i="25"/>
  <c r="I28" i="25" s="1"/>
  <c r="AB9" i="25"/>
  <c r="E198" i="25"/>
  <c r="E201" i="25"/>
  <c r="N195" i="25"/>
  <c r="N199" i="25"/>
  <c r="N156" i="25"/>
  <c r="O156" i="25" s="1"/>
  <c r="N155" i="25"/>
  <c r="O155" i="25" s="1"/>
  <c r="N158" i="25"/>
  <c r="O158" i="25" s="1"/>
  <c r="N202" i="25"/>
  <c r="N203" i="25"/>
  <c r="O203" i="25" s="1"/>
  <c r="N157" i="25"/>
  <c r="O157" i="25" s="1"/>
  <c r="N204" i="25"/>
  <c r="N153" i="25"/>
  <c r="O153" i="25" s="1"/>
  <c r="N152" i="25"/>
  <c r="O152" i="25" s="1"/>
  <c r="N149" i="25"/>
  <c r="O149" i="25" s="1"/>
  <c r="N150" i="25"/>
  <c r="O150" i="25" s="1"/>
  <c r="L158" i="25"/>
  <c r="O197" i="25"/>
  <c r="O200" i="25"/>
  <c r="O196" i="25"/>
  <c r="Q205" i="25"/>
  <c r="O205" i="25"/>
  <c r="U8" i="25"/>
  <c r="L185" i="14"/>
  <c r="K179" i="14"/>
  <c r="M281" i="14"/>
  <c r="K281" i="14"/>
  <c r="J281" i="14"/>
  <c r="I281" i="14"/>
  <c r="N280" i="14"/>
  <c r="L280" i="14"/>
  <c r="N279" i="14"/>
  <c r="N278" i="14"/>
  <c r="L278" i="14"/>
  <c r="N277" i="14"/>
  <c r="L277" i="14"/>
  <c r="N276" i="14"/>
  <c r="L276" i="14"/>
  <c r="N275" i="14"/>
  <c r="L275" i="14"/>
  <c r="L274" i="14"/>
  <c r="N273" i="14"/>
  <c r="N272" i="14"/>
  <c r="N271" i="14"/>
  <c r="L271" i="14"/>
  <c r="M270" i="14"/>
  <c r="K270" i="14"/>
  <c r="J270" i="14"/>
  <c r="I270" i="14"/>
  <c r="N269" i="14"/>
  <c r="L269" i="14"/>
  <c r="N268" i="14"/>
  <c r="N267" i="14"/>
  <c r="N266" i="14"/>
  <c r="L266" i="14"/>
  <c r="N265" i="14"/>
  <c r="L265" i="14"/>
  <c r="N264" i="14"/>
  <c r="L264" i="14"/>
  <c r="N263" i="14"/>
  <c r="L263" i="14"/>
  <c r="N262" i="14"/>
  <c r="N261" i="14"/>
  <c r="N260" i="14"/>
  <c r="L260" i="14"/>
  <c r="M259" i="14"/>
  <c r="K259" i="14"/>
  <c r="J259" i="14"/>
  <c r="I259" i="14"/>
  <c r="N258" i="14"/>
  <c r="L258" i="14"/>
  <c r="N257" i="14"/>
  <c r="N256" i="14"/>
  <c r="L256" i="14"/>
  <c r="N255" i="14"/>
  <c r="L255" i="14"/>
  <c r="N254" i="14"/>
  <c r="L254" i="14"/>
  <c r="N253" i="14"/>
  <c r="L253" i="14"/>
  <c r="N252" i="14"/>
  <c r="L252" i="14"/>
  <c r="N251" i="14"/>
  <c r="N250" i="14"/>
  <c r="N249" i="14"/>
  <c r="L249" i="14"/>
  <c r="M247" i="14"/>
  <c r="K247" i="14"/>
  <c r="J247" i="14"/>
  <c r="I247" i="14"/>
  <c r="N246" i="14"/>
  <c r="L246" i="14"/>
  <c r="N245" i="14"/>
  <c r="N244" i="14"/>
  <c r="L244" i="14"/>
  <c r="N243" i="14"/>
  <c r="L243" i="14"/>
  <c r="N242" i="14"/>
  <c r="L242" i="14"/>
  <c r="N241" i="14"/>
  <c r="L241" i="14"/>
  <c r="N240" i="14"/>
  <c r="L240" i="14"/>
  <c r="N239" i="14"/>
  <c r="N238" i="14"/>
  <c r="N237" i="14"/>
  <c r="L237" i="14"/>
  <c r="M236" i="14"/>
  <c r="J236" i="14"/>
  <c r="I236" i="14"/>
  <c r="N235" i="14"/>
  <c r="L235" i="14"/>
  <c r="N234" i="14"/>
  <c r="N233" i="14"/>
  <c r="L233" i="14"/>
  <c r="N232" i="14"/>
  <c r="L232" i="14"/>
  <c r="N231" i="14"/>
  <c r="L231" i="14"/>
  <c r="N230" i="14"/>
  <c r="L230" i="14"/>
  <c r="N229" i="14"/>
  <c r="L229" i="14"/>
  <c r="N228" i="14"/>
  <c r="N227" i="14"/>
  <c r="N226" i="14"/>
  <c r="L226" i="14"/>
  <c r="M225" i="14"/>
  <c r="K225" i="14"/>
  <c r="J225" i="14"/>
  <c r="I225" i="14"/>
  <c r="N224" i="14"/>
  <c r="L224" i="14"/>
  <c r="N223" i="14"/>
  <c r="N222" i="14"/>
  <c r="L222" i="14"/>
  <c r="N221" i="14"/>
  <c r="L221" i="14"/>
  <c r="N220" i="14"/>
  <c r="L220" i="14"/>
  <c r="N219" i="14"/>
  <c r="L219" i="14"/>
  <c r="N218" i="14"/>
  <c r="L218" i="14"/>
  <c r="N217" i="14"/>
  <c r="N216" i="14"/>
  <c r="N215" i="14"/>
  <c r="L215" i="14"/>
  <c r="M213" i="14"/>
  <c r="K213" i="14"/>
  <c r="J213" i="14"/>
  <c r="I213" i="14"/>
  <c r="N212" i="14"/>
  <c r="L212" i="14"/>
  <c r="N211" i="14"/>
  <c r="N210" i="14"/>
  <c r="L210" i="14"/>
  <c r="N209" i="14"/>
  <c r="L209" i="14"/>
  <c r="N208" i="14"/>
  <c r="L208" i="14"/>
  <c r="N207" i="14"/>
  <c r="L207" i="14"/>
  <c r="N206" i="14"/>
  <c r="L206" i="14"/>
  <c r="N205" i="14"/>
  <c r="N204" i="14"/>
  <c r="N203" i="14"/>
  <c r="L203" i="14"/>
  <c r="M202" i="14"/>
  <c r="K202" i="14"/>
  <c r="J202" i="14"/>
  <c r="I202" i="14"/>
  <c r="N201" i="14"/>
  <c r="L201" i="14"/>
  <c r="N200" i="14"/>
  <c r="N199" i="14"/>
  <c r="L199" i="14"/>
  <c r="N198" i="14"/>
  <c r="L198" i="14"/>
  <c r="N197" i="14"/>
  <c r="L197" i="14"/>
  <c r="N196" i="14"/>
  <c r="L196" i="14"/>
  <c r="N195" i="14"/>
  <c r="L195" i="14"/>
  <c r="N194" i="14"/>
  <c r="N193" i="14"/>
  <c r="N192" i="14"/>
  <c r="L192" i="14"/>
  <c r="M191" i="14"/>
  <c r="K191" i="14"/>
  <c r="J191" i="14"/>
  <c r="I191" i="14"/>
  <c r="N190" i="14"/>
  <c r="L190" i="14"/>
  <c r="N189" i="14"/>
  <c r="N188" i="14"/>
  <c r="L188" i="14"/>
  <c r="N187" i="14"/>
  <c r="L187" i="14"/>
  <c r="N186" i="14"/>
  <c r="L186" i="14"/>
  <c r="N185" i="14"/>
  <c r="N184" i="14"/>
  <c r="L184" i="14"/>
  <c r="N183" i="14"/>
  <c r="N182" i="14"/>
  <c r="N181" i="14"/>
  <c r="L181" i="14"/>
  <c r="E194" i="25" l="1"/>
  <c r="L202" i="14"/>
  <c r="O170" i="25"/>
  <c r="N169" i="25"/>
  <c r="N163" i="25"/>
  <c r="N166" i="25"/>
  <c r="O195" i="25"/>
  <c r="O202" i="25"/>
  <c r="N201" i="25"/>
  <c r="O199" i="25"/>
  <c r="O198" i="25" s="1"/>
  <c r="N198" i="25"/>
  <c r="O204" i="25"/>
  <c r="O171" i="25"/>
  <c r="O173" i="25"/>
  <c r="Q173" i="25"/>
  <c r="O172" i="25"/>
  <c r="O167" i="25"/>
  <c r="O168" i="25"/>
  <c r="O164" i="25"/>
  <c r="O165" i="25"/>
  <c r="I282" i="14"/>
  <c r="K248" i="14"/>
  <c r="J282" i="14"/>
  <c r="M282" i="14"/>
  <c r="K282" i="14"/>
  <c r="J248" i="14"/>
  <c r="I248" i="14"/>
  <c r="J214" i="14"/>
  <c r="K214" i="14"/>
  <c r="M214" i="14"/>
  <c r="L213" i="14"/>
  <c r="I214" i="14"/>
  <c r="M248" i="14"/>
  <c r="L259" i="14"/>
  <c r="L236" i="14"/>
  <c r="L191" i="14"/>
  <c r="N259" i="14"/>
  <c r="N202" i="14"/>
  <c r="N213" i="14"/>
  <c r="N191" i="14"/>
  <c r="L247" i="14"/>
  <c r="N236" i="14"/>
  <c r="N247" i="14"/>
  <c r="N281" i="14"/>
  <c r="N225" i="14"/>
  <c r="N270" i="14"/>
  <c r="L270" i="14"/>
  <c r="L225" i="14"/>
  <c r="L281" i="14"/>
  <c r="O166" i="25" l="1"/>
  <c r="O163" i="25"/>
  <c r="O169" i="25"/>
  <c r="O201" i="25"/>
  <c r="L282" i="14"/>
  <c r="L248" i="14"/>
  <c r="N282" i="14"/>
  <c r="O214" i="14"/>
  <c r="L214" i="14"/>
  <c r="N214" i="14"/>
  <c r="N248" i="14"/>
  <c r="J166" i="14"/>
  <c r="J165" i="14"/>
  <c r="L165" i="14" s="1"/>
  <c r="J164" i="14"/>
  <c r="J162" i="14"/>
  <c r="L162" i="14" s="1"/>
  <c r="J161" i="14"/>
  <c r="L161" i="14" s="1"/>
  <c r="J160" i="14"/>
  <c r="L158" i="14"/>
  <c r="N158" i="14"/>
  <c r="N159" i="14"/>
  <c r="N160" i="14"/>
  <c r="N161" i="14"/>
  <c r="N162" i="14"/>
  <c r="L163" i="14"/>
  <c r="N163" i="14"/>
  <c r="N164" i="14"/>
  <c r="N165" i="14"/>
  <c r="N166" i="14"/>
  <c r="L167" i="14"/>
  <c r="N167" i="14"/>
  <c r="L164" i="14" l="1"/>
  <c r="I45" i="25" l="1"/>
  <c r="I42" i="25"/>
  <c r="T178" i="14" l="1"/>
  <c r="T177" i="14"/>
  <c r="T176" i="14"/>
  <c r="T175" i="14"/>
  <c r="T174" i="14"/>
  <c r="T173" i="14"/>
  <c r="T172" i="14"/>
  <c r="T171" i="14"/>
  <c r="T167" i="14"/>
  <c r="T166" i="14"/>
  <c r="T165" i="14"/>
  <c r="T164" i="14"/>
  <c r="T163" i="14"/>
  <c r="T162" i="14"/>
  <c r="T161" i="14"/>
  <c r="T160" i="14"/>
  <c r="T156" i="14"/>
  <c r="T155" i="14"/>
  <c r="T154" i="14"/>
  <c r="T153" i="14"/>
  <c r="T152" i="14"/>
  <c r="T151" i="14"/>
  <c r="T150" i="14"/>
  <c r="T149" i="14"/>
  <c r="P178" i="14" l="1"/>
  <c r="Q178" i="14"/>
  <c r="Q177" i="14"/>
  <c r="Q176" i="14"/>
  <c r="Q175" i="14"/>
  <c r="Q174" i="14"/>
  <c r="Q173" i="14"/>
  <c r="Q172" i="14"/>
  <c r="Q171" i="14"/>
  <c r="S156" i="14"/>
  <c r="S155" i="14"/>
  <c r="S153" i="14"/>
  <c r="S152" i="14"/>
  <c r="Q156" i="14" l="1"/>
  <c r="F20" i="25" l="1"/>
  <c r="G20" i="25"/>
  <c r="H20" i="25"/>
  <c r="J20" i="25"/>
  <c r="K20" i="25"/>
  <c r="L20" i="25"/>
  <c r="N20" i="25"/>
  <c r="O20" i="25"/>
  <c r="P20" i="25"/>
  <c r="S20" i="25"/>
  <c r="T20" i="25"/>
  <c r="I21" i="25"/>
  <c r="M21" i="25"/>
  <c r="Q21" i="25"/>
  <c r="U21" i="25"/>
  <c r="I22" i="25"/>
  <c r="M22" i="25"/>
  <c r="Q22" i="25"/>
  <c r="R22" i="25"/>
  <c r="U22" i="25"/>
  <c r="H165" i="25"/>
  <c r="H170" i="25"/>
  <c r="H173" i="25"/>
  <c r="R23" i="25"/>
  <c r="V14" i="25" l="1"/>
  <c r="Z14" i="25" s="1"/>
  <c r="V16" i="25"/>
  <c r="Z16" i="25" s="1"/>
  <c r="L185" i="25" s="1"/>
  <c r="L184" i="25" s="1"/>
  <c r="L177" i="25" s="1"/>
  <c r="Q177" i="25" s="1"/>
  <c r="V18" i="25"/>
  <c r="Z18" i="25" s="1"/>
  <c r="V19" i="25"/>
  <c r="Z19" i="25" s="1"/>
  <c r="V13" i="25"/>
  <c r="Z13" i="25" s="1"/>
  <c r="V17" i="25"/>
  <c r="Z17" i="25" s="1"/>
  <c r="V10" i="25"/>
  <c r="Z10" i="25" s="1"/>
  <c r="V11" i="25"/>
  <c r="Z11" i="25" s="1"/>
  <c r="G196" i="25"/>
  <c r="H196" i="25" s="1"/>
  <c r="H172" i="25"/>
  <c r="H168" i="25"/>
  <c r="H164" i="25"/>
  <c r="H163" i="25" s="1"/>
  <c r="H171" i="25"/>
  <c r="H167" i="25"/>
  <c r="H166" i="25" l="1"/>
  <c r="H169" i="25"/>
  <c r="V15" i="25"/>
  <c r="Z15" i="25" s="1"/>
  <c r="V9" i="25"/>
  <c r="Z9" i="25" s="1"/>
  <c r="V12" i="25"/>
  <c r="Z12" i="25" s="1"/>
  <c r="K150" i="25"/>
  <c r="P165" i="25"/>
  <c r="K149" i="25"/>
  <c r="P171" i="25"/>
  <c r="K156" i="25"/>
  <c r="K152" i="25"/>
  <c r="P173" i="25"/>
  <c r="K158" i="25"/>
  <c r="K157" i="25"/>
  <c r="P172" i="25"/>
  <c r="P168" i="25"/>
  <c r="K153" i="25"/>
  <c r="K203" i="25"/>
  <c r="P203" i="25" s="1"/>
  <c r="K197" i="25"/>
  <c r="P197" i="25" s="1"/>
  <c r="K199" i="25"/>
  <c r="K205" i="25"/>
  <c r="P205" i="25" s="1"/>
  <c r="K204" i="25"/>
  <c r="P204" i="25" s="1"/>
  <c r="K200" i="25"/>
  <c r="P200" i="25" s="1"/>
  <c r="D196" i="25"/>
  <c r="K196" i="25"/>
  <c r="G42" i="25"/>
  <c r="K42" i="25" s="1"/>
  <c r="N151" i="14"/>
  <c r="N150" i="14"/>
  <c r="P167" i="25" l="1"/>
  <c r="P166" i="25" s="1"/>
  <c r="K166" i="25"/>
  <c r="P164" i="25"/>
  <c r="P163" i="25" s="1"/>
  <c r="K163" i="25"/>
  <c r="P199" i="25"/>
  <c r="P198" i="25" s="1"/>
  <c r="K198" i="25"/>
  <c r="P196" i="25"/>
  <c r="P195" i="25" s="1"/>
  <c r="K195" i="25"/>
  <c r="I41" i="25"/>
  <c r="K41" i="25" s="1"/>
  <c r="J175" i="14"/>
  <c r="J177" i="14"/>
  <c r="J176" i="14"/>
  <c r="J173" i="14"/>
  <c r="J172" i="14"/>
  <c r="J171" i="14"/>
  <c r="I51" i="25" l="1"/>
  <c r="L157" i="25"/>
  <c r="Q172" i="25"/>
  <c r="L204" i="25"/>
  <c r="Q204" i="25" s="1"/>
  <c r="Q171" i="25"/>
  <c r="L156" i="25"/>
  <c r="L203" i="25"/>
  <c r="Q203" i="25" s="1"/>
  <c r="P177" i="14"/>
  <c r="P171" i="14"/>
  <c r="P172" i="14"/>
  <c r="P173" i="14"/>
  <c r="P176" i="14"/>
  <c r="P175" i="14"/>
  <c r="J149" i="14"/>
  <c r="J150" i="14"/>
  <c r="J151" i="14"/>
  <c r="J154" i="14"/>
  <c r="L155" i="25" l="1"/>
  <c r="L202" i="25"/>
  <c r="L152" i="25"/>
  <c r="L199" i="25"/>
  <c r="L153" i="25"/>
  <c r="Q168" i="25"/>
  <c r="L200" i="25"/>
  <c r="Q200" i="25" s="1"/>
  <c r="L149" i="25"/>
  <c r="L196" i="25"/>
  <c r="S150" i="14"/>
  <c r="S154" i="14"/>
  <c r="S151" i="14"/>
  <c r="S149" i="14"/>
  <c r="Y17" i="25"/>
  <c r="AC17" i="25" s="1"/>
  <c r="M179" i="14"/>
  <c r="T179" i="14"/>
  <c r="I179" i="14"/>
  <c r="N178" i="14"/>
  <c r="L178" i="14"/>
  <c r="N177" i="14"/>
  <c r="N176" i="14"/>
  <c r="L176" i="14"/>
  <c r="N175" i="14"/>
  <c r="L175" i="14"/>
  <c r="N174" i="14"/>
  <c r="J174" i="14"/>
  <c r="N173" i="14"/>
  <c r="L173" i="14"/>
  <c r="N172" i="14"/>
  <c r="L172" i="14"/>
  <c r="N171" i="14"/>
  <c r="N170" i="14"/>
  <c r="J170" i="14"/>
  <c r="N169" i="14"/>
  <c r="J169" i="14"/>
  <c r="M168" i="14"/>
  <c r="K168" i="14"/>
  <c r="I168" i="14"/>
  <c r="I157" i="14"/>
  <c r="N155" i="14"/>
  <c r="N154" i="14"/>
  <c r="L154" i="14"/>
  <c r="N153" i="14"/>
  <c r="L153" i="14"/>
  <c r="N152" i="14"/>
  <c r="L152" i="14"/>
  <c r="M157" i="14"/>
  <c r="L150" i="14"/>
  <c r="N149" i="14"/>
  <c r="N148" i="14"/>
  <c r="N147" i="14"/>
  <c r="L147" i="14"/>
  <c r="Q167" i="25" l="1"/>
  <c r="Q166" i="25" s="1"/>
  <c r="L166" i="25"/>
  <c r="Q170" i="25"/>
  <c r="Q164" i="25"/>
  <c r="Q199" i="25"/>
  <c r="Q198" i="25" s="1"/>
  <c r="L198" i="25"/>
  <c r="Q196" i="25"/>
  <c r="Q202" i="25"/>
  <c r="M180" i="14"/>
  <c r="M283" i="14" s="1"/>
  <c r="I180" i="14"/>
  <c r="I283" i="14" s="1"/>
  <c r="T168" i="14"/>
  <c r="Q165" i="25"/>
  <c r="L150" i="25"/>
  <c r="L197" i="25"/>
  <c r="Q197" i="25" s="1"/>
  <c r="Y13" i="25"/>
  <c r="AC13" i="25" s="1"/>
  <c r="Y16" i="25"/>
  <c r="Y10" i="25"/>
  <c r="AC10" i="25" s="1"/>
  <c r="L174" i="14"/>
  <c r="P174" i="14"/>
  <c r="J179" i="14"/>
  <c r="L179" i="14" s="1"/>
  <c r="J168" i="14"/>
  <c r="N168" i="14"/>
  <c r="N179" i="14"/>
  <c r="L169" i="14"/>
  <c r="K185" i="25" l="1"/>
  <c r="K184" i="25" s="1"/>
  <c r="K177" i="25" s="1"/>
  <c r="P177" i="25" s="1"/>
  <c r="AC16" i="25"/>
  <c r="O185" i="25" s="1"/>
  <c r="O184" i="25" s="1"/>
  <c r="L169" i="25"/>
  <c r="Q169" i="25"/>
  <c r="L163" i="25"/>
  <c r="Q163" i="25"/>
  <c r="Q201" i="25"/>
  <c r="L201" i="25"/>
  <c r="L195" i="25"/>
  <c r="Q195" i="25"/>
  <c r="L168" i="14"/>
  <c r="Y11" i="25"/>
  <c r="AC11" i="25" s="1"/>
  <c r="Y14" i="25"/>
  <c r="AC14" i="25" s="1"/>
  <c r="Y12" i="25" l="1"/>
  <c r="AC12" i="25" s="1"/>
  <c r="Y9" i="25"/>
  <c r="AC9" i="25" s="1"/>
  <c r="F121" i="25" l="1"/>
  <c r="F123" i="25"/>
  <c r="F114" i="25" l="1"/>
  <c r="F118" i="25"/>
  <c r="F122" i="25"/>
  <c r="F116" i="25"/>
  <c r="F124" i="25"/>
  <c r="F115" i="25"/>
  <c r="F119" i="25"/>
  <c r="F125" i="25"/>
  <c r="O109" i="14"/>
  <c r="O107" i="14"/>
  <c r="O106" i="14"/>
  <c r="O105" i="14"/>
  <c r="O104" i="14"/>
  <c r="O103" i="14"/>
  <c r="O102" i="14"/>
  <c r="O101" i="14"/>
  <c r="O100" i="14"/>
  <c r="F86" i="25" l="1"/>
  <c r="F84" i="25"/>
  <c r="F85" i="25"/>
  <c r="F87" i="25"/>
  <c r="F80" i="25"/>
  <c r="F83" i="25"/>
  <c r="F81" i="25"/>
  <c r="F78" i="25"/>
  <c r="F132" i="25" l="1"/>
  <c r="F133" i="25"/>
  <c r="F134" i="25"/>
  <c r="F136" i="25"/>
  <c r="F137" i="25"/>
  <c r="F139" i="25"/>
  <c r="F140" i="25"/>
  <c r="F141" i="25"/>
  <c r="F142" i="25"/>
  <c r="F143" i="25"/>
  <c r="M132" i="25"/>
  <c r="M133" i="25"/>
  <c r="M134" i="25"/>
  <c r="M136" i="25"/>
  <c r="M137" i="25"/>
  <c r="M139" i="25"/>
  <c r="M140" i="25"/>
  <c r="M141" i="25"/>
  <c r="M142" i="25"/>
  <c r="M143" i="25"/>
  <c r="F138" i="25" l="1"/>
  <c r="M138" i="25"/>
  <c r="M135" i="25"/>
  <c r="M131" i="25"/>
  <c r="F135" i="25"/>
  <c r="F131" i="25"/>
  <c r="T23" i="14"/>
  <c r="S22" i="14"/>
  <c r="S42" i="14" s="1"/>
  <c r="S21" i="14"/>
  <c r="S41" i="14" s="1"/>
  <c r="S20" i="14"/>
  <c r="S19" i="14"/>
  <c r="S39" i="14" s="1"/>
  <c r="S18" i="14"/>
  <c r="S38" i="14" s="1"/>
  <c r="S17" i="14"/>
  <c r="S37" i="14" s="1"/>
  <c r="S16" i="14"/>
  <c r="S36" i="14" s="1"/>
  <c r="S15" i="14"/>
  <c r="S35" i="14" s="1"/>
  <c r="S14" i="14"/>
  <c r="S34" i="14" s="1"/>
  <c r="R22" i="14"/>
  <c r="R42" i="14" s="1"/>
  <c r="R21" i="14"/>
  <c r="R41" i="14" s="1"/>
  <c r="R20" i="14"/>
  <c r="R40" i="14" s="1"/>
  <c r="R19" i="14"/>
  <c r="R39" i="14" s="1"/>
  <c r="R18" i="14"/>
  <c r="R38" i="14" s="1"/>
  <c r="R17" i="14"/>
  <c r="R37" i="14" s="1"/>
  <c r="R16" i="14"/>
  <c r="R36" i="14" s="1"/>
  <c r="R15" i="14"/>
  <c r="R35" i="14" s="1"/>
  <c r="R14" i="14"/>
  <c r="R34" i="14" s="1"/>
  <c r="I149" i="25" l="1"/>
  <c r="J149" i="25"/>
  <c r="T22" i="14"/>
  <c r="T42" i="14" s="1"/>
  <c r="G162" i="25"/>
  <c r="I153" i="25"/>
  <c r="J156" i="25"/>
  <c r="J150" i="25"/>
  <c r="I156" i="25"/>
  <c r="I150" i="25"/>
  <c r="J155" i="25"/>
  <c r="J157" i="25"/>
  <c r="I157" i="25"/>
  <c r="J153" i="25"/>
  <c r="J152" i="25"/>
  <c r="F130" i="25"/>
  <c r="T20" i="14"/>
  <c r="T40" i="14" s="1"/>
  <c r="T21" i="14"/>
  <c r="T41" i="14" s="1"/>
  <c r="T15" i="14"/>
  <c r="T35" i="14" s="1"/>
  <c r="T16" i="14"/>
  <c r="T36" i="14" s="1"/>
  <c r="M130" i="25"/>
  <c r="T14" i="14"/>
  <c r="T34" i="14" s="1"/>
  <c r="T17" i="14"/>
  <c r="T37" i="14" s="1"/>
  <c r="S40" i="14"/>
  <c r="T19" i="14"/>
  <c r="T39" i="14" s="1"/>
  <c r="T18" i="14"/>
  <c r="T38" i="14" s="1"/>
  <c r="S12" i="14"/>
  <c r="R12" i="14"/>
  <c r="H162" i="25" l="1"/>
  <c r="E162" i="25"/>
  <c r="J162" i="25" s="1"/>
  <c r="T12" i="14"/>
  <c r="P92" i="14" l="1"/>
  <c r="K155" i="25" l="1"/>
  <c r="K202" i="25"/>
  <c r="F82" i="25"/>
  <c r="F79" i="25"/>
  <c r="P170" i="25" l="1"/>
  <c r="P169" i="25" s="1"/>
  <c r="K169" i="25"/>
  <c r="P202" i="25"/>
  <c r="P201" i="25" s="1"/>
  <c r="K201" i="25"/>
  <c r="F88" i="25"/>
  <c r="Q8" i="14" l="1"/>
  <c r="Q9" i="14"/>
  <c r="Q10" i="14"/>
  <c r="Q11" i="14"/>
  <c r="Q12" i="14"/>
  <c r="Q13" i="14"/>
  <c r="Q14" i="14"/>
  <c r="Q15" i="14"/>
  <c r="Q16" i="14"/>
  <c r="Q18" i="14"/>
  <c r="Q19" i="14"/>
  <c r="Q20" i="14"/>
  <c r="Q21" i="14"/>
  <c r="Q22" i="14"/>
  <c r="Q23" i="14"/>
  <c r="Q24" i="14"/>
  <c r="Q25" i="14"/>
  <c r="Q26" i="14"/>
  <c r="Q27" i="14"/>
  <c r="Q29" i="14"/>
  <c r="Q30" i="14"/>
  <c r="Q31" i="14"/>
  <c r="Q32" i="14"/>
  <c r="Q33" i="14"/>
  <c r="Q34" i="14"/>
  <c r="Q35" i="14"/>
  <c r="Q36" i="14"/>
  <c r="Q37" i="14"/>
  <c r="Q38" i="14"/>
  <c r="Q41" i="14"/>
  <c r="Q42" i="14"/>
  <c r="Q43" i="14"/>
  <c r="Q44" i="14"/>
  <c r="Q45" i="14"/>
  <c r="Q46" i="14"/>
  <c r="Q47" i="14"/>
  <c r="Q48" i="14"/>
  <c r="Q49" i="14"/>
  <c r="Q50" i="14"/>
  <c r="Q52" i="14"/>
  <c r="Q53" i="14"/>
  <c r="Q54" i="14"/>
  <c r="Q55" i="14"/>
  <c r="Q56" i="14"/>
  <c r="Q57" i="14"/>
  <c r="Q58" i="14"/>
  <c r="Q59" i="14"/>
  <c r="Q60" i="14"/>
  <c r="Q61" i="14"/>
  <c r="Q63" i="14"/>
  <c r="Q64" i="14"/>
  <c r="Q65" i="14"/>
  <c r="Q66" i="14"/>
  <c r="Q67" i="14"/>
  <c r="Q68" i="14"/>
  <c r="Q69" i="14"/>
  <c r="Q70" i="14"/>
  <c r="Q71" i="14"/>
  <c r="Q72" i="14"/>
  <c r="Q7" i="14"/>
  <c r="M107" i="25" l="1"/>
  <c r="M106" i="25"/>
  <c r="M105" i="25"/>
  <c r="M104" i="25"/>
  <c r="M102" i="25"/>
  <c r="M101" i="25"/>
  <c r="M99" i="25"/>
  <c r="M98" i="25"/>
  <c r="M97" i="25"/>
  <c r="F102" i="25" l="1"/>
  <c r="F104" i="25"/>
  <c r="F101" i="25"/>
  <c r="F105" i="25"/>
  <c r="F106" i="25"/>
  <c r="F97" i="25"/>
  <c r="F107" i="25"/>
  <c r="F99" i="25"/>
  <c r="F98" i="25"/>
  <c r="F108" i="25"/>
  <c r="D116" i="25" l="1"/>
  <c r="F117" i="25" l="1"/>
  <c r="F113" i="25" l="1"/>
  <c r="F120" i="25"/>
  <c r="F112" i="25" l="1"/>
  <c r="D143" i="25" l="1"/>
  <c r="D142" i="25"/>
  <c r="D140" i="25"/>
  <c r="D139" i="25"/>
  <c r="D136" i="25"/>
  <c r="D134" i="25"/>
  <c r="D133" i="25"/>
  <c r="D132" i="25"/>
  <c r="E143" i="25"/>
  <c r="D131" i="25" l="1"/>
  <c r="K99" i="25" l="1"/>
  <c r="G143" i="25" l="1"/>
  <c r="G142" i="25"/>
  <c r="G141" i="25"/>
  <c r="G140" i="25"/>
  <c r="G139" i="25"/>
  <c r="G137" i="25"/>
  <c r="G136" i="25"/>
  <c r="G134" i="25"/>
  <c r="G133" i="25"/>
  <c r="G132" i="25"/>
  <c r="N106" i="25"/>
  <c r="N99" i="25"/>
  <c r="N98" i="25"/>
  <c r="N97" i="25"/>
  <c r="N132" i="25" l="1"/>
  <c r="N133" i="25"/>
  <c r="N140" i="25"/>
  <c r="N134" i="25"/>
  <c r="N142" i="25"/>
  <c r="N141" i="25"/>
  <c r="N143" i="25"/>
  <c r="K133" i="25"/>
  <c r="K136" i="25"/>
  <c r="K139" i="25"/>
  <c r="K134" i="25"/>
  <c r="K140" i="25"/>
  <c r="K142" i="25"/>
  <c r="K143" i="25"/>
  <c r="K132" i="25"/>
  <c r="N137" i="25"/>
  <c r="N139" i="25"/>
  <c r="N136" i="25"/>
  <c r="L143" i="25"/>
  <c r="H140" i="25"/>
  <c r="J140" i="25"/>
  <c r="H142" i="25"/>
  <c r="J142" i="25"/>
  <c r="J143" i="25"/>
  <c r="I143" i="25"/>
  <c r="H143" i="25"/>
  <c r="G131" i="25"/>
  <c r="J132" i="25"/>
  <c r="H132" i="25"/>
  <c r="H134" i="25"/>
  <c r="J134" i="25"/>
  <c r="J133" i="25"/>
  <c r="H133" i="25"/>
  <c r="J141" i="25"/>
  <c r="G135" i="25"/>
  <c r="J137" i="25"/>
  <c r="D105" i="25"/>
  <c r="D98" i="25"/>
  <c r="D108" i="25"/>
  <c r="D97" i="25"/>
  <c r="D107" i="25"/>
  <c r="D101" i="25"/>
  <c r="D104" i="25"/>
  <c r="G106" i="25"/>
  <c r="J106" i="25" s="1"/>
  <c r="G97" i="25"/>
  <c r="J97" i="25" s="1"/>
  <c r="G107" i="25"/>
  <c r="G105" i="25"/>
  <c r="G98" i="25"/>
  <c r="J98" i="25" s="1"/>
  <c r="G108" i="25"/>
  <c r="G104" i="25"/>
  <c r="G99" i="25"/>
  <c r="G102" i="25"/>
  <c r="E108" i="25"/>
  <c r="G101" i="25"/>
  <c r="J101" i="25" s="1"/>
  <c r="R99" i="25"/>
  <c r="D99" i="25"/>
  <c r="U99" i="25"/>
  <c r="N101" i="25"/>
  <c r="U101" i="25"/>
  <c r="N102" i="25"/>
  <c r="U102" i="25"/>
  <c r="U106" i="25"/>
  <c r="U97" i="25"/>
  <c r="U98" i="25"/>
  <c r="N107" i="25"/>
  <c r="U107" i="25"/>
  <c r="U104" i="25"/>
  <c r="N105" i="25"/>
  <c r="U105" i="25"/>
  <c r="N104" i="25"/>
  <c r="D141" i="25"/>
  <c r="D138" i="25" s="1"/>
  <c r="D137" i="25"/>
  <c r="D135" i="25" s="1"/>
  <c r="K131" i="25" l="1"/>
  <c r="P143" i="25"/>
  <c r="H141" i="25"/>
  <c r="H137" i="25"/>
  <c r="D130" i="25"/>
  <c r="H105" i="25"/>
  <c r="H104" i="25"/>
  <c r="Q133" i="25"/>
  <c r="O133" i="25"/>
  <c r="Q142" i="25"/>
  <c r="O142" i="25"/>
  <c r="O140" i="25"/>
  <c r="Q140" i="25"/>
  <c r="Q134" i="25"/>
  <c r="O134" i="25"/>
  <c r="J131" i="25"/>
  <c r="H131" i="25"/>
  <c r="Q141" i="25"/>
  <c r="Q143" i="25"/>
  <c r="O143" i="25"/>
  <c r="Q132" i="25"/>
  <c r="N131" i="25"/>
  <c r="O132" i="25"/>
  <c r="O136" i="25"/>
  <c r="Q136" i="25"/>
  <c r="H136" i="25"/>
  <c r="J136" i="25"/>
  <c r="N138" i="25"/>
  <c r="Q139" i="25"/>
  <c r="O139" i="25"/>
  <c r="H139" i="25"/>
  <c r="G138" i="25"/>
  <c r="J139" i="25"/>
  <c r="H135" i="25"/>
  <c r="J135" i="25"/>
  <c r="N135" i="25"/>
  <c r="Q137" i="25"/>
  <c r="H108" i="25"/>
  <c r="I108" i="25"/>
  <c r="J108" i="25"/>
  <c r="H98" i="25"/>
  <c r="H97" i="25"/>
  <c r="G96" i="25"/>
  <c r="H101" i="25"/>
  <c r="G100" i="25"/>
  <c r="H99" i="25"/>
  <c r="K116" i="25"/>
  <c r="J104" i="25"/>
  <c r="J107" i="25"/>
  <c r="G103" i="25"/>
  <c r="H107" i="25"/>
  <c r="M124" i="25"/>
  <c r="T107" i="25"/>
  <c r="M116" i="25"/>
  <c r="T99" i="25"/>
  <c r="M119" i="25"/>
  <c r="T102" i="25"/>
  <c r="M114" i="25"/>
  <c r="T97" i="25"/>
  <c r="F96" i="25"/>
  <c r="M122" i="25"/>
  <c r="T105" i="25"/>
  <c r="M115" i="25"/>
  <c r="T98" i="25"/>
  <c r="M118" i="25"/>
  <c r="T101" i="25"/>
  <c r="F100" i="25"/>
  <c r="M123" i="25"/>
  <c r="T106" i="25"/>
  <c r="J102" i="25"/>
  <c r="M121" i="25"/>
  <c r="T104" i="25"/>
  <c r="F103" i="25"/>
  <c r="M125" i="25"/>
  <c r="J99" i="25"/>
  <c r="J105" i="25"/>
  <c r="D96" i="25"/>
  <c r="K137" i="25" l="1"/>
  <c r="D102" i="25"/>
  <c r="I152" i="25"/>
  <c r="I155" i="25"/>
  <c r="K141" i="25"/>
  <c r="D106" i="25"/>
  <c r="O131" i="25"/>
  <c r="Q131" i="25"/>
  <c r="H138" i="25"/>
  <c r="J138" i="25"/>
  <c r="Q138" i="25"/>
  <c r="G130" i="25"/>
  <c r="J130" i="25" s="1"/>
  <c r="N130" i="25"/>
  <c r="Q135" i="25"/>
  <c r="J96" i="25"/>
  <c r="G95" i="25"/>
  <c r="J100" i="25"/>
  <c r="H96" i="25"/>
  <c r="J103" i="25"/>
  <c r="M117" i="25"/>
  <c r="F95" i="25"/>
  <c r="M113" i="25"/>
  <c r="M120" i="25"/>
  <c r="H102" i="25" l="1"/>
  <c r="D100" i="25"/>
  <c r="H100" i="25" s="1"/>
  <c r="K135" i="25"/>
  <c r="O135" i="25" s="1"/>
  <c r="O137" i="25"/>
  <c r="D103" i="25"/>
  <c r="H106" i="25"/>
  <c r="K138" i="25"/>
  <c r="O141" i="25"/>
  <c r="H130" i="25"/>
  <c r="Q130" i="25"/>
  <c r="J95" i="25"/>
  <c r="M112" i="25"/>
  <c r="D162" i="25" l="1"/>
  <c r="I162" i="25" s="1"/>
  <c r="H103" i="25"/>
  <c r="D95" i="25"/>
  <c r="H95" i="25" s="1"/>
  <c r="K130" i="25"/>
  <c r="O130" i="25" s="1"/>
  <c r="O138" i="25"/>
  <c r="T103" i="25"/>
  <c r="T100" i="25"/>
  <c r="T96" i="25"/>
  <c r="T95" i="25" l="1"/>
  <c r="M96" i="25" l="1"/>
  <c r="M100" i="25"/>
  <c r="X23" i="25" l="1"/>
  <c r="W23" i="25"/>
  <c r="X22" i="25"/>
  <c r="W22" i="25"/>
  <c r="X21" i="25"/>
  <c r="W21" i="25"/>
  <c r="V20" i="25"/>
  <c r="U23" i="25"/>
  <c r="U20" i="25" s="1"/>
  <c r="Q23" i="25"/>
  <c r="Q20" i="25" s="1"/>
  <c r="M23" i="25"/>
  <c r="M20" i="25" s="1"/>
  <c r="I23" i="25"/>
  <c r="I20" i="25" s="1"/>
  <c r="E20" i="25"/>
  <c r="D20" i="25"/>
  <c r="Y22" i="25" l="1"/>
  <c r="Y23" i="25"/>
  <c r="X20" i="25"/>
  <c r="Y21" i="25"/>
  <c r="W20" i="25"/>
  <c r="Y20" i="25" l="1"/>
  <c r="Q56" i="26" l="1"/>
  <c r="P56" i="26"/>
  <c r="O56" i="26"/>
  <c r="N56" i="26"/>
  <c r="M56" i="26"/>
  <c r="L56" i="26"/>
  <c r="K56" i="26"/>
  <c r="J56" i="26"/>
  <c r="I56" i="26"/>
  <c r="H56" i="26"/>
  <c r="G56" i="26"/>
  <c r="F56" i="26"/>
  <c r="AH55" i="26"/>
  <c r="AG55" i="26"/>
  <c r="AF55" i="26"/>
  <c r="AE55" i="26"/>
  <c r="T55" i="26"/>
  <c r="U55" i="26" s="1"/>
  <c r="V55" i="26" s="1"/>
  <c r="W55" i="26" s="1"/>
  <c r="X55" i="26" s="1"/>
  <c r="Y55" i="26" s="1"/>
  <c r="Z55" i="26" s="1"/>
  <c r="AA55" i="26" s="1"/>
  <c r="AB55" i="26" s="1"/>
  <c r="AC55" i="26" s="1"/>
  <c r="R55" i="26"/>
  <c r="AH54" i="26"/>
  <c r="AG54" i="26"/>
  <c r="AF54" i="26"/>
  <c r="AE54" i="26"/>
  <c r="U54" i="26"/>
  <c r="V54" i="26" s="1"/>
  <c r="W54" i="26" s="1"/>
  <c r="X54" i="26" s="1"/>
  <c r="Y54" i="26" s="1"/>
  <c r="Z54" i="26" s="1"/>
  <c r="AA54" i="26" s="1"/>
  <c r="AB54" i="26" s="1"/>
  <c r="AC54" i="26" s="1"/>
  <c r="T54" i="26"/>
  <c r="R54" i="26"/>
  <c r="AH53" i="26"/>
  <c r="AG53" i="26"/>
  <c r="AF53" i="26"/>
  <c r="AE53" i="26"/>
  <c r="T53" i="26"/>
  <c r="U53" i="26" s="1"/>
  <c r="V53" i="26" s="1"/>
  <c r="W53" i="26" s="1"/>
  <c r="X53" i="26" s="1"/>
  <c r="Y53" i="26" s="1"/>
  <c r="Z53" i="26" s="1"/>
  <c r="AA53" i="26" s="1"/>
  <c r="AB53" i="26" s="1"/>
  <c r="AC53" i="26" s="1"/>
  <c r="R53" i="26"/>
  <c r="AH52" i="26"/>
  <c r="AG52" i="26"/>
  <c r="AF52" i="26"/>
  <c r="AE52" i="26"/>
  <c r="T52" i="26"/>
  <c r="U52" i="26" s="1"/>
  <c r="V52" i="26" s="1"/>
  <c r="W52" i="26" s="1"/>
  <c r="X52" i="26" s="1"/>
  <c r="Y52" i="26" s="1"/>
  <c r="Z52" i="26" s="1"/>
  <c r="AA52" i="26" s="1"/>
  <c r="AB52" i="26" s="1"/>
  <c r="AC52" i="26" s="1"/>
  <c r="R52" i="26"/>
  <c r="AH51" i="26"/>
  <c r="AG51" i="26"/>
  <c r="AF51" i="26"/>
  <c r="AE51" i="26"/>
  <c r="U51" i="26"/>
  <c r="V51" i="26" s="1"/>
  <c r="W51" i="26" s="1"/>
  <c r="X51" i="26" s="1"/>
  <c r="Y51" i="26" s="1"/>
  <c r="Z51" i="26" s="1"/>
  <c r="AA51" i="26" s="1"/>
  <c r="AB51" i="26" s="1"/>
  <c r="AC51" i="26" s="1"/>
  <c r="T51" i="26"/>
  <c r="R51" i="26"/>
  <c r="AH50" i="26"/>
  <c r="AG50" i="26"/>
  <c r="AF50" i="26"/>
  <c r="AE50" i="26"/>
  <c r="T50" i="26"/>
  <c r="U50" i="26" s="1"/>
  <c r="V50" i="26" s="1"/>
  <c r="W50" i="26" s="1"/>
  <c r="X50" i="26" s="1"/>
  <c r="Y50" i="26" s="1"/>
  <c r="Z50" i="26" s="1"/>
  <c r="AA50" i="26" s="1"/>
  <c r="AB50" i="26" s="1"/>
  <c r="AC50" i="26" s="1"/>
  <c r="R50" i="26"/>
  <c r="AH49" i="26"/>
  <c r="AG49" i="26"/>
  <c r="AF49" i="26"/>
  <c r="AE49" i="26"/>
  <c r="U49" i="26"/>
  <c r="V49" i="26" s="1"/>
  <c r="W49" i="26" s="1"/>
  <c r="X49" i="26" s="1"/>
  <c r="Y49" i="26" s="1"/>
  <c r="Z49" i="26" s="1"/>
  <c r="AA49" i="26" s="1"/>
  <c r="AB49" i="26" s="1"/>
  <c r="AC49" i="26" s="1"/>
  <c r="T49" i="26"/>
  <c r="R49" i="26"/>
  <c r="AH48" i="26"/>
  <c r="AG48" i="26"/>
  <c r="AF48" i="26"/>
  <c r="AE48" i="26"/>
  <c r="T48" i="26"/>
  <c r="U48" i="26" s="1"/>
  <c r="V48" i="26" s="1"/>
  <c r="W48" i="26" s="1"/>
  <c r="X48" i="26" s="1"/>
  <c r="Y48" i="26" s="1"/>
  <c r="Z48" i="26" s="1"/>
  <c r="AA48" i="26" s="1"/>
  <c r="AB48" i="26" s="1"/>
  <c r="AC48" i="26" s="1"/>
  <c r="R48" i="26"/>
  <c r="AH47" i="26"/>
  <c r="AG47" i="26"/>
  <c r="AF47" i="26"/>
  <c r="AE47" i="26"/>
  <c r="T47" i="26"/>
  <c r="U47" i="26" s="1"/>
  <c r="V47" i="26" s="1"/>
  <c r="W47" i="26" s="1"/>
  <c r="X47" i="26" s="1"/>
  <c r="Y47" i="26" s="1"/>
  <c r="Z47" i="26" s="1"/>
  <c r="AA47" i="26" s="1"/>
  <c r="AB47" i="26" s="1"/>
  <c r="AC47" i="26" s="1"/>
  <c r="R47" i="26"/>
  <c r="AH46" i="26"/>
  <c r="AG46" i="26"/>
  <c r="AF46" i="26"/>
  <c r="AE46" i="26"/>
  <c r="U46" i="26"/>
  <c r="V46" i="26" s="1"/>
  <c r="W46" i="26" s="1"/>
  <c r="X46" i="26" s="1"/>
  <c r="Y46" i="26" s="1"/>
  <c r="Z46" i="26" s="1"/>
  <c r="AA46" i="26" s="1"/>
  <c r="AB46" i="26" s="1"/>
  <c r="AC46" i="26" s="1"/>
  <c r="T46" i="26"/>
  <c r="R46" i="26"/>
  <c r="AH45" i="26"/>
  <c r="AG45" i="26"/>
  <c r="AF45" i="26"/>
  <c r="AE45" i="26"/>
  <c r="T45" i="26"/>
  <c r="U45" i="26" s="1"/>
  <c r="V45" i="26" s="1"/>
  <c r="W45" i="26" s="1"/>
  <c r="X45" i="26" s="1"/>
  <c r="Y45" i="26" s="1"/>
  <c r="Z45" i="26" s="1"/>
  <c r="AA45" i="26" s="1"/>
  <c r="AB45" i="26" s="1"/>
  <c r="AC45" i="26" s="1"/>
  <c r="R45" i="26"/>
  <c r="AH44" i="26"/>
  <c r="AG44" i="26"/>
  <c r="AF44" i="26"/>
  <c r="AE44" i="26"/>
  <c r="T44" i="26"/>
  <c r="U44" i="26" s="1"/>
  <c r="V44" i="26" s="1"/>
  <c r="W44" i="26" s="1"/>
  <c r="X44" i="26" s="1"/>
  <c r="Y44" i="26" s="1"/>
  <c r="Z44" i="26" s="1"/>
  <c r="AA44" i="26" s="1"/>
  <c r="AB44" i="26" s="1"/>
  <c r="AC44" i="26" s="1"/>
  <c r="R44" i="26"/>
  <c r="AH43" i="26"/>
  <c r="AG43" i="26"/>
  <c r="AF43" i="26"/>
  <c r="AE43" i="26"/>
  <c r="U43" i="26"/>
  <c r="V43" i="26" s="1"/>
  <c r="W43" i="26" s="1"/>
  <c r="X43" i="26" s="1"/>
  <c r="Y43" i="26" s="1"/>
  <c r="Z43" i="26" s="1"/>
  <c r="AA43" i="26" s="1"/>
  <c r="AB43" i="26" s="1"/>
  <c r="AC43" i="26" s="1"/>
  <c r="T43" i="26"/>
  <c r="R43" i="26"/>
  <c r="AH42" i="26"/>
  <c r="AG42" i="26"/>
  <c r="AF42" i="26"/>
  <c r="AE42" i="26"/>
  <c r="T42" i="26"/>
  <c r="U42" i="26" s="1"/>
  <c r="V42" i="26" s="1"/>
  <c r="W42" i="26" s="1"/>
  <c r="X42" i="26" s="1"/>
  <c r="Y42" i="26" s="1"/>
  <c r="Z42" i="26" s="1"/>
  <c r="AA42" i="26" s="1"/>
  <c r="AB42" i="26" s="1"/>
  <c r="AC42" i="26" s="1"/>
  <c r="R42" i="26"/>
  <c r="AH41" i="26"/>
  <c r="AG41" i="26"/>
  <c r="AF41" i="26"/>
  <c r="AE41" i="26"/>
  <c r="U41" i="26"/>
  <c r="V41" i="26" s="1"/>
  <c r="W41" i="26" s="1"/>
  <c r="X41" i="26" s="1"/>
  <c r="Y41" i="26" s="1"/>
  <c r="Z41" i="26" s="1"/>
  <c r="AA41" i="26" s="1"/>
  <c r="AB41" i="26" s="1"/>
  <c r="AC41" i="26" s="1"/>
  <c r="T41" i="26"/>
  <c r="R41" i="26"/>
  <c r="AH40" i="26"/>
  <c r="AG40" i="26"/>
  <c r="AF40" i="26"/>
  <c r="AE40" i="26"/>
  <c r="T40" i="26"/>
  <c r="U40" i="26" s="1"/>
  <c r="V40" i="26" s="1"/>
  <c r="W40" i="26" s="1"/>
  <c r="X40" i="26" s="1"/>
  <c r="Y40" i="26" s="1"/>
  <c r="Z40" i="26" s="1"/>
  <c r="AA40" i="26" s="1"/>
  <c r="AB40" i="26" s="1"/>
  <c r="AC40" i="26" s="1"/>
  <c r="R40" i="26"/>
  <c r="AH39" i="26"/>
  <c r="AG39" i="26"/>
  <c r="AF39" i="26"/>
  <c r="AE39" i="26"/>
  <c r="T39" i="26"/>
  <c r="U39" i="26" s="1"/>
  <c r="V39" i="26" s="1"/>
  <c r="W39" i="26" s="1"/>
  <c r="X39" i="26" s="1"/>
  <c r="Y39" i="26" s="1"/>
  <c r="Z39" i="26" s="1"/>
  <c r="AA39" i="26" s="1"/>
  <c r="AB39" i="26" s="1"/>
  <c r="AC39" i="26" s="1"/>
  <c r="R39" i="26"/>
  <c r="AH38" i="26"/>
  <c r="AG38" i="26"/>
  <c r="AF38" i="26"/>
  <c r="AE38" i="26"/>
  <c r="U38" i="26"/>
  <c r="V38" i="26" s="1"/>
  <c r="W38" i="26" s="1"/>
  <c r="X38" i="26" s="1"/>
  <c r="Y38" i="26" s="1"/>
  <c r="Z38" i="26" s="1"/>
  <c r="AA38" i="26" s="1"/>
  <c r="AB38" i="26" s="1"/>
  <c r="AC38" i="26" s="1"/>
  <c r="T38" i="26"/>
  <c r="R38" i="26"/>
  <c r="AH37" i="26"/>
  <c r="AG37" i="26"/>
  <c r="AF37" i="26"/>
  <c r="AE37" i="26"/>
  <c r="T37" i="26"/>
  <c r="U37" i="26" s="1"/>
  <c r="V37" i="26" s="1"/>
  <c r="W37" i="26" s="1"/>
  <c r="X37" i="26" s="1"/>
  <c r="Y37" i="26" s="1"/>
  <c r="Z37" i="26" s="1"/>
  <c r="AA37" i="26" s="1"/>
  <c r="AB37" i="26" s="1"/>
  <c r="AC37" i="26" s="1"/>
  <c r="R37" i="26"/>
  <c r="AH36" i="26"/>
  <c r="AG36" i="26"/>
  <c r="AF36" i="26"/>
  <c r="AE36" i="26"/>
  <c r="V36" i="26"/>
  <c r="W36" i="26" s="1"/>
  <c r="X36" i="26" s="1"/>
  <c r="Y36" i="26" s="1"/>
  <c r="Z36" i="26" s="1"/>
  <c r="AA36" i="26" s="1"/>
  <c r="AB36" i="26" s="1"/>
  <c r="AC36" i="26" s="1"/>
  <c r="T36" i="26"/>
  <c r="U36" i="26" s="1"/>
  <c r="R36" i="26"/>
  <c r="AH35" i="26"/>
  <c r="AG35" i="26"/>
  <c r="AF35" i="26"/>
  <c r="AE35" i="26"/>
  <c r="U35" i="26"/>
  <c r="V35" i="26" s="1"/>
  <c r="W35" i="26" s="1"/>
  <c r="X35" i="26" s="1"/>
  <c r="Y35" i="26" s="1"/>
  <c r="Z35" i="26" s="1"/>
  <c r="AA35" i="26" s="1"/>
  <c r="AB35" i="26" s="1"/>
  <c r="AC35" i="26" s="1"/>
  <c r="T35" i="26"/>
  <c r="R35" i="26"/>
  <c r="AH34" i="26"/>
  <c r="AG34" i="26"/>
  <c r="AF34" i="26"/>
  <c r="AE34" i="26"/>
  <c r="T34" i="26"/>
  <c r="U34" i="26" s="1"/>
  <c r="V34" i="26" s="1"/>
  <c r="W34" i="26" s="1"/>
  <c r="X34" i="26" s="1"/>
  <c r="Y34" i="26" s="1"/>
  <c r="Z34" i="26" s="1"/>
  <c r="AA34" i="26" s="1"/>
  <c r="AB34" i="26" s="1"/>
  <c r="AC34" i="26" s="1"/>
  <c r="R34" i="26"/>
  <c r="AH33" i="26"/>
  <c r="AG33" i="26"/>
  <c r="AF33" i="26"/>
  <c r="AE33" i="26"/>
  <c r="U33" i="26"/>
  <c r="V33" i="26" s="1"/>
  <c r="W33" i="26" s="1"/>
  <c r="X33" i="26" s="1"/>
  <c r="Y33" i="26" s="1"/>
  <c r="Z33" i="26" s="1"/>
  <c r="AA33" i="26" s="1"/>
  <c r="AB33" i="26" s="1"/>
  <c r="AC33" i="26" s="1"/>
  <c r="T33" i="26"/>
  <c r="R33" i="26"/>
  <c r="AH32" i="26"/>
  <c r="AG32" i="26"/>
  <c r="AF32" i="26"/>
  <c r="AE32" i="26"/>
  <c r="T32" i="26"/>
  <c r="U32" i="26" s="1"/>
  <c r="V32" i="26" s="1"/>
  <c r="W32" i="26" s="1"/>
  <c r="X32" i="26" s="1"/>
  <c r="Y32" i="26" s="1"/>
  <c r="Z32" i="26" s="1"/>
  <c r="AA32" i="26" s="1"/>
  <c r="AB32" i="26" s="1"/>
  <c r="AC32" i="26" s="1"/>
  <c r="R32" i="26"/>
  <c r="AH31" i="26"/>
  <c r="AG31" i="26"/>
  <c r="AF31" i="26"/>
  <c r="AE31" i="26"/>
  <c r="Y31" i="26"/>
  <c r="Z31" i="26" s="1"/>
  <c r="AA31" i="26" s="1"/>
  <c r="AB31" i="26" s="1"/>
  <c r="AC31" i="26" s="1"/>
  <c r="T31" i="26"/>
  <c r="U31" i="26" s="1"/>
  <c r="V31" i="26" s="1"/>
  <c r="W31" i="26" s="1"/>
  <c r="X31" i="26" s="1"/>
  <c r="R31" i="26"/>
  <c r="AH30" i="26"/>
  <c r="AG30" i="26"/>
  <c r="AF30" i="26"/>
  <c r="AE30" i="26"/>
  <c r="U30" i="26"/>
  <c r="V30" i="26" s="1"/>
  <c r="W30" i="26" s="1"/>
  <c r="X30" i="26" s="1"/>
  <c r="Y30" i="26" s="1"/>
  <c r="Z30" i="26" s="1"/>
  <c r="AA30" i="26" s="1"/>
  <c r="AB30" i="26" s="1"/>
  <c r="AC30" i="26" s="1"/>
  <c r="T30" i="26"/>
  <c r="R30" i="26"/>
  <c r="AH29" i="26"/>
  <c r="AG29" i="26"/>
  <c r="AF29" i="26"/>
  <c r="AE29" i="26"/>
  <c r="T29" i="26"/>
  <c r="U29" i="26" s="1"/>
  <c r="V29" i="26" s="1"/>
  <c r="W29" i="26" s="1"/>
  <c r="X29" i="26" s="1"/>
  <c r="Y29" i="26" s="1"/>
  <c r="Z29" i="26" s="1"/>
  <c r="AA29" i="26" s="1"/>
  <c r="AB29" i="26" s="1"/>
  <c r="AC29" i="26" s="1"/>
  <c r="R29" i="26"/>
  <c r="AH28" i="26"/>
  <c r="AG28" i="26"/>
  <c r="AF28" i="26"/>
  <c r="AE28" i="26"/>
  <c r="V28" i="26"/>
  <c r="W28" i="26" s="1"/>
  <c r="X28" i="26" s="1"/>
  <c r="Y28" i="26" s="1"/>
  <c r="Z28" i="26" s="1"/>
  <c r="AA28" i="26" s="1"/>
  <c r="AB28" i="26" s="1"/>
  <c r="AC28" i="26" s="1"/>
  <c r="T28" i="26"/>
  <c r="U28" i="26" s="1"/>
  <c r="R28" i="26"/>
  <c r="AH27" i="26"/>
  <c r="AG27" i="26"/>
  <c r="AF27" i="26"/>
  <c r="AE27" i="26"/>
  <c r="U27" i="26"/>
  <c r="V27" i="26" s="1"/>
  <c r="W27" i="26" s="1"/>
  <c r="X27" i="26" s="1"/>
  <c r="Y27" i="26" s="1"/>
  <c r="Z27" i="26" s="1"/>
  <c r="AA27" i="26" s="1"/>
  <c r="AB27" i="26" s="1"/>
  <c r="AC27" i="26" s="1"/>
  <c r="T27" i="26"/>
  <c r="R27" i="26"/>
  <c r="AH26" i="26"/>
  <c r="AG26" i="26"/>
  <c r="AF26" i="26"/>
  <c r="AE26" i="26"/>
  <c r="T26" i="26"/>
  <c r="U26" i="26" s="1"/>
  <c r="V26" i="26" s="1"/>
  <c r="W26" i="26" s="1"/>
  <c r="X26" i="26" s="1"/>
  <c r="Y26" i="26" s="1"/>
  <c r="Z26" i="26" s="1"/>
  <c r="AA26" i="26" s="1"/>
  <c r="AB26" i="26" s="1"/>
  <c r="AC26" i="26" s="1"/>
  <c r="R26" i="26"/>
  <c r="AH25" i="26"/>
  <c r="AG25" i="26"/>
  <c r="AF25" i="26"/>
  <c r="AE25" i="26"/>
  <c r="AA25" i="26"/>
  <c r="AB25" i="26" s="1"/>
  <c r="AC25" i="26" s="1"/>
  <c r="U25" i="26"/>
  <c r="V25" i="26" s="1"/>
  <c r="W25" i="26" s="1"/>
  <c r="X25" i="26" s="1"/>
  <c r="Y25" i="26" s="1"/>
  <c r="Z25" i="26" s="1"/>
  <c r="T25" i="26"/>
  <c r="R25" i="26"/>
  <c r="AH24" i="26"/>
  <c r="AG24" i="26"/>
  <c r="AF24" i="26"/>
  <c r="AE24" i="26"/>
  <c r="Z24" i="26"/>
  <c r="AA24" i="26" s="1"/>
  <c r="AB24" i="26" s="1"/>
  <c r="AC24" i="26" s="1"/>
  <c r="T24" i="26"/>
  <c r="U24" i="26" s="1"/>
  <c r="V24" i="26" s="1"/>
  <c r="W24" i="26" s="1"/>
  <c r="X24" i="26" s="1"/>
  <c r="Y24" i="26" s="1"/>
  <c r="R24" i="26"/>
  <c r="AH23" i="26"/>
  <c r="AG23" i="26"/>
  <c r="AF23" i="26"/>
  <c r="AE23" i="26"/>
  <c r="T23" i="26"/>
  <c r="U23" i="26" s="1"/>
  <c r="V23" i="26" s="1"/>
  <c r="W23" i="26" s="1"/>
  <c r="X23" i="26" s="1"/>
  <c r="Y23" i="26" s="1"/>
  <c r="Z23" i="26" s="1"/>
  <c r="AA23" i="26" s="1"/>
  <c r="AB23" i="26" s="1"/>
  <c r="AC23" i="26" s="1"/>
  <c r="R23" i="26"/>
  <c r="AH22" i="26"/>
  <c r="AG22" i="26"/>
  <c r="AF22" i="26"/>
  <c r="AE22" i="26"/>
  <c r="U22" i="26"/>
  <c r="V22" i="26" s="1"/>
  <c r="W22" i="26" s="1"/>
  <c r="X22" i="26" s="1"/>
  <c r="Y22" i="26" s="1"/>
  <c r="Z22" i="26" s="1"/>
  <c r="AA22" i="26" s="1"/>
  <c r="AB22" i="26" s="1"/>
  <c r="AC22" i="26" s="1"/>
  <c r="T22" i="26"/>
  <c r="R22" i="26"/>
  <c r="AH21" i="26"/>
  <c r="AG21" i="26"/>
  <c r="AF21" i="26"/>
  <c r="AE21" i="26"/>
  <c r="T21" i="26"/>
  <c r="U21" i="26" s="1"/>
  <c r="V21" i="26" s="1"/>
  <c r="W21" i="26" s="1"/>
  <c r="X21" i="26" s="1"/>
  <c r="Y21" i="26" s="1"/>
  <c r="Z21" i="26" s="1"/>
  <c r="AA21" i="26" s="1"/>
  <c r="AB21" i="26" s="1"/>
  <c r="AC21" i="26" s="1"/>
  <c r="R21" i="26"/>
  <c r="AH20" i="26"/>
  <c r="AG20" i="26"/>
  <c r="AF20" i="26"/>
  <c r="AE20" i="26"/>
  <c r="T20" i="26"/>
  <c r="U20" i="26" s="1"/>
  <c r="V20" i="26" s="1"/>
  <c r="W20" i="26" s="1"/>
  <c r="X20" i="26" s="1"/>
  <c r="Y20" i="26" s="1"/>
  <c r="Z20" i="26" s="1"/>
  <c r="AA20" i="26" s="1"/>
  <c r="AB20" i="26" s="1"/>
  <c r="AC20" i="26" s="1"/>
  <c r="R20" i="26"/>
  <c r="AH19" i="26"/>
  <c r="AG19" i="26"/>
  <c r="AF19" i="26"/>
  <c r="AE19" i="26"/>
  <c r="U19" i="26"/>
  <c r="V19" i="26" s="1"/>
  <c r="W19" i="26" s="1"/>
  <c r="X19" i="26" s="1"/>
  <c r="Y19" i="26" s="1"/>
  <c r="Z19" i="26" s="1"/>
  <c r="AA19" i="26" s="1"/>
  <c r="AB19" i="26" s="1"/>
  <c r="AC19" i="26" s="1"/>
  <c r="T19" i="26"/>
  <c r="R19" i="26"/>
  <c r="AH18" i="26"/>
  <c r="AG18" i="26"/>
  <c r="AF18" i="26"/>
  <c r="AE18" i="26"/>
  <c r="T18" i="26"/>
  <c r="U18" i="26" s="1"/>
  <c r="V18" i="26" s="1"/>
  <c r="W18" i="26" s="1"/>
  <c r="X18" i="26" s="1"/>
  <c r="Y18" i="26" s="1"/>
  <c r="Z18" i="26" s="1"/>
  <c r="AA18" i="26" s="1"/>
  <c r="AB18" i="26" s="1"/>
  <c r="AC18" i="26" s="1"/>
  <c r="R18" i="26"/>
  <c r="AH17" i="26"/>
  <c r="AG17" i="26"/>
  <c r="AF17" i="26"/>
  <c r="AE17" i="26"/>
  <c r="U17" i="26"/>
  <c r="V17" i="26" s="1"/>
  <c r="W17" i="26" s="1"/>
  <c r="X17" i="26" s="1"/>
  <c r="Y17" i="26" s="1"/>
  <c r="Z17" i="26" s="1"/>
  <c r="AA17" i="26" s="1"/>
  <c r="AB17" i="26" s="1"/>
  <c r="AC17" i="26" s="1"/>
  <c r="T17" i="26"/>
  <c r="R17" i="26"/>
  <c r="AH16" i="26"/>
  <c r="AG16" i="26"/>
  <c r="AF16" i="26"/>
  <c r="AE16" i="26"/>
  <c r="W16" i="26"/>
  <c r="X16" i="26" s="1"/>
  <c r="Y16" i="26" s="1"/>
  <c r="Z16" i="26" s="1"/>
  <c r="AA16" i="26" s="1"/>
  <c r="AB16" i="26" s="1"/>
  <c r="AC16" i="26" s="1"/>
  <c r="T16" i="26"/>
  <c r="U16" i="26" s="1"/>
  <c r="V16" i="26" s="1"/>
  <c r="R16" i="26"/>
  <c r="AH15" i="26"/>
  <c r="AG15" i="26"/>
  <c r="AF15" i="26"/>
  <c r="AE15" i="26"/>
  <c r="Y15" i="26"/>
  <c r="Z15" i="26" s="1"/>
  <c r="AA15" i="26" s="1"/>
  <c r="AB15" i="26" s="1"/>
  <c r="AC15" i="26" s="1"/>
  <c r="V15" i="26"/>
  <c r="W15" i="26" s="1"/>
  <c r="X15" i="26" s="1"/>
  <c r="U15" i="26"/>
  <c r="T15" i="26"/>
  <c r="R15" i="26"/>
  <c r="AH14" i="26"/>
  <c r="AG14" i="26"/>
  <c r="AF14" i="26"/>
  <c r="AE14" i="26"/>
  <c r="U14" i="26"/>
  <c r="V14" i="26" s="1"/>
  <c r="W14" i="26" s="1"/>
  <c r="X14" i="26" s="1"/>
  <c r="Y14" i="26" s="1"/>
  <c r="Z14" i="26" s="1"/>
  <c r="AA14" i="26" s="1"/>
  <c r="AB14" i="26" s="1"/>
  <c r="AC14" i="26" s="1"/>
  <c r="T14" i="26"/>
  <c r="R14" i="26"/>
  <c r="AH13" i="26"/>
  <c r="AG13" i="26"/>
  <c r="AF13" i="26"/>
  <c r="AE13" i="26"/>
  <c r="T13" i="26"/>
  <c r="U13" i="26" s="1"/>
  <c r="V13" i="26" s="1"/>
  <c r="W13" i="26" s="1"/>
  <c r="X13" i="26" s="1"/>
  <c r="Y13" i="26" s="1"/>
  <c r="Z13" i="26" s="1"/>
  <c r="AA13" i="26" s="1"/>
  <c r="AB13" i="26" s="1"/>
  <c r="AC13" i="26" s="1"/>
  <c r="R13" i="26"/>
  <c r="AH12" i="26"/>
  <c r="AG12" i="26"/>
  <c r="AF12" i="26"/>
  <c r="AE12" i="26"/>
  <c r="T12" i="26"/>
  <c r="U12" i="26" s="1"/>
  <c r="V12" i="26" s="1"/>
  <c r="W12" i="26" s="1"/>
  <c r="X12" i="26" s="1"/>
  <c r="Y12" i="26" s="1"/>
  <c r="Z12" i="26" s="1"/>
  <c r="AA12" i="26" s="1"/>
  <c r="AB12" i="26" s="1"/>
  <c r="AC12" i="26" s="1"/>
  <c r="R12" i="26"/>
  <c r="AH11" i="26"/>
  <c r="AG11" i="26"/>
  <c r="AF11" i="26"/>
  <c r="AE11" i="26"/>
  <c r="U11" i="26"/>
  <c r="V11" i="26" s="1"/>
  <c r="W11" i="26" s="1"/>
  <c r="X11" i="26" s="1"/>
  <c r="Y11" i="26" s="1"/>
  <c r="Z11" i="26" s="1"/>
  <c r="AA11" i="26" s="1"/>
  <c r="AB11" i="26" s="1"/>
  <c r="AC11" i="26" s="1"/>
  <c r="T11" i="26"/>
  <c r="R11" i="26"/>
  <c r="AH10" i="26"/>
  <c r="AG10" i="26"/>
  <c r="AF10" i="26"/>
  <c r="AE10" i="26"/>
  <c r="T10" i="26"/>
  <c r="U10" i="26" s="1"/>
  <c r="V10" i="26" s="1"/>
  <c r="W10" i="26" s="1"/>
  <c r="X10" i="26" s="1"/>
  <c r="Y10" i="26" s="1"/>
  <c r="Z10" i="26" s="1"/>
  <c r="AA10" i="26" s="1"/>
  <c r="AB10" i="26" s="1"/>
  <c r="AC10" i="26" s="1"/>
  <c r="R10" i="26"/>
  <c r="AH9" i="26"/>
  <c r="AG9" i="26"/>
  <c r="AF9" i="26"/>
  <c r="AE9" i="26"/>
  <c r="X9" i="26"/>
  <c r="Y9" i="26" s="1"/>
  <c r="Z9" i="26" s="1"/>
  <c r="AA9" i="26" s="1"/>
  <c r="AB9" i="26" s="1"/>
  <c r="AC9" i="26" s="1"/>
  <c r="U9" i="26"/>
  <c r="V9" i="26" s="1"/>
  <c r="W9" i="26" s="1"/>
  <c r="T9" i="26"/>
  <c r="R9" i="26"/>
  <c r="AH8" i="26"/>
  <c r="AG8" i="26"/>
  <c r="AF8" i="26"/>
  <c r="AE8" i="26"/>
  <c r="W8" i="26"/>
  <c r="X8" i="26" s="1"/>
  <c r="Y8" i="26" s="1"/>
  <c r="Z8" i="26" s="1"/>
  <c r="AA8" i="26" s="1"/>
  <c r="AB8" i="26" s="1"/>
  <c r="AC8" i="26" s="1"/>
  <c r="T8" i="26"/>
  <c r="U8" i="26" s="1"/>
  <c r="V8" i="26" s="1"/>
  <c r="R8" i="26"/>
  <c r="AH7" i="26"/>
  <c r="AG7" i="26"/>
  <c r="AF7" i="26"/>
  <c r="AE7" i="26"/>
  <c r="Y7" i="26"/>
  <c r="Z7" i="26" s="1"/>
  <c r="AA7" i="26" s="1"/>
  <c r="AB7" i="26" s="1"/>
  <c r="AC7" i="26" s="1"/>
  <c r="V7" i="26"/>
  <c r="W7" i="26" s="1"/>
  <c r="X7" i="26" s="1"/>
  <c r="U7" i="26"/>
  <c r="T7" i="26"/>
  <c r="R7" i="26"/>
  <c r="R56" i="26" s="1"/>
  <c r="AH6" i="26"/>
  <c r="AG6" i="26"/>
  <c r="AF6" i="26"/>
  <c r="AE6" i="26"/>
  <c r="U6" i="26"/>
  <c r="V6" i="26" s="1"/>
  <c r="W6" i="26" s="1"/>
  <c r="X6" i="26" s="1"/>
  <c r="Y6" i="26" s="1"/>
  <c r="Z6" i="26" s="1"/>
  <c r="AA6" i="26" s="1"/>
  <c r="AB6" i="26" s="1"/>
  <c r="AC6" i="26" s="1"/>
  <c r="T6" i="26"/>
  <c r="R6" i="26"/>
  <c r="AH5" i="26"/>
  <c r="AG5" i="26"/>
  <c r="AF5" i="26"/>
  <c r="AE5" i="26"/>
  <c r="T5" i="26"/>
  <c r="R5" i="26"/>
  <c r="AF56" i="26" l="1"/>
  <c r="AF57" i="26" s="1"/>
  <c r="AH56" i="26"/>
  <c r="AH57" i="26" s="1"/>
  <c r="T56" i="26"/>
  <c r="T57" i="26" s="1"/>
  <c r="U5" i="26"/>
  <c r="AG56" i="26"/>
  <c r="AG57" i="26" s="1"/>
  <c r="AE56" i="26"/>
  <c r="AE57" i="26" s="1"/>
  <c r="U56" i="26" l="1"/>
  <c r="U57" i="26" s="1"/>
  <c r="V5" i="26"/>
  <c r="V56" i="26" l="1"/>
  <c r="V57" i="26" s="1"/>
  <c r="W5" i="26"/>
  <c r="W56" i="26" l="1"/>
  <c r="W57" i="26" s="1"/>
  <c r="X5" i="26"/>
  <c r="X56" i="26" l="1"/>
  <c r="X57" i="26" s="1"/>
  <c r="Y5" i="26"/>
  <c r="Y56" i="26" l="1"/>
  <c r="Y57" i="26" s="1"/>
  <c r="Z5" i="26"/>
  <c r="Z56" i="26" l="1"/>
  <c r="Z57" i="26" s="1"/>
  <c r="AA5" i="26"/>
  <c r="AA56" i="26" l="1"/>
  <c r="AA57" i="26" s="1"/>
  <c r="AB5" i="26"/>
  <c r="AB56" i="26" l="1"/>
  <c r="AB57" i="26" s="1"/>
  <c r="AC5" i="26"/>
  <c r="AC56" i="26" s="1"/>
  <c r="AC57" i="26" s="1"/>
  <c r="K102" i="25" l="1"/>
  <c r="R102" i="25"/>
  <c r="K107" i="25"/>
  <c r="R107" i="25"/>
  <c r="K106" i="25"/>
  <c r="R106" i="25"/>
  <c r="K97" i="25"/>
  <c r="R97" i="25"/>
  <c r="V97" i="25" s="1"/>
  <c r="K98" i="25"/>
  <c r="R98" i="25"/>
  <c r="V98" i="25" s="1"/>
  <c r="K108" i="25"/>
  <c r="R108" i="25"/>
  <c r="K101" i="25"/>
  <c r="R101" i="25"/>
  <c r="R100" i="25" s="1"/>
  <c r="K104" i="25"/>
  <c r="R104" i="25"/>
  <c r="K105" i="25"/>
  <c r="R105" i="25"/>
  <c r="L108" i="25"/>
  <c r="S108" i="25"/>
  <c r="X97" i="25"/>
  <c r="X98" i="25"/>
  <c r="U96" i="25"/>
  <c r="X99" i="25"/>
  <c r="V99" i="25"/>
  <c r="M19" i="25"/>
  <c r="G148" i="25" l="1"/>
  <c r="H148" i="25" s="1"/>
  <c r="N148" i="25"/>
  <c r="O148" i="25" s="1"/>
  <c r="R103" i="25"/>
  <c r="R96" i="25"/>
  <c r="V96" i="25" s="1"/>
  <c r="U103" i="25"/>
  <c r="X104" i="25"/>
  <c r="V104" i="25"/>
  <c r="V105" i="25"/>
  <c r="X105" i="25"/>
  <c r="X107" i="25"/>
  <c r="V107" i="25"/>
  <c r="V101" i="25"/>
  <c r="X101" i="25"/>
  <c r="X106" i="25"/>
  <c r="V106" i="25"/>
  <c r="X96" i="25"/>
  <c r="U100" i="25"/>
  <c r="V102" i="25"/>
  <c r="X102" i="25"/>
  <c r="O104" i="25"/>
  <c r="Q104" i="25"/>
  <c r="Q106" i="25"/>
  <c r="O106" i="25"/>
  <c r="Q99" i="25"/>
  <c r="O99" i="25"/>
  <c r="Q102" i="25"/>
  <c r="O102" i="25"/>
  <c r="Q98" i="25"/>
  <c r="O98" i="25"/>
  <c r="O105" i="25"/>
  <c r="Q105" i="25"/>
  <c r="Q97" i="25"/>
  <c r="Q101" i="25"/>
  <c r="O101" i="25"/>
  <c r="Q107" i="25"/>
  <c r="O107" i="25"/>
  <c r="Q19" i="25"/>
  <c r="D199" i="25"/>
  <c r="D197" i="25"/>
  <c r="D203" i="25"/>
  <c r="D202" i="25"/>
  <c r="D200" i="25"/>
  <c r="K100" i="25"/>
  <c r="D205" i="25"/>
  <c r="D198" i="25" l="1"/>
  <c r="D195" i="25"/>
  <c r="G151" i="25"/>
  <c r="H151" i="25" s="1"/>
  <c r="N151" i="25"/>
  <c r="O151" i="25" s="1"/>
  <c r="D154" i="25"/>
  <c r="D151" i="25"/>
  <c r="K151" i="25"/>
  <c r="G154" i="25"/>
  <c r="H154" i="25" s="1"/>
  <c r="D148" i="25"/>
  <c r="I148" i="25" s="1"/>
  <c r="K148" i="25"/>
  <c r="D204" i="25"/>
  <c r="D201" i="25" s="1"/>
  <c r="E50" i="25"/>
  <c r="G197" i="25"/>
  <c r="G195" i="25" s="1"/>
  <c r="H195" i="25" s="1"/>
  <c r="G202" i="25"/>
  <c r="H202" i="25" s="1"/>
  <c r="G203" i="25"/>
  <c r="H203" i="25" s="1"/>
  <c r="G204" i="25"/>
  <c r="H204" i="25" s="1"/>
  <c r="G199" i="25"/>
  <c r="H199" i="25" s="1"/>
  <c r="G200" i="25"/>
  <c r="H200" i="25" s="1"/>
  <c r="D114" i="25"/>
  <c r="K114" i="25" s="1"/>
  <c r="D124" i="25"/>
  <c r="K124" i="25" s="1"/>
  <c r="D125" i="25"/>
  <c r="K125" i="25" s="1"/>
  <c r="D122" i="25"/>
  <c r="K122" i="25" s="1"/>
  <c r="D121" i="25"/>
  <c r="K121" i="25" s="1"/>
  <c r="D115" i="25"/>
  <c r="K115" i="25" s="1"/>
  <c r="D118" i="25"/>
  <c r="K118" i="25" s="1"/>
  <c r="G119" i="25"/>
  <c r="N119" i="25" s="1"/>
  <c r="G116" i="25"/>
  <c r="H116" i="25" s="1"/>
  <c r="G114" i="25"/>
  <c r="G115" i="25"/>
  <c r="J115" i="25" s="1"/>
  <c r="D119" i="25"/>
  <c r="K119" i="25" s="1"/>
  <c r="D123" i="25"/>
  <c r="K123" i="25" s="1"/>
  <c r="E125" i="25"/>
  <c r="L125" i="25" s="1"/>
  <c r="G121" i="25"/>
  <c r="G122" i="25"/>
  <c r="G118" i="25"/>
  <c r="G123" i="25"/>
  <c r="G124" i="25"/>
  <c r="R95" i="25"/>
  <c r="V103" i="25"/>
  <c r="X103" i="25"/>
  <c r="U95" i="25"/>
  <c r="V100" i="25"/>
  <c r="X100" i="25"/>
  <c r="K96" i="25"/>
  <c r="N96" i="25"/>
  <c r="J8" i="25"/>
  <c r="N8" i="25"/>
  <c r="N100" i="25"/>
  <c r="O97" i="25"/>
  <c r="P8" i="25"/>
  <c r="K103" i="25"/>
  <c r="L8" i="25"/>
  <c r="G198" i="25" l="1"/>
  <c r="H198" i="25" s="1"/>
  <c r="V8" i="25"/>
  <c r="Z8" i="25" s="1"/>
  <c r="K154" i="25"/>
  <c r="I151" i="25"/>
  <c r="G147" i="25"/>
  <c r="H147" i="25" s="1"/>
  <c r="D147" i="25"/>
  <c r="H197" i="25"/>
  <c r="I197" i="25"/>
  <c r="I202" i="25"/>
  <c r="I203" i="25"/>
  <c r="I204" i="25"/>
  <c r="I200" i="25"/>
  <c r="I196" i="25"/>
  <c r="I199" i="25"/>
  <c r="G117" i="25"/>
  <c r="J117" i="25" s="1"/>
  <c r="H83" i="25"/>
  <c r="J83" i="25" s="1"/>
  <c r="L83" i="25" s="1"/>
  <c r="H81" i="25"/>
  <c r="J81" i="25" s="1"/>
  <c r="L81" i="25" s="1"/>
  <c r="H80" i="25"/>
  <c r="H85" i="25"/>
  <c r="J85" i="25" s="1"/>
  <c r="L85" i="25" s="1"/>
  <c r="H87" i="25"/>
  <c r="J87" i="25" s="1"/>
  <c r="L87" i="25" s="1"/>
  <c r="H84" i="25"/>
  <c r="J84" i="25" s="1"/>
  <c r="L84" i="25" s="1"/>
  <c r="H86" i="25"/>
  <c r="J86" i="25" s="1"/>
  <c r="L86" i="25" s="1"/>
  <c r="N115" i="25"/>
  <c r="Q115" i="25" s="1"/>
  <c r="K117" i="25"/>
  <c r="D117" i="25"/>
  <c r="D120" i="25"/>
  <c r="H115" i="25"/>
  <c r="D113" i="25"/>
  <c r="G113" i="25"/>
  <c r="N116" i="25"/>
  <c r="O116" i="25" s="1"/>
  <c r="K113" i="25"/>
  <c r="J116" i="25"/>
  <c r="H119" i="25"/>
  <c r="J114" i="25"/>
  <c r="J119" i="25"/>
  <c r="P156" i="25"/>
  <c r="N114" i="25"/>
  <c r="Q114" i="25" s="1"/>
  <c r="P157" i="25"/>
  <c r="P153" i="25"/>
  <c r="H114" i="25"/>
  <c r="P150" i="25"/>
  <c r="P149" i="25"/>
  <c r="H78" i="25"/>
  <c r="J78" i="25" s="1"/>
  <c r="L78" i="25" s="1"/>
  <c r="K120" i="25"/>
  <c r="P152" i="25"/>
  <c r="P155" i="25"/>
  <c r="J121" i="25"/>
  <c r="N121" i="25"/>
  <c r="H121" i="25"/>
  <c r="H122" i="25"/>
  <c r="J122" i="25"/>
  <c r="N122" i="25"/>
  <c r="H118" i="25"/>
  <c r="J118" i="25"/>
  <c r="N118" i="25"/>
  <c r="O119" i="25"/>
  <c r="Q119" i="25"/>
  <c r="H123" i="25"/>
  <c r="J123" i="25"/>
  <c r="N123" i="25"/>
  <c r="H124" i="25"/>
  <c r="J124" i="25"/>
  <c r="N124" i="25"/>
  <c r="V95" i="25"/>
  <c r="X95" i="25"/>
  <c r="O96" i="25"/>
  <c r="Q96" i="25"/>
  <c r="O100" i="25"/>
  <c r="Q100" i="25"/>
  <c r="K95" i="25"/>
  <c r="D194" i="25" l="1"/>
  <c r="K147" i="25"/>
  <c r="I195" i="25"/>
  <c r="I198" i="25"/>
  <c r="K162" i="25"/>
  <c r="H117" i="25"/>
  <c r="D112" i="25"/>
  <c r="H82" i="25"/>
  <c r="J80" i="25"/>
  <c r="L80" i="25" s="1"/>
  <c r="H79" i="25"/>
  <c r="O115" i="25"/>
  <c r="H113" i="25"/>
  <c r="J113" i="25"/>
  <c r="Q116" i="25"/>
  <c r="N113" i="25"/>
  <c r="Q113" i="25" s="1"/>
  <c r="K112" i="25"/>
  <c r="P151" i="25"/>
  <c r="O114" i="25"/>
  <c r="P148" i="25"/>
  <c r="N194" i="25"/>
  <c r="K194" i="25"/>
  <c r="J82" i="25"/>
  <c r="O121" i="25"/>
  <c r="Q121" i="25"/>
  <c r="O122" i="25"/>
  <c r="Q122" i="25"/>
  <c r="O118" i="25"/>
  <c r="Q118" i="25"/>
  <c r="N117" i="25"/>
  <c r="Q117" i="25" s="1"/>
  <c r="O123" i="25"/>
  <c r="Q123" i="25"/>
  <c r="N120" i="25"/>
  <c r="O124" i="25"/>
  <c r="Q124" i="25"/>
  <c r="P194" i="25" l="1"/>
  <c r="O194" i="25"/>
  <c r="L82" i="25"/>
  <c r="H88" i="25"/>
  <c r="J79" i="25"/>
  <c r="L79" i="25" s="1"/>
  <c r="O113" i="25"/>
  <c r="N112" i="25"/>
  <c r="Q112" i="25" s="1"/>
  <c r="O117" i="25"/>
  <c r="O120" i="25"/>
  <c r="Q120" i="25"/>
  <c r="J88" i="25" l="1"/>
  <c r="L88" i="25" s="1"/>
  <c r="O112" i="25"/>
  <c r="R11" i="14" l="1"/>
  <c r="E142" i="25"/>
  <c r="E141" i="25"/>
  <c r="E140" i="25"/>
  <c r="E139" i="25"/>
  <c r="E137" i="25"/>
  <c r="E136" i="25"/>
  <c r="E132" i="25"/>
  <c r="Q73" i="14"/>
  <c r="Q62" i="14"/>
  <c r="Q51" i="14"/>
  <c r="Q28" i="14"/>
  <c r="Q39" i="14" l="1"/>
  <c r="R20" i="25"/>
  <c r="E133" i="25"/>
  <c r="I133" i="25" s="1"/>
  <c r="E134" i="25"/>
  <c r="I134" i="25" s="1"/>
  <c r="I146" i="14"/>
  <c r="I140" i="25"/>
  <c r="I141" i="25"/>
  <c r="I132" i="25"/>
  <c r="I142" i="25"/>
  <c r="I137" i="25"/>
  <c r="L105" i="25"/>
  <c r="P105" i="25" s="1"/>
  <c r="L106" i="25"/>
  <c r="P106" i="25" s="1"/>
  <c r="L97" i="25"/>
  <c r="P97" i="25" s="1"/>
  <c r="L107" i="25"/>
  <c r="P107" i="25" s="1"/>
  <c r="L98" i="25"/>
  <c r="P98" i="25" s="1"/>
  <c r="L99" i="25"/>
  <c r="P99" i="25" s="1"/>
  <c r="L101" i="25"/>
  <c r="P101" i="25" s="1"/>
  <c r="L104" i="25"/>
  <c r="P104" i="25" s="1"/>
  <c r="L102" i="25"/>
  <c r="P102" i="25" s="1"/>
  <c r="Q17" i="25"/>
  <c r="Q16" i="25"/>
  <c r="Q18" i="25"/>
  <c r="Q10" i="25"/>
  <c r="Q13" i="25"/>
  <c r="M10" i="25"/>
  <c r="M17" i="25"/>
  <c r="M16" i="25"/>
  <c r="M18" i="25"/>
  <c r="M13" i="25"/>
  <c r="M14" i="25"/>
  <c r="L151" i="25"/>
  <c r="Q14" i="25"/>
  <c r="Q11" i="25"/>
  <c r="S11" i="14"/>
  <c r="J202" i="25" l="1"/>
  <c r="J196" i="25"/>
  <c r="M15" i="25"/>
  <c r="Q9" i="25"/>
  <c r="Q15" i="25"/>
  <c r="M12" i="25"/>
  <c r="M9" i="25"/>
  <c r="Q12" i="25"/>
  <c r="W8" i="25"/>
  <c r="AA8" i="25" s="1"/>
  <c r="E8" i="25" s="1"/>
  <c r="L154" i="25"/>
  <c r="L148" i="25"/>
  <c r="E148" i="25"/>
  <c r="J148" i="25" s="1"/>
  <c r="E154" i="25"/>
  <c r="E151" i="25"/>
  <c r="J151" i="25" s="1"/>
  <c r="E47" i="25"/>
  <c r="J203" i="25"/>
  <c r="E114" i="25"/>
  <c r="I114" i="25" s="1"/>
  <c r="E49" i="25"/>
  <c r="J204" i="25"/>
  <c r="E46" i="25"/>
  <c r="E123" i="25"/>
  <c r="I123" i="25" s="1"/>
  <c r="E48" i="25"/>
  <c r="E131" i="25"/>
  <c r="I131" i="25" s="1"/>
  <c r="Q157" i="25"/>
  <c r="L142" i="25"/>
  <c r="P142" i="25" s="1"/>
  <c r="L137" i="25"/>
  <c r="P137" i="25" s="1"/>
  <c r="Q152" i="25"/>
  <c r="L139" i="25"/>
  <c r="L141" i="25"/>
  <c r="P141" i="25" s="1"/>
  <c r="Q155" i="25"/>
  <c r="L133" i="25"/>
  <c r="P133" i="25" s="1"/>
  <c r="L136" i="25"/>
  <c r="L132" i="25"/>
  <c r="Q150" i="25"/>
  <c r="L140" i="25"/>
  <c r="P140" i="25" s="1"/>
  <c r="Q156" i="25"/>
  <c r="L134" i="25"/>
  <c r="P134" i="25" s="1"/>
  <c r="S98" i="25"/>
  <c r="W98" i="25" s="1"/>
  <c r="E138" i="25"/>
  <c r="I138" i="25" s="1"/>
  <c r="I139" i="25"/>
  <c r="E135" i="25"/>
  <c r="I135" i="25" s="1"/>
  <c r="I136" i="25"/>
  <c r="S97" i="25"/>
  <c r="W97" i="25" s="1"/>
  <c r="S102" i="25"/>
  <c r="W102" i="25" s="1"/>
  <c r="S104" i="25"/>
  <c r="W104" i="25" s="1"/>
  <c r="S106" i="25"/>
  <c r="W106" i="25" s="1"/>
  <c r="S101" i="25"/>
  <c r="S99" i="25"/>
  <c r="W99" i="25" s="1"/>
  <c r="E105" i="25"/>
  <c r="I105" i="25" s="1"/>
  <c r="E99" i="25"/>
  <c r="I99" i="25" s="1"/>
  <c r="E104" i="25"/>
  <c r="E102" i="25"/>
  <c r="I102" i="25" s="1"/>
  <c r="E107" i="25"/>
  <c r="I107" i="25" s="1"/>
  <c r="E106" i="25"/>
  <c r="I106" i="25" s="1"/>
  <c r="E98" i="25"/>
  <c r="I98" i="25" s="1"/>
  <c r="S107" i="25"/>
  <c r="W107" i="25" s="1"/>
  <c r="S105" i="25"/>
  <c r="W105" i="25" s="1"/>
  <c r="E97" i="25"/>
  <c r="E101" i="25"/>
  <c r="E118" i="25"/>
  <c r="E119" i="25"/>
  <c r="E116" i="25"/>
  <c r="E122" i="25"/>
  <c r="E121" i="25"/>
  <c r="E124" i="25"/>
  <c r="E115" i="25"/>
  <c r="L103" i="25"/>
  <c r="Y18" i="25"/>
  <c r="AC18" i="25" s="1"/>
  <c r="O8" i="25"/>
  <c r="K8" i="25"/>
  <c r="L96" i="25"/>
  <c r="P96" i="25" s="1"/>
  <c r="L100" i="25"/>
  <c r="P100" i="25" s="1"/>
  <c r="E41" i="25"/>
  <c r="J199" i="25" l="1"/>
  <c r="J198" i="25"/>
  <c r="E147" i="25"/>
  <c r="L147" i="25"/>
  <c r="L114" i="25"/>
  <c r="P114" i="25" s="1"/>
  <c r="J197" i="25"/>
  <c r="J200" i="25"/>
  <c r="Q149" i="25"/>
  <c r="Q151" i="25"/>
  <c r="Q153" i="25"/>
  <c r="S100" i="25"/>
  <c r="W100" i="25" s="1"/>
  <c r="W101" i="25"/>
  <c r="S96" i="25"/>
  <c r="W96" i="25" s="1"/>
  <c r="E130" i="25"/>
  <c r="I130" i="25" s="1"/>
  <c r="L138" i="25"/>
  <c r="P138" i="25" s="1"/>
  <c r="P139" i="25"/>
  <c r="L135" i="25"/>
  <c r="P135" i="25" s="1"/>
  <c r="P136" i="25"/>
  <c r="L131" i="25"/>
  <c r="P132" i="25"/>
  <c r="E37" i="25"/>
  <c r="E113" i="25"/>
  <c r="I113" i="25" s="1"/>
  <c r="L123" i="25"/>
  <c r="P123" i="25" s="1"/>
  <c r="S103" i="25"/>
  <c r="W103" i="25" s="1"/>
  <c r="E103" i="25"/>
  <c r="I103" i="25" s="1"/>
  <c r="I104" i="25"/>
  <c r="I101" i="25"/>
  <c r="E100" i="25"/>
  <c r="I100" i="25" s="1"/>
  <c r="E96" i="25"/>
  <c r="I97" i="25"/>
  <c r="L124" i="25"/>
  <c r="P124" i="25" s="1"/>
  <c r="I124" i="25"/>
  <c r="L116" i="25"/>
  <c r="P116" i="25" s="1"/>
  <c r="I116" i="25"/>
  <c r="E120" i="25"/>
  <c r="L121" i="25"/>
  <c r="I121" i="25"/>
  <c r="E117" i="25"/>
  <c r="I117" i="25" s="1"/>
  <c r="L119" i="25"/>
  <c r="P119" i="25" s="1"/>
  <c r="I119" i="25"/>
  <c r="L122" i="25"/>
  <c r="P122" i="25" s="1"/>
  <c r="I122" i="25"/>
  <c r="L118" i="25"/>
  <c r="I118" i="25"/>
  <c r="L115" i="25"/>
  <c r="P115" i="25" s="1"/>
  <c r="I115" i="25"/>
  <c r="E42" i="25"/>
  <c r="E45" i="25"/>
  <c r="M8" i="25"/>
  <c r="Q8" i="25"/>
  <c r="L95" i="25"/>
  <c r="J195" i="25" l="1"/>
  <c r="L162" i="25"/>
  <c r="Q148" i="25"/>
  <c r="L194" i="25"/>
  <c r="Q194" i="25" s="1"/>
  <c r="S95" i="25"/>
  <c r="W95" i="25" s="1"/>
  <c r="L130" i="25"/>
  <c r="P130" i="25" s="1"/>
  <c r="P131" i="25"/>
  <c r="I96" i="25"/>
  <c r="E95" i="25"/>
  <c r="I95" i="25" s="1"/>
  <c r="L120" i="25"/>
  <c r="P120" i="25" s="1"/>
  <c r="P121" i="25"/>
  <c r="E112" i="25"/>
  <c r="L117" i="25"/>
  <c r="P117" i="25" s="1"/>
  <c r="P118" i="25"/>
  <c r="L113" i="25"/>
  <c r="P113" i="25" s="1"/>
  <c r="E51" i="25"/>
  <c r="L112" i="25" l="1"/>
  <c r="P112" i="25" s="1"/>
  <c r="M146" i="14" l="1"/>
  <c r="Q17" i="14"/>
  <c r="J146" i="14" l="1"/>
  <c r="L146" i="14" s="1"/>
  <c r="F20" i="18" l="1"/>
  <c r="X20" i="18"/>
  <c r="Y20" i="18" s="1"/>
  <c r="R39" i="18" s="1"/>
  <c r="O20" i="18"/>
  <c r="L20" i="18"/>
  <c r="I20" i="18"/>
  <c r="J20" i="18"/>
  <c r="I36" i="18"/>
  <c r="I37" i="18"/>
  <c r="I38" i="18"/>
  <c r="I39" i="18"/>
  <c r="I35" i="18"/>
  <c r="I33" i="18"/>
  <c r="I32" i="18"/>
  <c r="I30" i="18"/>
  <c r="I29" i="18"/>
  <c r="F36" i="18"/>
  <c r="F37" i="18"/>
  <c r="F38" i="18"/>
  <c r="F39" i="18"/>
  <c r="F35" i="18"/>
  <c r="F33" i="18"/>
  <c r="F32" i="18"/>
  <c r="F30" i="18"/>
  <c r="F29" i="18"/>
  <c r="Q36" i="18"/>
  <c r="Q37" i="18"/>
  <c r="Q38" i="18"/>
  <c r="Q39" i="18"/>
  <c r="Q35" i="18"/>
  <c r="Q33" i="18"/>
  <c r="Q32" i="18"/>
  <c r="Q30" i="18"/>
  <c r="Q29" i="18"/>
  <c r="N36" i="18"/>
  <c r="N37" i="18"/>
  <c r="N38" i="18"/>
  <c r="N39" i="18"/>
  <c r="N35" i="18"/>
  <c r="N33" i="18"/>
  <c r="N32" i="18"/>
  <c r="N30" i="18"/>
  <c r="N29" i="18"/>
  <c r="H36" i="18"/>
  <c r="H37" i="18"/>
  <c r="H38" i="18"/>
  <c r="H39" i="18"/>
  <c r="H35" i="18"/>
  <c r="H33" i="18"/>
  <c r="H32" i="18"/>
  <c r="H30" i="18"/>
  <c r="H29" i="18"/>
  <c r="E36" i="18"/>
  <c r="E37" i="18"/>
  <c r="E38" i="18"/>
  <c r="E39" i="18"/>
  <c r="E35" i="18"/>
  <c r="E33" i="18"/>
  <c r="E32" i="18"/>
  <c r="E30" i="18"/>
  <c r="E29" i="18"/>
  <c r="T29" i="18" l="1"/>
  <c r="T30" i="18"/>
  <c r="W39" i="18"/>
  <c r="T39" i="18"/>
  <c r="S39" i="18"/>
  <c r="L39" i="18"/>
  <c r="G20" i="18" s="1"/>
  <c r="K39" i="18"/>
  <c r="J39" i="18"/>
  <c r="G39" i="18"/>
  <c r="T38" i="18"/>
  <c r="K38" i="18"/>
  <c r="J38" i="18"/>
  <c r="G38" i="18"/>
  <c r="W37" i="18"/>
  <c r="T37" i="18"/>
  <c r="K37" i="18"/>
  <c r="J37" i="18"/>
  <c r="L37" i="18"/>
  <c r="W36" i="18"/>
  <c r="T36" i="18"/>
  <c r="L36" i="18"/>
  <c r="K36" i="18"/>
  <c r="G36" i="18"/>
  <c r="W35" i="18"/>
  <c r="T35" i="18"/>
  <c r="K35" i="18"/>
  <c r="J35" i="18"/>
  <c r="G35" i="18"/>
  <c r="Q34" i="18"/>
  <c r="N34" i="18"/>
  <c r="I34" i="18"/>
  <c r="H34" i="18"/>
  <c r="E34" i="18"/>
  <c r="W33" i="18"/>
  <c r="T33" i="18"/>
  <c r="K33" i="18"/>
  <c r="J33" i="18"/>
  <c r="G33" i="18"/>
  <c r="W32" i="18"/>
  <c r="T32" i="18"/>
  <c r="K32" i="18"/>
  <c r="J32" i="18"/>
  <c r="F31" i="18"/>
  <c r="Q31" i="18"/>
  <c r="N31" i="18"/>
  <c r="I31" i="18"/>
  <c r="H31" i="18"/>
  <c r="E31" i="18"/>
  <c r="W30" i="18"/>
  <c r="K30" i="18"/>
  <c r="J30" i="18"/>
  <c r="G30" i="18"/>
  <c r="W29" i="18"/>
  <c r="K29" i="18"/>
  <c r="I28" i="18"/>
  <c r="L29" i="18"/>
  <c r="Q28" i="18"/>
  <c r="N28" i="18"/>
  <c r="H28" i="18"/>
  <c r="E28" i="18"/>
  <c r="D20" i="18" l="1"/>
  <c r="T28" i="18"/>
  <c r="K31" i="18"/>
  <c r="J31" i="18"/>
  <c r="M36" i="18"/>
  <c r="G31" i="18"/>
  <c r="K28" i="18"/>
  <c r="T31" i="18"/>
  <c r="Q27" i="18"/>
  <c r="W31" i="18"/>
  <c r="N27" i="18"/>
  <c r="W28" i="18"/>
  <c r="H27" i="18"/>
  <c r="J34" i="18"/>
  <c r="M39" i="18"/>
  <c r="E27" i="18"/>
  <c r="K34" i="18"/>
  <c r="M37" i="18"/>
  <c r="T34" i="18"/>
  <c r="M29" i="18"/>
  <c r="I27" i="18"/>
  <c r="J28" i="18"/>
  <c r="L32" i="18"/>
  <c r="F34" i="18"/>
  <c r="G34" i="18" s="1"/>
  <c r="L38" i="18"/>
  <c r="M38" i="18" s="1"/>
  <c r="J29" i="18"/>
  <c r="F28" i="18"/>
  <c r="L30" i="18"/>
  <c r="M30" i="18" s="1"/>
  <c r="G29" i="18"/>
  <c r="L33" i="18"/>
  <c r="M33" i="18" s="1"/>
  <c r="L35" i="18"/>
  <c r="J36" i="18"/>
  <c r="G37" i="18"/>
  <c r="W38" i="18"/>
  <c r="G32" i="18"/>
  <c r="W34" i="18" l="1"/>
  <c r="W27" i="18" s="1"/>
  <c r="K27" i="18"/>
  <c r="J27" i="18"/>
  <c r="T27" i="18"/>
  <c r="L31" i="18"/>
  <c r="M31" i="18" s="1"/>
  <c r="M32" i="18"/>
  <c r="L28" i="18"/>
  <c r="L34" i="18"/>
  <c r="M34" i="18" s="1"/>
  <c r="M35" i="18"/>
  <c r="F27" i="18"/>
  <c r="G27" i="18" s="1"/>
  <c r="G28" i="18"/>
  <c r="M28" i="18" l="1"/>
  <c r="L27" i="18"/>
  <c r="M27" i="18" s="1"/>
  <c r="P20" i="18" l="1"/>
  <c r="X17" i="18" l="1"/>
  <c r="X18" i="18"/>
  <c r="X19" i="18"/>
  <c r="X16" i="18"/>
  <c r="X14" i="18"/>
  <c r="X13" i="18"/>
  <c r="X11" i="18"/>
  <c r="X10" i="18"/>
  <c r="Z20" i="18" l="1"/>
  <c r="R20" i="18"/>
  <c r="Q20" i="18"/>
  <c r="K20" i="18"/>
  <c r="X12" i="18"/>
  <c r="E12" i="18"/>
  <c r="D12" i="18"/>
  <c r="E9" i="18"/>
  <c r="D9" i="18"/>
  <c r="AB20" i="18" l="1"/>
  <c r="E20" i="18" s="1"/>
  <c r="E15" i="18" s="1"/>
  <c r="E8" i="18" s="1"/>
  <c r="U20" i="18"/>
  <c r="X9" i="18"/>
  <c r="G15" i="18"/>
  <c r="X15" i="18"/>
  <c r="H20" i="18"/>
  <c r="X8" i="18" l="1"/>
  <c r="D15" i="18" l="1"/>
  <c r="D8" i="18" s="1"/>
  <c r="Y19" i="18" l="1"/>
  <c r="Y18" i="18"/>
  <c r="R37" i="18" s="1"/>
  <c r="S37" i="18" s="1"/>
  <c r="Y17" i="18"/>
  <c r="Y16" i="18"/>
  <c r="Y14" i="18"/>
  <c r="Y13" i="18"/>
  <c r="R32" i="18" s="1"/>
  <c r="Z19" i="18" l="1"/>
  <c r="R38" i="18"/>
  <c r="S38" i="18" s="1"/>
  <c r="S32" i="18"/>
  <c r="R33" i="18"/>
  <c r="S33" i="18" s="1"/>
  <c r="Z14" i="18"/>
  <c r="Z16" i="18"/>
  <c r="R35" i="18"/>
  <c r="R36" i="18"/>
  <c r="S36" i="18" s="1"/>
  <c r="Z17" i="18"/>
  <c r="Z13" i="18"/>
  <c r="Y12" i="18"/>
  <c r="Z12" i="18" s="1"/>
  <c r="Y15" i="18"/>
  <c r="Z18" i="18"/>
  <c r="R31" i="18" l="1"/>
  <c r="S31" i="18" s="1"/>
  <c r="R34" i="18"/>
  <c r="S34" i="18" s="1"/>
  <c r="S35" i="18"/>
  <c r="Z15" i="18"/>
  <c r="Y10" i="18" l="1"/>
  <c r="R29" i="18" l="1"/>
  <c r="Z10" i="18"/>
  <c r="S29" i="18" l="1"/>
  <c r="P17" i="18" l="1"/>
  <c r="P16" i="18"/>
  <c r="P18" i="18"/>
  <c r="P19" i="18"/>
  <c r="P11" i="18"/>
  <c r="P14" i="18"/>
  <c r="P13" i="18"/>
  <c r="P10" i="18"/>
  <c r="P15" i="18" l="1"/>
  <c r="P12" i="18"/>
  <c r="P9" i="18"/>
  <c r="P8" i="18" l="1"/>
  <c r="M20" i="18" l="1"/>
  <c r="S20" i="18" l="1"/>
  <c r="N20" i="18"/>
  <c r="O39" i="18" l="1"/>
  <c r="V20" i="18"/>
  <c r="W20" i="18" s="1"/>
  <c r="AC20" i="18"/>
  <c r="AD20" i="18" s="1"/>
  <c r="T20" i="18"/>
  <c r="P39" i="18" l="1"/>
  <c r="U39" i="18"/>
  <c r="V39" i="18" s="1"/>
  <c r="X39" i="18"/>
  <c r="L13" i="18"/>
  <c r="M13" i="18"/>
  <c r="L14" i="18"/>
  <c r="M14" i="18"/>
  <c r="L16" i="18"/>
  <c r="L19" i="18"/>
  <c r="L18" i="18"/>
  <c r="M18" i="18"/>
  <c r="L10" i="18"/>
  <c r="M16" i="18"/>
  <c r="L17" i="18"/>
  <c r="M17" i="18"/>
  <c r="M10" i="18"/>
  <c r="L11" i="18"/>
  <c r="M11" i="18"/>
  <c r="M19" i="18"/>
  <c r="N10" i="18" l="1"/>
  <c r="L12" i="18"/>
  <c r="L9" i="18"/>
  <c r="M12" i="18"/>
  <c r="N16" i="18"/>
  <c r="N11" i="18"/>
  <c r="N13" i="18"/>
  <c r="N19" i="18"/>
  <c r="M9" i="18"/>
  <c r="N17" i="18"/>
  <c r="N18" i="18"/>
  <c r="Y39" i="18"/>
  <c r="Z39" i="18"/>
  <c r="N14" i="18"/>
  <c r="L15" i="18"/>
  <c r="M15" i="18"/>
  <c r="N12" i="18" l="1"/>
  <c r="N9" i="18"/>
  <c r="L8" i="18"/>
  <c r="N15" i="18"/>
  <c r="M8" i="18"/>
  <c r="N8" i="18" l="1"/>
  <c r="J16" i="18" l="1"/>
  <c r="J18" i="18"/>
  <c r="J19" i="18"/>
  <c r="I18" i="18" l="1"/>
  <c r="K18" i="18" s="1"/>
  <c r="I19" i="18"/>
  <c r="K19" i="18" s="1"/>
  <c r="I11" i="18"/>
  <c r="I13" i="18"/>
  <c r="I10" i="18"/>
  <c r="I14" i="18"/>
  <c r="I16" i="18"/>
  <c r="I17" i="18"/>
  <c r="J10" i="18"/>
  <c r="S19" i="18"/>
  <c r="J14" i="18"/>
  <c r="S18" i="18"/>
  <c r="J13" i="18"/>
  <c r="S16" i="18"/>
  <c r="I12" i="18" l="1"/>
  <c r="I9" i="18"/>
  <c r="I15" i="18"/>
  <c r="K16" i="18"/>
  <c r="O38" i="18"/>
  <c r="O37" i="18"/>
  <c r="O35" i="18"/>
  <c r="V19" i="18"/>
  <c r="AC19" i="18"/>
  <c r="K10" i="18"/>
  <c r="S10" i="18"/>
  <c r="O29" i="18" s="1"/>
  <c r="K14" i="18"/>
  <c r="S14" i="18"/>
  <c r="O33" i="18" s="1"/>
  <c r="V18" i="18"/>
  <c r="AC18" i="18"/>
  <c r="V16" i="18"/>
  <c r="AC16" i="18"/>
  <c r="K13" i="18"/>
  <c r="J12" i="18"/>
  <c r="S13" i="18"/>
  <c r="O32" i="18" s="1"/>
  <c r="K12" i="18" l="1"/>
  <c r="I8" i="18"/>
  <c r="P33" i="18"/>
  <c r="U33" i="18"/>
  <c r="V33" i="18" s="1"/>
  <c r="X33" i="18"/>
  <c r="P35" i="18"/>
  <c r="U35" i="18"/>
  <c r="X35" i="18"/>
  <c r="U29" i="18"/>
  <c r="P29" i="18"/>
  <c r="X29" i="18"/>
  <c r="U37" i="18"/>
  <c r="V37" i="18" s="1"/>
  <c r="P37" i="18"/>
  <c r="X37" i="18"/>
  <c r="P38" i="18"/>
  <c r="X38" i="18"/>
  <c r="U38" i="18"/>
  <c r="V38" i="18" s="1"/>
  <c r="U32" i="18"/>
  <c r="P32" i="18"/>
  <c r="O31" i="18"/>
  <c r="P31" i="18" s="1"/>
  <c r="X32" i="18"/>
  <c r="S12" i="18"/>
  <c r="Y37" i="18" l="1"/>
  <c r="Z37" i="18"/>
  <c r="V35" i="18"/>
  <c r="Z32" i="18"/>
  <c r="Y32" i="18"/>
  <c r="X31" i="18"/>
  <c r="Z33" i="18"/>
  <c r="Y33" i="18"/>
  <c r="V32" i="18"/>
  <c r="U31" i="18"/>
  <c r="V31" i="18" s="1"/>
  <c r="Y35" i="18"/>
  <c r="Z35" i="18"/>
  <c r="Z29" i="18"/>
  <c r="Y29" i="18"/>
  <c r="Y38" i="18"/>
  <c r="Z38" i="18"/>
  <c r="V29" i="18"/>
  <c r="Z31" i="18" l="1"/>
  <c r="Y31" i="18"/>
  <c r="F19" i="18" l="1"/>
  <c r="H19" i="18" s="1"/>
  <c r="F14" i="18" l="1"/>
  <c r="F16" i="18"/>
  <c r="H16" i="18" s="1"/>
  <c r="G11" i="18"/>
  <c r="F11" i="18"/>
  <c r="F17" i="18"/>
  <c r="H17" i="18" s="1"/>
  <c r="F13" i="18"/>
  <c r="F10" i="18"/>
  <c r="F18" i="18"/>
  <c r="H18" i="18" s="1"/>
  <c r="G10" i="18"/>
  <c r="H11" i="18" l="1"/>
  <c r="F12" i="18"/>
  <c r="F9" i="18"/>
  <c r="F15" i="18"/>
  <c r="H10" i="18"/>
  <c r="AC10" i="18"/>
  <c r="G9" i="18"/>
  <c r="V10" i="18"/>
  <c r="H15" i="18"/>
  <c r="H9" i="18" l="1"/>
  <c r="F8" i="18"/>
  <c r="J17" i="18"/>
  <c r="K17" i="18" l="1"/>
  <c r="S17" i="18"/>
  <c r="J15" i="18"/>
  <c r="K15" i="18" s="1"/>
  <c r="O36" i="18" l="1"/>
  <c r="V17" i="18"/>
  <c r="AC17" i="18"/>
  <c r="S15" i="18"/>
  <c r="X36" i="18" l="1"/>
  <c r="U36" i="18"/>
  <c r="P36" i="18"/>
  <c r="O34" i="18"/>
  <c r="P34" i="18" s="1"/>
  <c r="AC15" i="18"/>
  <c r="V15" i="18"/>
  <c r="V36" i="18" l="1"/>
  <c r="U34" i="18"/>
  <c r="V34" i="18" s="1"/>
  <c r="Y36" i="18"/>
  <c r="Z36" i="18"/>
  <c r="X34" i="18"/>
  <c r="I30" i="2"/>
  <c r="Y34" i="18" l="1"/>
  <c r="Z34" i="18"/>
  <c r="I32" i="2" l="1"/>
  <c r="AI18" i="15"/>
  <c r="AH18" i="15"/>
  <c r="AI17" i="15"/>
  <c r="AH17" i="15"/>
  <c r="AI16" i="15"/>
  <c r="AH16" i="15"/>
  <c r="AI15" i="15"/>
  <c r="AH15" i="15"/>
  <c r="AI14" i="15"/>
  <c r="AH14" i="15"/>
  <c r="AA18" i="15"/>
  <c r="Z18" i="15"/>
  <c r="AA17" i="15"/>
  <c r="Z17" i="15"/>
  <c r="AA16" i="15"/>
  <c r="Z16" i="15"/>
  <c r="AA15" i="15"/>
  <c r="Z15" i="15"/>
  <c r="AA14" i="15"/>
  <c r="Z14" i="15"/>
  <c r="S18" i="15"/>
  <c r="R18" i="15"/>
  <c r="S17" i="15"/>
  <c r="R17" i="15"/>
  <c r="S16" i="15"/>
  <c r="R16" i="15"/>
  <c r="S15" i="15"/>
  <c r="R15" i="15"/>
  <c r="S14" i="15"/>
  <c r="R14" i="15"/>
  <c r="J15" i="15"/>
  <c r="K15" i="15"/>
  <c r="J16" i="15"/>
  <c r="K16" i="15"/>
  <c r="J17" i="15"/>
  <c r="K17" i="15"/>
  <c r="J18" i="15"/>
  <c r="K18" i="15"/>
  <c r="K14" i="15"/>
  <c r="J14" i="15"/>
  <c r="E13" i="15"/>
  <c r="F13" i="15"/>
  <c r="G13" i="15"/>
  <c r="H13" i="15"/>
  <c r="I13" i="15"/>
  <c r="L13" i="15"/>
  <c r="M13" i="15"/>
  <c r="N13" i="15"/>
  <c r="O13" i="15"/>
  <c r="P13" i="15"/>
  <c r="Q13" i="15"/>
  <c r="T13" i="15"/>
  <c r="U13" i="15"/>
  <c r="V13" i="15"/>
  <c r="W13" i="15"/>
  <c r="X13" i="15"/>
  <c r="Y13" i="15"/>
  <c r="AB13" i="15"/>
  <c r="AC13" i="15"/>
  <c r="AD13" i="15"/>
  <c r="AE13" i="15"/>
  <c r="AF13" i="15"/>
  <c r="AG13" i="15"/>
  <c r="D13" i="15"/>
  <c r="AI13" i="15" l="1"/>
  <c r="AJ17" i="15"/>
  <c r="AJ14" i="15"/>
  <c r="AJ18" i="15"/>
  <c r="J13" i="15"/>
  <c r="AJ16" i="15"/>
  <c r="AJ15" i="15"/>
  <c r="AK17" i="15"/>
  <c r="R13" i="15"/>
  <c r="AK14" i="15"/>
  <c r="Z13" i="15"/>
  <c r="AH13" i="15"/>
  <c r="AA13" i="15"/>
  <c r="AK15" i="15"/>
  <c r="AK16" i="15"/>
  <c r="AK18" i="15"/>
  <c r="S13" i="15"/>
  <c r="K13" i="15"/>
  <c r="C13" i="15"/>
  <c r="W18" i="13"/>
  <c r="AL17" i="15" l="1"/>
  <c r="AL18" i="15"/>
  <c r="AL16" i="15"/>
  <c r="AL15" i="15"/>
  <c r="AL14" i="15"/>
  <c r="AJ13" i="15"/>
  <c r="AK13" i="15"/>
  <c r="AL13" i="15" l="1"/>
  <c r="S34" i="13" l="1"/>
  <c r="T34" i="13"/>
  <c r="V34" i="13"/>
  <c r="W34" i="13"/>
  <c r="X34" i="13"/>
  <c r="R34" i="13"/>
  <c r="O34" i="13"/>
  <c r="E34" i="13"/>
  <c r="F34" i="13"/>
  <c r="G34" i="13"/>
  <c r="D34" i="13"/>
  <c r="N38" i="13"/>
  <c r="N34" i="13" s="1"/>
  <c r="M38" i="13"/>
  <c r="P38" i="13" s="1"/>
  <c r="K38" i="13"/>
  <c r="AB18" i="13" s="1"/>
  <c r="J38" i="13"/>
  <c r="Y18" i="13" s="1"/>
  <c r="I38" i="13"/>
  <c r="Y38" i="13"/>
  <c r="U38" i="13"/>
  <c r="H38" i="13"/>
  <c r="N18" i="13"/>
  <c r="K18" i="13"/>
  <c r="H18" i="13"/>
  <c r="L40" i="2"/>
  <c r="L39" i="2"/>
  <c r="L38" i="2"/>
  <c r="L37" i="2"/>
  <c r="L36" i="2"/>
  <c r="L35" i="2"/>
  <c r="L34" i="2"/>
  <c r="L33" i="2"/>
  <c r="L31" i="2"/>
  <c r="H41" i="2"/>
  <c r="H32" i="2"/>
  <c r="J34" i="13" l="1"/>
  <c r="M34" i="13"/>
  <c r="G18" i="13"/>
  <c r="V18" i="13"/>
  <c r="X18" i="13" s="1"/>
  <c r="I34" i="13"/>
  <c r="M18" i="13"/>
  <c r="J18" i="13"/>
  <c r="K34" i="13"/>
  <c r="E18" i="13"/>
  <c r="Z38" i="13"/>
  <c r="L38" i="13"/>
  <c r="I18" i="13" l="1"/>
  <c r="L18" i="13"/>
  <c r="O18" i="13"/>
  <c r="Q38" i="13"/>
  <c r="AA38" i="13" s="1"/>
  <c r="D18" i="13"/>
  <c r="F18" i="13" l="1"/>
  <c r="S18" i="13"/>
  <c r="AC13" i="13"/>
  <c r="AC10" i="13"/>
  <c r="AC9" i="13"/>
  <c r="Z15" i="13"/>
  <c r="Z13" i="13"/>
  <c r="Z12" i="13"/>
  <c r="Z10" i="13"/>
  <c r="W15" i="13"/>
  <c r="W13" i="13"/>
  <c r="W12" i="13"/>
  <c r="W10" i="13"/>
  <c r="AC17" i="13"/>
  <c r="AC16" i="13"/>
  <c r="N12" i="13"/>
  <c r="K12" i="13"/>
  <c r="H12" i="13"/>
  <c r="X32" i="13"/>
  <c r="W32" i="13"/>
  <c r="V32" i="13"/>
  <c r="T32" i="13"/>
  <c r="S32" i="13"/>
  <c r="R32" i="13"/>
  <c r="O32" i="13"/>
  <c r="N32" i="13"/>
  <c r="M32" i="13"/>
  <c r="K32" i="13"/>
  <c r="J32" i="13"/>
  <c r="I32" i="13"/>
  <c r="O30" i="13"/>
  <c r="N30" i="13"/>
  <c r="K30" i="13"/>
  <c r="J30" i="13"/>
  <c r="I30" i="13"/>
  <c r="X29" i="13"/>
  <c r="W29" i="13"/>
  <c r="V29" i="13"/>
  <c r="T29" i="13"/>
  <c r="S29" i="13"/>
  <c r="R29" i="13"/>
  <c r="O29" i="13"/>
  <c r="N29" i="13"/>
  <c r="M29" i="13"/>
  <c r="K29" i="13"/>
  <c r="J29" i="13"/>
  <c r="I29" i="13"/>
  <c r="O18" i="18" l="1"/>
  <c r="W11" i="13"/>
  <c r="Z11" i="13"/>
  <c r="AC12" i="13"/>
  <c r="AC11" i="13" s="1"/>
  <c r="AC15" i="13"/>
  <c r="T13" i="13"/>
  <c r="T10" i="13"/>
  <c r="AC8" i="13"/>
  <c r="Q40" i="14" l="1"/>
  <c r="R21" i="25"/>
  <c r="O17" i="18"/>
  <c r="O16" i="18"/>
  <c r="O19" i="18"/>
  <c r="Q18" i="18"/>
  <c r="R18" i="18"/>
  <c r="O11" i="18"/>
  <c r="O10" i="18"/>
  <c r="O14" i="18"/>
  <c r="O13" i="18"/>
  <c r="T15" i="13"/>
  <c r="T12" i="13"/>
  <c r="T11" i="13" s="1"/>
  <c r="Q19" i="18" l="1"/>
  <c r="R19" i="18"/>
  <c r="T18" i="18"/>
  <c r="AB18" i="18"/>
  <c r="AD18" i="18" s="1"/>
  <c r="U18" i="18"/>
  <c r="W18" i="18" s="1"/>
  <c r="O15" i="18"/>
  <c r="Q15" i="18" s="1"/>
  <c r="Q16" i="18"/>
  <c r="R16" i="18"/>
  <c r="Q17" i="18"/>
  <c r="R17" i="18"/>
  <c r="O9" i="18"/>
  <c r="Q10" i="18"/>
  <c r="R10" i="18"/>
  <c r="Q14" i="18"/>
  <c r="R14" i="18"/>
  <c r="Q11" i="18"/>
  <c r="R11" i="18"/>
  <c r="O12" i="18"/>
  <c r="Q12" i="18" s="1"/>
  <c r="Q13" i="18"/>
  <c r="R13" i="18"/>
  <c r="J11" i="18"/>
  <c r="Y11" i="18" l="1"/>
  <c r="T16" i="18"/>
  <c r="R15" i="18"/>
  <c r="T15" i="18" s="1"/>
  <c r="AB16" i="18"/>
  <c r="U16" i="18"/>
  <c r="T19" i="18"/>
  <c r="AB19" i="18"/>
  <c r="AD19" i="18" s="1"/>
  <c r="U19" i="18"/>
  <c r="W19" i="18" s="1"/>
  <c r="U17" i="18"/>
  <c r="W17" i="18" s="1"/>
  <c r="AB17" i="18"/>
  <c r="AD17" i="18" s="1"/>
  <c r="T17" i="18"/>
  <c r="AB11" i="18"/>
  <c r="U11" i="18"/>
  <c r="O8" i="18"/>
  <c r="Q8" i="18" s="1"/>
  <c r="Q9" i="18"/>
  <c r="T14" i="18"/>
  <c r="U14" i="18"/>
  <c r="AB14" i="18"/>
  <c r="R12" i="18"/>
  <c r="T12" i="18" s="1"/>
  <c r="T13" i="18"/>
  <c r="U13" i="18"/>
  <c r="AB13" i="18"/>
  <c r="R9" i="18"/>
  <c r="T10" i="18"/>
  <c r="AB10" i="18"/>
  <c r="U10" i="18"/>
  <c r="J9" i="18"/>
  <c r="K11" i="18"/>
  <c r="S11" i="18"/>
  <c r="L25" i="2"/>
  <c r="L24" i="2"/>
  <c r="N17" i="13"/>
  <c r="N16" i="13"/>
  <c r="N15" i="13"/>
  <c r="N13" i="13"/>
  <c r="N10" i="13"/>
  <c r="N9" i="13"/>
  <c r="K17" i="13"/>
  <c r="K16" i="13"/>
  <c r="K15" i="13"/>
  <c r="K13" i="13"/>
  <c r="K10" i="13"/>
  <c r="K9" i="13"/>
  <c r="L30" i="2"/>
  <c r="L29" i="2"/>
  <c r="L28" i="2"/>
  <c r="L27" i="2"/>
  <c r="L26" i="2"/>
  <c r="N14" i="13" l="1"/>
  <c r="R30" i="18"/>
  <c r="Z11" i="18"/>
  <c r="Y9" i="18"/>
  <c r="AB12" i="18"/>
  <c r="R8" i="18"/>
  <c r="V11" i="18"/>
  <c r="W11" i="18" s="1"/>
  <c r="O30" i="18"/>
  <c r="U15" i="18"/>
  <c r="W15" i="18" s="1"/>
  <c r="W16" i="18"/>
  <c r="AB15" i="18"/>
  <c r="AD15" i="18" s="1"/>
  <c r="AD16" i="18"/>
  <c r="U12" i="18"/>
  <c r="U9" i="18"/>
  <c r="W10" i="18"/>
  <c r="AB9" i="18"/>
  <c r="AD10" i="18"/>
  <c r="AC11" i="18"/>
  <c r="T11" i="18"/>
  <c r="S9" i="18"/>
  <c r="K9" i="18"/>
  <c r="J8" i="18"/>
  <c r="K8" i="18" s="1"/>
  <c r="K14" i="13"/>
  <c r="K41" i="2"/>
  <c r="L41" i="2"/>
  <c r="I41" i="2"/>
  <c r="J41" i="2" s="1"/>
  <c r="G41" i="2"/>
  <c r="L32" i="2"/>
  <c r="K32" i="2"/>
  <c r="G32" i="2"/>
  <c r="J16" i="2"/>
  <c r="J17" i="2"/>
  <c r="J15" i="2"/>
  <c r="Z9" i="18" l="1"/>
  <c r="Y8" i="18"/>
  <c r="Z8" i="18" s="1"/>
  <c r="S30" i="18"/>
  <c r="R28" i="18"/>
  <c r="AB8" i="18"/>
  <c r="V9" i="18"/>
  <c r="W9" i="18" s="1"/>
  <c r="U30" i="18"/>
  <c r="P30" i="18"/>
  <c r="X30" i="18"/>
  <c r="O28" i="18"/>
  <c r="U8" i="18"/>
  <c r="T9" i="18"/>
  <c r="S8" i="18"/>
  <c r="T8" i="18" s="1"/>
  <c r="AD11" i="18"/>
  <c r="AC9" i="18"/>
  <c r="H13" i="13"/>
  <c r="E13" i="13" s="1"/>
  <c r="E12" i="13"/>
  <c r="H10" i="13"/>
  <c r="E10" i="13" s="1"/>
  <c r="H9" i="13"/>
  <c r="E9" i="13" s="1"/>
  <c r="M17" i="13"/>
  <c r="AB17" i="13" s="1"/>
  <c r="AD17" i="13" s="1"/>
  <c r="M16" i="13"/>
  <c r="AB16" i="13" s="1"/>
  <c r="AD16" i="13" s="1"/>
  <c r="M15" i="13"/>
  <c r="M13" i="13"/>
  <c r="AB13" i="13" s="1"/>
  <c r="AD13" i="13" s="1"/>
  <c r="M12" i="13"/>
  <c r="M10" i="13"/>
  <c r="M9" i="13"/>
  <c r="J17" i="13"/>
  <c r="Y17" i="13" s="1"/>
  <c r="J16" i="13"/>
  <c r="Y16" i="13" s="1"/>
  <c r="J15" i="13"/>
  <c r="J13" i="13"/>
  <c r="Y13" i="13" s="1"/>
  <c r="AA13" i="13" s="1"/>
  <c r="J12" i="13"/>
  <c r="J10" i="13"/>
  <c r="J9" i="13"/>
  <c r="Y15" i="13" l="1"/>
  <c r="Y14" i="13" s="1"/>
  <c r="J14" i="13"/>
  <c r="AB15" i="13"/>
  <c r="AB14" i="13" s="1"/>
  <c r="M14" i="13"/>
  <c r="O14" i="13" s="1"/>
  <c r="R27" i="18"/>
  <c r="S27" i="18" s="1"/>
  <c r="S28" i="18"/>
  <c r="P28" i="18"/>
  <c r="O27" i="18"/>
  <c r="P27" i="18" s="1"/>
  <c r="Y30" i="18"/>
  <c r="Z30" i="18"/>
  <c r="X28" i="18"/>
  <c r="V30" i="18"/>
  <c r="U28" i="18"/>
  <c r="AD9" i="18"/>
  <c r="L13" i="13"/>
  <c r="L15" i="13"/>
  <c r="L16" i="13"/>
  <c r="L12" i="13"/>
  <c r="Y12" i="13"/>
  <c r="L17" i="13"/>
  <c r="O13" i="13"/>
  <c r="O9" i="13"/>
  <c r="AB9" i="13"/>
  <c r="AD9" i="13" s="1"/>
  <c r="O15" i="13"/>
  <c r="L9" i="13"/>
  <c r="Y9" i="13"/>
  <c r="O10" i="13"/>
  <c r="AB10" i="13"/>
  <c r="O16" i="13"/>
  <c r="L10" i="13"/>
  <c r="Y10" i="13"/>
  <c r="O12" i="13"/>
  <c r="AB12" i="13"/>
  <c r="O17" i="13"/>
  <c r="G17" i="13"/>
  <c r="V17" i="13" s="1"/>
  <c r="G16" i="13"/>
  <c r="V16" i="13" s="1"/>
  <c r="G15" i="13"/>
  <c r="G13" i="13"/>
  <c r="V13" i="13" s="1"/>
  <c r="G12" i="13"/>
  <c r="G10" i="13"/>
  <c r="G9" i="13"/>
  <c r="M11" i="13"/>
  <c r="E11" i="13"/>
  <c r="N11" i="13"/>
  <c r="K11" i="13"/>
  <c r="J11" i="13"/>
  <c r="H11" i="13"/>
  <c r="N8" i="13"/>
  <c r="M8" i="13"/>
  <c r="K8" i="13"/>
  <c r="J8" i="13"/>
  <c r="Y37" i="13"/>
  <c r="U37" i="13"/>
  <c r="P37" i="13"/>
  <c r="L37" i="13"/>
  <c r="D17" i="13" s="1"/>
  <c r="S17" i="13" s="1"/>
  <c r="H37" i="13"/>
  <c r="Y36" i="13"/>
  <c r="U36" i="13"/>
  <c r="P36" i="13"/>
  <c r="L36" i="13"/>
  <c r="D16" i="13" s="1"/>
  <c r="S16" i="13" s="1"/>
  <c r="H36" i="13"/>
  <c r="Y35" i="13"/>
  <c r="U35" i="13"/>
  <c r="P35" i="13"/>
  <c r="L35" i="13"/>
  <c r="H35" i="13"/>
  <c r="Y33" i="13"/>
  <c r="U33" i="13"/>
  <c r="P33" i="13"/>
  <c r="L33" i="13"/>
  <c r="D13" i="13" s="1"/>
  <c r="S13" i="13" s="1"/>
  <c r="U13" i="13" s="1"/>
  <c r="H33" i="13"/>
  <c r="Y32" i="13"/>
  <c r="U32" i="13"/>
  <c r="P32" i="13"/>
  <c r="L32" i="13"/>
  <c r="H32" i="13"/>
  <c r="X31" i="13"/>
  <c r="W31" i="13"/>
  <c r="V31" i="13"/>
  <c r="T31" i="13"/>
  <c r="S31" i="13"/>
  <c r="R31" i="13"/>
  <c r="O31" i="13"/>
  <c r="N31" i="13"/>
  <c r="M31" i="13"/>
  <c r="K31" i="13"/>
  <c r="J31" i="13"/>
  <c r="I31" i="13"/>
  <c r="G31" i="13"/>
  <c r="F31" i="13"/>
  <c r="E31" i="13"/>
  <c r="D31" i="13"/>
  <c r="Y30" i="13"/>
  <c r="U30" i="13"/>
  <c r="P30" i="13"/>
  <c r="L30" i="13"/>
  <c r="H30" i="13"/>
  <c r="Y29" i="13"/>
  <c r="U29" i="13"/>
  <c r="P29" i="13"/>
  <c r="L29" i="13"/>
  <c r="H29" i="13"/>
  <c r="X28" i="13"/>
  <c r="W28" i="13"/>
  <c r="V28" i="13"/>
  <c r="T28" i="13"/>
  <c r="S28" i="13"/>
  <c r="R28" i="13"/>
  <c r="O28" i="13"/>
  <c r="N28" i="13"/>
  <c r="M28" i="13"/>
  <c r="K28" i="13"/>
  <c r="J28" i="13"/>
  <c r="I28" i="13"/>
  <c r="G28" i="13"/>
  <c r="F28" i="13"/>
  <c r="E28" i="13"/>
  <c r="D28" i="13"/>
  <c r="AD15" i="13" l="1"/>
  <c r="H34" i="13"/>
  <c r="AA15" i="13"/>
  <c r="Z36" i="13"/>
  <c r="L34" i="13"/>
  <c r="D27" i="13"/>
  <c r="P34" i="13"/>
  <c r="U34" i="13"/>
  <c r="Y34" i="13"/>
  <c r="H28" i="13"/>
  <c r="V15" i="13"/>
  <c r="V14" i="13" s="1"/>
  <c r="G14" i="13"/>
  <c r="V28" i="18"/>
  <c r="U27" i="18"/>
  <c r="V27" i="18" s="1"/>
  <c r="Z28" i="18"/>
  <c r="X27" i="18"/>
  <c r="Y28" i="18"/>
  <c r="Z33" i="13"/>
  <c r="I13" i="13"/>
  <c r="AB8" i="13"/>
  <c r="AD10" i="13"/>
  <c r="L11" i="13"/>
  <c r="I9" i="13"/>
  <c r="V9" i="13"/>
  <c r="F13" i="13"/>
  <c r="I12" i="13"/>
  <c r="V12" i="13"/>
  <c r="X12" i="13" s="1"/>
  <c r="AB11" i="13"/>
  <c r="AD11" i="13" s="1"/>
  <c r="AD12" i="13"/>
  <c r="Y11" i="13"/>
  <c r="AA11" i="13" s="1"/>
  <c r="AA12" i="13"/>
  <c r="X13" i="13"/>
  <c r="I10" i="13"/>
  <c r="V10" i="13"/>
  <c r="X10" i="13" s="1"/>
  <c r="X15" i="13"/>
  <c r="Y8" i="13"/>
  <c r="AA10" i="13"/>
  <c r="L14" i="13"/>
  <c r="Y31" i="13"/>
  <c r="Q32" i="13"/>
  <c r="O11" i="13"/>
  <c r="Q30" i="13"/>
  <c r="G8" i="13"/>
  <c r="Y28" i="13"/>
  <c r="Z29" i="13"/>
  <c r="Q29" i="13"/>
  <c r="O8" i="13"/>
  <c r="L8" i="13"/>
  <c r="L28" i="13"/>
  <c r="D9" i="13"/>
  <c r="U31" i="13"/>
  <c r="D10" i="13"/>
  <c r="Z32" i="13"/>
  <c r="Q35" i="13"/>
  <c r="D12" i="13"/>
  <c r="R27" i="13"/>
  <c r="D15" i="13"/>
  <c r="Q33" i="13"/>
  <c r="P31" i="13"/>
  <c r="V27" i="13"/>
  <c r="M7" i="13"/>
  <c r="J7" i="13"/>
  <c r="X27" i="13"/>
  <c r="Z37" i="13"/>
  <c r="T27" i="13"/>
  <c r="S27" i="13"/>
  <c r="N27" i="13"/>
  <c r="K27" i="13"/>
  <c r="J27" i="13"/>
  <c r="G11" i="13"/>
  <c r="I11" i="13" s="1"/>
  <c r="K7" i="13"/>
  <c r="N7" i="13"/>
  <c r="H8" i="13"/>
  <c r="G27" i="13"/>
  <c r="O27" i="13"/>
  <c r="P28" i="13"/>
  <c r="H31" i="13"/>
  <c r="U28" i="13"/>
  <c r="I27" i="13"/>
  <c r="Z35" i="13"/>
  <c r="Q37" i="13"/>
  <c r="Z30" i="13"/>
  <c r="M27" i="13"/>
  <c r="W27" i="13"/>
  <c r="Q36" i="13"/>
  <c r="E27" i="13"/>
  <c r="F27" i="13"/>
  <c r="L31" i="13"/>
  <c r="AA36" i="13" l="1"/>
  <c r="S15" i="13"/>
  <c r="S14" i="13" s="1"/>
  <c r="D14" i="13"/>
  <c r="Z27" i="18"/>
  <c r="Y27" i="18"/>
  <c r="AA33" i="13"/>
  <c r="F12" i="13"/>
  <c r="S12" i="13"/>
  <c r="AA37" i="13"/>
  <c r="AA32" i="13"/>
  <c r="F9" i="13"/>
  <c r="S9" i="13"/>
  <c r="AD8" i="13"/>
  <c r="AB7" i="13"/>
  <c r="V11" i="13"/>
  <c r="X11" i="13" s="1"/>
  <c r="AA35" i="13"/>
  <c r="F10" i="13"/>
  <c r="S10" i="13"/>
  <c r="U10" i="13" s="1"/>
  <c r="Y7" i="13"/>
  <c r="V8" i="13"/>
  <c r="H27" i="13"/>
  <c r="Z31" i="13"/>
  <c r="Q31" i="13"/>
  <c r="D11" i="13"/>
  <c r="F11" i="13" s="1"/>
  <c r="Z28" i="13"/>
  <c r="AA30" i="13"/>
  <c r="I8" i="13"/>
  <c r="Y27" i="13"/>
  <c r="U27" i="13"/>
  <c r="AA29" i="13"/>
  <c r="P27" i="13"/>
  <c r="O7" i="13"/>
  <c r="L7" i="13"/>
  <c r="Q28" i="13"/>
  <c r="Z34" i="13"/>
  <c r="D8" i="13"/>
  <c r="Q34" i="13"/>
  <c r="L27" i="13"/>
  <c r="G7" i="13"/>
  <c r="E8" i="13"/>
  <c r="U15" i="13" l="1"/>
  <c r="AA28" i="13"/>
  <c r="S8" i="13"/>
  <c r="AA34" i="13"/>
  <c r="S11" i="13"/>
  <c r="U11" i="13" s="1"/>
  <c r="U12" i="13"/>
  <c r="V7" i="13"/>
  <c r="AA31" i="13"/>
  <c r="D7" i="13"/>
  <c r="Z27" i="13"/>
  <c r="Q27" i="13"/>
  <c r="F8" i="13"/>
  <c r="K23" i="2"/>
  <c r="L16" i="2"/>
  <c r="L17" i="2"/>
  <c r="L18" i="2"/>
  <c r="L15" i="2"/>
  <c r="H23" i="2"/>
  <c r="G23" i="2"/>
  <c r="S7" i="13" l="1"/>
  <c r="AA27" i="13"/>
  <c r="H5" i="2"/>
  <c r="I5" i="2" s="1"/>
  <c r="H6" i="2"/>
  <c r="I6" i="2" s="1"/>
  <c r="H7" i="2"/>
  <c r="I7" i="2" s="1"/>
  <c r="H8" i="2"/>
  <c r="I8" i="2" s="1"/>
  <c r="H9" i="2"/>
  <c r="I9" i="2" s="1"/>
  <c r="H10" i="2"/>
  <c r="I10" i="2" s="1"/>
  <c r="H11" i="2"/>
  <c r="I11" i="2" s="1"/>
  <c r="H12" i="2"/>
  <c r="J12" i="2" s="1"/>
  <c r="H13" i="2"/>
  <c r="I13" i="2" s="1"/>
  <c r="H14" i="2"/>
  <c r="I14" i="2" s="1"/>
  <c r="L22" i="2"/>
  <c r="J31" i="2"/>
  <c r="J34" i="2"/>
  <c r="H42" i="2"/>
  <c r="I42" i="2" s="1"/>
  <c r="H43" i="2"/>
  <c r="J43" i="2" s="1"/>
  <c r="H44" i="2"/>
  <c r="I44" i="2" s="1"/>
  <c r="H45" i="2"/>
  <c r="I45" i="2" s="1"/>
  <c r="H46" i="2"/>
  <c r="I46" i="2" s="1"/>
  <c r="H47" i="2"/>
  <c r="I47" i="2" s="1"/>
  <c r="H48" i="2"/>
  <c r="I48" i="2" s="1"/>
  <c r="H49" i="2"/>
  <c r="I49" i="2" s="1"/>
  <c r="H50" i="2"/>
  <c r="I50" i="2" s="1"/>
  <c r="H51" i="2"/>
  <c r="J51" i="2" s="1"/>
  <c r="H52" i="2"/>
  <c r="I52" i="2" s="1"/>
  <c r="H53" i="2"/>
  <c r="I53" i="2" s="1"/>
  <c r="H54" i="2"/>
  <c r="I54" i="2" s="1"/>
  <c r="H55" i="2"/>
  <c r="I55" i="2" s="1"/>
  <c r="H56" i="2"/>
  <c r="I56" i="2" s="1"/>
  <c r="H57" i="2"/>
  <c r="I57" i="2" s="1"/>
  <c r="H58" i="2"/>
  <c r="I58" i="2" s="1"/>
  <c r="H59" i="2"/>
  <c r="J59" i="2" s="1"/>
  <c r="H60" i="2"/>
  <c r="I60" i="2" s="1"/>
  <c r="H61" i="2"/>
  <c r="I61" i="2" s="1"/>
  <c r="H62" i="2"/>
  <c r="I62" i="2" s="1"/>
  <c r="H63" i="2"/>
  <c r="I63" i="2" s="1"/>
  <c r="H64" i="2"/>
  <c r="I64" i="2" s="1"/>
  <c r="H65" i="2"/>
  <c r="I65" i="2" s="1"/>
  <c r="H66" i="2"/>
  <c r="I66" i="2" s="1"/>
  <c r="H67" i="2"/>
  <c r="J67" i="2" s="1"/>
  <c r="H68" i="2"/>
  <c r="I68" i="2" s="1"/>
  <c r="H69" i="2"/>
  <c r="I69" i="2" s="1"/>
  <c r="H70" i="2"/>
  <c r="I70" i="2" s="1"/>
  <c r="H71" i="2"/>
  <c r="I71" i="2" s="1"/>
  <c r="H72" i="2"/>
  <c r="I72" i="2" s="1"/>
  <c r="H73" i="2"/>
  <c r="I73" i="2" s="1"/>
  <c r="H74" i="2"/>
  <c r="I74" i="2" s="1"/>
  <c r="H75" i="2"/>
  <c r="J75" i="2" s="1"/>
  <c r="H76" i="2"/>
  <c r="I76" i="2" s="1"/>
  <c r="H77" i="2"/>
  <c r="I77" i="2" s="1"/>
  <c r="H78" i="2"/>
  <c r="I78" i="2" s="1"/>
  <c r="H79" i="2"/>
  <c r="I79" i="2" s="1"/>
  <c r="H80" i="2"/>
  <c r="I80" i="2" s="1"/>
  <c r="H81" i="2"/>
  <c r="I81" i="2" s="1"/>
  <c r="H82" i="2"/>
  <c r="I82" i="2" s="1"/>
  <c r="H83" i="2"/>
  <c r="J83" i="2" s="1"/>
  <c r="H84" i="2"/>
  <c r="I84" i="2" s="1"/>
  <c r="H85" i="2"/>
  <c r="I85" i="2" s="1"/>
  <c r="H86" i="2"/>
  <c r="I86" i="2" s="1"/>
  <c r="H87" i="2"/>
  <c r="I87" i="2" s="1"/>
  <c r="H88" i="2"/>
  <c r="I88" i="2" s="1"/>
  <c r="H89" i="2"/>
  <c r="I89" i="2" s="1"/>
  <c r="H90" i="2"/>
  <c r="I90" i="2" s="1"/>
  <c r="H91" i="2"/>
  <c r="J91" i="2" s="1"/>
  <c r="H92" i="2"/>
  <c r="I92" i="2" s="1"/>
  <c r="H93" i="2"/>
  <c r="I93" i="2" s="1"/>
  <c r="H94" i="2"/>
  <c r="I94" i="2" s="1"/>
  <c r="H95" i="2"/>
  <c r="I95" i="2" s="1"/>
  <c r="H96" i="2"/>
  <c r="I96" i="2" s="1"/>
  <c r="H97" i="2"/>
  <c r="I97" i="2" s="1"/>
  <c r="H98" i="2"/>
  <c r="I98" i="2" s="1"/>
  <c r="H99" i="2"/>
  <c r="J99" i="2" s="1"/>
  <c r="H100" i="2"/>
  <c r="I100" i="2" s="1"/>
  <c r="H101" i="2"/>
  <c r="I101" i="2" s="1"/>
  <c r="H102" i="2"/>
  <c r="I102" i="2" s="1"/>
  <c r="H103" i="2"/>
  <c r="I103" i="2" s="1"/>
  <c r="H104" i="2"/>
  <c r="I104" i="2" s="1"/>
  <c r="H105" i="2"/>
  <c r="I105" i="2" s="1"/>
  <c r="H106" i="2"/>
  <c r="I106" i="2" s="1"/>
  <c r="H107" i="2"/>
  <c r="J107" i="2" s="1"/>
  <c r="H108" i="2"/>
  <c r="I108" i="2" s="1"/>
  <c r="H109" i="2"/>
  <c r="I109" i="2" s="1"/>
  <c r="H110" i="2"/>
  <c r="I110" i="2" s="1"/>
  <c r="H111" i="2"/>
  <c r="I111" i="2" s="1"/>
  <c r="H112" i="2"/>
  <c r="I112" i="2" s="1"/>
  <c r="H113" i="2"/>
  <c r="I113" i="2" s="1"/>
  <c r="H114" i="2"/>
  <c r="I114" i="2" s="1"/>
  <c r="H115" i="2"/>
  <c r="J115" i="2" s="1"/>
  <c r="H116" i="2"/>
  <c r="I116" i="2" s="1"/>
  <c r="H117" i="2"/>
  <c r="I117" i="2" s="1"/>
  <c r="H118" i="2"/>
  <c r="I118" i="2" s="1"/>
  <c r="H119" i="2"/>
  <c r="I119" i="2" s="1"/>
  <c r="H120" i="2"/>
  <c r="I120" i="2" s="1"/>
  <c r="H121" i="2"/>
  <c r="I121" i="2" s="1"/>
  <c r="H122" i="2"/>
  <c r="I122" i="2" s="1"/>
  <c r="H123" i="2"/>
  <c r="J123" i="2" s="1"/>
  <c r="H124" i="2"/>
  <c r="I124" i="2" s="1"/>
  <c r="H125" i="2"/>
  <c r="I125" i="2" s="1"/>
  <c r="H126" i="2"/>
  <c r="I126" i="2" s="1"/>
  <c r="H127" i="2"/>
  <c r="I127" i="2" s="1"/>
  <c r="H128" i="2"/>
  <c r="I128" i="2" s="1"/>
  <c r="H129" i="2"/>
  <c r="I129" i="2" s="1"/>
  <c r="H130" i="2"/>
  <c r="I130" i="2" s="1"/>
  <c r="H131" i="2"/>
  <c r="J131" i="2" s="1"/>
  <c r="H132" i="2"/>
  <c r="I132" i="2" s="1"/>
  <c r="H133" i="2"/>
  <c r="I133" i="2" s="1"/>
  <c r="H134" i="2"/>
  <c r="I134" i="2" s="1"/>
  <c r="H135" i="2"/>
  <c r="I135" i="2" s="1"/>
  <c r="H136" i="2"/>
  <c r="I136" i="2" s="1"/>
  <c r="H137" i="2"/>
  <c r="I137" i="2" s="1"/>
  <c r="H138" i="2"/>
  <c r="I138" i="2" s="1"/>
  <c r="H139" i="2"/>
  <c r="J139" i="2" s="1"/>
  <c r="H140" i="2"/>
  <c r="I140" i="2" s="1"/>
  <c r="H141" i="2"/>
  <c r="I141" i="2" s="1"/>
  <c r="H142" i="2"/>
  <c r="I142" i="2" s="1"/>
  <c r="H143" i="2"/>
  <c r="I143" i="2" s="1"/>
  <c r="H144" i="2"/>
  <c r="I144" i="2" s="1"/>
  <c r="H145" i="2"/>
  <c r="I145" i="2" s="1"/>
  <c r="H146" i="2"/>
  <c r="I146" i="2" s="1"/>
  <c r="H147" i="2"/>
  <c r="J147" i="2" s="1"/>
  <c r="H148" i="2"/>
  <c r="I148" i="2" s="1"/>
  <c r="H149" i="2"/>
  <c r="I149" i="2" s="1"/>
  <c r="H150" i="2"/>
  <c r="I150" i="2" s="1"/>
  <c r="H151" i="2"/>
  <c r="I151" i="2" s="1"/>
  <c r="H152" i="2"/>
  <c r="I152" i="2" s="1"/>
  <c r="H153" i="2"/>
  <c r="I153" i="2" s="1"/>
  <c r="H154" i="2"/>
  <c r="I154" i="2" s="1"/>
  <c r="H155" i="2"/>
  <c r="J155" i="2" s="1"/>
  <c r="H156" i="2"/>
  <c r="I156" i="2" s="1"/>
  <c r="H157" i="2"/>
  <c r="I157" i="2" s="1"/>
  <c r="H158" i="2"/>
  <c r="I158" i="2" s="1"/>
  <c r="H159" i="2"/>
  <c r="I159" i="2" s="1"/>
  <c r="H160" i="2"/>
  <c r="I160" i="2" s="1"/>
  <c r="H161" i="2"/>
  <c r="I161" i="2" s="1"/>
  <c r="H162" i="2"/>
  <c r="I162" i="2" s="1"/>
  <c r="H163" i="2"/>
  <c r="J163" i="2" s="1"/>
  <c r="H164" i="2"/>
  <c r="I164" i="2" s="1"/>
  <c r="H165" i="2"/>
  <c r="I165" i="2" s="1"/>
  <c r="H166" i="2"/>
  <c r="I166" i="2" s="1"/>
  <c r="H167" i="2"/>
  <c r="I167" i="2" s="1"/>
  <c r="H168" i="2"/>
  <c r="I168" i="2" s="1"/>
  <c r="H169" i="2"/>
  <c r="I169" i="2" s="1"/>
  <c r="H170" i="2"/>
  <c r="I170" i="2" s="1"/>
  <c r="H171" i="2"/>
  <c r="J171" i="2" s="1"/>
  <c r="H172" i="2"/>
  <c r="I172" i="2" s="1"/>
  <c r="H173" i="2"/>
  <c r="I173" i="2" s="1"/>
  <c r="H174" i="2"/>
  <c r="I174" i="2" s="1"/>
  <c r="H175" i="2"/>
  <c r="I175" i="2" s="1"/>
  <c r="H176" i="2"/>
  <c r="I176" i="2" s="1"/>
  <c r="H177" i="2"/>
  <c r="I177" i="2" s="1"/>
  <c r="H178" i="2"/>
  <c r="I178" i="2" s="1"/>
  <c r="H179" i="2"/>
  <c r="J179" i="2" s="1"/>
  <c r="H180" i="2"/>
  <c r="I180" i="2" s="1"/>
  <c r="H181" i="2"/>
  <c r="I181" i="2" s="1"/>
  <c r="H182" i="2"/>
  <c r="I182" i="2" s="1"/>
  <c r="H183" i="2"/>
  <c r="I183" i="2" s="1"/>
  <c r="H184" i="2"/>
  <c r="I184" i="2" s="1"/>
  <c r="H185" i="2"/>
  <c r="I185" i="2" s="1"/>
  <c r="H186" i="2"/>
  <c r="I186" i="2" s="1"/>
  <c r="H187" i="2"/>
  <c r="J187" i="2" s="1"/>
  <c r="H188" i="2"/>
  <c r="I188" i="2" s="1"/>
  <c r="H189" i="2"/>
  <c r="I189" i="2" s="1"/>
  <c r="H190" i="2"/>
  <c r="I190" i="2" s="1"/>
  <c r="H191" i="2"/>
  <c r="I191" i="2" s="1"/>
  <c r="H192" i="2"/>
  <c r="I192" i="2" s="1"/>
  <c r="H193" i="2"/>
  <c r="I193" i="2" s="1"/>
  <c r="H194" i="2"/>
  <c r="I194" i="2" s="1"/>
  <c r="H195" i="2"/>
  <c r="J195" i="2" s="1"/>
  <c r="H196" i="2"/>
  <c r="I196" i="2" s="1"/>
  <c r="H197" i="2"/>
  <c r="I197" i="2" s="1"/>
  <c r="H198" i="2"/>
  <c r="I198" i="2" s="1"/>
  <c r="H199" i="2"/>
  <c r="I199" i="2" s="1"/>
  <c r="H200" i="2"/>
  <c r="I200" i="2" s="1"/>
  <c r="H201" i="2"/>
  <c r="I201" i="2" s="1"/>
  <c r="H202" i="2"/>
  <c r="I202" i="2" s="1"/>
  <c r="H203" i="2"/>
  <c r="J203" i="2" s="1"/>
  <c r="H204" i="2"/>
  <c r="I204" i="2" s="1"/>
  <c r="H205" i="2"/>
  <c r="I205" i="2" s="1"/>
  <c r="H206" i="2"/>
  <c r="I206" i="2" s="1"/>
  <c r="H207" i="2"/>
  <c r="I207" i="2" s="1"/>
  <c r="H208" i="2"/>
  <c r="I208" i="2" s="1"/>
  <c r="H209" i="2"/>
  <c r="I209" i="2" s="1"/>
  <c r="H210" i="2"/>
  <c r="I210" i="2" s="1"/>
  <c r="H211" i="2"/>
  <c r="J211" i="2" s="1"/>
  <c r="H212" i="2"/>
  <c r="I212" i="2" s="1"/>
  <c r="H213" i="2"/>
  <c r="I213" i="2" s="1"/>
  <c r="H214" i="2"/>
  <c r="I214" i="2" s="1"/>
  <c r="H215" i="2"/>
  <c r="I215" i="2" s="1"/>
  <c r="H216" i="2"/>
  <c r="I216" i="2" s="1"/>
  <c r="H217" i="2"/>
  <c r="I217" i="2" s="1"/>
  <c r="H218" i="2"/>
  <c r="I218" i="2" s="1"/>
  <c r="H219" i="2"/>
  <c r="I219" i="2" s="1"/>
  <c r="H220" i="2"/>
  <c r="I220" i="2" s="1"/>
  <c r="H221" i="2"/>
  <c r="I221" i="2" s="1"/>
  <c r="H222" i="2"/>
  <c r="I222" i="2" s="1"/>
  <c r="H223" i="2"/>
  <c r="I223" i="2" s="1"/>
  <c r="H224" i="2"/>
  <c r="I224" i="2" s="1"/>
  <c r="H225" i="2"/>
  <c r="J225" i="2" s="1"/>
  <c r="H226" i="2"/>
  <c r="I226" i="2" s="1"/>
  <c r="H227" i="2"/>
  <c r="I227" i="2" s="1"/>
  <c r="H228" i="2"/>
  <c r="I228" i="2" s="1"/>
  <c r="H229" i="2"/>
  <c r="I229" i="2" s="1"/>
  <c r="H230" i="2"/>
  <c r="I230" i="2" s="1"/>
  <c r="H231" i="2"/>
  <c r="I231" i="2" s="1"/>
  <c r="H232" i="2"/>
  <c r="I232" i="2" s="1"/>
  <c r="H233" i="2"/>
  <c r="J233" i="2" s="1"/>
  <c r="H234" i="2"/>
  <c r="I234" i="2" s="1"/>
  <c r="H235" i="2"/>
  <c r="I235" i="2" s="1"/>
  <c r="H236" i="2"/>
  <c r="I236" i="2" s="1"/>
  <c r="H237" i="2"/>
  <c r="I237" i="2" s="1"/>
  <c r="H238" i="2"/>
  <c r="I238" i="2" s="1"/>
  <c r="H239" i="2"/>
  <c r="I239" i="2" s="1"/>
  <c r="H240" i="2"/>
  <c r="I240" i="2" s="1"/>
  <c r="H241" i="2"/>
  <c r="J241" i="2" s="1"/>
  <c r="H242" i="2"/>
  <c r="I242" i="2" s="1"/>
  <c r="H4" i="2"/>
  <c r="I4" i="2" s="1"/>
  <c r="J38" i="2"/>
  <c r="J109" i="2" l="1"/>
  <c r="J117" i="2"/>
  <c r="J141" i="2"/>
  <c r="J173" i="2"/>
  <c r="J135" i="2"/>
  <c r="J181" i="2"/>
  <c r="J71" i="2"/>
  <c r="J63" i="2"/>
  <c r="J47" i="2"/>
  <c r="J55" i="2"/>
  <c r="J111" i="2"/>
  <c r="J79" i="2"/>
  <c r="J87" i="2"/>
  <c r="J95" i="2"/>
  <c r="J103" i="2"/>
  <c r="J10" i="2"/>
  <c r="J143" i="2"/>
  <c r="J8" i="2"/>
  <c r="J132" i="2"/>
  <c r="J92" i="2"/>
  <c r="J124" i="2"/>
  <c r="J52" i="2"/>
  <c r="J100" i="2"/>
  <c r="J78" i="2"/>
  <c r="J46" i="2"/>
  <c r="J151" i="2"/>
  <c r="J167" i="2"/>
  <c r="J199" i="2"/>
  <c r="J175" i="2"/>
  <c r="J215" i="2"/>
  <c r="J207" i="2"/>
  <c r="J53" i="2"/>
  <c r="J119" i="2"/>
  <c r="J149" i="2"/>
  <c r="J183" i="2"/>
  <c r="J231" i="2"/>
  <c r="J21" i="2"/>
  <c r="H17" i="13"/>
  <c r="L21" i="2"/>
  <c r="J93" i="2"/>
  <c r="J189" i="2"/>
  <c r="J19" i="2"/>
  <c r="H15" i="13"/>
  <c r="L19" i="2"/>
  <c r="J223" i="2"/>
  <c r="J157" i="2"/>
  <c r="J61" i="2"/>
  <c r="J125" i="2"/>
  <c r="J191" i="2"/>
  <c r="J127" i="2"/>
  <c r="J159" i="2"/>
  <c r="J197" i="2"/>
  <c r="J162" i="2"/>
  <c r="J154" i="2"/>
  <c r="J11" i="2"/>
  <c r="J152" i="2"/>
  <c r="J177" i="2"/>
  <c r="J209" i="2"/>
  <c r="J88" i="2"/>
  <c r="J89" i="2"/>
  <c r="J113" i="2"/>
  <c r="J40" i="2"/>
  <c r="J29" i="2"/>
  <c r="J73" i="2"/>
  <c r="J121" i="2"/>
  <c r="J145" i="2"/>
  <c r="J239" i="2"/>
  <c r="J110" i="2"/>
  <c r="J213" i="2"/>
  <c r="J50" i="2"/>
  <c r="J82" i="2"/>
  <c r="J94" i="2"/>
  <c r="J126" i="2"/>
  <c r="J158" i="2"/>
  <c r="J36" i="2"/>
  <c r="J69" i="2"/>
  <c r="J85" i="2"/>
  <c r="J194" i="2"/>
  <c r="J70" i="2"/>
  <c r="J54" i="2"/>
  <c r="J118" i="2"/>
  <c r="J102" i="2"/>
  <c r="J134" i="2"/>
  <c r="J166" i="2"/>
  <c r="J229" i="2"/>
  <c r="J62" i="2"/>
  <c r="J142" i="2"/>
  <c r="J174" i="2"/>
  <c r="J190" i="2"/>
  <c r="J237" i="2"/>
  <c r="J86" i="2"/>
  <c r="J221" i="2"/>
  <c r="J101" i="2"/>
  <c r="J133" i="2"/>
  <c r="J150" i="2"/>
  <c r="J165" i="2"/>
  <c r="J182" i="2"/>
  <c r="J198" i="2"/>
  <c r="J25" i="2"/>
  <c r="J26" i="2"/>
  <c r="J45" i="2"/>
  <c r="J58" i="2"/>
  <c r="J77" i="2"/>
  <c r="J186" i="2"/>
  <c r="J205" i="2"/>
  <c r="J230" i="2"/>
  <c r="J30" i="2"/>
  <c r="J49" i="2"/>
  <c r="J60" i="2"/>
  <c r="J81" i="2"/>
  <c r="J90" i="2"/>
  <c r="J122" i="2"/>
  <c r="J153" i="2"/>
  <c r="J164" i="2"/>
  <c r="J185" i="2"/>
  <c r="J196" i="2"/>
  <c r="J206" i="2"/>
  <c r="J217" i="2"/>
  <c r="J228" i="2"/>
  <c r="J84" i="2"/>
  <c r="J24" i="2"/>
  <c r="J42" i="2"/>
  <c r="J74" i="2"/>
  <c r="J105" i="2"/>
  <c r="J116" i="2"/>
  <c r="J137" i="2"/>
  <c r="J148" i="2"/>
  <c r="J178" i="2"/>
  <c r="J210" i="2"/>
  <c r="J234" i="2"/>
  <c r="J188" i="2"/>
  <c r="J44" i="2"/>
  <c r="J65" i="2"/>
  <c r="J76" i="2"/>
  <c r="J106" i="2"/>
  <c r="J138" i="2"/>
  <c r="J169" i="2"/>
  <c r="J180" i="2"/>
  <c r="J201" i="2"/>
  <c r="J212" i="2"/>
  <c r="J222" i="2"/>
  <c r="J236" i="2"/>
  <c r="J218" i="2"/>
  <c r="J114" i="2"/>
  <c r="J146" i="2"/>
  <c r="J220" i="2"/>
  <c r="J66" i="2"/>
  <c r="J108" i="2"/>
  <c r="J129" i="2"/>
  <c r="J170" i="2"/>
  <c r="J156" i="2"/>
  <c r="J33" i="2"/>
  <c r="J97" i="2"/>
  <c r="J140" i="2"/>
  <c r="J202" i="2"/>
  <c r="J35" i="2"/>
  <c r="J57" i="2"/>
  <c r="J68" i="2"/>
  <c r="J98" i="2"/>
  <c r="J130" i="2"/>
  <c r="J161" i="2"/>
  <c r="J172" i="2"/>
  <c r="J193" i="2"/>
  <c r="J204" i="2"/>
  <c r="J214" i="2"/>
  <c r="J226" i="2"/>
  <c r="J238" i="2"/>
  <c r="J7" i="2"/>
  <c r="J6" i="2"/>
  <c r="J5" i="2"/>
  <c r="J14" i="2"/>
  <c r="J13" i="2"/>
  <c r="J28" i="2"/>
  <c r="J80" i="2"/>
  <c r="J144" i="2"/>
  <c r="J208" i="2"/>
  <c r="J216" i="2"/>
  <c r="J72" i="2"/>
  <c r="J136" i="2"/>
  <c r="J200" i="2"/>
  <c r="J64" i="2"/>
  <c r="J128" i="2"/>
  <c r="J192" i="2"/>
  <c r="J240" i="2"/>
  <c r="J56" i="2"/>
  <c r="J120" i="2"/>
  <c r="J184" i="2"/>
  <c r="J242" i="2"/>
  <c r="I211" i="2"/>
  <c r="I203" i="2"/>
  <c r="I195" i="2"/>
  <c r="I187" i="2"/>
  <c r="I179" i="2"/>
  <c r="I171" i="2"/>
  <c r="I163" i="2"/>
  <c r="I155" i="2"/>
  <c r="I147" i="2"/>
  <c r="I139" i="2"/>
  <c r="I131" i="2"/>
  <c r="I123" i="2"/>
  <c r="I115" i="2"/>
  <c r="I107" i="2"/>
  <c r="I99" i="2"/>
  <c r="I91" i="2"/>
  <c r="I83" i="2"/>
  <c r="I75" i="2"/>
  <c r="I67" i="2"/>
  <c r="I59" i="2"/>
  <c r="I51" i="2"/>
  <c r="I43" i="2"/>
  <c r="I23" i="2"/>
  <c r="J23" i="2" s="1"/>
  <c r="I12" i="2"/>
  <c r="J48" i="2"/>
  <c r="J112" i="2"/>
  <c r="J176" i="2"/>
  <c r="J232" i="2"/>
  <c r="J39" i="2"/>
  <c r="J104" i="2"/>
  <c r="J168" i="2"/>
  <c r="I241" i="2"/>
  <c r="I233" i="2"/>
  <c r="I225" i="2"/>
  <c r="J9" i="2"/>
  <c r="J96" i="2"/>
  <c r="J160" i="2"/>
  <c r="J224" i="2"/>
  <c r="J219" i="2"/>
  <c r="J227" i="2"/>
  <c r="J235" i="2"/>
  <c r="J32" i="2" l="1"/>
  <c r="E17" i="13"/>
  <c r="F17" i="13" s="1"/>
  <c r="I17" i="13"/>
  <c r="H16" i="13"/>
  <c r="H14" i="13" s="1"/>
  <c r="L20" i="2"/>
  <c r="L23" i="2" s="1"/>
  <c r="E15" i="13"/>
  <c r="I15" i="13"/>
  <c r="O43" i="12"/>
  <c r="F15" i="13" l="1"/>
  <c r="E16" i="13"/>
  <c r="F16" i="13" s="1"/>
  <c r="I16" i="13"/>
  <c r="I14" i="13"/>
  <c r="H7" i="13"/>
  <c r="I7" i="13" s="1"/>
  <c r="J4" i="2"/>
  <c r="E14" i="13" l="1"/>
  <c r="O44" i="12"/>
  <c r="F14" i="13" l="1"/>
  <c r="E7" i="13"/>
  <c r="F7" i="13" s="1"/>
  <c r="G14" i="18" l="1"/>
  <c r="H14" i="18" l="1"/>
  <c r="AC14" i="18"/>
  <c r="V14" i="18"/>
  <c r="W14" i="18" l="1"/>
  <c r="AD14" i="18"/>
  <c r="G13" i="18"/>
  <c r="G12" i="18" l="1"/>
  <c r="G8" i="18" s="1"/>
  <c r="H13" i="18"/>
  <c r="H12" i="18" s="1"/>
  <c r="H8" i="18" s="1"/>
  <c r="AC13" i="18"/>
  <c r="V13" i="18"/>
  <c r="W13" i="18" l="1"/>
  <c r="V12" i="18"/>
  <c r="AD13" i="18"/>
  <c r="AC12" i="18"/>
  <c r="W12" i="18" l="1"/>
  <c r="V8" i="18"/>
  <c r="W8" i="18" s="1"/>
  <c r="AD12" i="18"/>
  <c r="AC8" i="18"/>
  <c r="AD8" i="18" s="1"/>
  <c r="Z18" i="13" l="1"/>
  <c r="Z17" i="13"/>
  <c r="AA17" i="13" s="1"/>
  <c r="W17" i="13"/>
  <c r="AA18" i="13" l="1"/>
  <c r="T17" i="13"/>
  <c r="U17" i="13" s="1"/>
  <c r="X17" i="13"/>
  <c r="Z16" i="13" l="1"/>
  <c r="Z14" i="13" l="1"/>
  <c r="AA14" i="13" s="1"/>
  <c r="AA16" i="13"/>
  <c r="W16" i="13" l="1"/>
  <c r="T16" i="13" l="1"/>
  <c r="W14" i="13"/>
  <c r="X14" i="13" s="1"/>
  <c r="X16" i="13"/>
  <c r="U16" i="13" l="1"/>
  <c r="W9" i="13" l="1"/>
  <c r="Z9" i="13" l="1"/>
  <c r="T9" i="13" s="1"/>
  <c r="W8" i="13"/>
  <c r="X9" i="13"/>
  <c r="Z8" i="13" l="1"/>
  <c r="AA9" i="13"/>
  <c r="W7" i="13"/>
  <c r="X7" i="13" s="1"/>
  <c r="X8" i="13"/>
  <c r="T8" i="13"/>
  <c r="U9" i="13"/>
  <c r="Z7" i="13" l="1"/>
  <c r="AA7" i="13" s="1"/>
  <c r="AA8" i="13"/>
  <c r="U8" i="13"/>
  <c r="AC18" i="13" l="1"/>
  <c r="T18" i="13" s="1"/>
  <c r="K146" i="14"/>
  <c r="N146" i="14" l="1"/>
  <c r="U18" i="13"/>
  <c r="T14" i="13"/>
  <c r="AD18" i="13"/>
  <c r="AC14" i="13"/>
  <c r="U14" i="13" l="1"/>
  <c r="T7" i="13"/>
  <c r="U7" i="13" s="1"/>
  <c r="AD14" i="13"/>
  <c r="AC7" i="13"/>
  <c r="AD7" i="13" s="1"/>
  <c r="L151" i="14" l="1"/>
  <c r="J157" i="14"/>
  <c r="J180" i="14" s="1"/>
  <c r="J283" i="14" s="1"/>
  <c r="L157" i="14" l="1"/>
  <c r="S157" i="14"/>
  <c r="L283" i="14"/>
  <c r="N156" i="14"/>
  <c r="N157" i="14" s="1"/>
  <c r="N180" i="14" s="1"/>
  <c r="N283" i="14" s="1"/>
  <c r="L156" i="14"/>
  <c r="K157" i="14"/>
  <c r="K180" i="14" s="1"/>
  <c r="K283" i="14" s="1"/>
  <c r="L180" i="14" l="1"/>
  <c r="O180" i="14"/>
  <c r="T157" i="14"/>
  <c r="U108" i="25"/>
  <c r="W108" i="25" s="1"/>
  <c r="G37" i="25"/>
  <c r="I37" i="25" s="1"/>
  <c r="N108" i="25"/>
  <c r="M108" i="25"/>
  <c r="G45" i="25" l="1"/>
  <c r="K45" i="25" s="1"/>
  <c r="V108" i="25"/>
  <c r="G205" i="25"/>
  <c r="Y19" i="25"/>
  <c r="AC19" i="25" s="1"/>
  <c r="G125" i="25"/>
  <c r="M103" i="25"/>
  <c r="M95" i="25" s="1"/>
  <c r="T108" i="25"/>
  <c r="X108" i="25" s="1"/>
  <c r="I158" i="25"/>
  <c r="J158" i="25"/>
  <c r="P108" i="25"/>
  <c r="N103" i="25"/>
  <c r="O108" i="25"/>
  <c r="Q108" i="25"/>
  <c r="G201" i="25" l="1"/>
  <c r="H201" i="25" s="1"/>
  <c r="H205" i="25"/>
  <c r="Y15" i="25"/>
  <c r="AC15" i="25" s="1"/>
  <c r="X8" i="25"/>
  <c r="N154" i="25"/>
  <c r="G51" i="25"/>
  <c r="K51" i="25" s="1"/>
  <c r="N162" i="25"/>
  <c r="N95" i="25"/>
  <c r="P103" i="25"/>
  <c r="Q103" i="25"/>
  <c r="O103" i="25"/>
  <c r="I154" i="25"/>
  <c r="J154" i="25"/>
  <c r="Q158" i="25"/>
  <c r="P158" i="25"/>
  <c r="I125" i="25"/>
  <c r="N125" i="25"/>
  <c r="G120" i="25"/>
  <c r="H125" i="25"/>
  <c r="J125" i="25"/>
  <c r="I205" i="25"/>
  <c r="J205" i="25"/>
  <c r="Y8" i="25" l="1"/>
  <c r="AC8" i="25" s="1"/>
  <c r="AB8" i="25"/>
  <c r="N147" i="25"/>
  <c r="O147" i="25" s="1"/>
  <c r="O154" i="25"/>
  <c r="P154" i="25"/>
  <c r="Q154" i="25"/>
  <c r="O162" i="25"/>
  <c r="Q162" i="25"/>
  <c r="P162" i="25"/>
  <c r="I201" i="25"/>
  <c r="G194" i="25"/>
  <c r="H194" i="25" s="1"/>
  <c r="J201" i="25"/>
  <c r="O125" i="25"/>
  <c r="Q125" i="25"/>
  <c r="P125" i="25"/>
  <c r="I147" i="25"/>
  <c r="J147" i="25"/>
  <c r="G112" i="25"/>
  <c r="I120" i="25"/>
  <c r="J120" i="25"/>
  <c r="H120" i="25"/>
  <c r="P95" i="25"/>
  <c r="O95" i="25"/>
  <c r="Q95" i="25"/>
  <c r="Q147" i="25" l="1"/>
  <c r="P147" i="25"/>
  <c r="I112" i="25"/>
  <c r="H112" i="25"/>
  <c r="J112" i="25"/>
  <c r="J194" i="25"/>
  <c r="I194"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박교민</author>
  </authors>
  <commentList>
    <comment ref="I38" authorId="0" shapeId="0" xr:uid="{ECD31831-FAB0-4807-81C6-2E46C4351A06}">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t>
        </r>
        <r>
          <rPr>
            <sz val="9"/>
            <color indexed="81"/>
            <rFont val="돋움"/>
            <family val="3"/>
            <charset val="129"/>
          </rPr>
          <t>용역</t>
        </r>
        <r>
          <rPr>
            <sz val="9"/>
            <color indexed="81"/>
            <rFont val="Tahoma"/>
            <family val="2"/>
          </rPr>
          <t xml:space="preserve"> 41,874,000</t>
        </r>
      </text>
    </comment>
    <comment ref="I50" authorId="0" shapeId="0" xr:uid="{0AED134A-F337-4D68-B0E5-4FA8B8B00C7F}">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14,670,000</t>
        </r>
        <r>
          <rPr>
            <sz val="9"/>
            <color indexed="81"/>
            <rFont val="돋움"/>
            <family val="3"/>
            <charset val="129"/>
          </rPr>
          <t>추가</t>
        </r>
      </text>
    </comment>
    <comment ref="I61" authorId="0" shapeId="0" xr:uid="{424131B0-D3D1-410E-A6AA-5122A8572C7D}">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15,026,000
IIT 36,587,869</t>
        </r>
      </text>
    </comment>
  </commentList>
</comments>
</file>

<file path=xl/sharedStrings.xml><?xml version="1.0" encoding="utf-8"?>
<sst xmlns="http://schemas.openxmlformats.org/spreadsheetml/2006/main" count="5265" uniqueCount="563">
  <si>
    <t xml:space="preserve">26년 CMO 매출 예상실적 </t>
    <phoneticPr fontId="2" type="noConversion"/>
  </si>
  <si>
    <t>1분기</t>
    <phoneticPr fontId="2" type="noConversion"/>
  </si>
  <si>
    <t>1월</t>
    <phoneticPr fontId="2" type="noConversion"/>
  </si>
  <si>
    <t>2월</t>
    <phoneticPr fontId="2" type="noConversion"/>
  </si>
  <si>
    <t>3월</t>
    <phoneticPr fontId="2" type="noConversion"/>
  </si>
  <si>
    <t>단위 : 억원</t>
    <phoneticPr fontId="2" type="noConversion"/>
  </si>
  <si>
    <t>구분</t>
    <phoneticPr fontId="2" type="noConversion"/>
  </si>
  <si>
    <t>25년
실적</t>
    <phoneticPr fontId="2" type="noConversion"/>
  </si>
  <si>
    <t>26년
목표</t>
    <phoneticPr fontId="2" type="noConversion"/>
  </si>
  <si>
    <t>25년
실적</t>
  </si>
  <si>
    <t>사업
계획</t>
    <phoneticPr fontId="2" type="noConversion"/>
  </si>
  <si>
    <t>실적</t>
    <phoneticPr fontId="2" type="noConversion"/>
  </si>
  <si>
    <t>차이</t>
    <phoneticPr fontId="2" type="noConversion"/>
  </si>
  <si>
    <t>차이</t>
  </si>
  <si>
    <t xml:space="preserve"> CMO 합계</t>
    <phoneticPr fontId="2" type="noConversion"/>
  </si>
  <si>
    <t>24년</t>
    <phoneticPr fontId="2" type="noConversion"/>
  </si>
  <si>
    <t xml:space="preserve"> 케미컬 상업</t>
    <phoneticPr fontId="2" type="noConversion"/>
  </si>
  <si>
    <t>25년</t>
    <phoneticPr fontId="2" type="noConversion"/>
  </si>
  <si>
    <t>내재화</t>
    <phoneticPr fontId="2" type="noConversion"/>
  </si>
  <si>
    <t>기타(위임형 등)</t>
    <phoneticPr fontId="2" type="noConversion"/>
  </si>
  <si>
    <t>26년</t>
    <phoneticPr fontId="2" type="noConversion"/>
  </si>
  <si>
    <t xml:space="preserve"> 바이오 상업</t>
    <phoneticPr fontId="2" type="noConversion"/>
  </si>
  <si>
    <t>PFS</t>
    <phoneticPr fontId="2" type="noConversion"/>
  </si>
  <si>
    <t>L&amp;P</t>
    <phoneticPr fontId="2" type="noConversion"/>
  </si>
  <si>
    <t xml:space="preserve"> 개발 용역</t>
    <phoneticPr fontId="2" type="noConversion"/>
  </si>
  <si>
    <t>PFS 개발</t>
    <phoneticPr fontId="2" type="noConversion"/>
  </si>
  <si>
    <t>LCM</t>
    <phoneticPr fontId="2" type="noConversion"/>
  </si>
  <si>
    <t>내재화 개발</t>
    <phoneticPr fontId="2" type="noConversion"/>
  </si>
  <si>
    <t>기타(QA위임등)*</t>
    <phoneticPr fontId="2" type="noConversion"/>
  </si>
  <si>
    <t>국내영업</t>
    <phoneticPr fontId="2" type="noConversion"/>
  </si>
  <si>
    <t>케미컬</t>
    <phoneticPr fontId="2" type="noConversion"/>
  </si>
  <si>
    <t>바이오</t>
    <phoneticPr fontId="2" type="noConversion"/>
  </si>
  <si>
    <t>APAC</t>
    <phoneticPr fontId="2" type="noConversion"/>
  </si>
  <si>
    <t>*기타 : 약물감시, IIT 용역 추가 반영</t>
    <phoneticPr fontId="2" type="noConversion"/>
  </si>
  <si>
    <t>* : 매출 미반영</t>
    <phoneticPr fontId="2" type="noConversion"/>
  </si>
  <si>
    <t>계획</t>
    <phoneticPr fontId="2" type="noConversion"/>
  </si>
  <si>
    <t>전주 보고
(경영회의)</t>
    <phoneticPr fontId="2" type="noConversion"/>
  </si>
  <si>
    <t>금주 보고
(경영회의)</t>
    <phoneticPr fontId="2" type="noConversion"/>
  </si>
  <si>
    <t>전주 대비</t>
    <phoneticPr fontId="2" type="noConversion"/>
  </si>
  <si>
    <t>변경사유 / 특이사항</t>
    <phoneticPr fontId="2" type="noConversion"/>
  </si>
  <si>
    <t>케미컬 상업</t>
    <phoneticPr fontId="2" type="noConversion"/>
  </si>
  <si>
    <t>바이오상업</t>
    <phoneticPr fontId="2" type="noConversion"/>
  </si>
  <si>
    <t>개발용역</t>
    <phoneticPr fontId="2" type="noConversion"/>
  </si>
  <si>
    <t>총합</t>
    <phoneticPr fontId="2" type="noConversion"/>
  </si>
  <si>
    <t>2) 3분기 매출 특이사항</t>
    <phoneticPr fontId="2" type="noConversion"/>
  </si>
  <si>
    <t>상동</t>
  </si>
  <si>
    <t>GCP</t>
    <phoneticPr fontId="2" type="noConversion"/>
  </si>
  <si>
    <t>기타</t>
    <phoneticPr fontId="2" type="noConversion"/>
  </si>
  <si>
    <t>3분기 계획비 +6.0억 → 실질롤링 +44.4억</t>
  </si>
  <si>
    <t>3) 실질 롤링 전주 대비 비교</t>
    <phoneticPr fontId="2" type="noConversion"/>
  </si>
  <si>
    <t>2분기 계획</t>
    <phoneticPr fontId="2" type="noConversion"/>
  </si>
  <si>
    <t>5월 롤링</t>
    <phoneticPr fontId="2" type="noConversion"/>
  </si>
  <si>
    <t>2분기 롤링</t>
    <phoneticPr fontId="2" type="noConversion"/>
  </si>
  <si>
    <t>전주</t>
    <phoneticPr fontId="2" type="noConversion"/>
  </si>
  <si>
    <t>금주</t>
    <phoneticPr fontId="2" type="noConversion"/>
  </si>
  <si>
    <t>Gap</t>
    <phoneticPr fontId="2" type="noConversion"/>
  </si>
  <si>
    <t>- 4월 최종실적 반영(-0.2억)
* 5월 네시나액트 25/30mg 태국향 수율 향상(+1억) 마일스톤 분기 이동
* 6월 네시나 12mg 홍콩향 긴급납기(+1.9억, 7월→6월)</t>
    <phoneticPr fontId="2" type="noConversion"/>
  </si>
  <si>
    <t>4월 최종실적 반영(-0.4억)
5월 마일스톤 분기 이동
* 6월 고객사 포장 요청물량 증가(+1.2억)</t>
    <phoneticPr fontId="2" type="noConversion"/>
  </si>
  <si>
    <t>4월 최종실적 반영(+1억)</t>
    <phoneticPr fontId="2" type="noConversion"/>
  </si>
  <si>
    <t>마일스톤 분기 이동</t>
    <phoneticPr fontId="2" type="noConversion"/>
  </si>
  <si>
    <t>*CT-P43 90mg 금액 수정(3.5억→3.3억) 및 마일스톤 분기 이동</t>
    <phoneticPr fontId="2" type="noConversion"/>
  </si>
  <si>
    <t>4월 최종실적 반영(+0.1억)</t>
    <phoneticPr fontId="2" type="noConversion"/>
  </si>
  <si>
    <t>3) 4분기 실질 롤링 상세</t>
    <phoneticPr fontId="2" type="noConversion"/>
  </si>
  <si>
    <t>3) 연간매출 추정</t>
    <phoneticPr fontId="2" type="noConversion"/>
  </si>
  <si>
    <t>비상경영
(10/25)</t>
    <phoneticPr fontId="2" type="noConversion"/>
  </si>
  <si>
    <t>전주보고</t>
    <phoneticPr fontId="2" type="noConversion"/>
  </si>
  <si>
    <t>실질 롤링</t>
    <phoneticPr fontId="2" type="noConversion"/>
  </si>
  <si>
    <t>전주 대비 실질
차이</t>
    <phoneticPr fontId="2" type="noConversion"/>
  </si>
  <si>
    <t>- P39개발 - 상업 스위칭에 따른 충전/조립 매출 조기 인식 ('25년 → '24.12월)
  (12월 포장 매출 미정으로 미반영된 상황으로 추가 매출 인식 가능)</t>
    <phoneticPr fontId="2" type="noConversion"/>
  </si>
  <si>
    <t>12월 L&amp;P 계획 5억 중 3억원 미달 예상 (현재 계획 2억, 최대 3억원까지 인식 가능 예상)</t>
    <phoneticPr fontId="2" type="noConversion"/>
  </si>
  <si>
    <t>■ 임원회의 자료</t>
    <phoneticPr fontId="2" type="noConversion"/>
  </si>
  <si>
    <t>구 분</t>
  </si>
  <si>
    <t>상반기 누계</t>
    <phoneticPr fontId="2" type="noConversion"/>
  </si>
  <si>
    <t>7월</t>
    <phoneticPr fontId="2" type="noConversion"/>
  </si>
  <si>
    <t>7월 누계</t>
    <phoneticPr fontId="2" type="noConversion"/>
  </si>
  <si>
    <t>전년</t>
  </si>
  <si>
    <t>계획</t>
  </si>
  <si>
    <t>현실화(9/26)</t>
    <phoneticPr fontId="2" type="noConversion"/>
  </si>
  <si>
    <t>전년비</t>
  </si>
  <si>
    <t>계획비</t>
  </si>
  <si>
    <t>현실화비</t>
    <phoneticPr fontId="2" type="noConversion"/>
  </si>
  <si>
    <t>합계</t>
  </si>
  <si>
    <t>케미컬 상업</t>
  </si>
  <si>
    <t>G07 (조달)</t>
  </si>
  <si>
    <t>기타</t>
  </si>
  <si>
    <t>바이오 상업</t>
  </si>
  <si>
    <t>L&amp;P 상업</t>
  </si>
  <si>
    <t>PFS 상업</t>
  </si>
  <si>
    <t>개발 용역</t>
  </si>
  <si>
    <t>GCP 개발</t>
  </si>
  <si>
    <t>LCM 개발</t>
  </si>
  <si>
    <t>PFS 개발</t>
  </si>
  <si>
    <t xml:space="preserve">생산내재화 </t>
    <phoneticPr fontId="2" type="noConversion"/>
  </si>
  <si>
    <t>QA위임</t>
    <phoneticPr fontId="2" type="noConversion"/>
  </si>
  <si>
    <t>3분기</t>
    <phoneticPr fontId="2" type="noConversion"/>
  </si>
  <si>
    <t>3분기 누계</t>
    <phoneticPr fontId="2" type="noConversion"/>
  </si>
  <si>
    <t>9월</t>
    <phoneticPr fontId="2" type="noConversion"/>
  </si>
  <si>
    <t>9월 누계</t>
    <phoneticPr fontId="2" type="noConversion"/>
  </si>
  <si>
    <t>8월 누계</t>
    <phoneticPr fontId="2" type="noConversion"/>
  </si>
  <si>
    <t>현실화(8/7)</t>
    <phoneticPr fontId="2" type="noConversion"/>
  </si>
  <si>
    <t>1월 누계</t>
    <phoneticPr fontId="2" type="noConversion"/>
  </si>
  <si>
    <t>기타(위임형 등)</t>
  </si>
  <si>
    <t>2월 누계</t>
    <phoneticPr fontId="2" type="noConversion"/>
  </si>
  <si>
    <t>전년비</t>
    <phoneticPr fontId="2" type="noConversion"/>
  </si>
  <si>
    <t>계획비</t>
    <phoneticPr fontId="2" type="noConversion"/>
  </si>
  <si>
    <t>3월 누계</t>
    <phoneticPr fontId="2" type="noConversion"/>
  </si>
  <si>
    <t>1분기 누계</t>
    <phoneticPr fontId="2" type="noConversion"/>
  </si>
  <si>
    <t xml:space="preserve">■ 주간 매출보고 자료 </t>
    <phoneticPr fontId="2" type="noConversion"/>
  </si>
  <si>
    <t xml:space="preserve">1) PO 기준 : </t>
    <phoneticPr fontId="2" type="noConversion"/>
  </si>
  <si>
    <t>케미컬상업</t>
    <phoneticPr fontId="2" type="noConversion"/>
  </si>
  <si>
    <t>실질 PO 접수 기준</t>
    <phoneticPr fontId="2" type="noConversion"/>
  </si>
  <si>
    <t>PFS 상업</t>
    <phoneticPr fontId="2" type="noConversion"/>
  </si>
  <si>
    <t>2개월 100% Binding FCST 기준</t>
    <phoneticPr fontId="2" type="noConversion"/>
  </si>
  <si>
    <t>L&amp;P 상업</t>
    <phoneticPr fontId="2" type="noConversion"/>
  </si>
  <si>
    <t>기준일자 : 2025-06-26</t>
    <phoneticPr fontId="2" type="noConversion"/>
  </si>
  <si>
    <t>연</t>
    <phoneticPr fontId="2" type="noConversion"/>
  </si>
  <si>
    <t>분기</t>
    <phoneticPr fontId="2" type="noConversion"/>
  </si>
  <si>
    <t>월</t>
  </si>
  <si>
    <t>주차</t>
  </si>
  <si>
    <t>법인</t>
    <phoneticPr fontId="2" type="noConversion"/>
  </si>
  <si>
    <t>구분</t>
  </si>
  <si>
    <t>상세구분</t>
  </si>
  <si>
    <t>매출실적</t>
    <phoneticPr fontId="2" type="noConversion"/>
  </si>
  <si>
    <t>사업계획</t>
    <phoneticPr fontId="2" type="noConversion"/>
  </si>
  <si>
    <t>예상마감</t>
    <phoneticPr fontId="2" type="noConversion"/>
  </si>
  <si>
    <t>달성률</t>
    <phoneticPr fontId="2" type="noConversion"/>
  </si>
  <si>
    <t>전주 예상 실적</t>
    <phoneticPr fontId="2" type="noConversion"/>
  </si>
  <si>
    <t>G07</t>
    <phoneticPr fontId="2" type="noConversion"/>
  </si>
  <si>
    <t>1주차</t>
    <phoneticPr fontId="2" type="noConversion"/>
  </si>
  <si>
    <t>셀트리온제약</t>
    <phoneticPr fontId="2" type="noConversion"/>
  </si>
  <si>
    <t>용역</t>
  </si>
  <si>
    <t>CMO상업_조달</t>
  </si>
  <si>
    <t>CMO상업_미국</t>
  </si>
  <si>
    <t>CMO상업_내재화</t>
    <phoneticPr fontId="2" type="noConversion"/>
  </si>
  <si>
    <t>CMO상업_L&amp;P</t>
  </si>
  <si>
    <t>CMO상업_PFS</t>
  </si>
  <si>
    <t>CMO용역_GCP</t>
  </si>
  <si>
    <t>CMO용역_LCM</t>
  </si>
  <si>
    <t>11월</t>
    <phoneticPr fontId="2" type="noConversion"/>
  </si>
  <si>
    <t>12월</t>
    <phoneticPr fontId="2" type="noConversion"/>
  </si>
  <si>
    <t>합계</t>
    <phoneticPr fontId="2" type="noConversion"/>
  </si>
  <si>
    <t>CMO용역_PFS</t>
  </si>
  <si>
    <t>CMO용역_내재화</t>
    <phoneticPr fontId="2" type="noConversion"/>
  </si>
  <si>
    <t>용역_QA위임</t>
    <phoneticPr fontId="2" type="noConversion"/>
  </si>
  <si>
    <t>1월 예상 실적</t>
    <phoneticPr fontId="2" type="noConversion"/>
  </si>
  <si>
    <t>2월 실적</t>
    <phoneticPr fontId="2" type="noConversion"/>
  </si>
  <si>
    <t>4주차</t>
    <phoneticPr fontId="2" type="noConversion"/>
  </si>
  <si>
    <t>4주차</t>
  </si>
  <si>
    <t>3월 실적</t>
    <phoneticPr fontId="2" type="noConversion"/>
  </si>
  <si>
    <t>1분기 실적</t>
    <phoneticPr fontId="2" type="noConversion"/>
  </si>
  <si>
    <t>2분기</t>
    <phoneticPr fontId="2" type="noConversion"/>
  </si>
  <si>
    <t>4월</t>
    <phoneticPr fontId="2" type="noConversion"/>
  </si>
  <si>
    <t>4월 실적</t>
    <phoneticPr fontId="2" type="noConversion"/>
  </si>
  <si>
    <t>5월</t>
    <phoneticPr fontId="2" type="noConversion"/>
  </si>
  <si>
    <t>5월 실적</t>
    <phoneticPr fontId="2" type="noConversion"/>
  </si>
  <si>
    <t>6월</t>
    <phoneticPr fontId="2" type="noConversion"/>
  </si>
  <si>
    <t>6월 예상 실적</t>
    <phoneticPr fontId="2" type="noConversion"/>
  </si>
  <si>
    <t>2분기 실적</t>
    <phoneticPr fontId="2" type="noConversion"/>
  </si>
  <si>
    <t>2분기 누적 실적</t>
    <phoneticPr fontId="2" type="noConversion"/>
  </si>
  <si>
    <t>7월 실적</t>
    <phoneticPr fontId="2" type="noConversion"/>
  </si>
  <si>
    <t>7월 누적 실적</t>
    <phoneticPr fontId="2" type="noConversion"/>
  </si>
  <si>
    <t>8월</t>
    <phoneticPr fontId="2" type="noConversion"/>
  </si>
  <si>
    <t>90%-&gt;90%</t>
    <phoneticPr fontId="2" type="noConversion"/>
  </si>
  <si>
    <t>90%-&gt;100%</t>
    <phoneticPr fontId="2" type="noConversion"/>
  </si>
  <si>
    <t>8월 예상실적</t>
    <phoneticPr fontId="2" type="noConversion"/>
  </si>
  <si>
    <t>8월 누적 예상 실적</t>
    <phoneticPr fontId="2" type="noConversion"/>
  </si>
  <si>
    <t>허가용PV 재포장 용역 37,800,000원 상업 -&gt; 개발</t>
    <phoneticPr fontId="2" type="noConversion"/>
  </si>
  <si>
    <t>9월 예상 실적</t>
    <phoneticPr fontId="2" type="noConversion"/>
  </si>
  <si>
    <t>3분기 실적</t>
    <phoneticPr fontId="2" type="noConversion"/>
  </si>
  <si>
    <t>4분기</t>
    <phoneticPr fontId="2" type="noConversion"/>
  </si>
  <si>
    <t>10월</t>
    <phoneticPr fontId="2" type="noConversion"/>
  </si>
  <si>
    <t>PFS 상업/개발 분류 변경</t>
    <phoneticPr fontId="2" type="noConversion"/>
  </si>
  <si>
    <t>약물감시 용역 추가</t>
    <phoneticPr fontId="2" type="noConversion"/>
  </si>
  <si>
    <t>10월 실적</t>
    <phoneticPr fontId="2" type="noConversion"/>
  </si>
  <si>
    <t>수율 상승</t>
    <phoneticPr fontId="2" type="noConversion"/>
  </si>
  <si>
    <t>24년 11월 PFS(CT-P41 60mg) 기술이전 매출인식</t>
    <phoneticPr fontId="2" type="noConversion"/>
  </si>
  <si>
    <t>11월 예상실적</t>
    <phoneticPr fontId="2" type="noConversion"/>
  </si>
  <si>
    <t>TP정산 40억, 이달비정 40mg 대만향 15억 12월 매출 반영</t>
    <phoneticPr fontId="2" type="noConversion"/>
  </si>
  <si>
    <t>P17 10mg PVP (3.99) + P39 3000mg PFS-S PKV 수행 (0.3636) + 선급금(?)</t>
  </si>
  <si>
    <t>12월 예상실적</t>
    <phoneticPr fontId="2" type="noConversion"/>
  </si>
  <si>
    <t>4분기 예상실적</t>
    <phoneticPr fontId="2" type="noConversion"/>
  </si>
  <si>
    <t>24년 예상실적</t>
    <phoneticPr fontId="2" type="noConversion"/>
  </si>
  <si>
    <t>네시나정 25mg 대만향 수율 반영</t>
    <phoneticPr fontId="2" type="noConversion"/>
  </si>
  <si>
    <t>수율반영</t>
    <phoneticPr fontId="2" type="noConversion"/>
  </si>
  <si>
    <t>공급망내재화 반영 금액</t>
    <phoneticPr fontId="2" type="noConversion"/>
  </si>
  <si>
    <t>환율 반영된 금액으로 변경</t>
    <phoneticPr fontId="2" type="noConversion"/>
  </si>
  <si>
    <t>25년 1월 예상실적</t>
    <phoneticPr fontId="2" type="noConversion"/>
  </si>
  <si>
    <t>3월로 이월</t>
    <phoneticPr fontId="2" type="noConversion"/>
  </si>
  <si>
    <t>BORA 시험 용역+L&amp;P 용역(해봉)</t>
    <phoneticPr fontId="2" type="noConversion"/>
  </si>
  <si>
    <t>25년 2월 예상실적</t>
    <phoneticPr fontId="2" type="noConversion"/>
  </si>
  <si>
    <t>이달비정 40mg 대만향, 네시나메트 12.5/500 홍콩향 수율 반영, 이달비정 40mg 홍콩향 수율 반영(0.05억), 네시나액트25/15mg 홍콩향 허가 지연으로 0.6억 차질 예상(반영 완료)</t>
    <phoneticPr fontId="2" type="noConversion"/>
  </si>
  <si>
    <t>포장(사업계획)</t>
    <phoneticPr fontId="2" type="noConversion"/>
  </si>
  <si>
    <t>LCM 업데이트</t>
    <phoneticPr fontId="2" type="noConversion"/>
  </si>
  <si>
    <t>25년 3월 예상실적</t>
    <phoneticPr fontId="2" type="noConversion"/>
  </si>
  <si>
    <t>25년 1분기 예상실적</t>
    <phoneticPr fontId="2" type="noConversion"/>
  </si>
  <si>
    <t>사업계획 대비 고객사 요청 물량 감소</t>
    <phoneticPr fontId="2" type="noConversion"/>
  </si>
  <si>
    <t>개발일정 변경됨에 따라 용역 청구월 조정</t>
    <phoneticPr fontId="2" type="noConversion"/>
  </si>
  <si>
    <t>엔도톡신 시험 용역건 추가</t>
    <phoneticPr fontId="2" type="noConversion"/>
  </si>
  <si>
    <t>25년 4월 예상실적</t>
    <phoneticPr fontId="2" type="noConversion"/>
  </si>
  <si>
    <t>2분기 집행내역</t>
    <phoneticPr fontId="2" type="noConversion"/>
  </si>
  <si>
    <t>상업</t>
    <phoneticPr fontId="2" type="noConversion"/>
  </si>
  <si>
    <t>개발</t>
    <phoneticPr fontId="2" type="noConversion"/>
  </si>
  <si>
    <t>PFS 용역 CT-P139 300mg OPQ 항목 약 1,100만원 추가</t>
    <phoneticPr fontId="2" type="noConversion"/>
  </si>
  <si>
    <t>25년 5월 예상실적</t>
    <phoneticPr fontId="2" type="noConversion"/>
  </si>
  <si>
    <t>네시나정 25mg 홍콩향 수율 반영(+40,527,337원 미반영), -3,8억 리스크 해제(6/30 출하)</t>
    <phoneticPr fontId="2" type="noConversion"/>
  </si>
  <si>
    <t>고객사 요청물량 증가(+0.9억)</t>
    <phoneticPr fontId="2" type="noConversion"/>
  </si>
  <si>
    <t>(250618) 수율빠짐 → DS leak일탈로 12억 빠질 경우 9,519,466,800원/안빠질 경우 10,588,520,000원</t>
    <phoneticPr fontId="2" type="noConversion"/>
  </si>
  <si>
    <t>L03 비교용출 이슈로 L03 관련 마일스톤 청구 불가(-3.4억)</t>
    <phoneticPr fontId="2" type="noConversion"/>
  </si>
  <si>
    <t>(250625) 안정성 추가(+0.32억)</t>
    <phoneticPr fontId="2" type="noConversion"/>
  </si>
  <si>
    <t>QA위임 실금액 반영(600만원)</t>
    <phoneticPr fontId="2" type="noConversion"/>
  </si>
  <si>
    <t>IIT용역 0.6억</t>
    <phoneticPr fontId="2" type="noConversion"/>
  </si>
  <si>
    <t>25년 6월 예상실적</t>
    <phoneticPr fontId="2" type="noConversion"/>
  </si>
  <si>
    <t>25년 2분기 예상실적</t>
    <phoneticPr fontId="2" type="noConversion"/>
  </si>
  <si>
    <t>네시나정 25mg 홍콩향, 네시나액트25/15mg 홍콩향, 이달비40mg 홍콩향 환율 반영(+0.2억)</t>
    <phoneticPr fontId="2" type="noConversion"/>
  </si>
  <si>
    <t>uDP 공급 불안정에 따른 갭 발생</t>
  </si>
  <si>
    <t>수율반영에 따른 Gap</t>
    <phoneticPr fontId="2" type="noConversion"/>
  </si>
  <si>
    <t>셀트리온 요청으로 G07 안정성 End point 36M → 24M로 변경됨에 따라 36M 청구 불가</t>
  </si>
  <si>
    <t>L03 비교용출 이슈로 L03 관련 마일스톤 청구 불가(-0.4억), 셀트리온 회계처리 이슈로  매출이월(-0.5억)</t>
    <phoneticPr fontId="2" type="noConversion"/>
  </si>
  <si>
    <t>CT-P17 20mg 및 CT-P39 75mg/150mg 안정성 추가(0.47억)</t>
    <phoneticPr fontId="2" type="noConversion"/>
  </si>
  <si>
    <t>기존 청구 예정이였던 마일스톤 2Q로 이월</t>
  </si>
  <si>
    <t>25년 7월 예상실적</t>
    <phoneticPr fontId="2" type="noConversion"/>
  </si>
  <si>
    <t>이달비정 40mg TW 8/8일 기준 환율 반영</t>
    <phoneticPr fontId="2" type="noConversion"/>
  </si>
  <si>
    <t>Truxima (BR) 공정 중 해봉으로 인해 CoC 미 발행으로 재포장 완료 후 9월 매출로 이동</t>
    <phoneticPr fontId="2" type="noConversion"/>
  </si>
  <si>
    <r>
      <t xml:space="preserve">일탈에 따른 매출 영향 </t>
    </r>
    <r>
      <rPr>
        <sz val="10"/>
        <color rgb="FFFF0000"/>
        <rFont val="Pretendard"/>
        <family val="3"/>
        <charset val="129"/>
      </rPr>
      <t>-7.0</t>
    </r>
    <r>
      <rPr>
        <sz val="10"/>
        <color theme="1"/>
        <rFont val="Pretendard"/>
        <family val="3"/>
        <charset val="129"/>
      </rPr>
      <t>억 (일탈 종결 시점 단축 가능여부 확인 중)
1. CT-P39 150mg 5MMP02(</t>
    </r>
    <r>
      <rPr>
        <sz val="10"/>
        <color rgb="FFFF0000"/>
        <rFont val="Pretendard"/>
        <family val="3"/>
        <charset val="129"/>
      </rPr>
      <t>1.5억</t>
    </r>
    <r>
      <rPr>
        <sz val="10"/>
        <color theme="1"/>
        <rFont val="Pretendard"/>
        <family val="3"/>
        <charset val="129"/>
      </rPr>
      <t>) → 8/29 or 9월 종결 예상
2. CT-P17 40mg 5LAP17(</t>
    </r>
    <r>
      <rPr>
        <sz val="10"/>
        <color rgb="FFFF0000"/>
        <rFont val="Pretendard"/>
        <family val="3"/>
        <charset val="129"/>
      </rPr>
      <t>4.3억</t>
    </r>
    <r>
      <rPr>
        <sz val="10"/>
        <color theme="1"/>
        <rFont val="Pretendard"/>
        <family val="3"/>
        <charset val="129"/>
      </rPr>
      <t>) → 8/29 종결 예상
3. CT-P43 90mg 5N2P20(</t>
    </r>
    <r>
      <rPr>
        <sz val="10"/>
        <color rgb="FFFF0000"/>
        <rFont val="Pretendard"/>
        <family val="3"/>
        <charset val="129"/>
      </rPr>
      <t>1.2억</t>
    </r>
    <r>
      <rPr>
        <sz val="10"/>
        <color theme="1"/>
        <rFont val="Pretendard"/>
        <family val="3"/>
        <charset val="129"/>
      </rPr>
      <t>) → 8/29 종결 예상</t>
    </r>
    <phoneticPr fontId="2" type="noConversion"/>
  </si>
  <si>
    <t xml:space="preserve">현 제형으로 임상1상 진행됨에 따라 기존 보류되었던 PF 및 PE 마일스톤 청구 </t>
    <phoneticPr fontId="2" type="noConversion"/>
  </si>
  <si>
    <t>25년 8월 예상실적</t>
    <phoneticPr fontId="2" type="noConversion"/>
  </si>
  <si>
    <t>3분기50억롤링기준</t>
    <phoneticPr fontId="2" type="noConversion"/>
  </si>
  <si>
    <t>(3분기50억롤링기준)-(7+8월)=9월 잔여</t>
    <phoneticPr fontId="2" type="noConversion"/>
  </si>
  <si>
    <t>오세니 25/30 대만향 및 네시나정 25mg 대만향 9/19일 환율 반영, 네시나메트 500mg 9/22일 환율 반영(-0.2억)</t>
    <phoneticPr fontId="2" type="noConversion"/>
  </si>
  <si>
    <t xml:space="preserve">수율반영에 따른 매출 증가 (+3억)
CT-P39 150mg S/up 허가 완료에 따른 AI 조립 1배치 매출 반영(+6억) → 10월 매출로 이월했었음. </t>
    <phoneticPr fontId="2" type="noConversion"/>
  </si>
  <si>
    <t>L06 12M 안정성 LI 개시로 인한 서머리 승인 지연(-0.5억)</t>
    <phoneticPr fontId="2" type="noConversion"/>
  </si>
  <si>
    <t>25년 9월 예상실적</t>
    <phoneticPr fontId="2" type="noConversion"/>
  </si>
  <si>
    <t>25년 3분기 예상실적</t>
    <phoneticPr fontId="2" type="noConversion"/>
  </si>
  <si>
    <t>공급일정 변경에 따른 출하승인 일정 변경(유플라이마 40mg 충전 1배치: 11월 → 10월, CT-P41 60mg 충전 2배치: 10월 → 11월)</t>
    <phoneticPr fontId="2" type="noConversion"/>
  </si>
  <si>
    <t>CT-P52 AI 임상 수량 변동</t>
    <phoneticPr fontId="2" type="noConversion"/>
  </si>
  <si>
    <t>25년 10월 예상실적</t>
    <phoneticPr fontId="2" type="noConversion"/>
  </si>
  <si>
    <t>네시나액트 태국향 환율 반영(+0.2억)</t>
    <phoneticPr fontId="2" type="noConversion"/>
  </si>
  <si>
    <t>손실량 발생에 따른 Gap</t>
    <phoneticPr fontId="2" type="noConversion"/>
  </si>
  <si>
    <t>1배치</t>
    <phoneticPr fontId="2" type="noConversion"/>
  </si>
  <si>
    <t>25년 11월 예상실적</t>
    <phoneticPr fontId="2" type="noConversion"/>
  </si>
  <si>
    <t>실질롤링 1400.7억에서 아래 내용 모두뺌(뺼 수 있는 거 다 뺌)</t>
    <phoneticPr fontId="2" type="noConversion"/>
  </si>
  <si>
    <t>오세니 25/30 대만향12/26일 환율 반영</t>
    <phoneticPr fontId="2" type="noConversion"/>
  </si>
  <si>
    <t>수율</t>
    <phoneticPr fontId="2" type="noConversion"/>
  </si>
  <si>
    <t>램시마 AI PKV 이월 (고객사 예산 이슈)</t>
    <phoneticPr fontId="2" type="noConversion"/>
  </si>
  <si>
    <t>+(IIT용역 1.4억, 약물감시 0.1억, QA위임 0.2억)-(TP정산금액-3.1억)</t>
    <phoneticPr fontId="2" type="noConversion"/>
  </si>
  <si>
    <t>25년 12월 예상실적</t>
    <phoneticPr fontId="2" type="noConversion"/>
  </si>
  <si>
    <t>25년 4분기 예상실적</t>
    <phoneticPr fontId="2" type="noConversion"/>
  </si>
  <si>
    <t>25년 예상실적</t>
    <phoneticPr fontId="2" type="noConversion"/>
  </si>
  <si>
    <t>CMO상업_위임형</t>
  </si>
  <si>
    <t>*네시나정25mg HK향 1월-&gt;2월 선적일정 확정(-8.9억)</t>
    <phoneticPr fontId="2" type="noConversion"/>
  </si>
  <si>
    <t>*고객사 요청물량 변경(-1.9억)</t>
    <phoneticPr fontId="2" type="noConversion"/>
  </si>
  <si>
    <t>CMO상업_PFS 충전</t>
    <phoneticPr fontId="2" type="noConversion"/>
  </si>
  <si>
    <t>*PFS 포장 개발 일정 반영, 다품종 소량생산 진행, SAP 이슈로 공정 연기</t>
    <phoneticPr fontId="2" type="noConversion"/>
  </si>
  <si>
    <t>CMO상업_PFS 조립</t>
    <phoneticPr fontId="2" type="noConversion"/>
  </si>
  <si>
    <t>CMO상업_PFS 포장</t>
    <phoneticPr fontId="2" type="noConversion"/>
  </si>
  <si>
    <t>1월 예상실적</t>
    <phoneticPr fontId="2" type="noConversion"/>
  </si>
  <si>
    <t>Nesina 25mg 58,384 pack TW, Hasten 및 DHL측으로부터 기존 예정 날짜(2/23)에 선박이 확보되지 않아 선적일정이 3/3으로 지연(-2.4억)</t>
    <phoneticPr fontId="2" type="noConversion"/>
  </si>
  <si>
    <t xml:space="preserve">스테키마 미국향 허가승인 필요하여 지연(P43 90mg BD시린지 도입을 위해 OMPI시린지 품질측면 통일화를 위해 US 변경허가 중, 변경허가가 기존 2월에서 지연되어 매출 이월) </t>
    <phoneticPr fontId="2" type="noConversion"/>
  </si>
  <si>
    <t>2/5 충/조/포 포장 좀 뺸거 숫자</t>
    <phoneticPr fontId="2" type="noConversion"/>
  </si>
  <si>
    <t>2/5 실질롤링</t>
    <phoneticPr fontId="2" type="noConversion"/>
  </si>
  <si>
    <t>충</t>
    <phoneticPr fontId="2" type="noConversion"/>
  </si>
  <si>
    <t>CT-P42 멸균 PV 레포트 연기(-6,300만원)</t>
  </si>
  <si>
    <t>조</t>
    <phoneticPr fontId="2" type="noConversion"/>
  </si>
  <si>
    <t>포</t>
    <phoneticPr fontId="2" type="noConversion"/>
  </si>
  <si>
    <t>합</t>
    <phoneticPr fontId="2" type="noConversion"/>
  </si>
  <si>
    <t>2월 예상실적</t>
    <phoneticPr fontId="2" type="noConversion"/>
  </si>
  <si>
    <t>3월 예상실적</t>
    <phoneticPr fontId="2" type="noConversion"/>
  </si>
  <si>
    <t>1분기 예상실적</t>
    <phoneticPr fontId="2" type="noConversion"/>
  </si>
  <si>
    <t>CT-P55 75mg, 150mg PKV 단축(5월 &gt; 4월)</t>
  </si>
  <si>
    <t>일부 마일스톤 3월로 이월</t>
    <phoneticPr fontId="2" type="noConversion"/>
  </si>
  <si>
    <t>4월 예상실적</t>
    <phoneticPr fontId="2" type="noConversion"/>
  </si>
  <si>
    <t>CT-P55 75mg, 150mg PKV 단축(5월 &gt; 4월), CT-P42 PFS PKV 및 충전 PV 이월</t>
  </si>
  <si>
    <t>해당 마일스톤 3월로 이월</t>
    <phoneticPr fontId="2" type="noConversion"/>
  </si>
  <si>
    <t>5월 예상실적</t>
    <phoneticPr fontId="2" type="noConversion"/>
  </si>
  <si>
    <t>CT-P52 PKV 수행 용역비 추가, CT-P41 120mg 연기, CT-P39 300mg 연기</t>
  </si>
  <si>
    <t>6월 예상실적</t>
    <phoneticPr fontId="2" type="noConversion"/>
  </si>
  <si>
    <t>2분기 예상실적</t>
    <phoneticPr fontId="2" type="noConversion"/>
  </si>
  <si>
    <t>7월 예상실적</t>
    <phoneticPr fontId="2" type="noConversion"/>
  </si>
  <si>
    <t>9월 예상실적</t>
    <phoneticPr fontId="2" type="noConversion"/>
  </si>
  <si>
    <t>3분기 예상실적</t>
    <phoneticPr fontId="2" type="noConversion"/>
  </si>
  <si>
    <t>10월 예상실적</t>
    <phoneticPr fontId="2" type="noConversion"/>
  </si>
  <si>
    <t>CMO상업_위임형</t>
    <phoneticPr fontId="2" type="noConversion"/>
  </si>
  <si>
    <t>26년 예상실적</t>
    <phoneticPr fontId="2" type="noConversion"/>
  </si>
  <si>
    <t>□ 2024년 매출 계획</t>
    <phoneticPr fontId="2" type="noConversion"/>
  </si>
  <si>
    <t>사업계획_구분1</t>
    <phoneticPr fontId="2" type="noConversion"/>
  </si>
  <si>
    <t>경영정보통합</t>
  </si>
  <si>
    <t>사업계획_구분3</t>
  </si>
  <si>
    <t>사업계획_구분4</t>
  </si>
  <si>
    <t>3월</t>
  </si>
  <si>
    <t>4월</t>
  </si>
  <si>
    <t>5월</t>
  </si>
  <si>
    <t>6월</t>
  </si>
  <si>
    <t>7월</t>
  </si>
  <si>
    <t>8월</t>
  </si>
  <si>
    <t>9월</t>
  </si>
  <si>
    <t>10월</t>
  </si>
  <si>
    <t>11월</t>
  </si>
  <si>
    <t>2024년 계획 합계</t>
    <phoneticPr fontId="2" type="noConversion"/>
  </si>
  <si>
    <t>4월 누계</t>
  </si>
  <si>
    <t>5월 누계</t>
  </si>
  <si>
    <t>6월 누계</t>
  </si>
  <si>
    <t>7월 누계</t>
  </si>
  <si>
    <t>8월 누계</t>
  </si>
  <si>
    <t>9월 누계</t>
  </si>
  <si>
    <t>10월 누계</t>
  </si>
  <si>
    <t>11월 누계</t>
  </si>
  <si>
    <t>1분기</t>
  </si>
  <si>
    <t>2분기</t>
  </si>
  <si>
    <t>3분기</t>
  </si>
  <si>
    <t>4분기</t>
  </si>
  <si>
    <t>케미컬</t>
  </si>
  <si>
    <t>고덱스</t>
  </si>
  <si>
    <t>고덱스캡슐</t>
  </si>
  <si>
    <t>고덱스정</t>
  </si>
  <si>
    <t>제품기타</t>
  </si>
  <si>
    <t>약가보상(케미컬)</t>
  </si>
  <si>
    <t>도네리온</t>
  </si>
  <si>
    <t>공동판매</t>
    <phoneticPr fontId="2" type="noConversion"/>
  </si>
  <si>
    <t>케미컬쌍방코프로</t>
  </si>
  <si>
    <t>케미컬쌍방코프로</t>
    <phoneticPr fontId="2" type="noConversion"/>
  </si>
  <si>
    <t>CSO</t>
  </si>
  <si>
    <t>CSO-자사</t>
  </si>
  <si>
    <t>CSO-위탁</t>
  </si>
  <si>
    <t>약가보상(전략)</t>
  </si>
  <si>
    <t>제품기타</t>
    <phoneticPr fontId="2" type="noConversion"/>
  </si>
  <si>
    <t>트레블정</t>
  </si>
  <si>
    <t>기타-자사</t>
  </si>
  <si>
    <t>기타-위탁</t>
  </si>
  <si>
    <t>OTC</t>
  </si>
  <si>
    <t>OTC-가네진</t>
  </si>
  <si>
    <t>OTC-기타</t>
  </si>
  <si>
    <t>해외사업</t>
  </si>
  <si>
    <t>해외-자사</t>
  </si>
  <si>
    <t>해외-위탁</t>
  </si>
  <si>
    <t>케미컬신제품-LCM</t>
  </si>
  <si>
    <t>케미컬신제품-L01</t>
  </si>
  <si>
    <t>케미컬신제품-L06</t>
  </si>
  <si>
    <t>케미컬신제품-순환기3제</t>
  </si>
  <si>
    <t>바이오</t>
  </si>
  <si>
    <t>램시마</t>
  </si>
  <si>
    <t>램시마IV</t>
  </si>
  <si>
    <t>램시마SC</t>
  </si>
  <si>
    <t>허쥬마</t>
  </si>
  <si>
    <t>허쥬마150mg</t>
  </si>
  <si>
    <t>허쥬마420mg</t>
  </si>
  <si>
    <t>허쥬마440mg</t>
  </si>
  <si>
    <t>트룩시마</t>
  </si>
  <si>
    <t>트룩시마100mg</t>
  </si>
  <si>
    <t>트룩시마500mg</t>
  </si>
  <si>
    <t>유플라이마</t>
  </si>
  <si>
    <t>베그젤마</t>
  </si>
  <si>
    <t>스텔라라</t>
  </si>
  <si>
    <t>아일리아</t>
  </si>
  <si>
    <t>졸레어</t>
  </si>
  <si>
    <t>악템라</t>
  </si>
  <si>
    <t>프롤리아</t>
  </si>
  <si>
    <t>바이오기타</t>
  </si>
  <si>
    <t>약가보상(바이오)</t>
  </si>
  <si>
    <t>APAC한국-ETC</t>
  </si>
  <si>
    <t>APAC한국-ETC(당뇨)</t>
  </si>
  <si>
    <t>APAC한국-ETC(고혈압)</t>
  </si>
  <si>
    <t>APAC한국-ETC(기타)</t>
  </si>
  <si>
    <t>APAC한국-OTC</t>
  </si>
  <si>
    <t>APAC한국-OTC(화이투벤)</t>
  </si>
  <si>
    <t>APAC한국-OTC(알보칠)</t>
  </si>
  <si>
    <t>APAC쌍방코프로</t>
  </si>
  <si>
    <t>제약용역</t>
  </si>
  <si>
    <t>CMO상업</t>
  </si>
  <si>
    <t>CMO상업-미국</t>
  </si>
  <si>
    <t>CMO상업-조달</t>
  </si>
  <si>
    <t>L&amp;P상업</t>
  </si>
  <si>
    <t>PFS상업</t>
  </si>
  <si>
    <t>내재화상업</t>
  </si>
  <si>
    <t>LCM상업</t>
  </si>
  <si>
    <t>CMO용역</t>
  </si>
  <si>
    <t>개발용역</t>
  </si>
  <si>
    <t>PFS용역</t>
  </si>
  <si>
    <t>내재화용역</t>
  </si>
  <si>
    <t>LCM용역</t>
  </si>
  <si>
    <t>환불부채</t>
  </si>
  <si>
    <t>반품부채</t>
  </si>
  <si>
    <t>사업계획_구분1</t>
  </si>
  <si>
    <t>APAC</t>
  </si>
  <si>
    <t>내재화</t>
  </si>
  <si>
    <t>L&amp;P</t>
  </si>
  <si>
    <t>PFS</t>
  </si>
  <si>
    <t>23년
실적</t>
    <phoneticPr fontId="2" type="noConversion"/>
  </si>
  <si>
    <t>연간 합계</t>
    <phoneticPr fontId="2" type="noConversion"/>
  </si>
  <si>
    <t>기타(QA위임)</t>
    <phoneticPr fontId="2" type="noConversion"/>
  </si>
  <si>
    <t>3분기 소계</t>
    <phoneticPr fontId="2" type="noConversion"/>
  </si>
  <si>
    <t>증감</t>
    <phoneticPr fontId="2" type="noConversion"/>
  </si>
  <si>
    <t xml:space="preserve">23년 CMO 매출 예상실적 </t>
    <phoneticPr fontId="2" type="noConversion"/>
  </si>
  <si>
    <t>2023.09.05</t>
    <phoneticPr fontId="2" type="noConversion"/>
  </si>
  <si>
    <t>■ 3분기 매출 : 사업계획 대비 11억 미달 예상되나, 3분기 누적 23억 초과 예상됨</t>
    <phoneticPr fontId="2" type="noConversion"/>
  </si>
  <si>
    <t>22년
실적</t>
    <phoneticPr fontId="2" type="noConversion"/>
  </si>
  <si>
    <t>23년
목표</t>
    <phoneticPr fontId="2" type="noConversion"/>
  </si>
  <si>
    <t>상반기</t>
    <phoneticPr fontId="2" type="noConversion"/>
  </si>
  <si>
    <t>3분기 누적</t>
    <phoneticPr fontId="2" type="noConversion"/>
  </si>
  <si>
    <t>목표</t>
    <phoneticPr fontId="2" type="noConversion"/>
  </si>
  <si>
    <t>전망</t>
    <phoneticPr fontId="2" type="noConversion"/>
  </si>
  <si>
    <t>목표</t>
  </si>
  <si>
    <t>3분기 기존 보고대비 +4.0억</t>
    <phoneticPr fontId="2" type="noConversion"/>
  </si>
  <si>
    <t>9월 자동라인 2교대 적용으로 물량 증가 +4.5억</t>
    <phoneticPr fontId="2" type="noConversion"/>
  </si>
  <si>
    <t>PFS 3분기 실질 PO수량 조정 -0.5억</t>
    <phoneticPr fontId="2" type="noConversion"/>
  </si>
  <si>
    <t>3분기 기존 보고대비 +2.9억</t>
    <phoneticPr fontId="2" type="noConversion"/>
  </si>
  <si>
    <t>1) GCP (+0.3억) : G07 WHO IR 안정성 18개월 1개월 단축 +0.3억</t>
    <phoneticPr fontId="2" type="noConversion"/>
  </si>
  <si>
    <t>2) LCM (+0.2억) : CT-L05 임상3상 월렛 리라벨링 용역비 추가 (0.2억)</t>
    <phoneticPr fontId="2" type="noConversion"/>
  </si>
  <si>
    <t>3) PFS (+1.4억) : P41 충전PVP 추가 (+3.2억), 유플라이마 안정성 시험항목 축소 변경계약 (-0.6억), P39 150mg PFS-S PKV 변경계약 지연 (-0.8억), , NO2 IOQ 조정 (-0.3억)</t>
    <phoneticPr fontId="2" type="noConversion"/>
  </si>
  <si>
    <t xml:space="preserve">4) 내재화 (+0.9억) : CT-M02, M05 안정성 각 1개월 단축 (0.9억) </t>
    <phoneticPr fontId="2" type="noConversion"/>
  </si>
  <si>
    <t>※ 약물감시 용역 추가</t>
    <phoneticPr fontId="2" type="noConversion"/>
  </si>
  <si>
    <t>■ 22년 대비 매출 비교</t>
    <phoneticPr fontId="2" type="noConversion"/>
  </si>
  <si>
    <t>연간 추가 사항 +24억</t>
    <phoneticPr fontId="2" type="noConversion"/>
  </si>
  <si>
    <t>하반기</t>
    <phoneticPr fontId="2" type="noConversion"/>
  </si>
  <si>
    <t>연간</t>
    <phoneticPr fontId="2" type="noConversion"/>
  </si>
  <si>
    <t>23년
예상</t>
    <phoneticPr fontId="2" type="noConversion"/>
  </si>
  <si>
    <t>■ 3분기 특이사항</t>
    <phoneticPr fontId="2" type="noConversion"/>
  </si>
  <si>
    <t>1) 9월 기존대비 변경사항 (9/3 보고) : 기보고 대비 +12.3억</t>
  </si>
  <si>
    <t>금액 변동</t>
  </si>
  <si>
    <t>상세사항</t>
  </si>
  <si>
    <t>바이오상업</t>
  </si>
  <si>
    <t>+7.8억</t>
  </si>
  <si>
    <t>-1.0억</t>
  </si>
  <si>
    <t>1배치 매출 제외 
- 사유 : 셀트리온 DP공급 2배치 지연 (히크마社) →  9/6공급 계획 이었으나, 9/11 공급 예정 (기존 생산계획 9/8~9/11)
- 1배치 9/12 ~ 9/16(토) 주말 1일 특근하여 캐치업 예정 (1배치 매출 감소)</t>
  </si>
  <si>
    <t>+8.8억</t>
  </si>
  <si>
    <t>10월 매출 예정 유플라이마 40mg 충전 및 조립 각 1배치 9월로 매출 단축
- 충전 현황 : 9/1 이물검사 완료 (3LAP09) → 9/22 QC 시험완료 예정 → 9/27 출하승인
- 조립 현황 : 9/12 생산 예정 → 9/15 QC시험 완료 예정 → 9/27 출하승인</t>
  </si>
  <si>
    <t>-0.2억</t>
  </si>
  <si>
    <t>조달</t>
  </si>
  <si>
    <t>생산 수율 반영</t>
  </si>
  <si>
    <t>+4.7억</t>
  </si>
  <si>
    <t>+4.2억</t>
  </si>
  <si>
    <t>CT-P39 75mg, 150mg AI 충전PV 1배치 추가 반영 (현재 QC시험 완료 → CoA 및 출하승인 시 매출 가능)</t>
  </si>
  <si>
    <t>+0.5억</t>
  </si>
  <si>
    <t>공급망내재화 3분기 금액 추가 반영 (청구 협의완료)</t>
  </si>
  <si>
    <t>총합</t>
  </si>
  <si>
    <t>+12.3억</t>
  </si>
  <si>
    <t>2) 3분기 추가매출 검토사항 (검토 중)</t>
  </si>
  <si>
    <t>금액</t>
  </si>
  <si>
    <t>PFS 개발용역</t>
  </si>
  <si>
    <t>1.9억</t>
  </si>
  <si>
    <r>
      <t xml:space="preserve">1) CT-P43 45mg, 90mg PFS-S PKV 레포트 일정 2주 단축 (+1.1억)
   → 셀트리온 시험 9/15 예정 (셀트리온) → 9월 말까지 Report 완료 목표 (VAL팀)
2) CT-P39 150mg PFS-S PKV 레포트 (+0.8억)
   → 현재 레포트 승인 완료 (계약 체결시 청구 가능)
</t>
    </r>
    <r>
      <rPr>
        <sz val="14"/>
        <color rgb="FFFF0000"/>
        <rFont val="맑은 고딕"/>
        <family val="3"/>
        <charset val="129"/>
        <scheme val="minor"/>
      </rPr>
      <t>3) 1,2번항 공통 : 계약서 체결 필요 (셀트 법무검토중) → 9월중 체결 목표</t>
    </r>
  </si>
  <si>
    <t>■ 4분기 특이사항</t>
    <phoneticPr fontId="2" type="noConversion"/>
  </si>
  <si>
    <t>1) 9월 기존대비 변경사항 (9/3 보고) : 기보고 대비 -43.9억</t>
    <phoneticPr fontId="2" type="noConversion"/>
  </si>
  <si>
    <t>금액 변동</t>
    <phoneticPr fontId="2" type="noConversion"/>
  </si>
  <si>
    <t>상세사항</t>
    <phoneticPr fontId="2" type="noConversion"/>
  </si>
  <si>
    <t>-33.5억</t>
    <phoneticPr fontId="2" type="noConversion"/>
  </si>
  <si>
    <t>조달</t>
    <phoneticPr fontId="2" type="noConversion"/>
  </si>
  <si>
    <t>1) G07 재고누적으로 월평균 40배치 계획에서 4분기 44배치 축소 (102배치 → 58배치로 축소)
  - 4분기 생산물량 58배치 : 10월 20배치, 11월 20배치, 12월 18배치
  - 연간 총 생산물량 656배치</t>
    <phoneticPr fontId="2" type="noConversion"/>
  </si>
  <si>
    <t>바이오 상업</t>
    <phoneticPr fontId="2" type="noConversion"/>
  </si>
  <si>
    <t>-11.4억</t>
    <phoneticPr fontId="2" type="noConversion"/>
  </si>
  <si>
    <t xml:space="preserve">1) 실질 예상 PO수량 반영 (-11.4억) : 운영계획보고 대비 배치수는 동일하나, 계획 수량 조정 (배치사이즈 감소 반영)
</t>
    <phoneticPr fontId="2" type="noConversion"/>
  </si>
  <si>
    <t>개발 용역</t>
    <phoneticPr fontId="2" type="noConversion"/>
  </si>
  <si>
    <t>+1.0억</t>
    <phoneticPr fontId="2" type="noConversion"/>
  </si>
  <si>
    <t>-1.8억</t>
    <phoneticPr fontId="2" type="noConversion"/>
  </si>
  <si>
    <t>1) CT-P39 PKV 일정 10월 조정으로 PKV 레포트 일정 12월 → 24년 1월로 이월 (-1.8억)</t>
    <phoneticPr fontId="2" type="noConversion"/>
  </si>
  <si>
    <t>+0.2억</t>
    <phoneticPr fontId="2" type="noConversion"/>
  </si>
  <si>
    <t>1) 공급망 내재화 정산 금액 반영 (+0.2억)</t>
    <phoneticPr fontId="2" type="noConversion"/>
  </si>
  <si>
    <t>약물감시</t>
    <phoneticPr fontId="2" type="noConversion"/>
  </si>
  <si>
    <t>+2.6억</t>
    <phoneticPr fontId="2" type="noConversion"/>
  </si>
  <si>
    <t>1) 동기화를 위해 약물감시 용역 예상실적 적용 (7월까지 실적 + 8월~12월 사업계획 동일수준)</t>
    <phoneticPr fontId="2" type="noConversion"/>
  </si>
  <si>
    <t>-43.9억</t>
    <phoneticPr fontId="2" type="noConversion"/>
  </si>
  <si>
    <t>기존 864억 → 변경 820억</t>
    <phoneticPr fontId="2" type="noConversion"/>
  </si>
  <si>
    <t xml:space="preserve">2) 연간 매출 기준 (상업) </t>
    <phoneticPr fontId="2" type="noConversion"/>
  </si>
  <si>
    <t>작성기준</t>
    <phoneticPr fontId="2" type="noConversion"/>
  </si>
  <si>
    <t xml:space="preserve">1) G07 연간 출하승인 : 656배치 </t>
    <phoneticPr fontId="2" type="noConversion"/>
  </si>
  <si>
    <t>1) 생산수량 : 충전 및 조립 물량 (충전 42배치 / AI조립 38배치), 운영계획 보고자료 기준
                포장 물량 제외 (3분기까지 실적, 4분기 제외)
2) 매출인식 기준
   - 충전 : 2달전 충전 완료 배치 (이물검사, QC시험일정 고려)
   - 조립 : 1달전 조립 완료 배치
3) 포장 : 9월까지 실적 + 4분기 제외
   - 사유 : 포장의 경우 FCST 미확정으로 예상실적 제외 (통상적 고려하였을 경우 +XX억)</t>
    <phoneticPr fontId="2" type="noConversion"/>
  </si>
  <si>
    <t>1) 생산수량 : 3분기 FCST + 4분기 사업계획*1.2
   - 4분기 : 주간근무 Capa 2만개(자동) → 2교대근무 Capa 3만개(자동)로 1.5배 증가되나, 보수적으로 1.2배로 예상매출 산정 (1.4배 적용할 경우 31.2억으로 4억 증가)
2) 매출인식 기준 : 영업일 기준 7일 전 생산 완료 배치</t>
    <phoneticPr fontId="2" type="noConversion"/>
  </si>
  <si>
    <t>■ 23년 1분기 CMO 매출 계획 (보고용)</t>
    <phoneticPr fontId="2" type="noConversion"/>
  </si>
  <si>
    <t>■ 23년 1분기 CMO 매출 계획 PO 기준</t>
    <phoneticPr fontId="2" type="noConversion"/>
  </si>
  <si>
    <t>1분기 합</t>
    <phoneticPr fontId="2" type="noConversion"/>
  </si>
  <si>
    <t>예상실적</t>
    <phoneticPr fontId="2" type="noConversion"/>
  </si>
  <si>
    <t>CMO 합계</t>
    <phoneticPr fontId="2" type="noConversion"/>
  </si>
  <si>
    <t>미국</t>
    <phoneticPr fontId="2" type="noConversion"/>
  </si>
  <si>
    <t>CMO 개발</t>
    <phoneticPr fontId="2" type="noConversion"/>
  </si>
  <si>
    <t>* PO 기준 : 케미컬상업 실질 PO 기준 / 바이오상업 2개월 바인딩 SF 100% 반영</t>
    <phoneticPr fontId="2" type="noConversion"/>
  </si>
  <si>
    <t>■ 23년 CMO 매출 계획</t>
    <phoneticPr fontId="2" type="noConversion"/>
  </si>
  <si>
    <t>22년 실적</t>
    <phoneticPr fontId="2" type="noConversion"/>
  </si>
  <si>
    <t>23년 계획</t>
    <phoneticPr fontId="2" type="noConversion"/>
  </si>
  <si>
    <t>Total</t>
    <phoneticPr fontId="2" type="noConversion"/>
  </si>
  <si>
    <t>■ 내재화 용역 매출 인식 기준</t>
    <phoneticPr fontId="2" type="noConversion"/>
  </si>
  <si>
    <t>1) 매출인식 로직 : 고객사(셀트리온)에게 효익이 발생 되는 시점에 매출 인식 가능</t>
    <phoneticPr fontId="2" type="noConversion"/>
  </si>
  <si>
    <t>가. PFS : PFS의 경우 기술이전 이후, PV 및 안정성 시점부터 매출 인식 진행 중</t>
    <phoneticPr fontId="2" type="noConversion"/>
  </si>
  <si>
    <t>나. 내재화 : 내재화의 경우, 동일한 원리로 PV 및 안정성 시점부터 매출인식 가능</t>
    <phoneticPr fontId="2" type="noConversion"/>
  </si>
  <si>
    <t>(허가권이 제약이라고 하더라도, PV배치는 상업화 준비가 완료 되었다고 판단되며 추후 로열티라는 효익 제공)</t>
    <phoneticPr fontId="2" type="noConversion"/>
  </si>
  <si>
    <t>■ 용역 매출 증가</t>
    <phoneticPr fontId="2" type="noConversion"/>
  </si>
  <si>
    <t>2022년</t>
    <phoneticPr fontId="2" type="noConversion"/>
  </si>
  <si>
    <t>2023년</t>
    <phoneticPr fontId="2" type="noConversion"/>
  </si>
  <si>
    <t>추가
실적</t>
    <phoneticPr fontId="2" type="noConversion"/>
  </si>
  <si>
    <t>Rolling</t>
    <phoneticPr fontId="2" type="noConversion"/>
  </si>
  <si>
    <t>M01</t>
    <phoneticPr fontId="2" type="noConversion"/>
  </si>
  <si>
    <t>M02</t>
    <phoneticPr fontId="2" type="noConversion"/>
  </si>
  <si>
    <t>M03</t>
    <phoneticPr fontId="2" type="noConversion"/>
  </si>
  <si>
    <t>M04</t>
    <phoneticPr fontId="2" type="noConversion"/>
  </si>
  <si>
    <t>M05</t>
    <phoneticPr fontId="2" type="noConversion"/>
  </si>
  <si>
    <t xml:space="preserve">■ 주간 매출보고 자료 (2월 1주차) </t>
    <phoneticPr fontId="2" type="noConversion"/>
  </si>
  <si>
    <t>기준일자 : 2023-01-27</t>
    <phoneticPr fontId="2" type="noConversion"/>
  </si>
  <si>
    <t>전주 예상마감</t>
    <phoneticPr fontId="2" type="noConversion"/>
  </si>
  <si>
    <t>도네리온</t>
    <phoneticPr fontId="2" type="noConversion"/>
  </si>
  <si>
    <t>베그젤마</t>
    <phoneticPr fontId="2" type="noConversion"/>
  </si>
  <si>
    <t>2월 예상 실적</t>
    <phoneticPr fontId="2" type="noConversion"/>
  </si>
  <si>
    <t>3월 예상 실적</t>
    <phoneticPr fontId="2" type="noConversion"/>
  </si>
  <si>
    <t>용역_기타*</t>
    <phoneticPr fontId="2" type="noConversion"/>
  </si>
  <si>
    <t>APAC한국</t>
  </si>
  <si>
    <t>구분1.5</t>
  </si>
  <si>
    <t>합계 : 2023.01</t>
  </si>
  <si>
    <t>합계 : 2023.02</t>
  </si>
  <si>
    <t>합계 : 2023.03</t>
  </si>
  <si>
    <t>합계 : 2023.04</t>
  </si>
  <si>
    <t>합계 : 2023.05</t>
  </si>
  <si>
    <t>합계 : 2023.06</t>
  </si>
  <si>
    <t>합계 : 2023.07</t>
  </si>
  <si>
    <t>합계 : 2023.08</t>
  </si>
  <si>
    <t>합계 : 2023.09</t>
  </si>
  <si>
    <t>합계 : 2023.10</t>
  </si>
  <si>
    <t>합계 : 2023.11</t>
  </si>
  <si>
    <t>합계 : 2023.12</t>
  </si>
  <si>
    <t>렉키로나</t>
  </si>
  <si>
    <t>약가보상</t>
  </si>
  <si>
    <t>CMO상업_LCM</t>
  </si>
  <si>
    <t>CMO상업_내재화</t>
  </si>
  <si>
    <t>CMO용역_내재화</t>
  </si>
  <si>
    <t>용역_기타</t>
  </si>
  <si>
    <t>진단키트</t>
  </si>
  <si>
    <t>해외사업</t>
    <phoneticPr fontId="2" type="noConversion"/>
  </si>
  <si>
    <t>총합계</t>
  </si>
  <si>
    <t>국가</t>
  </si>
  <si>
    <t>코드</t>
  </si>
  <si>
    <t>한국</t>
  </si>
  <si>
    <t>KR</t>
  </si>
  <si>
    <t>한국 외</t>
  </si>
  <si>
    <t>Ex-KR</t>
  </si>
  <si>
    <t>태국</t>
  </si>
  <si>
    <t>TH</t>
  </si>
  <si>
    <t>대만</t>
  </si>
  <si>
    <t>TW</t>
  </si>
  <si>
    <t>홍콩</t>
  </si>
  <si>
    <t>HK</t>
  </si>
  <si>
    <t>필리핀</t>
  </si>
  <si>
    <t>PH</t>
  </si>
  <si>
    <t>싱가폴</t>
  </si>
  <si>
    <t>SG</t>
  </si>
  <si>
    <t>말레이시아</t>
  </si>
  <si>
    <t>MY</t>
  </si>
  <si>
    <t>호주</t>
  </si>
  <si>
    <t>AU</t>
  </si>
  <si>
    <t>CT-P42 충전 PV 프로토콜 계약 체결 전으로 연기(-3억),  CT-P42 Residual NO2 재시험 샘플 제작(+0.32억), 엔도톡신 시험 추가(+960만원)</t>
    <phoneticPr fontId="2" type="noConversion"/>
  </si>
  <si>
    <t xml:space="preserve">LCM 청구 증빙문서 수정사항 발생에 따른 청구월 이월 </t>
    <phoneticPr fontId="2" type="noConversion"/>
  </si>
  <si>
    <t>출하승인 완료예정인 2배치 추가 매출 반영</t>
  </si>
  <si>
    <t>수율 반영</t>
    <phoneticPr fontId="2" type="noConversion"/>
  </si>
  <si>
    <t>12월</t>
  </si>
  <si>
    <t>1월</t>
  </si>
  <si>
    <t>2월</t>
  </si>
  <si>
    <t>2026.03.26</t>
    <phoneticPr fontId="2" type="noConversion"/>
  </si>
  <si>
    <t>2분기 소계</t>
    <phoneticPr fontId="2" type="noConversion"/>
  </si>
  <si>
    <t>■ 2분기 매출</t>
    <phoneticPr fontId="2" type="noConversion"/>
  </si>
  <si>
    <t>1) 2분기 매출 변동사항</t>
    <phoneticPr fontId="2" type="noConversion"/>
  </si>
  <si>
    <t>사업계획 대비</t>
    <phoneticPr fontId="2" type="noConversion"/>
  </si>
  <si>
    <t>이달비클로정40/12.5mg 28T TH향 수율반영</t>
    <phoneticPr fontId="2" type="noConversion"/>
  </si>
  <si>
    <t>- 4월 이달비클로정40/12.5mg 28T TH향 수율반영(+3억)</t>
    <phoneticPr fontId="2" type="noConversion"/>
  </si>
  <si>
    <t>- 상반기 충전 개발/평가일정 23일 감소(+47억원, 1백만 시린지 추가 생산)
   -&gt; 4월 8억, 5월 14억, 6월 26억 증가 영향
- 상반기 조립 개발/평가일정 10일 감소(+58억원, 0.3백만 시린지 추가 생산)
   -&gt; 4월 7억, 5월 16억, 6월 35억 증가 영향</t>
    <phoneticPr fontId="2" type="noConversion"/>
  </si>
  <si>
    <t>- CT-L02 EBP 3월에서 이월(+0.8억원, 3월 -&gt; 4월)
- CT-L03 IMP 일정 연기(-1.2억원, 5월 -&gt; 7월) 및 위약 안정성 추가(+0.7억)</t>
    <phoneticPr fontId="2" type="noConversion"/>
  </si>
  <si>
    <t>26년 1분기</t>
    <phoneticPr fontId="2" type="noConversion"/>
  </si>
  <si>
    <t>2분기 누계</t>
    <phoneticPr fontId="2" type="noConversion"/>
  </si>
  <si>
    <t>[감소 요인]
- CT-P41 120mg 일정 조정(-3억원, 충전PV protocol 6월 -&gt; 8월)
- CT-P39 300mg 일정 조정(-4억원, 충전PV protocol 6월 -&gt; 8월)
- CT-P52 80mg 일정 조정(-13억원, 충전PV(-11억), PKV(-2억) 6월 -&gt; 7월)
[증가 요인]
- CT-P42 2mg 충전 PV protocol 3월 -&gt; 4월 이월(+3억원)
- CT-P55 75mg, 150mg PKV 추가(+2억원)</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</si>
</sst>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3" formatCode="_-* #,##0.00_-;\-* #,##0.00_-;_-* &quot;-&quot;??_-;_-@_-"/>
    <numFmt numFmtId="176" formatCode="_-[$€-2]* #,##0.00_-;\-[$€-2]* #,##0.00_-;_-[$€-2]* &quot;-&quot;??_-"/>
    <numFmt numFmtId="177" formatCode="_-* #,##0.00000_-;\-* #,##0.00000_-;_-* &quot;-&quot;??_-;_-@_-"/>
    <numFmt numFmtId="178" formatCode="#,##0_);[Red]\(#,##0\)"/>
    <numFmt numFmtId="179" formatCode="#,##0_ ;[Red]\-#,##0\ "/>
    <numFmt numFmtId="180" formatCode="_-* #,##0.0_-;\-* #,##0.0_-;_-* &quot;-&quot;_-;_-@_-"/>
    <numFmt numFmtId="181" formatCode="#,##0_ "/>
    <numFmt numFmtId="182" formatCode="_-* #,##0_-;[Red]\ \-#,##0_-;_-* &quot;-&quot;_-;_-@_-"/>
    <numFmt numFmtId="183" formatCode="0_ "/>
    <numFmt numFmtId="184" formatCode="#,##0;[Red]\(#,##0\);_-&quot;-&quot;"/>
    <numFmt numFmtId="185" formatCode="#,##0.0_ ;[Red]\-#,##0.0\ "/>
    <numFmt numFmtId="186" formatCode="_-* #,##0.0_-;\-* #,##0.0_-;_-* &quot;-&quot;??_-;_-@_-"/>
    <numFmt numFmtId="187" formatCode="#,##0.0_);[Red]\(#,##0.0\)"/>
    <numFmt numFmtId="188" formatCode="0_);[Red]\(0\)"/>
    <numFmt numFmtId="189" formatCode="_-* #,##0_-;\-* #,##0_-;_-* &quot;-&quot;??_-;_-@_-"/>
  </numFmts>
  <fonts count="83"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0"/>
      <name val="Arial"/>
      <family val="2"/>
    </font>
    <font>
      <sz val="11"/>
      <name val="돋움"/>
      <family val="3"/>
      <charset val="129"/>
    </font>
    <font>
      <sz val="11"/>
      <color theme="1"/>
      <name val="맑은 고딕"/>
      <family val="3"/>
      <charset val="129"/>
      <scheme val="minor"/>
    </font>
    <font>
      <sz val="11"/>
      <color theme="1"/>
      <name val="굴림"/>
      <family val="2"/>
      <charset val="129"/>
    </font>
    <font>
      <sz val="11"/>
      <color theme="1"/>
      <name val="맑은 고딕"/>
      <family val="2"/>
      <scheme val="minor"/>
    </font>
    <font>
      <sz val="11"/>
      <color theme="1"/>
      <name val="굴림"/>
      <family val="3"/>
      <charset val="129"/>
    </font>
    <font>
      <b/>
      <sz val="20"/>
      <color theme="1"/>
      <name val="맑은 고딕"/>
      <family val="3"/>
      <charset val="129"/>
      <scheme val="minor"/>
    </font>
    <font>
      <b/>
      <sz val="18"/>
      <color theme="1"/>
      <name val="맑은 고딕"/>
      <family val="3"/>
      <charset val="129"/>
      <scheme val="minor"/>
    </font>
    <font>
      <sz val="10"/>
      <color theme="1"/>
      <name val="맑은 고딕"/>
      <family val="2"/>
      <charset val="129"/>
      <scheme val="minor"/>
    </font>
    <font>
      <b/>
      <sz val="12"/>
      <color theme="1"/>
      <name val="맑은 고딕"/>
      <family val="3"/>
      <charset val="129"/>
      <scheme val="minor"/>
    </font>
    <font>
      <sz val="12"/>
      <color theme="1"/>
      <name val="맑은 고딕"/>
      <family val="3"/>
      <charset val="129"/>
      <scheme val="minor"/>
    </font>
    <font>
      <sz val="12"/>
      <color theme="1"/>
      <name val="맑은 고딕"/>
      <family val="2"/>
      <charset val="129"/>
      <scheme val="minor"/>
    </font>
    <font>
      <sz val="10"/>
      <color theme="1"/>
      <name val="맑은 고딕"/>
      <family val="3"/>
      <charset val="129"/>
      <scheme val="minor"/>
    </font>
    <font>
      <b/>
      <sz val="10"/>
      <color theme="1"/>
      <name val="맑은 고딕"/>
      <family val="3"/>
      <charset val="129"/>
      <scheme val="minor"/>
    </font>
    <font>
      <b/>
      <i/>
      <sz val="20"/>
      <color theme="1"/>
      <name val="맑은 고딕"/>
      <family val="3"/>
      <charset val="129"/>
      <scheme val="minor"/>
    </font>
    <font>
      <b/>
      <sz val="13"/>
      <color theme="1"/>
      <name val="맑은 고딕"/>
      <family val="3"/>
      <charset val="129"/>
      <scheme val="minor"/>
    </font>
    <font>
      <b/>
      <sz val="14"/>
      <color theme="1"/>
      <name val="맑은 고딕"/>
      <family val="3"/>
      <charset val="129"/>
      <scheme val="minor"/>
    </font>
    <font>
      <b/>
      <sz val="16"/>
      <color theme="1"/>
      <name val="맑은 고딕"/>
      <family val="3"/>
      <charset val="129"/>
      <scheme val="minor"/>
    </font>
    <font>
      <b/>
      <i/>
      <sz val="11"/>
      <color theme="1"/>
      <name val="맑은 고딕"/>
      <family val="3"/>
      <charset val="129"/>
      <scheme val="minor"/>
    </font>
    <font>
      <sz val="14"/>
      <color theme="1"/>
      <name val="맑은 고딕"/>
      <family val="3"/>
      <charset val="129"/>
      <scheme val="minor"/>
    </font>
    <font>
      <sz val="14"/>
      <color rgb="FFFF0000"/>
      <name val="맑은 고딕"/>
      <family val="3"/>
      <charset val="129"/>
      <scheme val="minor"/>
    </font>
    <font>
      <b/>
      <sz val="14"/>
      <color rgb="FF0000FF"/>
      <name val="맑은 고딕"/>
      <family val="3"/>
      <charset val="129"/>
      <scheme val="minor"/>
    </font>
    <font>
      <b/>
      <sz val="14"/>
      <name val="맑은 고딕"/>
      <family val="3"/>
      <charset val="129"/>
      <scheme val="minor"/>
    </font>
    <font>
      <sz val="14"/>
      <name val="맑은 고딕"/>
      <family val="3"/>
      <charset val="129"/>
      <scheme val="minor"/>
    </font>
    <font>
      <sz val="14"/>
      <color rgb="FF0000FF"/>
      <name val="맑은 고딕"/>
      <family val="3"/>
      <charset val="129"/>
      <scheme val="minor"/>
    </font>
    <font>
      <b/>
      <sz val="14"/>
      <color rgb="FFFF0000"/>
      <name val="맑은 고딕"/>
      <family val="3"/>
      <charset val="129"/>
      <scheme val="minor"/>
    </font>
    <font>
      <sz val="13"/>
      <color theme="1"/>
      <name val="맑은 고딕"/>
      <family val="3"/>
      <charset val="129"/>
      <scheme val="minor"/>
    </font>
    <font>
      <sz val="13"/>
      <name val="맑은 고딕"/>
      <family val="3"/>
      <charset val="129"/>
      <scheme val="minor"/>
    </font>
    <font>
      <b/>
      <i/>
      <sz val="22"/>
      <color theme="1"/>
      <name val="맑은 고딕"/>
      <family val="3"/>
      <charset val="129"/>
      <scheme val="minor"/>
    </font>
    <font>
      <b/>
      <sz val="11"/>
      <name val="맑은 고딕"/>
      <family val="3"/>
      <charset val="129"/>
      <scheme val="minor"/>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b/>
      <i/>
      <sz val="22"/>
      <color theme="1"/>
      <name val="Pretendard"/>
      <family val="3"/>
      <charset val="129"/>
    </font>
    <font>
      <sz val="11"/>
      <color theme="1"/>
      <name val="Pretendard"/>
      <family val="3"/>
      <charset val="129"/>
    </font>
    <font>
      <b/>
      <i/>
      <sz val="20"/>
      <color theme="1"/>
      <name val="Pretendard"/>
      <family val="3"/>
      <charset val="129"/>
    </font>
    <font>
      <sz val="12"/>
      <color theme="1"/>
      <name val="Pretendard"/>
      <family val="3"/>
      <charset val="129"/>
    </font>
    <font>
      <b/>
      <sz val="18"/>
      <color theme="1"/>
      <name val="Pretendard"/>
      <family val="3"/>
      <charset val="129"/>
    </font>
    <font>
      <sz val="11"/>
      <color theme="0" tint="-0.249977111117893"/>
      <name val="Pretendard"/>
      <family val="3"/>
      <charset val="129"/>
    </font>
    <font>
      <b/>
      <sz val="13"/>
      <color theme="1"/>
      <name val="Pretendard"/>
      <family val="3"/>
      <charset val="129"/>
    </font>
    <font>
      <b/>
      <sz val="15"/>
      <color theme="1"/>
      <name val="Pretendard"/>
      <family val="3"/>
      <charset val="129"/>
    </font>
    <font>
      <b/>
      <sz val="15"/>
      <color rgb="FF0000FF"/>
      <name val="Pretendard"/>
      <family val="3"/>
      <charset val="129"/>
    </font>
    <font>
      <sz val="15"/>
      <color theme="1"/>
      <name val="Pretendard"/>
      <family val="3"/>
      <charset val="129"/>
    </font>
    <font>
      <sz val="15"/>
      <name val="Pretendard"/>
      <family val="3"/>
      <charset val="129"/>
    </font>
    <font>
      <b/>
      <sz val="11"/>
      <color theme="1"/>
      <name val="Pretendard"/>
      <family val="3"/>
      <charset val="129"/>
    </font>
    <font>
      <sz val="13"/>
      <color theme="1"/>
      <name val="Pretendard"/>
      <family val="3"/>
      <charset val="129"/>
    </font>
    <font>
      <sz val="13"/>
      <name val="Pretendard"/>
      <family val="3"/>
      <charset val="129"/>
    </font>
    <font>
      <sz val="10"/>
      <color theme="1"/>
      <name val="Pretendard"/>
      <family val="3"/>
      <charset val="129"/>
    </font>
    <font>
      <b/>
      <sz val="14"/>
      <color theme="1"/>
      <name val="Pretendard"/>
      <family val="3"/>
      <charset val="129"/>
    </font>
    <font>
      <sz val="14"/>
      <color theme="1"/>
      <name val="Pretendard"/>
      <family val="3"/>
      <charset val="129"/>
    </font>
    <font>
      <b/>
      <sz val="15"/>
      <name val="Pretendard"/>
      <family val="3"/>
      <charset val="129"/>
    </font>
    <font>
      <b/>
      <sz val="15"/>
      <color theme="0"/>
      <name val="Pretendard"/>
      <family val="3"/>
      <charset val="129"/>
    </font>
    <font>
      <b/>
      <sz val="16"/>
      <color theme="1"/>
      <name val="Pretendard"/>
      <family val="3"/>
      <charset val="129"/>
    </font>
    <font>
      <b/>
      <sz val="15"/>
      <color theme="1" tint="0.249977111117893"/>
      <name val="Pretendard"/>
      <family val="3"/>
      <charset val="129"/>
    </font>
    <font>
      <sz val="14"/>
      <color rgb="FFFF0000"/>
      <name val="Pretendard"/>
      <family val="3"/>
      <charset val="129"/>
    </font>
    <font>
      <sz val="14"/>
      <color theme="1" tint="0.249977111117893"/>
      <name val="Pretendard"/>
      <family val="3"/>
      <charset val="129"/>
    </font>
    <font>
      <sz val="13.5"/>
      <color theme="1" tint="0.249977111117893"/>
      <name val="Pretendard"/>
      <family val="3"/>
      <charset val="129"/>
    </font>
    <font>
      <b/>
      <sz val="13.5"/>
      <color theme="1"/>
      <name val="Pretendard"/>
      <family val="3"/>
      <charset val="129"/>
    </font>
    <font>
      <sz val="14"/>
      <color rgb="FFEE0000"/>
      <name val="Pretendard"/>
      <family val="3"/>
      <charset val="129"/>
    </font>
    <font>
      <b/>
      <sz val="12"/>
      <color theme="1"/>
      <name val="Pretendard"/>
      <family val="3"/>
      <charset val="129"/>
    </font>
    <font>
      <b/>
      <sz val="13.5"/>
      <color rgb="FF0000FF"/>
      <name val="Pretendard"/>
      <family val="3"/>
      <charset val="129"/>
    </font>
    <font>
      <b/>
      <sz val="11"/>
      <color rgb="FF0000FF"/>
      <name val="Pretendard"/>
      <family val="3"/>
      <charset val="129"/>
    </font>
    <font>
      <b/>
      <sz val="11"/>
      <color rgb="FFFFFFFF"/>
      <name val="Pretendard"/>
      <family val="3"/>
      <charset val="129"/>
    </font>
    <font>
      <b/>
      <sz val="12"/>
      <color rgb="FF404040"/>
      <name val="Pretendard"/>
      <family val="3"/>
      <charset val="129"/>
    </font>
    <font>
      <sz val="18"/>
      <name val="Pretendard"/>
      <family val="3"/>
      <charset val="129"/>
    </font>
    <font>
      <sz val="12"/>
      <color rgb="FF404040"/>
      <name val="Pretendard"/>
      <family val="3"/>
      <charset val="129"/>
    </font>
    <font>
      <b/>
      <sz val="20"/>
      <color theme="1"/>
      <name val="Pretendard"/>
      <family val="3"/>
      <charset val="129"/>
    </font>
    <font>
      <sz val="9"/>
      <color theme="1"/>
      <name val="Pretendard"/>
      <family val="3"/>
      <charset val="129"/>
    </font>
    <font>
      <sz val="11"/>
      <color rgb="FFFF0000"/>
      <name val="Pretendard"/>
      <family val="3"/>
      <charset val="129"/>
    </font>
    <font>
      <sz val="11"/>
      <name val="Pretendard"/>
      <family val="3"/>
      <charset val="129"/>
    </font>
    <font>
      <sz val="11"/>
      <color rgb="FF0000FF"/>
      <name val="Pretendard"/>
      <family val="3"/>
      <charset val="129"/>
    </font>
    <font>
      <b/>
      <sz val="11"/>
      <color theme="0"/>
      <name val="Pretendard"/>
      <family val="3"/>
      <charset val="129"/>
    </font>
    <font>
      <b/>
      <sz val="11"/>
      <color rgb="FFFF0000"/>
      <name val="Pretendard"/>
      <family val="3"/>
      <charset val="129"/>
    </font>
    <font>
      <sz val="10"/>
      <color rgb="FFFF0000"/>
      <name val="Pretendard"/>
      <family val="3"/>
      <charset val="129"/>
    </font>
    <font>
      <b/>
      <sz val="18"/>
      <color rgb="FF0000FF"/>
      <name val="Pretendard"/>
      <family val="3"/>
      <charset val="129"/>
    </font>
    <font>
      <b/>
      <sz val="9.5"/>
      <color rgb="FF404040"/>
      <name val="Pretendard"/>
      <family val="3"/>
      <charset val="129"/>
    </font>
    <font>
      <sz val="9.5"/>
      <color rgb="FF404040"/>
      <name val="Pretendard"/>
      <family val="3"/>
      <charset val="129"/>
    </font>
    <font>
      <b/>
      <sz val="13.5"/>
      <color theme="1" tint="0.249977111117893"/>
      <name val="Pretendard"/>
      <family val="3"/>
      <charset val="129"/>
    </font>
  </fonts>
  <fills count="17">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4659BA"/>
        <bgColor indexed="64"/>
      </patternFill>
    </fill>
    <fill>
      <patternFill patternType="solid">
        <fgColor rgb="FFF2F2F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8" tint="0.59999389629810485"/>
        <bgColor indexed="64"/>
      </patternFill>
    </fill>
  </fills>
  <borders count="40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top style="medium">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medium">
        <color auto="1"/>
      </left>
      <right/>
      <top/>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style="thin">
        <color indexed="64"/>
      </top>
      <bottom style="thin">
        <color indexed="64"/>
      </bottom>
      <diagonal/>
    </border>
    <border>
      <left style="thin">
        <color indexed="64"/>
      </left>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style="medium">
        <color indexed="64"/>
      </right>
      <top style="hair">
        <color indexed="64"/>
      </top>
      <bottom style="medium">
        <color indexed="64"/>
      </bottom>
      <diagonal/>
    </border>
    <border>
      <left/>
      <right/>
      <top style="medium">
        <color theme="1"/>
      </top>
      <bottom/>
      <diagonal/>
    </border>
    <border>
      <left style="thick">
        <color rgb="FFC00000"/>
      </left>
      <right/>
      <top style="thick">
        <color rgb="FFC00000"/>
      </top>
      <bottom style="thin">
        <color indexed="64"/>
      </bottom>
      <diagonal/>
    </border>
    <border>
      <left/>
      <right/>
      <top style="thick">
        <color rgb="FFC00000"/>
      </top>
      <bottom style="thin">
        <color indexed="64"/>
      </bottom>
      <diagonal/>
    </border>
    <border>
      <left/>
      <right style="thick">
        <color rgb="FFC00000"/>
      </right>
      <top style="thick">
        <color rgb="FFC00000"/>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rgb="FFC00000"/>
      </left>
      <right style="thin">
        <color indexed="64"/>
      </right>
      <top style="thin">
        <color indexed="64"/>
      </top>
      <bottom style="medium">
        <color indexed="64"/>
      </bottom>
      <diagonal/>
    </border>
    <border>
      <left style="thin">
        <color indexed="64"/>
      </left>
      <right style="thick">
        <color rgb="FFC00000"/>
      </right>
      <top style="thin">
        <color indexed="64"/>
      </top>
      <bottom style="medium">
        <color indexed="64"/>
      </bottom>
      <diagonal/>
    </border>
    <border>
      <left style="thick">
        <color rgb="FFC00000"/>
      </left>
      <right style="thin">
        <color indexed="64"/>
      </right>
      <top/>
      <bottom style="thin">
        <color indexed="64"/>
      </bottom>
      <diagonal/>
    </border>
    <border>
      <left style="thin">
        <color indexed="64"/>
      </left>
      <right style="thick">
        <color rgb="FFC00000"/>
      </right>
      <top/>
      <bottom style="thin">
        <color indexed="64"/>
      </bottom>
      <diagonal/>
    </border>
    <border>
      <left/>
      <right style="thin">
        <color indexed="64"/>
      </right>
      <top/>
      <bottom style="thin">
        <color indexed="64"/>
      </bottom>
      <diagonal/>
    </border>
    <border>
      <left style="thick">
        <color rgb="FFC00000"/>
      </left>
      <right style="thin">
        <color indexed="64"/>
      </right>
      <top style="thin">
        <color indexed="64"/>
      </top>
      <bottom style="thin">
        <color indexed="64"/>
      </bottom>
      <diagonal/>
    </border>
    <border>
      <left style="thin">
        <color indexed="64"/>
      </left>
      <right style="thick">
        <color rgb="FFC00000"/>
      </right>
      <top style="thin">
        <color indexed="64"/>
      </top>
      <bottom style="thin">
        <color indexed="64"/>
      </bottom>
      <diagonal/>
    </border>
    <border>
      <left/>
      <right style="thin">
        <color indexed="64"/>
      </right>
      <top style="thin">
        <color indexed="64"/>
      </top>
      <bottom style="thin">
        <color indexed="64"/>
      </bottom>
      <diagonal/>
    </border>
    <border>
      <left style="thick">
        <color rgb="FFC00000"/>
      </left>
      <right style="thin">
        <color indexed="64"/>
      </right>
      <top style="thin">
        <color indexed="64"/>
      </top>
      <bottom style="hair">
        <color indexed="64"/>
      </bottom>
      <diagonal/>
    </border>
    <border>
      <left style="thin">
        <color indexed="64"/>
      </left>
      <right style="thick">
        <color rgb="FFC00000"/>
      </right>
      <top style="thin">
        <color indexed="64"/>
      </top>
      <bottom style="hair">
        <color indexed="64"/>
      </bottom>
      <diagonal/>
    </border>
    <border>
      <left/>
      <right style="thin">
        <color indexed="64"/>
      </right>
      <top style="thin">
        <color indexed="64"/>
      </top>
      <bottom style="hair">
        <color indexed="64"/>
      </bottom>
      <diagonal/>
    </border>
    <border>
      <left style="thick">
        <color rgb="FFC00000"/>
      </left>
      <right style="thin">
        <color indexed="64"/>
      </right>
      <top style="hair">
        <color indexed="64"/>
      </top>
      <bottom style="thin">
        <color indexed="64"/>
      </bottom>
      <diagonal/>
    </border>
    <border>
      <left style="thin">
        <color indexed="64"/>
      </left>
      <right style="thick">
        <color rgb="FFC00000"/>
      </right>
      <top style="hair">
        <color indexed="64"/>
      </top>
      <bottom style="thin">
        <color indexed="64"/>
      </bottom>
      <diagonal/>
    </border>
    <border>
      <left/>
      <right style="thin">
        <color indexed="64"/>
      </right>
      <top style="hair">
        <color indexed="64"/>
      </top>
      <bottom style="thin">
        <color indexed="64"/>
      </bottom>
      <diagonal/>
    </border>
    <border>
      <left style="thick">
        <color rgb="FFC00000"/>
      </left>
      <right style="thin">
        <color indexed="64"/>
      </right>
      <top style="hair">
        <color indexed="64"/>
      </top>
      <bottom style="hair">
        <color indexed="64"/>
      </bottom>
      <diagonal/>
    </border>
    <border>
      <left style="thin">
        <color indexed="64"/>
      </left>
      <right style="thick">
        <color rgb="FFC00000"/>
      </right>
      <top style="hair">
        <color indexed="64"/>
      </top>
      <bottom style="hair">
        <color indexed="64"/>
      </bottom>
      <diagonal/>
    </border>
    <border>
      <left/>
      <right style="thin">
        <color indexed="64"/>
      </right>
      <top style="hair">
        <color indexed="64"/>
      </top>
      <bottom style="hair">
        <color indexed="64"/>
      </bottom>
      <diagonal/>
    </border>
    <border>
      <left style="thick">
        <color rgb="FFC00000"/>
      </left>
      <right style="thin">
        <color indexed="64"/>
      </right>
      <top style="hair">
        <color indexed="64"/>
      </top>
      <bottom style="thick">
        <color rgb="FFC00000"/>
      </bottom>
      <diagonal/>
    </border>
    <border>
      <left style="thin">
        <color indexed="64"/>
      </left>
      <right style="thin">
        <color indexed="64"/>
      </right>
      <top style="hair">
        <color indexed="64"/>
      </top>
      <bottom style="thick">
        <color rgb="FFC00000"/>
      </bottom>
      <diagonal/>
    </border>
    <border>
      <left style="thin">
        <color indexed="64"/>
      </left>
      <right style="thick">
        <color rgb="FFC00000"/>
      </right>
      <top style="hair">
        <color indexed="64"/>
      </top>
      <bottom style="thick">
        <color rgb="FFC00000"/>
      </bottom>
      <diagonal/>
    </border>
    <border>
      <left/>
      <right style="thin">
        <color indexed="64"/>
      </right>
      <top style="hair">
        <color indexed="64"/>
      </top>
      <bottom style="medium">
        <color indexed="64"/>
      </bottom>
      <diagonal/>
    </border>
    <border>
      <left/>
      <right style="medium">
        <color theme="1"/>
      </right>
      <top style="medium">
        <color theme="1"/>
      </top>
      <bottom/>
      <diagonal/>
    </border>
    <border>
      <left style="medium">
        <color theme="1"/>
      </left>
      <right/>
      <top style="medium">
        <color theme="1"/>
      </top>
      <bottom/>
      <diagonal/>
    </border>
    <border>
      <left style="medium">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hair">
        <color indexed="64"/>
      </top>
      <bottom/>
      <diagonal/>
    </border>
    <border>
      <left style="thin">
        <color indexed="64"/>
      </left>
      <right/>
      <top style="hair">
        <color indexed="64"/>
      </top>
      <bottom/>
      <diagonal/>
    </border>
    <border>
      <left style="thick">
        <color rgb="FFC00000"/>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ck">
        <color rgb="FFC00000"/>
      </right>
      <top style="hair">
        <color indexed="64"/>
      </top>
      <bottom/>
      <diagonal/>
    </border>
    <border>
      <left/>
      <right style="thin">
        <color indexed="64"/>
      </right>
      <top style="hair">
        <color indexed="64"/>
      </top>
      <bottom/>
      <diagonal/>
    </border>
    <border>
      <left style="medium">
        <color indexed="64"/>
      </left>
      <right style="thin">
        <color indexed="64"/>
      </right>
      <top style="hair">
        <color indexed="64"/>
      </top>
      <bottom/>
      <diagonal/>
    </border>
    <border>
      <left/>
      <right style="medium">
        <color indexed="64"/>
      </right>
      <top style="hair">
        <color indexed="64"/>
      </top>
      <bottom/>
      <diagonal/>
    </border>
    <border>
      <left/>
      <right/>
      <top/>
      <bottom style="thin">
        <color indexed="64"/>
      </bottom>
      <diagonal/>
    </border>
    <border>
      <left style="thin">
        <color indexed="64"/>
      </left>
      <right style="thin">
        <color indexed="64"/>
      </right>
      <top/>
      <bottom style="medium">
        <color indexed="64"/>
      </bottom>
      <diagonal/>
    </border>
    <border>
      <left style="hair">
        <color theme="0" tint="-0.499984740745262"/>
      </left>
      <right style="hair">
        <color theme="0" tint="-0.499984740745262"/>
      </right>
      <top style="thin">
        <color theme="0" tint="-0.34998626667073579"/>
      </top>
      <bottom style="hair">
        <color theme="0" tint="-0.34998626667073579"/>
      </bottom>
      <diagonal/>
    </border>
    <border>
      <left style="hair">
        <color theme="0" tint="-0.499984740745262"/>
      </left>
      <right style="hair">
        <color theme="0" tint="-0.499984740745262"/>
      </right>
      <top style="hair">
        <color theme="0" tint="-0.34998626667073579"/>
      </top>
      <bottom style="thin">
        <color theme="0" tint="-0.499984740745262"/>
      </bottom>
      <diagonal/>
    </border>
    <border>
      <left style="thin">
        <color indexed="64"/>
      </left>
      <right style="thin">
        <color indexed="64"/>
      </right>
      <top/>
      <bottom/>
      <diagonal/>
    </border>
    <border>
      <left/>
      <right style="thin">
        <color indexed="64"/>
      </right>
      <top/>
      <bottom style="medium">
        <color indexed="6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style="thin">
        <color auto="1"/>
      </right>
      <top style="medium">
        <color theme="0" tint="-0.499984740745262"/>
      </top>
      <bottom style="hair">
        <color auto="1"/>
      </bottom>
      <diagonal/>
    </border>
    <border>
      <left style="thin">
        <color auto="1"/>
      </left>
      <right/>
      <top style="medium">
        <color theme="0" tint="-0.499984740745262"/>
      </top>
      <bottom style="hair">
        <color auto="1"/>
      </bottom>
      <diagonal/>
    </border>
    <border>
      <left style="medium">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style="thin">
        <color auto="1"/>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right style="hair">
        <color theme="0" tint="-0.499984740745262"/>
      </right>
      <top style="thin">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medium">
        <color theme="0" tint="-0.499984740745262"/>
      </right>
      <top style="thin">
        <color theme="0" tint="-0.499984740745262"/>
      </top>
      <bottom/>
      <diagonal/>
    </border>
    <border>
      <left style="hair">
        <color theme="0" tint="-0.34998626667073579"/>
      </left>
      <right style="hair">
        <color theme="0" tint="-0.34998626667073579"/>
      </right>
      <top style="thin">
        <color theme="0" tint="-0.34998626667073579"/>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style="thin">
        <color auto="1"/>
      </right>
      <top style="hair">
        <color auto="1"/>
      </top>
      <bottom style="medium">
        <color theme="0" tint="-0.34998626667073579"/>
      </bottom>
      <diagonal/>
    </border>
    <border>
      <left style="thin">
        <color auto="1"/>
      </left>
      <right/>
      <top style="hair">
        <color auto="1"/>
      </top>
      <bottom style="medium">
        <color theme="0" tint="-0.34998626667073579"/>
      </bottom>
      <diagonal/>
    </border>
    <border>
      <left style="medium">
        <color theme="0" tint="-0.499984740745262"/>
      </left>
      <right/>
      <top/>
      <bottom style="medium">
        <color theme="0" tint="-0.34998626667073579"/>
      </bottom>
      <diagonal/>
    </border>
    <border>
      <left style="thin">
        <color theme="0" tint="-0.499984740745262"/>
      </left>
      <right style="thin">
        <color theme="0" tint="-0.499984740745262"/>
      </right>
      <top/>
      <bottom style="medium">
        <color theme="0" tint="-0.34998626667073579"/>
      </bottom>
      <diagonal/>
    </border>
    <border>
      <left/>
      <right style="medium">
        <color theme="0" tint="-0.499984740745262"/>
      </right>
      <top/>
      <bottom style="medium">
        <color theme="0" tint="-0.34998626667073579"/>
      </bottom>
      <diagonal/>
    </border>
    <border>
      <left/>
      <right/>
      <top/>
      <bottom style="medium">
        <color theme="0" tint="-0.34998626667073579"/>
      </bottom>
      <diagonal/>
    </border>
    <border>
      <left style="medium">
        <color theme="0" tint="-0.499984740745262"/>
      </left>
      <right style="hair">
        <color theme="0" tint="-0.499984740745262"/>
      </right>
      <top style="thin">
        <color theme="0" tint="-0.499984740745262"/>
      </top>
      <bottom style="medium">
        <color theme="0" tint="-0.34998626667073579"/>
      </bottom>
      <diagonal/>
    </border>
    <border>
      <left style="hair">
        <color theme="0" tint="-0.499984740745262"/>
      </left>
      <right style="hair">
        <color theme="0" tint="-0.499984740745262"/>
      </right>
      <top style="thin">
        <color theme="0" tint="-0.499984740745262"/>
      </top>
      <bottom style="medium">
        <color theme="0" tint="-0.34998626667073579"/>
      </bottom>
      <diagonal/>
    </border>
    <border>
      <left style="hair">
        <color theme="0" tint="-0.499984740745262"/>
      </left>
      <right style="medium">
        <color theme="0" tint="-0.499984740745262"/>
      </right>
      <top style="thin">
        <color theme="0" tint="-0.499984740745262"/>
      </top>
      <bottom style="medium">
        <color theme="0" tint="-0.34998626667073579"/>
      </bottom>
      <diagonal/>
    </border>
    <border>
      <left/>
      <right style="hair">
        <color theme="0" tint="-0.499984740745262"/>
      </right>
      <top/>
      <bottom style="medium">
        <color theme="0" tint="-0.34998626667073579"/>
      </bottom>
      <diagonal/>
    </border>
    <border>
      <left style="hair">
        <color theme="0" tint="-0.499984740745262"/>
      </left>
      <right style="hair">
        <color theme="0" tint="-0.499984740745262"/>
      </right>
      <top/>
      <bottom style="medium">
        <color theme="0" tint="-0.34998626667073579"/>
      </bottom>
      <diagonal/>
    </border>
    <border>
      <left style="hair">
        <color theme="0" tint="-0.499984740745262"/>
      </left>
      <right style="medium">
        <color theme="0" tint="-0.499984740745262"/>
      </right>
      <top/>
      <bottom style="medium">
        <color theme="0" tint="-0.34998626667073579"/>
      </bottom>
      <diagonal/>
    </border>
    <border>
      <left style="hair">
        <color theme="0" tint="-0.34998626667073579"/>
      </left>
      <right style="hair">
        <color theme="0" tint="-0.34998626667073579"/>
      </right>
      <top/>
      <bottom style="medium">
        <color theme="0" tint="-0.34998626667073579"/>
      </bottom>
      <diagonal/>
    </border>
    <border>
      <left style="thin">
        <color theme="0" tint="-0.499984740745262"/>
      </left>
      <right/>
      <top/>
      <bottom/>
      <diagonal/>
    </border>
    <border>
      <left/>
      <right/>
      <top/>
      <bottom style="thin">
        <color theme="0" tint="-0.499984740745262"/>
      </bottom>
      <diagonal/>
    </border>
    <border>
      <left/>
      <right style="medium">
        <color theme="0" tint="-0.499984740745262"/>
      </right>
      <top/>
      <bottom style="thin">
        <color theme="0" tint="-0.499984740745262"/>
      </bottom>
      <diagonal/>
    </border>
    <border>
      <left style="medium">
        <color theme="0" tint="-0.499984740745262"/>
      </left>
      <right style="thin">
        <color auto="1"/>
      </right>
      <top/>
      <bottom style="thin">
        <color theme="0" tint="-0.499984740745262"/>
      </bottom>
      <diagonal/>
    </border>
    <border>
      <left style="thin">
        <color auto="1"/>
      </left>
      <right/>
      <top/>
      <bottom style="thin">
        <color theme="0" tint="-0.499984740745262"/>
      </bottom>
      <diagonal/>
    </border>
    <border>
      <left style="medium">
        <color theme="0" tint="-0.499984740745262"/>
      </left>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hair">
        <color theme="0" tint="-0.499984740745262"/>
      </left>
      <right style="hair">
        <color theme="0" tint="-0.499984740745262"/>
      </right>
      <top/>
      <bottom style="thin">
        <color theme="0" tint="-0.499984740745262"/>
      </bottom>
      <diagonal/>
    </border>
    <border>
      <left style="medium">
        <color theme="0" tint="-0.499984740745262"/>
      </left>
      <right style="hair">
        <color theme="0" tint="-0.499984740745262"/>
      </right>
      <top/>
      <bottom style="thin">
        <color theme="0" tint="-0.499984740745262"/>
      </bottom>
      <diagonal/>
    </border>
    <border>
      <left style="hair">
        <color theme="0" tint="-0.499984740745262"/>
      </left>
      <right style="medium">
        <color theme="0" tint="-0.499984740745262"/>
      </right>
      <top/>
      <bottom style="thin">
        <color theme="0" tint="-0.499984740745262"/>
      </bottom>
      <diagonal/>
    </border>
    <border>
      <left style="hair">
        <color theme="0" tint="-0.34998626667073579"/>
      </left>
      <right style="hair">
        <color theme="0" tint="-0.34998626667073579"/>
      </right>
      <top/>
      <bottom style="thin">
        <color theme="0" tint="-0.499984740745262"/>
      </bottom>
      <diagonal/>
    </border>
    <border>
      <left/>
      <right style="medium">
        <color theme="0" tint="-0.499984740745262"/>
      </right>
      <top style="thin">
        <color theme="0" tint="-0.499984740745262"/>
      </top>
      <bottom/>
      <diagonal/>
    </border>
    <border>
      <left style="thin">
        <color theme="0" tint="-0.499984740745262"/>
      </left>
      <right style="thin">
        <color theme="0" tint="-0.499984740745262"/>
      </right>
      <top/>
      <bottom/>
      <diagonal/>
    </border>
    <border>
      <left style="hair">
        <color theme="0" tint="-0.499984740745262"/>
      </left>
      <right style="hair">
        <color theme="0" tint="-0.499984740745262"/>
      </right>
      <top/>
      <bottom/>
      <diagonal/>
    </border>
    <border>
      <left style="medium">
        <color theme="0" tint="-0.499984740745262"/>
      </left>
      <right style="hair">
        <color theme="0" tint="-0.499984740745262"/>
      </right>
      <top/>
      <bottom/>
      <diagonal/>
    </border>
    <border>
      <left style="hair">
        <color theme="0" tint="-0.499984740745262"/>
      </left>
      <right style="medium">
        <color theme="0" tint="-0.499984740745262"/>
      </right>
      <top/>
      <bottom/>
      <diagonal/>
    </border>
    <border>
      <left style="hair">
        <color theme="0" tint="-0.34998626667073579"/>
      </left>
      <right style="hair">
        <color theme="0" tint="-0.34998626667073579"/>
      </right>
      <top/>
      <bottom/>
      <diagonal/>
    </border>
    <border>
      <left style="thin">
        <color theme="0" tint="-0.34998626667073579"/>
      </left>
      <right style="medium">
        <color theme="0" tint="-0.499984740745262"/>
      </right>
      <top style="thin">
        <color theme="0" tint="-0.34998626667073579"/>
      </top>
      <bottom style="hair">
        <color theme="0" tint="-0.34998626667073579"/>
      </bottom>
      <diagonal/>
    </border>
    <border>
      <left style="medium">
        <color theme="0" tint="-0.499984740745262"/>
      </left>
      <right style="thin">
        <color auto="1"/>
      </right>
      <top style="thin">
        <color theme="0" tint="-0.34998626667073579"/>
      </top>
      <bottom style="hair">
        <color theme="0" tint="-0.34998626667073579"/>
      </bottom>
      <diagonal/>
    </border>
    <border>
      <left style="thin">
        <color auto="1"/>
      </left>
      <right/>
      <top style="thin">
        <color theme="0" tint="-0.34998626667073579"/>
      </top>
      <bottom style="hair">
        <color theme="0" tint="-0.34998626667073579"/>
      </bottom>
      <diagonal/>
    </border>
    <border>
      <left style="medium">
        <color theme="0" tint="-0.499984740745262"/>
      </left>
      <right/>
      <top style="thin">
        <color theme="0" tint="-0.34998626667073579"/>
      </top>
      <bottom style="hair">
        <color theme="0" tint="-0.34998626667073579"/>
      </bottom>
      <diagonal/>
    </border>
    <border>
      <left style="thin">
        <color theme="0" tint="-0.499984740745262"/>
      </left>
      <right style="thin">
        <color theme="0" tint="-0.499984740745262"/>
      </right>
      <top style="thin">
        <color theme="0" tint="-0.34998626667073579"/>
      </top>
      <bottom style="hair">
        <color theme="0" tint="-0.34998626667073579"/>
      </bottom>
      <diagonal/>
    </border>
    <border>
      <left/>
      <right style="medium">
        <color theme="0" tint="-0.499984740745262"/>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style="medium">
        <color theme="0" tint="-0.499984740745262"/>
      </left>
      <right style="hair">
        <color theme="0" tint="-0.499984740745262"/>
      </right>
      <top style="thin">
        <color theme="0" tint="-0.34998626667073579"/>
      </top>
      <bottom style="hair">
        <color theme="0" tint="-0.34998626667073579"/>
      </bottom>
      <diagonal/>
    </border>
    <border>
      <left style="hair">
        <color theme="0" tint="-0.499984740745262"/>
      </left>
      <right style="medium">
        <color theme="0" tint="-0.499984740745262"/>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thin">
        <color theme="0" tint="-0.34998626667073579"/>
      </left>
      <right style="medium">
        <color theme="0" tint="-0.499984740745262"/>
      </right>
      <top style="hair">
        <color theme="0" tint="-0.34998626667073579"/>
      </top>
      <bottom style="thin">
        <color theme="0" tint="-0.499984740745262"/>
      </bottom>
      <diagonal/>
    </border>
    <border>
      <left style="medium">
        <color theme="0" tint="-0.499984740745262"/>
      </left>
      <right style="thin">
        <color auto="1"/>
      </right>
      <top style="hair">
        <color theme="0" tint="-0.34998626667073579"/>
      </top>
      <bottom style="thin">
        <color theme="0" tint="-0.499984740745262"/>
      </bottom>
      <diagonal/>
    </border>
    <border>
      <left style="thin">
        <color auto="1"/>
      </left>
      <right/>
      <top style="hair">
        <color theme="0" tint="-0.34998626667073579"/>
      </top>
      <bottom style="thin">
        <color theme="0" tint="-0.499984740745262"/>
      </bottom>
      <diagonal/>
    </border>
    <border>
      <left style="medium">
        <color theme="0" tint="-0.499984740745262"/>
      </left>
      <right/>
      <top style="hair">
        <color theme="0" tint="-0.34998626667073579"/>
      </top>
      <bottom style="thin">
        <color theme="0" tint="-0.499984740745262"/>
      </bottom>
      <diagonal/>
    </border>
    <border>
      <left style="thin">
        <color theme="0" tint="-0.499984740745262"/>
      </left>
      <right style="thin">
        <color theme="0" tint="-0.499984740745262"/>
      </right>
      <top style="hair">
        <color theme="0" tint="-0.34998626667073579"/>
      </top>
      <bottom style="thin">
        <color theme="0" tint="-0.499984740745262"/>
      </bottom>
      <diagonal/>
    </border>
    <border>
      <left/>
      <right style="medium">
        <color theme="0" tint="-0.499984740745262"/>
      </right>
      <top style="hair">
        <color theme="0" tint="-0.34998626667073579"/>
      </top>
      <bottom style="thin">
        <color theme="0" tint="-0.499984740745262"/>
      </bottom>
      <diagonal/>
    </border>
    <border>
      <left/>
      <right/>
      <top style="hair">
        <color theme="0" tint="-0.34998626667073579"/>
      </top>
      <bottom style="thin">
        <color theme="0" tint="-0.499984740745262"/>
      </bottom>
      <diagonal/>
    </border>
    <border>
      <left style="medium">
        <color theme="0" tint="-0.499984740745262"/>
      </left>
      <right style="hair">
        <color theme="0" tint="-0.499984740745262"/>
      </right>
      <top style="hair">
        <color theme="0" tint="-0.34998626667073579"/>
      </top>
      <bottom style="thin">
        <color theme="0" tint="-0.499984740745262"/>
      </bottom>
      <diagonal/>
    </border>
    <border>
      <left style="hair">
        <color theme="0" tint="-0.499984740745262"/>
      </left>
      <right style="medium">
        <color theme="0" tint="-0.499984740745262"/>
      </right>
      <top style="hair">
        <color theme="0" tint="-0.34998626667073579"/>
      </top>
      <bottom style="thin">
        <color theme="0" tint="-0.499984740745262"/>
      </bottom>
      <diagonal/>
    </border>
    <border>
      <left style="hair">
        <color theme="0" tint="-0.34998626667073579"/>
      </left>
      <right style="hair">
        <color theme="0" tint="-0.34998626667073579"/>
      </right>
      <top style="hair">
        <color theme="0" tint="-0.34998626667073579"/>
      </top>
      <bottom style="thin">
        <color theme="0" tint="-0.499984740745262"/>
      </bottom>
      <diagonal/>
    </border>
    <border>
      <left style="medium">
        <color theme="0" tint="-0.499984740745262"/>
      </left>
      <right style="thin">
        <color auto="1"/>
      </right>
      <top style="thin">
        <color theme="0" tint="-0.499984740745262"/>
      </top>
      <bottom/>
      <diagonal/>
    </border>
    <border>
      <left style="thin">
        <color auto="1"/>
      </left>
      <right/>
      <top style="thin">
        <color theme="0" tint="-0.499984740745262"/>
      </top>
      <bottom/>
      <diagonal/>
    </border>
    <border>
      <left style="medium">
        <color theme="0" tint="-0.499984740745262"/>
      </left>
      <right/>
      <top style="thin">
        <color theme="0" tint="-0.499984740745262"/>
      </top>
      <bottom/>
      <diagonal/>
    </border>
    <border>
      <left/>
      <right/>
      <top style="thin">
        <color theme="0" tint="-0.499984740745262"/>
      </top>
      <bottom/>
      <diagonal/>
    </border>
    <border>
      <left style="hair">
        <color theme="0" tint="-0.34998626667073579"/>
      </left>
      <right style="hair">
        <color theme="0" tint="-0.34998626667073579"/>
      </right>
      <top style="thin">
        <color theme="0" tint="-0.499984740745262"/>
      </top>
      <bottom/>
      <diagonal/>
    </border>
    <border>
      <left style="thin">
        <color theme="0" tint="-0.34998626667073579"/>
      </left>
      <right style="medium">
        <color theme="0" tint="-0.499984740745262"/>
      </right>
      <top/>
      <bottom/>
      <diagonal/>
    </border>
    <border>
      <left style="medium">
        <color theme="0" tint="-0.499984740745262"/>
      </left>
      <right style="hair">
        <color theme="0" tint="-0.499984740745262"/>
      </right>
      <top style="thin">
        <color theme="0" tint="-0.499984740745262"/>
      </top>
      <bottom/>
      <diagonal/>
    </border>
    <border>
      <left style="thin">
        <color theme="0" tint="-0.499984740745262"/>
      </left>
      <right style="thin">
        <color theme="0" tint="-0.34998626667073579"/>
      </right>
      <top/>
      <bottom/>
      <diagonal/>
    </border>
    <border>
      <left style="thin">
        <color theme="0" tint="-0.34998626667073579"/>
      </left>
      <right style="medium">
        <color theme="0" tint="-0.499984740745262"/>
      </right>
      <top style="hair">
        <color theme="0" tint="-0.34998626667073579"/>
      </top>
      <bottom style="hair">
        <color theme="0" tint="-0.34998626667073579"/>
      </bottom>
      <diagonal/>
    </border>
    <border>
      <left style="medium">
        <color theme="0" tint="-0.499984740745262"/>
      </left>
      <right style="thin">
        <color auto="1"/>
      </right>
      <top style="hair">
        <color theme="0" tint="-0.34998626667073579"/>
      </top>
      <bottom style="hair">
        <color theme="0" tint="-0.34998626667073579"/>
      </bottom>
      <diagonal/>
    </border>
    <border>
      <left style="thin">
        <color auto="1"/>
      </left>
      <right/>
      <top style="hair">
        <color theme="0" tint="-0.34998626667073579"/>
      </top>
      <bottom style="hair">
        <color theme="0" tint="-0.34998626667073579"/>
      </bottom>
      <diagonal/>
    </border>
    <border>
      <left style="medium">
        <color theme="0" tint="-0.499984740745262"/>
      </left>
      <right/>
      <top style="hair">
        <color theme="0" tint="-0.34998626667073579"/>
      </top>
      <bottom style="hair">
        <color theme="0" tint="-0.34998626667073579"/>
      </bottom>
      <diagonal/>
    </border>
    <border>
      <left style="thin">
        <color theme="0" tint="-0.499984740745262"/>
      </left>
      <right style="thin">
        <color theme="0" tint="-0.499984740745262"/>
      </right>
      <top style="hair">
        <color theme="0" tint="-0.34998626667073579"/>
      </top>
      <bottom style="hair">
        <color theme="0" tint="-0.34998626667073579"/>
      </bottom>
      <diagonal/>
    </border>
    <border>
      <left/>
      <right style="medium">
        <color theme="0" tint="-0.499984740745262"/>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hair">
        <color theme="0" tint="-0.499984740745262"/>
      </left>
      <right style="hair">
        <color theme="0" tint="-0.499984740745262"/>
      </right>
      <top style="hair">
        <color theme="0" tint="-0.34998626667073579"/>
      </top>
      <bottom style="hair">
        <color theme="0" tint="-0.34998626667073579"/>
      </bottom>
      <diagonal/>
    </border>
    <border>
      <left style="medium">
        <color theme="0" tint="-0.499984740745262"/>
      </left>
      <right style="hair">
        <color theme="0" tint="-0.499984740745262"/>
      </right>
      <top style="hair">
        <color theme="0" tint="-0.34998626667073579"/>
      </top>
      <bottom style="hair">
        <color theme="0" tint="-0.34998626667073579"/>
      </bottom>
      <diagonal/>
    </border>
    <border>
      <left style="hair">
        <color theme="0" tint="-0.499984740745262"/>
      </left>
      <right style="medium">
        <color theme="0" tint="-0.499984740745262"/>
      </right>
      <top style="hair">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thin">
        <color theme="0" tint="-0.34998626667073579"/>
      </left>
      <right style="medium">
        <color theme="0" tint="-0.499984740745262"/>
      </right>
      <top/>
      <bottom style="hair">
        <color theme="0" tint="-0.34998626667073579"/>
      </bottom>
      <diagonal/>
    </border>
    <border>
      <left style="medium">
        <color theme="0" tint="-0.499984740745262"/>
      </left>
      <right style="thin">
        <color auto="1"/>
      </right>
      <top/>
      <bottom style="hair">
        <color theme="0" tint="-0.34998626667073579"/>
      </bottom>
      <diagonal/>
    </border>
    <border>
      <left style="thin">
        <color auto="1"/>
      </left>
      <right/>
      <top/>
      <bottom style="hair">
        <color theme="0" tint="-0.34998626667073579"/>
      </bottom>
      <diagonal/>
    </border>
    <border>
      <left style="medium">
        <color theme="0" tint="-0.499984740745262"/>
      </left>
      <right/>
      <top/>
      <bottom style="hair">
        <color theme="0" tint="-0.34998626667073579"/>
      </bottom>
      <diagonal/>
    </border>
    <border>
      <left style="thin">
        <color theme="0" tint="-0.499984740745262"/>
      </left>
      <right style="thin">
        <color theme="0" tint="-0.499984740745262"/>
      </right>
      <top/>
      <bottom style="hair">
        <color theme="0" tint="-0.34998626667073579"/>
      </bottom>
      <diagonal/>
    </border>
    <border>
      <left/>
      <right style="medium">
        <color theme="0" tint="-0.499984740745262"/>
      </right>
      <top/>
      <bottom style="hair">
        <color theme="0" tint="-0.34998626667073579"/>
      </bottom>
      <diagonal/>
    </border>
    <border>
      <left/>
      <right/>
      <top/>
      <bottom style="hair">
        <color theme="0" tint="-0.34998626667073579"/>
      </bottom>
      <diagonal/>
    </border>
    <border>
      <left style="hair">
        <color theme="0" tint="-0.499984740745262"/>
      </left>
      <right style="hair">
        <color theme="0" tint="-0.499984740745262"/>
      </right>
      <top/>
      <bottom style="hair">
        <color theme="0" tint="-0.34998626667073579"/>
      </bottom>
      <diagonal/>
    </border>
    <border>
      <left style="medium">
        <color theme="0" tint="-0.499984740745262"/>
      </left>
      <right style="hair">
        <color theme="0" tint="-0.499984740745262"/>
      </right>
      <top/>
      <bottom style="hair">
        <color theme="0" tint="-0.34998626667073579"/>
      </bottom>
      <diagonal/>
    </border>
    <border>
      <left style="hair">
        <color theme="0" tint="-0.499984740745262"/>
      </left>
      <right style="medium">
        <color theme="0" tint="-0.499984740745262"/>
      </right>
      <top/>
      <bottom style="hair">
        <color theme="0" tint="-0.34998626667073579"/>
      </bottom>
      <diagonal/>
    </border>
    <border>
      <left style="hair">
        <color theme="0" tint="-0.34998626667073579"/>
      </left>
      <right style="hair">
        <color theme="0" tint="-0.34998626667073579"/>
      </right>
      <top/>
      <bottom style="hair">
        <color theme="0" tint="-0.34998626667073579"/>
      </bottom>
      <diagonal/>
    </border>
    <border>
      <left style="thin">
        <color theme="0" tint="-0.499984740745262"/>
      </left>
      <right/>
      <top/>
      <bottom style="medium">
        <color theme="0" tint="-0.499984740745262"/>
      </bottom>
      <diagonal/>
    </border>
    <border>
      <left style="thin">
        <color theme="0" tint="-0.499984740745262"/>
      </left>
      <right style="thin">
        <color theme="0" tint="-0.34998626667073579"/>
      </right>
      <top/>
      <bottom style="medium">
        <color theme="0" tint="-0.499984740745262"/>
      </bottom>
      <diagonal/>
    </border>
    <border>
      <left style="thin">
        <color theme="0" tint="-0.34998626667073579"/>
      </left>
      <right style="medium">
        <color theme="0" tint="-0.499984740745262"/>
      </right>
      <top/>
      <bottom style="medium">
        <color theme="0" tint="-0.499984740745262"/>
      </bottom>
      <diagonal/>
    </border>
    <border>
      <left style="medium">
        <color theme="0" tint="-0.499984740745262"/>
      </left>
      <right style="thin">
        <color auto="1"/>
      </right>
      <top/>
      <bottom style="medium">
        <color theme="0" tint="-0.499984740745262"/>
      </bottom>
      <diagonal/>
    </border>
    <border>
      <left style="thin">
        <color auto="1"/>
      </left>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hair">
        <color theme="0" tint="-0.499984740745262"/>
      </left>
      <right style="hair">
        <color theme="0" tint="-0.499984740745262"/>
      </right>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theme="0" tint="-0.499984740745262"/>
      </left>
      <right/>
      <top style="medium">
        <color theme="0" tint="-0.499984740745262"/>
      </top>
      <bottom style="thin">
        <color theme="0" tint="-0.34998626667073579"/>
      </bottom>
      <diagonal/>
    </border>
    <border>
      <left/>
      <right/>
      <top style="medium">
        <color theme="0" tint="-0.499984740745262"/>
      </top>
      <bottom style="thin">
        <color theme="0" tint="-0.34998626667073579"/>
      </bottom>
      <diagonal/>
    </border>
    <border>
      <left/>
      <right style="medium">
        <color theme="0" tint="-0.499984740745262"/>
      </right>
      <top style="medium">
        <color theme="0" tint="-0.499984740745262"/>
      </top>
      <bottom style="thin">
        <color theme="0" tint="-0.34998626667073579"/>
      </bottom>
      <diagonal/>
    </border>
    <border>
      <left style="hair">
        <color theme="0" tint="-0.34998626667073579"/>
      </left>
      <right style="hair">
        <color theme="0" tint="-0.34998626667073579"/>
      </right>
      <top/>
      <bottom style="medium">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style="thin">
        <color theme="0" tint="-0.34998626667073579"/>
      </top>
      <bottom/>
      <diagonal/>
    </border>
    <border>
      <left style="thick">
        <color rgb="FF0000FF"/>
      </left>
      <right/>
      <top style="thick">
        <color rgb="FF0000FF"/>
      </top>
      <bottom style="thin">
        <color theme="0" tint="-0.499984740745262"/>
      </bottom>
      <diagonal/>
    </border>
    <border>
      <left/>
      <right/>
      <top style="thick">
        <color rgb="FF0000FF"/>
      </top>
      <bottom style="thin">
        <color theme="0" tint="-0.499984740745262"/>
      </bottom>
      <diagonal/>
    </border>
    <border>
      <left/>
      <right style="medium">
        <color theme="0" tint="-0.499984740745262"/>
      </right>
      <top style="thick">
        <color rgb="FF0000FF"/>
      </top>
      <bottom style="thin">
        <color theme="0" tint="-0.499984740745262"/>
      </bottom>
      <diagonal/>
    </border>
    <border>
      <left style="medium">
        <color theme="0" tint="-0.499984740745262"/>
      </left>
      <right/>
      <top style="thick">
        <color rgb="FF0000FF"/>
      </top>
      <bottom style="thin">
        <color theme="0" tint="-0.499984740745262"/>
      </bottom>
      <diagonal/>
    </border>
    <border>
      <left/>
      <right style="thick">
        <color rgb="FF0000FF"/>
      </right>
      <top style="thick">
        <color rgb="FF0000FF"/>
      </top>
      <bottom style="thin">
        <color theme="0" tint="-0.499984740745262"/>
      </bottom>
      <diagonal/>
    </border>
    <border>
      <left style="thick">
        <color rgb="FF0000FF"/>
      </left>
      <right style="thin">
        <color theme="0" tint="-0.499984740745262"/>
      </right>
      <top style="thin">
        <color theme="0" tint="-0.499984740745262"/>
      </top>
      <bottom style="thin">
        <color theme="0" tint="-0.499984740745262"/>
      </bottom>
      <diagonal/>
    </border>
    <border>
      <left/>
      <right style="thick">
        <color rgb="FF0000FF"/>
      </right>
      <top/>
      <bottom/>
      <diagonal/>
    </border>
    <border>
      <left style="thick">
        <color rgb="FF0000FF"/>
      </left>
      <right style="hair">
        <color theme="0" tint="-0.499984740745262"/>
      </right>
      <top style="thin">
        <color theme="0" tint="-0.499984740745262"/>
      </top>
      <bottom style="medium">
        <color theme="0" tint="-0.34998626667073579"/>
      </bottom>
      <diagonal/>
    </border>
    <border>
      <left/>
      <right style="thick">
        <color rgb="FF0000FF"/>
      </right>
      <top/>
      <bottom style="medium">
        <color theme="0" tint="-0.34998626667073579"/>
      </bottom>
      <diagonal/>
    </border>
    <border>
      <left style="thick">
        <color rgb="FF0000FF"/>
      </left>
      <right style="hair">
        <color theme="0" tint="-0.499984740745262"/>
      </right>
      <top/>
      <bottom style="thin">
        <color theme="0" tint="-0.499984740745262"/>
      </bottom>
      <diagonal/>
    </border>
    <border>
      <left/>
      <right style="thick">
        <color rgb="FF0000FF"/>
      </right>
      <top/>
      <bottom style="thin">
        <color theme="0" tint="-0.499984740745262"/>
      </bottom>
      <diagonal/>
    </border>
    <border>
      <left style="thick">
        <color rgb="FF0000FF"/>
      </left>
      <right style="hair">
        <color theme="0" tint="-0.499984740745262"/>
      </right>
      <top/>
      <bottom/>
      <diagonal/>
    </border>
    <border>
      <left style="thick">
        <color rgb="FF0000FF"/>
      </left>
      <right style="hair">
        <color theme="0" tint="-0.499984740745262"/>
      </right>
      <top style="thin">
        <color theme="0" tint="-0.34998626667073579"/>
      </top>
      <bottom style="hair">
        <color theme="0" tint="-0.34998626667073579"/>
      </bottom>
      <diagonal/>
    </border>
    <border>
      <left/>
      <right style="thick">
        <color rgb="FF0000FF"/>
      </right>
      <top style="thin">
        <color theme="0" tint="-0.34998626667073579"/>
      </top>
      <bottom style="hair">
        <color theme="0" tint="-0.34998626667073579"/>
      </bottom>
      <diagonal/>
    </border>
    <border>
      <left style="thick">
        <color rgb="FF0000FF"/>
      </left>
      <right style="hair">
        <color theme="0" tint="-0.499984740745262"/>
      </right>
      <top style="hair">
        <color theme="0" tint="-0.34998626667073579"/>
      </top>
      <bottom style="thin">
        <color theme="0" tint="-0.499984740745262"/>
      </bottom>
      <diagonal/>
    </border>
    <border>
      <left/>
      <right style="thick">
        <color rgb="FF0000FF"/>
      </right>
      <top style="hair">
        <color theme="0" tint="-0.34998626667073579"/>
      </top>
      <bottom style="thin">
        <color theme="0" tint="-0.499984740745262"/>
      </bottom>
      <diagonal/>
    </border>
    <border>
      <left/>
      <right style="thick">
        <color rgb="FF0000FF"/>
      </right>
      <top style="thin">
        <color theme="0" tint="-0.499984740745262"/>
      </top>
      <bottom/>
      <diagonal/>
    </border>
    <border>
      <left style="thick">
        <color rgb="FF0000FF"/>
      </left>
      <right style="hair">
        <color theme="0" tint="-0.499984740745262"/>
      </right>
      <top style="thin">
        <color theme="0" tint="-0.499984740745262"/>
      </top>
      <bottom/>
      <diagonal/>
    </border>
    <border>
      <left style="thick">
        <color rgb="FF0000FF"/>
      </left>
      <right style="hair">
        <color theme="0" tint="-0.499984740745262"/>
      </right>
      <top style="hair">
        <color theme="0" tint="-0.34998626667073579"/>
      </top>
      <bottom style="hair">
        <color theme="0" tint="-0.34998626667073579"/>
      </bottom>
      <diagonal/>
    </border>
    <border>
      <left/>
      <right style="thick">
        <color rgb="FF0000FF"/>
      </right>
      <top style="hair">
        <color theme="0" tint="-0.34998626667073579"/>
      </top>
      <bottom style="hair">
        <color theme="0" tint="-0.34998626667073579"/>
      </bottom>
      <diagonal/>
    </border>
    <border>
      <left style="thick">
        <color rgb="FF0000FF"/>
      </left>
      <right style="hair">
        <color theme="0" tint="-0.499984740745262"/>
      </right>
      <top/>
      <bottom style="hair">
        <color theme="0" tint="-0.34998626667073579"/>
      </bottom>
      <diagonal/>
    </border>
    <border>
      <left/>
      <right style="thick">
        <color rgb="FF0000FF"/>
      </right>
      <top/>
      <bottom style="hair">
        <color theme="0" tint="-0.34998626667073579"/>
      </bottom>
      <diagonal/>
    </border>
    <border>
      <left style="thick">
        <color rgb="FF0000FF"/>
      </left>
      <right style="hair">
        <color theme="0" tint="-0.499984740745262"/>
      </right>
      <top/>
      <bottom style="thick">
        <color rgb="FF0000FF"/>
      </bottom>
      <diagonal/>
    </border>
    <border>
      <left style="hair">
        <color theme="0" tint="-0.499984740745262"/>
      </left>
      <right style="hair">
        <color theme="0" tint="-0.499984740745262"/>
      </right>
      <top/>
      <bottom style="thick">
        <color rgb="FF0000FF"/>
      </bottom>
      <diagonal/>
    </border>
    <border>
      <left style="hair">
        <color theme="0" tint="-0.499984740745262"/>
      </left>
      <right style="medium">
        <color theme="0" tint="-0.499984740745262"/>
      </right>
      <top/>
      <bottom style="thick">
        <color rgb="FF0000FF"/>
      </bottom>
      <diagonal/>
    </border>
    <border>
      <left style="medium">
        <color theme="0" tint="-0.499984740745262"/>
      </left>
      <right style="hair">
        <color theme="0" tint="-0.499984740745262"/>
      </right>
      <top/>
      <bottom style="thick">
        <color rgb="FF0000FF"/>
      </bottom>
      <diagonal/>
    </border>
    <border>
      <left/>
      <right/>
      <top/>
      <bottom style="thick">
        <color rgb="FF0000FF"/>
      </bottom>
      <diagonal/>
    </border>
    <border>
      <left/>
      <right style="medium">
        <color theme="0" tint="-0.499984740745262"/>
      </right>
      <top/>
      <bottom style="thick">
        <color rgb="FF0000FF"/>
      </bottom>
      <diagonal/>
    </border>
    <border>
      <left style="medium">
        <color theme="0" tint="-0.499984740745262"/>
      </left>
      <right/>
      <top/>
      <bottom style="thick">
        <color rgb="FF0000FF"/>
      </bottom>
      <diagonal/>
    </border>
    <border>
      <left style="thin">
        <color theme="0" tint="-0.499984740745262"/>
      </left>
      <right style="thin">
        <color theme="0" tint="-0.499984740745262"/>
      </right>
      <top/>
      <bottom style="thick">
        <color rgb="FF0000FF"/>
      </bottom>
      <diagonal/>
    </border>
    <border>
      <left/>
      <right style="thick">
        <color rgb="FF0000FF"/>
      </right>
      <top/>
      <bottom style="thick">
        <color rgb="FF0000FF"/>
      </bottom>
      <diagonal/>
    </border>
    <border>
      <left style="hair">
        <color auto="1"/>
      </left>
      <right style="hair">
        <color auto="1"/>
      </right>
      <top/>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bottom style="thin">
        <color theme="0" tint="-0.499984740745262"/>
      </bottom>
      <diagonal/>
    </border>
    <border>
      <left style="hair">
        <color theme="0" tint="-0.499984740745262"/>
      </left>
      <right/>
      <top style="thin">
        <color theme="0" tint="-0.499984740745262"/>
      </top>
      <bottom/>
      <diagonal/>
    </border>
    <border>
      <left style="medium">
        <color theme="0" tint="-0.499984740745262"/>
      </left>
      <right style="hair">
        <color theme="0" tint="-0.499984740745262"/>
      </right>
      <top/>
      <bottom style="medium">
        <color theme="0" tint="-0.499984740745262"/>
      </bottom>
      <diagonal/>
    </border>
    <border>
      <left style="hair">
        <color theme="0" tint="-0.499984740745262"/>
      </left>
      <right style="medium">
        <color theme="0" tint="-0.499984740745262"/>
      </right>
      <top/>
      <bottom style="medium">
        <color theme="0" tint="-0.499984740745262"/>
      </bottom>
      <diagonal/>
    </border>
    <border>
      <left style="hair">
        <color theme="0" tint="-0.499984740745262"/>
      </left>
      <right/>
      <top/>
      <bottom style="medium">
        <color theme="0" tint="-0.499984740745262"/>
      </bottom>
      <diagonal/>
    </border>
    <border>
      <left style="thin">
        <color theme="0" tint="-0.499984740745262"/>
      </left>
      <right/>
      <top/>
      <bottom style="thin">
        <color theme="0" tint="-0.499984740745262"/>
      </bottom>
      <diagonal/>
    </border>
    <border>
      <left/>
      <right style="thin">
        <color indexed="64"/>
      </right>
      <top style="thin">
        <color indexed="64"/>
      </top>
      <bottom/>
      <diagonal/>
    </border>
    <border>
      <left style="thin">
        <color indexed="64"/>
      </left>
      <right style="hair">
        <color auto="1"/>
      </right>
      <top/>
      <bottom/>
      <diagonal/>
    </border>
    <border>
      <left/>
      <right style="thin">
        <color auto="1"/>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theme="0" tint="-0.34998626667073579"/>
      </left>
      <right/>
      <top/>
      <bottom/>
      <diagonal/>
    </border>
    <border>
      <left/>
      <right style="thin">
        <color theme="0" tint="-0.34998626667073579"/>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theme="1"/>
      </left>
      <right/>
      <top/>
      <bottom/>
      <diagonal/>
    </border>
    <border>
      <left/>
      <right style="hair">
        <color theme="0" tint="-0.499984740745262"/>
      </right>
      <top style="thin">
        <color theme="0" tint="-0.499984740745262"/>
      </top>
      <bottom style="medium">
        <color theme="0" tint="-0.34998626667073579"/>
      </bottom>
      <diagonal/>
    </border>
    <border>
      <left/>
      <right style="hair">
        <color theme="0" tint="-0.499984740745262"/>
      </right>
      <top/>
      <bottom style="thin">
        <color theme="0" tint="-0.499984740745262"/>
      </bottom>
      <diagonal/>
    </border>
    <border>
      <left/>
      <right style="hair">
        <color theme="0" tint="-0.499984740745262"/>
      </right>
      <top/>
      <bottom/>
      <diagonal/>
    </border>
    <border>
      <left/>
      <right style="hair">
        <color theme="0" tint="-0.499984740745262"/>
      </right>
      <top style="thin">
        <color theme="0" tint="-0.34998626667073579"/>
      </top>
      <bottom style="hair">
        <color theme="0" tint="-0.34998626667073579"/>
      </bottom>
      <diagonal/>
    </border>
    <border>
      <left/>
      <right style="hair">
        <color theme="0" tint="-0.499984740745262"/>
      </right>
      <top style="hair">
        <color theme="0" tint="-0.34998626667073579"/>
      </top>
      <bottom style="hair">
        <color theme="0" tint="-0.34998626667073579"/>
      </bottom>
      <diagonal/>
    </border>
    <border>
      <left/>
      <right/>
      <top style="medium">
        <color theme="0" tint="-0.34998626667073579"/>
      </top>
      <bottom style="thin">
        <color theme="0" tint="-0.499984740745262"/>
      </bottom>
      <diagonal/>
    </border>
    <border>
      <left style="medium">
        <color theme="0" tint="-0.34998626667073579"/>
      </left>
      <right style="hair">
        <color theme="0" tint="-0.499984740745262"/>
      </right>
      <top style="thin">
        <color theme="0" tint="-0.499984740745262"/>
      </top>
      <bottom style="medium">
        <color theme="0" tint="-0.34998626667073579"/>
      </bottom>
      <diagonal/>
    </border>
    <border>
      <left style="medium">
        <color theme="0" tint="-0.34998626667073579"/>
      </left>
      <right style="hair">
        <color theme="0" tint="-0.499984740745262"/>
      </right>
      <top/>
      <bottom style="thin">
        <color theme="0" tint="-0.499984740745262"/>
      </bottom>
      <diagonal/>
    </border>
    <border>
      <left style="medium">
        <color theme="0" tint="-0.34998626667073579"/>
      </left>
      <right style="hair">
        <color theme="0" tint="-0.499984740745262"/>
      </right>
      <top/>
      <bottom/>
      <diagonal/>
    </border>
    <border>
      <left style="medium">
        <color theme="0" tint="-0.34998626667073579"/>
      </left>
      <right style="hair">
        <color theme="0" tint="-0.499984740745262"/>
      </right>
      <top style="thin">
        <color theme="0" tint="-0.34998626667073579"/>
      </top>
      <bottom style="hair">
        <color theme="0" tint="-0.34998626667073579"/>
      </bottom>
      <diagonal/>
    </border>
    <border>
      <left style="medium">
        <color theme="0" tint="-0.34998626667073579"/>
      </left>
      <right style="hair">
        <color theme="0" tint="-0.499984740745262"/>
      </right>
      <top/>
      <bottom style="hair">
        <color theme="0" tint="-0.34998626667073579"/>
      </bottom>
      <diagonal/>
    </border>
    <border>
      <left style="medium">
        <color theme="0" tint="-0.34998626667073579"/>
      </left>
      <right style="hair">
        <color theme="0" tint="-0.499984740745262"/>
      </right>
      <top/>
      <bottom style="medium">
        <color theme="0" tint="-0.34998626667073579"/>
      </bottom>
      <diagonal/>
    </border>
    <border>
      <left style="medium">
        <color theme="0" tint="-0.34998626667073579"/>
      </left>
      <right/>
      <top/>
      <bottom style="thin">
        <color theme="0" tint="-0.499984740745262"/>
      </bottom>
      <diagonal/>
    </border>
    <border>
      <left/>
      <right style="medium">
        <color theme="0" tint="-0.34998626667073579"/>
      </right>
      <top style="medium">
        <color theme="0" tint="-0.34998626667073579"/>
      </top>
      <bottom style="thin">
        <color theme="0" tint="-0.499984740745262"/>
      </bottom>
      <diagonal/>
    </border>
    <border>
      <left style="hair">
        <color theme="0" tint="-0.499984740745262"/>
      </left>
      <right style="medium">
        <color theme="0" tint="-0.34998626667073579"/>
      </right>
      <top/>
      <bottom style="medium">
        <color theme="0" tint="-0.34998626667073579"/>
      </bottom>
      <diagonal/>
    </border>
    <border>
      <left/>
      <right style="medium">
        <color theme="0" tint="-0.34998626667073579"/>
      </right>
      <top/>
      <bottom style="thin">
        <color theme="0" tint="-0.499984740745262"/>
      </bottom>
      <diagonal/>
    </border>
    <border>
      <left/>
      <right style="medium">
        <color theme="0" tint="-0.34998626667073579"/>
      </right>
      <top/>
      <bottom/>
      <diagonal/>
    </border>
    <border>
      <left style="medium">
        <color theme="0" tint="-0.499984740745262"/>
      </left>
      <right/>
      <top style="thin">
        <color theme="0" tint="-0.499984740745262"/>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499984740745262"/>
      </right>
      <top style="medium">
        <color theme="0" tint="-0.34998626667073579"/>
      </top>
      <bottom/>
      <diagonal/>
    </border>
    <border>
      <left style="medium">
        <color theme="0" tint="-0.499984740745262"/>
      </left>
      <right style="thin">
        <color auto="1"/>
      </right>
      <top style="medium">
        <color theme="0" tint="-0.34998626667073579"/>
      </top>
      <bottom style="hair">
        <color auto="1"/>
      </bottom>
      <diagonal/>
    </border>
    <border>
      <left style="medium">
        <color theme="0" tint="-0.34998626667073579"/>
      </left>
      <right/>
      <top/>
      <bottom/>
      <diagonal/>
    </border>
    <border>
      <left style="medium">
        <color theme="0" tint="-0.34998626667073579"/>
      </left>
      <right/>
      <top/>
      <bottom style="medium">
        <color theme="0" tint="-0.499984740745262"/>
      </bottom>
      <diagonal/>
    </border>
    <border>
      <left style="medium">
        <color theme="0" tint="-0.34998626667073579"/>
      </left>
      <right/>
      <top/>
      <bottom style="medium">
        <color theme="0" tint="-0.34998626667073579"/>
      </bottom>
      <diagonal/>
    </border>
    <border>
      <left style="medium">
        <color theme="0" tint="-0.499984740745262"/>
      </left>
      <right style="thin">
        <color auto="1"/>
      </right>
      <top/>
      <bottom style="medium">
        <color theme="0" tint="-0.34998626667073579"/>
      </bottom>
      <diagonal/>
    </border>
    <border>
      <left/>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top style="medium">
        <color rgb="FFD9D9D9"/>
      </top>
      <bottom/>
      <diagonal/>
    </border>
    <border>
      <left/>
      <right style="medium">
        <color rgb="FFD9D9D9"/>
      </right>
      <top style="medium">
        <color rgb="FFD9D9D9"/>
      </top>
      <bottom/>
      <diagonal/>
    </border>
    <border>
      <left/>
      <right/>
      <top/>
      <bottom style="medium">
        <color rgb="FFD9D9D9"/>
      </bottom>
      <diagonal/>
    </border>
    <border>
      <left/>
      <right style="medium">
        <color rgb="FFD9D9D9"/>
      </right>
      <top/>
      <bottom style="medium">
        <color rgb="FFD9D9D9"/>
      </bottom>
      <diagonal/>
    </border>
    <border>
      <left style="medium">
        <color rgb="FFD9D9D9"/>
      </left>
      <right style="medium">
        <color rgb="FFD9D9D9"/>
      </right>
      <top style="medium">
        <color rgb="FFD9D9D9"/>
      </top>
      <bottom style="medium">
        <color rgb="FFD9D9D9"/>
      </bottom>
      <diagonal/>
    </border>
    <border>
      <left style="medium">
        <color rgb="FFD9D9D9"/>
      </left>
      <right/>
      <top style="medium">
        <color rgb="FFD9D9D9"/>
      </top>
      <bottom style="medium">
        <color rgb="FFD9D9D9"/>
      </bottom>
      <diagonal/>
    </border>
    <border>
      <left/>
      <right/>
      <top style="medium">
        <color rgb="FFD9D9D9"/>
      </top>
      <bottom style="medium">
        <color rgb="FFD9D9D9"/>
      </bottom>
      <diagonal/>
    </border>
    <border>
      <left/>
      <right style="medium">
        <color rgb="FFD9D9D9"/>
      </right>
      <top/>
      <bottom/>
      <diagonal/>
    </border>
    <border>
      <left style="medium">
        <color theme="0" tint="-0.499984740745262"/>
      </left>
      <right style="thin">
        <color theme="0" tint="-0.34998626667073579"/>
      </right>
      <top/>
      <bottom/>
      <diagonal/>
    </border>
    <border>
      <left style="thin">
        <color auto="1"/>
      </left>
      <right style="medium">
        <color theme="0" tint="-0.499984740745262"/>
      </right>
      <top style="thin">
        <color theme="0" tint="-0.34998626667073579"/>
      </top>
      <bottom style="hair">
        <color theme="0" tint="-0.34998626667073579"/>
      </bottom>
      <diagonal/>
    </border>
    <border>
      <left style="medium">
        <color theme="0" tint="-0.499984740745262"/>
      </left>
      <right style="thin">
        <color theme="0" tint="-0.34998626667073579"/>
      </right>
      <top/>
      <bottom style="medium">
        <color theme="0" tint="-0.499984740745262"/>
      </bottom>
      <diagonal/>
    </border>
    <border>
      <left style="thin">
        <color auto="1"/>
      </left>
      <right style="medium">
        <color theme="0" tint="-0.499984740745262"/>
      </right>
      <top style="hair">
        <color theme="0" tint="-0.34998626667073579"/>
      </top>
      <bottom style="hair">
        <color theme="0" tint="-0.34998626667073579"/>
      </bottom>
      <diagonal/>
    </border>
    <border>
      <left style="thin">
        <color theme="0" tint="-0.34998626667073579"/>
      </left>
      <right style="medium">
        <color theme="0" tint="-0.499984740745262"/>
      </right>
      <top style="hair">
        <color theme="0" tint="-0.34998626667073579"/>
      </top>
      <bottom style="medium">
        <color theme="0" tint="-0.499984740745262"/>
      </bottom>
      <diagonal/>
    </border>
    <border>
      <left style="medium">
        <color theme="0" tint="-0.499984740745262"/>
      </left>
      <right style="thin">
        <color auto="1"/>
      </right>
      <top style="hair">
        <color theme="0" tint="-0.34998626667073579"/>
      </top>
      <bottom style="medium">
        <color theme="0" tint="-0.499984740745262"/>
      </bottom>
      <diagonal/>
    </border>
    <border>
      <left style="thin">
        <color auto="1"/>
      </left>
      <right style="medium">
        <color theme="0" tint="-0.499984740745262"/>
      </right>
      <top style="hair">
        <color theme="0" tint="-0.34998626667073579"/>
      </top>
      <bottom style="medium">
        <color theme="0" tint="-0.499984740745262"/>
      </bottom>
      <diagonal/>
    </border>
    <border>
      <left style="medium">
        <color theme="0" tint="-0.499984740745262"/>
      </left>
      <right style="hair">
        <color theme="0" tint="-0.499984740745262"/>
      </right>
      <top style="hair">
        <color theme="0" tint="-0.34998626667073579"/>
      </top>
      <bottom style="medium">
        <color theme="0" tint="-0.499984740745262"/>
      </bottom>
      <diagonal/>
    </border>
    <border>
      <left/>
      <right style="hair">
        <color theme="0" tint="-0.499984740745262"/>
      </right>
      <top style="hair">
        <color theme="0" tint="-0.34998626667073579"/>
      </top>
      <bottom style="medium">
        <color theme="0" tint="-0.499984740745262"/>
      </bottom>
      <diagonal/>
    </border>
    <border>
      <left style="hair">
        <color theme="0" tint="-0.499984740745262"/>
      </left>
      <right style="hair">
        <color theme="0" tint="-0.499984740745262"/>
      </right>
      <top style="hair">
        <color theme="0" tint="-0.34998626667073579"/>
      </top>
      <bottom style="medium">
        <color theme="0" tint="-0.499984740745262"/>
      </bottom>
      <diagonal/>
    </border>
    <border>
      <left style="hair">
        <color theme="0" tint="-0.499984740745262"/>
      </left>
      <right style="medium">
        <color theme="0" tint="-0.499984740745262"/>
      </right>
      <top style="hair">
        <color theme="0" tint="-0.34998626667073579"/>
      </top>
      <bottom style="medium">
        <color theme="0" tint="-0.499984740745262"/>
      </bottom>
      <diagonal/>
    </border>
    <border>
      <left style="medium">
        <color theme="0" tint="-0.499984740745262"/>
      </left>
      <right style="hair">
        <color theme="0" tint="-0.499984740745262"/>
      </right>
      <top style="thin">
        <color theme="0" tint="-0.34998626667073579"/>
      </top>
      <bottom style="hair">
        <color theme="0" tint="-0.499984740745262"/>
      </bottom>
      <diagonal/>
    </border>
    <border>
      <left style="hair">
        <color theme="0" tint="-0.499984740745262"/>
      </left>
      <right style="medium">
        <color theme="0" tint="-0.499984740745262"/>
      </right>
      <top style="thin">
        <color theme="0" tint="-0.34998626667073579"/>
      </top>
      <bottom style="hair">
        <color theme="0" tint="-0.499984740745262"/>
      </bottom>
      <diagonal/>
    </border>
    <border>
      <left style="medium">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medium">
        <color theme="0" tint="-0.499984740745262"/>
      </right>
      <top style="hair">
        <color theme="0" tint="-0.499984740745262"/>
      </top>
      <bottom style="hair">
        <color theme="0" tint="-0.499984740745262"/>
      </bottom>
      <diagonal/>
    </border>
    <border>
      <left/>
      <right style="hair">
        <color theme="0" tint="-0.499984740745262"/>
      </right>
      <top/>
      <bottom style="thin">
        <color theme="0" tint="-0.34998626667073579"/>
      </bottom>
      <diagonal/>
    </border>
    <border>
      <left style="medium">
        <color theme="0" tint="-0.499984740745262"/>
      </left>
      <right style="hair">
        <color theme="0" tint="-0.499984740745262"/>
      </right>
      <top/>
      <bottom style="thin">
        <color theme="0" tint="-0.34998626667073579"/>
      </bottom>
      <diagonal/>
    </border>
    <border>
      <left style="hair">
        <color theme="0" tint="-0.499984740745262"/>
      </left>
      <right style="medium">
        <color theme="0" tint="-0.499984740745262"/>
      </right>
      <top/>
      <bottom style="thin">
        <color theme="0" tint="-0.34998626667073579"/>
      </bottom>
      <diagonal/>
    </border>
    <border>
      <left style="medium">
        <color indexed="64"/>
      </left>
      <right/>
      <top style="medium">
        <color indexed="64"/>
      </top>
      <bottom style="medium">
        <color rgb="FFD9D9D9"/>
      </bottom>
      <diagonal/>
    </border>
    <border>
      <left/>
      <right/>
      <top style="medium">
        <color indexed="64"/>
      </top>
      <bottom style="medium">
        <color rgb="FFD9D9D9"/>
      </bottom>
      <diagonal/>
    </border>
    <border>
      <left/>
      <right style="medium">
        <color indexed="64"/>
      </right>
      <top style="medium">
        <color indexed="64"/>
      </top>
      <bottom style="medium">
        <color rgb="FFD9D9D9"/>
      </bottom>
      <diagonal/>
    </border>
    <border>
      <left style="medium">
        <color indexed="64"/>
      </left>
      <right style="medium">
        <color rgb="FFD9D9D9"/>
      </right>
      <top style="medium">
        <color rgb="FFD9D9D9"/>
      </top>
      <bottom style="medium">
        <color rgb="FFD9D9D9"/>
      </bottom>
      <diagonal/>
    </border>
    <border>
      <left style="medium">
        <color rgb="FFD9D9D9"/>
      </left>
      <right style="medium">
        <color indexed="64"/>
      </right>
      <top style="medium">
        <color rgb="FFD9D9D9"/>
      </top>
      <bottom style="medium">
        <color rgb="FFD9D9D9"/>
      </bottom>
      <diagonal/>
    </border>
    <border>
      <left style="medium">
        <color indexed="64"/>
      </left>
      <right style="medium">
        <color rgb="FFD9D9D9"/>
      </right>
      <top style="medium">
        <color rgb="FFD9D9D9"/>
      </top>
      <bottom style="medium">
        <color indexed="64"/>
      </bottom>
      <diagonal/>
    </border>
    <border>
      <left style="medium">
        <color rgb="FFD9D9D9"/>
      </left>
      <right style="medium">
        <color rgb="FFD9D9D9"/>
      </right>
      <top style="medium">
        <color rgb="FFD9D9D9"/>
      </top>
      <bottom style="medium">
        <color indexed="64"/>
      </bottom>
      <diagonal/>
    </border>
    <border>
      <left style="medium">
        <color rgb="FFD9D9D9"/>
      </left>
      <right style="medium">
        <color indexed="64"/>
      </right>
      <top style="medium">
        <color rgb="FFD9D9D9"/>
      </top>
      <bottom style="medium">
        <color indexed="64"/>
      </bottom>
      <diagonal/>
    </border>
    <border>
      <left style="medium">
        <color theme="1" tint="0.34998626667073579"/>
      </left>
      <right/>
      <top style="medium">
        <color theme="1" tint="0.34998626667073579"/>
      </top>
      <bottom style="thin">
        <color theme="0" tint="-0.34998626667073579"/>
      </bottom>
      <diagonal/>
    </border>
    <border>
      <left/>
      <right style="medium">
        <color theme="1" tint="0.34998626667073579"/>
      </right>
      <top style="medium">
        <color theme="1" tint="0.34998626667073579"/>
      </top>
      <bottom style="thin">
        <color theme="0" tint="-0.34998626667073579"/>
      </bottom>
      <diagonal/>
    </border>
    <border>
      <left style="medium">
        <color theme="1" tint="0.34998626667073579"/>
      </left>
      <right/>
      <top style="thin">
        <color theme="0" tint="-0.34998626667073579"/>
      </top>
      <bottom style="thin">
        <color theme="0" tint="-0.34998626667073579"/>
      </bottom>
      <diagonal/>
    </border>
    <border>
      <left/>
      <right style="medium">
        <color theme="1" tint="0.34998626667073579"/>
      </right>
      <top style="thin">
        <color theme="0" tint="-0.34998626667073579"/>
      </top>
      <bottom style="thin">
        <color theme="0" tint="-0.34998626667073579"/>
      </bottom>
      <diagonal/>
    </border>
    <border>
      <left style="medium">
        <color theme="1" tint="0.34998626667073579"/>
      </left>
      <right/>
      <top style="thin">
        <color theme="0" tint="-0.34998626667073579"/>
      </top>
      <bottom style="medium">
        <color theme="1" tint="0.34998626667073579"/>
      </bottom>
      <diagonal/>
    </border>
    <border>
      <left/>
      <right style="medium">
        <color theme="1" tint="0.34998626667073579"/>
      </right>
      <top style="thin">
        <color theme="0" tint="-0.34998626667073579"/>
      </top>
      <bottom style="medium">
        <color theme="1" tint="0.34998626667073579"/>
      </bottom>
      <diagonal/>
    </border>
    <border>
      <left style="thin">
        <color auto="1"/>
      </left>
      <right style="medium">
        <color theme="0" tint="-0.499984740745262"/>
      </right>
      <top/>
      <bottom/>
      <diagonal/>
    </border>
    <border>
      <left style="thin">
        <color theme="0" tint="-0.499984740745262"/>
      </left>
      <right style="thin">
        <color theme="0" tint="-0.34998626667073579"/>
      </right>
      <top/>
      <bottom style="thin">
        <color theme="1" tint="0.499984740745262"/>
      </bottom>
      <diagonal/>
    </border>
    <border>
      <left style="thin">
        <color theme="0" tint="-0.34998626667073579"/>
      </left>
      <right style="medium">
        <color theme="0" tint="-0.499984740745262"/>
      </right>
      <top/>
      <bottom style="thin">
        <color theme="1" tint="0.499984740745262"/>
      </bottom>
      <diagonal/>
    </border>
    <border>
      <left style="medium">
        <color theme="0" tint="-0.499984740745262"/>
      </left>
      <right style="thin">
        <color auto="1"/>
      </right>
      <top/>
      <bottom style="thin">
        <color theme="1" tint="0.499984740745262"/>
      </bottom>
      <diagonal/>
    </border>
    <border>
      <left style="hair">
        <color theme="0" tint="-0.499984740745262"/>
      </left>
      <right style="hair">
        <color theme="0" tint="-0.499984740745262"/>
      </right>
      <top style="thin">
        <color theme="0" tint="-0.34998626667073579"/>
      </top>
      <bottom style="hair">
        <color theme="0" tint="-0.499984740745262"/>
      </bottom>
      <diagonal/>
    </border>
    <border>
      <left/>
      <right style="thin">
        <color theme="1" tint="0.499984740745262"/>
      </right>
      <top style="thin">
        <color theme="0" tint="-0.34998626667073579"/>
      </top>
      <bottom style="thin">
        <color theme="0" tint="-0.34998626667073579"/>
      </bottom>
      <diagonal/>
    </border>
    <border>
      <left/>
      <right/>
      <top/>
      <bottom style="thin">
        <color theme="0" tint="-0.34998626667073579"/>
      </bottom>
      <diagonal/>
    </border>
    <border>
      <left style="medium">
        <color theme="1"/>
      </left>
      <right style="medium">
        <color theme="1"/>
      </right>
      <top style="thin">
        <color theme="0" tint="-0.34998626667073579"/>
      </top>
      <bottom style="thin">
        <color theme="0" tint="-0.34998626667073579"/>
      </bottom>
      <diagonal/>
    </border>
    <border>
      <left style="medium">
        <color theme="1"/>
      </left>
      <right style="medium">
        <color theme="1"/>
      </right>
      <top style="thin">
        <color theme="0" tint="-0.34998626667073579"/>
      </top>
      <bottom style="medium">
        <color theme="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medium">
        <color theme="1"/>
      </left>
      <right style="medium">
        <color theme="1"/>
      </right>
      <top/>
      <bottom style="thin">
        <color theme="0" tint="-0.34998626667073579"/>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medium">
        <color theme="1"/>
      </left>
      <right style="medium">
        <color theme="1"/>
      </right>
      <top style="medium">
        <color theme="1"/>
      </top>
      <bottom style="thin">
        <color theme="1" tint="0.499984740745262"/>
      </bottom>
      <diagonal/>
    </border>
    <border>
      <left style="medium">
        <color theme="0" tint="-0.499984740745262"/>
      </left>
      <right/>
      <top style="medium">
        <color theme="0" tint="-0.34998626667073579"/>
      </top>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medium">
        <color theme="1" tint="0.499984740745262"/>
      </left>
      <right/>
      <top style="medium">
        <color theme="0" tint="-0.34998626667073579"/>
      </top>
      <bottom style="thin">
        <color theme="0" tint="-0.499984740745262"/>
      </bottom>
      <diagonal/>
    </border>
    <border>
      <left style="thin">
        <color theme="1" tint="0.499984740745262"/>
      </left>
      <right/>
      <top style="thin">
        <color theme="0" tint="-0.34998626667073579"/>
      </top>
      <bottom style="thin">
        <color theme="0" tint="-0.34998626667073579"/>
      </bottom>
      <diagonal/>
    </border>
    <border>
      <left style="medium">
        <color theme="1"/>
      </left>
      <right/>
      <top style="thin">
        <color theme="0" tint="-0.34998626667073579"/>
      </top>
      <bottom style="thin">
        <color theme="0" tint="-0.34998626667073579"/>
      </bottom>
      <diagonal/>
    </border>
    <border>
      <left style="thin">
        <color theme="0" tint="-0.34998626667073579"/>
      </left>
      <right/>
      <top style="thin">
        <color theme="1" tint="0.499984740745262"/>
      </top>
      <bottom style="thin">
        <color theme="0" tint="-0.34998626667073579"/>
      </bottom>
      <diagonal/>
    </border>
    <border>
      <left/>
      <right style="thin">
        <color theme="0" tint="-0.34998626667073579"/>
      </right>
      <top style="thin">
        <color theme="1" tint="0.499984740745262"/>
      </top>
      <bottom style="thin">
        <color theme="0" tint="-0.34998626667073579"/>
      </bottom>
      <diagonal/>
    </border>
    <border>
      <left style="medium">
        <color theme="1"/>
      </left>
      <right/>
      <top style="thin">
        <color theme="1" tint="0.499984740745262"/>
      </top>
      <bottom style="thin">
        <color theme="0" tint="-0.34998626667073579"/>
      </bottom>
      <diagonal/>
    </border>
    <border>
      <left/>
      <right/>
      <top style="thin">
        <color theme="1" tint="0.499984740745262"/>
      </top>
      <bottom style="thin">
        <color theme="0" tint="-0.34998626667073579"/>
      </bottom>
      <diagonal/>
    </border>
    <border>
      <left/>
      <right style="thin">
        <color indexed="64"/>
      </right>
      <top style="thin">
        <color theme="1" tint="0.499984740745262"/>
      </top>
      <bottom style="thin">
        <color theme="0" tint="-0.34998626667073579"/>
      </bottom>
      <diagonal/>
    </border>
    <border>
      <left/>
      <right style="thin">
        <color indexed="64"/>
      </right>
      <top style="thin">
        <color theme="0" tint="-0.34998626667073579"/>
      </top>
      <bottom style="thin">
        <color theme="0" tint="-0.34998626667073579"/>
      </bottom>
      <diagonal/>
    </border>
    <border>
      <left style="thin">
        <color theme="1" tint="0.499984740745262"/>
      </left>
      <right style="medium">
        <color indexed="64"/>
      </right>
      <top style="thin">
        <color theme="1" tint="0.499984740745262"/>
      </top>
      <bottom style="thin">
        <color theme="1" tint="0.499984740745262"/>
      </bottom>
      <diagonal/>
    </border>
    <border>
      <left/>
      <right style="medium">
        <color theme="1"/>
      </right>
      <top style="thin">
        <color theme="0" tint="-0.34998626667073579"/>
      </top>
      <bottom style="thin">
        <color theme="0" tint="-0.34998626667073579"/>
      </bottom>
      <diagonal/>
    </border>
    <border>
      <left/>
      <right style="medium">
        <color indexed="64"/>
      </right>
      <top style="medium">
        <color indexed="64"/>
      </top>
      <bottom style="hair">
        <color indexed="64"/>
      </bottom>
      <diagonal/>
    </border>
    <border>
      <left/>
      <right style="thin">
        <color theme="1" tint="0.499984740745262"/>
      </right>
      <top style="medium">
        <color theme="0" tint="-0.34998626667073579"/>
      </top>
      <bottom/>
      <diagonal/>
    </border>
    <border>
      <left/>
      <right style="thin">
        <color theme="1" tint="0.499984740745262"/>
      </right>
      <top/>
      <bottom style="thin">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medium">
        <color theme="0" tint="-0.499984740745262"/>
      </left>
      <right style="hair">
        <color theme="0" tint="-0.499984740745262"/>
      </right>
      <top style="hair">
        <color theme="0" tint="-0.499984740745262"/>
      </top>
      <bottom style="thin">
        <color indexed="64"/>
      </bottom>
      <diagonal/>
    </border>
    <border>
      <left style="hair">
        <color theme="0" tint="-0.499984740745262"/>
      </left>
      <right style="hair">
        <color theme="0" tint="-0.499984740745262"/>
      </right>
      <top style="hair">
        <color theme="0" tint="-0.499984740745262"/>
      </top>
      <bottom style="thin">
        <color indexed="64"/>
      </bottom>
      <diagonal/>
    </border>
    <border>
      <left style="hair">
        <color theme="0" tint="-0.499984740745262"/>
      </left>
      <right style="medium">
        <color theme="0" tint="-0.499984740745262"/>
      </right>
      <top style="hair">
        <color theme="0" tint="-0.499984740745262"/>
      </top>
      <bottom style="thin">
        <color indexed="64"/>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bottom/>
      <diagonal/>
    </border>
  </borders>
  <cellStyleXfs count="122">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4" fillId="0" borderId="0"/>
    <xf numFmtId="41" fontId="5" fillId="0" borderId="0" applyFont="0" applyFill="0" applyBorder="0" applyAlignment="0" applyProtection="0"/>
    <xf numFmtId="176" fontId="7" fillId="0" borderId="0">
      <alignment vertical="center"/>
    </xf>
    <xf numFmtId="0" fontId="1" fillId="0" borderId="0">
      <alignment vertical="center"/>
    </xf>
    <xf numFmtId="0" fontId="5" fillId="0" borderId="0">
      <alignment vertical="center"/>
    </xf>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0" fontId="5" fillId="0" borderId="0">
      <alignment vertical="center"/>
    </xf>
    <xf numFmtId="0" fontId="6" fillId="0" borderId="0">
      <alignment vertical="center"/>
    </xf>
    <xf numFmtId="0" fontId="5" fillId="0" borderId="0">
      <alignment vertical="center"/>
    </xf>
    <xf numFmtId="9" fontId="1" fillId="0" borderId="0" applyFont="0" applyFill="0" applyBorder="0" applyAlignment="0" applyProtection="0">
      <alignment vertical="center"/>
    </xf>
    <xf numFmtId="0" fontId="8" fillId="0" borderId="0"/>
    <xf numFmtId="0" fontId="5" fillId="0" borderId="0">
      <alignment vertical="center"/>
    </xf>
    <xf numFmtId="0" fontId="4" fillId="0" borderId="0"/>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4" fillId="0" borderId="0"/>
    <xf numFmtId="0" fontId="1" fillId="0" borderId="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0" fontId="1" fillId="0" borderId="0">
      <alignment vertical="center"/>
    </xf>
    <xf numFmtId="0" fontId="8"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41" fontId="1" fillId="0" borderId="0" applyFont="0" applyFill="0" applyBorder="0" applyAlignment="0" applyProtection="0">
      <alignment vertical="center"/>
    </xf>
  </cellStyleXfs>
  <cellXfs count="1267">
    <xf numFmtId="0" fontId="0" fillId="0" borderId="0" xfId="0">
      <alignment vertical="center"/>
    </xf>
    <xf numFmtId="41" fontId="0" fillId="0" borderId="0" xfId="1" applyFont="1">
      <alignment vertical="center"/>
    </xf>
    <xf numFmtId="0" fontId="0" fillId="0" borderId="4" xfId="0" applyBorder="1">
      <alignment vertical="center"/>
    </xf>
    <xf numFmtId="0" fontId="0" fillId="0" borderId="5" xfId="0" applyBorder="1">
      <alignment vertical="center"/>
    </xf>
    <xf numFmtId="41" fontId="0" fillId="0" borderId="5" xfId="1" applyFont="1" applyFill="1" applyBorder="1">
      <alignment vertical="center"/>
    </xf>
    <xf numFmtId="43" fontId="0" fillId="0" borderId="0" xfId="0" applyNumberFormat="1">
      <alignment vertical="center"/>
    </xf>
    <xf numFmtId="41" fontId="0" fillId="0" borderId="8" xfId="1" applyFont="1" applyFill="1" applyBorder="1">
      <alignment vertical="center"/>
    </xf>
    <xf numFmtId="0" fontId="0" fillId="0" borderId="1" xfId="0" applyBorder="1">
      <alignment vertical="center"/>
    </xf>
    <xf numFmtId="0" fontId="0" fillId="0" borderId="2" xfId="0" applyBorder="1">
      <alignment vertical="center"/>
    </xf>
    <xf numFmtId="3" fontId="0" fillId="0" borderId="2" xfId="1" applyNumberFormat="1" applyFont="1" applyFill="1" applyBorder="1">
      <alignment vertical="center"/>
    </xf>
    <xf numFmtId="3" fontId="0" fillId="0" borderId="0" xfId="0" applyNumberFormat="1">
      <alignment vertical="center"/>
    </xf>
    <xf numFmtId="3" fontId="0" fillId="0" borderId="5" xfId="1" applyNumberFormat="1" applyFont="1" applyFill="1" applyBorder="1">
      <alignment vertical="center"/>
    </xf>
    <xf numFmtId="0" fontId="0" fillId="0" borderId="14" xfId="0" applyBorder="1">
      <alignment vertical="center"/>
    </xf>
    <xf numFmtId="0" fontId="0" fillId="0" borderId="10" xfId="0" applyBorder="1">
      <alignment vertical="center"/>
    </xf>
    <xf numFmtId="0" fontId="0" fillId="0" borderId="15" xfId="0" applyBorder="1">
      <alignment vertical="center"/>
    </xf>
    <xf numFmtId="41" fontId="0" fillId="0" borderId="0" xfId="0" applyNumberFormat="1">
      <alignment vertical="center"/>
    </xf>
    <xf numFmtId="0" fontId="0" fillId="0" borderId="16" xfId="0" applyBorder="1">
      <alignment vertical="center"/>
    </xf>
    <xf numFmtId="0" fontId="0" fillId="0" borderId="8" xfId="0" applyBorder="1">
      <alignment vertical="center"/>
    </xf>
    <xf numFmtId="177" fontId="0" fillId="0" borderId="0" xfId="0" applyNumberFormat="1">
      <alignment vertical="center"/>
    </xf>
    <xf numFmtId="3" fontId="0" fillId="0" borderId="16" xfId="1" applyNumberFormat="1" applyFont="1" applyFill="1" applyBorder="1">
      <alignment vertical="center"/>
    </xf>
    <xf numFmtId="9" fontId="0" fillId="0" borderId="3" xfId="2" applyFont="1" applyFill="1" applyBorder="1">
      <alignment vertical="center"/>
    </xf>
    <xf numFmtId="9" fontId="0" fillId="0" borderId="6" xfId="2" applyFont="1" applyFill="1" applyBorder="1">
      <alignment vertical="center"/>
    </xf>
    <xf numFmtId="9" fontId="0" fillId="0" borderId="9" xfId="2" applyFont="1" applyFill="1" applyBorder="1">
      <alignment vertical="center"/>
    </xf>
    <xf numFmtId="9" fontId="0" fillId="0" borderId="17" xfId="2" applyFont="1" applyFill="1" applyBorder="1">
      <alignment vertical="center"/>
    </xf>
    <xf numFmtId="3" fontId="0" fillId="3" borderId="2" xfId="1" applyNumberFormat="1" applyFont="1" applyFill="1" applyBorder="1">
      <alignment vertical="center"/>
    </xf>
    <xf numFmtId="3" fontId="0" fillId="3" borderId="5" xfId="1" applyNumberFormat="1" applyFont="1" applyFill="1" applyBorder="1">
      <alignment vertical="center"/>
    </xf>
    <xf numFmtId="41" fontId="0" fillId="3" borderId="5" xfId="1" applyFont="1" applyFill="1" applyBorder="1">
      <alignment vertical="center"/>
    </xf>
    <xf numFmtId="0" fontId="3" fillId="5" borderId="18" xfId="0" applyFont="1" applyFill="1" applyBorder="1" applyAlignment="1">
      <alignment horizontal="center" vertical="center"/>
    </xf>
    <xf numFmtId="0" fontId="3" fillId="5" borderId="19" xfId="0" applyFont="1" applyFill="1" applyBorder="1" applyAlignment="1">
      <alignment horizontal="center" vertical="center"/>
    </xf>
    <xf numFmtId="41" fontId="3" fillId="5" borderId="19" xfId="1" applyFont="1" applyFill="1" applyBorder="1" applyAlignment="1">
      <alignment horizontal="center" vertical="center"/>
    </xf>
    <xf numFmtId="0" fontId="3" fillId="5" borderId="20" xfId="0" applyFont="1" applyFill="1" applyBorder="1" applyAlignment="1">
      <alignment horizontal="center" vertical="center"/>
    </xf>
    <xf numFmtId="41" fontId="3" fillId="5" borderId="18" xfId="1" applyFont="1" applyFill="1" applyBorder="1" applyAlignment="1">
      <alignment horizontal="center" vertical="center"/>
    </xf>
    <xf numFmtId="41" fontId="0" fillId="0" borderId="21" xfId="0" applyNumberFormat="1" applyBorder="1">
      <alignment vertical="center"/>
    </xf>
    <xf numFmtId="41" fontId="0" fillId="0" borderId="2" xfId="1" applyFont="1" applyFill="1" applyBorder="1">
      <alignment vertical="center"/>
    </xf>
    <xf numFmtId="0" fontId="10" fillId="0" borderId="0" xfId="0" applyFont="1">
      <alignment vertical="center"/>
    </xf>
    <xf numFmtId="41" fontId="0" fillId="0" borderId="31" xfId="0" applyNumberFormat="1" applyBorder="1">
      <alignment vertical="center"/>
    </xf>
    <xf numFmtId="41" fontId="0" fillId="0" borderId="32" xfId="0" applyNumberFormat="1" applyBorder="1">
      <alignment vertical="center"/>
    </xf>
    <xf numFmtId="41" fontId="0" fillId="0" borderId="1" xfId="1" applyFont="1" applyBorder="1">
      <alignment vertical="center"/>
    </xf>
    <xf numFmtId="41" fontId="0" fillId="0" borderId="4" xfId="1" applyFont="1" applyBorder="1">
      <alignment vertical="center"/>
    </xf>
    <xf numFmtId="41" fontId="3" fillId="2" borderId="20" xfId="1" applyFont="1" applyFill="1" applyBorder="1">
      <alignment vertical="center"/>
    </xf>
    <xf numFmtId="0" fontId="11" fillId="0" borderId="0" xfId="0" applyFont="1">
      <alignment vertical="center"/>
    </xf>
    <xf numFmtId="0" fontId="0" fillId="0" borderId="0" xfId="0" applyAlignment="1">
      <alignment horizontal="center" vertical="center"/>
    </xf>
    <xf numFmtId="0" fontId="12" fillId="0" borderId="0" xfId="0" applyFont="1" applyAlignment="1">
      <alignment horizontal="center" vertical="center"/>
    </xf>
    <xf numFmtId="0" fontId="3" fillId="0" borderId="14" xfId="0" applyFont="1" applyBorder="1" applyAlignment="1">
      <alignment horizontal="center" vertical="center"/>
    </xf>
    <xf numFmtId="0" fontId="3" fillId="0" borderId="24" xfId="0" applyFont="1" applyBorder="1" applyAlignment="1">
      <alignment horizontal="center" vertical="center"/>
    </xf>
    <xf numFmtId="41" fontId="13" fillId="6" borderId="18" xfId="1" applyFont="1" applyFill="1" applyBorder="1">
      <alignment vertical="center"/>
    </xf>
    <xf numFmtId="41" fontId="13" fillId="6" borderId="19" xfId="1" applyFont="1" applyFill="1" applyBorder="1">
      <alignment vertical="center"/>
    </xf>
    <xf numFmtId="41" fontId="13" fillId="6" borderId="20" xfId="1" applyFont="1" applyFill="1" applyBorder="1">
      <alignment vertical="center"/>
    </xf>
    <xf numFmtId="41" fontId="13" fillId="6" borderId="18" xfId="1" applyFont="1" applyFill="1" applyBorder="1" applyAlignment="1">
      <alignment horizontal="center" vertical="center"/>
    </xf>
    <xf numFmtId="41" fontId="13" fillId="6" borderId="19" xfId="1" applyFont="1" applyFill="1" applyBorder="1" applyAlignment="1">
      <alignment horizontal="center" vertical="center"/>
    </xf>
    <xf numFmtId="41" fontId="13" fillId="6" borderId="20" xfId="1" applyFont="1" applyFill="1" applyBorder="1" applyAlignment="1">
      <alignment horizontal="center" vertical="center"/>
    </xf>
    <xf numFmtId="41" fontId="13" fillId="6" borderId="36" xfId="1" applyFont="1" applyFill="1" applyBorder="1" applyAlignment="1">
      <alignment horizontal="center" vertical="center"/>
    </xf>
    <xf numFmtId="41" fontId="13" fillId="3" borderId="15" xfId="1" applyFont="1" applyFill="1" applyBorder="1">
      <alignment vertical="center"/>
    </xf>
    <xf numFmtId="41" fontId="13" fillId="3" borderId="16" xfId="1" applyFont="1" applyFill="1" applyBorder="1">
      <alignment vertical="center"/>
    </xf>
    <xf numFmtId="41" fontId="13" fillId="3" borderId="17" xfId="1" applyFont="1" applyFill="1" applyBorder="1">
      <alignment vertical="center"/>
    </xf>
    <xf numFmtId="41" fontId="13" fillId="3" borderId="15" xfId="1" applyFont="1" applyFill="1" applyBorder="1" applyAlignment="1">
      <alignment horizontal="center" vertical="center"/>
    </xf>
    <xf numFmtId="41" fontId="13" fillId="3" borderId="16" xfId="1" applyFont="1" applyFill="1" applyBorder="1" applyAlignment="1">
      <alignment horizontal="center" vertical="center"/>
    </xf>
    <xf numFmtId="41" fontId="13" fillId="3" borderId="17" xfId="1" applyFont="1" applyFill="1" applyBorder="1" applyAlignment="1">
      <alignment horizontal="center" vertical="center"/>
    </xf>
    <xf numFmtId="41" fontId="13" fillId="3" borderId="35" xfId="1" applyFont="1" applyFill="1" applyBorder="1" applyAlignment="1">
      <alignment horizontal="center" vertical="center"/>
    </xf>
    <xf numFmtId="0" fontId="0" fillId="0" borderId="38" xfId="0" applyBorder="1" applyAlignment="1">
      <alignment horizontal="right" vertical="center"/>
    </xf>
    <xf numFmtId="41" fontId="14" fillId="0" borderId="39" xfId="1" applyFont="1" applyBorder="1">
      <alignment vertical="center"/>
    </xf>
    <xf numFmtId="41" fontId="14" fillId="0" borderId="40" xfId="1" applyFont="1" applyBorder="1">
      <alignment vertical="center"/>
    </xf>
    <xf numFmtId="41" fontId="14" fillId="0" borderId="41" xfId="1" applyFont="1" applyBorder="1">
      <alignment vertical="center"/>
    </xf>
    <xf numFmtId="41" fontId="14" fillId="0" borderId="39" xfId="1" applyFont="1" applyBorder="1" applyAlignment="1">
      <alignment horizontal="center" vertical="center"/>
    </xf>
    <xf numFmtId="41" fontId="14" fillId="0" borderId="40" xfId="1" applyFont="1" applyBorder="1" applyAlignment="1">
      <alignment horizontal="center" vertical="center"/>
    </xf>
    <xf numFmtId="41" fontId="13" fillId="0" borderId="41" xfId="1" applyFont="1" applyBorder="1" applyAlignment="1">
      <alignment horizontal="center" vertical="center"/>
    </xf>
    <xf numFmtId="41" fontId="13" fillId="0" borderId="42" xfId="1" applyFont="1" applyBorder="1" applyAlignment="1">
      <alignment horizontal="center" vertical="center"/>
    </xf>
    <xf numFmtId="0" fontId="0" fillId="0" borderId="43" xfId="0" applyBorder="1" applyAlignment="1">
      <alignment horizontal="right" vertical="center"/>
    </xf>
    <xf numFmtId="41" fontId="14" fillId="0" borderId="44" xfId="1" applyFont="1" applyBorder="1">
      <alignment vertical="center"/>
    </xf>
    <xf numFmtId="41" fontId="14" fillId="0" borderId="45" xfId="1" applyFont="1" applyBorder="1">
      <alignment vertical="center"/>
    </xf>
    <xf numFmtId="41" fontId="14" fillId="0" borderId="46" xfId="1" applyFont="1" applyBorder="1">
      <alignment vertical="center"/>
    </xf>
    <xf numFmtId="41" fontId="14" fillId="0" borderId="44" xfId="1" applyFont="1" applyBorder="1" applyAlignment="1">
      <alignment horizontal="center" vertical="center"/>
    </xf>
    <xf numFmtId="41" fontId="14" fillId="0" borderId="45" xfId="1" applyFont="1" applyBorder="1" applyAlignment="1">
      <alignment horizontal="center" vertical="center"/>
    </xf>
    <xf numFmtId="41" fontId="13" fillId="0" borderId="46" xfId="1" applyFont="1" applyBorder="1" applyAlignment="1">
      <alignment horizontal="center" vertical="center"/>
    </xf>
    <xf numFmtId="41" fontId="13" fillId="0" borderId="47" xfId="1" applyFont="1" applyBorder="1" applyAlignment="1">
      <alignment horizontal="center" vertical="center"/>
    </xf>
    <xf numFmtId="41" fontId="13" fillId="3" borderId="4" xfId="1" applyFont="1" applyFill="1" applyBorder="1">
      <alignment vertical="center"/>
    </xf>
    <xf numFmtId="41" fontId="13" fillId="3" borderId="5" xfId="1" applyFont="1" applyFill="1" applyBorder="1">
      <alignment vertical="center"/>
    </xf>
    <xf numFmtId="41" fontId="13" fillId="3" borderId="6" xfId="1" applyFont="1" applyFill="1" applyBorder="1">
      <alignment vertical="center"/>
    </xf>
    <xf numFmtId="41" fontId="13" fillId="3" borderId="4" xfId="1" applyFont="1" applyFill="1" applyBorder="1" applyAlignment="1">
      <alignment horizontal="center" vertical="center"/>
    </xf>
    <xf numFmtId="41" fontId="13" fillId="3" borderId="5" xfId="1" applyFont="1" applyFill="1" applyBorder="1" applyAlignment="1">
      <alignment horizontal="center" vertical="center"/>
    </xf>
    <xf numFmtId="41" fontId="13" fillId="3" borderId="6" xfId="1" applyFont="1" applyFill="1" applyBorder="1" applyAlignment="1">
      <alignment horizontal="center" vertical="center"/>
    </xf>
    <xf numFmtId="41" fontId="13" fillId="3" borderId="31" xfId="1" applyFont="1" applyFill="1" applyBorder="1" applyAlignment="1">
      <alignment horizontal="center" vertical="center"/>
    </xf>
    <xf numFmtId="0" fontId="0" fillId="7" borderId="38" xfId="0" applyFill="1" applyBorder="1" applyAlignment="1">
      <alignment horizontal="right" vertical="center"/>
    </xf>
    <xf numFmtId="0" fontId="0" fillId="7" borderId="49" xfId="0" applyFill="1" applyBorder="1" applyAlignment="1">
      <alignment horizontal="right" vertical="center"/>
    </xf>
    <xf numFmtId="41" fontId="14" fillId="0" borderId="50" xfId="1" applyFont="1" applyBorder="1">
      <alignment vertical="center"/>
    </xf>
    <xf numFmtId="41" fontId="14" fillId="0" borderId="51" xfId="1" applyFont="1" applyBorder="1">
      <alignment vertical="center"/>
    </xf>
    <xf numFmtId="41" fontId="14" fillId="0" borderId="52" xfId="1" applyFont="1" applyBorder="1">
      <alignment vertical="center"/>
    </xf>
    <xf numFmtId="41" fontId="14" fillId="0" borderId="50" xfId="1" applyFont="1" applyBorder="1" applyAlignment="1">
      <alignment horizontal="center" vertical="center"/>
    </xf>
    <xf numFmtId="41" fontId="14" fillId="0" borderId="51" xfId="1" applyFont="1" applyBorder="1" applyAlignment="1">
      <alignment horizontal="center" vertical="center"/>
    </xf>
    <xf numFmtId="41" fontId="13" fillId="0" borderId="52" xfId="1" applyFont="1" applyBorder="1" applyAlignment="1">
      <alignment horizontal="center" vertical="center"/>
    </xf>
    <xf numFmtId="41" fontId="13" fillId="0" borderId="53" xfId="1" applyFont="1" applyBorder="1" applyAlignment="1">
      <alignment horizontal="center" vertical="center"/>
    </xf>
    <xf numFmtId="0" fontId="0" fillId="7" borderId="54" xfId="0" applyFill="1" applyBorder="1" applyAlignment="1">
      <alignment horizontal="right" vertical="center"/>
    </xf>
    <xf numFmtId="41" fontId="14" fillId="0" borderId="55" xfId="1" applyFont="1" applyBorder="1">
      <alignment vertical="center"/>
    </xf>
    <xf numFmtId="41" fontId="14" fillId="0" borderId="56" xfId="1" applyFont="1" applyBorder="1">
      <alignment vertical="center"/>
    </xf>
    <xf numFmtId="41" fontId="14" fillId="0" borderId="57" xfId="1" applyFont="1" applyBorder="1">
      <alignment vertical="center"/>
    </xf>
    <xf numFmtId="41" fontId="14" fillId="0" borderId="55" xfId="1" applyFont="1" applyBorder="1" applyAlignment="1">
      <alignment horizontal="center" vertical="center"/>
    </xf>
    <xf numFmtId="41" fontId="14" fillId="0" borderId="56" xfId="1" applyFont="1" applyBorder="1" applyAlignment="1">
      <alignment horizontal="center" vertical="center"/>
    </xf>
    <xf numFmtId="41" fontId="13" fillId="0" borderId="57" xfId="1" applyFont="1" applyBorder="1" applyAlignment="1">
      <alignment horizontal="center" vertical="center"/>
    </xf>
    <xf numFmtId="41" fontId="13" fillId="0" borderId="58" xfId="1" applyFont="1" applyBorder="1" applyAlignment="1">
      <alignment horizontal="center" vertical="center"/>
    </xf>
    <xf numFmtId="0" fontId="3" fillId="5" borderId="66" xfId="0" applyFont="1" applyFill="1" applyBorder="1" applyAlignment="1">
      <alignment horizontal="center" vertical="center"/>
    </xf>
    <xf numFmtId="41" fontId="3" fillId="5" borderId="8" xfId="1" applyFont="1" applyFill="1" applyBorder="1" applyAlignment="1">
      <alignment horizontal="center" vertical="center"/>
    </xf>
    <xf numFmtId="0" fontId="3" fillId="5" borderId="67"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8" xfId="0" applyFont="1" applyFill="1" applyBorder="1" applyAlignment="1">
      <alignment horizontal="center" vertical="center"/>
    </xf>
    <xf numFmtId="41" fontId="3" fillId="5" borderId="9" xfId="1" applyFont="1" applyFill="1" applyBorder="1" applyAlignment="1">
      <alignment horizontal="center" vertical="center"/>
    </xf>
    <xf numFmtId="41" fontId="3" fillId="8" borderId="68" xfId="0" applyNumberFormat="1" applyFont="1" applyFill="1" applyBorder="1">
      <alignment vertical="center"/>
    </xf>
    <xf numFmtId="41" fontId="3" fillId="8" borderId="16" xfId="0" applyNumberFormat="1" applyFont="1" applyFill="1" applyBorder="1">
      <alignment vertical="center"/>
    </xf>
    <xf numFmtId="41" fontId="3" fillId="8" borderId="70" xfId="0" applyNumberFormat="1" applyFont="1" applyFill="1" applyBorder="1">
      <alignment vertical="center"/>
    </xf>
    <xf numFmtId="178" fontId="3" fillId="8" borderId="16" xfId="0" applyNumberFormat="1" applyFont="1" applyFill="1" applyBorder="1">
      <alignment vertical="center"/>
    </xf>
    <xf numFmtId="41" fontId="3" fillId="8" borderId="37" xfId="0" applyNumberFormat="1" applyFont="1" applyFill="1" applyBorder="1">
      <alignment vertical="center"/>
    </xf>
    <xf numFmtId="41" fontId="3" fillId="3" borderId="71" xfId="0" applyNumberFormat="1" applyFont="1" applyFill="1" applyBorder="1">
      <alignment vertical="center"/>
    </xf>
    <xf numFmtId="41" fontId="3" fillId="3" borderId="5" xfId="0" applyNumberFormat="1" applyFont="1" applyFill="1" applyBorder="1">
      <alignment vertical="center"/>
    </xf>
    <xf numFmtId="41" fontId="3" fillId="3" borderId="73" xfId="0" applyNumberFormat="1" applyFont="1" applyFill="1" applyBorder="1">
      <alignment vertical="center"/>
    </xf>
    <xf numFmtId="41" fontId="3" fillId="3" borderId="48" xfId="0" applyNumberFormat="1" applyFont="1" applyFill="1" applyBorder="1">
      <alignment vertical="center"/>
    </xf>
    <xf numFmtId="41" fontId="0" fillId="0" borderId="74" xfId="1" applyFont="1" applyBorder="1">
      <alignment vertical="center"/>
    </xf>
    <xf numFmtId="41" fontId="0" fillId="0" borderId="40" xfId="1" applyFont="1" applyBorder="1">
      <alignment vertical="center"/>
    </xf>
    <xf numFmtId="41" fontId="0" fillId="0" borderId="76" xfId="1" applyFont="1" applyBorder="1">
      <alignment vertical="center"/>
    </xf>
    <xf numFmtId="41" fontId="0" fillId="0" borderId="38" xfId="1" applyFont="1" applyBorder="1">
      <alignment vertical="center"/>
    </xf>
    <xf numFmtId="41" fontId="0" fillId="0" borderId="77" xfId="1" applyFont="1" applyBorder="1">
      <alignment vertical="center"/>
    </xf>
    <xf numFmtId="41" fontId="0" fillId="0" borderId="45" xfId="1" applyFont="1" applyBorder="1">
      <alignment vertical="center"/>
    </xf>
    <xf numFmtId="41" fontId="0" fillId="0" borderId="79" xfId="1" applyFont="1" applyBorder="1">
      <alignment vertical="center"/>
    </xf>
    <xf numFmtId="41" fontId="0" fillId="0" borderId="43" xfId="1" applyFont="1" applyBorder="1">
      <alignment vertical="center"/>
    </xf>
    <xf numFmtId="41" fontId="3" fillId="3" borderId="72" xfId="1" applyFont="1" applyFill="1" applyBorder="1">
      <alignment vertical="center"/>
    </xf>
    <xf numFmtId="41" fontId="0" fillId="0" borderId="80" xfId="1" applyFont="1" applyBorder="1">
      <alignment vertical="center"/>
    </xf>
    <xf numFmtId="41" fontId="0" fillId="0" borderId="51" xfId="1" applyFont="1" applyBorder="1">
      <alignment vertical="center"/>
    </xf>
    <xf numFmtId="41" fontId="0" fillId="0" borderId="82" xfId="1" applyFont="1" applyBorder="1">
      <alignment vertical="center"/>
    </xf>
    <xf numFmtId="41" fontId="0" fillId="0" borderId="49" xfId="1" applyFont="1" applyBorder="1">
      <alignment vertical="center"/>
    </xf>
    <xf numFmtId="41" fontId="0" fillId="0" borderId="83" xfId="1" applyFont="1" applyBorder="1">
      <alignment vertical="center"/>
    </xf>
    <xf numFmtId="41" fontId="0" fillId="0" borderId="84" xfId="1" applyFont="1" applyBorder="1">
      <alignment vertical="center"/>
    </xf>
    <xf numFmtId="41" fontId="0" fillId="0" borderId="85" xfId="1" applyFont="1" applyBorder="1">
      <alignment vertical="center"/>
    </xf>
    <xf numFmtId="41" fontId="0" fillId="0" borderId="86" xfId="1" applyFont="1" applyBorder="1">
      <alignment vertical="center"/>
    </xf>
    <xf numFmtId="41" fontId="0" fillId="0" borderId="56" xfId="1" applyFont="1" applyBorder="1">
      <alignment vertical="center"/>
    </xf>
    <xf numFmtId="41" fontId="0" fillId="0" borderId="54" xfId="1" applyFont="1" applyBorder="1">
      <alignment vertical="center"/>
    </xf>
    <xf numFmtId="41" fontId="0" fillId="0" borderId="57" xfId="1" applyFont="1" applyBorder="1">
      <alignment vertical="center"/>
    </xf>
    <xf numFmtId="41" fontId="3" fillId="3" borderId="5" xfId="1" applyFont="1" applyFill="1" applyBorder="1">
      <alignment vertical="center"/>
    </xf>
    <xf numFmtId="41" fontId="3" fillId="8" borderId="16" xfId="1" applyFont="1" applyFill="1" applyBorder="1">
      <alignment vertical="center"/>
    </xf>
    <xf numFmtId="41" fontId="3" fillId="3" borderId="6" xfId="1" applyFont="1" applyFill="1" applyBorder="1">
      <alignment vertical="center"/>
    </xf>
    <xf numFmtId="41" fontId="0" fillId="0" borderId="41" xfId="1" applyFont="1" applyBorder="1">
      <alignment vertical="center"/>
    </xf>
    <xf numFmtId="41" fontId="0" fillId="0" borderId="46" xfId="1" applyFont="1" applyBorder="1">
      <alignment vertical="center"/>
    </xf>
    <xf numFmtId="41" fontId="0" fillId="0" borderId="52" xfId="1" applyFont="1" applyBorder="1">
      <alignment vertical="center"/>
    </xf>
    <xf numFmtId="41" fontId="3" fillId="4" borderId="69" xfId="1" applyFont="1" applyFill="1" applyBorder="1">
      <alignment vertical="center"/>
    </xf>
    <xf numFmtId="41" fontId="0" fillId="0" borderId="75" xfId="1" applyFont="1" applyBorder="1">
      <alignment vertical="center"/>
    </xf>
    <xf numFmtId="41" fontId="0" fillId="0" borderId="78" xfId="1" applyFont="1" applyBorder="1">
      <alignment vertical="center"/>
    </xf>
    <xf numFmtId="41" fontId="0" fillId="0" borderId="81" xfId="1" applyFont="1" applyBorder="1">
      <alignment vertical="center"/>
    </xf>
    <xf numFmtId="41" fontId="3" fillId="2" borderId="19" xfId="1" applyFont="1" applyFill="1" applyBorder="1">
      <alignment vertical="center"/>
    </xf>
    <xf numFmtId="9" fontId="3" fillId="2" borderId="20" xfId="2" applyFont="1" applyFill="1" applyBorder="1">
      <alignment vertical="center"/>
    </xf>
    <xf numFmtId="41" fontId="3" fillId="2" borderId="89" xfId="1" applyFont="1" applyFill="1" applyBorder="1">
      <alignment vertical="center"/>
    </xf>
    <xf numFmtId="178" fontId="0" fillId="0" borderId="31" xfId="0" applyNumberFormat="1" applyBorder="1">
      <alignment vertical="center"/>
    </xf>
    <xf numFmtId="178" fontId="0" fillId="0" borderId="30" xfId="0" applyNumberFormat="1" applyBorder="1">
      <alignment vertical="center"/>
    </xf>
    <xf numFmtId="179" fontId="3" fillId="8" borderId="3" xfId="1" applyNumberFormat="1" applyFont="1" applyFill="1" applyBorder="1">
      <alignment vertical="center"/>
    </xf>
    <xf numFmtId="179" fontId="3" fillId="3" borderId="6" xfId="1" applyNumberFormat="1" applyFont="1" applyFill="1" applyBorder="1">
      <alignment vertical="center"/>
    </xf>
    <xf numFmtId="179" fontId="0" fillId="0" borderId="41" xfId="1" applyNumberFormat="1" applyFont="1" applyBorder="1">
      <alignment vertical="center"/>
    </xf>
    <xf numFmtId="179" fontId="0" fillId="0" borderId="46" xfId="1" applyNumberFormat="1" applyFont="1" applyBorder="1">
      <alignment vertical="center"/>
    </xf>
    <xf numFmtId="179" fontId="0" fillId="0" borderId="45" xfId="1" applyNumberFormat="1" applyFont="1" applyBorder="1">
      <alignment vertical="center"/>
    </xf>
    <xf numFmtId="41" fontId="0" fillId="0" borderId="31" xfId="1" applyFont="1" applyBorder="1">
      <alignment vertical="center"/>
    </xf>
    <xf numFmtId="179" fontId="3" fillId="4" borderId="69" xfId="1" applyNumberFormat="1" applyFont="1" applyFill="1" applyBorder="1">
      <alignment vertical="center"/>
    </xf>
    <xf numFmtId="179" fontId="3" fillId="3" borderId="72" xfId="1" applyNumberFormat="1" applyFont="1" applyFill="1" applyBorder="1">
      <alignment vertical="center"/>
    </xf>
    <xf numFmtId="179" fontId="0" fillId="0" borderId="75" xfId="1" applyNumberFormat="1" applyFont="1" applyBorder="1">
      <alignment vertical="center"/>
    </xf>
    <xf numFmtId="179" fontId="0" fillId="0" borderId="78" xfId="1" applyNumberFormat="1" applyFont="1" applyBorder="1">
      <alignment vertical="center"/>
    </xf>
    <xf numFmtId="179" fontId="0" fillId="0" borderId="40" xfId="1" applyNumberFormat="1" applyFont="1" applyBorder="1">
      <alignment vertical="center"/>
    </xf>
    <xf numFmtId="0" fontId="15" fillId="0" borderId="0" xfId="0" applyFont="1" applyAlignment="1">
      <alignment horizontal="left" vertical="center"/>
    </xf>
    <xf numFmtId="41" fontId="0" fillId="0" borderId="9" xfId="0" applyNumberFormat="1" applyBorder="1">
      <alignment vertical="center"/>
    </xf>
    <xf numFmtId="0" fontId="0" fillId="7" borderId="92" xfId="0" applyFill="1" applyBorder="1" applyAlignment="1">
      <alignment horizontal="right" vertical="center"/>
    </xf>
    <xf numFmtId="41" fontId="0" fillId="0" borderId="93" xfId="1" applyFont="1" applyBorder="1">
      <alignment vertical="center"/>
    </xf>
    <xf numFmtId="41" fontId="0" fillId="0" borderId="94" xfId="1" applyFont="1" applyBorder="1">
      <alignment vertical="center"/>
    </xf>
    <xf numFmtId="41" fontId="0" fillId="0" borderId="95" xfId="1" applyFont="1" applyBorder="1">
      <alignment vertical="center"/>
    </xf>
    <xf numFmtId="41" fontId="0" fillId="0" borderId="96" xfId="1" applyFont="1" applyBorder="1">
      <alignment vertical="center"/>
    </xf>
    <xf numFmtId="41" fontId="0" fillId="0" borderId="92" xfId="1" applyFont="1" applyBorder="1">
      <alignment vertical="center"/>
    </xf>
    <xf numFmtId="41" fontId="0" fillId="0" borderId="91" xfId="1" applyFont="1" applyBorder="1">
      <alignment vertical="center"/>
    </xf>
    <xf numFmtId="41" fontId="14" fillId="0" borderId="97" xfId="1" applyFont="1" applyBorder="1">
      <alignment vertical="center"/>
    </xf>
    <xf numFmtId="41" fontId="14" fillId="0" borderId="94" xfId="1" applyFont="1" applyBorder="1">
      <alignment vertical="center"/>
    </xf>
    <xf numFmtId="41" fontId="14" fillId="0" borderId="91" xfId="1" applyFont="1" applyBorder="1">
      <alignment vertical="center"/>
    </xf>
    <xf numFmtId="41" fontId="14" fillId="0" borderId="97" xfId="1" applyFont="1" applyBorder="1" applyAlignment="1">
      <alignment horizontal="center" vertical="center"/>
    </xf>
    <xf numFmtId="41" fontId="14" fillId="0" borderId="94" xfId="1" applyFont="1" applyBorder="1" applyAlignment="1">
      <alignment horizontal="center" vertical="center"/>
    </xf>
    <xf numFmtId="41" fontId="13" fillId="0" borderId="91" xfId="1" applyFont="1" applyBorder="1" applyAlignment="1">
      <alignment horizontal="center" vertical="center"/>
    </xf>
    <xf numFmtId="41" fontId="13" fillId="0" borderId="98" xfId="1" applyFont="1" applyBorder="1" applyAlignment="1">
      <alignment horizontal="center" vertical="center"/>
    </xf>
    <xf numFmtId="41" fontId="0" fillId="0" borderId="30" xfId="1" applyFont="1" applyBorder="1">
      <alignment vertical="center"/>
    </xf>
    <xf numFmtId="0" fontId="0" fillId="0" borderId="40" xfId="0" applyBorder="1" applyAlignment="1">
      <alignment horizontal="center" vertical="center"/>
    </xf>
    <xf numFmtId="0" fontId="0" fillId="0" borderId="51" xfId="0" applyBorder="1" applyAlignment="1">
      <alignment horizontal="center" vertical="center"/>
    </xf>
    <xf numFmtId="0" fontId="0" fillId="0" borderId="45" xfId="0" applyBorder="1" applyAlignment="1">
      <alignment horizontal="center" vertical="center"/>
    </xf>
    <xf numFmtId="0" fontId="3" fillId="3" borderId="5" xfId="0" applyFont="1" applyFill="1" applyBorder="1" applyAlignment="1">
      <alignment horizontal="center" vertical="center"/>
    </xf>
    <xf numFmtId="41" fontId="3" fillId="0" borderId="40" xfId="0" applyNumberFormat="1" applyFont="1" applyBorder="1">
      <alignment vertical="center"/>
    </xf>
    <xf numFmtId="41" fontId="3" fillId="0" borderId="51" xfId="0" applyNumberFormat="1" applyFont="1" applyBorder="1">
      <alignment vertical="center"/>
    </xf>
    <xf numFmtId="41" fontId="3" fillId="0" borderId="45" xfId="0" applyNumberFormat="1" applyFont="1" applyBorder="1">
      <alignment vertical="center"/>
    </xf>
    <xf numFmtId="0" fontId="3" fillId="0" borderId="0" xfId="0" applyFont="1">
      <alignment vertical="center"/>
    </xf>
    <xf numFmtId="0" fontId="16" fillId="0" borderId="5" xfId="0" applyFont="1" applyBorder="1" applyAlignment="1">
      <alignment horizontal="center" vertical="center"/>
    </xf>
    <xf numFmtId="0" fontId="17" fillId="5" borderId="5" xfId="0" applyFont="1" applyFill="1" applyBorder="1" applyAlignment="1">
      <alignment horizontal="center" vertical="center"/>
    </xf>
    <xf numFmtId="0" fontId="16" fillId="0" borderId="0" xfId="0" applyFont="1" applyAlignment="1">
      <alignment horizontal="center" vertical="center"/>
    </xf>
    <xf numFmtId="178" fontId="0" fillId="0" borderId="31" xfId="1" applyNumberFormat="1" applyFont="1" applyBorder="1">
      <alignment vertical="center"/>
    </xf>
    <xf numFmtId="178" fontId="3" fillId="2" borderId="20" xfId="1" applyNumberFormat="1" applyFont="1" applyFill="1" applyBorder="1">
      <alignment vertical="center"/>
    </xf>
    <xf numFmtId="0" fontId="6" fillId="0" borderId="0" xfId="0" applyFont="1" applyAlignment="1">
      <alignment horizontal="right" vertical="center"/>
    </xf>
    <xf numFmtId="0" fontId="0" fillId="3" borderId="142" xfId="0" applyFill="1" applyBorder="1">
      <alignment vertical="center"/>
    </xf>
    <xf numFmtId="0" fontId="0" fillId="3" borderId="209" xfId="0" applyFill="1" applyBorder="1">
      <alignment vertical="center"/>
    </xf>
    <xf numFmtId="0" fontId="0" fillId="0" borderId="211" xfId="0" applyBorder="1">
      <alignment vertical="center"/>
    </xf>
    <xf numFmtId="0" fontId="20" fillId="0" borderId="0" xfId="0" applyFont="1">
      <alignment vertical="center"/>
    </xf>
    <xf numFmtId="0" fontId="21" fillId="0" borderId="0" xfId="0" applyFont="1">
      <alignment vertical="center"/>
    </xf>
    <xf numFmtId="0" fontId="12" fillId="0" borderId="0" xfId="0" applyFont="1" applyAlignment="1">
      <alignment horizontal="right"/>
    </xf>
    <xf numFmtId="0" fontId="22" fillId="0" borderId="0" xfId="0" applyFont="1">
      <alignment vertical="center"/>
    </xf>
    <xf numFmtId="0" fontId="15" fillId="0" borderId="0" xfId="0" applyFont="1" applyAlignment="1">
      <alignment horizontal="right" vertical="center"/>
    </xf>
    <xf numFmtId="182" fontId="6" fillId="0" borderId="263" xfId="0" applyNumberFormat="1" applyFont="1" applyBorder="1">
      <alignment vertical="center"/>
    </xf>
    <xf numFmtId="0" fontId="3" fillId="5" borderId="5" xfId="0" applyFont="1" applyFill="1" applyBorder="1" applyAlignment="1">
      <alignment horizontal="center" vertical="center"/>
    </xf>
    <xf numFmtId="0" fontId="0" fillId="3" borderId="113" xfId="0" applyFill="1" applyBorder="1">
      <alignment vertical="center"/>
    </xf>
    <xf numFmtId="0" fontId="0" fillId="3" borderId="126" xfId="0" applyFill="1" applyBorder="1">
      <alignment vertical="center"/>
    </xf>
    <xf numFmtId="0" fontId="3" fillId="5" borderId="274" xfId="0" applyFont="1" applyFill="1" applyBorder="1" applyAlignment="1">
      <alignment horizontal="center" vertical="center"/>
    </xf>
    <xf numFmtId="0" fontId="3" fillId="5" borderId="275" xfId="0" applyFont="1" applyFill="1" applyBorder="1" applyAlignment="1">
      <alignment horizontal="center" vertical="center"/>
    </xf>
    <xf numFmtId="182" fontId="6" fillId="0" borderId="0" xfId="0" applyNumberFormat="1" applyFont="1">
      <alignment vertical="center"/>
    </xf>
    <xf numFmtId="182" fontId="0" fillId="0" borderId="0" xfId="0" applyNumberFormat="1">
      <alignment vertical="center"/>
    </xf>
    <xf numFmtId="0" fontId="23" fillId="5" borderId="220" xfId="0" applyFont="1" applyFill="1" applyBorder="1">
      <alignment vertical="center"/>
    </xf>
    <xf numFmtId="0" fontId="23" fillId="5" borderId="221" xfId="0" applyFont="1" applyFill="1" applyBorder="1">
      <alignment vertical="center"/>
    </xf>
    <xf numFmtId="0" fontId="20" fillId="5" borderId="228" xfId="0" applyFont="1" applyFill="1" applyBorder="1" applyAlignment="1">
      <alignment horizontal="center" vertical="center"/>
    </xf>
    <xf numFmtId="0" fontId="20" fillId="5" borderId="227" xfId="0" applyFont="1" applyFill="1" applyBorder="1" applyAlignment="1">
      <alignment horizontal="center" vertical="center"/>
    </xf>
    <xf numFmtId="0" fontId="20" fillId="5" borderId="277" xfId="0" applyFont="1" applyFill="1" applyBorder="1" applyAlignment="1">
      <alignment horizontal="center" vertical="center"/>
    </xf>
    <xf numFmtId="0" fontId="23" fillId="3" borderId="220" xfId="0" applyFont="1" applyFill="1" applyBorder="1">
      <alignment vertical="center"/>
    </xf>
    <xf numFmtId="0" fontId="23" fillId="3" borderId="221" xfId="0" applyFont="1" applyFill="1" applyBorder="1">
      <alignment vertical="center"/>
    </xf>
    <xf numFmtId="0" fontId="23" fillId="0" borderId="0" xfId="0" applyFont="1">
      <alignment vertical="center"/>
    </xf>
    <xf numFmtId="0" fontId="23" fillId="5" borderId="219" xfId="0" applyFont="1" applyFill="1" applyBorder="1" applyAlignment="1">
      <alignment horizontal="left" vertical="center" wrapText="1"/>
    </xf>
    <xf numFmtId="0" fontId="23" fillId="5" borderId="220" xfId="0" applyFont="1" applyFill="1" applyBorder="1" applyAlignment="1">
      <alignment horizontal="left" vertical="center"/>
    </xf>
    <xf numFmtId="0" fontId="23" fillId="5" borderId="221" xfId="0" applyFont="1" applyFill="1" applyBorder="1" applyAlignment="1">
      <alignment horizontal="left" vertical="center"/>
    </xf>
    <xf numFmtId="0" fontId="20" fillId="3" borderId="219" xfId="0" applyFont="1" applyFill="1" applyBorder="1">
      <alignment vertical="center"/>
    </xf>
    <xf numFmtId="0" fontId="20" fillId="3" borderId="220" xfId="0" applyFont="1" applyFill="1" applyBorder="1">
      <alignment vertical="center"/>
    </xf>
    <xf numFmtId="179" fontId="20" fillId="3" borderId="145" xfId="0" applyNumberFormat="1" applyFont="1" applyFill="1" applyBorder="1">
      <alignment vertical="center"/>
    </xf>
    <xf numFmtId="179" fontId="20" fillId="3" borderId="146" xfId="0" applyNumberFormat="1" applyFont="1" applyFill="1" applyBorder="1">
      <alignment vertical="center"/>
    </xf>
    <xf numFmtId="179" fontId="20" fillId="3" borderId="147" xfId="0" applyNumberFormat="1" applyFont="1" applyFill="1" applyBorder="1">
      <alignment vertical="center"/>
    </xf>
    <xf numFmtId="179" fontId="20" fillId="3" borderId="148" xfId="0" applyNumberFormat="1" applyFont="1" applyFill="1" applyBorder="1">
      <alignment vertical="center"/>
    </xf>
    <xf numFmtId="179" fontId="25" fillId="4" borderId="143" xfId="0" applyNumberFormat="1" applyFont="1" applyFill="1" applyBorder="1">
      <alignment vertical="center"/>
    </xf>
    <xf numFmtId="179" fontId="20" fillId="3" borderId="241" xfId="0" applyNumberFormat="1" applyFont="1" applyFill="1" applyBorder="1">
      <alignment vertical="center"/>
    </xf>
    <xf numFmtId="179" fontId="20" fillId="3" borderId="149" xfId="0" applyNumberFormat="1" applyFont="1" applyFill="1" applyBorder="1">
      <alignment vertical="center"/>
    </xf>
    <xf numFmtId="179" fontId="25" fillId="4" borderId="151" xfId="0" applyNumberFormat="1" applyFont="1" applyFill="1" applyBorder="1">
      <alignment vertical="center"/>
    </xf>
    <xf numFmtId="179" fontId="20" fillId="3" borderId="150" xfId="0" applyNumberFormat="1" applyFont="1" applyFill="1" applyBorder="1">
      <alignment vertical="center"/>
    </xf>
    <xf numFmtId="179" fontId="20" fillId="3" borderId="143" xfId="0" applyNumberFormat="1" applyFont="1" applyFill="1" applyBorder="1">
      <alignment vertical="center"/>
    </xf>
    <xf numFmtId="179" fontId="26" fillId="4" borderId="144" xfId="0" applyNumberFormat="1" applyFont="1" applyFill="1" applyBorder="1">
      <alignment vertical="center"/>
    </xf>
    <xf numFmtId="179" fontId="25" fillId="4" borderId="242" xfId="0" applyNumberFormat="1" applyFont="1" applyFill="1" applyBorder="1">
      <alignment vertical="center"/>
    </xf>
    <xf numFmtId="179" fontId="25" fillId="4" borderId="144" xfId="0" applyNumberFormat="1" applyFont="1" applyFill="1" applyBorder="1">
      <alignment vertical="center"/>
    </xf>
    <xf numFmtId="179" fontId="20" fillId="3" borderId="152" xfId="0" applyNumberFormat="1" applyFont="1" applyFill="1" applyBorder="1">
      <alignment vertical="center"/>
    </xf>
    <xf numFmtId="179" fontId="23" fillId="8" borderId="115" xfId="0" applyNumberFormat="1" applyFont="1" applyFill="1" applyBorder="1">
      <alignment vertical="center"/>
    </xf>
    <xf numFmtId="179" fontId="23" fillId="8" borderId="116" xfId="0" applyNumberFormat="1" applyFont="1" applyFill="1" applyBorder="1">
      <alignment vertical="center"/>
    </xf>
    <xf numFmtId="179" fontId="23" fillId="8" borderId="113" xfId="0" applyNumberFormat="1" applyFont="1" applyFill="1" applyBorder="1">
      <alignment vertical="center"/>
    </xf>
    <xf numFmtId="179" fontId="23" fillId="8" borderId="154" xfId="0" applyNumberFormat="1" applyFont="1" applyFill="1" applyBorder="1">
      <alignment vertical="center"/>
    </xf>
    <xf numFmtId="179" fontId="23" fillId="8" borderId="0" xfId="0" applyNumberFormat="1" applyFont="1" applyFill="1">
      <alignment vertical="center"/>
    </xf>
    <xf numFmtId="179" fontId="23" fillId="8" borderId="243" xfId="0" applyNumberFormat="1" applyFont="1" applyFill="1" applyBorder="1">
      <alignment vertical="center"/>
    </xf>
    <xf numFmtId="179" fontId="23" fillId="8" borderId="155" xfId="0" applyNumberFormat="1" applyFont="1" applyFill="1" applyBorder="1">
      <alignment vertical="center"/>
    </xf>
    <xf numFmtId="179" fontId="23" fillId="8" borderId="157" xfId="0" applyNumberFormat="1" applyFont="1" applyFill="1" applyBorder="1">
      <alignment vertical="center"/>
    </xf>
    <xf numFmtId="179" fontId="23" fillId="8" borderId="156" xfId="0" applyNumberFormat="1" applyFont="1" applyFill="1" applyBorder="1">
      <alignment vertical="center"/>
    </xf>
    <xf numFmtId="179" fontId="27" fillId="8" borderId="114" xfId="0" applyNumberFormat="1" applyFont="1" applyFill="1" applyBorder="1">
      <alignment vertical="center"/>
    </xf>
    <xf numFmtId="179" fontId="23" fillId="8" borderId="238" xfId="0" applyNumberFormat="1" applyFont="1" applyFill="1" applyBorder="1">
      <alignment vertical="center"/>
    </xf>
    <xf numFmtId="0" fontId="23" fillId="8" borderId="0" xfId="0" applyFont="1" applyFill="1">
      <alignment vertical="center"/>
    </xf>
    <xf numFmtId="179" fontId="23" fillId="8" borderId="158" xfId="0" applyNumberFormat="1" applyFont="1" applyFill="1" applyBorder="1">
      <alignment vertical="center"/>
    </xf>
    <xf numFmtId="179" fontId="23" fillId="8" borderId="114" xfId="0" applyNumberFormat="1" applyFont="1" applyFill="1" applyBorder="1">
      <alignment vertical="center"/>
    </xf>
    <xf numFmtId="179" fontId="23" fillId="0" borderId="160" xfId="0" applyNumberFormat="1" applyFont="1" applyBorder="1">
      <alignment vertical="center"/>
    </xf>
    <xf numFmtId="179" fontId="23" fillId="0" borderId="161" xfId="0" applyNumberFormat="1" applyFont="1" applyBorder="1">
      <alignment vertical="center"/>
    </xf>
    <xf numFmtId="179" fontId="23" fillId="0" borderId="162" xfId="0" applyNumberFormat="1" applyFont="1" applyBorder="1">
      <alignment vertical="center"/>
    </xf>
    <xf numFmtId="179" fontId="23" fillId="0" borderId="163" xfId="0" applyNumberFormat="1" applyFont="1" applyBorder="1">
      <alignment vertical="center"/>
    </xf>
    <xf numFmtId="179" fontId="27" fillId="0" borderId="165" xfId="0" applyNumberFormat="1" applyFont="1" applyBorder="1">
      <alignment vertical="center"/>
    </xf>
    <xf numFmtId="179" fontId="27" fillId="0" borderId="244" xfId="0" applyNumberFormat="1" applyFont="1" applyBorder="1">
      <alignment vertical="center"/>
    </xf>
    <xf numFmtId="179" fontId="27" fillId="0" borderId="101" xfId="0" applyNumberFormat="1" applyFont="1" applyBorder="1">
      <alignment vertical="center"/>
    </xf>
    <xf numFmtId="179" fontId="27" fillId="0" borderId="167" xfId="0" applyNumberFormat="1" applyFont="1" applyBorder="1">
      <alignment vertical="center"/>
    </xf>
    <xf numFmtId="179" fontId="27" fillId="0" borderId="166" xfId="0" applyNumberFormat="1" applyFont="1" applyBorder="1">
      <alignment vertical="center"/>
    </xf>
    <xf numFmtId="41" fontId="27" fillId="0" borderId="101" xfId="1" applyFont="1" applyBorder="1">
      <alignment vertical="center"/>
    </xf>
    <xf numFmtId="41" fontId="23" fillId="0" borderId="165" xfId="0" applyNumberFormat="1" applyFont="1" applyBorder="1">
      <alignment vertical="center"/>
    </xf>
    <xf numFmtId="41" fontId="23" fillId="0" borderId="101" xfId="0" applyNumberFormat="1" applyFont="1" applyBorder="1">
      <alignment vertical="center"/>
    </xf>
    <xf numFmtId="179" fontId="27" fillId="0" borderId="164" xfId="0" applyNumberFormat="1" applyFont="1" applyBorder="1">
      <alignment vertical="center"/>
    </xf>
    <xf numFmtId="179" fontId="27" fillId="0" borderId="245" xfId="0" applyNumberFormat="1" applyFont="1" applyBorder="1">
      <alignment vertical="center"/>
    </xf>
    <xf numFmtId="41" fontId="23" fillId="0" borderId="168" xfId="0" applyNumberFormat="1" applyFont="1" applyBorder="1">
      <alignment vertical="center"/>
    </xf>
    <xf numFmtId="179" fontId="23" fillId="0" borderId="164" xfId="0" applyNumberFormat="1" applyFont="1" applyBorder="1">
      <alignment vertical="center"/>
    </xf>
    <xf numFmtId="41" fontId="23" fillId="0" borderId="170" xfId="0" applyNumberFormat="1" applyFont="1" applyBorder="1">
      <alignment vertical="center"/>
    </xf>
    <xf numFmtId="179" fontId="23" fillId="0" borderId="171" xfId="0" applyNumberFormat="1" applyFont="1" applyBorder="1">
      <alignment vertical="center"/>
    </xf>
    <xf numFmtId="179" fontId="23" fillId="0" borderId="172" xfId="0" applyNumberFormat="1" applyFont="1" applyBorder="1">
      <alignment vertical="center"/>
    </xf>
    <xf numFmtId="179" fontId="23" fillId="0" borderId="173" xfId="0" applyNumberFormat="1" applyFont="1" applyBorder="1">
      <alignment vertical="center"/>
    </xf>
    <xf numFmtId="181" fontId="24" fillId="0" borderId="175" xfId="0" applyNumberFormat="1" applyFont="1" applyBorder="1">
      <alignment vertical="center"/>
    </xf>
    <xf numFmtId="41" fontId="27" fillId="0" borderId="246" xfId="1" applyFont="1" applyBorder="1">
      <alignment vertical="center"/>
    </xf>
    <xf numFmtId="41" fontId="27" fillId="0" borderId="102" xfId="1" applyFont="1" applyBorder="1">
      <alignment vertical="center"/>
    </xf>
    <xf numFmtId="41" fontId="27" fillId="0" borderId="177" xfId="1" applyFont="1" applyBorder="1">
      <alignment vertical="center"/>
    </xf>
    <xf numFmtId="41" fontId="27" fillId="0" borderId="176" xfId="1" applyFont="1" applyBorder="1">
      <alignment vertical="center"/>
    </xf>
    <xf numFmtId="41" fontId="23" fillId="0" borderId="175" xfId="0" applyNumberFormat="1" applyFont="1" applyBorder="1">
      <alignment vertical="center"/>
    </xf>
    <xf numFmtId="41" fontId="23" fillId="0" borderId="102" xfId="0" applyNumberFormat="1" applyFont="1" applyBorder="1">
      <alignment vertical="center"/>
    </xf>
    <xf numFmtId="41" fontId="27" fillId="0" borderId="174" xfId="1" applyFont="1" applyBorder="1">
      <alignment vertical="center"/>
    </xf>
    <xf numFmtId="181" fontId="24" fillId="0" borderId="247" xfId="0" applyNumberFormat="1" applyFont="1" applyBorder="1">
      <alignment vertical="center"/>
    </xf>
    <xf numFmtId="41" fontId="23" fillId="0" borderId="178" xfId="0" applyNumberFormat="1" applyFont="1" applyBorder="1">
      <alignment vertical="center"/>
    </xf>
    <xf numFmtId="179" fontId="23" fillId="0" borderId="174" xfId="0" applyNumberFormat="1" applyFont="1" applyBorder="1">
      <alignment vertical="center"/>
    </xf>
    <xf numFmtId="179" fontId="23" fillId="8" borderId="179" xfId="0" applyNumberFormat="1" applyFont="1" applyFill="1" applyBorder="1">
      <alignment vertical="center"/>
    </xf>
    <xf numFmtId="179" fontId="23" fillId="8" borderId="180" xfId="0" applyNumberFormat="1" applyFont="1" applyFill="1" applyBorder="1">
      <alignment vertical="center"/>
    </xf>
    <xf numFmtId="179" fontId="23" fillId="8" borderId="181" xfId="0" applyNumberFormat="1" applyFont="1" applyFill="1" applyBorder="1">
      <alignment vertical="center"/>
    </xf>
    <xf numFmtId="179" fontId="23" fillId="8" borderId="117" xfId="0" applyNumberFormat="1" applyFont="1" applyFill="1" applyBorder="1">
      <alignment vertical="center"/>
    </xf>
    <xf numFmtId="179" fontId="23" fillId="8" borderId="182" xfId="0" applyNumberFormat="1" applyFont="1" applyFill="1" applyBorder="1">
      <alignment vertical="center"/>
    </xf>
    <xf numFmtId="179" fontId="23" fillId="8" borderId="123" xfId="0" applyNumberFormat="1" applyFont="1" applyFill="1" applyBorder="1">
      <alignment vertical="center"/>
    </xf>
    <xf numFmtId="179" fontId="27" fillId="8" borderId="153" xfId="0" applyNumberFormat="1" applyFont="1" applyFill="1" applyBorder="1">
      <alignment vertical="center"/>
    </xf>
    <xf numFmtId="179" fontId="23" fillId="8" borderId="248" xfId="0" applyNumberFormat="1" applyFont="1" applyFill="1" applyBorder="1">
      <alignment vertical="center"/>
    </xf>
    <xf numFmtId="179" fontId="23" fillId="8" borderId="183" xfId="0" applyNumberFormat="1" applyFont="1" applyFill="1" applyBorder="1">
      <alignment vertical="center"/>
    </xf>
    <xf numFmtId="179" fontId="23" fillId="8" borderId="153" xfId="0" applyNumberFormat="1" applyFont="1" applyFill="1" applyBorder="1">
      <alignment vertical="center"/>
    </xf>
    <xf numFmtId="41" fontId="23" fillId="0" borderId="160" xfId="0" applyNumberFormat="1" applyFont="1" applyBorder="1">
      <alignment vertical="center"/>
    </xf>
    <xf numFmtId="181" fontId="27" fillId="0" borderId="165" xfId="0" applyNumberFormat="1" applyFont="1" applyBorder="1">
      <alignment vertical="center"/>
    </xf>
    <xf numFmtId="181" fontId="27" fillId="0" borderId="244" xfId="0" applyNumberFormat="1" applyFont="1" applyBorder="1">
      <alignment vertical="center"/>
    </xf>
    <xf numFmtId="181" fontId="27" fillId="0" borderId="101" xfId="0" applyNumberFormat="1" applyFont="1" applyBorder="1">
      <alignment vertical="center"/>
    </xf>
    <xf numFmtId="181" fontId="27" fillId="0" borderId="167" xfId="0" applyNumberFormat="1" applyFont="1" applyBorder="1">
      <alignment vertical="center"/>
    </xf>
    <xf numFmtId="181" fontId="27" fillId="0" borderId="166" xfId="0" applyNumberFormat="1" applyFont="1" applyBorder="1">
      <alignment vertical="center"/>
    </xf>
    <xf numFmtId="181" fontId="27" fillId="0" borderId="164" xfId="0" applyNumberFormat="1" applyFont="1" applyBorder="1">
      <alignment vertical="center"/>
    </xf>
    <xf numFmtId="181" fontId="27" fillId="0" borderId="245" xfId="0" applyNumberFormat="1" applyFont="1" applyBorder="1">
      <alignment vertical="center"/>
    </xf>
    <xf numFmtId="181" fontId="23" fillId="0" borderId="164" xfId="0" applyNumberFormat="1" applyFont="1" applyBorder="1">
      <alignment vertical="center"/>
    </xf>
    <xf numFmtId="41" fontId="23" fillId="0" borderId="115" xfId="1" applyFont="1" applyBorder="1">
      <alignment vertical="center"/>
    </xf>
    <xf numFmtId="179" fontId="23" fillId="0" borderId="116" xfId="0" applyNumberFormat="1" applyFont="1" applyBorder="1">
      <alignment vertical="center"/>
    </xf>
    <xf numFmtId="41" fontId="23" fillId="0" borderId="113" xfId="1" applyFont="1" applyBorder="1">
      <alignment vertical="center"/>
    </xf>
    <xf numFmtId="179" fontId="27" fillId="0" borderId="0" xfId="0" applyNumberFormat="1" applyFont="1">
      <alignment vertical="center"/>
    </xf>
    <xf numFmtId="179" fontId="27" fillId="0" borderId="243" xfId="0" applyNumberFormat="1" applyFont="1" applyBorder="1">
      <alignment vertical="center"/>
    </xf>
    <xf numFmtId="179" fontId="27" fillId="0" borderId="155" xfId="0" applyNumberFormat="1" applyFont="1" applyBorder="1">
      <alignment vertical="center"/>
    </xf>
    <xf numFmtId="179" fontId="27" fillId="0" borderId="157" xfId="0" applyNumberFormat="1" applyFont="1" applyBorder="1">
      <alignment vertical="center"/>
    </xf>
    <xf numFmtId="179" fontId="27" fillId="0" borderId="156" xfId="0" applyNumberFormat="1" applyFont="1" applyBorder="1">
      <alignment vertical="center"/>
    </xf>
    <xf numFmtId="41" fontId="23" fillId="0" borderId="155" xfId="1" applyFont="1" applyBorder="1">
      <alignment vertical="center"/>
    </xf>
    <xf numFmtId="181" fontId="27" fillId="0" borderId="114" xfId="1" applyNumberFormat="1" applyFont="1" applyBorder="1">
      <alignment vertical="center"/>
    </xf>
    <xf numFmtId="179" fontId="27" fillId="0" borderId="238" xfId="0" applyNumberFormat="1" applyFont="1" applyBorder="1">
      <alignment vertical="center"/>
    </xf>
    <xf numFmtId="179" fontId="23" fillId="0" borderId="114" xfId="0" applyNumberFormat="1" applyFont="1" applyBorder="1">
      <alignment vertical="center"/>
    </xf>
    <xf numFmtId="179" fontId="23" fillId="8" borderId="249" xfId="0" applyNumberFormat="1" applyFont="1" applyFill="1" applyBorder="1">
      <alignment vertical="center"/>
    </xf>
    <xf numFmtId="179" fontId="23" fillId="8" borderId="124" xfId="0" applyNumberFormat="1" applyFont="1" applyFill="1" applyBorder="1">
      <alignment vertical="center"/>
    </xf>
    <xf numFmtId="179" fontId="23" fillId="8" borderId="185" xfId="0" applyNumberFormat="1" applyFont="1" applyFill="1" applyBorder="1">
      <alignment vertical="center"/>
    </xf>
    <xf numFmtId="41" fontId="23" fillId="0" borderId="188" xfId="0" applyNumberFormat="1" applyFont="1" applyBorder="1">
      <alignment vertical="center"/>
    </xf>
    <xf numFmtId="179" fontId="23" fillId="0" borderId="189" xfId="0" applyNumberFormat="1" applyFont="1" applyBorder="1">
      <alignment vertical="center"/>
    </xf>
    <xf numFmtId="179" fontId="23" fillId="0" borderId="190" xfId="0" applyNumberFormat="1" applyFont="1" applyBorder="1">
      <alignment vertical="center"/>
    </xf>
    <xf numFmtId="179" fontId="23" fillId="0" borderId="191" xfId="0" applyNumberFormat="1" applyFont="1" applyBorder="1">
      <alignment vertical="center"/>
    </xf>
    <xf numFmtId="181" fontId="27" fillId="0" borderId="193" xfId="0" applyNumberFormat="1" applyFont="1" applyBorder="1">
      <alignment vertical="center"/>
    </xf>
    <xf numFmtId="181" fontId="27" fillId="0" borderId="250" xfId="0" applyNumberFormat="1" applyFont="1" applyBorder="1">
      <alignment vertical="center"/>
    </xf>
    <xf numFmtId="181" fontId="27" fillId="0" borderId="194" xfId="0" applyNumberFormat="1" applyFont="1" applyBorder="1">
      <alignment vertical="center"/>
    </xf>
    <xf numFmtId="181" fontId="27" fillId="0" borderId="196" xfId="0" applyNumberFormat="1" applyFont="1" applyBorder="1">
      <alignment vertical="center"/>
    </xf>
    <xf numFmtId="181" fontId="27" fillId="0" borderId="195" xfId="0" applyNumberFormat="1" applyFont="1" applyBorder="1">
      <alignment vertical="center"/>
    </xf>
    <xf numFmtId="41" fontId="23" fillId="0" borderId="193" xfId="0" applyNumberFormat="1" applyFont="1" applyBorder="1">
      <alignment vertical="center"/>
    </xf>
    <xf numFmtId="41" fontId="23" fillId="0" borderId="194" xfId="0" applyNumberFormat="1" applyFont="1" applyBorder="1">
      <alignment vertical="center"/>
    </xf>
    <xf numFmtId="181" fontId="27" fillId="0" borderId="192" xfId="0" applyNumberFormat="1" applyFont="1" applyBorder="1">
      <alignment vertical="center"/>
    </xf>
    <xf numFmtId="181" fontId="27" fillId="0" borderId="251" xfId="0" applyNumberFormat="1" applyFont="1" applyBorder="1">
      <alignment vertical="center"/>
    </xf>
    <xf numFmtId="41" fontId="23" fillId="0" borderId="197" xfId="0" applyNumberFormat="1" applyFont="1" applyBorder="1">
      <alignment vertical="center"/>
    </xf>
    <xf numFmtId="181" fontId="23" fillId="0" borderId="192" xfId="0" applyNumberFormat="1" applyFont="1" applyBorder="1">
      <alignment vertical="center"/>
    </xf>
    <xf numFmtId="179" fontId="27" fillId="0" borderId="193" xfId="0" applyNumberFormat="1" applyFont="1" applyBorder="1">
      <alignment vertical="center"/>
    </xf>
    <xf numFmtId="179" fontId="27" fillId="0" borderId="250" xfId="0" applyNumberFormat="1" applyFont="1" applyBorder="1">
      <alignment vertical="center"/>
    </xf>
    <xf numFmtId="179" fontId="27" fillId="0" borderId="194" xfId="0" applyNumberFormat="1" applyFont="1" applyBorder="1">
      <alignment vertical="center"/>
    </xf>
    <xf numFmtId="179" fontId="27" fillId="0" borderId="196" xfId="0" applyNumberFormat="1" applyFont="1" applyBorder="1">
      <alignment vertical="center"/>
    </xf>
    <xf numFmtId="179" fontId="27" fillId="0" borderId="195" xfId="0" applyNumberFormat="1" applyFont="1" applyBorder="1">
      <alignment vertical="center"/>
    </xf>
    <xf numFmtId="181" fontId="23" fillId="0" borderId="196" xfId="0" applyNumberFormat="1" applyFont="1" applyBorder="1">
      <alignment vertical="center"/>
    </xf>
    <xf numFmtId="179" fontId="27" fillId="0" borderId="251" xfId="0" applyNumberFormat="1" applyFont="1" applyBorder="1">
      <alignment vertical="center"/>
    </xf>
    <xf numFmtId="179" fontId="23" fillId="0" borderId="192" xfId="0" applyNumberFormat="1" applyFont="1" applyBorder="1">
      <alignment vertical="center"/>
    </xf>
    <xf numFmtId="41" fontId="23" fillId="0" borderId="199" xfId="0" applyNumberFormat="1" applyFont="1" applyBorder="1">
      <alignment vertical="center"/>
    </xf>
    <xf numFmtId="179" fontId="23" fillId="0" borderId="200" xfId="0" applyNumberFormat="1" applyFont="1" applyBorder="1">
      <alignment vertical="center"/>
    </xf>
    <xf numFmtId="179" fontId="23" fillId="0" borderId="201" xfId="0" applyNumberFormat="1" applyFont="1" applyBorder="1">
      <alignment vertical="center"/>
    </xf>
    <xf numFmtId="179" fontId="23" fillId="0" borderId="202" xfId="0" applyNumberFormat="1" applyFont="1" applyBorder="1">
      <alignment vertical="center"/>
    </xf>
    <xf numFmtId="179" fontId="27" fillId="0" borderId="204" xfId="0" applyNumberFormat="1" applyFont="1" applyBorder="1">
      <alignment vertical="center"/>
    </xf>
    <xf numFmtId="41" fontId="27" fillId="0" borderId="252" xfId="1" applyFont="1" applyBorder="1">
      <alignment vertical="center"/>
    </xf>
    <xf numFmtId="41" fontId="27" fillId="0" borderId="205" xfId="1" applyFont="1" applyBorder="1">
      <alignment vertical="center"/>
    </xf>
    <xf numFmtId="41" fontId="27" fillId="0" borderId="207" xfId="1" applyFont="1" applyBorder="1">
      <alignment vertical="center"/>
    </xf>
    <xf numFmtId="41" fontId="27" fillId="0" borderId="206" xfId="1" applyFont="1" applyBorder="1">
      <alignment vertical="center"/>
    </xf>
    <xf numFmtId="41" fontId="27" fillId="0" borderId="194" xfId="1" applyFont="1" applyBorder="1">
      <alignment vertical="center"/>
    </xf>
    <xf numFmtId="41" fontId="23" fillId="0" borderId="204" xfId="0" applyNumberFormat="1" applyFont="1" applyBorder="1">
      <alignment vertical="center"/>
    </xf>
    <xf numFmtId="41" fontId="23" fillId="0" borderId="205" xfId="0" applyNumberFormat="1" applyFont="1" applyBorder="1">
      <alignment vertical="center"/>
    </xf>
    <xf numFmtId="41" fontId="27" fillId="0" borderId="203" xfId="0" applyNumberFormat="1" applyFont="1" applyBorder="1">
      <alignment vertical="center"/>
    </xf>
    <xf numFmtId="179" fontId="27" fillId="0" borderId="253" xfId="0" applyNumberFormat="1" applyFont="1" applyBorder="1">
      <alignment vertical="center"/>
    </xf>
    <xf numFmtId="41" fontId="23" fillId="0" borderId="208" xfId="0" applyNumberFormat="1" applyFont="1" applyBorder="1">
      <alignment vertical="center"/>
    </xf>
    <xf numFmtId="179" fontId="23" fillId="0" borderId="203" xfId="0" applyNumberFormat="1" applyFont="1" applyBorder="1">
      <alignment vertical="center"/>
    </xf>
    <xf numFmtId="41" fontId="23" fillId="0" borderId="212" xfId="0" applyNumberFormat="1" applyFont="1" applyBorder="1">
      <alignment vertical="center"/>
    </xf>
    <xf numFmtId="41" fontId="23" fillId="0" borderId="213" xfId="1" applyFont="1" applyBorder="1">
      <alignment vertical="center"/>
    </xf>
    <xf numFmtId="41" fontId="23" fillId="0" borderId="126" xfId="1" applyFont="1" applyBorder="1">
      <alignment vertical="center"/>
    </xf>
    <xf numFmtId="179" fontId="23" fillId="0" borderId="214" xfId="0" applyNumberFormat="1" applyFont="1" applyBorder="1">
      <alignment vertical="center"/>
    </xf>
    <xf numFmtId="179" fontId="27" fillId="0" borderId="127" xfId="0" applyNumberFormat="1" applyFont="1" applyBorder="1">
      <alignment vertical="center"/>
    </xf>
    <xf numFmtId="41" fontId="27" fillId="0" borderId="254" xfId="1" applyFont="1" applyBorder="1">
      <alignment vertical="center"/>
    </xf>
    <xf numFmtId="41" fontId="27" fillId="0" borderId="255" xfId="1" applyFont="1" applyBorder="1">
      <alignment vertical="center"/>
    </xf>
    <xf numFmtId="41" fontId="27" fillId="0" borderId="256" xfId="1" applyFont="1" applyBorder="1">
      <alignment vertical="center"/>
    </xf>
    <xf numFmtId="41" fontId="27" fillId="0" borderId="257" xfId="1" applyFont="1" applyBorder="1">
      <alignment vertical="center"/>
    </xf>
    <xf numFmtId="41" fontId="23" fillId="0" borderId="258" xfId="0" applyNumberFormat="1" applyFont="1" applyBorder="1">
      <alignment vertical="center"/>
    </xf>
    <xf numFmtId="41" fontId="27" fillId="0" borderId="259" xfId="1" applyFont="1" applyBorder="1">
      <alignment vertical="center"/>
    </xf>
    <xf numFmtId="41" fontId="23" fillId="0" borderId="260" xfId="1" applyFont="1" applyBorder="1">
      <alignment vertical="center"/>
    </xf>
    <xf numFmtId="179" fontId="23" fillId="0" borderId="261" xfId="0" applyNumberFormat="1" applyFont="1" applyBorder="1">
      <alignment vertical="center"/>
    </xf>
    <xf numFmtId="179" fontId="27" fillId="0" borderId="262" xfId="0" applyNumberFormat="1" applyFont="1" applyBorder="1">
      <alignment vertical="center"/>
    </xf>
    <xf numFmtId="41" fontId="23" fillId="0" borderId="127" xfId="0" applyNumberFormat="1" applyFont="1" applyBorder="1">
      <alignment vertical="center"/>
    </xf>
    <xf numFmtId="41" fontId="23" fillId="0" borderId="215" xfId="0" applyNumberFormat="1" applyFont="1" applyBorder="1">
      <alignment vertical="center"/>
    </xf>
    <xf numFmtId="41" fontId="27" fillId="0" borderId="128" xfId="0" applyNumberFormat="1" applyFont="1" applyBorder="1">
      <alignment vertical="center"/>
    </xf>
    <xf numFmtId="41" fontId="23" fillId="0" borderId="225" xfId="0" applyNumberFormat="1" applyFont="1" applyBorder="1">
      <alignment vertical="center"/>
    </xf>
    <xf numFmtId="179" fontId="23" fillId="0" borderId="128" xfId="0" applyNumberFormat="1" applyFont="1" applyBorder="1">
      <alignment vertical="center"/>
    </xf>
    <xf numFmtId="179" fontId="20" fillId="3" borderId="270" xfId="0" applyNumberFormat="1" applyFont="1" applyFill="1" applyBorder="1">
      <alignment vertical="center"/>
    </xf>
    <xf numFmtId="181" fontId="25" fillId="4" borderId="144" xfId="0" applyNumberFormat="1" applyFont="1" applyFill="1" applyBorder="1">
      <alignment vertical="center"/>
    </xf>
    <xf numFmtId="181" fontId="25" fillId="4" borderId="143" xfId="0" applyNumberFormat="1" applyFont="1" applyFill="1" applyBorder="1">
      <alignment vertical="center"/>
    </xf>
    <xf numFmtId="9" fontId="25" fillId="3" borderId="151" xfId="2" applyFont="1" applyFill="1" applyBorder="1">
      <alignment vertical="center"/>
    </xf>
    <xf numFmtId="179" fontId="23" fillId="8" borderId="142" xfId="0" applyNumberFormat="1" applyFont="1" applyFill="1" applyBorder="1">
      <alignment vertical="center"/>
    </xf>
    <xf numFmtId="181" fontId="27" fillId="8" borderId="114" xfId="0" applyNumberFormat="1" applyFont="1" applyFill="1" applyBorder="1">
      <alignment vertical="center"/>
    </xf>
    <xf numFmtId="179" fontId="27" fillId="8" borderId="0" xfId="0" applyNumberFormat="1" applyFont="1" applyFill="1">
      <alignment vertical="center"/>
    </xf>
    <xf numFmtId="9" fontId="28" fillId="8" borderId="157" xfId="2" applyFont="1" applyFill="1" applyBorder="1">
      <alignment vertical="center"/>
    </xf>
    <xf numFmtId="9" fontId="24" fillId="0" borderId="167" xfId="2" applyFont="1" applyBorder="1">
      <alignment vertical="center"/>
    </xf>
    <xf numFmtId="181" fontId="27" fillId="0" borderId="174" xfId="0" applyNumberFormat="1" applyFont="1" applyBorder="1">
      <alignment vertical="center"/>
    </xf>
    <xf numFmtId="181" fontId="27" fillId="0" borderId="175" xfId="0" applyNumberFormat="1" applyFont="1" applyBorder="1">
      <alignment vertical="center"/>
    </xf>
    <xf numFmtId="9" fontId="24" fillId="0" borderId="177" xfId="2" applyFont="1" applyBorder="1">
      <alignment vertical="center"/>
    </xf>
    <xf numFmtId="179" fontId="27" fillId="8" borderId="182" xfId="0" applyNumberFormat="1" applyFont="1" applyFill="1" applyBorder="1">
      <alignment vertical="center"/>
    </xf>
    <xf numFmtId="9" fontId="28" fillId="8" borderId="124" xfId="2" applyFont="1" applyFill="1" applyBorder="1">
      <alignment vertical="center"/>
    </xf>
    <xf numFmtId="9" fontId="28" fillId="0" borderId="167" xfId="2" applyFont="1" applyBorder="1">
      <alignment vertical="center"/>
    </xf>
    <xf numFmtId="41" fontId="23" fillId="0" borderId="0" xfId="1" applyFont="1" applyBorder="1">
      <alignment vertical="center"/>
    </xf>
    <xf numFmtId="41" fontId="27" fillId="0" borderId="114" xfId="1" applyFont="1" applyBorder="1">
      <alignment vertical="center"/>
    </xf>
    <xf numFmtId="41" fontId="27" fillId="0" borderId="0" xfId="1" applyFont="1" applyBorder="1">
      <alignment vertical="center"/>
    </xf>
    <xf numFmtId="9" fontId="28" fillId="0" borderId="157" xfId="2" applyFont="1" applyBorder="1">
      <alignment vertical="center"/>
    </xf>
    <xf numFmtId="179" fontId="23" fillId="8" borderId="118" xfId="0" applyNumberFormat="1" applyFont="1" applyFill="1" applyBorder="1">
      <alignment vertical="center"/>
    </xf>
    <xf numFmtId="181" fontId="27" fillId="8" borderId="153" xfId="0" applyNumberFormat="1" applyFont="1" applyFill="1" applyBorder="1">
      <alignment vertical="center"/>
    </xf>
    <xf numFmtId="9" fontId="24" fillId="8" borderId="124" xfId="2" applyFont="1" applyFill="1" applyBorder="1">
      <alignment vertical="center"/>
    </xf>
    <xf numFmtId="9" fontId="24" fillId="0" borderId="196" xfId="2" applyFont="1" applyBorder="1">
      <alignment vertical="center"/>
    </xf>
    <xf numFmtId="41" fontId="27" fillId="0" borderId="192" xfId="0" applyNumberFormat="1" applyFont="1" applyBorder="1">
      <alignment vertical="center"/>
    </xf>
    <xf numFmtId="181" fontId="27" fillId="0" borderId="203" xfId="0" applyNumberFormat="1" applyFont="1" applyBorder="1">
      <alignment vertical="center"/>
    </xf>
    <xf numFmtId="183" fontId="27" fillId="0" borderId="203" xfId="0" applyNumberFormat="1" applyFont="1" applyBorder="1">
      <alignment vertical="center"/>
    </xf>
    <xf numFmtId="41" fontId="27" fillId="0" borderId="204" xfId="0" applyNumberFormat="1" applyFont="1" applyBorder="1">
      <alignment vertical="center"/>
    </xf>
    <xf numFmtId="9" fontId="28" fillId="0" borderId="207" xfId="2" applyFont="1" applyBorder="1">
      <alignment vertical="center"/>
    </xf>
    <xf numFmtId="181" fontId="27" fillId="0" borderId="128" xfId="0" applyNumberFormat="1" applyFont="1" applyBorder="1">
      <alignment vertical="center"/>
    </xf>
    <xf numFmtId="183" fontId="27" fillId="0" borderId="128" xfId="0" applyNumberFormat="1" applyFont="1" applyBorder="1">
      <alignment vertical="center"/>
    </xf>
    <xf numFmtId="181" fontId="27" fillId="0" borderId="127" xfId="0" applyNumberFormat="1" applyFont="1" applyBorder="1">
      <alignment vertical="center"/>
    </xf>
    <xf numFmtId="9" fontId="27" fillId="0" borderId="268" xfId="2" applyFont="1" applyBorder="1">
      <alignment vertical="center"/>
    </xf>
    <xf numFmtId="0" fontId="23" fillId="0" borderId="169" xfId="0" applyFont="1" applyBorder="1">
      <alignment vertical="center"/>
    </xf>
    <xf numFmtId="0" fontId="23" fillId="0" borderId="159" xfId="0" applyFont="1" applyBorder="1">
      <alignment vertical="center"/>
    </xf>
    <xf numFmtId="0" fontId="23" fillId="0" borderId="187" xfId="0" applyFont="1" applyBorder="1">
      <alignment vertical="center"/>
    </xf>
    <xf numFmtId="0" fontId="23" fillId="0" borderId="211" xfId="0" applyFont="1" applyBorder="1">
      <alignment vertical="center"/>
    </xf>
    <xf numFmtId="181" fontId="29" fillId="4" borderId="144" xfId="0" applyNumberFormat="1" applyFont="1" applyFill="1" applyBorder="1">
      <alignment vertical="center"/>
    </xf>
    <xf numFmtId="0" fontId="27" fillId="0" borderId="159" xfId="0" applyFont="1" applyBorder="1">
      <alignment vertical="center"/>
    </xf>
    <xf numFmtId="0" fontId="27" fillId="0" borderId="184" xfId="0" applyFont="1" applyBorder="1">
      <alignment vertical="center"/>
    </xf>
    <xf numFmtId="0" fontId="27" fillId="0" borderId="198" xfId="0" applyFont="1" applyBorder="1">
      <alignment vertical="center"/>
    </xf>
    <xf numFmtId="0" fontId="30" fillId="0" borderId="0" xfId="0" applyFont="1">
      <alignment vertical="center"/>
    </xf>
    <xf numFmtId="0" fontId="19" fillId="5" borderId="239" xfId="0" applyFont="1" applyFill="1" applyBorder="1" applyAlignment="1">
      <alignment horizontal="center" vertical="center" wrapText="1"/>
    </xf>
    <xf numFmtId="0" fontId="19" fillId="5" borderId="136" xfId="0" applyFont="1" applyFill="1" applyBorder="1" applyAlignment="1">
      <alignment horizontal="center" vertical="center" wrapText="1"/>
    </xf>
    <xf numFmtId="0" fontId="19" fillId="5" borderId="137" xfId="0" applyFont="1" applyFill="1" applyBorder="1" applyAlignment="1">
      <alignment horizontal="center" vertical="center" wrapText="1"/>
    </xf>
    <xf numFmtId="0" fontId="19" fillId="5" borderId="135" xfId="0" applyFont="1" applyFill="1" applyBorder="1" applyAlignment="1">
      <alignment horizontal="center" vertical="center" wrapText="1"/>
    </xf>
    <xf numFmtId="0" fontId="19" fillId="5" borderId="138" xfId="0" applyFont="1" applyFill="1" applyBorder="1" applyAlignment="1">
      <alignment horizontal="center" vertical="center" wrapText="1"/>
    </xf>
    <xf numFmtId="0" fontId="19" fillId="5" borderId="139" xfId="0" applyFont="1" applyFill="1" applyBorder="1" applyAlignment="1">
      <alignment horizontal="center" vertical="center" wrapText="1"/>
    </xf>
    <xf numFmtId="0" fontId="19" fillId="5" borderId="140" xfId="0" applyFont="1" applyFill="1" applyBorder="1" applyAlignment="1">
      <alignment horizontal="center" vertical="center" wrapText="1"/>
    </xf>
    <xf numFmtId="0" fontId="31" fillId="0" borderId="159" xfId="0" applyFont="1" applyBorder="1">
      <alignment vertical="center"/>
    </xf>
    <xf numFmtId="0" fontId="30" fillId="0" borderId="169" xfId="0" applyFont="1" applyBorder="1">
      <alignment vertical="center"/>
    </xf>
    <xf numFmtId="0" fontId="30" fillId="0" borderId="159" xfId="0" applyFont="1" applyBorder="1">
      <alignment vertical="center"/>
    </xf>
    <xf numFmtId="0" fontId="31" fillId="0" borderId="184" xfId="0" applyFont="1" applyBorder="1">
      <alignment vertical="center"/>
    </xf>
    <xf numFmtId="0" fontId="30" fillId="0" borderId="187" xfId="0" applyFont="1" applyBorder="1">
      <alignment vertical="center"/>
    </xf>
    <xf numFmtId="0" fontId="31" fillId="0" borderId="198" xfId="0" applyFont="1" applyBorder="1">
      <alignment vertical="center"/>
    </xf>
    <xf numFmtId="0" fontId="18" fillId="0" borderId="0" xfId="0" applyFont="1" applyAlignment="1">
      <alignment horizontal="center" vertical="center"/>
    </xf>
    <xf numFmtId="179" fontId="23" fillId="0" borderId="101" xfId="0" applyNumberFormat="1" applyFont="1" applyBorder="1">
      <alignment vertical="center"/>
    </xf>
    <xf numFmtId="179" fontId="23" fillId="0" borderId="194" xfId="0" applyNumberFormat="1" applyFont="1" applyBorder="1">
      <alignment vertical="center"/>
    </xf>
    <xf numFmtId="179" fontId="23" fillId="0" borderId="205" xfId="0" applyNumberFormat="1" applyFont="1" applyBorder="1">
      <alignment vertical="center"/>
    </xf>
    <xf numFmtId="179" fontId="23" fillId="0" borderId="255" xfId="1" applyNumberFormat="1" applyFont="1" applyBorder="1">
      <alignment vertical="center"/>
    </xf>
    <xf numFmtId="179" fontId="27" fillId="0" borderId="205" xfId="1" applyNumberFormat="1" applyFont="1" applyBorder="1">
      <alignment vertical="center"/>
    </xf>
    <xf numFmtId="179" fontId="27" fillId="0" borderId="255" xfId="1" applyNumberFormat="1" applyFont="1" applyBorder="1">
      <alignment vertical="center"/>
    </xf>
    <xf numFmtId="0" fontId="23" fillId="0" borderId="219" xfId="0" applyFont="1" applyBorder="1" applyAlignment="1">
      <alignment horizontal="left" vertical="center"/>
    </xf>
    <xf numFmtId="0" fontId="23" fillId="0" borderId="220" xfId="0" applyFont="1" applyBorder="1" applyAlignment="1">
      <alignment horizontal="left" vertical="center"/>
    </xf>
    <xf numFmtId="0" fontId="23" fillId="0" borderId="220" xfId="0" applyFont="1" applyBorder="1">
      <alignment vertical="center"/>
    </xf>
    <xf numFmtId="0" fontId="23" fillId="0" borderId="221" xfId="0" applyFont="1" applyBorder="1">
      <alignment vertical="center"/>
    </xf>
    <xf numFmtId="0" fontId="20" fillId="10" borderId="219" xfId="0" applyFont="1" applyFill="1" applyBorder="1" applyAlignment="1">
      <alignment horizontal="left" vertical="center"/>
    </xf>
    <xf numFmtId="0" fontId="20" fillId="10" borderId="220" xfId="0" applyFont="1" applyFill="1" applyBorder="1" applyAlignment="1">
      <alignment horizontal="left" vertical="center"/>
    </xf>
    <xf numFmtId="0" fontId="20" fillId="10" borderId="220" xfId="0" applyFont="1" applyFill="1" applyBorder="1">
      <alignment vertical="center"/>
    </xf>
    <xf numFmtId="0" fontId="20" fillId="10" borderId="221" xfId="0" applyFont="1" applyFill="1" applyBorder="1">
      <alignment vertical="center"/>
    </xf>
    <xf numFmtId="0" fontId="23" fillId="0" borderId="0" xfId="0" applyFont="1" applyAlignment="1">
      <alignment horizontal="right"/>
    </xf>
    <xf numFmtId="0" fontId="20" fillId="0" borderId="142" xfId="0" applyFont="1" applyBorder="1">
      <alignment vertical="center"/>
    </xf>
    <xf numFmtId="0" fontId="23" fillId="0" borderId="142" xfId="0" applyFont="1" applyBorder="1">
      <alignment vertical="center"/>
    </xf>
    <xf numFmtId="184" fontId="6" fillId="0" borderId="116" xfId="0" applyNumberFormat="1" applyFont="1" applyBorder="1" applyAlignment="1">
      <alignment horizontal="center" vertical="center"/>
    </xf>
    <xf numFmtId="184" fontId="6" fillId="0" borderId="103" xfId="0" applyNumberFormat="1" applyFont="1" applyBorder="1" applyAlignment="1">
      <alignment horizontal="center" vertical="center"/>
    </xf>
    <xf numFmtId="184" fontId="6" fillId="0" borderId="0" xfId="0" applyNumberFormat="1" applyFont="1" applyAlignment="1">
      <alignment horizontal="center" vertical="center"/>
    </xf>
    <xf numFmtId="182" fontId="3" fillId="9" borderId="310" xfId="0" applyNumberFormat="1" applyFont="1" applyFill="1" applyBorder="1">
      <alignment vertical="center"/>
    </xf>
    <xf numFmtId="182" fontId="6" fillId="0" borderId="116" xfId="0" applyNumberFormat="1" applyFont="1" applyBorder="1">
      <alignment vertical="center"/>
    </xf>
    <xf numFmtId="182" fontId="6" fillId="0" borderId="273" xfId="0" applyNumberFormat="1" applyFont="1" applyBorder="1">
      <alignment vertical="center"/>
    </xf>
    <xf numFmtId="182" fontId="6" fillId="0" borderId="272" xfId="0" applyNumberFormat="1" applyFont="1" applyBorder="1">
      <alignment vertical="center"/>
    </xf>
    <xf numFmtId="182" fontId="3" fillId="9" borderId="103" xfId="0" applyNumberFormat="1" applyFont="1" applyFill="1" applyBorder="1">
      <alignment vertical="center"/>
    </xf>
    <xf numFmtId="184" fontId="6" fillId="11" borderId="103" xfId="0" applyNumberFormat="1" applyFont="1" applyFill="1" applyBorder="1" applyAlignment="1">
      <alignment horizontal="center" vertical="center"/>
    </xf>
    <xf numFmtId="184" fontId="6" fillId="0" borderId="37" xfId="0" applyNumberFormat="1" applyFont="1" applyBorder="1" applyAlignment="1">
      <alignment horizontal="center" vertical="center"/>
    </xf>
    <xf numFmtId="184" fontId="6" fillId="0" borderId="16" xfId="0" applyNumberFormat="1" applyFont="1" applyBorder="1" applyAlignment="1">
      <alignment horizontal="center" vertical="center"/>
    </xf>
    <xf numFmtId="184" fontId="6" fillId="0" borderId="99" xfId="0" applyNumberFormat="1" applyFont="1" applyBorder="1" applyAlignment="1">
      <alignment horizontal="center" vertical="center"/>
    </xf>
    <xf numFmtId="182" fontId="3" fillId="9" borderId="16" xfId="0" applyNumberFormat="1" applyFont="1" applyFill="1" applyBorder="1">
      <alignment vertical="center"/>
    </xf>
    <xf numFmtId="0" fontId="33" fillId="8" borderId="48" xfId="0" applyFont="1" applyFill="1" applyBorder="1" applyAlignment="1">
      <alignment horizontal="centerContinuous" vertical="center"/>
    </xf>
    <xf numFmtId="0" fontId="33" fillId="8" borderId="309" xfId="0" applyFont="1" applyFill="1" applyBorder="1" applyAlignment="1">
      <alignment horizontal="centerContinuous" vertical="center"/>
    </xf>
    <xf numFmtId="0" fontId="33" fillId="8" borderId="5" xfId="0" applyFont="1" applyFill="1" applyBorder="1" applyAlignment="1">
      <alignment horizontal="centerContinuous" vertical="center"/>
    </xf>
    <xf numFmtId="182" fontId="33" fillId="8" borderId="48" xfId="0" applyNumberFormat="1" applyFont="1" applyFill="1" applyBorder="1">
      <alignment vertical="center"/>
    </xf>
    <xf numFmtId="182" fontId="33" fillId="8" borderId="275" xfId="0" applyNumberFormat="1" applyFont="1" applyFill="1" applyBorder="1">
      <alignment vertical="center"/>
    </xf>
    <xf numFmtId="182" fontId="33" fillId="8" borderId="309" xfId="0" applyNumberFormat="1" applyFont="1" applyFill="1" applyBorder="1">
      <alignment vertical="center"/>
    </xf>
    <xf numFmtId="182" fontId="33" fillId="8" borderId="73" xfId="0" applyNumberFormat="1" applyFont="1" applyFill="1" applyBorder="1">
      <alignment vertical="center"/>
    </xf>
    <xf numFmtId="182" fontId="33" fillId="8" borderId="5" xfId="0" applyNumberFormat="1" applyFont="1" applyFill="1" applyBorder="1">
      <alignment vertical="center"/>
    </xf>
    <xf numFmtId="182" fontId="33" fillId="8" borderId="274" xfId="0" applyNumberFormat="1" applyFont="1" applyFill="1" applyBorder="1">
      <alignment vertical="center"/>
    </xf>
    <xf numFmtId="0" fontId="3" fillId="5" borderId="48" xfId="0" applyFont="1" applyFill="1" applyBorder="1" applyAlignment="1">
      <alignment horizontal="center" vertical="center"/>
    </xf>
    <xf numFmtId="0" fontId="3" fillId="5" borderId="309" xfId="0" applyFont="1" applyFill="1" applyBorder="1" applyAlignment="1">
      <alignment horizontal="center" vertical="center"/>
    </xf>
    <xf numFmtId="0" fontId="3" fillId="5" borderId="73" xfId="0" applyFont="1" applyFill="1" applyBorder="1" applyAlignment="1">
      <alignment horizontal="center" vertical="center"/>
    </xf>
    <xf numFmtId="0" fontId="3" fillId="5" borderId="276" xfId="0" applyFont="1" applyFill="1" applyBorder="1" applyAlignment="1">
      <alignment horizontal="center" vertical="center"/>
    </xf>
    <xf numFmtId="182" fontId="6" fillId="0" borderId="311" xfId="0" applyNumberFormat="1" applyFont="1" applyBorder="1">
      <alignment vertical="center"/>
    </xf>
    <xf numFmtId="0" fontId="0" fillId="0" borderId="310" xfId="0" applyBorder="1">
      <alignment vertical="center"/>
    </xf>
    <xf numFmtId="41" fontId="0" fillId="0" borderId="310" xfId="1" applyFont="1" applyFill="1" applyBorder="1">
      <alignment vertical="center"/>
    </xf>
    <xf numFmtId="9" fontId="0" fillId="0" borderId="312" xfId="2" applyFont="1" applyFill="1" applyBorder="1">
      <alignment vertical="center"/>
    </xf>
    <xf numFmtId="0" fontId="3" fillId="0" borderId="310" xfId="0" applyFont="1" applyBorder="1" applyAlignment="1">
      <alignment horizontal="center" vertical="center"/>
    </xf>
    <xf numFmtId="41" fontId="0" fillId="3" borderId="310" xfId="1" applyFont="1" applyFill="1" applyBorder="1">
      <alignment vertical="center"/>
    </xf>
    <xf numFmtId="0" fontId="39" fillId="0" borderId="0" xfId="0" applyFont="1">
      <alignment vertical="center"/>
    </xf>
    <xf numFmtId="0" fontId="40" fillId="0" borderId="0" xfId="0" applyFont="1" applyAlignment="1">
      <alignment horizontal="center" vertical="center"/>
    </xf>
    <xf numFmtId="0" fontId="41" fillId="0" borderId="0" xfId="0" applyFont="1" applyAlignment="1">
      <alignment horizontal="right" vertical="center"/>
    </xf>
    <xf numFmtId="0" fontId="42" fillId="0" borderId="0" xfId="0" applyFont="1">
      <alignment vertical="center"/>
    </xf>
    <xf numFmtId="0" fontId="43" fillId="0" borderId="0" xfId="0" applyFont="1">
      <alignment vertical="center"/>
    </xf>
    <xf numFmtId="179" fontId="43" fillId="0" borderId="0" xfId="0" applyNumberFormat="1" applyFont="1">
      <alignment vertical="center"/>
    </xf>
    <xf numFmtId="0" fontId="39" fillId="0" borderId="0" xfId="0" applyFont="1" applyAlignment="1">
      <alignment horizontal="right" vertical="center"/>
    </xf>
    <xf numFmtId="0" fontId="44" fillId="5" borderId="294" xfId="0" applyFont="1" applyFill="1" applyBorder="1" applyAlignment="1">
      <alignment horizontal="center" vertical="center" wrapText="1"/>
    </xf>
    <xf numFmtId="0" fontId="44" fillId="5" borderId="138" xfId="0" applyFont="1" applyFill="1" applyBorder="1" applyAlignment="1">
      <alignment horizontal="center" vertical="center" wrapText="1"/>
    </xf>
    <xf numFmtId="0" fontId="44" fillId="5" borderId="139" xfId="0" applyFont="1" applyFill="1" applyBorder="1" applyAlignment="1">
      <alignment horizontal="center" vertical="center" wrapText="1"/>
    </xf>
    <xf numFmtId="0" fontId="44" fillId="5" borderId="140" xfId="0" applyFont="1" applyFill="1" applyBorder="1" applyAlignment="1">
      <alignment horizontal="center" vertical="center" wrapText="1"/>
    </xf>
    <xf numFmtId="0" fontId="44" fillId="5" borderId="289" xfId="0" applyFont="1" applyFill="1" applyBorder="1" applyAlignment="1">
      <alignment horizontal="center" vertical="center" wrapText="1"/>
    </xf>
    <xf numFmtId="0" fontId="44" fillId="5" borderId="283" xfId="0" applyFont="1" applyFill="1" applyBorder="1" applyAlignment="1">
      <alignment horizontal="center" vertical="center" wrapText="1"/>
    </xf>
    <xf numFmtId="0" fontId="44" fillId="5" borderId="136" xfId="0" applyFont="1" applyFill="1" applyBorder="1" applyAlignment="1">
      <alignment horizontal="center" vertical="center" wrapText="1"/>
    </xf>
    <xf numFmtId="0" fontId="44" fillId="5" borderId="137" xfId="0" applyFont="1" applyFill="1" applyBorder="1" applyAlignment="1">
      <alignment horizontal="center" vertical="center" wrapText="1"/>
    </xf>
    <xf numFmtId="0" fontId="44" fillId="5" borderId="300" xfId="0" applyFont="1" applyFill="1" applyBorder="1" applyAlignment="1">
      <alignment horizontal="center" vertical="center" wrapText="1"/>
    </xf>
    <xf numFmtId="0" fontId="44" fillId="5" borderId="297" xfId="0" applyFont="1" applyFill="1" applyBorder="1" applyAlignment="1">
      <alignment horizontal="center" vertical="center" wrapText="1"/>
    </xf>
    <xf numFmtId="0" fontId="39" fillId="3" borderId="305" xfId="0" applyFont="1" applyFill="1" applyBorder="1">
      <alignment vertical="center"/>
    </xf>
    <xf numFmtId="179" fontId="45" fillId="3" borderId="146" xfId="0" applyNumberFormat="1" applyFont="1" applyFill="1" applyBorder="1" applyAlignment="1">
      <alignment horizontal="right" vertical="center"/>
    </xf>
    <xf numFmtId="179" fontId="45" fillId="3" borderId="146" xfId="0" applyNumberFormat="1" applyFont="1" applyFill="1" applyBorder="1">
      <alignment vertical="center"/>
    </xf>
    <xf numFmtId="179" fontId="45" fillId="3" borderId="290" xfId="0" applyNumberFormat="1" applyFont="1" applyFill="1" applyBorder="1">
      <alignment vertical="center"/>
    </xf>
    <xf numFmtId="179" fontId="45" fillId="3" borderId="284" xfId="0" applyNumberFormat="1" applyFont="1" applyFill="1" applyBorder="1">
      <alignment vertical="center"/>
    </xf>
    <xf numFmtId="185" fontId="46" fillId="4" borderId="151" xfId="0" applyNumberFormat="1" applyFont="1" applyFill="1" applyBorder="1">
      <alignment vertical="center"/>
    </xf>
    <xf numFmtId="179" fontId="45" fillId="3" borderId="149" xfId="0" applyNumberFormat="1" applyFont="1" applyFill="1" applyBorder="1">
      <alignment vertical="center"/>
    </xf>
    <xf numFmtId="179" fontId="45" fillId="3" borderId="143" xfId="0" applyNumberFormat="1" applyFont="1" applyFill="1" applyBorder="1">
      <alignment vertical="center"/>
    </xf>
    <xf numFmtId="185" fontId="46" fillId="4" borderId="298" xfId="0" applyNumberFormat="1" applyFont="1" applyFill="1" applyBorder="1">
      <alignment vertical="center"/>
    </xf>
    <xf numFmtId="41" fontId="39" fillId="0" borderId="0" xfId="1" applyFont="1">
      <alignment vertical="center"/>
    </xf>
    <xf numFmtId="179" fontId="47" fillId="8" borderId="116" xfId="0" applyNumberFormat="1" applyFont="1" applyFill="1" applyBorder="1" applyAlignment="1">
      <alignment horizontal="right" vertical="center"/>
    </xf>
    <xf numFmtId="179" fontId="47" fillId="8" borderId="116" xfId="0" applyNumberFormat="1" applyFont="1" applyFill="1" applyBorder="1">
      <alignment vertical="center"/>
    </xf>
    <xf numFmtId="179" fontId="47" fillId="8" borderId="155" xfId="0" applyNumberFormat="1" applyFont="1" applyFill="1" applyBorder="1">
      <alignment vertical="center"/>
    </xf>
    <xf numFmtId="179" fontId="47" fillId="8" borderId="157" xfId="0" applyNumberFormat="1" applyFont="1" applyFill="1" applyBorder="1">
      <alignment vertical="center"/>
    </xf>
    <xf numFmtId="179" fontId="47" fillId="8" borderId="291" xfId="0" applyNumberFormat="1" applyFont="1" applyFill="1" applyBorder="1">
      <alignment vertical="center"/>
    </xf>
    <xf numFmtId="179" fontId="47" fillId="8" borderId="285" xfId="0" applyNumberFormat="1" applyFont="1" applyFill="1" applyBorder="1">
      <alignment vertical="center"/>
    </xf>
    <xf numFmtId="179" fontId="47" fillId="8" borderId="0" xfId="0" applyNumberFormat="1" applyFont="1" applyFill="1">
      <alignment vertical="center"/>
    </xf>
    <xf numFmtId="185" fontId="48" fillId="8" borderId="299" xfId="0" applyNumberFormat="1" applyFont="1" applyFill="1" applyBorder="1">
      <alignment vertical="center"/>
    </xf>
    <xf numFmtId="0" fontId="49" fillId="8" borderId="142" xfId="0" applyFont="1" applyFill="1" applyBorder="1" applyAlignment="1">
      <alignment horizontal="center" vertical="center"/>
    </xf>
    <xf numFmtId="0" fontId="50" fillId="0" borderId="121" xfId="0" applyFont="1" applyBorder="1">
      <alignment vertical="center"/>
    </xf>
    <xf numFmtId="41" fontId="47" fillId="0" borderId="115" xfId="0" applyNumberFormat="1" applyFont="1" applyBorder="1" applyAlignment="1">
      <alignment horizontal="right" vertical="center"/>
    </xf>
    <xf numFmtId="179" fontId="47" fillId="0" borderId="116" xfId="0" applyNumberFormat="1" applyFont="1" applyBorder="1">
      <alignment vertical="center"/>
    </xf>
    <xf numFmtId="179" fontId="48" fillId="0" borderId="334" xfId="0" applyNumberFormat="1" applyFont="1" applyBorder="1">
      <alignment vertical="center"/>
    </xf>
    <xf numFmtId="179" fontId="48" fillId="0" borderId="359" xfId="0" applyNumberFormat="1" applyFont="1" applyBorder="1">
      <alignment vertical="center"/>
    </xf>
    <xf numFmtId="179" fontId="48" fillId="0" borderId="337" xfId="1" applyNumberFormat="1" applyFont="1" applyBorder="1">
      <alignment vertical="center"/>
    </xf>
    <xf numFmtId="179" fontId="47" fillId="0" borderId="336" xfId="1" applyNumberFormat="1" applyFont="1" applyBorder="1">
      <alignment vertical="center"/>
    </xf>
    <xf numFmtId="179" fontId="47" fillId="0" borderId="393" xfId="1" applyNumberFormat="1" applyFont="1" applyBorder="1">
      <alignment vertical="center"/>
    </xf>
    <xf numFmtId="185" fontId="48" fillId="0" borderId="337" xfId="1" applyNumberFormat="1" applyFont="1" applyBorder="1">
      <alignment vertical="center"/>
    </xf>
    <xf numFmtId="179" fontId="47" fillId="0" borderId="336" xfId="0" applyNumberFormat="1" applyFont="1" applyBorder="1">
      <alignment vertical="center"/>
    </xf>
    <xf numFmtId="179" fontId="47" fillId="0" borderId="393" xfId="0" applyNumberFormat="1" applyFont="1" applyBorder="1">
      <alignment vertical="center"/>
    </xf>
    <xf numFmtId="179" fontId="47" fillId="0" borderId="359" xfId="0" applyNumberFormat="1" applyFont="1" applyBorder="1">
      <alignment vertical="center"/>
    </xf>
    <xf numFmtId="0" fontId="49" fillId="8" borderId="142" xfId="0" applyFont="1" applyFill="1" applyBorder="1">
      <alignment vertical="center"/>
    </xf>
    <xf numFmtId="0" fontId="51" fillId="0" borderId="159" xfId="0" applyFont="1" applyBorder="1">
      <alignment vertical="center"/>
    </xf>
    <xf numFmtId="179" fontId="47" fillId="0" borderId="160" xfId="0" applyNumberFormat="1" applyFont="1" applyBorder="1" applyAlignment="1">
      <alignment horizontal="right" vertical="center"/>
    </xf>
    <xf numFmtId="179" fontId="47" fillId="0" borderId="161" xfId="0" applyNumberFormat="1" applyFont="1" applyBorder="1">
      <alignment vertical="center"/>
    </xf>
    <xf numFmtId="179" fontId="48" fillId="0" borderId="335" xfId="0" applyNumberFormat="1" applyFont="1" applyBorder="1">
      <alignment vertical="center"/>
    </xf>
    <xf numFmtId="179" fontId="47" fillId="0" borderId="334" xfId="0" applyNumberFormat="1" applyFont="1" applyBorder="1">
      <alignment vertical="center"/>
    </xf>
    <xf numFmtId="185" fontId="48" fillId="0" borderId="335" xfId="0" applyNumberFormat="1" applyFont="1" applyBorder="1">
      <alignment vertical="center"/>
    </xf>
    <xf numFmtId="179" fontId="47" fillId="8" borderId="180" xfId="0" applyNumberFormat="1" applyFont="1" applyFill="1" applyBorder="1" applyAlignment="1">
      <alignment horizontal="right" vertical="center"/>
    </xf>
    <xf numFmtId="179" fontId="47" fillId="8" borderId="180" xfId="0" applyNumberFormat="1" applyFont="1" applyFill="1" applyBorder="1">
      <alignment vertical="center"/>
    </xf>
    <xf numFmtId="179" fontId="47" fillId="8" borderId="336" xfId="0" applyNumberFormat="1" applyFont="1" applyFill="1" applyBorder="1">
      <alignment vertical="center"/>
    </xf>
    <xf numFmtId="179" fontId="47" fillId="8" borderId="393" xfId="0" applyNumberFormat="1" applyFont="1" applyFill="1" applyBorder="1">
      <alignment vertical="center"/>
    </xf>
    <xf numFmtId="179" fontId="47" fillId="8" borderId="337" xfId="0" applyNumberFormat="1" applyFont="1" applyFill="1" applyBorder="1">
      <alignment vertical="center"/>
    </xf>
    <xf numFmtId="185" fontId="48" fillId="8" borderId="337" xfId="0" applyNumberFormat="1" applyFont="1" applyFill="1" applyBorder="1">
      <alignment vertical="center"/>
    </xf>
    <xf numFmtId="0" fontId="51" fillId="0" borderId="184" xfId="0" applyFont="1" applyBorder="1">
      <alignment vertical="center"/>
    </xf>
    <xf numFmtId="41" fontId="47" fillId="0" borderId="115" xfId="1" applyFont="1" applyBorder="1" applyAlignment="1">
      <alignment horizontal="right" vertical="center"/>
    </xf>
    <xf numFmtId="0" fontId="50" fillId="0" borderId="159" xfId="0" applyFont="1" applyBorder="1">
      <alignment vertical="center"/>
    </xf>
    <xf numFmtId="41" fontId="47" fillId="0" borderId="160" xfId="0" applyNumberFormat="1" applyFont="1" applyBorder="1" applyAlignment="1">
      <alignment horizontal="right" vertical="center"/>
    </xf>
    <xf numFmtId="185" fontId="47" fillId="8" borderId="393" xfId="0" applyNumberFormat="1" applyFont="1" applyFill="1" applyBorder="1">
      <alignment vertical="center"/>
    </xf>
    <xf numFmtId="0" fontId="49" fillId="8" borderId="186" xfId="0" applyFont="1" applyFill="1" applyBorder="1">
      <alignment vertical="center"/>
    </xf>
    <xf numFmtId="0" fontId="50" fillId="0" borderId="187" xfId="0" applyFont="1" applyBorder="1">
      <alignment vertical="center"/>
    </xf>
    <xf numFmtId="41" fontId="47" fillId="0" borderId="188" xfId="0" applyNumberFormat="1" applyFont="1" applyBorder="1" applyAlignment="1">
      <alignment horizontal="right" vertical="center"/>
    </xf>
    <xf numFmtId="179" fontId="47" fillId="0" borderId="189" xfId="0" applyNumberFormat="1" applyFont="1" applyBorder="1">
      <alignment vertical="center"/>
    </xf>
    <xf numFmtId="179" fontId="48" fillId="0" borderId="336" xfId="1" applyNumberFormat="1" applyFont="1" applyBorder="1">
      <alignment vertical="center"/>
    </xf>
    <xf numFmtId="179" fontId="48" fillId="0" borderId="336" xfId="0" applyNumberFormat="1" applyFont="1" applyBorder="1">
      <alignment vertical="center"/>
    </xf>
    <xf numFmtId="179" fontId="48" fillId="0" borderId="393" xfId="0" applyNumberFormat="1" applyFont="1" applyBorder="1">
      <alignment vertical="center"/>
    </xf>
    <xf numFmtId="185" fontId="48" fillId="0" borderId="337" xfId="0" applyNumberFormat="1" applyFont="1" applyBorder="1">
      <alignment vertical="center"/>
    </xf>
    <xf numFmtId="0" fontId="51" fillId="0" borderId="198" xfId="0" applyFont="1" applyBorder="1">
      <alignment vertical="center"/>
    </xf>
    <xf numFmtId="41" fontId="47" fillId="0" borderId="199" xfId="0" applyNumberFormat="1" applyFont="1" applyBorder="1" applyAlignment="1">
      <alignment horizontal="right" vertical="center"/>
    </xf>
    <xf numFmtId="179" fontId="47" fillId="0" borderId="200" xfId="0" applyNumberFormat="1" applyFont="1" applyBorder="1">
      <alignment vertical="center"/>
    </xf>
    <xf numFmtId="0" fontId="49" fillId="8" borderId="356" xfId="0" applyFont="1" applyFill="1" applyBorder="1">
      <alignment vertical="center"/>
    </xf>
    <xf numFmtId="0" fontId="52" fillId="0" borderId="357" xfId="0" applyFont="1" applyBorder="1">
      <alignment vertical="center"/>
    </xf>
    <xf numFmtId="41" fontId="47" fillId="0" borderId="358" xfId="0" applyNumberFormat="1" applyFont="1" applyBorder="1" applyAlignment="1">
      <alignment horizontal="right" vertical="center"/>
    </xf>
    <xf numFmtId="179" fontId="47" fillId="0" borderId="37" xfId="1" applyNumberFormat="1" applyFont="1" applyBorder="1">
      <alignment vertical="center"/>
    </xf>
    <xf numFmtId="179" fontId="48" fillId="0" borderId="394" xfId="1" applyNumberFormat="1" applyFont="1" applyBorder="1">
      <alignment vertical="center"/>
    </xf>
    <xf numFmtId="179" fontId="48" fillId="0" borderId="396" xfId="1" applyNumberFormat="1" applyFont="1" applyBorder="1">
      <alignment vertical="center"/>
    </xf>
    <xf numFmtId="179" fontId="48" fillId="0" borderId="394" xfId="0" applyNumberFormat="1" applyFont="1" applyBorder="1">
      <alignment vertical="center"/>
    </xf>
    <xf numFmtId="179" fontId="48" fillId="0" borderId="395" xfId="0" applyNumberFormat="1" applyFont="1" applyBorder="1">
      <alignment vertical="center"/>
    </xf>
    <xf numFmtId="179" fontId="47" fillId="0" borderId="394" xfId="0" applyNumberFormat="1" applyFont="1" applyBorder="1">
      <alignment vertical="center"/>
    </xf>
    <xf numFmtId="179" fontId="47" fillId="0" borderId="395" xfId="0" applyNumberFormat="1" applyFont="1" applyBorder="1">
      <alignment vertical="center"/>
    </xf>
    <xf numFmtId="179" fontId="47" fillId="0" borderId="395" xfId="1" applyNumberFormat="1" applyFont="1" applyBorder="1">
      <alignment vertical="center"/>
    </xf>
    <xf numFmtId="185" fontId="48" fillId="0" borderId="396" xfId="1" applyNumberFormat="1" applyFont="1" applyBorder="1">
      <alignment vertical="center"/>
    </xf>
    <xf numFmtId="41" fontId="54" fillId="8" borderId="115" xfId="1" applyFont="1" applyFill="1" applyBorder="1">
      <alignment vertical="center"/>
    </xf>
    <xf numFmtId="41" fontId="54" fillId="8" borderId="355" xfId="1" applyFont="1" applyFill="1" applyBorder="1">
      <alignment vertical="center"/>
    </xf>
    <xf numFmtId="41" fontId="47" fillId="8" borderId="339" xfId="1" applyFont="1" applyFill="1" applyBorder="1">
      <alignment vertical="center"/>
    </xf>
    <xf numFmtId="179" fontId="47" fillId="8" borderId="338" xfId="0" applyNumberFormat="1" applyFont="1" applyFill="1" applyBorder="1">
      <alignment vertical="center"/>
    </xf>
    <xf numFmtId="41" fontId="47" fillId="8" borderId="340" xfId="1" applyFont="1" applyFill="1" applyBorder="1">
      <alignment vertical="center"/>
    </xf>
    <xf numFmtId="41" fontId="48" fillId="8" borderId="340" xfId="1" applyFont="1" applyFill="1" applyBorder="1">
      <alignment vertical="center"/>
    </xf>
    <xf numFmtId="179" fontId="48" fillId="0" borderId="293" xfId="1" applyNumberFormat="1" applyFont="1" applyBorder="1">
      <alignment vertical="center"/>
    </xf>
    <xf numFmtId="179" fontId="39" fillId="0" borderId="0" xfId="0" applyNumberFormat="1" applyFont="1">
      <alignment vertical="center"/>
    </xf>
    <xf numFmtId="0" fontId="54" fillId="0" borderId="159" xfId="0" applyFont="1" applyBorder="1">
      <alignment vertical="center"/>
    </xf>
    <xf numFmtId="41" fontId="54" fillId="0" borderId="160" xfId="1" applyFont="1" applyBorder="1">
      <alignment vertical="center"/>
    </xf>
    <xf numFmtId="41" fontId="54" fillId="0" borderId="324" xfId="1" applyFont="1" applyBorder="1">
      <alignment vertical="center"/>
    </xf>
    <xf numFmtId="41" fontId="48" fillId="0" borderId="166" xfId="1" applyFont="1" applyBorder="1">
      <alignment vertical="center"/>
    </xf>
    <xf numFmtId="181" fontId="48" fillId="0" borderId="286" xfId="0" applyNumberFormat="1" applyFont="1" applyBorder="1">
      <alignment vertical="center"/>
    </xf>
    <xf numFmtId="41" fontId="48" fillId="0" borderId="167" xfId="1" applyFont="1" applyBorder="1">
      <alignment vertical="center"/>
    </xf>
    <xf numFmtId="179" fontId="48" fillId="0" borderId="292" xfId="1" applyNumberFormat="1" applyFont="1" applyBorder="1">
      <alignment vertical="center"/>
    </xf>
    <xf numFmtId="0" fontId="54" fillId="0" borderId="187" xfId="0" applyFont="1" applyBorder="1">
      <alignment vertical="center"/>
    </xf>
    <xf numFmtId="41" fontId="54" fillId="0" borderId="188" xfId="1" applyFont="1" applyBorder="1">
      <alignment vertical="center"/>
    </xf>
    <xf numFmtId="41" fontId="54" fillId="0" borderId="326" xfId="1" applyFont="1" applyBorder="1">
      <alignment vertical="center"/>
    </xf>
    <xf numFmtId="41" fontId="48" fillId="0" borderId="195" xfId="1" applyFont="1" applyBorder="1">
      <alignment vertical="center"/>
    </xf>
    <xf numFmtId="179" fontId="48" fillId="0" borderId="287" xfId="0" applyNumberFormat="1" applyFont="1" applyBorder="1">
      <alignment vertical="center"/>
    </xf>
    <xf numFmtId="179" fontId="48" fillId="0" borderId="194" xfId="0" applyNumberFormat="1" applyFont="1" applyBorder="1">
      <alignment vertical="center"/>
    </xf>
    <xf numFmtId="41" fontId="48" fillId="0" borderId="196" xfId="1" applyFont="1" applyBorder="1">
      <alignment vertical="center"/>
    </xf>
    <xf numFmtId="0" fontId="39" fillId="3" borderId="307" xfId="0" applyFont="1" applyFill="1" applyBorder="1">
      <alignment vertical="center"/>
    </xf>
    <xf numFmtId="0" fontId="54" fillId="0" borderId="327" xfId="0" applyFont="1" applyBorder="1">
      <alignment vertical="center"/>
    </xf>
    <xf numFmtId="41" fontId="54" fillId="0" borderId="328" xfId="1" applyFont="1" applyBorder="1">
      <alignment vertical="center"/>
    </xf>
    <xf numFmtId="41" fontId="54" fillId="0" borderId="329" xfId="1" applyFont="1" applyBorder="1">
      <alignment vertical="center"/>
    </xf>
    <xf numFmtId="41" fontId="48" fillId="0" borderId="330" xfId="1" applyFont="1" applyBorder="1">
      <alignment vertical="center"/>
    </xf>
    <xf numFmtId="179" fontId="48" fillId="0" borderId="331" xfId="0" applyNumberFormat="1" applyFont="1" applyBorder="1">
      <alignment vertical="center"/>
    </xf>
    <xf numFmtId="179" fontId="48" fillId="0" borderId="332" xfId="0" applyNumberFormat="1" applyFont="1" applyBorder="1">
      <alignment vertical="center"/>
    </xf>
    <xf numFmtId="41" fontId="48" fillId="0" borderId="333" xfId="1" applyFont="1" applyBorder="1">
      <alignment vertical="center"/>
    </xf>
    <xf numFmtId="0" fontId="45" fillId="0" borderId="0" xfId="0" applyFont="1">
      <alignment vertical="center"/>
    </xf>
    <xf numFmtId="179" fontId="45" fillId="0" borderId="0" xfId="0" applyNumberFormat="1" applyFont="1">
      <alignment vertical="center"/>
    </xf>
    <xf numFmtId="179" fontId="55" fillId="0" borderId="0" xfId="0" applyNumberFormat="1" applyFont="1">
      <alignment vertical="center"/>
    </xf>
    <xf numFmtId="0" fontId="56" fillId="0" borderId="0" xfId="0" applyFont="1">
      <alignment vertical="center"/>
    </xf>
    <xf numFmtId="0" fontId="50" fillId="0" borderId="0" xfId="0" applyFont="1">
      <alignment vertical="center"/>
    </xf>
    <xf numFmtId="185" fontId="45" fillId="0" borderId="0" xfId="0" applyNumberFormat="1" applyFont="1">
      <alignment vertical="center"/>
    </xf>
    <xf numFmtId="0" fontId="57" fillId="0" borderId="0" xfId="0" applyFont="1">
      <alignment vertical="center"/>
    </xf>
    <xf numFmtId="0" fontId="45" fillId="5" borderId="403" xfId="0" applyFont="1" applyFill="1" applyBorder="1" applyAlignment="1">
      <alignment horizontal="center" vertical="center"/>
    </xf>
    <xf numFmtId="0" fontId="45" fillId="5" borderId="401" xfId="0" applyFont="1" applyFill="1" applyBorder="1" applyAlignment="1">
      <alignment horizontal="center" vertical="center"/>
    </xf>
    <xf numFmtId="0" fontId="39" fillId="0" borderId="0" xfId="0" applyFont="1" applyAlignment="1">
      <alignment vertical="center" wrapText="1"/>
    </xf>
    <xf numFmtId="0" fontId="45" fillId="0" borderId="0" xfId="0" applyFont="1" applyAlignment="1">
      <alignment horizontal="center" vertical="center"/>
    </xf>
    <xf numFmtId="180" fontId="45" fillId="0" borderId="0" xfId="1" applyNumberFormat="1" applyFont="1" applyFill="1" applyBorder="1" applyAlignment="1">
      <alignment horizontal="center" vertical="center"/>
    </xf>
    <xf numFmtId="187" fontId="45" fillId="0" borderId="0" xfId="1" applyNumberFormat="1" applyFont="1" applyFill="1" applyBorder="1" applyAlignment="1">
      <alignment horizontal="right" vertical="center"/>
    </xf>
    <xf numFmtId="180" fontId="62" fillId="0" borderId="0" xfId="1" applyNumberFormat="1" applyFont="1" applyFill="1" applyBorder="1" applyAlignment="1">
      <alignment horizontal="left" vertical="top" wrapText="1"/>
    </xf>
    <xf numFmtId="43" fontId="39" fillId="0" borderId="0" xfId="0" applyNumberFormat="1" applyFont="1">
      <alignment vertical="center"/>
    </xf>
    <xf numFmtId="0" fontId="45" fillId="5" borderId="277" xfId="0" applyFont="1" applyFill="1" applyBorder="1" applyAlignment="1">
      <alignment horizontal="center" vertical="center"/>
    </xf>
    <xf numFmtId="0" fontId="64" fillId="0" borderId="0" xfId="0" applyFont="1">
      <alignment vertical="center"/>
    </xf>
    <xf numFmtId="180" fontId="45" fillId="0" borderId="0" xfId="1" applyNumberFormat="1" applyFont="1" applyFill="1" applyBorder="1" applyAlignment="1">
      <alignment horizontal="right" vertical="center"/>
    </xf>
    <xf numFmtId="180" fontId="45" fillId="0" borderId="0" xfId="1" applyNumberFormat="1" applyFont="1" applyFill="1" applyBorder="1" applyAlignment="1">
      <alignment vertical="top" wrapText="1"/>
    </xf>
    <xf numFmtId="0" fontId="45" fillId="2" borderId="364" xfId="0" applyFont="1" applyFill="1" applyBorder="1" applyAlignment="1">
      <alignment horizontal="center" vertical="center" wrapText="1"/>
    </xf>
    <xf numFmtId="0" fontId="45" fillId="2" borderId="368" xfId="0" applyFont="1" applyFill="1" applyBorder="1" applyAlignment="1">
      <alignment horizontal="center" vertical="center" wrapText="1"/>
    </xf>
    <xf numFmtId="0" fontId="45" fillId="2" borderId="371" xfId="0" applyFont="1" applyFill="1" applyBorder="1" applyAlignment="1">
      <alignment horizontal="center" vertical="center" wrapText="1"/>
    </xf>
    <xf numFmtId="0" fontId="45" fillId="2" borderId="369" xfId="0" applyFont="1" applyFill="1" applyBorder="1" applyAlignment="1">
      <alignment horizontal="center" vertical="center" wrapText="1"/>
    </xf>
    <xf numFmtId="180" fontId="47" fillId="0" borderId="365" xfId="1" applyNumberFormat="1" applyFont="1" applyFill="1" applyBorder="1" applyAlignment="1">
      <alignment vertical="center"/>
    </xf>
    <xf numFmtId="185" fontId="55" fillId="0" borderId="367" xfId="1" applyNumberFormat="1" applyFont="1" applyBorder="1" applyAlignment="1">
      <alignment vertical="center"/>
    </xf>
    <xf numFmtId="180" fontId="45" fillId="5" borderId="219" xfId="1" applyNumberFormat="1" applyFont="1" applyFill="1" applyBorder="1" applyAlignment="1">
      <alignment vertical="center"/>
    </xf>
    <xf numFmtId="185" fontId="55" fillId="5" borderId="367" xfId="1" applyNumberFormat="1" applyFont="1" applyFill="1" applyBorder="1" applyAlignment="1">
      <alignment vertical="center"/>
    </xf>
    <xf numFmtId="185" fontId="55" fillId="5" borderId="362" xfId="1" applyNumberFormat="1" applyFont="1" applyFill="1" applyBorder="1" applyAlignment="1">
      <alignment vertical="center"/>
    </xf>
    <xf numFmtId="180" fontId="47" fillId="0" borderId="219" xfId="1" applyNumberFormat="1" applyFont="1" applyFill="1" applyBorder="1" applyAlignment="1">
      <alignment vertical="center"/>
    </xf>
    <xf numFmtId="185" fontId="55" fillId="0" borderId="362" xfId="1" applyNumberFormat="1" applyFont="1" applyBorder="1" applyAlignment="1">
      <alignment vertical="center"/>
    </xf>
    <xf numFmtId="180" fontId="45" fillId="3" borderId="219" xfId="1" applyNumberFormat="1" applyFont="1" applyFill="1" applyBorder="1" applyAlignment="1">
      <alignment vertical="center"/>
    </xf>
    <xf numFmtId="185" fontId="55" fillId="3" borderId="367" xfId="1" applyNumberFormat="1" applyFont="1" applyFill="1" applyBorder="1" applyAlignment="1">
      <alignment vertical="center"/>
    </xf>
    <xf numFmtId="185" fontId="55" fillId="3" borderId="363" xfId="1" applyNumberFormat="1" applyFont="1" applyFill="1" applyBorder="1" applyAlignment="1">
      <alignment vertical="center"/>
    </xf>
    <xf numFmtId="0" fontId="39" fillId="0" borderId="0" xfId="0" applyFont="1" applyAlignment="1">
      <alignment horizontal="center" vertical="center"/>
    </xf>
    <xf numFmtId="0" fontId="66" fillId="0" borderId="0" xfId="0" applyFont="1" applyAlignment="1">
      <alignment horizontal="right" vertical="center"/>
    </xf>
    <xf numFmtId="0" fontId="47" fillId="0" borderId="0" xfId="0" applyFont="1" applyAlignment="1">
      <alignment horizontal="center" vertical="center"/>
    </xf>
    <xf numFmtId="0" fontId="47" fillId="0" borderId="0" xfId="0" applyFont="1" applyAlignment="1">
      <alignment horizontal="left" vertical="center"/>
    </xf>
    <xf numFmtId="41" fontId="39" fillId="0" borderId="0" xfId="0" applyNumberFormat="1" applyFont="1">
      <alignment vertical="center"/>
    </xf>
    <xf numFmtId="0" fontId="67" fillId="12" borderId="344" xfId="0" applyFont="1" applyFill="1" applyBorder="1" applyAlignment="1">
      <alignment horizontal="center" vertical="center" wrapText="1" readingOrder="1"/>
    </xf>
    <xf numFmtId="0" fontId="67" fillId="12" borderId="319" xfId="0" applyFont="1" applyFill="1" applyBorder="1" applyAlignment="1">
      <alignment horizontal="center" vertical="center" wrapText="1" readingOrder="1"/>
    </xf>
    <xf numFmtId="0" fontId="67" fillId="12" borderId="345" xfId="0" applyFont="1" applyFill="1" applyBorder="1" applyAlignment="1">
      <alignment horizontal="center" vertical="center" wrapText="1" readingOrder="1"/>
    </xf>
    <xf numFmtId="41" fontId="68" fillId="13" borderId="344" xfId="1" applyFont="1" applyFill="1" applyBorder="1" applyAlignment="1">
      <alignment horizontal="right" vertical="center" wrapText="1" readingOrder="1"/>
    </xf>
    <xf numFmtId="41" fontId="68" fillId="13" borderId="319" xfId="1" applyFont="1" applyFill="1" applyBorder="1" applyAlignment="1">
      <alignment horizontal="right" vertical="center" wrapText="1" readingOrder="1"/>
    </xf>
    <xf numFmtId="179" fontId="68" fillId="13" borderId="319" xfId="1" applyNumberFormat="1" applyFont="1" applyFill="1" applyBorder="1" applyAlignment="1">
      <alignment horizontal="right" vertical="center" wrapText="1" readingOrder="1"/>
    </xf>
    <xf numFmtId="41" fontId="68" fillId="13" borderId="345" xfId="1" applyFont="1" applyFill="1" applyBorder="1" applyAlignment="1">
      <alignment horizontal="right" vertical="center" wrapText="1" readingOrder="1"/>
    </xf>
    <xf numFmtId="0" fontId="70" fillId="0" borderId="320" xfId="0" applyFont="1" applyBorder="1" applyAlignment="1">
      <alignment horizontal="left" vertical="center" wrapText="1" readingOrder="1"/>
    </xf>
    <xf numFmtId="41" fontId="70" fillId="0" borderId="344" xfId="1" applyFont="1" applyBorder="1" applyAlignment="1">
      <alignment horizontal="right" vertical="center" wrapText="1" readingOrder="1"/>
    </xf>
    <xf numFmtId="41" fontId="70" fillId="0" borderId="319" xfId="1" applyFont="1" applyBorder="1" applyAlignment="1">
      <alignment horizontal="right" vertical="center" wrapText="1" readingOrder="1"/>
    </xf>
    <xf numFmtId="179" fontId="70" fillId="0" borderId="319" xfId="1" applyNumberFormat="1" applyFont="1" applyBorder="1" applyAlignment="1">
      <alignment horizontal="right" vertical="center" wrapText="1" readingOrder="1"/>
    </xf>
    <xf numFmtId="41" fontId="70" fillId="0" borderId="345" xfId="1" applyFont="1" applyBorder="1" applyAlignment="1">
      <alignment horizontal="right" vertical="center" wrapText="1" readingOrder="1"/>
    </xf>
    <xf numFmtId="180" fontId="68" fillId="13" borderId="319" xfId="1" applyNumberFormat="1" applyFont="1" applyFill="1" applyBorder="1" applyAlignment="1">
      <alignment horizontal="right" vertical="center" wrapText="1" readingOrder="1"/>
    </xf>
    <xf numFmtId="180" fontId="70" fillId="0" borderId="319" xfId="1" applyNumberFormat="1" applyFont="1" applyBorder="1" applyAlignment="1">
      <alignment horizontal="right" vertical="center" wrapText="1" readingOrder="1"/>
    </xf>
    <xf numFmtId="41" fontId="70" fillId="0" borderId="346" xfId="1" applyFont="1" applyBorder="1" applyAlignment="1">
      <alignment horizontal="right" vertical="center" wrapText="1" readingOrder="1"/>
    </xf>
    <xf numFmtId="41" fontId="70" fillId="0" borderId="347" xfId="1" applyFont="1" applyBorder="1" applyAlignment="1">
      <alignment horizontal="right" vertical="center" wrapText="1" readingOrder="1"/>
    </xf>
    <xf numFmtId="179" fontId="70" fillId="0" borderId="347" xfId="1" applyNumberFormat="1" applyFont="1" applyBorder="1" applyAlignment="1">
      <alignment horizontal="right" vertical="center" wrapText="1" readingOrder="1"/>
    </xf>
    <xf numFmtId="41" fontId="70" fillId="0" borderId="348" xfId="1" applyFont="1" applyBorder="1" applyAlignment="1">
      <alignment horizontal="right" vertical="center" wrapText="1" readingOrder="1"/>
    </xf>
    <xf numFmtId="180" fontId="39" fillId="0" borderId="0" xfId="0" applyNumberFormat="1" applyFont="1">
      <alignment vertical="center"/>
    </xf>
    <xf numFmtId="0" fontId="67" fillId="0" borderId="0" xfId="0" applyFont="1" applyAlignment="1">
      <alignment horizontal="center" vertical="center" wrapText="1" readingOrder="1"/>
    </xf>
    <xf numFmtId="41" fontId="68" fillId="0" borderId="0" xfId="1" applyFont="1" applyFill="1" applyBorder="1" applyAlignment="1">
      <alignment horizontal="right" vertical="center" wrapText="1" readingOrder="1"/>
    </xf>
    <xf numFmtId="179" fontId="68" fillId="0" borderId="0" xfId="1" applyNumberFormat="1" applyFont="1" applyFill="1" applyBorder="1" applyAlignment="1">
      <alignment horizontal="right" vertical="center" wrapText="1" readingOrder="1"/>
    </xf>
    <xf numFmtId="41" fontId="70" fillId="0" borderId="0" xfId="1" applyFont="1" applyFill="1" applyBorder="1" applyAlignment="1">
      <alignment horizontal="right" vertical="center" wrapText="1" readingOrder="1"/>
    </xf>
    <xf numFmtId="179" fontId="70" fillId="0" borderId="0" xfId="1" applyNumberFormat="1" applyFont="1" applyFill="1" applyBorder="1" applyAlignment="1">
      <alignment horizontal="right" vertical="center" wrapText="1" readingOrder="1"/>
    </xf>
    <xf numFmtId="185" fontId="68" fillId="13" borderId="319" xfId="1" applyNumberFormat="1" applyFont="1" applyFill="1" applyBorder="1" applyAlignment="1">
      <alignment horizontal="right" vertical="center" wrapText="1" readingOrder="1"/>
    </xf>
    <xf numFmtId="179" fontId="68" fillId="13" borderId="345" xfId="1" applyNumberFormat="1" applyFont="1" applyFill="1" applyBorder="1" applyAlignment="1">
      <alignment horizontal="right" vertical="center" wrapText="1" readingOrder="1"/>
    </xf>
    <xf numFmtId="185" fontId="70" fillId="0" borderId="319" xfId="1" applyNumberFormat="1" applyFont="1" applyBorder="1" applyAlignment="1">
      <alignment horizontal="right" vertical="center" wrapText="1" readingOrder="1"/>
    </xf>
    <xf numFmtId="185" fontId="70" fillId="0" borderId="345" xfId="1" applyNumberFormat="1" applyFont="1" applyBorder="1" applyAlignment="1">
      <alignment horizontal="right" vertical="center" wrapText="1" readingOrder="1"/>
    </xf>
    <xf numFmtId="180" fontId="70" fillId="0" borderId="347" xfId="1" applyNumberFormat="1" applyFont="1" applyBorder="1" applyAlignment="1">
      <alignment horizontal="right" vertical="center" wrapText="1" readingOrder="1"/>
    </xf>
    <xf numFmtId="185" fontId="70" fillId="0" borderId="347" xfId="1" applyNumberFormat="1" applyFont="1" applyBorder="1" applyAlignment="1">
      <alignment horizontal="right" vertical="center" wrapText="1" readingOrder="1"/>
    </xf>
    <xf numFmtId="185" fontId="70" fillId="0" borderId="348" xfId="1" applyNumberFormat="1" applyFont="1" applyBorder="1" applyAlignment="1">
      <alignment horizontal="right" vertical="center" wrapText="1" readingOrder="1"/>
    </xf>
    <xf numFmtId="0" fontId="67" fillId="12" borderId="364" xfId="0" applyFont="1" applyFill="1" applyBorder="1" applyAlignment="1">
      <alignment horizontal="center" vertical="center" wrapText="1" readingOrder="1"/>
    </xf>
    <xf numFmtId="0" fontId="67" fillId="12" borderId="388" xfId="0" applyFont="1" applyFill="1" applyBorder="1" applyAlignment="1">
      <alignment horizontal="center" vertical="center" wrapText="1" readingOrder="1"/>
    </xf>
    <xf numFmtId="0" fontId="67" fillId="12" borderId="369" xfId="0" applyFont="1" applyFill="1" applyBorder="1" applyAlignment="1">
      <alignment horizontal="center" vertical="center" wrapText="1" readingOrder="1"/>
    </xf>
    <xf numFmtId="0" fontId="69" fillId="0" borderId="364" xfId="0" applyFont="1" applyBorder="1" applyAlignment="1">
      <alignment vertical="center" wrapText="1"/>
    </xf>
    <xf numFmtId="0" fontId="70" fillId="0" borderId="364" xfId="0" applyFont="1" applyBorder="1" applyAlignment="1">
      <alignment horizontal="left" vertical="center" wrapText="1" readingOrder="1"/>
    </xf>
    <xf numFmtId="0" fontId="67" fillId="0" borderId="0" xfId="0" applyFont="1" applyAlignment="1">
      <alignment vertical="center" wrapText="1" readingOrder="1"/>
    </xf>
    <xf numFmtId="188" fontId="68" fillId="0" borderId="0" xfId="1" applyNumberFormat="1" applyFont="1" applyFill="1" applyBorder="1" applyAlignment="1">
      <alignment horizontal="right" vertical="center" wrapText="1" readingOrder="1"/>
    </xf>
    <xf numFmtId="188" fontId="49" fillId="0" borderId="0" xfId="0" applyNumberFormat="1" applyFont="1">
      <alignment vertical="center"/>
    </xf>
    <xf numFmtId="1" fontId="49" fillId="0" borderId="0" xfId="0" applyNumberFormat="1" applyFont="1">
      <alignment vertical="center"/>
    </xf>
    <xf numFmtId="179" fontId="49" fillId="0" borderId="0" xfId="0" applyNumberFormat="1" applyFont="1">
      <alignment vertical="center"/>
    </xf>
    <xf numFmtId="1" fontId="39" fillId="0" borderId="0" xfId="0" applyNumberFormat="1" applyFont="1">
      <alignment vertical="center"/>
    </xf>
    <xf numFmtId="0" fontId="71" fillId="0" borderId="0" xfId="0" applyFont="1" applyAlignment="1">
      <alignment horizontal="left" vertical="center"/>
    </xf>
    <xf numFmtId="0" fontId="64" fillId="0" borderId="0" xfId="0" applyFont="1" applyAlignment="1">
      <alignment horizontal="center" vertical="center"/>
    </xf>
    <xf numFmtId="0" fontId="39" fillId="0" borderId="22" xfId="0" applyFont="1" applyBorder="1">
      <alignment vertical="center"/>
    </xf>
    <xf numFmtId="0" fontId="49" fillId="5" borderId="18" xfId="0" applyFont="1" applyFill="1" applyBorder="1" applyAlignment="1">
      <alignment horizontal="center" vertical="center"/>
    </xf>
    <xf numFmtId="0" fontId="49" fillId="5" borderId="19" xfId="0" applyFont="1" applyFill="1" applyBorder="1" applyAlignment="1">
      <alignment horizontal="center" vertical="center"/>
    </xf>
    <xf numFmtId="41" fontId="49" fillId="5" borderId="19" xfId="1" applyFont="1" applyFill="1" applyBorder="1" applyAlignment="1">
      <alignment horizontal="center" vertical="center"/>
    </xf>
    <xf numFmtId="0" fontId="49" fillId="5" borderId="20" xfId="0" applyFont="1" applyFill="1" applyBorder="1" applyAlignment="1">
      <alignment horizontal="center" vertical="center"/>
    </xf>
    <xf numFmtId="41" fontId="49" fillId="5" borderId="18" xfId="1" applyFont="1" applyFill="1" applyBorder="1" applyAlignment="1">
      <alignment horizontal="center" vertical="center"/>
    </xf>
    <xf numFmtId="0" fontId="49" fillId="2" borderId="11" xfId="0" applyFont="1" applyFill="1" applyBorder="1" applyAlignment="1">
      <alignment horizontal="center" vertical="center"/>
    </xf>
    <xf numFmtId="0" fontId="39" fillId="0" borderId="64" xfId="0" applyFont="1" applyBorder="1">
      <alignment vertical="center"/>
    </xf>
    <xf numFmtId="0" fontId="39" fillId="0" borderId="2" xfId="0" applyFont="1" applyBorder="1">
      <alignment vertical="center"/>
    </xf>
    <xf numFmtId="41" fontId="39" fillId="0" borderId="2" xfId="1" applyFont="1" applyFill="1" applyBorder="1">
      <alignment vertical="center"/>
    </xf>
    <xf numFmtId="9" fontId="39" fillId="0" borderId="3" xfId="2" applyFont="1" applyFill="1" applyBorder="1">
      <alignment vertical="center"/>
    </xf>
    <xf numFmtId="41" fontId="39" fillId="0" borderId="30" xfId="1" applyFont="1" applyBorder="1">
      <alignment vertical="center"/>
    </xf>
    <xf numFmtId="0" fontId="49" fillId="2" borderId="23" xfId="0" applyFont="1" applyFill="1" applyBorder="1" applyAlignment="1">
      <alignment horizontal="center" vertical="center"/>
    </xf>
    <xf numFmtId="0" fontId="39" fillId="0" borderId="73" xfId="0" applyFont="1" applyBorder="1">
      <alignment vertical="center"/>
    </xf>
    <xf numFmtId="0" fontId="39" fillId="0" borderId="5" xfId="0" applyFont="1" applyBorder="1">
      <alignment vertical="center"/>
    </xf>
    <xf numFmtId="41" fontId="39" fillId="0" borderId="5" xfId="1" applyFont="1" applyFill="1" applyBorder="1">
      <alignment vertical="center"/>
    </xf>
    <xf numFmtId="9" fontId="39" fillId="0" borderId="6" xfId="2" applyFont="1" applyFill="1" applyBorder="1">
      <alignment vertical="center"/>
    </xf>
    <xf numFmtId="41" fontId="39" fillId="0" borderId="31" xfId="0" applyNumberFormat="1" applyFont="1" applyBorder="1">
      <alignment vertical="center"/>
    </xf>
    <xf numFmtId="41" fontId="39" fillId="0" borderId="31" xfId="1" applyFont="1" applyBorder="1">
      <alignment vertical="center"/>
    </xf>
    <xf numFmtId="41" fontId="72" fillId="0" borderId="0" xfId="1" applyFont="1">
      <alignment vertical="center"/>
    </xf>
    <xf numFmtId="179" fontId="39" fillId="0" borderId="31" xfId="0" applyNumberFormat="1" applyFont="1" applyBorder="1">
      <alignment vertical="center"/>
    </xf>
    <xf numFmtId="41" fontId="72" fillId="0" borderId="0" xfId="0" applyNumberFormat="1" applyFont="1" applyAlignment="1">
      <alignment horizontal="center" vertical="center"/>
    </xf>
    <xf numFmtId="0" fontId="72" fillId="0" borderId="0" xfId="0" applyFont="1" applyAlignment="1">
      <alignment horizontal="center" vertical="center"/>
    </xf>
    <xf numFmtId="41" fontId="72" fillId="0" borderId="0" xfId="1" applyFont="1" applyAlignment="1">
      <alignment horizontal="center" vertical="center"/>
    </xf>
    <xf numFmtId="0" fontId="39" fillId="0" borderId="271" xfId="0" applyFont="1" applyBorder="1">
      <alignment vertical="center"/>
    </xf>
    <xf numFmtId="0" fontId="39" fillId="0" borderId="310" xfId="0" applyFont="1" applyBorder="1">
      <alignment vertical="center"/>
    </xf>
    <xf numFmtId="41" fontId="39" fillId="0" borderId="310" xfId="1" applyFont="1" applyFill="1" applyBorder="1">
      <alignment vertical="center"/>
    </xf>
    <xf numFmtId="9" fontId="39" fillId="0" borderId="312" xfId="2" applyFont="1" applyFill="1" applyBorder="1">
      <alignment vertical="center"/>
    </xf>
    <xf numFmtId="41" fontId="39" fillId="0" borderId="314" xfId="0" applyNumberFormat="1" applyFont="1" applyBorder="1">
      <alignment vertical="center"/>
    </xf>
    <xf numFmtId="0" fontId="39" fillId="0" borderId="8" xfId="0" applyFont="1" applyBorder="1">
      <alignment vertical="center"/>
    </xf>
    <xf numFmtId="41" fontId="39" fillId="0" borderId="8" xfId="1" applyFont="1" applyFill="1" applyBorder="1">
      <alignment vertical="center"/>
    </xf>
    <xf numFmtId="9" fontId="39" fillId="0" borderId="9" xfId="2" applyFont="1" applyFill="1" applyBorder="1">
      <alignment vertical="center"/>
    </xf>
    <xf numFmtId="41" fontId="39" fillId="0" borderId="32" xfId="0" applyNumberFormat="1" applyFont="1" applyBorder="1">
      <alignment vertical="center"/>
    </xf>
    <xf numFmtId="0" fontId="49" fillId="2" borderId="29" xfId="0" applyFont="1" applyFill="1" applyBorder="1" applyAlignment="1">
      <alignment horizontal="center" vertical="center"/>
    </xf>
    <xf numFmtId="41" fontId="49" fillId="2" borderId="19" xfId="1" applyFont="1" applyFill="1" applyBorder="1">
      <alignment vertical="center"/>
    </xf>
    <xf numFmtId="9" fontId="49" fillId="2" borderId="20" xfId="2" applyFont="1" applyFill="1" applyBorder="1">
      <alignment vertical="center"/>
    </xf>
    <xf numFmtId="41" fontId="49" fillId="2" borderId="89" xfId="1" applyFont="1" applyFill="1" applyBorder="1">
      <alignment vertical="center"/>
    </xf>
    <xf numFmtId="41" fontId="49" fillId="2" borderId="20" xfId="1" applyFont="1" applyFill="1" applyBorder="1">
      <alignment vertical="center"/>
    </xf>
    <xf numFmtId="179" fontId="39" fillId="0" borderId="31" xfId="1" applyNumberFormat="1" applyFont="1" applyBorder="1">
      <alignment vertical="center"/>
    </xf>
    <xf numFmtId="182" fontId="39" fillId="0" borderId="0" xfId="0" applyNumberFormat="1" applyFont="1">
      <alignment vertical="center"/>
    </xf>
    <xf numFmtId="41" fontId="39" fillId="7" borderId="5" xfId="1" applyFont="1" applyFill="1" applyBorder="1">
      <alignment vertical="center"/>
    </xf>
    <xf numFmtId="41" fontId="39" fillId="0" borderId="4" xfId="1" applyFont="1" applyFill="1" applyBorder="1">
      <alignment vertical="center"/>
    </xf>
    <xf numFmtId="179" fontId="39" fillId="0" borderId="31" xfId="1" applyNumberFormat="1" applyFont="1" applyFill="1" applyBorder="1">
      <alignment vertical="center"/>
    </xf>
    <xf numFmtId="0" fontId="49" fillId="2" borderId="34" xfId="0" applyFont="1" applyFill="1" applyBorder="1" applyAlignment="1">
      <alignment horizontal="center" vertical="center"/>
    </xf>
    <xf numFmtId="41" fontId="39" fillId="0" borderId="10" xfId="1" applyFont="1" applyFill="1" applyBorder="1">
      <alignment vertical="center"/>
    </xf>
    <xf numFmtId="179" fontId="49" fillId="2" borderId="20" xfId="1" applyNumberFormat="1" applyFont="1" applyFill="1" applyBorder="1">
      <alignment vertical="center"/>
    </xf>
    <xf numFmtId="41" fontId="49" fillId="3" borderId="19" xfId="1" applyFont="1" applyFill="1" applyBorder="1">
      <alignment vertical="center"/>
    </xf>
    <xf numFmtId="9" fontId="49" fillId="3" borderId="20" xfId="2" applyFont="1" applyFill="1" applyBorder="1">
      <alignment vertical="center"/>
    </xf>
    <xf numFmtId="41" fontId="49" fillId="3" borderId="27" xfId="1" applyFont="1" applyFill="1" applyBorder="1">
      <alignment vertical="center"/>
    </xf>
    <xf numFmtId="178" fontId="49" fillId="3" borderId="20" xfId="1" applyNumberFormat="1" applyFont="1" applyFill="1" applyBorder="1">
      <alignment vertical="center"/>
    </xf>
    <xf numFmtId="0" fontId="49" fillId="2" borderId="14" xfId="0" applyFont="1" applyFill="1" applyBorder="1" applyAlignment="1">
      <alignment horizontal="center" vertical="center"/>
    </xf>
    <xf numFmtId="41" fontId="39" fillId="0" borderId="17" xfId="1" applyFont="1" applyBorder="1">
      <alignment vertical="center"/>
    </xf>
    <xf numFmtId="41" fontId="39" fillId="0" borderId="312" xfId="1" applyFont="1" applyBorder="1">
      <alignment vertical="center"/>
    </xf>
    <xf numFmtId="41" fontId="39" fillId="0" borderId="9" xfId="1" applyFont="1" applyBorder="1">
      <alignment vertical="center"/>
    </xf>
    <xf numFmtId="0" fontId="73" fillId="0" borderId="0" xfId="0" applyFont="1">
      <alignment vertical="center"/>
    </xf>
    <xf numFmtId="182" fontId="39" fillId="0" borderId="263" xfId="0" applyNumberFormat="1" applyFont="1" applyBorder="1">
      <alignment vertical="center"/>
    </xf>
    <xf numFmtId="0" fontId="74" fillId="0" borderId="0" xfId="0" applyFont="1">
      <alignment vertical="center"/>
    </xf>
    <xf numFmtId="41" fontId="49" fillId="3" borderId="27" xfId="0" applyNumberFormat="1" applyFont="1" applyFill="1" applyBorder="1">
      <alignment vertical="center"/>
    </xf>
    <xf numFmtId="3" fontId="39" fillId="3" borderId="20" xfId="0" applyNumberFormat="1" applyFont="1" applyFill="1" applyBorder="1">
      <alignment vertical="center"/>
    </xf>
    <xf numFmtId="0" fontId="75" fillId="0" borderId="0" xfId="0" applyFont="1">
      <alignment vertical="center"/>
    </xf>
    <xf numFmtId="0" fontId="76" fillId="0" borderId="0" xfId="0" applyFont="1" applyAlignment="1">
      <alignment horizontal="center" vertical="center"/>
    </xf>
    <xf numFmtId="0" fontId="76" fillId="14" borderId="0" xfId="0" applyFont="1" applyFill="1" applyAlignment="1">
      <alignment horizontal="center" vertical="center"/>
    </xf>
    <xf numFmtId="41" fontId="76" fillId="0" borderId="0" xfId="1" applyFont="1" applyFill="1" applyAlignment="1">
      <alignment horizontal="center" vertical="center"/>
    </xf>
    <xf numFmtId="41" fontId="76" fillId="14" borderId="0" xfId="1" applyFont="1" applyFill="1" applyAlignment="1">
      <alignment horizontal="center" vertical="center"/>
    </xf>
    <xf numFmtId="9" fontId="74" fillId="0" borderId="0" xfId="0" applyNumberFormat="1" applyFont="1">
      <alignment vertical="center"/>
    </xf>
    <xf numFmtId="41" fontId="39" fillId="0" borderId="24" xfId="1" applyFont="1" applyBorder="1">
      <alignment vertical="center"/>
    </xf>
    <xf numFmtId="41" fontId="49" fillId="3" borderId="100" xfId="1" applyFont="1" applyFill="1" applyBorder="1">
      <alignment vertical="center"/>
    </xf>
    <xf numFmtId="3" fontId="39" fillId="3" borderId="26" xfId="0" applyNumberFormat="1" applyFont="1" applyFill="1" applyBorder="1">
      <alignment vertical="center"/>
    </xf>
    <xf numFmtId="0" fontId="74" fillId="0" borderId="282" xfId="0" applyFont="1" applyBorder="1" applyAlignment="1">
      <alignment horizontal="center" vertical="center"/>
    </xf>
    <xf numFmtId="41" fontId="39" fillId="0" borderId="48" xfId="1" applyFont="1" applyFill="1" applyBorder="1">
      <alignment vertical="center"/>
    </xf>
    <xf numFmtId="9" fontId="39" fillId="0" borderId="31" xfId="2" applyFont="1" applyFill="1" applyBorder="1">
      <alignment vertical="center"/>
    </xf>
    <xf numFmtId="41" fontId="39" fillId="0" borderId="1" xfId="1" applyFont="1" applyFill="1" applyBorder="1">
      <alignment vertical="center"/>
    </xf>
    <xf numFmtId="41" fontId="39" fillId="0" borderId="3" xfId="1" applyFont="1" applyBorder="1">
      <alignment vertical="center"/>
    </xf>
    <xf numFmtId="41" fontId="73" fillId="0" borderId="0" xfId="0" applyNumberFormat="1" applyFont="1">
      <alignment vertical="center"/>
    </xf>
    <xf numFmtId="41" fontId="39" fillId="0" borderId="5" xfId="45" applyFont="1" applyFill="1" applyBorder="1">
      <alignment vertical="center"/>
    </xf>
    <xf numFmtId="41" fontId="39" fillId="0" borderId="4" xfId="45" applyFont="1" applyFill="1" applyBorder="1">
      <alignment vertical="center"/>
    </xf>
    <xf numFmtId="41" fontId="39" fillId="0" borderId="313" xfId="1" applyFont="1" applyFill="1" applyBorder="1">
      <alignment vertical="center"/>
    </xf>
    <xf numFmtId="9" fontId="39" fillId="0" borderId="314" xfId="2" applyFont="1" applyFill="1" applyBorder="1">
      <alignment vertical="center"/>
    </xf>
    <xf numFmtId="41" fontId="39" fillId="0" borderId="14" xfId="1" applyFont="1" applyFill="1" applyBorder="1">
      <alignment vertical="center"/>
    </xf>
    <xf numFmtId="0" fontId="73" fillId="0" borderId="282" xfId="0" applyFont="1" applyBorder="1">
      <alignment vertical="center"/>
    </xf>
    <xf numFmtId="41" fontId="49" fillId="3" borderId="89" xfId="1" applyFont="1" applyFill="1" applyBorder="1">
      <alignment vertical="center"/>
    </xf>
    <xf numFmtId="178" fontId="49" fillId="3" borderId="26" xfId="1" applyNumberFormat="1" applyFont="1" applyFill="1" applyBorder="1">
      <alignment vertical="center"/>
    </xf>
    <xf numFmtId="0" fontId="66" fillId="0" borderId="282" xfId="0" applyFont="1" applyBorder="1">
      <alignment vertical="center"/>
    </xf>
    <xf numFmtId="41" fontId="39" fillId="0" borderId="0" xfId="0" quotePrefix="1" applyNumberFormat="1" applyFont="1" applyAlignment="1">
      <alignment vertical="center" wrapText="1"/>
    </xf>
    <xf numFmtId="41" fontId="39" fillId="0" borderId="0" xfId="1" applyFont="1" applyFill="1">
      <alignment vertical="center"/>
    </xf>
    <xf numFmtId="0" fontId="39" fillId="0" borderId="16" xfId="0" applyFont="1" applyBorder="1">
      <alignment vertical="center"/>
    </xf>
    <xf numFmtId="41" fontId="39" fillId="0" borderId="16" xfId="1" applyFont="1" applyFill="1" applyBorder="1">
      <alignment vertical="center"/>
    </xf>
    <xf numFmtId="9" fontId="39" fillId="0" borderId="17" xfId="2" applyFont="1" applyFill="1" applyBorder="1">
      <alignment vertical="center"/>
    </xf>
    <xf numFmtId="41" fontId="73" fillId="0" borderId="5" xfId="1" applyFont="1" applyFill="1" applyBorder="1">
      <alignment vertical="center"/>
    </xf>
    <xf numFmtId="41" fontId="75" fillId="0" borderId="0" xfId="0" applyNumberFormat="1" applyFont="1">
      <alignment vertical="center"/>
    </xf>
    <xf numFmtId="0" fontId="49" fillId="2" borderId="15" xfId="0" applyFont="1" applyFill="1" applyBorder="1" applyAlignment="1">
      <alignment horizontal="center" vertical="center"/>
    </xf>
    <xf numFmtId="0" fontId="77" fillId="0" borderId="0" xfId="0" applyFont="1">
      <alignment vertical="center"/>
    </xf>
    <xf numFmtId="41" fontId="49" fillId="3" borderId="20" xfId="1" applyFont="1" applyFill="1" applyBorder="1">
      <alignment vertical="center"/>
    </xf>
    <xf numFmtId="41" fontId="49" fillId="15" borderId="19" xfId="1" applyFont="1" applyFill="1" applyBorder="1">
      <alignment vertical="center"/>
    </xf>
    <xf numFmtId="9" fontId="49" fillId="15" borderId="20" xfId="2" applyFont="1" applyFill="1" applyBorder="1">
      <alignment vertical="center"/>
    </xf>
    <xf numFmtId="41" fontId="49" fillId="15" borderId="18" xfId="1" applyFont="1" applyFill="1" applyBorder="1">
      <alignment vertical="center"/>
    </xf>
    <xf numFmtId="41" fontId="49" fillId="15" borderId="20" xfId="1" applyFont="1" applyFill="1" applyBorder="1">
      <alignment vertical="center"/>
    </xf>
    <xf numFmtId="41" fontId="39" fillId="4" borderId="5" xfId="1" applyFont="1" applyFill="1" applyBorder="1">
      <alignment vertical="center"/>
    </xf>
    <xf numFmtId="41" fontId="39" fillId="0" borderId="5" xfId="1" applyFont="1" applyBorder="1">
      <alignment vertical="center"/>
    </xf>
    <xf numFmtId="41" fontId="49" fillId="0" borderId="0" xfId="0" applyNumberFormat="1" applyFont="1">
      <alignment vertical="center"/>
    </xf>
    <xf numFmtId="3" fontId="39" fillId="4" borderId="0" xfId="0" applyNumberFormat="1" applyFont="1" applyFill="1">
      <alignment vertical="center"/>
    </xf>
    <xf numFmtId="41" fontId="39" fillId="4" borderId="310" xfId="1" applyFont="1" applyFill="1" applyBorder="1">
      <alignment vertical="center"/>
    </xf>
    <xf numFmtId="41" fontId="39" fillId="4" borderId="8" xfId="1" applyFont="1" applyFill="1" applyBorder="1">
      <alignment vertical="center"/>
    </xf>
    <xf numFmtId="41" fontId="39" fillId="0" borderId="0" xfId="0" quotePrefix="1" applyNumberFormat="1" applyFont="1">
      <alignment vertical="center"/>
    </xf>
    <xf numFmtId="41" fontId="39" fillId="4" borderId="0" xfId="0" applyNumberFormat="1" applyFont="1" applyFill="1">
      <alignment vertical="center"/>
    </xf>
    <xf numFmtId="41" fontId="39" fillId="0" borderId="310" xfId="1" applyFont="1" applyBorder="1">
      <alignment vertical="center"/>
    </xf>
    <xf numFmtId="186" fontId="39" fillId="0" borderId="0" xfId="0" applyNumberFormat="1" applyFont="1">
      <alignment vertical="center"/>
    </xf>
    <xf numFmtId="41" fontId="39" fillId="11" borderId="0" xfId="0" applyNumberFormat="1" applyFont="1" applyFill="1" applyAlignment="1">
      <alignment horizontal="center" vertical="center"/>
    </xf>
    <xf numFmtId="0" fontId="39" fillId="0" borderId="16" xfId="0" applyFont="1" applyBorder="1" applyAlignment="1">
      <alignment horizontal="center" vertical="center"/>
    </xf>
    <xf numFmtId="0" fontId="39" fillId="0" borderId="5" xfId="0" applyFont="1" applyBorder="1" applyAlignment="1">
      <alignment horizontal="center" vertical="center"/>
    </xf>
    <xf numFmtId="0" fontId="39" fillId="0" borderId="73" xfId="0" applyFont="1" applyBorder="1" applyAlignment="1">
      <alignment horizontal="center" vertical="center"/>
    </xf>
    <xf numFmtId="0" fontId="39" fillId="0" borderId="310" xfId="0" applyFont="1" applyBorder="1" applyAlignment="1">
      <alignment horizontal="center" vertical="center"/>
    </xf>
    <xf numFmtId="0" fontId="39" fillId="0" borderId="8" xfId="0" applyFont="1" applyBorder="1" applyAlignment="1">
      <alignment horizontal="center" vertical="center"/>
    </xf>
    <xf numFmtId="43" fontId="39" fillId="0" borderId="5" xfId="0" applyNumberFormat="1" applyFont="1" applyBorder="1">
      <alignment vertical="center"/>
    </xf>
    <xf numFmtId="41" fontId="39" fillId="0" borderId="5" xfId="0" applyNumberFormat="1" applyFont="1" applyBorder="1">
      <alignment vertical="center"/>
    </xf>
    <xf numFmtId="0" fontId="39" fillId="0" borderId="0" xfId="0" quotePrefix="1" applyFont="1">
      <alignment vertical="center"/>
    </xf>
    <xf numFmtId="189" fontId="39" fillId="0" borderId="0" xfId="0" applyNumberFormat="1" applyFont="1">
      <alignment vertical="center"/>
    </xf>
    <xf numFmtId="41" fontId="49" fillId="6" borderId="34" xfId="0" quotePrefix="1" applyNumberFormat="1" applyFont="1" applyFill="1" applyBorder="1" applyAlignment="1">
      <alignment vertical="center" wrapText="1"/>
    </xf>
    <xf numFmtId="41" fontId="49" fillId="6" borderId="0" xfId="0" quotePrefix="1" applyNumberFormat="1" applyFont="1" applyFill="1" applyAlignment="1">
      <alignment vertical="center" wrapText="1"/>
    </xf>
    <xf numFmtId="41" fontId="52" fillId="0" borderId="103" xfId="70" applyFont="1" applyBorder="1">
      <alignment vertical="center"/>
    </xf>
    <xf numFmtId="41" fontId="52" fillId="0" borderId="390" xfId="0" applyNumberFormat="1" applyFont="1" applyBorder="1" applyAlignment="1">
      <alignment vertical="center" wrapText="1"/>
    </xf>
    <xf numFmtId="41" fontId="39" fillId="0" borderId="0" xfId="0" applyNumberFormat="1" applyFont="1" applyAlignment="1">
      <alignment vertical="center" wrapText="1"/>
    </xf>
    <xf numFmtId="41" fontId="49" fillId="8" borderId="0" xfId="0" applyNumberFormat="1" applyFont="1" applyFill="1">
      <alignment vertical="center"/>
    </xf>
    <xf numFmtId="41" fontId="39" fillId="4" borderId="16" xfId="1" applyFont="1" applyFill="1" applyBorder="1">
      <alignment vertical="center"/>
    </xf>
    <xf numFmtId="41" fontId="39" fillId="16" borderId="5" xfId="1" applyFont="1" applyFill="1" applyBorder="1">
      <alignment vertical="center"/>
    </xf>
    <xf numFmtId="41" fontId="79" fillId="0" borderId="0" xfId="0" quotePrefix="1" applyNumberFormat="1" applyFont="1">
      <alignment vertical="center"/>
    </xf>
    <xf numFmtId="41" fontId="39" fillId="6" borderId="5" xfId="1" applyFont="1" applyFill="1" applyBorder="1">
      <alignment vertical="center"/>
    </xf>
    <xf numFmtId="0" fontId="39" fillId="0" borderId="5" xfId="0" applyFont="1" applyBorder="1" applyAlignment="1">
      <alignment horizontal="right" vertical="center"/>
    </xf>
    <xf numFmtId="181" fontId="39" fillId="0" borderId="5" xfId="0" applyNumberFormat="1" applyFont="1" applyBorder="1" applyAlignment="1">
      <alignment vertical="center" wrapText="1"/>
    </xf>
    <xf numFmtId="181" fontId="39" fillId="0" borderId="5" xfId="0" applyNumberFormat="1" applyFont="1" applyBorder="1">
      <alignment vertical="center"/>
    </xf>
    <xf numFmtId="179" fontId="80" fillId="13" borderId="364" xfId="1" applyNumberFormat="1" applyFont="1" applyFill="1" applyBorder="1" applyAlignment="1">
      <alignment horizontal="right" vertical="center" wrapText="1" readingOrder="1"/>
    </xf>
    <xf numFmtId="179" fontId="80" fillId="13" borderId="388" xfId="1" applyNumberFormat="1" applyFont="1" applyFill="1" applyBorder="1" applyAlignment="1">
      <alignment horizontal="right" vertical="center" wrapText="1" readingOrder="1"/>
    </xf>
    <xf numFmtId="179" fontId="80" fillId="13" borderId="369" xfId="1" applyNumberFormat="1" applyFont="1" applyFill="1" applyBorder="1" applyAlignment="1">
      <alignment horizontal="right" vertical="center" wrapText="1" readingOrder="1"/>
    </xf>
    <xf numFmtId="185" fontId="80" fillId="13" borderId="364" xfId="1" applyNumberFormat="1" applyFont="1" applyFill="1" applyBorder="1" applyAlignment="1">
      <alignment horizontal="right" vertical="center" wrapText="1" readingOrder="1"/>
    </xf>
    <xf numFmtId="179" fontId="81" fillId="0" borderId="364" xfId="1" applyNumberFormat="1" applyFont="1" applyBorder="1" applyAlignment="1">
      <alignment horizontal="right" vertical="center" wrapText="1" readingOrder="1"/>
    </xf>
    <xf numFmtId="179" fontId="81" fillId="0" borderId="369" xfId="1" applyNumberFormat="1" applyFont="1" applyBorder="1" applyAlignment="1">
      <alignment horizontal="right" vertical="center" wrapText="1" readingOrder="1"/>
    </xf>
    <xf numFmtId="185" fontId="80" fillId="13" borderId="388" xfId="1" applyNumberFormat="1" applyFont="1" applyFill="1" applyBorder="1" applyAlignment="1">
      <alignment horizontal="right" vertical="center" wrapText="1" readingOrder="1"/>
    </xf>
    <xf numFmtId="179" fontId="81" fillId="0" borderId="388" xfId="1" applyNumberFormat="1" applyFont="1" applyBorder="1" applyAlignment="1">
      <alignment horizontal="right" vertical="center" wrapText="1" readingOrder="1"/>
    </xf>
    <xf numFmtId="0" fontId="39" fillId="16" borderId="0" xfId="0" applyFont="1" applyFill="1">
      <alignment vertical="center"/>
    </xf>
    <xf numFmtId="41" fontId="39" fillId="3" borderId="5" xfId="1" applyFont="1" applyFill="1" applyBorder="1">
      <alignment vertical="center"/>
    </xf>
    <xf numFmtId="41" fontId="39" fillId="6" borderId="0" xfId="0" applyNumberFormat="1" applyFont="1" applyFill="1">
      <alignment vertical="center"/>
    </xf>
    <xf numFmtId="0" fontId="39" fillId="6" borderId="0" xfId="0" applyFont="1" applyFill="1">
      <alignment vertical="center"/>
    </xf>
    <xf numFmtId="0" fontId="49" fillId="2" borderId="27" xfId="0" applyFont="1" applyFill="1" applyBorder="1" applyAlignment="1">
      <alignment horizontal="center" vertical="center"/>
    </xf>
    <xf numFmtId="0" fontId="49" fillId="2" borderId="28" xfId="0" applyFont="1" applyFill="1" applyBorder="1" applyAlignment="1">
      <alignment horizontal="center" vertical="center"/>
    </xf>
    <xf numFmtId="0" fontId="49" fillId="2" borderId="22" xfId="0" applyFont="1" applyFill="1" applyBorder="1" applyAlignment="1">
      <alignment horizontal="center" vertical="center"/>
    </xf>
    <xf numFmtId="0" fontId="49" fillId="2" borderId="104" xfId="0" applyFont="1" applyFill="1" applyBorder="1" applyAlignment="1">
      <alignment horizontal="center" vertical="center"/>
    </xf>
    <xf numFmtId="0" fontId="49" fillId="3" borderId="29" xfId="0" applyFont="1" applyFill="1" applyBorder="1" applyAlignment="1">
      <alignment horizontal="center" vertical="center"/>
    </xf>
    <xf numFmtId="0" fontId="49" fillId="3" borderId="22" xfId="0" applyFont="1" applyFill="1" applyBorder="1" applyAlignment="1">
      <alignment horizontal="center" vertical="center"/>
    </xf>
    <xf numFmtId="0" fontId="49" fillId="3" borderId="104" xfId="0" applyFont="1" applyFill="1" applyBorder="1" applyAlignment="1">
      <alignment horizontal="center" vertical="center"/>
    </xf>
    <xf numFmtId="0" fontId="49" fillId="3" borderId="89" xfId="0" applyFont="1" applyFill="1" applyBorder="1" applyAlignment="1">
      <alignment horizontal="center" vertical="center"/>
    </xf>
    <xf numFmtId="0" fontId="49" fillId="3" borderId="27" xfId="0" applyFont="1" applyFill="1" applyBorder="1" applyAlignment="1">
      <alignment horizontal="center" vertical="center"/>
    </xf>
    <xf numFmtId="0" fontId="49" fillId="3" borderId="28" xfId="0" applyFont="1" applyFill="1" applyBorder="1" applyAlignment="1">
      <alignment horizontal="center" vertical="center"/>
    </xf>
    <xf numFmtId="3" fontId="39" fillId="0" borderId="0" xfId="0" applyNumberFormat="1" applyFont="1">
      <alignment vertical="center"/>
    </xf>
    <xf numFmtId="0" fontId="49" fillId="2" borderId="29" xfId="0" applyFont="1" applyFill="1" applyBorder="1" applyAlignment="1">
      <alignment horizontal="center" vertical="center"/>
    </xf>
    <xf numFmtId="0" fontId="49" fillId="2" borderId="22" xfId="0" applyFont="1" applyFill="1" applyBorder="1" applyAlignment="1">
      <alignment horizontal="center" vertical="center"/>
    </xf>
    <xf numFmtId="0" fontId="49" fillId="2" borderId="104" xfId="0" applyFont="1" applyFill="1" applyBorder="1" applyAlignment="1">
      <alignment horizontal="center" vertical="center"/>
    </xf>
    <xf numFmtId="0" fontId="49" fillId="3" borderId="29" xfId="0" applyFont="1" applyFill="1" applyBorder="1" applyAlignment="1">
      <alignment horizontal="center" vertical="center"/>
    </xf>
    <xf numFmtId="0" fontId="49" fillId="3" borderId="22" xfId="0" applyFont="1" applyFill="1" applyBorder="1" applyAlignment="1">
      <alignment horizontal="center" vertical="center"/>
    </xf>
    <xf numFmtId="0" fontId="49" fillId="3" borderId="104" xfId="0" applyFont="1" applyFill="1" applyBorder="1" applyAlignment="1">
      <alignment horizontal="center" vertical="center"/>
    </xf>
    <xf numFmtId="0" fontId="49" fillId="15" borderId="29" xfId="0" applyFont="1" applyFill="1" applyBorder="1" applyAlignment="1">
      <alignment horizontal="center" vertical="center"/>
    </xf>
    <xf numFmtId="0" fontId="49" fillId="15" borderId="22" xfId="0" applyFont="1" applyFill="1" applyBorder="1" applyAlignment="1">
      <alignment horizontal="center" vertical="center"/>
    </xf>
    <xf numFmtId="0" fontId="49" fillId="15" borderId="104" xfId="0" applyFont="1" applyFill="1" applyBorder="1" applyAlignment="1">
      <alignment horizontal="center" vertical="center"/>
    </xf>
    <xf numFmtId="0" fontId="39" fillId="0" borderId="5" xfId="0" applyFont="1" applyBorder="1" applyAlignment="1">
      <alignment horizontal="center" vertical="center"/>
    </xf>
    <xf numFmtId="43" fontId="39" fillId="0" borderId="310" xfId="0" applyNumberFormat="1" applyFont="1" applyBorder="1" applyAlignment="1">
      <alignment horizontal="center" vertical="center"/>
    </xf>
    <xf numFmtId="43" fontId="39" fillId="0" borderId="103" xfId="0" applyNumberFormat="1" applyFont="1" applyBorder="1" applyAlignment="1">
      <alignment horizontal="center" vertical="center"/>
    </xf>
    <xf numFmtId="43" fontId="39" fillId="0" borderId="16" xfId="0" applyNumberFormat="1" applyFont="1" applyBorder="1" applyAlignment="1">
      <alignment horizontal="center" vertical="center"/>
    </xf>
    <xf numFmtId="0" fontId="39" fillId="0" borderId="310" xfId="0" applyFont="1" applyBorder="1" applyAlignment="1">
      <alignment horizontal="center" vertical="center"/>
    </xf>
    <xf numFmtId="0" fontId="39" fillId="0" borderId="103" xfId="0" applyFont="1" applyBorder="1" applyAlignment="1">
      <alignment horizontal="center" vertical="center"/>
    </xf>
    <xf numFmtId="0" fontId="39" fillId="0" borderId="16" xfId="0" applyFont="1" applyBorder="1" applyAlignment="1">
      <alignment horizontal="center" vertical="center"/>
    </xf>
    <xf numFmtId="0" fontId="47" fillId="0" borderId="219" xfId="0" applyFont="1" applyBorder="1" applyAlignment="1">
      <alignment horizontal="center" vertical="center"/>
    </xf>
    <xf numFmtId="0" fontId="47" fillId="0" borderId="221" xfId="0" applyFont="1" applyBorder="1" applyAlignment="1">
      <alignment horizontal="center" vertical="center"/>
    </xf>
    <xf numFmtId="180" fontId="47" fillId="0" borderId="219" xfId="1" applyNumberFormat="1" applyFont="1" applyFill="1" applyBorder="1" applyAlignment="1">
      <alignment horizontal="center" vertical="center"/>
    </xf>
    <xf numFmtId="180" fontId="47" fillId="0" borderId="221" xfId="1" applyNumberFormat="1" applyFont="1" applyFill="1" applyBorder="1" applyAlignment="1">
      <alignment horizontal="center" vertical="center"/>
    </xf>
    <xf numFmtId="0" fontId="45" fillId="3" borderId="219" xfId="0" applyFont="1" applyFill="1" applyBorder="1" applyAlignment="1">
      <alignment horizontal="center" vertical="center"/>
    </xf>
    <xf numFmtId="0" fontId="45" fillId="3" borderId="220" xfId="0" applyFont="1" applyFill="1" applyBorder="1" applyAlignment="1">
      <alignment horizontal="center" vertical="center"/>
    </xf>
    <xf numFmtId="0" fontId="45" fillId="3" borderId="221" xfId="0" applyFont="1" applyFill="1" applyBorder="1" applyAlignment="1">
      <alignment horizontal="center" vertical="center"/>
    </xf>
    <xf numFmtId="180" fontId="48" fillId="0" borderId="397" xfId="1" applyNumberFormat="1" applyFont="1" applyFill="1" applyBorder="1" applyAlignment="1">
      <alignment horizontal="center" vertical="center"/>
    </xf>
    <xf numFmtId="0" fontId="45" fillId="0" borderId="219" xfId="0" applyFont="1" applyBorder="1" applyAlignment="1">
      <alignment horizontal="center" vertical="center"/>
    </xf>
    <xf numFmtId="0" fontId="45" fillId="0" borderId="220" xfId="0" applyFont="1" applyBorder="1" applyAlignment="1">
      <alignment horizontal="center" vertical="center"/>
    </xf>
    <xf numFmtId="0" fontId="45" fillId="0" borderId="221" xfId="0" applyFont="1" applyBorder="1" applyAlignment="1">
      <alignment horizontal="center" vertical="center"/>
    </xf>
    <xf numFmtId="180" fontId="45" fillId="0" borderId="219" xfId="1" applyNumberFormat="1" applyFont="1" applyFill="1" applyBorder="1" applyAlignment="1">
      <alignment horizontal="center" vertical="center"/>
    </xf>
    <xf numFmtId="180" fontId="45" fillId="0" borderId="221" xfId="1" applyNumberFormat="1" applyFont="1" applyFill="1" applyBorder="1" applyAlignment="1">
      <alignment horizontal="center" vertical="center"/>
    </xf>
    <xf numFmtId="180" fontId="45" fillId="5" borderId="219" xfId="1" applyNumberFormat="1" applyFont="1" applyFill="1" applyBorder="1" applyAlignment="1">
      <alignment horizontal="center" vertical="center"/>
    </xf>
    <xf numFmtId="180" fontId="45" fillId="5" borderId="221" xfId="1" applyNumberFormat="1" applyFont="1" applyFill="1" applyBorder="1" applyAlignment="1">
      <alignment horizontal="center" vertical="center"/>
    </xf>
    <xf numFmtId="180" fontId="45" fillId="3" borderId="219" xfId="1" applyNumberFormat="1" applyFont="1" applyFill="1" applyBorder="1" applyAlignment="1">
      <alignment horizontal="center" vertical="center"/>
    </xf>
    <xf numFmtId="180" fontId="45" fillId="3" borderId="221" xfId="1" applyNumberFormat="1" applyFont="1" applyFill="1" applyBorder="1" applyAlignment="1">
      <alignment horizontal="center" vertical="center"/>
    </xf>
    <xf numFmtId="180" fontId="47" fillId="0" borderId="380" xfId="1" applyNumberFormat="1" applyFont="1" applyFill="1" applyBorder="1" applyAlignment="1">
      <alignment horizontal="center" vertical="center"/>
    </xf>
    <xf numFmtId="180" fontId="47" fillId="0" borderId="352" xfId="1" applyNumberFormat="1" applyFont="1" applyFill="1" applyBorder="1" applyAlignment="1">
      <alignment horizontal="center" vertical="center"/>
    </xf>
    <xf numFmtId="0" fontId="45" fillId="2" borderId="364" xfId="0" applyFont="1" applyFill="1" applyBorder="1" applyAlignment="1">
      <alignment horizontal="center" vertical="center"/>
    </xf>
    <xf numFmtId="0" fontId="45" fillId="5" borderId="226" xfId="0" applyFont="1" applyFill="1" applyBorder="1" applyAlignment="1">
      <alignment horizontal="center" vertical="center"/>
    </xf>
    <xf numFmtId="0" fontId="45" fillId="5" borderId="218" xfId="0" applyFont="1" applyFill="1" applyBorder="1" applyAlignment="1">
      <alignment horizontal="center" vertical="center"/>
    </xf>
    <xf numFmtId="0" fontId="39" fillId="0" borderId="231" xfId="0" applyFont="1" applyBorder="1" applyAlignment="1">
      <alignment horizontal="center" vertical="center"/>
    </xf>
    <xf numFmtId="180" fontId="45" fillId="3" borderId="352" xfId="1" applyNumberFormat="1" applyFont="1" applyFill="1" applyBorder="1" applyAlignment="1">
      <alignment horizontal="center" vertical="center"/>
    </xf>
    <xf numFmtId="0" fontId="45" fillId="2" borderId="370" xfId="0" applyFont="1" applyFill="1" applyBorder="1" applyAlignment="1">
      <alignment horizontal="center" vertical="center"/>
    </xf>
    <xf numFmtId="0" fontId="45" fillId="0" borderId="365" xfId="0" applyFont="1" applyBorder="1" applyAlignment="1">
      <alignment horizontal="center" vertical="center"/>
    </xf>
    <xf numFmtId="0" fontId="45" fillId="0" borderId="361" xfId="0" applyFont="1" applyBorder="1" applyAlignment="1">
      <alignment horizontal="center" vertical="center"/>
    </xf>
    <xf numFmtId="0" fontId="45" fillId="0" borderId="366" xfId="0" applyFont="1" applyBorder="1" applyAlignment="1">
      <alignment horizontal="center" vertical="center"/>
    </xf>
    <xf numFmtId="185" fontId="45" fillId="0" borderId="398" xfId="1" applyNumberFormat="1" applyFont="1" applyBorder="1" applyAlignment="1">
      <alignment vertical="center"/>
    </xf>
    <xf numFmtId="185" fontId="45" fillId="0" borderId="400" xfId="1" applyNumberFormat="1" applyFont="1" applyBorder="1" applyAlignment="1">
      <alignment vertical="center"/>
    </xf>
    <xf numFmtId="180" fontId="45" fillId="5" borderId="398" xfId="1" applyNumberFormat="1" applyFont="1" applyFill="1" applyBorder="1" applyAlignment="1">
      <alignment horizontal="center" vertical="center"/>
    </xf>
    <xf numFmtId="180" fontId="45" fillId="5" borderId="400" xfId="1" applyNumberFormat="1" applyFont="1" applyFill="1" applyBorder="1" applyAlignment="1">
      <alignment horizontal="center" vertical="center"/>
    </xf>
    <xf numFmtId="180" fontId="45" fillId="5" borderId="220" xfId="1" applyNumberFormat="1" applyFont="1" applyFill="1" applyBorder="1" applyAlignment="1">
      <alignment horizontal="left" vertical="center"/>
    </xf>
    <xf numFmtId="180" fontId="45" fillId="5" borderId="387" xfId="1" applyNumberFormat="1" applyFont="1" applyFill="1" applyBorder="1" applyAlignment="1">
      <alignment horizontal="left" vertical="center"/>
    </xf>
    <xf numFmtId="180" fontId="47" fillId="0" borderId="360" xfId="1" applyNumberFormat="1" applyFont="1" applyFill="1" applyBorder="1" applyAlignment="1">
      <alignment horizontal="center" vertical="center"/>
    </xf>
    <xf numFmtId="185" fontId="45" fillId="5" borderId="398" xfId="1" applyNumberFormat="1" applyFont="1" applyFill="1" applyBorder="1" applyAlignment="1">
      <alignment vertical="center"/>
    </xf>
    <xf numFmtId="185" fontId="45" fillId="5" borderId="400" xfId="1" applyNumberFormat="1" applyFont="1" applyFill="1" applyBorder="1" applyAlignment="1">
      <alignment vertical="center"/>
    </xf>
    <xf numFmtId="180" fontId="48" fillId="0" borderId="398" xfId="1" applyNumberFormat="1" applyFont="1" applyFill="1" applyBorder="1" applyAlignment="1">
      <alignment horizontal="center" vertical="center"/>
    </xf>
    <xf numFmtId="180" fontId="48" fillId="0" borderId="400" xfId="1" applyNumberFormat="1" applyFont="1" applyFill="1" applyBorder="1" applyAlignment="1">
      <alignment horizontal="center" vertical="center"/>
    </xf>
    <xf numFmtId="0" fontId="54" fillId="0" borderId="351" xfId="0" applyFont="1" applyBorder="1" applyAlignment="1">
      <alignment horizontal="left" vertical="center"/>
    </xf>
    <xf numFmtId="0" fontId="54" fillId="0" borderId="220" xfId="0" applyFont="1" applyBorder="1" applyAlignment="1">
      <alignment horizontal="left" vertical="center"/>
    </xf>
    <xf numFmtId="0" fontId="54" fillId="0" borderId="387" xfId="0" applyFont="1" applyBorder="1" applyAlignment="1">
      <alignment horizontal="left" vertical="center"/>
    </xf>
    <xf numFmtId="0" fontId="60" fillId="0" borderId="397" xfId="0" quotePrefix="1" applyFont="1" applyBorder="1" applyAlignment="1">
      <alignment horizontal="left" vertical="center"/>
    </xf>
    <xf numFmtId="49" fontId="82" fillId="3" borderId="397" xfId="1" applyNumberFormat="1" applyFont="1" applyFill="1" applyBorder="1" applyAlignment="1">
      <alignment horizontal="left" vertical="top" wrapText="1"/>
    </xf>
    <xf numFmtId="0" fontId="60" fillId="5" borderId="398" xfId="1" applyNumberFormat="1" applyFont="1" applyFill="1" applyBorder="1" applyAlignment="1">
      <alignment horizontal="center" vertical="center"/>
    </xf>
    <xf numFmtId="0" fontId="60" fillId="5" borderId="399" xfId="1" applyNumberFormat="1" applyFont="1" applyFill="1" applyBorder="1" applyAlignment="1">
      <alignment horizontal="center" vertical="center"/>
    </xf>
    <xf numFmtId="0" fontId="60" fillId="5" borderId="400" xfId="1" applyNumberFormat="1" applyFont="1" applyFill="1" applyBorder="1" applyAlignment="1">
      <alignment horizontal="center" vertical="center"/>
    </xf>
    <xf numFmtId="0" fontId="54" fillId="0" borderId="397" xfId="1" quotePrefix="1" applyNumberFormat="1" applyFont="1" applyBorder="1" applyAlignment="1">
      <alignment horizontal="left" vertical="center" wrapText="1"/>
    </xf>
    <xf numFmtId="0" fontId="60" fillId="0" borderId="397" xfId="1" quotePrefix="1" applyNumberFormat="1" applyFont="1" applyBorder="1" applyAlignment="1">
      <alignment horizontal="left" vertical="center" wrapText="1"/>
    </xf>
    <xf numFmtId="0" fontId="60" fillId="0" borderId="397" xfId="0" quotePrefix="1" applyFont="1" applyBorder="1" applyAlignment="1">
      <alignment horizontal="left" vertical="center" wrapText="1"/>
    </xf>
    <xf numFmtId="180" fontId="45" fillId="5" borderId="220" xfId="1" applyNumberFormat="1" applyFont="1" applyFill="1" applyBorder="1" applyAlignment="1">
      <alignment horizontal="center" vertical="center"/>
    </xf>
    <xf numFmtId="180" fontId="45" fillId="5" borderId="352" xfId="1" applyNumberFormat="1" applyFont="1" applyFill="1" applyBorder="1" applyAlignment="1">
      <alignment horizontal="center" vertical="center"/>
    </xf>
    <xf numFmtId="185" fontId="55" fillId="5" borderId="351" xfId="1" applyNumberFormat="1" applyFont="1" applyFill="1" applyBorder="1" applyAlignment="1">
      <alignment horizontal="right" vertical="center"/>
    </xf>
    <xf numFmtId="185" fontId="55" fillId="5" borderId="352" xfId="1" applyNumberFormat="1" applyFont="1" applyFill="1" applyBorder="1" applyAlignment="1">
      <alignment horizontal="right" vertical="center"/>
    </xf>
    <xf numFmtId="185" fontId="55" fillId="0" borderId="351" xfId="1" applyNumberFormat="1" applyFont="1" applyBorder="1" applyAlignment="1">
      <alignment vertical="center"/>
    </xf>
    <xf numFmtId="185" fontId="55" fillId="0" borderId="352" xfId="1" applyNumberFormat="1" applyFont="1" applyBorder="1" applyAlignment="1">
      <alignment vertical="center"/>
    </xf>
    <xf numFmtId="0" fontId="45" fillId="2" borderId="219" xfId="0" applyFont="1" applyFill="1" applyBorder="1" applyAlignment="1">
      <alignment horizontal="center" vertical="center" wrapText="1"/>
    </xf>
    <xf numFmtId="0" fontId="45" fillId="2" borderId="221" xfId="0" applyFont="1" applyFill="1" applyBorder="1" applyAlignment="1">
      <alignment horizontal="center" vertical="center"/>
    </xf>
    <xf numFmtId="0" fontId="47" fillId="0" borderId="384" xfId="1" quotePrefix="1" applyNumberFormat="1" applyFont="1" applyBorder="1" applyAlignment="1">
      <alignment horizontal="left" vertical="center" wrapText="1"/>
    </xf>
    <xf numFmtId="0" fontId="47" fillId="0" borderId="385" xfId="1" applyNumberFormat="1" applyFont="1" applyBorder="1" applyAlignment="1">
      <alignment horizontal="left" vertical="center"/>
    </xf>
    <xf numFmtId="0" fontId="47" fillId="0" borderId="386" xfId="1" applyNumberFormat="1" applyFont="1" applyBorder="1" applyAlignment="1">
      <alignment horizontal="left" vertical="center"/>
    </xf>
    <xf numFmtId="0" fontId="59" fillId="0" borderId="219" xfId="1" quotePrefix="1" applyNumberFormat="1" applyFont="1" applyBorder="1" applyAlignment="1">
      <alignment horizontal="left" vertical="center" wrapText="1"/>
    </xf>
    <xf numFmtId="0" fontId="59" fillId="0" borderId="220" xfId="1" applyNumberFormat="1" applyFont="1" applyBorder="1" applyAlignment="1">
      <alignment horizontal="left" vertical="center"/>
    </xf>
    <xf numFmtId="0" fontId="59" fillId="0" borderId="387" xfId="1" applyNumberFormat="1" applyFont="1" applyBorder="1" applyAlignment="1">
      <alignment horizontal="left" vertical="center"/>
    </xf>
    <xf numFmtId="0" fontId="47" fillId="0" borderId="381" xfId="1" quotePrefix="1" applyNumberFormat="1" applyFont="1" applyBorder="1" applyAlignment="1">
      <alignment horizontal="left" vertical="center"/>
    </xf>
    <xf numFmtId="0" fontId="47" fillId="0" borderId="220" xfId="1" quotePrefix="1" applyNumberFormat="1" applyFont="1" applyBorder="1" applyAlignment="1">
      <alignment horizontal="left" vertical="center"/>
    </xf>
    <xf numFmtId="0" fontId="47" fillId="0" borderId="387" xfId="1" quotePrefix="1" applyNumberFormat="1" applyFont="1" applyBorder="1" applyAlignment="1">
      <alignment horizontal="left" vertical="center"/>
    </xf>
    <xf numFmtId="0" fontId="54" fillId="0" borderId="219" xfId="1" quotePrefix="1" applyNumberFormat="1" applyFont="1" applyBorder="1" applyAlignment="1">
      <alignment horizontal="left" vertical="center" wrapText="1"/>
    </xf>
    <xf numFmtId="0" fontId="54" fillId="0" borderId="220" xfId="1" applyNumberFormat="1" applyFont="1" applyBorder="1" applyAlignment="1">
      <alignment horizontal="left" vertical="center"/>
    </xf>
    <xf numFmtId="0" fontId="54" fillId="0" borderId="387" xfId="1" applyNumberFormat="1" applyFont="1" applyBorder="1" applyAlignment="1">
      <alignment horizontal="left" vertical="center"/>
    </xf>
    <xf numFmtId="185" fontId="55" fillId="0" borderId="389" xfId="1" applyNumberFormat="1" applyFont="1" applyBorder="1" applyAlignment="1">
      <alignment vertical="center"/>
    </xf>
    <xf numFmtId="0" fontId="54" fillId="0" borderId="219" xfId="0" quotePrefix="1" applyFont="1" applyBorder="1" applyAlignment="1">
      <alignment horizontal="left" vertical="center"/>
    </xf>
    <xf numFmtId="0" fontId="54" fillId="0" borderId="220" xfId="0" quotePrefix="1" applyFont="1" applyBorder="1" applyAlignment="1">
      <alignment horizontal="left" vertical="center"/>
    </xf>
    <xf numFmtId="0" fontId="54" fillId="0" borderId="387" xfId="0" quotePrefix="1" applyFont="1" applyBorder="1" applyAlignment="1">
      <alignment horizontal="left" vertical="center"/>
    </xf>
    <xf numFmtId="180" fontId="45" fillId="0" borderId="382" xfId="1" applyNumberFormat="1" applyFont="1" applyFill="1" applyBorder="1" applyAlignment="1">
      <alignment horizontal="center" vertical="center"/>
    </xf>
    <xf numFmtId="180" fontId="45" fillId="0" borderId="383" xfId="1" applyNumberFormat="1" applyFont="1" applyFill="1" applyBorder="1" applyAlignment="1">
      <alignment horizontal="center" vertical="center"/>
    </xf>
    <xf numFmtId="180" fontId="65" fillId="3" borderId="381" xfId="1" applyNumberFormat="1" applyFont="1" applyFill="1" applyBorder="1" applyAlignment="1">
      <alignment horizontal="left" vertical="top" wrapText="1"/>
    </xf>
    <xf numFmtId="180" fontId="65" fillId="3" borderId="220" xfId="1" applyNumberFormat="1" applyFont="1" applyFill="1" applyBorder="1" applyAlignment="1">
      <alignment horizontal="left" vertical="top" wrapText="1"/>
    </xf>
    <xf numFmtId="180" fontId="65" fillId="3" borderId="387" xfId="1" applyNumberFormat="1" applyFont="1" applyFill="1" applyBorder="1" applyAlignment="1">
      <alignment horizontal="left" vertical="top" wrapText="1"/>
    </xf>
    <xf numFmtId="0" fontId="63" fillId="0" borderId="219" xfId="1" quotePrefix="1" applyNumberFormat="1" applyFont="1" applyBorder="1" applyAlignment="1">
      <alignment horizontal="left" vertical="center" wrapText="1"/>
    </xf>
    <xf numFmtId="0" fontId="63" fillId="0" borderId="220" xfId="1" quotePrefix="1" applyNumberFormat="1" applyFont="1" applyBorder="1" applyAlignment="1">
      <alignment horizontal="left" vertical="center" wrapText="1"/>
    </xf>
    <xf numFmtId="0" fontId="63" fillId="0" borderId="387" xfId="1" quotePrefix="1" applyNumberFormat="1" applyFont="1" applyBorder="1" applyAlignment="1">
      <alignment horizontal="left" vertical="center" wrapText="1"/>
    </xf>
    <xf numFmtId="0" fontId="45" fillId="2" borderId="219" xfId="0" applyFont="1" applyFill="1" applyBorder="1" applyAlignment="1">
      <alignment horizontal="center" vertical="center"/>
    </xf>
    <xf numFmtId="0" fontId="45" fillId="2" borderId="220" xfId="0" applyFont="1" applyFill="1" applyBorder="1" applyAlignment="1">
      <alignment horizontal="center" vertical="center"/>
    </xf>
    <xf numFmtId="0" fontId="45" fillId="2" borderId="369" xfId="0" applyFont="1" applyFill="1" applyBorder="1" applyAlignment="1">
      <alignment horizontal="center" vertical="center"/>
    </xf>
    <xf numFmtId="180" fontId="45" fillId="5" borderId="351" xfId="1" applyNumberFormat="1" applyFont="1" applyFill="1" applyBorder="1" applyAlignment="1">
      <alignment horizontal="left" vertical="center"/>
    </xf>
    <xf numFmtId="180" fontId="47" fillId="0" borderId="220" xfId="1" applyNumberFormat="1" applyFont="1" applyFill="1" applyBorder="1" applyAlignment="1">
      <alignment horizontal="left" vertical="center"/>
    </xf>
    <xf numFmtId="180" fontId="47" fillId="0" borderId="387" xfId="1" applyNumberFormat="1" applyFont="1" applyFill="1" applyBorder="1" applyAlignment="1">
      <alignment horizontal="left" vertical="center"/>
    </xf>
    <xf numFmtId="180" fontId="45" fillId="5" borderId="360" xfId="1" applyNumberFormat="1" applyFont="1" applyFill="1" applyBorder="1" applyAlignment="1">
      <alignment horizontal="center" vertical="center"/>
    </xf>
    <xf numFmtId="185" fontId="45" fillId="3" borderId="398" xfId="1" applyNumberFormat="1" applyFont="1" applyFill="1" applyBorder="1" applyAlignment="1">
      <alignment horizontal="right" vertical="center"/>
    </xf>
    <xf numFmtId="185" fontId="45" fillId="3" borderId="400" xfId="1" applyNumberFormat="1" applyFont="1" applyFill="1" applyBorder="1" applyAlignment="1">
      <alignment horizontal="right" vertical="center"/>
    </xf>
    <xf numFmtId="180" fontId="45" fillId="3" borderId="397" xfId="1" applyNumberFormat="1" applyFont="1" applyFill="1" applyBorder="1" applyAlignment="1">
      <alignment horizontal="center" vertical="center"/>
    </xf>
    <xf numFmtId="0" fontId="47" fillId="0" borderId="397" xfId="0" applyFont="1" applyBorder="1" applyAlignment="1">
      <alignment horizontal="center" vertical="center"/>
    </xf>
    <xf numFmtId="180" fontId="45" fillId="5" borderId="397" xfId="1" applyNumberFormat="1" applyFont="1" applyFill="1" applyBorder="1" applyAlignment="1">
      <alignment horizontal="center" vertical="center"/>
    </xf>
    <xf numFmtId="0" fontId="45" fillId="3" borderId="397" xfId="0" applyFont="1" applyFill="1" applyBorder="1" applyAlignment="1">
      <alignment horizontal="center" vertical="center"/>
    </xf>
    <xf numFmtId="0" fontId="44" fillId="8" borderId="118" xfId="0" applyFont="1" applyFill="1" applyBorder="1" applyAlignment="1">
      <alignment horizontal="left" vertical="center"/>
    </xf>
    <xf numFmtId="0" fontId="44" fillId="8" borderId="153" xfId="0" applyFont="1" applyFill="1" applyBorder="1" applyAlignment="1">
      <alignment horizontal="left" vertical="center"/>
    </xf>
    <xf numFmtId="180" fontId="55" fillId="0" borderId="397" xfId="1" applyNumberFormat="1" applyFont="1" applyFill="1" applyBorder="1" applyAlignment="1">
      <alignment horizontal="center" vertical="center"/>
    </xf>
    <xf numFmtId="0" fontId="44" fillId="5" borderId="373" xfId="0" applyFont="1" applyFill="1" applyBorder="1" applyAlignment="1">
      <alignment horizontal="center" vertical="center"/>
    </xf>
    <xf numFmtId="0" fontId="44" fillId="5" borderId="374" xfId="0" applyFont="1" applyFill="1" applyBorder="1" applyAlignment="1">
      <alignment horizontal="center" vertical="center"/>
    </xf>
    <xf numFmtId="0" fontId="44" fillId="5" borderId="375" xfId="0" applyFont="1" applyFill="1" applyBorder="1" applyAlignment="1">
      <alignment horizontal="center" vertical="center"/>
    </xf>
    <xf numFmtId="0" fontId="44" fillId="5" borderId="376" xfId="0" applyFont="1" applyFill="1" applyBorder="1" applyAlignment="1">
      <alignment horizontal="center" vertical="center"/>
    </xf>
    <xf numFmtId="0" fontId="44" fillId="5" borderId="377" xfId="0" applyFont="1" applyFill="1" applyBorder="1" applyAlignment="1">
      <alignment horizontal="center" vertical="center"/>
    </xf>
    <xf numFmtId="0" fontId="44" fillId="5" borderId="378" xfId="0" applyFont="1" applyFill="1" applyBorder="1" applyAlignment="1">
      <alignment horizontal="center" vertical="center"/>
    </xf>
    <xf numFmtId="0" fontId="45" fillId="2" borderId="397" xfId="0" applyFont="1" applyFill="1" applyBorder="1" applyAlignment="1">
      <alignment horizontal="center" vertical="center"/>
    </xf>
    <xf numFmtId="0" fontId="47" fillId="5" borderId="397" xfId="1" applyNumberFormat="1" applyFont="1" applyFill="1" applyBorder="1" applyAlignment="1">
      <alignment horizontal="left" vertical="center"/>
    </xf>
    <xf numFmtId="0" fontId="44" fillId="5" borderId="119" xfId="0" applyFont="1" applyFill="1" applyBorder="1" applyAlignment="1">
      <alignment horizontal="center" vertical="center" wrapText="1"/>
    </xf>
    <xf numFmtId="0" fontId="44" fillId="5" borderId="281" xfId="0" applyFont="1" applyFill="1" applyBorder="1" applyAlignment="1">
      <alignment horizontal="center" vertical="center" wrapText="1"/>
    </xf>
    <xf numFmtId="0" fontId="44" fillId="5" borderId="117" xfId="0" applyFont="1" applyFill="1" applyBorder="1" applyAlignment="1">
      <alignment horizontal="center" vertical="center" wrapText="1"/>
    </xf>
    <xf numFmtId="0" fontId="44" fillId="5" borderId="121" xfId="0" applyFont="1" applyFill="1" applyBorder="1" applyAlignment="1">
      <alignment horizontal="center" vertical="center" wrapText="1"/>
    </xf>
    <xf numFmtId="0" fontId="44" fillId="5" borderId="301" xfId="0" applyFont="1" applyFill="1" applyBorder="1" applyAlignment="1">
      <alignment horizontal="center" vertical="center"/>
    </xf>
    <xf numFmtId="0" fontId="44" fillId="5" borderId="302" xfId="0" applyFont="1" applyFill="1" applyBorder="1" applyAlignment="1">
      <alignment horizontal="center" vertical="center"/>
    </xf>
    <xf numFmtId="0" fontId="44" fillId="5" borderId="295" xfId="0" applyFont="1" applyFill="1" applyBorder="1" applyAlignment="1">
      <alignment horizontal="center" vertical="center"/>
    </xf>
    <xf numFmtId="0" fontId="44" fillId="5" borderId="143" xfId="0" applyFont="1" applyFill="1" applyBorder="1" applyAlignment="1">
      <alignment horizontal="center" vertical="center"/>
    </xf>
    <xf numFmtId="0" fontId="44" fillId="5" borderId="379" xfId="0" applyFont="1" applyFill="1" applyBorder="1" applyAlignment="1">
      <alignment horizontal="center" vertical="center"/>
    </xf>
    <xf numFmtId="0" fontId="44" fillId="5" borderId="288" xfId="0" applyFont="1" applyFill="1" applyBorder="1" applyAlignment="1">
      <alignment horizontal="center" vertical="center"/>
    </xf>
    <xf numFmtId="0" fontId="44" fillId="5" borderId="296" xfId="0" applyFont="1" applyFill="1" applyBorder="1" applyAlignment="1">
      <alignment horizontal="center" vertical="center"/>
    </xf>
    <xf numFmtId="180" fontId="45" fillId="5" borderId="397" xfId="1" quotePrefix="1" applyNumberFormat="1" applyFont="1" applyFill="1" applyBorder="1" applyAlignment="1">
      <alignment horizontal="center" vertical="center"/>
    </xf>
    <xf numFmtId="0" fontId="53" fillId="8" borderId="113" xfId="0" applyFont="1" applyFill="1" applyBorder="1" applyAlignment="1">
      <alignment horizontal="left" vertical="center"/>
    </xf>
    <xf numFmtId="0" fontId="53" fillId="8" borderId="114" xfId="0" applyFont="1" applyFill="1" applyBorder="1" applyAlignment="1">
      <alignment horizontal="left" vertical="center"/>
    </xf>
    <xf numFmtId="0" fontId="53" fillId="8" borderId="323" xfId="0" applyFont="1" applyFill="1" applyBorder="1" applyAlignment="1">
      <alignment horizontal="center" vertical="center"/>
    </xf>
    <xf numFmtId="0" fontId="53" fillId="8" borderId="325" xfId="0" applyFont="1" applyFill="1" applyBorder="1" applyAlignment="1">
      <alignment horizontal="center" vertical="center"/>
    </xf>
    <xf numFmtId="0" fontId="58" fillId="2" borderId="397" xfId="0" applyFont="1" applyFill="1" applyBorder="1" applyAlignment="1">
      <alignment horizontal="center" vertical="center" wrapText="1"/>
    </xf>
    <xf numFmtId="0" fontId="58" fillId="2" borderId="397" xfId="0" applyFont="1" applyFill="1" applyBorder="1" applyAlignment="1">
      <alignment horizontal="center" vertical="center"/>
    </xf>
    <xf numFmtId="185" fontId="45" fillId="0" borderId="397" xfId="1" applyNumberFormat="1" applyFont="1" applyBorder="1" applyAlignment="1">
      <alignment vertical="center"/>
    </xf>
    <xf numFmtId="0" fontId="45" fillId="0" borderId="397" xfId="0" applyFont="1" applyBorder="1" applyAlignment="1">
      <alignment horizontal="center" vertical="center"/>
    </xf>
    <xf numFmtId="0" fontId="47" fillId="0" borderId="220" xfId="0" applyFont="1" applyBorder="1" applyAlignment="1">
      <alignment horizontal="left" vertical="center"/>
    </xf>
    <xf numFmtId="0" fontId="47" fillId="0" borderId="221" xfId="0" applyFont="1" applyBorder="1" applyAlignment="1">
      <alignment horizontal="left" vertical="center"/>
    </xf>
    <xf numFmtId="0" fontId="44" fillId="3" borderId="143" xfId="0" applyFont="1" applyFill="1" applyBorder="1" applyAlignment="1">
      <alignment horizontal="left" vertical="center"/>
    </xf>
    <xf numFmtId="0" fontId="44" fillId="3" borderId="144" xfId="0" applyFont="1" applyFill="1" applyBorder="1" applyAlignment="1">
      <alignment horizontal="left" vertical="center"/>
    </xf>
    <xf numFmtId="0" fontId="44" fillId="5" borderId="303" xfId="0" applyFont="1" applyFill="1" applyBorder="1" applyAlignment="1">
      <alignment horizontal="center" vertical="center"/>
    </xf>
    <xf numFmtId="0" fontId="44" fillId="5" borderId="305" xfId="0" applyFont="1" applyFill="1" applyBorder="1" applyAlignment="1">
      <alignment horizontal="center" vertical="center"/>
    </xf>
    <xf numFmtId="0" fontId="44" fillId="5" borderId="0" xfId="0" applyFont="1" applyFill="1" applyAlignment="1">
      <alignment horizontal="center" vertical="center"/>
    </xf>
    <xf numFmtId="0" fontId="44" fillId="5" borderId="114" xfId="0" applyFont="1" applyFill="1" applyBorder="1" applyAlignment="1">
      <alignment horizontal="center" vertical="center"/>
    </xf>
    <xf numFmtId="0" fontId="44" fillId="5" borderId="306" xfId="0" applyFont="1" applyFill="1" applyBorder="1" applyAlignment="1">
      <alignment horizontal="center" vertical="center"/>
    </xf>
    <xf numFmtId="0" fontId="44" fillId="5" borderId="127" xfId="0" applyFont="1" applyFill="1" applyBorder="1" applyAlignment="1">
      <alignment horizontal="center" vertical="center"/>
    </xf>
    <xf numFmtId="0" fontId="44" fillId="5" borderId="128" xfId="0" applyFont="1" applyFill="1" applyBorder="1" applyAlignment="1">
      <alignment horizontal="center" vertical="center"/>
    </xf>
    <xf numFmtId="0" fontId="44" fillId="5" borderId="304" xfId="0" applyFont="1" applyFill="1" applyBorder="1" applyAlignment="1">
      <alignment horizontal="center" vertical="center" wrapText="1"/>
    </xf>
    <xf numFmtId="0" fontId="44" fillId="5" borderId="115" xfId="0" applyFont="1" applyFill="1" applyBorder="1" applyAlignment="1">
      <alignment horizontal="center" vertical="center" wrapText="1"/>
    </xf>
    <xf numFmtId="0" fontId="44" fillId="5" borderId="129" xfId="0" applyFont="1" applyFill="1" applyBorder="1" applyAlignment="1">
      <alignment horizontal="center" vertical="center" wrapText="1"/>
    </xf>
    <xf numFmtId="0" fontId="44" fillId="5" borderId="372" xfId="0" applyFont="1" applyFill="1" applyBorder="1" applyAlignment="1">
      <alignment horizontal="center" vertical="center" wrapText="1"/>
    </xf>
    <xf numFmtId="0" fontId="44" fillId="5" borderId="113" xfId="0" applyFont="1" applyFill="1" applyBorder="1" applyAlignment="1">
      <alignment horizontal="center" vertical="center" wrapText="1"/>
    </xf>
    <xf numFmtId="0" fontId="44" fillId="5" borderId="308" xfId="0" applyFont="1" applyFill="1" applyBorder="1" applyAlignment="1">
      <alignment horizontal="center" vertical="center" wrapText="1"/>
    </xf>
    <xf numFmtId="0" fontId="45" fillId="5" borderId="402" xfId="0" applyFont="1" applyFill="1" applyBorder="1" applyAlignment="1">
      <alignment horizontal="center" vertical="center"/>
    </xf>
    <xf numFmtId="0" fontId="45" fillId="5" borderId="397" xfId="0" applyFont="1" applyFill="1" applyBorder="1" applyAlignment="1">
      <alignment horizontal="center" vertical="center"/>
    </xf>
    <xf numFmtId="0" fontId="45" fillId="2" borderId="387" xfId="0" applyFont="1" applyFill="1" applyBorder="1" applyAlignment="1">
      <alignment horizontal="center" vertical="center"/>
    </xf>
    <xf numFmtId="0" fontId="45" fillId="2" borderId="349" xfId="0" applyFont="1" applyFill="1" applyBorder="1" applyAlignment="1">
      <alignment horizontal="center" vertical="center" wrapText="1"/>
    </xf>
    <xf numFmtId="0" fontId="45" fillId="2" borderId="350" xfId="0" applyFont="1" applyFill="1" applyBorder="1" applyAlignment="1">
      <alignment horizontal="center" vertical="center"/>
    </xf>
    <xf numFmtId="0" fontId="45" fillId="2" borderId="397" xfId="0" applyFont="1" applyFill="1" applyBorder="1" applyAlignment="1">
      <alignment horizontal="center" vertical="center" wrapText="1"/>
    </xf>
    <xf numFmtId="41" fontId="45" fillId="0" borderId="351" xfId="1" applyFont="1" applyBorder="1" applyAlignment="1">
      <alignment horizontal="right" vertical="center"/>
    </xf>
    <xf numFmtId="41" fontId="45" fillId="0" borderId="352" xfId="1" applyFont="1" applyBorder="1" applyAlignment="1">
      <alignment horizontal="right" vertical="center"/>
    </xf>
    <xf numFmtId="41" fontId="45" fillId="5" borderId="351" xfId="1" applyFont="1" applyFill="1" applyBorder="1" applyAlignment="1">
      <alignment horizontal="right" vertical="center"/>
    </xf>
    <xf numFmtId="41" fontId="45" fillId="5" borderId="352" xfId="1" applyFont="1" applyFill="1" applyBorder="1" applyAlignment="1">
      <alignment horizontal="right" vertical="center"/>
    </xf>
    <xf numFmtId="179" fontId="45" fillId="0" borderId="351" xfId="1" applyNumberFormat="1" applyFont="1" applyBorder="1" applyAlignment="1">
      <alignment horizontal="right" vertical="center"/>
    </xf>
    <xf numFmtId="179" fontId="45" fillId="0" borderId="352" xfId="1" applyNumberFormat="1" applyFont="1" applyBorder="1" applyAlignment="1">
      <alignment horizontal="right" vertical="center"/>
    </xf>
    <xf numFmtId="0" fontId="45" fillId="5" borderId="381" xfId="1" applyNumberFormat="1" applyFont="1" applyFill="1" applyBorder="1" applyAlignment="1">
      <alignment horizontal="left" vertical="center"/>
    </xf>
    <xf numFmtId="0" fontId="45" fillId="5" borderId="220" xfId="1" applyNumberFormat="1" applyFont="1" applyFill="1" applyBorder="1" applyAlignment="1">
      <alignment horizontal="left" vertical="center"/>
    </xf>
    <xf numFmtId="0" fontId="45" fillId="5" borderId="387" xfId="1" applyNumberFormat="1" applyFont="1" applyFill="1" applyBorder="1" applyAlignment="1">
      <alignment horizontal="left" vertical="center"/>
    </xf>
    <xf numFmtId="0" fontId="54" fillId="0" borderId="381" xfId="0" quotePrefix="1" applyFont="1" applyBorder="1" applyAlignment="1">
      <alignment horizontal="left" vertical="center"/>
    </xf>
    <xf numFmtId="0" fontId="47" fillId="0" borderId="381" xfId="0" applyFont="1" applyBorder="1" applyAlignment="1">
      <alignment horizontal="left" vertical="center"/>
    </xf>
    <xf numFmtId="0" fontId="47" fillId="0" borderId="381" xfId="1" quotePrefix="1" applyNumberFormat="1" applyFont="1" applyFill="1" applyBorder="1" applyAlignment="1">
      <alignment horizontal="left" vertical="center"/>
    </xf>
    <xf numFmtId="0" fontId="47" fillId="0" borderId="220" xfId="1" applyNumberFormat="1" applyFont="1" applyFill="1" applyBorder="1" applyAlignment="1">
      <alignment horizontal="left" vertical="center"/>
    </xf>
    <xf numFmtId="0" fontId="47" fillId="0" borderId="387" xfId="1" applyNumberFormat="1" applyFont="1" applyFill="1" applyBorder="1" applyAlignment="1">
      <alignment horizontal="left" vertical="center"/>
    </xf>
    <xf numFmtId="185" fontId="55" fillId="3" borderId="353" xfId="1" applyNumberFormat="1" applyFont="1" applyFill="1" applyBorder="1" applyAlignment="1">
      <alignment horizontal="right" vertical="center"/>
    </xf>
    <xf numFmtId="185" fontId="55" fillId="3" borderId="354" xfId="1" applyNumberFormat="1" applyFont="1" applyFill="1" applyBorder="1" applyAlignment="1">
      <alignment horizontal="right" vertical="center"/>
    </xf>
    <xf numFmtId="0" fontId="47" fillId="0" borderId="381" xfId="1" quotePrefix="1" applyNumberFormat="1" applyFont="1" applyBorder="1" applyAlignment="1">
      <alignment horizontal="left" vertical="center" wrapText="1"/>
    </xf>
    <xf numFmtId="180" fontId="61" fillId="3" borderId="220" xfId="1" applyNumberFormat="1" applyFont="1" applyFill="1" applyBorder="1" applyAlignment="1">
      <alignment horizontal="left" vertical="top" wrapText="1"/>
    </xf>
    <xf numFmtId="180" fontId="61" fillId="3" borderId="387" xfId="1" applyNumberFormat="1" applyFont="1" applyFill="1" applyBorder="1" applyAlignment="1">
      <alignment horizontal="left" vertical="top" wrapText="1"/>
    </xf>
    <xf numFmtId="180" fontId="45" fillId="0" borderId="219" xfId="0" applyNumberFormat="1" applyFont="1" applyBorder="1" applyAlignment="1">
      <alignment horizontal="center" vertical="center"/>
    </xf>
    <xf numFmtId="180" fontId="45" fillId="0" borderId="220" xfId="0" applyNumberFormat="1" applyFont="1" applyBorder="1" applyAlignment="1">
      <alignment horizontal="center" vertical="center"/>
    </xf>
    <xf numFmtId="180" fontId="47" fillId="0" borderId="220" xfId="1" applyNumberFormat="1" applyFont="1" applyFill="1" applyBorder="1" applyAlignment="1">
      <alignment horizontal="center" vertical="center"/>
    </xf>
    <xf numFmtId="0" fontId="47" fillId="0" borderId="220" xfId="0" quotePrefix="1" applyFont="1" applyBorder="1" applyAlignment="1">
      <alignment horizontal="left" vertical="center" wrapText="1"/>
    </xf>
    <xf numFmtId="0" fontId="47" fillId="0" borderId="220" xfId="0" quotePrefix="1" applyFont="1" applyBorder="1" applyAlignment="1">
      <alignment horizontal="left" vertical="center"/>
    </xf>
    <xf numFmtId="0" fontId="67" fillId="0" borderId="0" xfId="0" applyFont="1" applyAlignment="1">
      <alignment horizontal="center" vertical="center" wrapText="1" readingOrder="1"/>
    </xf>
    <xf numFmtId="0" fontId="68" fillId="13" borderId="321" xfId="0" applyFont="1" applyFill="1" applyBorder="1" applyAlignment="1">
      <alignment horizontal="left" vertical="center" wrapText="1" readingOrder="1"/>
    </xf>
    <xf numFmtId="0" fontId="69" fillId="0" borderId="315" xfId="0" applyFont="1" applyBorder="1" applyAlignment="1">
      <alignment horizontal="center" vertical="center" wrapText="1"/>
    </xf>
    <xf numFmtId="0" fontId="69" fillId="0" borderId="0" xfId="0" applyFont="1" applyAlignment="1">
      <alignment horizontal="center" vertical="center" wrapText="1"/>
    </xf>
    <xf numFmtId="0" fontId="69" fillId="0" borderId="317" xfId="0" applyFont="1" applyBorder="1" applyAlignment="1">
      <alignment horizontal="center" vertical="center" wrapText="1"/>
    </xf>
    <xf numFmtId="0" fontId="69" fillId="0" borderId="316" xfId="0" applyFont="1" applyBorder="1" applyAlignment="1">
      <alignment vertical="center" wrapText="1"/>
    </xf>
    <xf numFmtId="0" fontId="69" fillId="0" borderId="318" xfId="0" applyFont="1" applyBorder="1" applyAlignment="1">
      <alignment vertical="center" wrapText="1"/>
    </xf>
    <xf numFmtId="0" fontId="67" fillId="12" borderId="315" xfId="0" applyFont="1" applyFill="1" applyBorder="1" applyAlignment="1">
      <alignment horizontal="center" vertical="center" wrapText="1" readingOrder="1"/>
    </xf>
    <xf numFmtId="0" fontId="67" fillId="12" borderId="317" xfId="0" applyFont="1" applyFill="1" applyBorder="1" applyAlignment="1">
      <alignment horizontal="center" vertical="center" wrapText="1" readingOrder="1"/>
    </xf>
    <xf numFmtId="0" fontId="69" fillId="0" borderId="322" xfId="0" applyFont="1" applyBorder="1" applyAlignment="1">
      <alignment vertical="center" wrapText="1"/>
    </xf>
    <xf numFmtId="0" fontId="67" fillId="12" borderId="341" xfId="0" applyFont="1" applyFill="1" applyBorder="1" applyAlignment="1">
      <alignment horizontal="center" vertical="center" wrapText="1" readingOrder="1"/>
    </xf>
    <xf numFmtId="0" fontId="67" fillId="12" borderId="342" xfId="0" applyFont="1" applyFill="1" applyBorder="1" applyAlignment="1">
      <alignment horizontal="center" vertical="center" wrapText="1" readingOrder="1"/>
    </xf>
    <xf numFmtId="0" fontId="67" fillId="12" borderId="343" xfId="0" applyFont="1" applyFill="1" applyBorder="1" applyAlignment="1">
      <alignment horizontal="center" vertical="center" wrapText="1" readingOrder="1"/>
    </xf>
    <xf numFmtId="0" fontId="68" fillId="13" borderId="364" xfId="0" applyFont="1" applyFill="1" applyBorder="1" applyAlignment="1">
      <alignment horizontal="left" vertical="center" wrapText="1" readingOrder="1"/>
    </xf>
    <xf numFmtId="0" fontId="67" fillId="12" borderId="369" xfId="0" applyFont="1" applyFill="1" applyBorder="1" applyAlignment="1">
      <alignment horizontal="center" vertical="center" wrapText="1" readingOrder="1"/>
    </xf>
    <xf numFmtId="0" fontId="67" fillId="12" borderId="364" xfId="0" applyFont="1" applyFill="1" applyBorder="1" applyAlignment="1">
      <alignment horizontal="center" vertical="center" wrapText="1" readingOrder="1"/>
    </xf>
    <xf numFmtId="0" fontId="67" fillId="12" borderId="388" xfId="0" applyFont="1" applyFill="1" applyBorder="1" applyAlignment="1">
      <alignment horizontal="center" vertical="center" wrapText="1" readingOrder="1"/>
    </xf>
    <xf numFmtId="180" fontId="45" fillId="3" borderId="220" xfId="1" applyNumberFormat="1" applyFont="1" applyFill="1" applyBorder="1" applyAlignment="1">
      <alignment horizontal="center" vertical="center"/>
    </xf>
    <xf numFmtId="0" fontId="38" fillId="2" borderId="0" xfId="0" applyFont="1" applyFill="1" applyAlignment="1">
      <alignment horizontal="center" vertical="center"/>
    </xf>
    <xf numFmtId="41" fontId="45" fillId="0" borderId="351" xfId="1" applyFont="1" applyBorder="1" applyAlignment="1">
      <alignment horizontal="center" vertical="center"/>
    </xf>
    <xf numFmtId="41" fontId="45" fillId="0" borderId="352" xfId="1" applyFont="1" applyBorder="1" applyAlignment="1">
      <alignment horizontal="center" vertical="center"/>
    </xf>
    <xf numFmtId="0" fontId="44" fillId="5" borderId="391" xfId="0" applyFont="1" applyFill="1" applyBorder="1" applyAlignment="1">
      <alignment horizontal="center" vertical="center"/>
    </xf>
    <xf numFmtId="0" fontId="44" fillId="5" borderId="392" xfId="0" applyFont="1" applyFill="1" applyBorder="1" applyAlignment="1">
      <alignment horizontal="center" vertical="center"/>
    </xf>
    <xf numFmtId="0" fontId="45" fillId="2" borderId="218" xfId="0" applyFont="1" applyFill="1" applyBorder="1" applyAlignment="1">
      <alignment horizontal="center" vertical="center"/>
    </xf>
    <xf numFmtId="0" fontId="47" fillId="5" borderId="220" xfId="0" applyFont="1" applyFill="1" applyBorder="1" applyAlignment="1">
      <alignment horizontal="left" vertical="center"/>
    </xf>
    <xf numFmtId="0" fontId="47" fillId="5" borderId="221" xfId="0" applyFont="1" applyFill="1" applyBorder="1" applyAlignment="1">
      <alignment horizontal="left" vertical="center"/>
    </xf>
    <xf numFmtId="41" fontId="45" fillId="3" borderId="353" xfId="1" applyFont="1" applyFill="1" applyBorder="1" applyAlignment="1">
      <alignment horizontal="right" vertical="center"/>
    </xf>
    <xf numFmtId="41" fontId="45" fillId="3" borderId="354" xfId="1" applyFont="1" applyFill="1" applyBorder="1" applyAlignment="1">
      <alignment horizontal="right" vertical="center"/>
    </xf>
    <xf numFmtId="41" fontId="45" fillId="5" borderId="351" xfId="1" applyFont="1" applyFill="1" applyBorder="1" applyAlignment="1">
      <alignment horizontal="center" vertical="center"/>
    </xf>
    <xf numFmtId="41" fontId="45" fillId="5" borderId="352" xfId="1" applyFont="1" applyFill="1" applyBorder="1" applyAlignment="1">
      <alignment horizontal="center" vertical="center"/>
    </xf>
    <xf numFmtId="0" fontId="47" fillId="3" borderId="220" xfId="0" applyFont="1" applyFill="1" applyBorder="1" applyAlignment="1">
      <alignment horizontal="left" vertical="center"/>
    </xf>
    <xf numFmtId="0" fontId="47" fillId="3" borderId="221" xfId="0" applyFont="1" applyFill="1" applyBorder="1" applyAlignment="1">
      <alignment horizontal="left" vertical="center"/>
    </xf>
    <xf numFmtId="0" fontId="20" fillId="2" borderId="219" xfId="0" applyFont="1" applyFill="1" applyBorder="1" applyAlignment="1">
      <alignment horizontal="center" vertical="center"/>
    </xf>
    <xf numFmtId="0" fontId="20" fillId="2" borderId="221" xfId="0" applyFont="1" applyFill="1" applyBorder="1" applyAlignment="1">
      <alignment horizontal="center" vertical="center"/>
    </xf>
    <xf numFmtId="0" fontId="20" fillId="5" borderId="219" xfId="0" quotePrefix="1" applyFont="1" applyFill="1" applyBorder="1" applyAlignment="1">
      <alignment horizontal="center" vertical="center"/>
    </xf>
    <xf numFmtId="0" fontId="20" fillId="5" borderId="221" xfId="0" applyFont="1" applyFill="1" applyBorder="1" applyAlignment="1">
      <alignment horizontal="center" vertical="center"/>
    </xf>
    <xf numFmtId="0" fontId="23" fillId="0" borderId="219" xfId="0" quotePrefix="1" applyFont="1" applyBorder="1" applyAlignment="1">
      <alignment horizontal="left" vertical="center"/>
    </xf>
    <xf numFmtId="0" fontId="23" fillId="0" borderId="220" xfId="0" quotePrefix="1" applyFont="1" applyBorder="1" applyAlignment="1">
      <alignment horizontal="left" vertical="center"/>
    </xf>
    <xf numFmtId="0" fontId="23" fillId="0" borderId="221" xfId="0" quotePrefix="1" applyFont="1" applyBorder="1" applyAlignment="1">
      <alignment horizontal="left" vertical="center"/>
    </xf>
    <xf numFmtId="0" fontId="23" fillId="0" borderId="219" xfId="0" quotePrefix="1" applyFont="1" applyBorder="1" applyAlignment="1">
      <alignment horizontal="left" vertical="center" wrapText="1"/>
    </xf>
    <xf numFmtId="0" fontId="23" fillId="0" borderId="219" xfId="0" applyFont="1" applyBorder="1" applyAlignment="1">
      <alignment horizontal="center" vertical="center"/>
    </xf>
    <xf numFmtId="0" fontId="23" fillId="0" borderId="220" xfId="0" applyFont="1" applyBorder="1" applyAlignment="1">
      <alignment horizontal="center" vertical="center"/>
    </xf>
    <xf numFmtId="0" fontId="23" fillId="0" borderId="221" xfId="0" applyFont="1" applyBorder="1" applyAlignment="1">
      <alignment horizontal="center" vertical="center"/>
    </xf>
    <xf numFmtId="0" fontId="20" fillId="5" borderId="219" xfId="0" applyFont="1" applyFill="1" applyBorder="1" applyAlignment="1">
      <alignment horizontal="left" vertical="center"/>
    </xf>
    <xf numFmtId="0" fontId="20" fillId="5" borderId="220" xfId="0" applyFont="1" applyFill="1" applyBorder="1" applyAlignment="1">
      <alignment horizontal="left" vertical="center"/>
    </xf>
    <xf numFmtId="0" fontId="20" fillId="2" borderId="218" xfId="0" applyFont="1" applyFill="1" applyBorder="1" applyAlignment="1">
      <alignment horizontal="center" vertical="center"/>
    </xf>
    <xf numFmtId="0" fontId="20" fillId="5" borderId="226" xfId="0" applyFont="1" applyFill="1" applyBorder="1" applyAlignment="1">
      <alignment horizontal="center" vertical="center"/>
    </xf>
    <xf numFmtId="0" fontId="20" fillId="5" borderId="218" xfId="0" applyFont="1" applyFill="1" applyBorder="1" applyAlignment="1">
      <alignment horizontal="center" vertical="center"/>
    </xf>
    <xf numFmtId="0" fontId="23" fillId="0" borderId="218" xfId="0" applyFont="1" applyBorder="1" applyAlignment="1">
      <alignment horizontal="center" vertical="center"/>
    </xf>
    <xf numFmtId="0" fontId="20" fillId="2" borderId="220" xfId="0" applyFont="1" applyFill="1" applyBorder="1" applyAlignment="1">
      <alignment horizontal="center" vertical="center"/>
    </xf>
    <xf numFmtId="0" fontId="23" fillId="0" borderId="219" xfId="0" quotePrefix="1" applyFont="1" applyBorder="1" applyAlignment="1">
      <alignment horizontal="center" vertical="center"/>
    </xf>
    <xf numFmtId="0" fontId="20" fillId="3" borderId="219" xfId="0" applyFont="1" applyFill="1" applyBorder="1" applyAlignment="1">
      <alignment horizontal="center" vertical="center"/>
    </xf>
    <xf numFmtId="0" fontId="20" fillId="3" borderId="220" xfId="0" applyFont="1" applyFill="1" applyBorder="1" applyAlignment="1">
      <alignment horizontal="center" vertical="center"/>
    </xf>
    <xf numFmtId="0" fontId="20" fillId="3" borderId="221" xfId="0" applyFont="1" applyFill="1" applyBorder="1" applyAlignment="1">
      <alignment horizontal="center" vertical="center"/>
    </xf>
    <xf numFmtId="0" fontId="19" fillId="3" borderId="143" xfId="0" applyFont="1" applyFill="1" applyBorder="1" applyAlignment="1">
      <alignment horizontal="left" vertical="center"/>
    </xf>
    <xf numFmtId="0" fontId="19" fillId="3" borderId="144" xfId="0" applyFont="1" applyFill="1" applyBorder="1" applyAlignment="1">
      <alignment horizontal="left" vertical="center"/>
    </xf>
    <xf numFmtId="0" fontId="19" fillId="5" borderId="122" xfId="0" applyFont="1" applyFill="1" applyBorder="1" applyAlignment="1">
      <alignment horizontal="center" vertical="center" wrapText="1"/>
    </xf>
    <xf numFmtId="0" fontId="19" fillId="5" borderId="138" xfId="0" applyFont="1" applyFill="1" applyBorder="1" applyAlignment="1">
      <alignment horizontal="center" vertical="center" wrapText="1"/>
    </xf>
    <xf numFmtId="0" fontId="19" fillId="8" borderId="237" xfId="0" applyFont="1" applyFill="1" applyBorder="1" applyAlignment="1">
      <alignment horizontal="center" vertical="center" wrapText="1"/>
    </xf>
    <xf numFmtId="0" fontId="19" fillId="8" borderId="120" xfId="0" applyFont="1" applyFill="1" applyBorder="1" applyAlignment="1">
      <alignment horizontal="center" vertical="center" wrapText="1"/>
    </xf>
    <xf numFmtId="0" fontId="19" fillId="8" borderId="119" xfId="0" applyFont="1" applyFill="1" applyBorder="1" applyAlignment="1">
      <alignment horizontal="center" vertical="center" wrapText="1"/>
    </xf>
    <xf numFmtId="0" fontId="19" fillId="8" borderId="121" xfId="0" applyFont="1" applyFill="1" applyBorder="1" applyAlignment="1">
      <alignment horizontal="center" vertical="center" wrapText="1"/>
    </xf>
    <xf numFmtId="0" fontId="19" fillId="5" borderId="117" xfId="0" applyFont="1" applyFill="1" applyBorder="1" applyAlignment="1">
      <alignment horizontal="center" vertical="center" wrapText="1"/>
    </xf>
    <xf numFmtId="0" fontId="19" fillId="5" borderId="132" xfId="0" applyFont="1" applyFill="1" applyBorder="1" applyAlignment="1">
      <alignment horizontal="center" vertical="center" wrapText="1"/>
    </xf>
    <xf numFmtId="0" fontId="19" fillId="5" borderId="0" xfId="0" applyFont="1" applyFill="1" applyAlignment="1">
      <alignment horizontal="center" vertical="center" wrapText="1"/>
    </xf>
    <xf numFmtId="0" fontId="19" fillId="5" borderId="134" xfId="0" applyFont="1" applyFill="1" applyBorder="1" applyAlignment="1">
      <alignment horizontal="center" vertical="center" wrapText="1"/>
    </xf>
    <xf numFmtId="0" fontId="19" fillId="8" borderId="118" xfId="0" applyFont="1" applyFill="1" applyBorder="1" applyAlignment="1">
      <alignment horizontal="left" vertical="center"/>
    </xf>
    <xf numFmtId="0" fontId="19" fillId="8" borderId="153" xfId="0" applyFont="1" applyFill="1" applyBorder="1" applyAlignment="1">
      <alignment horizontal="left" vertical="center"/>
    </xf>
    <xf numFmtId="0" fontId="3" fillId="8" borderId="142" xfId="0" applyFont="1" applyFill="1" applyBorder="1" applyAlignment="1">
      <alignment horizontal="center" vertical="center"/>
    </xf>
    <xf numFmtId="0" fontId="3" fillId="8" borderId="186" xfId="0" applyFont="1" applyFill="1" applyBorder="1" applyAlignment="1">
      <alignment horizontal="center" vertical="center"/>
    </xf>
    <xf numFmtId="0" fontId="3" fillId="8" borderId="210" xfId="0" applyFont="1" applyFill="1" applyBorder="1" applyAlignment="1">
      <alignment horizontal="center" vertical="center"/>
    </xf>
    <xf numFmtId="0" fontId="13" fillId="5" borderId="185" xfId="0" applyFont="1" applyFill="1" applyBorder="1" applyAlignment="1">
      <alignment horizontal="center" vertical="center" wrapText="1"/>
    </xf>
    <xf numFmtId="0" fontId="13" fillId="5" borderId="267" xfId="0" applyFont="1" applyFill="1" applyBorder="1" applyAlignment="1">
      <alignment horizontal="center" vertical="center" wrapText="1"/>
    </xf>
    <xf numFmtId="0" fontId="13" fillId="5" borderId="123" xfId="0" applyFont="1" applyFill="1" applyBorder="1" applyAlignment="1">
      <alignment horizontal="center" vertical="center" wrapText="1"/>
    </xf>
    <xf numFmtId="0" fontId="13" fillId="5" borderId="215" xfId="0" applyFont="1" applyFill="1" applyBorder="1" applyAlignment="1">
      <alignment horizontal="center" vertical="center" wrapText="1"/>
    </xf>
    <xf numFmtId="0" fontId="20" fillId="3" borderId="216" xfId="0" applyFont="1" applyFill="1" applyBorder="1" applyAlignment="1">
      <alignment horizontal="center" vertical="center"/>
    </xf>
    <xf numFmtId="0" fontId="20" fillId="3" borderId="217" xfId="0" applyFont="1" applyFill="1" applyBorder="1" applyAlignment="1">
      <alignment horizontal="center" vertical="center"/>
    </xf>
    <xf numFmtId="0" fontId="20" fillId="3" borderId="106" xfId="0" applyFont="1" applyFill="1" applyBorder="1" applyAlignment="1">
      <alignment horizontal="center" vertical="center"/>
    </xf>
    <xf numFmtId="0" fontId="20" fillId="3" borderId="107" xfId="0" applyFont="1" applyFill="1" applyBorder="1" applyAlignment="1">
      <alignment horizontal="center" vertical="center"/>
    </xf>
    <xf numFmtId="0" fontId="20" fillId="3" borderId="105" xfId="0" applyFont="1" applyFill="1" applyBorder="1" applyAlignment="1">
      <alignment horizontal="center" vertical="center"/>
    </xf>
    <xf numFmtId="0" fontId="20" fillId="3" borderId="147" xfId="0" applyFont="1" applyFill="1" applyBorder="1" applyAlignment="1">
      <alignment horizontal="center" vertical="center"/>
    </xf>
    <xf numFmtId="0" fontId="20" fillId="3" borderId="143" xfId="0" applyFont="1" applyFill="1" applyBorder="1" applyAlignment="1">
      <alignment horizontal="center" vertical="center"/>
    </xf>
    <xf numFmtId="0" fontId="20" fillId="3" borderId="144" xfId="0" applyFont="1" applyFill="1" applyBorder="1" applyAlignment="1">
      <alignment horizontal="center" vertical="center"/>
    </xf>
    <xf numFmtId="0" fontId="20" fillId="5" borderId="264" xfId="0" applyFont="1" applyFill="1" applyBorder="1" applyAlignment="1">
      <alignment horizontal="center" vertical="center"/>
    </xf>
    <xf numFmtId="0" fontId="20" fillId="3" borderId="265" xfId="0" applyFont="1" applyFill="1" applyBorder="1" applyAlignment="1">
      <alignment horizontal="center" vertical="center"/>
    </xf>
    <xf numFmtId="9" fontId="13" fillId="5" borderId="124" xfId="2" applyFont="1" applyFill="1" applyBorder="1" applyAlignment="1">
      <alignment horizontal="center" vertical="center" wrapText="1"/>
    </xf>
    <xf numFmtId="9" fontId="13" fillId="5" borderId="268" xfId="2" applyFont="1" applyFill="1" applyBorder="1" applyAlignment="1">
      <alignment horizontal="center" vertical="center" wrapText="1"/>
    </xf>
    <xf numFmtId="0" fontId="20" fillId="5" borderId="105" xfId="0" applyFont="1" applyFill="1" applyBorder="1" applyAlignment="1">
      <alignment horizontal="center" vertical="center"/>
    </xf>
    <xf numFmtId="0" fontId="20" fillId="5" borderId="106" xfId="0" applyFont="1" applyFill="1" applyBorder="1" applyAlignment="1">
      <alignment horizontal="center" vertical="center"/>
    </xf>
    <xf numFmtId="0" fontId="20" fillId="5" borderId="107" xfId="0" applyFont="1" applyFill="1" applyBorder="1" applyAlignment="1">
      <alignment horizontal="center" vertical="center"/>
    </xf>
    <xf numFmtId="0" fontId="20" fillId="5" borderId="113" xfId="0" applyFont="1" applyFill="1" applyBorder="1" applyAlignment="1">
      <alignment horizontal="center" vertical="center"/>
    </xf>
    <xf numFmtId="0" fontId="20" fillId="5" borderId="0" xfId="0" applyFont="1" applyFill="1" applyAlignment="1">
      <alignment horizontal="center" vertical="center"/>
    </xf>
    <xf numFmtId="0" fontId="20" fillId="5" borderId="114" xfId="0" applyFont="1" applyFill="1" applyBorder="1" applyAlignment="1">
      <alignment horizontal="center" vertical="center"/>
    </xf>
    <xf numFmtId="0" fontId="20" fillId="5" borderId="126" xfId="0" applyFont="1" applyFill="1" applyBorder="1" applyAlignment="1">
      <alignment horizontal="center" vertical="center"/>
    </xf>
    <xf numFmtId="0" fontId="20" fillId="5" borderId="127" xfId="0" applyFont="1" applyFill="1" applyBorder="1" applyAlignment="1">
      <alignment horizontal="center" vertical="center"/>
    </xf>
    <xf numFmtId="0" fontId="20" fillId="5" borderId="128" xfId="0" applyFont="1" applyFill="1" applyBorder="1" applyAlignment="1">
      <alignment horizontal="center" vertical="center"/>
    </xf>
    <xf numFmtId="0" fontId="23" fillId="0" borderId="221" xfId="0" quotePrefix="1" applyFont="1" applyBorder="1" applyAlignment="1">
      <alignment horizontal="center" vertical="center"/>
    </xf>
    <xf numFmtId="0" fontId="23" fillId="0" borderId="219" xfId="0" applyFont="1" applyBorder="1" applyAlignment="1">
      <alignment horizontal="left" vertical="center" wrapText="1"/>
    </xf>
    <xf numFmtId="0" fontId="23" fillId="0" borderId="220" xfId="0" applyFont="1" applyBorder="1" applyAlignment="1">
      <alignment horizontal="left" vertical="center" wrapText="1"/>
    </xf>
    <xf numFmtId="0" fontId="23" fillId="0" borderId="221" xfId="0" applyFont="1" applyBorder="1" applyAlignment="1">
      <alignment horizontal="left" vertical="center" wrapText="1"/>
    </xf>
    <xf numFmtId="0" fontId="20" fillId="5" borderId="277" xfId="0" applyFont="1" applyFill="1" applyBorder="1" applyAlignment="1">
      <alignment horizontal="center" vertical="center"/>
    </xf>
    <xf numFmtId="0" fontId="20" fillId="5" borderId="278" xfId="0" applyFont="1" applyFill="1" applyBorder="1" applyAlignment="1">
      <alignment horizontal="center" vertical="center"/>
    </xf>
    <xf numFmtId="0" fontId="20" fillId="3" borderId="219" xfId="0" quotePrefix="1" applyFont="1" applyFill="1" applyBorder="1" applyAlignment="1">
      <alignment horizontal="center" vertical="center"/>
    </xf>
    <xf numFmtId="0" fontId="23" fillId="0" borderId="219" xfId="0" applyFont="1" applyBorder="1" applyAlignment="1">
      <alignment horizontal="left" vertical="top" wrapText="1"/>
    </xf>
    <xf numFmtId="0" fontId="23" fillId="0" borderId="220" xfId="0" applyFont="1" applyBorder="1" applyAlignment="1">
      <alignment horizontal="left" vertical="top"/>
    </xf>
    <xf numFmtId="0" fontId="23" fillId="0" borderId="221" xfId="0" applyFont="1" applyBorder="1" applyAlignment="1">
      <alignment horizontal="left" vertical="top"/>
    </xf>
    <xf numFmtId="0" fontId="20" fillId="5" borderId="221" xfId="0" quotePrefix="1" applyFont="1" applyFill="1" applyBorder="1" applyAlignment="1">
      <alignment horizontal="center" vertical="center"/>
    </xf>
    <xf numFmtId="0" fontId="20" fillId="2" borderId="229" xfId="0" applyFont="1" applyFill="1" applyBorder="1" applyAlignment="1">
      <alignment horizontal="center" vertical="center"/>
    </xf>
    <xf numFmtId="0" fontId="20" fillId="2" borderId="231" xfId="0" applyFont="1" applyFill="1" applyBorder="1" applyAlignment="1">
      <alignment horizontal="center" vertical="center"/>
    </xf>
    <xf numFmtId="0" fontId="20" fillId="2" borderId="230" xfId="0" applyFont="1" applyFill="1" applyBorder="1" applyAlignment="1">
      <alignment horizontal="center" vertical="center"/>
    </xf>
    <xf numFmtId="0" fontId="20" fillId="10" borderId="219" xfId="0" quotePrefix="1" applyFont="1" applyFill="1" applyBorder="1" applyAlignment="1">
      <alignment horizontal="center" vertical="center"/>
    </xf>
    <xf numFmtId="0" fontId="20" fillId="10" borderId="221" xfId="0" quotePrefix="1" applyFont="1" applyFill="1" applyBorder="1" applyAlignment="1">
      <alignment horizontal="center" vertical="center"/>
    </xf>
    <xf numFmtId="0" fontId="32" fillId="2" borderId="0" xfId="0" applyFont="1" applyFill="1" applyAlignment="1">
      <alignment horizontal="center" vertical="center"/>
    </xf>
    <xf numFmtId="0" fontId="19" fillId="5" borderId="105" xfId="0" applyFont="1" applyFill="1" applyBorder="1" applyAlignment="1">
      <alignment horizontal="center" vertical="center"/>
    </xf>
    <xf numFmtId="0" fontId="19" fillId="5" borderId="106" xfId="0" applyFont="1" applyFill="1" applyBorder="1" applyAlignment="1">
      <alignment horizontal="center" vertical="center"/>
    </xf>
    <xf numFmtId="0" fontId="19" fillId="5" borderId="107" xfId="0" applyFont="1" applyFill="1" applyBorder="1" applyAlignment="1">
      <alignment horizontal="center" vertical="center"/>
    </xf>
    <xf numFmtId="0" fontId="19" fillId="5" borderId="113" xfId="0" applyFont="1" applyFill="1" applyBorder="1" applyAlignment="1">
      <alignment horizontal="center" vertical="center"/>
    </xf>
    <xf numFmtId="0" fontId="19" fillId="5" borderId="0" xfId="0" applyFont="1" applyFill="1" applyAlignment="1">
      <alignment horizontal="center" vertical="center"/>
    </xf>
    <xf numFmtId="0" fontId="19" fillId="5" borderId="114" xfId="0" applyFont="1" applyFill="1" applyBorder="1" applyAlignment="1">
      <alignment horizontal="center" vertical="center"/>
    </xf>
    <xf numFmtId="0" fontId="19" fillId="5" borderId="126" xfId="0" applyFont="1" applyFill="1" applyBorder="1" applyAlignment="1">
      <alignment horizontal="center" vertical="center"/>
    </xf>
    <xf numFmtId="0" fontId="19" fillId="5" borderId="127" xfId="0" applyFont="1" applyFill="1" applyBorder="1" applyAlignment="1">
      <alignment horizontal="center" vertical="center"/>
    </xf>
    <xf numFmtId="0" fontId="19" fillId="5" borderId="128" xfId="0" applyFont="1" applyFill="1" applyBorder="1" applyAlignment="1">
      <alignment horizontal="center" vertical="center"/>
    </xf>
    <xf numFmtId="0" fontId="19" fillId="5" borderId="108" xfId="0" applyFont="1" applyFill="1" applyBorder="1" applyAlignment="1">
      <alignment horizontal="center" vertical="center" wrapText="1"/>
    </xf>
    <xf numFmtId="0" fontId="19" fillId="5" borderId="115" xfId="0" applyFont="1" applyFill="1" applyBorder="1" applyAlignment="1">
      <alignment horizontal="center" vertical="center" wrapText="1"/>
    </xf>
    <xf numFmtId="0" fontId="19" fillId="5" borderId="129" xfId="0" applyFont="1" applyFill="1" applyBorder="1" applyAlignment="1">
      <alignment horizontal="center" vertical="center" wrapText="1"/>
    </xf>
    <xf numFmtId="0" fontId="19" fillId="5" borderId="109" xfId="0" applyFont="1" applyFill="1" applyBorder="1" applyAlignment="1">
      <alignment horizontal="center" vertical="center" wrapText="1"/>
    </xf>
    <xf numFmtId="0" fontId="19" fillId="5" borderId="116" xfId="0" applyFont="1" applyFill="1" applyBorder="1" applyAlignment="1">
      <alignment horizontal="center" vertical="center" wrapText="1"/>
    </xf>
    <xf numFmtId="0" fontId="19" fillId="5" borderId="130" xfId="0" applyFont="1" applyFill="1" applyBorder="1" applyAlignment="1">
      <alignment horizontal="center" vertical="center" wrapText="1"/>
    </xf>
    <xf numFmtId="0" fontId="19" fillId="5" borderId="110" xfId="0" applyFont="1" applyFill="1" applyBorder="1" applyAlignment="1">
      <alignment horizontal="center" vertical="center" wrapText="1"/>
    </xf>
    <xf numFmtId="0" fontId="19" fillId="5" borderId="106" xfId="0" applyFont="1" applyFill="1" applyBorder="1" applyAlignment="1">
      <alignment horizontal="center" vertical="center" wrapText="1"/>
    </xf>
    <xf numFmtId="0" fontId="19" fillId="5" borderId="112" xfId="0" applyFont="1" applyFill="1" applyBorder="1" applyAlignment="1">
      <alignment horizontal="center" vertical="center" wrapText="1"/>
    </xf>
    <xf numFmtId="0" fontId="19" fillId="8" borderId="232" xfId="0" applyFont="1" applyFill="1" applyBorder="1" applyAlignment="1">
      <alignment horizontal="center" vertical="center"/>
    </xf>
    <xf numFmtId="0" fontId="19" fillId="8" borderId="233" xfId="0" applyFont="1" applyFill="1" applyBorder="1" applyAlignment="1">
      <alignment horizontal="center" vertical="center"/>
    </xf>
    <xf numFmtId="0" fontId="19" fillId="8" borderId="234" xfId="0" applyFont="1" applyFill="1" applyBorder="1" applyAlignment="1">
      <alignment horizontal="center" vertical="center"/>
    </xf>
    <xf numFmtId="0" fontId="19" fillId="5" borderId="112" xfId="0" applyFont="1" applyFill="1" applyBorder="1" applyAlignment="1">
      <alignment horizontal="center" vertical="center"/>
    </xf>
    <xf numFmtId="0" fontId="19" fillId="5" borderId="111" xfId="0" applyFont="1" applyFill="1" applyBorder="1" applyAlignment="1">
      <alignment horizontal="center" vertical="center"/>
    </xf>
    <xf numFmtId="0" fontId="19" fillId="5" borderId="222" xfId="0" applyFont="1" applyFill="1" applyBorder="1" applyAlignment="1">
      <alignment horizontal="center" vertical="center" wrapText="1"/>
    </xf>
    <xf numFmtId="0" fontId="19" fillId="5" borderId="223" xfId="0" applyFont="1" applyFill="1" applyBorder="1" applyAlignment="1">
      <alignment horizontal="center" vertical="center" wrapText="1"/>
    </xf>
    <xf numFmtId="0" fontId="19" fillId="5" borderId="224" xfId="0" applyFont="1" applyFill="1" applyBorder="1" applyAlignment="1">
      <alignment horizontal="center" vertical="center" wrapText="1"/>
    </xf>
    <xf numFmtId="0" fontId="19" fillId="5" borderId="113" xfId="0" applyFont="1" applyFill="1" applyBorder="1" applyAlignment="1">
      <alignment horizontal="center" vertical="center" wrapText="1"/>
    </xf>
    <xf numFmtId="0" fontId="19" fillId="5" borderId="131" xfId="0" applyFont="1" applyFill="1" applyBorder="1" applyAlignment="1">
      <alignment horizontal="center" vertical="center" wrapText="1"/>
    </xf>
    <xf numFmtId="0" fontId="19" fillId="5" borderId="125" xfId="0" applyFont="1" applyFill="1" applyBorder="1" applyAlignment="1">
      <alignment horizontal="center" vertical="center" wrapText="1"/>
    </xf>
    <xf numFmtId="0" fontId="19" fillId="5" borderId="141" xfId="0" applyFont="1" applyFill="1" applyBorder="1" applyAlignment="1">
      <alignment horizontal="center" vertical="center" wrapText="1"/>
    </xf>
    <xf numFmtId="0" fontId="19" fillId="5" borderId="114" xfId="0" applyFont="1" applyFill="1" applyBorder="1" applyAlignment="1">
      <alignment horizontal="center" vertical="center" wrapText="1"/>
    </xf>
    <xf numFmtId="0" fontId="19" fillId="5" borderId="133" xfId="0" applyFont="1" applyFill="1" applyBorder="1" applyAlignment="1">
      <alignment horizontal="center" vertical="center" wrapText="1"/>
    </xf>
    <xf numFmtId="0" fontId="19" fillId="5" borderId="235" xfId="0" applyFont="1" applyFill="1" applyBorder="1" applyAlignment="1">
      <alignment horizontal="center" vertical="center"/>
    </xf>
    <xf numFmtId="0" fontId="19" fillId="5" borderId="233" xfId="0" applyFont="1" applyFill="1" applyBorder="1" applyAlignment="1">
      <alignment horizontal="center" vertical="center"/>
    </xf>
    <xf numFmtId="0" fontId="19" fillId="5" borderId="236" xfId="0" applyFont="1" applyFill="1" applyBorder="1" applyAlignment="1">
      <alignment horizontal="center" vertical="center"/>
    </xf>
    <xf numFmtId="0" fontId="19" fillId="5" borderId="123" xfId="0" applyFont="1" applyFill="1" applyBorder="1" applyAlignment="1">
      <alignment horizontal="center" vertical="center" wrapText="1"/>
    </xf>
    <xf numFmtId="0" fontId="19" fillId="5" borderId="139" xfId="0" applyFont="1" applyFill="1" applyBorder="1" applyAlignment="1">
      <alignment horizontal="center" vertical="center" wrapText="1"/>
    </xf>
    <xf numFmtId="0" fontId="19" fillId="5" borderId="124" xfId="0" applyFont="1" applyFill="1" applyBorder="1" applyAlignment="1">
      <alignment horizontal="center" vertical="center" wrapText="1"/>
    </xf>
    <xf numFmtId="0" fontId="19" fillId="5" borderId="140" xfId="0" applyFont="1" applyFill="1" applyBorder="1" applyAlignment="1">
      <alignment horizontal="center" vertical="center" wrapText="1"/>
    </xf>
    <xf numFmtId="0" fontId="19" fillId="5" borderId="238" xfId="0" applyFont="1" applyFill="1" applyBorder="1" applyAlignment="1">
      <alignment horizontal="center" vertical="center" wrapText="1"/>
    </xf>
    <xf numFmtId="0" fontId="19" fillId="5" borderId="240" xfId="0" applyFont="1" applyFill="1" applyBorder="1" applyAlignment="1">
      <alignment horizontal="center" vertical="center" wrapText="1"/>
    </xf>
    <xf numFmtId="0" fontId="20" fillId="5" borderId="110" xfId="0" applyFont="1" applyFill="1" applyBorder="1" applyAlignment="1">
      <alignment horizontal="center" vertical="center"/>
    </xf>
    <xf numFmtId="0" fontId="20" fillId="5" borderId="112" xfId="0" applyFont="1" applyFill="1" applyBorder="1" applyAlignment="1">
      <alignment horizontal="center" vertical="center"/>
    </xf>
    <xf numFmtId="0" fontId="20" fillId="5" borderId="111" xfId="0" applyFont="1" applyFill="1" applyBorder="1" applyAlignment="1">
      <alignment horizontal="center" vertical="center"/>
    </xf>
    <xf numFmtId="180" fontId="20" fillId="3" borderId="120" xfId="45" applyNumberFormat="1" applyFont="1" applyFill="1" applyBorder="1" applyAlignment="1">
      <alignment horizontal="center" vertical="center"/>
    </xf>
    <xf numFmtId="0" fontId="20" fillId="2" borderId="120" xfId="0" applyFont="1" applyFill="1" applyBorder="1" applyAlignment="1">
      <alignment horizontal="center" vertical="center"/>
    </xf>
    <xf numFmtId="0" fontId="20" fillId="2" borderId="279" xfId="0" applyFont="1" applyFill="1" applyBorder="1" applyAlignment="1">
      <alignment horizontal="center" vertical="center"/>
    </xf>
    <xf numFmtId="0" fontId="20" fillId="2" borderId="280" xfId="0" applyFont="1" applyFill="1" applyBorder="1" applyAlignment="1">
      <alignment horizontal="center" vertical="center"/>
    </xf>
    <xf numFmtId="0" fontId="20" fillId="2" borderId="281" xfId="0" applyFont="1" applyFill="1" applyBorder="1" applyAlignment="1">
      <alignment horizontal="center" vertical="center"/>
    </xf>
    <xf numFmtId="0" fontId="20" fillId="3" borderId="279" xfId="0" applyFont="1" applyFill="1" applyBorder="1" applyAlignment="1">
      <alignment horizontal="center" vertical="center"/>
    </xf>
    <xf numFmtId="0" fontId="20" fillId="3" borderId="280" xfId="0" applyFont="1" applyFill="1" applyBorder="1" applyAlignment="1">
      <alignment horizontal="center" vertical="center"/>
    </xf>
    <xf numFmtId="0" fontId="20" fillId="3" borderId="281" xfId="0" applyFont="1" applyFill="1" applyBorder="1" applyAlignment="1">
      <alignment horizontal="center" vertical="center"/>
    </xf>
    <xf numFmtId="0" fontId="23" fillId="0" borderId="279" xfId="0" applyFont="1" applyBorder="1" applyAlignment="1">
      <alignment horizontal="left" vertical="center" wrapText="1"/>
    </xf>
    <xf numFmtId="0" fontId="23" fillId="0" borderId="280" xfId="0" applyFont="1" applyBorder="1" applyAlignment="1">
      <alignment horizontal="left" vertical="center" wrapText="1"/>
    </xf>
    <xf numFmtId="0" fontId="23" fillId="0" borderId="281" xfId="0" applyFont="1" applyBorder="1" applyAlignment="1">
      <alignment horizontal="left" vertical="center" wrapText="1"/>
    </xf>
    <xf numFmtId="0" fontId="23" fillId="0" borderId="120" xfId="0" applyFont="1" applyBorder="1" applyAlignment="1">
      <alignment horizontal="center" vertical="center"/>
    </xf>
    <xf numFmtId="180" fontId="23" fillId="0" borderId="120" xfId="45" applyNumberFormat="1" applyFont="1" applyBorder="1" applyAlignment="1">
      <alignment horizontal="center" vertical="center"/>
    </xf>
    <xf numFmtId="0" fontId="20" fillId="5" borderId="228" xfId="0" applyFont="1" applyFill="1" applyBorder="1" applyAlignment="1">
      <alignment horizontal="center" vertical="center"/>
    </xf>
    <xf numFmtId="0" fontId="20" fillId="5" borderId="227" xfId="0" applyFont="1" applyFill="1" applyBorder="1" applyAlignment="1">
      <alignment horizontal="center" vertical="center"/>
    </xf>
    <xf numFmtId="0" fontId="20" fillId="3" borderId="120" xfId="0" applyFont="1" applyFill="1" applyBorder="1" applyAlignment="1">
      <alignment horizontal="center" vertical="center"/>
    </xf>
    <xf numFmtId="0" fontId="23" fillId="0" borderId="219" xfId="0" applyFont="1" applyBorder="1" applyAlignment="1">
      <alignment horizontal="left" vertical="center"/>
    </xf>
    <xf numFmtId="0" fontId="23" fillId="0" borderId="220" xfId="0" applyFont="1" applyBorder="1" applyAlignment="1">
      <alignment horizontal="left" vertical="center"/>
    </xf>
    <xf numFmtId="0" fontId="20" fillId="3" borderId="219" xfId="0" applyFont="1" applyFill="1" applyBorder="1" applyAlignment="1">
      <alignment horizontal="left" vertical="center"/>
    </xf>
    <xf numFmtId="0" fontId="20" fillId="3" borderId="220" xfId="0" applyFont="1" applyFill="1" applyBorder="1" applyAlignment="1">
      <alignment horizontal="left" vertical="center"/>
    </xf>
    <xf numFmtId="0" fontId="13" fillId="5" borderId="266" xfId="0" applyFont="1" applyFill="1" applyBorder="1" applyAlignment="1">
      <alignment horizontal="center" vertical="center" wrapText="1"/>
    </xf>
    <xf numFmtId="0" fontId="13" fillId="5" borderId="269" xfId="0" applyFont="1" applyFill="1" applyBorder="1" applyAlignment="1">
      <alignment horizontal="center" vertical="center" wrapText="1"/>
    </xf>
    <xf numFmtId="0" fontId="20" fillId="8" borderId="118" xfId="0" applyFont="1" applyFill="1" applyBorder="1" applyAlignment="1">
      <alignment horizontal="left" vertical="center"/>
    </xf>
    <xf numFmtId="0" fontId="20" fillId="8" borderId="153" xfId="0" applyFont="1" applyFill="1" applyBorder="1" applyAlignment="1">
      <alignment horizontal="left" vertical="center"/>
    </xf>
    <xf numFmtId="0" fontId="13" fillId="5" borderId="124" xfId="0" applyFont="1" applyFill="1" applyBorder="1" applyAlignment="1">
      <alignment horizontal="center" vertical="center" wrapText="1"/>
    </xf>
    <xf numFmtId="0" fontId="13" fillId="5" borderId="268" xfId="0" applyFont="1" applyFill="1" applyBorder="1" applyAlignment="1">
      <alignment horizontal="center" vertical="center" wrapText="1"/>
    </xf>
    <xf numFmtId="0" fontId="20" fillId="8" borderId="142" xfId="0" applyFont="1" applyFill="1" applyBorder="1" applyAlignment="1">
      <alignment horizontal="center" vertical="center"/>
    </xf>
    <xf numFmtId="0" fontId="20" fillId="8" borderId="186" xfId="0" applyFont="1" applyFill="1" applyBorder="1" applyAlignment="1">
      <alignment horizontal="center" vertical="center"/>
    </xf>
    <xf numFmtId="0" fontId="20" fillId="8" borderId="210" xfId="0" applyFont="1" applyFill="1" applyBorder="1" applyAlignment="1">
      <alignment horizontal="center" vertical="center"/>
    </xf>
    <xf numFmtId="0" fontId="3" fillId="6" borderId="18" xfId="0" applyFont="1" applyFill="1" applyBorder="1" applyAlignment="1">
      <alignment horizontal="center" vertical="center"/>
    </xf>
    <xf numFmtId="0" fontId="3" fillId="6" borderId="26" xfId="0" applyFont="1" applyFill="1" applyBorder="1" applyAlignment="1">
      <alignment horizontal="center" vertical="center"/>
    </xf>
    <xf numFmtId="0" fontId="3" fillId="2" borderId="35" xfId="0" applyFont="1" applyFill="1" applyBorder="1" applyAlignment="1">
      <alignment horizontal="center" vertical="center"/>
    </xf>
    <xf numFmtId="0" fontId="3" fillId="2" borderId="314" xfId="0" applyFont="1" applyFill="1" applyBorder="1" applyAlignment="1">
      <alignment horizontal="center" vertical="center"/>
    </xf>
    <xf numFmtId="0" fontId="3" fillId="5" borderId="88" xfId="0" applyFont="1" applyFill="1" applyBorder="1" applyAlignment="1">
      <alignment horizontal="center" vertical="center"/>
    </xf>
    <xf numFmtId="0" fontId="3" fillId="5" borderId="59" xfId="0" applyFont="1" applyFill="1" applyBorder="1" applyAlignment="1">
      <alignment horizontal="center" vertical="center"/>
    </xf>
    <xf numFmtId="0" fontId="3" fillId="5" borderId="87" xfId="0" applyFont="1" applyFill="1" applyBorder="1" applyAlignment="1">
      <alignment horizontal="center" vertical="center"/>
    </xf>
    <xf numFmtId="0" fontId="3" fillId="5" borderId="60" xfId="0" applyFont="1" applyFill="1" applyBorder="1" applyAlignment="1">
      <alignment horizontal="center" vertical="center"/>
    </xf>
    <xf numFmtId="0" fontId="3" fillId="5" borderId="61" xfId="0" applyFont="1" applyFill="1" applyBorder="1" applyAlignment="1">
      <alignment horizontal="center" vertical="center"/>
    </xf>
    <xf numFmtId="0" fontId="3" fillId="5" borderId="62" xfId="0" applyFont="1" applyFill="1" applyBorder="1" applyAlignment="1">
      <alignment horizontal="center" vertical="center"/>
    </xf>
    <xf numFmtId="0" fontId="3" fillId="5" borderId="63" xfId="0" applyFont="1" applyFill="1" applyBorder="1" applyAlignment="1">
      <alignment horizontal="center" vertical="center"/>
    </xf>
    <xf numFmtId="0" fontId="3" fillId="5" borderId="64" xfId="0" applyFont="1" applyFill="1" applyBorder="1" applyAlignment="1">
      <alignment horizontal="center" vertical="center"/>
    </xf>
    <xf numFmtId="0" fontId="3" fillId="5" borderId="6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25"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0" xfId="0" applyFont="1" applyFill="1" applyAlignment="1">
      <alignment horizontal="center" vertical="center"/>
    </xf>
    <xf numFmtId="0" fontId="3" fillId="5" borderId="29" xfId="0" applyFont="1" applyFill="1" applyBorder="1" applyAlignment="1">
      <alignment horizontal="center" vertical="center"/>
    </xf>
    <xf numFmtId="0" fontId="3" fillId="5" borderId="22" xfId="0" applyFont="1" applyFill="1" applyBorder="1" applyAlignment="1">
      <alignment horizontal="center" vertical="center"/>
    </xf>
    <xf numFmtId="0" fontId="3" fillId="8" borderId="15" xfId="0" applyFont="1" applyFill="1" applyBorder="1" applyAlignment="1">
      <alignment horizontal="center" vertical="center"/>
    </xf>
    <xf numFmtId="0" fontId="3" fillId="8" borderId="37"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48" xfId="0" applyFont="1" applyFill="1" applyBorder="1" applyAlignment="1">
      <alignment horizontal="center" vertical="center"/>
    </xf>
    <xf numFmtId="0" fontId="0" fillId="3" borderId="15" xfId="0" applyFill="1" applyBorder="1" applyAlignment="1">
      <alignment horizontal="center" vertical="center"/>
    </xf>
    <xf numFmtId="0" fontId="0" fillId="3" borderId="4" xfId="0" applyFill="1" applyBorder="1" applyAlignment="1">
      <alignment horizontal="center" vertical="center"/>
    </xf>
    <xf numFmtId="0" fontId="3" fillId="5" borderId="6" xfId="0" applyFont="1" applyFill="1" applyBorder="1" applyAlignment="1">
      <alignment horizontal="center" vertical="center"/>
    </xf>
    <xf numFmtId="0" fontId="3" fillId="5" borderId="312"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3" borderId="23" xfId="0" applyFont="1" applyFill="1" applyBorder="1" applyAlignment="1">
      <alignment horizontal="center" vertical="center"/>
    </xf>
    <xf numFmtId="0" fontId="3" fillId="3" borderId="37"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31" xfId="0" applyFont="1" applyFill="1" applyBorder="1" applyAlignment="1">
      <alignment horizontal="center" vertical="center"/>
    </xf>
    <xf numFmtId="0" fontId="3" fillId="5" borderId="314" xfId="0" applyFon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13" xfId="0" applyFont="1" applyBorder="1" applyAlignment="1">
      <alignment horizontal="center" vertical="center"/>
    </xf>
    <xf numFmtId="0" fontId="0" fillId="3" borderId="23" xfId="0" applyFill="1" applyBorder="1" applyAlignment="1">
      <alignment horizontal="center" vertical="center"/>
    </xf>
    <xf numFmtId="0" fontId="0" fillId="3" borderId="90" xfId="0" applyFill="1" applyBorder="1" applyAlignment="1">
      <alignment horizontal="center" vertical="center"/>
    </xf>
    <xf numFmtId="0" fontId="13" fillId="5" borderId="1"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3" xfId="0" applyFont="1" applyFill="1" applyBorder="1" applyAlignment="1">
      <alignment horizontal="center" vertical="center"/>
    </xf>
    <xf numFmtId="0" fontId="13" fillId="5" borderId="11" xfId="0" applyFont="1" applyFill="1" applyBorder="1" applyAlignment="1">
      <alignment horizontal="center" vertical="center"/>
    </xf>
    <xf numFmtId="0" fontId="13" fillId="5" borderId="12" xfId="0" applyFont="1" applyFill="1" applyBorder="1" applyAlignment="1">
      <alignment horizontal="center" vertical="center"/>
    </xf>
    <xf numFmtId="0" fontId="13" fillId="5" borderId="13"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14"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10" xfId="0" applyFont="1" applyFill="1" applyBorder="1" applyAlignment="1">
      <alignment horizontal="center" vertical="center"/>
    </xf>
    <xf numFmtId="0" fontId="17" fillId="5" borderId="5" xfId="0" applyFont="1" applyFill="1" applyBorder="1" applyAlignment="1">
      <alignment horizontal="center" vertical="center"/>
    </xf>
    <xf numFmtId="0" fontId="17" fillId="8" borderId="5" xfId="0" applyFont="1" applyFill="1" applyBorder="1" applyAlignment="1">
      <alignment horizontal="center" vertical="center"/>
    </xf>
    <xf numFmtId="0" fontId="17" fillId="8" borderId="310" xfId="0" applyFont="1" applyFill="1" applyBorder="1" applyAlignment="1">
      <alignment horizontal="center" vertical="center"/>
    </xf>
    <xf numFmtId="0" fontId="17" fillId="8" borderId="16" xfId="0" applyFont="1" applyFill="1" applyBorder="1" applyAlignment="1">
      <alignment horizontal="center" vertical="center"/>
    </xf>
    <xf numFmtId="0" fontId="16" fillId="0" borderId="5" xfId="0" applyFont="1" applyBorder="1" applyAlignment="1">
      <alignment horizontal="center" vertical="center"/>
    </xf>
    <xf numFmtId="0" fontId="17" fillId="8" borderId="5" xfId="0" applyFont="1" applyFill="1" applyBorder="1" applyAlignment="1">
      <alignment horizontal="center" vertical="center" wrapText="1"/>
    </xf>
    <xf numFmtId="0" fontId="3" fillId="2" borderId="27" xfId="0" applyFont="1" applyFill="1" applyBorder="1" applyAlignment="1">
      <alignment horizontal="center" vertical="center"/>
    </xf>
    <xf numFmtId="0" fontId="3" fillId="2" borderId="28" xfId="0" applyFont="1" applyFill="1" applyBorder="1" applyAlignment="1">
      <alignment horizontal="center" vertical="center"/>
    </xf>
    <xf numFmtId="0" fontId="3" fillId="2" borderId="23" xfId="0" applyFont="1" applyFill="1" applyBorder="1" applyAlignment="1">
      <alignment horizontal="center" vertical="center"/>
    </xf>
    <xf numFmtId="0" fontId="3" fillId="2" borderId="90" xfId="0" applyFont="1" applyFill="1" applyBorder="1" applyAlignment="1">
      <alignment horizontal="center" vertical="center"/>
    </xf>
    <xf numFmtId="0" fontId="3" fillId="2" borderId="29" xfId="0" applyFont="1" applyFill="1" applyBorder="1" applyAlignment="1">
      <alignment horizontal="center" vertical="center"/>
    </xf>
    <xf numFmtId="0" fontId="0" fillId="0" borderId="22" xfId="0" applyBorder="1" applyAlignment="1">
      <alignment horizontal="right" vertical="center"/>
    </xf>
  </cellXfs>
  <cellStyles count="122">
    <cellStyle name="Normal_자금수지항목(기준)" xfId="14" xr:uid="{00000000-0005-0000-0000-000000000000}"/>
    <cellStyle name="백분율" xfId="2" builtinId="5"/>
    <cellStyle name="백분율 2" xfId="17" xr:uid="{00000000-0005-0000-0000-000002000000}"/>
    <cellStyle name="백분율 2 2" xfId="37" xr:uid="{00000000-0005-0000-0000-000003000000}"/>
    <cellStyle name="쉼표 [0]" xfId="1" builtinId="6"/>
    <cellStyle name="쉼표 [0] 10" xfId="4" xr:uid="{00000000-0005-0000-0000-000005000000}"/>
    <cellStyle name="쉼표 [0] 10 2" xfId="45" xr:uid="{F2CB93D3-C2AF-44B3-8427-44AF0C97F060}"/>
    <cellStyle name="쉼표 [0] 10 2 2" xfId="98" xr:uid="{2A8F8553-F0B3-47F6-98A8-658B80243BD8}"/>
    <cellStyle name="쉼표 [0] 10 3" xfId="73" xr:uid="{15206524-E66F-402D-95CF-A69B081C0AC4}"/>
    <cellStyle name="쉼표 [0] 11" xfId="3" xr:uid="{00000000-0005-0000-0000-000006000000}"/>
    <cellStyle name="쉼표 [0] 11 2" xfId="44" xr:uid="{6430F737-6890-4205-93E8-5BBEFD3CBA7A}"/>
    <cellStyle name="쉼표 [0] 11 2 2" xfId="97" xr:uid="{F3A87BB4-5EC7-4764-926C-EB8218A9DADC}"/>
    <cellStyle name="쉼표 [0] 11 3" xfId="72" xr:uid="{396F3F7B-ECAE-4FE1-8C20-4A102623F9F4}"/>
    <cellStyle name="쉼표 [0] 12" xfId="40" xr:uid="{00000000-0005-0000-0000-000007000000}"/>
    <cellStyle name="쉼표 [0] 12 2" xfId="65" xr:uid="{8A343959-84CD-4BA2-95C7-EF7A7706BBCC}"/>
    <cellStyle name="쉼표 [0] 12 2 2" xfId="118" xr:uid="{AC3994F9-8EB7-4525-91E1-871E29698DA9}"/>
    <cellStyle name="쉼표 [0] 12 3" xfId="93" xr:uid="{4561BBBC-974D-476A-8E55-7C95441A530A}"/>
    <cellStyle name="쉼표 [0] 13" xfId="41" xr:uid="{869FB8A9-AE35-4DB8-918F-B6FF75176D4C}"/>
    <cellStyle name="쉼표 [0] 13 2" xfId="66" xr:uid="{CF3A17A5-1443-4D6B-92C2-57BC92360CC3}"/>
    <cellStyle name="쉼표 [0] 13 2 2" xfId="119" xr:uid="{A6FCF412-2944-487C-9C66-1BF6340A9F80}"/>
    <cellStyle name="쉼표 [0] 13 3" xfId="94" xr:uid="{A0E7CA21-791D-47B5-A97D-4AF6E355B656}"/>
    <cellStyle name="쉼표 [0] 14" xfId="43" xr:uid="{70280B63-7D3B-44E2-AFA4-01B6A344C36A}"/>
    <cellStyle name="쉼표 [0] 14 2" xfId="96" xr:uid="{6FA6DF0E-0D25-4D04-A35E-6287BE3B6B6E}"/>
    <cellStyle name="쉼표 [0] 15" xfId="70" xr:uid="{123B93A4-F9E7-474D-B94D-1E546D697451}"/>
    <cellStyle name="쉼표 [0] 15 2" xfId="121" xr:uid="{378D36D8-9C99-4721-BFF9-EDF4799420AF}"/>
    <cellStyle name="쉼표 [0] 16" xfId="71" xr:uid="{77279D05-4CBF-4C4E-A0C5-8C3F6EE534CD}"/>
    <cellStyle name="쉼표 [0] 2" xfId="11" xr:uid="{00000000-0005-0000-0000-000008000000}"/>
    <cellStyle name="쉼표 [0] 2 15" xfId="42" xr:uid="{ACE3A937-7C57-4D05-B0DA-9F758B4E1AAB}"/>
    <cellStyle name="쉼표 [0] 2 15 2" xfId="67" xr:uid="{B6FDD70E-BD83-4126-9029-D100F62B4B0A}"/>
    <cellStyle name="쉼표 [0] 2 15 2 2" xfId="120" xr:uid="{CDA43837-13BE-453C-8E74-C6AB6197C04D}"/>
    <cellStyle name="쉼표 [0] 2 15 3" xfId="95" xr:uid="{4329A885-52B2-46A4-A85E-7AB71BB7182F}"/>
    <cellStyle name="쉼표 [0] 2 2" xfId="24" xr:uid="{00000000-0005-0000-0000-000009000000}"/>
    <cellStyle name="쉼표 [0] 2 2 2" xfId="54" xr:uid="{DF87829F-AA11-4DC5-9EE6-2D77B2CDE026}"/>
    <cellStyle name="쉼표 [0] 2 2 2 2" xfId="107" xr:uid="{D23E2188-DA8B-439C-A710-1D6EBAA922D5}"/>
    <cellStyle name="쉼표 [0] 2 2 3" xfId="82" xr:uid="{3BAFF53E-C933-4C92-BC9D-C62E89B417E0}"/>
    <cellStyle name="쉼표 [0] 2 3" xfId="13" xr:uid="{00000000-0005-0000-0000-00000A000000}"/>
    <cellStyle name="쉼표 [0] 2 3 2" xfId="26" xr:uid="{00000000-0005-0000-0000-00000B000000}"/>
    <cellStyle name="쉼표 [0] 2 3 2 2" xfId="56" xr:uid="{785201BB-0B5C-4CD8-894B-A8E179F330DE}"/>
    <cellStyle name="쉼표 [0] 2 3 2 2 2" xfId="109" xr:uid="{85100356-8C3B-427C-82A0-4DA9B557D7F9}"/>
    <cellStyle name="쉼표 [0] 2 3 2 3" xfId="84" xr:uid="{FD0BDCF9-EAF4-48E9-87C4-408E46EA7045}"/>
    <cellStyle name="쉼표 [0] 2 3 3" xfId="50" xr:uid="{BBEB3442-14E3-4310-973A-34C3E4E52927}"/>
    <cellStyle name="쉼표 [0] 2 3 3 2" xfId="103" xr:uid="{E2BA880C-3E44-4959-A74F-0EB4ADDB9A29}"/>
    <cellStyle name="쉼표 [0] 2 3 4" xfId="78" xr:uid="{B68FBCE5-8679-4F35-B709-CA47123C79B6}"/>
    <cellStyle name="쉼표 [0] 2 4" xfId="36" xr:uid="{00000000-0005-0000-0000-00000C000000}"/>
    <cellStyle name="쉼표 [0] 2 4 2" xfId="62" xr:uid="{AB3792A9-8B41-4D1D-ADF8-3FDE615C597F}"/>
    <cellStyle name="쉼표 [0] 2 4 2 2" xfId="115" xr:uid="{78167AF5-8C8E-4049-BF22-A998EBC0C8D0}"/>
    <cellStyle name="쉼표 [0] 2 4 3" xfId="90" xr:uid="{052539A3-C65E-4B4B-892C-B55FE9400E88}"/>
    <cellStyle name="쉼표 [0] 2 5" xfId="48" xr:uid="{B82474B8-8CC0-4F63-AFFB-EF807C14AA50}"/>
    <cellStyle name="쉼표 [0] 2 5 2" xfId="101" xr:uid="{AE9856D8-89A5-4A1C-9657-1B9E29DBE699}"/>
    <cellStyle name="쉼표 [0] 2 6" xfId="76" xr:uid="{DFEF0DDE-DB55-4C26-9FEF-E5BE60ADD152}"/>
    <cellStyle name="쉼표 [0] 3" xfId="21" xr:uid="{00000000-0005-0000-0000-00000D000000}"/>
    <cellStyle name="쉼표 [0] 3 2" xfId="27" xr:uid="{00000000-0005-0000-0000-00000E000000}"/>
    <cellStyle name="쉼표 [0] 3 2 2" xfId="57" xr:uid="{6BA62508-951C-4202-B5FF-53B5279DF8EE}"/>
    <cellStyle name="쉼표 [0] 3 2 2 2" xfId="110" xr:uid="{0E01AF82-091F-44F6-9933-165F989B27B4}"/>
    <cellStyle name="쉼표 [0] 3 2 3" xfId="85" xr:uid="{54E6D1C0-F98E-43E8-8E9E-F95CAFBC4B00}"/>
    <cellStyle name="쉼표 [0] 3 3" xfId="51" xr:uid="{68CCA096-454E-49A1-8B5A-876D731AE3F8}"/>
    <cellStyle name="쉼표 [0] 3 3 2" xfId="104" xr:uid="{F77C255C-7C32-4F00-B03E-C65EFC6C7A99}"/>
    <cellStyle name="쉼표 [0] 3 4" xfId="79" xr:uid="{FF382AF0-52C0-444D-B99A-AA3DAA37F83B}"/>
    <cellStyle name="쉼표 [0] 3 5" xfId="34" xr:uid="{00000000-0005-0000-0000-00000F000000}"/>
    <cellStyle name="쉼표 [0] 3 5 2" xfId="60" xr:uid="{40229E62-E35C-4804-A01B-997C32E434E6}"/>
    <cellStyle name="쉼표 [0] 3 5 2 2" xfId="113" xr:uid="{C7617D7C-E2FE-40BE-807F-01E047072BB0}"/>
    <cellStyle name="쉼표 [0] 3 5 3" xfId="88" xr:uid="{49ADA8FC-396B-486E-968F-7B9778FEA4A6}"/>
    <cellStyle name="쉼표 [0] 4" xfId="12" xr:uid="{00000000-0005-0000-0000-000010000000}"/>
    <cellStyle name="쉼표 [0] 4 2" xfId="25" xr:uid="{00000000-0005-0000-0000-000011000000}"/>
    <cellStyle name="쉼표 [0] 4 2 2" xfId="55" xr:uid="{F558C5CF-680D-4C81-9B10-C1ED8A381ACD}"/>
    <cellStyle name="쉼표 [0] 4 2 2 2" xfId="108" xr:uid="{76273B21-1E6F-423E-98F7-AD50A8CC3B53}"/>
    <cellStyle name="쉼표 [0] 4 2 3" xfId="83" xr:uid="{5A26D89B-BF15-4300-8A8A-84C9438ACD95}"/>
    <cellStyle name="쉼표 [0] 4 3" xfId="49" xr:uid="{B95021B6-C751-41D0-9A67-7EF11B326E0B}"/>
    <cellStyle name="쉼표 [0] 4 3 2" xfId="102" xr:uid="{6D7F5FAB-6A6E-4318-8922-3E8FD44490DB}"/>
    <cellStyle name="쉼표 [0] 4 4" xfId="77" xr:uid="{716FA04A-1CA2-4405-984E-585CE162F5D2}"/>
    <cellStyle name="쉼표 [0] 5" xfId="7" xr:uid="{00000000-0005-0000-0000-000012000000}"/>
    <cellStyle name="쉼표 [0] 5 2" xfId="23" xr:uid="{00000000-0005-0000-0000-000013000000}"/>
    <cellStyle name="쉼표 [0] 5 2 2" xfId="53" xr:uid="{CA68BD95-ECB5-44FA-8F25-ECA56F873660}"/>
    <cellStyle name="쉼표 [0] 5 2 2 2" xfId="106" xr:uid="{7B086431-28D5-4933-B7CF-697B0D952AE6}"/>
    <cellStyle name="쉼표 [0] 5 2 3" xfId="81" xr:uid="{275E0F82-CC97-4C54-832E-1EC61A3B94A7}"/>
    <cellStyle name="쉼표 [0] 5 3" xfId="47" xr:uid="{62C95CB1-C18C-4323-A354-2B99F854A262}"/>
    <cellStyle name="쉼표 [0] 5 3 2" xfId="100" xr:uid="{E9AAB878-50AF-4F4B-9434-FA2B2469EE1A}"/>
    <cellStyle name="쉼표 [0] 5 4" xfId="75" xr:uid="{F4390064-F3DE-4310-8DFE-4AA3D16B31B1}"/>
    <cellStyle name="쉼표 [0] 6" xfId="22" xr:uid="{00000000-0005-0000-0000-000014000000}"/>
    <cellStyle name="쉼표 [0] 6 2" xfId="52" xr:uid="{EF56D885-BF1D-4389-94C6-65CC39908588}"/>
    <cellStyle name="쉼표 [0] 6 2 2" xfId="105" xr:uid="{C31541CA-425A-4481-B62F-B942789DCBC8}"/>
    <cellStyle name="쉼표 [0] 6 3" xfId="80" xr:uid="{8EA95238-9AE4-4885-AA0B-43D5AAFF39AF}"/>
    <cellStyle name="쉼표 [0] 7" xfId="33" xr:uid="{00000000-0005-0000-0000-000015000000}"/>
    <cellStyle name="쉼표 [0] 7 2" xfId="30" xr:uid="{00000000-0005-0000-0000-000016000000}"/>
    <cellStyle name="쉼표 [0] 7 2 2" xfId="58" xr:uid="{71BE0423-21F3-4B43-A43E-1C93FB152463}"/>
    <cellStyle name="쉼표 [0] 7 2 2 2" xfId="111" xr:uid="{1F078175-1864-4BA7-8239-9573DD2E0846}"/>
    <cellStyle name="쉼표 [0] 7 2 3" xfId="86" xr:uid="{0CF54230-8F98-482A-ACC0-FA3C86BD21D1}"/>
    <cellStyle name="쉼표 [0] 7 3" xfId="59" xr:uid="{E9750A01-030F-48F1-B13E-549E06F4377F}"/>
    <cellStyle name="쉼표 [0] 7 3 2" xfId="112" xr:uid="{6B5CDF1B-1EA6-486D-AD1D-F3678FFCBC55}"/>
    <cellStyle name="쉼표 [0] 7 4" xfId="87" xr:uid="{AFA354BB-11AB-49A5-BCCB-3AEC5FEFC7C6}"/>
    <cellStyle name="쉼표 [0] 8" xfId="5" xr:uid="{00000000-0005-0000-0000-000017000000}"/>
    <cellStyle name="쉼표 [0] 8 2" xfId="46" xr:uid="{B18693CB-0198-4CD0-9ABA-764C1A5C0654}"/>
    <cellStyle name="쉼표 [0] 8 2 2" xfId="99" xr:uid="{C400FEC3-311B-4D81-AF7A-B601CC8A5CC7}"/>
    <cellStyle name="쉼표 [0] 8 3" xfId="74" xr:uid="{DBA1CB8A-6BC1-49B9-9DD3-7759D744490B}"/>
    <cellStyle name="쉼표 [0] 9" xfId="38" xr:uid="{00000000-0005-0000-0000-000018000000}"/>
    <cellStyle name="쉼표 [0] 9 2" xfId="63" xr:uid="{38D57509-2894-4117-9987-C49D1249C58F}"/>
    <cellStyle name="쉼표 [0] 9 2 2" xfId="116" xr:uid="{CE542841-B2BE-454F-BAAF-2EE62152F409}"/>
    <cellStyle name="쉼표 [0] 9 3" xfId="91" xr:uid="{1FA6D1F5-70B2-4C6E-9B8E-BFBDE7BC0405}"/>
    <cellStyle name="쉼표 2" xfId="35" xr:uid="{00000000-0005-0000-0000-000019000000}"/>
    <cellStyle name="쉼표 2 2" xfId="61" xr:uid="{0DA94C6B-4677-43E6-8B3E-5816CC7F661B}"/>
    <cellStyle name="쉼표 2 2 2" xfId="114" xr:uid="{90AF945C-49BD-406F-B3C0-5F13FB477FE2}"/>
    <cellStyle name="쉼표 2 3" xfId="89" xr:uid="{B9A85F92-64BB-43BE-8CCB-3AD2B6074136}"/>
    <cellStyle name="쉼표 3" xfId="39" xr:uid="{00000000-0005-0000-0000-00001A000000}"/>
    <cellStyle name="쉼표 3 2" xfId="64" xr:uid="{EA62A71B-7CBF-4054-BE29-6561196E5BC3}"/>
    <cellStyle name="쉼표 3 2 2" xfId="117" xr:uid="{E8880686-54D8-44FE-9134-006D173512AB}"/>
    <cellStyle name="쉼표 3 3" xfId="92" xr:uid="{F0B79160-42AD-41EF-B363-83560321E4EF}"/>
    <cellStyle name="표준" xfId="0" builtinId="0"/>
    <cellStyle name="표준 10" xfId="19" xr:uid="{00000000-0005-0000-0000-00001C000000}"/>
    <cellStyle name="표준 11 2" xfId="28" xr:uid="{00000000-0005-0000-0000-00001D000000}"/>
    <cellStyle name="표준 12 2" xfId="29" xr:uid="{00000000-0005-0000-0000-00001E000000}"/>
    <cellStyle name="표준 2" xfId="8" xr:uid="{00000000-0005-0000-0000-00001F000000}"/>
    <cellStyle name="표준 2 2" xfId="16" xr:uid="{00000000-0005-0000-0000-000020000000}"/>
    <cellStyle name="표준 2 2 2" xfId="69" xr:uid="{75EC6B42-F715-4B61-9C99-26C50D33F16A}"/>
    <cellStyle name="표준 2 3" xfId="68" xr:uid="{AD6E69EC-DF40-4A44-A6B5-C93F77A50690}"/>
    <cellStyle name="표준 3 2 2 2" xfId="9" xr:uid="{00000000-0005-0000-0000-000021000000}"/>
    <cellStyle name="표준 3 3" xfId="10" xr:uid="{00000000-0005-0000-0000-000022000000}"/>
    <cellStyle name="표준 3 3 2" xfId="32" xr:uid="{00000000-0005-0000-0000-000023000000}"/>
    <cellStyle name="표준 4" xfId="6" xr:uid="{00000000-0005-0000-0000-000024000000}"/>
    <cellStyle name="표준 4 2" xfId="31" xr:uid="{00000000-0005-0000-0000-000025000000}"/>
    <cellStyle name="표준 4 3" xfId="18" xr:uid="{00000000-0005-0000-0000-000026000000}"/>
    <cellStyle name="표준 4 4" xfId="20" xr:uid="{00000000-0005-0000-0000-000027000000}"/>
    <cellStyle name="표준 5" xfId="15" xr:uid="{00000000-0005-0000-0000-000028000000}"/>
  </cellStyles>
  <dxfs count="0"/>
  <tableStyles count="0" defaultTableStyle="TableStyleMedium2" defaultPivotStyle="PivotStyleLight16"/>
  <colors>
    <mruColors>
      <color rgb="FF0000FF"/>
      <color rgb="FF7A8A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6</xdr:col>
      <xdr:colOff>231322</xdr:colOff>
      <xdr:row>65</xdr:row>
      <xdr:rowOff>340179</xdr:rowOff>
    </xdr:from>
    <xdr:to>
      <xdr:col>13</xdr:col>
      <xdr:colOff>391922</xdr:colOff>
      <xdr:row>65</xdr:row>
      <xdr:rowOff>2149929</xdr:rowOff>
    </xdr:to>
    <xdr:pic>
      <xdr:nvPicPr>
        <xdr:cNvPr id="5" name="그림 4">
          <a:extLst>
            <a:ext uri="{FF2B5EF4-FFF2-40B4-BE49-F238E27FC236}">
              <a16:creationId xmlns:a16="http://schemas.microsoft.com/office/drawing/2014/main" id="{CBF81A3A-1AEA-0A8E-82B0-4AC9BF7DCB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6393" y="23404286"/>
          <a:ext cx="5399350" cy="180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707571</xdr:colOff>
      <xdr:row>65</xdr:row>
      <xdr:rowOff>326571</xdr:rowOff>
    </xdr:from>
    <xdr:to>
      <xdr:col>22</xdr:col>
      <xdr:colOff>698852</xdr:colOff>
      <xdr:row>65</xdr:row>
      <xdr:rowOff>1714500</xdr:rowOff>
    </xdr:to>
    <xdr:pic>
      <xdr:nvPicPr>
        <xdr:cNvPr id="4" name="그림 3">
          <a:extLst>
            <a:ext uri="{FF2B5EF4-FFF2-40B4-BE49-F238E27FC236}">
              <a16:creationId xmlns:a16="http://schemas.microsoft.com/office/drawing/2014/main" id="{76919E64-01E1-92F0-9CBA-67102D7E72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3357" y="22887214"/>
          <a:ext cx="2984852" cy="13879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299357</xdr:colOff>
      <xdr:row>65</xdr:row>
      <xdr:rowOff>326572</xdr:rowOff>
    </xdr:from>
    <xdr:to>
      <xdr:col>18</xdr:col>
      <xdr:colOff>319897</xdr:colOff>
      <xdr:row>65</xdr:row>
      <xdr:rowOff>1728107</xdr:rowOff>
    </xdr:to>
    <xdr:pic>
      <xdr:nvPicPr>
        <xdr:cNvPr id="6" name="그림 5">
          <a:extLst>
            <a:ext uri="{FF2B5EF4-FFF2-40B4-BE49-F238E27FC236}">
              <a16:creationId xmlns:a16="http://schemas.microsoft.com/office/drawing/2014/main" id="{08B55351-62D5-3EFF-1890-280E3F494FB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851571" y="22928036"/>
          <a:ext cx="3014112" cy="1401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243</xdr:row>
          <xdr:rowOff>0</xdr:rowOff>
        </xdr:from>
        <xdr:to>
          <xdr:col>19</xdr:col>
          <xdr:colOff>285693</xdr:colOff>
          <xdr:row>283</xdr:row>
          <xdr:rowOff>56029</xdr:rowOff>
        </xdr:to>
        <xdr:pic>
          <xdr:nvPicPr>
            <xdr:cNvPr id="2" name="그림 1">
              <a:extLst>
                <a:ext uri="{FF2B5EF4-FFF2-40B4-BE49-F238E27FC236}">
                  <a16:creationId xmlns:a16="http://schemas.microsoft.com/office/drawing/2014/main" id="{B7484BF8-7BCE-6194-7D1E-D1E67F26E4B8}"/>
                </a:ext>
              </a:extLst>
            </xdr:cNvPr>
            <xdr:cNvPicPr>
              <a:picLocks noChangeAspect="1" noChangeArrowheads="1"/>
              <a:extLst>
                <a:ext uri="{84589F7E-364E-4C9E-8A38-B11213B215E9}">
                  <a14:cameraTool cellRange="'1분기 상세'!$B$2:$AD$38" spid="_x0000_s99728"/>
                </a:ext>
              </a:extLst>
            </xdr:cNvPicPr>
          </xdr:nvPicPr>
          <xdr:blipFill>
            <a:blip xmlns:r="http://schemas.openxmlformats.org/officeDocument/2006/relationships" r:embed="rId1"/>
            <a:srcRect/>
            <a:stretch>
              <a:fillRect/>
            </a:stretch>
          </xdr:blipFill>
          <xdr:spPr bwMode="auto">
            <a:xfrm>
              <a:off x="156882" y="6925235"/>
              <a:ext cx="20288193" cy="85725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20CC0-40A9-493A-ABBE-A6CD69E58F6E}">
  <sheetPr codeName="Sheet1">
    <tabColor rgb="FF002060"/>
    <pageSetUpPr fitToPage="1"/>
  </sheetPr>
  <dimension ref="A1:AE206"/>
  <sheetViews>
    <sheetView showGridLines="0" view="pageBreakPreview" zoomScale="55" zoomScaleNormal="55" zoomScaleSheetLayoutView="55" workbookViewId="0">
      <pane xSplit="5" ySplit="7" topLeftCell="F15" activePane="bottomRight" state="frozen"/>
      <selection pane="topRight" activeCell="F1" sqref="F1"/>
      <selection pane="bottomLeft" activeCell="A8" sqref="A8"/>
      <selection pane="bottomRight" activeCell="V12" sqref="V12"/>
    </sheetView>
  </sheetViews>
  <sheetFormatPr defaultColWidth="8.59765625" defaultRowHeight="13.8" x14ac:dyDescent="0.4"/>
  <cols>
    <col min="1" max="1" width="1.09765625" style="475" customWidth="1"/>
    <col min="2" max="2" width="3.09765625" style="475" customWidth="1"/>
    <col min="3" max="3" width="14.09765625" style="475" customWidth="1"/>
    <col min="4" max="4" width="11.19921875" style="475" customWidth="1"/>
    <col min="5" max="9" width="9.59765625" style="475" customWidth="1"/>
    <col min="10" max="10" width="12.59765625" style="475" customWidth="1"/>
    <col min="11" max="22" width="9.59765625" style="475" customWidth="1"/>
    <col min="23" max="23" width="11.09765625" style="475" customWidth="1"/>
    <col min="24" max="24" width="10.59765625" style="475" customWidth="1"/>
    <col min="25" max="25" width="11.09765625" style="475" customWidth="1"/>
    <col min="26" max="26" width="13.19921875" style="475" bestFit="1" customWidth="1"/>
    <col min="27" max="27" width="12.19921875" style="475" customWidth="1"/>
    <col min="28" max="28" width="12.09765625" style="475" customWidth="1"/>
    <col min="29" max="29" width="10.59765625" style="475" customWidth="1"/>
    <col min="30" max="30" width="9.09765625" style="475" customWidth="1"/>
    <col min="31" max="31" width="17.09765625" style="475" customWidth="1"/>
    <col min="32" max="32" width="8.59765625" style="475"/>
    <col min="33" max="33" width="13.09765625" style="475" customWidth="1"/>
    <col min="34" max="37" width="8.59765625" style="475"/>
    <col min="38" max="38" width="48.59765625" style="475" customWidth="1"/>
    <col min="39" max="16384" width="8.59765625" style="475"/>
  </cols>
  <sheetData>
    <row r="1" spans="1:31" ht="37.35" customHeight="1" x14ac:dyDescent="0.4">
      <c r="A1" s="1036" t="s">
        <v>0</v>
      </c>
      <c r="B1" s="1036"/>
      <c r="C1" s="1036"/>
      <c r="D1" s="1036"/>
      <c r="E1" s="1036"/>
      <c r="F1" s="1036"/>
      <c r="G1" s="1036"/>
      <c r="H1" s="1036"/>
      <c r="I1" s="1036"/>
      <c r="J1" s="1036"/>
      <c r="K1" s="1036"/>
      <c r="L1" s="1036"/>
      <c r="M1" s="1036"/>
      <c r="N1" s="1036"/>
      <c r="O1" s="1036"/>
      <c r="P1" s="1036"/>
      <c r="Q1" s="1036"/>
      <c r="R1" s="1036"/>
      <c r="S1" s="1036"/>
      <c r="T1" s="1036"/>
      <c r="U1" s="1036"/>
      <c r="V1" s="1036"/>
      <c r="W1" s="1036"/>
      <c r="X1" s="1036"/>
      <c r="Y1" s="1036"/>
      <c r="Z1" s="1036"/>
      <c r="AA1" s="1036"/>
      <c r="AB1" s="1036"/>
      <c r="AC1" s="1036"/>
    </row>
    <row r="2" spans="1:31" ht="33" customHeight="1" x14ac:dyDescent="0.4">
      <c r="A2" s="476"/>
      <c r="B2" s="476"/>
      <c r="C2" s="476"/>
      <c r="D2" s="476"/>
      <c r="E2" s="476"/>
      <c r="F2" s="476"/>
      <c r="G2" s="476"/>
      <c r="H2" s="476"/>
      <c r="I2" s="476"/>
      <c r="J2" s="476"/>
      <c r="K2" s="476"/>
      <c r="L2" s="476"/>
      <c r="M2" s="476"/>
      <c r="N2" s="476"/>
      <c r="O2" s="476"/>
      <c r="P2" s="476"/>
      <c r="Q2" s="476"/>
      <c r="R2" s="476"/>
      <c r="S2" s="476"/>
      <c r="T2" s="476"/>
      <c r="W2" s="477"/>
      <c r="Y2" s="477" t="s">
        <v>551</v>
      </c>
      <c r="AB2" s="477"/>
    </row>
    <row r="3" spans="1:31" ht="27" customHeight="1" x14ac:dyDescent="0.4">
      <c r="A3" s="478" t="s">
        <v>553</v>
      </c>
      <c r="F3" s="479" t="s">
        <v>150</v>
      </c>
    </row>
    <row r="4" spans="1:31" ht="14.4" thickBot="1" x14ac:dyDescent="0.45">
      <c r="F4" s="479" t="s">
        <v>1</v>
      </c>
      <c r="J4" s="479" t="s">
        <v>151</v>
      </c>
      <c r="K4" s="479"/>
      <c r="L4" s="479"/>
      <c r="M4" s="479"/>
      <c r="N4" s="479" t="s">
        <v>153</v>
      </c>
      <c r="O4" s="479"/>
      <c r="P4" s="480"/>
      <c r="Q4" s="479"/>
      <c r="R4" s="479" t="s">
        <v>155</v>
      </c>
      <c r="Y4" s="481" t="s">
        <v>5</v>
      </c>
      <c r="AB4" s="481"/>
    </row>
    <row r="5" spans="1:31" ht="25.35" customHeight="1" x14ac:dyDescent="0.4">
      <c r="A5" s="955" t="s">
        <v>6</v>
      </c>
      <c r="B5" s="956"/>
      <c r="C5" s="975"/>
      <c r="D5" s="982" t="s">
        <v>7</v>
      </c>
      <c r="E5" s="985" t="s">
        <v>8</v>
      </c>
      <c r="F5" s="943" t="s">
        <v>560</v>
      </c>
      <c r="G5" s="944"/>
      <c r="H5" s="944"/>
      <c r="I5" s="945"/>
      <c r="J5" s="959" t="s">
        <v>150</v>
      </c>
      <c r="K5" s="960"/>
      <c r="L5" s="960"/>
      <c r="M5" s="960"/>
      <c r="N5" s="960"/>
      <c r="O5" s="960"/>
      <c r="P5" s="960"/>
      <c r="Q5" s="960"/>
      <c r="R5" s="960"/>
      <c r="S5" s="960"/>
      <c r="T5" s="960"/>
      <c r="U5" s="961"/>
      <c r="V5" s="955" t="s">
        <v>552</v>
      </c>
      <c r="W5" s="956"/>
      <c r="X5" s="956"/>
      <c r="Y5" s="956"/>
      <c r="Z5" s="955" t="s">
        <v>561</v>
      </c>
      <c r="AA5" s="956"/>
      <c r="AB5" s="956"/>
      <c r="AC5" s="1039"/>
    </row>
    <row r="6" spans="1:31" ht="25.35" customHeight="1" thickBot="1" x14ac:dyDescent="0.45">
      <c r="A6" s="976"/>
      <c r="B6" s="977"/>
      <c r="C6" s="978"/>
      <c r="D6" s="983"/>
      <c r="E6" s="986"/>
      <c r="F6" s="946"/>
      <c r="G6" s="947"/>
      <c r="H6" s="947"/>
      <c r="I6" s="948"/>
      <c r="J6" s="952" t="s">
        <v>151</v>
      </c>
      <c r="K6" s="952"/>
      <c r="L6" s="953"/>
      <c r="M6" s="954"/>
      <c r="N6" s="951" t="s">
        <v>153</v>
      </c>
      <c r="O6" s="952"/>
      <c r="P6" s="953"/>
      <c r="Q6" s="954"/>
      <c r="R6" s="951" t="s">
        <v>155</v>
      </c>
      <c r="S6" s="952"/>
      <c r="T6" s="953"/>
      <c r="U6" s="954"/>
      <c r="V6" s="957"/>
      <c r="W6" s="958"/>
      <c r="X6" s="958"/>
      <c r="Y6" s="958"/>
      <c r="Z6" s="957"/>
      <c r="AA6" s="958"/>
      <c r="AB6" s="958"/>
      <c r="AC6" s="1040"/>
    </row>
    <row r="7" spans="1:31" ht="46.5" customHeight="1" thickBot="1" x14ac:dyDescent="0.45">
      <c r="A7" s="979"/>
      <c r="B7" s="980"/>
      <c r="C7" s="981"/>
      <c r="D7" s="984"/>
      <c r="E7" s="987"/>
      <c r="F7" s="482" t="s">
        <v>9</v>
      </c>
      <c r="G7" s="483" t="s">
        <v>10</v>
      </c>
      <c r="H7" s="484" t="s">
        <v>11</v>
      </c>
      <c r="I7" s="485" t="s">
        <v>12</v>
      </c>
      <c r="J7" s="486" t="s">
        <v>7</v>
      </c>
      <c r="K7" s="487" t="s">
        <v>10</v>
      </c>
      <c r="L7" s="488" t="s">
        <v>11</v>
      </c>
      <c r="M7" s="489" t="s">
        <v>12</v>
      </c>
      <c r="N7" s="486" t="s">
        <v>9</v>
      </c>
      <c r="O7" s="487" t="s">
        <v>10</v>
      </c>
      <c r="P7" s="488" t="s">
        <v>11</v>
      </c>
      <c r="Q7" s="489" t="s">
        <v>12</v>
      </c>
      <c r="R7" s="486" t="s">
        <v>9</v>
      </c>
      <c r="S7" s="487" t="s">
        <v>10</v>
      </c>
      <c r="T7" s="488" t="s">
        <v>11</v>
      </c>
      <c r="U7" s="489" t="s">
        <v>12</v>
      </c>
      <c r="V7" s="490" t="s">
        <v>9</v>
      </c>
      <c r="W7" s="488" t="s">
        <v>10</v>
      </c>
      <c r="X7" s="488" t="s">
        <v>11</v>
      </c>
      <c r="Y7" s="491" t="s">
        <v>13</v>
      </c>
      <c r="Z7" s="490" t="s">
        <v>9</v>
      </c>
      <c r="AA7" s="488" t="s">
        <v>10</v>
      </c>
      <c r="AB7" s="488" t="s">
        <v>11</v>
      </c>
      <c r="AC7" s="491" t="s">
        <v>13</v>
      </c>
    </row>
    <row r="8" spans="1:31" ht="30" customHeight="1" x14ac:dyDescent="0.4">
      <c r="A8" s="492"/>
      <c r="B8" s="973" t="s">
        <v>14</v>
      </c>
      <c r="C8" s="974"/>
      <c r="D8" s="493">
        <f>SUM(D15,D12,D9)</f>
        <v>1392.7058101244002</v>
      </c>
      <c r="E8" s="494">
        <f>AA8</f>
        <v>695.90940155999988</v>
      </c>
      <c r="F8" s="498">
        <v>275.49898216999998</v>
      </c>
      <c r="G8" s="498">
        <v>313.38771303999999</v>
      </c>
      <c r="H8" s="498">
        <v>336.29574734880009</v>
      </c>
      <c r="I8" s="500">
        <v>22.908034308800097</v>
      </c>
      <c r="J8" s="495">
        <f>J9+J12+J15</f>
        <v>94.002954119999998</v>
      </c>
      <c r="K8" s="496">
        <f>K9+K12+K15</f>
        <v>106.71880790933334</v>
      </c>
      <c r="L8" s="498">
        <f>L9+L12+L15</f>
        <v>106.71880790933334</v>
      </c>
      <c r="M8" s="497">
        <f t="shared" ref="M8:M19" si="0">L8-K8</f>
        <v>0</v>
      </c>
      <c r="N8" s="495">
        <f>N9+N12+N15</f>
        <v>107.35319292</v>
      </c>
      <c r="O8" s="496">
        <f>O9+O12+O15</f>
        <v>162.41210223333334</v>
      </c>
      <c r="P8" s="498">
        <f>P9+P12+P15</f>
        <v>162.41210223333334</v>
      </c>
      <c r="Q8" s="497">
        <f t="shared" ref="Q8:Q19" si="1">P8-O8</f>
        <v>0</v>
      </c>
      <c r="R8" s="495">
        <f>R9+R12+R15</f>
        <v>122.55738612</v>
      </c>
      <c r="S8" s="496">
        <f>S9+S12+S15</f>
        <v>113.39077837733333</v>
      </c>
      <c r="T8" s="498">
        <f>T9+T12+T15</f>
        <v>113.39077837733333</v>
      </c>
      <c r="U8" s="497">
        <f t="shared" ref="U8:U19" si="2">T8-S8</f>
        <v>0</v>
      </c>
      <c r="V8" s="499">
        <f>V9+V12+V15</f>
        <v>323.91353315999999</v>
      </c>
      <c r="W8" s="498">
        <f>W9+W12+W15</f>
        <v>382.52168851999994</v>
      </c>
      <c r="X8" s="498">
        <f>X9+X12+X15</f>
        <v>382.52168851999994</v>
      </c>
      <c r="Y8" s="500">
        <f t="shared" ref="Y8:Y19" si="3">X8-W8</f>
        <v>0</v>
      </c>
      <c r="Z8" s="498">
        <f>F8+V8</f>
        <v>599.41251532999991</v>
      </c>
      <c r="AA8" s="498">
        <f t="shared" ref="AA8:AA19" si="4">G8+W8</f>
        <v>695.90940155999988</v>
      </c>
      <c r="AB8" s="498">
        <f t="shared" ref="AB8:AB19" si="5">H8+X8</f>
        <v>718.81743586879998</v>
      </c>
      <c r="AC8" s="500">
        <f t="shared" ref="AC8:AC19" si="6">I8+Y8</f>
        <v>22.908034308800097</v>
      </c>
      <c r="AD8" s="501"/>
      <c r="AE8" s="475" t="s">
        <v>15</v>
      </c>
    </row>
    <row r="9" spans="1:31" ht="30" customHeight="1" x14ac:dyDescent="0.4">
      <c r="A9" s="492"/>
      <c r="B9" s="940" t="s">
        <v>16</v>
      </c>
      <c r="C9" s="941"/>
      <c r="D9" s="502">
        <f>SUM(D10:D11)</f>
        <v>152.99418834440002</v>
      </c>
      <c r="E9" s="503">
        <f t="shared" ref="E9:E19" si="7">AA9</f>
        <v>58.863893640000001</v>
      </c>
      <c r="F9" s="506">
        <v>17.979459309999999</v>
      </c>
      <c r="G9" s="507">
        <v>25.134453140000002</v>
      </c>
      <c r="H9" s="504">
        <v>27.588819538800003</v>
      </c>
      <c r="I9" s="505">
        <v>2.4543663987999995</v>
      </c>
      <c r="J9" s="506">
        <f t="shared" ref="J9:Y9" si="8">SUM(J10:J11)</f>
        <v>6.0472936099999997</v>
      </c>
      <c r="K9" s="507">
        <f t="shared" si="8"/>
        <v>12.331896333333333</v>
      </c>
      <c r="L9" s="504">
        <f t="shared" si="8"/>
        <v>12.331896333333333</v>
      </c>
      <c r="M9" s="505">
        <f t="shared" si="8"/>
        <v>0</v>
      </c>
      <c r="N9" s="506">
        <f t="shared" si="8"/>
        <v>17.855413209999998</v>
      </c>
      <c r="O9" s="507">
        <f t="shared" si="8"/>
        <v>18.142962333333333</v>
      </c>
      <c r="P9" s="504">
        <f t="shared" si="8"/>
        <v>18.142962333333333</v>
      </c>
      <c r="Q9" s="505">
        <f t="shared" si="8"/>
        <v>0</v>
      </c>
      <c r="R9" s="506">
        <f t="shared" si="8"/>
        <v>11.95727441</v>
      </c>
      <c r="S9" s="507">
        <f t="shared" si="8"/>
        <v>3.2545818333333334</v>
      </c>
      <c r="T9" s="504">
        <f t="shared" si="8"/>
        <v>3.2545818333333334</v>
      </c>
      <c r="U9" s="505">
        <f t="shared" si="8"/>
        <v>0</v>
      </c>
      <c r="V9" s="508">
        <f t="shared" si="8"/>
        <v>35.859981230000002</v>
      </c>
      <c r="W9" s="504">
        <f t="shared" si="8"/>
        <v>33.729440500000003</v>
      </c>
      <c r="X9" s="504">
        <f t="shared" si="8"/>
        <v>33.729440500000003</v>
      </c>
      <c r="Y9" s="509">
        <f t="shared" si="8"/>
        <v>0</v>
      </c>
      <c r="Z9" s="508">
        <f t="shared" ref="Z9:Z19" si="9">F9+V9</f>
        <v>53.839440539999998</v>
      </c>
      <c r="AA9" s="504">
        <f t="shared" si="4"/>
        <v>58.863893640000001</v>
      </c>
      <c r="AB9" s="504">
        <f t="shared" si="5"/>
        <v>61.318260038800005</v>
      </c>
      <c r="AC9" s="509">
        <f t="shared" si="6"/>
        <v>2.4543663987999995</v>
      </c>
      <c r="AD9" s="501"/>
      <c r="AE9" s="475" t="s">
        <v>17</v>
      </c>
    </row>
    <row r="10" spans="1:31" ht="30" customHeight="1" x14ac:dyDescent="0.4">
      <c r="A10" s="492"/>
      <c r="B10" s="510"/>
      <c r="C10" s="511" t="s">
        <v>18</v>
      </c>
      <c r="D10" s="512">
        <v>152.99418834440002</v>
      </c>
      <c r="E10" s="513">
        <f t="shared" si="7"/>
        <v>57.841203640000003</v>
      </c>
      <c r="F10" s="514">
        <v>17.979459309999999</v>
      </c>
      <c r="G10" s="515">
        <v>24.623108139999999</v>
      </c>
      <c r="H10" s="515">
        <v>27.588819538800003</v>
      </c>
      <c r="I10" s="516">
        <v>2.9657113987999999</v>
      </c>
      <c r="J10" s="514">
        <f>SUMIFS('상세 자료 작성'!$I:$I,'상세 자료 작성'!$C:$C,'요약(보고)'!$C10,'상세 자료 작성'!$A:$A,'요약(보고)'!$AE$9,'상세 자료 작성'!$D:$D,$J$4)/10^8</f>
        <v>6.0472936099999997</v>
      </c>
      <c r="K10" s="515">
        <f>SUMIFS('상세 자료 작성'!$J:$J,'상세 자료 작성'!$C:$C,'요약(보고)'!$C10,'상세 자료 작성'!$A:$A,$AE$11,'상세 자료 작성'!$D:$D,'요약(보고)'!$J$4)/10^8</f>
        <v>12.161448</v>
      </c>
      <c r="L10" s="515">
        <f>SUMIFS('상세 자료 작성'!$K:$K,'상세 자료 작성'!$C:$C,'요약(보고)'!$C10,'상세 자료 작성'!$A:$A,$AE$11,'상세 자료 작성'!$D:$D,$J$4)/10^8</f>
        <v>12.161448</v>
      </c>
      <c r="M10" s="516">
        <f>L10-K10</f>
        <v>0</v>
      </c>
      <c r="N10" s="514">
        <f>SUMIFS('상세 자료 작성'!$I:$I,'상세 자료 작성'!$C:$C,'요약(보고)'!$C10,'상세 자료 작성'!$A:$A,'요약(보고)'!$AE$9,'상세 자료 작성'!$D:$D,$N$4)/10^8</f>
        <v>17.855413209999998</v>
      </c>
      <c r="O10" s="515">
        <f>SUMIFS('상세 자료 작성'!$J:$J,'상세 자료 작성'!$C:$C,'요약(보고)'!$C10,'상세 자료 작성'!$A:$A,$AE$11,'상세 자료 작성'!$D:$D,$N$4)/10^8</f>
        <v>17.972514</v>
      </c>
      <c r="P10" s="515">
        <f>SUMIFS('상세 자료 작성'!$K:$K,'상세 자료 작성'!$C:$C,'요약(보고)'!$C10,'상세 자료 작성'!$A:$A,$AE$11,'상세 자료 작성'!$D:$D,$N$4)/10^8</f>
        <v>17.972514</v>
      </c>
      <c r="Q10" s="516">
        <f>P10-O10</f>
        <v>0</v>
      </c>
      <c r="R10" s="514">
        <f>SUMIFS('상세 자료 작성'!$I:$I,'상세 자료 작성'!$C:$C,'요약(보고)'!$C10,'상세 자료 작성'!$A:$A,'요약(보고)'!$AE$9,'상세 자료 작성'!$D:$D,$R$4)/10^8</f>
        <v>11.95727441</v>
      </c>
      <c r="S10" s="515">
        <f>SUMIFS('상세 자료 작성'!$J:$J,'상세 자료 작성'!$C:$C,'요약(보고)'!$C10,'상세 자료 작성'!$A:$A,$AE$11,'상세 자료 작성'!$D:$D,$R$4)/10^8</f>
        <v>3.0841335000000001</v>
      </c>
      <c r="T10" s="515">
        <f>SUMIFS('상세 자료 작성'!$K:$K,'상세 자료 작성'!$C:$C,'요약(보고)'!$C10,'상세 자료 작성'!$A:$A,$AE$11,'상세 자료 작성'!$D:$D,$R$4)/10^8</f>
        <v>3.0841335000000001</v>
      </c>
      <c r="U10" s="516">
        <f>T10-S10</f>
        <v>0</v>
      </c>
      <c r="V10" s="517">
        <f>R10+J10+N10</f>
        <v>35.859981230000002</v>
      </c>
      <c r="W10" s="518">
        <f>S10+K10+O10</f>
        <v>33.218095500000004</v>
      </c>
      <c r="X10" s="518">
        <f>T10+L10+P10</f>
        <v>33.218095500000004</v>
      </c>
      <c r="Y10" s="519">
        <f>X10-W10</f>
        <v>0</v>
      </c>
      <c r="Z10" s="520">
        <f t="shared" si="9"/>
        <v>53.839440539999998</v>
      </c>
      <c r="AA10" s="521">
        <f t="shared" si="4"/>
        <v>57.841203640000003</v>
      </c>
      <c r="AB10" s="522">
        <f t="shared" si="5"/>
        <v>60.806915038800007</v>
      </c>
      <c r="AC10" s="519">
        <f t="shared" si="6"/>
        <v>2.9657113987999999</v>
      </c>
      <c r="AD10" s="501"/>
    </row>
    <row r="11" spans="1:31" ht="30" customHeight="1" x14ac:dyDescent="0.4">
      <c r="A11" s="492"/>
      <c r="B11" s="523"/>
      <c r="C11" s="524" t="s">
        <v>19</v>
      </c>
      <c r="D11" s="525">
        <v>0</v>
      </c>
      <c r="E11" s="526">
        <f t="shared" si="7"/>
        <v>1.0226900000000003</v>
      </c>
      <c r="F11" s="514">
        <v>0</v>
      </c>
      <c r="G11" s="515">
        <v>0.51134500000000005</v>
      </c>
      <c r="H11" s="515">
        <v>0</v>
      </c>
      <c r="I11" s="527">
        <v>-0.51134500000000016</v>
      </c>
      <c r="J11" s="514">
        <f>SUMIFS('상세 자료 작성'!$I:$I,'상세 자료 작성'!$C:$C,'요약(보고)'!$C11,'상세 자료 작성'!$A:$A,'요약(보고)'!$AE$9,'상세 자료 작성'!$D:$D,$J$4)/10^8</f>
        <v>0</v>
      </c>
      <c r="K11" s="515">
        <f>SUMIFS('상세 자료 작성'!$J:$J,'상세 자료 작성'!$C:$C,'요약(보고)'!$C11,'상세 자료 작성'!$A:$A,$AE$11,'상세 자료 작성'!$D:$D,'요약(보고)'!$J$4)/10^8</f>
        <v>0.17044833333333337</v>
      </c>
      <c r="L11" s="515">
        <f>SUMIFS('상세 자료 작성'!$K:$K,'상세 자료 작성'!$C:$C,'요약(보고)'!$C11,'상세 자료 작성'!$A:$A,$AE$11,'상세 자료 작성'!$D:$D,$J$4)/10^8</f>
        <v>0.17044833333333337</v>
      </c>
      <c r="M11" s="527">
        <f>L11-K11</f>
        <v>0</v>
      </c>
      <c r="N11" s="514">
        <f>SUMIFS('상세 자료 작성'!$I:$I,'상세 자료 작성'!$C:$C,'요약(보고)'!$C11,'상세 자료 작성'!$A:$A,'요약(보고)'!$AE$9,'상세 자료 작성'!$D:$D,$N$4)/10^8</f>
        <v>0</v>
      </c>
      <c r="O11" s="515">
        <f>SUMIFS('상세 자료 작성'!$J:$J,'상세 자료 작성'!$C:$C,'요약(보고)'!$C11,'상세 자료 작성'!$A:$A,$AE$11,'상세 자료 작성'!$D:$D,$N$4)/10^8</f>
        <v>0.17044833333333337</v>
      </c>
      <c r="P11" s="515">
        <f>SUMIFS('상세 자료 작성'!$K:$K,'상세 자료 작성'!$C:$C,'요약(보고)'!$C11,'상세 자료 작성'!$A:$A,$AE$11,'상세 자료 작성'!$D:$D,$N$4)/10^8</f>
        <v>0.17044833333333337</v>
      </c>
      <c r="Q11" s="527">
        <f t="shared" si="1"/>
        <v>0</v>
      </c>
      <c r="R11" s="514">
        <f>SUMIFS('상세 자료 작성'!$I:$I,'상세 자료 작성'!$C:$C,'요약(보고)'!$C11,'상세 자료 작성'!$A:$A,'요약(보고)'!$AE$9,'상세 자료 작성'!$D:$D,$R$4)/10^8</f>
        <v>0</v>
      </c>
      <c r="S11" s="515">
        <f>SUMIFS('상세 자료 작성'!$J:$J,'상세 자료 작성'!$C:$C,'요약(보고)'!$C11,'상세 자료 작성'!$A:$A,$AE$11,'상세 자료 작성'!$D:$D,$R$4)/10^8</f>
        <v>0.17044833333333337</v>
      </c>
      <c r="T11" s="515">
        <f>SUMIFS('상세 자료 작성'!$K:$K,'상세 자료 작성'!$C:$C,'요약(보고)'!$C11,'상세 자료 작성'!$A:$A,$AE$11,'상세 자료 작성'!$D:$D,$R$4)/10^8</f>
        <v>0.17044833333333337</v>
      </c>
      <c r="U11" s="527">
        <f t="shared" si="2"/>
        <v>0</v>
      </c>
      <c r="V11" s="528">
        <f>R11+J11+N11</f>
        <v>0</v>
      </c>
      <c r="W11" s="522">
        <f t="shared" ref="W11" si="10">S11+K11+O11</f>
        <v>0.51134500000000016</v>
      </c>
      <c r="X11" s="522">
        <f t="shared" ref="X11" si="11">T11+L11+P11</f>
        <v>0.51134500000000016</v>
      </c>
      <c r="Y11" s="529">
        <f t="shared" si="3"/>
        <v>0</v>
      </c>
      <c r="Z11" s="528">
        <f t="shared" si="9"/>
        <v>0</v>
      </c>
      <c r="AA11" s="522">
        <f t="shared" si="4"/>
        <v>1.0226900000000003</v>
      </c>
      <c r="AB11" s="522">
        <f t="shared" si="5"/>
        <v>0.51134500000000016</v>
      </c>
      <c r="AC11" s="529">
        <f t="shared" si="6"/>
        <v>-0.51134500000000016</v>
      </c>
      <c r="AD11" s="501"/>
      <c r="AE11" s="475" t="s">
        <v>20</v>
      </c>
    </row>
    <row r="12" spans="1:31" ht="30" customHeight="1" x14ac:dyDescent="0.4">
      <c r="A12" s="492"/>
      <c r="B12" s="940" t="s">
        <v>21</v>
      </c>
      <c r="C12" s="941"/>
      <c r="D12" s="530">
        <f>SUM(D13:D14)</f>
        <v>1088.9226571000002</v>
      </c>
      <c r="E12" s="531">
        <f t="shared" si="7"/>
        <v>525.25500791999991</v>
      </c>
      <c r="F12" s="532">
        <v>203.63670439999996</v>
      </c>
      <c r="G12" s="533">
        <v>246.45125989999997</v>
      </c>
      <c r="H12" s="533">
        <v>268.65374540000005</v>
      </c>
      <c r="I12" s="534">
        <v>22.202485500000051</v>
      </c>
      <c r="J12" s="532">
        <f>SUM(J13:J14)</f>
        <v>87.102623800000003</v>
      </c>
      <c r="K12" s="533">
        <f t="shared" ref="K12:Y12" si="12">SUM(K13:K14)</f>
        <v>83.548161575999998</v>
      </c>
      <c r="L12" s="533">
        <f t="shared" si="12"/>
        <v>83.548161575999998</v>
      </c>
      <c r="M12" s="534">
        <f t="shared" si="12"/>
        <v>0</v>
      </c>
      <c r="N12" s="532">
        <f t="shared" si="12"/>
        <v>61.024992999999995</v>
      </c>
      <c r="O12" s="533">
        <f t="shared" si="12"/>
        <v>106.3728899</v>
      </c>
      <c r="P12" s="533">
        <f t="shared" si="12"/>
        <v>106.3728899</v>
      </c>
      <c r="Q12" s="534">
        <f t="shared" si="12"/>
        <v>0</v>
      </c>
      <c r="R12" s="532">
        <f t="shared" si="12"/>
        <v>100.38185900000001</v>
      </c>
      <c r="S12" s="533">
        <f t="shared" si="12"/>
        <v>88.882696543999998</v>
      </c>
      <c r="T12" s="533">
        <f t="shared" si="12"/>
        <v>88.882696543999998</v>
      </c>
      <c r="U12" s="534">
        <f t="shared" si="12"/>
        <v>0</v>
      </c>
      <c r="V12" s="532">
        <f t="shared" si="12"/>
        <v>248.50947579999996</v>
      </c>
      <c r="W12" s="533">
        <f t="shared" si="12"/>
        <v>278.80374801999994</v>
      </c>
      <c r="X12" s="533">
        <f t="shared" si="12"/>
        <v>278.80374801999994</v>
      </c>
      <c r="Y12" s="535">
        <f t="shared" si="12"/>
        <v>0</v>
      </c>
      <c r="Z12" s="532">
        <f t="shared" si="9"/>
        <v>452.14618019999989</v>
      </c>
      <c r="AA12" s="533">
        <f t="shared" si="4"/>
        <v>525.25500791999991</v>
      </c>
      <c r="AB12" s="533">
        <f t="shared" si="5"/>
        <v>547.45749341999999</v>
      </c>
      <c r="AC12" s="535">
        <f t="shared" si="6"/>
        <v>22.202485500000051</v>
      </c>
      <c r="AD12" s="501"/>
    </row>
    <row r="13" spans="1:31" ht="30" customHeight="1" x14ac:dyDescent="0.4">
      <c r="A13" s="492"/>
      <c r="B13" s="523"/>
      <c r="C13" s="536" t="s">
        <v>22</v>
      </c>
      <c r="D13" s="537">
        <v>1041.781864</v>
      </c>
      <c r="E13" s="513">
        <f t="shared" si="7"/>
        <v>504.99231051999993</v>
      </c>
      <c r="F13" s="514">
        <v>189.048058</v>
      </c>
      <c r="G13" s="515">
        <v>238.3992585</v>
      </c>
      <c r="H13" s="515">
        <v>259.11179700000002</v>
      </c>
      <c r="I13" s="516">
        <v>20.712538500000051</v>
      </c>
      <c r="J13" s="514">
        <f>SUMIFS('상세 자료 작성'!$I:$I,'상세 자료 작성'!$C:$C,'요약(보고)'!$C13,'상세 자료 작성'!$A:$A,'요약(보고)'!$AE$9,'상세 자료 작성'!$D:$D,$J$4)/10^8</f>
        <v>80.069775000000007</v>
      </c>
      <c r="K13" s="515">
        <f>SUMIFS('상세 자료 작성'!$J:$J,'상세 자료 작성'!$C:$C,'요약(보고)'!$C13,'상세 자료 작성'!$A:$A,$AE$11,'상세 자료 작성'!$D:$D,'요약(보고)'!$J$4)/10^8</f>
        <v>79.349503576000004</v>
      </c>
      <c r="L13" s="515">
        <f>SUMIFS('상세 자료 작성'!$K:$K,'상세 자료 작성'!$C:$C,'요약(보고)'!$C13,'상세 자료 작성'!$A:$A,$AE$11,'상세 자료 작성'!$D:$D,$J$4)/10^8</f>
        <v>79.349503576000004</v>
      </c>
      <c r="M13" s="516">
        <f>L13-K13</f>
        <v>0</v>
      </c>
      <c r="N13" s="514">
        <f>SUMIFS('상세 자료 작성'!$I:$I,'상세 자료 작성'!$C:$C,'요약(보고)'!$C13,'상세 자료 작성'!$A:$A,'요약(보고)'!$AE$9,'상세 자료 작성'!$D:$D,$N$4)/10^8</f>
        <v>56.971187999999998</v>
      </c>
      <c r="O13" s="515">
        <f>SUMIFS('상세 자료 작성'!$J:$J,'상세 자료 작성'!$C:$C,'요약(보고)'!$C13,'상세 자료 작성'!$A:$A,$AE$11,'상세 자료 작성'!$D:$D,$N$4)/10^8</f>
        <v>101.5809955</v>
      </c>
      <c r="P13" s="515">
        <f>SUMIFS('상세 자료 작성'!$K:$K,'상세 자료 작성'!$C:$C,'요약(보고)'!$C13,'상세 자료 작성'!$A:$A,$AE$11,'상세 자료 작성'!$D:$D,$N$4)/10^8</f>
        <v>101.5809955</v>
      </c>
      <c r="Q13" s="516">
        <f>P13-O13</f>
        <v>0</v>
      </c>
      <c r="R13" s="514">
        <f>SUMIFS('상세 자료 작성'!$I:$I,'상세 자료 작성'!$C:$C,'요약(보고)'!$C13,'상세 자료 작성'!$A:$A,'요약(보고)'!$AE$9,'상세 자료 작성'!$D:$D,$R$4)/10^8</f>
        <v>95.072609</v>
      </c>
      <c r="S13" s="515">
        <f>SUMIFS('상세 자료 작성'!$J:$J,'상세 자료 작성'!$C:$C,'요약(보고)'!$C13,'상세 자료 작성'!$A:$A,$AE$11,'상세 자료 작성'!$D:$D,$R$4)/10^8</f>
        <v>85.662552943999998</v>
      </c>
      <c r="T13" s="515">
        <f>SUMIFS('상세 자료 작성'!$K:$K,'상세 자료 작성'!$C:$C,'요약(보고)'!$C13,'상세 자료 작성'!$A:$A,$AE$11,'상세 자료 작성'!$D:$D,$R$4)/10^8</f>
        <v>85.662552943999998</v>
      </c>
      <c r="U13" s="516">
        <f>T13-S13</f>
        <v>0</v>
      </c>
      <c r="V13" s="517">
        <f>R13+J13+N13</f>
        <v>232.11357199999998</v>
      </c>
      <c r="W13" s="518">
        <f>S13+K13+O13</f>
        <v>266.59305201999996</v>
      </c>
      <c r="X13" s="518">
        <f>T13+L13+P13</f>
        <v>266.59305201999996</v>
      </c>
      <c r="Y13" s="519">
        <f>X13-W13</f>
        <v>0</v>
      </c>
      <c r="Z13" s="520">
        <f t="shared" si="9"/>
        <v>421.16162999999995</v>
      </c>
      <c r="AA13" s="521">
        <f t="shared" si="4"/>
        <v>504.99231051999993</v>
      </c>
      <c r="AB13" s="522">
        <f t="shared" si="5"/>
        <v>525.70484901999998</v>
      </c>
      <c r="AC13" s="519">
        <f t="shared" si="6"/>
        <v>20.712538500000051</v>
      </c>
      <c r="AD13" s="501"/>
    </row>
    <row r="14" spans="1:31" ht="30" customHeight="1" x14ac:dyDescent="0.4">
      <c r="A14" s="492"/>
      <c r="B14" s="523"/>
      <c r="C14" s="538" t="s">
        <v>23</v>
      </c>
      <c r="D14" s="539">
        <v>47.140793100000003</v>
      </c>
      <c r="E14" s="526">
        <f t="shared" si="7"/>
        <v>20.2626974</v>
      </c>
      <c r="F14" s="514">
        <v>14.5886464</v>
      </c>
      <c r="G14" s="515">
        <v>8.0520014</v>
      </c>
      <c r="H14" s="515">
        <v>9.5419484000000008</v>
      </c>
      <c r="I14" s="516">
        <v>1.4899470000000008</v>
      </c>
      <c r="J14" s="514">
        <f>SUMIFS('상세 자료 작성'!$I:$I,'상세 자료 작성'!$C:$C,'요약(보고)'!$C14,'상세 자료 작성'!$A:$A,'요약(보고)'!$AE$9,'상세 자료 작성'!$D:$D,$J$4)/10^8</f>
        <v>7.0328488</v>
      </c>
      <c r="K14" s="515">
        <f>SUMIFS('상세 자료 작성'!$J:$J,'상세 자료 작성'!$C:$C,'요약(보고)'!$C14,'상세 자료 작성'!$A:$A,$AE$11,'상세 자료 작성'!$D:$D,'요약(보고)'!$J$4)/10^8</f>
        <v>4.198658</v>
      </c>
      <c r="L14" s="515">
        <f>SUMIFS('상세 자료 작성'!$K:$K,'상세 자료 작성'!$C:$C,'요약(보고)'!$C14,'상세 자료 작성'!$A:$A,$AE$11,'상세 자료 작성'!$D:$D,$J$4)/10^8</f>
        <v>4.198658</v>
      </c>
      <c r="M14" s="516">
        <f t="shared" si="0"/>
        <v>0</v>
      </c>
      <c r="N14" s="514">
        <f>SUMIFS('상세 자료 작성'!$I:$I,'상세 자료 작성'!$C:$C,'요약(보고)'!$C14,'상세 자료 작성'!$A:$A,'요약(보고)'!$AE$9,'상세 자료 작성'!$D:$D,$N$4)/10^8</f>
        <v>4.0538049999999997</v>
      </c>
      <c r="O14" s="515">
        <f>SUMIFS('상세 자료 작성'!$J:$J,'상세 자료 작성'!$C:$C,'요약(보고)'!$C14,'상세 자료 작성'!$A:$A,$AE$11,'상세 자료 작성'!$D:$D,$N$4)/10^8</f>
        <v>4.7918944000000003</v>
      </c>
      <c r="P14" s="515">
        <f>SUMIFS('상세 자료 작성'!$K:$K,'상세 자료 작성'!$C:$C,'요약(보고)'!$C14,'상세 자료 작성'!$A:$A,$AE$11,'상세 자료 작성'!$D:$D,$N$4)/10^8</f>
        <v>4.7918944000000003</v>
      </c>
      <c r="Q14" s="516">
        <f t="shared" si="1"/>
        <v>0</v>
      </c>
      <c r="R14" s="514">
        <f>SUMIFS('상세 자료 작성'!$I:$I,'상세 자료 작성'!$C:$C,'요약(보고)'!$C14,'상세 자료 작성'!$A:$A,'요약(보고)'!$AE$9,'상세 자료 작성'!$D:$D,$R$4)/10^8</f>
        <v>5.3092499999999996</v>
      </c>
      <c r="S14" s="515">
        <f>SUMIFS('상세 자료 작성'!$J:$J,'상세 자료 작성'!$C:$C,'요약(보고)'!$C14,'상세 자료 작성'!$A:$A,$AE$11,'상세 자료 작성'!$D:$D,$R$4)/10^8</f>
        <v>3.2201436000000001</v>
      </c>
      <c r="T14" s="515">
        <f>SUMIFS('상세 자료 작성'!$K:$K,'상세 자료 작성'!$C:$C,'요약(보고)'!$C14,'상세 자료 작성'!$A:$A,$AE$11,'상세 자료 작성'!$D:$D,$R$4)/10^8</f>
        <v>3.2201436000000001</v>
      </c>
      <c r="U14" s="516">
        <f t="shared" si="2"/>
        <v>0</v>
      </c>
      <c r="V14" s="517">
        <f t="shared" ref="V14" si="13">R14+J14+N14</f>
        <v>16.395903799999999</v>
      </c>
      <c r="W14" s="518">
        <f t="shared" ref="W14" si="14">S14+K14+O14</f>
        <v>12.210696</v>
      </c>
      <c r="X14" s="518">
        <f t="shared" ref="X14" si="15">T14+L14+P14</f>
        <v>12.210696</v>
      </c>
      <c r="Y14" s="519">
        <f t="shared" si="3"/>
        <v>0</v>
      </c>
      <c r="Z14" s="520">
        <f t="shared" si="9"/>
        <v>30.984550200000001</v>
      </c>
      <c r="AA14" s="521">
        <f t="shared" si="4"/>
        <v>20.2626974</v>
      </c>
      <c r="AB14" s="522">
        <f t="shared" si="5"/>
        <v>21.752644400000001</v>
      </c>
      <c r="AC14" s="519">
        <f t="shared" si="6"/>
        <v>1.4899470000000008</v>
      </c>
      <c r="AD14" s="501"/>
    </row>
    <row r="15" spans="1:31" ht="30" customHeight="1" x14ac:dyDescent="0.4">
      <c r="A15" s="492"/>
      <c r="B15" s="940" t="s">
        <v>24</v>
      </c>
      <c r="C15" s="941"/>
      <c r="D15" s="530">
        <f>SUM(D16:D19)</f>
        <v>150.78896467999999</v>
      </c>
      <c r="E15" s="531">
        <f t="shared" si="7"/>
        <v>111.79050000000001</v>
      </c>
      <c r="F15" s="532">
        <v>53.882818460000003</v>
      </c>
      <c r="G15" s="533">
        <v>41.802</v>
      </c>
      <c r="H15" s="540">
        <v>40.053182410000005</v>
      </c>
      <c r="I15" s="534">
        <v>-1.7488175899999976</v>
      </c>
      <c r="J15" s="532">
        <f t="shared" ref="J15:Y15" si="16">SUM(J16:J19)</f>
        <v>0.85303671000000003</v>
      </c>
      <c r="K15" s="533">
        <f t="shared" si="16"/>
        <v>10.838749999999999</v>
      </c>
      <c r="L15" s="540">
        <f t="shared" si="16"/>
        <v>10.838749999999999</v>
      </c>
      <c r="M15" s="534">
        <f t="shared" si="16"/>
        <v>0</v>
      </c>
      <c r="N15" s="532">
        <f t="shared" si="16"/>
        <v>28.472786710000001</v>
      </c>
      <c r="O15" s="533">
        <f t="shared" si="16"/>
        <v>37.896250000000002</v>
      </c>
      <c r="P15" s="533">
        <f t="shared" si="16"/>
        <v>37.896250000000002</v>
      </c>
      <c r="Q15" s="534">
        <f t="shared" si="16"/>
        <v>0</v>
      </c>
      <c r="R15" s="532">
        <f t="shared" si="16"/>
        <v>10.21825271</v>
      </c>
      <c r="S15" s="533">
        <f t="shared" si="16"/>
        <v>21.253499999999999</v>
      </c>
      <c r="T15" s="533">
        <f t="shared" si="16"/>
        <v>21.253499999999999</v>
      </c>
      <c r="U15" s="534">
        <f t="shared" si="16"/>
        <v>0</v>
      </c>
      <c r="V15" s="532">
        <f t="shared" si="16"/>
        <v>39.544076130000001</v>
      </c>
      <c r="W15" s="533">
        <f t="shared" si="16"/>
        <v>69.988500000000002</v>
      </c>
      <c r="X15" s="533">
        <f t="shared" si="16"/>
        <v>69.988500000000002</v>
      </c>
      <c r="Y15" s="535">
        <f t="shared" si="16"/>
        <v>0</v>
      </c>
      <c r="Z15" s="532">
        <f t="shared" si="9"/>
        <v>93.426894590000003</v>
      </c>
      <c r="AA15" s="533">
        <f t="shared" si="4"/>
        <v>111.79050000000001</v>
      </c>
      <c r="AB15" s="533">
        <f t="shared" si="5"/>
        <v>110.04168241000001</v>
      </c>
      <c r="AC15" s="535">
        <f t="shared" si="6"/>
        <v>-1.7488175899999976</v>
      </c>
      <c r="AD15" s="501"/>
    </row>
    <row r="16" spans="1:31" ht="30" customHeight="1" x14ac:dyDescent="0.4">
      <c r="A16" s="492"/>
      <c r="B16" s="541"/>
      <c r="C16" s="542" t="s">
        <v>25</v>
      </c>
      <c r="D16" s="543">
        <v>116.21934745</v>
      </c>
      <c r="E16" s="544">
        <f t="shared" si="7"/>
        <v>99.360500000000002</v>
      </c>
      <c r="F16" s="546">
        <v>42.274860109999999</v>
      </c>
      <c r="G16" s="547">
        <v>35.326999999999998</v>
      </c>
      <c r="H16" s="547">
        <v>34.321650720000001</v>
      </c>
      <c r="I16" s="516">
        <v>-1.0053492799999972</v>
      </c>
      <c r="J16" s="546">
        <f>SUMIFS('상세 자료 작성'!$I:$I,'상세 자료 작성'!$C:$C,'요약(보고)'!$C16,'상세 자료 작성'!$A:$A,'요약(보고)'!$AE$9,'상세 자료 작성'!$D:$D,$J$4)/10^8</f>
        <v>0.44295337000000001</v>
      </c>
      <c r="K16" s="547">
        <f>SUMIFS('상세 자료 작성'!$J:$J,'상세 자료 작성'!$C:$C,'요약(보고)'!$C16,'상세 자료 작성'!$A:$A,$AE$11,'상세 자료 작성'!$D:$D,'요약(보고)'!$J$4)/10^8</f>
        <v>8.34</v>
      </c>
      <c r="L16" s="547">
        <f>SUMIFS('상세 자료 작성'!$K:$K,'상세 자료 작성'!$C:$C,'요약(보고)'!$C16,'상세 자료 작성'!$A:$A,$AE$11,'상세 자료 작성'!$D:$D,$J$4)/10^8</f>
        <v>8.34</v>
      </c>
      <c r="M16" s="516">
        <f>L16-K16</f>
        <v>0</v>
      </c>
      <c r="N16" s="545">
        <f>SUMIFS('상세 자료 작성'!$I:$I,'상세 자료 작성'!$C:$C,'요약(보고)'!$C16,'상세 자료 작성'!$A:$A,'요약(보고)'!$AE$9,'상세 자료 작성'!$D:$D,$N$4)/10^8</f>
        <v>25.76695337</v>
      </c>
      <c r="O16" s="547">
        <f>SUMIFS('상세 자료 작성'!$J:$J,'상세 자료 작성'!$C:$C,'요약(보고)'!$C16,'상세 자료 작성'!$A:$A,$AE$11,'상세 자료 작성'!$D:$D,$N$4)/10^8</f>
        <v>36.177500000000002</v>
      </c>
      <c r="P16" s="547">
        <f>SUMIFS('상세 자료 작성'!$K:$K,'상세 자료 작성'!$C:$C,'요약(보고)'!$C16,'상세 자료 작성'!$A:$A,$AE$11,'상세 자료 작성'!$D:$D,$N$4)/10^8</f>
        <v>36.177500000000002</v>
      </c>
      <c r="Q16" s="516">
        <f>P16-O16</f>
        <v>0</v>
      </c>
      <c r="R16" s="546">
        <f>SUMIFS('상세 자료 작성'!$I:$I,'상세 자료 작성'!$C:$C,'요약(보고)'!$C16,'상세 자료 작성'!$A:$A,'요약(보고)'!$AE$9,'상세 자료 작성'!$D:$D,$R$4)/10^8</f>
        <v>6.7929533700000002</v>
      </c>
      <c r="S16" s="547">
        <f>SUMIFS('상세 자료 작성'!$J:$J,'상세 자료 작성'!$C:$C,'요약(보고)'!$C16,'상세 자료 작성'!$A:$A,$AE$11,'상세 자료 작성'!$D:$D,$R$4)/10^8</f>
        <v>19.515999999999998</v>
      </c>
      <c r="T16" s="547">
        <f>SUMIFS('상세 자료 작성'!$K:$K,'상세 자료 작성'!$C:$C,'요약(보고)'!$C16,'상세 자료 작성'!$A:$A,$AE$11,'상세 자료 작성'!$D:$D,$R$4)/10^8</f>
        <v>19.515999999999998</v>
      </c>
      <c r="U16" s="516">
        <f>T16-S16</f>
        <v>0</v>
      </c>
      <c r="V16" s="520">
        <f>R16+J16+N16</f>
        <v>33.00286011</v>
      </c>
      <c r="W16" s="521">
        <f>S16+K16+O16</f>
        <v>64.033500000000004</v>
      </c>
      <c r="X16" s="518">
        <f>T16+L16+P16</f>
        <v>64.033500000000004</v>
      </c>
      <c r="Y16" s="548">
        <f>X16-W16</f>
        <v>0</v>
      </c>
      <c r="Z16" s="520">
        <f t="shared" si="9"/>
        <v>75.277720219999992</v>
      </c>
      <c r="AA16" s="521">
        <f t="shared" si="4"/>
        <v>99.360500000000002</v>
      </c>
      <c r="AB16" s="518">
        <f t="shared" si="5"/>
        <v>98.355150720000012</v>
      </c>
      <c r="AC16" s="548">
        <f t="shared" si="6"/>
        <v>-1.0053492799999972</v>
      </c>
      <c r="AD16" s="501"/>
    </row>
    <row r="17" spans="1:30" ht="30" customHeight="1" x14ac:dyDescent="0.4">
      <c r="A17" s="492"/>
      <c r="B17" s="541"/>
      <c r="C17" s="542" t="s">
        <v>26</v>
      </c>
      <c r="D17" s="543">
        <v>14.123749999999999</v>
      </c>
      <c r="E17" s="544">
        <f t="shared" si="7"/>
        <v>7.2737499999999997</v>
      </c>
      <c r="F17" s="546">
        <v>3.66</v>
      </c>
      <c r="G17" s="547">
        <v>1.7875000000000001</v>
      </c>
      <c r="H17" s="547">
        <v>0</v>
      </c>
      <c r="I17" s="516">
        <v>-1.7875000000000001</v>
      </c>
      <c r="J17" s="546">
        <f>SUMIFS('상세 자료 작성'!$I:$I,'상세 자료 작성'!$C:$C,'요약(보고)'!$C17,'상세 자료 작성'!$A:$A,'요약(보고)'!$AE$9,'상세 자료 작성'!$D:$D,$J$4)/10^8</f>
        <v>0</v>
      </c>
      <c r="K17" s="547">
        <f>SUMIFS('상세 자료 작성'!$J:$J,'상세 자료 작성'!$C:$C,'요약(보고)'!$C17,'상세 자료 작성'!$A:$A,$AE$11,'상세 자료 작성'!$D:$D,'요약(보고)'!$J$4)/10^8</f>
        <v>2.0299999999999998</v>
      </c>
      <c r="L17" s="547">
        <f>SUMIFS('상세 자료 작성'!$K:$K,'상세 자료 작성'!$C:$C,'요약(보고)'!$C17,'상세 자료 작성'!$A:$A,$AE$11,'상세 자료 작성'!$D:$D,$J$4)/10^8</f>
        <v>2.0299999999999998</v>
      </c>
      <c r="M17" s="516">
        <f t="shared" si="0"/>
        <v>0</v>
      </c>
      <c r="N17" s="545">
        <f>SUMIFS('상세 자료 작성'!$I:$I,'상세 자료 작성'!$C:$C,'요약(보고)'!$C17,'상세 자료 작성'!$A:$A,'요약(보고)'!$AE$9,'상세 자료 작성'!$D:$D,$N$4)/10^8</f>
        <v>0</v>
      </c>
      <c r="O17" s="547">
        <f>SUMIFS('상세 자료 작성'!$J:$J,'상세 자료 작성'!$C:$C,'요약(보고)'!$C17,'상세 자료 작성'!$A:$A,$AE$11,'상세 자료 작성'!$D:$D,$N$4)/10^8</f>
        <v>1.71875</v>
      </c>
      <c r="P17" s="547">
        <f>SUMIFS('상세 자료 작성'!$K:$K,'상세 자료 작성'!$C:$C,'요약(보고)'!$C17,'상세 자료 작성'!$A:$A,$AE$11,'상세 자료 작성'!$D:$D,$N$4)/10^8</f>
        <v>1.71875</v>
      </c>
      <c r="Q17" s="516">
        <f t="shared" si="1"/>
        <v>0</v>
      </c>
      <c r="R17" s="546">
        <f>SUMIFS('상세 자료 작성'!$I:$I,'상세 자료 작성'!$C:$C,'요약(보고)'!$C17,'상세 자료 작성'!$A:$A,'요약(보고)'!$AE$9,'상세 자료 작성'!$D:$D,$R$4)/10^8</f>
        <v>2.09</v>
      </c>
      <c r="S17" s="547">
        <f>SUMIFS('상세 자료 작성'!$J:$J,'상세 자료 작성'!$C:$C,'요약(보고)'!$C17,'상세 자료 작성'!$A:$A,$AE$11,'상세 자료 작성'!$D:$D,$R$4)/10^8</f>
        <v>1.7375</v>
      </c>
      <c r="T17" s="547">
        <f>SUMIFS('상세 자료 작성'!$K:$K,'상세 자료 작성'!$C:$C,'요약(보고)'!$C17,'상세 자료 작성'!$A:$A,$AE$11,'상세 자료 작성'!$D:$D,$R$4)/10^8</f>
        <v>1.7375</v>
      </c>
      <c r="U17" s="516">
        <f t="shared" si="2"/>
        <v>0</v>
      </c>
      <c r="V17" s="520">
        <f t="shared" ref="V17:V19" si="17">R17+J17+N17</f>
        <v>2.09</v>
      </c>
      <c r="W17" s="521">
        <f t="shared" ref="W17:W19" si="18">S17+K17+O17</f>
        <v>5.4862500000000001</v>
      </c>
      <c r="X17" s="518">
        <f t="shared" ref="X17:X19" si="19">T17+L17+P17</f>
        <v>5.4862500000000001</v>
      </c>
      <c r="Y17" s="548">
        <f t="shared" si="3"/>
        <v>0</v>
      </c>
      <c r="Z17" s="520">
        <f t="shared" si="9"/>
        <v>5.75</v>
      </c>
      <c r="AA17" s="521">
        <f t="shared" si="4"/>
        <v>7.2737499999999997</v>
      </c>
      <c r="AB17" s="518">
        <f t="shared" si="5"/>
        <v>5.4862500000000001</v>
      </c>
      <c r="AC17" s="548">
        <f t="shared" si="6"/>
        <v>-1.7875000000000001</v>
      </c>
      <c r="AD17" s="501"/>
    </row>
    <row r="18" spans="1:30" ht="30" customHeight="1" x14ac:dyDescent="0.4">
      <c r="A18" s="492"/>
      <c r="B18" s="541"/>
      <c r="C18" s="549" t="s">
        <v>27</v>
      </c>
      <c r="D18" s="550">
        <v>13.01566674</v>
      </c>
      <c r="E18" s="551">
        <f t="shared" si="7"/>
        <v>5.15625</v>
      </c>
      <c r="F18" s="546">
        <v>5.2999166799999999</v>
      </c>
      <c r="G18" s="547">
        <v>4.6875</v>
      </c>
      <c r="H18" s="547">
        <v>4.9429166799999997</v>
      </c>
      <c r="I18" s="516">
        <v>0.25541667999999973</v>
      </c>
      <c r="J18" s="546">
        <f>SUMIFS('상세 자료 작성'!$I:$I,'상세 자료 작성'!$C:$C,'요약(보고)'!$C18,'상세 자료 작성'!$A:$A,'요약(보고)'!$AE$9,'상세 자료 작성'!$D:$D,$J$4)/10^8</f>
        <v>0.41008334000000002</v>
      </c>
      <c r="K18" s="547">
        <f>SUMIFS('상세 자료 작성'!$J:$J,'상세 자료 작성'!$C:$C,'요약(보고)'!$C18,'상세 자료 작성'!$A:$A,$AE$11,'상세 자료 작성'!$D:$D,'요약(보고)'!$J$4)/10^8</f>
        <v>0.46875</v>
      </c>
      <c r="L18" s="547">
        <f>SUMIFS('상세 자료 작성'!$K:$K,'상세 자료 작성'!$C:$C,'요약(보고)'!$C18,'상세 자료 작성'!$A:$A,$AE$11,'상세 자료 작성'!$D:$D,$J$4)/10^8</f>
        <v>0.46875</v>
      </c>
      <c r="M18" s="516">
        <f t="shared" si="0"/>
        <v>0</v>
      </c>
      <c r="N18" s="545">
        <f>SUMIFS('상세 자료 작성'!$I:$I,'상세 자료 작성'!$C:$C,'요약(보고)'!$C18,'상세 자료 작성'!$A:$A,'요약(보고)'!$AE$9,'상세 자료 작성'!$D:$D,$N$4)/10^8</f>
        <v>2.7058333399999999</v>
      </c>
      <c r="O18" s="547">
        <f>SUMIFS('상세 자료 작성'!$J:$J,'상세 자료 작성'!$C:$C,'요약(보고)'!$C18,'상세 자료 작성'!$A:$A,$AE$11,'상세 자료 작성'!$D:$D,$N$4)/10^8</f>
        <v>0</v>
      </c>
      <c r="P18" s="547">
        <f>SUMIFS('상세 자료 작성'!$K:$K,'상세 자료 작성'!$C:$C,'요약(보고)'!$C18,'상세 자료 작성'!$A:$A,$AE$11,'상세 자료 작성'!$D:$D,$N$4)/10^8</f>
        <v>0</v>
      </c>
      <c r="Q18" s="516">
        <f t="shared" si="1"/>
        <v>0</v>
      </c>
      <c r="R18" s="546">
        <f>SUMIFS('상세 자료 작성'!$I:$I,'상세 자료 작성'!$C:$C,'요약(보고)'!$C18,'상세 자료 작성'!$A:$A,'요약(보고)'!$AE$9,'상세 자료 작성'!$D:$D,$R$4)/10^8</f>
        <v>0.36208333999999998</v>
      </c>
      <c r="S18" s="547">
        <f>SUMIFS('상세 자료 작성'!$J:$J,'상세 자료 작성'!$C:$C,'요약(보고)'!$C18,'상세 자료 작성'!$A:$A,$AE$11,'상세 자료 작성'!$D:$D,$R$4)/10^8</f>
        <v>0</v>
      </c>
      <c r="T18" s="547">
        <f>SUMIFS('상세 자료 작성'!$K:$K,'상세 자료 작성'!$C:$C,'요약(보고)'!$C18,'상세 자료 작성'!$A:$A,$AE$11,'상세 자료 작성'!$D:$D,$R$4)/10^8</f>
        <v>0</v>
      </c>
      <c r="U18" s="516">
        <f t="shared" si="2"/>
        <v>0</v>
      </c>
      <c r="V18" s="520">
        <f t="shared" si="17"/>
        <v>3.4780000199999996</v>
      </c>
      <c r="W18" s="521">
        <f t="shared" si="18"/>
        <v>0.46875</v>
      </c>
      <c r="X18" s="518">
        <f t="shared" si="19"/>
        <v>0.46875</v>
      </c>
      <c r="Y18" s="548">
        <f t="shared" si="3"/>
        <v>0</v>
      </c>
      <c r="Z18" s="520">
        <f t="shared" si="9"/>
        <v>8.7779166999999987</v>
      </c>
      <c r="AA18" s="521">
        <f t="shared" si="4"/>
        <v>5.15625</v>
      </c>
      <c r="AB18" s="518">
        <f t="shared" si="5"/>
        <v>5.4116666799999997</v>
      </c>
      <c r="AC18" s="548">
        <f t="shared" si="6"/>
        <v>0.25541667999999973</v>
      </c>
      <c r="AD18" s="501"/>
    </row>
    <row r="19" spans="1:30" ht="30" customHeight="1" x14ac:dyDescent="0.4">
      <c r="A19" s="492"/>
      <c r="B19" s="552"/>
      <c r="C19" s="553" t="s">
        <v>28</v>
      </c>
      <c r="D19" s="554">
        <v>7.4302004899999998</v>
      </c>
      <c r="E19" s="555">
        <f t="shared" si="7"/>
        <v>0</v>
      </c>
      <c r="F19" s="558">
        <v>2.64804167</v>
      </c>
      <c r="G19" s="559">
        <v>0</v>
      </c>
      <c r="H19" s="559">
        <v>0.78861501000000001</v>
      </c>
      <c r="I19" s="557">
        <v>0.78861501000000001</v>
      </c>
      <c r="J19" s="558">
        <f>SUMIFS('상세 자료 작성'!$I:$I,'상세 자료 작성'!$C:$C,'요약(보고)'!$C19,'상세 자료 작성'!$A:$A,'요약(보고)'!$AE$9,'상세 자료 작성'!$D:$D,$J$4)/10^8</f>
        <v>0</v>
      </c>
      <c r="K19" s="559">
        <f>SUMIFS('상세 자료 작성'!$J:$J,'상세 자료 작성'!$C:$C,'요약(보고)'!$C19,'상세 자료 작성'!$A:$A,$AE$11,'상세 자료 작성'!$D:$D,'요약(보고)'!$J$4)/10^8</f>
        <v>0</v>
      </c>
      <c r="L19" s="559">
        <f>SUMIFS('상세 자료 작성'!$K:$K,'상세 자료 작성'!$C:$C,'요약(보고)'!$C19,'상세 자료 작성'!$A:$A,$AE$11,'상세 자료 작성'!$D:$D,$J$4)/10^8</f>
        <v>0</v>
      </c>
      <c r="M19" s="557">
        <f t="shared" si="0"/>
        <v>0</v>
      </c>
      <c r="N19" s="556">
        <f>SUMIFS('상세 자료 작성'!$I:$I,'상세 자료 작성'!$C:$C,'요약(보고)'!$C19,'상세 자료 작성'!$A:$A,'요약(보고)'!$AE$9,'상세 자료 작성'!$D:$D,$N$4)/10^8</f>
        <v>0</v>
      </c>
      <c r="O19" s="559">
        <f>SUMIFS('상세 자료 작성'!$J:$J,'상세 자료 작성'!$C:$C,'요약(보고)'!$C19,'상세 자료 작성'!$A:$A,$AE$11,'상세 자료 작성'!$D:$D,$N$4)/10^8</f>
        <v>0</v>
      </c>
      <c r="P19" s="559">
        <f>SUMIFS('상세 자료 작성'!$K:$K,'상세 자료 작성'!$C:$C,'요약(보고)'!$C19,'상세 자료 작성'!$A:$A,$AE$11,'상세 자료 작성'!$D:$D,$N$4)/10^8</f>
        <v>0</v>
      </c>
      <c r="Q19" s="557">
        <f t="shared" si="1"/>
        <v>0</v>
      </c>
      <c r="R19" s="558">
        <f>SUMIFS('상세 자료 작성'!$I:$I,'상세 자료 작성'!$C:$C,'요약(보고)'!$C19,'상세 자료 작성'!$A:$A,'요약(보고)'!$AE$9,'상세 자료 작성'!$D:$D,$R$4)/10^8</f>
        <v>0.97321599999999997</v>
      </c>
      <c r="S19" s="559">
        <f>SUMIFS('상세 자료 작성'!$J:$J,'상세 자료 작성'!$C:$C,'요약(보고)'!$C19,'상세 자료 작성'!$A:$A,$AE$11,'상세 자료 작성'!$D:$D,$R$4)/10^8</f>
        <v>0</v>
      </c>
      <c r="T19" s="559">
        <f>SUMIFS('상세 자료 작성'!$K:$K,'상세 자료 작성'!$C:$C,'요약(보고)'!$C19,'상세 자료 작성'!$A:$A,$AE$11,'상세 자료 작성'!$D:$D,$R$4)/10^8</f>
        <v>0</v>
      </c>
      <c r="U19" s="557">
        <f t="shared" si="2"/>
        <v>0</v>
      </c>
      <c r="V19" s="560">
        <f t="shared" si="17"/>
        <v>0.97321599999999997</v>
      </c>
      <c r="W19" s="561">
        <f t="shared" si="18"/>
        <v>0</v>
      </c>
      <c r="X19" s="562">
        <f t="shared" si="19"/>
        <v>0</v>
      </c>
      <c r="Y19" s="563">
        <f t="shared" si="3"/>
        <v>0</v>
      </c>
      <c r="Z19" s="560">
        <f t="shared" si="9"/>
        <v>3.6212576699999999</v>
      </c>
      <c r="AA19" s="561">
        <f t="shared" si="4"/>
        <v>0</v>
      </c>
      <c r="AB19" s="562">
        <f t="shared" si="5"/>
        <v>0.78861501000000001</v>
      </c>
      <c r="AC19" s="563">
        <f t="shared" si="6"/>
        <v>0.78861501000000001</v>
      </c>
      <c r="AD19" s="501"/>
    </row>
    <row r="20" spans="1:30" ht="30.6" hidden="1" customHeight="1" thickBot="1" x14ac:dyDescent="0.45">
      <c r="A20" s="492"/>
      <c r="B20" s="963" t="s">
        <v>29</v>
      </c>
      <c r="C20" s="964"/>
      <c r="D20" s="564">
        <f t="shared" ref="D20:Y20" si="20">SUM(D21:D23)</f>
        <v>0</v>
      </c>
      <c r="E20" s="565">
        <f t="shared" si="20"/>
        <v>3392.2517261648945</v>
      </c>
      <c r="F20" s="566">
        <f t="shared" si="20"/>
        <v>0</v>
      </c>
      <c r="G20" s="567">
        <f t="shared" si="20"/>
        <v>672.24236946487065</v>
      </c>
      <c r="H20" s="567">
        <f t="shared" si="20"/>
        <v>672.24236946487065</v>
      </c>
      <c r="I20" s="568">
        <f t="shared" si="20"/>
        <v>0</v>
      </c>
      <c r="J20" s="566">
        <f t="shared" si="20"/>
        <v>0</v>
      </c>
      <c r="K20" s="567">
        <f t="shared" si="20"/>
        <v>236.81199082718717</v>
      </c>
      <c r="L20" s="567">
        <f t="shared" si="20"/>
        <v>236.81199082718717</v>
      </c>
      <c r="M20" s="569">
        <f t="shared" si="20"/>
        <v>0</v>
      </c>
      <c r="N20" s="566">
        <f t="shared" si="20"/>
        <v>0</v>
      </c>
      <c r="O20" s="567">
        <f t="shared" si="20"/>
        <v>280.61593471850972</v>
      </c>
      <c r="P20" s="567">
        <f t="shared" si="20"/>
        <v>280.61593471850972</v>
      </c>
      <c r="Q20" s="568">
        <f t="shared" si="20"/>
        <v>0</v>
      </c>
      <c r="R20" s="570">
        <f>'상세 자료 작성'!I39</f>
        <v>9532347466</v>
      </c>
      <c r="S20" s="567">
        <f t="shared" si="20"/>
        <v>364.64056625545982</v>
      </c>
      <c r="T20" s="567">
        <f t="shared" si="20"/>
        <v>364.64056625545982</v>
      </c>
      <c r="U20" s="568">
        <f t="shared" si="20"/>
        <v>0</v>
      </c>
      <c r="V20" s="566">
        <f t="shared" si="20"/>
        <v>0</v>
      </c>
      <c r="W20" s="567">
        <f t="shared" si="20"/>
        <v>882.0684918011566</v>
      </c>
      <c r="X20" s="567">
        <f t="shared" si="20"/>
        <v>882.0684918011566</v>
      </c>
      <c r="Y20" s="568">
        <f t="shared" si="20"/>
        <v>0</v>
      </c>
      <c r="AD20" s="571"/>
    </row>
    <row r="21" spans="1:30" ht="30.6" hidden="1" customHeight="1" x14ac:dyDescent="0.4">
      <c r="A21" s="492"/>
      <c r="B21" s="965"/>
      <c r="C21" s="572" t="s">
        <v>30</v>
      </c>
      <c r="D21" s="573">
        <v>0</v>
      </c>
      <c r="E21" s="574">
        <v>1869.8804545454552</v>
      </c>
      <c r="F21" s="575">
        <v>0</v>
      </c>
      <c r="G21" s="576">
        <v>404.56184402770964</v>
      </c>
      <c r="H21" s="576">
        <v>404.56184402770964</v>
      </c>
      <c r="I21" s="577">
        <f>H21-G21</f>
        <v>0</v>
      </c>
      <c r="J21" s="575">
        <v>0</v>
      </c>
      <c r="K21" s="576">
        <v>157.15481434621429</v>
      </c>
      <c r="L21" s="576">
        <v>157.15481434621429</v>
      </c>
      <c r="M21" s="577">
        <f>L21-K21</f>
        <v>0</v>
      </c>
      <c r="N21" s="575">
        <v>0</v>
      </c>
      <c r="O21" s="576">
        <v>170.53756206571185</v>
      </c>
      <c r="P21" s="576">
        <v>170.53756206571185</v>
      </c>
      <c r="Q21" s="577">
        <f>P21-O21</f>
        <v>0</v>
      </c>
      <c r="R21" s="578">
        <f>'상세 자료 작성'!I40</f>
        <v>26963794201</v>
      </c>
      <c r="S21" s="576">
        <v>194.32656691555093</v>
      </c>
      <c r="T21" s="576">
        <v>194.32656691555093</v>
      </c>
      <c r="U21" s="577">
        <f>T21-S21</f>
        <v>0</v>
      </c>
      <c r="V21" s="575">
        <v>0</v>
      </c>
      <c r="W21" s="576">
        <f>K21+O21+S21</f>
        <v>522.01894332747702</v>
      </c>
      <c r="X21" s="576">
        <f>L21+P21+T21</f>
        <v>522.01894332747702</v>
      </c>
      <c r="Y21" s="577">
        <f>X21-W21</f>
        <v>0</v>
      </c>
      <c r="AD21" s="571"/>
    </row>
    <row r="22" spans="1:30" ht="30.6" hidden="1" customHeight="1" x14ac:dyDescent="0.4">
      <c r="A22" s="492"/>
      <c r="B22" s="965"/>
      <c r="C22" s="579" t="s">
        <v>31</v>
      </c>
      <c r="D22" s="580">
        <v>0</v>
      </c>
      <c r="E22" s="581">
        <v>1000</v>
      </c>
      <c r="F22" s="582">
        <v>0</v>
      </c>
      <c r="G22" s="583">
        <v>214.70497488195741</v>
      </c>
      <c r="H22" s="584">
        <v>214.70497488195741</v>
      </c>
      <c r="I22" s="585">
        <f t="shared" ref="I22:I23" si="21">H22-G22</f>
        <v>0</v>
      </c>
      <c r="J22" s="582">
        <v>0</v>
      </c>
      <c r="K22" s="583">
        <v>57.938841686318121</v>
      </c>
      <c r="L22" s="584">
        <v>57.938841686318121</v>
      </c>
      <c r="M22" s="585">
        <f t="shared" ref="M22:M23" si="22">L22-K22</f>
        <v>0</v>
      </c>
      <c r="N22" s="582">
        <v>0</v>
      </c>
      <c r="O22" s="583">
        <v>86.90826252947717</v>
      </c>
      <c r="P22" s="584">
        <v>86.90826252947717</v>
      </c>
      <c r="Q22" s="585">
        <f t="shared" ref="Q22:Q23" si="23">P22-O22</f>
        <v>0</v>
      </c>
      <c r="R22" s="578">
        <f>'상세 자료 작성'!I41</f>
        <v>1151454672</v>
      </c>
      <c r="S22" s="583">
        <v>144.97405608963564</v>
      </c>
      <c r="T22" s="584">
        <v>144.97405608963564</v>
      </c>
      <c r="U22" s="585">
        <f t="shared" ref="U22:U23" si="24">T22-S22</f>
        <v>0</v>
      </c>
      <c r="V22" s="582">
        <v>0</v>
      </c>
      <c r="W22" s="576">
        <f>K22+O22+S22</f>
        <v>289.82116030543091</v>
      </c>
      <c r="X22" s="576">
        <f>L22+P22+T22</f>
        <v>289.82116030543091</v>
      </c>
      <c r="Y22" s="585">
        <f t="shared" ref="Y22:Y23" si="25">X22-W22</f>
        <v>0</v>
      </c>
      <c r="AD22" s="571"/>
    </row>
    <row r="23" spans="1:30" ht="30.6" hidden="1" customHeight="1" x14ac:dyDescent="0.4">
      <c r="A23" s="586"/>
      <c r="B23" s="966"/>
      <c r="C23" s="587" t="s">
        <v>32</v>
      </c>
      <c r="D23" s="588">
        <v>0</v>
      </c>
      <c r="E23" s="589">
        <v>522.37127161943931</v>
      </c>
      <c r="F23" s="590">
        <v>0</v>
      </c>
      <c r="G23" s="591">
        <v>52.975550555203561</v>
      </c>
      <c r="H23" s="592">
        <v>52.975550555203561</v>
      </c>
      <c r="I23" s="593">
        <f t="shared" si="21"/>
        <v>0</v>
      </c>
      <c r="J23" s="590">
        <v>0</v>
      </c>
      <c r="K23" s="591">
        <v>21.718334794654751</v>
      </c>
      <c r="L23" s="592">
        <v>21.718334794654751</v>
      </c>
      <c r="M23" s="593">
        <f t="shared" si="22"/>
        <v>0</v>
      </c>
      <c r="N23" s="590">
        <v>0</v>
      </c>
      <c r="O23" s="591">
        <v>23.170110123320697</v>
      </c>
      <c r="P23" s="592">
        <v>23.170110123320697</v>
      </c>
      <c r="Q23" s="593">
        <f t="shared" si="23"/>
        <v>0</v>
      </c>
      <c r="R23" s="578">
        <f>'상세 자료 작성'!I42</f>
        <v>0</v>
      </c>
      <c r="S23" s="591">
        <v>25.339943250273222</v>
      </c>
      <c r="T23" s="592">
        <v>25.339943250273222</v>
      </c>
      <c r="U23" s="593">
        <f t="shared" si="24"/>
        <v>0</v>
      </c>
      <c r="V23" s="590">
        <v>0</v>
      </c>
      <c r="W23" s="591">
        <f t="shared" ref="W23:X23" si="26">K23+O23+S23</f>
        <v>70.228388168248671</v>
      </c>
      <c r="X23" s="592">
        <f t="shared" si="26"/>
        <v>70.228388168248671</v>
      </c>
      <c r="Y23" s="593">
        <f t="shared" si="25"/>
        <v>0</v>
      </c>
      <c r="AD23" s="571"/>
    </row>
    <row r="24" spans="1:30" s="594" customFormat="1" ht="30.6" customHeight="1" x14ac:dyDescent="0.4">
      <c r="B24" s="475" t="s">
        <v>33</v>
      </c>
      <c r="G24" s="595"/>
      <c r="H24" s="595"/>
      <c r="I24" s="595"/>
      <c r="K24" s="595"/>
      <c r="L24" s="595"/>
      <c r="M24" s="596"/>
      <c r="O24" s="595"/>
      <c r="P24" s="595"/>
      <c r="Q24" s="595"/>
      <c r="R24" s="597"/>
      <c r="S24" s="595"/>
      <c r="T24" s="595"/>
      <c r="U24" s="595"/>
      <c r="V24" s="597"/>
      <c r="W24" s="595"/>
      <c r="X24" s="595"/>
      <c r="Y24" s="595"/>
    </row>
    <row r="25" spans="1:30" s="594" customFormat="1" ht="9.75" customHeight="1" x14ac:dyDescent="0.4">
      <c r="B25" s="598"/>
      <c r="G25" s="595"/>
      <c r="H25" s="595"/>
      <c r="I25" s="595"/>
      <c r="K25" s="595"/>
      <c r="L25" s="595"/>
      <c r="M25" s="599"/>
      <c r="O25" s="595"/>
      <c r="P25" s="595"/>
      <c r="Q25" s="595"/>
      <c r="R25" s="597"/>
      <c r="S25" s="595"/>
      <c r="T25" s="595"/>
      <c r="U25" s="595"/>
      <c r="V25" s="597"/>
      <c r="W25" s="595"/>
      <c r="X25" s="595"/>
      <c r="Y25" s="595"/>
    </row>
    <row r="26" spans="1:30" ht="24" customHeight="1" x14ac:dyDescent="0.4">
      <c r="B26" s="600" t="s">
        <v>554</v>
      </c>
      <c r="F26" s="479" t="s">
        <v>4</v>
      </c>
      <c r="G26" s="595"/>
      <c r="H26" s="595"/>
      <c r="W26" s="481" t="s">
        <v>34</v>
      </c>
      <c r="Z26" s="481"/>
    </row>
    <row r="27" spans="1:30" ht="52.35" customHeight="1" x14ac:dyDescent="0.4">
      <c r="B27" s="949" t="s">
        <v>6</v>
      </c>
      <c r="C27" s="949"/>
      <c r="D27" s="949"/>
      <c r="E27" s="949" t="s">
        <v>35</v>
      </c>
      <c r="F27" s="949"/>
      <c r="G27" s="993" t="s">
        <v>66</v>
      </c>
      <c r="H27" s="949"/>
      <c r="I27" s="967" t="s">
        <v>555</v>
      </c>
      <c r="J27" s="968"/>
      <c r="K27" s="949" t="s">
        <v>39</v>
      </c>
      <c r="L27" s="949"/>
      <c r="M27" s="949"/>
      <c r="N27" s="949"/>
      <c r="O27" s="949"/>
      <c r="P27" s="949"/>
      <c r="Q27" s="949"/>
      <c r="R27" s="949"/>
      <c r="S27" s="949"/>
      <c r="T27" s="949"/>
      <c r="U27" s="949"/>
      <c r="V27" s="949"/>
      <c r="W27" s="949"/>
    </row>
    <row r="28" spans="1:30" ht="26.4" customHeight="1" x14ac:dyDescent="0.4">
      <c r="B28" s="970" t="s">
        <v>40</v>
      </c>
      <c r="C28" s="970"/>
      <c r="D28" s="970"/>
      <c r="E28" s="942">
        <f>W9</f>
        <v>33.729440500000003</v>
      </c>
      <c r="F28" s="942"/>
      <c r="G28" s="942">
        <f>X9</f>
        <v>33.729440500000003</v>
      </c>
      <c r="H28" s="942"/>
      <c r="I28" s="969">
        <f>G28-E28</f>
        <v>0</v>
      </c>
      <c r="J28" s="969"/>
      <c r="K28" s="892" t="s">
        <v>557</v>
      </c>
      <c r="L28" s="892"/>
      <c r="M28" s="892"/>
      <c r="N28" s="892"/>
      <c r="O28" s="892"/>
      <c r="P28" s="892"/>
      <c r="Q28" s="892"/>
      <c r="R28" s="892"/>
      <c r="S28" s="892"/>
      <c r="T28" s="892"/>
      <c r="U28" s="892"/>
      <c r="V28" s="892"/>
      <c r="W28" s="892"/>
    </row>
    <row r="29" spans="1:30" ht="19.2" x14ac:dyDescent="0.4">
      <c r="B29" s="988" t="s">
        <v>41</v>
      </c>
      <c r="C29" s="989"/>
      <c r="D29" s="989"/>
      <c r="E29" s="962">
        <f t="shared" ref="E29:E36" si="27">W12</f>
        <v>278.80374801999994</v>
      </c>
      <c r="F29" s="962"/>
      <c r="G29" s="962">
        <f>X12</f>
        <v>278.80374801999994</v>
      </c>
      <c r="H29" s="962"/>
      <c r="I29" s="880">
        <f t="shared" ref="I29:I37" si="28">G29-E29</f>
        <v>0</v>
      </c>
      <c r="J29" s="881"/>
      <c r="K29" s="950"/>
      <c r="L29" s="950"/>
      <c r="M29" s="950"/>
      <c r="N29" s="950"/>
      <c r="O29" s="950"/>
      <c r="P29" s="950"/>
      <c r="Q29" s="950"/>
      <c r="R29" s="950"/>
      <c r="S29" s="950"/>
      <c r="T29" s="950"/>
      <c r="U29" s="950"/>
      <c r="V29" s="950"/>
      <c r="W29" s="950"/>
    </row>
    <row r="30" spans="1:30" ht="86.55" customHeight="1" x14ac:dyDescent="0.4">
      <c r="B30" s="601"/>
      <c r="C30" s="937" t="s">
        <v>22</v>
      </c>
      <c r="D30" s="937"/>
      <c r="E30" s="852">
        <f t="shared" si="27"/>
        <v>266.59305201999996</v>
      </c>
      <c r="F30" s="852"/>
      <c r="G30" s="882">
        <f t="shared" ref="G30:G36" si="29">X13</f>
        <v>266.59305201999996</v>
      </c>
      <c r="H30" s="883"/>
      <c r="I30" s="873">
        <f t="shared" si="28"/>
        <v>0</v>
      </c>
      <c r="J30" s="874"/>
      <c r="K30" s="892" t="s">
        <v>558</v>
      </c>
      <c r="L30" s="892"/>
      <c r="M30" s="892"/>
      <c r="N30" s="892"/>
      <c r="O30" s="892"/>
      <c r="P30" s="892"/>
      <c r="Q30" s="892"/>
      <c r="R30" s="892"/>
      <c r="S30" s="892"/>
      <c r="T30" s="892"/>
      <c r="U30" s="892"/>
      <c r="V30" s="892"/>
      <c r="W30" s="892"/>
    </row>
    <row r="31" spans="1:30" ht="24" customHeight="1" x14ac:dyDescent="0.4">
      <c r="B31" s="602"/>
      <c r="C31" s="937" t="s">
        <v>23</v>
      </c>
      <c r="D31" s="937"/>
      <c r="E31" s="852">
        <f t="shared" si="27"/>
        <v>12.210696</v>
      </c>
      <c r="F31" s="852"/>
      <c r="G31" s="882">
        <f t="shared" si="29"/>
        <v>12.210696</v>
      </c>
      <c r="H31" s="883"/>
      <c r="I31" s="873">
        <f t="shared" si="28"/>
        <v>0</v>
      </c>
      <c r="J31" s="874"/>
      <c r="K31" s="893"/>
      <c r="L31" s="893"/>
      <c r="M31" s="893"/>
      <c r="N31" s="893"/>
      <c r="O31" s="893"/>
      <c r="P31" s="893"/>
      <c r="Q31" s="893"/>
      <c r="R31" s="893"/>
      <c r="S31" s="893"/>
      <c r="T31" s="893"/>
      <c r="U31" s="893"/>
      <c r="V31" s="893"/>
      <c r="W31" s="893"/>
    </row>
    <row r="32" spans="1:30" ht="19.2" x14ac:dyDescent="0.4">
      <c r="B32" s="988" t="s">
        <v>42</v>
      </c>
      <c r="C32" s="989"/>
      <c r="D32" s="989"/>
      <c r="E32" s="938">
        <f t="shared" si="27"/>
        <v>69.988500000000002</v>
      </c>
      <c r="F32" s="938"/>
      <c r="G32" s="875">
        <f t="shared" si="29"/>
        <v>69.988500000000002</v>
      </c>
      <c r="H32" s="876"/>
      <c r="I32" s="880">
        <f t="shared" si="28"/>
        <v>0</v>
      </c>
      <c r="J32" s="881"/>
      <c r="K32" s="889"/>
      <c r="L32" s="890"/>
      <c r="M32" s="890"/>
      <c r="N32" s="890"/>
      <c r="O32" s="890"/>
      <c r="P32" s="890"/>
      <c r="Q32" s="890"/>
      <c r="R32" s="890"/>
      <c r="S32" s="890"/>
      <c r="T32" s="890"/>
      <c r="U32" s="890"/>
      <c r="V32" s="890"/>
      <c r="W32" s="891"/>
    </row>
    <row r="33" spans="2:27" ht="146.4" customHeight="1" x14ac:dyDescent="0.4">
      <c r="B33" s="601"/>
      <c r="C33" s="937" t="s">
        <v>25</v>
      </c>
      <c r="D33" s="937"/>
      <c r="E33" s="852">
        <f t="shared" si="27"/>
        <v>64.033500000000004</v>
      </c>
      <c r="F33" s="852"/>
      <c r="G33" s="882">
        <f t="shared" si="29"/>
        <v>64.033500000000004</v>
      </c>
      <c r="H33" s="883"/>
      <c r="I33" s="873">
        <f t="shared" si="28"/>
        <v>0</v>
      </c>
      <c r="J33" s="874"/>
      <c r="K33" s="893" t="s">
        <v>562</v>
      </c>
      <c r="L33" s="893"/>
      <c r="M33" s="893"/>
      <c r="N33" s="893"/>
      <c r="O33" s="893"/>
      <c r="P33" s="893"/>
      <c r="Q33" s="893"/>
      <c r="R33" s="893"/>
      <c r="S33" s="893"/>
      <c r="T33" s="893"/>
      <c r="U33" s="893"/>
      <c r="V33" s="893"/>
      <c r="W33" s="893"/>
    </row>
    <row r="34" spans="2:27" ht="64.2" customHeight="1" x14ac:dyDescent="0.4">
      <c r="B34" s="601"/>
      <c r="C34" s="937" t="s">
        <v>26</v>
      </c>
      <c r="D34" s="937"/>
      <c r="E34" s="852">
        <f t="shared" si="27"/>
        <v>5.4862500000000001</v>
      </c>
      <c r="F34" s="852"/>
      <c r="G34" s="882">
        <f t="shared" si="29"/>
        <v>5.4862500000000001</v>
      </c>
      <c r="H34" s="883"/>
      <c r="I34" s="873">
        <f t="shared" si="28"/>
        <v>0</v>
      </c>
      <c r="J34" s="874"/>
      <c r="K34" s="894" t="s">
        <v>559</v>
      </c>
      <c r="L34" s="887"/>
      <c r="M34" s="887"/>
      <c r="N34" s="887"/>
      <c r="O34" s="887"/>
      <c r="P34" s="887"/>
      <c r="Q34" s="887"/>
      <c r="R34" s="887"/>
      <c r="S34" s="887"/>
      <c r="T34" s="887"/>
      <c r="U34" s="887"/>
      <c r="V34" s="887"/>
      <c r="W34" s="887"/>
    </row>
    <row r="35" spans="2:27" ht="19.2" x14ac:dyDescent="0.4">
      <c r="B35" s="601"/>
      <c r="C35" s="937" t="s">
        <v>27</v>
      </c>
      <c r="D35" s="937"/>
      <c r="E35" s="852">
        <f t="shared" si="27"/>
        <v>0.46875</v>
      </c>
      <c r="F35" s="852"/>
      <c r="G35" s="882">
        <f t="shared" si="29"/>
        <v>0.46875</v>
      </c>
      <c r="H35" s="883"/>
      <c r="I35" s="873">
        <f t="shared" si="28"/>
        <v>0</v>
      </c>
      <c r="J35" s="874"/>
      <c r="K35" s="893"/>
      <c r="L35" s="893"/>
      <c r="M35" s="893"/>
      <c r="N35" s="893"/>
      <c r="O35" s="893"/>
      <c r="P35" s="893"/>
      <c r="Q35" s="893"/>
      <c r="R35" s="893"/>
      <c r="S35" s="893"/>
      <c r="T35" s="893"/>
      <c r="U35" s="893"/>
      <c r="V35" s="893"/>
      <c r="W35" s="893"/>
    </row>
    <row r="36" spans="2:27" ht="26.85" customHeight="1" x14ac:dyDescent="0.4">
      <c r="B36" s="602"/>
      <c r="C36" s="937" t="s">
        <v>28</v>
      </c>
      <c r="D36" s="937"/>
      <c r="E36" s="852">
        <f t="shared" si="27"/>
        <v>0</v>
      </c>
      <c r="F36" s="852"/>
      <c r="G36" s="882">
        <f t="shared" si="29"/>
        <v>0</v>
      </c>
      <c r="H36" s="883"/>
      <c r="I36" s="873">
        <f t="shared" si="28"/>
        <v>0</v>
      </c>
      <c r="J36" s="874"/>
      <c r="K36" s="887"/>
      <c r="L36" s="887"/>
      <c r="M36" s="887"/>
      <c r="N36" s="887"/>
      <c r="O36" s="887"/>
      <c r="P36" s="887"/>
      <c r="Q36" s="887"/>
      <c r="R36" s="887"/>
      <c r="S36" s="887"/>
      <c r="T36" s="887"/>
      <c r="U36" s="887"/>
      <c r="V36" s="887"/>
      <c r="W36" s="887"/>
    </row>
    <row r="37" spans="2:27" ht="24.6" customHeight="1" x14ac:dyDescent="0.4">
      <c r="B37" s="939" t="s">
        <v>43</v>
      </c>
      <c r="C37" s="939"/>
      <c r="D37" s="939"/>
      <c r="E37" s="936">
        <f>E28+E29+E32</f>
        <v>382.52168851999994</v>
      </c>
      <c r="F37" s="936"/>
      <c r="G37" s="936">
        <f>G28+G29+G32</f>
        <v>382.52168851999994</v>
      </c>
      <c r="H37" s="936"/>
      <c r="I37" s="934">
        <f t="shared" si="28"/>
        <v>0</v>
      </c>
      <c r="J37" s="935"/>
      <c r="K37" s="888"/>
      <c r="L37" s="888"/>
      <c r="M37" s="888"/>
      <c r="N37" s="888"/>
      <c r="O37" s="888"/>
      <c r="P37" s="888"/>
      <c r="Q37" s="888"/>
      <c r="R37" s="888"/>
      <c r="S37" s="888"/>
      <c r="T37" s="888"/>
      <c r="U37" s="888"/>
      <c r="V37" s="888"/>
      <c r="W37" s="888"/>
      <c r="AA37" s="603"/>
    </row>
    <row r="38" spans="2:27" ht="27.6" customHeight="1" x14ac:dyDescent="0.4">
      <c r="B38" s="604"/>
      <c r="C38" s="604"/>
      <c r="D38" s="604"/>
      <c r="E38" s="605"/>
      <c r="F38" s="605"/>
      <c r="G38" s="605"/>
      <c r="H38" s="605"/>
      <c r="I38" s="605"/>
      <c r="J38" s="605"/>
      <c r="K38" s="605"/>
      <c r="M38" s="606"/>
      <c r="N38" s="606"/>
      <c r="O38" s="607"/>
      <c r="P38" s="607"/>
      <c r="R38" s="607"/>
      <c r="S38" s="607"/>
      <c r="T38" s="607"/>
      <c r="U38" s="607"/>
      <c r="V38" s="607"/>
      <c r="W38" s="607"/>
      <c r="X38" s="607"/>
      <c r="Y38" s="607"/>
    </row>
    <row r="39" spans="2:27" ht="23.4" hidden="1" thickBot="1" x14ac:dyDescent="0.45">
      <c r="B39" s="600" t="s">
        <v>44</v>
      </c>
      <c r="L39" s="605"/>
      <c r="Y39" s="478"/>
    </row>
    <row r="40" spans="2:27" ht="50.1" hidden="1" customHeight="1" x14ac:dyDescent="0.4">
      <c r="B40" s="927" t="s">
        <v>6</v>
      </c>
      <c r="C40" s="928"/>
      <c r="D40" s="902"/>
      <c r="E40" s="927" t="s">
        <v>35</v>
      </c>
      <c r="F40" s="902"/>
      <c r="G40" s="901" t="s">
        <v>36</v>
      </c>
      <c r="H40" s="902"/>
      <c r="I40" s="901" t="s">
        <v>37</v>
      </c>
      <c r="J40" s="902"/>
      <c r="K40" s="991" t="s">
        <v>38</v>
      </c>
      <c r="L40" s="992"/>
      <c r="M40" s="928" t="s">
        <v>39</v>
      </c>
      <c r="N40" s="928"/>
      <c r="O40" s="928"/>
      <c r="P40" s="928"/>
      <c r="Q40" s="928"/>
      <c r="R40" s="928"/>
      <c r="S40" s="928"/>
      <c r="T40" s="928"/>
      <c r="U40" s="928"/>
      <c r="V40" s="928"/>
      <c r="W40" s="990"/>
    </row>
    <row r="41" spans="2:27" ht="21.6" hidden="1" customHeight="1" x14ac:dyDescent="0.4">
      <c r="B41" s="853" t="s">
        <v>40</v>
      </c>
      <c r="C41" s="854"/>
      <c r="D41" s="855"/>
      <c r="E41" s="856">
        <f>W9</f>
        <v>33.729440500000003</v>
      </c>
      <c r="F41" s="857"/>
      <c r="G41" s="847">
        <f>SUM('상세 자료 작성'!M215:M217,'상세 자료 작성'!M226:M228,'상세 자료 작성'!M237:M239)/10^8</f>
        <v>44.62638595</v>
      </c>
      <c r="H41" s="879"/>
      <c r="I41" s="847">
        <f>X9</f>
        <v>33.729440500000003</v>
      </c>
      <c r="J41" s="879"/>
      <c r="K41" s="899">
        <f>I41-G41</f>
        <v>-10.896945449999997</v>
      </c>
      <c r="L41" s="900"/>
      <c r="M41" s="912" t="s">
        <v>45</v>
      </c>
      <c r="N41" s="913"/>
      <c r="O41" s="913"/>
      <c r="P41" s="913"/>
      <c r="Q41" s="913"/>
      <c r="R41" s="913"/>
      <c r="S41" s="913"/>
      <c r="T41" s="913"/>
      <c r="U41" s="913"/>
      <c r="V41" s="913"/>
      <c r="W41" s="914"/>
      <c r="X41" s="608"/>
      <c r="Y41" s="608"/>
    </row>
    <row r="42" spans="2:27" ht="21.6" hidden="1" customHeight="1" x14ac:dyDescent="0.4">
      <c r="B42" s="865" t="s">
        <v>41</v>
      </c>
      <c r="C42" s="866"/>
      <c r="D42" s="866"/>
      <c r="E42" s="858">
        <f>SUM(E43:F44)</f>
        <v>278.80374801999994</v>
      </c>
      <c r="F42" s="859"/>
      <c r="G42" s="858">
        <f>SUM(G43:H44)</f>
        <v>286.88216790000001</v>
      </c>
      <c r="H42" s="933"/>
      <c r="I42" s="895">
        <f>SUM(I43:J44)</f>
        <v>278.80374801999994</v>
      </c>
      <c r="J42" s="896"/>
      <c r="K42" s="897">
        <f t="shared" ref="K42:K51" si="30">I42-G42</f>
        <v>-8.0784198800000695</v>
      </c>
      <c r="L42" s="898"/>
      <c r="M42" s="877"/>
      <c r="N42" s="877"/>
      <c r="O42" s="877"/>
      <c r="P42" s="877"/>
      <c r="Q42" s="877"/>
      <c r="R42" s="877"/>
      <c r="S42" s="877"/>
      <c r="T42" s="877"/>
      <c r="U42" s="877"/>
      <c r="V42" s="877"/>
      <c r="W42" s="878"/>
    </row>
    <row r="43" spans="2:27" ht="21.6" hidden="1" customHeight="1" x14ac:dyDescent="0.4">
      <c r="B43" s="609"/>
      <c r="C43" s="845" t="s">
        <v>22</v>
      </c>
      <c r="D43" s="846"/>
      <c r="E43" s="847">
        <f>W13</f>
        <v>266.59305201999996</v>
      </c>
      <c r="F43" s="848"/>
      <c r="G43" s="847">
        <f>SUM('상세 자료 작성'!M219,'상세 자료 작성'!M230,'상세 자료 작성'!M241)/10^8</f>
        <v>280.285166</v>
      </c>
      <c r="H43" s="879"/>
      <c r="I43" s="847">
        <f>X13</f>
        <v>266.59305201999996</v>
      </c>
      <c r="J43" s="879"/>
      <c r="K43" s="899">
        <f t="shared" si="30"/>
        <v>-13.692113980000045</v>
      </c>
      <c r="L43" s="900"/>
      <c r="M43" s="884" t="s">
        <v>45</v>
      </c>
      <c r="N43" s="885"/>
      <c r="O43" s="885"/>
      <c r="P43" s="885"/>
      <c r="Q43" s="885"/>
      <c r="R43" s="885"/>
      <c r="S43" s="885"/>
      <c r="T43" s="885"/>
      <c r="U43" s="885"/>
      <c r="V43" s="885"/>
      <c r="W43" s="886"/>
    </row>
    <row r="44" spans="2:27" ht="21.6" hidden="1" customHeight="1" x14ac:dyDescent="0.4">
      <c r="B44" s="609"/>
      <c r="C44" s="845" t="s">
        <v>23</v>
      </c>
      <c r="D44" s="846"/>
      <c r="E44" s="847">
        <f>W14</f>
        <v>12.210696</v>
      </c>
      <c r="F44" s="848"/>
      <c r="G44" s="847">
        <f>SUM('상세 자료 작성'!M218,'상세 자료 작성'!M229,'상세 자료 작성'!M240)/10^8</f>
        <v>6.5970019000000004</v>
      </c>
      <c r="H44" s="879"/>
      <c r="I44" s="847">
        <f>X14</f>
        <v>12.210696</v>
      </c>
      <c r="J44" s="879"/>
      <c r="K44" s="899">
        <f t="shared" si="30"/>
        <v>5.6136941</v>
      </c>
      <c r="L44" s="900"/>
      <c r="M44" s="906"/>
      <c r="N44" s="907"/>
      <c r="O44" s="907"/>
      <c r="P44" s="907"/>
      <c r="Q44" s="907"/>
      <c r="R44" s="907"/>
      <c r="S44" s="907"/>
      <c r="T44" s="907"/>
      <c r="U44" s="907"/>
      <c r="V44" s="907"/>
      <c r="W44" s="908"/>
    </row>
    <row r="45" spans="2:27" ht="21.6" hidden="1" customHeight="1" x14ac:dyDescent="0.4">
      <c r="B45" s="865" t="s">
        <v>42</v>
      </c>
      <c r="C45" s="866"/>
      <c r="D45" s="866"/>
      <c r="E45" s="858" t="e">
        <f>SUM(E46:F50)</f>
        <v>#REF!</v>
      </c>
      <c r="F45" s="859"/>
      <c r="G45" s="858">
        <f>SUM(G46:H50)</f>
        <v>50.674777130000003</v>
      </c>
      <c r="H45" s="933"/>
      <c r="I45" s="895" t="e">
        <f>SUM(I46:J50)</f>
        <v>#REF!</v>
      </c>
      <c r="J45" s="896"/>
      <c r="K45" s="897" t="e">
        <f t="shared" si="30"/>
        <v>#REF!</v>
      </c>
      <c r="L45" s="898"/>
      <c r="M45" s="930"/>
      <c r="N45" s="877"/>
      <c r="O45" s="877"/>
      <c r="P45" s="877"/>
      <c r="Q45" s="877"/>
      <c r="R45" s="877"/>
      <c r="S45" s="877"/>
      <c r="T45" s="877"/>
      <c r="U45" s="877"/>
      <c r="V45" s="877"/>
      <c r="W45" s="878"/>
    </row>
    <row r="46" spans="2:27" ht="21.6" hidden="1" customHeight="1" x14ac:dyDescent="0.4">
      <c r="B46" s="609"/>
      <c r="C46" s="845" t="s">
        <v>46</v>
      </c>
      <c r="D46" s="846"/>
      <c r="E46" s="847" t="e">
        <f>#REF!</f>
        <v>#REF!</v>
      </c>
      <c r="F46" s="848"/>
      <c r="G46" s="847">
        <f>SUM('상세 자료 작성'!M220,'상세 자료 작성'!M231,'상세 자료 작성'!M242)/10^8</f>
        <v>0</v>
      </c>
      <c r="H46" s="879"/>
      <c r="I46" s="847" t="e">
        <f>#REF!</f>
        <v>#REF!</v>
      </c>
      <c r="J46" s="879"/>
      <c r="K46" s="899" t="e">
        <f t="shared" si="30"/>
        <v>#REF!</v>
      </c>
      <c r="L46" s="900"/>
      <c r="M46" s="931"/>
      <c r="N46" s="931"/>
      <c r="O46" s="931"/>
      <c r="P46" s="931"/>
      <c r="Q46" s="931"/>
      <c r="R46" s="931"/>
      <c r="S46" s="931"/>
      <c r="T46" s="931"/>
      <c r="U46" s="931"/>
      <c r="V46" s="931"/>
      <c r="W46" s="932"/>
    </row>
    <row r="47" spans="2:27" ht="21.6" hidden="1" customHeight="1" x14ac:dyDescent="0.4">
      <c r="B47" s="609"/>
      <c r="C47" s="845" t="s">
        <v>26</v>
      </c>
      <c r="D47" s="846"/>
      <c r="E47" s="847">
        <f>W17</f>
        <v>5.4862500000000001</v>
      </c>
      <c r="F47" s="848"/>
      <c r="G47" s="847">
        <f>SUM('상세 자료 작성'!M221,'상세 자료 작성'!M232,'상세 자료 작성'!M243)/10^8</f>
        <v>7.9050000000000002</v>
      </c>
      <c r="H47" s="879"/>
      <c r="I47" s="862">
        <f>X17</f>
        <v>5.4862500000000001</v>
      </c>
      <c r="J47" s="863"/>
      <c r="K47" s="899">
        <f t="shared" si="30"/>
        <v>-2.4187500000000002</v>
      </c>
      <c r="L47" s="900"/>
      <c r="M47" s="924"/>
      <c r="N47" s="925"/>
      <c r="O47" s="925"/>
      <c r="P47" s="925"/>
      <c r="Q47" s="925"/>
      <c r="R47" s="925"/>
      <c r="S47" s="925"/>
      <c r="T47" s="925"/>
      <c r="U47" s="925"/>
      <c r="V47" s="925"/>
      <c r="W47" s="926"/>
    </row>
    <row r="48" spans="2:27" ht="21.6" hidden="1" customHeight="1" x14ac:dyDescent="0.4">
      <c r="B48" s="609"/>
      <c r="C48" s="845" t="s">
        <v>25</v>
      </c>
      <c r="D48" s="846"/>
      <c r="E48" s="847">
        <f>W16</f>
        <v>64.033500000000004</v>
      </c>
      <c r="F48" s="848"/>
      <c r="G48" s="847">
        <f>SUM('상세 자료 작성'!M222,'상세 자료 작성'!M233,'상세 자료 작성'!M244)/10^8</f>
        <v>39.293733109999998</v>
      </c>
      <c r="H48" s="879"/>
      <c r="I48" s="862">
        <f>X16</f>
        <v>64.033500000000004</v>
      </c>
      <c r="J48" s="863"/>
      <c r="K48" s="899">
        <f t="shared" si="30"/>
        <v>24.739766890000006</v>
      </c>
      <c r="L48" s="915"/>
      <c r="M48" s="912"/>
      <c r="N48" s="913"/>
      <c r="O48" s="913"/>
      <c r="P48" s="913"/>
      <c r="Q48" s="913"/>
      <c r="R48" s="913"/>
      <c r="S48" s="913"/>
      <c r="T48" s="913"/>
      <c r="U48" s="913"/>
      <c r="V48" s="913"/>
      <c r="W48" s="914"/>
    </row>
    <row r="49" spans="2:25" ht="21.6" hidden="1" customHeight="1" x14ac:dyDescent="0.4">
      <c r="B49" s="609"/>
      <c r="C49" s="845" t="s">
        <v>18</v>
      </c>
      <c r="D49" s="846"/>
      <c r="E49" s="847">
        <f>W18</f>
        <v>0.46875</v>
      </c>
      <c r="F49" s="848"/>
      <c r="G49" s="847">
        <f>SUM('상세 자료 작성'!M223,'상세 자료 작성'!M234,'상세 자료 작성'!M245)/10^8</f>
        <v>2.45975002</v>
      </c>
      <c r="H49" s="879"/>
      <c r="I49" s="862">
        <f>X18</f>
        <v>0.46875</v>
      </c>
      <c r="J49" s="863"/>
      <c r="K49" s="899">
        <f t="shared" si="30"/>
        <v>-1.99100002</v>
      </c>
      <c r="L49" s="900"/>
      <c r="M49" s="916"/>
      <c r="N49" s="917"/>
      <c r="O49" s="917"/>
      <c r="P49" s="917"/>
      <c r="Q49" s="917"/>
      <c r="R49" s="917"/>
      <c r="S49" s="917"/>
      <c r="T49" s="917"/>
      <c r="U49" s="917"/>
      <c r="V49" s="917"/>
      <c r="W49" s="918"/>
      <c r="Y49" s="610"/>
    </row>
    <row r="50" spans="2:25" ht="21.6" hidden="1" customHeight="1" x14ac:dyDescent="0.4">
      <c r="B50" s="609"/>
      <c r="C50" s="845" t="s">
        <v>47</v>
      </c>
      <c r="D50" s="846"/>
      <c r="E50" s="847">
        <f>W19</f>
        <v>0</v>
      </c>
      <c r="F50" s="848"/>
      <c r="G50" s="847">
        <f>SUM('상세 자료 작성'!M224,'상세 자료 작성'!M235,'상세 자료 작성'!M246)/10^8</f>
        <v>1.016294</v>
      </c>
      <c r="H50" s="879"/>
      <c r="I50" s="862">
        <f>X19</f>
        <v>0</v>
      </c>
      <c r="J50" s="863"/>
      <c r="K50" s="899">
        <f t="shared" si="30"/>
        <v>-1.016294</v>
      </c>
      <c r="L50" s="900"/>
      <c r="M50" s="916"/>
      <c r="N50" s="885"/>
      <c r="O50" s="885"/>
      <c r="P50" s="885"/>
      <c r="Q50" s="885"/>
      <c r="R50" s="885"/>
      <c r="S50" s="885"/>
      <c r="T50" s="885"/>
      <c r="U50" s="885"/>
      <c r="V50" s="885"/>
      <c r="W50" s="886"/>
    </row>
    <row r="51" spans="2:25" ht="21.6" hidden="1" customHeight="1" thickBot="1" x14ac:dyDescent="0.45">
      <c r="B51" s="849" t="s">
        <v>43</v>
      </c>
      <c r="C51" s="850"/>
      <c r="D51" s="851"/>
      <c r="E51" s="860" t="e">
        <f>E41+E42+E45</f>
        <v>#REF!</v>
      </c>
      <c r="F51" s="861"/>
      <c r="G51" s="860">
        <f>G41+G42+G45</f>
        <v>382.18333097999999</v>
      </c>
      <c r="H51" s="861"/>
      <c r="I51" s="860" t="e">
        <f>I41+I42+I45</f>
        <v>#REF!</v>
      </c>
      <c r="J51" s="868"/>
      <c r="K51" s="1008" t="e">
        <f t="shared" si="30"/>
        <v>#REF!</v>
      </c>
      <c r="L51" s="1009"/>
      <c r="M51" s="1011" t="s">
        <v>48</v>
      </c>
      <c r="N51" s="1011"/>
      <c r="O51" s="1011"/>
      <c r="P51" s="1011"/>
      <c r="Q51" s="1011"/>
      <c r="R51" s="1011"/>
      <c r="S51" s="1011"/>
      <c r="T51" s="1011"/>
      <c r="U51" s="1011"/>
      <c r="V51" s="1011"/>
      <c r="W51" s="1012"/>
    </row>
    <row r="52" spans="2:25" ht="12" customHeight="1" x14ac:dyDescent="0.4">
      <c r="B52" s="867"/>
      <c r="C52" s="867"/>
      <c r="D52" s="867"/>
      <c r="E52" s="605"/>
      <c r="F52" s="605"/>
      <c r="G52" s="605"/>
      <c r="H52" s="605"/>
      <c r="I52" s="605"/>
      <c r="J52" s="605"/>
      <c r="K52" s="605"/>
      <c r="L52" s="605"/>
      <c r="M52" s="611"/>
      <c r="N52" s="611"/>
      <c r="O52" s="612"/>
      <c r="P52" s="612"/>
      <c r="Q52" s="612"/>
      <c r="R52" s="612"/>
      <c r="S52" s="612"/>
      <c r="T52" s="612"/>
      <c r="U52" s="612"/>
      <c r="V52" s="612"/>
      <c r="W52" s="612"/>
      <c r="X52" s="612"/>
      <c r="Y52" s="612"/>
    </row>
    <row r="53" spans="2:25" ht="25.35" hidden="1" customHeight="1" x14ac:dyDescent="0.4">
      <c r="B53" s="600" t="s">
        <v>49</v>
      </c>
      <c r="X53" s="612"/>
      <c r="Y53" s="612"/>
    </row>
    <row r="54" spans="2:25" ht="25.35" hidden="1" customHeight="1" thickBot="1" x14ac:dyDescent="0.45">
      <c r="B54" s="864" t="s">
        <v>6</v>
      </c>
      <c r="C54" s="864"/>
      <c r="D54" s="864"/>
      <c r="E54" s="864" t="s">
        <v>50</v>
      </c>
      <c r="F54" s="864"/>
      <c r="G54" s="864" t="s">
        <v>51</v>
      </c>
      <c r="H54" s="864"/>
      <c r="I54" s="869"/>
      <c r="J54" s="864" t="s">
        <v>52</v>
      </c>
      <c r="K54" s="864"/>
      <c r="L54" s="869"/>
      <c r="M54" s="864" t="s">
        <v>39</v>
      </c>
      <c r="N54" s="864"/>
      <c r="O54" s="864"/>
      <c r="P54" s="864"/>
      <c r="Q54" s="864"/>
      <c r="R54" s="864"/>
      <c r="S54" s="864"/>
      <c r="T54" s="864"/>
      <c r="U54" s="864"/>
      <c r="V54" s="864"/>
      <c r="W54" s="864"/>
      <c r="X54" s="612"/>
      <c r="Y54" s="612"/>
    </row>
    <row r="55" spans="2:25" ht="24" hidden="1" customHeight="1" x14ac:dyDescent="0.4">
      <c r="B55" s="864"/>
      <c r="C55" s="864"/>
      <c r="D55" s="864"/>
      <c r="E55" s="864"/>
      <c r="F55" s="864"/>
      <c r="G55" s="613" t="s">
        <v>53</v>
      </c>
      <c r="H55" s="614" t="s">
        <v>54</v>
      </c>
      <c r="I55" s="615" t="s">
        <v>55</v>
      </c>
      <c r="J55" s="616" t="s">
        <v>53</v>
      </c>
      <c r="K55" s="614" t="s">
        <v>54</v>
      </c>
      <c r="L55" s="615" t="s">
        <v>55</v>
      </c>
      <c r="M55" s="929"/>
      <c r="N55" s="864"/>
      <c r="O55" s="864"/>
      <c r="P55" s="864"/>
      <c r="Q55" s="864"/>
      <c r="R55" s="864"/>
      <c r="S55" s="864"/>
      <c r="T55" s="864"/>
      <c r="U55" s="864"/>
      <c r="V55" s="864"/>
      <c r="W55" s="864"/>
    </row>
    <row r="56" spans="2:25" ht="72" hidden="1" customHeight="1" x14ac:dyDescent="0.4">
      <c r="B56" s="870" t="s">
        <v>40</v>
      </c>
      <c r="C56" s="871"/>
      <c r="D56" s="872"/>
      <c r="E56" s="919">
        <v>27.901129285714283</v>
      </c>
      <c r="F56" s="920"/>
      <c r="G56" s="617">
        <v>14.48897541</v>
      </c>
      <c r="H56" s="617">
        <v>17.33273599</v>
      </c>
      <c r="I56" s="618">
        <f>H56-G56</f>
        <v>2.8437605799999996</v>
      </c>
      <c r="J56" s="617">
        <v>29.215681419999999</v>
      </c>
      <c r="K56" s="617">
        <v>32.004119600000003</v>
      </c>
      <c r="L56" s="618">
        <f t="shared" ref="L56:L66" si="31">K56-J56</f>
        <v>2.7884381800000035</v>
      </c>
      <c r="M56" s="903" t="s">
        <v>56</v>
      </c>
      <c r="N56" s="904"/>
      <c r="O56" s="904"/>
      <c r="P56" s="904"/>
      <c r="Q56" s="904"/>
      <c r="R56" s="904"/>
      <c r="S56" s="904"/>
      <c r="T56" s="904"/>
      <c r="U56" s="904"/>
      <c r="V56" s="904"/>
      <c r="W56" s="905"/>
    </row>
    <row r="57" spans="2:25" ht="19.2" hidden="1" x14ac:dyDescent="0.4">
      <c r="B57" s="865" t="s">
        <v>41</v>
      </c>
      <c r="C57" s="866"/>
      <c r="D57" s="866"/>
      <c r="E57" s="858">
        <v>303.01408400000003</v>
      </c>
      <c r="F57" s="859"/>
      <c r="G57" s="619">
        <v>78.430538099999993</v>
      </c>
      <c r="H57" s="619">
        <v>70.990869099999998</v>
      </c>
      <c r="I57" s="620">
        <f t="shared" ref="I57:I66" si="32">H57-G57</f>
        <v>-7.439668999999995</v>
      </c>
      <c r="J57" s="619">
        <v>260.9325857</v>
      </c>
      <c r="K57" s="619">
        <v>262.6940907</v>
      </c>
      <c r="L57" s="621">
        <f t="shared" si="31"/>
        <v>1.7615049999999997</v>
      </c>
      <c r="M57" s="1000"/>
      <c r="N57" s="1001"/>
      <c r="O57" s="1001"/>
      <c r="P57" s="1001"/>
      <c r="Q57" s="1001"/>
      <c r="R57" s="1001"/>
      <c r="S57" s="1001"/>
      <c r="T57" s="1001"/>
      <c r="U57" s="1001"/>
      <c r="V57" s="1001"/>
      <c r="W57" s="1002"/>
    </row>
    <row r="58" spans="2:25" ht="72" hidden="1" customHeight="1" x14ac:dyDescent="0.4">
      <c r="B58" s="609"/>
      <c r="C58" s="845" t="s">
        <v>22</v>
      </c>
      <c r="D58" s="846"/>
      <c r="E58" s="847">
        <v>292.36850900000002</v>
      </c>
      <c r="F58" s="848"/>
      <c r="G58" s="622">
        <v>74.575491499999998</v>
      </c>
      <c r="H58" s="622">
        <v>67.135822500000003</v>
      </c>
      <c r="I58" s="618">
        <f t="shared" si="32"/>
        <v>-7.439668999999995</v>
      </c>
      <c r="J58" s="622">
        <v>244.3935635</v>
      </c>
      <c r="K58" s="622">
        <v>245.16506849999999</v>
      </c>
      <c r="L58" s="623">
        <f t="shared" si="31"/>
        <v>0.77150499999999056</v>
      </c>
      <c r="M58" s="1010" t="s">
        <v>57</v>
      </c>
      <c r="N58" s="910"/>
      <c r="O58" s="910"/>
      <c r="P58" s="910"/>
      <c r="Q58" s="910"/>
      <c r="R58" s="910"/>
      <c r="S58" s="910"/>
      <c r="T58" s="910"/>
      <c r="U58" s="910"/>
      <c r="V58" s="910"/>
      <c r="W58" s="911"/>
    </row>
    <row r="59" spans="2:25" ht="19.2" hidden="1" x14ac:dyDescent="0.4">
      <c r="B59" s="609"/>
      <c r="C59" s="845" t="s">
        <v>23</v>
      </c>
      <c r="D59" s="846"/>
      <c r="E59" s="847">
        <v>10.645575000000001</v>
      </c>
      <c r="F59" s="848"/>
      <c r="G59" s="622">
        <v>3.8550466000000001</v>
      </c>
      <c r="H59" s="622">
        <v>3.8550466000000001</v>
      </c>
      <c r="I59" s="618">
        <f t="shared" si="32"/>
        <v>0</v>
      </c>
      <c r="J59" s="622">
        <v>16.539022200000002</v>
      </c>
      <c r="K59" s="622">
        <v>17.5290222</v>
      </c>
      <c r="L59" s="623">
        <f t="shared" si="31"/>
        <v>0.98999999999999844</v>
      </c>
      <c r="M59" s="909" t="s">
        <v>58</v>
      </c>
      <c r="N59" s="910"/>
      <c r="O59" s="910"/>
      <c r="P59" s="910"/>
      <c r="Q59" s="910"/>
      <c r="R59" s="910"/>
      <c r="S59" s="910"/>
      <c r="T59" s="910"/>
      <c r="U59" s="910"/>
      <c r="V59" s="910"/>
      <c r="W59" s="911"/>
    </row>
    <row r="60" spans="2:25" ht="19.2" hidden="1" x14ac:dyDescent="0.4">
      <c r="B60" s="865" t="s">
        <v>42</v>
      </c>
      <c r="C60" s="866"/>
      <c r="D60" s="866"/>
      <c r="E60" s="858">
        <v>0</v>
      </c>
      <c r="F60" s="859"/>
      <c r="G60" s="619">
        <v>13.467252030000001</v>
      </c>
      <c r="H60" s="619">
        <v>20.337252029999998</v>
      </c>
      <c r="I60" s="620">
        <f t="shared" si="32"/>
        <v>6.8699999999999974</v>
      </c>
      <c r="J60" s="619">
        <v>41.133106089999998</v>
      </c>
      <c r="K60" s="619">
        <v>40.966090770000001</v>
      </c>
      <c r="L60" s="621">
        <f t="shared" si="31"/>
        <v>-0.1670153199999973</v>
      </c>
      <c r="M60" s="1000"/>
      <c r="N60" s="1001"/>
      <c r="O60" s="1001"/>
      <c r="P60" s="1001"/>
      <c r="Q60" s="1001"/>
      <c r="R60" s="1001"/>
      <c r="S60" s="1001"/>
      <c r="T60" s="1001"/>
      <c r="U60" s="1001"/>
      <c r="V60" s="1001"/>
      <c r="W60" s="1002"/>
    </row>
    <row r="61" spans="2:25" ht="19.2" hidden="1" x14ac:dyDescent="0.4">
      <c r="B61" s="609"/>
      <c r="C61" s="845" t="s">
        <v>46</v>
      </c>
      <c r="D61" s="846"/>
      <c r="E61" s="847">
        <v>0</v>
      </c>
      <c r="F61" s="848"/>
      <c r="G61" s="622">
        <v>0</v>
      </c>
      <c r="H61" s="622">
        <v>0</v>
      </c>
      <c r="I61" s="618">
        <f t="shared" si="32"/>
        <v>0</v>
      </c>
      <c r="J61" s="622">
        <v>0</v>
      </c>
      <c r="K61" s="622">
        <v>0</v>
      </c>
      <c r="L61" s="623">
        <f t="shared" si="31"/>
        <v>0</v>
      </c>
      <c r="M61" s="909"/>
      <c r="N61" s="910"/>
      <c r="O61" s="910"/>
      <c r="P61" s="910"/>
      <c r="Q61" s="910"/>
      <c r="R61" s="910"/>
      <c r="S61" s="910"/>
      <c r="T61" s="910"/>
      <c r="U61" s="910"/>
      <c r="V61" s="910"/>
      <c r="W61" s="911"/>
    </row>
    <row r="62" spans="2:25" ht="19.2" hidden="1" x14ac:dyDescent="0.4">
      <c r="B62" s="609"/>
      <c r="C62" s="845" t="s">
        <v>26</v>
      </c>
      <c r="D62" s="846"/>
      <c r="E62" s="847">
        <v>0</v>
      </c>
      <c r="F62" s="848"/>
      <c r="G62" s="622">
        <v>1.29</v>
      </c>
      <c r="H62" s="622">
        <v>0</v>
      </c>
      <c r="I62" s="618">
        <f t="shared" si="32"/>
        <v>-1.29</v>
      </c>
      <c r="J62" s="622">
        <v>5.49</v>
      </c>
      <c r="K62" s="622">
        <v>5.49</v>
      </c>
      <c r="L62" s="623">
        <f t="shared" si="31"/>
        <v>0</v>
      </c>
      <c r="M62" s="1004" t="s">
        <v>59</v>
      </c>
      <c r="N62" s="971"/>
      <c r="O62" s="971"/>
      <c r="P62" s="971"/>
      <c r="Q62" s="971"/>
      <c r="R62" s="971"/>
      <c r="S62" s="971"/>
      <c r="T62" s="971"/>
      <c r="U62" s="971"/>
      <c r="V62" s="971"/>
      <c r="W62" s="971"/>
    </row>
    <row r="63" spans="2:25" ht="19.2" hidden="1" x14ac:dyDescent="0.4">
      <c r="B63" s="609"/>
      <c r="C63" s="845" t="s">
        <v>25</v>
      </c>
      <c r="D63" s="846"/>
      <c r="E63" s="847">
        <v>0</v>
      </c>
      <c r="F63" s="848"/>
      <c r="G63" s="622">
        <v>11.861210359999999</v>
      </c>
      <c r="H63" s="622">
        <v>18.731210359999999</v>
      </c>
      <c r="I63" s="618">
        <f t="shared" si="32"/>
        <v>6.8699999999999992</v>
      </c>
      <c r="J63" s="622">
        <v>32.10323108</v>
      </c>
      <c r="K63" s="622">
        <v>31.890174089999999</v>
      </c>
      <c r="L63" s="623">
        <f t="shared" si="31"/>
        <v>-0.21305699000000189</v>
      </c>
      <c r="M63" s="1003" t="s">
        <v>60</v>
      </c>
      <c r="N63" s="885"/>
      <c r="O63" s="885"/>
      <c r="P63" s="885"/>
      <c r="Q63" s="885"/>
      <c r="R63" s="885"/>
      <c r="S63" s="885"/>
      <c r="T63" s="885"/>
      <c r="U63" s="885"/>
      <c r="V63" s="885"/>
      <c r="W63" s="886"/>
    </row>
    <row r="64" spans="2:25" ht="19.2" hidden="1" x14ac:dyDescent="0.4">
      <c r="B64" s="609"/>
      <c r="C64" s="845" t="s">
        <v>18</v>
      </c>
      <c r="D64" s="846"/>
      <c r="E64" s="847">
        <v>0</v>
      </c>
      <c r="F64" s="848"/>
      <c r="G64" s="622">
        <v>0.31604167</v>
      </c>
      <c r="H64" s="622">
        <v>0.31604167</v>
      </c>
      <c r="I64" s="618">
        <f t="shared" si="32"/>
        <v>0</v>
      </c>
      <c r="J64" s="622">
        <v>3.29187501</v>
      </c>
      <c r="K64" s="622">
        <v>3.3859166799999998</v>
      </c>
      <c r="L64" s="623">
        <f t="shared" si="31"/>
        <v>9.4041669999999744E-2</v>
      </c>
      <c r="M64" s="909" t="s">
        <v>61</v>
      </c>
      <c r="N64" s="910"/>
      <c r="O64" s="910"/>
      <c r="P64" s="910"/>
      <c r="Q64" s="910"/>
      <c r="R64" s="910"/>
      <c r="S64" s="910"/>
      <c r="T64" s="910"/>
      <c r="U64" s="910"/>
      <c r="V64" s="910"/>
      <c r="W64" s="911"/>
    </row>
    <row r="65" spans="2:25" ht="19.2" hidden="1" x14ac:dyDescent="0.4">
      <c r="B65" s="609"/>
      <c r="C65" s="845" t="s">
        <v>47</v>
      </c>
      <c r="D65" s="846"/>
      <c r="E65" s="847">
        <v>0</v>
      </c>
      <c r="F65" s="848"/>
      <c r="G65" s="622">
        <v>0</v>
      </c>
      <c r="H65" s="622">
        <v>0</v>
      </c>
      <c r="I65" s="618">
        <f t="shared" si="32"/>
        <v>0</v>
      </c>
      <c r="J65" s="622">
        <v>0.248</v>
      </c>
      <c r="K65" s="622">
        <v>0.2</v>
      </c>
      <c r="L65" s="623">
        <f t="shared" si="31"/>
        <v>-4.7999999999999987E-2</v>
      </c>
      <c r="M65" s="1005"/>
      <c r="N65" s="1006"/>
      <c r="O65" s="1006"/>
      <c r="P65" s="1006"/>
      <c r="Q65" s="1006"/>
      <c r="R65" s="1006"/>
      <c r="S65" s="1006"/>
      <c r="T65" s="1006"/>
      <c r="U65" s="1006"/>
      <c r="V65" s="1006"/>
      <c r="W65" s="1007"/>
    </row>
    <row r="66" spans="2:25" ht="43.35" hidden="1" customHeight="1" thickBot="1" x14ac:dyDescent="0.45">
      <c r="B66" s="849" t="s">
        <v>43</v>
      </c>
      <c r="C66" s="850"/>
      <c r="D66" s="851"/>
      <c r="E66" s="860">
        <v>330.91521328571429</v>
      </c>
      <c r="F66" s="861"/>
      <c r="G66" s="624">
        <v>106.38676553999998</v>
      </c>
      <c r="H66" s="624">
        <v>107.37085712</v>
      </c>
      <c r="I66" s="625">
        <f t="shared" si="32"/>
        <v>0.98409158000001185</v>
      </c>
      <c r="J66" s="624">
        <v>331.28137321000003</v>
      </c>
      <c r="K66" s="624">
        <v>335.66430107000002</v>
      </c>
      <c r="L66" s="626">
        <f t="shared" si="31"/>
        <v>4.3829278599999952</v>
      </c>
      <c r="M66" s="921"/>
      <c r="N66" s="922"/>
      <c r="O66" s="922"/>
      <c r="P66" s="922"/>
      <c r="Q66" s="922"/>
      <c r="R66" s="922"/>
      <c r="S66" s="922"/>
      <c r="T66" s="922"/>
      <c r="U66" s="922"/>
      <c r="V66" s="922"/>
      <c r="W66" s="923"/>
    </row>
    <row r="67" spans="2:25" ht="11.1" hidden="1" customHeight="1" x14ac:dyDescent="0.4">
      <c r="B67" s="627"/>
      <c r="C67" s="627"/>
      <c r="D67" s="627"/>
      <c r="E67" s="605"/>
      <c r="F67" s="605"/>
      <c r="G67" s="605"/>
      <c r="H67" s="605"/>
      <c r="I67" s="605"/>
      <c r="J67" s="605"/>
      <c r="K67" s="605"/>
      <c r="L67" s="605"/>
      <c r="M67" s="611"/>
      <c r="N67" s="611"/>
      <c r="O67" s="612"/>
      <c r="P67" s="612"/>
      <c r="Q67" s="612"/>
      <c r="R67" s="612"/>
      <c r="S67" s="612"/>
      <c r="T67" s="612"/>
      <c r="U67" s="612"/>
      <c r="V67" s="612"/>
      <c r="W67" s="612"/>
      <c r="X67" s="612"/>
      <c r="Y67" s="612"/>
    </row>
    <row r="68" spans="2:25" ht="25.35" customHeight="1" x14ac:dyDescent="0.4">
      <c r="B68" s="600" t="s">
        <v>62</v>
      </c>
      <c r="W68" s="628"/>
      <c r="X68" s="612"/>
    </row>
    <row r="69" spans="2:25" ht="233.1" customHeight="1" x14ac:dyDescent="0.4">
      <c r="B69" s="600"/>
      <c r="C69" s="627"/>
      <c r="D69" s="627"/>
      <c r="E69" s="605"/>
      <c r="F69" s="605"/>
      <c r="G69" s="605"/>
      <c r="H69" s="605"/>
      <c r="I69" s="605"/>
      <c r="J69" s="605"/>
      <c r="K69" s="605"/>
      <c r="L69" s="605"/>
      <c r="M69" s="611"/>
      <c r="N69" s="611"/>
      <c r="O69" s="612"/>
      <c r="P69" s="612"/>
      <c r="Q69" s="612"/>
      <c r="R69" s="612"/>
      <c r="S69" s="612"/>
      <c r="T69" s="612"/>
      <c r="U69" s="612"/>
      <c r="V69" s="612"/>
      <c r="W69" s="612"/>
      <c r="X69" s="612"/>
      <c r="Y69" s="612"/>
    </row>
    <row r="70" spans="2:25" ht="23.1" customHeight="1" x14ac:dyDescent="0.4">
      <c r="B70" s="600"/>
      <c r="C70" s="627"/>
      <c r="D70" s="627"/>
      <c r="E70" s="605"/>
      <c r="F70" s="605"/>
      <c r="G70" s="605"/>
      <c r="H70" s="605"/>
      <c r="I70" s="605"/>
      <c r="J70" s="605"/>
      <c r="K70" s="605"/>
      <c r="L70" s="605"/>
      <c r="M70" s="611"/>
      <c r="N70" s="611"/>
      <c r="O70" s="612"/>
      <c r="P70" s="612"/>
      <c r="Q70" s="612"/>
      <c r="R70" s="612"/>
      <c r="S70" s="612"/>
      <c r="T70" s="612"/>
      <c r="U70" s="612"/>
      <c r="V70" s="612"/>
      <c r="W70" s="612"/>
      <c r="X70" s="612"/>
      <c r="Y70" s="612"/>
    </row>
    <row r="71" spans="2:25" ht="23.1" customHeight="1" x14ac:dyDescent="0.4">
      <c r="B71" s="627"/>
      <c r="C71" s="627"/>
      <c r="D71" s="627"/>
      <c r="E71" s="605"/>
      <c r="F71" s="605"/>
      <c r="G71" s="605"/>
      <c r="H71" s="605"/>
      <c r="I71" s="605"/>
      <c r="J71" s="605"/>
      <c r="K71" s="605"/>
      <c r="L71" s="605"/>
      <c r="M71" s="611"/>
      <c r="N71" s="611"/>
      <c r="O71" s="612"/>
      <c r="P71" s="612"/>
      <c r="Q71" s="612"/>
      <c r="R71" s="612"/>
      <c r="S71" s="612"/>
      <c r="T71" s="612"/>
      <c r="U71" s="612"/>
      <c r="V71" s="612"/>
      <c r="W71" s="612"/>
      <c r="X71" s="612"/>
      <c r="Y71" s="612"/>
    </row>
    <row r="72" spans="2:25" ht="23.1" customHeight="1" x14ac:dyDescent="0.4">
      <c r="B72" s="627"/>
      <c r="C72" s="627"/>
      <c r="D72" s="627"/>
      <c r="E72" s="605"/>
      <c r="F72" s="605"/>
      <c r="G72" s="605"/>
      <c r="H72" s="605"/>
      <c r="I72" s="605"/>
      <c r="J72" s="605"/>
      <c r="K72" s="605"/>
      <c r="L72" s="605"/>
      <c r="M72" s="611"/>
      <c r="N72" s="611"/>
      <c r="O72" s="612"/>
      <c r="P72" s="612"/>
      <c r="Q72" s="612"/>
      <c r="R72" s="612"/>
      <c r="S72" s="612"/>
      <c r="T72" s="612"/>
      <c r="U72" s="612"/>
      <c r="V72" s="612"/>
      <c r="W72" s="612"/>
      <c r="X72" s="612"/>
      <c r="Y72" s="612"/>
    </row>
    <row r="73" spans="2:25" ht="23.1" customHeight="1" x14ac:dyDescent="0.4">
      <c r="B73" s="627"/>
      <c r="C73" s="627"/>
      <c r="D73" s="627"/>
      <c r="E73" s="605"/>
      <c r="F73" s="605"/>
      <c r="G73" s="605"/>
      <c r="H73" s="605"/>
      <c r="I73" s="605"/>
      <c r="J73" s="605"/>
      <c r="K73" s="605"/>
      <c r="L73" s="605"/>
      <c r="M73" s="611"/>
      <c r="N73" s="611"/>
      <c r="O73" s="612"/>
      <c r="P73" s="612"/>
      <c r="Q73" s="612"/>
      <c r="R73" s="612"/>
      <c r="S73" s="612"/>
      <c r="T73" s="612"/>
      <c r="U73" s="612"/>
      <c r="V73" s="612"/>
      <c r="W73" s="612"/>
      <c r="X73" s="612"/>
      <c r="Y73" s="612"/>
    </row>
    <row r="74" spans="2:25" ht="23.1" customHeight="1" x14ac:dyDescent="0.4">
      <c r="B74" s="627"/>
      <c r="C74" s="627"/>
      <c r="D74" s="627"/>
      <c r="E74" s="605"/>
      <c r="F74" s="605"/>
      <c r="G74" s="605"/>
      <c r="H74" s="605"/>
      <c r="I74" s="605"/>
      <c r="J74" s="605"/>
      <c r="K74" s="605"/>
      <c r="L74" s="605"/>
      <c r="M74" s="611"/>
      <c r="N74" s="611"/>
      <c r="O74" s="612"/>
      <c r="P74" s="612"/>
      <c r="Q74" s="612"/>
      <c r="R74" s="612"/>
      <c r="S74" s="612"/>
      <c r="T74" s="612"/>
      <c r="U74" s="612"/>
      <c r="V74" s="612"/>
      <c r="W74" s="612"/>
      <c r="X74" s="612"/>
      <c r="Y74" s="612"/>
    </row>
    <row r="75" spans="2:25" ht="30.6" customHeight="1" x14ac:dyDescent="0.4">
      <c r="B75" s="627"/>
      <c r="C75" s="610"/>
      <c r="D75" s="627"/>
      <c r="E75" s="605"/>
      <c r="F75" s="605"/>
      <c r="G75" s="605"/>
      <c r="H75" s="605"/>
      <c r="I75" s="605"/>
      <c r="J75" s="605"/>
      <c r="K75" s="605"/>
      <c r="L75" s="605"/>
      <c r="M75" s="611"/>
      <c r="N75" s="611"/>
      <c r="O75" s="612"/>
      <c r="P75" s="612"/>
      <c r="Q75" s="612"/>
      <c r="R75" s="612"/>
      <c r="S75" s="612"/>
      <c r="T75" s="612"/>
      <c r="U75" s="612"/>
      <c r="V75" s="612"/>
      <c r="W75" s="612"/>
      <c r="X75" s="612"/>
    </row>
    <row r="76" spans="2:25" ht="21.6" hidden="1" thickBot="1" x14ac:dyDescent="0.45">
      <c r="B76" s="600" t="s">
        <v>63</v>
      </c>
      <c r="L76" s="608"/>
      <c r="N76" s="608"/>
    </row>
    <row r="77" spans="2:25" ht="49.5" hidden="1" customHeight="1" x14ac:dyDescent="0.4">
      <c r="C77" s="927" t="s">
        <v>6</v>
      </c>
      <c r="D77" s="928"/>
      <c r="E77" s="902"/>
      <c r="F77" s="901" t="s">
        <v>64</v>
      </c>
      <c r="G77" s="902"/>
      <c r="H77" s="901" t="s">
        <v>65</v>
      </c>
      <c r="I77" s="902"/>
      <c r="J77" s="901" t="s">
        <v>66</v>
      </c>
      <c r="K77" s="928"/>
      <c r="L77" s="991" t="s">
        <v>67</v>
      </c>
      <c r="M77" s="992"/>
      <c r="N77" s="902" t="s">
        <v>39</v>
      </c>
      <c r="O77" s="1041"/>
      <c r="P77" s="1041"/>
      <c r="Q77" s="1041"/>
      <c r="R77" s="1041"/>
      <c r="S77" s="1041"/>
      <c r="T77" s="1041"/>
      <c r="U77" s="1041"/>
      <c r="V77" s="1041"/>
      <c r="W77" s="1041"/>
      <c r="X77" s="629"/>
      <c r="Y77" s="629"/>
    </row>
    <row r="78" spans="2:25" ht="19.2" hidden="1" x14ac:dyDescent="0.4">
      <c r="C78" s="853" t="s">
        <v>40</v>
      </c>
      <c r="D78" s="854"/>
      <c r="E78" s="855"/>
      <c r="F78" s="856" t="e">
        <f>#REF!</f>
        <v>#REF!</v>
      </c>
      <c r="G78" s="857"/>
      <c r="H78" s="856" t="e">
        <f>#REF!</f>
        <v>#REF!</v>
      </c>
      <c r="I78" s="857"/>
      <c r="J78" s="1013" t="e">
        <f>H78</f>
        <v>#REF!</v>
      </c>
      <c r="K78" s="1014"/>
      <c r="L78" s="994" t="e">
        <f>J78-H78</f>
        <v>#REF!</v>
      </c>
      <c r="M78" s="995"/>
      <c r="N78" s="971"/>
      <c r="O78" s="971"/>
      <c r="P78" s="971"/>
      <c r="Q78" s="971"/>
      <c r="R78" s="971"/>
      <c r="S78" s="971"/>
      <c r="T78" s="971"/>
      <c r="U78" s="971"/>
      <c r="V78" s="971"/>
      <c r="W78" s="972"/>
      <c r="X78" s="630"/>
      <c r="Y78" s="630"/>
    </row>
    <row r="79" spans="2:25" ht="19.2" hidden="1" x14ac:dyDescent="0.4">
      <c r="C79" s="865" t="s">
        <v>41</v>
      </c>
      <c r="D79" s="866"/>
      <c r="E79" s="866"/>
      <c r="F79" s="858" t="e">
        <f>SUM(F80:G81)</f>
        <v>#REF!</v>
      </c>
      <c r="G79" s="859"/>
      <c r="H79" s="858" t="e">
        <f>SUM(H80:I81)</f>
        <v>#REF!</v>
      </c>
      <c r="I79" s="859"/>
      <c r="J79" s="858" t="e">
        <f>SUM(J80:K81)</f>
        <v>#REF!</v>
      </c>
      <c r="K79" s="895"/>
      <c r="L79" s="996" t="e">
        <f t="shared" ref="L79:L88" si="33">J79-H79</f>
        <v>#REF!</v>
      </c>
      <c r="M79" s="997"/>
      <c r="N79" s="1042"/>
      <c r="O79" s="1042"/>
      <c r="P79" s="1042"/>
      <c r="Q79" s="1042"/>
      <c r="R79" s="1042"/>
      <c r="S79" s="1042"/>
      <c r="T79" s="1042"/>
      <c r="U79" s="1042"/>
      <c r="V79" s="1042"/>
      <c r="W79" s="1043"/>
      <c r="X79" s="630"/>
      <c r="Y79" s="630"/>
    </row>
    <row r="80" spans="2:25" ht="72.599999999999994" hidden="1" customHeight="1" x14ac:dyDescent="0.4">
      <c r="C80" s="609"/>
      <c r="D80" s="845" t="s">
        <v>22</v>
      </c>
      <c r="E80" s="846"/>
      <c r="F80" s="847" t="e">
        <f>#REF!</f>
        <v>#REF!</v>
      </c>
      <c r="G80" s="848"/>
      <c r="H80" s="847" t="e">
        <f>#REF!</f>
        <v>#REF!</v>
      </c>
      <c r="I80" s="848"/>
      <c r="J80" s="847" t="e">
        <f>H80+3</f>
        <v>#REF!</v>
      </c>
      <c r="K80" s="1015"/>
      <c r="L80" s="998" t="e">
        <f t="shared" si="33"/>
        <v>#REF!</v>
      </c>
      <c r="M80" s="999"/>
      <c r="N80" s="1016" t="s">
        <v>68</v>
      </c>
      <c r="O80" s="971"/>
      <c r="P80" s="971"/>
      <c r="Q80" s="971"/>
      <c r="R80" s="971"/>
      <c r="S80" s="971"/>
      <c r="T80" s="971"/>
      <c r="U80" s="971"/>
      <c r="V80" s="971"/>
      <c r="W80" s="972"/>
      <c r="X80" s="630"/>
      <c r="Y80" s="630"/>
    </row>
    <row r="81" spans="1:25" ht="19.2" hidden="1" x14ac:dyDescent="0.4">
      <c r="C81" s="609"/>
      <c r="D81" s="845" t="s">
        <v>23</v>
      </c>
      <c r="E81" s="846"/>
      <c r="F81" s="847" t="e">
        <f>#REF!</f>
        <v>#REF!</v>
      </c>
      <c r="G81" s="848"/>
      <c r="H81" s="847" t="e">
        <f>#REF!</f>
        <v>#REF!</v>
      </c>
      <c r="I81" s="848"/>
      <c r="J81" s="847" t="e">
        <f>H81-3</f>
        <v>#REF!</v>
      </c>
      <c r="K81" s="1015"/>
      <c r="L81" s="998" t="e">
        <f t="shared" si="33"/>
        <v>#REF!</v>
      </c>
      <c r="M81" s="999"/>
      <c r="N81" s="971" t="s">
        <v>69</v>
      </c>
      <c r="O81" s="971"/>
      <c r="P81" s="971"/>
      <c r="Q81" s="971"/>
      <c r="R81" s="971"/>
      <c r="S81" s="971"/>
      <c r="T81" s="971"/>
      <c r="U81" s="971"/>
      <c r="V81" s="971"/>
      <c r="W81" s="972"/>
      <c r="X81" s="630"/>
      <c r="Y81" s="630"/>
    </row>
    <row r="82" spans="1:25" ht="19.2" hidden="1" x14ac:dyDescent="0.4">
      <c r="C82" s="865" t="s">
        <v>42</v>
      </c>
      <c r="D82" s="866"/>
      <c r="E82" s="866"/>
      <c r="F82" s="858" t="e">
        <f>SUM(F83:G87)</f>
        <v>#REF!</v>
      </c>
      <c r="G82" s="859"/>
      <c r="H82" s="858" t="e">
        <f>SUM(H83:I87)</f>
        <v>#REF!</v>
      </c>
      <c r="I82" s="859"/>
      <c r="J82" s="858" t="e">
        <f>SUM(J83:K87)</f>
        <v>#REF!</v>
      </c>
      <c r="K82" s="895"/>
      <c r="L82" s="1046" t="e">
        <f t="shared" si="33"/>
        <v>#REF!</v>
      </c>
      <c r="M82" s="1047"/>
      <c r="N82" s="1042"/>
      <c r="O82" s="1042"/>
      <c r="P82" s="1042"/>
      <c r="Q82" s="1042"/>
      <c r="R82" s="1042"/>
      <c r="S82" s="1042"/>
      <c r="T82" s="1042"/>
      <c r="U82" s="1042"/>
      <c r="V82" s="1042"/>
      <c r="W82" s="1043"/>
      <c r="X82" s="630"/>
      <c r="Y82" s="630"/>
    </row>
    <row r="83" spans="1:25" ht="19.2" hidden="1" x14ac:dyDescent="0.4">
      <c r="C83" s="609"/>
      <c r="D83" s="845" t="s">
        <v>46</v>
      </c>
      <c r="E83" s="846"/>
      <c r="F83" s="847" t="e">
        <f>#REF!</f>
        <v>#REF!</v>
      </c>
      <c r="G83" s="848"/>
      <c r="H83" s="847" t="e">
        <f>#REF!</f>
        <v>#REF!</v>
      </c>
      <c r="I83" s="848"/>
      <c r="J83" s="847" t="e">
        <f>H83</f>
        <v>#REF!</v>
      </c>
      <c r="K83" s="1015"/>
      <c r="L83" s="1037" t="e">
        <f t="shared" si="33"/>
        <v>#REF!</v>
      </c>
      <c r="M83" s="1038"/>
      <c r="N83" s="971"/>
      <c r="O83" s="971"/>
      <c r="P83" s="971"/>
      <c r="Q83" s="971"/>
      <c r="R83" s="971"/>
      <c r="S83" s="971"/>
      <c r="T83" s="971"/>
      <c r="U83" s="971"/>
      <c r="V83" s="971"/>
      <c r="W83" s="972"/>
      <c r="X83" s="630"/>
      <c r="Y83" s="630"/>
    </row>
    <row r="84" spans="1:25" ht="19.2" hidden="1" x14ac:dyDescent="0.4">
      <c r="C84" s="609"/>
      <c r="D84" s="845" t="s">
        <v>26</v>
      </c>
      <c r="E84" s="846"/>
      <c r="F84" s="847" t="e">
        <f>#REF!</f>
        <v>#REF!</v>
      </c>
      <c r="G84" s="848"/>
      <c r="H84" s="847" t="e">
        <f>#REF!</f>
        <v>#REF!</v>
      </c>
      <c r="I84" s="848"/>
      <c r="J84" s="847" t="e">
        <f>H84</f>
        <v>#REF!</v>
      </c>
      <c r="K84" s="1015"/>
      <c r="L84" s="994" t="e">
        <f t="shared" si="33"/>
        <v>#REF!</v>
      </c>
      <c r="M84" s="995"/>
      <c r="N84" s="1017"/>
      <c r="O84" s="971"/>
      <c r="P84" s="971"/>
      <c r="Q84" s="971"/>
      <c r="R84" s="971"/>
      <c r="S84" s="971"/>
      <c r="T84" s="971"/>
      <c r="U84" s="971"/>
      <c r="V84" s="971"/>
      <c r="W84" s="972"/>
      <c r="X84" s="630"/>
      <c r="Y84" s="630"/>
    </row>
    <row r="85" spans="1:25" ht="19.2" hidden="1" x14ac:dyDescent="0.4">
      <c r="C85" s="609"/>
      <c r="D85" s="845" t="s">
        <v>25</v>
      </c>
      <c r="E85" s="846"/>
      <c r="F85" s="847" t="e">
        <f>#REF!</f>
        <v>#REF!</v>
      </c>
      <c r="G85" s="848"/>
      <c r="H85" s="847" t="e">
        <f>#REF!</f>
        <v>#REF!</v>
      </c>
      <c r="I85" s="848"/>
      <c r="J85" s="847" t="e">
        <f>H85</f>
        <v>#REF!</v>
      </c>
      <c r="K85" s="1015"/>
      <c r="L85" s="1037" t="e">
        <f t="shared" si="33"/>
        <v>#REF!</v>
      </c>
      <c r="M85" s="1038"/>
      <c r="N85" s="971"/>
      <c r="O85" s="971"/>
      <c r="P85" s="971"/>
      <c r="Q85" s="971"/>
      <c r="R85" s="971"/>
      <c r="S85" s="971"/>
      <c r="T85" s="971"/>
      <c r="U85" s="971"/>
      <c r="V85" s="971"/>
      <c r="W85" s="972"/>
      <c r="X85" s="630"/>
      <c r="Y85" s="630"/>
    </row>
    <row r="86" spans="1:25" ht="19.2" hidden="1" x14ac:dyDescent="0.4">
      <c r="C86" s="609"/>
      <c r="D86" s="845" t="s">
        <v>18</v>
      </c>
      <c r="E86" s="846"/>
      <c r="F86" s="847" t="e">
        <f>#REF!</f>
        <v>#REF!</v>
      </c>
      <c r="G86" s="848"/>
      <c r="H86" s="847" t="e">
        <f>#REF!</f>
        <v>#REF!</v>
      </c>
      <c r="I86" s="848"/>
      <c r="J86" s="847" t="e">
        <f>H86</f>
        <v>#REF!</v>
      </c>
      <c r="K86" s="1015"/>
      <c r="L86" s="994" t="e">
        <f t="shared" si="33"/>
        <v>#REF!</v>
      </c>
      <c r="M86" s="995"/>
      <c r="N86" s="971"/>
      <c r="O86" s="971"/>
      <c r="P86" s="971"/>
      <c r="Q86" s="971"/>
      <c r="R86" s="971"/>
      <c r="S86" s="971"/>
      <c r="T86" s="971"/>
      <c r="U86" s="971"/>
      <c r="V86" s="971"/>
      <c r="W86" s="972"/>
      <c r="X86" s="630"/>
      <c r="Y86" s="630"/>
    </row>
    <row r="87" spans="1:25" ht="19.2" hidden="1" x14ac:dyDescent="0.4">
      <c r="C87" s="609"/>
      <c r="D87" s="845" t="s">
        <v>47</v>
      </c>
      <c r="E87" s="846"/>
      <c r="F87" s="847" t="e">
        <f>#REF!</f>
        <v>#REF!</v>
      </c>
      <c r="G87" s="848"/>
      <c r="H87" s="847" t="e">
        <f>#REF!</f>
        <v>#REF!</v>
      </c>
      <c r="I87" s="848"/>
      <c r="J87" s="847" t="e">
        <f>H87</f>
        <v>#REF!</v>
      </c>
      <c r="K87" s="1015"/>
      <c r="L87" s="994" t="e">
        <f t="shared" si="33"/>
        <v>#REF!</v>
      </c>
      <c r="M87" s="995"/>
      <c r="N87" s="971"/>
      <c r="O87" s="971"/>
      <c r="P87" s="971"/>
      <c r="Q87" s="971"/>
      <c r="R87" s="971"/>
      <c r="S87" s="971"/>
      <c r="T87" s="971"/>
      <c r="U87" s="971"/>
      <c r="V87" s="971"/>
      <c r="W87" s="972"/>
      <c r="X87" s="630"/>
      <c r="Y87" s="630"/>
    </row>
    <row r="88" spans="1:25" ht="19.8" hidden="1" thickBot="1" x14ac:dyDescent="0.45">
      <c r="C88" s="849" t="s">
        <v>43</v>
      </c>
      <c r="D88" s="850"/>
      <c r="E88" s="851"/>
      <c r="F88" s="860" t="e">
        <f>F78+F79+F82</f>
        <v>#REF!</v>
      </c>
      <c r="G88" s="861"/>
      <c r="H88" s="860" t="e">
        <f>H79+H78+H82</f>
        <v>#REF!</v>
      </c>
      <c r="I88" s="861"/>
      <c r="J88" s="860" t="e">
        <f>J78+J79+J82</f>
        <v>#REF!</v>
      </c>
      <c r="K88" s="1035"/>
      <c r="L88" s="1044" t="e">
        <f t="shared" si="33"/>
        <v>#REF!</v>
      </c>
      <c r="M88" s="1045"/>
      <c r="N88" s="1048"/>
      <c r="O88" s="1048"/>
      <c r="P88" s="1048"/>
      <c r="Q88" s="1048"/>
      <c r="R88" s="1048"/>
      <c r="S88" s="1048"/>
      <c r="T88" s="1048"/>
      <c r="U88" s="1048"/>
      <c r="V88" s="1048"/>
      <c r="W88" s="1049"/>
      <c r="X88" s="630"/>
      <c r="Y88" s="630"/>
    </row>
    <row r="89" spans="1:25" hidden="1" x14ac:dyDescent="0.4">
      <c r="L89" s="608"/>
      <c r="N89" s="608"/>
    </row>
    <row r="90" spans="1:25" x14ac:dyDescent="0.4">
      <c r="L90" s="608"/>
      <c r="N90" s="608"/>
    </row>
    <row r="91" spans="1:25" ht="22.8" x14ac:dyDescent="0.4">
      <c r="A91" s="478" t="s">
        <v>70</v>
      </c>
      <c r="L91" s="608"/>
      <c r="N91" s="608"/>
    </row>
    <row r="92" spans="1:25" x14ac:dyDescent="0.4">
      <c r="D92" s="631"/>
      <c r="E92" s="631"/>
      <c r="F92" s="631"/>
      <c r="G92" s="631"/>
      <c r="H92" s="631"/>
      <c r="I92" s="631"/>
      <c r="J92" s="631"/>
      <c r="K92" s="631"/>
      <c r="L92" s="631"/>
      <c r="M92" s="631"/>
    </row>
    <row r="93" spans="1:25" ht="25.35" hidden="1" customHeight="1" x14ac:dyDescent="0.4">
      <c r="B93" s="1025" t="s">
        <v>71</v>
      </c>
      <c r="C93" s="1025"/>
      <c r="D93" s="1028" t="s">
        <v>72</v>
      </c>
      <c r="E93" s="1029"/>
      <c r="F93" s="1029"/>
      <c r="G93" s="1029"/>
      <c r="H93" s="1029"/>
      <c r="I93" s="1029"/>
      <c r="J93" s="1030"/>
      <c r="K93" s="1028" t="s">
        <v>73</v>
      </c>
      <c r="L93" s="1029"/>
      <c r="M93" s="1029"/>
      <c r="N93" s="1029"/>
      <c r="O93" s="1029"/>
      <c r="P93" s="1029"/>
      <c r="Q93" s="1030"/>
      <c r="R93" s="1028" t="s">
        <v>74</v>
      </c>
      <c r="S93" s="1029"/>
      <c r="T93" s="1029"/>
      <c r="U93" s="1029"/>
      <c r="V93" s="1029"/>
      <c r="W93" s="1029"/>
      <c r="X93" s="1030"/>
    </row>
    <row r="94" spans="1:25" ht="39" hidden="1" customHeight="1" thickBot="1" x14ac:dyDescent="0.45">
      <c r="B94" s="1026"/>
      <c r="C94" s="1026"/>
      <c r="D94" s="632" t="s">
        <v>75</v>
      </c>
      <c r="E94" s="633" t="s">
        <v>76</v>
      </c>
      <c r="F94" s="633" t="s">
        <v>77</v>
      </c>
      <c r="G94" s="633" t="s">
        <v>11</v>
      </c>
      <c r="H94" s="633" t="s">
        <v>78</v>
      </c>
      <c r="I94" s="633" t="s">
        <v>79</v>
      </c>
      <c r="J94" s="634" t="s">
        <v>80</v>
      </c>
      <c r="K94" s="632" t="s">
        <v>75</v>
      </c>
      <c r="L94" s="633" t="s">
        <v>76</v>
      </c>
      <c r="M94" s="633" t="s">
        <v>77</v>
      </c>
      <c r="N94" s="633" t="s">
        <v>11</v>
      </c>
      <c r="O94" s="633" t="s">
        <v>78</v>
      </c>
      <c r="P94" s="633" t="s">
        <v>79</v>
      </c>
      <c r="Q94" s="634" t="s">
        <v>80</v>
      </c>
      <c r="R94" s="632" t="s">
        <v>75</v>
      </c>
      <c r="S94" s="633" t="s">
        <v>76</v>
      </c>
      <c r="T94" s="633" t="s">
        <v>77</v>
      </c>
      <c r="U94" s="633" t="s">
        <v>11</v>
      </c>
      <c r="V94" s="633" t="s">
        <v>78</v>
      </c>
      <c r="W94" s="633" t="s">
        <v>79</v>
      </c>
      <c r="X94" s="634" t="s">
        <v>80</v>
      </c>
    </row>
    <row r="95" spans="1:25" ht="25.35" hidden="1" customHeight="1" thickBot="1" x14ac:dyDescent="0.45">
      <c r="B95" s="1019" t="s">
        <v>81</v>
      </c>
      <c r="C95" s="1019"/>
      <c r="D95" s="635" t="e">
        <f>D96+D100+D103</f>
        <v>#REF!</v>
      </c>
      <c r="E95" s="636" t="e">
        <f>E96+E100+E103</f>
        <v>#REF!</v>
      </c>
      <c r="F95" s="636" t="e">
        <f>F96+F100+F103</f>
        <v>#REF!</v>
      </c>
      <c r="G95" s="636" t="e">
        <f>G96+G100+G103</f>
        <v>#REF!</v>
      </c>
      <c r="H95" s="637" t="e">
        <f t="shared" ref="H95:H108" si="34">G95-D95</f>
        <v>#REF!</v>
      </c>
      <c r="I95" s="637" t="e">
        <f t="shared" ref="I95:I108" si="35">G95-E95</f>
        <v>#REF!</v>
      </c>
      <c r="J95" s="638" t="e">
        <f t="shared" ref="J95:J108" si="36">G95-F95</f>
        <v>#REF!</v>
      </c>
      <c r="K95" s="635" t="e">
        <f>K96+K100+K103</f>
        <v>#REF!</v>
      </c>
      <c r="L95" s="636" t="e">
        <f>L96+L100+L103</f>
        <v>#REF!</v>
      </c>
      <c r="M95" s="636" t="e">
        <f>M96+M100+M103</f>
        <v>#REF!</v>
      </c>
      <c r="N95" s="636" t="e">
        <f>N96+N100+N103</f>
        <v>#REF!</v>
      </c>
      <c r="O95" s="637" t="e">
        <f t="shared" ref="O95:O104" si="37">N95-K95</f>
        <v>#REF!</v>
      </c>
      <c r="P95" s="637" t="e">
        <f t="shared" ref="P95:P108" si="38">N95-L95</f>
        <v>#REF!</v>
      </c>
      <c r="Q95" s="638" t="e">
        <f t="shared" ref="Q95:Q108" si="39">N95-M95</f>
        <v>#REF!</v>
      </c>
      <c r="R95" s="635" t="e">
        <f>R96+R100+R103</f>
        <v>#REF!</v>
      </c>
      <c r="S95" s="636" t="e">
        <f>S96+S100+S103</f>
        <v>#REF!</v>
      </c>
      <c r="T95" s="636" t="e">
        <f>T96+T100+T103</f>
        <v>#REF!</v>
      </c>
      <c r="U95" s="636" t="e">
        <f>U96+U100+U103</f>
        <v>#REF!</v>
      </c>
      <c r="V95" s="637" t="e">
        <f t="shared" ref="V95:V108" si="40">U95-R95</f>
        <v>#REF!</v>
      </c>
      <c r="W95" s="637" t="e">
        <f t="shared" ref="W95:W108" si="41">U95-S95</f>
        <v>#REF!</v>
      </c>
      <c r="X95" s="638" t="e">
        <f t="shared" ref="X95:X108" si="42">U95-T95</f>
        <v>#REF!</v>
      </c>
    </row>
    <row r="96" spans="1:25" ht="25.35" hidden="1" customHeight="1" thickBot="1" x14ac:dyDescent="0.45">
      <c r="B96" s="1019" t="s">
        <v>82</v>
      </c>
      <c r="C96" s="1019"/>
      <c r="D96" s="635" t="e">
        <f>SUM(D97:D99)</f>
        <v>#REF!</v>
      </c>
      <c r="E96" s="636" t="e">
        <f t="shared" ref="E96:F96" si="43">SUM(E97:E99)</f>
        <v>#REF!</v>
      </c>
      <c r="F96" s="636" t="e">
        <f t="shared" si="43"/>
        <v>#REF!</v>
      </c>
      <c r="G96" s="636" t="e">
        <f>SUM(G97:G99)</f>
        <v>#REF!</v>
      </c>
      <c r="H96" s="637" t="e">
        <f t="shared" si="34"/>
        <v>#REF!</v>
      </c>
      <c r="I96" s="637" t="e">
        <f t="shared" si="35"/>
        <v>#REF!</v>
      </c>
      <c r="J96" s="638" t="e">
        <f t="shared" si="36"/>
        <v>#REF!</v>
      </c>
      <c r="K96" s="635" t="e">
        <f>SUM(K97:K99)</f>
        <v>#REF!</v>
      </c>
      <c r="L96" s="636" t="e">
        <f t="shared" ref="L96" si="44">SUM(L97:L99)</f>
        <v>#REF!</v>
      </c>
      <c r="M96" s="636" t="e">
        <f t="shared" ref="M96" si="45">SUM(M97:M99)</f>
        <v>#REF!</v>
      </c>
      <c r="N96" s="636" t="e">
        <f>SUM(N97:N99)</f>
        <v>#REF!</v>
      </c>
      <c r="O96" s="637" t="e">
        <f t="shared" si="37"/>
        <v>#REF!</v>
      </c>
      <c r="P96" s="637" t="e">
        <f t="shared" si="38"/>
        <v>#REF!</v>
      </c>
      <c r="Q96" s="638" t="e">
        <f t="shared" si="39"/>
        <v>#REF!</v>
      </c>
      <c r="R96" s="635" t="e">
        <f>SUM(R97:R99)</f>
        <v>#REF!</v>
      </c>
      <c r="S96" s="636" t="e">
        <f t="shared" ref="S96:T96" si="46">SUM(S97:S99)</f>
        <v>#REF!</v>
      </c>
      <c r="T96" s="636" t="e">
        <f t="shared" si="46"/>
        <v>#REF!</v>
      </c>
      <c r="U96" s="636" t="e">
        <f>SUM(U97:U99)</f>
        <v>#REF!</v>
      </c>
      <c r="V96" s="637" t="e">
        <f t="shared" si="40"/>
        <v>#REF!</v>
      </c>
      <c r="W96" s="637" t="e">
        <f t="shared" si="41"/>
        <v>#REF!</v>
      </c>
      <c r="X96" s="638" t="e">
        <f t="shared" si="42"/>
        <v>#REF!</v>
      </c>
    </row>
    <row r="97" spans="2:24" ht="25.35" hidden="1" customHeight="1" thickBot="1" x14ac:dyDescent="0.45">
      <c r="B97" s="1020"/>
      <c r="C97" s="639" t="s">
        <v>83</v>
      </c>
      <c r="D97" s="640" t="e">
        <f>#REF!</f>
        <v>#REF!</v>
      </c>
      <c r="E97" s="641" t="e">
        <f>#REF!</f>
        <v>#REF!</v>
      </c>
      <c r="F97" s="641" t="e">
        <f>#REF!</f>
        <v>#REF!</v>
      </c>
      <c r="G97" s="641" t="e">
        <f>#REF!</f>
        <v>#REF!</v>
      </c>
      <c r="H97" s="642" t="e">
        <f t="shared" si="34"/>
        <v>#REF!</v>
      </c>
      <c r="I97" s="642" t="e">
        <f t="shared" si="35"/>
        <v>#REF!</v>
      </c>
      <c r="J97" s="643" t="e">
        <f t="shared" si="36"/>
        <v>#REF!</v>
      </c>
      <c r="K97" s="640">
        <f>F11</f>
        <v>0</v>
      </c>
      <c r="L97" s="641">
        <f>G11</f>
        <v>0.51134500000000005</v>
      </c>
      <c r="M97" s="641">
        <f>H11</f>
        <v>0</v>
      </c>
      <c r="N97" s="641">
        <f>H11</f>
        <v>0</v>
      </c>
      <c r="O97" s="642">
        <f t="shared" si="37"/>
        <v>0</v>
      </c>
      <c r="P97" s="642">
        <f t="shared" si="38"/>
        <v>-0.51134500000000005</v>
      </c>
      <c r="Q97" s="643">
        <f t="shared" si="39"/>
        <v>0</v>
      </c>
      <c r="R97" s="640" t="e">
        <f>#REF!+F11</f>
        <v>#REF!</v>
      </c>
      <c r="S97" s="641" t="e">
        <f>#REF!+G11</f>
        <v>#REF!</v>
      </c>
      <c r="T97" s="641" t="e">
        <f>F97+M97</f>
        <v>#REF!</v>
      </c>
      <c r="U97" s="641" t="e">
        <f>#REF!+H11</f>
        <v>#REF!</v>
      </c>
      <c r="V97" s="642" t="e">
        <f t="shared" si="40"/>
        <v>#REF!</v>
      </c>
      <c r="W97" s="642" t="e">
        <f t="shared" si="41"/>
        <v>#REF!</v>
      </c>
      <c r="X97" s="643" t="e">
        <f t="shared" si="42"/>
        <v>#REF!</v>
      </c>
    </row>
    <row r="98" spans="2:24" ht="25.35" hidden="1" customHeight="1" thickBot="1" x14ac:dyDescent="0.45">
      <c r="B98" s="1021"/>
      <c r="C98" s="639" t="s">
        <v>84</v>
      </c>
      <c r="D98" s="640" t="e">
        <f>#REF!</f>
        <v>#REF!</v>
      </c>
      <c r="E98" s="641" t="e">
        <f>#REF!</f>
        <v>#REF!</v>
      </c>
      <c r="F98" s="641" t="e">
        <f>#REF!</f>
        <v>#REF!</v>
      </c>
      <c r="G98" s="641" t="e">
        <f>#REF!</f>
        <v>#REF!</v>
      </c>
      <c r="H98" s="642" t="e">
        <f t="shared" si="34"/>
        <v>#REF!</v>
      </c>
      <c r="I98" s="641" t="e">
        <f t="shared" si="35"/>
        <v>#REF!</v>
      </c>
      <c r="J98" s="643" t="e">
        <f t="shared" si="36"/>
        <v>#REF!</v>
      </c>
      <c r="K98" s="640" t="e">
        <f>#REF!</f>
        <v>#REF!</v>
      </c>
      <c r="L98" s="641" t="e">
        <f>#REF!</f>
        <v>#REF!</v>
      </c>
      <c r="M98" s="641" t="e">
        <f>#REF!</f>
        <v>#REF!</v>
      </c>
      <c r="N98" s="641" t="e">
        <f>#REF!</f>
        <v>#REF!</v>
      </c>
      <c r="O98" s="642" t="e">
        <f t="shared" si="37"/>
        <v>#REF!</v>
      </c>
      <c r="P98" s="641" t="e">
        <f t="shared" si="38"/>
        <v>#REF!</v>
      </c>
      <c r="Q98" s="643" t="e">
        <f t="shared" si="39"/>
        <v>#REF!</v>
      </c>
      <c r="R98" s="640" t="e">
        <f>#REF!+#REF!</f>
        <v>#REF!</v>
      </c>
      <c r="S98" s="641" t="e">
        <f>#REF!+#REF!</f>
        <v>#REF!</v>
      </c>
      <c r="T98" s="641" t="e">
        <f>F98+M98</f>
        <v>#REF!</v>
      </c>
      <c r="U98" s="641" t="e">
        <f>#REF!+#REF!</f>
        <v>#REF!</v>
      </c>
      <c r="V98" s="642" t="e">
        <f t="shared" si="40"/>
        <v>#REF!</v>
      </c>
      <c r="W98" s="641" t="e">
        <f t="shared" si="41"/>
        <v>#REF!</v>
      </c>
      <c r="X98" s="643" t="e">
        <f t="shared" si="42"/>
        <v>#REF!</v>
      </c>
    </row>
    <row r="99" spans="2:24" ht="25.35" hidden="1" customHeight="1" thickBot="1" x14ac:dyDescent="0.45">
      <c r="B99" s="1022"/>
      <c r="C99" s="639" t="s">
        <v>18</v>
      </c>
      <c r="D99" s="640" t="e">
        <f>#REF!</f>
        <v>#REF!</v>
      </c>
      <c r="E99" s="641" t="e">
        <f>#REF!</f>
        <v>#REF!</v>
      </c>
      <c r="F99" s="641" t="e">
        <f>#REF!</f>
        <v>#REF!</v>
      </c>
      <c r="G99" s="641" t="e">
        <f>#REF!</f>
        <v>#REF!</v>
      </c>
      <c r="H99" s="642" t="e">
        <f t="shared" si="34"/>
        <v>#REF!</v>
      </c>
      <c r="I99" s="641" t="e">
        <f t="shared" si="35"/>
        <v>#REF!</v>
      </c>
      <c r="J99" s="643" t="e">
        <f t="shared" si="36"/>
        <v>#REF!</v>
      </c>
      <c r="K99" s="640">
        <f>F10</f>
        <v>17.979459309999999</v>
      </c>
      <c r="L99" s="641">
        <f>G10</f>
        <v>24.623108139999999</v>
      </c>
      <c r="M99" s="641">
        <f>H10</f>
        <v>27.588819538800003</v>
      </c>
      <c r="N99" s="641">
        <f>H10</f>
        <v>27.588819538800003</v>
      </c>
      <c r="O99" s="642">
        <f t="shared" si="37"/>
        <v>9.6093602288000035</v>
      </c>
      <c r="P99" s="641">
        <f t="shared" si="38"/>
        <v>2.9657113988000035</v>
      </c>
      <c r="Q99" s="643">
        <f t="shared" si="39"/>
        <v>0</v>
      </c>
      <c r="R99" s="640" t="e">
        <f>#REF!+F10</f>
        <v>#REF!</v>
      </c>
      <c r="S99" s="641" t="e">
        <f>#REF!+G10</f>
        <v>#REF!</v>
      </c>
      <c r="T99" s="641" t="e">
        <f>F99+M99</f>
        <v>#REF!</v>
      </c>
      <c r="U99" s="641" t="e">
        <f>#REF!+H10</f>
        <v>#REF!</v>
      </c>
      <c r="V99" s="642" t="e">
        <f t="shared" si="40"/>
        <v>#REF!</v>
      </c>
      <c r="W99" s="641" t="e">
        <f t="shared" si="41"/>
        <v>#REF!</v>
      </c>
      <c r="X99" s="643" t="e">
        <f t="shared" si="42"/>
        <v>#REF!</v>
      </c>
    </row>
    <row r="100" spans="2:24" ht="25.35" hidden="1" customHeight="1" thickBot="1" x14ac:dyDescent="0.45">
      <c r="B100" s="1019" t="s">
        <v>85</v>
      </c>
      <c r="C100" s="1019"/>
      <c r="D100" s="635" t="e">
        <f>SUM(D101:D102)</f>
        <v>#REF!</v>
      </c>
      <c r="E100" s="636" t="e">
        <f>SUM(E101:E102)</f>
        <v>#REF!</v>
      </c>
      <c r="F100" s="636" t="e">
        <f>SUM(F101:F102)</f>
        <v>#REF!</v>
      </c>
      <c r="G100" s="636" t="e">
        <f>SUM(G101:G102)</f>
        <v>#REF!</v>
      </c>
      <c r="H100" s="637" t="e">
        <f t="shared" si="34"/>
        <v>#REF!</v>
      </c>
      <c r="I100" s="637" t="e">
        <f t="shared" si="35"/>
        <v>#REF!</v>
      </c>
      <c r="J100" s="638" t="e">
        <f t="shared" si="36"/>
        <v>#REF!</v>
      </c>
      <c r="K100" s="635">
        <f>SUM(K101:K102)</f>
        <v>203.63670439999999</v>
      </c>
      <c r="L100" s="636">
        <f>SUM(L101:L102)</f>
        <v>246.4512599</v>
      </c>
      <c r="M100" s="636">
        <f>SUM(M101:M102)</f>
        <v>268.65374540000005</v>
      </c>
      <c r="N100" s="636">
        <f>SUM(N101:N102)</f>
        <v>268.65374540000005</v>
      </c>
      <c r="O100" s="637">
        <f t="shared" si="37"/>
        <v>65.017041000000063</v>
      </c>
      <c r="P100" s="637">
        <f t="shared" si="38"/>
        <v>22.202485500000051</v>
      </c>
      <c r="Q100" s="638">
        <f t="shared" si="39"/>
        <v>0</v>
      </c>
      <c r="R100" s="635" t="e">
        <f>SUM(R101:R102)</f>
        <v>#REF!</v>
      </c>
      <c r="S100" s="636" t="e">
        <f>SUM(S101:S102)</f>
        <v>#REF!</v>
      </c>
      <c r="T100" s="636" t="e">
        <f>SUM(T101:T102)</f>
        <v>#REF!</v>
      </c>
      <c r="U100" s="636" t="e">
        <f>SUM(U101:U102)</f>
        <v>#REF!</v>
      </c>
      <c r="V100" s="637" t="e">
        <f t="shared" si="40"/>
        <v>#REF!</v>
      </c>
      <c r="W100" s="637" t="e">
        <f t="shared" si="41"/>
        <v>#REF!</v>
      </c>
      <c r="X100" s="638" t="e">
        <f t="shared" si="42"/>
        <v>#REF!</v>
      </c>
    </row>
    <row r="101" spans="2:24" ht="25.35" hidden="1" customHeight="1" thickBot="1" x14ac:dyDescent="0.45">
      <c r="B101" s="1023"/>
      <c r="C101" s="639" t="s">
        <v>86</v>
      </c>
      <c r="D101" s="640" t="e">
        <f>#REF!</f>
        <v>#REF!</v>
      </c>
      <c r="E101" s="641" t="e">
        <f>#REF!</f>
        <v>#REF!</v>
      </c>
      <c r="F101" s="641" t="e">
        <f>#REF!</f>
        <v>#REF!</v>
      </c>
      <c r="G101" s="641" t="e">
        <f>#REF!</f>
        <v>#REF!</v>
      </c>
      <c r="H101" s="642" t="e">
        <f t="shared" si="34"/>
        <v>#REF!</v>
      </c>
      <c r="I101" s="642" t="e">
        <f t="shared" si="35"/>
        <v>#REF!</v>
      </c>
      <c r="J101" s="643" t="e">
        <f t="shared" si="36"/>
        <v>#REF!</v>
      </c>
      <c r="K101" s="640">
        <f>F14</f>
        <v>14.5886464</v>
      </c>
      <c r="L101" s="641">
        <f>G14</f>
        <v>8.0520014</v>
      </c>
      <c r="M101" s="641">
        <f>H14</f>
        <v>9.5419484000000008</v>
      </c>
      <c r="N101" s="641">
        <f>H14</f>
        <v>9.5419484000000008</v>
      </c>
      <c r="O101" s="642">
        <f t="shared" si="37"/>
        <v>-5.0466979999999992</v>
      </c>
      <c r="P101" s="642">
        <f t="shared" si="38"/>
        <v>1.4899470000000008</v>
      </c>
      <c r="Q101" s="643">
        <f t="shared" si="39"/>
        <v>0</v>
      </c>
      <c r="R101" s="640" t="e">
        <f>#REF!+F14</f>
        <v>#REF!</v>
      </c>
      <c r="S101" s="641" t="e">
        <f>#REF!+G14</f>
        <v>#REF!</v>
      </c>
      <c r="T101" s="641" t="e">
        <f>F101+M101</f>
        <v>#REF!</v>
      </c>
      <c r="U101" s="641" t="e">
        <f>#REF!+H14</f>
        <v>#REF!</v>
      </c>
      <c r="V101" s="642" t="e">
        <f t="shared" si="40"/>
        <v>#REF!</v>
      </c>
      <c r="W101" s="642" t="e">
        <f t="shared" si="41"/>
        <v>#REF!</v>
      </c>
      <c r="X101" s="643" t="e">
        <f t="shared" si="42"/>
        <v>#REF!</v>
      </c>
    </row>
    <row r="102" spans="2:24" ht="25.35" hidden="1" customHeight="1" thickBot="1" x14ac:dyDescent="0.45">
      <c r="B102" s="1024"/>
      <c r="C102" s="639" t="s">
        <v>87</v>
      </c>
      <c r="D102" s="640" t="e">
        <f>#REF!</f>
        <v>#REF!</v>
      </c>
      <c r="E102" s="641" t="e">
        <f>#REF!</f>
        <v>#REF!</v>
      </c>
      <c r="F102" s="641" t="e">
        <f>#REF!</f>
        <v>#REF!</v>
      </c>
      <c r="G102" s="641" t="e">
        <f>#REF!</f>
        <v>#REF!</v>
      </c>
      <c r="H102" s="642" t="e">
        <f t="shared" si="34"/>
        <v>#REF!</v>
      </c>
      <c r="I102" s="641" t="e">
        <f t="shared" si="35"/>
        <v>#REF!</v>
      </c>
      <c r="J102" s="643" t="e">
        <f t="shared" si="36"/>
        <v>#REF!</v>
      </c>
      <c r="K102" s="640">
        <f>F13</f>
        <v>189.048058</v>
      </c>
      <c r="L102" s="641">
        <f>G13</f>
        <v>238.3992585</v>
      </c>
      <c r="M102" s="641">
        <f>H13</f>
        <v>259.11179700000002</v>
      </c>
      <c r="N102" s="641">
        <f>H13</f>
        <v>259.11179700000002</v>
      </c>
      <c r="O102" s="642">
        <f t="shared" si="37"/>
        <v>70.063739000000027</v>
      </c>
      <c r="P102" s="641">
        <f t="shared" si="38"/>
        <v>20.712538500000022</v>
      </c>
      <c r="Q102" s="643">
        <f t="shared" si="39"/>
        <v>0</v>
      </c>
      <c r="R102" s="640" t="e">
        <f>#REF!+F13</f>
        <v>#REF!</v>
      </c>
      <c r="S102" s="641" t="e">
        <f>#REF!+G13</f>
        <v>#REF!</v>
      </c>
      <c r="T102" s="641" t="e">
        <f>F102+M102</f>
        <v>#REF!</v>
      </c>
      <c r="U102" s="641" t="e">
        <f>#REF!+H13</f>
        <v>#REF!</v>
      </c>
      <c r="V102" s="642" t="e">
        <f t="shared" si="40"/>
        <v>#REF!</v>
      </c>
      <c r="W102" s="641" t="e">
        <f t="shared" si="41"/>
        <v>#REF!</v>
      </c>
      <c r="X102" s="643" t="e">
        <f t="shared" si="42"/>
        <v>#REF!</v>
      </c>
    </row>
    <row r="103" spans="2:24" ht="25.35" hidden="1" customHeight="1" thickBot="1" x14ac:dyDescent="0.45">
      <c r="B103" s="1019" t="s">
        <v>88</v>
      </c>
      <c r="C103" s="1019"/>
      <c r="D103" s="635" t="e">
        <f>SUM(D104:D108)</f>
        <v>#REF!</v>
      </c>
      <c r="E103" s="644" t="e">
        <f>SUM(E104:E108)</f>
        <v>#REF!</v>
      </c>
      <c r="F103" s="636" t="e">
        <f>SUM(F104:F108)</f>
        <v>#REF!</v>
      </c>
      <c r="G103" s="644" t="e">
        <f>SUM(G104:G108)</f>
        <v>#REF!</v>
      </c>
      <c r="H103" s="637" t="e">
        <f t="shared" si="34"/>
        <v>#REF!</v>
      </c>
      <c r="I103" s="637" t="e">
        <f t="shared" si="35"/>
        <v>#REF!</v>
      </c>
      <c r="J103" s="638" t="e">
        <f t="shared" si="36"/>
        <v>#REF!</v>
      </c>
      <c r="K103" s="635" t="e">
        <f>SUM(K104:K108)</f>
        <v>#REF!</v>
      </c>
      <c r="L103" s="636" t="e">
        <f>SUM(L104:L108)</f>
        <v>#REF!</v>
      </c>
      <c r="M103" s="636" t="e">
        <f>SUM(M104:M108)</f>
        <v>#REF!</v>
      </c>
      <c r="N103" s="636" t="e">
        <f>SUM(N104:N108)</f>
        <v>#REF!</v>
      </c>
      <c r="O103" s="637" t="e">
        <f t="shared" si="37"/>
        <v>#REF!</v>
      </c>
      <c r="P103" s="637" t="e">
        <f t="shared" si="38"/>
        <v>#REF!</v>
      </c>
      <c r="Q103" s="638" t="e">
        <f t="shared" si="39"/>
        <v>#REF!</v>
      </c>
      <c r="R103" s="635" t="e">
        <f>SUM(R104:R108)</f>
        <v>#REF!</v>
      </c>
      <c r="S103" s="636" t="e">
        <f>SUM(S104:S108)</f>
        <v>#REF!</v>
      </c>
      <c r="T103" s="636" t="e">
        <f>SUM(T104:T108)</f>
        <v>#REF!</v>
      </c>
      <c r="U103" s="636" t="e">
        <f>SUM(U104:U108)</f>
        <v>#REF!</v>
      </c>
      <c r="V103" s="637" t="e">
        <f t="shared" si="40"/>
        <v>#REF!</v>
      </c>
      <c r="W103" s="637" t="e">
        <f t="shared" si="41"/>
        <v>#REF!</v>
      </c>
      <c r="X103" s="638" t="e">
        <f t="shared" si="42"/>
        <v>#REF!</v>
      </c>
    </row>
    <row r="104" spans="2:24" ht="25.35" hidden="1" customHeight="1" thickBot="1" x14ac:dyDescent="0.45">
      <c r="B104" s="1023"/>
      <c r="C104" s="639" t="s">
        <v>89</v>
      </c>
      <c r="D104" s="640" t="e">
        <f>#REF!</f>
        <v>#REF!</v>
      </c>
      <c r="E104" s="641" t="e">
        <f>#REF!</f>
        <v>#REF!</v>
      </c>
      <c r="F104" s="641" t="e">
        <f>#REF!</f>
        <v>#REF!</v>
      </c>
      <c r="G104" s="641" t="e">
        <f>#REF!</f>
        <v>#REF!</v>
      </c>
      <c r="H104" s="642" t="e">
        <f t="shared" si="34"/>
        <v>#REF!</v>
      </c>
      <c r="I104" s="642" t="e">
        <f t="shared" si="35"/>
        <v>#REF!</v>
      </c>
      <c r="J104" s="643" t="e">
        <f t="shared" si="36"/>
        <v>#REF!</v>
      </c>
      <c r="K104" s="640" t="e">
        <f>#REF!</f>
        <v>#REF!</v>
      </c>
      <c r="L104" s="641" t="e">
        <f>#REF!</f>
        <v>#REF!</v>
      </c>
      <c r="M104" s="641" t="e">
        <f>#REF!</f>
        <v>#REF!</v>
      </c>
      <c r="N104" s="641" t="e">
        <f>#REF!</f>
        <v>#REF!</v>
      </c>
      <c r="O104" s="642" t="e">
        <f t="shared" si="37"/>
        <v>#REF!</v>
      </c>
      <c r="P104" s="642" t="e">
        <f t="shared" si="38"/>
        <v>#REF!</v>
      </c>
      <c r="Q104" s="643" t="e">
        <f t="shared" si="39"/>
        <v>#REF!</v>
      </c>
      <c r="R104" s="640" t="e">
        <f>#REF!+#REF!</f>
        <v>#REF!</v>
      </c>
      <c r="S104" s="641" t="e">
        <f>#REF!+#REF!</f>
        <v>#REF!</v>
      </c>
      <c r="T104" s="641" t="e">
        <f>F104+M104</f>
        <v>#REF!</v>
      </c>
      <c r="U104" s="641" t="e">
        <f>#REF!+#REF!</f>
        <v>#REF!</v>
      </c>
      <c r="V104" s="642" t="e">
        <f t="shared" si="40"/>
        <v>#REF!</v>
      </c>
      <c r="W104" s="642" t="e">
        <f t="shared" si="41"/>
        <v>#REF!</v>
      </c>
      <c r="X104" s="643" t="e">
        <f t="shared" si="42"/>
        <v>#REF!</v>
      </c>
    </row>
    <row r="105" spans="2:24" ht="25.35" hidden="1" customHeight="1" thickBot="1" x14ac:dyDescent="0.45">
      <c r="B105" s="1027"/>
      <c r="C105" s="639" t="s">
        <v>90</v>
      </c>
      <c r="D105" s="640" t="e">
        <f>#REF!</f>
        <v>#REF!</v>
      </c>
      <c r="E105" s="641" t="e">
        <f>#REF!</f>
        <v>#REF!</v>
      </c>
      <c r="F105" s="641" t="e">
        <f>#REF!</f>
        <v>#REF!</v>
      </c>
      <c r="G105" s="641" t="e">
        <f>#REF!</f>
        <v>#REF!</v>
      </c>
      <c r="H105" s="642" t="e">
        <f t="shared" si="34"/>
        <v>#REF!</v>
      </c>
      <c r="I105" s="642" t="e">
        <f t="shared" si="35"/>
        <v>#REF!</v>
      </c>
      <c r="J105" s="643" t="e">
        <f t="shared" si="36"/>
        <v>#REF!</v>
      </c>
      <c r="K105" s="640">
        <f>F17</f>
        <v>3.66</v>
      </c>
      <c r="L105" s="641">
        <f>G17</f>
        <v>1.7875000000000001</v>
      </c>
      <c r="M105" s="641">
        <f>H17</f>
        <v>0</v>
      </c>
      <c r="N105" s="641">
        <f>H17</f>
        <v>0</v>
      </c>
      <c r="O105" s="642">
        <f t="shared" ref="O105:O108" si="47">N105-K105</f>
        <v>-3.66</v>
      </c>
      <c r="P105" s="642">
        <f t="shared" si="38"/>
        <v>-1.7875000000000001</v>
      </c>
      <c r="Q105" s="643">
        <f t="shared" si="39"/>
        <v>0</v>
      </c>
      <c r="R105" s="640" t="e">
        <f>#REF!+F17</f>
        <v>#REF!</v>
      </c>
      <c r="S105" s="641" t="e">
        <f>#REF!+G17</f>
        <v>#REF!</v>
      </c>
      <c r="T105" s="641" t="e">
        <f>F105+M105</f>
        <v>#REF!</v>
      </c>
      <c r="U105" s="641" t="e">
        <f>#REF!+H17</f>
        <v>#REF!</v>
      </c>
      <c r="V105" s="642" t="e">
        <f t="shared" si="40"/>
        <v>#REF!</v>
      </c>
      <c r="W105" s="642" t="e">
        <f t="shared" si="41"/>
        <v>#REF!</v>
      </c>
      <c r="X105" s="643" t="e">
        <f t="shared" si="42"/>
        <v>#REF!</v>
      </c>
    </row>
    <row r="106" spans="2:24" ht="25.35" hidden="1" customHeight="1" thickBot="1" x14ac:dyDescent="0.45">
      <c r="B106" s="1027"/>
      <c r="C106" s="639" t="s">
        <v>91</v>
      </c>
      <c r="D106" s="640" t="e">
        <f>#REF!</f>
        <v>#REF!</v>
      </c>
      <c r="E106" s="641" t="e">
        <f>#REF!</f>
        <v>#REF!</v>
      </c>
      <c r="F106" s="641" t="e">
        <f>#REF!</f>
        <v>#REF!</v>
      </c>
      <c r="G106" s="641" t="e">
        <f>#REF!</f>
        <v>#REF!</v>
      </c>
      <c r="H106" s="642" t="e">
        <f t="shared" si="34"/>
        <v>#REF!</v>
      </c>
      <c r="I106" s="642" t="e">
        <f t="shared" si="35"/>
        <v>#REF!</v>
      </c>
      <c r="J106" s="643" t="e">
        <f t="shared" si="36"/>
        <v>#REF!</v>
      </c>
      <c r="K106" s="640">
        <f>F16</f>
        <v>42.274860109999999</v>
      </c>
      <c r="L106" s="641">
        <f>G16</f>
        <v>35.326999999999998</v>
      </c>
      <c r="M106" s="641">
        <f>H16</f>
        <v>34.321650720000001</v>
      </c>
      <c r="N106" s="645">
        <f>H16</f>
        <v>34.321650720000001</v>
      </c>
      <c r="O106" s="642">
        <f t="shared" si="47"/>
        <v>-7.9532093899999978</v>
      </c>
      <c r="P106" s="642">
        <f t="shared" si="38"/>
        <v>-1.0053492799999972</v>
      </c>
      <c r="Q106" s="643">
        <f t="shared" si="39"/>
        <v>0</v>
      </c>
      <c r="R106" s="640" t="e">
        <f>#REF!+F16</f>
        <v>#REF!</v>
      </c>
      <c r="S106" s="641" t="e">
        <f>#REF!+G16</f>
        <v>#REF!</v>
      </c>
      <c r="T106" s="641" t="e">
        <f>F106+M106</f>
        <v>#REF!</v>
      </c>
      <c r="U106" s="641" t="e">
        <f>#REF!+H16</f>
        <v>#REF!</v>
      </c>
      <c r="V106" s="642" t="e">
        <f t="shared" si="40"/>
        <v>#REF!</v>
      </c>
      <c r="W106" s="641" t="e">
        <f t="shared" si="41"/>
        <v>#REF!</v>
      </c>
      <c r="X106" s="643" t="e">
        <f t="shared" si="42"/>
        <v>#REF!</v>
      </c>
    </row>
    <row r="107" spans="2:24" ht="25.35" hidden="1" customHeight="1" thickBot="1" x14ac:dyDescent="0.45">
      <c r="B107" s="1027"/>
      <c r="C107" s="639" t="s">
        <v>92</v>
      </c>
      <c r="D107" s="640" t="e">
        <f>#REF!</f>
        <v>#REF!</v>
      </c>
      <c r="E107" s="641" t="e">
        <f>#REF!</f>
        <v>#REF!</v>
      </c>
      <c r="F107" s="641" t="e">
        <f>#REF!</f>
        <v>#REF!</v>
      </c>
      <c r="G107" s="641" t="e">
        <f>#REF!</f>
        <v>#REF!</v>
      </c>
      <c r="H107" s="642" t="e">
        <f t="shared" si="34"/>
        <v>#REF!</v>
      </c>
      <c r="I107" s="641" t="e">
        <f t="shared" si="35"/>
        <v>#REF!</v>
      </c>
      <c r="J107" s="643" t="e">
        <f t="shared" si="36"/>
        <v>#REF!</v>
      </c>
      <c r="K107" s="640">
        <f t="shared" ref="K107:M108" si="48">F18</f>
        <v>5.2999166799999999</v>
      </c>
      <c r="L107" s="641">
        <f t="shared" si="48"/>
        <v>4.6875</v>
      </c>
      <c r="M107" s="641">
        <f t="shared" si="48"/>
        <v>4.9429166799999997</v>
      </c>
      <c r="N107" s="641">
        <f>H18</f>
        <v>4.9429166799999997</v>
      </c>
      <c r="O107" s="642">
        <f t="shared" si="47"/>
        <v>-0.35700000000000021</v>
      </c>
      <c r="P107" s="641">
        <f t="shared" si="38"/>
        <v>0.25541667999999973</v>
      </c>
      <c r="Q107" s="643">
        <f t="shared" si="39"/>
        <v>0</v>
      </c>
      <c r="R107" s="640" t="e">
        <f>#REF!+F18</f>
        <v>#REF!</v>
      </c>
      <c r="S107" s="641" t="e">
        <f>#REF!+G18</f>
        <v>#REF!</v>
      </c>
      <c r="T107" s="641" t="e">
        <f>F107+M107</f>
        <v>#REF!</v>
      </c>
      <c r="U107" s="641" t="e">
        <f>#REF!+H18</f>
        <v>#REF!</v>
      </c>
      <c r="V107" s="642" t="e">
        <f t="shared" si="40"/>
        <v>#REF!</v>
      </c>
      <c r="W107" s="641" t="e">
        <f t="shared" si="41"/>
        <v>#REF!</v>
      </c>
      <c r="X107" s="643" t="e">
        <f t="shared" si="42"/>
        <v>#REF!</v>
      </c>
    </row>
    <row r="108" spans="2:24" ht="25.35" hidden="1" customHeight="1" thickBot="1" x14ac:dyDescent="0.45">
      <c r="B108" s="1024"/>
      <c r="C108" s="639" t="s">
        <v>93</v>
      </c>
      <c r="D108" s="646" t="e">
        <f>#REF!</f>
        <v>#REF!</v>
      </c>
      <c r="E108" s="647" t="e">
        <f>#REF!</f>
        <v>#REF!</v>
      </c>
      <c r="F108" s="647" t="e">
        <f>#REF!</f>
        <v>#REF!</v>
      </c>
      <c r="G108" s="647" t="e">
        <f>#REF!</f>
        <v>#REF!</v>
      </c>
      <c r="H108" s="648" t="e">
        <f t="shared" si="34"/>
        <v>#REF!</v>
      </c>
      <c r="I108" s="647" t="e">
        <f t="shared" si="35"/>
        <v>#REF!</v>
      </c>
      <c r="J108" s="649" t="e">
        <f t="shared" si="36"/>
        <v>#REF!</v>
      </c>
      <c r="K108" s="646">
        <f t="shared" si="48"/>
        <v>2.64804167</v>
      </c>
      <c r="L108" s="647">
        <f t="shared" si="48"/>
        <v>0</v>
      </c>
      <c r="M108" s="647">
        <f t="shared" si="48"/>
        <v>0.78861501000000001</v>
      </c>
      <c r="N108" s="647">
        <f>H19</f>
        <v>0.78861501000000001</v>
      </c>
      <c r="O108" s="648">
        <f t="shared" si="47"/>
        <v>-1.85942666</v>
      </c>
      <c r="P108" s="647">
        <f t="shared" si="38"/>
        <v>0.78861501000000001</v>
      </c>
      <c r="Q108" s="649">
        <f t="shared" si="39"/>
        <v>0</v>
      </c>
      <c r="R108" s="646" t="e">
        <f>#REF!+F19</f>
        <v>#REF!</v>
      </c>
      <c r="S108" s="647" t="e">
        <f>#REF!+G19</f>
        <v>#REF!</v>
      </c>
      <c r="T108" s="647" t="e">
        <f>F108+M108</f>
        <v>#REF!</v>
      </c>
      <c r="U108" s="647" t="e">
        <f>#REF!+H19</f>
        <v>#REF!</v>
      </c>
      <c r="V108" s="648" t="e">
        <f t="shared" si="40"/>
        <v>#REF!</v>
      </c>
      <c r="W108" s="647" t="e">
        <f t="shared" si="41"/>
        <v>#REF!</v>
      </c>
      <c r="X108" s="649" t="e">
        <f t="shared" si="42"/>
        <v>#REF!</v>
      </c>
    </row>
    <row r="109" spans="2:24" hidden="1" x14ac:dyDescent="0.4">
      <c r="E109" s="650"/>
    </row>
    <row r="110" spans="2:24" ht="25.35" hidden="1" customHeight="1" thickBot="1" x14ac:dyDescent="0.45">
      <c r="B110" s="1025" t="s">
        <v>71</v>
      </c>
      <c r="C110" s="1025"/>
      <c r="D110" s="1028" t="s">
        <v>94</v>
      </c>
      <c r="E110" s="1029"/>
      <c r="F110" s="1029"/>
      <c r="G110" s="1029"/>
      <c r="H110" s="1029"/>
      <c r="I110" s="1029"/>
      <c r="J110" s="1030"/>
      <c r="K110" s="1028" t="s">
        <v>95</v>
      </c>
      <c r="L110" s="1029"/>
      <c r="M110" s="1029"/>
      <c r="N110" s="1029"/>
      <c r="O110" s="1029"/>
      <c r="P110" s="1029"/>
      <c r="Q110" s="1030"/>
      <c r="R110" s="1018"/>
      <c r="S110" s="1018"/>
      <c r="T110" s="1018"/>
      <c r="U110" s="1018"/>
      <c r="V110" s="1018"/>
      <c r="W110" s="1018"/>
      <c r="X110" s="1018"/>
    </row>
    <row r="111" spans="2:24" ht="39" hidden="1" customHeight="1" thickBot="1" x14ac:dyDescent="0.45">
      <c r="B111" s="1026"/>
      <c r="C111" s="1026"/>
      <c r="D111" s="632" t="s">
        <v>75</v>
      </c>
      <c r="E111" s="633" t="s">
        <v>76</v>
      </c>
      <c r="F111" s="633" t="s">
        <v>77</v>
      </c>
      <c r="G111" s="633" t="s">
        <v>11</v>
      </c>
      <c r="H111" s="633" t="s">
        <v>78</v>
      </c>
      <c r="I111" s="633" t="s">
        <v>79</v>
      </c>
      <c r="J111" s="634" t="s">
        <v>80</v>
      </c>
      <c r="K111" s="632" t="s">
        <v>75</v>
      </c>
      <c r="L111" s="633" t="s">
        <v>76</v>
      </c>
      <c r="M111" s="633" t="s">
        <v>77</v>
      </c>
      <c r="N111" s="633" t="s">
        <v>11</v>
      </c>
      <c r="O111" s="633" t="s">
        <v>78</v>
      </c>
      <c r="P111" s="633" t="s">
        <v>79</v>
      </c>
      <c r="Q111" s="634" t="s">
        <v>80</v>
      </c>
      <c r="R111" s="651"/>
      <c r="S111" s="651"/>
      <c r="T111" s="651"/>
      <c r="U111" s="651"/>
      <c r="V111" s="651"/>
      <c r="W111" s="651"/>
      <c r="X111" s="651"/>
    </row>
    <row r="112" spans="2:24" ht="25.35" hidden="1" customHeight="1" thickBot="1" x14ac:dyDescent="0.45">
      <c r="B112" s="1019" t="s">
        <v>81</v>
      </c>
      <c r="C112" s="1019"/>
      <c r="D112" s="635" t="e">
        <f>D113+D117+D120</f>
        <v>#REF!</v>
      </c>
      <c r="E112" s="636" t="e">
        <f>E113+E117+E120</f>
        <v>#REF!</v>
      </c>
      <c r="F112" s="636" t="e">
        <f>F113+F117+F120</f>
        <v>#REF!</v>
      </c>
      <c r="G112" s="636" t="e">
        <f>G113+G117+G120</f>
        <v>#REF!</v>
      </c>
      <c r="H112" s="637" t="e">
        <f t="shared" ref="H112:H125" si="49">G112-D112</f>
        <v>#REF!</v>
      </c>
      <c r="I112" s="637" t="e">
        <f t="shared" ref="I112:I125" si="50">G112-E112</f>
        <v>#REF!</v>
      </c>
      <c r="J112" s="638" t="e">
        <f t="shared" ref="J112:J125" si="51">G112-F112</f>
        <v>#REF!</v>
      </c>
      <c r="K112" s="635" t="e">
        <f>K113+K117+K120</f>
        <v>#REF!</v>
      </c>
      <c r="L112" s="636" t="e">
        <f>L113+L117+L120</f>
        <v>#REF!</v>
      </c>
      <c r="M112" s="636" t="e">
        <f>M113+M117+M120</f>
        <v>#REF!</v>
      </c>
      <c r="N112" s="636" t="e">
        <f>N113+N117+N120</f>
        <v>#REF!</v>
      </c>
      <c r="O112" s="637" t="e">
        <f t="shared" ref="O112:O125" si="52">N112-K112</f>
        <v>#REF!</v>
      </c>
      <c r="P112" s="637" t="e">
        <f t="shared" ref="P112:P125" si="53">N112-L112</f>
        <v>#REF!</v>
      </c>
      <c r="Q112" s="638" t="e">
        <f t="shared" ref="Q112:Q125" si="54">N112-M112</f>
        <v>#REF!</v>
      </c>
      <c r="R112" s="652"/>
      <c r="S112" s="652"/>
      <c r="T112" s="652"/>
      <c r="U112" s="652"/>
      <c r="V112" s="653"/>
      <c r="W112" s="653"/>
      <c r="X112" s="653"/>
    </row>
    <row r="113" spans="2:24" ht="25.35" hidden="1" customHeight="1" thickBot="1" x14ac:dyDescent="0.45">
      <c r="B113" s="1019" t="s">
        <v>82</v>
      </c>
      <c r="C113" s="1019"/>
      <c r="D113" s="635" t="e">
        <f>SUM(D114:D116)</f>
        <v>#REF!</v>
      </c>
      <c r="E113" s="636" t="e">
        <f t="shared" ref="E113:F113" si="55">SUM(E114:E116)</f>
        <v>#REF!</v>
      </c>
      <c r="F113" s="636" t="e">
        <f t="shared" si="55"/>
        <v>#REF!</v>
      </c>
      <c r="G113" s="636" t="e">
        <f>SUM(G114:G116)</f>
        <v>#REF!</v>
      </c>
      <c r="H113" s="637" t="e">
        <f t="shared" si="49"/>
        <v>#REF!</v>
      </c>
      <c r="I113" s="637" t="e">
        <f t="shared" si="50"/>
        <v>#REF!</v>
      </c>
      <c r="J113" s="638" t="e">
        <f t="shared" si="51"/>
        <v>#REF!</v>
      </c>
      <c r="K113" s="635" t="e">
        <f>SUM(K114:K116)</f>
        <v>#REF!</v>
      </c>
      <c r="L113" s="636" t="e">
        <f t="shared" ref="L113:M113" si="56">SUM(L114:L116)</f>
        <v>#REF!</v>
      </c>
      <c r="M113" s="636" t="e">
        <f t="shared" si="56"/>
        <v>#REF!</v>
      </c>
      <c r="N113" s="636" t="e">
        <f>SUM(N114:N116)</f>
        <v>#REF!</v>
      </c>
      <c r="O113" s="637" t="e">
        <f t="shared" si="52"/>
        <v>#REF!</v>
      </c>
      <c r="P113" s="637" t="e">
        <f t="shared" si="53"/>
        <v>#REF!</v>
      </c>
      <c r="Q113" s="638" t="e">
        <f t="shared" si="54"/>
        <v>#REF!</v>
      </c>
      <c r="R113" s="652"/>
      <c r="S113" s="652"/>
      <c r="T113" s="652"/>
      <c r="U113" s="652"/>
      <c r="V113" s="653"/>
      <c r="W113" s="653"/>
      <c r="X113" s="653"/>
    </row>
    <row r="114" spans="2:24" ht="25.35" hidden="1" customHeight="1" thickBot="1" x14ac:dyDescent="0.45">
      <c r="B114" s="1020"/>
      <c r="C114" s="639" t="s">
        <v>83</v>
      </c>
      <c r="D114" s="640">
        <f>V11</f>
        <v>0</v>
      </c>
      <c r="E114" s="641">
        <f>W11</f>
        <v>0.51134500000000016</v>
      </c>
      <c r="F114" s="641" t="e">
        <f>#REF!</f>
        <v>#REF!</v>
      </c>
      <c r="G114" s="641">
        <f>X11</f>
        <v>0.51134500000000016</v>
      </c>
      <c r="H114" s="642">
        <f t="shared" si="49"/>
        <v>0.51134500000000016</v>
      </c>
      <c r="I114" s="642">
        <f t="shared" si="50"/>
        <v>0</v>
      </c>
      <c r="J114" s="643" t="e">
        <f t="shared" si="51"/>
        <v>#REF!</v>
      </c>
      <c r="K114" s="640" t="e">
        <f t="shared" ref="K114:N116" si="57">D97+D114</f>
        <v>#REF!</v>
      </c>
      <c r="L114" s="641" t="e">
        <f t="shared" si="57"/>
        <v>#REF!</v>
      </c>
      <c r="M114" s="641" t="e">
        <f t="shared" si="57"/>
        <v>#REF!</v>
      </c>
      <c r="N114" s="641" t="e">
        <f t="shared" si="57"/>
        <v>#REF!</v>
      </c>
      <c r="O114" s="642" t="e">
        <f t="shared" si="52"/>
        <v>#REF!</v>
      </c>
      <c r="P114" s="642" t="e">
        <f t="shared" si="53"/>
        <v>#REF!</v>
      </c>
      <c r="Q114" s="643" t="e">
        <f t="shared" si="54"/>
        <v>#REF!</v>
      </c>
      <c r="R114" s="654"/>
      <c r="S114" s="654"/>
      <c r="T114" s="654"/>
      <c r="U114" s="654"/>
      <c r="V114" s="655"/>
      <c r="W114" s="655"/>
      <c r="X114" s="655"/>
    </row>
    <row r="115" spans="2:24" ht="25.35" hidden="1" customHeight="1" thickBot="1" x14ac:dyDescent="0.45">
      <c r="B115" s="1021"/>
      <c r="C115" s="639" t="s">
        <v>84</v>
      </c>
      <c r="D115" s="640" t="e">
        <f>#REF!</f>
        <v>#REF!</v>
      </c>
      <c r="E115" s="641" t="e">
        <f>#REF!</f>
        <v>#REF!</v>
      </c>
      <c r="F115" s="641" t="e">
        <f>#REF!</f>
        <v>#REF!</v>
      </c>
      <c r="G115" s="641" t="e">
        <f>#REF!</f>
        <v>#REF!</v>
      </c>
      <c r="H115" s="642" t="e">
        <f t="shared" si="49"/>
        <v>#REF!</v>
      </c>
      <c r="I115" s="641" t="e">
        <f t="shared" si="50"/>
        <v>#REF!</v>
      </c>
      <c r="J115" s="643" t="e">
        <f t="shared" si="51"/>
        <v>#REF!</v>
      </c>
      <c r="K115" s="640" t="e">
        <f t="shared" si="57"/>
        <v>#REF!</v>
      </c>
      <c r="L115" s="641" t="e">
        <f t="shared" si="57"/>
        <v>#REF!</v>
      </c>
      <c r="M115" s="641" t="e">
        <f t="shared" si="57"/>
        <v>#REF!</v>
      </c>
      <c r="N115" s="641" t="e">
        <f t="shared" si="57"/>
        <v>#REF!</v>
      </c>
      <c r="O115" s="642" t="e">
        <f t="shared" si="52"/>
        <v>#REF!</v>
      </c>
      <c r="P115" s="642" t="e">
        <f t="shared" si="53"/>
        <v>#REF!</v>
      </c>
      <c r="Q115" s="643" t="e">
        <f t="shared" si="54"/>
        <v>#REF!</v>
      </c>
      <c r="R115" s="654"/>
      <c r="S115" s="654"/>
      <c r="T115" s="654"/>
      <c r="U115" s="654"/>
      <c r="V115" s="655"/>
      <c r="W115" s="654"/>
      <c r="X115" s="654"/>
    </row>
    <row r="116" spans="2:24" ht="25.35" hidden="1" customHeight="1" thickBot="1" x14ac:dyDescent="0.45">
      <c r="B116" s="1022"/>
      <c r="C116" s="639" t="s">
        <v>18</v>
      </c>
      <c r="D116" s="640">
        <f>V10</f>
        <v>35.859981230000002</v>
      </c>
      <c r="E116" s="641">
        <f>W10</f>
        <v>33.218095500000004</v>
      </c>
      <c r="F116" s="641" t="e">
        <f>#REF!</f>
        <v>#REF!</v>
      </c>
      <c r="G116" s="641">
        <f>X10</f>
        <v>33.218095500000004</v>
      </c>
      <c r="H116" s="642">
        <f t="shared" si="49"/>
        <v>-2.6418857299999985</v>
      </c>
      <c r="I116" s="641">
        <f t="shared" si="50"/>
        <v>0</v>
      </c>
      <c r="J116" s="643" t="e">
        <f t="shared" si="51"/>
        <v>#REF!</v>
      </c>
      <c r="K116" s="640" t="e">
        <f t="shared" si="57"/>
        <v>#REF!</v>
      </c>
      <c r="L116" s="641" t="e">
        <f t="shared" si="57"/>
        <v>#REF!</v>
      </c>
      <c r="M116" s="641" t="e">
        <f t="shared" si="57"/>
        <v>#REF!</v>
      </c>
      <c r="N116" s="641" t="e">
        <f t="shared" si="57"/>
        <v>#REF!</v>
      </c>
      <c r="O116" s="642" t="e">
        <f t="shared" si="52"/>
        <v>#REF!</v>
      </c>
      <c r="P116" s="642" t="e">
        <f t="shared" si="53"/>
        <v>#REF!</v>
      </c>
      <c r="Q116" s="643" t="e">
        <f t="shared" si="54"/>
        <v>#REF!</v>
      </c>
      <c r="R116" s="654"/>
      <c r="S116" s="654"/>
      <c r="T116" s="654"/>
      <c r="U116" s="654"/>
      <c r="V116" s="655"/>
      <c r="W116" s="654"/>
      <c r="X116" s="655"/>
    </row>
    <row r="117" spans="2:24" ht="25.35" hidden="1" customHeight="1" thickBot="1" x14ac:dyDescent="0.45">
      <c r="B117" s="1019" t="s">
        <v>85</v>
      </c>
      <c r="C117" s="1019"/>
      <c r="D117" s="635">
        <f>SUM(D118:D119)</f>
        <v>248.50947579999996</v>
      </c>
      <c r="E117" s="636">
        <f>SUM(E118:E119)</f>
        <v>278.80374801999994</v>
      </c>
      <c r="F117" s="636" t="e">
        <f>SUM(F118:F119)</f>
        <v>#REF!</v>
      </c>
      <c r="G117" s="636">
        <f>SUM(G118:G119)</f>
        <v>278.80374801999994</v>
      </c>
      <c r="H117" s="637">
        <f t="shared" si="49"/>
        <v>30.294272219999982</v>
      </c>
      <c r="I117" s="637">
        <f t="shared" si="50"/>
        <v>0</v>
      </c>
      <c r="J117" s="638" t="e">
        <f t="shared" si="51"/>
        <v>#REF!</v>
      </c>
      <c r="K117" s="635" t="e">
        <f>SUM(K118:K119)</f>
        <v>#REF!</v>
      </c>
      <c r="L117" s="636" t="e">
        <f>SUM(L118:L119)</f>
        <v>#REF!</v>
      </c>
      <c r="M117" s="636" t="e">
        <f>SUM(M118:M119)</f>
        <v>#REF!</v>
      </c>
      <c r="N117" s="636" t="e">
        <f>SUM(N118:N119)</f>
        <v>#REF!</v>
      </c>
      <c r="O117" s="637" t="e">
        <f t="shared" si="52"/>
        <v>#REF!</v>
      </c>
      <c r="P117" s="637" t="e">
        <f t="shared" si="53"/>
        <v>#REF!</v>
      </c>
      <c r="Q117" s="638" t="e">
        <f t="shared" si="54"/>
        <v>#REF!</v>
      </c>
      <c r="R117" s="652"/>
      <c r="S117" s="652"/>
      <c r="T117" s="652"/>
      <c r="U117" s="652"/>
      <c r="V117" s="653"/>
      <c r="W117" s="653"/>
      <c r="X117" s="653"/>
    </row>
    <row r="118" spans="2:24" ht="25.35" hidden="1" customHeight="1" thickBot="1" x14ac:dyDescent="0.45">
      <c r="B118" s="1023"/>
      <c r="C118" s="639" t="s">
        <v>86</v>
      </c>
      <c r="D118" s="640">
        <f>V14</f>
        <v>16.395903799999999</v>
      </c>
      <c r="E118" s="641">
        <f>W14</f>
        <v>12.210696</v>
      </c>
      <c r="F118" s="641" t="e">
        <f>#REF!</f>
        <v>#REF!</v>
      </c>
      <c r="G118" s="641">
        <f>X14</f>
        <v>12.210696</v>
      </c>
      <c r="H118" s="642">
        <f t="shared" si="49"/>
        <v>-4.1852077999999988</v>
      </c>
      <c r="I118" s="642">
        <f t="shared" si="50"/>
        <v>0</v>
      </c>
      <c r="J118" s="643" t="e">
        <f t="shared" si="51"/>
        <v>#REF!</v>
      </c>
      <c r="K118" s="640" t="e">
        <f t="shared" ref="K118:N119" si="58">D101+D118</f>
        <v>#REF!</v>
      </c>
      <c r="L118" s="641" t="e">
        <f t="shared" si="58"/>
        <v>#REF!</v>
      </c>
      <c r="M118" s="641" t="e">
        <f t="shared" si="58"/>
        <v>#REF!</v>
      </c>
      <c r="N118" s="641" t="e">
        <f t="shared" si="58"/>
        <v>#REF!</v>
      </c>
      <c r="O118" s="642" t="e">
        <f t="shared" si="52"/>
        <v>#REF!</v>
      </c>
      <c r="P118" s="642" t="e">
        <f t="shared" si="53"/>
        <v>#REF!</v>
      </c>
      <c r="Q118" s="643" t="e">
        <f t="shared" si="54"/>
        <v>#REF!</v>
      </c>
      <c r="R118" s="654"/>
      <c r="S118" s="654"/>
      <c r="T118" s="654"/>
      <c r="U118" s="654"/>
      <c r="V118" s="655"/>
      <c r="W118" s="655"/>
      <c r="X118" s="655"/>
    </row>
    <row r="119" spans="2:24" ht="25.35" hidden="1" customHeight="1" thickBot="1" x14ac:dyDescent="0.45">
      <c r="B119" s="1024"/>
      <c r="C119" s="639" t="s">
        <v>87</v>
      </c>
      <c r="D119" s="640">
        <f>V13</f>
        <v>232.11357199999998</v>
      </c>
      <c r="E119" s="641">
        <f>W13</f>
        <v>266.59305201999996</v>
      </c>
      <c r="F119" s="641" t="e">
        <f>#REF!</f>
        <v>#REF!</v>
      </c>
      <c r="G119" s="641">
        <f>X13</f>
        <v>266.59305201999996</v>
      </c>
      <c r="H119" s="642">
        <f t="shared" si="49"/>
        <v>34.479480019999983</v>
      </c>
      <c r="I119" s="641">
        <f t="shared" si="50"/>
        <v>0</v>
      </c>
      <c r="J119" s="643" t="e">
        <f t="shared" si="51"/>
        <v>#REF!</v>
      </c>
      <c r="K119" s="640" t="e">
        <f t="shared" si="58"/>
        <v>#REF!</v>
      </c>
      <c r="L119" s="641" t="e">
        <f t="shared" si="58"/>
        <v>#REF!</v>
      </c>
      <c r="M119" s="641" t="e">
        <f t="shared" si="58"/>
        <v>#REF!</v>
      </c>
      <c r="N119" s="641" t="e">
        <f t="shared" si="58"/>
        <v>#REF!</v>
      </c>
      <c r="O119" s="642" t="e">
        <f t="shared" si="52"/>
        <v>#REF!</v>
      </c>
      <c r="P119" s="642" t="e">
        <f t="shared" si="53"/>
        <v>#REF!</v>
      </c>
      <c r="Q119" s="643" t="e">
        <f t="shared" si="54"/>
        <v>#REF!</v>
      </c>
      <c r="R119" s="654"/>
      <c r="S119" s="654"/>
      <c r="T119" s="654"/>
      <c r="U119" s="654"/>
      <c r="V119" s="655"/>
      <c r="W119" s="654"/>
      <c r="X119" s="655"/>
    </row>
    <row r="120" spans="2:24" ht="25.35" hidden="1" customHeight="1" thickBot="1" x14ac:dyDescent="0.45">
      <c r="B120" s="1019" t="s">
        <v>88</v>
      </c>
      <c r="C120" s="1019"/>
      <c r="D120" s="635" t="e">
        <f>SUM(D121:D125)</f>
        <v>#REF!</v>
      </c>
      <c r="E120" s="636" t="e">
        <f>SUM(E121:E125)</f>
        <v>#REF!</v>
      </c>
      <c r="F120" s="636" t="e">
        <f>SUM(F121:F125)</f>
        <v>#REF!</v>
      </c>
      <c r="G120" s="636" t="e">
        <f>SUM(G121:G125)</f>
        <v>#REF!</v>
      </c>
      <c r="H120" s="637" t="e">
        <f t="shared" si="49"/>
        <v>#REF!</v>
      </c>
      <c r="I120" s="637" t="e">
        <f t="shared" si="50"/>
        <v>#REF!</v>
      </c>
      <c r="J120" s="638" t="e">
        <f t="shared" si="51"/>
        <v>#REF!</v>
      </c>
      <c r="K120" s="635" t="e">
        <f>SUM(K121:K125)</f>
        <v>#REF!</v>
      </c>
      <c r="L120" s="644" t="e">
        <f>SUM(L121:L125)</f>
        <v>#REF!</v>
      </c>
      <c r="M120" s="636" t="e">
        <f>SUM(M121:M125)</f>
        <v>#REF!</v>
      </c>
      <c r="N120" s="644" t="e">
        <f>SUM(N121:N125)</f>
        <v>#REF!</v>
      </c>
      <c r="O120" s="656" t="e">
        <f t="shared" si="52"/>
        <v>#REF!</v>
      </c>
      <c r="P120" s="656" t="e">
        <f t="shared" si="53"/>
        <v>#REF!</v>
      </c>
      <c r="Q120" s="657" t="e">
        <f t="shared" si="54"/>
        <v>#REF!</v>
      </c>
      <c r="R120" s="652"/>
      <c r="S120" s="652"/>
      <c r="T120" s="652"/>
      <c r="U120" s="652"/>
      <c r="V120" s="653"/>
      <c r="W120" s="653"/>
      <c r="X120" s="653"/>
    </row>
    <row r="121" spans="2:24" ht="25.35" hidden="1" customHeight="1" thickBot="1" x14ac:dyDescent="0.45">
      <c r="B121" s="1023"/>
      <c r="C121" s="639" t="s">
        <v>89</v>
      </c>
      <c r="D121" s="640" t="e">
        <f>#REF!</f>
        <v>#REF!</v>
      </c>
      <c r="E121" s="641" t="e">
        <f>#REF!</f>
        <v>#REF!</v>
      </c>
      <c r="F121" s="641" t="e">
        <f>#REF!</f>
        <v>#REF!</v>
      </c>
      <c r="G121" s="641" t="e">
        <f>#REF!</f>
        <v>#REF!</v>
      </c>
      <c r="H121" s="642" t="e">
        <f t="shared" si="49"/>
        <v>#REF!</v>
      </c>
      <c r="I121" s="642" t="e">
        <f t="shared" si="50"/>
        <v>#REF!</v>
      </c>
      <c r="J121" s="643" t="e">
        <f t="shared" si="51"/>
        <v>#REF!</v>
      </c>
      <c r="K121" s="640" t="e">
        <f t="shared" ref="K121:N125" si="59">D104+D121</f>
        <v>#REF!</v>
      </c>
      <c r="L121" s="645" t="e">
        <f t="shared" si="59"/>
        <v>#REF!</v>
      </c>
      <c r="M121" s="641" t="e">
        <f t="shared" si="59"/>
        <v>#REF!</v>
      </c>
      <c r="N121" s="645" t="e">
        <f t="shared" si="59"/>
        <v>#REF!</v>
      </c>
      <c r="O121" s="658" t="e">
        <f t="shared" si="52"/>
        <v>#REF!</v>
      </c>
      <c r="P121" s="658" t="e">
        <f t="shared" si="53"/>
        <v>#REF!</v>
      </c>
      <c r="Q121" s="659" t="e">
        <f t="shared" si="54"/>
        <v>#REF!</v>
      </c>
      <c r="R121" s="654"/>
      <c r="S121" s="654"/>
      <c r="T121" s="654"/>
      <c r="U121" s="654"/>
      <c r="V121" s="655"/>
      <c r="W121" s="655"/>
      <c r="X121" s="654"/>
    </row>
    <row r="122" spans="2:24" ht="25.35" hidden="1" customHeight="1" thickBot="1" x14ac:dyDescent="0.45">
      <c r="B122" s="1027"/>
      <c r="C122" s="639" t="s">
        <v>90</v>
      </c>
      <c r="D122" s="640">
        <f>V17</f>
        <v>2.09</v>
      </c>
      <c r="E122" s="641">
        <f>W17</f>
        <v>5.4862500000000001</v>
      </c>
      <c r="F122" s="641" t="e">
        <f>#REF!</f>
        <v>#REF!</v>
      </c>
      <c r="G122" s="641">
        <f>X17</f>
        <v>5.4862500000000001</v>
      </c>
      <c r="H122" s="642">
        <f t="shared" si="49"/>
        <v>3.3962500000000002</v>
      </c>
      <c r="I122" s="642">
        <f t="shared" si="50"/>
        <v>0</v>
      </c>
      <c r="J122" s="643" t="e">
        <f t="shared" si="51"/>
        <v>#REF!</v>
      </c>
      <c r="K122" s="640" t="e">
        <f t="shared" si="59"/>
        <v>#REF!</v>
      </c>
      <c r="L122" s="645" t="e">
        <f t="shared" si="59"/>
        <v>#REF!</v>
      </c>
      <c r="M122" s="641" t="e">
        <f t="shared" si="59"/>
        <v>#REF!</v>
      </c>
      <c r="N122" s="645" t="e">
        <f t="shared" si="59"/>
        <v>#REF!</v>
      </c>
      <c r="O122" s="658" t="e">
        <f t="shared" si="52"/>
        <v>#REF!</v>
      </c>
      <c r="P122" s="658" t="e">
        <f t="shared" si="53"/>
        <v>#REF!</v>
      </c>
      <c r="Q122" s="659" t="e">
        <f t="shared" si="54"/>
        <v>#REF!</v>
      </c>
      <c r="R122" s="654"/>
      <c r="S122" s="654"/>
      <c r="T122" s="654"/>
      <c r="U122" s="654"/>
      <c r="V122" s="655"/>
      <c r="W122" s="655"/>
      <c r="X122" s="654"/>
    </row>
    <row r="123" spans="2:24" ht="25.35" hidden="1" customHeight="1" thickBot="1" x14ac:dyDescent="0.45">
      <c r="B123" s="1027"/>
      <c r="C123" s="639" t="s">
        <v>91</v>
      </c>
      <c r="D123" s="640">
        <f>V16</f>
        <v>33.00286011</v>
      </c>
      <c r="E123" s="641">
        <f>W16</f>
        <v>64.033500000000004</v>
      </c>
      <c r="F123" s="641" t="e">
        <f>#REF!</f>
        <v>#REF!</v>
      </c>
      <c r="G123" s="641">
        <f>X16</f>
        <v>64.033500000000004</v>
      </c>
      <c r="H123" s="642">
        <f t="shared" si="49"/>
        <v>31.030639890000003</v>
      </c>
      <c r="I123" s="642">
        <f t="shared" si="50"/>
        <v>0</v>
      </c>
      <c r="J123" s="643" t="e">
        <f t="shared" si="51"/>
        <v>#REF!</v>
      </c>
      <c r="K123" s="640" t="e">
        <f t="shared" si="59"/>
        <v>#REF!</v>
      </c>
      <c r="L123" s="645" t="e">
        <f t="shared" si="59"/>
        <v>#REF!</v>
      </c>
      <c r="M123" s="641" t="e">
        <f t="shared" si="59"/>
        <v>#REF!</v>
      </c>
      <c r="N123" s="645" t="e">
        <f t="shared" si="59"/>
        <v>#REF!</v>
      </c>
      <c r="O123" s="658" t="e">
        <f t="shared" si="52"/>
        <v>#REF!</v>
      </c>
      <c r="P123" s="658" t="e">
        <f t="shared" si="53"/>
        <v>#REF!</v>
      </c>
      <c r="Q123" s="659" t="e">
        <f t="shared" si="54"/>
        <v>#REF!</v>
      </c>
      <c r="R123" s="654"/>
      <c r="S123" s="654"/>
      <c r="T123" s="654"/>
      <c r="U123" s="654"/>
      <c r="V123" s="655"/>
      <c r="W123" s="654"/>
      <c r="X123" s="654"/>
    </row>
    <row r="124" spans="2:24" ht="25.35" hidden="1" customHeight="1" thickBot="1" x14ac:dyDescent="0.45">
      <c r="B124" s="1027"/>
      <c r="C124" s="639" t="s">
        <v>92</v>
      </c>
      <c r="D124" s="640">
        <f>V18</f>
        <v>3.4780000199999996</v>
      </c>
      <c r="E124" s="641">
        <f>W18</f>
        <v>0.46875</v>
      </c>
      <c r="F124" s="641" t="e">
        <f>#REF!</f>
        <v>#REF!</v>
      </c>
      <c r="G124" s="641">
        <f>X18</f>
        <v>0.46875</v>
      </c>
      <c r="H124" s="642">
        <f t="shared" si="49"/>
        <v>-3.0092500199999996</v>
      </c>
      <c r="I124" s="642">
        <f t="shared" si="50"/>
        <v>0</v>
      </c>
      <c r="J124" s="643" t="e">
        <f t="shared" si="51"/>
        <v>#REF!</v>
      </c>
      <c r="K124" s="640" t="e">
        <f t="shared" si="59"/>
        <v>#REF!</v>
      </c>
      <c r="L124" s="645" t="e">
        <f t="shared" si="59"/>
        <v>#REF!</v>
      </c>
      <c r="M124" s="641" t="e">
        <f t="shared" si="59"/>
        <v>#REF!</v>
      </c>
      <c r="N124" s="645" t="e">
        <f t="shared" si="59"/>
        <v>#REF!</v>
      </c>
      <c r="O124" s="658" t="e">
        <f t="shared" si="52"/>
        <v>#REF!</v>
      </c>
      <c r="P124" s="658" t="e">
        <f t="shared" si="53"/>
        <v>#REF!</v>
      </c>
      <c r="Q124" s="659" t="e">
        <f t="shared" si="54"/>
        <v>#REF!</v>
      </c>
      <c r="R124" s="654"/>
      <c r="S124" s="654"/>
      <c r="T124" s="654"/>
      <c r="U124" s="654"/>
      <c r="V124" s="655"/>
      <c r="W124" s="654"/>
      <c r="X124" s="655"/>
    </row>
    <row r="125" spans="2:24" ht="25.35" hidden="1" customHeight="1" thickBot="1" x14ac:dyDescent="0.45">
      <c r="B125" s="1024"/>
      <c r="C125" s="639" t="s">
        <v>93</v>
      </c>
      <c r="D125" s="646">
        <f>V19</f>
        <v>0.97321599999999997</v>
      </c>
      <c r="E125" s="647">
        <f>W19</f>
        <v>0</v>
      </c>
      <c r="F125" s="647" t="e">
        <f>#REF!</f>
        <v>#REF!</v>
      </c>
      <c r="G125" s="647">
        <f>X19</f>
        <v>0</v>
      </c>
      <c r="H125" s="648">
        <f t="shared" si="49"/>
        <v>-0.97321599999999997</v>
      </c>
      <c r="I125" s="648">
        <f t="shared" si="50"/>
        <v>0</v>
      </c>
      <c r="J125" s="649" t="e">
        <f t="shared" si="51"/>
        <v>#REF!</v>
      </c>
      <c r="K125" s="646" t="e">
        <f t="shared" si="59"/>
        <v>#REF!</v>
      </c>
      <c r="L125" s="660" t="e">
        <f t="shared" si="59"/>
        <v>#REF!</v>
      </c>
      <c r="M125" s="647" t="e">
        <f t="shared" si="59"/>
        <v>#REF!</v>
      </c>
      <c r="N125" s="660" t="e">
        <f t="shared" si="59"/>
        <v>#REF!</v>
      </c>
      <c r="O125" s="661" t="e">
        <f t="shared" si="52"/>
        <v>#REF!</v>
      </c>
      <c r="P125" s="661" t="e">
        <f t="shared" si="53"/>
        <v>#REF!</v>
      </c>
      <c r="Q125" s="662" t="e">
        <f t="shared" si="54"/>
        <v>#REF!</v>
      </c>
      <c r="R125" s="654"/>
      <c r="S125" s="654"/>
      <c r="T125" s="654"/>
      <c r="U125" s="654"/>
      <c r="V125" s="655"/>
      <c r="W125" s="654"/>
      <c r="X125" s="655"/>
    </row>
    <row r="127" spans="2:24" hidden="1" x14ac:dyDescent="0.4"/>
    <row r="128" spans="2:24" ht="25.35" hidden="1" customHeight="1" thickBot="1" x14ac:dyDescent="0.45">
      <c r="B128" s="1025" t="s">
        <v>71</v>
      </c>
      <c r="C128" s="1025"/>
      <c r="D128" s="1028" t="s">
        <v>96</v>
      </c>
      <c r="E128" s="1029"/>
      <c r="F128" s="1029"/>
      <c r="G128" s="1029"/>
      <c r="H128" s="1029"/>
      <c r="I128" s="1029"/>
      <c r="J128" s="1030"/>
      <c r="K128" s="1028" t="s">
        <v>97</v>
      </c>
      <c r="L128" s="1029"/>
      <c r="M128" s="1029"/>
      <c r="N128" s="1029"/>
      <c r="O128" s="1029"/>
      <c r="P128" s="1029"/>
      <c r="Q128" s="1030"/>
      <c r="R128" s="1018" t="s">
        <v>98</v>
      </c>
      <c r="S128" s="1018"/>
      <c r="T128" s="1018"/>
      <c r="U128" s="1018"/>
      <c r="V128" s="1018"/>
      <c r="W128" s="1018"/>
      <c r="X128" s="1018"/>
    </row>
    <row r="129" spans="2:24" ht="39" hidden="1" customHeight="1" thickBot="1" x14ac:dyDescent="0.45">
      <c r="B129" s="1026"/>
      <c r="C129" s="1026"/>
      <c r="D129" s="632" t="s">
        <v>75</v>
      </c>
      <c r="E129" s="633" t="s">
        <v>76</v>
      </c>
      <c r="F129" s="633" t="s">
        <v>99</v>
      </c>
      <c r="G129" s="633" t="s">
        <v>11</v>
      </c>
      <c r="H129" s="633" t="s">
        <v>78</v>
      </c>
      <c r="I129" s="633" t="s">
        <v>79</v>
      </c>
      <c r="J129" s="634" t="s">
        <v>80</v>
      </c>
      <c r="K129" s="632" t="s">
        <v>75</v>
      </c>
      <c r="L129" s="633" t="s">
        <v>76</v>
      </c>
      <c r="M129" s="633" t="s">
        <v>99</v>
      </c>
      <c r="N129" s="633" t="s">
        <v>11</v>
      </c>
      <c r="O129" s="633" t="s">
        <v>78</v>
      </c>
      <c r="P129" s="633" t="s">
        <v>79</v>
      </c>
      <c r="Q129" s="634" t="s">
        <v>80</v>
      </c>
      <c r="R129" s="651"/>
      <c r="S129" s="651"/>
      <c r="T129" s="651"/>
      <c r="U129" s="651"/>
      <c r="V129" s="651"/>
      <c r="W129" s="651"/>
      <c r="X129" s="651"/>
    </row>
    <row r="130" spans="2:24" ht="25.35" hidden="1" customHeight="1" thickBot="1" x14ac:dyDescent="0.45">
      <c r="B130" s="1019" t="s">
        <v>81</v>
      </c>
      <c r="C130" s="1019"/>
      <c r="D130" s="635" t="e">
        <f>D131+D135+D138</f>
        <v>#REF!</v>
      </c>
      <c r="E130" s="636" t="e">
        <f>E131+E135+E138</f>
        <v>#REF!</v>
      </c>
      <c r="F130" s="636" t="e">
        <f>F131+F135+F138</f>
        <v>#REF!</v>
      </c>
      <c r="G130" s="636" t="e">
        <f>G131+G135+G138</f>
        <v>#REF!</v>
      </c>
      <c r="H130" s="637" t="e">
        <f t="shared" ref="H130:H143" si="60">G130-D130</f>
        <v>#REF!</v>
      </c>
      <c r="I130" s="637" t="e">
        <f t="shared" ref="I130:I143" si="61">G130-E130</f>
        <v>#REF!</v>
      </c>
      <c r="J130" s="638" t="e">
        <f t="shared" ref="J130:J143" si="62">G130-F130</f>
        <v>#REF!</v>
      </c>
      <c r="K130" s="635" t="e">
        <f>K131+K135+K138</f>
        <v>#REF!</v>
      </c>
      <c r="L130" s="636" t="e">
        <f>L131+L135+L138</f>
        <v>#REF!</v>
      </c>
      <c r="M130" s="636" t="e">
        <f>M131+M135+M138</f>
        <v>#REF!</v>
      </c>
      <c r="N130" s="636" t="e">
        <f>N131+N135+N138</f>
        <v>#REF!</v>
      </c>
      <c r="O130" s="637" t="e">
        <f t="shared" ref="O130:O143" si="63">N130-K130</f>
        <v>#REF!</v>
      </c>
      <c r="P130" s="637" t="e">
        <f t="shared" ref="P130:P143" si="64">N130-L130</f>
        <v>#REF!</v>
      </c>
      <c r="Q130" s="638" t="e">
        <f t="shared" ref="Q130:Q143" si="65">N130-M130</f>
        <v>#REF!</v>
      </c>
      <c r="R130" s="652"/>
      <c r="S130" s="652"/>
      <c r="T130" s="652"/>
      <c r="U130" s="652"/>
      <c r="V130" s="653"/>
      <c r="W130" s="653"/>
      <c r="X130" s="652"/>
    </row>
    <row r="131" spans="2:24" ht="25.35" hidden="1" customHeight="1" thickBot="1" x14ac:dyDescent="0.45">
      <c r="B131" s="1019" t="s">
        <v>82</v>
      </c>
      <c r="C131" s="1019"/>
      <c r="D131" s="635" t="e">
        <f>SUM(D132:D134)</f>
        <v>#REF!</v>
      </c>
      <c r="E131" s="636" t="e">
        <f t="shared" ref="E131:F131" si="66">SUM(E132:E134)</f>
        <v>#REF!</v>
      </c>
      <c r="F131" s="636" t="e">
        <f t="shared" si="66"/>
        <v>#REF!</v>
      </c>
      <c r="G131" s="636" t="e">
        <f>SUM(G132:G134)</f>
        <v>#REF!</v>
      </c>
      <c r="H131" s="637" t="e">
        <f t="shared" si="60"/>
        <v>#REF!</v>
      </c>
      <c r="I131" s="637" t="e">
        <f t="shared" si="61"/>
        <v>#REF!</v>
      </c>
      <c r="J131" s="638" t="e">
        <f t="shared" si="62"/>
        <v>#REF!</v>
      </c>
      <c r="K131" s="635" t="e">
        <f>SUM(K132:K134)</f>
        <v>#REF!</v>
      </c>
      <c r="L131" s="636" t="e">
        <f t="shared" ref="L131:M131" si="67">SUM(L132:L134)</f>
        <v>#REF!</v>
      </c>
      <c r="M131" s="636" t="e">
        <f t="shared" si="67"/>
        <v>#REF!</v>
      </c>
      <c r="N131" s="636" t="e">
        <f>SUM(N132:N134)</f>
        <v>#REF!</v>
      </c>
      <c r="O131" s="637" t="e">
        <f t="shared" si="63"/>
        <v>#REF!</v>
      </c>
      <c r="P131" s="637" t="e">
        <f t="shared" si="64"/>
        <v>#REF!</v>
      </c>
      <c r="Q131" s="638" t="e">
        <f t="shared" si="65"/>
        <v>#REF!</v>
      </c>
      <c r="R131" s="652"/>
      <c r="S131" s="652"/>
      <c r="T131" s="652"/>
      <c r="U131" s="652"/>
      <c r="V131" s="653"/>
      <c r="W131" s="653"/>
      <c r="X131" s="652"/>
    </row>
    <row r="132" spans="2:24" ht="25.35" hidden="1" customHeight="1" thickBot="1" x14ac:dyDescent="0.45">
      <c r="B132" s="1020"/>
      <c r="C132" s="639" t="s">
        <v>83</v>
      </c>
      <c r="D132" s="640">
        <f>N11</f>
        <v>0</v>
      </c>
      <c r="E132" s="641">
        <f>O11</f>
        <v>0.17044833333333337</v>
      </c>
      <c r="F132" s="641" t="e">
        <f>#REF!</f>
        <v>#REF!</v>
      </c>
      <c r="G132" s="641">
        <f>P11</f>
        <v>0.17044833333333337</v>
      </c>
      <c r="H132" s="642">
        <f t="shared" si="60"/>
        <v>0.17044833333333337</v>
      </c>
      <c r="I132" s="642">
        <f t="shared" si="61"/>
        <v>0</v>
      </c>
      <c r="J132" s="643" t="e">
        <f t="shared" si="62"/>
        <v>#REF!</v>
      </c>
      <c r="K132" s="640" t="e">
        <f>SUM(#REF!,F11,J11,N11)</f>
        <v>#REF!</v>
      </c>
      <c r="L132" s="641" t="e">
        <f>SUM(#REF!,G11,K11,O11)</f>
        <v>#REF!</v>
      </c>
      <c r="M132" s="641" t="e">
        <f>SUM(#REF!,#REF!,#REF!)</f>
        <v>#REF!</v>
      </c>
      <c r="N132" s="641" t="e">
        <f>SUM(#REF!,H11,L11,P11)</f>
        <v>#REF!</v>
      </c>
      <c r="O132" s="642" t="e">
        <f t="shared" si="63"/>
        <v>#REF!</v>
      </c>
      <c r="P132" s="642" t="e">
        <f t="shared" si="64"/>
        <v>#REF!</v>
      </c>
      <c r="Q132" s="643" t="e">
        <f t="shared" si="65"/>
        <v>#REF!</v>
      </c>
      <c r="R132" s="654"/>
      <c r="S132" s="654"/>
      <c r="T132" s="654"/>
      <c r="U132" s="654"/>
      <c r="V132" s="655"/>
      <c r="W132" s="655"/>
      <c r="X132" s="654"/>
    </row>
    <row r="133" spans="2:24" ht="25.35" hidden="1" customHeight="1" thickBot="1" x14ac:dyDescent="0.45">
      <c r="B133" s="1021"/>
      <c r="C133" s="639" t="s">
        <v>84</v>
      </c>
      <c r="D133" s="640" t="e">
        <f>#REF!</f>
        <v>#REF!</v>
      </c>
      <c r="E133" s="641" t="e">
        <f>#REF!</f>
        <v>#REF!</v>
      </c>
      <c r="F133" s="641" t="e">
        <f>#REF!</f>
        <v>#REF!</v>
      </c>
      <c r="G133" s="641" t="e">
        <f>#REF!</f>
        <v>#REF!</v>
      </c>
      <c r="H133" s="642" t="e">
        <f t="shared" si="60"/>
        <v>#REF!</v>
      </c>
      <c r="I133" s="641" t="e">
        <f t="shared" si="61"/>
        <v>#REF!</v>
      </c>
      <c r="J133" s="643" t="e">
        <f t="shared" si="62"/>
        <v>#REF!</v>
      </c>
      <c r="K133" s="640" t="e">
        <f>SUM(#REF!,#REF!,#REF!,#REF!)</f>
        <v>#REF!</v>
      </c>
      <c r="L133" s="641" t="e">
        <f>SUM(#REF!,#REF!,#REF!,#REF!)</f>
        <v>#REF!</v>
      </c>
      <c r="M133" s="641" t="e">
        <f>SUM(#REF!,#REF!,#REF!)</f>
        <v>#REF!</v>
      </c>
      <c r="N133" s="641" t="e">
        <f>SUM(#REF!,#REF!,#REF!,#REF!)</f>
        <v>#REF!</v>
      </c>
      <c r="O133" s="642" t="e">
        <f t="shared" si="63"/>
        <v>#REF!</v>
      </c>
      <c r="P133" s="641" t="e">
        <f t="shared" si="64"/>
        <v>#REF!</v>
      </c>
      <c r="Q133" s="643" t="e">
        <f t="shared" si="65"/>
        <v>#REF!</v>
      </c>
      <c r="R133" s="654"/>
      <c r="S133" s="654"/>
      <c r="T133" s="654"/>
      <c r="U133" s="654"/>
      <c r="V133" s="655"/>
      <c r="W133" s="654"/>
      <c r="X133" s="654"/>
    </row>
    <row r="134" spans="2:24" ht="25.35" hidden="1" customHeight="1" thickBot="1" x14ac:dyDescent="0.45">
      <c r="B134" s="1022"/>
      <c r="C134" s="639" t="s">
        <v>18</v>
      </c>
      <c r="D134" s="640">
        <f>N10</f>
        <v>17.855413209999998</v>
      </c>
      <c r="E134" s="641">
        <f>O10</f>
        <v>17.972514</v>
      </c>
      <c r="F134" s="641" t="e">
        <f>#REF!</f>
        <v>#REF!</v>
      </c>
      <c r="G134" s="641">
        <f>P10</f>
        <v>17.972514</v>
      </c>
      <c r="H134" s="642">
        <f t="shared" si="60"/>
        <v>0.11710079000000206</v>
      </c>
      <c r="I134" s="641">
        <f t="shared" si="61"/>
        <v>0</v>
      </c>
      <c r="J134" s="643" t="e">
        <f t="shared" si="62"/>
        <v>#REF!</v>
      </c>
      <c r="K134" s="640" t="e">
        <f>SUM(#REF!,F10,J10,N10)</f>
        <v>#REF!</v>
      </c>
      <c r="L134" s="641" t="e">
        <f>SUM(#REF!,G10,K10,O10)</f>
        <v>#REF!</v>
      </c>
      <c r="M134" s="641" t="e">
        <f>SUM(#REF!,#REF!,#REF!)</f>
        <v>#REF!</v>
      </c>
      <c r="N134" s="641" t="e">
        <f>SUM(#REF!,H10,L10,P10)</f>
        <v>#REF!</v>
      </c>
      <c r="O134" s="642" t="e">
        <f t="shared" si="63"/>
        <v>#REF!</v>
      </c>
      <c r="P134" s="641" t="e">
        <f t="shared" si="64"/>
        <v>#REF!</v>
      </c>
      <c r="Q134" s="643" t="e">
        <f t="shared" si="65"/>
        <v>#REF!</v>
      </c>
      <c r="R134" s="654"/>
      <c r="S134" s="654"/>
      <c r="T134" s="654"/>
      <c r="U134" s="654"/>
      <c r="V134" s="655"/>
      <c r="W134" s="654"/>
      <c r="X134" s="654"/>
    </row>
    <row r="135" spans="2:24" ht="25.35" hidden="1" customHeight="1" thickBot="1" x14ac:dyDescent="0.45">
      <c r="B135" s="1019" t="s">
        <v>85</v>
      </c>
      <c r="C135" s="1019"/>
      <c r="D135" s="635">
        <f>SUM(D136:D137)</f>
        <v>61.024992999999995</v>
      </c>
      <c r="E135" s="636">
        <f>SUM(E136:E137)</f>
        <v>106.3728899</v>
      </c>
      <c r="F135" s="636" t="e">
        <f>SUM(F136:F137)</f>
        <v>#REF!</v>
      </c>
      <c r="G135" s="636">
        <f>SUM(G136:G137)</f>
        <v>106.3728899</v>
      </c>
      <c r="H135" s="637">
        <f t="shared" si="60"/>
        <v>45.347896900000009</v>
      </c>
      <c r="I135" s="637">
        <f t="shared" si="61"/>
        <v>0</v>
      </c>
      <c r="J135" s="638" t="e">
        <f t="shared" si="62"/>
        <v>#REF!</v>
      </c>
      <c r="K135" s="635" t="e">
        <f>SUM(K136:K137)</f>
        <v>#REF!</v>
      </c>
      <c r="L135" s="636" t="e">
        <f>SUM(L136:L137)</f>
        <v>#REF!</v>
      </c>
      <c r="M135" s="636" t="e">
        <f>SUM(M136:M137)</f>
        <v>#REF!</v>
      </c>
      <c r="N135" s="636" t="e">
        <f>SUM(N136:N137)</f>
        <v>#REF!</v>
      </c>
      <c r="O135" s="637" t="e">
        <f t="shared" si="63"/>
        <v>#REF!</v>
      </c>
      <c r="P135" s="637" t="e">
        <f t="shared" si="64"/>
        <v>#REF!</v>
      </c>
      <c r="Q135" s="638" t="e">
        <f t="shared" si="65"/>
        <v>#REF!</v>
      </c>
      <c r="R135" s="652"/>
      <c r="S135" s="652"/>
      <c r="T135" s="652"/>
      <c r="U135" s="652"/>
      <c r="V135" s="653"/>
      <c r="W135" s="653"/>
      <c r="X135" s="652"/>
    </row>
    <row r="136" spans="2:24" ht="25.35" hidden="1" customHeight="1" thickBot="1" x14ac:dyDescent="0.45">
      <c r="B136" s="1023"/>
      <c r="C136" s="639" t="s">
        <v>86</v>
      </c>
      <c r="D136" s="640">
        <f>N14</f>
        <v>4.0538049999999997</v>
      </c>
      <c r="E136" s="641">
        <f>O14</f>
        <v>4.7918944000000003</v>
      </c>
      <c r="F136" s="641" t="e">
        <f>#REF!</f>
        <v>#REF!</v>
      </c>
      <c r="G136" s="641">
        <f>P14</f>
        <v>4.7918944000000003</v>
      </c>
      <c r="H136" s="642">
        <f t="shared" si="60"/>
        <v>0.73808940000000067</v>
      </c>
      <c r="I136" s="642">
        <f t="shared" si="61"/>
        <v>0</v>
      </c>
      <c r="J136" s="643" t="e">
        <f t="shared" si="62"/>
        <v>#REF!</v>
      </c>
      <c r="K136" s="640" t="e">
        <f>SUM(#REF!,F14,J14,N14)</f>
        <v>#REF!</v>
      </c>
      <c r="L136" s="641" t="e">
        <f>SUM(#REF!,G14,K14,O14)</f>
        <v>#REF!</v>
      </c>
      <c r="M136" s="641" t="e">
        <f>SUM(#REF!,#REF!,#REF!)</f>
        <v>#REF!</v>
      </c>
      <c r="N136" s="641" t="e">
        <f>SUM(#REF!,H14,L14,P14)</f>
        <v>#REF!</v>
      </c>
      <c r="O136" s="642" t="e">
        <f t="shared" si="63"/>
        <v>#REF!</v>
      </c>
      <c r="P136" s="642" t="e">
        <f t="shared" si="64"/>
        <v>#REF!</v>
      </c>
      <c r="Q136" s="643" t="e">
        <f t="shared" si="65"/>
        <v>#REF!</v>
      </c>
      <c r="R136" s="654"/>
      <c r="S136" s="654"/>
      <c r="T136" s="654"/>
      <c r="U136" s="654"/>
      <c r="V136" s="655"/>
      <c r="W136" s="655"/>
      <c r="X136" s="654"/>
    </row>
    <row r="137" spans="2:24" ht="25.35" hidden="1" customHeight="1" thickBot="1" x14ac:dyDescent="0.45">
      <c r="B137" s="1024"/>
      <c r="C137" s="639" t="s">
        <v>87</v>
      </c>
      <c r="D137" s="640">
        <f>N13</f>
        <v>56.971187999999998</v>
      </c>
      <c r="E137" s="641">
        <f>O13</f>
        <v>101.5809955</v>
      </c>
      <c r="F137" s="641" t="e">
        <f>#REF!</f>
        <v>#REF!</v>
      </c>
      <c r="G137" s="641">
        <f>P13</f>
        <v>101.5809955</v>
      </c>
      <c r="H137" s="642">
        <f t="shared" si="60"/>
        <v>44.609807500000002</v>
      </c>
      <c r="I137" s="641">
        <f t="shared" si="61"/>
        <v>0</v>
      </c>
      <c r="J137" s="643" t="e">
        <f t="shared" si="62"/>
        <v>#REF!</v>
      </c>
      <c r="K137" s="640" t="e">
        <f>SUM(#REF!,F13,J13,N13)</f>
        <v>#REF!</v>
      </c>
      <c r="L137" s="641" t="e">
        <f>SUM(#REF!,G13,K13,O13)</f>
        <v>#REF!</v>
      </c>
      <c r="M137" s="641" t="e">
        <f>SUM(#REF!,#REF!,#REF!)</f>
        <v>#REF!</v>
      </c>
      <c r="N137" s="641" t="e">
        <f>SUM(#REF!,H13,L13,P13)</f>
        <v>#REF!</v>
      </c>
      <c r="O137" s="642" t="e">
        <f t="shared" si="63"/>
        <v>#REF!</v>
      </c>
      <c r="P137" s="641" t="e">
        <f t="shared" si="64"/>
        <v>#REF!</v>
      </c>
      <c r="Q137" s="643" t="e">
        <f t="shared" si="65"/>
        <v>#REF!</v>
      </c>
      <c r="R137" s="654"/>
      <c r="S137" s="654"/>
      <c r="T137" s="654"/>
      <c r="U137" s="654"/>
      <c r="V137" s="655"/>
      <c r="W137" s="654"/>
      <c r="X137" s="654"/>
    </row>
    <row r="138" spans="2:24" ht="25.35" hidden="1" customHeight="1" thickBot="1" x14ac:dyDescent="0.45">
      <c r="B138" s="1019" t="s">
        <v>88</v>
      </c>
      <c r="C138" s="1019"/>
      <c r="D138" s="635" t="e">
        <f>SUM(D139:D143)</f>
        <v>#REF!</v>
      </c>
      <c r="E138" s="644" t="e">
        <f>SUM(E139:E143)</f>
        <v>#REF!</v>
      </c>
      <c r="F138" s="636" t="e">
        <f>SUM(F139:F143)</f>
        <v>#REF!</v>
      </c>
      <c r="G138" s="636" t="e">
        <f>SUM(G139:G143)</f>
        <v>#REF!</v>
      </c>
      <c r="H138" s="637" t="e">
        <f t="shared" si="60"/>
        <v>#REF!</v>
      </c>
      <c r="I138" s="637" t="e">
        <f t="shared" si="61"/>
        <v>#REF!</v>
      </c>
      <c r="J138" s="638" t="e">
        <f t="shared" si="62"/>
        <v>#REF!</v>
      </c>
      <c r="K138" s="635" t="e">
        <f>SUM(K139:K143)</f>
        <v>#REF!</v>
      </c>
      <c r="L138" s="636" t="e">
        <f>SUM(L139:L143)</f>
        <v>#REF!</v>
      </c>
      <c r="M138" s="636" t="e">
        <f>SUM(M139:M143)</f>
        <v>#REF!</v>
      </c>
      <c r="N138" s="636" t="e">
        <f>SUM(N139:N143)</f>
        <v>#REF!</v>
      </c>
      <c r="O138" s="637" t="e">
        <f t="shared" si="63"/>
        <v>#REF!</v>
      </c>
      <c r="P138" s="637" t="e">
        <f t="shared" si="64"/>
        <v>#REF!</v>
      </c>
      <c r="Q138" s="638" t="e">
        <f t="shared" si="65"/>
        <v>#REF!</v>
      </c>
      <c r="R138" s="652"/>
      <c r="S138" s="652"/>
      <c r="T138" s="652"/>
      <c r="U138" s="652"/>
      <c r="V138" s="653"/>
      <c r="W138" s="653"/>
      <c r="X138" s="652"/>
    </row>
    <row r="139" spans="2:24" ht="25.35" hidden="1" customHeight="1" thickBot="1" x14ac:dyDescent="0.45">
      <c r="B139" s="1023"/>
      <c r="C139" s="639" t="s">
        <v>89</v>
      </c>
      <c r="D139" s="640" t="e">
        <f>#REF!</f>
        <v>#REF!</v>
      </c>
      <c r="E139" s="645" t="e">
        <f>#REF!</f>
        <v>#REF!</v>
      </c>
      <c r="F139" s="641" t="e">
        <f>#REF!</f>
        <v>#REF!</v>
      </c>
      <c r="G139" s="641" t="e">
        <f>#REF!</f>
        <v>#REF!</v>
      </c>
      <c r="H139" s="642" t="e">
        <f t="shared" si="60"/>
        <v>#REF!</v>
      </c>
      <c r="I139" s="642" t="e">
        <f t="shared" si="61"/>
        <v>#REF!</v>
      </c>
      <c r="J139" s="643" t="e">
        <f t="shared" si="62"/>
        <v>#REF!</v>
      </c>
      <c r="K139" s="640" t="e">
        <f>SUM(#REF!,#REF!,#REF!,#REF!)</f>
        <v>#REF!</v>
      </c>
      <c r="L139" s="641" t="e">
        <f>SUM(#REF!,#REF!,#REF!,#REF!)</f>
        <v>#REF!</v>
      </c>
      <c r="M139" s="641" t="e">
        <f>SUM(#REF!,#REF!,#REF!)</f>
        <v>#REF!</v>
      </c>
      <c r="N139" s="641" t="e">
        <f>SUM(#REF!,#REF!,#REF!,#REF!)</f>
        <v>#REF!</v>
      </c>
      <c r="O139" s="642" t="e">
        <f t="shared" si="63"/>
        <v>#REF!</v>
      </c>
      <c r="P139" s="642" t="e">
        <f t="shared" si="64"/>
        <v>#REF!</v>
      </c>
      <c r="Q139" s="643" t="e">
        <f t="shared" si="65"/>
        <v>#REF!</v>
      </c>
      <c r="R139" s="654"/>
      <c r="S139" s="654"/>
      <c r="T139" s="654"/>
      <c r="U139" s="654"/>
      <c r="V139" s="655"/>
      <c r="W139" s="655"/>
      <c r="X139" s="654"/>
    </row>
    <row r="140" spans="2:24" ht="25.35" hidden="1" customHeight="1" thickBot="1" x14ac:dyDescent="0.45">
      <c r="B140" s="1027"/>
      <c r="C140" s="639" t="s">
        <v>90</v>
      </c>
      <c r="D140" s="640">
        <f>N17</f>
        <v>0</v>
      </c>
      <c r="E140" s="645">
        <f>O17</f>
        <v>1.71875</v>
      </c>
      <c r="F140" s="641" t="e">
        <f>#REF!</f>
        <v>#REF!</v>
      </c>
      <c r="G140" s="641">
        <f>P17</f>
        <v>1.71875</v>
      </c>
      <c r="H140" s="642">
        <f t="shared" si="60"/>
        <v>1.71875</v>
      </c>
      <c r="I140" s="642">
        <f t="shared" si="61"/>
        <v>0</v>
      </c>
      <c r="J140" s="643" t="e">
        <f t="shared" si="62"/>
        <v>#REF!</v>
      </c>
      <c r="K140" s="640" t="e">
        <f>SUM(#REF!,F17,J17,N17)</f>
        <v>#REF!</v>
      </c>
      <c r="L140" s="641" t="e">
        <f>SUM(#REF!,G17,K17,O17)</f>
        <v>#REF!</v>
      </c>
      <c r="M140" s="641" t="e">
        <f>SUM(#REF!,#REF!,#REF!)</f>
        <v>#REF!</v>
      </c>
      <c r="N140" s="641" t="e">
        <f>SUM(#REF!,H17,L17,P17)</f>
        <v>#REF!</v>
      </c>
      <c r="O140" s="642" t="e">
        <f t="shared" si="63"/>
        <v>#REF!</v>
      </c>
      <c r="P140" s="642" t="e">
        <f t="shared" si="64"/>
        <v>#REF!</v>
      </c>
      <c r="Q140" s="643" t="e">
        <f t="shared" si="65"/>
        <v>#REF!</v>
      </c>
      <c r="R140" s="654"/>
      <c r="S140" s="654"/>
      <c r="T140" s="654"/>
      <c r="U140" s="654"/>
      <c r="V140" s="655"/>
      <c r="W140" s="655"/>
      <c r="X140" s="654"/>
    </row>
    <row r="141" spans="2:24" ht="25.35" hidden="1" customHeight="1" thickBot="1" x14ac:dyDescent="0.45">
      <c r="B141" s="1027"/>
      <c r="C141" s="639" t="s">
        <v>91</v>
      </c>
      <c r="D141" s="640">
        <f>N16</f>
        <v>25.76695337</v>
      </c>
      <c r="E141" s="645">
        <f>O16</f>
        <v>36.177500000000002</v>
      </c>
      <c r="F141" s="641" t="e">
        <f>#REF!</f>
        <v>#REF!</v>
      </c>
      <c r="G141" s="641">
        <f>P16</f>
        <v>36.177500000000002</v>
      </c>
      <c r="H141" s="642">
        <f t="shared" si="60"/>
        <v>10.410546630000002</v>
      </c>
      <c r="I141" s="642">
        <f t="shared" si="61"/>
        <v>0</v>
      </c>
      <c r="J141" s="643" t="e">
        <f t="shared" si="62"/>
        <v>#REF!</v>
      </c>
      <c r="K141" s="640" t="e">
        <f>SUM(#REF!,F16,J16,N16)</f>
        <v>#REF!</v>
      </c>
      <c r="L141" s="641" t="e">
        <f>SUM(#REF!,G16,K16,O16)</f>
        <v>#REF!</v>
      </c>
      <c r="M141" s="641" t="e">
        <f>SUM(#REF!,#REF!,#REF!)</f>
        <v>#REF!</v>
      </c>
      <c r="N141" s="641" t="e">
        <f>SUM(#REF!,H16,L16,P16)</f>
        <v>#REF!</v>
      </c>
      <c r="O141" s="642" t="e">
        <f t="shared" si="63"/>
        <v>#REF!</v>
      </c>
      <c r="P141" s="642" t="e">
        <f t="shared" si="64"/>
        <v>#REF!</v>
      </c>
      <c r="Q141" s="643" t="e">
        <f t="shared" si="65"/>
        <v>#REF!</v>
      </c>
      <c r="R141" s="654"/>
      <c r="S141" s="654"/>
      <c r="T141" s="654"/>
      <c r="U141" s="654"/>
      <c r="V141" s="655"/>
      <c r="W141" s="654"/>
      <c r="X141" s="654"/>
    </row>
    <row r="142" spans="2:24" ht="25.35" hidden="1" customHeight="1" thickBot="1" x14ac:dyDescent="0.45">
      <c r="B142" s="1027"/>
      <c r="C142" s="639" t="s">
        <v>92</v>
      </c>
      <c r="D142" s="640">
        <f>N18</f>
        <v>2.7058333399999999</v>
      </c>
      <c r="E142" s="645">
        <f>O18</f>
        <v>0</v>
      </c>
      <c r="F142" s="641" t="e">
        <f>#REF!</f>
        <v>#REF!</v>
      </c>
      <c r="G142" s="641">
        <f>P18</f>
        <v>0</v>
      </c>
      <c r="H142" s="642">
        <f t="shared" si="60"/>
        <v>-2.7058333399999999</v>
      </c>
      <c r="I142" s="641">
        <f t="shared" si="61"/>
        <v>0</v>
      </c>
      <c r="J142" s="643" t="e">
        <f t="shared" si="62"/>
        <v>#REF!</v>
      </c>
      <c r="K142" s="640" t="e">
        <f>SUM(#REF!,F18,J18,N18)</f>
        <v>#REF!</v>
      </c>
      <c r="L142" s="641" t="e">
        <f>SUM(#REF!,G18,K18,O18)</f>
        <v>#REF!</v>
      </c>
      <c r="M142" s="641" t="e">
        <f>SUM(#REF!,#REF!,#REF!)</f>
        <v>#REF!</v>
      </c>
      <c r="N142" s="641" t="e">
        <f>SUM(#REF!,H18,L18,P18)</f>
        <v>#REF!</v>
      </c>
      <c r="O142" s="642" t="e">
        <f t="shared" si="63"/>
        <v>#REF!</v>
      </c>
      <c r="P142" s="641" t="e">
        <f t="shared" si="64"/>
        <v>#REF!</v>
      </c>
      <c r="Q142" s="643" t="e">
        <f t="shared" si="65"/>
        <v>#REF!</v>
      </c>
      <c r="R142" s="654"/>
      <c r="S142" s="654"/>
      <c r="T142" s="654"/>
      <c r="U142" s="654"/>
      <c r="V142" s="655"/>
      <c r="W142" s="654"/>
      <c r="X142" s="654"/>
    </row>
    <row r="143" spans="2:24" ht="25.35" hidden="1" customHeight="1" thickBot="1" x14ac:dyDescent="0.45">
      <c r="B143" s="1024"/>
      <c r="C143" s="639" t="s">
        <v>93</v>
      </c>
      <c r="D143" s="646">
        <f>N19</f>
        <v>0</v>
      </c>
      <c r="E143" s="660">
        <f>O19</f>
        <v>0</v>
      </c>
      <c r="F143" s="647" t="e">
        <f>#REF!</f>
        <v>#REF!</v>
      </c>
      <c r="G143" s="647">
        <f>P19</f>
        <v>0</v>
      </c>
      <c r="H143" s="648">
        <f t="shared" si="60"/>
        <v>0</v>
      </c>
      <c r="I143" s="647">
        <f t="shared" si="61"/>
        <v>0</v>
      </c>
      <c r="J143" s="649" t="e">
        <f t="shared" si="62"/>
        <v>#REF!</v>
      </c>
      <c r="K143" s="646" t="e">
        <f>SUM(#REF!,F19,J19,N19)</f>
        <v>#REF!</v>
      </c>
      <c r="L143" s="647" t="e">
        <f>SUM(#REF!,G19,K19,O19)</f>
        <v>#REF!</v>
      </c>
      <c r="M143" s="647" t="e">
        <f>SUM(#REF!,#REF!,#REF!)</f>
        <v>#REF!</v>
      </c>
      <c r="N143" s="647" t="e">
        <f>SUM(#REF!,H19,L19,P19)</f>
        <v>#REF!</v>
      </c>
      <c r="O143" s="648" t="e">
        <f t="shared" si="63"/>
        <v>#REF!</v>
      </c>
      <c r="P143" s="647" t="e">
        <f t="shared" si="64"/>
        <v>#REF!</v>
      </c>
      <c r="Q143" s="649" t="e">
        <f t="shared" si="65"/>
        <v>#REF!</v>
      </c>
      <c r="R143" s="654"/>
      <c r="S143" s="654"/>
      <c r="T143" s="654"/>
      <c r="U143" s="654"/>
      <c r="V143" s="655"/>
      <c r="W143" s="654"/>
      <c r="X143" s="654"/>
    </row>
    <row r="144" spans="2:24" hidden="1" x14ac:dyDescent="0.4"/>
    <row r="145" spans="2:24" ht="25.35" customHeight="1" x14ac:dyDescent="0.4">
      <c r="B145" s="1033" t="s">
        <v>71</v>
      </c>
      <c r="C145" s="1033"/>
      <c r="D145" s="1033" t="s">
        <v>2</v>
      </c>
      <c r="E145" s="1033"/>
      <c r="F145" s="1033"/>
      <c r="G145" s="1033"/>
      <c r="H145" s="1033"/>
      <c r="I145" s="1033"/>
      <c r="J145" s="1034"/>
      <c r="K145" s="1032" t="s">
        <v>100</v>
      </c>
      <c r="L145" s="1033"/>
      <c r="M145" s="1033"/>
      <c r="N145" s="1033"/>
      <c r="O145" s="1033"/>
      <c r="P145" s="1033"/>
      <c r="Q145" s="1033"/>
      <c r="R145" s="1018" t="s">
        <v>98</v>
      </c>
      <c r="S145" s="1018"/>
      <c r="T145" s="1018"/>
      <c r="U145" s="1018"/>
      <c r="V145" s="1018"/>
      <c r="W145" s="1018"/>
      <c r="X145" s="1018"/>
    </row>
    <row r="146" spans="2:24" ht="39" customHeight="1" x14ac:dyDescent="0.4">
      <c r="B146" s="1033"/>
      <c r="C146" s="1033"/>
      <c r="D146" s="663" t="s">
        <v>75</v>
      </c>
      <c r="E146" s="663" t="s">
        <v>76</v>
      </c>
      <c r="F146" s="663" t="s">
        <v>53</v>
      </c>
      <c r="G146" s="663" t="s">
        <v>54</v>
      </c>
      <c r="H146" s="663" t="s">
        <v>12</v>
      </c>
      <c r="I146" s="663" t="s">
        <v>78</v>
      </c>
      <c r="J146" s="664" t="s">
        <v>79</v>
      </c>
      <c r="K146" s="665" t="s">
        <v>75</v>
      </c>
      <c r="L146" s="663" t="s">
        <v>76</v>
      </c>
      <c r="M146" s="663" t="s">
        <v>53</v>
      </c>
      <c r="N146" s="663" t="s">
        <v>54</v>
      </c>
      <c r="O146" s="663" t="s">
        <v>12</v>
      </c>
      <c r="P146" s="663" t="s">
        <v>78</v>
      </c>
      <c r="Q146" s="663" t="s">
        <v>79</v>
      </c>
      <c r="R146" s="651"/>
      <c r="S146" s="651"/>
      <c r="T146" s="651"/>
      <c r="U146" s="651"/>
      <c r="V146" s="651"/>
      <c r="W146" s="651"/>
      <c r="X146" s="651"/>
    </row>
    <row r="147" spans="2:24" ht="25.35" customHeight="1" x14ac:dyDescent="0.4">
      <c r="B147" s="1031" t="s">
        <v>81</v>
      </c>
      <c r="C147" s="1031"/>
      <c r="D147" s="806">
        <f t="shared" ref="D147:D158" si="68">J8</f>
        <v>94.002954119999998</v>
      </c>
      <c r="E147" s="806">
        <f t="shared" ref="E147:E158" si="69">K8</f>
        <v>106.71880790933334</v>
      </c>
      <c r="F147" s="806">
        <v>100.91694583333333</v>
      </c>
      <c r="G147" s="806">
        <f t="shared" ref="G147:G158" si="70">L8</f>
        <v>106.71880790933334</v>
      </c>
      <c r="H147" s="806">
        <f t="shared" ref="H147:H158" si="71">G147-F147</f>
        <v>5.8018620760000061</v>
      </c>
      <c r="I147" s="806">
        <f t="shared" ref="I147:I158" si="72">G147-D147</f>
        <v>12.715853789333337</v>
      </c>
      <c r="J147" s="807">
        <f t="shared" ref="J147:J158" si="73">G147-E147</f>
        <v>0</v>
      </c>
      <c r="K147" s="808">
        <f t="shared" ref="K147:K158" si="74">F8+J8</f>
        <v>369.50193629</v>
      </c>
      <c r="L147" s="806">
        <f t="shared" ref="L147:L158" si="75">G8+K8</f>
        <v>420.10652094933334</v>
      </c>
      <c r="M147" s="806">
        <v>429.41119359973328</v>
      </c>
      <c r="N147" s="806">
        <f t="shared" ref="N147:N158" si="76">H8+L8</f>
        <v>443.01455525813344</v>
      </c>
      <c r="O147" s="806">
        <f t="shared" ref="O147:O158" si="77">N147-M147</f>
        <v>13.603361658400161</v>
      </c>
      <c r="P147" s="806">
        <f t="shared" ref="P147:P158" si="78">N147-K147</f>
        <v>73.512618968133438</v>
      </c>
      <c r="Q147" s="809">
        <f t="shared" ref="Q147:Q158" si="79">N147-L147</f>
        <v>22.908034308800097</v>
      </c>
      <c r="R147" s="652"/>
      <c r="S147" s="652"/>
      <c r="T147" s="652"/>
      <c r="U147" s="652"/>
      <c r="V147" s="653"/>
      <c r="W147" s="653"/>
      <c r="X147" s="652"/>
    </row>
    <row r="148" spans="2:24" ht="25.35" customHeight="1" x14ac:dyDescent="0.4">
      <c r="B148" s="1031" t="s">
        <v>82</v>
      </c>
      <c r="C148" s="1031"/>
      <c r="D148" s="806">
        <f t="shared" si="68"/>
        <v>6.0472936099999997</v>
      </c>
      <c r="E148" s="806">
        <f t="shared" si="69"/>
        <v>12.331896333333333</v>
      </c>
      <c r="F148" s="806">
        <v>3.2706278333333332</v>
      </c>
      <c r="G148" s="806">
        <f t="shared" si="70"/>
        <v>12.331896333333333</v>
      </c>
      <c r="H148" s="806">
        <f t="shared" si="71"/>
        <v>9.0612685000000006</v>
      </c>
      <c r="I148" s="806">
        <f t="shared" si="72"/>
        <v>6.2846027233333333</v>
      </c>
      <c r="J148" s="807">
        <f t="shared" si="73"/>
        <v>0</v>
      </c>
      <c r="K148" s="808">
        <f t="shared" si="74"/>
        <v>24.02675292</v>
      </c>
      <c r="L148" s="806">
        <f t="shared" si="75"/>
        <v>37.466349473333338</v>
      </c>
      <c r="M148" s="806">
        <v>28.533520899733332</v>
      </c>
      <c r="N148" s="806">
        <f t="shared" si="76"/>
        <v>39.920715872133336</v>
      </c>
      <c r="O148" s="806">
        <f t="shared" si="77"/>
        <v>11.387194972400003</v>
      </c>
      <c r="P148" s="806">
        <f t="shared" si="78"/>
        <v>15.893962952133336</v>
      </c>
      <c r="Q148" s="806">
        <f t="shared" si="79"/>
        <v>2.4543663987999977</v>
      </c>
      <c r="R148" s="652"/>
      <c r="S148" s="652"/>
      <c r="T148" s="652"/>
      <c r="U148" s="652"/>
      <c r="V148" s="653"/>
      <c r="W148" s="653"/>
      <c r="X148" s="652"/>
    </row>
    <row r="149" spans="2:24" ht="25.35" customHeight="1" x14ac:dyDescent="0.4">
      <c r="B149" s="666"/>
      <c r="C149" s="667" t="s">
        <v>18</v>
      </c>
      <c r="D149" s="810">
        <f t="shared" si="68"/>
        <v>6.0472936099999997</v>
      </c>
      <c r="E149" s="810">
        <f t="shared" si="69"/>
        <v>12.161448</v>
      </c>
      <c r="F149" s="810">
        <v>3.1001794999999999</v>
      </c>
      <c r="G149" s="810">
        <f t="shared" si="70"/>
        <v>12.161448</v>
      </c>
      <c r="H149" s="810">
        <f>G149-F149</f>
        <v>9.0612685000000006</v>
      </c>
      <c r="I149" s="810">
        <f>G149-D149</f>
        <v>6.1141543900000004</v>
      </c>
      <c r="J149" s="813">
        <f>G149-E149</f>
        <v>0</v>
      </c>
      <c r="K149" s="811">
        <f t="shared" si="74"/>
        <v>24.02675292</v>
      </c>
      <c r="L149" s="810">
        <f t="shared" si="75"/>
        <v>36.784556139999999</v>
      </c>
      <c r="M149" s="810">
        <v>27.851727566400005</v>
      </c>
      <c r="N149" s="810">
        <f t="shared" si="76"/>
        <v>39.750267538800003</v>
      </c>
      <c r="O149" s="810">
        <f>N149-M149</f>
        <v>11.898539972399998</v>
      </c>
      <c r="P149" s="810">
        <f>N149-K149</f>
        <v>15.723514618800003</v>
      </c>
      <c r="Q149" s="810">
        <f>N149-L149</f>
        <v>2.9657113988000035</v>
      </c>
      <c r="R149" s="654"/>
      <c r="S149" s="654"/>
      <c r="T149" s="654"/>
      <c r="U149" s="654"/>
      <c r="V149" s="655"/>
      <c r="W149" s="654"/>
      <c r="X149" s="654"/>
    </row>
    <row r="150" spans="2:24" ht="25.35" customHeight="1" x14ac:dyDescent="0.4">
      <c r="B150" s="666"/>
      <c r="C150" s="667" t="s">
        <v>101</v>
      </c>
      <c r="D150" s="810">
        <f t="shared" si="68"/>
        <v>0</v>
      </c>
      <c r="E150" s="810">
        <f t="shared" si="69"/>
        <v>0.17044833333333337</v>
      </c>
      <c r="F150" s="810">
        <v>0.17044833333333337</v>
      </c>
      <c r="G150" s="810">
        <f t="shared" si="70"/>
        <v>0.17044833333333337</v>
      </c>
      <c r="H150" s="810">
        <f t="shared" si="71"/>
        <v>0</v>
      </c>
      <c r="I150" s="810">
        <f t="shared" si="72"/>
        <v>0.17044833333333337</v>
      </c>
      <c r="J150" s="813">
        <f t="shared" si="73"/>
        <v>0</v>
      </c>
      <c r="K150" s="811">
        <f t="shared" si="74"/>
        <v>0</v>
      </c>
      <c r="L150" s="810">
        <f t="shared" si="75"/>
        <v>0.68179333333333347</v>
      </c>
      <c r="M150" s="810">
        <v>0.68179333333333347</v>
      </c>
      <c r="N150" s="810">
        <f t="shared" si="76"/>
        <v>0.17044833333333337</v>
      </c>
      <c r="O150" s="810">
        <f t="shared" si="77"/>
        <v>-0.51134500000000016</v>
      </c>
      <c r="P150" s="810">
        <f t="shared" si="78"/>
        <v>0.17044833333333337</v>
      </c>
      <c r="Q150" s="810">
        <f t="shared" si="79"/>
        <v>-0.51134500000000016</v>
      </c>
      <c r="R150" s="654"/>
      <c r="S150" s="654"/>
      <c r="T150" s="654"/>
      <c r="U150" s="654"/>
      <c r="V150" s="655"/>
      <c r="W150" s="655"/>
      <c r="X150" s="654"/>
    </row>
    <row r="151" spans="2:24" ht="25.35" customHeight="1" x14ac:dyDescent="0.4">
      <c r="B151" s="1031" t="s">
        <v>85</v>
      </c>
      <c r="C151" s="1031"/>
      <c r="D151" s="806">
        <f t="shared" si="68"/>
        <v>87.102623800000003</v>
      </c>
      <c r="E151" s="806">
        <f t="shared" si="69"/>
        <v>83.548161575999998</v>
      </c>
      <c r="F151" s="806">
        <v>71.643068</v>
      </c>
      <c r="G151" s="806">
        <f t="shared" si="70"/>
        <v>83.548161575999998</v>
      </c>
      <c r="H151" s="806">
        <f t="shared" si="71"/>
        <v>11.905093575999999</v>
      </c>
      <c r="I151" s="806">
        <f t="shared" si="72"/>
        <v>-3.5544622240000052</v>
      </c>
      <c r="J151" s="807">
        <f t="shared" si="73"/>
        <v>0</v>
      </c>
      <c r="K151" s="808">
        <f t="shared" si="74"/>
        <v>290.73932819999993</v>
      </c>
      <c r="L151" s="806">
        <f t="shared" si="75"/>
        <v>329.99942147599995</v>
      </c>
      <c r="M151" s="806">
        <v>333.41667139999993</v>
      </c>
      <c r="N151" s="806">
        <f t="shared" si="76"/>
        <v>352.20190697600003</v>
      </c>
      <c r="O151" s="806">
        <f t="shared" si="77"/>
        <v>18.785235576000105</v>
      </c>
      <c r="P151" s="806">
        <f t="shared" si="78"/>
        <v>61.4625787760001</v>
      </c>
      <c r="Q151" s="806">
        <f t="shared" si="79"/>
        <v>22.20248550000008</v>
      </c>
      <c r="R151" s="652"/>
      <c r="S151" s="652"/>
      <c r="T151" s="652"/>
      <c r="U151" s="652"/>
      <c r="V151" s="653"/>
      <c r="W151" s="653"/>
      <c r="X151" s="652"/>
    </row>
    <row r="152" spans="2:24" ht="25.35" customHeight="1" x14ac:dyDescent="0.4">
      <c r="B152" s="666"/>
      <c r="C152" s="667" t="s">
        <v>87</v>
      </c>
      <c r="D152" s="810">
        <f t="shared" si="68"/>
        <v>80.069775000000007</v>
      </c>
      <c r="E152" s="810">
        <f t="shared" si="69"/>
        <v>79.349503576000004</v>
      </c>
      <c r="F152" s="810">
        <v>68.990503000000004</v>
      </c>
      <c r="G152" s="810">
        <f t="shared" si="70"/>
        <v>79.349503576000004</v>
      </c>
      <c r="H152" s="810">
        <f>G152-F152</f>
        <v>10.359000576</v>
      </c>
      <c r="I152" s="810">
        <f>G152-D152</f>
        <v>-0.72027142400000344</v>
      </c>
      <c r="J152" s="813">
        <f>G152-E152</f>
        <v>0</v>
      </c>
      <c r="K152" s="811">
        <f t="shared" si="74"/>
        <v>269.11783300000002</v>
      </c>
      <c r="L152" s="810">
        <f t="shared" si="75"/>
        <v>317.74876207599999</v>
      </c>
      <c r="M152" s="810">
        <v>322.45219300000002</v>
      </c>
      <c r="N152" s="810">
        <f t="shared" si="76"/>
        <v>338.46130057600004</v>
      </c>
      <c r="O152" s="810">
        <f>N152-M152</f>
        <v>16.009107576000019</v>
      </c>
      <c r="P152" s="810">
        <f>N152-K152</f>
        <v>69.343467576000023</v>
      </c>
      <c r="Q152" s="810">
        <f>N152-L152</f>
        <v>20.712538500000051</v>
      </c>
      <c r="R152" s="654"/>
      <c r="S152" s="654"/>
      <c r="T152" s="654"/>
      <c r="U152" s="654"/>
      <c r="V152" s="655"/>
      <c r="W152" s="654"/>
      <c r="X152" s="654"/>
    </row>
    <row r="153" spans="2:24" ht="25.35" customHeight="1" x14ac:dyDescent="0.4">
      <c r="B153" s="666"/>
      <c r="C153" s="667" t="s">
        <v>86</v>
      </c>
      <c r="D153" s="810">
        <f t="shared" si="68"/>
        <v>7.0328488</v>
      </c>
      <c r="E153" s="810">
        <f t="shared" si="69"/>
        <v>4.198658</v>
      </c>
      <c r="F153" s="810">
        <v>2.6525650000000001</v>
      </c>
      <c r="G153" s="810">
        <f t="shared" si="70"/>
        <v>4.198658</v>
      </c>
      <c r="H153" s="810">
        <f t="shared" si="71"/>
        <v>1.5460929999999999</v>
      </c>
      <c r="I153" s="810">
        <f t="shared" si="72"/>
        <v>-2.8341908</v>
      </c>
      <c r="J153" s="813">
        <f t="shared" si="73"/>
        <v>0</v>
      </c>
      <c r="K153" s="811">
        <f t="shared" si="74"/>
        <v>21.621495199999998</v>
      </c>
      <c r="L153" s="810">
        <f t="shared" si="75"/>
        <v>12.2506594</v>
      </c>
      <c r="M153" s="810">
        <v>10.964478400000001</v>
      </c>
      <c r="N153" s="810">
        <f t="shared" si="76"/>
        <v>13.740606400000001</v>
      </c>
      <c r="O153" s="810">
        <f t="shared" si="77"/>
        <v>2.7761279999999999</v>
      </c>
      <c r="P153" s="810">
        <f t="shared" si="78"/>
        <v>-7.8808887999999975</v>
      </c>
      <c r="Q153" s="810">
        <f t="shared" si="79"/>
        <v>1.4899470000000008</v>
      </c>
      <c r="R153" s="654"/>
      <c r="S153" s="654"/>
      <c r="T153" s="654"/>
      <c r="U153" s="654"/>
      <c r="V153" s="655"/>
      <c r="W153" s="655"/>
      <c r="X153" s="654"/>
    </row>
    <row r="154" spans="2:24" ht="25.35" customHeight="1" x14ac:dyDescent="0.4">
      <c r="B154" s="1031" t="s">
        <v>88</v>
      </c>
      <c r="C154" s="1031"/>
      <c r="D154" s="806">
        <f t="shared" si="68"/>
        <v>0.85303671000000003</v>
      </c>
      <c r="E154" s="806">
        <f t="shared" si="69"/>
        <v>10.838749999999999</v>
      </c>
      <c r="F154" s="806">
        <v>26.003250000000001</v>
      </c>
      <c r="G154" s="806">
        <f t="shared" si="70"/>
        <v>10.838749999999999</v>
      </c>
      <c r="H154" s="806">
        <f t="shared" si="71"/>
        <v>-15.164500000000002</v>
      </c>
      <c r="I154" s="806">
        <f t="shared" si="72"/>
        <v>9.9857132899999996</v>
      </c>
      <c r="J154" s="807">
        <f t="shared" si="73"/>
        <v>0</v>
      </c>
      <c r="K154" s="808">
        <f t="shared" si="74"/>
        <v>54.735855170000001</v>
      </c>
      <c r="L154" s="806">
        <f t="shared" si="75"/>
        <v>52.640749999999997</v>
      </c>
      <c r="M154" s="806">
        <v>67.461001300000007</v>
      </c>
      <c r="N154" s="806">
        <f t="shared" si="76"/>
        <v>50.891932410000003</v>
      </c>
      <c r="O154" s="806">
        <f t="shared" si="77"/>
        <v>-16.569068890000004</v>
      </c>
      <c r="P154" s="806">
        <f t="shared" si="78"/>
        <v>-3.8439227599999981</v>
      </c>
      <c r="Q154" s="806">
        <f t="shared" si="79"/>
        <v>-1.7488175899999945</v>
      </c>
      <c r="R154" s="652"/>
      <c r="S154" s="652"/>
      <c r="T154" s="652"/>
      <c r="U154" s="652"/>
      <c r="V154" s="653"/>
      <c r="W154" s="653"/>
      <c r="X154" s="652"/>
    </row>
    <row r="155" spans="2:24" ht="25.35" customHeight="1" x14ac:dyDescent="0.4">
      <c r="B155" s="666"/>
      <c r="C155" s="667" t="s">
        <v>91</v>
      </c>
      <c r="D155" s="810">
        <f t="shared" si="68"/>
        <v>0.44295337000000001</v>
      </c>
      <c r="E155" s="810">
        <f t="shared" si="69"/>
        <v>8.34</v>
      </c>
      <c r="F155" s="810">
        <v>24.597000000000001</v>
      </c>
      <c r="G155" s="810">
        <f t="shared" si="70"/>
        <v>8.34</v>
      </c>
      <c r="H155" s="810">
        <f>G155-F155</f>
        <v>-16.257000000000001</v>
      </c>
      <c r="I155" s="810">
        <f>G155-D155</f>
        <v>7.8970466300000002</v>
      </c>
      <c r="J155" s="813">
        <f>G155-E155</f>
        <v>0</v>
      </c>
      <c r="K155" s="811">
        <f t="shared" si="74"/>
        <v>42.717813479999997</v>
      </c>
      <c r="L155" s="810">
        <f t="shared" si="75"/>
        <v>43.667000000000002</v>
      </c>
      <c r="M155" s="810">
        <v>59.579751299999998</v>
      </c>
      <c r="N155" s="810">
        <f t="shared" si="76"/>
        <v>42.661650719999997</v>
      </c>
      <c r="O155" s="810">
        <f>N155-M155</f>
        <v>-16.918100580000001</v>
      </c>
      <c r="P155" s="810">
        <f>N155-K155</f>
        <v>-5.6162759999999423E-2</v>
      </c>
      <c r="Q155" s="810">
        <f>N155-L155</f>
        <v>-1.0053492800000043</v>
      </c>
      <c r="R155" s="654"/>
      <c r="S155" s="654"/>
      <c r="T155" s="654"/>
      <c r="U155" s="654"/>
      <c r="V155" s="655"/>
      <c r="W155" s="654"/>
      <c r="X155" s="654"/>
    </row>
    <row r="156" spans="2:24" ht="25.35" customHeight="1" x14ac:dyDescent="0.4">
      <c r="B156" s="666"/>
      <c r="C156" s="667" t="s">
        <v>90</v>
      </c>
      <c r="D156" s="810">
        <f t="shared" si="68"/>
        <v>0</v>
      </c>
      <c r="E156" s="810">
        <f t="shared" si="69"/>
        <v>2.0299999999999998</v>
      </c>
      <c r="F156" s="810">
        <v>0</v>
      </c>
      <c r="G156" s="810">
        <f t="shared" si="70"/>
        <v>2.0299999999999998</v>
      </c>
      <c r="H156" s="810">
        <f t="shared" si="71"/>
        <v>2.0299999999999998</v>
      </c>
      <c r="I156" s="810">
        <f t="shared" si="72"/>
        <v>2.0299999999999998</v>
      </c>
      <c r="J156" s="813">
        <f t="shared" si="73"/>
        <v>0</v>
      </c>
      <c r="K156" s="811">
        <f t="shared" si="74"/>
        <v>3.66</v>
      </c>
      <c r="L156" s="810">
        <f t="shared" si="75"/>
        <v>3.8174999999999999</v>
      </c>
      <c r="M156" s="810">
        <v>1.7875000000000001</v>
      </c>
      <c r="N156" s="810">
        <f t="shared" si="76"/>
        <v>2.0299999999999998</v>
      </c>
      <c r="O156" s="810">
        <f t="shared" si="77"/>
        <v>0.24249999999999972</v>
      </c>
      <c r="P156" s="810">
        <f t="shared" si="78"/>
        <v>-1.6300000000000003</v>
      </c>
      <c r="Q156" s="810">
        <f t="shared" si="79"/>
        <v>-1.7875000000000001</v>
      </c>
      <c r="R156" s="654"/>
      <c r="S156" s="654"/>
      <c r="T156" s="654"/>
      <c r="U156" s="654"/>
      <c r="V156" s="655"/>
      <c r="W156" s="655"/>
      <c r="X156" s="654"/>
    </row>
    <row r="157" spans="2:24" ht="25.35" customHeight="1" x14ac:dyDescent="0.4">
      <c r="B157" s="666"/>
      <c r="C157" s="667" t="s">
        <v>92</v>
      </c>
      <c r="D157" s="810">
        <f t="shared" si="68"/>
        <v>0.41008334000000002</v>
      </c>
      <c r="E157" s="810">
        <f t="shared" si="69"/>
        <v>0.46875</v>
      </c>
      <c r="F157" s="810">
        <v>1.40625</v>
      </c>
      <c r="G157" s="810">
        <f t="shared" si="70"/>
        <v>0.46875</v>
      </c>
      <c r="H157" s="810">
        <f t="shared" si="71"/>
        <v>-0.9375</v>
      </c>
      <c r="I157" s="810">
        <f t="shared" si="72"/>
        <v>5.8666659999999982E-2</v>
      </c>
      <c r="J157" s="813">
        <f t="shared" si="73"/>
        <v>0</v>
      </c>
      <c r="K157" s="811">
        <f t="shared" si="74"/>
        <v>5.7100000199999998</v>
      </c>
      <c r="L157" s="810">
        <f t="shared" si="75"/>
        <v>5.15625</v>
      </c>
      <c r="M157" s="810">
        <v>6.09375</v>
      </c>
      <c r="N157" s="810">
        <f t="shared" si="76"/>
        <v>5.4116666799999997</v>
      </c>
      <c r="O157" s="810">
        <f t="shared" si="77"/>
        <v>-0.68208332000000027</v>
      </c>
      <c r="P157" s="810">
        <f t="shared" si="78"/>
        <v>-0.29833334000000011</v>
      </c>
      <c r="Q157" s="810">
        <f t="shared" si="79"/>
        <v>0.25541667999999973</v>
      </c>
      <c r="R157" s="654"/>
      <c r="S157" s="654"/>
      <c r="T157" s="654"/>
      <c r="U157" s="654"/>
      <c r="V157" s="655"/>
      <c r="W157" s="654"/>
      <c r="X157" s="654"/>
    </row>
    <row r="158" spans="2:24" ht="25.35" customHeight="1" x14ac:dyDescent="0.4">
      <c r="B158" s="666"/>
      <c r="C158" s="667" t="s">
        <v>28</v>
      </c>
      <c r="D158" s="810">
        <f t="shared" si="68"/>
        <v>0</v>
      </c>
      <c r="E158" s="810">
        <f t="shared" si="69"/>
        <v>0</v>
      </c>
      <c r="F158" s="810">
        <v>0</v>
      </c>
      <c r="G158" s="810">
        <f t="shared" si="70"/>
        <v>0</v>
      </c>
      <c r="H158" s="810">
        <f t="shared" si="71"/>
        <v>0</v>
      </c>
      <c r="I158" s="810">
        <f t="shared" si="72"/>
        <v>0</v>
      </c>
      <c r="J158" s="813">
        <f t="shared" si="73"/>
        <v>0</v>
      </c>
      <c r="K158" s="811">
        <f t="shared" si="74"/>
        <v>2.64804167</v>
      </c>
      <c r="L158" s="810">
        <f t="shared" si="75"/>
        <v>0</v>
      </c>
      <c r="M158" s="810">
        <v>0</v>
      </c>
      <c r="N158" s="810">
        <f t="shared" si="76"/>
        <v>0.78861501000000001</v>
      </c>
      <c r="O158" s="810">
        <f t="shared" si="77"/>
        <v>0.78861501000000001</v>
      </c>
      <c r="P158" s="810">
        <f t="shared" si="78"/>
        <v>-1.85942666</v>
      </c>
      <c r="Q158" s="810">
        <f t="shared" si="79"/>
        <v>0.78861501000000001</v>
      </c>
      <c r="R158" s="654"/>
      <c r="S158" s="654"/>
      <c r="T158" s="654"/>
      <c r="U158" s="654"/>
      <c r="V158" s="655"/>
      <c r="W158" s="654"/>
      <c r="X158" s="654"/>
    </row>
    <row r="160" spans="2:24" ht="25.35" customHeight="1" x14ac:dyDescent="0.4">
      <c r="B160" s="1033" t="s">
        <v>71</v>
      </c>
      <c r="C160" s="1033"/>
      <c r="D160" s="1033" t="s">
        <v>3</v>
      </c>
      <c r="E160" s="1033"/>
      <c r="F160" s="1033"/>
      <c r="G160" s="1033"/>
      <c r="H160" s="1033"/>
      <c r="I160" s="1033"/>
      <c r="J160" s="1034"/>
      <c r="K160" s="1032" t="s">
        <v>102</v>
      </c>
      <c r="L160" s="1033"/>
      <c r="M160" s="1033"/>
      <c r="N160" s="1033"/>
      <c r="O160" s="1033"/>
      <c r="P160" s="1033"/>
      <c r="Q160" s="1033"/>
      <c r="R160" s="1018"/>
      <c r="S160" s="1018"/>
      <c r="T160" s="1018"/>
      <c r="U160" s="1018"/>
      <c r="V160" s="1018"/>
      <c r="W160" s="1018"/>
      <c r="X160" s="1018"/>
    </row>
    <row r="161" spans="2:24" ht="39" customHeight="1" x14ac:dyDescent="0.4">
      <c r="B161" s="1033"/>
      <c r="C161" s="1033"/>
      <c r="D161" s="663" t="s">
        <v>75</v>
      </c>
      <c r="E161" s="663" t="s">
        <v>76</v>
      </c>
      <c r="F161" s="663" t="s">
        <v>53</v>
      </c>
      <c r="G161" s="663" t="s">
        <v>54</v>
      </c>
      <c r="H161" s="663" t="s">
        <v>12</v>
      </c>
      <c r="I161" s="663" t="s">
        <v>78</v>
      </c>
      <c r="J161" s="664" t="s">
        <v>79</v>
      </c>
      <c r="K161" s="665" t="s">
        <v>75</v>
      </c>
      <c r="L161" s="663" t="s">
        <v>76</v>
      </c>
      <c r="M161" s="663" t="s">
        <v>53</v>
      </c>
      <c r="N161" s="663" t="s">
        <v>54</v>
      </c>
      <c r="O161" s="663" t="s">
        <v>12</v>
      </c>
      <c r="P161" s="663" t="s">
        <v>103</v>
      </c>
      <c r="Q161" s="663" t="s">
        <v>104</v>
      </c>
      <c r="R161" s="651"/>
      <c r="S161" s="651"/>
      <c r="T161" s="651"/>
      <c r="U161" s="651"/>
      <c r="V161" s="651"/>
      <c r="W161" s="651"/>
      <c r="X161" s="651"/>
    </row>
    <row r="162" spans="2:24" ht="25.35" customHeight="1" x14ac:dyDescent="0.4">
      <c r="B162" s="1031" t="s">
        <v>81</v>
      </c>
      <c r="C162" s="1031"/>
      <c r="D162" s="806">
        <f>D163+D166+D169</f>
        <v>107.35319292</v>
      </c>
      <c r="E162" s="806">
        <f>E163+E166+E169</f>
        <v>162.41210223333334</v>
      </c>
      <c r="F162" s="806">
        <v>117.80145870999999</v>
      </c>
      <c r="G162" s="806">
        <f>G163+G166+G169</f>
        <v>162.41210223333334</v>
      </c>
      <c r="H162" s="806">
        <f t="shared" ref="H162:H173" si="80">G162-F162</f>
        <v>44.610643523333351</v>
      </c>
      <c r="I162" s="806">
        <f t="shared" ref="I162:I173" si="81">G162-D162</f>
        <v>55.058909313333345</v>
      </c>
      <c r="J162" s="807">
        <f t="shared" ref="J162:J173" si="82">G162-E162</f>
        <v>0</v>
      </c>
      <c r="K162" s="808">
        <f>K163+K166+K169</f>
        <v>201.35614704</v>
      </c>
      <c r="L162" s="806">
        <f>L163+L166+L169</f>
        <v>269.13091014266666</v>
      </c>
      <c r="M162" s="806">
        <v>221.78255652973334</v>
      </c>
      <c r="N162" s="806">
        <f>N163+N166+N169</f>
        <v>269.13091014266666</v>
      </c>
      <c r="O162" s="806">
        <f t="shared" ref="O162:O173" si="83">N162-M162</f>
        <v>47.348353612933323</v>
      </c>
      <c r="P162" s="806">
        <f t="shared" ref="P162:P173" si="84">N162-K162</f>
        <v>67.774763102666668</v>
      </c>
      <c r="Q162" s="806">
        <f t="shared" ref="Q162:Q173" si="85">N162-L162</f>
        <v>0</v>
      </c>
      <c r="R162" s="652"/>
      <c r="S162" s="652"/>
      <c r="T162" s="652"/>
      <c r="U162" s="652"/>
      <c r="V162" s="653"/>
      <c r="W162" s="653"/>
      <c r="X162" s="652"/>
    </row>
    <row r="163" spans="2:24" ht="25.35" customHeight="1" x14ac:dyDescent="0.4">
      <c r="B163" s="1031" t="s">
        <v>82</v>
      </c>
      <c r="C163" s="1031"/>
      <c r="D163" s="806">
        <f>SUM(D164:D165)</f>
        <v>17.855413209999998</v>
      </c>
      <c r="E163" s="806">
        <f>SUM(E164:E165)</f>
        <v>18.142962333333333</v>
      </c>
      <c r="F163" s="806">
        <v>9.6746168200000007</v>
      </c>
      <c r="G163" s="806">
        <f t="shared" ref="G163:L163" si="86">SUM(G164:G165)</f>
        <v>18.142962333333333</v>
      </c>
      <c r="H163" s="806">
        <f t="shared" si="86"/>
        <v>8.4683455133333325</v>
      </c>
      <c r="I163" s="806">
        <f t="shared" si="86"/>
        <v>0.28754912333333543</v>
      </c>
      <c r="J163" s="807">
        <f t="shared" si="86"/>
        <v>0</v>
      </c>
      <c r="K163" s="808">
        <f t="shared" si="86"/>
        <v>23.902706819999999</v>
      </c>
      <c r="L163" s="806">
        <f t="shared" si="86"/>
        <v>30.474858666666666</v>
      </c>
      <c r="M163" s="806">
        <v>15.567632549733334</v>
      </c>
      <c r="N163" s="806">
        <f>SUM(N164:N165)</f>
        <v>30.474858666666666</v>
      </c>
      <c r="O163" s="806">
        <f>SUM(O164:O165)</f>
        <v>14.907226116933332</v>
      </c>
      <c r="P163" s="806">
        <f>SUM(P164:P165)</f>
        <v>6.5721518466666682</v>
      </c>
      <c r="Q163" s="809">
        <f>SUM(Q164:Q165)</f>
        <v>0</v>
      </c>
      <c r="R163" s="652"/>
      <c r="S163" s="652"/>
      <c r="T163" s="652"/>
      <c r="U163" s="652"/>
      <c r="V163" s="653"/>
      <c r="W163" s="653"/>
      <c r="X163" s="652"/>
    </row>
    <row r="164" spans="2:24" ht="25.35" customHeight="1" x14ac:dyDescent="0.4">
      <c r="B164" s="666"/>
      <c r="C164" s="667" t="s">
        <v>18</v>
      </c>
      <c r="D164" s="810">
        <f>N10</f>
        <v>17.855413209999998</v>
      </c>
      <c r="E164" s="810">
        <f>O10</f>
        <v>17.972514</v>
      </c>
      <c r="F164" s="810">
        <v>9.6746168200000007</v>
      </c>
      <c r="G164" s="810">
        <f>P10</f>
        <v>17.972514</v>
      </c>
      <c r="H164" s="810">
        <f>G164-F164</f>
        <v>8.2978971799999997</v>
      </c>
      <c r="I164" s="806">
        <f>G164-D164</f>
        <v>0.11710079000000206</v>
      </c>
      <c r="J164" s="807">
        <f>G164-E164</f>
        <v>0</v>
      </c>
      <c r="K164" s="811">
        <f>J10+N10</f>
        <v>23.902706819999999</v>
      </c>
      <c r="L164" s="811">
        <f t="shared" ref="L164:L165" si="87">K10+O10</f>
        <v>30.133962</v>
      </c>
      <c r="M164" s="810">
        <v>15.397184216400001</v>
      </c>
      <c r="N164" s="810">
        <f t="shared" ref="N164:N165" si="88">P10+L10</f>
        <v>30.133962</v>
      </c>
      <c r="O164" s="806">
        <f>N164-M164</f>
        <v>14.736777783599999</v>
      </c>
      <c r="P164" s="806">
        <f>N164-K164</f>
        <v>6.2312551800000016</v>
      </c>
      <c r="Q164" s="809">
        <f>N164-L164</f>
        <v>0</v>
      </c>
      <c r="R164" s="654"/>
      <c r="S164" s="654"/>
      <c r="T164" s="654"/>
      <c r="U164" s="654"/>
      <c r="V164" s="655"/>
      <c r="W164" s="654"/>
      <c r="X164" s="654"/>
    </row>
    <row r="165" spans="2:24" ht="25.35" customHeight="1" x14ac:dyDescent="0.4">
      <c r="B165" s="666"/>
      <c r="C165" s="667" t="s">
        <v>101</v>
      </c>
      <c r="D165" s="810">
        <f>N11</f>
        <v>0</v>
      </c>
      <c r="E165" s="810">
        <f>O11</f>
        <v>0.17044833333333337</v>
      </c>
      <c r="F165" s="810">
        <v>0</v>
      </c>
      <c r="G165" s="810">
        <f>P11</f>
        <v>0.17044833333333337</v>
      </c>
      <c r="H165" s="810">
        <f t="shared" si="80"/>
        <v>0.17044833333333337</v>
      </c>
      <c r="I165" s="806">
        <f t="shared" si="81"/>
        <v>0.17044833333333337</v>
      </c>
      <c r="J165" s="807">
        <f t="shared" si="82"/>
        <v>0</v>
      </c>
      <c r="K165" s="811">
        <f>J11+N11</f>
        <v>0</v>
      </c>
      <c r="L165" s="811">
        <f t="shared" si="87"/>
        <v>0.34089666666666674</v>
      </c>
      <c r="M165" s="810">
        <v>0.17044833333333337</v>
      </c>
      <c r="N165" s="810">
        <f t="shared" si="88"/>
        <v>0.34089666666666674</v>
      </c>
      <c r="O165" s="806">
        <f t="shared" si="83"/>
        <v>0.17044833333333337</v>
      </c>
      <c r="P165" s="806">
        <f t="shared" si="84"/>
        <v>0.34089666666666674</v>
      </c>
      <c r="Q165" s="806">
        <f t="shared" si="85"/>
        <v>0</v>
      </c>
      <c r="R165" s="654"/>
      <c r="S165" s="654"/>
      <c r="T165" s="654"/>
      <c r="U165" s="654"/>
      <c r="V165" s="655"/>
      <c r="W165" s="655"/>
      <c r="X165" s="654"/>
    </row>
    <row r="166" spans="2:24" ht="25.35" customHeight="1" x14ac:dyDescent="0.4">
      <c r="B166" s="1031" t="s">
        <v>85</v>
      </c>
      <c r="C166" s="1031"/>
      <c r="D166" s="806">
        <f>SUM(D167:D168)</f>
        <v>61.024992999999995</v>
      </c>
      <c r="E166" s="806">
        <f t="shared" ref="E166:Q166" si="89">SUM(E167:E168)</f>
        <v>106.3728899</v>
      </c>
      <c r="F166" s="806">
        <v>103.0202626</v>
      </c>
      <c r="G166" s="806">
        <f t="shared" si="89"/>
        <v>106.3728899</v>
      </c>
      <c r="H166" s="806">
        <f t="shared" si="89"/>
        <v>3.3526273000000058</v>
      </c>
      <c r="I166" s="806">
        <f t="shared" si="89"/>
        <v>45.347896900000002</v>
      </c>
      <c r="J166" s="807">
        <f t="shared" si="89"/>
        <v>0</v>
      </c>
      <c r="K166" s="808">
        <f t="shared" si="89"/>
        <v>148.1276168</v>
      </c>
      <c r="L166" s="806">
        <f t="shared" si="89"/>
        <v>189.921051476</v>
      </c>
      <c r="M166" s="806">
        <v>175.14715550000003</v>
      </c>
      <c r="N166" s="806">
        <f t="shared" si="89"/>
        <v>189.921051476</v>
      </c>
      <c r="O166" s="806">
        <f t="shared" si="89"/>
        <v>14.773895975999977</v>
      </c>
      <c r="P166" s="806">
        <f t="shared" si="89"/>
        <v>41.793434675999983</v>
      </c>
      <c r="Q166" s="806">
        <f t="shared" si="89"/>
        <v>0</v>
      </c>
      <c r="R166" s="652"/>
      <c r="S166" s="652"/>
      <c r="T166" s="652"/>
      <c r="U166" s="652"/>
      <c r="V166" s="653"/>
      <c r="W166" s="653"/>
      <c r="X166" s="652"/>
    </row>
    <row r="167" spans="2:24" ht="25.35" customHeight="1" x14ac:dyDescent="0.4">
      <c r="B167" s="666"/>
      <c r="C167" s="667" t="s">
        <v>87</v>
      </c>
      <c r="D167" s="810">
        <f>N13</f>
        <v>56.971187999999998</v>
      </c>
      <c r="E167" s="810">
        <f>O13</f>
        <v>101.5809955</v>
      </c>
      <c r="F167" s="810">
        <v>100.22689099999999</v>
      </c>
      <c r="G167" s="810">
        <f>P13</f>
        <v>101.5809955</v>
      </c>
      <c r="H167" s="810">
        <f>G167-F167</f>
        <v>1.3541045000000054</v>
      </c>
      <c r="I167" s="806">
        <f>G167-D167</f>
        <v>44.609807500000002</v>
      </c>
      <c r="J167" s="807">
        <f>G167-E167</f>
        <v>0</v>
      </c>
      <c r="K167" s="811">
        <f t="shared" ref="K167:K168" si="90">J13+N13</f>
        <v>137.040963</v>
      </c>
      <c r="L167" s="811">
        <f t="shared" ref="L167:L168" si="91">K13+O13</f>
        <v>180.93049907599999</v>
      </c>
      <c r="M167" s="810">
        <v>169.56808950000001</v>
      </c>
      <c r="N167" s="810">
        <f>P13+L13</f>
        <v>180.93049907599999</v>
      </c>
      <c r="O167" s="806">
        <f>N167-M167</f>
        <v>11.362409575999976</v>
      </c>
      <c r="P167" s="806">
        <f>N167-K167</f>
        <v>43.889536075999985</v>
      </c>
      <c r="Q167" s="806">
        <f>N167-L167</f>
        <v>0</v>
      </c>
      <c r="R167" s="654"/>
      <c r="S167" s="654"/>
      <c r="T167" s="654"/>
      <c r="U167" s="654"/>
      <c r="V167" s="655"/>
      <c r="W167" s="654"/>
      <c r="X167" s="654"/>
    </row>
    <row r="168" spans="2:24" ht="25.35" customHeight="1" x14ac:dyDescent="0.4">
      <c r="B168" s="666"/>
      <c r="C168" s="667" t="s">
        <v>86</v>
      </c>
      <c r="D168" s="810">
        <f>N14</f>
        <v>4.0538049999999997</v>
      </c>
      <c r="E168" s="810">
        <f>O14</f>
        <v>4.7918944000000003</v>
      </c>
      <c r="F168" s="810">
        <v>2.7933716</v>
      </c>
      <c r="G168" s="810">
        <f>P14</f>
        <v>4.7918944000000003</v>
      </c>
      <c r="H168" s="810">
        <f t="shared" si="80"/>
        <v>1.9985228000000004</v>
      </c>
      <c r="I168" s="806">
        <f t="shared" si="81"/>
        <v>0.73808940000000067</v>
      </c>
      <c r="J168" s="807">
        <f t="shared" si="82"/>
        <v>0</v>
      </c>
      <c r="K168" s="811">
        <f t="shared" si="90"/>
        <v>11.086653800000001</v>
      </c>
      <c r="L168" s="811">
        <f t="shared" si="91"/>
        <v>8.9905524000000003</v>
      </c>
      <c r="M168" s="810">
        <v>5.5790660000000001</v>
      </c>
      <c r="N168" s="810">
        <f t="shared" ref="N168" si="92">P14+L14</f>
        <v>8.9905524000000003</v>
      </c>
      <c r="O168" s="806">
        <f t="shared" si="83"/>
        <v>3.4114864000000003</v>
      </c>
      <c r="P168" s="806">
        <f t="shared" si="84"/>
        <v>-2.0961014000000002</v>
      </c>
      <c r="Q168" s="806">
        <f t="shared" si="85"/>
        <v>0</v>
      </c>
      <c r="R168" s="654"/>
      <c r="S168" s="654"/>
      <c r="T168" s="654"/>
      <c r="U168" s="654"/>
      <c r="V168" s="655"/>
      <c r="W168" s="655"/>
      <c r="X168" s="654"/>
    </row>
    <row r="169" spans="2:24" ht="25.35" customHeight="1" x14ac:dyDescent="0.4">
      <c r="B169" s="1031" t="s">
        <v>88</v>
      </c>
      <c r="C169" s="1031"/>
      <c r="D169" s="806">
        <f>SUM(D170:D173)</f>
        <v>28.472786710000001</v>
      </c>
      <c r="E169" s="806">
        <f>SUM(E170:E173)</f>
        <v>37.896250000000002</v>
      </c>
      <c r="F169" s="806">
        <v>5.10657929</v>
      </c>
      <c r="G169" s="806">
        <f t="shared" ref="G169:L169" si="93">SUM(G170:G173)</f>
        <v>37.896250000000002</v>
      </c>
      <c r="H169" s="806">
        <f t="shared" si="93"/>
        <v>32.789670710000003</v>
      </c>
      <c r="I169" s="806">
        <f t="shared" si="93"/>
        <v>9.4234632900000026</v>
      </c>
      <c r="J169" s="807">
        <f t="shared" si="93"/>
        <v>0</v>
      </c>
      <c r="K169" s="808">
        <f t="shared" si="93"/>
        <v>29.325823419999999</v>
      </c>
      <c r="L169" s="806">
        <f t="shared" si="93"/>
        <v>48.734999999999999</v>
      </c>
      <c r="M169" s="806">
        <v>31.067768479999994</v>
      </c>
      <c r="N169" s="806">
        <f>SUM(N170:N173)</f>
        <v>48.734999999999999</v>
      </c>
      <c r="O169" s="806">
        <f>SUM(O170:O173)</f>
        <v>17.667231520000005</v>
      </c>
      <c r="P169" s="806">
        <f>SUM(P170:P173)</f>
        <v>19.40917658</v>
      </c>
      <c r="Q169" s="806">
        <f>SUM(Q170:Q173)</f>
        <v>0</v>
      </c>
      <c r="R169" s="652"/>
      <c r="S169" s="652"/>
      <c r="T169" s="652"/>
      <c r="U169" s="652"/>
      <c r="V169" s="653"/>
      <c r="W169" s="653"/>
      <c r="X169" s="652"/>
    </row>
    <row r="170" spans="2:24" ht="25.35" customHeight="1" x14ac:dyDescent="0.4">
      <c r="B170" s="666"/>
      <c r="C170" s="667" t="s">
        <v>91</v>
      </c>
      <c r="D170" s="810">
        <f t="shared" ref="D170:E173" si="94">N16</f>
        <v>25.76695337</v>
      </c>
      <c r="E170" s="810">
        <f t="shared" si="94"/>
        <v>36.177500000000002</v>
      </c>
      <c r="F170" s="810">
        <v>4.6912413800000001</v>
      </c>
      <c r="G170" s="810">
        <f>P16</f>
        <v>36.177500000000002</v>
      </c>
      <c r="H170" s="810">
        <f>G170-F170</f>
        <v>31.486258620000001</v>
      </c>
      <c r="I170" s="806">
        <f>G170-D170</f>
        <v>10.410546630000002</v>
      </c>
      <c r="J170" s="807">
        <f>G170-E170</f>
        <v>0</v>
      </c>
      <c r="K170" s="811">
        <f t="shared" ref="K170:K173" si="95">J16+N16</f>
        <v>26.209906740000001</v>
      </c>
      <c r="L170" s="811">
        <f t="shared" ref="L170:L173" si="96">K16+O16</f>
        <v>44.517499999999998</v>
      </c>
      <c r="M170" s="810">
        <v>27.988658039999997</v>
      </c>
      <c r="N170" s="810">
        <f t="shared" ref="N170:N173" si="97">P16+L16</f>
        <v>44.517499999999998</v>
      </c>
      <c r="O170" s="806">
        <f>N170-M170</f>
        <v>16.528841960000001</v>
      </c>
      <c r="P170" s="806">
        <f>N170-K170</f>
        <v>18.307593259999997</v>
      </c>
      <c r="Q170" s="806">
        <f>N170-L170</f>
        <v>0</v>
      </c>
      <c r="R170" s="654"/>
      <c r="S170" s="654"/>
      <c r="T170" s="654"/>
      <c r="U170" s="654"/>
      <c r="V170" s="655"/>
      <c r="W170" s="654"/>
      <c r="X170" s="654"/>
    </row>
    <row r="171" spans="2:24" ht="25.35" customHeight="1" x14ac:dyDescent="0.4">
      <c r="B171" s="666"/>
      <c r="C171" s="667" t="s">
        <v>90</v>
      </c>
      <c r="D171" s="810">
        <f t="shared" si="94"/>
        <v>0</v>
      </c>
      <c r="E171" s="810">
        <f t="shared" si="94"/>
        <v>1.71875</v>
      </c>
      <c r="F171" s="810">
        <v>0</v>
      </c>
      <c r="G171" s="810">
        <f>P17</f>
        <v>1.71875</v>
      </c>
      <c r="H171" s="810">
        <f t="shared" si="80"/>
        <v>1.71875</v>
      </c>
      <c r="I171" s="806">
        <f t="shared" si="81"/>
        <v>1.71875</v>
      </c>
      <c r="J171" s="807">
        <f t="shared" si="82"/>
        <v>0</v>
      </c>
      <c r="K171" s="811">
        <f t="shared" si="95"/>
        <v>0</v>
      </c>
      <c r="L171" s="811">
        <f t="shared" si="96"/>
        <v>3.7487499999999998</v>
      </c>
      <c r="M171" s="810">
        <v>0.46875</v>
      </c>
      <c r="N171" s="810">
        <f t="shared" si="97"/>
        <v>3.7487499999999998</v>
      </c>
      <c r="O171" s="806">
        <f t="shared" si="83"/>
        <v>3.28</v>
      </c>
      <c r="P171" s="806">
        <f t="shared" si="84"/>
        <v>3.7487499999999998</v>
      </c>
      <c r="Q171" s="806">
        <f t="shared" si="85"/>
        <v>0</v>
      </c>
      <c r="R171" s="654"/>
      <c r="S171" s="654"/>
      <c r="T171" s="654"/>
      <c r="U171" s="654"/>
      <c r="V171" s="655"/>
      <c r="W171" s="655"/>
      <c r="X171" s="654"/>
    </row>
    <row r="172" spans="2:24" ht="25.35" customHeight="1" x14ac:dyDescent="0.4">
      <c r="B172" s="666"/>
      <c r="C172" s="667" t="s">
        <v>92</v>
      </c>
      <c r="D172" s="810">
        <f t="shared" si="94"/>
        <v>2.7058333399999999</v>
      </c>
      <c r="E172" s="810">
        <f t="shared" si="94"/>
        <v>0</v>
      </c>
      <c r="F172" s="810">
        <v>0</v>
      </c>
      <c r="G172" s="810">
        <f>P18</f>
        <v>0</v>
      </c>
      <c r="H172" s="810">
        <f t="shared" si="80"/>
        <v>0</v>
      </c>
      <c r="I172" s="806">
        <f t="shared" si="81"/>
        <v>-2.7058333399999999</v>
      </c>
      <c r="J172" s="807">
        <f t="shared" si="82"/>
        <v>0</v>
      </c>
      <c r="K172" s="811">
        <f t="shared" si="95"/>
        <v>3.1159166799999998</v>
      </c>
      <c r="L172" s="811">
        <f t="shared" si="96"/>
        <v>0.46875</v>
      </c>
      <c r="M172" s="810">
        <v>2.2370833399999999</v>
      </c>
      <c r="N172" s="810">
        <f t="shared" si="97"/>
        <v>0.46875</v>
      </c>
      <c r="O172" s="806">
        <f t="shared" si="83"/>
        <v>-1.7683333399999999</v>
      </c>
      <c r="P172" s="806">
        <f t="shared" si="84"/>
        <v>-2.6471666799999998</v>
      </c>
      <c r="Q172" s="806">
        <f t="shared" si="85"/>
        <v>0</v>
      </c>
      <c r="R172" s="654"/>
      <c r="S172" s="654"/>
      <c r="T172" s="654"/>
      <c r="U172" s="654"/>
      <c r="V172" s="655"/>
      <c r="W172" s="654"/>
      <c r="X172" s="654"/>
    </row>
    <row r="173" spans="2:24" ht="25.35" customHeight="1" x14ac:dyDescent="0.4">
      <c r="B173" s="666"/>
      <c r="C173" s="667" t="s">
        <v>28</v>
      </c>
      <c r="D173" s="810">
        <f t="shared" si="94"/>
        <v>0</v>
      </c>
      <c r="E173" s="810">
        <f t="shared" si="94"/>
        <v>0</v>
      </c>
      <c r="F173" s="810">
        <v>0.41533790999999998</v>
      </c>
      <c r="G173" s="810">
        <f>P19</f>
        <v>0</v>
      </c>
      <c r="H173" s="810">
        <f t="shared" si="80"/>
        <v>-0.41533790999999998</v>
      </c>
      <c r="I173" s="806">
        <f t="shared" si="81"/>
        <v>0</v>
      </c>
      <c r="J173" s="807">
        <f t="shared" si="82"/>
        <v>0</v>
      </c>
      <c r="K173" s="811">
        <f t="shared" si="95"/>
        <v>0</v>
      </c>
      <c r="L173" s="811">
        <f t="shared" si="96"/>
        <v>0</v>
      </c>
      <c r="M173" s="810">
        <v>0.37327709999999997</v>
      </c>
      <c r="N173" s="810">
        <f t="shared" si="97"/>
        <v>0</v>
      </c>
      <c r="O173" s="806">
        <f t="shared" si="83"/>
        <v>-0.37327709999999997</v>
      </c>
      <c r="P173" s="806">
        <f t="shared" si="84"/>
        <v>0</v>
      </c>
      <c r="Q173" s="806">
        <f t="shared" si="85"/>
        <v>0</v>
      </c>
      <c r="R173" s="654"/>
      <c r="S173" s="654"/>
      <c r="T173" s="654"/>
      <c r="U173" s="654"/>
      <c r="V173" s="655"/>
      <c r="W173" s="654"/>
      <c r="X173" s="654"/>
    </row>
    <row r="175" spans="2:24" ht="25.35" customHeight="1" x14ac:dyDescent="0.4">
      <c r="B175" s="1033" t="s">
        <v>71</v>
      </c>
      <c r="C175" s="1033"/>
      <c r="D175" s="1033" t="s">
        <v>4</v>
      </c>
      <c r="E175" s="1033"/>
      <c r="F175" s="1033"/>
      <c r="G175" s="1033"/>
      <c r="H175" s="1033"/>
      <c r="I175" s="1033"/>
      <c r="J175" s="1034"/>
      <c r="K175" s="1032" t="s">
        <v>105</v>
      </c>
      <c r="L175" s="1033"/>
      <c r="M175" s="1033"/>
      <c r="N175" s="1033"/>
      <c r="O175" s="1033"/>
      <c r="P175" s="1033"/>
      <c r="Q175" s="1033"/>
      <c r="R175" s="668"/>
      <c r="U175" s="668"/>
      <c r="V175" s="668"/>
      <c r="W175" s="668"/>
      <c r="X175" s="668"/>
    </row>
    <row r="176" spans="2:24" ht="39" customHeight="1" x14ac:dyDescent="0.4">
      <c r="B176" s="1033"/>
      <c r="C176" s="1033"/>
      <c r="D176" s="663" t="s">
        <v>75</v>
      </c>
      <c r="E176" s="663" t="s">
        <v>76</v>
      </c>
      <c r="F176" s="663" t="s">
        <v>53</v>
      </c>
      <c r="G176" s="663" t="s">
        <v>54</v>
      </c>
      <c r="H176" s="663" t="s">
        <v>12</v>
      </c>
      <c r="I176" s="663" t="s">
        <v>103</v>
      </c>
      <c r="J176" s="664" t="s">
        <v>104</v>
      </c>
      <c r="K176" s="665" t="s">
        <v>75</v>
      </c>
      <c r="L176" s="663" t="s">
        <v>76</v>
      </c>
      <c r="M176" s="663" t="s">
        <v>53</v>
      </c>
      <c r="N176" s="663" t="s">
        <v>54</v>
      </c>
      <c r="O176" s="663" t="s">
        <v>12</v>
      </c>
      <c r="P176" s="663" t="s">
        <v>103</v>
      </c>
      <c r="Q176" s="663" t="s">
        <v>104</v>
      </c>
      <c r="S176" s="669"/>
      <c r="T176" s="670"/>
      <c r="U176" s="652"/>
      <c r="V176" s="651"/>
      <c r="W176" s="651"/>
      <c r="X176" s="651"/>
    </row>
    <row r="177" spans="2:24" ht="25.35" customHeight="1" x14ac:dyDescent="0.4">
      <c r="B177" s="1031" t="s">
        <v>81</v>
      </c>
      <c r="C177" s="1031"/>
      <c r="D177" s="806">
        <f>D178+D181+D184</f>
        <v>122.55738612</v>
      </c>
      <c r="E177" s="806">
        <f>E178+E181+E184</f>
        <v>113.39077837733333</v>
      </c>
      <c r="F177" s="806">
        <v>116.93364260213333</v>
      </c>
      <c r="G177" s="806">
        <f>G178+G181+G184</f>
        <v>113.39077837733333</v>
      </c>
      <c r="H177" s="809">
        <f t="shared" ref="H177:H188" si="98">G177-F177</f>
        <v>-3.5428642247999989</v>
      </c>
      <c r="I177" s="806">
        <f t="shared" ref="I177:I188" si="99">G177-D177</f>
        <v>-9.1666077426666703</v>
      </c>
      <c r="J177" s="812">
        <f t="shared" ref="J177:J188" si="100">G177-E177</f>
        <v>0</v>
      </c>
      <c r="K177" s="808">
        <f>K178+K181+K184</f>
        <v>524.13479511000003</v>
      </c>
      <c r="L177" s="806">
        <f>L178+L181+L184</f>
        <v>671.8266217800001</v>
      </c>
      <c r="M177" s="806">
        <v>102.94520229333334</v>
      </c>
      <c r="N177" s="806">
        <f>N178+N181+N184</f>
        <v>718.81743586879998</v>
      </c>
      <c r="O177" s="806">
        <f>N177-M177</f>
        <v>615.87223357546668</v>
      </c>
      <c r="P177" s="806">
        <f>N177-K177</f>
        <v>194.68264075879995</v>
      </c>
      <c r="Q177" s="806">
        <f>N177-L177</f>
        <v>46.99081408879988</v>
      </c>
      <c r="R177" s="652"/>
      <c r="S177" s="669"/>
      <c r="T177" s="670"/>
      <c r="U177" s="652"/>
      <c r="V177" s="653"/>
      <c r="W177" s="653"/>
      <c r="X177" s="652"/>
    </row>
    <row r="178" spans="2:24" ht="25.35" customHeight="1" x14ac:dyDescent="0.4">
      <c r="B178" s="1031" t="s">
        <v>82</v>
      </c>
      <c r="C178" s="1031"/>
      <c r="D178" s="806">
        <f>SUM(D179:D180)</f>
        <v>11.95727441</v>
      </c>
      <c r="E178" s="806">
        <f t="shared" ref="E178:Q178" si="101">SUM(E179:E180)</f>
        <v>3.2545818333333334</v>
      </c>
      <c r="F178" s="806">
        <v>14.899527402133334</v>
      </c>
      <c r="G178" s="806">
        <f t="shared" si="101"/>
        <v>3.2545818333333334</v>
      </c>
      <c r="H178" s="806">
        <f t="shared" si="101"/>
        <v>-11.644945568800001</v>
      </c>
      <c r="I178" s="806">
        <f t="shared" si="101"/>
        <v>-8.7026925766666672</v>
      </c>
      <c r="J178" s="806">
        <f t="shared" si="101"/>
        <v>0</v>
      </c>
      <c r="K178" s="806">
        <f t="shared" si="101"/>
        <v>53.839440539999998</v>
      </c>
      <c r="L178" s="806">
        <f t="shared" si="101"/>
        <v>58.863893639999993</v>
      </c>
      <c r="M178" s="806">
        <f t="shared" si="101"/>
        <v>50.354777766133338</v>
      </c>
      <c r="N178" s="806">
        <f t="shared" si="101"/>
        <v>61.318260038800005</v>
      </c>
      <c r="O178" s="806">
        <f t="shared" si="101"/>
        <v>10.963482272666667</v>
      </c>
      <c r="P178" s="806">
        <f t="shared" si="101"/>
        <v>7.478819498800009</v>
      </c>
      <c r="Q178" s="806">
        <f t="shared" si="101"/>
        <v>2.4543663988000106</v>
      </c>
      <c r="R178" s="652"/>
      <c r="S178" s="669"/>
      <c r="T178" s="670"/>
      <c r="U178" s="652"/>
      <c r="V178" s="653"/>
      <c r="W178" s="653"/>
      <c r="X178" s="652"/>
    </row>
    <row r="179" spans="2:24" ht="25.35" customHeight="1" x14ac:dyDescent="0.4">
      <c r="B179" s="666"/>
      <c r="C179" s="667" t="s">
        <v>18</v>
      </c>
      <c r="D179" s="810">
        <f>R10</f>
        <v>11.95727441</v>
      </c>
      <c r="E179" s="810">
        <f>S10</f>
        <v>3.0841335000000001</v>
      </c>
      <c r="F179" s="810">
        <v>14.729079068800001</v>
      </c>
      <c r="G179" s="810">
        <f>T10</f>
        <v>3.0841335000000001</v>
      </c>
      <c r="H179" s="810">
        <f>G179-F179</f>
        <v>-11.644945568800001</v>
      </c>
      <c r="I179" s="810">
        <f>G179-D179</f>
        <v>-8.87314091</v>
      </c>
      <c r="J179" s="813">
        <f>G179-E179</f>
        <v>0</v>
      </c>
      <c r="K179" s="811">
        <f>J10+N10+F10+R10</f>
        <v>53.839440539999998</v>
      </c>
      <c r="L179" s="810">
        <f>K10+O10+G10+S10</f>
        <v>57.841203639999996</v>
      </c>
      <c r="M179" s="810">
        <v>49.672984432800007</v>
      </c>
      <c r="N179" s="810">
        <f>L10+P10+H10+T10</f>
        <v>60.806915038800007</v>
      </c>
      <c r="O179" s="810">
        <f>N179-M179</f>
        <v>11.133930606</v>
      </c>
      <c r="P179" s="810">
        <f>N179-K179</f>
        <v>6.9674744988000086</v>
      </c>
      <c r="Q179" s="810">
        <f>N179-L179</f>
        <v>2.9657113988000106</v>
      </c>
      <c r="R179" s="654"/>
      <c r="S179" s="669"/>
      <c r="T179" s="670"/>
      <c r="U179" s="654"/>
      <c r="V179" s="655"/>
      <c r="W179" s="654"/>
      <c r="X179" s="654"/>
    </row>
    <row r="180" spans="2:24" ht="25.35" customHeight="1" x14ac:dyDescent="0.4">
      <c r="B180" s="666"/>
      <c r="C180" s="667" t="s">
        <v>101</v>
      </c>
      <c r="D180" s="810">
        <f>R11</f>
        <v>0</v>
      </c>
      <c r="E180" s="810">
        <f>S11</f>
        <v>0.17044833333333337</v>
      </c>
      <c r="F180" s="810">
        <v>0.17044833333333337</v>
      </c>
      <c r="G180" s="810">
        <f>T11</f>
        <v>0.17044833333333337</v>
      </c>
      <c r="H180" s="810">
        <f t="shared" si="98"/>
        <v>0</v>
      </c>
      <c r="I180" s="810">
        <f t="shared" si="99"/>
        <v>0.17044833333333337</v>
      </c>
      <c r="J180" s="813">
        <f t="shared" si="100"/>
        <v>0</v>
      </c>
      <c r="K180" s="811">
        <f>J11+N11+F11+R11</f>
        <v>0</v>
      </c>
      <c r="L180" s="810">
        <f>K11+O11+G11+S11</f>
        <v>1.0226900000000001</v>
      </c>
      <c r="M180" s="810">
        <v>0.68179333333333347</v>
      </c>
      <c r="N180" s="810">
        <f>L11+P11+H11+T11</f>
        <v>0.51134500000000016</v>
      </c>
      <c r="O180" s="810">
        <f t="shared" ref="O180:O188" si="102">N180-M180</f>
        <v>-0.17044833333333331</v>
      </c>
      <c r="P180" s="810">
        <f t="shared" ref="P180:P188" si="103">N180-K180</f>
        <v>0.51134500000000016</v>
      </c>
      <c r="Q180" s="810">
        <f t="shared" ref="Q180:Q188" si="104">N180-L180</f>
        <v>-0.51134499999999994</v>
      </c>
      <c r="R180" s="654"/>
      <c r="S180" s="669"/>
      <c r="T180" s="670"/>
      <c r="U180" s="654"/>
      <c r="V180" s="655"/>
      <c r="W180" s="655"/>
      <c r="X180" s="654"/>
    </row>
    <row r="181" spans="2:24" ht="25.35" customHeight="1" x14ac:dyDescent="0.4">
      <c r="B181" s="1031" t="s">
        <v>85</v>
      </c>
      <c r="C181" s="1031"/>
      <c r="D181" s="806">
        <f>SUM(D182:D183)</f>
        <v>100.38185900000001</v>
      </c>
      <c r="E181" s="806">
        <f t="shared" ref="E181:Q181" si="105">SUM(E182:E183)</f>
        <v>88.882696543999998</v>
      </c>
      <c r="F181" s="806">
        <v>93.466865200000001</v>
      </c>
      <c r="G181" s="806">
        <f t="shared" si="105"/>
        <v>88.882696543999998</v>
      </c>
      <c r="H181" s="806">
        <f t="shared" si="105"/>
        <v>-4.5841686559999957</v>
      </c>
      <c r="I181" s="806">
        <f t="shared" si="105"/>
        <v>-11.499162456000001</v>
      </c>
      <c r="J181" s="806">
        <f t="shared" si="105"/>
        <v>0</v>
      </c>
      <c r="K181" s="806">
        <f t="shared" si="105"/>
        <v>452.1461802</v>
      </c>
      <c r="L181" s="806">
        <f t="shared" si="105"/>
        <v>525.25500792000003</v>
      </c>
      <c r="M181" s="806">
        <f t="shared" si="105"/>
        <v>490.63931522000001</v>
      </c>
      <c r="N181" s="806">
        <f t="shared" si="105"/>
        <v>547.45749341999999</v>
      </c>
      <c r="O181" s="806">
        <f t="shared" si="105"/>
        <v>56.818178199999977</v>
      </c>
      <c r="P181" s="806">
        <f t="shared" si="105"/>
        <v>95.311313219999988</v>
      </c>
      <c r="Q181" s="806">
        <f t="shared" si="105"/>
        <v>22.202485499999938</v>
      </c>
      <c r="R181" s="652"/>
      <c r="S181" s="669"/>
      <c r="T181" s="670"/>
      <c r="U181" s="652"/>
      <c r="V181" s="653"/>
      <c r="W181" s="653"/>
      <c r="X181" s="652"/>
    </row>
    <row r="182" spans="2:24" ht="25.35" customHeight="1" x14ac:dyDescent="0.4">
      <c r="B182" s="666"/>
      <c r="C182" s="667" t="s">
        <v>87</v>
      </c>
      <c r="D182" s="810">
        <f>R13</f>
        <v>95.072609</v>
      </c>
      <c r="E182" s="810">
        <f>S13</f>
        <v>85.662552943999998</v>
      </c>
      <c r="F182" s="810">
        <v>89.291625999999994</v>
      </c>
      <c r="G182" s="810">
        <f>T13</f>
        <v>85.662552943999998</v>
      </c>
      <c r="H182" s="810">
        <f>G182-F182</f>
        <v>-3.6290730559999957</v>
      </c>
      <c r="I182" s="810">
        <f>G182-D182</f>
        <v>-9.4100560560000019</v>
      </c>
      <c r="J182" s="813">
        <f>G182-E182</f>
        <v>0</v>
      </c>
      <c r="K182" s="811">
        <f>J13+N13+F13+R13</f>
        <v>421.16163</v>
      </c>
      <c r="L182" s="810">
        <f>K13+O13+G13+S13</f>
        <v>504.99231052000005</v>
      </c>
      <c r="M182" s="810">
        <v>474.17394322000001</v>
      </c>
      <c r="N182" s="810">
        <f>L13+P13+H13+T13</f>
        <v>525.70484901999998</v>
      </c>
      <c r="O182" s="810">
        <f>N182-M182</f>
        <v>51.530905799999971</v>
      </c>
      <c r="P182" s="810">
        <f>N182-K182</f>
        <v>104.54321901999998</v>
      </c>
      <c r="Q182" s="810">
        <f>N182-L182</f>
        <v>20.712538499999937</v>
      </c>
      <c r="R182" s="654"/>
      <c r="S182" s="669"/>
      <c r="T182" s="670"/>
      <c r="U182" s="654"/>
      <c r="V182" s="655"/>
      <c r="W182" s="654"/>
      <c r="X182" s="654"/>
    </row>
    <row r="183" spans="2:24" ht="25.35" customHeight="1" x14ac:dyDescent="0.4">
      <c r="B183" s="666"/>
      <c r="C183" s="667" t="s">
        <v>86</v>
      </c>
      <c r="D183" s="810">
        <f>R14</f>
        <v>5.3092499999999996</v>
      </c>
      <c r="E183" s="810">
        <f>S14</f>
        <v>3.2201436000000001</v>
      </c>
      <c r="F183" s="810">
        <v>4.1752392</v>
      </c>
      <c r="G183" s="810">
        <f>T14</f>
        <v>3.2201436000000001</v>
      </c>
      <c r="H183" s="810">
        <f t="shared" si="98"/>
        <v>-0.95509559999999993</v>
      </c>
      <c r="I183" s="810">
        <f t="shared" si="99"/>
        <v>-2.0891063999999995</v>
      </c>
      <c r="J183" s="813">
        <f t="shared" si="100"/>
        <v>0</v>
      </c>
      <c r="K183" s="811">
        <f>J14+N14+F14+R14</f>
        <v>30.984550200000001</v>
      </c>
      <c r="L183" s="810">
        <f>K14+O14+G14+S14</f>
        <v>20.2626974</v>
      </c>
      <c r="M183" s="810">
        <v>16.465371999999999</v>
      </c>
      <c r="N183" s="810">
        <f>L14+P14+H14+T14</f>
        <v>21.752644400000001</v>
      </c>
      <c r="O183" s="810">
        <f t="shared" si="102"/>
        <v>5.2872724000000026</v>
      </c>
      <c r="P183" s="810">
        <f t="shared" si="103"/>
        <v>-9.2319057999999998</v>
      </c>
      <c r="Q183" s="810">
        <f t="shared" si="104"/>
        <v>1.4899470000000008</v>
      </c>
      <c r="R183" s="654"/>
      <c r="S183" s="669"/>
      <c r="T183" s="670"/>
      <c r="U183" s="654"/>
      <c r="V183" s="655"/>
      <c r="W183" s="655"/>
      <c r="X183" s="654"/>
    </row>
    <row r="184" spans="2:24" ht="25.35" customHeight="1" x14ac:dyDescent="0.4">
      <c r="B184" s="1031" t="s">
        <v>88</v>
      </c>
      <c r="C184" s="1031"/>
      <c r="D184" s="806">
        <f>SUM(D185:D188)</f>
        <v>10.21825271</v>
      </c>
      <c r="E184" s="806">
        <f t="shared" ref="E184:Q184" si="106">SUM(E185:E188)</f>
        <v>21.253499999999999</v>
      </c>
      <c r="F184" s="806">
        <v>8.5672499999999996</v>
      </c>
      <c r="G184" s="806">
        <f t="shared" si="106"/>
        <v>21.253499999999999</v>
      </c>
      <c r="H184" s="806">
        <f t="shared" si="106"/>
        <v>12.686249999999998</v>
      </c>
      <c r="I184" s="806">
        <f t="shared" si="106"/>
        <v>11.035247289999999</v>
      </c>
      <c r="J184" s="806">
        <f t="shared" si="106"/>
        <v>0</v>
      </c>
      <c r="K184" s="806">
        <f t="shared" si="106"/>
        <v>18.149174370000001</v>
      </c>
      <c r="L184" s="806">
        <f t="shared" si="106"/>
        <v>87.707720219999999</v>
      </c>
      <c r="M184" s="806">
        <f t="shared" si="106"/>
        <v>113.78122088000001</v>
      </c>
      <c r="N184" s="806">
        <f t="shared" si="106"/>
        <v>110.04168241000001</v>
      </c>
      <c r="O184" s="806">
        <f t="shared" si="106"/>
        <v>-3.7395384699999972</v>
      </c>
      <c r="P184" s="806">
        <f t="shared" si="106"/>
        <v>-6.4626426800000001</v>
      </c>
      <c r="Q184" s="806">
        <f t="shared" si="106"/>
        <v>-0.74346830999999991</v>
      </c>
      <c r="R184" s="652"/>
      <c r="S184" s="669"/>
      <c r="T184" s="670"/>
      <c r="U184" s="652"/>
      <c r="W184" s="653"/>
      <c r="X184" s="652"/>
    </row>
    <row r="185" spans="2:24" ht="25.35" customHeight="1" x14ac:dyDescent="0.4">
      <c r="B185" s="666"/>
      <c r="C185" s="667" t="s">
        <v>91</v>
      </c>
      <c r="D185" s="810">
        <f>R16</f>
        <v>6.7929533700000002</v>
      </c>
      <c r="E185" s="810">
        <f t="shared" ref="E185:Q185" si="107">S16</f>
        <v>19.515999999999998</v>
      </c>
      <c r="F185" s="810">
        <v>4.4359999999999999</v>
      </c>
      <c r="G185" s="810">
        <f>T16</f>
        <v>19.515999999999998</v>
      </c>
      <c r="H185" s="810">
        <f t="shared" si="98"/>
        <v>15.079999999999998</v>
      </c>
      <c r="I185" s="810">
        <f t="shared" si="99"/>
        <v>12.723046629999999</v>
      </c>
      <c r="J185" s="813">
        <f t="shared" si="100"/>
        <v>0</v>
      </c>
      <c r="K185" s="810">
        <f t="shared" si="107"/>
        <v>0</v>
      </c>
      <c r="L185" s="810">
        <f t="shared" si="107"/>
        <v>75.277720219999992</v>
      </c>
      <c r="M185" s="810">
        <f t="shared" si="107"/>
        <v>99.360500000000002</v>
      </c>
      <c r="N185" s="810">
        <f t="shared" si="107"/>
        <v>98.355150720000012</v>
      </c>
      <c r="O185" s="810">
        <f t="shared" si="107"/>
        <v>-1.0053492799999972</v>
      </c>
      <c r="P185" s="810">
        <f t="shared" si="107"/>
        <v>0</v>
      </c>
      <c r="Q185" s="810">
        <f t="shared" si="107"/>
        <v>0</v>
      </c>
      <c r="R185" s="654"/>
      <c r="S185" s="669"/>
      <c r="T185" s="670"/>
      <c r="U185" s="654"/>
      <c r="V185" s="655"/>
      <c r="W185" s="654"/>
      <c r="X185" s="654"/>
    </row>
    <row r="186" spans="2:24" ht="25.35" customHeight="1" x14ac:dyDescent="0.4">
      <c r="B186" s="666"/>
      <c r="C186" s="667" t="s">
        <v>90</v>
      </c>
      <c r="D186" s="810">
        <f>R17</f>
        <v>2.09</v>
      </c>
      <c r="E186" s="810">
        <f>S17</f>
        <v>1.7375</v>
      </c>
      <c r="F186" s="810">
        <v>1.3187500000000001</v>
      </c>
      <c r="G186" s="810">
        <f>T17</f>
        <v>1.7375</v>
      </c>
      <c r="H186" s="810">
        <f t="shared" si="98"/>
        <v>0.41874999999999996</v>
      </c>
      <c r="I186" s="810">
        <f t="shared" si="99"/>
        <v>-0.35249999999999981</v>
      </c>
      <c r="J186" s="813">
        <f t="shared" si="100"/>
        <v>0</v>
      </c>
      <c r="K186" s="811">
        <f t="shared" ref="K186:L188" si="108">J17+N17+F17+R17</f>
        <v>5.75</v>
      </c>
      <c r="L186" s="810">
        <f t="shared" si="108"/>
        <v>7.2737499999999997</v>
      </c>
      <c r="M186" s="810">
        <v>3.5750000000000002</v>
      </c>
      <c r="N186" s="810">
        <f>L17+P17+H17+T17</f>
        <v>5.4862500000000001</v>
      </c>
      <c r="O186" s="810">
        <f t="shared" si="102"/>
        <v>1.9112499999999999</v>
      </c>
      <c r="P186" s="810">
        <f t="shared" si="103"/>
        <v>-0.26374999999999993</v>
      </c>
      <c r="Q186" s="810">
        <f t="shared" si="104"/>
        <v>-1.7874999999999996</v>
      </c>
      <c r="R186" s="654"/>
      <c r="S186" s="669"/>
      <c r="T186" s="670"/>
      <c r="U186" s="654"/>
      <c r="V186" s="655"/>
      <c r="W186" s="655"/>
      <c r="X186" s="654"/>
    </row>
    <row r="187" spans="2:24" ht="25.35" customHeight="1" x14ac:dyDescent="0.4">
      <c r="B187" s="666"/>
      <c r="C187" s="667" t="s">
        <v>92</v>
      </c>
      <c r="D187" s="810">
        <f>R18</f>
        <v>0.36208333999999998</v>
      </c>
      <c r="E187" s="810">
        <f>S18</f>
        <v>0</v>
      </c>
      <c r="F187" s="810">
        <v>2.8125</v>
      </c>
      <c r="G187" s="810">
        <f>T18</f>
        <v>0</v>
      </c>
      <c r="H187" s="810">
        <f t="shared" si="98"/>
        <v>-2.8125</v>
      </c>
      <c r="I187" s="810">
        <f t="shared" si="99"/>
        <v>-0.36208333999999998</v>
      </c>
      <c r="J187" s="813">
        <f t="shared" si="100"/>
        <v>0</v>
      </c>
      <c r="K187" s="811">
        <f t="shared" si="108"/>
        <v>8.7779167000000005</v>
      </c>
      <c r="L187" s="810">
        <f t="shared" si="108"/>
        <v>5.15625</v>
      </c>
      <c r="M187" s="810">
        <v>10.09916668</v>
      </c>
      <c r="N187" s="810">
        <f>L18+P18+H18+T18</f>
        <v>5.4116666799999997</v>
      </c>
      <c r="O187" s="810">
        <f t="shared" si="102"/>
        <v>-4.6875</v>
      </c>
      <c r="P187" s="810">
        <f t="shared" si="103"/>
        <v>-3.3662500200000007</v>
      </c>
      <c r="Q187" s="810">
        <f t="shared" si="104"/>
        <v>0.25541667999999973</v>
      </c>
      <c r="R187" s="654"/>
      <c r="S187" s="669"/>
      <c r="T187" s="670"/>
      <c r="U187" s="654"/>
      <c r="V187" s="655"/>
      <c r="W187" s="654"/>
      <c r="X187" s="654"/>
    </row>
    <row r="188" spans="2:24" ht="25.35" customHeight="1" x14ac:dyDescent="0.4">
      <c r="B188" s="666"/>
      <c r="C188" s="667" t="s">
        <v>28</v>
      </c>
      <c r="D188" s="810">
        <f>R19</f>
        <v>0.97321599999999997</v>
      </c>
      <c r="E188" s="810">
        <f>S19</f>
        <v>0</v>
      </c>
      <c r="F188" s="810">
        <v>0</v>
      </c>
      <c r="G188" s="810">
        <f>T19</f>
        <v>0</v>
      </c>
      <c r="H188" s="810">
        <f t="shared" si="98"/>
        <v>0</v>
      </c>
      <c r="I188" s="810">
        <f t="shared" si="99"/>
        <v>-0.97321599999999997</v>
      </c>
      <c r="J188" s="813">
        <f t="shared" si="100"/>
        <v>0</v>
      </c>
      <c r="K188" s="811">
        <f t="shared" si="108"/>
        <v>3.6212576699999999</v>
      </c>
      <c r="L188" s="810">
        <f t="shared" si="108"/>
        <v>0</v>
      </c>
      <c r="M188" s="810">
        <v>0.74655419999999995</v>
      </c>
      <c r="N188" s="810">
        <f>L19+P19+H19+T19</f>
        <v>0.78861501000000001</v>
      </c>
      <c r="O188" s="810">
        <f t="shared" si="102"/>
        <v>4.206081000000006E-2</v>
      </c>
      <c r="P188" s="810">
        <f t="shared" si="103"/>
        <v>-2.8326426599999999</v>
      </c>
      <c r="Q188" s="810">
        <f t="shared" si="104"/>
        <v>0.78861501000000001</v>
      </c>
      <c r="R188" s="654"/>
      <c r="S188" s="669"/>
      <c r="T188" s="670"/>
      <c r="U188" s="654"/>
      <c r="V188" s="655"/>
      <c r="W188" s="654"/>
      <c r="X188" s="654"/>
    </row>
    <row r="192" spans="2:24" ht="24.6" customHeight="1" x14ac:dyDescent="0.4">
      <c r="B192" s="1033" t="s">
        <v>71</v>
      </c>
      <c r="C192" s="1033"/>
      <c r="D192" s="1033" t="s">
        <v>1</v>
      </c>
      <c r="E192" s="1033"/>
      <c r="F192" s="1033"/>
      <c r="G192" s="1033"/>
      <c r="H192" s="1033"/>
      <c r="I192" s="1033"/>
      <c r="J192" s="1034"/>
      <c r="K192" s="1032" t="s">
        <v>106</v>
      </c>
      <c r="L192" s="1033"/>
      <c r="M192" s="1033"/>
      <c r="N192" s="1033"/>
      <c r="O192" s="1033"/>
      <c r="P192" s="1033"/>
      <c r="Q192" s="1033"/>
    </row>
    <row r="193" spans="2:22" ht="38.85" customHeight="1" x14ac:dyDescent="0.4">
      <c r="B193" s="1033"/>
      <c r="C193" s="1033"/>
      <c r="D193" s="663" t="s">
        <v>75</v>
      </c>
      <c r="E193" s="663" t="s">
        <v>76</v>
      </c>
      <c r="F193" s="663" t="s">
        <v>53</v>
      </c>
      <c r="G193" s="663" t="s">
        <v>54</v>
      </c>
      <c r="H193" s="663" t="s">
        <v>12</v>
      </c>
      <c r="I193" s="663" t="s">
        <v>78</v>
      </c>
      <c r="J193" s="664" t="s">
        <v>79</v>
      </c>
      <c r="K193" s="665" t="s">
        <v>75</v>
      </c>
      <c r="L193" s="663" t="s">
        <v>76</v>
      </c>
      <c r="M193" s="663" t="s">
        <v>53</v>
      </c>
      <c r="N193" s="663" t="s">
        <v>54</v>
      </c>
      <c r="O193" s="663" t="s">
        <v>12</v>
      </c>
      <c r="P193" s="663" t="s">
        <v>103</v>
      </c>
      <c r="Q193" s="663" t="s">
        <v>104</v>
      </c>
    </row>
    <row r="194" spans="2:22" ht="24.6" customHeight="1" x14ac:dyDescent="0.4">
      <c r="B194" s="1031" t="s">
        <v>81</v>
      </c>
      <c r="C194" s="1031"/>
      <c r="D194" s="806">
        <f>V8</f>
        <v>323.91353315999999</v>
      </c>
      <c r="E194" s="806">
        <f>E195+E198+E201</f>
        <v>382.52168851999994</v>
      </c>
      <c r="F194" s="806">
        <v>336.60795504213337</v>
      </c>
      <c r="G194" s="806">
        <f>G195+G198+G201</f>
        <v>382.52168851999994</v>
      </c>
      <c r="H194" s="806">
        <f t="shared" ref="H194:H205" si="109">G194-F194</f>
        <v>45.913733477866572</v>
      </c>
      <c r="I194" s="806">
        <f t="shared" ref="I194:I205" si="110">G194-D194</f>
        <v>58.608155359999955</v>
      </c>
      <c r="J194" s="807">
        <f t="shared" ref="J194:J205" si="111">G194-E194</f>
        <v>0</v>
      </c>
      <c r="K194" s="808">
        <f>K195+K198+K201</f>
        <v>599.41251532999991</v>
      </c>
      <c r="L194" s="806">
        <f>L195+L198+L201</f>
        <v>695.90940155999988</v>
      </c>
      <c r="M194" s="806">
        <v>626.7921299461334</v>
      </c>
      <c r="N194" s="806">
        <f>N195+N198+N201</f>
        <v>718.81743586879998</v>
      </c>
      <c r="O194" s="806">
        <f>N194-M194</f>
        <v>92.025305922666575</v>
      </c>
      <c r="P194" s="806">
        <f>N194-K194</f>
        <v>119.40492053880007</v>
      </c>
      <c r="Q194" s="806">
        <f>N194-L194</f>
        <v>22.908034308800097</v>
      </c>
      <c r="R194" s="571"/>
    </row>
    <row r="195" spans="2:22" ht="24.6" customHeight="1" x14ac:dyDescent="0.4">
      <c r="B195" s="1031" t="s">
        <v>82</v>
      </c>
      <c r="C195" s="1031"/>
      <c r="D195" s="806">
        <f>SUM(D196:D197)</f>
        <v>35.859981230000002</v>
      </c>
      <c r="E195" s="806">
        <f>SUM(E196:E197)</f>
        <v>33.729440500000003</v>
      </c>
      <c r="F195" s="806">
        <v>27.759267872133336</v>
      </c>
      <c r="G195" s="806">
        <f>SUM(G196:G197)</f>
        <v>33.729440500000003</v>
      </c>
      <c r="H195" s="806">
        <f t="shared" si="109"/>
        <v>5.9701726278666669</v>
      </c>
      <c r="I195" s="806">
        <f t="shared" si="110"/>
        <v>-2.1305407299999999</v>
      </c>
      <c r="J195" s="807">
        <f t="shared" si="111"/>
        <v>0</v>
      </c>
      <c r="K195" s="808">
        <f t="shared" ref="K195:Q195" si="112">SUM(K196:K197)</f>
        <v>53.839440539999998</v>
      </c>
      <c r="L195" s="806">
        <f t="shared" si="112"/>
        <v>58.863893640000001</v>
      </c>
      <c r="M195" s="806">
        <v>50.354777766133338</v>
      </c>
      <c r="N195" s="806">
        <f t="shared" si="112"/>
        <v>61.318260038800005</v>
      </c>
      <c r="O195" s="806">
        <f t="shared" si="112"/>
        <v>10.963482272666667</v>
      </c>
      <c r="P195" s="806">
        <f t="shared" si="112"/>
        <v>7.478819498800009</v>
      </c>
      <c r="Q195" s="806">
        <f t="shared" si="112"/>
        <v>2.4543663988000031</v>
      </c>
      <c r="R195" s="571"/>
      <c r="S195" s="671"/>
      <c r="T195" s="672"/>
      <c r="U195" s="673"/>
      <c r="V195" s="672"/>
    </row>
    <row r="196" spans="2:22" ht="24.6" customHeight="1" x14ac:dyDescent="0.4">
      <c r="B196" s="666"/>
      <c r="C196" s="667" t="s">
        <v>18</v>
      </c>
      <c r="D196" s="810">
        <f>V10</f>
        <v>35.859981230000002</v>
      </c>
      <c r="E196" s="810">
        <f>W10</f>
        <v>33.218095500000004</v>
      </c>
      <c r="F196" s="810">
        <v>27.588819538800003</v>
      </c>
      <c r="G196" s="810">
        <f>X10</f>
        <v>33.218095500000004</v>
      </c>
      <c r="H196" s="810">
        <f t="shared" si="109"/>
        <v>5.6292759612000012</v>
      </c>
      <c r="I196" s="810">
        <f>G196-D196</f>
        <v>-2.6418857299999985</v>
      </c>
      <c r="J196" s="813">
        <f>G196-E196</f>
        <v>0</v>
      </c>
      <c r="K196" s="811">
        <f>F10+V10</f>
        <v>53.839440539999998</v>
      </c>
      <c r="L196" s="810">
        <f>G10+W10</f>
        <v>57.841203640000003</v>
      </c>
      <c r="M196" s="810">
        <v>49.672984432800007</v>
      </c>
      <c r="N196" s="810">
        <f>H10+X10</f>
        <v>60.806915038800007</v>
      </c>
      <c r="O196" s="810">
        <f>N196-M196</f>
        <v>11.133930606</v>
      </c>
      <c r="P196" s="806">
        <f>N196-K196</f>
        <v>6.9674744988000086</v>
      </c>
      <c r="Q196" s="810">
        <f>N196-L196</f>
        <v>2.9657113988000035</v>
      </c>
      <c r="R196" s="571"/>
      <c r="S196" s="673"/>
      <c r="T196" s="571"/>
      <c r="U196" s="673"/>
      <c r="V196" s="571"/>
    </row>
    <row r="197" spans="2:22" ht="24.6" customHeight="1" x14ac:dyDescent="0.4">
      <c r="B197" s="666"/>
      <c r="C197" s="667" t="s">
        <v>101</v>
      </c>
      <c r="D197" s="810">
        <f>V11</f>
        <v>0</v>
      </c>
      <c r="E197" s="810">
        <f>W11</f>
        <v>0.51134500000000016</v>
      </c>
      <c r="F197" s="810">
        <v>0.17044833333333337</v>
      </c>
      <c r="G197" s="810">
        <f>X11</f>
        <v>0.51134500000000016</v>
      </c>
      <c r="H197" s="810">
        <f t="shared" si="109"/>
        <v>0.34089666666666679</v>
      </c>
      <c r="I197" s="810">
        <f t="shared" si="110"/>
        <v>0.51134500000000016</v>
      </c>
      <c r="J197" s="813">
        <f t="shared" si="111"/>
        <v>0</v>
      </c>
      <c r="K197" s="811">
        <f>F11+V11</f>
        <v>0</v>
      </c>
      <c r="L197" s="810">
        <f>G11+W11</f>
        <v>1.0226900000000003</v>
      </c>
      <c r="M197" s="810">
        <v>0.68179333333333347</v>
      </c>
      <c r="N197" s="810">
        <f>H11+X11</f>
        <v>0.51134500000000016</v>
      </c>
      <c r="O197" s="810">
        <f t="shared" ref="O197:O205" si="113">N197-M197</f>
        <v>-0.17044833333333331</v>
      </c>
      <c r="P197" s="806">
        <f t="shared" ref="P197:P205" si="114">N197-K197</f>
        <v>0.51134500000000016</v>
      </c>
      <c r="Q197" s="810">
        <f t="shared" ref="Q197:Q205" si="115">N197-L197</f>
        <v>-0.51134500000000016</v>
      </c>
      <c r="R197" s="571"/>
      <c r="S197" s="673"/>
      <c r="T197" s="571"/>
      <c r="U197" s="673"/>
      <c r="V197" s="571"/>
    </row>
    <row r="198" spans="2:22" ht="24.6" customHeight="1" x14ac:dyDescent="0.4">
      <c r="B198" s="1031" t="s">
        <v>85</v>
      </c>
      <c r="C198" s="1031"/>
      <c r="D198" s="806">
        <f>SUM(D199:D200)</f>
        <v>248.50947579999996</v>
      </c>
      <c r="E198" s="806">
        <f>SUM(E199:E200)</f>
        <v>278.80374801999994</v>
      </c>
      <c r="F198" s="806">
        <v>268.12458939999999</v>
      </c>
      <c r="G198" s="806">
        <f>SUM(G199:G200)</f>
        <v>278.80374801999994</v>
      </c>
      <c r="H198" s="806">
        <f t="shared" si="109"/>
        <v>10.679158619999953</v>
      </c>
      <c r="I198" s="806">
        <f t="shared" si="110"/>
        <v>30.294272219999982</v>
      </c>
      <c r="J198" s="807">
        <f t="shared" si="111"/>
        <v>0</v>
      </c>
      <c r="K198" s="808">
        <f>SUM(K199:K200)</f>
        <v>452.14618019999995</v>
      </c>
      <c r="L198" s="806">
        <f t="shared" ref="L198:Q198" si="116">SUM(L199:L200)</f>
        <v>525.25500791999991</v>
      </c>
      <c r="M198" s="806">
        <v>490.63931522000007</v>
      </c>
      <c r="N198" s="806">
        <f t="shared" si="116"/>
        <v>547.45749341999999</v>
      </c>
      <c r="O198" s="806">
        <f t="shared" si="116"/>
        <v>56.818178199999913</v>
      </c>
      <c r="P198" s="806">
        <f t="shared" si="116"/>
        <v>95.311313220000045</v>
      </c>
      <c r="Q198" s="806">
        <f t="shared" si="116"/>
        <v>22.202485500000051</v>
      </c>
      <c r="R198" s="571"/>
      <c r="S198" s="671"/>
      <c r="T198" s="672"/>
      <c r="U198" s="673"/>
      <c r="V198" s="672"/>
    </row>
    <row r="199" spans="2:22" ht="24.6" customHeight="1" x14ac:dyDescent="0.4">
      <c r="B199" s="666"/>
      <c r="C199" s="667" t="s">
        <v>87</v>
      </c>
      <c r="D199" s="810">
        <f>V13</f>
        <v>232.11357199999998</v>
      </c>
      <c r="E199" s="810">
        <f>W13</f>
        <v>266.59305201999996</v>
      </c>
      <c r="F199" s="810">
        <v>258.58264099999997</v>
      </c>
      <c r="G199" s="810">
        <f>X13</f>
        <v>266.59305201999996</v>
      </c>
      <c r="H199" s="810">
        <f t="shared" si="109"/>
        <v>8.0104110199999923</v>
      </c>
      <c r="I199" s="810">
        <f>G199-D199</f>
        <v>34.479480019999983</v>
      </c>
      <c r="J199" s="813">
        <f>G199-E199</f>
        <v>0</v>
      </c>
      <c r="K199" s="811">
        <f>F13+V13</f>
        <v>421.16162999999995</v>
      </c>
      <c r="L199" s="810">
        <f>G13+W13</f>
        <v>504.99231051999993</v>
      </c>
      <c r="M199" s="810">
        <v>474.17394322000007</v>
      </c>
      <c r="N199" s="810">
        <f>H13+X13</f>
        <v>525.70484901999998</v>
      </c>
      <c r="O199" s="810">
        <f>N199-M199</f>
        <v>51.530905799999914</v>
      </c>
      <c r="P199" s="806">
        <f>N199-K199</f>
        <v>104.54321902000004</v>
      </c>
      <c r="Q199" s="810">
        <f>N199-L199</f>
        <v>20.712538500000051</v>
      </c>
      <c r="R199" s="571"/>
      <c r="S199" s="673"/>
      <c r="T199" s="571"/>
      <c r="U199" s="673"/>
      <c r="V199" s="571"/>
    </row>
    <row r="200" spans="2:22" ht="24.6" customHeight="1" x14ac:dyDescent="0.4">
      <c r="B200" s="666"/>
      <c r="C200" s="667" t="s">
        <v>86</v>
      </c>
      <c r="D200" s="810">
        <f>V14</f>
        <v>16.395903799999999</v>
      </c>
      <c r="E200" s="810">
        <f>W14</f>
        <v>12.210696</v>
      </c>
      <c r="F200" s="810">
        <v>9.5419484000000008</v>
      </c>
      <c r="G200" s="810">
        <f>X14</f>
        <v>12.210696</v>
      </c>
      <c r="H200" s="810">
        <f t="shared" si="109"/>
        <v>2.6687475999999997</v>
      </c>
      <c r="I200" s="810">
        <f t="shared" si="110"/>
        <v>-4.1852077999999988</v>
      </c>
      <c r="J200" s="813">
        <f t="shared" si="111"/>
        <v>0</v>
      </c>
      <c r="K200" s="811">
        <f>F14+V14</f>
        <v>30.984550200000001</v>
      </c>
      <c r="L200" s="810">
        <f>G14+W14</f>
        <v>20.2626974</v>
      </c>
      <c r="M200" s="810">
        <v>16.465372000000002</v>
      </c>
      <c r="N200" s="810">
        <f>H14+X14</f>
        <v>21.752644400000001</v>
      </c>
      <c r="O200" s="810">
        <f t="shared" si="113"/>
        <v>5.2872723999999991</v>
      </c>
      <c r="P200" s="806">
        <f t="shared" si="114"/>
        <v>-9.2319057999999998</v>
      </c>
      <c r="Q200" s="810">
        <f t="shared" si="115"/>
        <v>1.4899470000000008</v>
      </c>
      <c r="R200" s="571"/>
      <c r="S200" s="673"/>
      <c r="T200" s="571"/>
      <c r="U200" s="673"/>
      <c r="V200" s="571"/>
    </row>
    <row r="201" spans="2:22" ht="24.6" customHeight="1" x14ac:dyDescent="0.4">
      <c r="B201" s="1031" t="s">
        <v>88</v>
      </c>
      <c r="C201" s="1031"/>
      <c r="D201" s="806">
        <f>SUM(D202:D205)</f>
        <v>39.544076130000001</v>
      </c>
      <c r="E201" s="806">
        <f>SUM(E202:E205)</f>
        <v>69.988500000000002</v>
      </c>
      <c r="F201" s="806">
        <v>40.72409777</v>
      </c>
      <c r="G201" s="806">
        <f>SUM(G202:G205)</f>
        <v>69.988500000000002</v>
      </c>
      <c r="H201" s="806">
        <f t="shared" si="109"/>
        <v>29.264402230000002</v>
      </c>
      <c r="I201" s="806">
        <f t="shared" si="110"/>
        <v>30.444423870000001</v>
      </c>
      <c r="J201" s="807">
        <f t="shared" si="111"/>
        <v>0</v>
      </c>
      <c r="K201" s="808">
        <f t="shared" ref="K201:Q201" si="117">SUM(K202:K205)</f>
        <v>93.426894589999989</v>
      </c>
      <c r="L201" s="806">
        <f t="shared" si="117"/>
        <v>111.79050000000001</v>
      </c>
      <c r="M201" s="806">
        <v>85.798036960000005</v>
      </c>
      <c r="N201" s="806">
        <f t="shared" si="117"/>
        <v>110.04168241000001</v>
      </c>
      <c r="O201" s="806">
        <f t="shared" si="117"/>
        <v>24.24364545000001</v>
      </c>
      <c r="P201" s="806">
        <f t="shared" si="117"/>
        <v>16.614787820000018</v>
      </c>
      <c r="Q201" s="806">
        <f t="shared" si="117"/>
        <v>-1.74881758999999</v>
      </c>
      <c r="R201" s="571"/>
      <c r="S201" s="671"/>
      <c r="T201" s="672"/>
      <c r="U201" s="673"/>
      <c r="V201" s="672"/>
    </row>
    <row r="202" spans="2:22" ht="24.6" customHeight="1" x14ac:dyDescent="0.4">
      <c r="B202" s="666"/>
      <c r="C202" s="667" t="s">
        <v>91</v>
      </c>
      <c r="D202" s="810">
        <f t="shared" ref="D202:E204" si="118">V16</f>
        <v>33.00286011</v>
      </c>
      <c r="E202" s="810">
        <f t="shared" si="118"/>
        <v>64.033500000000004</v>
      </c>
      <c r="F202" s="810">
        <v>34.03589942</v>
      </c>
      <c r="G202" s="810">
        <f>X16</f>
        <v>64.033500000000004</v>
      </c>
      <c r="H202" s="810">
        <f t="shared" si="109"/>
        <v>29.997600580000004</v>
      </c>
      <c r="I202" s="810">
        <f>G202-D202</f>
        <v>31.030639890000003</v>
      </c>
      <c r="J202" s="813">
        <f>G202-E202</f>
        <v>0</v>
      </c>
      <c r="K202" s="811">
        <f t="shared" ref="K202:L204" si="119">F16+V16</f>
        <v>75.277720219999992</v>
      </c>
      <c r="L202" s="810">
        <f t="shared" si="119"/>
        <v>99.360500000000002</v>
      </c>
      <c r="M202" s="810">
        <v>71.37731608</v>
      </c>
      <c r="N202" s="810">
        <f>H16+X16</f>
        <v>98.355150720000012</v>
      </c>
      <c r="O202" s="810">
        <f>N202-M202</f>
        <v>26.977834640000012</v>
      </c>
      <c r="P202" s="806">
        <f>N202-K202</f>
        <v>23.07743050000002</v>
      </c>
      <c r="Q202" s="810">
        <f>N202-L202</f>
        <v>-1.0053492799999901</v>
      </c>
      <c r="R202" s="571"/>
      <c r="S202" s="673"/>
      <c r="T202" s="571"/>
      <c r="U202" s="673"/>
      <c r="V202" s="571"/>
    </row>
    <row r="203" spans="2:22" ht="24.6" customHeight="1" x14ac:dyDescent="0.4">
      <c r="B203" s="666"/>
      <c r="C203" s="667" t="s">
        <v>90</v>
      </c>
      <c r="D203" s="810">
        <f t="shared" si="118"/>
        <v>2.09</v>
      </c>
      <c r="E203" s="810">
        <f t="shared" si="118"/>
        <v>5.4862500000000001</v>
      </c>
      <c r="F203" s="810">
        <v>1.3187500000000001</v>
      </c>
      <c r="G203" s="810">
        <f>X17</f>
        <v>5.4862500000000001</v>
      </c>
      <c r="H203" s="810">
        <f t="shared" si="109"/>
        <v>4.1675000000000004</v>
      </c>
      <c r="I203" s="810">
        <f t="shared" si="110"/>
        <v>3.3962500000000002</v>
      </c>
      <c r="J203" s="813">
        <f t="shared" si="111"/>
        <v>0</v>
      </c>
      <c r="K203" s="811">
        <f t="shared" si="119"/>
        <v>5.75</v>
      </c>
      <c r="L203" s="810">
        <f t="shared" si="119"/>
        <v>7.2737499999999997</v>
      </c>
      <c r="M203" s="810">
        <v>3.5750000000000002</v>
      </c>
      <c r="N203" s="810">
        <f>H17+X17</f>
        <v>5.4862500000000001</v>
      </c>
      <c r="O203" s="810">
        <f t="shared" si="113"/>
        <v>1.9112499999999999</v>
      </c>
      <c r="P203" s="806">
        <f t="shared" si="114"/>
        <v>-0.26374999999999993</v>
      </c>
      <c r="Q203" s="810">
        <f t="shared" si="115"/>
        <v>-1.7874999999999996</v>
      </c>
      <c r="R203" s="571"/>
      <c r="S203" s="673"/>
      <c r="T203" s="571"/>
      <c r="U203" s="673"/>
      <c r="V203" s="571"/>
    </row>
    <row r="204" spans="2:22" ht="24.6" customHeight="1" x14ac:dyDescent="0.4">
      <c r="B204" s="666"/>
      <c r="C204" s="667" t="s">
        <v>92</v>
      </c>
      <c r="D204" s="810">
        <f t="shared" si="118"/>
        <v>3.4780000199999996</v>
      </c>
      <c r="E204" s="810">
        <f t="shared" si="118"/>
        <v>0.46875</v>
      </c>
      <c r="F204" s="810">
        <v>4.5808333399999999</v>
      </c>
      <c r="G204" s="810">
        <f>X18</f>
        <v>0.46875</v>
      </c>
      <c r="H204" s="810">
        <f t="shared" si="109"/>
        <v>-4.1120833399999999</v>
      </c>
      <c r="I204" s="810">
        <f t="shared" si="110"/>
        <v>-3.0092500199999996</v>
      </c>
      <c r="J204" s="813">
        <f t="shared" si="111"/>
        <v>0</v>
      </c>
      <c r="K204" s="811">
        <f t="shared" si="119"/>
        <v>8.7779166999999987</v>
      </c>
      <c r="L204" s="810">
        <f t="shared" si="119"/>
        <v>5.15625</v>
      </c>
      <c r="M204" s="810">
        <v>10.09916668</v>
      </c>
      <c r="N204" s="810">
        <f>H18+X18</f>
        <v>5.4116666799999997</v>
      </c>
      <c r="O204" s="810">
        <f t="shared" si="113"/>
        <v>-4.6875</v>
      </c>
      <c r="P204" s="806">
        <f t="shared" si="114"/>
        <v>-3.366250019999999</v>
      </c>
      <c r="Q204" s="810">
        <f t="shared" si="115"/>
        <v>0.25541667999999973</v>
      </c>
      <c r="R204" s="571"/>
      <c r="S204" s="673"/>
      <c r="T204" s="571"/>
      <c r="U204" s="673"/>
      <c r="V204" s="571"/>
    </row>
    <row r="205" spans="2:22" ht="24.6" customHeight="1" x14ac:dyDescent="0.4">
      <c r="B205" s="666"/>
      <c r="C205" s="667" t="s">
        <v>28</v>
      </c>
      <c r="D205" s="810">
        <f t="shared" ref="D205:E205" si="120">V19</f>
        <v>0.97321599999999997</v>
      </c>
      <c r="E205" s="810">
        <f t="shared" si="120"/>
        <v>0</v>
      </c>
      <c r="F205" s="810">
        <v>0.78861501000000001</v>
      </c>
      <c r="G205" s="810">
        <f>X19</f>
        <v>0</v>
      </c>
      <c r="H205" s="810">
        <f t="shared" si="109"/>
        <v>-0.78861501000000001</v>
      </c>
      <c r="I205" s="810">
        <f t="shared" si="110"/>
        <v>-0.97321599999999997</v>
      </c>
      <c r="J205" s="813">
        <f t="shared" si="111"/>
        <v>0</v>
      </c>
      <c r="K205" s="811">
        <f t="shared" ref="K205:L205" si="121">F19+V19</f>
        <v>3.6212576699999999</v>
      </c>
      <c r="L205" s="810">
        <f t="shared" si="121"/>
        <v>0</v>
      </c>
      <c r="M205" s="810">
        <v>0.74655419999999995</v>
      </c>
      <c r="N205" s="810">
        <f t="shared" ref="N205" si="122">H19+X19</f>
        <v>0.78861501000000001</v>
      </c>
      <c r="O205" s="810">
        <f t="shared" si="113"/>
        <v>4.206081000000006E-2</v>
      </c>
      <c r="P205" s="806">
        <f t="shared" si="114"/>
        <v>-2.8326426599999999</v>
      </c>
      <c r="Q205" s="810">
        <f t="shared" si="115"/>
        <v>0.78861501000000001</v>
      </c>
      <c r="R205" s="571"/>
      <c r="S205" s="673"/>
      <c r="T205" s="571"/>
      <c r="U205" s="673"/>
      <c r="V205" s="571"/>
    </row>
    <row r="206" spans="2:22" ht="24.6" customHeight="1" x14ac:dyDescent="0.4">
      <c r="D206" s="650"/>
      <c r="E206" s="650"/>
      <c r="F206" s="650"/>
      <c r="G206" s="650"/>
      <c r="H206" s="650"/>
      <c r="I206" s="650"/>
      <c r="J206" s="650"/>
      <c r="K206" s="571"/>
      <c r="L206" s="571"/>
      <c r="M206" s="571"/>
      <c r="N206" s="571"/>
      <c r="O206" s="571"/>
      <c r="Q206" s="571"/>
      <c r="R206" s="571"/>
    </row>
  </sheetData>
  <mergeCells count="318">
    <mergeCell ref="A1:AC1"/>
    <mergeCell ref="L85:M85"/>
    <mergeCell ref="Z5:AC6"/>
    <mergeCell ref="K175:Q175"/>
    <mergeCell ref="R128:X128"/>
    <mergeCell ref="H86:I86"/>
    <mergeCell ref="H87:I87"/>
    <mergeCell ref="F84:G84"/>
    <mergeCell ref="F86:G86"/>
    <mergeCell ref="F87:G87"/>
    <mergeCell ref="N77:W77"/>
    <mergeCell ref="N78:W78"/>
    <mergeCell ref="N79:W79"/>
    <mergeCell ref="N82:W82"/>
    <mergeCell ref="R93:X93"/>
    <mergeCell ref="L88:M88"/>
    <mergeCell ref="J82:K82"/>
    <mergeCell ref="L82:M82"/>
    <mergeCell ref="L83:M83"/>
    <mergeCell ref="L84:M84"/>
    <mergeCell ref="N86:W86"/>
    <mergeCell ref="N87:W87"/>
    <mergeCell ref="N88:W88"/>
    <mergeCell ref="L86:M86"/>
    <mergeCell ref="B201:C201"/>
    <mergeCell ref="D110:J110"/>
    <mergeCell ref="F83:G83"/>
    <mergeCell ref="B194:C194"/>
    <mergeCell ref="D84:E84"/>
    <mergeCell ref="H85:I85"/>
    <mergeCell ref="J88:K88"/>
    <mergeCell ref="F85:G85"/>
    <mergeCell ref="B101:B102"/>
    <mergeCell ref="B103:C103"/>
    <mergeCell ref="D93:J93"/>
    <mergeCell ref="D86:E86"/>
    <mergeCell ref="D87:E87"/>
    <mergeCell ref="B95:C95"/>
    <mergeCell ref="B96:C96"/>
    <mergeCell ref="B97:B99"/>
    <mergeCell ref="B93:C94"/>
    <mergeCell ref="H84:I84"/>
    <mergeCell ref="J84:K84"/>
    <mergeCell ref="J85:K85"/>
    <mergeCell ref="J86:K86"/>
    <mergeCell ref="J87:K87"/>
    <mergeCell ref="D85:E85"/>
    <mergeCell ref="D145:J145"/>
    <mergeCell ref="B192:C193"/>
    <mergeCell ref="B160:C161"/>
    <mergeCell ref="B175:C176"/>
    <mergeCell ref="B177:C177"/>
    <mergeCell ref="B178:C178"/>
    <mergeCell ref="B181:C181"/>
    <mergeCell ref="B184:C184"/>
    <mergeCell ref="B151:C151"/>
    <mergeCell ref="J83:K83"/>
    <mergeCell ref="B112:C112"/>
    <mergeCell ref="B166:C166"/>
    <mergeCell ref="B104:B108"/>
    <mergeCell ref="B100:C100"/>
    <mergeCell ref="B136:B137"/>
    <mergeCell ref="B162:C162"/>
    <mergeCell ref="B198:C198"/>
    <mergeCell ref="K110:Q110"/>
    <mergeCell ref="B110:C111"/>
    <mergeCell ref="H88:I88"/>
    <mergeCell ref="B195:C195"/>
    <mergeCell ref="K192:Q192"/>
    <mergeCell ref="D192:J192"/>
    <mergeCell ref="D160:J160"/>
    <mergeCell ref="K160:Q160"/>
    <mergeCell ref="D175:J175"/>
    <mergeCell ref="D128:J128"/>
    <mergeCell ref="K128:Q128"/>
    <mergeCell ref="B130:C130"/>
    <mergeCell ref="B131:C131"/>
    <mergeCell ref="B132:B134"/>
    <mergeCell ref="B135:C135"/>
    <mergeCell ref="B163:C163"/>
    <mergeCell ref="B138:C138"/>
    <mergeCell ref="B139:B143"/>
    <mergeCell ref="B169:C169"/>
    <mergeCell ref="B145:C146"/>
    <mergeCell ref="K145:Q145"/>
    <mergeCell ref="B147:C147"/>
    <mergeCell ref="B148:C148"/>
    <mergeCell ref="R160:X160"/>
    <mergeCell ref="R145:X145"/>
    <mergeCell ref="L87:M87"/>
    <mergeCell ref="R110:X110"/>
    <mergeCell ref="B113:C113"/>
    <mergeCell ref="B114:B116"/>
    <mergeCell ref="B117:C117"/>
    <mergeCell ref="B118:B119"/>
    <mergeCell ref="B128:C129"/>
    <mergeCell ref="B120:C120"/>
    <mergeCell ref="B121:B125"/>
    <mergeCell ref="K93:Q93"/>
    <mergeCell ref="F88:G88"/>
    <mergeCell ref="C88:E88"/>
    <mergeCell ref="B154:C154"/>
    <mergeCell ref="N85:W85"/>
    <mergeCell ref="L77:M77"/>
    <mergeCell ref="L78:M78"/>
    <mergeCell ref="L79:M79"/>
    <mergeCell ref="L80:M80"/>
    <mergeCell ref="L81:M81"/>
    <mergeCell ref="M50:W50"/>
    <mergeCell ref="M59:W59"/>
    <mergeCell ref="M60:W60"/>
    <mergeCell ref="M63:W63"/>
    <mergeCell ref="M62:W62"/>
    <mergeCell ref="M65:W65"/>
    <mergeCell ref="M57:W57"/>
    <mergeCell ref="K51:L51"/>
    <mergeCell ref="M58:W58"/>
    <mergeCell ref="M51:W51"/>
    <mergeCell ref="J77:K77"/>
    <mergeCell ref="J78:K78"/>
    <mergeCell ref="J79:K79"/>
    <mergeCell ref="J80:K80"/>
    <mergeCell ref="J81:K81"/>
    <mergeCell ref="N80:W80"/>
    <mergeCell ref="N84:W84"/>
    <mergeCell ref="N81:W81"/>
    <mergeCell ref="N83:W83"/>
    <mergeCell ref="B8:C8"/>
    <mergeCell ref="B9:C9"/>
    <mergeCell ref="A5:C7"/>
    <mergeCell ref="D5:D7"/>
    <mergeCell ref="E5:E7"/>
    <mergeCell ref="J6:M6"/>
    <mergeCell ref="B29:D29"/>
    <mergeCell ref="M40:W40"/>
    <mergeCell ref="M41:W41"/>
    <mergeCell ref="K40:L40"/>
    <mergeCell ref="K41:L41"/>
    <mergeCell ref="C31:D31"/>
    <mergeCell ref="E31:F31"/>
    <mergeCell ref="G31:H31"/>
    <mergeCell ref="I31:J31"/>
    <mergeCell ref="G34:H34"/>
    <mergeCell ref="I34:J34"/>
    <mergeCell ref="B32:D32"/>
    <mergeCell ref="K50:L50"/>
    <mergeCell ref="D83:E83"/>
    <mergeCell ref="H83:I83"/>
    <mergeCell ref="N6:Q6"/>
    <mergeCell ref="G27:H27"/>
    <mergeCell ref="B12:C12"/>
    <mergeCell ref="E28:F28"/>
    <mergeCell ref="F5:I6"/>
    <mergeCell ref="I29:J29"/>
    <mergeCell ref="K27:W27"/>
    <mergeCell ref="K28:W28"/>
    <mergeCell ref="K29:W29"/>
    <mergeCell ref="R6:U6"/>
    <mergeCell ref="V5:Y6"/>
    <mergeCell ref="J5:U5"/>
    <mergeCell ref="E29:F29"/>
    <mergeCell ref="B20:C20"/>
    <mergeCell ref="B21:B23"/>
    <mergeCell ref="G29:H29"/>
    <mergeCell ref="B15:C15"/>
    <mergeCell ref="I27:J27"/>
    <mergeCell ref="B27:D27"/>
    <mergeCell ref="E27:F27"/>
    <mergeCell ref="G28:H28"/>
    <mergeCell ref="I28:J28"/>
    <mergeCell ref="B28:D28"/>
    <mergeCell ref="C30:D30"/>
    <mergeCell ref="E30:F30"/>
    <mergeCell ref="C33:D33"/>
    <mergeCell ref="C34:D34"/>
    <mergeCell ref="E34:F34"/>
    <mergeCell ref="B42:D42"/>
    <mergeCell ref="C36:D36"/>
    <mergeCell ref="E36:F36"/>
    <mergeCell ref="E32:F32"/>
    <mergeCell ref="E33:F33"/>
    <mergeCell ref="B40:D40"/>
    <mergeCell ref="E40:F40"/>
    <mergeCell ref="B37:D37"/>
    <mergeCell ref="E37:F37"/>
    <mergeCell ref="C35:D35"/>
    <mergeCell ref="G33:H33"/>
    <mergeCell ref="I33:J33"/>
    <mergeCell ref="G36:H36"/>
    <mergeCell ref="I37:J37"/>
    <mergeCell ref="G35:H35"/>
    <mergeCell ref="G44:H44"/>
    <mergeCell ref="I40:J40"/>
    <mergeCell ref="G37:H37"/>
    <mergeCell ref="G41:H41"/>
    <mergeCell ref="G42:H42"/>
    <mergeCell ref="G43:H43"/>
    <mergeCell ref="M54:W55"/>
    <mergeCell ref="E48:F48"/>
    <mergeCell ref="G48:H48"/>
    <mergeCell ref="M45:W45"/>
    <mergeCell ref="M46:W46"/>
    <mergeCell ref="K45:L45"/>
    <mergeCell ref="K47:L47"/>
    <mergeCell ref="E49:F49"/>
    <mergeCell ref="G45:H45"/>
    <mergeCell ref="I48:J48"/>
    <mergeCell ref="I46:J46"/>
    <mergeCell ref="I47:J47"/>
    <mergeCell ref="E46:F46"/>
    <mergeCell ref="E45:F45"/>
    <mergeCell ref="G47:H47"/>
    <mergeCell ref="E51:F51"/>
    <mergeCell ref="C82:E82"/>
    <mergeCell ref="H77:I77"/>
    <mergeCell ref="H78:I78"/>
    <mergeCell ref="H79:I79"/>
    <mergeCell ref="H81:I81"/>
    <mergeCell ref="C78:E78"/>
    <mergeCell ref="C79:E79"/>
    <mergeCell ref="C77:E77"/>
    <mergeCell ref="F80:G80"/>
    <mergeCell ref="F81:G81"/>
    <mergeCell ref="F82:G82"/>
    <mergeCell ref="F77:G77"/>
    <mergeCell ref="F78:G78"/>
    <mergeCell ref="F79:G79"/>
    <mergeCell ref="H80:I80"/>
    <mergeCell ref="D80:E80"/>
    <mergeCell ref="D81:E81"/>
    <mergeCell ref="H82:I82"/>
    <mergeCell ref="M56:W56"/>
    <mergeCell ref="C49:D49"/>
    <mergeCell ref="B66:D66"/>
    <mergeCell ref="M44:W44"/>
    <mergeCell ref="G49:H49"/>
    <mergeCell ref="M64:W64"/>
    <mergeCell ref="M48:W48"/>
    <mergeCell ref="K48:L48"/>
    <mergeCell ref="K49:L49"/>
    <mergeCell ref="I49:J49"/>
    <mergeCell ref="G50:H50"/>
    <mergeCell ref="M61:W61"/>
    <mergeCell ref="J54:L54"/>
    <mergeCell ref="K46:L46"/>
    <mergeCell ref="M49:W49"/>
    <mergeCell ref="E66:F66"/>
    <mergeCell ref="G46:H46"/>
    <mergeCell ref="E56:F56"/>
    <mergeCell ref="M66:W66"/>
    <mergeCell ref="C63:D63"/>
    <mergeCell ref="C65:D65"/>
    <mergeCell ref="E65:F65"/>
    <mergeCell ref="M47:W47"/>
    <mergeCell ref="I45:J45"/>
    <mergeCell ref="I30:J30"/>
    <mergeCell ref="G32:H32"/>
    <mergeCell ref="M42:W42"/>
    <mergeCell ref="I44:J44"/>
    <mergeCell ref="I32:J32"/>
    <mergeCell ref="I35:J35"/>
    <mergeCell ref="I36:J36"/>
    <mergeCell ref="G30:H30"/>
    <mergeCell ref="M43:W43"/>
    <mergeCell ref="K36:W36"/>
    <mergeCell ref="K37:W37"/>
    <mergeCell ref="K32:W32"/>
    <mergeCell ref="K30:W30"/>
    <mergeCell ref="K31:W31"/>
    <mergeCell ref="K33:W33"/>
    <mergeCell ref="K34:W34"/>
    <mergeCell ref="K35:W35"/>
    <mergeCell ref="I43:J43"/>
    <mergeCell ref="I41:J41"/>
    <mergeCell ref="I42:J42"/>
    <mergeCell ref="K42:L42"/>
    <mergeCell ref="K43:L43"/>
    <mergeCell ref="K44:L44"/>
    <mergeCell ref="G40:H40"/>
    <mergeCell ref="E63:F63"/>
    <mergeCell ref="C64:D64"/>
    <mergeCell ref="E64:F64"/>
    <mergeCell ref="G51:H51"/>
    <mergeCell ref="I50:J50"/>
    <mergeCell ref="E54:F55"/>
    <mergeCell ref="B54:D55"/>
    <mergeCell ref="C62:D62"/>
    <mergeCell ref="E62:F62"/>
    <mergeCell ref="C59:D59"/>
    <mergeCell ref="E60:F60"/>
    <mergeCell ref="B57:D57"/>
    <mergeCell ref="E57:F57"/>
    <mergeCell ref="B52:D52"/>
    <mergeCell ref="C50:D50"/>
    <mergeCell ref="I51:J51"/>
    <mergeCell ref="G54:I54"/>
    <mergeCell ref="E50:F50"/>
    <mergeCell ref="E61:F61"/>
    <mergeCell ref="B60:D60"/>
    <mergeCell ref="E59:F59"/>
    <mergeCell ref="C58:D58"/>
    <mergeCell ref="E58:F58"/>
    <mergeCell ref="B56:D56"/>
    <mergeCell ref="C47:D47"/>
    <mergeCell ref="E47:F47"/>
    <mergeCell ref="C61:D61"/>
    <mergeCell ref="B51:D51"/>
    <mergeCell ref="E35:F35"/>
    <mergeCell ref="B41:D41"/>
    <mergeCell ref="E41:F41"/>
    <mergeCell ref="E43:F43"/>
    <mergeCell ref="E42:F42"/>
    <mergeCell ref="C48:D48"/>
    <mergeCell ref="C44:D44"/>
    <mergeCell ref="E44:F44"/>
    <mergeCell ref="C43:D43"/>
    <mergeCell ref="B45:D45"/>
    <mergeCell ref="C46:D46"/>
  </mergeCells>
  <phoneticPr fontId="2" type="noConversion"/>
  <pageMargins left="0.25" right="0.25" top="0.75" bottom="0.75" header="0.3" footer="0.3"/>
  <pageSetup paperSize="8" scale="65" fitToHeight="0" orientation="landscape" r:id="rId1"/>
  <rowBreaks count="2" manualBreakCount="2">
    <brk id="51" max="16383" man="1"/>
    <brk id="74"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73862-CE89-401B-8439-8B6BF8A07AF1}">
  <sheetPr codeName="Sheet2">
    <tabColor theme="5" tint="0.59999389629810485"/>
    <pageSetUpPr fitToPage="1"/>
  </sheetPr>
  <dimension ref="A1:V444"/>
  <sheetViews>
    <sheetView showGridLines="0" tabSelected="1" zoomScale="85" zoomScaleNormal="85" zoomScaleSheetLayoutView="115" workbookViewId="0">
      <pane xSplit="4" ySplit="6" topLeftCell="E308" activePane="bottomRight" state="frozen"/>
      <selection pane="topRight" activeCell="C1" sqref="C1"/>
      <selection pane="bottomLeft" activeCell="A7" sqref="A7"/>
      <selection pane="bottomRight" activeCell="K318" sqref="K318"/>
    </sheetView>
  </sheetViews>
  <sheetFormatPr defaultColWidth="8.59765625" defaultRowHeight="13.8" outlineLevelRow="1" x14ac:dyDescent="0.4"/>
  <cols>
    <col min="1" max="2" width="3" style="475" customWidth="1"/>
    <col min="3" max="3" width="10.59765625" style="475" customWidth="1"/>
    <col min="4" max="4" width="8.59765625" style="627" customWidth="1"/>
    <col min="5" max="5" width="8.59765625" style="475"/>
    <col min="6" max="6" width="12.09765625" style="475" bestFit="1" customWidth="1"/>
    <col min="7" max="7" width="11.09765625" style="475" customWidth="1"/>
    <col min="8" max="8" width="18" style="475" customWidth="1"/>
    <col min="9" max="9" width="18.59765625" style="475" bestFit="1" customWidth="1"/>
    <col min="10" max="10" width="19.09765625" style="501" bestFit="1" customWidth="1"/>
    <col min="11" max="11" width="19.09765625" style="475" bestFit="1" customWidth="1"/>
    <col min="12" max="12" width="9.59765625" style="475" customWidth="1"/>
    <col min="13" max="13" width="18.59765625" style="475" customWidth="1"/>
    <col min="14" max="14" width="17.5" style="475" customWidth="1"/>
    <col min="15" max="15" width="16.59765625" style="475" customWidth="1"/>
    <col min="16" max="16" width="17.69921875" style="475" bestFit="1" customWidth="1"/>
    <col min="17" max="17" width="18.09765625" style="475" customWidth="1"/>
    <col min="18" max="18" width="19" style="475" bestFit="1" customWidth="1"/>
    <col min="19" max="20" width="16.09765625" style="475" customWidth="1"/>
    <col min="21" max="21" width="8.59765625" style="475"/>
    <col min="22" max="22" width="19.09765625" style="475" customWidth="1"/>
    <col min="23" max="16384" width="8.59765625" style="475"/>
  </cols>
  <sheetData>
    <row r="1" spans="1:21" ht="25.2" x14ac:dyDescent="0.4">
      <c r="D1" s="674" t="s">
        <v>107</v>
      </c>
      <c r="K1" s="501"/>
      <c r="O1" s="501"/>
    </row>
    <row r="2" spans="1:21" ht="15.6" hidden="1" x14ac:dyDescent="0.4">
      <c r="D2" s="675" t="s">
        <v>108</v>
      </c>
      <c r="F2" s="475" t="s">
        <v>109</v>
      </c>
      <c r="G2" s="475" t="s">
        <v>110</v>
      </c>
    </row>
    <row r="3" spans="1:21" ht="15.6" hidden="1" x14ac:dyDescent="0.4">
      <c r="D3" s="675"/>
      <c r="F3" s="475" t="s">
        <v>111</v>
      </c>
      <c r="G3" s="475" t="s">
        <v>112</v>
      </c>
    </row>
    <row r="4" spans="1:21" ht="15.6" hidden="1" x14ac:dyDescent="0.4">
      <c r="D4" s="675"/>
      <c r="F4" s="475" t="s">
        <v>113</v>
      </c>
      <c r="G4" s="475" t="s">
        <v>112</v>
      </c>
    </row>
    <row r="5" spans="1:21" ht="14.4" thickBot="1" x14ac:dyDescent="0.45">
      <c r="N5" s="676" t="s">
        <v>114</v>
      </c>
    </row>
    <row r="6" spans="1:21" ht="14.4" thickBot="1" x14ac:dyDescent="0.45">
      <c r="A6" s="475" t="s">
        <v>115</v>
      </c>
      <c r="B6" s="475" t="s">
        <v>116</v>
      </c>
      <c r="D6" s="677" t="s">
        <v>117</v>
      </c>
      <c r="E6" s="678" t="s">
        <v>118</v>
      </c>
      <c r="F6" s="678" t="s">
        <v>119</v>
      </c>
      <c r="G6" s="678" t="s">
        <v>120</v>
      </c>
      <c r="H6" s="678" t="s">
        <v>121</v>
      </c>
      <c r="I6" s="678" t="s">
        <v>122</v>
      </c>
      <c r="J6" s="679" t="s">
        <v>123</v>
      </c>
      <c r="K6" s="678" t="s">
        <v>124</v>
      </c>
      <c r="L6" s="680" t="s">
        <v>125</v>
      </c>
      <c r="M6" s="681" t="s">
        <v>126</v>
      </c>
      <c r="N6" s="680" t="s">
        <v>55</v>
      </c>
    </row>
    <row r="7" spans="1:21" hidden="1" outlineLevel="1" x14ac:dyDescent="0.4">
      <c r="A7" s="475" t="s">
        <v>15</v>
      </c>
      <c r="B7" s="475" t="s">
        <v>1</v>
      </c>
      <c r="C7" s="475" t="s">
        <v>127</v>
      </c>
      <c r="D7" s="682" t="s">
        <v>2</v>
      </c>
      <c r="E7" s="683" t="s">
        <v>128</v>
      </c>
      <c r="F7" s="684" t="s">
        <v>129</v>
      </c>
      <c r="G7" s="684" t="s">
        <v>130</v>
      </c>
      <c r="H7" s="684" t="s">
        <v>131</v>
      </c>
      <c r="I7" s="685">
        <v>302597280</v>
      </c>
      <c r="J7" s="685">
        <v>736312500</v>
      </c>
      <c r="K7" s="685">
        <v>302597280</v>
      </c>
      <c r="L7" s="686">
        <v>0.41096311688311687</v>
      </c>
      <c r="M7" s="685">
        <v>302597280</v>
      </c>
      <c r="N7" s="687">
        <v>0</v>
      </c>
      <c r="P7" s="475">
        <v>302597280</v>
      </c>
      <c r="Q7" s="631">
        <f>P7-I7</f>
        <v>0</v>
      </c>
    </row>
    <row r="8" spans="1:21" hidden="1" outlineLevel="1" x14ac:dyDescent="0.4">
      <c r="A8" s="475" t="s">
        <v>15</v>
      </c>
      <c r="B8" s="475" t="s">
        <v>1</v>
      </c>
      <c r="C8" s="475" t="s">
        <v>47</v>
      </c>
      <c r="D8" s="688" t="s">
        <v>549</v>
      </c>
      <c r="E8" s="689" t="s">
        <v>128</v>
      </c>
      <c r="F8" s="690" t="s">
        <v>129</v>
      </c>
      <c r="G8" s="690" t="s">
        <v>130</v>
      </c>
      <c r="H8" s="690" t="s">
        <v>132</v>
      </c>
      <c r="I8" s="691">
        <v>0</v>
      </c>
      <c r="J8" s="691">
        <v>0</v>
      </c>
      <c r="K8" s="691">
        <v>0</v>
      </c>
      <c r="L8" s="692"/>
      <c r="M8" s="691">
        <v>0</v>
      </c>
      <c r="N8" s="693">
        <v>0</v>
      </c>
      <c r="P8" s="475">
        <v>0</v>
      </c>
      <c r="Q8" s="631">
        <f t="shared" ref="Q8:Q71" si="0">P8-I8</f>
        <v>0</v>
      </c>
    </row>
    <row r="9" spans="1:21" hidden="1" outlineLevel="1" x14ac:dyDescent="0.4">
      <c r="A9" s="475" t="s">
        <v>15</v>
      </c>
      <c r="B9" s="475" t="s">
        <v>1</v>
      </c>
      <c r="C9" s="475" t="s">
        <v>18</v>
      </c>
      <c r="D9" s="688" t="s">
        <v>549</v>
      </c>
      <c r="E9" s="689" t="s">
        <v>128</v>
      </c>
      <c r="F9" s="690" t="s">
        <v>129</v>
      </c>
      <c r="G9" s="690" t="s">
        <v>130</v>
      </c>
      <c r="H9" s="690" t="s">
        <v>133</v>
      </c>
      <c r="I9" s="691">
        <v>0</v>
      </c>
      <c r="J9" s="691">
        <v>0</v>
      </c>
      <c r="K9" s="691">
        <v>0</v>
      </c>
      <c r="L9" s="692"/>
      <c r="M9" s="691">
        <v>0</v>
      </c>
      <c r="N9" s="693">
        <v>0</v>
      </c>
      <c r="P9" s="475">
        <v>0</v>
      </c>
      <c r="Q9" s="631">
        <f t="shared" si="0"/>
        <v>0</v>
      </c>
    </row>
    <row r="10" spans="1:21" hidden="1" outlineLevel="1" x14ac:dyDescent="0.4">
      <c r="A10" s="475" t="s">
        <v>15</v>
      </c>
      <c r="B10" s="475" t="s">
        <v>1</v>
      </c>
      <c r="C10" s="475" t="s">
        <v>23</v>
      </c>
      <c r="D10" s="688" t="s">
        <v>549</v>
      </c>
      <c r="E10" s="689" t="s">
        <v>128</v>
      </c>
      <c r="F10" s="690" t="s">
        <v>129</v>
      </c>
      <c r="G10" s="690" t="s">
        <v>130</v>
      </c>
      <c r="H10" s="690" t="s">
        <v>134</v>
      </c>
      <c r="I10" s="691">
        <v>1013747020</v>
      </c>
      <c r="J10" s="691">
        <v>959310827.99423397</v>
      </c>
      <c r="K10" s="691">
        <v>1013747020</v>
      </c>
      <c r="L10" s="692">
        <v>1.0567451032733399</v>
      </c>
      <c r="M10" s="691">
        <v>1013747020</v>
      </c>
      <c r="N10" s="694">
        <v>0</v>
      </c>
      <c r="P10" s="475">
        <v>1013747020</v>
      </c>
      <c r="Q10" s="631">
        <f t="shared" si="0"/>
        <v>0</v>
      </c>
    </row>
    <row r="11" spans="1:21" hidden="1" outlineLevel="1" x14ac:dyDescent="0.4">
      <c r="A11" s="475" t="s">
        <v>15</v>
      </c>
      <c r="B11" s="475" t="s">
        <v>1</v>
      </c>
      <c r="C11" s="475" t="s">
        <v>22</v>
      </c>
      <c r="D11" s="688" t="s">
        <v>549</v>
      </c>
      <c r="E11" s="689" t="s">
        <v>128</v>
      </c>
      <c r="F11" s="690" t="s">
        <v>129</v>
      </c>
      <c r="G11" s="690" t="s">
        <v>130</v>
      </c>
      <c r="H11" s="690" t="s">
        <v>135</v>
      </c>
      <c r="I11" s="691">
        <v>4869898150</v>
      </c>
      <c r="J11" s="691">
        <v>4405740000</v>
      </c>
      <c r="K11" s="691">
        <v>4869898150</v>
      </c>
      <c r="L11" s="692">
        <v>1.1053530507928293</v>
      </c>
      <c r="M11" s="691">
        <v>4869898150</v>
      </c>
      <c r="N11" s="694">
        <v>0</v>
      </c>
      <c r="P11" s="475">
        <v>4869898150</v>
      </c>
      <c r="Q11" s="631">
        <f t="shared" si="0"/>
        <v>0</v>
      </c>
      <c r="R11" s="631">
        <f>R12-K133</f>
        <v>0</v>
      </c>
      <c r="S11" s="631">
        <f>S12-K144</f>
        <v>0</v>
      </c>
    </row>
    <row r="12" spans="1:21" hidden="1" outlineLevel="1" x14ac:dyDescent="0.4">
      <c r="A12" s="475" t="s">
        <v>15</v>
      </c>
      <c r="B12" s="475" t="s">
        <v>1</v>
      </c>
      <c r="C12" s="475" t="s">
        <v>46</v>
      </c>
      <c r="D12" s="688" t="s">
        <v>549</v>
      </c>
      <c r="E12" s="689" t="s">
        <v>128</v>
      </c>
      <c r="F12" s="690" t="s">
        <v>129</v>
      </c>
      <c r="G12" s="690" t="s">
        <v>130</v>
      </c>
      <c r="H12" s="690" t="s">
        <v>136</v>
      </c>
      <c r="I12" s="691">
        <v>0</v>
      </c>
      <c r="J12" s="691">
        <v>0</v>
      </c>
      <c r="K12" s="691">
        <v>0</v>
      </c>
      <c r="L12" s="692"/>
      <c r="M12" s="691">
        <v>0</v>
      </c>
      <c r="N12" s="694">
        <v>0</v>
      </c>
      <c r="P12" s="475">
        <v>0</v>
      </c>
      <c r="Q12" s="631">
        <f t="shared" si="0"/>
        <v>0</v>
      </c>
      <c r="R12" s="695">
        <f t="shared" ref="R12:T12" si="1">SUM(R14:R25)</f>
        <v>12361988503</v>
      </c>
      <c r="S12" s="695">
        <f t="shared" si="1"/>
        <v>15101542896</v>
      </c>
      <c r="T12" s="695">
        <f t="shared" si="1"/>
        <v>27463531399</v>
      </c>
    </row>
    <row r="13" spans="1:21" hidden="1" outlineLevel="1" x14ac:dyDescent="0.4">
      <c r="A13" s="475" t="s">
        <v>15</v>
      </c>
      <c r="B13" s="475" t="s">
        <v>1</v>
      </c>
      <c r="C13" s="475" t="s">
        <v>26</v>
      </c>
      <c r="D13" s="688" t="s">
        <v>549</v>
      </c>
      <c r="E13" s="689" t="s">
        <v>128</v>
      </c>
      <c r="F13" s="690" t="s">
        <v>129</v>
      </c>
      <c r="G13" s="690" t="s">
        <v>130</v>
      </c>
      <c r="H13" s="690" t="s">
        <v>137</v>
      </c>
      <c r="I13" s="691">
        <v>0</v>
      </c>
      <c r="J13" s="691">
        <v>490500000</v>
      </c>
      <c r="K13" s="691">
        <v>0</v>
      </c>
      <c r="L13" s="692">
        <v>0</v>
      </c>
      <c r="M13" s="691">
        <v>0</v>
      </c>
      <c r="N13" s="696">
        <v>0</v>
      </c>
      <c r="P13" s="475">
        <v>0</v>
      </c>
      <c r="Q13" s="631">
        <f t="shared" si="0"/>
        <v>0</v>
      </c>
      <c r="R13" s="697" t="s">
        <v>138</v>
      </c>
      <c r="S13" s="697" t="s">
        <v>139</v>
      </c>
      <c r="T13" s="697" t="s">
        <v>140</v>
      </c>
      <c r="U13" s="698"/>
    </row>
    <row r="14" spans="1:21" hidden="1" outlineLevel="1" x14ac:dyDescent="0.4">
      <c r="A14" s="475" t="s">
        <v>15</v>
      </c>
      <c r="B14" s="475" t="s">
        <v>1</v>
      </c>
      <c r="C14" s="475" t="s">
        <v>25</v>
      </c>
      <c r="D14" s="688" t="s">
        <v>549</v>
      </c>
      <c r="E14" s="689" t="s">
        <v>128</v>
      </c>
      <c r="F14" s="690" t="s">
        <v>129</v>
      </c>
      <c r="G14" s="690" t="s">
        <v>130</v>
      </c>
      <c r="H14" s="690" t="s">
        <v>141</v>
      </c>
      <c r="I14" s="691">
        <v>439139429</v>
      </c>
      <c r="J14" s="691">
        <v>0</v>
      </c>
      <c r="K14" s="691">
        <v>439139429</v>
      </c>
      <c r="L14" s="692"/>
      <c r="M14" s="691">
        <v>439139429</v>
      </c>
      <c r="N14" s="693">
        <v>0</v>
      </c>
      <c r="P14" s="475">
        <v>439139429</v>
      </c>
      <c r="Q14" s="631">
        <f t="shared" si="0"/>
        <v>0</v>
      </c>
      <c r="R14" s="699">
        <f>SUM(K123:K124)</f>
        <v>0</v>
      </c>
      <c r="S14" s="699">
        <f>SUM(K134:K135)</f>
        <v>0</v>
      </c>
      <c r="T14" s="699">
        <f t="shared" ref="T14:T23" si="2">SUM(R14:S14)</f>
        <v>0</v>
      </c>
      <c r="U14" s="698"/>
    </row>
    <row r="15" spans="1:21" hidden="1" outlineLevel="1" x14ac:dyDescent="0.4">
      <c r="A15" s="475" t="s">
        <v>15</v>
      </c>
      <c r="B15" s="475" t="s">
        <v>1</v>
      </c>
      <c r="C15" s="475" t="s">
        <v>27</v>
      </c>
      <c r="D15" s="688" t="s">
        <v>549</v>
      </c>
      <c r="E15" s="700" t="s">
        <v>128</v>
      </c>
      <c r="F15" s="701" t="s">
        <v>129</v>
      </c>
      <c r="G15" s="701" t="s">
        <v>130</v>
      </c>
      <c r="H15" s="701" t="s">
        <v>142</v>
      </c>
      <c r="I15" s="702">
        <v>67266666</v>
      </c>
      <c r="J15" s="702">
        <v>0</v>
      </c>
      <c r="K15" s="702">
        <v>67266666</v>
      </c>
      <c r="L15" s="703"/>
      <c r="M15" s="702">
        <v>67266666</v>
      </c>
      <c r="N15" s="704">
        <v>0</v>
      </c>
      <c r="P15" s="475">
        <v>67266666</v>
      </c>
      <c r="Q15" s="631">
        <f t="shared" si="0"/>
        <v>0</v>
      </c>
      <c r="R15" s="699">
        <f>K126</f>
        <v>166471840</v>
      </c>
      <c r="S15" s="699">
        <f>K137</f>
        <v>190623740</v>
      </c>
      <c r="T15" s="699">
        <f t="shared" si="2"/>
        <v>357095580</v>
      </c>
      <c r="U15" s="698"/>
    </row>
    <row r="16" spans="1:21" ht="14.4" hidden="1" outlineLevel="1" thickBot="1" x14ac:dyDescent="0.45">
      <c r="A16" s="475" t="s">
        <v>15</v>
      </c>
      <c r="B16" s="475" t="s">
        <v>1</v>
      </c>
      <c r="C16" s="475" t="s">
        <v>28</v>
      </c>
      <c r="D16" s="688" t="s">
        <v>549</v>
      </c>
      <c r="E16" s="705" t="s">
        <v>128</v>
      </c>
      <c r="F16" s="705" t="s">
        <v>129</v>
      </c>
      <c r="G16" s="705" t="s">
        <v>130</v>
      </c>
      <c r="H16" s="705" t="s">
        <v>143</v>
      </c>
      <c r="I16" s="706">
        <v>39867000</v>
      </c>
      <c r="J16" s="706">
        <v>0</v>
      </c>
      <c r="K16" s="706">
        <v>39867000</v>
      </c>
      <c r="L16" s="707"/>
      <c r="M16" s="706">
        <v>39867000</v>
      </c>
      <c r="N16" s="708">
        <v>0</v>
      </c>
      <c r="P16" s="475">
        <v>39867000</v>
      </c>
      <c r="Q16" s="631">
        <f t="shared" si="0"/>
        <v>0</v>
      </c>
      <c r="R16" s="699">
        <f>K127</f>
        <v>7377697800</v>
      </c>
      <c r="S16" s="699">
        <f>K138</f>
        <v>8035017050</v>
      </c>
      <c r="T16" s="699">
        <f t="shared" si="2"/>
        <v>15412714850</v>
      </c>
      <c r="U16" s="698"/>
    </row>
    <row r="17" spans="1:21" ht="18.75" hidden="1" customHeight="1" outlineLevel="1" thickBot="1" x14ac:dyDescent="0.45">
      <c r="D17" s="709"/>
      <c r="E17" s="818" t="s">
        <v>144</v>
      </c>
      <c r="F17" s="818"/>
      <c r="G17" s="818"/>
      <c r="H17" s="819"/>
      <c r="I17" s="710">
        <v>6732515545</v>
      </c>
      <c r="J17" s="710">
        <v>6591863327.9942341</v>
      </c>
      <c r="K17" s="710">
        <v>6732515545</v>
      </c>
      <c r="L17" s="711">
        <v>1.0213372471495952</v>
      </c>
      <c r="M17" s="712">
        <v>6732515545</v>
      </c>
      <c r="N17" s="713">
        <v>0</v>
      </c>
      <c r="P17" s="475">
        <v>6732515545</v>
      </c>
      <c r="Q17" s="631">
        <f t="shared" si="0"/>
        <v>0</v>
      </c>
      <c r="R17" s="699">
        <f>K125</f>
        <v>4528225660</v>
      </c>
      <c r="S17" s="699">
        <f>K136</f>
        <v>6019051822</v>
      </c>
      <c r="T17" s="699">
        <f t="shared" si="2"/>
        <v>10547277482</v>
      </c>
      <c r="U17" s="698"/>
    </row>
    <row r="18" spans="1:21" hidden="1" outlineLevel="1" x14ac:dyDescent="0.4">
      <c r="A18" s="475" t="s">
        <v>15</v>
      </c>
      <c r="B18" s="475" t="s">
        <v>1</v>
      </c>
      <c r="C18" s="475" t="s">
        <v>127</v>
      </c>
      <c r="D18" s="682" t="s">
        <v>3</v>
      </c>
      <c r="E18" s="689" t="s">
        <v>128</v>
      </c>
      <c r="F18" s="690" t="s">
        <v>129</v>
      </c>
      <c r="G18" s="690" t="s">
        <v>130</v>
      </c>
      <c r="H18" s="690" t="s">
        <v>131</v>
      </c>
      <c r="I18" s="691">
        <v>5372064744</v>
      </c>
      <c r="J18" s="691">
        <v>3253527000</v>
      </c>
      <c r="K18" s="691">
        <v>5372064744</v>
      </c>
      <c r="L18" s="692">
        <v>1.6511511181557736</v>
      </c>
      <c r="M18" s="691">
        <v>5372064744</v>
      </c>
      <c r="N18" s="687">
        <v>0</v>
      </c>
      <c r="P18" s="475">
        <v>5372064744</v>
      </c>
      <c r="Q18" s="631">
        <f t="shared" si="0"/>
        <v>0</v>
      </c>
      <c r="R18" s="699">
        <f>K128</f>
        <v>0</v>
      </c>
      <c r="S18" s="699">
        <f>K139</f>
        <v>134600000</v>
      </c>
      <c r="T18" s="699">
        <f t="shared" si="2"/>
        <v>134600000</v>
      </c>
      <c r="U18" s="698"/>
    </row>
    <row r="19" spans="1:21" hidden="1" outlineLevel="1" x14ac:dyDescent="0.4">
      <c r="A19" s="475" t="s">
        <v>15</v>
      </c>
      <c r="B19" s="475" t="s">
        <v>1</v>
      </c>
      <c r="C19" s="475" t="s">
        <v>47</v>
      </c>
      <c r="D19" s="688" t="s">
        <v>550</v>
      </c>
      <c r="E19" s="689" t="s">
        <v>128</v>
      </c>
      <c r="F19" s="690" t="s">
        <v>129</v>
      </c>
      <c r="G19" s="690" t="s">
        <v>130</v>
      </c>
      <c r="H19" s="690" t="s">
        <v>132</v>
      </c>
      <c r="I19" s="691">
        <v>0</v>
      </c>
      <c r="J19" s="691">
        <v>0</v>
      </c>
      <c r="K19" s="691">
        <v>0</v>
      </c>
      <c r="L19" s="692"/>
      <c r="M19" s="691">
        <v>0</v>
      </c>
      <c r="N19" s="694">
        <v>0</v>
      </c>
      <c r="P19" s="475">
        <v>0</v>
      </c>
      <c r="Q19" s="631">
        <f t="shared" si="0"/>
        <v>0</v>
      </c>
      <c r="R19" s="699">
        <f>K129</f>
        <v>38500000</v>
      </c>
      <c r="S19" s="699">
        <f>K140</f>
        <v>46875000</v>
      </c>
      <c r="T19" s="699">
        <f t="shared" si="2"/>
        <v>85375000</v>
      </c>
      <c r="U19" s="698"/>
    </row>
    <row r="20" spans="1:21" hidden="1" outlineLevel="1" x14ac:dyDescent="0.4">
      <c r="A20" s="475" t="s">
        <v>15</v>
      </c>
      <c r="B20" s="475" t="s">
        <v>1</v>
      </c>
      <c r="C20" s="475" t="s">
        <v>18</v>
      </c>
      <c r="D20" s="688" t="s">
        <v>550</v>
      </c>
      <c r="E20" s="689" t="s">
        <v>128</v>
      </c>
      <c r="F20" s="690" t="s">
        <v>129</v>
      </c>
      <c r="G20" s="690" t="s">
        <v>130</v>
      </c>
      <c r="H20" s="690" t="s">
        <v>133</v>
      </c>
      <c r="I20" s="691">
        <v>0</v>
      </c>
      <c r="J20" s="691">
        <v>0</v>
      </c>
      <c r="K20" s="691">
        <v>0</v>
      </c>
      <c r="L20" s="692"/>
      <c r="M20" s="691">
        <v>0</v>
      </c>
      <c r="N20" s="694">
        <v>0</v>
      </c>
      <c r="P20" s="475">
        <v>0</v>
      </c>
      <c r="Q20" s="631">
        <f t="shared" si="0"/>
        <v>0</v>
      </c>
      <c r="R20" s="699">
        <f>K130</f>
        <v>110001036</v>
      </c>
      <c r="S20" s="699">
        <f>K141</f>
        <v>476323136</v>
      </c>
      <c r="T20" s="699">
        <f t="shared" si="2"/>
        <v>586324172</v>
      </c>
      <c r="U20" s="698"/>
    </row>
    <row r="21" spans="1:21" hidden="1" outlineLevel="1" x14ac:dyDescent="0.4">
      <c r="A21" s="475" t="s">
        <v>15</v>
      </c>
      <c r="B21" s="475" t="s">
        <v>1</v>
      </c>
      <c r="C21" s="475" t="s">
        <v>23</v>
      </c>
      <c r="D21" s="688" t="s">
        <v>550</v>
      </c>
      <c r="E21" s="689" t="s">
        <v>128</v>
      </c>
      <c r="F21" s="690" t="s">
        <v>129</v>
      </c>
      <c r="G21" s="690" t="s">
        <v>130</v>
      </c>
      <c r="H21" s="690" t="s">
        <v>134</v>
      </c>
      <c r="I21" s="691">
        <v>684982200</v>
      </c>
      <c r="J21" s="691">
        <v>959310827.9942342</v>
      </c>
      <c r="K21" s="691">
        <v>684982200</v>
      </c>
      <c r="L21" s="692">
        <v>0.71403572232389834</v>
      </c>
      <c r="M21" s="691">
        <v>684982200</v>
      </c>
      <c r="N21" s="714">
        <v>0</v>
      </c>
      <c r="P21" s="475">
        <v>684982200</v>
      </c>
      <c r="Q21" s="631">
        <f t="shared" si="0"/>
        <v>0</v>
      </c>
      <c r="R21" s="699">
        <f>K131</f>
        <v>125354167</v>
      </c>
      <c r="S21" s="699">
        <f>K142</f>
        <v>31604167</v>
      </c>
      <c r="T21" s="699">
        <f t="shared" si="2"/>
        <v>156958334</v>
      </c>
      <c r="U21" s="698"/>
    </row>
    <row r="22" spans="1:21" hidden="1" outlineLevel="1" x14ac:dyDescent="0.4">
      <c r="A22" s="475" t="s">
        <v>15</v>
      </c>
      <c r="B22" s="475" t="s">
        <v>1</v>
      </c>
      <c r="C22" s="475" t="s">
        <v>22</v>
      </c>
      <c r="D22" s="688" t="s">
        <v>550</v>
      </c>
      <c r="E22" s="689" t="s">
        <v>128</v>
      </c>
      <c r="F22" s="690" t="s">
        <v>129</v>
      </c>
      <c r="G22" s="690" t="s">
        <v>130</v>
      </c>
      <c r="H22" s="690" t="s">
        <v>135</v>
      </c>
      <c r="I22" s="691">
        <v>4437683550</v>
      </c>
      <c r="J22" s="691">
        <v>478662462.07895321</v>
      </c>
      <c r="K22" s="691">
        <v>4437683550</v>
      </c>
      <c r="L22" s="692"/>
      <c r="M22" s="691">
        <v>4437683550</v>
      </c>
      <c r="N22" s="694">
        <v>0</v>
      </c>
      <c r="P22" s="475">
        <v>4437683550</v>
      </c>
      <c r="Q22" s="631">
        <f t="shared" si="0"/>
        <v>0</v>
      </c>
      <c r="R22" s="699">
        <f>K132</f>
        <v>15738000</v>
      </c>
      <c r="S22" s="699">
        <f>K143</f>
        <v>167447981</v>
      </c>
      <c r="T22" s="699">
        <f t="shared" si="2"/>
        <v>183185981</v>
      </c>
      <c r="U22" s="698"/>
    </row>
    <row r="23" spans="1:21" hidden="1" outlineLevel="1" x14ac:dyDescent="0.4">
      <c r="A23" s="475" t="s">
        <v>15</v>
      </c>
      <c r="B23" s="475" t="s">
        <v>1</v>
      </c>
      <c r="C23" s="475" t="s">
        <v>46</v>
      </c>
      <c r="D23" s="688" t="s">
        <v>550</v>
      </c>
      <c r="E23" s="689" t="s">
        <v>128</v>
      </c>
      <c r="F23" s="690" t="s">
        <v>129</v>
      </c>
      <c r="G23" s="690" t="s">
        <v>130</v>
      </c>
      <c r="H23" s="690" t="s">
        <v>136</v>
      </c>
      <c r="I23" s="691">
        <v>40000000</v>
      </c>
      <c r="J23" s="691">
        <v>40000000</v>
      </c>
      <c r="K23" s="691">
        <v>40000000</v>
      </c>
      <c r="L23" s="692">
        <v>1</v>
      </c>
      <c r="M23" s="691">
        <v>40000000</v>
      </c>
      <c r="N23" s="694">
        <v>0</v>
      </c>
      <c r="P23" s="475">
        <v>40000000</v>
      </c>
      <c r="Q23" s="631">
        <f t="shared" si="0"/>
        <v>0</v>
      </c>
      <c r="R23" s="699"/>
      <c r="S23" s="699"/>
      <c r="T23" s="699">
        <f t="shared" si="2"/>
        <v>0</v>
      </c>
      <c r="U23" s="698"/>
    </row>
    <row r="24" spans="1:21" hidden="1" outlineLevel="1" x14ac:dyDescent="0.4">
      <c r="A24" s="475" t="s">
        <v>15</v>
      </c>
      <c r="B24" s="475" t="s">
        <v>1</v>
      </c>
      <c r="C24" s="475" t="s">
        <v>26</v>
      </c>
      <c r="D24" s="688" t="s">
        <v>550</v>
      </c>
      <c r="E24" s="689" t="s">
        <v>128</v>
      </c>
      <c r="F24" s="690" t="s">
        <v>129</v>
      </c>
      <c r="G24" s="690" t="s">
        <v>130</v>
      </c>
      <c r="H24" s="690" t="s">
        <v>137</v>
      </c>
      <c r="I24" s="691">
        <v>0</v>
      </c>
      <c r="J24" s="691">
        <v>766500000</v>
      </c>
      <c r="K24" s="691">
        <v>0</v>
      </c>
      <c r="L24" s="692">
        <v>0</v>
      </c>
      <c r="M24" s="691">
        <v>0</v>
      </c>
      <c r="N24" s="694">
        <v>0</v>
      </c>
      <c r="P24" s="475">
        <v>0</v>
      </c>
      <c r="Q24" s="631">
        <f t="shared" si="0"/>
        <v>0</v>
      </c>
      <c r="R24" s="699"/>
      <c r="S24" s="699"/>
      <c r="T24" s="699"/>
      <c r="U24" s="698"/>
    </row>
    <row r="25" spans="1:21" hidden="1" outlineLevel="1" x14ac:dyDescent="0.4">
      <c r="A25" s="475" t="s">
        <v>15</v>
      </c>
      <c r="B25" s="475" t="s">
        <v>1</v>
      </c>
      <c r="C25" s="475" t="s">
        <v>25</v>
      </c>
      <c r="D25" s="688" t="s">
        <v>550</v>
      </c>
      <c r="E25" s="689" t="s">
        <v>128</v>
      </c>
      <c r="F25" s="690" t="s">
        <v>129</v>
      </c>
      <c r="G25" s="690" t="s">
        <v>130</v>
      </c>
      <c r="H25" s="690" t="s">
        <v>141</v>
      </c>
      <c r="I25" s="691">
        <v>14069429</v>
      </c>
      <c r="J25" s="691">
        <v>162000000</v>
      </c>
      <c r="K25" s="691">
        <v>14069429</v>
      </c>
      <c r="L25" s="692">
        <v>8.684832716049383E-2</v>
      </c>
      <c r="M25" s="691">
        <v>14069429</v>
      </c>
      <c r="N25" s="714">
        <v>0</v>
      </c>
      <c r="P25" s="475">
        <v>14069429</v>
      </c>
      <c r="Q25" s="631">
        <f t="shared" si="0"/>
        <v>0</v>
      </c>
      <c r="R25" s="698"/>
      <c r="S25" s="698"/>
      <c r="T25" s="698"/>
      <c r="U25" s="698"/>
    </row>
    <row r="26" spans="1:21" hidden="1" outlineLevel="1" x14ac:dyDescent="0.4">
      <c r="A26" s="475" t="s">
        <v>15</v>
      </c>
      <c r="B26" s="475" t="s">
        <v>1</v>
      </c>
      <c r="C26" s="475" t="s">
        <v>27</v>
      </c>
      <c r="D26" s="688" t="s">
        <v>550</v>
      </c>
      <c r="E26" s="689" t="s">
        <v>128</v>
      </c>
      <c r="F26" s="690" t="s">
        <v>129</v>
      </c>
      <c r="G26" s="690" t="s">
        <v>130</v>
      </c>
      <c r="H26" s="690" t="s">
        <v>142</v>
      </c>
      <c r="I26" s="691">
        <v>119041667</v>
      </c>
      <c r="J26" s="702">
        <v>93750000</v>
      </c>
      <c r="K26" s="691">
        <v>119041667</v>
      </c>
      <c r="L26" s="703">
        <v>1.2697777813333333</v>
      </c>
      <c r="M26" s="702">
        <v>119041667</v>
      </c>
      <c r="N26" s="694">
        <v>0</v>
      </c>
      <c r="P26" s="475">
        <v>119041667</v>
      </c>
      <c r="Q26" s="631">
        <f t="shared" si="0"/>
        <v>0</v>
      </c>
      <c r="U26" s="698"/>
    </row>
    <row r="27" spans="1:21" ht="14.4" hidden="1" outlineLevel="1" thickBot="1" x14ac:dyDescent="0.45">
      <c r="A27" s="475" t="s">
        <v>15</v>
      </c>
      <c r="B27" s="475" t="s">
        <v>1</v>
      </c>
      <c r="C27" s="475" t="s">
        <v>28</v>
      </c>
      <c r="D27" s="688" t="s">
        <v>550</v>
      </c>
      <c r="E27" s="705" t="s">
        <v>128</v>
      </c>
      <c r="F27" s="705" t="s">
        <v>129</v>
      </c>
      <c r="G27" s="705" t="s">
        <v>130</v>
      </c>
      <c r="H27" s="705" t="s">
        <v>143</v>
      </c>
      <c r="I27" s="715">
        <v>31089600</v>
      </c>
      <c r="J27" s="706">
        <v>0</v>
      </c>
      <c r="K27" s="715">
        <v>31089600</v>
      </c>
      <c r="L27" s="707"/>
      <c r="M27" s="706">
        <v>31089600</v>
      </c>
      <c r="N27" s="708">
        <v>0</v>
      </c>
      <c r="P27" s="475">
        <v>31089600</v>
      </c>
      <c r="Q27" s="631">
        <f t="shared" si="0"/>
        <v>0</v>
      </c>
    </row>
    <row r="28" spans="1:21" ht="14.4" hidden="1" outlineLevel="1" thickBot="1" x14ac:dyDescent="0.45">
      <c r="D28" s="709"/>
      <c r="E28" s="818" t="s">
        <v>145</v>
      </c>
      <c r="F28" s="818"/>
      <c r="G28" s="818"/>
      <c r="H28" s="819"/>
      <c r="I28" s="710">
        <v>10698931190</v>
      </c>
      <c r="J28" s="710">
        <v>5753750290.0731869</v>
      </c>
      <c r="K28" s="710">
        <v>10698931190</v>
      </c>
      <c r="L28" s="711">
        <v>1.8594708930032331</v>
      </c>
      <c r="M28" s="712">
        <v>10698931190</v>
      </c>
      <c r="N28" s="713">
        <v>0</v>
      </c>
      <c r="P28" s="475">
        <v>10698931190</v>
      </c>
      <c r="Q28" s="631">
        <f t="shared" si="0"/>
        <v>0</v>
      </c>
    </row>
    <row r="29" spans="1:21" hidden="1" outlineLevel="1" x14ac:dyDescent="0.4">
      <c r="A29" s="475" t="s">
        <v>15</v>
      </c>
      <c r="B29" s="475" t="s">
        <v>1</v>
      </c>
      <c r="C29" s="475" t="s">
        <v>127</v>
      </c>
      <c r="D29" s="688" t="s">
        <v>4</v>
      </c>
      <c r="E29" s="690" t="s">
        <v>146</v>
      </c>
      <c r="F29" s="690" t="s">
        <v>129</v>
      </c>
      <c r="G29" s="690" t="s">
        <v>130</v>
      </c>
      <c r="H29" s="690" t="s">
        <v>131</v>
      </c>
      <c r="I29" s="716">
        <v>2967439150</v>
      </c>
      <c r="J29" s="691">
        <v>2762644500</v>
      </c>
      <c r="K29" s="691">
        <v>2967439150</v>
      </c>
      <c r="L29" s="692">
        <v>1.074129932389057</v>
      </c>
      <c r="M29" s="717">
        <v>2967439150</v>
      </c>
      <c r="N29" s="687">
        <v>0</v>
      </c>
      <c r="P29" s="475">
        <v>2967439150</v>
      </c>
      <c r="Q29" s="631">
        <f t="shared" si="0"/>
        <v>0</v>
      </c>
    </row>
    <row r="30" spans="1:21" hidden="1" outlineLevel="1" x14ac:dyDescent="0.4">
      <c r="A30" s="475" t="s">
        <v>15</v>
      </c>
      <c r="B30" s="475" t="s">
        <v>1</v>
      </c>
      <c r="C30" s="475" t="s">
        <v>47</v>
      </c>
      <c r="D30" s="688" t="s">
        <v>288</v>
      </c>
      <c r="E30" s="690" t="s">
        <v>146</v>
      </c>
      <c r="F30" s="690" t="s">
        <v>129</v>
      </c>
      <c r="G30" s="690" t="s">
        <v>130</v>
      </c>
      <c r="H30" s="690" t="s">
        <v>132</v>
      </c>
      <c r="I30" s="716">
        <v>0</v>
      </c>
      <c r="J30" s="691">
        <v>0</v>
      </c>
      <c r="K30" s="691">
        <v>0</v>
      </c>
      <c r="L30" s="692" t="e">
        <v>#DIV/0!</v>
      </c>
      <c r="M30" s="717">
        <v>0</v>
      </c>
      <c r="N30" s="694">
        <v>0</v>
      </c>
      <c r="P30" s="475">
        <v>0</v>
      </c>
      <c r="Q30" s="631">
        <f t="shared" si="0"/>
        <v>0</v>
      </c>
    </row>
    <row r="31" spans="1:21" hidden="1" outlineLevel="1" x14ac:dyDescent="0.4">
      <c r="A31" s="475" t="s">
        <v>15</v>
      </c>
      <c r="B31" s="475" t="s">
        <v>1</v>
      </c>
      <c r="C31" s="475" t="s">
        <v>18</v>
      </c>
      <c r="D31" s="688" t="s">
        <v>288</v>
      </c>
      <c r="E31" s="689" t="s">
        <v>128</v>
      </c>
      <c r="F31" s="690" t="s">
        <v>129</v>
      </c>
      <c r="G31" s="690" t="s">
        <v>130</v>
      </c>
      <c r="H31" s="690" t="s">
        <v>133</v>
      </c>
      <c r="I31" s="716">
        <v>0</v>
      </c>
      <c r="J31" s="691">
        <v>0</v>
      </c>
      <c r="K31" s="691">
        <v>0</v>
      </c>
      <c r="L31" s="692"/>
      <c r="M31" s="717">
        <v>0</v>
      </c>
      <c r="N31" s="694">
        <v>0</v>
      </c>
      <c r="P31" s="475">
        <v>0</v>
      </c>
      <c r="Q31" s="631">
        <f t="shared" si="0"/>
        <v>0</v>
      </c>
    </row>
    <row r="32" spans="1:21" hidden="1" outlineLevel="1" x14ac:dyDescent="0.4">
      <c r="A32" s="475" t="s">
        <v>15</v>
      </c>
      <c r="B32" s="475" t="s">
        <v>1</v>
      </c>
      <c r="C32" s="475" t="s">
        <v>23</v>
      </c>
      <c r="D32" s="688" t="s">
        <v>288</v>
      </c>
      <c r="E32" s="690" t="s">
        <v>147</v>
      </c>
      <c r="F32" s="690" t="s">
        <v>129</v>
      </c>
      <c r="G32" s="690" t="s">
        <v>130</v>
      </c>
      <c r="H32" s="690" t="s">
        <v>134</v>
      </c>
      <c r="I32" s="691">
        <v>1047403520</v>
      </c>
      <c r="J32" s="691">
        <v>959310827.9942342</v>
      </c>
      <c r="K32" s="691">
        <v>1047403520</v>
      </c>
      <c r="L32" s="692">
        <v>1.0918291438343852</v>
      </c>
      <c r="M32" s="717">
        <v>1047403520</v>
      </c>
      <c r="N32" s="694">
        <v>0</v>
      </c>
      <c r="P32" s="475">
        <v>1047403520</v>
      </c>
      <c r="Q32" s="631">
        <f t="shared" si="0"/>
        <v>0</v>
      </c>
    </row>
    <row r="33" spans="1:20" hidden="1" outlineLevel="1" x14ac:dyDescent="0.4">
      <c r="A33" s="475" t="s">
        <v>15</v>
      </c>
      <c r="B33" s="475" t="s">
        <v>1</v>
      </c>
      <c r="C33" s="475" t="s">
        <v>22</v>
      </c>
      <c r="D33" s="688" t="s">
        <v>288</v>
      </c>
      <c r="E33" s="690" t="s">
        <v>147</v>
      </c>
      <c r="F33" s="690" t="s">
        <v>129</v>
      </c>
      <c r="G33" s="690" t="s">
        <v>130</v>
      </c>
      <c r="H33" s="690" t="s">
        <v>135</v>
      </c>
      <c r="I33" s="716">
        <v>4508694300</v>
      </c>
      <c r="J33" s="691">
        <v>4734489924.1579056</v>
      </c>
      <c r="K33" s="691">
        <v>4508694300</v>
      </c>
      <c r="L33" s="692">
        <v>0.95230835258392355</v>
      </c>
      <c r="M33" s="717">
        <v>4508694300</v>
      </c>
      <c r="N33" s="718">
        <v>0</v>
      </c>
      <c r="P33" s="475">
        <v>4508694300</v>
      </c>
      <c r="Q33" s="631">
        <f t="shared" si="0"/>
        <v>0</v>
      </c>
    </row>
    <row r="34" spans="1:20" hidden="1" outlineLevel="1" x14ac:dyDescent="0.4">
      <c r="A34" s="475" t="s">
        <v>15</v>
      </c>
      <c r="B34" s="475" t="s">
        <v>1</v>
      </c>
      <c r="C34" s="475" t="s">
        <v>46</v>
      </c>
      <c r="D34" s="688" t="s">
        <v>288</v>
      </c>
      <c r="E34" s="690" t="s">
        <v>147</v>
      </c>
      <c r="F34" s="690" t="s">
        <v>129</v>
      </c>
      <c r="G34" s="690" t="s">
        <v>130</v>
      </c>
      <c r="H34" s="690" t="s">
        <v>136</v>
      </c>
      <c r="I34" s="691">
        <v>0</v>
      </c>
      <c r="J34" s="691">
        <v>0</v>
      </c>
      <c r="K34" s="691">
        <v>0</v>
      </c>
      <c r="L34" s="692"/>
      <c r="M34" s="717">
        <v>0</v>
      </c>
      <c r="N34" s="694">
        <v>0</v>
      </c>
      <c r="P34" s="475">
        <v>0</v>
      </c>
      <c r="Q34" s="631">
        <f t="shared" si="0"/>
        <v>0</v>
      </c>
      <c r="R34" s="697">
        <f t="shared" ref="R34:T42" si="3">R14/10^8</f>
        <v>0</v>
      </c>
      <c r="S34" s="697">
        <f t="shared" si="3"/>
        <v>0</v>
      </c>
      <c r="T34" s="697">
        <f t="shared" si="3"/>
        <v>0</v>
      </c>
    </row>
    <row r="35" spans="1:20" hidden="1" outlineLevel="1" x14ac:dyDescent="0.4">
      <c r="A35" s="475" t="s">
        <v>15</v>
      </c>
      <c r="B35" s="475" t="s">
        <v>1</v>
      </c>
      <c r="C35" s="475" t="s">
        <v>26</v>
      </c>
      <c r="D35" s="688" t="s">
        <v>288</v>
      </c>
      <c r="E35" s="690" t="s">
        <v>147</v>
      </c>
      <c r="F35" s="690" t="s">
        <v>129</v>
      </c>
      <c r="G35" s="690" t="s">
        <v>130</v>
      </c>
      <c r="H35" s="690" t="s">
        <v>137</v>
      </c>
      <c r="I35" s="691">
        <v>520375000</v>
      </c>
      <c r="J35" s="691">
        <v>1666750000</v>
      </c>
      <c r="K35" s="691">
        <v>520375000</v>
      </c>
      <c r="L35" s="692">
        <v>0.31220938953052346</v>
      </c>
      <c r="M35" s="717">
        <v>520375000</v>
      </c>
      <c r="N35" s="694">
        <v>0</v>
      </c>
      <c r="P35" s="475">
        <v>520375000</v>
      </c>
      <c r="Q35" s="631">
        <f t="shared" si="0"/>
        <v>0</v>
      </c>
      <c r="R35" s="697">
        <f t="shared" si="3"/>
        <v>1.6647183999999999</v>
      </c>
      <c r="S35" s="697">
        <f t="shared" si="3"/>
        <v>1.9062374</v>
      </c>
      <c r="T35" s="697">
        <f t="shared" si="3"/>
        <v>3.5709558000000001</v>
      </c>
    </row>
    <row r="36" spans="1:20" hidden="1" outlineLevel="1" x14ac:dyDescent="0.4">
      <c r="A36" s="475" t="s">
        <v>15</v>
      </c>
      <c r="B36" s="475" t="s">
        <v>1</v>
      </c>
      <c r="C36" s="475" t="s">
        <v>25</v>
      </c>
      <c r="D36" s="688" t="s">
        <v>288</v>
      </c>
      <c r="E36" s="690" t="s">
        <v>147</v>
      </c>
      <c r="F36" s="690" t="s">
        <v>129</v>
      </c>
      <c r="G36" s="690" t="s">
        <v>130</v>
      </c>
      <c r="H36" s="690" t="s">
        <v>141</v>
      </c>
      <c r="I36" s="716">
        <v>421269829</v>
      </c>
      <c r="J36" s="691">
        <v>505999999.99999994</v>
      </c>
      <c r="K36" s="691">
        <v>421269829</v>
      </c>
      <c r="L36" s="692">
        <v>0.83254906916996052</v>
      </c>
      <c r="M36" s="717">
        <v>421269829</v>
      </c>
      <c r="N36" s="694">
        <v>0</v>
      </c>
      <c r="P36" s="475">
        <v>421269829</v>
      </c>
      <c r="Q36" s="631">
        <f t="shared" si="0"/>
        <v>0</v>
      </c>
      <c r="R36" s="697">
        <f t="shared" si="3"/>
        <v>73.776978</v>
      </c>
      <c r="S36" s="697">
        <f t="shared" si="3"/>
        <v>80.350170500000004</v>
      </c>
      <c r="T36" s="697">
        <f t="shared" si="3"/>
        <v>154.1271485</v>
      </c>
    </row>
    <row r="37" spans="1:20" ht="17.25" hidden="1" customHeight="1" outlineLevel="1" x14ac:dyDescent="0.4">
      <c r="A37" s="475" t="s">
        <v>15</v>
      </c>
      <c r="B37" s="475" t="s">
        <v>1</v>
      </c>
      <c r="C37" s="475" t="s">
        <v>27</v>
      </c>
      <c r="D37" s="688" t="s">
        <v>288</v>
      </c>
      <c r="E37" s="690" t="s">
        <v>147</v>
      </c>
      <c r="F37" s="690" t="s">
        <v>129</v>
      </c>
      <c r="G37" s="690" t="s">
        <v>130</v>
      </c>
      <c r="H37" s="690" t="s">
        <v>142</v>
      </c>
      <c r="I37" s="691">
        <v>25291667</v>
      </c>
      <c r="J37" s="691">
        <v>361875000</v>
      </c>
      <c r="K37" s="691">
        <v>25291667</v>
      </c>
      <c r="L37" s="692">
        <v>6.989061692573402E-2</v>
      </c>
      <c r="M37" s="717">
        <v>25291667</v>
      </c>
      <c r="N37" s="694">
        <v>0</v>
      </c>
      <c r="P37" s="475">
        <v>25291667</v>
      </c>
      <c r="Q37" s="631">
        <f t="shared" si="0"/>
        <v>0</v>
      </c>
      <c r="R37" s="697">
        <f t="shared" si="3"/>
        <v>45.282256599999997</v>
      </c>
      <c r="S37" s="697">
        <f t="shared" si="3"/>
        <v>60.190518220000001</v>
      </c>
      <c r="T37" s="697">
        <f t="shared" si="3"/>
        <v>105.47277482</v>
      </c>
    </row>
    <row r="38" spans="1:20" ht="17.25" hidden="1" customHeight="1" outlineLevel="1" thickBot="1" x14ac:dyDescent="0.45">
      <c r="A38" s="475" t="s">
        <v>15</v>
      </c>
      <c r="B38" s="475" t="s">
        <v>1</v>
      </c>
      <c r="C38" s="475" t="s">
        <v>28</v>
      </c>
      <c r="D38" s="719" t="s">
        <v>288</v>
      </c>
      <c r="E38" s="705" t="s">
        <v>128</v>
      </c>
      <c r="F38" s="705" t="s">
        <v>129</v>
      </c>
      <c r="G38" s="705" t="s">
        <v>130</v>
      </c>
      <c r="H38" s="705" t="s">
        <v>143</v>
      </c>
      <c r="I38" s="706">
        <v>41874000</v>
      </c>
      <c r="J38" s="706">
        <v>0</v>
      </c>
      <c r="K38" s="706">
        <v>41874000</v>
      </c>
      <c r="L38" s="707" t="e">
        <v>#DIV/0!</v>
      </c>
      <c r="M38" s="720">
        <v>41874000</v>
      </c>
      <c r="N38" s="708">
        <v>0</v>
      </c>
      <c r="P38" s="475">
        <v>41874000</v>
      </c>
      <c r="Q38" s="631">
        <f t="shared" si="0"/>
        <v>0</v>
      </c>
      <c r="R38" s="697">
        <f t="shared" si="3"/>
        <v>0</v>
      </c>
      <c r="S38" s="697">
        <f t="shared" si="3"/>
        <v>1.3460000000000001</v>
      </c>
      <c r="T38" s="697">
        <f t="shared" si="3"/>
        <v>1.3460000000000001</v>
      </c>
    </row>
    <row r="39" spans="1:20" ht="14.4" hidden="1" outlineLevel="1" thickBot="1" x14ac:dyDescent="0.45">
      <c r="D39" s="709"/>
      <c r="E39" s="818" t="s">
        <v>148</v>
      </c>
      <c r="F39" s="818"/>
      <c r="G39" s="818"/>
      <c r="H39" s="819"/>
      <c r="I39" s="710">
        <v>9532347466</v>
      </c>
      <c r="J39" s="710">
        <v>10991070252.15214</v>
      </c>
      <c r="K39" s="710">
        <v>9532347466</v>
      </c>
      <c r="L39" s="711">
        <v>0.86728109704634904</v>
      </c>
      <c r="M39" s="712">
        <v>9532347466</v>
      </c>
      <c r="N39" s="721">
        <v>0</v>
      </c>
      <c r="P39" s="475">
        <v>9532347466</v>
      </c>
      <c r="Q39" s="631">
        <f t="shared" si="0"/>
        <v>0</v>
      </c>
      <c r="R39" s="697">
        <f t="shared" si="3"/>
        <v>0.38500000000000001</v>
      </c>
      <c r="S39" s="697">
        <f t="shared" si="3"/>
        <v>0.46875</v>
      </c>
      <c r="T39" s="697">
        <f t="shared" si="3"/>
        <v>0.85375000000000001</v>
      </c>
    </row>
    <row r="40" spans="1:20" ht="18.600000000000001" customHeight="1" collapsed="1" thickBot="1" x14ac:dyDescent="0.45">
      <c r="D40" s="825" t="s">
        <v>149</v>
      </c>
      <c r="E40" s="826"/>
      <c r="F40" s="826"/>
      <c r="G40" s="826"/>
      <c r="H40" s="827"/>
      <c r="I40" s="722">
        <v>26963794201</v>
      </c>
      <c r="J40" s="722">
        <v>23336683870.219559</v>
      </c>
      <c r="K40" s="722">
        <v>26963794201</v>
      </c>
      <c r="L40" s="723">
        <v>1.1554252674009555</v>
      </c>
      <c r="M40" s="724">
        <v>26963794201</v>
      </c>
      <c r="N40" s="725">
        <v>0</v>
      </c>
      <c r="P40" s="475">
        <v>26963794201</v>
      </c>
      <c r="Q40" s="631">
        <f t="shared" si="0"/>
        <v>0</v>
      </c>
      <c r="R40" s="697">
        <f t="shared" si="3"/>
        <v>1.10001036</v>
      </c>
      <c r="S40" s="697">
        <f t="shared" si="3"/>
        <v>4.7632313599999998</v>
      </c>
      <c r="T40" s="697">
        <f t="shared" si="3"/>
        <v>5.8632417200000004</v>
      </c>
    </row>
    <row r="41" spans="1:20" hidden="1" outlineLevel="1" x14ac:dyDescent="0.4">
      <c r="A41" s="475" t="s">
        <v>15</v>
      </c>
      <c r="B41" s="475" t="s">
        <v>150</v>
      </c>
      <c r="C41" s="475" t="s">
        <v>127</v>
      </c>
      <c r="D41" s="726" t="s">
        <v>151</v>
      </c>
      <c r="E41" s="690" t="s">
        <v>128</v>
      </c>
      <c r="F41" s="690" t="s">
        <v>129</v>
      </c>
      <c r="G41" s="690" t="s">
        <v>130</v>
      </c>
      <c r="H41" s="690" t="s">
        <v>131</v>
      </c>
      <c r="I41" s="691">
        <v>1151454672</v>
      </c>
      <c r="J41" s="691">
        <v>1339107000</v>
      </c>
      <c r="K41" s="691">
        <v>1151454672</v>
      </c>
      <c r="L41" s="692">
        <v>0.85986756248753837</v>
      </c>
      <c r="M41" s="691">
        <v>1151454672</v>
      </c>
      <c r="N41" s="687">
        <v>0</v>
      </c>
      <c r="P41" s="475">
        <v>1151454672</v>
      </c>
      <c r="Q41" s="631">
        <f t="shared" si="0"/>
        <v>0</v>
      </c>
      <c r="R41" s="697">
        <f t="shared" si="3"/>
        <v>1.2535416699999999</v>
      </c>
      <c r="S41" s="697">
        <f t="shared" si="3"/>
        <v>0.31604167</v>
      </c>
      <c r="T41" s="697">
        <f t="shared" si="3"/>
        <v>1.5695833400000001</v>
      </c>
    </row>
    <row r="42" spans="1:20" hidden="1" outlineLevel="1" x14ac:dyDescent="0.4">
      <c r="A42" s="475" t="s">
        <v>15</v>
      </c>
      <c r="B42" s="475" t="s">
        <v>150</v>
      </c>
      <c r="C42" s="475" t="s">
        <v>47</v>
      </c>
      <c r="D42" s="688" t="s">
        <v>289</v>
      </c>
      <c r="E42" s="690" t="s">
        <v>128</v>
      </c>
      <c r="F42" s="690" t="s">
        <v>129</v>
      </c>
      <c r="G42" s="690" t="s">
        <v>130</v>
      </c>
      <c r="H42" s="690" t="s">
        <v>132</v>
      </c>
      <c r="I42" s="691">
        <v>0</v>
      </c>
      <c r="J42" s="691">
        <v>0</v>
      </c>
      <c r="K42" s="691">
        <v>0</v>
      </c>
      <c r="L42" s="692"/>
      <c r="M42" s="691">
        <v>0</v>
      </c>
      <c r="N42" s="694">
        <v>0</v>
      </c>
      <c r="P42" s="475">
        <v>0</v>
      </c>
      <c r="Q42" s="631">
        <f t="shared" si="0"/>
        <v>0</v>
      </c>
      <c r="R42" s="697">
        <f t="shared" si="3"/>
        <v>0.15737999999999999</v>
      </c>
      <c r="S42" s="697">
        <f t="shared" si="3"/>
        <v>1.67447981</v>
      </c>
      <c r="T42" s="697">
        <f t="shared" si="3"/>
        <v>1.8318598100000001</v>
      </c>
    </row>
    <row r="43" spans="1:20" hidden="1" outlineLevel="1" x14ac:dyDescent="0.4">
      <c r="A43" s="475" t="s">
        <v>15</v>
      </c>
      <c r="B43" s="475" t="s">
        <v>150</v>
      </c>
      <c r="C43" s="475" t="s">
        <v>18</v>
      </c>
      <c r="D43" s="688" t="s">
        <v>289</v>
      </c>
      <c r="E43" s="689" t="s">
        <v>128</v>
      </c>
      <c r="F43" s="690" t="s">
        <v>129</v>
      </c>
      <c r="G43" s="690" t="s">
        <v>130</v>
      </c>
      <c r="H43" s="690" t="s">
        <v>133</v>
      </c>
      <c r="I43" s="691">
        <v>0</v>
      </c>
      <c r="J43" s="691">
        <v>0</v>
      </c>
      <c r="K43" s="691">
        <v>0</v>
      </c>
      <c r="L43" s="692"/>
      <c r="M43" s="691">
        <v>0</v>
      </c>
      <c r="N43" s="694">
        <v>0</v>
      </c>
      <c r="P43" s="475">
        <v>0</v>
      </c>
      <c r="Q43" s="631">
        <f t="shared" si="0"/>
        <v>0</v>
      </c>
    </row>
    <row r="44" spans="1:20" hidden="1" outlineLevel="1" x14ac:dyDescent="0.4">
      <c r="A44" s="475" t="s">
        <v>15</v>
      </c>
      <c r="B44" s="475" t="s">
        <v>150</v>
      </c>
      <c r="C44" s="475" t="s">
        <v>23</v>
      </c>
      <c r="D44" s="688" t="s">
        <v>289</v>
      </c>
      <c r="E44" s="690" t="s">
        <v>128</v>
      </c>
      <c r="F44" s="690" t="s">
        <v>129</v>
      </c>
      <c r="G44" s="690" t="s">
        <v>130</v>
      </c>
      <c r="H44" s="690" t="s">
        <v>134</v>
      </c>
      <c r="I44" s="691">
        <v>1304419840</v>
      </c>
      <c r="J44" s="691">
        <v>762190827.99423397</v>
      </c>
      <c r="K44" s="691">
        <v>1304419840</v>
      </c>
      <c r="L44" s="692">
        <v>1.7114084715932425</v>
      </c>
      <c r="M44" s="691">
        <v>1304419840</v>
      </c>
      <c r="N44" s="694">
        <v>0</v>
      </c>
      <c r="P44" s="475">
        <v>1304419840</v>
      </c>
      <c r="Q44" s="631">
        <f t="shared" si="0"/>
        <v>0</v>
      </c>
    </row>
    <row r="45" spans="1:20" hidden="1" outlineLevel="1" x14ac:dyDescent="0.4">
      <c r="A45" s="475" t="s">
        <v>15</v>
      </c>
      <c r="B45" s="475" t="s">
        <v>150</v>
      </c>
      <c r="C45" s="475" t="s">
        <v>22</v>
      </c>
      <c r="D45" s="688" t="s">
        <v>289</v>
      </c>
      <c r="E45" s="690" t="s">
        <v>128</v>
      </c>
      <c r="F45" s="690" t="s">
        <v>129</v>
      </c>
      <c r="G45" s="690" t="s">
        <v>130</v>
      </c>
      <c r="H45" s="690" t="s">
        <v>135</v>
      </c>
      <c r="I45" s="691">
        <v>6333791850</v>
      </c>
      <c r="J45" s="691">
        <v>4302583000</v>
      </c>
      <c r="K45" s="691">
        <v>6333791850</v>
      </c>
      <c r="L45" s="692">
        <v>1.4720905674568043</v>
      </c>
      <c r="M45" s="691">
        <v>6333791850</v>
      </c>
      <c r="N45" s="694">
        <v>0</v>
      </c>
      <c r="P45" s="475">
        <v>6333791850</v>
      </c>
      <c r="Q45" s="631">
        <f t="shared" si="0"/>
        <v>0</v>
      </c>
    </row>
    <row r="46" spans="1:20" hidden="1" outlineLevel="1" x14ac:dyDescent="0.4">
      <c r="A46" s="475" t="s">
        <v>15</v>
      </c>
      <c r="B46" s="475" t="s">
        <v>150</v>
      </c>
      <c r="C46" s="475" t="s">
        <v>46</v>
      </c>
      <c r="D46" s="688" t="s">
        <v>289</v>
      </c>
      <c r="E46" s="690" t="s">
        <v>128</v>
      </c>
      <c r="F46" s="690" t="s">
        <v>129</v>
      </c>
      <c r="G46" s="690" t="s">
        <v>130</v>
      </c>
      <c r="H46" s="690" t="s">
        <v>136</v>
      </c>
      <c r="I46" s="691">
        <v>60000000</v>
      </c>
      <c r="J46" s="691">
        <v>60000000</v>
      </c>
      <c r="K46" s="691">
        <v>60000000</v>
      </c>
      <c r="L46" s="692">
        <v>1</v>
      </c>
      <c r="M46" s="691">
        <v>60000000</v>
      </c>
      <c r="N46" s="694">
        <v>0</v>
      </c>
      <c r="P46" s="475">
        <v>60000000</v>
      </c>
      <c r="Q46" s="631">
        <f t="shared" si="0"/>
        <v>0</v>
      </c>
    </row>
    <row r="47" spans="1:20" hidden="1" outlineLevel="1" x14ac:dyDescent="0.4">
      <c r="A47" s="475" t="s">
        <v>15</v>
      </c>
      <c r="B47" s="475" t="s">
        <v>150</v>
      </c>
      <c r="C47" s="475" t="s">
        <v>26</v>
      </c>
      <c r="D47" s="688" t="s">
        <v>289</v>
      </c>
      <c r="E47" s="690" t="s">
        <v>128</v>
      </c>
      <c r="F47" s="690" t="s">
        <v>129</v>
      </c>
      <c r="G47" s="690" t="s">
        <v>130</v>
      </c>
      <c r="H47" s="690" t="s">
        <v>137</v>
      </c>
      <c r="I47" s="691">
        <v>0</v>
      </c>
      <c r="J47" s="691">
        <v>379000000</v>
      </c>
      <c r="K47" s="691">
        <v>0</v>
      </c>
      <c r="L47" s="692">
        <v>0</v>
      </c>
      <c r="M47" s="691">
        <v>0</v>
      </c>
      <c r="N47" s="694">
        <v>0</v>
      </c>
      <c r="P47" s="475">
        <v>0</v>
      </c>
      <c r="Q47" s="631">
        <f t="shared" si="0"/>
        <v>0</v>
      </c>
    </row>
    <row r="48" spans="1:20" hidden="1" outlineLevel="1" x14ac:dyDescent="0.4">
      <c r="A48" s="475" t="s">
        <v>15</v>
      </c>
      <c r="B48" s="475" t="s">
        <v>150</v>
      </c>
      <c r="C48" s="475" t="s">
        <v>25</v>
      </c>
      <c r="D48" s="688" t="s">
        <v>289</v>
      </c>
      <c r="E48" s="690" t="s">
        <v>128</v>
      </c>
      <c r="F48" s="690" t="s">
        <v>129</v>
      </c>
      <c r="G48" s="690" t="s">
        <v>130</v>
      </c>
      <c r="H48" s="690" t="s">
        <v>141</v>
      </c>
      <c r="I48" s="691">
        <v>211649429</v>
      </c>
      <c r="J48" s="691">
        <v>142000000</v>
      </c>
      <c r="K48" s="691">
        <v>211649429</v>
      </c>
      <c r="L48" s="692">
        <v>1.4904889366197183</v>
      </c>
      <c r="M48" s="691">
        <v>211649429</v>
      </c>
      <c r="N48" s="694">
        <v>0</v>
      </c>
      <c r="P48" s="475">
        <v>211649429</v>
      </c>
      <c r="Q48" s="631">
        <f t="shared" si="0"/>
        <v>0</v>
      </c>
    </row>
    <row r="49" spans="1:17" hidden="1" outlineLevel="1" x14ac:dyDescent="0.4">
      <c r="A49" s="475" t="s">
        <v>15</v>
      </c>
      <c r="B49" s="475" t="s">
        <v>150</v>
      </c>
      <c r="C49" s="475" t="s">
        <v>27</v>
      </c>
      <c r="D49" s="688" t="s">
        <v>289</v>
      </c>
      <c r="E49" s="690" t="s">
        <v>128</v>
      </c>
      <c r="F49" s="690" t="s">
        <v>129</v>
      </c>
      <c r="G49" s="690" t="s">
        <v>130</v>
      </c>
      <c r="H49" s="690" t="s">
        <v>142</v>
      </c>
      <c r="I49" s="691">
        <v>1000904167</v>
      </c>
      <c r="J49" s="691">
        <v>0</v>
      </c>
      <c r="K49" s="691">
        <v>1000904167</v>
      </c>
      <c r="L49" s="692"/>
      <c r="M49" s="691">
        <v>1000904167</v>
      </c>
      <c r="N49" s="694">
        <v>0</v>
      </c>
      <c r="P49" s="475">
        <v>1000904167</v>
      </c>
      <c r="Q49" s="631">
        <f t="shared" si="0"/>
        <v>0</v>
      </c>
    </row>
    <row r="50" spans="1:17" ht="14.4" hidden="1" outlineLevel="1" thickBot="1" x14ac:dyDescent="0.45">
      <c r="A50" s="475" t="s">
        <v>15</v>
      </c>
      <c r="B50" s="475" t="s">
        <v>150</v>
      </c>
      <c r="C50" s="475" t="s">
        <v>28</v>
      </c>
      <c r="D50" s="719" t="s">
        <v>289</v>
      </c>
      <c r="E50" s="705" t="s">
        <v>128</v>
      </c>
      <c r="F50" s="705" t="s">
        <v>129</v>
      </c>
      <c r="G50" s="705" t="s">
        <v>130</v>
      </c>
      <c r="H50" s="705" t="s">
        <v>143</v>
      </c>
      <c r="I50" s="706">
        <v>48705000</v>
      </c>
      <c r="J50" s="706">
        <v>0</v>
      </c>
      <c r="K50" s="706">
        <v>48705000</v>
      </c>
      <c r="L50" s="707" t="e">
        <v>#DIV/0!</v>
      </c>
      <c r="M50" s="706">
        <v>48705000</v>
      </c>
      <c r="N50" s="708">
        <v>0</v>
      </c>
      <c r="P50" s="475">
        <v>48705000</v>
      </c>
      <c r="Q50" s="631">
        <f t="shared" si="0"/>
        <v>0</v>
      </c>
    </row>
    <row r="51" spans="1:17" ht="18.75" hidden="1" customHeight="1" outlineLevel="1" thickBot="1" x14ac:dyDescent="0.45">
      <c r="D51" s="709"/>
      <c r="E51" s="818" t="s">
        <v>152</v>
      </c>
      <c r="F51" s="818"/>
      <c r="G51" s="818"/>
      <c r="H51" s="819"/>
      <c r="I51" s="710">
        <v>10110924958</v>
      </c>
      <c r="J51" s="710">
        <v>6984880827.9942341</v>
      </c>
      <c r="K51" s="710">
        <v>10110924958</v>
      </c>
      <c r="L51" s="711">
        <v>1.4475443757718964</v>
      </c>
      <c r="M51" s="712">
        <v>10110924958</v>
      </c>
      <c r="N51" s="713">
        <v>0</v>
      </c>
      <c r="P51" s="475">
        <v>10110924958</v>
      </c>
      <c r="Q51" s="631">
        <f t="shared" si="0"/>
        <v>0</v>
      </c>
    </row>
    <row r="52" spans="1:17" hidden="1" outlineLevel="1" x14ac:dyDescent="0.4">
      <c r="A52" s="475" t="s">
        <v>15</v>
      </c>
      <c r="B52" s="475" t="s">
        <v>150</v>
      </c>
      <c r="C52" s="475" t="s">
        <v>127</v>
      </c>
      <c r="D52" s="726" t="s">
        <v>153</v>
      </c>
      <c r="E52" s="690" t="s">
        <v>128</v>
      </c>
      <c r="F52" s="690" t="s">
        <v>129</v>
      </c>
      <c r="G52" s="690" t="s">
        <v>130</v>
      </c>
      <c r="H52" s="690" t="s">
        <v>131</v>
      </c>
      <c r="I52" s="691">
        <v>0</v>
      </c>
      <c r="J52" s="691">
        <v>984368000</v>
      </c>
      <c r="K52" s="691">
        <v>0</v>
      </c>
      <c r="L52" s="692">
        <v>0</v>
      </c>
      <c r="M52" s="691">
        <v>0</v>
      </c>
      <c r="N52" s="687">
        <v>0</v>
      </c>
      <c r="P52" s="475">
        <v>0</v>
      </c>
      <c r="Q52" s="631">
        <f t="shared" si="0"/>
        <v>0</v>
      </c>
    </row>
    <row r="53" spans="1:17" hidden="1" outlineLevel="1" x14ac:dyDescent="0.4">
      <c r="A53" s="475" t="s">
        <v>15</v>
      </c>
      <c r="B53" s="475" t="s">
        <v>150</v>
      </c>
      <c r="C53" s="475" t="s">
        <v>47</v>
      </c>
      <c r="D53" s="688" t="s">
        <v>290</v>
      </c>
      <c r="E53" s="690" t="s">
        <v>128</v>
      </c>
      <c r="F53" s="690" t="s">
        <v>129</v>
      </c>
      <c r="G53" s="690" t="s">
        <v>130</v>
      </c>
      <c r="H53" s="690" t="s">
        <v>132</v>
      </c>
      <c r="I53" s="691">
        <v>0</v>
      </c>
      <c r="J53" s="691">
        <v>0</v>
      </c>
      <c r="K53" s="691">
        <v>0</v>
      </c>
      <c r="L53" s="692" t="e">
        <v>#DIV/0!</v>
      </c>
      <c r="M53" s="691">
        <v>0</v>
      </c>
      <c r="N53" s="694">
        <v>0</v>
      </c>
      <c r="P53" s="475">
        <v>0</v>
      </c>
      <c r="Q53" s="631">
        <f t="shared" si="0"/>
        <v>0</v>
      </c>
    </row>
    <row r="54" spans="1:17" hidden="1" outlineLevel="1" x14ac:dyDescent="0.4">
      <c r="A54" s="475" t="s">
        <v>15</v>
      </c>
      <c r="B54" s="475" t="s">
        <v>150</v>
      </c>
      <c r="C54" s="475" t="s">
        <v>18</v>
      </c>
      <c r="D54" s="688" t="s">
        <v>290</v>
      </c>
      <c r="E54" s="689" t="s">
        <v>128</v>
      </c>
      <c r="F54" s="690" t="s">
        <v>129</v>
      </c>
      <c r="G54" s="690" t="s">
        <v>130</v>
      </c>
      <c r="H54" s="690" t="s">
        <v>133</v>
      </c>
      <c r="I54" s="691">
        <v>0</v>
      </c>
      <c r="J54" s="691">
        <v>0</v>
      </c>
      <c r="K54" s="691">
        <v>0</v>
      </c>
      <c r="L54" s="692"/>
      <c r="M54" s="691">
        <v>0</v>
      </c>
      <c r="N54" s="727">
        <v>0</v>
      </c>
      <c r="P54" s="475">
        <v>0</v>
      </c>
      <c r="Q54" s="631">
        <f t="shared" si="0"/>
        <v>0</v>
      </c>
    </row>
    <row r="55" spans="1:17" hidden="1" outlineLevel="1" x14ac:dyDescent="0.4">
      <c r="A55" s="475" t="s">
        <v>15</v>
      </c>
      <c r="B55" s="475" t="s">
        <v>150</v>
      </c>
      <c r="C55" s="475" t="s">
        <v>23</v>
      </c>
      <c r="D55" s="688" t="s">
        <v>290</v>
      </c>
      <c r="E55" s="690" t="s">
        <v>128</v>
      </c>
      <c r="F55" s="690" t="s">
        <v>129</v>
      </c>
      <c r="G55" s="690" t="s">
        <v>130</v>
      </c>
      <c r="H55" s="690" t="s">
        <v>134</v>
      </c>
      <c r="I55" s="691">
        <v>1013424600</v>
      </c>
      <c r="J55" s="691">
        <v>1156430827.9942338</v>
      </c>
      <c r="K55" s="691">
        <v>1013424600</v>
      </c>
      <c r="L55" s="692">
        <v>0.87633827762766381</v>
      </c>
      <c r="M55" s="691">
        <v>1013424600</v>
      </c>
      <c r="N55" s="694">
        <v>0</v>
      </c>
      <c r="P55" s="475">
        <v>1013424600</v>
      </c>
      <c r="Q55" s="631">
        <f t="shared" si="0"/>
        <v>0</v>
      </c>
    </row>
    <row r="56" spans="1:17" hidden="1" outlineLevel="1" x14ac:dyDescent="0.4">
      <c r="A56" s="475" t="s">
        <v>15</v>
      </c>
      <c r="B56" s="475" t="s">
        <v>150</v>
      </c>
      <c r="C56" s="475" t="s">
        <v>22</v>
      </c>
      <c r="D56" s="688" t="s">
        <v>290</v>
      </c>
      <c r="E56" s="690" t="s">
        <v>128</v>
      </c>
      <c r="F56" s="690" t="s">
        <v>129</v>
      </c>
      <c r="G56" s="690" t="s">
        <v>130</v>
      </c>
      <c r="H56" s="690" t="s">
        <v>135</v>
      </c>
      <c r="I56" s="691">
        <v>4945229200</v>
      </c>
      <c r="J56" s="691">
        <v>3604746200</v>
      </c>
      <c r="K56" s="691">
        <v>4945229200</v>
      </c>
      <c r="L56" s="692">
        <v>1.3718661247219013</v>
      </c>
      <c r="M56" s="691">
        <v>4945229200</v>
      </c>
      <c r="N56" s="694">
        <v>0</v>
      </c>
      <c r="P56" s="475">
        <v>4945229200</v>
      </c>
      <c r="Q56" s="631">
        <f t="shared" si="0"/>
        <v>0</v>
      </c>
    </row>
    <row r="57" spans="1:17" hidden="1" outlineLevel="1" x14ac:dyDescent="0.4">
      <c r="A57" s="475" t="s">
        <v>15</v>
      </c>
      <c r="B57" s="475" t="s">
        <v>150</v>
      </c>
      <c r="C57" s="475" t="s">
        <v>46</v>
      </c>
      <c r="D57" s="688" t="s">
        <v>290</v>
      </c>
      <c r="E57" s="690" t="s">
        <v>128</v>
      </c>
      <c r="F57" s="690" t="s">
        <v>129</v>
      </c>
      <c r="G57" s="690" t="s">
        <v>130</v>
      </c>
      <c r="H57" s="690" t="s">
        <v>136</v>
      </c>
      <c r="I57" s="691">
        <v>67000000.000000007</v>
      </c>
      <c r="J57" s="691">
        <v>67000000</v>
      </c>
      <c r="K57" s="691">
        <v>67000000.000000007</v>
      </c>
      <c r="L57" s="692">
        <v>1.0000000000000002</v>
      </c>
      <c r="M57" s="691">
        <v>67000000.000000007</v>
      </c>
      <c r="N57" s="694">
        <v>0</v>
      </c>
      <c r="P57" s="475">
        <v>67000000.000000007</v>
      </c>
      <c r="Q57" s="631">
        <f t="shared" si="0"/>
        <v>0</v>
      </c>
    </row>
    <row r="58" spans="1:17" hidden="1" outlineLevel="1" x14ac:dyDescent="0.4">
      <c r="A58" s="475" t="s">
        <v>15</v>
      </c>
      <c r="B58" s="475" t="s">
        <v>150</v>
      </c>
      <c r="C58" s="475" t="s">
        <v>26</v>
      </c>
      <c r="D58" s="688" t="s">
        <v>290</v>
      </c>
      <c r="E58" s="690" t="s">
        <v>128</v>
      </c>
      <c r="F58" s="690" t="s">
        <v>129</v>
      </c>
      <c r="G58" s="690" t="s">
        <v>130</v>
      </c>
      <c r="H58" s="690" t="s">
        <v>137</v>
      </c>
      <c r="I58" s="691">
        <v>1821375000</v>
      </c>
      <c r="J58" s="691">
        <v>183500000</v>
      </c>
      <c r="K58" s="691">
        <v>1821375000</v>
      </c>
      <c r="L58" s="692">
        <v>9.9257493188010901</v>
      </c>
      <c r="M58" s="691">
        <v>1821375000</v>
      </c>
      <c r="N58" s="694">
        <v>0</v>
      </c>
      <c r="P58" s="475">
        <v>1821375000</v>
      </c>
      <c r="Q58" s="631">
        <f t="shared" si="0"/>
        <v>0</v>
      </c>
    </row>
    <row r="59" spans="1:17" hidden="1" outlineLevel="1" x14ac:dyDescent="0.4">
      <c r="A59" s="475" t="s">
        <v>15</v>
      </c>
      <c r="B59" s="475" t="s">
        <v>150</v>
      </c>
      <c r="C59" s="475" t="s">
        <v>25</v>
      </c>
      <c r="D59" s="688" t="s">
        <v>290</v>
      </c>
      <c r="E59" s="690" t="s">
        <v>128</v>
      </c>
      <c r="F59" s="690" t="s">
        <v>129</v>
      </c>
      <c r="G59" s="690" t="s">
        <v>130</v>
      </c>
      <c r="H59" s="690" t="s">
        <v>141</v>
      </c>
      <c r="I59" s="691">
        <v>152579274</v>
      </c>
      <c r="J59" s="691">
        <v>79000000</v>
      </c>
      <c r="K59" s="691">
        <v>152579274</v>
      </c>
      <c r="L59" s="692">
        <v>1.9313832151898733</v>
      </c>
      <c r="M59" s="691">
        <v>152579274</v>
      </c>
      <c r="N59" s="694">
        <v>0</v>
      </c>
      <c r="P59" s="475">
        <v>152579274</v>
      </c>
      <c r="Q59" s="631">
        <f t="shared" si="0"/>
        <v>0</v>
      </c>
    </row>
    <row r="60" spans="1:17" hidden="1" outlineLevel="1" x14ac:dyDescent="0.4">
      <c r="A60" s="475" t="s">
        <v>15</v>
      </c>
      <c r="B60" s="475" t="s">
        <v>150</v>
      </c>
      <c r="C60" s="475" t="s">
        <v>27</v>
      </c>
      <c r="D60" s="688" t="s">
        <v>290</v>
      </c>
      <c r="E60" s="690" t="s">
        <v>128</v>
      </c>
      <c r="F60" s="690" t="s">
        <v>129</v>
      </c>
      <c r="G60" s="690" t="s">
        <v>130</v>
      </c>
      <c r="H60" s="690" t="s">
        <v>142</v>
      </c>
      <c r="I60" s="691">
        <v>31604167</v>
      </c>
      <c r="J60" s="691">
        <v>93750000</v>
      </c>
      <c r="K60" s="691">
        <v>31604167</v>
      </c>
      <c r="L60" s="692">
        <v>0.33711111466666666</v>
      </c>
      <c r="M60" s="691">
        <v>31604167</v>
      </c>
      <c r="N60" s="728">
        <v>0</v>
      </c>
      <c r="P60" s="475">
        <v>31604167</v>
      </c>
      <c r="Q60" s="631">
        <f t="shared" si="0"/>
        <v>0</v>
      </c>
    </row>
    <row r="61" spans="1:17" ht="14.4" hidden="1" outlineLevel="1" thickBot="1" x14ac:dyDescent="0.45">
      <c r="A61" s="475" t="s">
        <v>15</v>
      </c>
      <c r="B61" s="475" t="s">
        <v>150</v>
      </c>
      <c r="C61" s="475" t="s">
        <v>28</v>
      </c>
      <c r="D61" s="719" t="s">
        <v>290</v>
      </c>
      <c r="E61" s="705" t="s">
        <v>128</v>
      </c>
      <c r="F61" s="705" t="s">
        <v>129</v>
      </c>
      <c r="G61" s="705" t="s">
        <v>130</v>
      </c>
      <c r="H61" s="705" t="s">
        <v>143</v>
      </c>
      <c r="I61" s="706">
        <v>51613869</v>
      </c>
      <c r="J61" s="706">
        <v>0</v>
      </c>
      <c r="K61" s="706">
        <v>51613869</v>
      </c>
      <c r="L61" s="707" t="e">
        <v>#DIV/0!</v>
      </c>
      <c r="M61" s="706">
        <v>51613869</v>
      </c>
      <c r="N61" s="729">
        <v>0</v>
      </c>
      <c r="P61" s="475">
        <v>51613869</v>
      </c>
      <c r="Q61" s="631">
        <f t="shared" si="0"/>
        <v>0</v>
      </c>
    </row>
    <row r="62" spans="1:17" ht="14.4" hidden="1" outlineLevel="1" thickBot="1" x14ac:dyDescent="0.45">
      <c r="D62" s="709"/>
      <c r="E62" s="818" t="s">
        <v>154</v>
      </c>
      <c r="F62" s="818"/>
      <c r="G62" s="818"/>
      <c r="H62" s="819"/>
      <c r="I62" s="710">
        <v>8082826110</v>
      </c>
      <c r="J62" s="710">
        <v>6168795027.9942341</v>
      </c>
      <c r="K62" s="710">
        <v>8082826110</v>
      </c>
      <c r="L62" s="711">
        <v>1.3102763300320108</v>
      </c>
      <c r="M62" s="712">
        <v>8082826110</v>
      </c>
      <c r="N62" s="713">
        <v>0</v>
      </c>
      <c r="P62" s="475">
        <v>8082826110</v>
      </c>
      <c r="Q62" s="631">
        <f t="shared" si="0"/>
        <v>0</v>
      </c>
    </row>
    <row r="63" spans="1:17" hidden="1" outlineLevel="1" x14ac:dyDescent="0.4">
      <c r="A63" s="475" t="s">
        <v>15</v>
      </c>
      <c r="B63" s="475" t="s">
        <v>150</v>
      </c>
      <c r="C63" s="475" t="s">
        <v>127</v>
      </c>
      <c r="D63" s="726" t="s">
        <v>155</v>
      </c>
      <c r="E63" s="690" t="s">
        <v>128</v>
      </c>
      <c r="F63" s="690" t="s">
        <v>129</v>
      </c>
      <c r="G63" s="690" t="s">
        <v>130</v>
      </c>
      <c r="H63" s="690" t="s">
        <v>131</v>
      </c>
      <c r="I63" s="691">
        <v>0</v>
      </c>
      <c r="J63" s="691">
        <v>2588543740.4000001</v>
      </c>
      <c r="K63" s="691">
        <v>0</v>
      </c>
      <c r="L63" s="692">
        <v>0</v>
      </c>
      <c r="M63" s="691">
        <v>0</v>
      </c>
      <c r="N63" s="687">
        <v>0</v>
      </c>
      <c r="P63" s="475">
        <v>0</v>
      </c>
      <c r="Q63" s="631">
        <f t="shared" si="0"/>
        <v>0</v>
      </c>
    </row>
    <row r="64" spans="1:17" hidden="1" outlineLevel="1" x14ac:dyDescent="0.4">
      <c r="A64" s="475" t="s">
        <v>15</v>
      </c>
      <c r="B64" s="475" t="s">
        <v>150</v>
      </c>
      <c r="C64" s="475" t="s">
        <v>47</v>
      </c>
      <c r="D64" s="688" t="s">
        <v>291</v>
      </c>
      <c r="E64" s="690" t="s">
        <v>128</v>
      </c>
      <c r="F64" s="690" t="s">
        <v>129</v>
      </c>
      <c r="G64" s="690" t="s">
        <v>130</v>
      </c>
      <c r="H64" s="690" t="s">
        <v>132</v>
      </c>
      <c r="I64" s="691">
        <v>0</v>
      </c>
      <c r="J64" s="691">
        <v>0</v>
      </c>
      <c r="K64" s="691">
        <v>0</v>
      </c>
      <c r="L64" s="692"/>
      <c r="M64" s="691">
        <v>0</v>
      </c>
      <c r="N64" s="694">
        <v>0</v>
      </c>
      <c r="P64" s="475">
        <v>0</v>
      </c>
      <c r="Q64" s="631">
        <f t="shared" si="0"/>
        <v>0</v>
      </c>
    </row>
    <row r="65" spans="1:17" hidden="1" outlineLevel="1" x14ac:dyDescent="0.4">
      <c r="A65" s="475" t="s">
        <v>15</v>
      </c>
      <c r="B65" s="475" t="s">
        <v>150</v>
      </c>
      <c r="C65" s="475" t="s">
        <v>18</v>
      </c>
      <c r="D65" s="688" t="s">
        <v>291</v>
      </c>
      <c r="E65" s="689" t="s">
        <v>128</v>
      </c>
      <c r="F65" s="690" t="s">
        <v>129</v>
      </c>
      <c r="G65" s="690" t="s">
        <v>130</v>
      </c>
      <c r="H65" s="690" t="s">
        <v>133</v>
      </c>
      <c r="I65" s="691">
        <v>490916584</v>
      </c>
      <c r="J65" s="691">
        <v>137760000</v>
      </c>
      <c r="K65" s="691">
        <v>490916584</v>
      </c>
      <c r="L65" s="692"/>
      <c r="M65" s="691">
        <v>490916584</v>
      </c>
      <c r="N65" s="727">
        <v>0</v>
      </c>
      <c r="P65" s="475">
        <v>490916584</v>
      </c>
      <c r="Q65" s="631">
        <f t="shared" si="0"/>
        <v>0</v>
      </c>
    </row>
    <row r="66" spans="1:17" hidden="1" outlineLevel="1" x14ac:dyDescent="0.4">
      <c r="A66" s="475" t="s">
        <v>15</v>
      </c>
      <c r="B66" s="475" t="s">
        <v>150</v>
      </c>
      <c r="C66" s="475" t="s">
        <v>23</v>
      </c>
      <c r="D66" s="688" t="s">
        <v>291</v>
      </c>
      <c r="E66" s="690" t="s">
        <v>128</v>
      </c>
      <c r="F66" s="690" t="s">
        <v>129</v>
      </c>
      <c r="G66" s="690" t="s">
        <v>130</v>
      </c>
      <c r="H66" s="690" t="s">
        <v>134</v>
      </c>
      <c r="I66" s="691">
        <v>569738700</v>
      </c>
      <c r="J66" s="691">
        <v>959310827.9942342</v>
      </c>
      <c r="K66" s="691">
        <v>569738700</v>
      </c>
      <c r="L66" s="692">
        <v>0.59390416888260578</v>
      </c>
      <c r="M66" s="691">
        <v>569738700</v>
      </c>
      <c r="N66" s="694">
        <v>0</v>
      </c>
      <c r="P66" s="475">
        <v>569738700</v>
      </c>
      <c r="Q66" s="631">
        <f t="shared" si="0"/>
        <v>0</v>
      </c>
    </row>
    <row r="67" spans="1:17" hidden="1" outlineLevel="1" x14ac:dyDescent="0.4">
      <c r="A67" s="475" t="s">
        <v>15</v>
      </c>
      <c r="B67" s="475" t="s">
        <v>150</v>
      </c>
      <c r="C67" s="475" t="s">
        <v>22</v>
      </c>
      <c r="D67" s="688" t="s">
        <v>291</v>
      </c>
      <c r="E67" s="690" t="s">
        <v>128</v>
      </c>
      <c r="F67" s="690" t="s">
        <v>129</v>
      </c>
      <c r="G67" s="690" t="s">
        <v>130</v>
      </c>
      <c r="H67" s="690" t="s">
        <v>135</v>
      </c>
      <c r="I67" s="691">
        <v>7345815300</v>
      </c>
      <c r="J67" s="691">
        <v>3590929395</v>
      </c>
      <c r="K67" s="691">
        <v>7345815300</v>
      </c>
      <c r="L67" s="692">
        <v>2.045658516769584</v>
      </c>
      <c r="M67" s="691">
        <v>7345815300</v>
      </c>
      <c r="N67" s="694">
        <v>0</v>
      </c>
      <c r="P67" s="631">
        <v>7345815300</v>
      </c>
      <c r="Q67" s="631">
        <f t="shared" si="0"/>
        <v>0</v>
      </c>
    </row>
    <row r="68" spans="1:17" hidden="1" outlineLevel="1" x14ac:dyDescent="0.4">
      <c r="A68" s="475" t="s">
        <v>15</v>
      </c>
      <c r="B68" s="475" t="s">
        <v>150</v>
      </c>
      <c r="C68" s="475" t="s">
        <v>46</v>
      </c>
      <c r="D68" s="688" t="s">
        <v>291</v>
      </c>
      <c r="E68" s="690" t="s">
        <v>128</v>
      </c>
      <c r="F68" s="690" t="s">
        <v>129</v>
      </c>
      <c r="G68" s="690" t="s">
        <v>130</v>
      </c>
      <c r="H68" s="690" t="s">
        <v>136</v>
      </c>
      <c r="I68" s="691">
        <v>67000000</v>
      </c>
      <c r="J68" s="691">
        <v>67000000</v>
      </c>
      <c r="K68" s="691">
        <v>67000000</v>
      </c>
      <c r="L68" s="692">
        <v>1</v>
      </c>
      <c r="M68" s="691">
        <v>67000000</v>
      </c>
      <c r="N68" s="694">
        <v>0</v>
      </c>
      <c r="P68" s="475">
        <v>67000000</v>
      </c>
      <c r="Q68" s="631">
        <f t="shared" si="0"/>
        <v>0</v>
      </c>
    </row>
    <row r="69" spans="1:17" hidden="1" outlineLevel="1" x14ac:dyDescent="0.4">
      <c r="A69" s="475" t="s">
        <v>15</v>
      </c>
      <c r="B69" s="475" t="s">
        <v>150</v>
      </c>
      <c r="C69" s="475" t="s">
        <v>26</v>
      </c>
      <c r="D69" s="688" t="s">
        <v>291</v>
      </c>
      <c r="E69" s="690" t="s">
        <v>128</v>
      </c>
      <c r="F69" s="690" t="s">
        <v>129</v>
      </c>
      <c r="G69" s="690" t="s">
        <v>130</v>
      </c>
      <c r="H69" s="690" t="s">
        <v>137</v>
      </c>
      <c r="I69" s="691">
        <v>350250000</v>
      </c>
      <c r="J69" s="691">
        <v>48000000</v>
      </c>
      <c r="K69" s="691">
        <v>350250000</v>
      </c>
      <c r="L69" s="692">
        <v>7.296875</v>
      </c>
      <c r="M69" s="691">
        <v>350250000</v>
      </c>
      <c r="N69" s="694">
        <v>0</v>
      </c>
      <c r="P69" s="475">
        <v>350250000</v>
      </c>
      <c r="Q69" s="631">
        <f t="shared" si="0"/>
        <v>0</v>
      </c>
    </row>
    <row r="70" spans="1:17" hidden="1" outlineLevel="1" x14ac:dyDescent="0.4">
      <c r="A70" s="475" t="s">
        <v>15</v>
      </c>
      <c r="B70" s="475" t="s">
        <v>150</v>
      </c>
      <c r="C70" s="475" t="s">
        <v>25</v>
      </c>
      <c r="D70" s="688" t="s">
        <v>291</v>
      </c>
      <c r="E70" s="690" t="s">
        <v>128</v>
      </c>
      <c r="F70" s="690" t="s">
        <v>129</v>
      </c>
      <c r="G70" s="690" t="s">
        <v>130</v>
      </c>
      <c r="H70" s="690" t="s">
        <v>141</v>
      </c>
      <c r="I70" s="691">
        <v>154620726</v>
      </c>
      <c r="J70" s="691">
        <v>0</v>
      </c>
      <c r="K70" s="691">
        <v>154620726</v>
      </c>
      <c r="L70" s="692" t="e">
        <v>#DIV/0!</v>
      </c>
      <c r="M70" s="691">
        <v>154620726</v>
      </c>
      <c r="N70" s="694">
        <v>0</v>
      </c>
      <c r="P70" s="475">
        <v>154620726</v>
      </c>
      <c r="Q70" s="631">
        <f t="shared" si="0"/>
        <v>0</v>
      </c>
    </row>
    <row r="71" spans="1:17" hidden="1" outlineLevel="1" x14ac:dyDescent="0.4">
      <c r="A71" s="475" t="s">
        <v>15</v>
      </c>
      <c r="B71" s="475" t="s">
        <v>150</v>
      </c>
      <c r="C71" s="475" t="s">
        <v>27</v>
      </c>
      <c r="D71" s="688" t="s">
        <v>291</v>
      </c>
      <c r="E71" s="690" t="s">
        <v>128</v>
      </c>
      <c r="F71" s="690" t="s">
        <v>129</v>
      </c>
      <c r="G71" s="690" t="s">
        <v>130</v>
      </c>
      <c r="H71" s="690" t="s">
        <v>142</v>
      </c>
      <c r="I71" s="691">
        <v>440354167</v>
      </c>
      <c r="J71" s="691">
        <v>395625000</v>
      </c>
      <c r="K71" s="691">
        <v>440354167</v>
      </c>
      <c r="L71" s="692"/>
      <c r="M71" s="691">
        <v>440354167</v>
      </c>
      <c r="N71" s="728">
        <v>0</v>
      </c>
      <c r="P71" s="475">
        <v>440354167</v>
      </c>
      <c r="Q71" s="631">
        <f t="shared" si="0"/>
        <v>0</v>
      </c>
    </row>
    <row r="72" spans="1:17" ht="14.4" hidden="1" outlineLevel="1" thickBot="1" x14ac:dyDescent="0.45">
      <c r="A72" s="475" t="s">
        <v>15</v>
      </c>
      <c r="B72" s="475" t="s">
        <v>150</v>
      </c>
      <c r="C72" s="475" t="s">
        <v>28</v>
      </c>
      <c r="D72" s="719" t="s">
        <v>291</v>
      </c>
      <c r="E72" s="705" t="s">
        <v>128</v>
      </c>
      <c r="F72" s="705" t="s">
        <v>129</v>
      </c>
      <c r="G72" s="705" t="s">
        <v>130</v>
      </c>
      <c r="H72" s="705" t="s">
        <v>143</v>
      </c>
      <c r="I72" s="706">
        <v>15204000</v>
      </c>
      <c r="J72" s="706">
        <v>0</v>
      </c>
      <c r="K72" s="706">
        <v>15204000</v>
      </c>
      <c r="L72" s="707" t="e">
        <v>#DIV/0!</v>
      </c>
      <c r="M72" s="706">
        <v>15204000</v>
      </c>
      <c r="N72" s="729">
        <v>0</v>
      </c>
      <c r="P72" s="631">
        <v>15204000</v>
      </c>
      <c r="Q72" s="631">
        <f t="shared" ref="Q72:Q73" si="4">P72-I72</f>
        <v>0</v>
      </c>
    </row>
    <row r="73" spans="1:17" ht="14.4" hidden="1" outlineLevel="1" thickBot="1" x14ac:dyDescent="0.45">
      <c r="D73" s="709"/>
      <c r="E73" s="818" t="s">
        <v>156</v>
      </c>
      <c r="F73" s="818"/>
      <c r="G73" s="818"/>
      <c r="H73" s="819"/>
      <c r="I73" s="710">
        <v>9433899477</v>
      </c>
      <c r="J73" s="710">
        <v>7787168963.3942337</v>
      </c>
      <c r="K73" s="710">
        <v>9433899477</v>
      </c>
      <c r="L73" s="711">
        <v>1.2114671610885399</v>
      </c>
      <c r="M73" s="712">
        <v>9433899477</v>
      </c>
      <c r="N73" s="713">
        <v>0</v>
      </c>
      <c r="P73" s="475">
        <v>9433899477</v>
      </c>
      <c r="Q73" s="631">
        <f t="shared" si="4"/>
        <v>0</v>
      </c>
    </row>
    <row r="74" spans="1:17" ht="14.4" collapsed="1" thickBot="1" x14ac:dyDescent="0.45">
      <c r="D74" s="825" t="s">
        <v>157</v>
      </c>
      <c r="E74" s="826"/>
      <c r="F74" s="826"/>
      <c r="G74" s="826"/>
      <c r="H74" s="827"/>
      <c r="I74" s="722">
        <v>27627650545</v>
      </c>
      <c r="J74" s="722">
        <v>20940844819.382702</v>
      </c>
      <c r="K74" s="722">
        <v>27627650545</v>
      </c>
      <c r="L74" s="723">
        <v>1.3193188137007748</v>
      </c>
      <c r="M74" s="724">
        <v>27627650545</v>
      </c>
      <c r="N74" s="725">
        <v>0</v>
      </c>
      <c r="P74" s="475">
        <v>27627650545</v>
      </c>
    </row>
    <row r="75" spans="1:17" ht="14.4" thickBot="1" x14ac:dyDescent="0.45">
      <c r="D75" s="825" t="s">
        <v>158</v>
      </c>
      <c r="E75" s="826"/>
      <c r="F75" s="826"/>
      <c r="G75" s="826"/>
      <c r="H75" s="827"/>
      <c r="I75" s="722">
        <v>54591444746</v>
      </c>
      <c r="J75" s="722">
        <v>44277528689.602264</v>
      </c>
      <c r="K75" s="722">
        <v>54591444746</v>
      </c>
      <c r="L75" s="723">
        <v>1.2329379340184305</v>
      </c>
      <c r="M75" s="724">
        <v>54591444746</v>
      </c>
      <c r="N75" s="725">
        <v>0</v>
      </c>
      <c r="P75" s="475">
        <v>54591444746</v>
      </c>
    </row>
    <row r="76" spans="1:17" hidden="1" outlineLevel="1" x14ac:dyDescent="0.4">
      <c r="A76" s="475" t="s">
        <v>15</v>
      </c>
      <c r="B76" s="475" t="s">
        <v>94</v>
      </c>
      <c r="C76" s="475" t="s">
        <v>127</v>
      </c>
      <c r="D76" s="726" t="s">
        <v>73</v>
      </c>
      <c r="E76" s="690" t="s">
        <v>128</v>
      </c>
      <c r="F76" s="690" t="s">
        <v>129</v>
      </c>
      <c r="G76" s="690" t="s">
        <v>130</v>
      </c>
      <c r="H76" s="690" t="s">
        <v>131</v>
      </c>
      <c r="I76" s="691">
        <v>0</v>
      </c>
      <c r="J76" s="691">
        <v>0</v>
      </c>
      <c r="K76" s="691">
        <v>0</v>
      </c>
      <c r="L76" s="692" t="e">
        <v>#DIV/0!</v>
      </c>
      <c r="M76" s="691">
        <v>0</v>
      </c>
      <c r="N76" s="727">
        <v>0</v>
      </c>
    </row>
    <row r="77" spans="1:17" hidden="1" outlineLevel="1" x14ac:dyDescent="0.4">
      <c r="A77" s="475" t="s">
        <v>15</v>
      </c>
      <c r="B77" s="475" t="s">
        <v>94</v>
      </c>
      <c r="C77" s="475" t="s">
        <v>47</v>
      </c>
      <c r="D77" s="688" t="s">
        <v>292</v>
      </c>
      <c r="E77" s="690" t="s">
        <v>128</v>
      </c>
      <c r="F77" s="690" t="s">
        <v>129</v>
      </c>
      <c r="G77" s="690" t="s">
        <v>130</v>
      </c>
      <c r="H77" s="690" t="s">
        <v>132</v>
      </c>
      <c r="I77" s="691">
        <v>0</v>
      </c>
      <c r="J77" s="691">
        <v>0</v>
      </c>
      <c r="K77" s="691">
        <v>0</v>
      </c>
      <c r="L77" s="692"/>
      <c r="M77" s="691">
        <v>0</v>
      </c>
      <c r="N77" s="727">
        <v>0</v>
      </c>
    </row>
    <row r="78" spans="1:17" hidden="1" outlineLevel="1" x14ac:dyDescent="0.4">
      <c r="A78" s="475" t="s">
        <v>15</v>
      </c>
      <c r="B78" s="475" t="s">
        <v>94</v>
      </c>
      <c r="C78" s="475" t="s">
        <v>18</v>
      </c>
      <c r="D78" s="688" t="s">
        <v>292</v>
      </c>
      <c r="E78" s="689" t="s">
        <v>128</v>
      </c>
      <c r="F78" s="690" t="s">
        <v>129</v>
      </c>
      <c r="G78" s="690" t="s">
        <v>130</v>
      </c>
      <c r="H78" s="690" t="s">
        <v>133</v>
      </c>
      <c r="I78" s="691"/>
      <c r="J78" s="691">
        <v>46760000</v>
      </c>
      <c r="K78" s="691"/>
      <c r="L78" s="692"/>
      <c r="M78" s="691"/>
      <c r="N78" s="727">
        <v>0</v>
      </c>
    </row>
    <row r="79" spans="1:17" hidden="1" outlineLevel="1" x14ac:dyDescent="0.4">
      <c r="A79" s="475" t="s">
        <v>15</v>
      </c>
      <c r="B79" s="475" t="s">
        <v>94</v>
      </c>
      <c r="C79" s="475" t="s">
        <v>23</v>
      </c>
      <c r="D79" s="688" t="s">
        <v>292</v>
      </c>
      <c r="E79" s="690" t="s">
        <v>128</v>
      </c>
      <c r="F79" s="690" t="s">
        <v>129</v>
      </c>
      <c r="G79" s="690" t="s">
        <v>130</v>
      </c>
      <c r="H79" s="690" t="s">
        <v>134</v>
      </c>
      <c r="I79" s="691">
        <v>353775280</v>
      </c>
      <c r="J79" s="691">
        <v>959310827.9942342</v>
      </c>
      <c r="K79" s="691">
        <v>353775280</v>
      </c>
      <c r="L79" s="692">
        <v>0.36878065969471818</v>
      </c>
      <c r="M79" s="691">
        <v>353775280</v>
      </c>
      <c r="N79" s="727">
        <v>0</v>
      </c>
      <c r="O79" s="730"/>
      <c r="Q79" s="501"/>
    </row>
    <row r="80" spans="1:17" hidden="1" outlineLevel="1" x14ac:dyDescent="0.4">
      <c r="A80" s="475" t="s">
        <v>15</v>
      </c>
      <c r="B80" s="475" t="s">
        <v>94</v>
      </c>
      <c r="C80" s="475" t="s">
        <v>22</v>
      </c>
      <c r="D80" s="688" t="s">
        <v>292</v>
      </c>
      <c r="E80" s="690" t="s">
        <v>128</v>
      </c>
      <c r="F80" s="690" t="s">
        <v>129</v>
      </c>
      <c r="G80" s="690" t="s">
        <v>130</v>
      </c>
      <c r="H80" s="690" t="s">
        <v>135</v>
      </c>
      <c r="I80" s="731">
        <v>9941539250</v>
      </c>
      <c r="J80" s="691">
        <v>6395629100</v>
      </c>
      <c r="K80" s="731">
        <v>9941539250</v>
      </c>
      <c r="L80" s="692">
        <v>1.5544271086639467</v>
      </c>
      <c r="M80" s="731">
        <v>9941539250</v>
      </c>
      <c r="N80" s="727">
        <v>0</v>
      </c>
      <c r="O80" s="730"/>
      <c r="Q80" s="501"/>
    </row>
    <row r="81" spans="1:17" ht="17.25" hidden="1" customHeight="1" outlineLevel="1" x14ac:dyDescent="0.4">
      <c r="A81" s="475" t="s">
        <v>15</v>
      </c>
      <c r="B81" s="475" t="s">
        <v>94</v>
      </c>
      <c r="C81" s="475" t="s">
        <v>46</v>
      </c>
      <c r="D81" s="688" t="s">
        <v>292</v>
      </c>
      <c r="E81" s="690" t="s">
        <v>128</v>
      </c>
      <c r="F81" s="690" t="s">
        <v>129</v>
      </c>
      <c r="G81" s="690" t="s">
        <v>130</v>
      </c>
      <c r="H81" s="690" t="s">
        <v>136</v>
      </c>
      <c r="I81" s="691">
        <v>0</v>
      </c>
      <c r="J81" s="691">
        <v>0</v>
      </c>
      <c r="K81" s="691">
        <v>0</v>
      </c>
      <c r="L81" s="692"/>
      <c r="M81" s="691">
        <v>0</v>
      </c>
      <c r="N81" s="727">
        <v>0</v>
      </c>
      <c r="Q81" s="501"/>
    </row>
    <row r="82" spans="1:17" hidden="1" outlineLevel="1" x14ac:dyDescent="0.4">
      <c r="A82" s="475" t="s">
        <v>15</v>
      </c>
      <c r="B82" s="475" t="s">
        <v>94</v>
      </c>
      <c r="C82" s="475" t="s">
        <v>26</v>
      </c>
      <c r="D82" s="688" t="s">
        <v>292</v>
      </c>
      <c r="E82" s="690" t="s">
        <v>128</v>
      </c>
      <c r="F82" s="690" t="s">
        <v>129</v>
      </c>
      <c r="G82" s="690" t="s">
        <v>130</v>
      </c>
      <c r="H82" s="690" t="s">
        <v>137</v>
      </c>
      <c r="I82" s="691">
        <v>0</v>
      </c>
      <c r="J82" s="691">
        <v>306250000</v>
      </c>
      <c r="K82" s="691">
        <v>0</v>
      </c>
      <c r="L82" s="692">
        <v>0</v>
      </c>
      <c r="M82" s="691">
        <v>0</v>
      </c>
      <c r="N82" s="727">
        <v>0</v>
      </c>
      <c r="P82" s="501"/>
    </row>
    <row r="83" spans="1:17" hidden="1" outlineLevel="1" x14ac:dyDescent="0.4">
      <c r="A83" s="475" t="s">
        <v>15</v>
      </c>
      <c r="B83" s="475" t="s">
        <v>94</v>
      </c>
      <c r="C83" s="475" t="s">
        <v>25</v>
      </c>
      <c r="D83" s="688" t="s">
        <v>292</v>
      </c>
      <c r="E83" s="690" t="s">
        <v>128</v>
      </c>
      <c r="F83" s="690" t="s">
        <v>129</v>
      </c>
      <c r="G83" s="690" t="s">
        <v>130</v>
      </c>
      <c r="H83" s="690" t="s">
        <v>141</v>
      </c>
      <c r="I83" s="691">
        <v>39754430</v>
      </c>
      <c r="J83" s="691">
        <v>0</v>
      </c>
      <c r="K83" s="691">
        <v>39754430</v>
      </c>
      <c r="L83" s="692" t="e">
        <v>#DIV/0!</v>
      </c>
      <c r="M83" s="691">
        <v>39754430</v>
      </c>
      <c r="N83" s="727">
        <v>0</v>
      </c>
    </row>
    <row r="84" spans="1:17" hidden="1" outlineLevel="1" x14ac:dyDescent="0.4">
      <c r="A84" s="475" t="s">
        <v>15</v>
      </c>
      <c r="B84" s="475" t="s">
        <v>94</v>
      </c>
      <c r="C84" s="475" t="s">
        <v>27</v>
      </c>
      <c r="D84" s="688" t="s">
        <v>292</v>
      </c>
      <c r="E84" s="690" t="s">
        <v>128</v>
      </c>
      <c r="F84" s="690" t="s">
        <v>129</v>
      </c>
      <c r="G84" s="690" t="s">
        <v>130</v>
      </c>
      <c r="H84" s="690" t="s">
        <v>142</v>
      </c>
      <c r="I84" s="691">
        <v>514454167</v>
      </c>
      <c r="J84" s="691">
        <v>0</v>
      </c>
      <c r="K84" s="691">
        <v>514454167</v>
      </c>
      <c r="L84" s="692"/>
      <c r="M84" s="691">
        <v>514454167</v>
      </c>
      <c r="N84" s="727">
        <v>0</v>
      </c>
      <c r="O84" s="732"/>
      <c r="Q84" s="631"/>
    </row>
    <row r="85" spans="1:17" ht="14.4" hidden="1" outlineLevel="1" thickBot="1" x14ac:dyDescent="0.45">
      <c r="A85" s="475" t="s">
        <v>15</v>
      </c>
      <c r="B85" s="475" t="s">
        <v>94</v>
      </c>
      <c r="C85" s="475" t="s">
        <v>28</v>
      </c>
      <c r="D85" s="719" t="s">
        <v>292</v>
      </c>
      <c r="E85" s="705" t="s">
        <v>128</v>
      </c>
      <c r="F85" s="705" t="s">
        <v>129</v>
      </c>
      <c r="G85" s="705" t="s">
        <v>130</v>
      </c>
      <c r="H85" s="705" t="s">
        <v>143</v>
      </c>
      <c r="I85" s="706">
        <v>61027000</v>
      </c>
      <c r="J85" s="706">
        <v>0</v>
      </c>
      <c r="K85" s="706">
        <v>61027000</v>
      </c>
      <c r="L85" s="707" t="e">
        <v>#DIV/0!</v>
      </c>
      <c r="M85" s="706">
        <v>61027000</v>
      </c>
      <c r="N85" s="729">
        <v>0</v>
      </c>
      <c r="O85" s="732"/>
    </row>
    <row r="86" spans="1:17" ht="14.4" hidden="1" outlineLevel="1" thickBot="1" x14ac:dyDescent="0.45">
      <c r="D86" s="709"/>
      <c r="E86" s="818" t="s">
        <v>159</v>
      </c>
      <c r="F86" s="818"/>
      <c r="G86" s="818"/>
      <c r="H86" s="819"/>
      <c r="I86" s="710">
        <v>10910550127</v>
      </c>
      <c r="J86" s="710">
        <v>7707949927.9942341</v>
      </c>
      <c r="K86" s="710">
        <v>10910550127</v>
      </c>
      <c r="L86" s="711">
        <v>1.4154931244914233</v>
      </c>
      <c r="M86" s="712">
        <v>10910550127</v>
      </c>
      <c r="N86" s="713">
        <v>0</v>
      </c>
    </row>
    <row r="87" spans="1:17" ht="14.4" hidden="1" outlineLevel="1" thickBot="1" x14ac:dyDescent="0.45">
      <c r="D87" s="825" t="s">
        <v>160</v>
      </c>
      <c r="E87" s="826"/>
      <c r="F87" s="826"/>
      <c r="G87" s="826"/>
      <c r="H87" s="827"/>
      <c r="I87" s="722">
        <v>65501994873</v>
      </c>
      <c r="J87" s="722">
        <v>51985478617.596497</v>
      </c>
      <c r="K87" s="722">
        <v>65501994873</v>
      </c>
      <c r="L87" s="723">
        <v>1.2600056133912041</v>
      </c>
      <c r="M87" s="733">
        <v>65501994873</v>
      </c>
      <c r="N87" s="734"/>
      <c r="O87" s="735"/>
      <c r="P87" s="631"/>
    </row>
    <row r="88" spans="1:17" hidden="1" outlineLevel="1" x14ac:dyDescent="0.4">
      <c r="A88" s="475" t="s">
        <v>15</v>
      </c>
      <c r="B88" s="475" t="s">
        <v>94</v>
      </c>
      <c r="C88" s="475" t="s">
        <v>127</v>
      </c>
      <c r="D88" s="726" t="s">
        <v>161</v>
      </c>
      <c r="E88" s="690" t="s">
        <v>128</v>
      </c>
      <c r="F88" s="690" t="s">
        <v>129</v>
      </c>
      <c r="G88" s="690" t="s">
        <v>130</v>
      </c>
      <c r="H88" s="690" t="s">
        <v>131</v>
      </c>
      <c r="I88" s="691">
        <v>0</v>
      </c>
      <c r="J88" s="691">
        <v>0</v>
      </c>
      <c r="K88" s="691">
        <v>0</v>
      </c>
      <c r="L88" s="692" t="e">
        <v>#DIV/0!</v>
      </c>
      <c r="M88" s="691">
        <v>0</v>
      </c>
      <c r="N88" s="727">
        <v>0</v>
      </c>
    </row>
    <row r="89" spans="1:17" hidden="1" outlineLevel="1" x14ac:dyDescent="0.4">
      <c r="A89" s="475" t="s">
        <v>15</v>
      </c>
      <c r="B89" s="475" t="s">
        <v>94</v>
      </c>
      <c r="C89" s="475" t="s">
        <v>47</v>
      </c>
      <c r="D89" s="688" t="s">
        <v>293</v>
      </c>
      <c r="E89" s="690" t="s">
        <v>128</v>
      </c>
      <c r="F89" s="690" t="s">
        <v>129</v>
      </c>
      <c r="G89" s="690" t="s">
        <v>130</v>
      </c>
      <c r="H89" s="690" t="s">
        <v>132</v>
      </c>
      <c r="I89" s="691">
        <v>0</v>
      </c>
      <c r="J89" s="691">
        <v>0</v>
      </c>
      <c r="K89" s="691">
        <v>0</v>
      </c>
      <c r="L89" s="692"/>
      <c r="M89" s="691">
        <v>0</v>
      </c>
      <c r="N89" s="727">
        <v>0</v>
      </c>
      <c r="O89" s="732"/>
    </row>
    <row r="90" spans="1:17" hidden="1" outlineLevel="1" x14ac:dyDescent="0.4">
      <c r="A90" s="475" t="s">
        <v>15</v>
      </c>
      <c r="B90" s="475" t="s">
        <v>94</v>
      </c>
      <c r="C90" s="475" t="s">
        <v>18</v>
      </c>
      <c r="D90" s="688" t="s">
        <v>293</v>
      </c>
      <c r="E90" s="689" t="s">
        <v>128</v>
      </c>
      <c r="F90" s="690" t="s">
        <v>129</v>
      </c>
      <c r="G90" s="690" t="s">
        <v>130</v>
      </c>
      <c r="H90" s="690" t="s">
        <v>133</v>
      </c>
      <c r="I90" s="691">
        <v>1058000169</v>
      </c>
      <c r="J90" s="691">
        <v>322280000</v>
      </c>
      <c r="K90" s="691">
        <v>1058000169</v>
      </c>
      <c r="L90" s="692"/>
      <c r="M90" s="691">
        <v>1058000169</v>
      </c>
      <c r="N90" s="727">
        <v>0</v>
      </c>
      <c r="O90" s="730"/>
      <c r="P90" s="501"/>
      <c r="Q90" s="501"/>
    </row>
    <row r="91" spans="1:17" hidden="1" outlineLevel="1" x14ac:dyDescent="0.4">
      <c r="A91" s="475" t="s">
        <v>15</v>
      </c>
      <c r="B91" s="475" t="s">
        <v>94</v>
      </c>
      <c r="C91" s="475" t="s">
        <v>23</v>
      </c>
      <c r="D91" s="688" t="s">
        <v>293</v>
      </c>
      <c r="E91" s="690" t="s">
        <v>128</v>
      </c>
      <c r="F91" s="690" t="s">
        <v>129</v>
      </c>
      <c r="G91" s="690" t="s">
        <v>130</v>
      </c>
      <c r="H91" s="690" t="s">
        <v>134</v>
      </c>
      <c r="I91" s="691">
        <v>0</v>
      </c>
      <c r="J91" s="691">
        <v>960406827.9942342</v>
      </c>
      <c r="K91" s="691">
        <v>0</v>
      </c>
      <c r="L91" s="692">
        <v>0</v>
      </c>
      <c r="M91" s="691">
        <v>0</v>
      </c>
      <c r="N91" s="727">
        <v>0</v>
      </c>
      <c r="O91" s="736"/>
      <c r="P91" s="737" t="s">
        <v>55</v>
      </c>
    </row>
    <row r="92" spans="1:17" hidden="1" outlineLevel="1" x14ac:dyDescent="0.4">
      <c r="A92" s="475" t="s">
        <v>15</v>
      </c>
      <c r="B92" s="475" t="s">
        <v>94</v>
      </c>
      <c r="C92" s="475" t="s">
        <v>22</v>
      </c>
      <c r="D92" s="688" t="s">
        <v>293</v>
      </c>
      <c r="E92" s="690" t="s">
        <v>128</v>
      </c>
      <c r="F92" s="690" t="s">
        <v>129</v>
      </c>
      <c r="G92" s="690" t="s">
        <v>130</v>
      </c>
      <c r="H92" s="690" t="s">
        <v>135</v>
      </c>
      <c r="I92" s="691">
        <v>13647383900</v>
      </c>
      <c r="J92" s="691">
        <v>8000557900</v>
      </c>
      <c r="K92" s="691">
        <v>13647383900</v>
      </c>
      <c r="L92" s="692">
        <v>1.7058040289915282</v>
      </c>
      <c r="M92" s="691">
        <v>13647383900</v>
      </c>
      <c r="N92" s="727">
        <v>0</v>
      </c>
      <c r="O92" s="738"/>
      <c r="P92" s="739">
        <f>+O92-K92</f>
        <v>-13647383900</v>
      </c>
    </row>
    <row r="93" spans="1:17" hidden="1" outlineLevel="1" x14ac:dyDescent="0.4">
      <c r="A93" s="475" t="s">
        <v>15</v>
      </c>
      <c r="B93" s="475" t="s">
        <v>94</v>
      </c>
      <c r="C93" s="475" t="s">
        <v>46</v>
      </c>
      <c r="D93" s="688" t="s">
        <v>293</v>
      </c>
      <c r="E93" s="690" t="s">
        <v>128</v>
      </c>
      <c r="F93" s="690" t="s">
        <v>129</v>
      </c>
      <c r="G93" s="690" t="s">
        <v>130</v>
      </c>
      <c r="H93" s="690" t="s">
        <v>136</v>
      </c>
      <c r="I93" s="691">
        <v>0</v>
      </c>
      <c r="J93" s="691">
        <v>0</v>
      </c>
      <c r="K93" s="691">
        <v>0</v>
      </c>
      <c r="L93" s="692" t="e">
        <v>#DIV/0!</v>
      </c>
      <c r="M93" s="691">
        <v>0</v>
      </c>
      <c r="N93" s="727">
        <v>0</v>
      </c>
      <c r="O93" s="740"/>
    </row>
    <row r="94" spans="1:17" hidden="1" outlineLevel="1" x14ac:dyDescent="0.4">
      <c r="A94" s="475" t="s">
        <v>15</v>
      </c>
      <c r="B94" s="475" t="s">
        <v>94</v>
      </c>
      <c r="C94" s="475" t="s">
        <v>26</v>
      </c>
      <c r="D94" s="688" t="s">
        <v>293</v>
      </c>
      <c r="E94" s="690" t="s">
        <v>128</v>
      </c>
      <c r="F94" s="690" t="s">
        <v>129</v>
      </c>
      <c r="G94" s="690" t="s">
        <v>130</v>
      </c>
      <c r="H94" s="690" t="s">
        <v>137</v>
      </c>
      <c r="I94" s="691">
        <v>143875000</v>
      </c>
      <c r="J94" s="691">
        <v>0</v>
      </c>
      <c r="K94" s="691">
        <v>143875000</v>
      </c>
      <c r="L94" s="692" t="e">
        <v>#DIV/0!</v>
      </c>
      <c r="M94" s="691">
        <v>143875000</v>
      </c>
      <c r="N94" s="727">
        <v>0</v>
      </c>
      <c r="O94" s="732"/>
      <c r="P94" s="475" t="s">
        <v>162</v>
      </c>
    </row>
    <row r="95" spans="1:17" hidden="1" outlineLevel="1" x14ac:dyDescent="0.4">
      <c r="A95" s="475" t="s">
        <v>15</v>
      </c>
      <c r="B95" s="475" t="s">
        <v>94</v>
      </c>
      <c r="C95" s="475" t="s">
        <v>25</v>
      </c>
      <c r="D95" s="688" t="s">
        <v>293</v>
      </c>
      <c r="E95" s="690" t="s">
        <v>128</v>
      </c>
      <c r="F95" s="690" t="s">
        <v>129</v>
      </c>
      <c r="G95" s="690" t="s">
        <v>130</v>
      </c>
      <c r="H95" s="690" t="s">
        <v>141</v>
      </c>
      <c r="I95" s="691">
        <v>186269430</v>
      </c>
      <c r="J95" s="691">
        <v>0</v>
      </c>
      <c r="K95" s="691">
        <v>186269430</v>
      </c>
      <c r="L95" s="692" t="e">
        <v>#DIV/0!</v>
      </c>
      <c r="M95" s="691">
        <v>186269430</v>
      </c>
      <c r="N95" s="727">
        <v>0</v>
      </c>
      <c r="O95" s="732"/>
      <c r="P95" s="475" t="s">
        <v>163</v>
      </c>
    </row>
    <row r="96" spans="1:17" hidden="1" outlineLevel="1" x14ac:dyDescent="0.4">
      <c r="A96" s="475" t="s">
        <v>15</v>
      </c>
      <c r="B96" s="475" t="s">
        <v>94</v>
      </c>
      <c r="C96" s="475" t="s">
        <v>27</v>
      </c>
      <c r="D96" s="688" t="s">
        <v>293</v>
      </c>
      <c r="E96" s="701" t="s">
        <v>128</v>
      </c>
      <c r="F96" s="701" t="s">
        <v>129</v>
      </c>
      <c r="G96" s="701" t="s">
        <v>130</v>
      </c>
      <c r="H96" s="701" t="s">
        <v>142</v>
      </c>
      <c r="I96" s="702">
        <v>333479167</v>
      </c>
      <c r="J96" s="702">
        <v>0</v>
      </c>
      <c r="K96" s="702">
        <v>333479167</v>
      </c>
      <c r="L96" s="703"/>
      <c r="M96" s="702">
        <v>333479167</v>
      </c>
      <c r="N96" s="741">
        <v>0</v>
      </c>
      <c r="O96" s="732"/>
    </row>
    <row r="97" spans="1:16" ht="14.4" hidden="1" outlineLevel="1" thickBot="1" x14ac:dyDescent="0.45">
      <c r="A97" s="475" t="s">
        <v>15</v>
      </c>
      <c r="B97" s="475" t="s">
        <v>94</v>
      </c>
      <c r="C97" s="475" t="s">
        <v>28</v>
      </c>
      <c r="D97" s="719" t="s">
        <v>293</v>
      </c>
      <c r="E97" s="705" t="s">
        <v>128</v>
      </c>
      <c r="F97" s="705" t="s">
        <v>129</v>
      </c>
      <c r="G97" s="705" t="s">
        <v>130</v>
      </c>
      <c r="H97" s="705" t="s">
        <v>143</v>
      </c>
      <c r="I97" s="706">
        <v>31683200</v>
      </c>
      <c r="J97" s="706">
        <v>0</v>
      </c>
      <c r="K97" s="706">
        <v>31683200</v>
      </c>
      <c r="L97" s="707" t="e">
        <v>#DIV/0!</v>
      </c>
      <c r="M97" s="706">
        <v>31683200</v>
      </c>
      <c r="N97" s="729">
        <v>0</v>
      </c>
      <c r="O97" s="732"/>
    </row>
    <row r="98" spans="1:16" ht="14.4" hidden="1" outlineLevel="1" thickBot="1" x14ac:dyDescent="0.45">
      <c r="D98" s="709" t="s">
        <v>164</v>
      </c>
      <c r="E98" s="820"/>
      <c r="F98" s="820"/>
      <c r="G98" s="820"/>
      <c r="H98" s="821"/>
      <c r="I98" s="710">
        <v>15400690866</v>
      </c>
      <c r="J98" s="710">
        <v>9283244727.9942341</v>
      </c>
      <c r="K98" s="710">
        <v>15400690866</v>
      </c>
      <c r="L98" s="711">
        <v>1.6589771483195099</v>
      </c>
      <c r="M98" s="712">
        <v>15400690866</v>
      </c>
      <c r="N98" s="713">
        <v>0</v>
      </c>
      <c r="O98" s="732"/>
    </row>
    <row r="99" spans="1:16" ht="14.4" hidden="1" outlineLevel="1" thickBot="1" x14ac:dyDescent="0.45">
      <c r="D99" s="822" t="s">
        <v>165</v>
      </c>
      <c r="E99" s="823"/>
      <c r="F99" s="823"/>
      <c r="G99" s="823"/>
      <c r="H99" s="824"/>
      <c r="I99" s="742">
        <v>80902685739</v>
      </c>
      <c r="J99" s="742">
        <v>61268723345.590729</v>
      </c>
      <c r="K99" s="742">
        <v>80902685739</v>
      </c>
      <c r="L99" s="723">
        <v>1.3204565285727021</v>
      </c>
      <c r="M99" s="733">
        <v>80902685739</v>
      </c>
      <c r="N99" s="743">
        <v>0</v>
      </c>
      <c r="O99" s="744"/>
    </row>
    <row r="100" spans="1:16" hidden="1" outlineLevel="1" x14ac:dyDescent="0.4">
      <c r="A100" s="475" t="s">
        <v>15</v>
      </c>
      <c r="B100" s="475" t="s">
        <v>94</v>
      </c>
      <c r="C100" s="475" t="s">
        <v>127</v>
      </c>
      <c r="D100" s="726" t="s">
        <v>96</v>
      </c>
      <c r="E100" s="690" t="s">
        <v>128</v>
      </c>
      <c r="F100" s="690" t="s">
        <v>129</v>
      </c>
      <c r="G100" s="690" t="s">
        <v>130</v>
      </c>
      <c r="H100" s="690" t="s">
        <v>131</v>
      </c>
      <c r="I100" s="691">
        <v>603655560</v>
      </c>
      <c r="J100" s="745">
        <v>0</v>
      </c>
      <c r="K100" s="691">
        <v>603655560</v>
      </c>
      <c r="L100" s="746" t="e">
        <v>#DIV/0!</v>
      </c>
      <c r="M100" s="747">
        <v>603655560</v>
      </c>
      <c r="N100" s="748">
        <v>0</v>
      </c>
      <c r="O100" s="749">
        <f t="shared" ref="O100:O107" si="5">I100-K100</f>
        <v>0</v>
      </c>
    </row>
    <row r="101" spans="1:16" hidden="1" outlineLevel="1" x14ac:dyDescent="0.4">
      <c r="A101" s="475" t="s">
        <v>15</v>
      </c>
      <c r="B101" s="475" t="s">
        <v>94</v>
      </c>
      <c r="C101" s="475" t="s">
        <v>47</v>
      </c>
      <c r="D101" s="688" t="s">
        <v>294</v>
      </c>
      <c r="E101" s="690" t="s">
        <v>128</v>
      </c>
      <c r="F101" s="690" t="s">
        <v>129</v>
      </c>
      <c r="G101" s="690" t="s">
        <v>130</v>
      </c>
      <c r="H101" s="690" t="s">
        <v>132</v>
      </c>
      <c r="I101" s="691"/>
      <c r="J101" s="745">
        <v>0</v>
      </c>
      <c r="K101" s="691">
        <v>0</v>
      </c>
      <c r="L101" s="746"/>
      <c r="M101" s="717">
        <v>0</v>
      </c>
      <c r="N101" s="727">
        <v>0</v>
      </c>
      <c r="O101" s="749">
        <f t="shared" si="5"/>
        <v>0</v>
      </c>
    </row>
    <row r="102" spans="1:16" hidden="1" outlineLevel="1" x14ac:dyDescent="0.4">
      <c r="A102" s="475" t="s">
        <v>15</v>
      </c>
      <c r="B102" s="475" t="s">
        <v>94</v>
      </c>
      <c r="C102" s="475" t="s">
        <v>18</v>
      </c>
      <c r="D102" s="688" t="s">
        <v>294</v>
      </c>
      <c r="E102" s="689" t="s">
        <v>128</v>
      </c>
      <c r="F102" s="690" t="s">
        <v>129</v>
      </c>
      <c r="G102" s="690" t="s">
        <v>130</v>
      </c>
      <c r="H102" s="690" t="s">
        <v>133</v>
      </c>
      <c r="I102" s="691">
        <v>1265402524</v>
      </c>
      <c r="J102" s="691">
        <v>1579200000</v>
      </c>
      <c r="K102" s="691">
        <v>1265402524</v>
      </c>
      <c r="L102" s="692"/>
      <c r="M102" s="717">
        <v>1265402524</v>
      </c>
      <c r="N102" s="727">
        <v>0</v>
      </c>
      <c r="O102" s="749">
        <f t="shared" si="5"/>
        <v>0</v>
      </c>
    </row>
    <row r="103" spans="1:16" hidden="1" outlineLevel="1" x14ac:dyDescent="0.4">
      <c r="A103" s="475" t="s">
        <v>15</v>
      </c>
      <c r="B103" s="475" t="s">
        <v>94</v>
      </c>
      <c r="C103" s="475" t="s">
        <v>23</v>
      </c>
      <c r="D103" s="688" t="s">
        <v>294</v>
      </c>
      <c r="E103" s="690" t="s">
        <v>128</v>
      </c>
      <c r="F103" s="690" t="s">
        <v>129</v>
      </c>
      <c r="G103" s="690" t="s">
        <v>130</v>
      </c>
      <c r="H103" s="690" t="s">
        <v>134</v>
      </c>
      <c r="I103" s="691">
        <v>363059300</v>
      </c>
      <c r="J103" s="745">
        <v>958214827.99423397</v>
      </c>
      <c r="K103" s="691">
        <v>363059300</v>
      </c>
      <c r="L103" s="746">
        <v>0.37889133980525785</v>
      </c>
      <c r="M103" s="717">
        <v>363059300</v>
      </c>
      <c r="N103" s="727">
        <v>0</v>
      </c>
      <c r="O103" s="749">
        <f t="shared" si="5"/>
        <v>0</v>
      </c>
    </row>
    <row r="104" spans="1:16" hidden="1" outlineLevel="1" x14ac:dyDescent="0.4">
      <c r="A104" s="475" t="s">
        <v>15</v>
      </c>
      <c r="B104" s="475" t="s">
        <v>94</v>
      </c>
      <c r="C104" s="475" t="s">
        <v>22</v>
      </c>
      <c r="D104" s="688" t="s">
        <v>294</v>
      </c>
      <c r="E104" s="690" t="s">
        <v>128</v>
      </c>
      <c r="F104" s="690" t="s">
        <v>129</v>
      </c>
      <c r="G104" s="690" t="s">
        <v>130</v>
      </c>
      <c r="H104" s="690" t="s">
        <v>135</v>
      </c>
      <c r="I104" s="750">
        <v>11205080550</v>
      </c>
      <c r="J104" s="745">
        <v>9421993233</v>
      </c>
      <c r="K104" s="750">
        <v>11205080550</v>
      </c>
      <c r="L104" s="746">
        <v>1.1892473569981814</v>
      </c>
      <c r="M104" s="751">
        <v>11205080550</v>
      </c>
      <c r="N104" s="727">
        <v>0</v>
      </c>
      <c r="O104" s="749">
        <f t="shared" si="5"/>
        <v>0</v>
      </c>
    </row>
    <row r="105" spans="1:16" hidden="1" outlineLevel="1" x14ac:dyDescent="0.4">
      <c r="A105" s="475" t="s">
        <v>15</v>
      </c>
      <c r="B105" s="475" t="s">
        <v>94</v>
      </c>
      <c r="C105" s="475" t="s">
        <v>46</v>
      </c>
      <c r="D105" s="688" t="s">
        <v>294</v>
      </c>
      <c r="E105" s="690" t="s">
        <v>128</v>
      </c>
      <c r="F105" s="690" t="s">
        <v>129</v>
      </c>
      <c r="G105" s="690" t="s">
        <v>130</v>
      </c>
      <c r="H105" s="690" t="s">
        <v>136</v>
      </c>
      <c r="I105" s="691">
        <v>30000000</v>
      </c>
      <c r="J105" s="745">
        <v>0</v>
      </c>
      <c r="K105" s="691">
        <v>30000000</v>
      </c>
      <c r="L105" s="746" t="e">
        <v>#DIV/0!</v>
      </c>
      <c r="M105" s="717">
        <v>30000000</v>
      </c>
      <c r="N105" s="727">
        <v>0</v>
      </c>
      <c r="O105" s="749">
        <f t="shared" si="5"/>
        <v>0</v>
      </c>
    </row>
    <row r="106" spans="1:16" hidden="1" outlineLevel="1" x14ac:dyDescent="0.4">
      <c r="A106" s="475" t="s">
        <v>15</v>
      </c>
      <c r="B106" s="475" t="s">
        <v>94</v>
      </c>
      <c r="C106" s="475" t="s">
        <v>26</v>
      </c>
      <c r="D106" s="688" t="s">
        <v>294</v>
      </c>
      <c r="E106" s="690" t="s">
        <v>128</v>
      </c>
      <c r="F106" s="690" t="s">
        <v>129</v>
      </c>
      <c r="G106" s="690" t="s">
        <v>130</v>
      </c>
      <c r="H106" s="690" t="s">
        <v>137</v>
      </c>
      <c r="I106" s="691">
        <v>230000000</v>
      </c>
      <c r="J106" s="745">
        <v>0</v>
      </c>
      <c r="K106" s="691">
        <v>230000000</v>
      </c>
      <c r="L106" s="746" t="e">
        <v>#DIV/0!</v>
      </c>
      <c r="M106" s="717">
        <v>230000000</v>
      </c>
      <c r="N106" s="727">
        <v>0</v>
      </c>
      <c r="O106" s="749">
        <f t="shared" si="5"/>
        <v>0</v>
      </c>
    </row>
    <row r="107" spans="1:16" hidden="1" outlineLevel="1" x14ac:dyDescent="0.4">
      <c r="A107" s="475" t="s">
        <v>15</v>
      </c>
      <c r="B107" s="475" t="s">
        <v>94</v>
      </c>
      <c r="C107" s="475" t="s">
        <v>25</v>
      </c>
      <c r="D107" s="688" t="s">
        <v>294</v>
      </c>
      <c r="E107" s="690" t="s">
        <v>128</v>
      </c>
      <c r="F107" s="690" t="s">
        <v>129</v>
      </c>
      <c r="G107" s="690" t="s">
        <v>130</v>
      </c>
      <c r="H107" s="690" t="s">
        <v>141</v>
      </c>
      <c r="I107" s="691">
        <v>670649430</v>
      </c>
      <c r="J107" s="745">
        <v>0</v>
      </c>
      <c r="K107" s="691">
        <v>670649430</v>
      </c>
      <c r="L107" s="746" t="e">
        <v>#DIV/0!</v>
      </c>
      <c r="M107" s="717">
        <v>670649430</v>
      </c>
      <c r="N107" s="727">
        <v>0</v>
      </c>
      <c r="O107" s="749">
        <f t="shared" si="5"/>
        <v>0</v>
      </c>
    </row>
    <row r="108" spans="1:16" hidden="1" outlineLevel="1" x14ac:dyDescent="0.4">
      <c r="A108" s="475" t="s">
        <v>15</v>
      </c>
      <c r="B108" s="475" t="s">
        <v>94</v>
      </c>
      <c r="C108" s="475" t="s">
        <v>27</v>
      </c>
      <c r="D108" s="688" t="s">
        <v>294</v>
      </c>
      <c r="E108" s="701" t="s">
        <v>128</v>
      </c>
      <c r="F108" s="701" t="s">
        <v>129</v>
      </c>
      <c r="G108" s="701" t="s">
        <v>130</v>
      </c>
      <c r="H108" s="701" t="s">
        <v>142</v>
      </c>
      <c r="I108" s="702">
        <v>294129167</v>
      </c>
      <c r="J108" s="752">
        <v>0</v>
      </c>
      <c r="K108" s="702">
        <v>294129167</v>
      </c>
      <c r="L108" s="753"/>
      <c r="M108" s="754">
        <v>294129167</v>
      </c>
      <c r="N108" s="741">
        <v>0</v>
      </c>
      <c r="O108" s="749" t="s">
        <v>166</v>
      </c>
    </row>
    <row r="109" spans="1:16" ht="14.4" hidden="1" outlineLevel="1" thickBot="1" x14ac:dyDescent="0.45">
      <c r="A109" s="475" t="s">
        <v>15</v>
      </c>
      <c r="B109" s="475" t="s">
        <v>94</v>
      </c>
      <c r="C109" s="475" t="s">
        <v>28</v>
      </c>
      <c r="D109" s="719" t="s">
        <v>294</v>
      </c>
      <c r="E109" s="705" t="s">
        <v>128</v>
      </c>
      <c r="F109" s="705" t="s">
        <v>129</v>
      </c>
      <c r="G109" s="705" t="s">
        <v>130</v>
      </c>
      <c r="H109" s="705" t="s">
        <v>143</v>
      </c>
      <c r="I109" s="706">
        <v>58253000</v>
      </c>
      <c r="J109" s="706">
        <v>0</v>
      </c>
      <c r="K109" s="706">
        <v>58253000</v>
      </c>
      <c r="L109" s="707" t="e">
        <v>#DIV/0!</v>
      </c>
      <c r="M109" s="720">
        <v>58253000</v>
      </c>
      <c r="N109" s="729">
        <v>0</v>
      </c>
      <c r="O109" s="749">
        <f>I109-K109</f>
        <v>0</v>
      </c>
      <c r="P109" s="631"/>
    </row>
    <row r="110" spans="1:16" ht="14.4" hidden="1" outlineLevel="1" thickBot="1" x14ac:dyDescent="0.45">
      <c r="D110" s="709" t="s">
        <v>167</v>
      </c>
      <c r="E110" s="820"/>
      <c r="F110" s="820"/>
      <c r="G110" s="820"/>
      <c r="H110" s="821"/>
      <c r="I110" s="710">
        <v>14720229531</v>
      </c>
      <c r="J110" s="710">
        <v>11959408060.994234</v>
      </c>
      <c r="K110" s="710">
        <v>14720229531</v>
      </c>
      <c r="L110" s="711">
        <v>1.2308493410313694</v>
      </c>
      <c r="M110" s="712">
        <v>14720229531</v>
      </c>
      <c r="N110" s="713">
        <v>0</v>
      </c>
      <c r="O110" s="755"/>
    </row>
    <row r="111" spans="1:16" ht="14.4" collapsed="1" thickBot="1" x14ac:dyDescent="0.45">
      <c r="D111" s="825" t="s">
        <v>168</v>
      </c>
      <c r="E111" s="826"/>
      <c r="F111" s="826"/>
      <c r="G111" s="826"/>
      <c r="H111" s="827"/>
      <c r="I111" s="722">
        <v>41031470524</v>
      </c>
      <c r="J111" s="722">
        <v>28950602716.982704</v>
      </c>
      <c r="K111" s="722">
        <v>41031470524</v>
      </c>
      <c r="L111" s="723"/>
      <c r="M111" s="756">
        <v>41031470524</v>
      </c>
      <c r="N111" s="757">
        <v>0</v>
      </c>
      <c r="O111" s="758"/>
    </row>
    <row r="112" spans="1:16" hidden="1" outlineLevel="1" x14ac:dyDescent="0.4">
      <c r="A112" s="475" t="s">
        <v>15</v>
      </c>
      <c r="B112" s="475" t="s">
        <v>169</v>
      </c>
      <c r="C112" s="475" t="s">
        <v>127</v>
      </c>
      <c r="D112" s="726" t="s">
        <v>170</v>
      </c>
      <c r="E112" s="690" t="s">
        <v>128</v>
      </c>
      <c r="F112" s="690" t="s">
        <v>129</v>
      </c>
      <c r="G112" s="690" t="s">
        <v>130</v>
      </c>
      <c r="H112" s="690" t="s">
        <v>131</v>
      </c>
      <c r="I112" s="691">
        <v>892967400</v>
      </c>
      <c r="J112" s="691">
        <v>0</v>
      </c>
      <c r="K112" s="691">
        <v>892967400</v>
      </c>
      <c r="L112" s="692" t="e">
        <v>#DIV/0!</v>
      </c>
      <c r="M112" s="691">
        <v>892967400</v>
      </c>
      <c r="N112" s="727">
        <v>0</v>
      </c>
      <c r="O112" s="631"/>
    </row>
    <row r="113" spans="1:18" hidden="1" outlineLevel="1" x14ac:dyDescent="0.4">
      <c r="A113" s="475" t="s">
        <v>15</v>
      </c>
      <c r="B113" s="475" t="s">
        <v>169</v>
      </c>
      <c r="C113" s="475" t="s">
        <v>47</v>
      </c>
      <c r="D113" s="688" t="s">
        <v>295</v>
      </c>
      <c r="E113" s="690" t="s">
        <v>128</v>
      </c>
      <c r="F113" s="690" t="s">
        <v>129</v>
      </c>
      <c r="G113" s="690" t="s">
        <v>130</v>
      </c>
      <c r="H113" s="690" t="s">
        <v>132</v>
      </c>
      <c r="I113" s="691">
        <v>0</v>
      </c>
      <c r="J113" s="691">
        <v>0</v>
      </c>
      <c r="K113" s="691">
        <v>0</v>
      </c>
      <c r="L113" s="692" t="e">
        <v>#DIV/0!</v>
      </c>
      <c r="M113" s="691">
        <v>0</v>
      </c>
      <c r="N113" s="727">
        <v>0</v>
      </c>
      <c r="O113" s="631"/>
    </row>
    <row r="114" spans="1:18" hidden="1" outlineLevel="1" x14ac:dyDescent="0.4">
      <c r="A114" s="475" t="s">
        <v>15</v>
      </c>
      <c r="B114" s="475" t="s">
        <v>169</v>
      </c>
      <c r="C114" s="475" t="s">
        <v>18</v>
      </c>
      <c r="D114" s="688" t="s">
        <v>295</v>
      </c>
      <c r="E114" s="689" t="s">
        <v>128</v>
      </c>
      <c r="F114" s="690" t="s">
        <v>129</v>
      </c>
      <c r="G114" s="690" t="s">
        <v>130</v>
      </c>
      <c r="H114" s="690" t="s">
        <v>133</v>
      </c>
      <c r="I114" s="691">
        <v>1228260646</v>
      </c>
      <c r="J114" s="691">
        <v>2868404000</v>
      </c>
      <c r="K114" s="691">
        <v>1228260646</v>
      </c>
      <c r="L114" s="692"/>
      <c r="M114" s="691">
        <v>1228260646</v>
      </c>
      <c r="N114" s="727">
        <v>0</v>
      </c>
      <c r="O114" s="631"/>
    </row>
    <row r="115" spans="1:18" hidden="1" outlineLevel="1" x14ac:dyDescent="0.4">
      <c r="A115" s="475" t="s">
        <v>15</v>
      </c>
      <c r="B115" s="475" t="s">
        <v>169</v>
      </c>
      <c r="C115" s="475" t="s">
        <v>23</v>
      </c>
      <c r="D115" s="688" t="s">
        <v>295</v>
      </c>
      <c r="E115" s="690" t="s">
        <v>128</v>
      </c>
      <c r="F115" s="690" t="s">
        <v>129</v>
      </c>
      <c r="G115" s="690" t="s">
        <v>130</v>
      </c>
      <c r="H115" s="690" t="s">
        <v>134</v>
      </c>
      <c r="I115" s="691">
        <v>97554120</v>
      </c>
      <c r="J115" s="691">
        <v>959310827.9942342</v>
      </c>
      <c r="K115" s="691">
        <v>97554120</v>
      </c>
      <c r="L115" s="692">
        <v>0.10169187832891462</v>
      </c>
      <c r="M115" s="691">
        <v>97554120</v>
      </c>
      <c r="N115" s="727">
        <v>0</v>
      </c>
      <c r="O115" s="631"/>
    </row>
    <row r="116" spans="1:18" hidden="1" outlineLevel="1" x14ac:dyDescent="0.4">
      <c r="A116" s="475" t="s">
        <v>15</v>
      </c>
      <c r="B116" s="475" t="s">
        <v>169</v>
      </c>
      <c r="C116" s="475" t="s">
        <v>22</v>
      </c>
      <c r="D116" s="688" t="s">
        <v>295</v>
      </c>
      <c r="E116" s="690" t="s">
        <v>128</v>
      </c>
      <c r="F116" s="690" t="s">
        <v>129</v>
      </c>
      <c r="G116" s="690" t="s">
        <v>130</v>
      </c>
      <c r="H116" s="690" t="s">
        <v>135</v>
      </c>
      <c r="I116" s="691">
        <v>10008669200</v>
      </c>
      <c r="J116" s="691">
        <v>6504544700</v>
      </c>
      <c r="K116" s="691">
        <v>10008669200</v>
      </c>
      <c r="L116" s="692">
        <v>1.5387194125977794</v>
      </c>
      <c r="M116" s="691">
        <v>10008669200</v>
      </c>
      <c r="N116" s="727">
        <v>0</v>
      </c>
      <c r="O116" s="631"/>
      <c r="R116" s="631"/>
    </row>
    <row r="117" spans="1:18" hidden="1" outlineLevel="1" x14ac:dyDescent="0.4">
      <c r="A117" s="475" t="s">
        <v>15</v>
      </c>
      <c r="B117" s="475" t="s">
        <v>169</v>
      </c>
      <c r="C117" s="475" t="s">
        <v>46</v>
      </c>
      <c r="D117" s="688" t="s">
        <v>295</v>
      </c>
      <c r="E117" s="690" t="s">
        <v>128</v>
      </c>
      <c r="F117" s="690" t="s">
        <v>129</v>
      </c>
      <c r="G117" s="690" t="s">
        <v>130</v>
      </c>
      <c r="H117" s="690" t="s">
        <v>136</v>
      </c>
      <c r="I117" s="691"/>
      <c r="J117" s="691">
        <v>0</v>
      </c>
      <c r="K117" s="691"/>
      <c r="L117" s="692" t="e">
        <v>#DIV/0!</v>
      </c>
      <c r="M117" s="691"/>
      <c r="N117" s="727">
        <v>0</v>
      </c>
      <c r="O117" s="631"/>
    </row>
    <row r="118" spans="1:18" hidden="1" outlineLevel="1" x14ac:dyDescent="0.4">
      <c r="A118" s="475" t="s">
        <v>15</v>
      </c>
      <c r="B118" s="475" t="s">
        <v>169</v>
      </c>
      <c r="C118" s="475" t="s">
        <v>26</v>
      </c>
      <c r="D118" s="688" t="s">
        <v>295</v>
      </c>
      <c r="E118" s="690" t="s">
        <v>128</v>
      </c>
      <c r="F118" s="690" t="s">
        <v>129</v>
      </c>
      <c r="G118" s="690" t="s">
        <v>130</v>
      </c>
      <c r="H118" s="690" t="s">
        <v>137</v>
      </c>
      <c r="I118" s="691"/>
      <c r="J118" s="691">
        <v>0</v>
      </c>
      <c r="K118" s="691"/>
      <c r="L118" s="692" t="e">
        <v>#DIV/0!</v>
      </c>
      <c r="M118" s="691"/>
      <c r="N118" s="727">
        <v>0</v>
      </c>
      <c r="O118" s="631"/>
    </row>
    <row r="119" spans="1:18" hidden="1" outlineLevel="1" x14ac:dyDescent="0.4">
      <c r="A119" s="475" t="s">
        <v>15</v>
      </c>
      <c r="B119" s="475" t="s">
        <v>169</v>
      </c>
      <c r="C119" s="475" t="s">
        <v>25</v>
      </c>
      <c r="D119" s="688" t="s">
        <v>295</v>
      </c>
      <c r="E119" s="690" t="s">
        <v>128</v>
      </c>
      <c r="F119" s="690" t="s">
        <v>129</v>
      </c>
      <c r="G119" s="690" t="s">
        <v>130</v>
      </c>
      <c r="H119" s="690" t="s">
        <v>141</v>
      </c>
      <c r="I119" s="691">
        <v>428891930</v>
      </c>
      <c r="J119" s="691">
        <v>363000000</v>
      </c>
      <c r="K119" s="691">
        <v>428891930</v>
      </c>
      <c r="L119" s="692">
        <v>1.1815204683195593</v>
      </c>
      <c r="M119" s="691">
        <v>428891930</v>
      </c>
      <c r="N119" s="727">
        <v>0</v>
      </c>
      <c r="O119" s="631" t="s">
        <v>171</v>
      </c>
    </row>
    <row r="120" spans="1:18" hidden="1" outlineLevel="1" x14ac:dyDescent="0.4">
      <c r="A120" s="475" t="s">
        <v>15</v>
      </c>
      <c r="B120" s="475" t="s">
        <v>169</v>
      </c>
      <c r="C120" s="475" t="s">
        <v>27</v>
      </c>
      <c r="D120" s="688" t="s">
        <v>295</v>
      </c>
      <c r="E120" s="701" t="s">
        <v>128</v>
      </c>
      <c r="F120" s="701" t="s">
        <v>129</v>
      </c>
      <c r="G120" s="701" t="s">
        <v>130</v>
      </c>
      <c r="H120" s="701" t="s">
        <v>142</v>
      </c>
      <c r="I120" s="702">
        <v>31604167</v>
      </c>
      <c r="J120" s="702">
        <v>0</v>
      </c>
      <c r="K120" s="702">
        <v>31604167</v>
      </c>
      <c r="L120" s="703" t="e">
        <v>#DIV/0!</v>
      </c>
      <c r="M120" s="702">
        <v>31604167</v>
      </c>
      <c r="N120" s="727">
        <v>0</v>
      </c>
      <c r="O120" s="631"/>
    </row>
    <row r="121" spans="1:18" ht="14.4" hidden="1" outlineLevel="1" thickBot="1" x14ac:dyDescent="0.45">
      <c r="A121" s="475" t="s">
        <v>15</v>
      </c>
      <c r="B121" s="475" t="s">
        <v>169</v>
      </c>
      <c r="C121" s="475" t="s">
        <v>28</v>
      </c>
      <c r="D121" s="719" t="s">
        <v>295</v>
      </c>
      <c r="E121" s="705" t="s">
        <v>128</v>
      </c>
      <c r="F121" s="705" t="s">
        <v>129</v>
      </c>
      <c r="G121" s="705" t="s">
        <v>130</v>
      </c>
      <c r="H121" s="705" t="s">
        <v>143</v>
      </c>
      <c r="I121" s="706">
        <v>14136000</v>
      </c>
      <c r="J121" s="706">
        <v>0</v>
      </c>
      <c r="K121" s="706">
        <v>14136000</v>
      </c>
      <c r="L121" s="707" t="e">
        <v>#DIV/0!</v>
      </c>
      <c r="M121" s="706">
        <v>14136000</v>
      </c>
      <c r="N121" s="727">
        <v>0</v>
      </c>
      <c r="O121" s="475" t="s">
        <v>172</v>
      </c>
    </row>
    <row r="122" spans="1:18" ht="14.4" hidden="1" outlineLevel="1" thickBot="1" x14ac:dyDescent="0.45">
      <c r="D122" s="709" t="s">
        <v>173</v>
      </c>
      <c r="E122" s="820"/>
      <c r="F122" s="820"/>
      <c r="G122" s="820"/>
      <c r="H122" s="821"/>
      <c r="I122" s="710">
        <v>12702083463</v>
      </c>
      <c r="J122" s="710">
        <v>10695259527.994234</v>
      </c>
      <c r="K122" s="710">
        <v>12702083463</v>
      </c>
      <c r="L122" s="711">
        <v>1.1876367683975333</v>
      </c>
      <c r="M122" s="712">
        <v>12702083463</v>
      </c>
      <c r="N122" s="713">
        <v>0</v>
      </c>
      <c r="O122" s="631"/>
    </row>
    <row r="123" spans="1:18" hidden="1" outlineLevel="1" x14ac:dyDescent="0.4">
      <c r="A123" s="475" t="s">
        <v>15</v>
      </c>
      <c r="B123" s="475" t="s">
        <v>169</v>
      </c>
      <c r="C123" s="475" t="s">
        <v>127</v>
      </c>
      <c r="D123" s="726" t="s">
        <v>138</v>
      </c>
      <c r="E123" s="690" t="s">
        <v>128</v>
      </c>
      <c r="F123" s="690" t="s">
        <v>129</v>
      </c>
      <c r="G123" s="690" t="s">
        <v>130</v>
      </c>
      <c r="H123" s="690" t="s">
        <v>131</v>
      </c>
      <c r="I123" s="691"/>
      <c r="J123" s="691">
        <v>0</v>
      </c>
      <c r="K123" s="691">
        <v>0</v>
      </c>
      <c r="L123" s="692" t="e">
        <v>#DIV/0!</v>
      </c>
      <c r="M123" s="691">
        <v>0</v>
      </c>
      <c r="N123" s="727">
        <v>0</v>
      </c>
      <c r="O123" s="631"/>
    </row>
    <row r="124" spans="1:18" hidden="1" outlineLevel="1" x14ac:dyDescent="0.4">
      <c r="A124" s="475" t="s">
        <v>15</v>
      </c>
      <c r="B124" s="475" t="s">
        <v>169</v>
      </c>
      <c r="C124" s="475" t="s">
        <v>47</v>
      </c>
      <c r="D124" s="688" t="s">
        <v>296</v>
      </c>
      <c r="E124" s="690" t="s">
        <v>128</v>
      </c>
      <c r="F124" s="690" t="s">
        <v>129</v>
      </c>
      <c r="G124" s="690" t="s">
        <v>130</v>
      </c>
      <c r="H124" s="690" t="s">
        <v>132</v>
      </c>
      <c r="I124" s="691"/>
      <c r="J124" s="691">
        <v>0</v>
      </c>
      <c r="K124" s="691">
        <v>0</v>
      </c>
      <c r="L124" s="692"/>
      <c r="M124" s="691">
        <v>0</v>
      </c>
      <c r="N124" s="727">
        <v>0</v>
      </c>
      <c r="O124" s="631"/>
    </row>
    <row r="125" spans="1:18" hidden="1" outlineLevel="1" x14ac:dyDescent="0.4">
      <c r="A125" s="475" t="s">
        <v>15</v>
      </c>
      <c r="B125" s="475" t="s">
        <v>169</v>
      </c>
      <c r="C125" s="475" t="s">
        <v>18</v>
      </c>
      <c r="D125" s="688" t="s">
        <v>296</v>
      </c>
      <c r="E125" s="689" t="s">
        <v>128</v>
      </c>
      <c r="F125" s="690" t="s">
        <v>129</v>
      </c>
      <c r="G125" s="690" t="s">
        <v>130</v>
      </c>
      <c r="H125" s="690" t="s">
        <v>133</v>
      </c>
      <c r="I125" s="691">
        <v>4528225660</v>
      </c>
      <c r="J125" s="691">
        <v>2142252000</v>
      </c>
      <c r="K125" s="691">
        <v>4528225660</v>
      </c>
      <c r="L125" s="692"/>
      <c r="M125" s="691">
        <v>4528225660</v>
      </c>
      <c r="N125" s="727">
        <v>0</v>
      </c>
      <c r="O125" s="759"/>
      <c r="P125" s="631"/>
    </row>
    <row r="126" spans="1:18" hidden="1" outlineLevel="1" x14ac:dyDescent="0.4">
      <c r="A126" s="475" t="s">
        <v>15</v>
      </c>
      <c r="B126" s="475" t="s">
        <v>169</v>
      </c>
      <c r="C126" s="475" t="s">
        <v>23</v>
      </c>
      <c r="D126" s="688" t="s">
        <v>296</v>
      </c>
      <c r="E126" s="690" t="s">
        <v>128</v>
      </c>
      <c r="F126" s="690" t="s">
        <v>129</v>
      </c>
      <c r="G126" s="690" t="s">
        <v>130</v>
      </c>
      <c r="H126" s="690" t="s">
        <v>134</v>
      </c>
      <c r="I126" s="691">
        <v>166471840</v>
      </c>
      <c r="J126" s="691">
        <v>959310827.9942342</v>
      </c>
      <c r="K126" s="691">
        <v>166471840</v>
      </c>
      <c r="L126" s="692">
        <v>0.1735327436552197</v>
      </c>
      <c r="M126" s="691">
        <v>166471840</v>
      </c>
      <c r="N126" s="727">
        <v>0</v>
      </c>
      <c r="O126" s="631"/>
    </row>
    <row r="127" spans="1:18" hidden="1" outlineLevel="1" x14ac:dyDescent="0.4">
      <c r="A127" s="475" t="s">
        <v>15</v>
      </c>
      <c r="B127" s="475" t="s">
        <v>169</v>
      </c>
      <c r="C127" s="475" t="s">
        <v>22</v>
      </c>
      <c r="D127" s="688" t="s">
        <v>296</v>
      </c>
      <c r="E127" s="690" t="s">
        <v>128</v>
      </c>
      <c r="F127" s="690" t="s">
        <v>129</v>
      </c>
      <c r="G127" s="690" t="s">
        <v>130</v>
      </c>
      <c r="H127" s="690" t="s">
        <v>135</v>
      </c>
      <c r="I127" s="691">
        <v>7377697800</v>
      </c>
      <c r="J127" s="691">
        <v>4201715500</v>
      </c>
      <c r="K127" s="691">
        <v>7377697800</v>
      </c>
      <c r="L127" s="692">
        <v>1.7558775219312208</v>
      </c>
      <c r="M127" s="691">
        <v>7377697800</v>
      </c>
      <c r="N127" s="727">
        <v>0</v>
      </c>
      <c r="O127" s="631" t="s">
        <v>174</v>
      </c>
    </row>
    <row r="128" spans="1:18" hidden="1" outlineLevel="1" x14ac:dyDescent="0.4">
      <c r="A128" s="475" t="s">
        <v>15</v>
      </c>
      <c r="B128" s="475" t="s">
        <v>169</v>
      </c>
      <c r="C128" s="475" t="s">
        <v>46</v>
      </c>
      <c r="D128" s="688" t="s">
        <v>296</v>
      </c>
      <c r="E128" s="690" t="s">
        <v>128</v>
      </c>
      <c r="F128" s="690" t="s">
        <v>129</v>
      </c>
      <c r="G128" s="690" t="s">
        <v>130</v>
      </c>
      <c r="H128" s="690" t="s">
        <v>136</v>
      </c>
      <c r="I128" s="691"/>
      <c r="J128" s="691">
        <v>107000000</v>
      </c>
      <c r="K128" s="691"/>
      <c r="L128" s="692">
        <v>0</v>
      </c>
      <c r="M128" s="691"/>
      <c r="N128" s="727">
        <v>0</v>
      </c>
      <c r="O128" s="631"/>
    </row>
    <row r="129" spans="1:16" hidden="1" outlineLevel="1" x14ac:dyDescent="0.4">
      <c r="A129" s="475" t="s">
        <v>15</v>
      </c>
      <c r="B129" s="475" t="s">
        <v>169</v>
      </c>
      <c r="C129" s="475" t="s">
        <v>26</v>
      </c>
      <c r="D129" s="688" t="s">
        <v>296</v>
      </c>
      <c r="E129" s="690" t="s">
        <v>128</v>
      </c>
      <c r="F129" s="690" t="s">
        <v>129</v>
      </c>
      <c r="G129" s="690" t="s">
        <v>130</v>
      </c>
      <c r="H129" s="690" t="s">
        <v>137</v>
      </c>
      <c r="I129" s="691">
        <v>38500000</v>
      </c>
      <c r="J129" s="691">
        <v>720875000</v>
      </c>
      <c r="K129" s="691">
        <v>38500000</v>
      </c>
      <c r="L129" s="692">
        <v>5.3407317496098491E-2</v>
      </c>
      <c r="M129" s="691">
        <v>38500000</v>
      </c>
      <c r="N129" s="727">
        <v>0</v>
      </c>
      <c r="O129" s="631"/>
    </row>
    <row r="130" spans="1:16" hidden="1" outlineLevel="1" x14ac:dyDescent="0.4">
      <c r="A130" s="475" t="s">
        <v>15</v>
      </c>
      <c r="B130" s="475" t="s">
        <v>169</v>
      </c>
      <c r="C130" s="475" t="s">
        <v>25</v>
      </c>
      <c r="D130" s="688" t="s">
        <v>296</v>
      </c>
      <c r="E130" s="690" t="s">
        <v>128</v>
      </c>
      <c r="F130" s="690" t="s">
        <v>129</v>
      </c>
      <c r="G130" s="690" t="s">
        <v>130</v>
      </c>
      <c r="H130" s="690" t="s">
        <v>141</v>
      </c>
      <c r="I130" s="691">
        <v>110001036</v>
      </c>
      <c r="J130" s="691">
        <v>724900000</v>
      </c>
      <c r="K130" s="691">
        <v>110001036</v>
      </c>
      <c r="L130" s="692">
        <v>0.15174649744792384</v>
      </c>
      <c r="M130" s="691">
        <v>110001036</v>
      </c>
      <c r="N130" s="727">
        <v>0</v>
      </c>
      <c r="O130" s="631" t="s">
        <v>175</v>
      </c>
    </row>
    <row r="131" spans="1:16" hidden="1" outlineLevel="1" x14ac:dyDescent="0.4">
      <c r="A131" s="475" t="s">
        <v>15</v>
      </c>
      <c r="B131" s="475" t="s">
        <v>169</v>
      </c>
      <c r="C131" s="475" t="s">
        <v>27</v>
      </c>
      <c r="D131" s="688" t="s">
        <v>296</v>
      </c>
      <c r="E131" s="701" t="s">
        <v>128</v>
      </c>
      <c r="F131" s="701" t="s">
        <v>129</v>
      </c>
      <c r="G131" s="701" t="s">
        <v>130</v>
      </c>
      <c r="H131" s="701" t="s">
        <v>142</v>
      </c>
      <c r="I131" s="702">
        <v>125354167</v>
      </c>
      <c r="J131" s="702">
        <v>234375000</v>
      </c>
      <c r="K131" s="702">
        <v>125354167</v>
      </c>
      <c r="L131" s="703"/>
      <c r="M131" s="702">
        <v>125354167</v>
      </c>
      <c r="N131" s="727">
        <v>0</v>
      </c>
      <c r="O131" s="631"/>
      <c r="P131" s="501">
        <v>109103480</v>
      </c>
    </row>
    <row r="132" spans="1:16" ht="14.4" hidden="1" outlineLevel="1" thickBot="1" x14ac:dyDescent="0.45">
      <c r="A132" s="475" t="s">
        <v>15</v>
      </c>
      <c r="B132" s="475" t="s">
        <v>169</v>
      </c>
      <c r="C132" s="475" t="s">
        <v>28</v>
      </c>
      <c r="D132" s="719" t="s">
        <v>296</v>
      </c>
      <c r="E132" s="705" t="s">
        <v>128</v>
      </c>
      <c r="F132" s="705" t="s">
        <v>129</v>
      </c>
      <c r="G132" s="705" t="s">
        <v>130</v>
      </c>
      <c r="H132" s="705" t="s">
        <v>143</v>
      </c>
      <c r="I132" s="706">
        <v>15738000</v>
      </c>
      <c r="J132" s="706">
        <v>0</v>
      </c>
      <c r="K132" s="706">
        <v>15738000</v>
      </c>
      <c r="L132" s="707" t="e">
        <v>#DIV/0!</v>
      </c>
      <c r="M132" s="706">
        <v>15738000</v>
      </c>
      <c r="N132" s="727">
        <v>0</v>
      </c>
      <c r="O132" s="475" t="s">
        <v>172</v>
      </c>
    </row>
    <row r="133" spans="1:16" ht="14.4" hidden="1" outlineLevel="1" thickBot="1" x14ac:dyDescent="0.45">
      <c r="D133" s="709" t="s">
        <v>176</v>
      </c>
      <c r="E133" s="820"/>
      <c r="F133" s="820"/>
      <c r="G133" s="820"/>
      <c r="H133" s="821"/>
      <c r="I133" s="710">
        <v>12361988503</v>
      </c>
      <c r="J133" s="710">
        <v>9090428327.9942341</v>
      </c>
      <c r="K133" s="710">
        <v>12361988503</v>
      </c>
      <c r="L133" s="711">
        <v>1.3598906516792946</v>
      </c>
      <c r="M133" s="712">
        <v>12361988503</v>
      </c>
      <c r="N133" s="713">
        <v>0</v>
      </c>
      <c r="P133" s="760"/>
    </row>
    <row r="134" spans="1:16" hidden="1" outlineLevel="1" x14ac:dyDescent="0.4">
      <c r="A134" s="475" t="s">
        <v>15</v>
      </c>
      <c r="B134" s="475" t="s">
        <v>169</v>
      </c>
      <c r="C134" s="475" t="s">
        <v>127</v>
      </c>
      <c r="D134" s="682" t="s">
        <v>139</v>
      </c>
      <c r="E134" s="761" t="s">
        <v>128</v>
      </c>
      <c r="F134" s="761" t="s">
        <v>129</v>
      </c>
      <c r="G134" s="761" t="s">
        <v>130</v>
      </c>
      <c r="H134" s="761" t="s">
        <v>131</v>
      </c>
      <c r="I134" s="762"/>
      <c r="J134" s="762">
        <v>0</v>
      </c>
      <c r="K134" s="762"/>
      <c r="L134" s="763" t="e">
        <v>#DIV/0!</v>
      </c>
      <c r="M134" s="762"/>
      <c r="N134" s="748">
        <v>0</v>
      </c>
      <c r="O134" s="631"/>
    </row>
    <row r="135" spans="1:16" hidden="1" outlineLevel="1" x14ac:dyDescent="0.4">
      <c r="A135" s="475" t="s">
        <v>15</v>
      </c>
      <c r="B135" s="475" t="s">
        <v>169</v>
      </c>
      <c r="C135" s="475" t="s">
        <v>47</v>
      </c>
      <c r="D135" s="688" t="s">
        <v>548</v>
      </c>
      <c r="E135" s="690" t="s">
        <v>128</v>
      </c>
      <c r="F135" s="690" t="s">
        <v>129</v>
      </c>
      <c r="G135" s="690" t="s">
        <v>130</v>
      </c>
      <c r="H135" s="690" t="s">
        <v>132</v>
      </c>
      <c r="I135" s="691"/>
      <c r="J135" s="691">
        <v>0</v>
      </c>
      <c r="K135" s="691"/>
      <c r="L135" s="692"/>
      <c r="M135" s="691"/>
      <c r="N135" s="727">
        <v>0</v>
      </c>
      <c r="O135" s="631"/>
    </row>
    <row r="136" spans="1:16" hidden="1" outlineLevel="1" x14ac:dyDescent="0.4">
      <c r="A136" s="475" t="s">
        <v>15</v>
      </c>
      <c r="B136" s="475" t="s">
        <v>169</v>
      </c>
      <c r="C136" s="475" t="s">
        <v>18</v>
      </c>
      <c r="D136" s="688" t="s">
        <v>548</v>
      </c>
      <c r="E136" s="689" t="s">
        <v>128</v>
      </c>
      <c r="F136" s="690" t="s">
        <v>129</v>
      </c>
      <c r="G136" s="690" t="s">
        <v>130</v>
      </c>
      <c r="H136" s="690" t="s">
        <v>133</v>
      </c>
      <c r="I136" s="691">
        <v>6019051822</v>
      </c>
      <c r="J136" s="691">
        <v>495684000</v>
      </c>
      <c r="K136" s="691">
        <v>6019051822</v>
      </c>
      <c r="L136" s="692"/>
      <c r="M136" s="691">
        <v>6019051822</v>
      </c>
      <c r="N136" s="727">
        <v>0</v>
      </c>
      <c r="O136" s="749" t="s">
        <v>177</v>
      </c>
      <c r="P136" s="631"/>
    </row>
    <row r="137" spans="1:16" hidden="1" outlineLevel="1" x14ac:dyDescent="0.4">
      <c r="A137" s="475" t="s">
        <v>15</v>
      </c>
      <c r="B137" s="475" t="s">
        <v>169</v>
      </c>
      <c r="C137" s="475" t="s">
        <v>23</v>
      </c>
      <c r="D137" s="688" t="s">
        <v>548</v>
      </c>
      <c r="E137" s="690" t="s">
        <v>128</v>
      </c>
      <c r="F137" s="690" t="s">
        <v>129</v>
      </c>
      <c r="G137" s="690" t="s">
        <v>130</v>
      </c>
      <c r="H137" s="690" t="s">
        <v>134</v>
      </c>
      <c r="I137" s="691">
        <v>190623740</v>
      </c>
      <c r="J137" s="691">
        <v>959310827.9942342</v>
      </c>
      <c r="K137" s="691">
        <v>190623740</v>
      </c>
      <c r="L137" s="692">
        <v>0.19870904657520005</v>
      </c>
      <c r="M137" s="691">
        <v>190623740</v>
      </c>
      <c r="N137" s="727">
        <v>0</v>
      </c>
      <c r="O137" s="631"/>
    </row>
    <row r="138" spans="1:16" hidden="1" outlineLevel="1" x14ac:dyDescent="0.4">
      <c r="A138" s="475" t="s">
        <v>15</v>
      </c>
      <c r="B138" s="475" t="s">
        <v>169</v>
      </c>
      <c r="C138" s="475" t="s">
        <v>22</v>
      </c>
      <c r="D138" s="688" t="s">
        <v>548</v>
      </c>
      <c r="E138" s="690" t="s">
        <v>128</v>
      </c>
      <c r="F138" s="690" t="s">
        <v>129</v>
      </c>
      <c r="G138" s="690" t="s">
        <v>130</v>
      </c>
      <c r="H138" s="690" t="s">
        <v>135</v>
      </c>
      <c r="I138" s="691">
        <v>8035017050</v>
      </c>
      <c r="J138" s="691">
        <v>14634343765</v>
      </c>
      <c r="K138" s="691">
        <v>8035017050</v>
      </c>
      <c r="L138" s="692">
        <v>0.54905209136994737</v>
      </c>
      <c r="M138" s="760">
        <v>8035017050</v>
      </c>
      <c r="N138" s="727">
        <v>0</v>
      </c>
      <c r="O138" s="631"/>
    </row>
    <row r="139" spans="1:16" hidden="1" outlineLevel="1" x14ac:dyDescent="0.4">
      <c r="A139" s="475" t="s">
        <v>15</v>
      </c>
      <c r="B139" s="475" t="s">
        <v>169</v>
      </c>
      <c r="C139" s="475" t="s">
        <v>46</v>
      </c>
      <c r="D139" s="688" t="s">
        <v>548</v>
      </c>
      <c r="E139" s="690" t="s">
        <v>128</v>
      </c>
      <c r="F139" s="690" t="s">
        <v>129</v>
      </c>
      <c r="G139" s="690" t="s">
        <v>130</v>
      </c>
      <c r="H139" s="690" t="s">
        <v>136</v>
      </c>
      <c r="I139" s="691">
        <v>134600000</v>
      </c>
      <c r="J139" s="691">
        <v>67000000</v>
      </c>
      <c r="K139" s="691">
        <v>134600000</v>
      </c>
      <c r="L139" s="692">
        <v>2.008955223880597</v>
      </c>
      <c r="M139" s="691">
        <v>134600000</v>
      </c>
      <c r="N139" s="727">
        <v>0</v>
      </c>
      <c r="O139" s="631"/>
    </row>
    <row r="140" spans="1:16" hidden="1" outlineLevel="1" x14ac:dyDescent="0.4">
      <c r="A140" s="475" t="s">
        <v>15</v>
      </c>
      <c r="B140" s="475" t="s">
        <v>169</v>
      </c>
      <c r="C140" s="475" t="s">
        <v>26</v>
      </c>
      <c r="D140" s="688" t="s">
        <v>548</v>
      </c>
      <c r="E140" s="690" t="s">
        <v>128</v>
      </c>
      <c r="F140" s="690" t="s">
        <v>129</v>
      </c>
      <c r="G140" s="690" t="s">
        <v>130</v>
      </c>
      <c r="H140" s="690" t="s">
        <v>137</v>
      </c>
      <c r="I140" s="691">
        <v>46875000</v>
      </c>
      <c r="J140" s="691">
        <v>257375000</v>
      </c>
      <c r="K140" s="691">
        <v>46875000</v>
      </c>
      <c r="L140" s="692">
        <v>0.1821272462360369</v>
      </c>
      <c r="M140" s="764">
        <v>46875000</v>
      </c>
      <c r="N140" s="727">
        <v>0</v>
      </c>
      <c r="O140" s="631"/>
    </row>
    <row r="141" spans="1:16" hidden="1" outlineLevel="1" x14ac:dyDescent="0.4">
      <c r="A141" s="475" t="s">
        <v>15</v>
      </c>
      <c r="B141" s="475" t="s">
        <v>169</v>
      </c>
      <c r="C141" s="475" t="s">
        <v>25</v>
      </c>
      <c r="D141" s="688" t="s">
        <v>548</v>
      </c>
      <c r="E141" s="690" t="s">
        <v>128</v>
      </c>
      <c r="F141" s="690" t="s">
        <v>129</v>
      </c>
      <c r="G141" s="690" t="s">
        <v>130</v>
      </c>
      <c r="H141" s="690" t="s">
        <v>141</v>
      </c>
      <c r="I141" s="691">
        <v>476323136</v>
      </c>
      <c r="J141" s="691">
        <v>437000000</v>
      </c>
      <c r="K141" s="691">
        <v>476323136</v>
      </c>
      <c r="L141" s="692">
        <v>1.0899842929061785</v>
      </c>
      <c r="M141" s="764">
        <v>476323136</v>
      </c>
      <c r="N141" s="727">
        <v>0</v>
      </c>
      <c r="O141" s="749" t="s">
        <v>178</v>
      </c>
    </row>
    <row r="142" spans="1:16" hidden="1" outlineLevel="1" x14ac:dyDescent="0.4">
      <c r="A142" s="475" t="s">
        <v>15</v>
      </c>
      <c r="B142" s="475" t="s">
        <v>169</v>
      </c>
      <c r="C142" s="475" t="s">
        <v>27</v>
      </c>
      <c r="D142" s="688" t="s">
        <v>548</v>
      </c>
      <c r="E142" s="701" t="s">
        <v>128</v>
      </c>
      <c r="F142" s="701" t="s">
        <v>129</v>
      </c>
      <c r="G142" s="701" t="s">
        <v>130</v>
      </c>
      <c r="H142" s="701" t="s">
        <v>142</v>
      </c>
      <c r="I142" s="702">
        <v>31604167</v>
      </c>
      <c r="J142" s="702">
        <v>234375000</v>
      </c>
      <c r="K142" s="702">
        <v>31604167</v>
      </c>
      <c r="L142" s="703"/>
      <c r="M142" s="702">
        <v>31604167</v>
      </c>
      <c r="N142" s="727">
        <v>0</v>
      </c>
      <c r="O142" s="765"/>
    </row>
    <row r="143" spans="1:16" ht="14.4" hidden="1" outlineLevel="1" thickBot="1" x14ac:dyDescent="0.45">
      <c r="A143" s="475" t="s">
        <v>15</v>
      </c>
      <c r="B143" s="475" t="s">
        <v>169</v>
      </c>
      <c r="C143" s="475" t="s">
        <v>28</v>
      </c>
      <c r="D143" s="766" t="s">
        <v>548</v>
      </c>
      <c r="E143" s="705" t="s">
        <v>128</v>
      </c>
      <c r="F143" s="705" t="s">
        <v>129</v>
      </c>
      <c r="G143" s="705" t="s">
        <v>130</v>
      </c>
      <c r="H143" s="705" t="s">
        <v>143</v>
      </c>
      <c r="I143" s="706">
        <v>167447981</v>
      </c>
      <c r="J143" s="706">
        <v>0</v>
      </c>
      <c r="K143" s="706">
        <v>167447981</v>
      </c>
      <c r="L143" s="707" t="e">
        <v>#DIV/0!</v>
      </c>
      <c r="M143" s="706">
        <v>167447981</v>
      </c>
      <c r="N143" s="727">
        <v>0</v>
      </c>
    </row>
    <row r="144" spans="1:16" ht="14.4" hidden="1" outlineLevel="1" thickBot="1" x14ac:dyDescent="0.45">
      <c r="D144" s="709" t="s">
        <v>179</v>
      </c>
      <c r="E144" s="820"/>
      <c r="F144" s="820"/>
      <c r="G144" s="820"/>
      <c r="H144" s="821"/>
      <c r="I144" s="710">
        <v>15101542896</v>
      </c>
      <c r="J144" s="710">
        <v>17085088592.994234</v>
      </c>
      <c r="K144" s="710">
        <v>15101542896</v>
      </c>
      <c r="L144" s="711">
        <v>0.88390193669773598</v>
      </c>
      <c r="M144" s="712">
        <v>15101542896</v>
      </c>
      <c r="N144" s="713">
        <v>0</v>
      </c>
      <c r="O144" s="767"/>
    </row>
    <row r="145" spans="1:20" ht="17.850000000000001" customHeight="1" collapsed="1" thickBot="1" x14ac:dyDescent="0.45">
      <c r="D145" s="822" t="s">
        <v>180</v>
      </c>
      <c r="E145" s="823"/>
      <c r="F145" s="823"/>
      <c r="G145" s="823"/>
      <c r="H145" s="824"/>
      <c r="I145" s="722">
        <v>30203085792</v>
      </c>
      <c r="J145" s="722">
        <v>36870776448.982704</v>
      </c>
      <c r="K145" s="722">
        <v>40165614862</v>
      </c>
      <c r="L145" s="723">
        <v>0.81916055751609562</v>
      </c>
      <c r="M145" s="756">
        <v>40165614862</v>
      </c>
      <c r="N145" s="768">
        <v>0</v>
      </c>
    </row>
    <row r="146" spans="1:20" ht="14.4" thickBot="1" x14ac:dyDescent="0.45">
      <c r="D146" s="835" t="s">
        <v>181</v>
      </c>
      <c r="E146" s="836"/>
      <c r="F146" s="836"/>
      <c r="G146" s="836"/>
      <c r="H146" s="837"/>
      <c r="I146" s="769">
        <f>SUM(I136:I145)</f>
        <v>60406171584</v>
      </c>
      <c r="J146" s="769">
        <f>SUM(J17,J28,J39,J51,J62,J73,J86,J98,J110,J122,J133,J144)</f>
        <v>110098907855.56766</v>
      </c>
      <c r="K146" s="769">
        <f>SUM(K17,K28,K39,K51,K62,K73,K86,K98,K110,K122,K133,K144)</f>
        <v>135788530132</v>
      </c>
      <c r="L146" s="770">
        <f>I146/J146</f>
        <v>0.54865368567727613</v>
      </c>
      <c r="M146" s="771">
        <f>SUM(M17,M28,M39,M51,M62,M73,M86,M98,M110,M122,M133,M144)</f>
        <v>135788530132</v>
      </c>
      <c r="N146" s="772">
        <f>SUM(N17,N28,N39,N51,N62,N73,N86,N98,N110,N122,N133,N144)</f>
        <v>0</v>
      </c>
    </row>
    <row r="147" spans="1:20" hidden="1" outlineLevel="1" x14ac:dyDescent="0.4">
      <c r="A147" s="475" t="s">
        <v>17</v>
      </c>
      <c r="B147" s="475" t="s">
        <v>1</v>
      </c>
      <c r="C147" s="475" t="s">
        <v>101</v>
      </c>
      <c r="D147" s="682" t="s">
        <v>2</v>
      </c>
      <c r="E147" s="761" t="s">
        <v>128</v>
      </c>
      <c r="F147" s="761" t="s">
        <v>129</v>
      </c>
      <c r="G147" s="761" t="s">
        <v>130</v>
      </c>
      <c r="H147" s="761" t="s">
        <v>131</v>
      </c>
      <c r="I147" s="762"/>
      <c r="J147" s="762"/>
      <c r="K147" s="762"/>
      <c r="L147" s="763" t="e">
        <f t="shared" ref="L147" si="6">+I147/J147</f>
        <v>#DIV/0!</v>
      </c>
      <c r="M147" s="762"/>
      <c r="N147" s="748">
        <f>K147-M147</f>
        <v>0</v>
      </c>
      <c r="O147" s="631"/>
    </row>
    <row r="148" spans="1:20" hidden="1" outlineLevel="1" x14ac:dyDescent="0.4">
      <c r="A148" s="475" t="s">
        <v>17</v>
      </c>
      <c r="B148" s="475" t="s">
        <v>1</v>
      </c>
      <c r="C148" s="475" t="s">
        <v>101</v>
      </c>
      <c r="D148" s="688" t="str">
        <f t="shared" ref="D148:D156" si="7">D147</f>
        <v>1월</v>
      </c>
      <c r="E148" s="690" t="s">
        <v>128</v>
      </c>
      <c r="F148" s="690" t="s">
        <v>129</v>
      </c>
      <c r="G148" s="690" t="s">
        <v>130</v>
      </c>
      <c r="H148" s="690" t="s">
        <v>132</v>
      </c>
      <c r="I148" s="691"/>
      <c r="J148" s="691"/>
      <c r="K148" s="691"/>
      <c r="L148" s="692"/>
      <c r="M148" s="691"/>
      <c r="N148" s="727">
        <f t="shared" ref="N148:N156" si="8">K148-M148</f>
        <v>0</v>
      </c>
      <c r="O148" s="631"/>
    </row>
    <row r="149" spans="1:20" hidden="1" outlineLevel="1" x14ac:dyDescent="0.4">
      <c r="A149" s="475" t="s">
        <v>17</v>
      </c>
      <c r="B149" s="475" t="s">
        <v>1</v>
      </c>
      <c r="C149" s="475" t="s">
        <v>18</v>
      </c>
      <c r="D149" s="688" t="str">
        <f t="shared" si="7"/>
        <v>1월</v>
      </c>
      <c r="E149" s="689" t="s">
        <v>128</v>
      </c>
      <c r="F149" s="690" t="s">
        <v>129</v>
      </c>
      <c r="G149" s="690" t="s">
        <v>130</v>
      </c>
      <c r="H149" s="690" t="s">
        <v>133</v>
      </c>
      <c r="I149" s="691">
        <v>300518838</v>
      </c>
      <c r="J149" s="691">
        <f>14.1927964285714*10^8</f>
        <v>1419279642.8571401</v>
      </c>
      <c r="K149" s="691">
        <v>300518838</v>
      </c>
      <c r="L149" s="692"/>
      <c r="M149" s="691">
        <v>300518838</v>
      </c>
      <c r="N149" s="727">
        <f t="shared" si="8"/>
        <v>0</v>
      </c>
      <c r="O149" s="631" t="s">
        <v>182</v>
      </c>
      <c r="P149" s="631"/>
      <c r="Q149" s="773">
        <v>300518838</v>
      </c>
      <c r="S149" s="608">
        <f>J149/10^8</f>
        <v>14.1927964285714</v>
      </c>
      <c r="T149" s="608">
        <f>K149/10^8</f>
        <v>3.0051883799999999</v>
      </c>
    </row>
    <row r="150" spans="1:20" hidden="1" outlineLevel="1" x14ac:dyDescent="0.4">
      <c r="A150" s="475" t="s">
        <v>17</v>
      </c>
      <c r="B150" s="475" t="s">
        <v>1</v>
      </c>
      <c r="C150" s="475" t="s">
        <v>23</v>
      </c>
      <c r="D150" s="688" t="str">
        <f t="shared" si="7"/>
        <v>1월</v>
      </c>
      <c r="E150" s="690" t="s">
        <v>128</v>
      </c>
      <c r="F150" s="690" t="s">
        <v>129</v>
      </c>
      <c r="G150" s="690" t="s">
        <v>130</v>
      </c>
      <c r="H150" s="690" t="s">
        <v>134</v>
      </c>
      <c r="I150" s="691">
        <v>618683380</v>
      </c>
      <c r="J150" s="691">
        <f>9.134775*10^8</f>
        <v>913477500</v>
      </c>
      <c r="K150" s="691">
        <v>618683380</v>
      </c>
      <c r="L150" s="692">
        <f t="shared" ref="L150:L154" si="9">+I150/J150</f>
        <v>0.6772836550435013</v>
      </c>
      <c r="M150" s="691">
        <v>618683380</v>
      </c>
      <c r="N150" s="727">
        <f t="shared" si="8"/>
        <v>0</v>
      </c>
      <c r="O150" s="631"/>
      <c r="Q150" s="773">
        <v>570578960</v>
      </c>
      <c r="S150" s="608">
        <f t="shared" ref="S150:T157" si="10">J150/10^8</f>
        <v>9.1347749999999994</v>
      </c>
      <c r="T150" s="608">
        <f t="shared" si="10"/>
        <v>6.1868337999999996</v>
      </c>
    </row>
    <row r="151" spans="1:20" hidden="1" outlineLevel="1" x14ac:dyDescent="0.4">
      <c r="A151" s="475" t="s">
        <v>17</v>
      </c>
      <c r="B151" s="475" t="s">
        <v>1</v>
      </c>
      <c r="C151" s="475" t="s">
        <v>22</v>
      </c>
      <c r="D151" s="688" t="str">
        <f t="shared" si="7"/>
        <v>1월</v>
      </c>
      <c r="E151" s="690" t="s">
        <v>128</v>
      </c>
      <c r="F151" s="690" t="s">
        <v>129</v>
      </c>
      <c r="G151" s="690" t="s">
        <v>130</v>
      </c>
      <c r="H151" s="690" t="s">
        <v>135</v>
      </c>
      <c r="I151" s="691">
        <v>6984278900</v>
      </c>
      <c r="J151" s="691">
        <f>67.310097*10^8</f>
        <v>6731009700</v>
      </c>
      <c r="K151" s="691">
        <v>6984278900</v>
      </c>
      <c r="L151" s="692">
        <f t="shared" si="9"/>
        <v>1.037627222554738</v>
      </c>
      <c r="M151" s="774">
        <v>6984278900</v>
      </c>
      <c r="N151" s="727">
        <f t="shared" si="8"/>
        <v>0</v>
      </c>
      <c r="O151" s="775">
        <v>6808202300</v>
      </c>
      <c r="P151" s="475" t="s">
        <v>183</v>
      </c>
      <c r="Q151" s="776">
        <v>6731009700</v>
      </c>
      <c r="S151" s="608">
        <f t="shared" si="10"/>
        <v>67.310096999999999</v>
      </c>
      <c r="T151" s="608">
        <f t="shared" si="10"/>
        <v>69.842788999999996</v>
      </c>
    </row>
    <row r="152" spans="1:20" hidden="1" outlineLevel="1" x14ac:dyDescent="0.4">
      <c r="A152" s="475" t="s">
        <v>17</v>
      </c>
      <c r="B152" s="475" t="s">
        <v>1</v>
      </c>
      <c r="C152" s="475" t="s">
        <v>28</v>
      </c>
      <c r="D152" s="688" t="str">
        <f t="shared" si="7"/>
        <v>1월</v>
      </c>
      <c r="E152" s="690" t="s">
        <v>128</v>
      </c>
      <c r="F152" s="690" t="s">
        <v>129</v>
      </c>
      <c r="G152" s="690" t="s">
        <v>130</v>
      </c>
      <c r="H152" s="690" t="s">
        <v>136</v>
      </c>
      <c r="I152" s="691">
        <v>67000000</v>
      </c>
      <c r="J152" s="691"/>
      <c r="K152" s="691">
        <v>67000000</v>
      </c>
      <c r="L152" s="692" t="e">
        <f t="shared" si="9"/>
        <v>#DIV/0!</v>
      </c>
      <c r="M152" s="691">
        <v>67000000</v>
      </c>
      <c r="N152" s="727">
        <f t="shared" si="8"/>
        <v>0</v>
      </c>
      <c r="O152" s="631"/>
      <c r="Q152" s="773">
        <v>67000000</v>
      </c>
      <c r="S152" s="608">
        <f t="shared" si="10"/>
        <v>0</v>
      </c>
      <c r="T152" s="608">
        <f t="shared" si="10"/>
        <v>0.67</v>
      </c>
    </row>
    <row r="153" spans="1:20" hidden="1" outlineLevel="1" x14ac:dyDescent="0.4">
      <c r="A153" s="475" t="s">
        <v>17</v>
      </c>
      <c r="B153" s="475" t="s">
        <v>1</v>
      </c>
      <c r="C153" s="475" t="s">
        <v>26</v>
      </c>
      <c r="D153" s="688" t="str">
        <f t="shared" si="7"/>
        <v>1월</v>
      </c>
      <c r="E153" s="690" t="s">
        <v>128</v>
      </c>
      <c r="F153" s="690" t="s">
        <v>129</v>
      </c>
      <c r="G153" s="690" t="s">
        <v>130</v>
      </c>
      <c r="H153" s="690" t="s">
        <v>137</v>
      </c>
      <c r="I153" s="691">
        <v>0</v>
      </c>
      <c r="J153" s="691"/>
      <c r="K153" s="691">
        <v>0</v>
      </c>
      <c r="L153" s="692" t="e">
        <f t="shared" si="9"/>
        <v>#DIV/0!</v>
      </c>
      <c r="M153" s="691">
        <v>0</v>
      </c>
      <c r="N153" s="727">
        <f t="shared" si="8"/>
        <v>0</v>
      </c>
      <c r="O153" s="631"/>
      <c r="Q153" s="773">
        <v>93750000</v>
      </c>
      <c r="S153" s="608">
        <f t="shared" si="10"/>
        <v>0</v>
      </c>
      <c r="T153" s="608">
        <f t="shared" si="10"/>
        <v>0</v>
      </c>
    </row>
    <row r="154" spans="1:20" hidden="1" outlineLevel="1" x14ac:dyDescent="0.4">
      <c r="A154" s="475" t="s">
        <v>17</v>
      </c>
      <c r="B154" s="475" t="s">
        <v>1</v>
      </c>
      <c r="C154" s="475" t="s">
        <v>25</v>
      </c>
      <c r="D154" s="688" t="str">
        <f t="shared" si="7"/>
        <v>1월</v>
      </c>
      <c r="E154" s="690" t="s">
        <v>128</v>
      </c>
      <c r="F154" s="690" t="s">
        <v>129</v>
      </c>
      <c r="G154" s="690" t="s">
        <v>130</v>
      </c>
      <c r="H154" s="690" t="s">
        <v>141</v>
      </c>
      <c r="I154" s="691">
        <v>2987895337</v>
      </c>
      <c r="J154" s="691">
        <f>18.87*10^8</f>
        <v>1887000000</v>
      </c>
      <c r="K154" s="691">
        <v>2987895337</v>
      </c>
      <c r="L154" s="692">
        <f t="shared" si="9"/>
        <v>1.5834103534711181</v>
      </c>
      <c r="M154" s="691">
        <v>2987895337</v>
      </c>
      <c r="N154" s="727">
        <f t="shared" si="8"/>
        <v>0</v>
      </c>
      <c r="O154" s="631"/>
      <c r="Q154" s="773">
        <v>2886321036</v>
      </c>
      <c r="S154" s="608">
        <f t="shared" si="10"/>
        <v>18.87</v>
      </c>
      <c r="T154" s="608">
        <f t="shared" si="10"/>
        <v>29.878953370000001</v>
      </c>
    </row>
    <row r="155" spans="1:20" hidden="1" outlineLevel="1" x14ac:dyDescent="0.4">
      <c r="A155" s="475" t="s">
        <v>17</v>
      </c>
      <c r="B155" s="475" t="s">
        <v>1</v>
      </c>
      <c r="C155" s="475" t="s">
        <v>27</v>
      </c>
      <c r="D155" s="688" t="str">
        <f t="shared" si="7"/>
        <v>1월</v>
      </c>
      <c r="E155" s="701" t="s">
        <v>128</v>
      </c>
      <c r="F155" s="701" t="s">
        <v>129</v>
      </c>
      <c r="G155" s="701" t="s">
        <v>130</v>
      </c>
      <c r="H155" s="701" t="s">
        <v>142</v>
      </c>
      <c r="I155" s="702">
        <v>274679167</v>
      </c>
      <c r="J155" s="702"/>
      <c r="K155" s="702">
        <v>274679167</v>
      </c>
      <c r="L155" s="703"/>
      <c r="M155" s="702">
        <v>274679167</v>
      </c>
      <c r="N155" s="727">
        <f t="shared" si="8"/>
        <v>0</v>
      </c>
      <c r="O155" s="631" t="s">
        <v>184</v>
      </c>
      <c r="Q155" s="777">
        <v>274679167</v>
      </c>
      <c r="S155" s="608">
        <f t="shared" si="10"/>
        <v>0</v>
      </c>
      <c r="T155" s="608">
        <f t="shared" si="10"/>
        <v>2.7467916699999999</v>
      </c>
    </row>
    <row r="156" spans="1:20" ht="14.4" hidden="1" outlineLevel="1" thickBot="1" x14ac:dyDescent="0.45">
      <c r="A156" s="475" t="s">
        <v>17</v>
      </c>
      <c r="B156" s="475" t="s">
        <v>1</v>
      </c>
      <c r="C156" s="475" t="s">
        <v>28</v>
      </c>
      <c r="D156" s="688" t="str">
        <f t="shared" si="7"/>
        <v>1월</v>
      </c>
      <c r="E156" s="705" t="s">
        <v>128</v>
      </c>
      <c r="F156" s="705" t="s">
        <v>129</v>
      </c>
      <c r="G156" s="705" t="s">
        <v>130</v>
      </c>
      <c r="H156" s="705" t="s">
        <v>143</v>
      </c>
      <c r="I156" s="706">
        <v>50392557</v>
      </c>
      <c r="J156" s="706">
        <v>0</v>
      </c>
      <c r="K156" s="706">
        <v>50392557</v>
      </c>
      <c r="L156" s="707" t="e">
        <f t="shared" ref="L156" si="11">+K156/J156</f>
        <v>#DIV/0!</v>
      </c>
      <c r="M156" s="706">
        <v>50392557</v>
      </c>
      <c r="N156" s="727">
        <f t="shared" si="8"/>
        <v>0</v>
      </c>
      <c r="O156" s="475" t="s">
        <v>185</v>
      </c>
      <c r="Q156" s="778">
        <f>50370059.8</f>
        <v>50370059.799999997</v>
      </c>
      <c r="S156" s="608">
        <f t="shared" si="10"/>
        <v>0</v>
      </c>
      <c r="T156" s="608">
        <f t="shared" si="10"/>
        <v>0.50392557000000004</v>
      </c>
    </row>
    <row r="157" spans="1:20" ht="14.4" collapsed="1" thickBot="1" x14ac:dyDescent="0.45">
      <c r="D157" s="829" t="s">
        <v>186</v>
      </c>
      <c r="E157" s="830"/>
      <c r="F157" s="830"/>
      <c r="G157" s="830"/>
      <c r="H157" s="831"/>
      <c r="I157" s="710">
        <f>SUM(I147:I156)</f>
        <v>11283448179</v>
      </c>
      <c r="J157" s="710">
        <f>SUM(J147:J156)</f>
        <v>10950766842.85714</v>
      </c>
      <c r="K157" s="710">
        <f>SUM(K147:K156)</f>
        <v>11283448179</v>
      </c>
      <c r="L157" s="711">
        <f>I157/J157</f>
        <v>1.0303797296496966</v>
      </c>
      <c r="M157" s="712">
        <f>SUM(M147:M156)</f>
        <v>11283448179</v>
      </c>
      <c r="N157" s="713">
        <f>SUM(N147:N156)</f>
        <v>0</v>
      </c>
      <c r="O157" s="767"/>
      <c r="S157" s="608">
        <f t="shared" si="10"/>
        <v>109.50766842857139</v>
      </c>
      <c r="T157" s="608">
        <f t="shared" si="10"/>
        <v>112.83448179</v>
      </c>
    </row>
    <row r="158" spans="1:20" hidden="1" outlineLevel="1" x14ac:dyDescent="0.4">
      <c r="A158" s="475" t="s">
        <v>17</v>
      </c>
      <c r="B158" s="475" t="s">
        <v>1</v>
      </c>
      <c r="C158" s="475" t="s">
        <v>101</v>
      </c>
      <c r="D158" s="682" t="s">
        <v>3</v>
      </c>
      <c r="E158" s="761" t="s">
        <v>128</v>
      </c>
      <c r="F158" s="761" t="s">
        <v>129</v>
      </c>
      <c r="G158" s="761" t="s">
        <v>130</v>
      </c>
      <c r="H158" s="761" t="s">
        <v>131</v>
      </c>
      <c r="I158" s="762"/>
      <c r="J158" s="762"/>
      <c r="K158" s="762"/>
      <c r="L158" s="763" t="e">
        <f t="shared" ref="L158" si="12">+I158/J158</f>
        <v>#DIV/0!</v>
      </c>
      <c r="M158" s="762"/>
      <c r="N158" s="748">
        <f>K158-M158</f>
        <v>0</v>
      </c>
      <c r="O158" s="631"/>
    </row>
    <row r="159" spans="1:20" hidden="1" outlineLevel="1" x14ac:dyDescent="0.4">
      <c r="A159" s="475" t="s">
        <v>17</v>
      </c>
      <c r="B159" s="475" t="s">
        <v>1</v>
      </c>
      <c r="C159" s="475" t="s">
        <v>101</v>
      </c>
      <c r="D159" s="688" t="str">
        <f t="shared" ref="D159:D167" si="13">D158</f>
        <v>2월</v>
      </c>
      <c r="E159" s="690" t="s">
        <v>128</v>
      </c>
      <c r="F159" s="690" t="s">
        <v>129</v>
      </c>
      <c r="G159" s="690" t="s">
        <v>130</v>
      </c>
      <c r="H159" s="690" t="s">
        <v>132</v>
      </c>
      <c r="I159" s="691"/>
      <c r="J159" s="691"/>
      <c r="K159" s="691"/>
      <c r="L159" s="692"/>
      <c r="M159" s="691"/>
      <c r="N159" s="727">
        <f t="shared" ref="N159:N167" si="14">K159-M159</f>
        <v>0</v>
      </c>
      <c r="O159" s="779"/>
    </row>
    <row r="160" spans="1:20" hidden="1" outlineLevel="1" x14ac:dyDescent="0.4">
      <c r="A160" s="475" t="s">
        <v>17</v>
      </c>
      <c r="B160" s="475" t="s">
        <v>1</v>
      </c>
      <c r="C160" s="475" t="s">
        <v>18</v>
      </c>
      <c r="D160" s="688" t="str">
        <f t="shared" si="13"/>
        <v>2월</v>
      </c>
      <c r="E160" s="689" t="s">
        <v>128</v>
      </c>
      <c r="F160" s="690" t="s">
        <v>129</v>
      </c>
      <c r="G160" s="690" t="s">
        <v>130</v>
      </c>
      <c r="H160" s="690" t="s">
        <v>133</v>
      </c>
      <c r="I160" s="774">
        <v>1260945478</v>
      </c>
      <c r="J160" s="691">
        <f>8.77043142857143*10^8</f>
        <v>877043142.85714293</v>
      </c>
      <c r="K160" s="691">
        <v>1260945478</v>
      </c>
      <c r="L160" s="692"/>
      <c r="M160" s="691">
        <v>1260945478</v>
      </c>
      <c r="N160" s="727">
        <f t="shared" si="14"/>
        <v>0</v>
      </c>
      <c r="O160" s="631"/>
      <c r="P160" s="631"/>
      <c r="Q160" s="608"/>
      <c r="T160" s="608">
        <f>K160/10^8</f>
        <v>12.60945478</v>
      </c>
    </row>
    <row r="161" spans="1:20" hidden="1" outlineLevel="1" x14ac:dyDescent="0.4">
      <c r="A161" s="475" t="s">
        <v>17</v>
      </c>
      <c r="B161" s="475" t="s">
        <v>1</v>
      </c>
      <c r="C161" s="475" t="s">
        <v>23</v>
      </c>
      <c r="D161" s="688" t="str">
        <f t="shared" si="13"/>
        <v>2월</v>
      </c>
      <c r="E161" s="690" t="s">
        <v>128</v>
      </c>
      <c r="F161" s="690" t="s">
        <v>129</v>
      </c>
      <c r="G161" s="690" t="s">
        <v>130</v>
      </c>
      <c r="H161" s="690" t="s">
        <v>134</v>
      </c>
      <c r="I161" s="774">
        <v>437945280</v>
      </c>
      <c r="J161" s="691">
        <f>0.99225*10^8</f>
        <v>99225000</v>
      </c>
      <c r="K161" s="691">
        <v>437945280</v>
      </c>
      <c r="L161" s="692">
        <f>+I161/J161</f>
        <v>4.4136586545729406</v>
      </c>
      <c r="M161" s="691">
        <v>437945280</v>
      </c>
      <c r="N161" s="727">
        <f t="shared" si="14"/>
        <v>0</v>
      </c>
      <c r="O161" s="631"/>
      <c r="Q161" s="608"/>
      <c r="T161" s="608">
        <f t="shared" ref="T161:T168" si="15">K161/10^8</f>
        <v>4.3794528000000001</v>
      </c>
    </row>
    <row r="162" spans="1:20" hidden="1" outlineLevel="1" x14ac:dyDescent="0.4">
      <c r="A162" s="475" t="s">
        <v>17</v>
      </c>
      <c r="B162" s="475" t="s">
        <v>1</v>
      </c>
      <c r="C162" s="475" t="s">
        <v>22</v>
      </c>
      <c r="D162" s="688" t="str">
        <f t="shared" si="13"/>
        <v>2월</v>
      </c>
      <c r="E162" s="690" t="s">
        <v>128</v>
      </c>
      <c r="F162" s="690" t="s">
        <v>129</v>
      </c>
      <c r="G162" s="690" t="s">
        <v>130</v>
      </c>
      <c r="H162" s="690" t="s">
        <v>135</v>
      </c>
      <c r="I162" s="774">
        <v>4996954100</v>
      </c>
      <c r="J162" s="691">
        <f>32.736848*10^8</f>
        <v>3273684800</v>
      </c>
      <c r="K162" s="691">
        <v>4996954100</v>
      </c>
      <c r="L162" s="692">
        <f t="shared" ref="L162:L165" si="16">+I162/J162</f>
        <v>1.5264004952462131</v>
      </c>
      <c r="M162" s="691">
        <v>4996954100</v>
      </c>
      <c r="N162" s="727">
        <f t="shared" si="14"/>
        <v>0</v>
      </c>
      <c r="O162" s="631"/>
      <c r="Q162" s="608"/>
      <c r="T162" s="608">
        <f t="shared" si="15"/>
        <v>49.969541</v>
      </c>
    </row>
    <row r="163" spans="1:20" hidden="1" outlineLevel="1" x14ac:dyDescent="0.4">
      <c r="A163" s="475" t="s">
        <v>17</v>
      </c>
      <c r="B163" s="475" t="s">
        <v>1</v>
      </c>
      <c r="C163" s="475" t="s">
        <v>28</v>
      </c>
      <c r="D163" s="688" t="str">
        <f t="shared" si="13"/>
        <v>2월</v>
      </c>
      <c r="E163" s="690" t="s">
        <v>128</v>
      </c>
      <c r="F163" s="690" t="s">
        <v>129</v>
      </c>
      <c r="G163" s="690" t="s">
        <v>130</v>
      </c>
      <c r="H163" s="690" t="s">
        <v>136</v>
      </c>
      <c r="I163" s="691"/>
      <c r="J163" s="691"/>
      <c r="K163" s="691"/>
      <c r="L163" s="692" t="e">
        <f t="shared" si="16"/>
        <v>#DIV/0!</v>
      </c>
      <c r="M163" s="691"/>
      <c r="N163" s="727">
        <f t="shared" si="14"/>
        <v>0</v>
      </c>
      <c r="O163" s="631"/>
      <c r="Q163" s="608"/>
      <c r="T163" s="608">
        <f t="shared" si="15"/>
        <v>0</v>
      </c>
    </row>
    <row r="164" spans="1:20" hidden="1" outlineLevel="1" x14ac:dyDescent="0.4">
      <c r="A164" s="475" t="s">
        <v>17</v>
      </c>
      <c r="B164" s="475" t="s">
        <v>1</v>
      </c>
      <c r="C164" s="475" t="s">
        <v>26</v>
      </c>
      <c r="D164" s="688" t="str">
        <f t="shared" si="13"/>
        <v>2월</v>
      </c>
      <c r="E164" s="690" t="s">
        <v>128</v>
      </c>
      <c r="F164" s="690" t="s">
        <v>129</v>
      </c>
      <c r="G164" s="690" t="s">
        <v>130</v>
      </c>
      <c r="H164" s="690" t="s">
        <v>137</v>
      </c>
      <c r="I164" s="691"/>
      <c r="J164" s="691">
        <f>2.075*10^8</f>
        <v>207500000.00000003</v>
      </c>
      <c r="K164" s="691"/>
      <c r="L164" s="692">
        <f t="shared" si="16"/>
        <v>0</v>
      </c>
      <c r="M164" s="691"/>
      <c r="N164" s="727">
        <f t="shared" si="14"/>
        <v>0</v>
      </c>
      <c r="O164" s="780" t="s">
        <v>187</v>
      </c>
      <c r="Q164" s="608"/>
      <c r="T164" s="608">
        <f t="shared" si="15"/>
        <v>0</v>
      </c>
    </row>
    <row r="165" spans="1:20" hidden="1" outlineLevel="1" x14ac:dyDescent="0.4">
      <c r="A165" s="475" t="s">
        <v>17</v>
      </c>
      <c r="B165" s="475" t="s">
        <v>1</v>
      </c>
      <c r="C165" s="475" t="s">
        <v>25</v>
      </c>
      <c r="D165" s="688" t="str">
        <f t="shared" si="13"/>
        <v>2월</v>
      </c>
      <c r="E165" s="690" t="s">
        <v>128</v>
      </c>
      <c r="F165" s="690" t="s">
        <v>129</v>
      </c>
      <c r="G165" s="690" t="s">
        <v>130</v>
      </c>
      <c r="H165" s="690" t="s">
        <v>141</v>
      </c>
      <c r="I165" s="774">
        <v>26295337</v>
      </c>
      <c r="J165" s="691">
        <f>10.62*10^8</f>
        <v>1061999999.9999999</v>
      </c>
      <c r="K165" s="691">
        <v>26295337</v>
      </c>
      <c r="L165" s="692">
        <f t="shared" si="16"/>
        <v>2.4760204331450097E-2</v>
      </c>
      <c r="M165" s="691">
        <v>26295337</v>
      </c>
      <c r="N165" s="727">
        <f t="shared" si="14"/>
        <v>0</v>
      </c>
      <c r="O165" s="631"/>
      <c r="Q165" s="608"/>
      <c r="T165" s="608">
        <f t="shared" si="15"/>
        <v>0.26295337000000002</v>
      </c>
    </row>
    <row r="166" spans="1:20" hidden="1" outlineLevel="1" x14ac:dyDescent="0.4">
      <c r="A166" s="475" t="s">
        <v>17</v>
      </c>
      <c r="B166" s="475" t="s">
        <v>1</v>
      </c>
      <c r="C166" s="475" t="s">
        <v>27</v>
      </c>
      <c r="D166" s="688" t="str">
        <f t="shared" si="13"/>
        <v>2월</v>
      </c>
      <c r="E166" s="701" t="s">
        <v>128</v>
      </c>
      <c r="F166" s="701" t="s">
        <v>129</v>
      </c>
      <c r="G166" s="701" t="s">
        <v>130</v>
      </c>
      <c r="H166" s="701" t="s">
        <v>142</v>
      </c>
      <c r="I166" s="781">
        <v>31604167</v>
      </c>
      <c r="J166" s="702">
        <f>0.46875*10^8</f>
        <v>46875000</v>
      </c>
      <c r="K166" s="702">
        <v>31604167</v>
      </c>
      <c r="L166" s="703"/>
      <c r="M166" s="702">
        <v>31604167</v>
      </c>
      <c r="N166" s="727">
        <f>K166-M166</f>
        <v>0</v>
      </c>
      <c r="O166" s="631"/>
      <c r="Q166" s="608"/>
      <c r="T166" s="608">
        <f t="shared" si="15"/>
        <v>0.31604167</v>
      </c>
    </row>
    <row r="167" spans="1:20" ht="14.4" hidden="1" outlineLevel="1" thickBot="1" x14ac:dyDescent="0.45">
      <c r="A167" s="475" t="s">
        <v>17</v>
      </c>
      <c r="B167" s="475" t="s">
        <v>1</v>
      </c>
      <c r="C167" s="475" t="s">
        <v>28</v>
      </c>
      <c r="D167" s="766" t="str">
        <f t="shared" si="13"/>
        <v>2월</v>
      </c>
      <c r="E167" s="705" t="s">
        <v>128</v>
      </c>
      <c r="F167" s="705" t="s">
        <v>129</v>
      </c>
      <c r="G167" s="705" t="s">
        <v>130</v>
      </c>
      <c r="H167" s="705" t="s">
        <v>143</v>
      </c>
      <c r="I167" s="706">
        <v>7916910</v>
      </c>
      <c r="J167" s="706"/>
      <c r="K167" s="706">
        <v>7916910</v>
      </c>
      <c r="L167" s="707" t="e">
        <f t="shared" ref="L167" si="17">+K167/J167</f>
        <v>#DIV/0!</v>
      </c>
      <c r="M167" s="706">
        <v>7916910</v>
      </c>
      <c r="N167" s="727">
        <f t="shared" si="14"/>
        <v>0</v>
      </c>
      <c r="O167" s="475" t="s">
        <v>188</v>
      </c>
      <c r="T167" s="608">
        <f t="shared" si="15"/>
        <v>7.9169100000000006E-2</v>
      </c>
    </row>
    <row r="168" spans="1:20" ht="14.4" collapsed="1" thickBot="1" x14ac:dyDescent="0.45">
      <c r="D168" s="829" t="s">
        <v>189</v>
      </c>
      <c r="E168" s="830"/>
      <c r="F168" s="830"/>
      <c r="G168" s="830"/>
      <c r="H168" s="831"/>
      <c r="I168" s="710">
        <f>SUM(I158:I167)</f>
        <v>6761661272</v>
      </c>
      <c r="J168" s="710">
        <f>SUM(J158:J167)</f>
        <v>5566327942.8571434</v>
      </c>
      <c r="K168" s="710">
        <f>SUM(K158:K167)</f>
        <v>6761661272</v>
      </c>
      <c r="L168" s="711">
        <f>I168/J168</f>
        <v>1.2147436050146379</v>
      </c>
      <c r="M168" s="712">
        <f>SUM(M158:M167)</f>
        <v>6761661272</v>
      </c>
      <c r="N168" s="713">
        <f>SUM(N158:N167)</f>
        <v>0</v>
      </c>
      <c r="O168" s="767"/>
      <c r="T168" s="608">
        <f t="shared" si="15"/>
        <v>67.616612720000006</v>
      </c>
    </row>
    <row r="169" spans="1:20" hidden="1" outlineLevel="1" x14ac:dyDescent="0.4">
      <c r="A169" s="475" t="s">
        <v>17</v>
      </c>
      <c r="B169" s="475" t="s">
        <v>1</v>
      </c>
      <c r="C169" s="475" t="s">
        <v>101</v>
      </c>
      <c r="D169" s="682" t="s">
        <v>4</v>
      </c>
      <c r="E169" s="761" t="s">
        <v>128</v>
      </c>
      <c r="F169" s="761" t="s">
        <v>129</v>
      </c>
      <c r="G169" s="761" t="s">
        <v>130</v>
      </c>
      <c r="H169" s="761" t="s">
        <v>131</v>
      </c>
      <c r="I169" s="762"/>
      <c r="J169" s="762" t="e">
        <f>#REF!</f>
        <v>#REF!</v>
      </c>
      <c r="K169" s="762">
        <v>0</v>
      </c>
      <c r="L169" s="763" t="e">
        <f t="shared" ref="L169" si="18">+I169/J169</f>
        <v>#REF!</v>
      </c>
      <c r="M169" s="762">
        <v>0</v>
      </c>
      <c r="N169" s="748">
        <f>K169-M169</f>
        <v>0</v>
      </c>
      <c r="O169" s="631"/>
    </row>
    <row r="170" spans="1:20" hidden="1" outlineLevel="1" x14ac:dyDescent="0.4">
      <c r="A170" s="475" t="s">
        <v>17</v>
      </c>
      <c r="B170" s="475" t="s">
        <v>1</v>
      </c>
      <c r="C170" s="475" t="s">
        <v>101</v>
      </c>
      <c r="D170" s="688" t="str">
        <f t="shared" ref="D170:D178" si="19">D169</f>
        <v>3월</v>
      </c>
      <c r="E170" s="690" t="s">
        <v>128</v>
      </c>
      <c r="F170" s="690" t="s">
        <v>129</v>
      </c>
      <c r="G170" s="690" t="s">
        <v>130</v>
      </c>
      <c r="H170" s="690" t="s">
        <v>132</v>
      </c>
      <c r="I170" s="691"/>
      <c r="J170" s="691" t="e">
        <f>#REF!</f>
        <v>#REF!</v>
      </c>
      <c r="K170" s="691">
        <v>0</v>
      </c>
      <c r="L170" s="692"/>
      <c r="M170" s="774">
        <v>0</v>
      </c>
      <c r="N170" s="727">
        <f t="shared" ref="N170:N178" si="20">K170-M170</f>
        <v>0</v>
      </c>
      <c r="O170" s="631"/>
    </row>
    <row r="171" spans="1:20" hidden="1" outlineLevel="1" x14ac:dyDescent="0.4">
      <c r="A171" s="475" t="s">
        <v>17</v>
      </c>
      <c r="B171" s="475" t="s">
        <v>1</v>
      </c>
      <c r="C171" s="475" t="s">
        <v>18</v>
      </c>
      <c r="D171" s="688" t="str">
        <f t="shared" si="19"/>
        <v>3월</v>
      </c>
      <c r="E171" s="689" t="s">
        <v>128</v>
      </c>
      <c r="F171" s="690" t="s">
        <v>129</v>
      </c>
      <c r="G171" s="690" t="s">
        <v>130</v>
      </c>
      <c r="H171" s="690" t="s">
        <v>133</v>
      </c>
      <c r="I171" s="691">
        <v>236481614.99999997</v>
      </c>
      <c r="J171" s="691">
        <f>9.436245*10^8</f>
        <v>943624500</v>
      </c>
      <c r="K171" s="691">
        <v>236481614.99999997</v>
      </c>
      <c r="L171" s="692"/>
      <c r="M171" s="691">
        <v>236481614.99999997</v>
      </c>
      <c r="N171" s="727">
        <f t="shared" si="20"/>
        <v>0</v>
      </c>
      <c r="O171" s="631" t="s">
        <v>190</v>
      </c>
      <c r="P171" s="782">
        <f>J171/10^8</f>
        <v>9.4362449999999995</v>
      </c>
      <c r="Q171" s="650">
        <f>K171/10^8</f>
        <v>2.3648161499999998</v>
      </c>
      <c r="T171" s="608">
        <f>K171/10^8</f>
        <v>2.3648161499999998</v>
      </c>
    </row>
    <row r="172" spans="1:20" hidden="1" outlineLevel="1" x14ac:dyDescent="0.4">
      <c r="A172" s="475" t="s">
        <v>17</v>
      </c>
      <c r="B172" s="475" t="s">
        <v>1</v>
      </c>
      <c r="C172" s="475" t="s">
        <v>23</v>
      </c>
      <c r="D172" s="688" t="str">
        <f t="shared" si="19"/>
        <v>3월</v>
      </c>
      <c r="E172" s="690" t="s">
        <v>128</v>
      </c>
      <c r="F172" s="690" t="s">
        <v>129</v>
      </c>
      <c r="G172" s="690" t="s">
        <v>130</v>
      </c>
      <c r="H172" s="690" t="s">
        <v>134</v>
      </c>
      <c r="I172" s="691">
        <v>402235980</v>
      </c>
      <c r="J172" s="691">
        <f>7.7927*10^8</f>
        <v>779270000</v>
      </c>
      <c r="K172" s="691">
        <v>402235980</v>
      </c>
      <c r="L172" s="692">
        <f t="shared" ref="L172:L176" si="21">+I172/J172</f>
        <v>0.51617023624674374</v>
      </c>
      <c r="M172" s="691">
        <v>402235980</v>
      </c>
      <c r="N172" s="727">
        <f t="shared" si="20"/>
        <v>0</v>
      </c>
      <c r="O172" s="783" t="s">
        <v>191</v>
      </c>
      <c r="P172" s="782">
        <f t="shared" ref="P172:P178" si="22">J172/10^8</f>
        <v>7.7927</v>
      </c>
      <c r="Q172" s="650">
        <f t="shared" ref="Q172:Q178" si="23">K172/10^8</f>
        <v>4.0223598000000003</v>
      </c>
      <c r="T172" s="608">
        <f t="shared" ref="T172:T179" si="24">K172/10^8</f>
        <v>4.0223598000000003</v>
      </c>
    </row>
    <row r="173" spans="1:20" hidden="1" outlineLevel="1" x14ac:dyDescent="0.4">
      <c r="A173" s="475" t="s">
        <v>17</v>
      </c>
      <c r="B173" s="475" t="s">
        <v>1</v>
      </c>
      <c r="C173" s="475" t="s">
        <v>22</v>
      </c>
      <c r="D173" s="688" t="str">
        <f t="shared" si="19"/>
        <v>3월</v>
      </c>
      <c r="E173" s="690" t="s">
        <v>128</v>
      </c>
      <c r="F173" s="690" t="s">
        <v>129</v>
      </c>
      <c r="G173" s="690" t="s">
        <v>130</v>
      </c>
      <c r="H173" s="690" t="s">
        <v>135</v>
      </c>
      <c r="I173" s="691">
        <v>6923572799.999999</v>
      </c>
      <c r="J173" s="691">
        <f>76.82012*10^8</f>
        <v>7682012000</v>
      </c>
      <c r="K173" s="691">
        <v>6923572799.999999</v>
      </c>
      <c r="L173" s="692">
        <f t="shared" si="21"/>
        <v>0.90127076083713475</v>
      </c>
      <c r="M173" s="691">
        <v>6923572799.999999</v>
      </c>
      <c r="N173" s="727">
        <f t="shared" si="20"/>
        <v>0</v>
      </c>
      <c r="O173" s="783">
        <v>1416002000</v>
      </c>
      <c r="P173" s="782">
        <f t="shared" si="22"/>
        <v>76.820120000000003</v>
      </c>
      <c r="Q173" s="650">
        <f t="shared" si="23"/>
        <v>69.235727999999995</v>
      </c>
      <c r="T173" s="608">
        <f t="shared" si="24"/>
        <v>69.235727999999995</v>
      </c>
    </row>
    <row r="174" spans="1:20" hidden="1" outlineLevel="1" x14ac:dyDescent="0.4">
      <c r="A174" s="475" t="s">
        <v>17</v>
      </c>
      <c r="B174" s="475" t="s">
        <v>1</v>
      </c>
      <c r="C174" s="475" t="s">
        <v>28</v>
      </c>
      <c r="D174" s="688" t="str">
        <f t="shared" si="19"/>
        <v>3월</v>
      </c>
      <c r="E174" s="690" t="s">
        <v>128</v>
      </c>
      <c r="F174" s="690" t="s">
        <v>129</v>
      </c>
      <c r="G174" s="690" t="s">
        <v>130</v>
      </c>
      <c r="H174" s="690" t="s">
        <v>136</v>
      </c>
      <c r="I174" s="691"/>
      <c r="J174" s="691" t="e">
        <f>#REF!</f>
        <v>#REF!</v>
      </c>
      <c r="K174" s="691"/>
      <c r="L174" s="692" t="e">
        <f t="shared" si="21"/>
        <v>#REF!</v>
      </c>
      <c r="M174" s="691"/>
      <c r="N174" s="727">
        <f t="shared" si="20"/>
        <v>0</v>
      </c>
      <c r="O174" s="631"/>
      <c r="P174" s="782" t="e">
        <f t="shared" si="22"/>
        <v>#REF!</v>
      </c>
      <c r="Q174" s="650">
        <f t="shared" si="23"/>
        <v>0</v>
      </c>
      <c r="T174" s="608">
        <f t="shared" si="24"/>
        <v>0</v>
      </c>
    </row>
    <row r="175" spans="1:20" hidden="1" outlineLevel="1" x14ac:dyDescent="0.4">
      <c r="A175" s="475" t="s">
        <v>17</v>
      </c>
      <c r="B175" s="475" t="s">
        <v>1</v>
      </c>
      <c r="C175" s="475" t="s">
        <v>26</v>
      </c>
      <c r="D175" s="688" t="str">
        <f t="shared" si="19"/>
        <v>3월</v>
      </c>
      <c r="E175" s="690" t="s">
        <v>128</v>
      </c>
      <c r="F175" s="690" t="s">
        <v>129</v>
      </c>
      <c r="G175" s="690" t="s">
        <v>130</v>
      </c>
      <c r="H175" s="690" t="s">
        <v>137</v>
      </c>
      <c r="I175" s="691">
        <v>366000000</v>
      </c>
      <c r="J175" s="691">
        <f>3.5025*10^8</f>
        <v>350250000</v>
      </c>
      <c r="K175" s="691">
        <v>366000000</v>
      </c>
      <c r="L175" s="692">
        <f t="shared" si="21"/>
        <v>1.044967880085653</v>
      </c>
      <c r="M175" s="691">
        <v>366000000</v>
      </c>
      <c r="N175" s="727">
        <f t="shared" si="20"/>
        <v>0</v>
      </c>
      <c r="O175" s="631" t="s">
        <v>192</v>
      </c>
      <c r="P175" s="782">
        <f t="shared" si="22"/>
        <v>3.5024999999999999</v>
      </c>
      <c r="Q175" s="650">
        <f t="shared" si="23"/>
        <v>3.66</v>
      </c>
      <c r="T175" s="608">
        <f t="shared" si="24"/>
        <v>3.66</v>
      </c>
    </row>
    <row r="176" spans="1:20" hidden="1" outlineLevel="1" x14ac:dyDescent="0.4">
      <c r="A176" s="475" t="s">
        <v>17</v>
      </c>
      <c r="B176" s="475" t="s">
        <v>1</v>
      </c>
      <c r="C176" s="475" t="s">
        <v>25</v>
      </c>
      <c r="D176" s="688" t="str">
        <f t="shared" si="19"/>
        <v>3월</v>
      </c>
      <c r="E176" s="690" t="s">
        <v>128</v>
      </c>
      <c r="F176" s="690" t="s">
        <v>129</v>
      </c>
      <c r="G176" s="690" t="s">
        <v>130</v>
      </c>
      <c r="H176" s="690" t="s">
        <v>141</v>
      </c>
      <c r="I176" s="691">
        <v>1213295337</v>
      </c>
      <c r="J176" s="691">
        <f>9.9*10^8</f>
        <v>990000000</v>
      </c>
      <c r="K176" s="691">
        <v>1213295337</v>
      </c>
      <c r="L176" s="692">
        <f t="shared" si="21"/>
        <v>1.2255508454545454</v>
      </c>
      <c r="M176" s="691">
        <v>1213295337</v>
      </c>
      <c r="N176" s="727">
        <f t="shared" si="20"/>
        <v>0</v>
      </c>
      <c r="O176" s="631"/>
      <c r="P176" s="782">
        <f t="shared" si="22"/>
        <v>9.9</v>
      </c>
      <c r="Q176" s="650">
        <f t="shared" si="23"/>
        <v>12.132953369999999</v>
      </c>
      <c r="T176" s="608">
        <f t="shared" si="24"/>
        <v>12.132953369999999</v>
      </c>
    </row>
    <row r="177" spans="1:20" hidden="1" outlineLevel="1" x14ac:dyDescent="0.4">
      <c r="A177" s="475" t="s">
        <v>17</v>
      </c>
      <c r="B177" s="475" t="s">
        <v>1</v>
      </c>
      <c r="C177" s="475" t="s">
        <v>27</v>
      </c>
      <c r="D177" s="688" t="str">
        <f t="shared" si="19"/>
        <v>3월</v>
      </c>
      <c r="E177" s="701" t="s">
        <v>128</v>
      </c>
      <c r="F177" s="701" t="s">
        <v>129</v>
      </c>
      <c r="G177" s="701" t="s">
        <v>130</v>
      </c>
      <c r="H177" s="701" t="s">
        <v>142</v>
      </c>
      <c r="I177" s="702">
        <v>223708334</v>
      </c>
      <c r="J177" s="702">
        <f>1.40625*10^8</f>
        <v>140625000</v>
      </c>
      <c r="K177" s="702">
        <v>223708334</v>
      </c>
      <c r="L177" s="703"/>
      <c r="M177" s="702">
        <v>223708334</v>
      </c>
      <c r="N177" s="727">
        <f t="shared" si="20"/>
        <v>0</v>
      </c>
      <c r="O177" s="631"/>
      <c r="P177" s="782">
        <f t="shared" si="22"/>
        <v>1.40625</v>
      </c>
      <c r="Q177" s="650">
        <f t="shared" si="23"/>
        <v>2.2370833399999999</v>
      </c>
      <c r="T177" s="608">
        <f t="shared" si="24"/>
        <v>2.2370833399999999</v>
      </c>
    </row>
    <row r="178" spans="1:20" ht="14.4" hidden="1" outlineLevel="1" thickBot="1" x14ac:dyDescent="0.45">
      <c r="A178" s="475" t="s">
        <v>17</v>
      </c>
      <c r="B178" s="475" t="s">
        <v>1</v>
      </c>
      <c r="C178" s="475" t="s">
        <v>28</v>
      </c>
      <c r="D178" s="766" t="str">
        <f t="shared" si="19"/>
        <v>3월</v>
      </c>
      <c r="E178" s="705" t="s">
        <v>128</v>
      </c>
      <c r="F178" s="705" t="s">
        <v>129</v>
      </c>
      <c r="G178" s="705" t="s">
        <v>130</v>
      </c>
      <c r="H178" s="705" t="s">
        <v>143</v>
      </c>
      <c r="I178" s="706">
        <v>139494700</v>
      </c>
      <c r="J178" s="706">
        <v>0</v>
      </c>
      <c r="K178" s="706">
        <v>139494700</v>
      </c>
      <c r="L178" s="707" t="e">
        <f t="shared" ref="L178" si="25">+K178/J178</f>
        <v>#DIV/0!</v>
      </c>
      <c r="M178" s="706">
        <v>139494700</v>
      </c>
      <c r="N178" s="727">
        <f t="shared" si="20"/>
        <v>0</v>
      </c>
      <c r="O178" s="501"/>
      <c r="P178" s="782">
        <f t="shared" si="22"/>
        <v>0</v>
      </c>
      <c r="Q178" s="650">
        <f t="shared" si="23"/>
        <v>1.3949469999999999</v>
      </c>
      <c r="T178" s="608">
        <f t="shared" si="24"/>
        <v>1.3949469999999999</v>
      </c>
    </row>
    <row r="179" spans="1:20" ht="14.4" collapsed="1" thickBot="1" x14ac:dyDescent="0.45">
      <c r="D179" s="829" t="s">
        <v>193</v>
      </c>
      <c r="E179" s="830"/>
      <c r="F179" s="830"/>
      <c r="G179" s="830"/>
      <c r="H179" s="831"/>
      <c r="I179" s="710">
        <f>SUM(I169:I178)</f>
        <v>9504788766</v>
      </c>
      <c r="J179" s="710" t="e">
        <f>SUM(J169:J178)</f>
        <v>#REF!</v>
      </c>
      <c r="K179" s="710">
        <f>SUM(K169:K178)</f>
        <v>9504788766</v>
      </c>
      <c r="L179" s="711" t="e">
        <f>I179/J179</f>
        <v>#REF!</v>
      </c>
      <c r="M179" s="712">
        <f>SUM(M169:M178)</f>
        <v>9504788766</v>
      </c>
      <c r="N179" s="713">
        <f>SUM(N169:N178)</f>
        <v>0</v>
      </c>
      <c r="O179" s="767"/>
      <c r="P179" s="782"/>
      <c r="T179" s="608">
        <f t="shared" si="24"/>
        <v>95.047887660000001</v>
      </c>
    </row>
    <row r="180" spans="1:20" ht="14.4" thickBot="1" x14ac:dyDescent="0.45">
      <c r="D180" s="832" t="s">
        <v>194</v>
      </c>
      <c r="E180" s="833"/>
      <c r="F180" s="833"/>
      <c r="G180" s="833"/>
      <c r="H180" s="834"/>
      <c r="I180" s="722">
        <f>SUM(I157,I168,I179)</f>
        <v>27549898217</v>
      </c>
      <c r="J180" s="722" t="e">
        <f>SUM(J157,J168,J179)</f>
        <v>#REF!</v>
      </c>
      <c r="K180" s="722">
        <f>SUM(K157,K168,K179)</f>
        <v>27549898217</v>
      </c>
      <c r="L180" s="723" t="e">
        <f>I180/J180</f>
        <v>#REF!</v>
      </c>
      <c r="M180" s="722">
        <f>SUM(M157,M168,M179)</f>
        <v>27549898217</v>
      </c>
      <c r="N180" s="722">
        <f>SUM(N157,N168,N179)</f>
        <v>0</v>
      </c>
      <c r="O180" s="631" t="e">
        <f>J180-K180</f>
        <v>#REF!</v>
      </c>
    </row>
    <row r="181" spans="1:20" hidden="1" outlineLevel="1" x14ac:dyDescent="0.4">
      <c r="A181" s="475" t="s">
        <v>17</v>
      </c>
      <c r="B181" s="475" t="s">
        <v>150</v>
      </c>
      <c r="C181" s="475" t="s">
        <v>101</v>
      </c>
      <c r="D181" s="682" t="s">
        <v>151</v>
      </c>
      <c r="E181" s="784" t="s">
        <v>128</v>
      </c>
      <c r="F181" s="761" t="s">
        <v>129</v>
      </c>
      <c r="G181" s="784" t="s">
        <v>130</v>
      </c>
      <c r="H181" s="761" t="s">
        <v>131</v>
      </c>
      <c r="I181" s="762"/>
      <c r="J181" s="762"/>
      <c r="K181" s="762"/>
      <c r="L181" s="763" t="e">
        <f t="shared" ref="L181" si="26">+I181/J181</f>
        <v>#DIV/0!</v>
      </c>
      <c r="M181" s="762"/>
      <c r="N181" s="748">
        <f>K181-M181</f>
        <v>0</v>
      </c>
      <c r="O181" s="631"/>
    </row>
    <row r="182" spans="1:20" hidden="1" outlineLevel="1" x14ac:dyDescent="0.4">
      <c r="A182" s="475" t="s">
        <v>17</v>
      </c>
      <c r="B182" s="475" t="s">
        <v>150</v>
      </c>
      <c r="C182" s="475" t="s">
        <v>101</v>
      </c>
      <c r="D182" s="688" t="str">
        <f t="shared" ref="D182:D190" si="27">D181</f>
        <v>4월</v>
      </c>
      <c r="E182" s="785" t="s">
        <v>128</v>
      </c>
      <c r="F182" s="690" t="s">
        <v>129</v>
      </c>
      <c r="G182" s="785" t="s">
        <v>130</v>
      </c>
      <c r="H182" s="690" t="s">
        <v>132</v>
      </c>
      <c r="I182" s="691"/>
      <c r="J182" s="691"/>
      <c r="K182" s="691"/>
      <c r="L182" s="692"/>
      <c r="M182" s="691"/>
      <c r="N182" s="727">
        <f t="shared" ref="N182:N190" si="28">K182-M182</f>
        <v>0</v>
      </c>
      <c r="O182" s="631"/>
    </row>
    <row r="183" spans="1:20" hidden="1" outlineLevel="1" x14ac:dyDescent="0.4">
      <c r="A183" s="475" t="s">
        <v>17</v>
      </c>
      <c r="B183" s="475" t="s">
        <v>150</v>
      </c>
      <c r="C183" s="475" t="s">
        <v>18</v>
      </c>
      <c r="D183" s="688" t="str">
        <f t="shared" si="27"/>
        <v>4월</v>
      </c>
      <c r="E183" s="786" t="s">
        <v>128</v>
      </c>
      <c r="F183" s="690" t="s">
        <v>129</v>
      </c>
      <c r="G183" s="785" t="s">
        <v>130</v>
      </c>
      <c r="H183" s="690" t="s">
        <v>133</v>
      </c>
      <c r="I183" s="691">
        <v>604729361</v>
      </c>
      <c r="J183" s="691">
        <v>606572571.42857146</v>
      </c>
      <c r="K183" s="691">
        <v>604729361</v>
      </c>
      <c r="L183" s="692"/>
      <c r="M183" s="691">
        <v>604729361</v>
      </c>
      <c r="N183" s="727">
        <f t="shared" si="28"/>
        <v>0</v>
      </c>
      <c r="O183" s="631" t="s">
        <v>195</v>
      </c>
    </row>
    <row r="184" spans="1:20" hidden="1" outlineLevel="1" x14ac:dyDescent="0.4">
      <c r="A184" s="475" t="s">
        <v>17</v>
      </c>
      <c r="B184" s="475" t="s">
        <v>150</v>
      </c>
      <c r="C184" s="475" t="s">
        <v>23</v>
      </c>
      <c r="D184" s="688" t="str">
        <f t="shared" si="27"/>
        <v>4월</v>
      </c>
      <c r="E184" s="785" t="s">
        <v>128</v>
      </c>
      <c r="F184" s="690" t="s">
        <v>129</v>
      </c>
      <c r="G184" s="785" t="s">
        <v>130</v>
      </c>
      <c r="H184" s="690" t="s">
        <v>134</v>
      </c>
      <c r="I184" s="691">
        <v>703284880</v>
      </c>
      <c r="J184" s="691">
        <v>468200000.00000006</v>
      </c>
      <c r="K184" s="691">
        <v>604284880</v>
      </c>
      <c r="L184" s="692">
        <f t="shared" ref="L184:L188" si="29">+I184/J184</f>
        <v>1.5021035454933787</v>
      </c>
      <c r="M184" s="691">
        <v>604284880</v>
      </c>
      <c r="N184" s="727">
        <f t="shared" si="28"/>
        <v>0</v>
      </c>
      <c r="O184" s="631"/>
    </row>
    <row r="185" spans="1:20" hidden="1" outlineLevel="1" x14ac:dyDescent="0.4">
      <c r="A185" s="475" t="s">
        <v>17</v>
      </c>
      <c r="B185" s="475" t="s">
        <v>150</v>
      </c>
      <c r="C185" s="475" t="s">
        <v>22</v>
      </c>
      <c r="D185" s="688" t="str">
        <f t="shared" si="27"/>
        <v>4월</v>
      </c>
      <c r="E185" s="785" t="s">
        <v>128</v>
      </c>
      <c r="F185" s="690" t="s">
        <v>129</v>
      </c>
      <c r="G185" s="785" t="s">
        <v>130</v>
      </c>
      <c r="H185" s="690" t="s">
        <v>135</v>
      </c>
      <c r="I185" s="691">
        <v>8006977500</v>
      </c>
      <c r="J185" s="691">
        <v>11989700000</v>
      </c>
      <c r="K185" s="691">
        <v>8006977500</v>
      </c>
      <c r="L185" s="692">
        <f>+I185/J185</f>
        <v>0.66782133831538737</v>
      </c>
      <c r="M185" s="774">
        <v>8006977500</v>
      </c>
      <c r="N185" s="727">
        <f t="shared" si="28"/>
        <v>0</v>
      </c>
      <c r="O185" s="631"/>
    </row>
    <row r="186" spans="1:20" hidden="1" outlineLevel="1" x14ac:dyDescent="0.4">
      <c r="A186" s="475" t="s">
        <v>17</v>
      </c>
      <c r="B186" s="475" t="s">
        <v>150</v>
      </c>
      <c r="C186" s="475" t="s">
        <v>28</v>
      </c>
      <c r="D186" s="688" t="str">
        <f t="shared" si="27"/>
        <v>4월</v>
      </c>
      <c r="E186" s="785" t="s">
        <v>128</v>
      </c>
      <c r="F186" s="690" t="s">
        <v>129</v>
      </c>
      <c r="G186" s="785" t="s">
        <v>130</v>
      </c>
      <c r="H186" s="690" t="s">
        <v>136</v>
      </c>
      <c r="I186" s="691"/>
      <c r="J186" s="691"/>
      <c r="K186" s="691"/>
      <c r="L186" s="692" t="e">
        <f t="shared" si="29"/>
        <v>#DIV/0!</v>
      </c>
      <c r="M186" s="691"/>
      <c r="N186" s="727">
        <f t="shared" si="28"/>
        <v>0</v>
      </c>
      <c r="O186" s="631"/>
    </row>
    <row r="187" spans="1:20" hidden="1" outlineLevel="1" x14ac:dyDescent="0.4">
      <c r="A187" s="475" t="s">
        <v>17</v>
      </c>
      <c r="B187" s="475" t="s">
        <v>150</v>
      </c>
      <c r="C187" s="475" t="s">
        <v>26</v>
      </c>
      <c r="D187" s="688" t="str">
        <f t="shared" si="27"/>
        <v>4월</v>
      </c>
      <c r="E187" s="785" t="s">
        <v>128</v>
      </c>
      <c r="F187" s="690" t="s">
        <v>129</v>
      </c>
      <c r="G187" s="785" t="s">
        <v>130</v>
      </c>
      <c r="H187" s="690" t="s">
        <v>137</v>
      </c>
      <c r="I187" s="691"/>
      <c r="J187" s="691"/>
      <c r="K187" s="691"/>
      <c r="L187" s="692" t="e">
        <f t="shared" si="29"/>
        <v>#DIV/0!</v>
      </c>
      <c r="M187" s="691"/>
      <c r="N187" s="727">
        <f t="shared" si="28"/>
        <v>0</v>
      </c>
      <c r="O187" s="631" t="s">
        <v>196</v>
      </c>
    </row>
    <row r="188" spans="1:20" hidden="1" outlineLevel="1" x14ac:dyDescent="0.4">
      <c r="A188" s="475" t="s">
        <v>17</v>
      </c>
      <c r="B188" s="475" t="s">
        <v>150</v>
      </c>
      <c r="C188" s="475" t="s">
        <v>25</v>
      </c>
      <c r="D188" s="688" t="str">
        <f t="shared" si="27"/>
        <v>4월</v>
      </c>
      <c r="E188" s="785" t="s">
        <v>128</v>
      </c>
      <c r="F188" s="690" t="s">
        <v>129</v>
      </c>
      <c r="G188" s="785" t="s">
        <v>130</v>
      </c>
      <c r="H188" s="690" t="s">
        <v>141</v>
      </c>
      <c r="I188" s="691">
        <v>44295337</v>
      </c>
      <c r="J188" s="691"/>
      <c r="K188" s="691">
        <v>44295337</v>
      </c>
      <c r="L188" s="692" t="e">
        <f t="shared" si="29"/>
        <v>#DIV/0!</v>
      </c>
      <c r="M188" s="691">
        <v>44295337</v>
      </c>
      <c r="N188" s="727">
        <f t="shared" si="28"/>
        <v>0</v>
      </c>
      <c r="O188" s="631" t="s">
        <v>197</v>
      </c>
    </row>
    <row r="189" spans="1:20" hidden="1" outlineLevel="1" x14ac:dyDescent="0.4">
      <c r="A189" s="475" t="s">
        <v>17</v>
      </c>
      <c r="B189" s="475" t="s">
        <v>150</v>
      </c>
      <c r="C189" s="475" t="s">
        <v>27</v>
      </c>
      <c r="D189" s="688" t="str">
        <f t="shared" si="27"/>
        <v>4월</v>
      </c>
      <c r="E189" s="787" t="s">
        <v>128</v>
      </c>
      <c r="F189" s="701" t="s">
        <v>129</v>
      </c>
      <c r="G189" s="787" t="s">
        <v>130</v>
      </c>
      <c r="H189" s="701" t="s">
        <v>142</v>
      </c>
      <c r="I189" s="702">
        <v>41008334</v>
      </c>
      <c r="J189" s="702"/>
      <c r="K189" s="702">
        <v>41008334</v>
      </c>
      <c r="L189" s="703"/>
      <c r="M189" s="702">
        <v>41008334</v>
      </c>
      <c r="N189" s="727">
        <f t="shared" si="28"/>
        <v>0</v>
      </c>
      <c r="O189" s="631"/>
    </row>
    <row r="190" spans="1:20" ht="14.4" hidden="1" outlineLevel="1" thickBot="1" x14ac:dyDescent="0.45">
      <c r="A190" s="475" t="s">
        <v>17</v>
      </c>
      <c r="B190" s="475" t="s">
        <v>150</v>
      </c>
      <c r="C190" s="475" t="s">
        <v>28</v>
      </c>
      <c r="D190" s="766" t="str">
        <f t="shared" si="27"/>
        <v>4월</v>
      </c>
      <c r="E190" s="788" t="s">
        <v>128</v>
      </c>
      <c r="F190" s="705" t="s">
        <v>129</v>
      </c>
      <c r="G190" s="788" t="s">
        <v>130</v>
      </c>
      <c r="H190" s="705" t="s">
        <v>143</v>
      </c>
      <c r="I190" s="706"/>
      <c r="J190" s="706"/>
      <c r="K190" s="706">
        <v>99000000</v>
      </c>
      <c r="L190" s="707" t="e">
        <f t="shared" ref="L190" si="30">+K190/J190</f>
        <v>#DIV/0!</v>
      </c>
      <c r="M190" s="706">
        <v>99000000</v>
      </c>
      <c r="N190" s="727">
        <f t="shared" si="28"/>
        <v>0</v>
      </c>
      <c r="O190" s="631"/>
    </row>
    <row r="191" spans="1:20" ht="14.4" collapsed="1" thickBot="1" x14ac:dyDescent="0.45">
      <c r="D191" s="829" t="s">
        <v>198</v>
      </c>
      <c r="E191" s="830"/>
      <c r="F191" s="830"/>
      <c r="G191" s="830"/>
      <c r="H191" s="831"/>
      <c r="I191" s="710">
        <f>SUM(I181:I190)</f>
        <v>9400295412</v>
      </c>
      <c r="J191" s="710">
        <f>SUM(J181:J190)</f>
        <v>13064472571.428572</v>
      </c>
      <c r="K191" s="710">
        <f>SUM(K181:K190)</f>
        <v>9400295412</v>
      </c>
      <c r="L191" s="711">
        <f>I191/J191</f>
        <v>0.71953118356710655</v>
      </c>
      <c r="M191" s="712">
        <f>SUM(M181:M190)</f>
        <v>9400295412</v>
      </c>
      <c r="N191" s="713">
        <f>SUM(N181:N190)</f>
        <v>0</v>
      </c>
      <c r="O191" s="631"/>
    </row>
    <row r="192" spans="1:20" hidden="1" outlineLevel="1" x14ac:dyDescent="0.4">
      <c r="A192" s="475" t="s">
        <v>17</v>
      </c>
      <c r="B192" s="475" t="s">
        <v>150</v>
      </c>
      <c r="C192" s="475" t="s">
        <v>101</v>
      </c>
      <c r="D192" s="682" t="s">
        <v>153</v>
      </c>
      <c r="E192" s="784" t="s">
        <v>128</v>
      </c>
      <c r="F192" s="761" t="s">
        <v>129</v>
      </c>
      <c r="G192" s="784" t="s">
        <v>130</v>
      </c>
      <c r="H192" s="761" t="s">
        <v>131</v>
      </c>
      <c r="I192" s="762"/>
      <c r="J192" s="762"/>
      <c r="K192" s="762"/>
      <c r="L192" s="763" t="e">
        <f t="shared" ref="L192" si="31">+I192/J192</f>
        <v>#DIV/0!</v>
      </c>
      <c r="M192" s="762"/>
      <c r="N192" s="748">
        <f>K192-M192</f>
        <v>0</v>
      </c>
      <c r="O192" s="631"/>
      <c r="T192" s="475" t="s">
        <v>199</v>
      </c>
    </row>
    <row r="193" spans="1:22" hidden="1" outlineLevel="1" x14ac:dyDescent="0.4">
      <c r="A193" s="475" t="s">
        <v>17</v>
      </c>
      <c r="B193" s="475" t="s">
        <v>150</v>
      </c>
      <c r="C193" s="475" t="s">
        <v>101</v>
      </c>
      <c r="D193" s="688" t="str">
        <f t="shared" ref="D193:D201" si="32">D192</f>
        <v>5월</v>
      </c>
      <c r="E193" s="785" t="s">
        <v>128</v>
      </c>
      <c r="F193" s="690" t="s">
        <v>129</v>
      </c>
      <c r="G193" s="785" t="s">
        <v>130</v>
      </c>
      <c r="H193" s="690" t="s">
        <v>132</v>
      </c>
      <c r="I193" s="691"/>
      <c r="J193" s="691"/>
      <c r="K193" s="691"/>
      <c r="L193" s="692"/>
      <c r="M193" s="691"/>
      <c r="N193" s="727">
        <f t="shared" ref="N193:N199" si="33">K193-M193</f>
        <v>0</v>
      </c>
    </row>
    <row r="194" spans="1:22" hidden="1" outlineLevel="1" x14ac:dyDescent="0.4">
      <c r="A194" s="475" t="s">
        <v>17</v>
      </c>
      <c r="B194" s="475" t="s">
        <v>150</v>
      </c>
      <c r="C194" s="475" t="s">
        <v>18</v>
      </c>
      <c r="D194" s="688" t="str">
        <f t="shared" si="32"/>
        <v>5월</v>
      </c>
      <c r="E194" s="786" t="s">
        <v>128</v>
      </c>
      <c r="F194" s="690" t="s">
        <v>129</v>
      </c>
      <c r="G194" s="785" t="s">
        <v>130</v>
      </c>
      <c r="H194" s="690" t="s">
        <v>133</v>
      </c>
      <c r="I194" s="774">
        <v>1785541321</v>
      </c>
      <c r="J194" s="691">
        <v>1552701428.5714285</v>
      </c>
      <c r="K194" s="691">
        <v>1785541321</v>
      </c>
      <c r="L194" s="692"/>
      <c r="M194" s="691">
        <v>1785541321</v>
      </c>
      <c r="N194" s="727">
        <f t="shared" si="33"/>
        <v>0</v>
      </c>
      <c r="P194" s="631"/>
      <c r="Q194" s="608"/>
      <c r="T194" s="842" t="s">
        <v>200</v>
      </c>
      <c r="U194" s="789" t="s">
        <v>18</v>
      </c>
      <c r="V194" s="790">
        <f>K183+K194+K205</f>
        <v>3585998123</v>
      </c>
    </row>
    <row r="195" spans="1:22" hidden="1" outlineLevel="1" x14ac:dyDescent="0.4">
      <c r="A195" s="475" t="s">
        <v>17</v>
      </c>
      <c r="B195" s="475" t="s">
        <v>150</v>
      </c>
      <c r="C195" s="475" t="s">
        <v>23</v>
      </c>
      <c r="D195" s="688" t="str">
        <f t="shared" si="32"/>
        <v>5월</v>
      </c>
      <c r="E195" s="785" t="s">
        <v>128</v>
      </c>
      <c r="F195" s="690" t="s">
        <v>129</v>
      </c>
      <c r="G195" s="785" t="s">
        <v>130</v>
      </c>
      <c r="H195" s="690" t="s">
        <v>134</v>
      </c>
      <c r="I195" s="774">
        <v>405380500</v>
      </c>
      <c r="J195" s="691">
        <v>382037500</v>
      </c>
      <c r="K195" s="691">
        <v>405380500</v>
      </c>
      <c r="L195" s="692">
        <f>+I195/J195</f>
        <v>1.0611013316755553</v>
      </c>
      <c r="M195" s="691">
        <v>405380500</v>
      </c>
      <c r="N195" s="727">
        <f t="shared" si="33"/>
        <v>0</v>
      </c>
      <c r="O195" s="791">
        <v>513484180</v>
      </c>
      <c r="P195" s="631">
        <f>O195-K195</f>
        <v>108103680</v>
      </c>
      <c r="Q195" s="608"/>
      <c r="T195" s="843"/>
      <c r="U195" s="789" t="s">
        <v>23</v>
      </c>
      <c r="V195" s="790">
        <f t="shared" ref="V195:V201" si="34">K184+K195+K206</f>
        <v>1540590380</v>
      </c>
    </row>
    <row r="196" spans="1:22" hidden="1" outlineLevel="1" x14ac:dyDescent="0.4">
      <c r="A196" s="475" t="s">
        <v>17</v>
      </c>
      <c r="B196" s="475" t="s">
        <v>150</v>
      </c>
      <c r="C196" s="475" t="s">
        <v>22</v>
      </c>
      <c r="D196" s="688" t="str">
        <f t="shared" si="32"/>
        <v>5월</v>
      </c>
      <c r="E196" s="785" t="s">
        <v>128</v>
      </c>
      <c r="F196" s="690" t="s">
        <v>129</v>
      </c>
      <c r="G196" s="785" t="s">
        <v>130</v>
      </c>
      <c r="H196" s="690" t="s">
        <v>135</v>
      </c>
      <c r="I196" s="774">
        <v>5697118800</v>
      </c>
      <c r="J196" s="691">
        <v>6790607900.000001</v>
      </c>
      <c r="K196" s="691">
        <v>5697118800</v>
      </c>
      <c r="L196" s="692">
        <f t="shared" ref="L196:L199" si="35">+I196/J196</f>
        <v>0.83897036670310465</v>
      </c>
      <c r="M196" s="691">
        <v>5697118800</v>
      </c>
      <c r="N196" s="727">
        <f t="shared" si="33"/>
        <v>0</v>
      </c>
      <c r="Q196" s="608"/>
      <c r="T196" s="844"/>
      <c r="U196" s="690" t="s">
        <v>22</v>
      </c>
      <c r="V196" s="790">
        <f t="shared" si="34"/>
        <v>23211357200</v>
      </c>
    </row>
    <row r="197" spans="1:22" hidden="1" outlineLevel="1" x14ac:dyDescent="0.4">
      <c r="A197" s="475" t="s">
        <v>17</v>
      </c>
      <c r="B197" s="475" t="s">
        <v>150</v>
      </c>
      <c r="C197" s="475" t="s">
        <v>28</v>
      </c>
      <c r="D197" s="688" t="str">
        <f t="shared" si="32"/>
        <v>5월</v>
      </c>
      <c r="E197" s="785" t="s">
        <v>128</v>
      </c>
      <c r="F197" s="690" t="s">
        <v>129</v>
      </c>
      <c r="G197" s="785" t="s">
        <v>130</v>
      </c>
      <c r="H197" s="690" t="s">
        <v>136</v>
      </c>
      <c r="I197" s="691">
        <v>0</v>
      </c>
      <c r="J197" s="691"/>
      <c r="K197" s="691">
        <v>0</v>
      </c>
      <c r="L197" s="692" t="e">
        <f t="shared" si="35"/>
        <v>#DIV/0!</v>
      </c>
      <c r="M197" s="691">
        <v>0</v>
      </c>
      <c r="N197" s="727">
        <f t="shared" si="33"/>
        <v>0</v>
      </c>
      <c r="Q197" s="608"/>
      <c r="T197" s="839" t="s">
        <v>201</v>
      </c>
      <c r="U197" s="690" t="s">
        <v>46</v>
      </c>
      <c r="V197" s="790">
        <f t="shared" si="34"/>
        <v>0</v>
      </c>
    </row>
    <row r="198" spans="1:22" hidden="1" outlineLevel="1" x14ac:dyDescent="0.4">
      <c r="A198" s="475" t="s">
        <v>17</v>
      </c>
      <c r="B198" s="475" t="s">
        <v>150</v>
      </c>
      <c r="C198" s="475" t="s">
        <v>26</v>
      </c>
      <c r="D198" s="688" t="str">
        <f t="shared" si="32"/>
        <v>5월</v>
      </c>
      <c r="E198" s="785" t="s">
        <v>128</v>
      </c>
      <c r="F198" s="690" t="s">
        <v>129</v>
      </c>
      <c r="G198" s="785" t="s">
        <v>130</v>
      </c>
      <c r="H198" s="690" t="s">
        <v>137</v>
      </c>
      <c r="I198" s="691"/>
      <c r="J198" s="691"/>
      <c r="K198" s="691"/>
      <c r="L198" s="692" t="e">
        <f t="shared" si="35"/>
        <v>#DIV/0!</v>
      </c>
      <c r="M198" s="691"/>
      <c r="N198" s="727">
        <f t="shared" si="33"/>
        <v>0</v>
      </c>
      <c r="Q198" s="608"/>
      <c r="T198" s="840"/>
      <c r="U198" s="690" t="s">
        <v>26</v>
      </c>
      <c r="V198" s="790">
        <f t="shared" si="34"/>
        <v>209000000</v>
      </c>
    </row>
    <row r="199" spans="1:22" hidden="1" outlineLevel="1" x14ac:dyDescent="0.4">
      <c r="A199" s="475" t="s">
        <v>17</v>
      </c>
      <c r="B199" s="475" t="s">
        <v>150</v>
      </c>
      <c r="C199" s="475" t="s">
        <v>25</v>
      </c>
      <c r="D199" s="688" t="str">
        <f t="shared" si="32"/>
        <v>5월</v>
      </c>
      <c r="E199" s="785" t="s">
        <v>128</v>
      </c>
      <c r="F199" s="690" t="s">
        <v>129</v>
      </c>
      <c r="G199" s="785" t="s">
        <v>130</v>
      </c>
      <c r="H199" s="690" t="s">
        <v>141</v>
      </c>
      <c r="I199" s="774">
        <v>2576695337</v>
      </c>
      <c r="J199" s="691"/>
      <c r="K199" s="691">
        <v>2576695337</v>
      </c>
      <c r="L199" s="692" t="e">
        <f t="shared" si="35"/>
        <v>#DIV/0!</v>
      </c>
      <c r="M199" s="691">
        <v>2576695337</v>
      </c>
      <c r="N199" s="727">
        <f t="shared" si="33"/>
        <v>0</v>
      </c>
      <c r="O199" s="475" t="s">
        <v>202</v>
      </c>
      <c r="Q199" s="792"/>
      <c r="T199" s="840"/>
      <c r="U199" s="690" t="s">
        <v>22</v>
      </c>
      <c r="V199" s="790">
        <f t="shared" si="34"/>
        <v>3300286011</v>
      </c>
    </row>
    <row r="200" spans="1:22" hidden="1" outlineLevel="1" x14ac:dyDescent="0.4">
      <c r="A200" s="475" t="s">
        <v>17</v>
      </c>
      <c r="B200" s="475" t="s">
        <v>150</v>
      </c>
      <c r="C200" s="475" t="s">
        <v>27</v>
      </c>
      <c r="D200" s="688" t="str">
        <f t="shared" si="32"/>
        <v>5월</v>
      </c>
      <c r="E200" s="787" t="s">
        <v>128</v>
      </c>
      <c r="F200" s="701" t="s">
        <v>129</v>
      </c>
      <c r="G200" s="787" t="s">
        <v>130</v>
      </c>
      <c r="H200" s="701" t="s">
        <v>142</v>
      </c>
      <c r="I200" s="781">
        <v>270583334</v>
      </c>
      <c r="J200" s="702"/>
      <c r="K200" s="702">
        <v>270583334</v>
      </c>
      <c r="L200" s="703"/>
      <c r="M200" s="702">
        <v>270583334</v>
      </c>
      <c r="N200" s="727">
        <f>K200-M200</f>
        <v>0</v>
      </c>
      <c r="Q200" s="608"/>
      <c r="T200" s="840"/>
      <c r="U200" s="690" t="s">
        <v>18</v>
      </c>
      <c r="V200" s="790">
        <f t="shared" si="34"/>
        <v>347800002</v>
      </c>
    </row>
    <row r="201" spans="1:22" ht="14.4" hidden="1" outlineLevel="1" thickBot="1" x14ac:dyDescent="0.45">
      <c r="A201" s="475" t="s">
        <v>17</v>
      </c>
      <c r="B201" s="475" t="s">
        <v>150</v>
      </c>
      <c r="C201" s="475" t="s">
        <v>28</v>
      </c>
      <c r="D201" s="766" t="str">
        <f t="shared" si="32"/>
        <v>5월</v>
      </c>
      <c r="E201" s="788" t="s">
        <v>128</v>
      </c>
      <c r="F201" s="705" t="s">
        <v>129</v>
      </c>
      <c r="G201" s="788" t="s">
        <v>130</v>
      </c>
      <c r="H201" s="705" t="s">
        <v>143</v>
      </c>
      <c r="I201" s="706"/>
      <c r="J201" s="706"/>
      <c r="K201" s="706"/>
      <c r="L201" s="707" t="e">
        <f t="shared" ref="L201" si="36">+K201/J201</f>
        <v>#DIV/0!</v>
      </c>
      <c r="M201" s="706"/>
      <c r="N201" s="727">
        <f t="shared" ref="N201" si="37">K201-M201</f>
        <v>0</v>
      </c>
      <c r="T201" s="841"/>
      <c r="U201" s="690" t="s">
        <v>47</v>
      </c>
      <c r="V201" s="790">
        <f t="shared" si="34"/>
        <v>196321600</v>
      </c>
    </row>
    <row r="202" spans="1:22" ht="14.4" collapsed="1" thickBot="1" x14ac:dyDescent="0.45">
      <c r="D202" s="829" t="s">
        <v>203</v>
      </c>
      <c r="E202" s="830"/>
      <c r="F202" s="830"/>
      <c r="G202" s="830"/>
      <c r="H202" s="831"/>
      <c r="I202" s="710">
        <f>SUM(I192:I201)</f>
        <v>10735319292</v>
      </c>
      <c r="J202" s="710">
        <f>SUM(J192:J201)</f>
        <v>8725346828.5714302</v>
      </c>
      <c r="K202" s="710">
        <f>SUM(K192:K201)</f>
        <v>10735319292</v>
      </c>
      <c r="L202" s="711">
        <f>I202/J202</f>
        <v>1.2303601797061923</v>
      </c>
      <c r="M202" s="712">
        <f>SUM(M192:M201)</f>
        <v>10735319292</v>
      </c>
      <c r="N202" s="713">
        <f>SUM(N192:N201)</f>
        <v>0</v>
      </c>
      <c r="T202" s="608"/>
    </row>
    <row r="203" spans="1:22" hidden="1" outlineLevel="1" x14ac:dyDescent="0.4">
      <c r="A203" s="475" t="s">
        <v>17</v>
      </c>
      <c r="B203" s="475" t="s">
        <v>150</v>
      </c>
      <c r="C203" s="475" t="s">
        <v>101</v>
      </c>
      <c r="D203" s="682" t="s">
        <v>155</v>
      </c>
      <c r="E203" s="784" t="s">
        <v>128</v>
      </c>
      <c r="F203" s="761" t="s">
        <v>129</v>
      </c>
      <c r="G203" s="784" t="s">
        <v>130</v>
      </c>
      <c r="H203" s="761" t="s">
        <v>131</v>
      </c>
      <c r="I203" s="762"/>
      <c r="J203" s="762"/>
      <c r="K203" s="762"/>
      <c r="L203" s="763" t="e">
        <f t="shared" ref="L203" si="38">+I203/J203</f>
        <v>#DIV/0!</v>
      </c>
      <c r="M203" s="762"/>
      <c r="N203" s="748">
        <f>K203-M203</f>
        <v>0</v>
      </c>
    </row>
    <row r="204" spans="1:22" hidden="1" outlineLevel="1" x14ac:dyDescent="0.4">
      <c r="A204" s="475" t="s">
        <v>17</v>
      </c>
      <c r="B204" s="475" t="s">
        <v>150</v>
      </c>
      <c r="C204" s="475" t="s">
        <v>101</v>
      </c>
      <c r="D204" s="688" t="str">
        <f t="shared" ref="D204:D212" si="39">D203</f>
        <v>6월</v>
      </c>
      <c r="E204" s="785" t="s">
        <v>128</v>
      </c>
      <c r="F204" s="690" t="s">
        <v>129</v>
      </c>
      <c r="G204" s="785" t="s">
        <v>130</v>
      </c>
      <c r="H204" s="690" t="s">
        <v>132</v>
      </c>
      <c r="I204" s="691"/>
      <c r="J204" s="691"/>
      <c r="K204" s="691"/>
      <c r="L204" s="692"/>
      <c r="M204" s="691"/>
      <c r="N204" s="727">
        <f t="shared" ref="N204:N212" si="40">K204-M204</f>
        <v>0</v>
      </c>
    </row>
    <row r="205" spans="1:22" hidden="1" outlineLevel="1" x14ac:dyDescent="0.4">
      <c r="A205" s="475" t="s">
        <v>17</v>
      </c>
      <c r="B205" s="475" t="s">
        <v>150</v>
      </c>
      <c r="C205" s="475" t="s">
        <v>18</v>
      </c>
      <c r="D205" s="688" t="str">
        <f t="shared" si="39"/>
        <v>6월</v>
      </c>
      <c r="E205" s="786" t="s">
        <v>128</v>
      </c>
      <c r="F205" s="690" t="s">
        <v>129</v>
      </c>
      <c r="G205" s="785" t="s">
        <v>130</v>
      </c>
      <c r="H205" s="690" t="s">
        <v>133</v>
      </c>
      <c r="I205" s="691">
        <v>1195727441</v>
      </c>
      <c r="J205" s="691">
        <v>630838928.57142854</v>
      </c>
      <c r="K205" s="691">
        <v>1195727441</v>
      </c>
      <c r="L205" s="692"/>
      <c r="M205" s="691">
        <v>1195727441</v>
      </c>
      <c r="N205" s="727">
        <f t="shared" si="40"/>
        <v>0</v>
      </c>
      <c r="O205" s="475" t="s">
        <v>204</v>
      </c>
      <c r="P205" s="782"/>
      <c r="Q205" s="650"/>
      <c r="T205" s="608"/>
    </row>
    <row r="206" spans="1:22" hidden="1" outlineLevel="1" x14ac:dyDescent="0.4">
      <c r="A206" s="475" t="s">
        <v>17</v>
      </c>
      <c r="B206" s="475" t="s">
        <v>150</v>
      </c>
      <c r="C206" s="475" t="s">
        <v>23</v>
      </c>
      <c r="D206" s="688" t="str">
        <f t="shared" si="39"/>
        <v>6월</v>
      </c>
      <c r="E206" s="785" t="s">
        <v>128</v>
      </c>
      <c r="F206" s="690" t="s">
        <v>129</v>
      </c>
      <c r="G206" s="785" t="s">
        <v>130</v>
      </c>
      <c r="H206" s="690" t="s">
        <v>134</v>
      </c>
      <c r="I206" s="691">
        <v>530925000</v>
      </c>
      <c r="J206" s="691">
        <v>214320000.00000003</v>
      </c>
      <c r="K206" s="691">
        <v>530925000</v>
      </c>
      <c r="L206" s="692">
        <f t="shared" ref="L206:L210" si="41">+I206/J206</f>
        <v>2.4772536394176927</v>
      </c>
      <c r="M206" s="691">
        <v>530925000</v>
      </c>
      <c r="N206" s="727">
        <f t="shared" si="40"/>
        <v>0</v>
      </c>
      <c r="O206" s="475" t="s">
        <v>205</v>
      </c>
      <c r="P206" s="782"/>
      <c r="Q206" s="650"/>
      <c r="T206" s="608"/>
    </row>
    <row r="207" spans="1:22" hidden="1" outlineLevel="1" x14ac:dyDescent="0.4">
      <c r="A207" s="475" t="s">
        <v>17</v>
      </c>
      <c r="B207" s="475" t="s">
        <v>150</v>
      </c>
      <c r="C207" s="475" t="s">
        <v>22</v>
      </c>
      <c r="D207" s="688" t="str">
        <f t="shared" si="39"/>
        <v>6월</v>
      </c>
      <c r="E207" s="785" t="s">
        <v>128</v>
      </c>
      <c r="F207" s="690" t="s">
        <v>129</v>
      </c>
      <c r="G207" s="785" t="s">
        <v>130</v>
      </c>
      <c r="H207" s="690" t="s">
        <v>135</v>
      </c>
      <c r="I207" s="691">
        <v>9507260900</v>
      </c>
      <c r="J207" s="691">
        <v>10456543000</v>
      </c>
      <c r="K207" s="691">
        <v>9507260900</v>
      </c>
      <c r="L207" s="692">
        <f t="shared" si="41"/>
        <v>0.90921644945179303</v>
      </c>
      <c r="M207" s="691">
        <v>9507260900</v>
      </c>
      <c r="N207" s="727">
        <f t="shared" si="40"/>
        <v>0</v>
      </c>
      <c r="O207" s="730" t="s">
        <v>206</v>
      </c>
      <c r="P207" s="782"/>
      <c r="Q207" s="650"/>
      <c r="T207" s="608"/>
    </row>
    <row r="208" spans="1:22" hidden="1" outlineLevel="1" x14ac:dyDescent="0.4">
      <c r="A208" s="475" t="s">
        <v>17</v>
      </c>
      <c r="B208" s="475" t="s">
        <v>150</v>
      </c>
      <c r="C208" s="475" t="s">
        <v>28</v>
      </c>
      <c r="D208" s="688" t="str">
        <f t="shared" si="39"/>
        <v>6월</v>
      </c>
      <c r="E208" s="785" t="s">
        <v>128</v>
      </c>
      <c r="F208" s="690" t="s">
        <v>129</v>
      </c>
      <c r="G208" s="785" t="s">
        <v>130</v>
      </c>
      <c r="H208" s="690" t="s">
        <v>136</v>
      </c>
      <c r="I208" s="691"/>
      <c r="J208" s="691"/>
      <c r="K208" s="691"/>
      <c r="L208" s="692" t="e">
        <f t="shared" si="41"/>
        <v>#DIV/0!</v>
      </c>
      <c r="M208" s="691"/>
      <c r="N208" s="727">
        <f t="shared" si="40"/>
        <v>0</v>
      </c>
      <c r="P208" s="782"/>
      <c r="Q208" s="650"/>
      <c r="T208" s="608"/>
    </row>
    <row r="209" spans="1:20" hidden="1" outlineLevel="1" x14ac:dyDescent="0.4">
      <c r="A209" s="475" t="s">
        <v>17</v>
      </c>
      <c r="B209" s="475" t="s">
        <v>150</v>
      </c>
      <c r="C209" s="475" t="s">
        <v>26</v>
      </c>
      <c r="D209" s="688" t="str">
        <f t="shared" si="39"/>
        <v>6월</v>
      </c>
      <c r="E209" s="785" t="s">
        <v>128</v>
      </c>
      <c r="F209" s="690" t="s">
        <v>129</v>
      </c>
      <c r="G209" s="785" t="s">
        <v>130</v>
      </c>
      <c r="H209" s="690" t="s">
        <v>137</v>
      </c>
      <c r="I209" s="691">
        <v>209000000</v>
      </c>
      <c r="J209" s="691"/>
      <c r="K209" s="691">
        <v>209000000</v>
      </c>
      <c r="L209" s="692" t="e">
        <f t="shared" si="41"/>
        <v>#DIV/0!</v>
      </c>
      <c r="M209" s="691">
        <v>209000000</v>
      </c>
      <c r="N209" s="727">
        <f t="shared" si="40"/>
        <v>0</v>
      </c>
      <c r="O209" s="475" t="s">
        <v>207</v>
      </c>
      <c r="P209" s="782"/>
      <c r="Q209" s="650"/>
      <c r="T209" s="608"/>
    </row>
    <row r="210" spans="1:20" hidden="1" outlineLevel="1" x14ac:dyDescent="0.4">
      <c r="A210" s="475" t="s">
        <v>17</v>
      </c>
      <c r="B210" s="475" t="s">
        <v>150</v>
      </c>
      <c r="C210" s="475" t="s">
        <v>25</v>
      </c>
      <c r="D210" s="688" t="str">
        <f t="shared" si="39"/>
        <v>6월</v>
      </c>
      <c r="E210" s="785" t="s">
        <v>128</v>
      </c>
      <c r="F210" s="690" t="s">
        <v>129</v>
      </c>
      <c r="G210" s="785" t="s">
        <v>130</v>
      </c>
      <c r="H210" s="690" t="s">
        <v>141</v>
      </c>
      <c r="I210" s="691">
        <v>679295337</v>
      </c>
      <c r="J210" s="691"/>
      <c r="K210" s="691">
        <v>679295337</v>
      </c>
      <c r="L210" s="692" t="e">
        <f t="shared" si="41"/>
        <v>#DIV/0!</v>
      </c>
      <c r="M210" s="691">
        <v>679295337</v>
      </c>
      <c r="N210" s="727">
        <f t="shared" si="40"/>
        <v>0</v>
      </c>
      <c r="O210" s="791" t="s">
        <v>208</v>
      </c>
      <c r="P210" s="782"/>
      <c r="Q210" s="650"/>
      <c r="T210" s="608"/>
    </row>
    <row r="211" spans="1:20" hidden="1" outlineLevel="1" x14ac:dyDescent="0.4">
      <c r="A211" s="475" t="s">
        <v>17</v>
      </c>
      <c r="B211" s="475" t="s">
        <v>150</v>
      </c>
      <c r="C211" s="475" t="s">
        <v>27</v>
      </c>
      <c r="D211" s="688" t="str">
        <f t="shared" si="39"/>
        <v>6월</v>
      </c>
      <c r="E211" s="787" t="s">
        <v>128</v>
      </c>
      <c r="F211" s="701" t="s">
        <v>129</v>
      </c>
      <c r="G211" s="787" t="s">
        <v>130</v>
      </c>
      <c r="H211" s="701" t="s">
        <v>142</v>
      </c>
      <c r="I211" s="702">
        <v>36208334</v>
      </c>
      <c r="J211" s="702"/>
      <c r="K211" s="702">
        <v>36208334</v>
      </c>
      <c r="L211" s="703"/>
      <c r="M211" s="702">
        <v>36208334</v>
      </c>
      <c r="N211" s="727">
        <f t="shared" si="40"/>
        <v>0</v>
      </c>
      <c r="P211" s="782"/>
      <c r="Q211" s="650"/>
      <c r="T211" s="608"/>
    </row>
    <row r="212" spans="1:20" ht="14.4" hidden="1" outlineLevel="1" thickBot="1" x14ac:dyDescent="0.45">
      <c r="A212" s="475" t="s">
        <v>17</v>
      </c>
      <c r="B212" s="475" t="s">
        <v>150</v>
      </c>
      <c r="C212" s="475" t="s">
        <v>28</v>
      </c>
      <c r="D212" s="766" t="str">
        <f t="shared" si="39"/>
        <v>6월</v>
      </c>
      <c r="E212" s="788" t="s">
        <v>128</v>
      </c>
      <c r="F212" s="705" t="s">
        <v>129</v>
      </c>
      <c r="G212" s="788" t="s">
        <v>130</v>
      </c>
      <c r="H212" s="705" t="s">
        <v>143</v>
      </c>
      <c r="I212" s="706">
        <v>97321600</v>
      </c>
      <c r="J212" s="706"/>
      <c r="K212" s="706">
        <v>97321600</v>
      </c>
      <c r="L212" s="707" t="e">
        <f t="shared" ref="L212" si="42">+K212/J212</f>
        <v>#DIV/0!</v>
      </c>
      <c r="M212" s="706">
        <v>97321600</v>
      </c>
      <c r="N212" s="727">
        <f t="shared" si="40"/>
        <v>0</v>
      </c>
      <c r="O212" s="475" t="s">
        <v>209</v>
      </c>
      <c r="P212" s="782"/>
      <c r="Q212" s="650" t="s">
        <v>210</v>
      </c>
      <c r="T212" s="608"/>
    </row>
    <row r="213" spans="1:20" ht="14.4" collapsed="1" thickBot="1" x14ac:dyDescent="0.45">
      <c r="D213" s="829" t="s">
        <v>211</v>
      </c>
      <c r="E213" s="830"/>
      <c r="F213" s="830"/>
      <c r="G213" s="830"/>
      <c r="H213" s="831"/>
      <c r="I213" s="710">
        <f>SUM(I203:I212)</f>
        <v>12255738612</v>
      </c>
      <c r="J213" s="710">
        <f>SUM(J203:J212)</f>
        <v>11301701928.571428</v>
      </c>
      <c r="K213" s="710">
        <f>SUM(K203:K212)</f>
        <v>12255738612</v>
      </c>
      <c r="L213" s="711">
        <f>I213/J213</f>
        <v>1.0844153110264487</v>
      </c>
      <c r="M213" s="712">
        <f>SUM(M203:M212)</f>
        <v>12255738612</v>
      </c>
      <c r="N213" s="713">
        <f>SUM(N203:N212)</f>
        <v>0</v>
      </c>
      <c r="P213" s="782"/>
      <c r="T213" s="608"/>
    </row>
    <row r="214" spans="1:20" ht="14.4" thickBot="1" x14ac:dyDescent="0.45">
      <c r="D214" s="832" t="s">
        <v>212</v>
      </c>
      <c r="E214" s="833"/>
      <c r="F214" s="833"/>
      <c r="G214" s="833"/>
      <c r="H214" s="834"/>
      <c r="I214" s="722">
        <f>SUM(I191,I202,I213)</f>
        <v>32391353316</v>
      </c>
      <c r="J214" s="722">
        <f t="shared" ref="J214:K214" si="43">SUM(J191,J202,J213)</f>
        <v>33091521328.571426</v>
      </c>
      <c r="K214" s="722">
        <f t="shared" si="43"/>
        <v>32391353316</v>
      </c>
      <c r="L214" s="723">
        <f>I214/J214</f>
        <v>0.97884146801172001</v>
      </c>
      <c r="M214" s="722">
        <f>SUM(M191,M202,M213)</f>
        <v>32391353316</v>
      </c>
      <c r="N214" s="722">
        <f>SUM(N191,N202,N213)</f>
        <v>0</v>
      </c>
      <c r="O214" s="631">
        <f>J214-K214</f>
        <v>700168012.57142639</v>
      </c>
    </row>
    <row r="215" spans="1:20" hidden="1" outlineLevel="1" x14ac:dyDescent="0.4">
      <c r="A215" s="475" t="s">
        <v>17</v>
      </c>
      <c r="B215" s="475" t="s">
        <v>94</v>
      </c>
      <c r="C215" s="475" t="s">
        <v>101</v>
      </c>
      <c r="D215" s="682" t="s">
        <v>73</v>
      </c>
      <c r="E215" s="784" t="s">
        <v>128</v>
      </c>
      <c r="F215" s="761" t="s">
        <v>129</v>
      </c>
      <c r="G215" s="784" t="s">
        <v>130</v>
      </c>
      <c r="H215" s="761" t="s">
        <v>131</v>
      </c>
      <c r="I215" s="762"/>
      <c r="J215" s="762"/>
      <c r="K215" s="762"/>
      <c r="L215" s="763" t="e">
        <f t="shared" ref="L215" si="44">+I215/J215</f>
        <v>#DIV/0!</v>
      </c>
      <c r="M215" s="762"/>
      <c r="N215" s="748">
        <f>K215-M215</f>
        <v>0</v>
      </c>
      <c r="O215" s="631"/>
    </row>
    <row r="216" spans="1:20" hidden="1" outlineLevel="1" x14ac:dyDescent="0.4">
      <c r="A216" s="475" t="s">
        <v>17</v>
      </c>
      <c r="B216" s="475" t="s">
        <v>94</v>
      </c>
      <c r="C216" s="475" t="s">
        <v>101</v>
      </c>
      <c r="D216" s="688" t="str">
        <f t="shared" ref="D216:D224" si="45">D215</f>
        <v>7월</v>
      </c>
      <c r="E216" s="785" t="s">
        <v>128</v>
      </c>
      <c r="F216" s="690" t="s">
        <v>129</v>
      </c>
      <c r="G216" s="785" t="s">
        <v>130</v>
      </c>
      <c r="H216" s="690" t="s">
        <v>132</v>
      </c>
      <c r="I216" s="691"/>
      <c r="J216" s="691"/>
      <c r="K216" s="691"/>
      <c r="L216" s="692"/>
      <c r="M216" s="691"/>
      <c r="N216" s="727">
        <f t="shared" ref="N216:N224" si="46">K216-M216</f>
        <v>0</v>
      </c>
      <c r="O216" s="631"/>
    </row>
    <row r="217" spans="1:20" hidden="1" outlineLevel="1" x14ac:dyDescent="0.4">
      <c r="A217" s="475" t="s">
        <v>17</v>
      </c>
      <c r="B217" s="475" t="s">
        <v>94</v>
      </c>
      <c r="C217" s="475" t="s">
        <v>18</v>
      </c>
      <c r="D217" s="688" t="str">
        <f t="shared" si="45"/>
        <v>7월</v>
      </c>
      <c r="E217" s="786" t="s">
        <v>128</v>
      </c>
      <c r="F217" s="690" t="s">
        <v>129</v>
      </c>
      <c r="G217" s="785" t="s">
        <v>130</v>
      </c>
      <c r="H217" s="690" t="s">
        <v>133</v>
      </c>
      <c r="I217" s="691">
        <v>1099305556</v>
      </c>
      <c r="J217" s="691">
        <v>1243154250.0000002</v>
      </c>
      <c r="K217" s="691">
        <v>1099305556</v>
      </c>
      <c r="L217" s="692"/>
      <c r="M217" s="691">
        <v>1099305556</v>
      </c>
      <c r="N217" s="727">
        <f t="shared" si="46"/>
        <v>0</v>
      </c>
      <c r="O217" s="631" t="s">
        <v>213</v>
      </c>
      <c r="P217" s="631"/>
      <c r="S217" s="608"/>
      <c r="T217" s="608"/>
    </row>
    <row r="218" spans="1:20" hidden="1" outlineLevel="1" x14ac:dyDescent="0.4">
      <c r="A218" s="475" t="s">
        <v>17</v>
      </c>
      <c r="B218" s="475" t="s">
        <v>94</v>
      </c>
      <c r="C218" s="475" t="s">
        <v>23</v>
      </c>
      <c r="D218" s="688" t="str">
        <f t="shared" si="45"/>
        <v>7월</v>
      </c>
      <c r="E218" s="785" t="s">
        <v>128</v>
      </c>
      <c r="F218" s="690" t="s">
        <v>129</v>
      </c>
      <c r="G218" s="785" t="s">
        <v>130</v>
      </c>
      <c r="H218" s="690" t="s">
        <v>134</v>
      </c>
      <c r="I218" s="691">
        <v>459160000</v>
      </c>
      <c r="J218" s="691">
        <v>470950000</v>
      </c>
      <c r="K218" s="691">
        <v>459160000</v>
      </c>
      <c r="L218" s="692">
        <f t="shared" ref="L218:L222" si="47">+I218/J218</f>
        <v>0.97496549527550691</v>
      </c>
      <c r="M218" s="691">
        <v>459160000</v>
      </c>
      <c r="N218" s="727">
        <f t="shared" si="46"/>
        <v>0</v>
      </c>
      <c r="O218" s="631" t="s">
        <v>214</v>
      </c>
      <c r="S218" s="608"/>
      <c r="T218" s="608"/>
    </row>
    <row r="219" spans="1:20" ht="17.100000000000001" hidden="1" customHeight="1" outlineLevel="1" x14ac:dyDescent="0.4">
      <c r="A219" s="475" t="s">
        <v>17</v>
      </c>
      <c r="B219" s="475" t="s">
        <v>94</v>
      </c>
      <c r="C219" s="475" t="s">
        <v>22</v>
      </c>
      <c r="D219" s="688" t="str">
        <f t="shared" si="45"/>
        <v>7월</v>
      </c>
      <c r="E219" s="785" t="s">
        <v>128</v>
      </c>
      <c r="F219" s="690" t="s">
        <v>129</v>
      </c>
      <c r="G219" s="785" t="s">
        <v>130</v>
      </c>
      <c r="H219" s="690" t="s">
        <v>135</v>
      </c>
      <c r="I219" s="691">
        <v>7886136900</v>
      </c>
      <c r="J219" s="691">
        <v>6873718600.000001</v>
      </c>
      <c r="K219" s="691">
        <v>7886136900</v>
      </c>
      <c r="L219" s="692">
        <f t="shared" si="47"/>
        <v>1.1472882960323687</v>
      </c>
      <c r="M219" s="774">
        <v>7886136900</v>
      </c>
      <c r="N219" s="727">
        <f t="shared" si="46"/>
        <v>0</v>
      </c>
      <c r="O219" s="793" t="s">
        <v>215</v>
      </c>
      <c r="P219" s="794"/>
      <c r="Q219" s="794"/>
      <c r="R219" s="794"/>
      <c r="S219" s="608"/>
      <c r="T219" s="608"/>
    </row>
    <row r="220" spans="1:20" hidden="1" outlineLevel="1" x14ac:dyDescent="0.4">
      <c r="A220" s="475" t="s">
        <v>17</v>
      </c>
      <c r="B220" s="475" t="s">
        <v>94</v>
      </c>
      <c r="C220" s="475" t="s">
        <v>28</v>
      </c>
      <c r="D220" s="688" t="str">
        <f t="shared" si="45"/>
        <v>7월</v>
      </c>
      <c r="E220" s="785" t="s">
        <v>128</v>
      </c>
      <c r="F220" s="690" t="s">
        <v>129</v>
      </c>
      <c r="G220" s="785" t="s">
        <v>130</v>
      </c>
      <c r="H220" s="690" t="s">
        <v>136</v>
      </c>
      <c r="I220" s="691"/>
      <c r="J220" s="691">
        <v>30000000</v>
      </c>
      <c r="K220" s="691"/>
      <c r="L220" s="692">
        <f t="shared" si="47"/>
        <v>0</v>
      </c>
      <c r="M220" s="691"/>
      <c r="N220" s="727">
        <f t="shared" si="46"/>
        <v>0</v>
      </c>
      <c r="O220" s="631" t="s">
        <v>216</v>
      </c>
      <c r="S220" s="608"/>
      <c r="T220" s="608"/>
    </row>
    <row r="221" spans="1:20" hidden="1" outlineLevel="1" x14ac:dyDescent="0.4">
      <c r="A221" s="475" t="s">
        <v>17</v>
      </c>
      <c r="B221" s="475" t="s">
        <v>94</v>
      </c>
      <c r="C221" s="475" t="s">
        <v>26</v>
      </c>
      <c r="D221" s="688" t="str">
        <f t="shared" si="45"/>
        <v>7월</v>
      </c>
      <c r="E221" s="785" t="s">
        <v>128</v>
      </c>
      <c r="F221" s="690" t="s">
        <v>129</v>
      </c>
      <c r="G221" s="785" t="s">
        <v>130</v>
      </c>
      <c r="H221" s="690" t="s">
        <v>137</v>
      </c>
      <c r="I221" s="691">
        <v>285625000</v>
      </c>
      <c r="J221" s="691">
        <v>372500000</v>
      </c>
      <c r="K221" s="691">
        <v>285625000</v>
      </c>
      <c r="L221" s="692">
        <f t="shared" si="47"/>
        <v>0.76677852348993292</v>
      </c>
      <c r="M221" s="691">
        <v>285625000</v>
      </c>
      <c r="N221" s="727">
        <f t="shared" si="46"/>
        <v>0</v>
      </c>
      <c r="O221" s="631" t="s">
        <v>217</v>
      </c>
      <c r="S221" s="608"/>
      <c r="T221" s="608"/>
    </row>
    <row r="222" spans="1:20" hidden="1" outlineLevel="1" x14ac:dyDescent="0.4">
      <c r="A222" s="475" t="s">
        <v>17</v>
      </c>
      <c r="B222" s="475" t="s">
        <v>94</v>
      </c>
      <c r="C222" s="475" t="s">
        <v>25</v>
      </c>
      <c r="D222" s="688" t="str">
        <f t="shared" si="45"/>
        <v>7월</v>
      </c>
      <c r="E222" s="785" t="s">
        <v>128</v>
      </c>
      <c r="F222" s="690" t="s">
        <v>129</v>
      </c>
      <c r="G222" s="785" t="s">
        <v>130</v>
      </c>
      <c r="H222" s="690" t="s">
        <v>141</v>
      </c>
      <c r="I222" s="691">
        <v>160295337</v>
      </c>
      <c r="J222" s="691">
        <v>119000000</v>
      </c>
      <c r="K222" s="691">
        <v>160295337</v>
      </c>
      <c r="L222" s="692">
        <f t="shared" si="47"/>
        <v>1.3470196386554623</v>
      </c>
      <c r="M222" s="691">
        <v>160295337</v>
      </c>
      <c r="N222" s="727">
        <f t="shared" si="46"/>
        <v>0</v>
      </c>
      <c r="O222" s="631" t="s">
        <v>218</v>
      </c>
      <c r="S222" s="608"/>
      <c r="T222" s="608"/>
    </row>
    <row r="223" spans="1:20" hidden="1" outlineLevel="1" x14ac:dyDescent="0.4">
      <c r="A223" s="475" t="s">
        <v>17</v>
      </c>
      <c r="B223" s="475" t="s">
        <v>94</v>
      </c>
      <c r="C223" s="475" t="s">
        <v>27</v>
      </c>
      <c r="D223" s="688" t="str">
        <f t="shared" si="45"/>
        <v>7월</v>
      </c>
      <c r="E223" s="787" t="s">
        <v>128</v>
      </c>
      <c r="F223" s="701" t="s">
        <v>129</v>
      </c>
      <c r="G223" s="787" t="s">
        <v>130</v>
      </c>
      <c r="H223" s="701" t="s">
        <v>142</v>
      </c>
      <c r="I223" s="702">
        <v>79808334</v>
      </c>
      <c r="J223" s="691">
        <v>234375000</v>
      </c>
      <c r="K223" s="702">
        <v>79808334</v>
      </c>
      <c r="L223" s="703"/>
      <c r="M223" s="702">
        <v>79808334</v>
      </c>
      <c r="N223" s="727">
        <f t="shared" si="46"/>
        <v>0</v>
      </c>
      <c r="O223" s="631" t="s">
        <v>219</v>
      </c>
      <c r="S223" s="608"/>
      <c r="T223" s="608"/>
    </row>
    <row r="224" spans="1:20" ht="14.4" hidden="1" outlineLevel="1" thickBot="1" x14ac:dyDescent="0.45">
      <c r="A224" s="475" t="s">
        <v>17</v>
      </c>
      <c r="B224" s="475" t="s">
        <v>94</v>
      </c>
      <c r="C224" s="475" t="s">
        <v>28</v>
      </c>
      <c r="D224" s="766" t="str">
        <f t="shared" si="45"/>
        <v>7월</v>
      </c>
      <c r="E224" s="788" t="s">
        <v>128</v>
      </c>
      <c r="F224" s="705" t="s">
        <v>129</v>
      </c>
      <c r="G224" s="788" t="s">
        <v>130</v>
      </c>
      <c r="H224" s="705" t="s">
        <v>143</v>
      </c>
      <c r="I224" s="706"/>
      <c r="J224" s="706"/>
      <c r="K224" s="706"/>
      <c r="L224" s="707" t="e">
        <f t="shared" ref="L224" si="48">+K224/J224</f>
        <v>#DIV/0!</v>
      </c>
      <c r="M224" s="706"/>
      <c r="N224" s="727">
        <f t="shared" si="46"/>
        <v>0</v>
      </c>
      <c r="Q224" s="631"/>
      <c r="S224" s="608"/>
      <c r="T224" s="608"/>
    </row>
    <row r="225" spans="1:20" ht="14.4" collapsed="1" thickBot="1" x14ac:dyDescent="0.45">
      <c r="D225" s="829" t="s">
        <v>220</v>
      </c>
      <c r="E225" s="830"/>
      <c r="F225" s="830"/>
      <c r="G225" s="830"/>
      <c r="H225" s="831"/>
      <c r="I225" s="710">
        <f>SUM(I215:I224)</f>
        <v>9970331127</v>
      </c>
      <c r="J225" s="710">
        <f>SUM(J215:J224)</f>
        <v>9343697850</v>
      </c>
      <c r="K225" s="710">
        <f>SUM(K215:K224)</f>
        <v>9970331127</v>
      </c>
      <c r="L225" s="711">
        <f>I225/J225</f>
        <v>1.0670648052901239</v>
      </c>
      <c r="M225" s="712">
        <f>SUM(M215:M224)</f>
        <v>9970331127</v>
      </c>
      <c r="N225" s="713">
        <f>SUM(N215:N224)</f>
        <v>0</v>
      </c>
      <c r="O225" s="767"/>
      <c r="S225" s="608"/>
      <c r="T225" s="608"/>
    </row>
    <row r="226" spans="1:20" hidden="1" outlineLevel="1" x14ac:dyDescent="0.4">
      <c r="A226" s="475" t="s">
        <v>17</v>
      </c>
      <c r="B226" s="475" t="s">
        <v>94</v>
      </c>
      <c r="C226" s="475" t="s">
        <v>101</v>
      </c>
      <c r="D226" s="682" t="s">
        <v>161</v>
      </c>
      <c r="E226" s="784" t="s">
        <v>128</v>
      </c>
      <c r="F226" s="761" t="s">
        <v>129</v>
      </c>
      <c r="G226" s="784" t="s">
        <v>130</v>
      </c>
      <c r="H226" s="761" t="s">
        <v>131</v>
      </c>
      <c r="I226" s="762"/>
      <c r="J226" s="762"/>
      <c r="K226" s="762"/>
      <c r="L226" s="763" t="e">
        <f t="shared" ref="L226" si="49">+I226/J226</f>
        <v>#DIV/0!</v>
      </c>
      <c r="M226" s="762"/>
      <c r="N226" s="748">
        <f>K226-M226</f>
        <v>0</v>
      </c>
      <c r="O226" s="631"/>
    </row>
    <row r="227" spans="1:20" hidden="1" outlineLevel="1" x14ac:dyDescent="0.4">
      <c r="A227" s="475" t="s">
        <v>17</v>
      </c>
      <c r="B227" s="475" t="s">
        <v>94</v>
      </c>
      <c r="C227" s="475" t="s">
        <v>101</v>
      </c>
      <c r="D227" s="688" t="str">
        <f t="shared" ref="D227:D235" si="50">D226</f>
        <v>8월</v>
      </c>
      <c r="E227" s="785" t="s">
        <v>128</v>
      </c>
      <c r="F227" s="690" t="s">
        <v>129</v>
      </c>
      <c r="G227" s="785" t="s">
        <v>130</v>
      </c>
      <c r="H227" s="690" t="s">
        <v>132</v>
      </c>
      <c r="I227" s="691"/>
      <c r="J227" s="691"/>
      <c r="K227" s="691"/>
      <c r="L227" s="692"/>
      <c r="M227" s="691"/>
      <c r="N227" s="727">
        <f t="shared" ref="N227:N233" si="51">K227-M227</f>
        <v>0</v>
      </c>
      <c r="O227" s="779"/>
    </row>
    <row r="228" spans="1:20" hidden="1" outlineLevel="1" x14ac:dyDescent="0.4">
      <c r="A228" s="475" t="s">
        <v>17</v>
      </c>
      <c r="B228" s="475" t="s">
        <v>94</v>
      </c>
      <c r="C228" s="475" t="s">
        <v>18</v>
      </c>
      <c r="D228" s="688" t="str">
        <f t="shared" si="50"/>
        <v>8월</v>
      </c>
      <c r="E228" s="786" t="s">
        <v>128</v>
      </c>
      <c r="F228" s="690" t="s">
        <v>129</v>
      </c>
      <c r="G228" s="785" t="s">
        <v>130</v>
      </c>
      <c r="H228" s="690" t="s">
        <v>133</v>
      </c>
      <c r="I228" s="774">
        <v>2799032515</v>
      </c>
      <c r="J228" s="691">
        <v>2029392857.1428571</v>
      </c>
      <c r="K228" s="691">
        <v>2799032515</v>
      </c>
      <c r="L228" s="692"/>
      <c r="M228" s="691">
        <v>2799032515</v>
      </c>
      <c r="N228" s="727">
        <f t="shared" si="51"/>
        <v>0</v>
      </c>
      <c r="O228" s="631" t="s">
        <v>221</v>
      </c>
      <c r="P228" s="631"/>
      <c r="T228" s="608"/>
    </row>
    <row r="229" spans="1:20" ht="14.4" hidden="1" outlineLevel="1" thickBot="1" x14ac:dyDescent="0.45">
      <c r="A229" s="475" t="s">
        <v>17</v>
      </c>
      <c r="B229" s="475" t="s">
        <v>94</v>
      </c>
      <c r="C229" s="475" t="s">
        <v>23</v>
      </c>
      <c r="D229" s="688" t="str">
        <f t="shared" si="50"/>
        <v>8월</v>
      </c>
      <c r="E229" s="785" t="s">
        <v>128</v>
      </c>
      <c r="F229" s="690" t="s">
        <v>129</v>
      </c>
      <c r="G229" s="785" t="s">
        <v>130</v>
      </c>
      <c r="H229" s="690" t="s">
        <v>134</v>
      </c>
      <c r="I229" s="774">
        <v>129330570</v>
      </c>
      <c r="J229" s="691">
        <v>524570000</v>
      </c>
      <c r="K229" s="691">
        <v>129330570</v>
      </c>
      <c r="L229" s="692">
        <f>+I229/J229</f>
        <v>0.24654587566959604</v>
      </c>
      <c r="M229" s="691">
        <v>129330570</v>
      </c>
      <c r="N229" s="727">
        <f t="shared" si="51"/>
        <v>0</v>
      </c>
      <c r="O229" s="795" t="s">
        <v>222</v>
      </c>
      <c r="Q229" s="608"/>
      <c r="T229" s="608"/>
    </row>
    <row r="230" spans="1:20" ht="24" hidden="1" customHeight="1" outlineLevel="1" x14ac:dyDescent="0.4">
      <c r="A230" s="475" t="s">
        <v>17</v>
      </c>
      <c r="B230" s="475" t="s">
        <v>94</v>
      </c>
      <c r="C230" s="475" t="s">
        <v>22</v>
      </c>
      <c r="D230" s="688" t="str">
        <f t="shared" si="50"/>
        <v>8월</v>
      </c>
      <c r="E230" s="785" t="s">
        <v>128</v>
      </c>
      <c r="F230" s="690" t="s">
        <v>129</v>
      </c>
      <c r="G230" s="785" t="s">
        <v>130</v>
      </c>
      <c r="H230" s="690" t="s">
        <v>135</v>
      </c>
      <c r="I230" s="774">
        <v>9145801500</v>
      </c>
      <c r="J230" s="691">
        <v>9114117900</v>
      </c>
      <c r="K230" s="691">
        <v>9145801500</v>
      </c>
      <c r="L230" s="692">
        <f t="shared" ref="L230:L233" si="52">+I230/J230</f>
        <v>1.0034763210600994</v>
      </c>
      <c r="M230" s="691">
        <v>9145801500</v>
      </c>
      <c r="N230" s="727">
        <f t="shared" si="51"/>
        <v>0</v>
      </c>
      <c r="O230" s="796" t="s">
        <v>223</v>
      </c>
      <c r="Q230" s="608"/>
      <c r="T230" s="608"/>
    </row>
    <row r="231" spans="1:20" hidden="1" outlineLevel="1" x14ac:dyDescent="0.4">
      <c r="A231" s="475" t="s">
        <v>17</v>
      </c>
      <c r="B231" s="475" t="s">
        <v>94</v>
      </c>
      <c r="C231" s="475" t="s">
        <v>28</v>
      </c>
      <c r="D231" s="688" t="str">
        <f t="shared" si="50"/>
        <v>8월</v>
      </c>
      <c r="E231" s="785" t="s">
        <v>128</v>
      </c>
      <c r="F231" s="690" t="s">
        <v>129</v>
      </c>
      <c r="G231" s="785" t="s">
        <v>130</v>
      </c>
      <c r="H231" s="690" t="s">
        <v>136</v>
      </c>
      <c r="I231" s="691"/>
      <c r="J231" s="691">
        <v>0</v>
      </c>
      <c r="K231" s="691">
        <v>0</v>
      </c>
      <c r="L231" s="692" t="e">
        <f t="shared" si="52"/>
        <v>#DIV/0!</v>
      </c>
      <c r="M231" s="691"/>
      <c r="N231" s="727">
        <f t="shared" si="51"/>
        <v>0</v>
      </c>
      <c r="O231" s="631"/>
      <c r="Q231" s="608"/>
      <c r="T231" s="608"/>
    </row>
    <row r="232" spans="1:20" hidden="1" outlineLevel="1" x14ac:dyDescent="0.4">
      <c r="A232" s="475" t="s">
        <v>17</v>
      </c>
      <c r="B232" s="475" t="s">
        <v>94</v>
      </c>
      <c r="C232" s="475" t="s">
        <v>26</v>
      </c>
      <c r="D232" s="688" t="str">
        <f t="shared" si="50"/>
        <v>8월</v>
      </c>
      <c r="E232" s="785" t="s">
        <v>128</v>
      </c>
      <c r="F232" s="690" t="s">
        <v>129</v>
      </c>
      <c r="G232" s="785" t="s">
        <v>130</v>
      </c>
      <c r="H232" s="690" t="s">
        <v>137</v>
      </c>
      <c r="I232" s="691">
        <v>118000000</v>
      </c>
      <c r="J232" s="691">
        <v>198000000</v>
      </c>
      <c r="K232" s="691">
        <v>118000000</v>
      </c>
      <c r="L232" s="692">
        <f t="shared" si="52"/>
        <v>0.59595959595959591</v>
      </c>
      <c r="M232" s="691">
        <v>118000000</v>
      </c>
      <c r="N232" s="727">
        <f t="shared" si="51"/>
        <v>0</v>
      </c>
      <c r="O232" s="631" t="s">
        <v>224</v>
      </c>
      <c r="Q232" s="608"/>
      <c r="T232" s="608"/>
    </row>
    <row r="233" spans="1:20" hidden="1" outlineLevel="1" x14ac:dyDescent="0.4">
      <c r="A233" s="475" t="s">
        <v>17</v>
      </c>
      <c r="B233" s="475" t="s">
        <v>94</v>
      </c>
      <c r="C233" s="475" t="s">
        <v>25</v>
      </c>
      <c r="D233" s="688" t="str">
        <f t="shared" si="50"/>
        <v>8월</v>
      </c>
      <c r="E233" s="785" t="s">
        <v>128</v>
      </c>
      <c r="F233" s="690" t="s">
        <v>129</v>
      </c>
      <c r="G233" s="785" t="s">
        <v>130</v>
      </c>
      <c r="H233" s="690" t="s">
        <v>141</v>
      </c>
      <c r="I233" s="774">
        <v>2043355337</v>
      </c>
      <c r="J233" s="691">
        <v>1787000000</v>
      </c>
      <c r="K233" s="691">
        <v>2043355337</v>
      </c>
      <c r="L233" s="692">
        <f t="shared" si="52"/>
        <v>1.1434557006155568</v>
      </c>
      <c r="M233" s="691">
        <v>2043355337</v>
      </c>
      <c r="N233" s="727">
        <f t="shared" si="51"/>
        <v>0</v>
      </c>
      <c r="O233" s="631"/>
      <c r="Q233" s="608"/>
      <c r="T233" s="608"/>
    </row>
    <row r="234" spans="1:20" hidden="1" outlineLevel="1" x14ac:dyDescent="0.4">
      <c r="A234" s="475" t="s">
        <v>17</v>
      </c>
      <c r="B234" s="475" t="s">
        <v>94</v>
      </c>
      <c r="C234" s="475" t="s">
        <v>27</v>
      </c>
      <c r="D234" s="688" t="str">
        <f t="shared" si="50"/>
        <v>8월</v>
      </c>
      <c r="E234" s="787" t="s">
        <v>128</v>
      </c>
      <c r="F234" s="701" t="s">
        <v>129</v>
      </c>
      <c r="G234" s="787" t="s">
        <v>130</v>
      </c>
      <c r="H234" s="701" t="s">
        <v>142</v>
      </c>
      <c r="I234" s="781">
        <v>36208334</v>
      </c>
      <c r="J234" s="691">
        <v>46875000</v>
      </c>
      <c r="K234" s="702">
        <v>36208334</v>
      </c>
      <c r="L234" s="703"/>
      <c r="M234" s="691">
        <v>36208334</v>
      </c>
      <c r="N234" s="727">
        <f>K234-M234</f>
        <v>0</v>
      </c>
      <c r="O234" s="631"/>
      <c r="Q234" s="608"/>
      <c r="T234" s="608"/>
    </row>
    <row r="235" spans="1:20" ht="14.4" hidden="1" outlineLevel="1" thickBot="1" x14ac:dyDescent="0.45">
      <c r="A235" s="475" t="s">
        <v>17</v>
      </c>
      <c r="B235" s="475" t="s">
        <v>94</v>
      </c>
      <c r="C235" s="475" t="s">
        <v>28</v>
      </c>
      <c r="D235" s="766" t="str">
        <f t="shared" si="50"/>
        <v>8월</v>
      </c>
      <c r="E235" s="788" t="s">
        <v>128</v>
      </c>
      <c r="F235" s="705" t="s">
        <v>129</v>
      </c>
      <c r="G235" s="788" t="s">
        <v>130</v>
      </c>
      <c r="H235" s="705" t="s">
        <v>143</v>
      </c>
      <c r="I235" s="706"/>
      <c r="J235" s="706"/>
      <c r="K235" s="706"/>
      <c r="L235" s="707" t="e">
        <f t="shared" ref="L235" si="53">+K235/J235</f>
        <v>#DIV/0!</v>
      </c>
      <c r="M235" s="706"/>
      <c r="N235" s="727">
        <f t="shared" ref="N235" si="54">K235-M235</f>
        <v>0</v>
      </c>
      <c r="O235" s="631"/>
      <c r="T235" s="608"/>
    </row>
    <row r="236" spans="1:20" ht="14.4" collapsed="1" thickBot="1" x14ac:dyDescent="0.45">
      <c r="D236" s="829" t="s">
        <v>225</v>
      </c>
      <c r="E236" s="830"/>
      <c r="F236" s="830"/>
      <c r="G236" s="830"/>
      <c r="H236" s="831"/>
      <c r="I236" s="710">
        <f>SUM(I226:I235)</f>
        <v>14271728256</v>
      </c>
      <c r="J236" s="710">
        <f>SUM(J226:J235)</f>
        <v>13699955757.142857</v>
      </c>
      <c r="K236" s="710">
        <f>SUM(K226:K235)</f>
        <v>14271728256</v>
      </c>
      <c r="L236" s="711">
        <f>I236/J236</f>
        <v>1.0417353536750682</v>
      </c>
      <c r="M236" s="712">
        <f>SUM(M226:M235)</f>
        <v>14271728256</v>
      </c>
      <c r="N236" s="713">
        <f>SUM(N226:N235)</f>
        <v>0</v>
      </c>
      <c r="O236" s="631"/>
      <c r="T236" s="608"/>
    </row>
    <row r="237" spans="1:20" hidden="1" outlineLevel="1" x14ac:dyDescent="0.4">
      <c r="A237" s="475" t="s">
        <v>17</v>
      </c>
      <c r="B237" s="475" t="s">
        <v>94</v>
      </c>
      <c r="C237" s="475" t="s">
        <v>101</v>
      </c>
      <c r="D237" s="682" t="s">
        <v>96</v>
      </c>
      <c r="E237" s="784" t="s">
        <v>128</v>
      </c>
      <c r="F237" s="761" t="s">
        <v>129</v>
      </c>
      <c r="G237" s="784" t="s">
        <v>130</v>
      </c>
      <c r="H237" s="761" t="s">
        <v>131</v>
      </c>
      <c r="I237" s="762"/>
      <c r="J237" s="762"/>
      <c r="K237" s="762"/>
      <c r="L237" s="763" t="e">
        <f t="shared" ref="L237" si="55">+I237/J237</f>
        <v>#DIV/0!</v>
      </c>
      <c r="M237" s="762"/>
      <c r="N237" s="748">
        <f>K237-M237</f>
        <v>0</v>
      </c>
      <c r="O237" s="631"/>
      <c r="P237" s="475" t="s">
        <v>94</v>
      </c>
      <c r="Q237" s="475" t="s">
        <v>226</v>
      </c>
      <c r="R237" s="475" t="s">
        <v>227</v>
      </c>
    </row>
    <row r="238" spans="1:20" hidden="1" outlineLevel="1" x14ac:dyDescent="0.4">
      <c r="A238" s="475" t="s">
        <v>17</v>
      </c>
      <c r="B238" s="475" t="s">
        <v>94</v>
      </c>
      <c r="C238" s="475" t="s">
        <v>101</v>
      </c>
      <c r="D238" s="688" t="str">
        <f t="shared" ref="D238:D246" si="56">D237</f>
        <v>9월</v>
      </c>
      <c r="E238" s="785" t="s">
        <v>128</v>
      </c>
      <c r="F238" s="690" t="s">
        <v>129</v>
      </c>
      <c r="G238" s="785" t="s">
        <v>130</v>
      </c>
      <c r="H238" s="690" t="s">
        <v>132</v>
      </c>
      <c r="I238" s="691"/>
      <c r="J238" s="691"/>
      <c r="K238" s="691"/>
      <c r="L238" s="692"/>
      <c r="M238" s="774"/>
      <c r="N238" s="727">
        <f t="shared" ref="N238:N246" si="57">K238-M238</f>
        <v>0</v>
      </c>
      <c r="O238" s="631"/>
    </row>
    <row r="239" spans="1:20" hidden="1" outlineLevel="1" x14ac:dyDescent="0.4">
      <c r="A239" s="475" t="s">
        <v>17</v>
      </c>
      <c r="B239" s="475" t="s">
        <v>94</v>
      </c>
      <c r="C239" s="475" t="s">
        <v>18</v>
      </c>
      <c r="D239" s="688" t="str">
        <f t="shared" si="56"/>
        <v>9월</v>
      </c>
      <c r="E239" s="786" t="s">
        <v>128</v>
      </c>
      <c r="F239" s="690" t="s">
        <v>129</v>
      </c>
      <c r="G239" s="785" t="s">
        <v>130</v>
      </c>
      <c r="H239" s="690" t="s">
        <v>133</v>
      </c>
      <c r="I239" s="691">
        <v>564300524</v>
      </c>
      <c r="J239" s="691">
        <v>1854951428.5714285</v>
      </c>
      <c r="K239" s="691">
        <v>564300524</v>
      </c>
      <c r="L239" s="692"/>
      <c r="M239" s="774">
        <v>564300524</v>
      </c>
      <c r="N239" s="727">
        <f t="shared" si="57"/>
        <v>0</v>
      </c>
      <c r="O239" s="631" t="s">
        <v>228</v>
      </c>
      <c r="P239" s="782">
        <v>46.443669849999999</v>
      </c>
      <c r="Q239" s="650">
        <f>P239*10^8</f>
        <v>4644366985</v>
      </c>
      <c r="R239" s="608">
        <f>Q239-SUM(K217,K228)</f>
        <v>746028914</v>
      </c>
      <c r="T239" s="608"/>
    </row>
    <row r="240" spans="1:20" hidden="1" outlineLevel="1" x14ac:dyDescent="0.4">
      <c r="A240" s="475" t="s">
        <v>17</v>
      </c>
      <c r="B240" s="475" t="s">
        <v>94</v>
      </c>
      <c r="C240" s="475" t="s">
        <v>23</v>
      </c>
      <c r="D240" s="688" t="str">
        <f t="shared" si="56"/>
        <v>9월</v>
      </c>
      <c r="E240" s="785" t="s">
        <v>128</v>
      </c>
      <c r="F240" s="690" t="s">
        <v>129</v>
      </c>
      <c r="G240" s="785" t="s">
        <v>130</v>
      </c>
      <c r="H240" s="690" t="s">
        <v>134</v>
      </c>
      <c r="I240" s="691">
        <v>71209620</v>
      </c>
      <c r="J240" s="691">
        <v>274170000</v>
      </c>
      <c r="K240" s="691">
        <v>71209620</v>
      </c>
      <c r="L240" s="692">
        <f t="shared" ref="L240:L244" si="58">+I240/J240</f>
        <v>0.25972797899113687</v>
      </c>
      <c r="M240" s="774">
        <v>71209620</v>
      </c>
      <c r="N240" s="727">
        <f t="shared" si="57"/>
        <v>0</v>
      </c>
      <c r="O240" s="631"/>
      <c r="P240" s="782">
        <v>7.6828614999999996</v>
      </c>
      <c r="Q240" s="650">
        <f t="shared" ref="Q240:Q245" si="59">P240*10^8</f>
        <v>768286150</v>
      </c>
      <c r="R240" s="608">
        <f>Q240-SUM(K218,K229)</f>
        <v>179795580</v>
      </c>
      <c r="T240" s="608"/>
    </row>
    <row r="241" spans="1:20" ht="96.6" hidden="1" outlineLevel="1" x14ac:dyDescent="0.4">
      <c r="A241" s="475" t="s">
        <v>17</v>
      </c>
      <c r="B241" s="475" t="s">
        <v>94</v>
      </c>
      <c r="C241" s="475" t="s">
        <v>22</v>
      </c>
      <c r="D241" s="688" t="str">
        <f t="shared" si="56"/>
        <v>9월</v>
      </c>
      <c r="E241" s="785" t="s">
        <v>128</v>
      </c>
      <c r="F241" s="690" t="s">
        <v>129</v>
      </c>
      <c r="G241" s="785" t="s">
        <v>130</v>
      </c>
      <c r="H241" s="690" t="s">
        <v>135</v>
      </c>
      <c r="I241" s="691">
        <v>10996578200</v>
      </c>
      <c r="J241" s="691">
        <v>6752588200</v>
      </c>
      <c r="K241" s="691">
        <v>10996578200</v>
      </c>
      <c r="L241" s="692">
        <f t="shared" si="58"/>
        <v>1.6284982697449253</v>
      </c>
      <c r="M241" s="774">
        <v>10996578200</v>
      </c>
      <c r="N241" s="727">
        <f t="shared" si="57"/>
        <v>0</v>
      </c>
      <c r="O241" s="797" t="s">
        <v>229</v>
      </c>
      <c r="P241" s="782">
        <v>287.54060820000001</v>
      </c>
      <c r="Q241" s="650">
        <f t="shared" si="59"/>
        <v>28754060820</v>
      </c>
      <c r="R241" s="608">
        <f t="shared" ref="R241:R245" si="60">Q241-SUM(K219,K230)</f>
        <v>11722122420</v>
      </c>
      <c r="T241" s="608"/>
    </row>
    <row r="242" spans="1:20" hidden="1" outlineLevel="1" x14ac:dyDescent="0.4">
      <c r="A242" s="475" t="s">
        <v>17</v>
      </c>
      <c r="B242" s="475" t="s">
        <v>94</v>
      </c>
      <c r="C242" s="475" t="s">
        <v>28</v>
      </c>
      <c r="D242" s="688" t="str">
        <f t="shared" si="56"/>
        <v>9월</v>
      </c>
      <c r="E242" s="785" t="s">
        <v>128</v>
      </c>
      <c r="F242" s="690" t="s">
        <v>129</v>
      </c>
      <c r="G242" s="785" t="s">
        <v>130</v>
      </c>
      <c r="H242" s="690" t="s">
        <v>136</v>
      </c>
      <c r="I242" s="691"/>
      <c r="J242" s="691">
        <v>0</v>
      </c>
      <c r="K242" s="691"/>
      <c r="L242" s="692" t="e">
        <f t="shared" si="58"/>
        <v>#DIV/0!</v>
      </c>
      <c r="M242" s="774"/>
      <c r="N242" s="727">
        <f t="shared" si="57"/>
        <v>0</v>
      </c>
      <c r="O242" s="631"/>
      <c r="P242" s="782"/>
      <c r="Q242" s="650">
        <f t="shared" si="59"/>
        <v>0</v>
      </c>
      <c r="R242" s="608">
        <f t="shared" si="60"/>
        <v>0</v>
      </c>
      <c r="T242" s="608"/>
    </row>
    <row r="243" spans="1:20" hidden="1" outlineLevel="1" x14ac:dyDescent="0.4">
      <c r="A243" s="475" t="s">
        <v>17</v>
      </c>
      <c r="B243" s="475" t="s">
        <v>94</v>
      </c>
      <c r="C243" s="475" t="s">
        <v>26</v>
      </c>
      <c r="D243" s="688" t="str">
        <f t="shared" si="56"/>
        <v>9월</v>
      </c>
      <c r="E243" s="785" t="s">
        <v>128</v>
      </c>
      <c r="F243" s="690" t="s">
        <v>129</v>
      </c>
      <c r="G243" s="785" t="s">
        <v>130</v>
      </c>
      <c r="H243" s="690" t="s">
        <v>137</v>
      </c>
      <c r="I243" s="691">
        <v>386875000</v>
      </c>
      <c r="J243" s="691">
        <v>131875000.00000001</v>
      </c>
      <c r="K243" s="691">
        <v>386875000</v>
      </c>
      <c r="L243" s="692">
        <f t="shared" si="58"/>
        <v>2.9336492890995256</v>
      </c>
      <c r="M243" s="774">
        <v>386875000</v>
      </c>
      <c r="N243" s="727">
        <f t="shared" si="57"/>
        <v>0</v>
      </c>
      <c r="O243" s="631" t="s">
        <v>230</v>
      </c>
      <c r="P243" s="782">
        <v>4.9737499999999999</v>
      </c>
      <c r="Q243" s="650">
        <f t="shared" si="59"/>
        <v>497375000</v>
      </c>
      <c r="R243" s="608">
        <f t="shared" si="60"/>
        <v>93750000</v>
      </c>
      <c r="T243" s="608"/>
    </row>
    <row r="244" spans="1:20" hidden="1" outlineLevel="1" x14ac:dyDescent="0.4">
      <c r="A244" s="475" t="s">
        <v>17</v>
      </c>
      <c r="B244" s="475" t="s">
        <v>94</v>
      </c>
      <c r="C244" s="475" t="s">
        <v>25</v>
      </c>
      <c r="D244" s="688" t="str">
        <f t="shared" si="56"/>
        <v>9월</v>
      </c>
      <c r="E244" s="785" t="s">
        <v>128</v>
      </c>
      <c r="F244" s="690" t="s">
        <v>129</v>
      </c>
      <c r="G244" s="785" t="s">
        <v>130</v>
      </c>
      <c r="H244" s="690" t="s">
        <v>141</v>
      </c>
      <c r="I244" s="691">
        <v>1725722637</v>
      </c>
      <c r="J244" s="691">
        <v>766000000</v>
      </c>
      <c r="K244" s="691">
        <v>1725722637</v>
      </c>
      <c r="L244" s="692">
        <f t="shared" si="58"/>
        <v>2.2529016148825067</v>
      </c>
      <c r="M244" s="774">
        <v>1725722637</v>
      </c>
      <c r="N244" s="727">
        <f t="shared" si="57"/>
        <v>0</v>
      </c>
      <c r="O244" s="631"/>
      <c r="P244" s="782">
        <v>24.738031079999999</v>
      </c>
      <c r="Q244" s="650">
        <f t="shared" si="59"/>
        <v>2473803108</v>
      </c>
      <c r="R244" s="608">
        <f t="shared" si="60"/>
        <v>270152434</v>
      </c>
      <c r="T244" s="608"/>
    </row>
    <row r="245" spans="1:20" hidden="1" outlineLevel="1" x14ac:dyDescent="0.4">
      <c r="A245" s="475" t="s">
        <v>17</v>
      </c>
      <c r="B245" s="475" t="s">
        <v>94</v>
      </c>
      <c r="C245" s="475" t="s">
        <v>27</v>
      </c>
      <c r="D245" s="688" t="str">
        <f t="shared" si="56"/>
        <v>9월</v>
      </c>
      <c r="E245" s="787" t="s">
        <v>128</v>
      </c>
      <c r="F245" s="701" t="s">
        <v>129</v>
      </c>
      <c r="G245" s="787" t="s">
        <v>130</v>
      </c>
      <c r="H245" s="701" t="s">
        <v>142</v>
      </c>
      <c r="I245" s="702">
        <v>129958334</v>
      </c>
      <c r="J245" s="691">
        <v>0</v>
      </c>
      <c r="K245" s="702">
        <v>129958334</v>
      </c>
      <c r="L245" s="703"/>
      <c r="M245" s="781">
        <v>129958334</v>
      </c>
      <c r="N245" s="727">
        <f t="shared" si="57"/>
        <v>0</v>
      </c>
      <c r="O245" s="631"/>
      <c r="P245" s="782">
        <v>2.02375002</v>
      </c>
      <c r="Q245" s="650">
        <f t="shared" si="59"/>
        <v>202375002</v>
      </c>
      <c r="R245" s="608">
        <f t="shared" si="60"/>
        <v>86358334</v>
      </c>
      <c r="T245" s="608"/>
    </row>
    <row r="246" spans="1:20" ht="14.4" hidden="1" outlineLevel="1" thickBot="1" x14ac:dyDescent="0.45">
      <c r="A246" s="475" t="s">
        <v>17</v>
      </c>
      <c r="B246" s="475" t="s">
        <v>94</v>
      </c>
      <c r="C246" s="475" t="s">
        <v>28</v>
      </c>
      <c r="D246" s="766" t="str">
        <f t="shared" si="56"/>
        <v>9월</v>
      </c>
      <c r="E246" s="788" t="s">
        <v>128</v>
      </c>
      <c r="F246" s="705" t="s">
        <v>129</v>
      </c>
      <c r="G246" s="788" t="s">
        <v>130</v>
      </c>
      <c r="H246" s="705" t="s">
        <v>143</v>
      </c>
      <c r="I246" s="706">
        <v>101629400</v>
      </c>
      <c r="J246" s="706"/>
      <c r="K246" s="706">
        <v>101629400</v>
      </c>
      <c r="L246" s="707" t="e">
        <f t="shared" ref="L246" si="61">+K246/J246</f>
        <v>#DIV/0!</v>
      </c>
      <c r="M246" s="706">
        <v>101629400</v>
      </c>
      <c r="N246" s="727">
        <f t="shared" si="57"/>
        <v>0</v>
      </c>
      <c r="P246" s="782"/>
      <c r="Q246" s="650"/>
      <c r="T246" s="608"/>
    </row>
    <row r="247" spans="1:20" ht="14.4" collapsed="1" thickBot="1" x14ac:dyDescent="0.45">
      <c r="D247" s="829" t="s">
        <v>231</v>
      </c>
      <c r="E247" s="830"/>
      <c r="F247" s="830"/>
      <c r="G247" s="830"/>
      <c r="H247" s="831"/>
      <c r="I247" s="710">
        <f>SUM(I237:I246)</f>
        <v>13976273715</v>
      </c>
      <c r="J247" s="710">
        <f>SUM(J237:J246)</f>
        <v>9779584628.5714283</v>
      </c>
      <c r="K247" s="710">
        <f>SUM(K237:K246)</f>
        <v>13976273715</v>
      </c>
      <c r="L247" s="711">
        <f>I247/J247</f>
        <v>1.4291275392379943</v>
      </c>
      <c r="M247" s="712">
        <f>SUM(M237:M246)</f>
        <v>13976273715</v>
      </c>
      <c r="N247" s="713">
        <f>SUM(N237:N246)</f>
        <v>0</v>
      </c>
      <c r="P247" s="782"/>
      <c r="T247" s="608"/>
    </row>
    <row r="248" spans="1:20" ht="14.4" thickBot="1" x14ac:dyDescent="0.45">
      <c r="D248" s="832" t="s">
        <v>232</v>
      </c>
      <c r="E248" s="833"/>
      <c r="F248" s="833"/>
      <c r="G248" s="833"/>
      <c r="H248" s="834"/>
      <c r="I248" s="722">
        <f>SUM(I225,I236,I247)</f>
        <v>38218333098</v>
      </c>
      <c r="J248" s="722">
        <f t="shared" ref="J248:K248" si="62">SUM(J225,J236,J247)</f>
        <v>32823238235.714287</v>
      </c>
      <c r="K248" s="722">
        <f t="shared" si="62"/>
        <v>38218333098</v>
      </c>
      <c r="L248" s="723">
        <f>I248/J248</f>
        <v>1.1643681474552203</v>
      </c>
      <c r="M248" s="722">
        <f>SUM(M225,M236,M247)</f>
        <v>38218333098</v>
      </c>
      <c r="N248" s="722">
        <f>SUM(N225,N236,N247)</f>
        <v>0</v>
      </c>
      <c r="O248" s="767"/>
    </row>
    <row r="249" spans="1:20" hidden="1" outlineLevel="1" x14ac:dyDescent="0.4">
      <c r="A249" s="475" t="s">
        <v>17</v>
      </c>
      <c r="B249" s="475" t="s">
        <v>169</v>
      </c>
      <c r="C249" s="475" t="s">
        <v>101</v>
      </c>
      <c r="D249" s="682" t="s">
        <v>170</v>
      </c>
      <c r="E249" s="784" t="s">
        <v>128</v>
      </c>
      <c r="F249" s="761" t="s">
        <v>129</v>
      </c>
      <c r="G249" s="784" t="s">
        <v>130</v>
      </c>
      <c r="H249" s="761" t="s">
        <v>131</v>
      </c>
      <c r="I249" s="762"/>
      <c r="J249" s="762"/>
      <c r="K249" s="762"/>
      <c r="L249" s="763" t="e">
        <f t="shared" ref="L249" si="63">+I249/J249</f>
        <v>#DIV/0!</v>
      </c>
      <c r="M249" s="762"/>
      <c r="N249" s="748">
        <f>K249-M249</f>
        <v>0</v>
      </c>
      <c r="O249" s="631"/>
    </row>
    <row r="250" spans="1:20" hidden="1" outlineLevel="1" x14ac:dyDescent="0.4">
      <c r="A250" s="475" t="s">
        <v>17</v>
      </c>
      <c r="B250" s="475" t="s">
        <v>169</v>
      </c>
      <c r="C250" s="475" t="s">
        <v>101</v>
      </c>
      <c r="D250" s="688" t="str">
        <f t="shared" ref="D250:D258" si="64">D249</f>
        <v>10월</v>
      </c>
      <c r="E250" s="785" t="s">
        <v>128</v>
      </c>
      <c r="F250" s="690" t="s">
        <v>129</v>
      </c>
      <c r="G250" s="785" t="s">
        <v>130</v>
      </c>
      <c r="H250" s="690" t="s">
        <v>132</v>
      </c>
      <c r="I250" s="691"/>
      <c r="J250" s="691"/>
      <c r="K250" s="691"/>
      <c r="L250" s="692"/>
      <c r="M250" s="691"/>
      <c r="N250" s="727">
        <f t="shared" ref="N250:N258" si="65">K250-M250</f>
        <v>0</v>
      </c>
      <c r="O250" s="631"/>
    </row>
    <row r="251" spans="1:20" hidden="1" outlineLevel="1" x14ac:dyDescent="0.4">
      <c r="A251" s="475" t="s">
        <v>17</v>
      </c>
      <c r="B251" s="475" t="s">
        <v>169</v>
      </c>
      <c r="C251" s="475" t="s">
        <v>18</v>
      </c>
      <c r="D251" s="688" t="str">
        <f t="shared" si="64"/>
        <v>10월</v>
      </c>
      <c r="E251" s="786" t="s">
        <v>128</v>
      </c>
      <c r="F251" s="690" t="s">
        <v>129</v>
      </c>
      <c r="G251" s="785" t="s">
        <v>130</v>
      </c>
      <c r="H251" s="690" t="s">
        <v>133</v>
      </c>
      <c r="I251" s="691">
        <v>1367600932</v>
      </c>
      <c r="J251" s="691">
        <v>2135396250.0000002</v>
      </c>
      <c r="K251" s="691">
        <v>1367600932</v>
      </c>
      <c r="L251" s="692"/>
      <c r="M251" s="691">
        <v>1367600932</v>
      </c>
      <c r="N251" s="727">
        <f t="shared" si="65"/>
        <v>0</v>
      </c>
      <c r="O251" s="631" t="s">
        <v>185</v>
      </c>
      <c r="P251" s="631"/>
      <c r="S251" s="608"/>
      <c r="T251" s="608"/>
    </row>
    <row r="252" spans="1:20" hidden="1" outlineLevel="1" x14ac:dyDescent="0.4">
      <c r="A252" s="475" t="s">
        <v>17</v>
      </c>
      <c r="B252" s="475" t="s">
        <v>169</v>
      </c>
      <c r="C252" s="475" t="s">
        <v>23</v>
      </c>
      <c r="D252" s="688" t="str">
        <f t="shared" si="64"/>
        <v>10월</v>
      </c>
      <c r="E252" s="785" t="s">
        <v>128</v>
      </c>
      <c r="F252" s="690" t="s">
        <v>129</v>
      </c>
      <c r="G252" s="785" t="s">
        <v>130</v>
      </c>
      <c r="H252" s="690" t="s">
        <v>134</v>
      </c>
      <c r="I252" s="691">
        <v>172612880</v>
      </c>
      <c r="J252" s="691">
        <v>552764102.56410241</v>
      </c>
      <c r="K252" s="691">
        <v>172612880</v>
      </c>
      <c r="L252" s="692">
        <f t="shared" ref="L252:L256" si="66">+I252/J252</f>
        <v>0.31227223186039399</v>
      </c>
      <c r="M252" s="691">
        <v>172612880</v>
      </c>
      <c r="N252" s="727">
        <f t="shared" si="65"/>
        <v>0</v>
      </c>
      <c r="O252" s="631"/>
      <c r="S252" s="608"/>
      <c r="T252" s="608"/>
    </row>
    <row r="253" spans="1:20" hidden="1" outlineLevel="1" x14ac:dyDescent="0.4">
      <c r="A253" s="475" t="s">
        <v>17</v>
      </c>
      <c r="B253" s="475" t="s">
        <v>169</v>
      </c>
      <c r="C253" s="475" t="s">
        <v>22</v>
      </c>
      <c r="D253" s="688" t="str">
        <f t="shared" si="64"/>
        <v>10월</v>
      </c>
      <c r="E253" s="785" t="s">
        <v>128</v>
      </c>
      <c r="F253" s="690" t="s">
        <v>129</v>
      </c>
      <c r="G253" s="785" t="s">
        <v>130</v>
      </c>
      <c r="H253" s="690" t="s">
        <v>135</v>
      </c>
      <c r="I253" s="691">
        <v>10198247500</v>
      </c>
      <c r="J253" s="691">
        <v>8858448600.0000019</v>
      </c>
      <c r="K253" s="691">
        <v>10198247500</v>
      </c>
      <c r="L253" s="692">
        <f t="shared" si="66"/>
        <v>1.1512453207664373</v>
      </c>
      <c r="M253" s="691">
        <v>10198247500</v>
      </c>
      <c r="N253" s="727">
        <f t="shared" si="65"/>
        <v>0</v>
      </c>
      <c r="O253" s="798" t="s">
        <v>233</v>
      </c>
      <c r="S253" s="608"/>
      <c r="T253" s="608"/>
    </row>
    <row r="254" spans="1:20" hidden="1" outlineLevel="1" x14ac:dyDescent="0.4">
      <c r="A254" s="475" t="s">
        <v>17</v>
      </c>
      <c r="B254" s="475" t="s">
        <v>169</v>
      </c>
      <c r="C254" s="475" t="s">
        <v>28</v>
      </c>
      <c r="D254" s="688" t="str">
        <f t="shared" si="64"/>
        <v>10월</v>
      </c>
      <c r="E254" s="785" t="s">
        <v>128</v>
      </c>
      <c r="F254" s="690" t="s">
        <v>129</v>
      </c>
      <c r="G254" s="785" t="s">
        <v>130</v>
      </c>
      <c r="H254" s="690" t="s">
        <v>136</v>
      </c>
      <c r="I254" s="691"/>
      <c r="J254" s="691">
        <v>0</v>
      </c>
      <c r="K254" s="691"/>
      <c r="L254" s="692" t="e">
        <f t="shared" si="66"/>
        <v>#DIV/0!</v>
      </c>
      <c r="M254" s="691"/>
      <c r="N254" s="727">
        <f t="shared" si="65"/>
        <v>0</v>
      </c>
      <c r="O254" s="631"/>
      <c r="S254" s="608"/>
      <c r="T254" s="608"/>
    </row>
    <row r="255" spans="1:20" hidden="1" outlineLevel="1" x14ac:dyDescent="0.4">
      <c r="A255" s="475" t="s">
        <v>17</v>
      </c>
      <c r="B255" s="475" t="s">
        <v>169</v>
      </c>
      <c r="C255" s="475" t="s">
        <v>26</v>
      </c>
      <c r="D255" s="688" t="str">
        <f t="shared" si="64"/>
        <v>10월</v>
      </c>
      <c r="E255" s="785" t="s">
        <v>128</v>
      </c>
      <c r="F255" s="690" t="s">
        <v>129</v>
      </c>
      <c r="G255" s="785" t="s">
        <v>130</v>
      </c>
      <c r="H255" s="690" t="s">
        <v>137</v>
      </c>
      <c r="I255" s="691">
        <v>46875000</v>
      </c>
      <c r="J255" s="691">
        <v>85000000</v>
      </c>
      <c r="K255" s="691">
        <v>46875000</v>
      </c>
      <c r="L255" s="692">
        <f t="shared" si="66"/>
        <v>0.55147058823529416</v>
      </c>
      <c r="M255" s="691">
        <v>46875000</v>
      </c>
      <c r="N255" s="727">
        <f t="shared" si="65"/>
        <v>0</v>
      </c>
      <c r="O255" s="631"/>
      <c r="S255" s="608"/>
      <c r="T255" s="608"/>
    </row>
    <row r="256" spans="1:20" hidden="1" outlineLevel="1" x14ac:dyDescent="0.4">
      <c r="A256" s="475" t="s">
        <v>17</v>
      </c>
      <c r="B256" s="475" t="s">
        <v>169</v>
      </c>
      <c r="C256" s="475" t="s">
        <v>25</v>
      </c>
      <c r="D256" s="688" t="str">
        <f t="shared" si="64"/>
        <v>10월</v>
      </c>
      <c r="E256" s="785" t="s">
        <v>128</v>
      </c>
      <c r="F256" s="690" t="s">
        <v>129</v>
      </c>
      <c r="G256" s="785" t="s">
        <v>130</v>
      </c>
      <c r="H256" s="690" t="s">
        <v>141</v>
      </c>
      <c r="I256" s="691">
        <v>81867130</v>
      </c>
      <c r="J256" s="691">
        <v>0</v>
      </c>
      <c r="K256" s="691">
        <v>81867130</v>
      </c>
      <c r="L256" s="692" t="e">
        <f t="shared" si="66"/>
        <v>#DIV/0!</v>
      </c>
      <c r="M256" s="691">
        <v>81867130</v>
      </c>
      <c r="N256" s="727">
        <f t="shared" si="65"/>
        <v>0</v>
      </c>
      <c r="O256" s="631" t="s">
        <v>234</v>
      </c>
      <c r="S256" s="608"/>
      <c r="T256" s="608"/>
    </row>
    <row r="257" spans="1:20" hidden="1" outlineLevel="1" x14ac:dyDescent="0.4">
      <c r="A257" s="475" t="s">
        <v>17</v>
      </c>
      <c r="B257" s="475" t="s">
        <v>169</v>
      </c>
      <c r="C257" s="475" t="s">
        <v>27</v>
      </c>
      <c r="D257" s="688" t="str">
        <f t="shared" si="64"/>
        <v>10월</v>
      </c>
      <c r="E257" s="787" t="s">
        <v>128</v>
      </c>
      <c r="F257" s="701" t="s">
        <v>129</v>
      </c>
      <c r="G257" s="787" t="s">
        <v>130</v>
      </c>
      <c r="H257" s="701" t="s">
        <v>142</v>
      </c>
      <c r="I257" s="702">
        <v>36208334</v>
      </c>
      <c r="J257" s="691">
        <v>0</v>
      </c>
      <c r="K257" s="702">
        <v>36208334</v>
      </c>
      <c r="L257" s="703"/>
      <c r="M257" s="691">
        <v>36208334</v>
      </c>
      <c r="N257" s="727">
        <f t="shared" si="65"/>
        <v>0</v>
      </c>
      <c r="O257" s="631"/>
      <c r="S257" s="608"/>
      <c r="T257" s="608"/>
    </row>
    <row r="258" spans="1:20" ht="14.4" hidden="1" outlineLevel="1" thickBot="1" x14ac:dyDescent="0.45">
      <c r="A258" s="475" t="s">
        <v>17</v>
      </c>
      <c r="B258" s="475" t="s">
        <v>169</v>
      </c>
      <c r="C258" s="475" t="s">
        <v>28</v>
      </c>
      <c r="D258" s="766" t="str">
        <f t="shared" si="64"/>
        <v>10월</v>
      </c>
      <c r="E258" s="788" t="s">
        <v>128</v>
      </c>
      <c r="F258" s="705" t="s">
        <v>129</v>
      </c>
      <c r="G258" s="788" t="s">
        <v>130</v>
      </c>
      <c r="H258" s="705" t="s">
        <v>143</v>
      </c>
      <c r="I258" s="706">
        <v>10065044</v>
      </c>
      <c r="J258" s="706"/>
      <c r="K258" s="706">
        <v>10065044</v>
      </c>
      <c r="L258" s="707" t="e">
        <f t="shared" ref="L258" si="67">+K258/J258</f>
        <v>#DIV/0!</v>
      </c>
      <c r="M258" s="706">
        <v>10065044</v>
      </c>
      <c r="N258" s="727">
        <f t="shared" si="65"/>
        <v>0</v>
      </c>
      <c r="S258" s="608"/>
      <c r="T258" s="608"/>
    </row>
    <row r="259" spans="1:20" ht="14.4" collapsed="1" thickBot="1" x14ac:dyDescent="0.45">
      <c r="D259" s="829" t="s">
        <v>235</v>
      </c>
      <c r="E259" s="830"/>
      <c r="F259" s="830"/>
      <c r="G259" s="830"/>
      <c r="H259" s="831"/>
      <c r="I259" s="710">
        <f>SUM(I249:I258)</f>
        <v>11913476820</v>
      </c>
      <c r="J259" s="710">
        <f>SUM(J249:J258)</f>
        <v>11631608952.564104</v>
      </c>
      <c r="K259" s="710">
        <f>SUM(K249:K258)</f>
        <v>11913476820</v>
      </c>
      <c r="L259" s="711">
        <f>I259/J259</f>
        <v>1.0242329215661743</v>
      </c>
      <c r="M259" s="712">
        <f>SUM(M249:M258)</f>
        <v>11913476820</v>
      </c>
      <c r="N259" s="713">
        <f>SUM(N249:N258)</f>
        <v>0</v>
      </c>
      <c r="O259" s="767"/>
      <c r="S259" s="608"/>
      <c r="T259" s="608"/>
    </row>
    <row r="260" spans="1:20" hidden="1" outlineLevel="1" x14ac:dyDescent="0.4">
      <c r="A260" s="475" t="s">
        <v>17</v>
      </c>
      <c r="B260" s="475" t="s">
        <v>169</v>
      </c>
      <c r="C260" s="475" t="s">
        <v>101</v>
      </c>
      <c r="D260" s="682" t="s">
        <v>138</v>
      </c>
      <c r="E260" s="784" t="s">
        <v>128</v>
      </c>
      <c r="F260" s="761" t="s">
        <v>129</v>
      </c>
      <c r="G260" s="784" t="s">
        <v>130</v>
      </c>
      <c r="H260" s="761" t="s">
        <v>131</v>
      </c>
      <c r="I260" s="762"/>
      <c r="J260" s="762"/>
      <c r="K260" s="799"/>
      <c r="L260" s="763" t="e">
        <f t="shared" ref="L260" si="68">+I260/J260</f>
        <v>#DIV/0!</v>
      </c>
      <c r="M260" s="762"/>
      <c r="N260" s="748">
        <f>K260-M260</f>
        <v>0</v>
      </c>
      <c r="O260" s="631"/>
    </row>
    <row r="261" spans="1:20" hidden="1" outlineLevel="1" x14ac:dyDescent="0.4">
      <c r="A261" s="475" t="s">
        <v>17</v>
      </c>
      <c r="B261" s="475" t="s">
        <v>169</v>
      </c>
      <c r="C261" s="475" t="s">
        <v>101</v>
      </c>
      <c r="D261" s="688" t="str">
        <f t="shared" ref="D261:D269" si="69">D260</f>
        <v>11월</v>
      </c>
      <c r="E261" s="785" t="s">
        <v>128</v>
      </c>
      <c r="F261" s="690" t="s">
        <v>129</v>
      </c>
      <c r="G261" s="785" t="s">
        <v>130</v>
      </c>
      <c r="H261" s="690" t="s">
        <v>132</v>
      </c>
      <c r="I261" s="691"/>
      <c r="J261" s="691"/>
      <c r="K261" s="773"/>
      <c r="L261" s="692"/>
      <c r="M261" s="691"/>
      <c r="N261" s="727">
        <f t="shared" ref="N261:N267" si="70">K261-M261</f>
        <v>0</v>
      </c>
      <c r="O261" s="779"/>
    </row>
    <row r="262" spans="1:20" hidden="1" outlineLevel="1" x14ac:dyDescent="0.4">
      <c r="A262" s="475" t="s">
        <v>17</v>
      </c>
      <c r="B262" s="475" t="s">
        <v>169</v>
      </c>
      <c r="C262" s="475" t="s">
        <v>18</v>
      </c>
      <c r="D262" s="688" t="str">
        <f t="shared" si="69"/>
        <v>11월</v>
      </c>
      <c r="E262" s="786" t="s">
        <v>128</v>
      </c>
      <c r="F262" s="690" t="s">
        <v>129</v>
      </c>
      <c r="G262" s="785" t="s">
        <v>130</v>
      </c>
      <c r="H262" s="690" t="s">
        <v>133</v>
      </c>
      <c r="I262" s="774">
        <v>1363011488.4400001</v>
      </c>
      <c r="J262" s="691">
        <v>561580500</v>
      </c>
      <c r="K262" s="773">
        <v>1363011488.4400001</v>
      </c>
      <c r="L262" s="692"/>
      <c r="M262" s="691">
        <v>1363011488.4400001</v>
      </c>
      <c r="N262" s="727">
        <f t="shared" si="70"/>
        <v>0</v>
      </c>
      <c r="O262" s="631" t="s">
        <v>236</v>
      </c>
      <c r="P262" s="631"/>
      <c r="T262" s="608"/>
    </row>
    <row r="263" spans="1:20" hidden="1" outlineLevel="1" x14ac:dyDescent="0.4">
      <c r="A263" s="475" t="s">
        <v>17</v>
      </c>
      <c r="B263" s="475" t="s">
        <v>169</v>
      </c>
      <c r="C263" s="475" t="s">
        <v>23</v>
      </c>
      <c r="D263" s="688" t="str">
        <f t="shared" si="69"/>
        <v>11월</v>
      </c>
      <c r="E263" s="785" t="s">
        <v>128</v>
      </c>
      <c r="F263" s="690" t="s">
        <v>129</v>
      </c>
      <c r="G263" s="785" t="s">
        <v>130</v>
      </c>
      <c r="H263" s="690" t="s">
        <v>134</v>
      </c>
      <c r="I263" s="774">
        <v>206100820</v>
      </c>
      <c r="J263" s="691">
        <v>254591602.56410235</v>
      </c>
      <c r="K263" s="773">
        <v>206100820</v>
      </c>
      <c r="L263" s="692">
        <f>+I263/J263</f>
        <v>0.80953502756677487</v>
      </c>
      <c r="M263" s="691">
        <v>206100820</v>
      </c>
      <c r="N263" s="727">
        <f t="shared" si="70"/>
        <v>0</v>
      </c>
      <c r="O263" s="631" t="s">
        <v>237</v>
      </c>
      <c r="Q263" s="608"/>
      <c r="T263" s="608"/>
    </row>
    <row r="264" spans="1:20" hidden="1" outlineLevel="1" x14ac:dyDescent="0.4">
      <c r="A264" s="475" t="s">
        <v>17</v>
      </c>
      <c r="B264" s="475" t="s">
        <v>169</v>
      </c>
      <c r="C264" s="475" t="s">
        <v>22</v>
      </c>
      <c r="D264" s="688" t="str">
        <f t="shared" si="69"/>
        <v>11월</v>
      </c>
      <c r="E264" s="785" t="s">
        <v>128</v>
      </c>
      <c r="F264" s="690" t="s">
        <v>129</v>
      </c>
      <c r="G264" s="785" t="s">
        <v>130</v>
      </c>
      <c r="H264" s="690" t="s">
        <v>135</v>
      </c>
      <c r="I264" s="774">
        <v>13721557600</v>
      </c>
      <c r="J264" s="691">
        <v>11779757100</v>
      </c>
      <c r="K264" s="800">
        <v>13721557600</v>
      </c>
      <c r="L264" s="692">
        <f t="shared" ref="L264:L267" si="71">+I264/J264</f>
        <v>1.1648421511170208</v>
      </c>
      <c r="M264" s="691">
        <v>13721557600</v>
      </c>
      <c r="N264" s="727">
        <f t="shared" si="70"/>
        <v>0</v>
      </c>
      <c r="O264" s="631">
        <v>503181900</v>
      </c>
      <c r="P264" s="475" t="s">
        <v>238</v>
      </c>
      <c r="Q264" s="608"/>
      <c r="T264" s="608"/>
    </row>
    <row r="265" spans="1:20" hidden="1" outlineLevel="1" x14ac:dyDescent="0.4">
      <c r="A265" s="475" t="s">
        <v>17</v>
      </c>
      <c r="B265" s="475" t="s">
        <v>169</v>
      </c>
      <c r="C265" s="475" t="s">
        <v>28</v>
      </c>
      <c r="D265" s="688" t="str">
        <f t="shared" si="69"/>
        <v>11월</v>
      </c>
      <c r="E265" s="785" t="s">
        <v>128</v>
      </c>
      <c r="F265" s="690" t="s">
        <v>129</v>
      </c>
      <c r="G265" s="785" t="s">
        <v>130</v>
      </c>
      <c r="H265" s="690" t="s">
        <v>136</v>
      </c>
      <c r="I265" s="691"/>
      <c r="J265" s="691">
        <v>67000000.000000007</v>
      </c>
      <c r="K265" s="773"/>
      <c r="L265" s="692">
        <f t="shared" si="71"/>
        <v>0</v>
      </c>
      <c r="M265" s="691"/>
      <c r="N265" s="727">
        <f>K265-M265</f>
        <v>0</v>
      </c>
      <c r="O265" s="631"/>
      <c r="Q265" s="608"/>
      <c r="T265" s="608"/>
    </row>
    <row r="266" spans="1:20" hidden="1" outlineLevel="1" x14ac:dyDescent="0.4">
      <c r="A266" s="475" t="s">
        <v>17</v>
      </c>
      <c r="B266" s="475" t="s">
        <v>169</v>
      </c>
      <c r="C266" s="475" t="s">
        <v>26</v>
      </c>
      <c r="D266" s="688" t="str">
        <f t="shared" si="69"/>
        <v>11월</v>
      </c>
      <c r="E266" s="785" t="s">
        <v>128</v>
      </c>
      <c r="F266" s="690" t="s">
        <v>129</v>
      </c>
      <c r="G266" s="785" t="s">
        <v>130</v>
      </c>
      <c r="H266" s="690" t="s">
        <v>137</v>
      </c>
      <c r="I266" s="691">
        <v>0</v>
      </c>
      <c r="J266" s="691">
        <v>131875000.00000001</v>
      </c>
      <c r="K266" s="773">
        <v>0</v>
      </c>
      <c r="L266" s="692">
        <f t="shared" si="71"/>
        <v>0</v>
      </c>
      <c r="M266" s="691">
        <v>0</v>
      </c>
      <c r="N266" s="727">
        <f>K266-M266</f>
        <v>0</v>
      </c>
      <c r="O266" s="631"/>
      <c r="Q266" s="608"/>
      <c r="T266" s="608"/>
    </row>
    <row r="267" spans="1:20" hidden="1" outlineLevel="1" x14ac:dyDescent="0.4">
      <c r="A267" s="475" t="s">
        <v>17</v>
      </c>
      <c r="B267" s="475" t="s">
        <v>169</v>
      </c>
      <c r="C267" s="475" t="s">
        <v>25</v>
      </c>
      <c r="D267" s="688" t="str">
        <f t="shared" si="69"/>
        <v>11월</v>
      </c>
      <c r="E267" s="785" t="s">
        <v>128</v>
      </c>
      <c r="F267" s="690" t="s">
        <v>129</v>
      </c>
      <c r="G267" s="785" t="s">
        <v>130</v>
      </c>
      <c r="H267" s="690" t="s">
        <v>141</v>
      </c>
      <c r="I267" s="774">
        <v>28575130</v>
      </c>
      <c r="J267" s="691">
        <v>0</v>
      </c>
      <c r="K267" s="773">
        <v>28575130</v>
      </c>
      <c r="L267" s="692" t="e">
        <f t="shared" si="71"/>
        <v>#DIV/0!</v>
      </c>
      <c r="M267" s="691">
        <v>28575130</v>
      </c>
      <c r="N267" s="727">
        <f t="shared" si="70"/>
        <v>0</v>
      </c>
      <c r="O267" s="631"/>
      <c r="Q267" s="608"/>
      <c r="T267" s="608"/>
    </row>
    <row r="268" spans="1:20" hidden="1" outlineLevel="1" x14ac:dyDescent="0.4">
      <c r="A268" s="475" t="s">
        <v>17</v>
      </c>
      <c r="B268" s="475" t="s">
        <v>169</v>
      </c>
      <c r="C268" s="475" t="s">
        <v>27</v>
      </c>
      <c r="D268" s="688" t="str">
        <f t="shared" si="69"/>
        <v>11월</v>
      </c>
      <c r="E268" s="787" t="s">
        <v>128</v>
      </c>
      <c r="F268" s="701" t="s">
        <v>129</v>
      </c>
      <c r="G268" s="787" t="s">
        <v>130</v>
      </c>
      <c r="H268" s="701" t="s">
        <v>142</v>
      </c>
      <c r="I268" s="781">
        <v>83083334</v>
      </c>
      <c r="J268" s="691">
        <v>46875000</v>
      </c>
      <c r="K268" s="777">
        <v>83083334</v>
      </c>
      <c r="L268" s="703"/>
      <c r="M268" s="702">
        <v>83083334</v>
      </c>
      <c r="N268" s="727">
        <f>K268-M268</f>
        <v>0</v>
      </c>
      <c r="Q268" s="608"/>
      <c r="T268" s="608"/>
    </row>
    <row r="269" spans="1:20" ht="14.4" hidden="1" outlineLevel="1" thickBot="1" x14ac:dyDescent="0.45">
      <c r="A269" s="475" t="s">
        <v>17</v>
      </c>
      <c r="B269" s="475" t="s">
        <v>169</v>
      </c>
      <c r="C269" s="475" t="s">
        <v>28</v>
      </c>
      <c r="D269" s="766" t="str">
        <f t="shared" si="69"/>
        <v>11월</v>
      </c>
      <c r="E269" s="788" t="s">
        <v>128</v>
      </c>
      <c r="F269" s="705" t="s">
        <v>129</v>
      </c>
      <c r="G269" s="788" t="s">
        <v>130</v>
      </c>
      <c r="H269" s="705" t="s">
        <v>143</v>
      </c>
      <c r="I269" s="706">
        <v>4000000</v>
      </c>
      <c r="J269" s="706"/>
      <c r="K269" s="778">
        <v>4000000</v>
      </c>
      <c r="L269" s="707" t="e">
        <f t="shared" ref="L269" si="72">+K269/J269</f>
        <v>#DIV/0!</v>
      </c>
      <c r="M269" s="706">
        <v>4000000</v>
      </c>
      <c r="N269" s="727">
        <f t="shared" ref="N269" si="73">K269-M269</f>
        <v>0</v>
      </c>
      <c r="O269" s="631"/>
      <c r="T269" s="608"/>
    </row>
    <row r="270" spans="1:20" ht="23.4" collapsed="1" thickBot="1" x14ac:dyDescent="0.45">
      <c r="D270" s="829" t="s">
        <v>239</v>
      </c>
      <c r="E270" s="830"/>
      <c r="F270" s="830"/>
      <c r="G270" s="830"/>
      <c r="H270" s="831"/>
      <c r="I270" s="710">
        <f>SUM(I260:I269)</f>
        <v>15406328372.440001</v>
      </c>
      <c r="J270" s="710">
        <f>SUM(J260:J269)</f>
        <v>12841679202.564102</v>
      </c>
      <c r="K270" s="710">
        <f>SUM(K260:K269)</f>
        <v>15406328372.440001</v>
      </c>
      <c r="L270" s="711">
        <f>I270/J270</f>
        <v>1.1997129136634883</v>
      </c>
      <c r="M270" s="712">
        <f>SUM(M260:M269)</f>
        <v>15406328372.440001</v>
      </c>
      <c r="N270" s="713">
        <f>SUM(N260:N269)</f>
        <v>0</v>
      </c>
      <c r="O270" s="801" t="s">
        <v>240</v>
      </c>
      <c r="T270" s="608"/>
    </row>
    <row r="271" spans="1:20" hidden="1" outlineLevel="1" x14ac:dyDescent="0.4">
      <c r="A271" s="475" t="s">
        <v>17</v>
      </c>
      <c r="B271" s="475" t="s">
        <v>169</v>
      </c>
      <c r="C271" s="475" t="s">
        <v>101</v>
      </c>
      <c r="D271" s="682" t="s">
        <v>139</v>
      </c>
      <c r="E271" s="784" t="s">
        <v>128</v>
      </c>
      <c r="F271" s="761" t="s">
        <v>129</v>
      </c>
      <c r="G271" s="784" t="s">
        <v>130</v>
      </c>
      <c r="H271" s="761" t="s">
        <v>131</v>
      </c>
      <c r="I271" s="762"/>
      <c r="J271" s="762"/>
      <c r="K271" s="799"/>
      <c r="L271" s="763" t="e">
        <f t="shared" ref="L271" si="74">+I271/J271</f>
        <v>#DIV/0!</v>
      </c>
      <c r="M271" s="762"/>
      <c r="N271" s="748">
        <f>K271-M271</f>
        <v>0</v>
      </c>
      <c r="O271" s="631"/>
    </row>
    <row r="272" spans="1:20" hidden="1" outlineLevel="1" x14ac:dyDescent="0.4">
      <c r="A272" s="475" t="s">
        <v>17</v>
      </c>
      <c r="B272" s="475" t="s">
        <v>169</v>
      </c>
      <c r="C272" s="475" t="s">
        <v>101</v>
      </c>
      <c r="D272" s="688" t="str">
        <f t="shared" ref="D272:D280" si="75">D271</f>
        <v>12월</v>
      </c>
      <c r="E272" s="785" t="s">
        <v>128</v>
      </c>
      <c r="F272" s="690" t="s">
        <v>129</v>
      </c>
      <c r="G272" s="785" t="s">
        <v>130</v>
      </c>
      <c r="H272" s="690" t="s">
        <v>132</v>
      </c>
      <c r="I272" s="691"/>
      <c r="J272" s="691"/>
      <c r="K272" s="773"/>
      <c r="L272" s="692"/>
      <c r="M272" s="774"/>
      <c r="N272" s="727">
        <f t="shared" ref="N272:N280" si="76">K272-M272</f>
        <v>0</v>
      </c>
      <c r="O272" s="631"/>
    </row>
    <row r="273" spans="1:20" hidden="1" outlineLevel="1" x14ac:dyDescent="0.4">
      <c r="A273" s="475" t="s">
        <v>17</v>
      </c>
      <c r="B273" s="475" t="s">
        <v>169</v>
      </c>
      <c r="C273" s="475" t="s">
        <v>18</v>
      </c>
      <c r="D273" s="688" t="str">
        <f t="shared" si="75"/>
        <v>12월</v>
      </c>
      <c r="E273" s="786" t="s">
        <v>128</v>
      </c>
      <c r="F273" s="690" t="s">
        <v>129</v>
      </c>
      <c r="G273" s="785" t="s">
        <v>130</v>
      </c>
      <c r="H273" s="690" t="s">
        <v>133</v>
      </c>
      <c r="I273" s="691">
        <v>2722223765</v>
      </c>
      <c r="J273" s="691">
        <v>1751927357.1428573</v>
      </c>
      <c r="K273" s="773">
        <v>2722223765</v>
      </c>
      <c r="L273" s="692"/>
      <c r="M273" s="774">
        <v>2722223765</v>
      </c>
      <c r="N273" s="727">
        <f t="shared" si="76"/>
        <v>0</v>
      </c>
      <c r="O273" s="779" t="s">
        <v>241</v>
      </c>
      <c r="P273" s="782"/>
      <c r="Q273" s="650"/>
      <c r="S273" s="481" t="s">
        <v>111</v>
      </c>
      <c r="T273" s="608">
        <v>868832000</v>
      </c>
    </row>
    <row r="274" spans="1:20" hidden="1" outlineLevel="1" x14ac:dyDescent="0.4">
      <c r="A274" s="475" t="s">
        <v>17</v>
      </c>
      <c r="B274" s="475" t="s">
        <v>169</v>
      </c>
      <c r="C274" s="475" t="s">
        <v>23</v>
      </c>
      <c r="D274" s="688" t="str">
        <f t="shared" si="75"/>
        <v>12월</v>
      </c>
      <c r="E274" s="785" t="s">
        <v>128</v>
      </c>
      <c r="F274" s="690" t="s">
        <v>129</v>
      </c>
      <c r="G274" s="785" t="s">
        <v>130</v>
      </c>
      <c r="H274" s="690" t="s">
        <v>134</v>
      </c>
      <c r="I274" s="691">
        <v>676210400</v>
      </c>
      <c r="J274" s="691">
        <v>361684102.56410235</v>
      </c>
      <c r="K274" s="776">
        <v>676210400</v>
      </c>
      <c r="L274" s="692">
        <f t="shared" ref="L274:L278" si="77">+I274/J274</f>
        <v>1.8696160411975895</v>
      </c>
      <c r="M274" s="774">
        <v>676210400</v>
      </c>
      <c r="N274" s="727">
        <f>K274-M274</f>
        <v>0</v>
      </c>
      <c r="O274" s="631"/>
      <c r="P274" s="782"/>
      <c r="Q274" s="650"/>
      <c r="T274" s="608"/>
    </row>
    <row r="275" spans="1:20" hidden="1" outlineLevel="1" x14ac:dyDescent="0.4">
      <c r="A275" s="475" t="s">
        <v>17</v>
      </c>
      <c r="B275" s="475" t="s">
        <v>169</v>
      </c>
      <c r="C275" s="475" t="s">
        <v>22</v>
      </c>
      <c r="D275" s="688" t="str">
        <f t="shared" si="75"/>
        <v>12월</v>
      </c>
      <c r="E275" s="785" t="s">
        <v>128</v>
      </c>
      <c r="F275" s="690" t="s">
        <v>129</v>
      </c>
      <c r="G275" s="785" t="s">
        <v>130</v>
      </c>
      <c r="H275" s="690" t="s">
        <v>135</v>
      </c>
      <c r="I275" s="691">
        <v>10113701700</v>
      </c>
      <c r="J275" s="691">
        <v>9746519150</v>
      </c>
      <c r="K275" s="802">
        <v>10113701700</v>
      </c>
      <c r="L275" s="692">
        <f t="shared" si="77"/>
        <v>1.0376731984361822</v>
      </c>
      <c r="M275" s="774">
        <v>10113701700</v>
      </c>
      <c r="N275" s="727">
        <f t="shared" si="76"/>
        <v>0</v>
      </c>
      <c r="O275" s="775" t="s">
        <v>242</v>
      </c>
      <c r="P275" s="782"/>
      <c r="Q275" s="650"/>
      <c r="T275" s="608"/>
    </row>
    <row r="276" spans="1:20" hidden="1" outlineLevel="1" x14ac:dyDescent="0.4">
      <c r="A276" s="475" t="s">
        <v>17</v>
      </c>
      <c r="B276" s="475" t="s">
        <v>169</v>
      </c>
      <c r="C276" s="475" t="s">
        <v>28</v>
      </c>
      <c r="D276" s="688" t="str">
        <f t="shared" si="75"/>
        <v>12월</v>
      </c>
      <c r="E276" s="785" t="s">
        <v>128</v>
      </c>
      <c r="F276" s="690" t="s">
        <v>129</v>
      </c>
      <c r="G276" s="785" t="s">
        <v>130</v>
      </c>
      <c r="H276" s="690" t="s">
        <v>136</v>
      </c>
      <c r="I276" s="691">
        <v>0</v>
      </c>
      <c r="J276" s="691">
        <v>67000000.000000007</v>
      </c>
      <c r="K276" s="773">
        <v>0</v>
      </c>
      <c r="L276" s="692">
        <f t="shared" si="77"/>
        <v>0</v>
      </c>
      <c r="M276" s="774">
        <v>0</v>
      </c>
      <c r="N276" s="727">
        <f t="shared" si="76"/>
        <v>0</v>
      </c>
      <c r="O276" s="631"/>
      <c r="P276" s="782"/>
      <c r="Q276" s="650"/>
      <c r="T276" s="608"/>
    </row>
    <row r="277" spans="1:20" hidden="1" outlineLevel="1" x14ac:dyDescent="0.4">
      <c r="A277" s="475" t="s">
        <v>17</v>
      </c>
      <c r="B277" s="475" t="s">
        <v>169</v>
      </c>
      <c r="C277" s="475" t="s">
        <v>26</v>
      </c>
      <c r="D277" s="688" t="str">
        <f t="shared" si="75"/>
        <v>12월</v>
      </c>
      <c r="E277" s="785" t="s">
        <v>128</v>
      </c>
      <c r="F277" s="690" t="s">
        <v>129</v>
      </c>
      <c r="G277" s="785" t="s">
        <v>130</v>
      </c>
      <c r="H277" s="690" t="s">
        <v>137</v>
      </c>
      <c r="I277" s="691">
        <v>0</v>
      </c>
      <c r="J277" s="691">
        <v>46875000</v>
      </c>
      <c r="K277" s="773">
        <v>0</v>
      </c>
      <c r="L277" s="692">
        <f t="shared" si="77"/>
        <v>0</v>
      </c>
      <c r="M277" s="774">
        <v>0</v>
      </c>
      <c r="N277" s="727">
        <f t="shared" si="76"/>
        <v>0</v>
      </c>
      <c r="O277" s="631"/>
      <c r="P277" s="782"/>
      <c r="Q277" s="650"/>
      <c r="T277" s="608"/>
    </row>
    <row r="278" spans="1:20" hidden="1" outlineLevel="1" x14ac:dyDescent="0.4">
      <c r="A278" s="475" t="s">
        <v>17</v>
      </c>
      <c r="B278" s="475" t="s">
        <v>169</v>
      </c>
      <c r="C278" s="475" t="s">
        <v>25</v>
      </c>
      <c r="D278" s="688" t="str">
        <f t="shared" si="75"/>
        <v>12월</v>
      </c>
      <c r="E278" s="785" t="s">
        <v>128</v>
      </c>
      <c r="F278" s="690" t="s">
        <v>129</v>
      </c>
      <c r="G278" s="785" t="s">
        <v>130</v>
      </c>
      <c r="H278" s="690" t="s">
        <v>141</v>
      </c>
      <c r="I278" s="691">
        <v>105774138</v>
      </c>
      <c r="J278" s="691">
        <v>1429000000</v>
      </c>
      <c r="K278" s="773">
        <v>105774138</v>
      </c>
      <c r="L278" s="692">
        <f t="shared" si="77"/>
        <v>7.4019690692792156E-2</v>
      </c>
      <c r="M278" s="774">
        <v>105774138</v>
      </c>
      <c r="N278" s="727">
        <f t="shared" si="76"/>
        <v>0</v>
      </c>
      <c r="O278" s="631" t="s">
        <v>243</v>
      </c>
      <c r="P278" s="782"/>
      <c r="Q278" s="650"/>
      <c r="T278" s="608"/>
    </row>
    <row r="279" spans="1:20" hidden="1" outlineLevel="1" x14ac:dyDescent="0.4">
      <c r="A279" s="475" t="s">
        <v>17</v>
      </c>
      <c r="B279" s="475" t="s">
        <v>169</v>
      </c>
      <c r="C279" s="475" t="s">
        <v>27</v>
      </c>
      <c r="D279" s="688" t="str">
        <f t="shared" si="75"/>
        <v>12월</v>
      </c>
      <c r="E279" s="787" t="s">
        <v>128</v>
      </c>
      <c r="F279" s="701" t="s">
        <v>129</v>
      </c>
      <c r="G279" s="787" t="s">
        <v>130</v>
      </c>
      <c r="H279" s="701" t="s">
        <v>142</v>
      </c>
      <c r="I279" s="702">
        <v>38108334</v>
      </c>
      <c r="J279" s="691">
        <v>140625000</v>
      </c>
      <c r="K279" s="777">
        <v>38108334</v>
      </c>
      <c r="L279" s="703"/>
      <c r="M279" s="781">
        <v>38108334</v>
      </c>
      <c r="N279" s="727">
        <f t="shared" si="76"/>
        <v>0</v>
      </c>
      <c r="O279" s="631"/>
      <c r="P279" s="782"/>
      <c r="Q279" s="650"/>
      <c r="T279" s="608"/>
    </row>
    <row r="280" spans="1:20" ht="14.4" hidden="1" outlineLevel="1" thickBot="1" x14ac:dyDescent="0.45">
      <c r="A280" s="475" t="s">
        <v>17</v>
      </c>
      <c r="B280" s="475" t="s">
        <v>169</v>
      </c>
      <c r="C280" s="475" t="s">
        <v>28</v>
      </c>
      <c r="D280" s="766" t="str">
        <f t="shared" si="75"/>
        <v>12월</v>
      </c>
      <c r="E280" s="788" t="s">
        <v>128</v>
      </c>
      <c r="F280" s="705" t="s">
        <v>129</v>
      </c>
      <c r="G280" s="788" t="s">
        <v>130</v>
      </c>
      <c r="H280" s="705" t="s">
        <v>143</v>
      </c>
      <c r="I280" s="706">
        <v>166199838</v>
      </c>
      <c r="J280" s="706"/>
      <c r="K280" s="778">
        <v>166199838</v>
      </c>
      <c r="L280" s="707" t="e">
        <f t="shared" ref="L280" si="78">+K280/J280</f>
        <v>#DIV/0!</v>
      </c>
      <c r="M280" s="706">
        <v>166199838</v>
      </c>
      <c r="N280" s="727">
        <f t="shared" si="76"/>
        <v>0</v>
      </c>
      <c r="O280" s="791" t="s">
        <v>244</v>
      </c>
      <c r="P280" s="782"/>
      <c r="Q280" s="650"/>
      <c r="T280" s="608"/>
    </row>
    <row r="281" spans="1:20" ht="14.4" collapsed="1" thickBot="1" x14ac:dyDescent="0.45">
      <c r="D281" s="829" t="s">
        <v>245</v>
      </c>
      <c r="E281" s="830"/>
      <c r="F281" s="830"/>
      <c r="G281" s="830"/>
      <c r="H281" s="831"/>
      <c r="I281" s="710">
        <f>SUM(I271:I280)</f>
        <v>13822218175</v>
      </c>
      <c r="J281" s="710">
        <f>SUM(J271:J280)</f>
        <v>13543630609.706959</v>
      </c>
      <c r="K281" s="710">
        <f>SUM(K271:K280)</f>
        <v>13822218175</v>
      </c>
      <c r="L281" s="711">
        <f>I281/J281</f>
        <v>1.0205696369992086</v>
      </c>
      <c r="M281" s="712">
        <f>SUM(M271:M280)</f>
        <v>13822218175</v>
      </c>
      <c r="N281" s="713">
        <f>SUM(N271:N280)</f>
        <v>0</v>
      </c>
      <c r="P281" s="782"/>
      <c r="S281" s="481" t="s">
        <v>23</v>
      </c>
      <c r="T281" s="608">
        <v>154498560</v>
      </c>
    </row>
    <row r="282" spans="1:20" ht="14.4" thickBot="1" x14ac:dyDescent="0.45">
      <c r="D282" s="832" t="s">
        <v>246</v>
      </c>
      <c r="E282" s="833"/>
      <c r="F282" s="833"/>
      <c r="G282" s="833"/>
      <c r="H282" s="834"/>
      <c r="I282" s="722">
        <f>SUM(I259,I270,I281)</f>
        <v>41142023367.440002</v>
      </c>
      <c r="J282" s="722">
        <f t="shared" ref="J282:K282" si="79">SUM(J259,J270,J281)</f>
        <v>38016918764.835159</v>
      </c>
      <c r="K282" s="722">
        <f t="shared" si="79"/>
        <v>41142023367.440002</v>
      </c>
      <c r="L282" s="723">
        <f>I282/J282</f>
        <v>1.0822029955119745</v>
      </c>
      <c r="M282" s="722">
        <f t="shared" ref="M282:N282" si="80">SUM(M259,M270,M281)</f>
        <v>41142023367.440002</v>
      </c>
      <c r="N282" s="722">
        <f t="shared" si="80"/>
        <v>0</v>
      </c>
      <c r="O282" s="767"/>
    </row>
    <row r="283" spans="1:20" ht="14.4" thickBot="1" x14ac:dyDescent="0.45">
      <c r="D283" s="835" t="s">
        <v>247</v>
      </c>
      <c r="E283" s="836"/>
      <c r="F283" s="836"/>
      <c r="G283" s="836"/>
      <c r="H283" s="837"/>
      <c r="I283" s="769">
        <f>SUM(I180,I214,I248,I282)</f>
        <v>139301607998.44</v>
      </c>
      <c r="J283" s="769" t="e">
        <f t="shared" ref="J283:K283" si="81">SUM(J180,J214,J248,J282)</f>
        <v>#REF!</v>
      </c>
      <c r="K283" s="769">
        <f t="shared" si="81"/>
        <v>139301607998.44</v>
      </c>
      <c r="L283" s="770" t="e">
        <f>I283/J283</f>
        <v>#REF!</v>
      </c>
      <c r="M283" s="771">
        <f t="shared" ref="M283:N283" si="82">SUM(M180,M214,M248,M282)</f>
        <v>139301607998.44</v>
      </c>
      <c r="N283" s="772">
        <f t="shared" si="82"/>
        <v>0</v>
      </c>
    </row>
    <row r="284" spans="1:20" x14ac:dyDescent="0.4">
      <c r="A284" s="475" t="s">
        <v>20</v>
      </c>
      <c r="B284" s="475" t="s">
        <v>1</v>
      </c>
      <c r="C284" s="475" t="s">
        <v>101</v>
      </c>
      <c r="D284" s="682" t="s">
        <v>2</v>
      </c>
      <c r="E284" s="761" t="s">
        <v>128</v>
      </c>
      <c r="F284" s="761" t="s">
        <v>129</v>
      </c>
      <c r="G284" s="761" t="s">
        <v>130</v>
      </c>
      <c r="H284" s="761" t="s">
        <v>248</v>
      </c>
      <c r="I284" s="762">
        <v>0</v>
      </c>
      <c r="J284" s="762">
        <v>17044833.333333336</v>
      </c>
      <c r="K284" s="762">
        <v>0</v>
      </c>
      <c r="L284" s="763">
        <f t="shared" ref="L284" si="83">+I284/J284</f>
        <v>0</v>
      </c>
      <c r="M284" s="762">
        <v>0</v>
      </c>
      <c r="N284" s="748">
        <f>K284-M284</f>
        <v>0</v>
      </c>
      <c r="S284" s="481" t="s">
        <v>30</v>
      </c>
      <c r="T284" s="475">
        <v>93750000</v>
      </c>
    </row>
    <row r="285" spans="1:20" x14ac:dyDescent="0.4">
      <c r="A285" s="475" t="s">
        <v>20</v>
      </c>
      <c r="B285" s="475" t="s">
        <v>1</v>
      </c>
      <c r="C285" s="475" t="s">
        <v>101</v>
      </c>
      <c r="D285" s="688" t="str">
        <f t="shared" ref="D285:D295" si="84">D284</f>
        <v>1월</v>
      </c>
      <c r="E285" s="690" t="s">
        <v>128</v>
      </c>
      <c r="F285" s="690" t="s">
        <v>129</v>
      </c>
      <c r="G285" s="690" t="s">
        <v>130</v>
      </c>
      <c r="H285" s="690" t="s">
        <v>132</v>
      </c>
      <c r="I285" s="691">
        <v>0</v>
      </c>
      <c r="J285" s="691">
        <v>0</v>
      </c>
      <c r="K285" s="691">
        <v>0</v>
      </c>
      <c r="L285" s="692"/>
      <c r="M285" s="691">
        <v>0</v>
      </c>
      <c r="N285" s="727">
        <f t="shared" ref="N285:N295" si="85">K285-M285</f>
        <v>0</v>
      </c>
    </row>
    <row r="286" spans="1:20" x14ac:dyDescent="0.4">
      <c r="A286" s="475" t="s">
        <v>20</v>
      </c>
      <c r="B286" s="475" t="s">
        <v>1</v>
      </c>
      <c r="C286" s="475" t="s">
        <v>18</v>
      </c>
      <c r="D286" s="688" t="str">
        <f t="shared" si="84"/>
        <v>1월</v>
      </c>
      <c r="E286" s="689" t="s">
        <v>128</v>
      </c>
      <c r="F286" s="690" t="s">
        <v>129</v>
      </c>
      <c r="G286" s="690" t="s">
        <v>130</v>
      </c>
      <c r="H286" s="690" t="s">
        <v>133</v>
      </c>
      <c r="I286" s="691">
        <v>318512365</v>
      </c>
      <c r="J286" s="691">
        <v>310017950</v>
      </c>
      <c r="K286" s="691">
        <v>318512365</v>
      </c>
      <c r="L286" s="692"/>
      <c r="M286" s="691">
        <v>318512365</v>
      </c>
      <c r="N286" s="727">
        <f t="shared" si="85"/>
        <v>0</v>
      </c>
      <c r="O286" s="791" t="s">
        <v>249</v>
      </c>
    </row>
    <row r="287" spans="1:20" x14ac:dyDescent="0.4">
      <c r="A287" s="475" t="s">
        <v>20</v>
      </c>
      <c r="B287" s="475" t="s">
        <v>1</v>
      </c>
      <c r="C287" s="475" t="s">
        <v>23</v>
      </c>
      <c r="D287" s="688" t="str">
        <f t="shared" si="84"/>
        <v>1월</v>
      </c>
      <c r="E287" s="690" t="s">
        <v>128</v>
      </c>
      <c r="F287" s="690" t="s">
        <v>129</v>
      </c>
      <c r="G287" s="690" t="s">
        <v>130</v>
      </c>
      <c r="H287" s="690" t="s">
        <v>134</v>
      </c>
      <c r="I287" s="691">
        <v>257333760</v>
      </c>
      <c r="J287" s="691">
        <v>265256500</v>
      </c>
      <c r="K287" s="691">
        <v>257333760</v>
      </c>
      <c r="L287" s="692">
        <f t="shared" ref="L287:L293" si="86">+I287/J287</f>
        <v>0.97013177810911322</v>
      </c>
      <c r="M287" s="691">
        <v>257333760</v>
      </c>
      <c r="N287" s="727">
        <f t="shared" si="85"/>
        <v>0</v>
      </c>
      <c r="O287" s="791" t="s">
        <v>250</v>
      </c>
    </row>
    <row r="288" spans="1:20" x14ac:dyDescent="0.4">
      <c r="A288" s="475" t="s">
        <v>20</v>
      </c>
      <c r="B288" s="475" t="s">
        <v>1</v>
      </c>
      <c r="C288" s="475" t="s">
        <v>22</v>
      </c>
      <c r="D288" s="688" t="str">
        <f>D287</f>
        <v>1월</v>
      </c>
      <c r="E288" s="690" t="s">
        <v>128</v>
      </c>
      <c r="F288" s="690" t="s">
        <v>129</v>
      </c>
      <c r="G288" s="690" t="s">
        <v>130</v>
      </c>
      <c r="H288" s="690" t="s">
        <v>251</v>
      </c>
      <c r="I288" s="691">
        <v>2702489700</v>
      </c>
      <c r="J288" s="691">
        <v>2725867600</v>
      </c>
      <c r="K288" s="802">
        <v>2702489700</v>
      </c>
      <c r="L288" s="692">
        <f t="shared" si="86"/>
        <v>0.99142368470134057</v>
      </c>
      <c r="M288" s="774">
        <v>2702489700</v>
      </c>
      <c r="N288" s="727">
        <f t="shared" si="85"/>
        <v>0</v>
      </c>
      <c r="O288" s="475" t="s">
        <v>252</v>
      </c>
    </row>
    <row r="289" spans="1:20" x14ac:dyDescent="0.4">
      <c r="A289" s="475" t="s">
        <v>20</v>
      </c>
      <c r="B289" s="475" t="s">
        <v>1</v>
      </c>
      <c r="C289" s="475" t="s">
        <v>22</v>
      </c>
      <c r="D289" s="688" t="str">
        <f t="shared" ref="D289:D290" si="87">D288</f>
        <v>1월</v>
      </c>
      <c r="E289" s="690" t="s">
        <v>128</v>
      </c>
      <c r="F289" s="690" t="s">
        <v>129</v>
      </c>
      <c r="G289" s="690" t="s">
        <v>130</v>
      </c>
      <c r="H289" s="690" t="s">
        <v>253</v>
      </c>
      <c r="I289" s="691">
        <v>3006123600</v>
      </c>
      <c r="J289" s="691">
        <v>3008279200</v>
      </c>
      <c r="K289" s="802">
        <v>3006123600</v>
      </c>
      <c r="L289" s="692"/>
      <c r="M289" s="774">
        <v>3006123600</v>
      </c>
      <c r="N289" s="727"/>
    </row>
    <row r="290" spans="1:20" x14ac:dyDescent="0.4">
      <c r="A290" s="475" t="s">
        <v>20</v>
      </c>
      <c r="B290" s="475" t="s">
        <v>1</v>
      </c>
      <c r="C290" s="475" t="s">
        <v>22</v>
      </c>
      <c r="D290" s="688" t="str">
        <f t="shared" si="87"/>
        <v>1월</v>
      </c>
      <c r="E290" s="690" t="s">
        <v>128</v>
      </c>
      <c r="F290" s="690" t="s">
        <v>129</v>
      </c>
      <c r="G290" s="690" t="s">
        <v>130</v>
      </c>
      <c r="H290" s="690" t="s">
        <v>254</v>
      </c>
      <c r="I290" s="691">
        <v>1197799100</v>
      </c>
      <c r="J290" s="691">
        <v>1164903500</v>
      </c>
      <c r="K290" s="802">
        <v>1197799100</v>
      </c>
      <c r="L290" s="692"/>
      <c r="M290" s="774">
        <v>1197799100</v>
      </c>
      <c r="N290" s="727"/>
    </row>
    <row r="291" spans="1:20" x14ac:dyDescent="0.4">
      <c r="A291" s="475" t="s">
        <v>20</v>
      </c>
      <c r="B291" s="475" t="s">
        <v>1</v>
      </c>
      <c r="C291" s="475" t="s">
        <v>28</v>
      </c>
      <c r="D291" s="688" t="str">
        <f>D288</f>
        <v>1월</v>
      </c>
      <c r="E291" s="690" t="s">
        <v>128</v>
      </c>
      <c r="F291" s="690" t="s">
        <v>129</v>
      </c>
      <c r="G291" s="690" t="s">
        <v>130</v>
      </c>
      <c r="H291" s="690" t="s">
        <v>136</v>
      </c>
      <c r="I291" s="691">
        <v>0</v>
      </c>
      <c r="J291" s="691">
        <v>0</v>
      </c>
      <c r="K291" s="691">
        <v>0</v>
      </c>
      <c r="L291" s="692" t="e">
        <f t="shared" si="86"/>
        <v>#DIV/0!</v>
      </c>
      <c r="M291" s="691">
        <v>0</v>
      </c>
      <c r="N291" s="727">
        <f t="shared" si="85"/>
        <v>0</v>
      </c>
      <c r="S291" s="481" t="s">
        <v>31</v>
      </c>
      <c r="T291" s="475">
        <v>119960500</v>
      </c>
    </row>
    <row r="292" spans="1:20" x14ac:dyDescent="0.4">
      <c r="A292" s="475" t="s">
        <v>20</v>
      </c>
      <c r="B292" s="475" t="s">
        <v>1</v>
      </c>
      <c r="C292" s="475" t="s">
        <v>26</v>
      </c>
      <c r="D292" s="688" t="str">
        <f t="shared" si="84"/>
        <v>1월</v>
      </c>
      <c r="E292" s="690" t="s">
        <v>128</v>
      </c>
      <c r="F292" s="690" t="s">
        <v>129</v>
      </c>
      <c r="G292" s="690" t="s">
        <v>130</v>
      </c>
      <c r="H292" s="690" t="s">
        <v>137</v>
      </c>
      <c r="I292" s="691"/>
      <c r="J292" s="691"/>
      <c r="K292" s="691"/>
      <c r="L292" s="692" t="e">
        <f t="shared" si="86"/>
        <v>#DIV/0!</v>
      </c>
      <c r="M292" s="691"/>
      <c r="N292" s="727">
        <f t="shared" si="85"/>
        <v>0</v>
      </c>
    </row>
    <row r="293" spans="1:20" x14ac:dyDescent="0.4">
      <c r="A293" s="475" t="s">
        <v>20</v>
      </c>
      <c r="B293" s="475" t="s">
        <v>1</v>
      </c>
      <c r="C293" s="475" t="s">
        <v>25</v>
      </c>
      <c r="D293" s="688" t="str">
        <f t="shared" si="84"/>
        <v>1월</v>
      </c>
      <c r="E293" s="690" t="s">
        <v>128</v>
      </c>
      <c r="F293" s="690" t="s">
        <v>129</v>
      </c>
      <c r="G293" s="690" t="s">
        <v>130</v>
      </c>
      <c r="H293" s="690" t="s">
        <v>141</v>
      </c>
      <c r="I293" s="691">
        <v>2490865804</v>
      </c>
      <c r="J293" s="691">
        <v>2459700000</v>
      </c>
      <c r="K293" s="691">
        <v>2490865804</v>
      </c>
      <c r="L293" s="692">
        <f t="shared" si="86"/>
        <v>1.012670571207871</v>
      </c>
      <c r="M293" s="691">
        <v>2490865804</v>
      </c>
      <c r="N293" s="727">
        <f t="shared" si="85"/>
        <v>0</v>
      </c>
    </row>
    <row r="294" spans="1:20" x14ac:dyDescent="0.4">
      <c r="A294" s="475" t="s">
        <v>20</v>
      </c>
      <c r="B294" s="475" t="s">
        <v>1</v>
      </c>
      <c r="C294" s="475" t="s">
        <v>27</v>
      </c>
      <c r="D294" s="688" t="str">
        <f t="shared" si="84"/>
        <v>1월</v>
      </c>
      <c r="E294" s="701" t="s">
        <v>128</v>
      </c>
      <c r="F294" s="701" t="s">
        <v>129</v>
      </c>
      <c r="G294" s="701" t="s">
        <v>130</v>
      </c>
      <c r="H294" s="701" t="s">
        <v>142</v>
      </c>
      <c r="I294" s="702">
        <v>176833334</v>
      </c>
      <c r="J294" s="702">
        <v>140625000</v>
      </c>
      <c r="K294" s="702">
        <v>176833334</v>
      </c>
      <c r="L294" s="703"/>
      <c r="M294" s="702">
        <v>176833334</v>
      </c>
      <c r="N294" s="727">
        <f t="shared" si="85"/>
        <v>0</v>
      </c>
    </row>
    <row r="295" spans="1:20" ht="14.4" thickBot="1" x14ac:dyDescent="0.45">
      <c r="A295" s="475" t="s">
        <v>20</v>
      </c>
      <c r="B295" s="475" t="s">
        <v>1</v>
      </c>
      <c r="C295" s="475" t="s">
        <v>28</v>
      </c>
      <c r="D295" s="766" t="str">
        <f t="shared" si="84"/>
        <v>1월</v>
      </c>
      <c r="E295" s="705" t="s">
        <v>128</v>
      </c>
      <c r="F295" s="705" t="s">
        <v>129</v>
      </c>
      <c r="G295" s="705" t="s">
        <v>130</v>
      </c>
      <c r="H295" s="705" t="s">
        <v>143</v>
      </c>
      <c r="I295" s="706">
        <v>37327710</v>
      </c>
      <c r="J295" s="706"/>
      <c r="K295" s="706">
        <v>37327710</v>
      </c>
      <c r="L295" s="707" t="e">
        <f t="shared" ref="L295" si="88">+K295/J295</f>
        <v>#DIV/0!</v>
      </c>
      <c r="M295" s="706">
        <v>37327710</v>
      </c>
      <c r="N295" s="727">
        <f t="shared" si="85"/>
        <v>0</v>
      </c>
    </row>
    <row r="296" spans="1:20" ht="14.4" thickBot="1" x14ac:dyDescent="0.45">
      <c r="D296" s="829" t="s">
        <v>255</v>
      </c>
      <c r="E296" s="830"/>
      <c r="F296" s="830"/>
      <c r="G296" s="830"/>
      <c r="H296" s="831"/>
      <c r="I296" s="710">
        <f>SUM(I284:I295)</f>
        <v>10187285373</v>
      </c>
      <c r="J296" s="710">
        <f>SUM(J284:J295)</f>
        <v>10091694583.333332</v>
      </c>
      <c r="K296" s="710">
        <f>SUM(K284:K295)</f>
        <v>10187285373</v>
      </c>
      <c r="L296" s="711">
        <f>I296/J296</f>
        <v>1.0094722238051614</v>
      </c>
      <c r="M296" s="712">
        <f>SUM(M284:M295)</f>
        <v>10187285373</v>
      </c>
      <c r="N296" s="713">
        <f>SUM(N284:N295)</f>
        <v>0</v>
      </c>
    </row>
    <row r="297" spans="1:20" x14ac:dyDescent="0.4">
      <c r="A297" s="475" t="s">
        <v>20</v>
      </c>
      <c r="B297" s="475" t="s">
        <v>1</v>
      </c>
      <c r="C297" s="475" t="s">
        <v>101</v>
      </c>
      <c r="D297" s="682" t="s">
        <v>3</v>
      </c>
      <c r="E297" s="761" t="s">
        <v>128</v>
      </c>
      <c r="F297" s="761" t="s">
        <v>129</v>
      </c>
      <c r="G297" s="761" t="s">
        <v>130</v>
      </c>
      <c r="H297" s="761" t="s">
        <v>248</v>
      </c>
      <c r="I297" s="762"/>
      <c r="J297" s="762">
        <v>17044833.333333336</v>
      </c>
      <c r="K297" s="762"/>
      <c r="L297" s="763">
        <f t="shared" ref="L297" si="89">+I297/J297</f>
        <v>0</v>
      </c>
      <c r="M297" s="762"/>
      <c r="N297" s="748">
        <f>K297-M297</f>
        <v>0</v>
      </c>
    </row>
    <row r="298" spans="1:20" x14ac:dyDescent="0.4">
      <c r="A298" s="475" t="s">
        <v>20</v>
      </c>
      <c r="B298" s="475" t="s">
        <v>1</v>
      </c>
      <c r="C298" s="475" t="s">
        <v>101</v>
      </c>
      <c r="D298" s="688" t="str">
        <f t="shared" ref="D298:D308" si="90">D297</f>
        <v>2월</v>
      </c>
      <c r="E298" s="690" t="s">
        <v>128</v>
      </c>
      <c r="F298" s="690" t="s">
        <v>129</v>
      </c>
      <c r="G298" s="690" t="s">
        <v>130</v>
      </c>
      <c r="H298" s="690" t="s">
        <v>132</v>
      </c>
      <c r="I298" s="691"/>
      <c r="J298" s="691">
        <v>0</v>
      </c>
      <c r="K298" s="691"/>
      <c r="L298" s="692"/>
      <c r="M298" s="691"/>
      <c r="N298" s="727">
        <f t="shared" ref="N298:N306" si="91">K298-M298</f>
        <v>0</v>
      </c>
    </row>
    <row r="299" spans="1:20" ht="35.25" customHeight="1" x14ac:dyDescent="0.4">
      <c r="A299" s="475" t="s">
        <v>20</v>
      </c>
      <c r="B299" s="475" t="s">
        <v>1</v>
      </c>
      <c r="C299" s="475" t="s">
        <v>18</v>
      </c>
      <c r="D299" s="688" t="str">
        <f t="shared" si="90"/>
        <v>2월</v>
      </c>
      <c r="E299" s="689" t="s">
        <v>128</v>
      </c>
      <c r="F299" s="690" t="s">
        <v>129</v>
      </c>
      <c r="G299" s="690" t="s">
        <v>130</v>
      </c>
      <c r="H299" s="690" t="s">
        <v>133</v>
      </c>
      <c r="I299" s="774">
        <v>967461682.00000012</v>
      </c>
      <c r="J299" s="691">
        <v>1208362064.0000002</v>
      </c>
      <c r="K299" s="691">
        <v>967461682.00000012</v>
      </c>
      <c r="L299" s="692"/>
      <c r="M299" s="691">
        <v>967461682.00000012</v>
      </c>
      <c r="N299" s="727">
        <f t="shared" si="91"/>
        <v>0</v>
      </c>
      <c r="O299" s="814" t="s">
        <v>256</v>
      </c>
    </row>
    <row r="300" spans="1:20" x14ac:dyDescent="0.4">
      <c r="A300" s="475" t="s">
        <v>20</v>
      </c>
      <c r="B300" s="475" t="s">
        <v>1</v>
      </c>
      <c r="C300" s="475" t="s">
        <v>23</v>
      </c>
      <c r="D300" s="688" t="str">
        <f t="shared" si="90"/>
        <v>2월</v>
      </c>
      <c r="E300" s="690" t="s">
        <v>128</v>
      </c>
      <c r="F300" s="690" t="s">
        <v>129</v>
      </c>
      <c r="G300" s="690" t="s">
        <v>130</v>
      </c>
      <c r="H300" s="690" t="s">
        <v>134</v>
      </c>
      <c r="I300" s="691">
        <v>279337160</v>
      </c>
      <c r="J300" s="691">
        <v>274581640</v>
      </c>
      <c r="K300" s="691">
        <v>279337160</v>
      </c>
      <c r="L300" s="692">
        <f>+I300/J300</f>
        <v>1.0173191477769599</v>
      </c>
      <c r="M300" s="691">
        <v>279337160</v>
      </c>
      <c r="N300" s="727">
        <f t="shared" si="91"/>
        <v>0</v>
      </c>
      <c r="O300" s="814"/>
    </row>
    <row r="301" spans="1:20" x14ac:dyDescent="0.4">
      <c r="A301" s="475" t="s">
        <v>20</v>
      </c>
      <c r="B301" s="475" t="s">
        <v>1</v>
      </c>
      <c r="C301" s="475" t="s">
        <v>22</v>
      </c>
      <c r="D301" s="688" t="str">
        <f t="shared" si="90"/>
        <v>2월</v>
      </c>
      <c r="E301" s="690" t="s">
        <v>128</v>
      </c>
      <c r="F301" s="690" t="s">
        <v>129</v>
      </c>
      <c r="G301" s="690" t="s">
        <v>130</v>
      </c>
      <c r="H301" s="690" t="s">
        <v>251</v>
      </c>
      <c r="I301" s="691">
        <v>3139479600</v>
      </c>
      <c r="J301" s="691">
        <v>2413214000</v>
      </c>
      <c r="K301" s="773">
        <v>3139479600</v>
      </c>
      <c r="L301" s="692">
        <f t="shared" ref="L301:L306" si="92">+I301/J301</f>
        <v>1.3009536659409402</v>
      </c>
      <c r="M301" s="691">
        <v>3139479600</v>
      </c>
      <c r="N301" s="727">
        <f t="shared" si="91"/>
        <v>0</v>
      </c>
      <c r="O301" s="814" t="s">
        <v>257</v>
      </c>
    </row>
    <row r="302" spans="1:20" x14ac:dyDescent="0.4">
      <c r="A302" s="475" t="s">
        <v>20</v>
      </c>
      <c r="B302" s="475" t="s">
        <v>1</v>
      </c>
      <c r="C302" s="475" t="s">
        <v>22</v>
      </c>
      <c r="D302" s="688" t="str">
        <f t="shared" si="90"/>
        <v>2월</v>
      </c>
      <c r="E302" s="690" t="s">
        <v>128</v>
      </c>
      <c r="F302" s="690" t="s">
        <v>129</v>
      </c>
      <c r="G302" s="690" t="s">
        <v>130</v>
      </c>
      <c r="H302" s="690" t="s">
        <v>253</v>
      </c>
      <c r="I302" s="691">
        <v>3981287600</v>
      </c>
      <c r="J302" s="691">
        <v>3848242200</v>
      </c>
      <c r="K302" s="773">
        <v>3981287600</v>
      </c>
      <c r="L302" s="692"/>
      <c r="M302" s="691">
        <v>3981287600</v>
      </c>
      <c r="N302" s="727">
        <f t="shared" si="91"/>
        <v>0</v>
      </c>
      <c r="O302" s="814"/>
    </row>
    <row r="303" spans="1:20" x14ac:dyDescent="0.4">
      <c r="A303" s="475" t="s">
        <v>20</v>
      </c>
      <c r="B303" s="475" t="s">
        <v>1</v>
      </c>
      <c r="C303" s="475" t="s">
        <v>22</v>
      </c>
      <c r="D303" s="688" t="str">
        <f t="shared" si="90"/>
        <v>2월</v>
      </c>
      <c r="E303" s="690" t="s">
        <v>128</v>
      </c>
      <c r="F303" s="690" t="s">
        <v>129</v>
      </c>
      <c r="G303" s="690" t="s">
        <v>130</v>
      </c>
      <c r="H303" s="690" t="s">
        <v>254</v>
      </c>
      <c r="I303" s="691">
        <v>2889841900</v>
      </c>
      <c r="J303" s="691">
        <v>2546255600</v>
      </c>
      <c r="K303" s="773">
        <v>2889841900</v>
      </c>
      <c r="L303" s="692"/>
      <c r="M303" s="691">
        <v>2889841900</v>
      </c>
      <c r="N303" s="727">
        <f t="shared" si="91"/>
        <v>0</v>
      </c>
      <c r="O303" s="814"/>
    </row>
    <row r="304" spans="1:20" x14ac:dyDescent="0.4">
      <c r="A304" s="475" t="s">
        <v>20</v>
      </c>
      <c r="B304" s="475" t="s">
        <v>1</v>
      </c>
      <c r="C304" s="475" t="s">
        <v>28</v>
      </c>
      <c r="D304" s="688" t="str">
        <f>D301</f>
        <v>2월</v>
      </c>
      <c r="E304" s="690" t="s">
        <v>128</v>
      </c>
      <c r="F304" s="690" t="s">
        <v>129</v>
      </c>
      <c r="G304" s="690" t="s">
        <v>130</v>
      </c>
      <c r="H304" s="690" t="s">
        <v>136</v>
      </c>
      <c r="I304" s="691"/>
      <c r="J304" s="691">
        <v>0</v>
      </c>
      <c r="K304" s="691"/>
      <c r="L304" s="692" t="e">
        <f t="shared" si="92"/>
        <v>#DIV/0!</v>
      </c>
      <c r="M304" s="691"/>
      <c r="N304" s="727">
        <f t="shared" si="91"/>
        <v>0</v>
      </c>
      <c r="Q304" s="838" t="s">
        <v>258</v>
      </c>
      <c r="R304" s="838"/>
      <c r="S304" s="838" t="s">
        <v>259</v>
      </c>
      <c r="T304" s="838"/>
    </row>
    <row r="305" spans="1:20" x14ac:dyDescent="0.4">
      <c r="A305" s="475" t="s">
        <v>20</v>
      </c>
      <c r="B305" s="475" t="s">
        <v>1</v>
      </c>
      <c r="C305" s="475" t="s">
        <v>26</v>
      </c>
      <c r="D305" s="688" t="str">
        <f t="shared" si="90"/>
        <v>2월</v>
      </c>
      <c r="E305" s="690" t="s">
        <v>128</v>
      </c>
      <c r="F305" s="690" t="s">
        <v>129</v>
      </c>
      <c r="G305" s="690" t="s">
        <v>130</v>
      </c>
      <c r="H305" s="690" t="s">
        <v>137</v>
      </c>
      <c r="I305" s="691"/>
      <c r="J305" s="691">
        <v>46875000</v>
      </c>
      <c r="K305" s="691"/>
      <c r="L305" s="692">
        <f t="shared" si="92"/>
        <v>0</v>
      </c>
      <c r="M305" s="691"/>
      <c r="N305" s="727">
        <f t="shared" si="91"/>
        <v>0</v>
      </c>
      <c r="Q305" s="803" t="s">
        <v>260</v>
      </c>
      <c r="R305" s="804">
        <v>3168944000</v>
      </c>
      <c r="S305" s="803" t="s">
        <v>260</v>
      </c>
      <c r="T305" s="804">
        <v>3168944000</v>
      </c>
    </row>
    <row r="306" spans="1:20" x14ac:dyDescent="0.4">
      <c r="A306" s="475" t="s">
        <v>20</v>
      </c>
      <c r="B306" s="475" t="s">
        <v>1</v>
      </c>
      <c r="C306" s="475" t="s">
        <v>25</v>
      </c>
      <c r="D306" s="688" t="str">
        <f t="shared" si="90"/>
        <v>2월</v>
      </c>
      <c r="E306" s="690" t="s">
        <v>128</v>
      </c>
      <c r="F306" s="690" t="s">
        <v>129</v>
      </c>
      <c r="G306" s="690" t="s">
        <v>130</v>
      </c>
      <c r="H306" s="690" t="s">
        <v>141</v>
      </c>
      <c r="I306" s="774">
        <v>469124138</v>
      </c>
      <c r="J306" s="691">
        <v>371000000</v>
      </c>
      <c r="K306" s="716">
        <v>469124138</v>
      </c>
      <c r="L306" s="692">
        <f t="shared" si="92"/>
        <v>1.2644855471698113</v>
      </c>
      <c r="M306" s="691">
        <v>469124138</v>
      </c>
      <c r="N306" s="727">
        <f t="shared" si="91"/>
        <v>0</v>
      </c>
      <c r="O306" s="475" t="s">
        <v>261</v>
      </c>
      <c r="Q306" s="803" t="s">
        <v>262</v>
      </c>
      <c r="R306" s="804">
        <v>3861753800</v>
      </c>
      <c r="S306" s="803" t="s">
        <v>262</v>
      </c>
      <c r="T306" s="804">
        <v>3861753800</v>
      </c>
    </row>
    <row r="307" spans="1:20" x14ac:dyDescent="0.4">
      <c r="A307" s="475" t="s">
        <v>20</v>
      </c>
      <c r="B307" s="475" t="s">
        <v>1</v>
      </c>
      <c r="C307" s="475" t="s">
        <v>27</v>
      </c>
      <c r="D307" s="688" t="str">
        <f t="shared" si="90"/>
        <v>2월</v>
      </c>
      <c r="E307" s="701" t="s">
        <v>128</v>
      </c>
      <c r="F307" s="701" t="s">
        <v>129</v>
      </c>
      <c r="G307" s="701" t="s">
        <v>130</v>
      </c>
      <c r="H307" s="701" t="s">
        <v>142</v>
      </c>
      <c r="I307" s="781"/>
      <c r="J307" s="702">
        <v>46875000</v>
      </c>
      <c r="K307" s="702"/>
      <c r="L307" s="703"/>
      <c r="M307" s="691"/>
      <c r="N307" s="727">
        <f>K307-M307</f>
        <v>0</v>
      </c>
      <c r="Q307" s="803" t="s">
        <v>263</v>
      </c>
      <c r="R307" s="804">
        <v>3019698750</v>
      </c>
      <c r="S307" s="803" t="s">
        <v>263</v>
      </c>
      <c r="T307" s="805">
        <v>3283257150</v>
      </c>
    </row>
    <row r="308" spans="1:20" ht="14.4" thickBot="1" x14ac:dyDescent="0.45">
      <c r="A308" s="475" t="s">
        <v>20</v>
      </c>
      <c r="B308" s="475" t="s">
        <v>1</v>
      </c>
      <c r="C308" s="475" t="s">
        <v>28</v>
      </c>
      <c r="D308" s="766" t="str">
        <f t="shared" si="90"/>
        <v>2월</v>
      </c>
      <c r="E308" s="705" t="s">
        <v>128</v>
      </c>
      <c r="F308" s="705" t="s">
        <v>129</v>
      </c>
      <c r="G308" s="705" t="s">
        <v>130</v>
      </c>
      <c r="H308" s="705" t="s">
        <v>143</v>
      </c>
      <c r="I308" s="706">
        <v>41533791</v>
      </c>
      <c r="J308" s="706"/>
      <c r="K308" s="706">
        <v>41533791</v>
      </c>
      <c r="L308" s="707" t="e">
        <f t="shared" ref="L308" si="93">+K308/J308</f>
        <v>#DIV/0!</v>
      </c>
      <c r="M308" s="706">
        <v>41533791</v>
      </c>
      <c r="N308" s="727">
        <f t="shared" ref="N308" si="94">K308-M308</f>
        <v>0</v>
      </c>
      <c r="O308" s="631"/>
      <c r="Q308" s="785" t="s">
        <v>264</v>
      </c>
      <c r="R308" s="774">
        <f>SUM(R305:R307)</f>
        <v>10050396550</v>
      </c>
      <c r="S308" s="785" t="s">
        <v>264</v>
      </c>
      <c r="T308" s="774">
        <v>10313954950</v>
      </c>
    </row>
    <row r="309" spans="1:20" ht="14.4" thickBot="1" x14ac:dyDescent="0.45">
      <c r="D309" s="829" t="s">
        <v>265</v>
      </c>
      <c r="E309" s="830"/>
      <c r="F309" s="830"/>
      <c r="G309" s="830"/>
      <c r="H309" s="831"/>
      <c r="I309" s="710">
        <f>SUM(I297:I308)</f>
        <v>11768065871</v>
      </c>
      <c r="J309" s="710">
        <f>SUM(J297:J308)</f>
        <v>10772450337.333334</v>
      </c>
      <c r="K309" s="710">
        <f>SUM(K297:K308)</f>
        <v>11768065871</v>
      </c>
      <c r="L309" s="711">
        <f>I309/J309</f>
        <v>1.0924223832544606</v>
      </c>
      <c r="M309" s="712">
        <f>SUM(M297:M308)</f>
        <v>11768065871</v>
      </c>
      <c r="N309" s="713">
        <f>SUM(N297:N308)</f>
        <v>0</v>
      </c>
    </row>
    <row r="310" spans="1:20" x14ac:dyDescent="0.4">
      <c r="A310" s="475" t="s">
        <v>20</v>
      </c>
      <c r="B310" s="475" t="s">
        <v>1</v>
      </c>
      <c r="C310" s="475" t="s">
        <v>101</v>
      </c>
      <c r="D310" s="682" t="s">
        <v>4</v>
      </c>
      <c r="E310" s="761" t="s">
        <v>128</v>
      </c>
      <c r="F310" s="761" t="s">
        <v>129</v>
      </c>
      <c r="G310" s="761" t="s">
        <v>130</v>
      </c>
      <c r="H310" s="761" t="s">
        <v>248</v>
      </c>
      <c r="I310" s="762"/>
      <c r="J310" s="762">
        <v>17044833.333333336</v>
      </c>
      <c r="K310" s="799"/>
      <c r="L310" s="763">
        <f t="shared" ref="L310" si="95">+I310/J310</f>
        <v>0</v>
      </c>
      <c r="M310" s="762">
        <v>17044833.333333336</v>
      </c>
      <c r="N310" s="748">
        <f>K310-M310</f>
        <v>-17044833.333333336</v>
      </c>
    </row>
    <row r="311" spans="1:20" x14ac:dyDescent="0.4">
      <c r="A311" s="475" t="s">
        <v>20</v>
      </c>
      <c r="B311" s="475" t="s">
        <v>1</v>
      </c>
      <c r="C311" s="475" t="s">
        <v>101</v>
      </c>
      <c r="D311" s="688" t="str">
        <f t="shared" ref="D311:D321" si="96">D310</f>
        <v>3월</v>
      </c>
      <c r="E311" s="690" t="s">
        <v>128</v>
      </c>
      <c r="F311" s="690" t="s">
        <v>129</v>
      </c>
      <c r="G311" s="690" t="s">
        <v>130</v>
      </c>
      <c r="H311" s="690" t="s">
        <v>132</v>
      </c>
      <c r="I311" s="691"/>
      <c r="J311" s="691">
        <v>0</v>
      </c>
      <c r="K311" s="773">
        <v>0</v>
      </c>
      <c r="L311" s="692"/>
      <c r="M311" s="774">
        <v>0</v>
      </c>
      <c r="N311" s="727">
        <f t="shared" ref="N311:N321" si="97">K311-M311</f>
        <v>0</v>
      </c>
      <c r="P311" s="475">
        <v>95590789.666667596</v>
      </c>
    </row>
    <row r="312" spans="1:20" x14ac:dyDescent="0.4">
      <c r="A312" s="475" t="s">
        <v>20</v>
      </c>
      <c r="B312" s="475" t="s">
        <v>1</v>
      </c>
      <c r="C312" s="475" t="s">
        <v>18</v>
      </c>
      <c r="D312" s="688" t="str">
        <f t="shared" si="96"/>
        <v>3월</v>
      </c>
      <c r="E312" s="689" t="s">
        <v>128</v>
      </c>
      <c r="F312" s="690" t="s">
        <v>129</v>
      </c>
      <c r="G312" s="690" t="s">
        <v>130</v>
      </c>
      <c r="H312" s="690" t="s">
        <v>133</v>
      </c>
      <c r="I312" s="691"/>
      <c r="J312" s="691">
        <v>943930800</v>
      </c>
      <c r="K312" s="773">
        <v>1472907906.8800001</v>
      </c>
      <c r="L312" s="692"/>
      <c r="M312" s="691">
        <v>1472907906.8800001</v>
      </c>
      <c r="N312" s="727">
        <f t="shared" si="97"/>
        <v>0</v>
      </c>
    </row>
    <row r="313" spans="1:20" x14ac:dyDescent="0.4">
      <c r="A313" s="475" t="s">
        <v>20</v>
      </c>
      <c r="B313" s="475" t="s">
        <v>1</v>
      </c>
      <c r="C313" s="475" t="s">
        <v>23</v>
      </c>
      <c r="D313" s="688" t="str">
        <f t="shared" si="96"/>
        <v>3월</v>
      </c>
      <c r="E313" s="690" t="s">
        <v>128</v>
      </c>
      <c r="F313" s="690" t="s">
        <v>129</v>
      </c>
      <c r="G313" s="690" t="s">
        <v>130</v>
      </c>
      <c r="H313" s="690" t="s">
        <v>134</v>
      </c>
      <c r="I313" s="691"/>
      <c r="J313" s="691">
        <v>265362000</v>
      </c>
      <c r="K313" s="773">
        <v>417523920</v>
      </c>
      <c r="L313" s="692">
        <f t="shared" ref="L313:L319" si="98">+I313/J313</f>
        <v>0</v>
      </c>
      <c r="M313" s="691">
        <v>417523920</v>
      </c>
      <c r="N313" s="727">
        <f t="shared" si="97"/>
        <v>0</v>
      </c>
    </row>
    <row r="314" spans="1:20" x14ac:dyDescent="0.4">
      <c r="A314" s="475" t="s">
        <v>20</v>
      </c>
      <c r="B314" s="475" t="s">
        <v>1</v>
      </c>
      <c r="C314" s="475" t="s">
        <v>22</v>
      </c>
      <c r="D314" s="688" t="str">
        <f t="shared" si="96"/>
        <v>3월</v>
      </c>
      <c r="E314" s="690" t="s">
        <v>128</v>
      </c>
      <c r="F314" s="690" t="s">
        <v>129</v>
      </c>
      <c r="G314" s="690" t="s">
        <v>130</v>
      </c>
      <c r="H314" s="690" t="s">
        <v>251</v>
      </c>
      <c r="I314" s="691"/>
      <c r="J314" s="691">
        <v>2307312000</v>
      </c>
      <c r="K314" s="773">
        <v>2201855400</v>
      </c>
      <c r="L314" s="692">
        <f t="shared" si="98"/>
        <v>0</v>
      </c>
      <c r="M314" s="691">
        <v>2233672200</v>
      </c>
      <c r="N314" s="727">
        <f t="shared" si="97"/>
        <v>-31816800</v>
      </c>
      <c r="O314" s="816" t="s">
        <v>547</v>
      </c>
      <c r="P314" s="631">
        <f>K314-J314</f>
        <v>-105456600</v>
      </c>
    </row>
    <row r="315" spans="1:20" x14ac:dyDescent="0.4">
      <c r="A315" s="475" t="s">
        <v>20</v>
      </c>
      <c r="B315" s="475" t="s">
        <v>1</v>
      </c>
      <c r="C315" s="475" t="s">
        <v>22</v>
      </c>
      <c r="D315" s="688" t="str">
        <f t="shared" si="96"/>
        <v>3월</v>
      </c>
      <c r="E315" s="690" t="s">
        <v>128</v>
      </c>
      <c r="F315" s="690" t="s">
        <v>129</v>
      </c>
      <c r="G315" s="690" t="s">
        <v>130</v>
      </c>
      <c r="H315" s="690" t="s">
        <v>253</v>
      </c>
      <c r="I315" s="691"/>
      <c r="J315" s="691">
        <v>2393882400</v>
      </c>
      <c r="K315" s="773">
        <v>2578672400</v>
      </c>
      <c r="L315" s="692"/>
      <c r="M315" s="691">
        <v>2578672400</v>
      </c>
      <c r="N315" s="727">
        <f t="shared" si="97"/>
        <v>0</v>
      </c>
      <c r="O315" s="631"/>
      <c r="P315" s="631">
        <f t="shared" ref="P315:P316" si="99">K315-J315</f>
        <v>184790000</v>
      </c>
    </row>
    <row r="316" spans="1:20" x14ac:dyDescent="0.4">
      <c r="A316" s="475" t="s">
        <v>20</v>
      </c>
      <c r="B316" s="475" t="s">
        <v>1</v>
      </c>
      <c r="C316" s="475" t="s">
        <v>22</v>
      </c>
      <c r="D316" s="688" t="str">
        <f t="shared" si="96"/>
        <v>3월</v>
      </c>
      <c r="E316" s="690" t="s">
        <v>128</v>
      </c>
      <c r="F316" s="690" t="s">
        <v>129</v>
      </c>
      <c r="G316" s="690" t="s">
        <v>130</v>
      </c>
      <c r="H316" s="690" t="s">
        <v>254</v>
      </c>
      <c r="I316" s="691"/>
      <c r="J316" s="691">
        <v>3431969350</v>
      </c>
      <c r="K316" s="773">
        <v>3969156800</v>
      </c>
      <c r="L316" s="692"/>
      <c r="M316" s="691">
        <v>4116818000</v>
      </c>
      <c r="N316" s="727">
        <f t="shared" si="97"/>
        <v>-147661200</v>
      </c>
      <c r="O316" s="816" t="s">
        <v>546</v>
      </c>
      <c r="P316" s="631">
        <f t="shared" si="99"/>
        <v>537187450</v>
      </c>
    </row>
    <row r="317" spans="1:20" x14ac:dyDescent="0.4">
      <c r="A317" s="475" t="s">
        <v>20</v>
      </c>
      <c r="B317" s="475" t="s">
        <v>1</v>
      </c>
      <c r="C317" s="475" t="s">
        <v>28</v>
      </c>
      <c r="D317" s="688" t="str">
        <f>D314</f>
        <v>3월</v>
      </c>
      <c r="E317" s="690" t="s">
        <v>128</v>
      </c>
      <c r="F317" s="690" t="s">
        <v>129</v>
      </c>
      <c r="G317" s="690" t="s">
        <v>130</v>
      </c>
      <c r="H317" s="690" t="s">
        <v>136</v>
      </c>
      <c r="I317" s="691"/>
      <c r="J317" s="691">
        <v>0</v>
      </c>
      <c r="K317" s="773">
        <v>0</v>
      </c>
      <c r="L317" s="692" t="e">
        <f t="shared" si="98"/>
        <v>#DIV/0!</v>
      </c>
      <c r="M317" s="691">
        <v>0</v>
      </c>
      <c r="N317" s="727">
        <f t="shared" si="97"/>
        <v>0</v>
      </c>
    </row>
    <row r="318" spans="1:20" x14ac:dyDescent="0.4">
      <c r="A318" s="475" t="s">
        <v>20</v>
      </c>
      <c r="B318" s="475" t="s">
        <v>1</v>
      </c>
      <c r="C318" s="475" t="s">
        <v>26</v>
      </c>
      <c r="D318" s="688" t="str">
        <f t="shared" si="96"/>
        <v>3월</v>
      </c>
      <c r="E318" s="690" t="s">
        <v>128</v>
      </c>
      <c r="F318" s="690" t="s">
        <v>129</v>
      </c>
      <c r="G318" s="690" t="s">
        <v>130</v>
      </c>
      <c r="H318" s="690" t="s">
        <v>137</v>
      </c>
      <c r="I318" s="691"/>
      <c r="J318" s="691">
        <v>131875000</v>
      </c>
      <c r="K318" s="773">
        <v>0</v>
      </c>
      <c r="L318" s="692">
        <f t="shared" si="98"/>
        <v>0</v>
      </c>
      <c r="M318" s="691">
        <v>131875000</v>
      </c>
      <c r="N318" s="727">
        <f t="shared" si="97"/>
        <v>-131875000</v>
      </c>
      <c r="O318" s="475" t="s">
        <v>545</v>
      </c>
    </row>
    <row r="319" spans="1:20" x14ac:dyDescent="0.4">
      <c r="A319" s="475" t="s">
        <v>20</v>
      </c>
      <c r="B319" s="475" t="s">
        <v>1</v>
      </c>
      <c r="C319" s="475" t="s">
        <v>25</v>
      </c>
      <c r="D319" s="688" t="str">
        <f t="shared" si="96"/>
        <v>3월</v>
      </c>
      <c r="E319" s="690" t="s">
        <v>128</v>
      </c>
      <c r="F319" s="690" t="s">
        <v>129</v>
      </c>
      <c r="G319" s="690" t="s">
        <v>130</v>
      </c>
      <c r="H319" s="690" t="s">
        <v>141</v>
      </c>
      <c r="I319" s="691"/>
      <c r="J319" s="691">
        <v>702000000</v>
      </c>
      <c r="K319" s="815">
        <f>443600000+28575130</f>
        <v>472175130</v>
      </c>
      <c r="L319" s="692">
        <f t="shared" si="98"/>
        <v>0</v>
      </c>
      <c r="M319" s="691">
        <v>443600000</v>
      </c>
      <c r="N319" s="727">
        <f t="shared" si="97"/>
        <v>28575130</v>
      </c>
      <c r="O319" s="475" t="s">
        <v>544</v>
      </c>
    </row>
    <row r="320" spans="1:20" x14ac:dyDescent="0.4">
      <c r="A320" s="475" t="s">
        <v>20</v>
      </c>
      <c r="B320" s="475" t="s">
        <v>1</v>
      </c>
      <c r="C320" s="475" t="s">
        <v>27</v>
      </c>
      <c r="D320" s="688" t="str">
        <f t="shared" si="96"/>
        <v>3월</v>
      </c>
      <c r="E320" s="701" t="s">
        <v>128</v>
      </c>
      <c r="F320" s="701" t="s">
        <v>129</v>
      </c>
      <c r="G320" s="701" t="s">
        <v>130</v>
      </c>
      <c r="H320" s="701" t="s">
        <v>142</v>
      </c>
      <c r="I320" s="702"/>
      <c r="J320" s="702">
        <v>281250000</v>
      </c>
      <c r="K320" s="777">
        <f>281250000+36208334</f>
        <v>317458334</v>
      </c>
      <c r="L320" s="703"/>
      <c r="M320" s="702">
        <v>281250000</v>
      </c>
      <c r="N320" s="727">
        <f t="shared" si="97"/>
        <v>36208334</v>
      </c>
    </row>
    <row r="321" spans="1:15" ht="14.4" thickBot="1" x14ac:dyDescent="0.45">
      <c r="A321" s="475" t="s">
        <v>20</v>
      </c>
      <c r="B321" s="475" t="s">
        <v>1</v>
      </c>
      <c r="C321" s="475" t="s">
        <v>28</v>
      </c>
      <c r="D321" s="766" t="str">
        <f t="shared" si="96"/>
        <v>3월</v>
      </c>
      <c r="E321" s="705" t="s">
        <v>128</v>
      </c>
      <c r="F321" s="705" t="s">
        <v>129</v>
      </c>
      <c r="G321" s="705" t="s">
        <v>130</v>
      </c>
      <c r="H321" s="705" t="s">
        <v>143</v>
      </c>
      <c r="I321" s="706"/>
      <c r="J321" s="706"/>
      <c r="K321" s="778"/>
      <c r="L321" s="707" t="e">
        <f>+K321/J321</f>
        <v>#DIV/0!</v>
      </c>
      <c r="M321" s="706"/>
      <c r="N321" s="727">
        <f t="shared" si="97"/>
        <v>0</v>
      </c>
    </row>
    <row r="322" spans="1:15" ht="14.4" thickBot="1" x14ac:dyDescent="0.45">
      <c r="D322" s="829" t="s">
        <v>266</v>
      </c>
      <c r="E322" s="830"/>
      <c r="F322" s="830"/>
      <c r="G322" s="830"/>
      <c r="H322" s="831"/>
      <c r="I322" s="710">
        <f>SUM(I310:I321)</f>
        <v>0</v>
      </c>
      <c r="J322" s="710">
        <f>SUM(J310:J321)</f>
        <v>10474626383.333334</v>
      </c>
      <c r="K322" s="710">
        <f>SUM(K310:K321)</f>
        <v>11429749890.880001</v>
      </c>
      <c r="L322" s="711">
        <f>I322/J322</f>
        <v>0</v>
      </c>
      <c r="M322" s="712">
        <f>SUM(M310:M321)</f>
        <v>11693364260.213333</v>
      </c>
      <c r="N322" s="713">
        <f>SUM(N310:N321)</f>
        <v>-263614369.33333337</v>
      </c>
    </row>
    <row r="323" spans="1:15" ht="14.4" thickBot="1" x14ac:dyDescent="0.45">
      <c r="D323" s="832" t="s">
        <v>267</v>
      </c>
      <c r="E323" s="833"/>
      <c r="F323" s="833"/>
      <c r="G323" s="833"/>
      <c r="H323" s="834"/>
      <c r="I323" s="722">
        <f>SUM(I296,I309,I322)</f>
        <v>21955351244</v>
      </c>
      <c r="J323" s="722">
        <f>SUM(J296,J309,J322)</f>
        <v>31338771304</v>
      </c>
      <c r="K323" s="722">
        <f>SUM(K296,K309,K322)</f>
        <v>33385101134.880001</v>
      </c>
      <c r="L323" s="723">
        <f>I323/J323</f>
        <v>0.70058111184460115</v>
      </c>
      <c r="M323" s="722">
        <f>SUM(M296,M309,M322)</f>
        <v>33648715504.213333</v>
      </c>
      <c r="N323" s="722">
        <f>SUM(N296,N309,N322)</f>
        <v>-263614369.33333337</v>
      </c>
    </row>
    <row r="324" spans="1:15" x14ac:dyDescent="0.4">
      <c r="A324" s="475" t="s">
        <v>20</v>
      </c>
      <c r="B324" s="475" t="s">
        <v>150</v>
      </c>
      <c r="C324" s="475" t="s">
        <v>101</v>
      </c>
      <c r="D324" s="682" t="s">
        <v>151</v>
      </c>
      <c r="E324" s="784" t="s">
        <v>128</v>
      </c>
      <c r="F324" s="761" t="s">
        <v>129</v>
      </c>
      <c r="G324" s="784" t="s">
        <v>130</v>
      </c>
      <c r="H324" s="761" t="s">
        <v>248</v>
      </c>
      <c r="I324" s="762"/>
      <c r="J324" s="762">
        <v>17044833.333333336</v>
      </c>
      <c r="K324" s="799">
        <v>17044833.333333336</v>
      </c>
      <c r="L324" s="763">
        <f t="shared" ref="L324" si="100">+I324/J324</f>
        <v>0</v>
      </c>
      <c r="M324" s="762"/>
      <c r="N324" s="748">
        <f>K324-M324</f>
        <v>17044833.333333336</v>
      </c>
    </row>
    <row r="325" spans="1:15" x14ac:dyDescent="0.4">
      <c r="A325" s="475" t="s">
        <v>20</v>
      </c>
      <c r="B325" s="475" t="s">
        <v>150</v>
      </c>
      <c r="C325" s="475" t="s">
        <v>101</v>
      </c>
      <c r="D325" s="688" t="str">
        <f t="shared" ref="D325:D335" si="101">D324</f>
        <v>4월</v>
      </c>
      <c r="E325" s="785" t="s">
        <v>128</v>
      </c>
      <c r="F325" s="690" t="s">
        <v>129</v>
      </c>
      <c r="G325" s="785" t="s">
        <v>130</v>
      </c>
      <c r="H325" s="690" t="s">
        <v>132</v>
      </c>
      <c r="I325" s="691"/>
      <c r="J325" s="691">
        <v>0</v>
      </c>
      <c r="K325" s="773">
        <v>0</v>
      </c>
      <c r="L325" s="692"/>
      <c r="M325" s="691"/>
      <c r="N325" s="727">
        <f t="shared" ref="N325:N335" si="102">K325-M325</f>
        <v>0</v>
      </c>
    </row>
    <row r="326" spans="1:15" x14ac:dyDescent="0.4">
      <c r="A326" s="475" t="s">
        <v>20</v>
      </c>
      <c r="B326" s="475" t="s">
        <v>150</v>
      </c>
      <c r="C326" s="475" t="s">
        <v>18</v>
      </c>
      <c r="D326" s="688" t="str">
        <f t="shared" si="101"/>
        <v>4월</v>
      </c>
      <c r="E326" s="786" t="s">
        <v>128</v>
      </c>
      <c r="F326" s="690" t="s">
        <v>129</v>
      </c>
      <c r="G326" s="785" t="s">
        <v>130</v>
      </c>
      <c r="H326" s="690" t="s">
        <v>133</v>
      </c>
      <c r="I326" s="691"/>
      <c r="J326" s="691">
        <v>1216144800</v>
      </c>
      <c r="K326" s="802">
        <v>1216144800</v>
      </c>
      <c r="L326" s="692"/>
      <c r="M326" s="691"/>
      <c r="N326" s="727">
        <f t="shared" si="102"/>
        <v>1216144800</v>
      </c>
      <c r="O326" s="817" t="s">
        <v>556</v>
      </c>
    </row>
    <row r="327" spans="1:15" x14ac:dyDescent="0.4">
      <c r="A327" s="475" t="s">
        <v>20</v>
      </c>
      <c r="B327" s="475" t="s">
        <v>150</v>
      </c>
      <c r="C327" s="475" t="s">
        <v>23</v>
      </c>
      <c r="D327" s="688" t="str">
        <f t="shared" si="101"/>
        <v>4월</v>
      </c>
      <c r="E327" s="785" t="s">
        <v>128</v>
      </c>
      <c r="F327" s="690" t="s">
        <v>129</v>
      </c>
      <c r="G327" s="785" t="s">
        <v>130</v>
      </c>
      <c r="H327" s="690" t="s">
        <v>134</v>
      </c>
      <c r="I327" s="691"/>
      <c r="J327" s="691">
        <v>419865800</v>
      </c>
      <c r="K327" s="802">
        <v>419865800</v>
      </c>
      <c r="L327" s="692">
        <f t="shared" ref="L327" si="103">+I327/J327</f>
        <v>0</v>
      </c>
      <c r="M327" s="691"/>
      <c r="N327" s="727">
        <f t="shared" si="102"/>
        <v>419865800</v>
      </c>
    </row>
    <row r="328" spans="1:15" x14ac:dyDescent="0.4">
      <c r="A328" s="475" t="s">
        <v>20</v>
      </c>
      <c r="B328" s="475" t="s">
        <v>150</v>
      </c>
      <c r="C328" s="475" t="s">
        <v>22</v>
      </c>
      <c r="D328" s="688" t="str">
        <f t="shared" si="101"/>
        <v>4월</v>
      </c>
      <c r="E328" s="785" t="s">
        <v>128</v>
      </c>
      <c r="F328" s="690" t="s">
        <v>129</v>
      </c>
      <c r="G328" s="785" t="s">
        <v>130</v>
      </c>
      <c r="H328" s="690" t="s">
        <v>251</v>
      </c>
      <c r="I328" s="691"/>
      <c r="J328" s="691">
        <v>2996330400</v>
      </c>
      <c r="K328" s="802">
        <v>2996330400</v>
      </c>
      <c r="L328" s="692">
        <f>+I328/J328</f>
        <v>0</v>
      </c>
      <c r="M328" s="774"/>
      <c r="N328" s="727">
        <f t="shared" si="102"/>
        <v>2996330400</v>
      </c>
      <c r="O328" s="817" t="s">
        <v>547</v>
      </c>
    </row>
    <row r="329" spans="1:15" x14ac:dyDescent="0.4">
      <c r="A329" s="475" t="s">
        <v>20</v>
      </c>
      <c r="B329" s="475" t="s">
        <v>150</v>
      </c>
      <c r="C329" s="475" t="s">
        <v>22</v>
      </c>
      <c r="D329" s="688" t="str">
        <f t="shared" si="101"/>
        <v>4월</v>
      </c>
      <c r="E329" s="785" t="s">
        <v>128</v>
      </c>
      <c r="F329" s="690" t="s">
        <v>129</v>
      </c>
      <c r="G329" s="785" t="s">
        <v>130</v>
      </c>
      <c r="H329" s="690" t="s">
        <v>253</v>
      </c>
      <c r="I329" s="691"/>
      <c r="J329" s="691">
        <v>1851511057.5999999</v>
      </c>
      <c r="K329" s="802">
        <v>1851511057.5999999</v>
      </c>
      <c r="L329" s="692"/>
      <c r="M329" s="774"/>
      <c r="N329" s="727">
        <f t="shared" si="102"/>
        <v>1851511057.5999999</v>
      </c>
    </row>
    <row r="330" spans="1:15" x14ac:dyDescent="0.4">
      <c r="A330" s="475" t="s">
        <v>20</v>
      </c>
      <c r="B330" s="475" t="s">
        <v>150</v>
      </c>
      <c r="C330" s="475" t="s">
        <v>22</v>
      </c>
      <c r="D330" s="688" t="str">
        <f t="shared" si="101"/>
        <v>4월</v>
      </c>
      <c r="E330" s="785" t="s">
        <v>128</v>
      </c>
      <c r="F330" s="690" t="s">
        <v>129</v>
      </c>
      <c r="G330" s="785" t="s">
        <v>130</v>
      </c>
      <c r="H330" s="690" t="s">
        <v>254</v>
      </c>
      <c r="I330" s="691"/>
      <c r="J330" s="691">
        <v>3087108900</v>
      </c>
      <c r="K330" s="802">
        <v>3087108900</v>
      </c>
      <c r="L330" s="692"/>
      <c r="M330" s="774"/>
      <c r="N330" s="727">
        <f t="shared" si="102"/>
        <v>3087108900</v>
      </c>
      <c r="O330" s="817" t="s">
        <v>546</v>
      </c>
    </row>
    <row r="331" spans="1:15" x14ac:dyDescent="0.4">
      <c r="A331" s="475" t="s">
        <v>20</v>
      </c>
      <c r="B331" s="475" t="s">
        <v>150</v>
      </c>
      <c r="C331" s="475" t="s">
        <v>28</v>
      </c>
      <c r="D331" s="688" t="str">
        <f>D328</f>
        <v>4월</v>
      </c>
      <c r="E331" s="785" t="s">
        <v>128</v>
      </c>
      <c r="F331" s="690" t="s">
        <v>129</v>
      </c>
      <c r="G331" s="785" t="s">
        <v>130</v>
      </c>
      <c r="H331" s="690" t="s">
        <v>136</v>
      </c>
      <c r="I331" s="691"/>
      <c r="J331" s="691">
        <v>0</v>
      </c>
      <c r="K331" s="773">
        <v>0</v>
      </c>
      <c r="L331" s="692" t="e">
        <f t="shared" ref="L331:L333" si="104">+I331/J331</f>
        <v>#DIV/0!</v>
      </c>
      <c r="M331" s="691"/>
      <c r="N331" s="727">
        <f t="shared" si="102"/>
        <v>0</v>
      </c>
    </row>
    <row r="332" spans="1:15" x14ac:dyDescent="0.4">
      <c r="A332" s="475" t="s">
        <v>20</v>
      </c>
      <c r="B332" s="475" t="s">
        <v>150</v>
      </c>
      <c r="C332" s="475" t="s">
        <v>26</v>
      </c>
      <c r="D332" s="688" t="str">
        <f t="shared" si="101"/>
        <v>4월</v>
      </c>
      <c r="E332" s="785" t="s">
        <v>128</v>
      </c>
      <c r="F332" s="690" t="s">
        <v>129</v>
      </c>
      <c r="G332" s="785" t="s">
        <v>130</v>
      </c>
      <c r="H332" s="690" t="s">
        <v>137</v>
      </c>
      <c r="I332" s="691"/>
      <c r="J332" s="691">
        <v>203000000</v>
      </c>
      <c r="K332" s="773">
        <v>203000000</v>
      </c>
      <c r="L332" s="692">
        <f t="shared" si="104"/>
        <v>0</v>
      </c>
      <c r="M332" s="691"/>
      <c r="N332" s="727">
        <f t="shared" si="102"/>
        <v>203000000</v>
      </c>
    </row>
    <row r="333" spans="1:15" x14ac:dyDescent="0.4">
      <c r="A333" s="475" t="s">
        <v>20</v>
      </c>
      <c r="B333" s="475" t="s">
        <v>150</v>
      </c>
      <c r="C333" s="475" t="s">
        <v>25</v>
      </c>
      <c r="D333" s="688" t="str">
        <f t="shared" si="101"/>
        <v>4월</v>
      </c>
      <c r="E333" s="785" t="s">
        <v>128</v>
      </c>
      <c r="F333" s="690" t="s">
        <v>129</v>
      </c>
      <c r="G333" s="785" t="s">
        <v>130</v>
      </c>
      <c r="H333" s="690" t="s">
        <v>141</v>
      </c>
      <c r="I333" s="691"/>
      <c r="J333" s="691">
        <v>834000000</v>
      </c>
      <c r="K333" s="815">
        <v>834000000</v>
      </c>
      <c r="L333" s="692">
        <f t="shared" si="104"/>
        <v>0</v>
      </c>
      <c r="M333" s="691"/>
      <c r="N333" s="727">
        <f t="shared" si="102"/>
        <v>834000000</v>
      </c>
      <c r="O333" s="475" t="s">
        <v>268</v>
      </c>
    </row>
    <row r="334" spans="1:15" x14ac:dyDescent="0.4">
      <c r="A334" s="475" t="s">
        <v>20</v>
      </c>
      <c r="B334" s="475" t="s">
        <v>150</v>
      </c>
      <c r="C334" s="475" t="s">
        <v>27</v>
      </c>
      <c r="D334" s="688" t="str">
        <f t="shared" si="101"/>
        <v>4월</v>
      </c>
      <c r="E334" s="787" t="s">
        <v>128</v>
      </c>
      <c r="F334" s="701" t="s">
        <v>129</v>
      </c>
      <c r="G334" s="787" t="s">
        <v>130</v>
      </c>
      <c r="H334" s="701" t="s">
        <v>142</v>
      </c>
      <c r="I334" s="702"/>
      <c r="J334" s="702">
        <v>46875000</v>
      </c>
      <c r="K334" s="777">
        <v>46875000</v>
      </c>
      <c r="L334" s="703"/>
      <c r="M334" s="702"/>
      <c r="N334" s="727">
        <f t="shared" si="102"/>
        <v>46875000</v>
      </c>
      <c r="O334" s="475" t="s">
        <v>269</v>
      </c>
    </row>
    <row r="335" spans="1:15" ht="14.4" thickBot="1" x14ac:dyDescent="0.45">
      <c r="A335" s="475" t="s">
        <v>20</v>
      </c>
      <c r="B335" s="475" t="s">
        <v>150</v>
      </c>
      <c r="C335" s="475" t="s">
        <v>28</v>
      </c>
      <c r="D335" s="766" t="str">
        <f t="shared" si="101"/>
        <v>4월</v>
      </c>
      <c r="E335" s="788" t="s">
        <v>128</v>
      </c>
      <c r="F335" s="705" t="s">
        <v>129</v>
      </c>
      <c r="G335" s="788" t="s">
        <v>130</v>
      </c>
      <c r="H335" s="705" t="s">
        <v>143</v>
      </c>
      <c r="I335" s="706"/>
      <c r="J335" s="706"/>
      <c r="K335" s="778"/>
      <c r="L335" s="707" t="e">
        <f t="shared" ref="L335" si="105">+K335/J335</f>
        <v>#DIV/0!</v>
      </c>
      <c r="M335" s="706"/>
      <c r="N335" s="727">
        <f t="shared" si="102"/>
        <v>0</v>
      </c>
    </row>
    <row r="336" spans="1:15" ht="14.4" thickBot="1" x14ac:dyDescent="0.45">
      <c r="D336" s="829" t="s">
        <v>270</v>
      </c>
      <c r="E336" s="830"/>
      <c r="F336" s="830"/>
      <c r="G336" s="830"/>
      <c r="H336" s="831"/>
      <c r="I336" s="710">
        <f>SUM(I324:I335)</f>
        <v>0</v>
      </c>
      <c r="J336" s="710">
        <f>SUM(J324:J335)</f>
        <v>10671880790.933332</v>
      </c>
      <c r="K336" s="710">
        <f>SUM(K324:K335)</f>
        <v>10671880790.933332</v>
      </c>
      <c r="L336" s="711">
        <f>I336/J336</f>
        <v>0</v>
      </c>
      <c r="M336" s="712">
        <f>SUM(M324:M335)</f>
        <v>0</v>
      </c>
      <c r="N336" s="713">
        <f>SUM(N324:N335)</f>
        <v>10671880790.933332</v>
      </c>
    </row>
    <row r="337" spans="1:16" x14ac:dyDescent="0.4">
      <c r="A337" s="475" t="s">
        <v>20</v>
      </c>
      <c r="B337" s="475" t="s">
        <v>150</v>
      </c>
      <c r="C337" s="475" t="s">
        <v>101</v>
      </c>
      <c r="D337" s="682" t="s">
        <v>153</v>
      </c>
      <c r="E337" s="784" t="s">
        <v>128</v>
      </c>
      <c r="F337" s="761" t="s">
        <v>129</v>
      </c>
      <c r="G337" s="784" t="s">
        <v>130</v>
      </c>
      <c r="H337" s="761" t="s">
        <v>248</v>
      </c>
      <c r="I337" s="762"/>
      <c r="J337" s="762">
        <v>17044833.333333336</v>
      </c>
      <c r="K337" s="799">
        <v>17044833.333333336</v>
      </c>
      <c r="L337" s="763">
        <f t="shared" ref="L337" si="106">+I337/J337</f>
        <v>0</v>
      </c>
      <c r="M337" s="762"/>
      <c r="N337" s="748">
        <f>K337-M337</f>
        <v>17044833.333333336</v>
      </c>
    </row>
    <row r="338" spans="1:16" x14ac:dyDescent="0.4">
      <c r="A338" s="475" t="s">
        <v>20</v>
      </c>
      <c r="B338" s="475" t="s">
        <v>150</v>
      </c>
      <c r="C338" s="475" t="s">
        <v>101</v>
      </c>
      <c r="D338" s="688" t="str">
        <f t="shared" ref="D338:D348" si="107">D337</f>
        <v>5월</v>
      </c>
      <c r="E338" s="785" t="s">
        <v>128</v>
      </c>
      <c r="F338" s="690" t="s">
        <v>129</v>
      </c>
      <c r="G338" s="785" t="s">
        <v>130</v>
      </c>
      <c r="H338" s="690" t="s">
        <v>132</v>
      </c>
      <c r="I338" s="691"/>
      <c r="J338" s="691">
        <v>0</v>
      </c>
      <c r="K338" s="773">
        <v>0</v>
      </c>
      <c r="L338" s="692"/>
      <c r="M338" s="691"/>
      <c r="N338" s="727">
        <f t="shared" ref="N338:N346" si="108">K338-M338</f>
        <v>0</v>
      </c>
    </row>
    <row r="339" spans="1:16" x14ac:dyDescent="0.4">
      <c r="A339" s="475" t="s">
        <v>20</v>
      </c>
      <c r="B339" s="475" t="s">
        <v>150</v>
      </c>
      <c r="C339" s="475" t="s">
        <v>18</v>
      </c>
      <c r="D339" s="688" t="str">
        <f t="shared" si="107"/>
        <v>5월</v>
      </c>
      <c r="E339" s="786" t="s">
        <v>128</v>
      </c>
      <c r="F339" s="690" t="s">
        <v>129</v>
      </c>
      <c r="G339" s="785" t="s">
        <v>130</v>
      </c>
      <c r="H339" s="690" t="s">
        <v>133</v>
      </c>
      <c r="I339" s="774"/>
      <c r="J339" s="691">
        <v>1797251400</v>
      </c>
      <c r="K339" s="773">
        <v>1797251400</v>
      </c>
      <c r="L339" s="692"/>
      <c r="M339" s="691"/>
      <c r="N339" s="727">
        <f t="shared" si="108"/>
        <v>1797251400</v>
      </c>
    </row>
    <row r="340" spans="1:16" x14ac:dyDescent="0.4">
      <c r="A340" s="475" t="s">
        <v>20</v>
      </c>
      <c r="B340" s="475" t="s">
        <v>150</v>
      </c>
      <c r="C340" s="475" t="s">
        <v>23</v>
      </c>
      <c r="D340" s="688" t="str">
        <f t="shared" si="107"/>
        <v>5월</v>
      </c>
      <c r="E340" s="785" t="s">
        <v>128</v>
      </c>
      <c r="F340" s="690" t="s">
        <v>129</v>
      </c>
      <c r="G340" s="785" t="s">
        <v>130</v>
      </c>
      <c r="H340" s="690" t="s">
        <v>134</v>
      </c>
      <c r="I340" s="774"/>
      <c r="J340" s="691">
        <v>479189440</v>
      </c>
      <c r="K340" s="773">
        <v>479189440</v>
      </c>
      <c r="L340" s="692">
        <f>+I340/J340</f>
        <v>0</v>
      </c>
      <c r="M340" s="691"/>
      <c r="N340" s="727">
        <f t="shared" si="108"/>
        <v>479189440</v>
      </c>
    </row>
    <row r="341" spans="1:16" x14ac:dyDescent="0.4">
      <c r="A341" s="475" t="s">
        <v>20</v>
      </c>
      <c r="B341" s="475" t="s">
        <v>150</v>
      </c>
      <c r="C341" s="475" t="s">
        <v>22</v>
      </c>
      <c r="D341" s="688" t="str">
        <f t="shared" si="107"/>
        <v>5월</v>
      </c>
      <c r="E341" s="785" t="s">
        <v>128</v>
      </c>
      <c r="F341" s="690" t="s">
        <v>129</v>
      </c>
      <c r="G341" s="785" t="s">
        <v>130</v>
      </c>
      <c r="H341" s="690" t="s">
        <v>251</v>
      </c>
      <c r="I341" s="774"/>
      <c r="J341" s="691">
        <v>4559338800</v>
      </c>
      <c r="K341" s="802">
        <v>4559338800</v>
      </c>
      <c r="L341" s="692">
        <f t="shared" ref="L341:L346" si="109">+I341/J341</f>
        <v>0</v>
      </c>
      <c r="M341" s="691"/>
      <c r="N341" s="727">
        <f t="shared" si="108"/>
        <v>4559338800</v>
      </c>
    </row>
    <row r="342" spans="1:16" x14ac:dyDescent="0.4">
      <c r="A342" s="475" t="s">
        <v>20</v>
      </c>
      <c r="B342" s="475" t="s">
        <v>150</v>
      </c>
      <c r="C342" s="475" t="s">
        <v>22</v>
      </c>
      <c r="D342" s="688" t="str">
        <f t="shared" si="107"/>
        <v>5월</v>
      </c>
      <c r="E342" s="785" t="s">
        <v>128</v>
      </c>
      <c r="F342" s="690" t="s">
        <v>129</v>
      </c>
      <c r="G342" s="785" t="s">
        <v>130</v>
      </c>
      <c r="H342" s="690" t="s">
        <v>253</v>
      </c>
      <c r="I342" s="774"/>
      <c r="J342" s="691">
        <v>2649036050</v>
      </c>
      <c r="K342" s="802">
        <v>2649036050</v>
      </c>
      <c r="L342" s="692"/>
      <c r="M342" s="691"/>
      <c r="N342" s="727"/>
      <c r="O342" s="828"/>
      <c r="P342" s="631"/>
    </row>
    <row r="343" spans="1:16" x14ac:dyDescent="0.4">
      <c r="A343" s="475" t="s">
        <v>20</v>
      </c>
      <c r="B343" s="475" t="s">
        <v>150</v>
      </c>
      <c r="C343" s="475" t="s">
        <v>22</v>
      </c>
      <c r="D343" s="688" t="str">
        <f t="shared" si="107"/>
        <v>5월</v>
      </c>
      <c r="E343" s="785" t="s">
        <v>128</v>
      </c>
      <c r="F343" s="690" t="s">
        <v>129</v>
      </c>
      <c r="G343" s="785" t="s">
        <v>130</v>
      </c>
      <c r="H343" s="690" t="s">
        <v>254</v>
      </c>
      <c r="I343" s="774"/>
      <c r="J343" s="691">
        <v>2949724700</v>
      </c>
      <c r="K343" s="802">
        <v>2949724700</v>
      </c>
      <c r="L343" s="692"/>
      <c r="M343" s="691"/>
      <c r="N343" s="727"/>
      <c r="O343" s="828"/>
    </row>
    <row r="344" spans="1:16" x14ac:dyDescent="0.4">
      <c r="A344" s="475" t="s">
        <v>20</v>
      </c>
      <c r="B344" s="475" t="s">
        <v>150</v>
      </c>
      <c r="C344" s="475" t="s">
        <v>28</v>
      </c>
      <c r="D344" s="688" t="str">
        <f>D341</f>
        <v>5월</v>
      </c>
      <c r="E344" s="785" t="s">
        <v>128</v>
      </c>
      <c r="F344" s="690" t="s">
        <v>129</v>
      </c>
      <c r="G344" s="785" t="s">
        <v>130</v>
      </c>
      <c r="H344" s="690" t="s">
        <v>136</v>
      </c>
      <c r="I344" s="691"/>
      <c r="J344" s="691">
        <v>0</v>
      </c>
      <c r="K344" s="773">
        <v>0</v>
      </c>
      <c r="L344" s="692" t="e">
        <f t="shared" si="109"/>
        <v>#DIV/0!</v>
      </c>
      <c r="M344" s="691"/>
      <c r="N344" s="727">
        <f t="shared" si="108"/>
        <v>0</v>
      </c>
    </row>
    <row r="345" spans="1:16" x14ac:dyDescent="0.4">
      <c r="A345" s="475" t="s">
        <v>20</v>
      </c>
      <c r="B345" s="475" t="s">
        <v>150</v>
      </c>
      <c r="C345" s="475" t="s">
        <v>26</v>
      </c>
      <c r="D345" s="688" t="str">
        <f t="shared" si="107"/>
        <v>5월</v>
      </c>
      <c r="E345" s="785" t="s">
        <v>128</v>
      </c>
      <c r="F345" s="690" t="s">
        <v>129</v>
      </c>
      <c r="G345" s="785" t="s">
        <v>130</v>
      </c>
      <c r="H345" s="690" t="s">
        <v>137</v>
      </c>
      <c r="I345" s="691"/>
      <c r="J345" s="691">
        <v>171875000</v>
      </c>
      <c r="K345" s="773">
        <v>171875000</v>
      </c>
      <c r="L345" s="692">
        <f t="shared" si="109"/>
        <v>0</v>
      </c>
      <c r="M345" s="691"/>
      <c r="N345" s="727">
        <f t="shared" si="108"/>
        <v>171875000</v>
      </c>
    </row>
    <row r="346" spans="1:16" x14ac:dyDescent="0.4">
      <c r="A346" s="475" t="s">
        <v>20</v>
      </c>
      <c r="B346" s="475" t="s">
        <v>150</v>
      </c>
      <c r="C346" s="475" t="s">
        <v>25</v>
      </c>
      <c r="D346" s="688" t="str">
        <f t="shared" si="107"/>
        <v>5월</v>
      </c>
      <c r="E346" s="785" t="s">
        <v>128</v>
      </c>
      <c r="F346" s="690" t="s">
        <v>129</v>
      </c>
      <c r="G346" s="785" t="s">
        <v>130</v>
      </c>
      <c r="H346" s="690" t="s">
        <v>141</v>
      </c>
      <c r="I346" s="774"/>
      <c r="J346" s="691">
        <v>3617750000</v>
      </c>
      <c r="K346" s="815">
        <v>3617750000</v>
      </c>
      <c r="L346" s="692">
        <f t="shared" si="109"/>
        <v>0</v>
      </c>
      <c r="M346" s="691"/>
      <c r="N346" s="727">
        <f t="shared" si="108"/>
        <v>3617750000</v>
      </c>
      <c r="O346" s="475" t="s">
        <v>271</v>
      </c>
    </row>
    <row r="347" spans="1:16" x14ac:dyDescent="0.4">
      <c r="A347" s="475" t="s">
        <v>20</v>
      </c>
      <c r="B347" s="475" t="s">
        <v>150</v>
      </c>
      <c r="C347" s="475" t="s">
        <v>27</v>
      </c>
      <c r="D347" s="688" t="str">
        <f t="shared" si="107"/>
        <v>5월</v>
      </c>
      <c r="E347" s="787" t="s">
        <v>128</v>
      </c>
      <c r="F347" s="701" t="s">
        <v>129</v>
      </c>
      <c r="G347" s="787" t="s">
        <v>130</v>
      </c>
      <c r="H347" s="701" t="s">
        <v>142</v>
      </c>
      <c r="I347" s="781"/>
      <c r="J347" s="702"/>
      <c r="K347" s="777"/>
      <c r="L347" s="703"/>
      <c r="M347" s="702"/>
      <c r="N347" s="727">
        <f>K347-M347</f>
        <v>0</v>
      </c>
      <c r="O347" s="475" t="s">
        <v>272</v>
      </c>
    </row>
    <row r="348" spans="1:16" ht="14.4" thickBot="1" x14ac:dyDescent="0.45">
      <c r="A348" s="475" t="s">
        <v>20</v>
      </c>
      <c r="B348" s="475" t="s">
        <v>150</v>
      </c>
      <c r="C348" s="475" t="s">
        <v>28</v>
      </c>
      <c r="D348" s="766" t="str">
        <f t="shared" si="107"/>
        <v>5월</v>
      </c>
      <c r="E348" s="788" t="s">
        <v>128</v>
      </c>
      <c r="F348" s="705" t="s">
        <v>129</v>
      </c>
      <c r="G348" s="788" t="s">
        <v>130</v>
      </c>
      <c r="H348" s="705" t="s">
        <v>143</v>
      </c>
      <c r="I348" s="706"/>
      <c r="J348" s="706"/>
      <c r="K348" s="778"/>
      <c r="L348" s="707" t="e">
        <f t="shared" ref="L348" si="110">+K348/J348</f>
        <v>#DIV/0!</v>
      </c>
      <c r="M348" s="706"/>
      <c r="N348" s="727">
        <f t="shared" ref="N348" si="111">K348-M348</f>
        <v>0</v>
      </c>
    </row>
    <row r="349" spans="1:16" ht="14.4" thickBot="1" x14ac:dyDescent="0.45">
      <c r="D349" s="829" t="s">
        <v>273</v>
      </c>
      <c r="E349" s="830"/>
      <c r="F349" s="830"/>
      <c r="G349" s="830"/>
      <c r="H349" s="831"/>
      <c r="I349" s="710">
        <f>SUM(I337:I348)</f>
        <v>0</v>
      </c>
      <c r="J349" s="710">
        <f>SUM(J337:J348)</f>
        <v>16241210223.333332</v>
      </c>
      <c r="K349" s="710">
        <f>SUM(K337:K348)</f>
        <v>16241210223.333332</v>
      </c>
      <c r="L349" s="711">
        <f>I349/J349</f>
        <v>0</v>
      </c>
      <c r="M349" s="712">
        <f>SUM(M337:M348)</f>
        <v>0</v>
      </c>
      <c r="N349" s="713">
        <f>SUM(N337:N348)</f>
        <v>10642449473.333332</v>
      </c>
    </row>
    <row r="350" spans="1:16" x14ac:dyDescent="0.4">
      <c r="A350" s="475" t="s">
        <v>20</v>
      </c>
      <c r="B350" s="475" t="s">
        <v>150</v>
      </c>
      <c r="C350" s="475" t="s">
        <v>101</v>
      </c>
      <c r="D350" s="682" t="s">
        <v>155</v>
      </c>
      <c r="E350" s="784" t="s">
        <v>128</v>
      </c>
      <c r="F350" s="761" t="s">
        <v>129</v>
      </c>
      <c r="G350" s="784" t="s">
        <v>130</v>
      </c>
      <c r="H350" s="761" t="s">
        <v>248</v>
      </c>
      <c r="I350" s="762"/>
      <c r="J350" s="762">
        <v>17044833.333333336</v>
      </c>
      <c r="K350" s="799">
        <v>17044833.333333336</v>
      </c>
      <c r="L350" s="763">
        <f t="shared" ref="L350" si="112">+I350/J350</f>
        <v>0</v>
      </c>
      <c r="M350" s="762"/>
      <c r="N350" s="748">
        <f>K350-M350</f>
        <v>17044833.333333336</v>
      </c>
    </row>
    <row r="351" spans="1:16" x14ac:dyDescent="0.4">
      <c r="A351" s="475" t="s">
        <v>20</v>
      </c>
      <c r="B351" s="475" t="s">
        <v>150</v>
      </c>
      <c r="C351" s="475" t="s">
        <v>101</v>
      </c>
      <c r="D351" s="688" t="str">
        <f t="shared" ref="D351:D361" si="113">D350</f>
        <v>6월</v>
      </c>
      <c r="E351" s="785" t="s">
        <v>128</v>
      </c>
      <c r="F351" s="690" t="s">
        <v>129</v>
      </c>
      <c r="G351" s="785" t="s">
        <v>130</v>
      </c>
      <c r="H351" s="690" t="s">
        <v>132</v>
      </c>
      <c r="I351" s="691"/>
      <c r="J351" s="691">
        <v>0</v>
      </c>
      <c r="K351" s="773">
        <v>0</v>
      </c>
      <c r="L351" s="692"/>
      <c r="M351" s="691"/>
      <c r="N351" s="727">
        <f t="shared" ref="N351:N361" si="114">K351-M351</f>
        <v>0</v>
      </c>
    </row>
    <row r="352" spans="1:16" x14ac:dyDescent="0.4">
      <c r="A352" s="475" t="s">
        <v>20</v>
      </c>
      <c r="B352" s="475" t="s">
        <v>150</v>
      </c>
      <c r="C352" s="475" t="s">
        <v>18</v>
      </c>
      <c r="D352" s="688" t="str">
        <f t="shared" si="113"/>
        <v>6월</v>
      </c>
      <c r="E352" s="786" t="s">
        <v>128</v>
      </c>
      <c r="F352" s="690" t="s">
        <v>129</v>
      </c>
      <c r="G352" s="785" t="s">
        <v>130</v>
      </c>
      <c r="H352" s="690" t="s">
        <v>133</v>
      </c>
      <c r="I352" s="691"/>
      <c r="J352" s="691">
        <v>308413350</v>
      </c>
      <c r="K352" s="773">
        <v>308413350</v>
      </c>
      <c r="L352" s="692"/>
      <c r="M352" s="691"/>
      <c r="N352" s="727">
        <f t="shared" si="114"/>
        <v>308413350</v>
      </c>
    </row>
    <row r="353" spans="1:15" x14ac:dyDescent="0.4">
      <c r="A353" s="475" t="s">
        <v>20</v>
      </c>
      <c r="B353" s="475" t="s">
        <v>150</v>
      </c>
      <c r="C353" s="475" t="s">
        <v>23</v>
      </c>
      <c r="D353" s="688" t="str">
        <f t="shared" si="113"/>
        <v>6월</v>
      </c>
      <c r="E353" s="785" t="s">
        <v>128</v>
      </c>
      <c r="F353" s="690" t="s">
        <v>129</v>
      </c>
      <c r="G353" s="785" t="s">
        <v>130</v>
      </c>
      <c r="H353" s="690" t="s">
        <v>134</v>
      </c>
      <c r="I353" s="691"/>
      <c r="J353" s="691">
        <v>322014360</v>
      </c>
      <c r="K353" s="773">
        <v>322014360</v>
      </c>
      <c r="L353" s="692">
        <f t="shared" ref="L353:L359" si="115">+I353/J353</f>
        <v>0</v>
      </c>
      <c r="M353" s="691"/>
      <c r="N353" s="727">
        <f t="shared" si="114"/>
        <v>322014360</v>
      </c>
    </row>
    <row r="354" spans="1:15" x14ac:dyDescent="0.4">
      <c r="A354" s="475" t="s">
        <v>20</v>
      </c>
      <c r="B354" s="475" t="s">
        <v>150</v>
      </c>
      <c r="C354" s="475" t="s">
        <v>22</v>
      </c>
      <c r="D354" s="688" t="str">
        <f>D353</f>
        <v>6월</v>
      </c>
      <c r="E354" s="785" t="s">
        <v>128</v>
      </c>
      <c r="F354" s="690" t="s">
        <v>129</v>
      </c>
      <c r="G354" s="785" t="s">
        <v>130</v>
      </c>
      <c r="H354" s="690" t="s">
        <v>251</v>
      </c>
      <c r="I354" s="691"/>
      <c r="J354" s="691">
        <v>2916678600</v>
      </c>
      <c r="K354" s="802">
        <v>2916678600</v>
      </c>
      <c r="L354" s="692">
        <f t="shared" si="115"/>
        <v>0</v>
      </c>
      <c r="M354" s="691"/>
      <c r="N354" s="727">
        <f t="shared" si="114"/>
        <v>2916678600</v>
      </c>
    </row>
    <row r="355" spans="1:15" x14ac:dyDescent="0.4">
      <c r="A355" s="475" t="s">
        <v>20</v>
      </c>
      <c r="B355" s="475" t="s">
        <v>150</v>
      </c>
      <c r="C355" s="475" t="s">
        <v>22</v>
      </c>
      <c r="D355" s="688" t="str">
        <f t="shared" ref="D355:D356" si="116">D354</f>
        <v>6월</v>
      </c>
      <c r="E355" s="785" t="s">
        <v>128</v>
      </c>
      <c r="F355" s="690" t="s">
        <v>129</v>
      </c>
      <c r="G355" s="785" t="s">
        <v>130</v>
      </c>
      <c r="H355" s="690" t="s">
        <v>253</v>
      </c>
      <c r="I355" s="691"/>
      <c r="J355" s="691">
        <v>1556374694.3999999</v>
      </c>
      <c r="K355" s="802">
        <v>1556374694.3999999</v>
      </c>
      <c r="L355" s="692"/>
      <c r="M355" s="691"/>
      <c r="N355" s="727"/>
    </row>
    <row r="356" spans="1:15" x14ac:dyDescent="0.4">
      <c r="A356" s="475" t="s">
        <v>20</v>
      </c>
      <c r="B356" s="475" t="s">
        <v>150</v>
      </c>
      <c r="C356" s="475" t="s">
        <v>22</v>
      </c>
      <c r="D356" s="688" t="str">
        <f t="shared" si="116"/>
        <v>6월</v>
      </c>
      <c r="E356" s="785" t="s">
        <v>128</v>
      </c>
      <c r="F356" s="690" t="s">
        <v>129</v>
      </c>
      <c r="G356" s="785" t="s">
        <v>130</v>
      </c>
      <c r="H356" s="690" t="s">
        <v>254</v>
      </c>
      <c r="I356" s="691"/>
      <c r="J356" s="691">
        <v>4093202000</v>
      </c>
      <c r="K356" s="802">
        <v>4093202000</v>
      </c>
      <c r="L356" s="692"/>
      <c r="M356" s="691"/>
      <c r="N356" s="727"/>
    </row>
    <row r="357" spans="1:15" x14ac:dyDescent="0.4">
      <c r="A357" s="475" t="s">
        <v>20</v>
      </c>
      <c r="B357" s="475" t="s">
        <v>150</v>
      </c>
      <c r="C357" s="475" t="s">
        <v>28</v>
      </c>
      <c r="D357" s="688" t="str">
        <f>D354</f>
        <v>6월</v>
      </c>
      <c r="E357" s="785" t="s">
        <v>128</v>
      </c>
      <c r="F357" s="690" t="s">
        <v>129</v>
      </c>
      <c r="G357" s="785" t="s">
        <v>130</v>
      </c>
      <c r="H357" s="690" t="s">
        <v>136</v>
      </c>
      <c r="I357" s="691"/>
      <c r="J357" s="691">
        <v>0</v>
      </c>
      <c r="K357" s="773">
        <v>0</v>
      </c>
      <c r="L357" s="692" t="e">
        <f t="shared" si="115"/>
        <v>#DIV/0!</v>
      </c>
      <c r="M357" s="691"/>
      <c r="N357" s="727">
        <f t="shared" si="114"/>
        <v>0</v>
      </c>
    </row>
    <row r="358" spans="1:15" x14ac:dyDescent="0.4">
      <c r="A358" s="475" t="s">
        <v>20</v>
      </c>
      <c r="B358" s="475" t="s">
        <v>150</v>
      </c>
      <c r="C358" s="475" t="s">
        <v>26</v>
      </c>
      <c r="D358" s="688" t="str">
        <f t="shared" si="113"/>
        <v>6월</v>
      </c>
      <c r="E358" s="785" t="s">
        <v>128</v>
      </c>
      <c r="F358" s="690" t="s">
        <v>129</v>
      </c>
      <c r="G358" s="785" t="s">
        <v>130</v>
      </c>
      <c r="H358" s="690" t="s">
        <v>137</v>
      </c>
      <c r="I358" s="691"/>
      <c r="J358" s="691">
        <v>173750000</v>
      </c>
      <c r="K358" s="773">
        <v>173750000</v>
      </c>
      <c r="L358" s="692">
        <f t="shared" si="115"/>
        <v>0</v>
      </c>
      <c r="M358" s="691"/>
      <c r="N358" s="727">
        <f t="shared" si="114"/>
        <v>173750000</v>
      </c>
    </row>
    <row r="359" spans="1:15" x14ac:dyDescent="0.4">
      <c r="A359" s="475" t="s">
        <v>20</v>
      </c>
      <c r="B359" s="475" t="s">
        <v>150</v>
      </c>
      <c r="C359" s="475" t="s">
        <v>25</v>
      </c>
      <c r="D359" s="688" t="str">
        <f t="shared" si="113"/>
        <v>6월</v>
      </c>
      <c r="E359" s="785" t="s">
        <v>128</v>
      </c>
      <c r="F359" s="690" t="s">
        <v>129</v>
      </c>
      <c r="G359" s="785" t="s">
        <v>130</v>
      </c>
      <c r="H359" s="690" t="s">
        <v>141</v>
      </c>
      <c r="I359" s="691"/>
      <c r="J359" s="691">
        <v>1951600000</v>
      </c>
      <c r="K359" s="815">
        <v>1951600000</v>
      </c>
      <c r="L359" s="692">
        <f t="shared" si="115"/>
        <v>0</v>
      </c>
      <c r="M359" s="691"/>
      <c r="N359" s="727">
        <f t="shared" si="114"/>
        <v>1951600000</v>
      </c>
      <c r="O359" s="475" t="s">
        <v>274</v>
      </c>
    </row>
    <row r="360" spans="1:15" x14ac:dyDescent="0.4">
      <c r="A360" s="475" t="s">
        <v>20</v>
      </c>
      <c r="B360" s="475" t="s">
        <v>150</v>
      </c>
      <c r="C360" s="475" t="s">
        <v>27</v>
      </c>
      <c r="D360" s="688" t="str">
        <f t="shared" si="113"/>
        <v>6월</v>
      </c>
      <c r="E360" s="787" t="s">
        <v>128</v>
      </c>
      <c r="F360" s="701" t="s">
        <v>129</v>
      </c>
      <c r="G360" s="787" t="s">
        <v>130</v>
      </c>
      <c r="H360" s="701" t="s">
        <v>142</v>
      </c>
      <c r="I360" s="702"/>
      <c r="J360" s="702"/>
      <c r="K360" s="777"/>
      <c r="L360" s="703"/>
      <c r="M360" s="702"/>
      <c r="N360" s="727">
        <f t="shared" si="114"/>
        <v>0</v>
      </c>
      <c r="O360" s="475" t="s">
        <v>272</v>
      </c>
    </row>
    <row r="361" spans="1:15" ht="14.4" thickBot="1" x14ac:dyDescent="0.45">
      <c r="A361" s="475" t="s">
        <v>20</v>
      </c>
      <c r="B361" s="475" t="s">
        <v>150</v>
      </c>
      <c r="C361" s="475" t="s">
        <v>28</v>
      </c>
      <c r="D361" s="766" t="str">
        <f t="shared" si="113"/>
        <v>6월</v>
      </c>
      <c r="E361" s="788" t="s">
        <v>128</v>
      </c>
      <c r="F361" s="705" t="s">
        <v>129</v>
      </c>
      <c r="G361" s="788" t="s">
        <v>130</v>
      </c>
      <c r="H361" s="705" t="s">
        <v>143</v>
      </c>
      <c r="I361" s="706"/>
      <c r="J361" s="706"/>
      <c r="K361" s="778"/>
      <c r="L361" s="707" t="e">
        <f t="shared" ref="L361" si="117">+K361/J361</f>
        <v>#DIV/0!</v>
      </c>
      <c r="M361" s="706"/>
      <c r="N361" s="727">
        <f t="shared" si="114"/>
        <v>0</v>
      </c>
    </row>
    <row r="362" spans="1:15" ht="14.4" thickBot="1" x14ac:dyDescent="0.45">
      <c r="D362" s="829" t="s">
        <v>275</v>
      </c>
      <c r="E362" s="830"/>
      <c r="F362" s="830"/>
      <c r="G362" s="830"/>
      <c r="H362" s="831"/>
      <c r="I362" s="710">
        <f>SUM(I350:I361)</f>
        <v>0</v>
      </c>
      <c r="J362" s="710">
        <f>SUM(J350:J361)</f>
        <v>11339077837.733334</v>
      </c>
      <c r="K362" s="710">
        <f>SUM(K350:K361)</f>
        <v>11339077837.733334</v>
      </c>
      <c r="L362" s="711">
        <f>I362/J362</f>
        <v>0</v>
      </c>
      <c r="M362" s="712">
        <f>SUM(M350:M361)</f>
        <v>0</v>
      </c>
      <c r="N362" s="713">
        <f>SUM(N350:N361)</f>
        <v>5689501143.333333</v>
      </c>
    </row>
    <row r="363" spans="1:15" ht="14.4" thickBot="1" x14ac:dyDescent="0.45">
      <c r="D363" s="832" t="s">
        <v>276</v>
      </c>
      <c r="E363" s="833"/>
      <c r="F363" s="833"/>
      <c r="G363" s="833"/>
      <c r="H363" s="834"/>
      <c r="I363" s="722">
        <f>SUM(I336,I349,I362)</f>
        <v>0</v>
      </c>
      <c r="J363" s="722">
        <f>SUM(J336,J349,J362)</f>
        <v>38252168852</v>
      </c>
      <c r="K363" s="722">
        <f>SUM(K336,K349,K362)</f>
        <v>38252168852</v>
      </c>
      <c r="L363" s="723">
        <f>I363/J363</f>
        <v>0</v>
      </c>
      <c r="M363" s="722">
        <f>SUM(M336,M349,M362)</f>
        <v>0</v>
      </c>
      <c r="N363" s="722">
        <f>SUM(N336,N349,N362)</f>
        <v>27003831407.599995</v>
      </c>
    </row>
    <row r="364" spans="1:15" x14ac:dyDescent="0.4">
      <c r="A364" s="475" t="s">
        <v>20</v>
      </c>
      <c r="B364" s="475" t="s">
        <v>94</v>
      </c>
      <c r="C364" s="475" t="s">
        <v>101</v>
      </c>
      <c r="D364" s="682" t="s">
        <v>73</v>
      </c>
      <c r="E364" s="784" t="s">
        <v>128</v>
      </c>
      <c r="F364" s="761" t="s">
        <v>129</v>
      </c>
      <c r="G364" s="784" t="s">
        <v>130</v>
      </c>
      <c r="H364" s="761" t="s">
        <v>248</v>
      </c>
      <c r="I364" s="762"/>
      <c r="J364" s="762">
        <v>17044833.333333336</v>
      </c>
      <c r="K364" s="762">
        <v>17044833.333333336</v>
      </c>
      <c r="L364" s="763">
        <f t="shared" ref="L364" si="118">+I364/J364</f>
        <v>0</v>
      </c>
      <c r="M364" s="762"/>
      <c r="N364" s="748">
        <f>K364-M364</f>
        <v>17044833.333333336</v>
      </c>
    </row>
    <row r="365" spans="1:15" x14ac:dyDescent="0.4">
      <c r="A365" s="475" t="s">
        <v>20</v>
      </c>
      <c r="B365" s="475" t="s">
        <v>94</v>
      </c>
      <c r="C365" s="475" t="s">
        <v>101</v>
      </c>
      <c r="D365" s="688" t="str">
        <f t="shared" ref="D365:D375" si="119">D364</f>
        <v>7월</v>
      </c>
      <c r="E365" s="785" t="s">
        <v>128</v>
      </c>
      <c r="F365" s="690" t="s">
        <v>129</v>
      </c>
      <c r="G365" s="785" t="s">
        <v>130</v>
      </c>
      <c r="H365" s="690" t="s">
        <v>132</v>
      </c>
      <c r="I365" s="691"/>
      <c r="J365" s="691">
        <v>0</v>
      </c>
      <c r="K365" s="691">
        <v>0</v>
      </c>
      <c r="L365" s="692"/>
      <c r="M365" s="691"/>
      <c r="N365" s="727">
        <f t="shared" ref="N365:N375" si="120">K365-M365</f>
        <v>0</v>
      </c>
    </row>
    <row r="366" spans="1:15" x14ac:dyDescent="0.4">
      <c r="A366" s="475" t="s">
        <v>20</v>
      </c>
      <c r="B366" s="475" t="s">
        <v>94</v>
      </c>
      <c r="C366" s="475" t="s">
        <v>18</v>
      </c>
      <c r="D366" s="688" t="str">
        <f t="shared" si="119"/>
        <v>7월</v>
      </c>
      <c r="E366" s="786" t="s">
        <v>128</v>
      </c>
      <c r="F366" s="690" t="s">
        <v>129</v>
      </c>
      <c r="G366" s="785" t="s">
        <v>130</v>
      </c>
      <c r="H366" s="690" t="s">
        <v>133</v>
      </c>
      <c r="I366" s="691"/>
      <c r="J366" s="691">
        <v>3331490400</v>
      </c>
      <c r="K366" s="691">
        <v>3331490400</v>
      </c>
      <c r="L366" s="692"/>
      <c r="M366" s="691"/>
      <c r="N366" s="727">
        <f t="shared" si="120"/>
        <v>3331490400</v>
      </c>
    </row>
    <row r="367" spans="1:15" x14ac:dyDescent="0.4">
      <c r="A367" s="475" t="s">
        <v>20</v>
      </c>
      <c r="B367" s="475" t="s">
        <v>94</v>
      </c>
      <c r="C367" s="475" t="s">
        <v>23</v>
      </c>
      <c r="D367" s="688" t="str">
        <f t="shared" si="119"/>
        <v>7월</v>
      </c>
      <c r="E367" s="785" t="s">
        <v>128</v>
      </c>
      <c r="F367" s="690" t="s">
        <v>129</v>
      </c>
      <c r="G367" s="785" t="s">
        <v>130</v>
      </c>
      <c r="H367" s="690" t="s">
        <v>134</v>
      </c>
      <c r="I367" s="691"/>
      <c r="J367" s="691">
        <v>502854360</v>
      </c>
      <c r="K367" s="691">
        <v>502854360</v>
      </c>
      <c r="L367" s="692">
        <f t="shared" ref="L367:L373" si="121">+I367/J367</f>
        <v>0</v>
      </c>
      <c r="M367" s="691"/>
      <c r="N367" s="727">
        <f t="shared" si="120"/>
        <v>502854360</v>
      </c>
    </row>
    <row r="368" spans="1:15" x14ac:dyDescent="0.4">
      <c r="A368" s="475" t="s">
        <v>20</v>
      </c>
      <c r="B368" s="475" t="s">
        <v>94</v>
      </c>
      <c r="C368" s="475" t="s">
        <v>22</v>
      </c>
      <c r="D368" s="688" t="str">
        <f t="shared" si="119"/>
        <v>7월</v>
      </c>
      <c r="E368" s="785" t="s">
        <v>128</v>
      </c>
      <c r="F368" s="690" t="s">
        <v>129</v>
      </c>
      <c r="G368" s="785" t="s">
        <v>130</v>
      </c>
      <c r="H368" s="690" t="s">
        <v>251</v>
      </c>
      <c r="I368" s="691"/>
      <c r="J368" s="691">
        <v>4577240600</v>
      </c>
      <c r="K368" s="691">
        <v>4577240600</v>
      </c>
      <c r="L368" s="692">
        <f t="shared" si="121"/>
        <v>0</v>
      </c>
      <c r="M368" s="774"/>
      <c r="N368" s="727">
        <f t="shared" si="120"/>
        <v>4577240600</v>
      </c>
    </row>
    <row r="369" spans="1:14" x14ac:dyDescent="0.4">
      <c r="A369" s="475" t="s">
        <v>20</v>
      </c>
      <c r="B369" s="475" t="s">
        <v>94</v>
      </c>
      <c r="C369" s="475" t="s">
        <v>22</v>
      </c>
      <c r="D369" s="688" t="str">
        <f t="shared" si="119"/>
        <v>7월</v>
      </c>
      <c r="E369" s="785" t="s">
        <v>128</v>
      </c>
      <c r="F369" s="690" t="s">
        <v>129</v>
      </c>
      <c r="G369" s="785" t="s">
        <v>130</v>
      </c>
      <c r="H369" s="690" t="s">
        <v>253</v>
      </c>
      <c r="I369" s="691"/>
      <c r="J369" s="691">
        <v>3562433195.999999</v>
      </c>
      <c r="K369" s="691">
        <v>3562433195.999999</v>
      </c>
      <c r="L369" s="692"/>
      <c r="M369" s="774"/>
      <c r="N369" s="727"/>
    </row>
    <row r="370" spans="1:14" x14ac:dyDescent="0.4">
      <c r="A370" s="475" t="s">
        <v>20</v>
      </c>
      <c r="B370" s="475" t="s">
        <v>94</v>
      </c>
      <c r="C370" s="475" t="s">
        <v>22</v>
      </c>
      <c r="D370" s="688" t="str">
        <f t="shared" si="119"/>
        <v>7월</v>
      </c>
      <c r="E370" s="785" t="s">
        <v>128</v>
      </c>
      <c r="F370" s="690" t="s">
        <v>129</v>
      </c>
      <c r="G370" s="785" t="s">
        <v>130</v>
      </c>
      <c r="H370" s="690" t="s">
        <v>254</v>
      </c>
      <c r="I370" s="691"/>
      <c r="J370" s="691">
        <v>2683823900</v>
      </c>
      <c r="K370" s="691">
        <v>2683823900</v>
      </c>
      <c r="L370" s="692"/>
      <c r="M370" s="774"/>
      <c r="N370" s="727"/>
    </row>
    <row r="371" spans="1:14" x14ac:dyDescent="0.4">
      <c r="A371" s="475" t="s">
        <v>20</v>
      </c>
      <c r="B371" s="475" t="s">
        <v>94</v>
      </c>
      <c r="C371" s="475" t="s">
        <v>28</v>
      </c>
      <c r="D371" s="688" t="str">
        <f>D368</f>
        <v>7월</v>
      </c>
      <c r="E371" s="785" t="s">
        <v>128</v>
      </c>
      <c r="F371" s="690" t="s">
        <v>129</v>
      </c>
      <c r="G371" s="785" t="s">
        <v>130</v>
      </c>
      <c r="H371" s="690" t="s">
        <v>136</v>
      </c>
      <c r="I371" s="691"/>
      <c r="J371" s="691">
        <v>0</v>
      </c>
      <c r="K371" s="691">
        <v>0</v>
      </c>
      <c r="L371" s="692" t="e">
        <f t="shared" si="121"/>
        <v>#DIV/0!</v>
      </c>
      <c r="M371" s="691"/>
      <c r="N371" s="727">
        <f t="shared" si="120"/>
        <v>0</v>
      </c>
    </row>
    <row r="372" spans="1:14" x14ac:dyDescent="0.4">
      <c r="A372" s="475" t="s">
        <v>20</v>
      </c>
      <c r="B372" s="475" t="s">
        <v>94</v>
      </c>
      <c r="C372" s="475" t="s">
        <v>26</v>
      </c>
      <c r="D372" s="688" t="str">
        <f t="shared" si="119"/>
        <v>7월</v>
      </c>
      <c r="E372" s="785" t="s">
        <v>128</v>
      </c>
      <c r="F372" s="690" t="s">
        <v>129</v>
      </c>
      <c r="G372" s="785" t="s">
        <v>130</v>
      </c>
      <c r="H372" s="690" t="s">
        <v>137</v>
      </c>
      <c r="I372" s="691"/>
      <c r="J372" s="691">
        <v>85000000</v>
      </c>
      <c r="K372" s="691">
        <v>85000000</v>
      </c>
      <c r="L372" s="692">
        <f t="shared" si="121"/>
        <v>0</v>
      </c>
      <c r="M372" s="691"/>
      <c r="N372" s="727">
        <f t="shared" si="120"/>
        <v>85000000</v>
      </c>
    </row>
    <row r="373" spans="1:14" x14ac:dyDescent="0.4">
      <c r="A373" s="475" t="s">
        <v>20</v>
      </c>
      <c r="B373" s="475" t="s">
        <v>94</v>
      </c>
      <c r="C373" s="475" t="s">
        <v>25</v>
      </c>
      <c r="D373" s="688" t="str">
        <f t="shared" si="119"/>
        <v>7월</v>
      </c>
      <c r="E373" s="785" t="s">
        <v>128</v>
      </c>
      <c r="F373" s="690" t="s">
        <v>129</v>
      </c>
      <c r="G373" s="785" t="s">
        <v>130</v>
      </c>
      <c r="H373" s="690" t="s">
        <v>141</v>
      </c>
      <c r="I373" s="691"/>
      <c r="J373" s="691">
        <v>272000000</v>
      </c>
      <c r="K373" s="691">
        <v>272000000</v>
      </c>
      <c r="L373" s="692">
        <f t="shared" si="121"/>
        <v>0</v>
      </c>
      <c r="M373" s="691"/>
      <c r="N373" s="727">
        <f t="shared" si="120"/>
        <v>272000000</v>
      </c>
    </row>
    <row r="374" spans="1:14" x14ac:dyDescent="0.4">
      <c r="A374" s="475" t="s">
        <v>20</v>
      </c>
      <c r="B374" s="475" t="s">
        <v>94</v>
      </c>
      <c r="C374" s="475" t="s">
        <v>27</v>
      </c>
      <c r="D374" s="688" t="str">
        <f t="shared" si="119"/>
        <v>7월</v>
      </c>
      <c r="E374" s="787" t="s">
        <v>128</v>
      </c>
      <c r="F374" s="701" t="s">
        <v>129</v>
      </c>
      <c r="G374" s="787" t="s">
        <v>130</v>
      </c>
      <c r="H374" s="701" t="s">
        <v>142</v>
      </c>
      <c r="I374" s="702"/>
      <c r="J374" s="691">
        <v>0</v>
      </c>
      <c r="K374" s="691">
        <v>0</v>
      </c>
      <c r="L374" s="703"/>
      <c r="M374" s="702"/>
      <c r="N374" s="727">
        <f t="shared" si="120"/>
        <v>0</v>
      </c>
    </row>
    <row r="375" spans="1:14" ht="14.4" thickBot="1" x14ac:dyDescent="0.45">
      <c r="A375" s="475" t="s">
        <v>20</v>
      </c>
      <c r="B375" s="475" t="s">
        <v>94</v>
      </c>
      <c r="C375" s="475" t="s">
        <v>28</v>
      </c>
      <c r="D375" s="766" t="str">
        <f t="shared" si="119"/>
        <v>7월</v>
      </c>
      <c r="E375" s="788" t="s">
        <v>128</v>
      </c>
      <c r="F375" s="705" t="s">
        <v>129</v>
      </c>
      <c r="G375" s="788" t="s">
        <v>130</v>
      </c>
      <c r="H375" s="705" t="s">
        <v>143</v>
      </c>
      <c r="I375" s="706"/>
      <c r="J375" s="706"/>
      <c r="K375" s="706"/>
      <c r="L375" s="707" t="e">
        <f t="shared" ref="L375" si="122">+K375/J375</f>
        <v>#DIV/0!</v>
      </c>
      <c r="M375" s="706"/>
      <c r="N375" s="727">
        <f t="shared" si="120"/>
        <v>0</v>
      </c>
    </row>
    <row r="376" spans="1:14" ht="14.4" thickBot="1" x14ac:dyDescent="0.45">
      <c r="D376" s="829" t="s">
        <v>277</v>
      </c>
      <c r="E376" s="830"/>
      <c r="F376" s="830"/>
      <c r="G376" s="830"/>
      <c r="H376" s="831"/>
      <c r="I376" s="710">
        <f>SUM(I364:I375)</f>
        <v>0</v>
      </c>
      <c r="J376" s="710">
        <f>SUM(J364:J375)</f>
        <v>15031887289.333332</v>
      </c>
      <c r="K376" s="710">
        <f>SUM(K364:K375)</f>
        <v>15031887289.333332</v>
      </c>
      <c r="L376" s="711">
        <f>I376/J376</f>
        <v>0</v>
      </c>
      <c r="M376" s="712">
        <f>SUM(M364:M375)</f>
        <v>0</v>
      </c>
      <c r="N376" s="713">
        <f>SUM(N364:N375)</f>
        <v>8785630193.333334</v>
      </c>
    </row>
    <row r="377" spans="1:14" x14ac:dyDescent="0.4">
      <c r="A377" s="475" t="s">
        <v>20</v>
      </c>
      <c r="B377" s="475" t="s">
        <v>94</v>
      </c>
      <c r="C377" s="475" t="s">
        <v>101</v>
      </c>
      <c r="D377" s="682" t="s">
        <v>161</v>
      </c>
      <c r="E377" s="784" t="s">
        <v>128</v>
      </c>
      <c r="F377" s="761" t="s">
        <v>129</v>
      </c>
      <c r="G377" s="784" t="s">
        <v>130</v>
      </c>
      <c r="H377" s="761" t="s">
        <v>248</v>
      </c>
      <c r="I377" s="762"/>
      <c r="J377" s="762">
        <v>17044833.333333336</v>
      </c>
      <c r="K377" s="762">
        <v>17044833.333333336</v>
      </c>
      <c r="L377" s="763">
        <f t="shared" ref="L377" si="123">+I377/J377</f>
        <v>0</v>
      </c>
      <c r="M377" s="762"/>
      <c r="N377" s="748">
        <f>K377-M377</f>
        <v>17044833.333333336</v>
      </c>
    </row>
    <row r="378" spans="1:14" x14ac:dyDescent="0.4">
      <c r="A378" s="475" t="s">
        <v>20</v>
      </c>
      <c r="B378" s="475" t="s">
        <v>94</v>
      </c>
      <c r="C378" s="475" t="s">
        <v>101</v>
      </c>
      <c r="D378" s="688" t="str">
        <f t="shared" ref="D378:D388" si="124">D377</f>
        <v>8월</v>
      </c>
      <c r="E378" s="785" t="s">
        <v>128</v>
      </c>
      <c r="F378" s="690" t="s">
        <v>129</v>
      </c>
      <c r="G378" s="785" t="s">
        <v>130</v>
      </c>
      <c r="H378" s="690" t="s">
        <v>132</v>
      </c>
      <c r="I378" s="691"/>
      <c r="J378" s="691">
        <v>0</v>
      </c>
      <c r="K378" s="691">
        <v>0</v>
      </c>
      <c r="L378" s="692"/>
      <c r="M378" s="691"/>
      <c r="N378" s="727">
        <f t="shared" ref="N378:N386" si="125">K378-M378</f>
        <v>0</v>
      </c>
    </row>
    <row r="379" spans="1:14" x14ac:dyDescent="0.4">
      <c r="A379" s="475" t="s">
        <v>20</v>
      </c>
      <c r="B379" s="475" t="s">
        <v>94</v>
      </c>
      <c r="C379" s="475" t="s">
        <v>18</v>
      </c>
      <c r="D379" s="688" t="str">
        <f t="shared" si="124"/>
        <v>8월</v>
      </c>
      <c r="E379" s="786" t="s">
        <v>128</v>
      </c>
      <c r="F379" s="690" t="s">
        <v>129</v>
      </c>
      <c r="G379" s="785" t="s">
        <v>130</v>
      </c>
      <c r="H379" s="690" t="s">
        <v>133</v>
      </c>
      <c r="I379" s="774"/>
      <c r="J379" s="691">
        <v>193233600</v>
      </c>
      <c r="K379" s="691">
        <v>193233600</v>
      </c>
      <c r="L379" s="692"/>
      <c r="M379" s="691"/>
      <c r="N379" s="727">
        <f t="shared" si="125"/>
        <v>193233600</v>
      </c>
    </row>
    <row r="380" spans="1:14" x14ac:dyDescent="0.4">
      <c r="A380" s="475" t="s">
        <v>20</v>
      </c>
      <c r="B380" s="475" t="s">
        <v>94</v>
      </c>
      <c r="C380" s="475" t="s">
        <v>23</v>
      </c>
      <c r="D380" s="688" t="str">
        <f t="shared" si="124"/>
        <v>8월</v>
      </c>
      <c r="E380" s="785" t="s">
        <v>128</v>
      </c>
      <c r="F380" s="690" t="s">
        <v>129</v>
      </c>
      <c r="G380" s="785" t="s">
        <v>130</v>
      </c>
      <c r="H380" s="690" t="s">
        <v>134</v>
      </c>
      <c r="I380" s="774"/>
      <c r="J380" s="691">
        <v>561278780</v>
      </c>
      <c r="K380" s="691">
        <v>561278780</v>
      </c>
      <c r="L380" s="692">
        <f>+I380/J380</f>
        <v>0</v>
      </c>
      <c r="M380" s="691"/>
      <c r="N380" s="727">
        <f t="shared" si="125"/>
        <v>561278780</v>
      </c>
    </row>
    <row r="381" spans="1:14" x14ac:dyDescent="0.4">
      <c r="A381" s="475" t="s">
        <v>20</v>
      </c>
      <c r="B381" s="475" t="s">
        <v>94</v>
      </c>
      <c r="C381" s="475" t="s">
        <v>22</v>
      </c>
      <c r="D381" s="688" t="str">
        <f t="shared" si="124"/>
        <v>8월</v>
      </c>
      <c r="E381" s="785" t="s">
        <v>128</v>
      </c>
      <c r="F381" s="690" t="s">
        <v>129</v>
      </c>
      <c r="G381" s="785" t="s">
        <v>130</v>
      </c>
      <c r="H381" s="690" t="s">
        <v>251</v>
      </c>
      <c r="I381" s="774"/>
      <c r="J381" s="691">
        <v>3939942600</v>
      </c>
      <c r="K381" s="691">
        <v>3939942600</v>
      </c>
      <c r="L381" s="692">
        <f t="shared" ref="L381:L386" si="126">+I381/J381</f>
        <v>0</v>
      </c>
      <c r="M381" s="691"/>
      <c r="N381" s="727">
        <f t="shared" si="125"/>
        <v>3939942600</v>
      </c>
    </row>
    <row r="382" spans="1:14" x14ac:dyDescent="0.4">
      <c r="A382" s="475" t="s">
        <v>20</v>
      </c>
      <c r="B382" s="475" t="s">
        <v>94</v>
      </c>
      <c r="C382" s="475" t="s">
        <v>22</v>
      </c>
      <c r="D382" s="688" t="str">
        <f t="shared" si="124"/>
        <v>8월</v>
      </c>
      <c r="E382" s="785" t="s">
        <v>128</v>
      </c>
      <c r="F382" s="690" t="s">
        <v>129</v>
      </c>
      <c r="G382" s="785" t="s">
        <v>130</v>
      </c>
      <c r="H382" s="690" t="s">
        <v>253</v>
      </c>
      <c r="I382" s="774"/>
      <c r="J382" s="691">
        <v>3532734174.3999996</v>
      </c>
      <c r="K382" s="691">
        <v>3532734174.3999996</v>
      </c>
      <c r="L382" s="692"/>
      <c r="M382" s="691"/>
      <c r="N382" s="727"/>
    </row>
    <row r="383" spans="1:14" x14ac:dyDescent="0.4">
      <c r="A383" s="475" t="s">
        <v>20</v>
      </c>
      <c r="B383" s="475" t="s">
        <v>94</v>
      </c>
      <c r="C383" s="475" t="s">
        <v>22</v>
      </c>
      <c r="D383" s="688" t="str">
        <f t="shared" si="124"/>
        <v>8월</v>
      </c>
      <c r="E383" s="785" t="s">
        <v>128</v>
      </c>
      <c r="F383" s="690" t="s">
        <v>129</v>
      </c>
      <c r="G383" s="785" t="s">
        <v>130</v>
      </c>
      <c r="H383" s="690" t="s">
        <v>254</v>
      </c>
      <c r="I383" s="774"/>
      <c r="J383" s="691">
        <v>3350781900</v>
      </c>
      <c r="K383" s="691">
        <v>3350781900</v>
      </c>
      <c r="L383" s="692"/>
      <c r="M383" s="691"/>
      <c r="N383" s="727"/>
    </row>
    <row r="384" spans="1:14" x14ac:dyDescent="0.4">
      <c r="A384" s="475" t="s">
        <v>20</v>
      </c>
      <c r="B384" s="475" t="s">
        <v>94</v>
      </c>
      <c r="C384" s="475" t="s">
        <v>28</v>
      </c>
      <c r="D384" s="688" t="str">
        <f>D381</f>
        <v>8월</v>
      </c>
      <c r="E384" s="785" t="s">
        <v>128</v>
      </c>
      <c r="F384" s="690" t="s">
        <v>129</v>
      </c>
      <c r="G384" s="785" t="s">
        <v>130</v>
      </c>
      <c r="H384" s="690" t="s">
        <v>136</v>
      </c>
      <c r="I384" s="691"/>
      <c r="J384" s="691">
        <v>0</v>
      </c>
      <c r="K384" s="691">
        <v>0</v>
      </c>
      <c r="L384" s="692" t="e">
        <f t="shared" si="126"/>
        <v>#DIV/0!</v>
      </c>
      <c r="M384" s="691"/>
      <c r="N384" s="727">
        <f t="shared" si="125"/>
        <v>0</v>
      </c>
    </row>
    <row r="385" spans="1:14" x14ac:dyDescent="0.4">
      <c r="A385" s="475" t="s">
        <v>20</v>
      </c>
      <c r="B385" s="475" t="s">
        <v>94</v>
      </c>
      <c r="C385" s="475" t="s">
        <v>26</v>
      </c>
      <c r="D385" s="688" t="str">
        <f t="shared" si="124"/>
        <v>8월</v>
      </c>
      <c r="E385" s="785" t="s">
        <v>128</v>
      </c>
      <c r="F385" s="690" t="s">
        <v>129</v>
      </c>
      <c r="G385" s="785" t="s">
        <v>130</v>
      </c>
      <c r="H385" s="690" t="s">
        <v>137</v>
      </c>
      <c r="I385" s="691"/>
      <c r="J385" s="691">
        <v>46875000</v>
      </c>
      <c r="K385" s="691">
        <v>46875000</v>
      </c>
      <c r="L385" s="692">
        <f t="shared" si="126"/>
        <v>0</v>
      </c>
      <c r="M385" s="691"/>
      <c r="N385" s="727">
        <f t="shared" si="125"/>
        <v>46875000</v>
      </c>
    </row>
    <row r="386" spans="1:14" x14ac:dyDescent="0.4">
      <c r="A386" s="475" t="s">
        <v>20</v>
      </c>
      <c r="B386" s="475" t="s">
        <v>94</v>
      </c>
      <c r="C386" s="475" t="s">
        <v>25</v>
      </c>
      <c r="D386" s="688" t="str">
        <f t="shared" si="124"/>
        <v>8월</v>
      </c>
      <c r="E386" s="785" t="s">
        <v>128</v>
      </c>
      <c r="F386" s="690" t="s">
        <v>129</v>
      </c>
      <c r="G386" s="785" t="s">
        <v>130</v>
      </c>
      <c r="H386" s="690" t="s">
        <v>141</v>
      </c>
      <c r="I386" s="774"/>
      <c r="J386" s="691">
        <v>444000000</v>
      </c>
      <c r="K386" s="691">
        <v>444000000</v>
      </c>
      <c r="L386" s="692">
        <f t="shared" si="126"/>
        <v>0</v>
      </c>
      <c r="M386" s="691"/>
      <c r="N386" s="727">
        <f t="shared" si="125"/>
        <v>444000000</v>
      </c>
    </row>
    <row r="387" spans="1:14" x14ac:dyDescent="0.4">
      <c r="A387" s="475" t="s">
        <v>20</v>
      </c>
      <c r="B387" s="475" t="s">
        <v>94</v>
      </c>
      <c r="C387" s="475" t="s">
        <v>27</v>
      </c>
      <c r="D387" s="688" t="str">
        <f t="shared" si="124"/>
        <v>8월</v>
      </c>
      <c r="E387" s="787" t="s">
        <v>128</v>
      </c>
      <c r="F387" s="701" t="s">
        <v>129</v>
      </c>
      <c r="G387" s="787" t="s">
        <v>130</v>
      </c>
      <c r="H387" s="701" t="s">
        <v>142</v>
      </c>
      <c r="I387" s="781"/>
      <c r="J387" s="691">
        <v>0</v>
      </c>
      <c r="K387" s="691">
        <v>0</v>
      </c>
      <c r="L387" s="703"/>
      <c r="M387" s="691"/>
      <c r="N387" s="727">
        <f>K387-M387</f>
        <v>0</v>
      </c>
    </row>
    <row r="388" spans="1:14" ht="14.4" thickBot="1" x14ac:dyDescent="0.45">
      <c r="A388" s="475" t="s">
        <v>20</v>
      </c>
      <c r="B388" s="475" t="s">
        <v>94</v>
      </c>
      <c r="C388" s="475" t="s">
        <v>28</v>
      </c>
      <c r="D388" s="766" t="str">
        <f t="shared" si="124"/>
        <v>8월</v>
      </c>
      <c r="E388" s="788" t="s">
        <v>128</v>
      </c>
      <c r="F388" s="705" t="s">
        <v>129</v>
      </c>
      <c r="G388" s="788" t="s">
        <v>130</v>
      </c>
      <c r="H388" s="705" t="s">
        <v>143</v>
      </c>
      <c r="I388" s="706"/>
      <c r="J388" s="706"/>
      <c r="K388" s="706"/>
      <c r="L388" s="707" t="e">
        <f t="shared" ref="L388" si="127">+K388/J388</f>
        <v>#DIV/0!</v>
      </c>
      <c r="M388" s="706"/>
      <c r="N388" s="727">
        <f t="shared" ref="N388" si="128">K388-M388</f>
        <v>0</v>
      </c>
    </row>
    <row r="389" spans="1:14" ht="14.4" thickBot="1" x14ac:dyDescent="0.45">
      <c r="D389" s="829" t="s">
        <v>164</v>
      </c>
      <c r="E389" s="830"/>
      <c r="F389" s="830"/>
      <c r="G389" s="830"/>
      <c r="H389" s="831"/>
      <c r="I389" s="710">
        <f>SUM(I377:I388)</f>
        <v>0</v>
      </c>
      <c r="J389" s="710">
        <f>SUM(J377:J388)</f>
        <v>12085890887.733334</v>
      </c>
      <c r="K389" s="710">
        <f>SUM(K377:K388)</f>
        <v>12085890887.733334</v>
      </c>
      <c r="L389" s="711">
        <f>I389/J389</f>
        <v>0</v>
      </c>
      <c r="M389" s="712">
        <f>SUM(M377:M388)</f>
        <v>0</v>
      </c>
      <c r="N389" s="713">
        <f>SUM(N377:N388)</f>
        <v>5202374813.333333</v>
      </c>
    </row>
    <row r="390" spans="1:14" x14ac:dyDescent="0.4">
      <c r="A390" s="475" t="s">
        <v>20</v>
      </c>
      <c r="B390" s="475" t="s">
        <v>94</v>
      </c>
      <c r="C390" s="475" t="s">
        <v>101</v>
      </c>
      <c r="D390" s="682" t="s">
        <v>96</v>
      </c>
      <c r="E390" s="784" t="s">
        <v>128</v>
      </c>
      <c r="F390" s="761" t="s">
        <v>129</v>
      </c>
      <c r="G390" s="784" t="s">
        <v>130</v>
      </c>
      <c r="H390" s="761" t="s">
        <v>248</v>
      </c>
      <c r="I390" s="762"/>
      <c r="J390" s="762">
        <v>17044833.333333336</v>
      </c>
      <c r="K390" s="762">
        <v>17044833.333333336</v>
      </c>
      <c r="L390" s="763">
        <f t="shared" ref="L390" si="129">+I390/J390</f>
        <v>0</v>
      </c>
      <c r="M390" s="762"/>
      <c r="N390" s="748">
        <f>K390-M390</f>
        <v>17044833.333333336</v>
      </c>
    </row>
    <row r="391" spans="1:14" x14ac:dyDescent="0.4">
      <c r="A391" s="475" t="s">
        <v>20</v>
      </c>
      <c r="B391" s="475" t="s">
        <v>94</v>
      </c>
      <c r="C391" s="475" t="s">
        <v>101</v>
      </c>
      <c r="D391" s="688" t="str">
        <f t="shared" ref="D391:D401" si="130">D390</f>
        <v>9월</v>
      </c>
      <c r="E391" s="785" t="s">
        <v>128</v>
      </c>
      <c r="F391" s="690" t="s">
        <v>129</v>
      </c>
      <c r="G391" s="785" t="s">
        <v>130</v>
      </c>
      <c r="H391" s="690" t="s">
        <v>132</v>
      </c>
      <c r="I391" s="691"/>
      <c r="J391" s="691">
        <v>0</v>
      </c>
      <c r="K391" s="691">
        <v>0</v>
      </c>
      <c r="L391" s="692"/>
      <c r="M391" s="774"/>
      <c r="N391" s="727">
        <f t="shared" ref="N391:N401" si="131">K391-M391</f>
        <v>0</v>
      </c>
    </row>
    <row r="392" spans="1:14" x14ac:dyDescent="0.4">
      <c r="A392" s="475" t="s">
        <v>20</v>
      </c>
      <c r="B392" s="475" t="s">
        <v>94</v>
      </c>
      <c r="C392" s="475" t="s">
        <v>18</v>
      </c>
      <c r="D392" s="688" t="str">
        <f t="shared" si="130"/>
        <v>9월</v>
      </c>
      <c r="E392" s="786" t="s">
        <v>128</v>
      </c>
      <c r="F392" s="690" t="s">
        <v>129</v>
      </c>
      <c r="G392" s="785" t="s">
        <v>130</v>
      </c>
      <c r="H392" s="690" t="s">
        <v>133</v>
      </c>
      <c r="I392" s="691"/>
      <c r="J392" s="691">
        <v>1002079800</v>
      </c>
      <c r="K392" s="691">
        <v>1002079800</v>
      </c>
      <c r="L392" s="692"/>
      <c r="M392" s="774"/>
      <c r="N392" s="727">
        <f t="shared" si="131"/>
        <v>1002079800</v>
      </c>
    </row>
    <row r="393" spans="1:14" x14ac:dyDescent="0.4">
      <c r="A393" s="475" t="s">
        <v>20</v>
      </c>
      <c r="B393" s="475" t="s">
        <v>94</v>
      </c>
      <c r="C393" s="475" t="s">
        <v>23</v>
      </c>
      <c r="D393" s="688" t="str">
        <f t="shared" si="130"/>
        <v>9월</v>
      </c>
      <c r="E393" s="785" t="s">
        <v>128</v>
      </c>
      <c r="F393" s="690" t="s">
        <v>129</v>
      </c>
      <c r="G393" s="785" t="s">
        <v>130</v>
      </c>
      <c r="H393" s="690" t="s">
        <v>134</v>
      </c>
      <c r="I393" s="691"/>
      <c r="J393" s="691">
        <v>233127620</v>
      </c>
      <c r="K393" s="691">
        <v>233127620</v>
      </c>
      <c r="L393" s="692">
        <f t="shared" ref="L393:L399" si="132">+I393/J393</f>
        <v>0</v>
      </c>
      <c r="M393" s="774"/>
      <c r="N393" s="727">
        <f t="shared" si="131"/>
        <v>233127620</v>
      </c>
    </row>
    <row r="394" spans="1:14" x14ac:dyDescent="0.4">
      <c r="A394" s="475" t="s">
        <v>20</v>
      </c>
      <c r="B394" s="475" t="s">
        <v>94</v>
      </c>
      <c r="C394" s="475" t="s">
        <v>22</v>
      </c>
      <c r="D394" s="688" t="str">
        <f t="shared" si="130"/>
        <v>9월</v>
      </c>
      <c r="E394" s="785" t="s">
        <v>128</v>
      </c>
      <c r="F394" s="690" t="s">
        <v>129</v>
      </c>
      <c r="G394" s="785" t="s">
        <v>130</v>
      </c>
      <c r="H394" s="690" t="s">
        <v>251</v>
      </c>
      <c r="I394" s="691"/>
      <c r="J394" s="691">
        <v>1812531599.9999998</v>
      </c>
      <c r="K394" s="691">
        <v>1812531599.9999998</v>
      </c>
      <c r="L394" s="692">
        <f t="shared" si="132"/>
        <v>0</v>
      </c>
      <c r="M394" s="774"/>
      <c r="N394" s="727">
        <f t="shared" si="131"/>
        <v>1812531599.9999998</v>
      </c>
    </row>
    <row r="395" spans="1:14" x14ac:dyDescent="0.4">
      <c r="A395" s="475" t="s">
        <v>20</v>
      </c>
      <c r="B395" s="475" t="s">
        <v>94</v>
      </c>
      <c r="C395" s="475" t="s">
        <v>22</v>
      </c>
      <c r="D395" s="688" t="str">
        <f t="shared" si="130"/>
        <v>9월</v>
      </c>
      <c r="E395" s="785" t="s">
        <v>128</v>
      </c>
      <c r="F395" s="690" t="s">
        <v>129</v>
      </c>
      <c r="G395" s="785" t="s">
        <v>130</v>
      </c>
      <c r="H395" s="690" t="s">
        <v>253</v>
      </c>
      <c r="I395" s="691"/>
      <c r="J395" s="691">
        <v>4704576880</v>
      </c>
      <c r="K395" s="691">
        <v>4704576880</v>
      </c>
      <c r="L395" s="692"/>
      <c r="M395" s="774"/>
      <c r="N395" s="727"/>
    </row>
    <row r="396" spans="1:14" x14ac:dyDescent="0.4">
      <c r="A396" s="475" t="s">
        <v>20</v>
      </c>
      <c r="B396" s="475" t="s">
        <v>94</v>
      </c>
      <c r="C396" s="475" t="s">
        <v>22</v>
      </c>
      <c r="D396" s="688" t="str">
        <f t="shared" si="130"/>
        <v>9월</v>
      </c>
      <c r="E396" s="785" t="s">
        <v>128</v>
      </c>
      <c r="F396" s="690" t="s">
        <v>129</v>
      </c>
      <c r="G396" s="785" t="s">
        <v>130</v>
      </c>
      <c r="H396" s="690" t="s">
        <v>254</v>
      </c>
      <c r="I396" s="691"/>
      <c r="J396" s="691">
        <v>4155126500</v>
      </c>
      <c r="K396" s="691">
        <v>4155126500</v>
      </c>
      <c r="L396" s="692"/>
      <c r="M396" s="774"/>
      <c r="N396" s="727"/>
    </row>
    <row r="397" spans="1:14" x14ac:dyDescent="0.4">
      <c r="A397" s="475" t="s">
        <v>20</v>
      </c>
      <c r="B397" s="475" t="s">
        <v>94</v>
      </c>
      <c r="C397" s="475" t="s">
        <v>28</v>
      </c>
      <c r="D397" s="688" t="str">
        <f>D394</f>
        <v>9월</v>
      </c>
      <c r="E397" s="785" t="s">
        <v>128</v>
      </c>
      <c r="F397" s="690" t="s">
        <v>129</v>
      </c>
      <c r="G397" s="785" t="s">
        <v>130</v>
      </c>
      <c r="H397" s="690" t="s">
        <v>136</v>
      </c>
      <c r="I397" s="691"/>
      <c r="J397" s="691">
        <v>0</v>
      </c>
      <c r="K397" s="691">
        <v>0</v>
      </c>
      <c r="L397" s="692" t="e">
        <f t="shared" si="132"/>
        <v>#DIV/0!</v>
      </c>
      <c r="M397" s="774"/>
      <c r="N397" s="727">
        <f t="shared" si="131"/>
        <v>0</v>
      </c>
    </row>
    <row r="398" spans="1:14" x14ac:dyDescent="0.4">
      <c r="A398" s="475" t="s">
        <v>20</v>
      </c>
      <c r="B398" s="475" t="s">
        <v>94</v>
      </c>
      <c r="C398" s="475" t="s">
        <v>26</v>
      </c>
      <c r="D398" s="688" t="str">
        <f t="shared" si="130"/>
        <v>9월</v>
      </c>
      <c r="E398" s="785" t="s">
        <v>128</v>
      </c>
      <c r="F398" s="690" t="s">
        <v>129</v>
      </c>
      <c r="G398" s="785" t="s">
        <v>130</v>
      </c>
      <c r="H398" s="690" t="s">
        <v>137</v>
      </c>
      <c r="I398" s="691"/>
      <c r="J398" s="691">
        <v>46875000</v>
      </c>
      <c r="K398" s="691">
        <v>46875000</v>
      </c>
      <c r="L398" s="692">
        <f t="shared" si="132"/>
        <v>0</v>
      </c>
      <c r="M398" s="774"/>
      <c r="N398" s="727">
        <f t="shared" si="131"/>
        <v>46875000</v>
      </c>
    </row>
    <row r="399" spans="1:14" x14ac:dyDescent="0.4">
      <c r="A399" s="475" t="s">
        <v>20</v>
      </c>
      <c r="B399" s="475" t="s">
        <v>94</v>
      </c>
      <c r="C399" s="475" t="s">
        <v>25</v>
      </c>
      <c r="D399" s="688" t="str">
        <f t="shared" si="130"/>
        <v>9월</v>
      </c>
      <c r="E399" s="785" t="s">
        <v>128</v>
      </c>
      <c r="F399" s="690" t="s">
        <v>129</v>
      </c>
      <c r="G399" s="785" t="s">
        <v>130</v>
      </c>
      <c r="H399" s="690" t="s">
        <v>141</v>
      </c>
      <c r="I399" s="691"/>
      <c r="J399" s="691">
        <v>2107000000</v>
      </c>
      <c r="K399" s="691">
        <v>2107000000</v>
      </c>
      <c r="L399" s="692">
        <f t="shared" si="132"/>
        <v>0</v>
      </c>
      <c r="M399" s="774"/>
      <c r="N399" s="727">
        <f t="shared" si="131"/>
        <v>2107000000</v>
      </c>
    </row>
    <row r="400" spans="1:14" x14ac:dyDescent="0.4">
      <c r="A400" s="475" t="s">
        <v>20</v>
      </c>
      <c r="B400" s="475" t="s">
        <v>94</v>
      </c>
      <c r="C400" s="475" t="s">
        <v>27</v>
      </c>
      <c r="D400" s="688" t="str">
        <f t="shared" si="130"/>
        <v>9월</v>
      </c>
      <c r="E400" s="787" t="s">
        <v>128</v>
      </c>
      <c r="F400" s="701" t="s">
        <v>129</v>
      </c>
      <c r="G400" s="787" t="s">
        <v>130</v>
      </c>
      <c r="H400" s="701" t="s">
        <v>142</v>
      </c>
      <c r="I400" s="702"/>
      <c r="J400" s="691">
        <v>0</v>
      </c>
      <c r="K400" s="691">
        <v>0</v>
      </c>
      <c r="L400" s="703"/>
      <c r="M400" s="781"/>
      <c r="N400" s="727">
        <f t="shared" si="131"/>
        <v>0</v>
      </c>
    </row>
    <row r="401" spans="1:14" ht="14.4" thickBot="1" x14ac:dyDescent="0.45">
      <c r="A401" s="475" t="s">
        <v>20</v>
      </c>
      <c r="B401" s="475" t="s">
        <v>94</v>
      </c>
      <c r="C401" s="475" t="s">
        <v>28</v>
      </c>
      <c r="D401" s="766" t="str">
        <f t="shared" si="130"/>
        <v>9월</v>
      </c>
      <c r="E401" s="788" t="s">
        <v>128</v>
      </c>
      <c r="F401" s="705" t="s">
        <v>129</v>
      </c>
      <c r="G401" s="788" t="s">
        <v>130</v>
      </c>
      <c r="H401" s="705" t="s">
        <v>143</v>
      </c>
      <c r="I401" s="706"/>
      <c r="J401" s="706"/>
      <c r="K401" s="706"/>
      <c r="L401" s="707" t="e">
        <f t="shared" ref="L401" si="133">+K401/J401</f>
        <v>#DIV/0!</v>
      </c>
      <c r="M401" s="706"/>
      <c r="N401" s="727">
        <f t="shared" si="131"/>
        <v>0</v>
      </c>
    </row>
    <row r="402" spans="1:14" ht="14.4" thickBot="1" x14ac:dyDescent="0.45">
      <c r="D402" s="829" t="s">
        <v>278</v>
      </c>
      <c r="E402" s="830"/>
      <c r="F402" s="830"/>
      <c r="G402" s="830"/>
      <c r="H402" s="831"/>
      <c r="I402" s="710">
        <f>SUM(I390:I401)</f>
        <v>0</v>
      </c>
      <c r="J402" s="710">
        <f>SUM(J390:J401)</f>
        <v>14078362233.333332</v>
      </c>
      <c r="K402" s="710">
        <f>SUM(K390:K401)</f>
        <v>14078362233.333332</v>
      </c>
      <c r="L402" s="711">
        <f>I402/J402</f>
        <v>0</v>
      </c>
      <c r="M402" s="712">
        <f>SUM(M390:M401)</f>
        <v>0</v>
      </c>
      <c r="N402" s="713">
        <f>SUM(N390:N401)</f>
        <v>5218658853.333333</v>
      </c>
    </row>
    <row r="403" spans="1:14" ht="14.4" thickBot="1" x14ac:dyDescent="0.45">
      <c r="D403" s="832" t="s">
        <v>279</v>
      </c>
      <c r="E403" s="833"/>
      <c r="F403" s="833"/>
      <c r="G403" s="833"/>
      <c r="H403" s="834"/>
      <c r="I403" s="722">
        <f>SUM(I376,I389,I402)</f>
        <v>0</v>
      </c>
      <c r="J403" s="722">
        <f t="shared" ref="J403:K403" si="134">SUM(J376,J389,J402)</f>
        <v>41196140410.399994</v>
      </c>
      <c r="K403" s="722">
        <f t="shared" si="134"/>
        <v>41196140410.399994</v>
      </c>
      <c r="L403" s="723">
        <f>I403/J403</f>
        <v>0</v>
      </c>
      <c r="M403" s="722">
        <f>SUM(M376,M389,M402)</f>
        <v>0</v>
      </c>
      <c r="N403" s="722">
        <f>SUM(N376,N389,N402)</f>
        <v>19206663860</v>
      </c>
    </row>
    <row r="404" spans="1:14" x14ac:dyDescent="0.4">
      <c r="A404" s="475" t="s">
        <v>20</v>
      </c>
      <c r="B404" s="475" t="s">
        <v>169</v>
      </c>
      <c r="C404" s="475" t="s">
        <v>101</v>
      </c>
      <c r="D404" s="682" t="s">
        <v>170</v>
      </c>
      <c r="E404" s="784" t="s">
        <v>128</v>
      </c>
      <c r="F404" s="761" t="s">
        <v>129</v>
      </c>
      <c r="G404" s="784" t="s">
        <v>130</v>
      </c>
      <c r="H404" s="761" t="s">
        <v>248</v>
      </c>
      <c r="I404" s="762"/>
      <c r="J404" s="762">
        <v>17044833.333333336</v>
      </c>
      <c r="K404" s="762">
        <v>17044833.333333336</v>
      </c>
      <c r="L404" s="763">
        <f t="shared" ref="L404" si="135">+I404/J404</f>
        <v>0</v>
      </c>
      <c r="M404" s="762"/>
      <c r="N404" s="748">
        <f>K404-M404</f>
        <v>17044833.333333336</v>
      </c>
    </row>
    <row r="405" spans="1:14" x14ac:dyDescent="0.4">
      <c r="A405" s="475" t="s">
        <v>20</v>
      </c>
      <c r="B405" s="475" t="s">
        <v>169</v>
      </c>
      <c r="C405" s="475" t="s">
        <v>101</v>
      </c>
      <c r="D405" s="688" t="str">
        <f t="shared" ref="D405:D415" si="136">D404</f>
        <v>10월</v>
      </c>
      <c r="E405" s="785" t="s">
        <v>128</v>
      </c>
      <c r="F405" s="690" t="s">
        <v>129</v>
      </c>
      <c r="G405" s="785" t="s">
        <v>130</v>
      </c>
      <c r="H405" s="690" t="s">
        <v>132</v>
      </c>
      <c r="I405" s="691"/>
      <c r="J405" s="691">
        <v>0</v>
      </c>
      <c r="K405" s="691">
        <v>0</v>
      </c>
      <c r="L405" s="692"/>
      <c r="M405" s="691"/>
      <c r="N405" s="727">
        <f t="shared" ref="N405:N415" si="137">K405-M405</f>
        <v>0</v>
      </c>
    </row>
    <row r="406" spans="1:14" x14ac:dyDescent="0.4">
      <c r="A406" s="475" t="s">
        <v>20</v>
      </c>
      <c r="B406" s="475" t="s">
        <v>169</v>
      </c>
      <c r="C406" s="475" t="s">
        <v>18</v>
      </c>
      <c r="D406" s="688" t="str">
        <f t="shared" si="136"/>
        <v>10월</v>
      </c>
      <c r="E406" s="786" t="s">
        <v>128</v>
      </c>
      <c r="F406" s="690" t="s">
        <v>129</v>
      </c>
      <c r="G406" s="785" t="s">
        <v>130</v>
      </c>
      <c r="H406" s="690" t="s">
        <v>133</v>
      </c>
      <c r="I406" s="691"/>
      <c r="J406" s="691">
        <v>1858978800</v>
      </c>
      <c r="K406" s="691">
        <v>1858978800</v>
      </c>
      <c r="L406" s="692"/>
      <c r="M406" s="691"/>
      <c r="N406" s="727">
        <f t="shared" si="137"/>
        <v>1858978800</v>
      </c>
    </row>
    <row r="407" spans="1:14" x14ac:dyDescent="0.4">
      <c r="A407" s="475" t="s">
        <v>20</v>
      </c>
      <c r="B407" s="475" t="s">
        <v>169</v>
      </c>
      <c r="C407" s="475" t="s">
        <v>23</v>
      </c>
      <c r="D407" s="688" t="str">
        <f t="shared" si="136"/>
        <v>10월</v>
      </c>
      <c r="E407" s="785" t="s">
        <v>128</v>
      </c>
      <c r="F407" s="690" t="s">
        <v>129</v>
      </c>
      <c r="G407" s="785" t="s">
        <v>130</v>
      </c>
      <c r="H407" s="690" t="s">
        <v>134</v>
      </c>
      <c r="I407" s="691"/>
      <c r="J407" s="691">
        <v>523955680</v>
      </c>
      <c r="K407" s="691">
        <v>523955680</v>
      </c>
      <c r="L407" s="692">
        <f t="shared" ref="L407:L413" si="138">+I407/J407</f>
        <v>0</v>
      </c>
      <c r="M407" s="691"/>
      <c r="N407" s="727">
        <f t="shared" si="137"/>
        <v>523955680</v>
      </c>
    </row>
    <row r="408" spans="1:14" x14ac:dyDescent="0.4">
      <c r="A408" s="475" t="s">
        <v>20</v>
      </c>
      <c r="B408" s="475" t="s">
        <v>169</v>
      </c>
      <c r="C408" s="475" t="s">
        <v>22</v>
      </c>
      <c r="D408" s="688" t="str">
        <f t="shared" si="136"/>
        <v>10월</v>
      </c>
      <c r="E408" s="785" t="s">
        <v>128</v>
      </c>
      <c r="F408" s="690" t="s">
        <v>129</v>
      </c>
      <c r="G408" s="785" t="s">
        <v>130</v>
      </c>
      <c r="H408" s="690" t="s">
        <v>251</v>
      </c>
      <c r="I408" s="691"/>
      <c r="J408" s="691">
        <v>3361415400</v>
      </c>
      <c r="K408" s="691">
        <v>3361415400</v>
      </c>
      <c r="L408" s="692">
        <f t="shared" si="138"/>
        <v>0</v>
      </c>
      <c r="M408" s="691"/>
      <c r="N408" s="727">
        <f t="shared" si="137"/>
        <v>3361415400</v>
      </c>
    </row>
    <row r="409" spans="1:14" x14ac:dyDescent="0.4">
      <c r="A409" s="475" t="s">
        <v>20</v>
      </c>
      <c r="B409" s="475" t="s">
        <v>169</v>
      </c>
      <c r="C409" s="475" t="s">
        <v>22</v>
      </c>
      <c r="D409" s="688" t="str">
        <f t="shared" si="136"/>
        <v>10월</v>
      </c>
      <c r="E409" s="785" t="s">
        <v>128</v>
      </c>
      <c r="F409" s="690" t="s">
        <v>129</v>
      </c>
      <c r="G409" s="785" t="s">
        <v>130</v>
      </c>
      <c r="H409" s="690" t="s">
        <v>253</v>
      </c>
      <c r="I409" s="691"/>
      <c r="J409" s="691">
        <v>2534755016</v>
      </c>
      <c r="K409" s="691">
        <v>2534755016</v>
      </c>
      <c r="L409" s="692"/>
      <c r="M409" s="691"/>
      <c r="N409" s="727"/>
    </row>
    <row r="410" spans="1:14" x14ac:dyDescent="0.4">
      <c r="A410" s="475" t="s">
        <v>20</v>
      </c>
      <c r="B410" s="475" t="s">
        <v>169</v>
      </c>
      <c r="C410" s="475" t="s">
        <v>22</v>
      </c>
      <c r="D410" s="688" t="str">
        <f t="shared" si="136"/>
        <v>10월</v>
      </c>
      <c r="E410" s="785" t="s">
        <v>128</v>
      </c>
      <c r="F410" s="690" t="s">
        <v>129</v>
      </c>
      <c r="G410" s="785" t="s">
        <v>130</v>
      </c>
      <c r="H410" s="690" t="s">
        <v>254</v>
      </c>
      <c r="I410" s="691"/>
      <c r="J410" s="691">
        <v>3166613300</v>
      </c>
      <c r="K410" s="691">
        <v>3166613300</v>
      </c>
      <c r="L410" s="692"/>
      <c r="M410" s="691"/>
      <c r="N410" s="727"/>
    </row>
    <row r="411" spans="1:14" x14ac:dyDescent="0.4">
      <c r="A411" s="475" t="s">
        <v>20</v>
      </c>
      <c r="B411" s="475" t="s">
        <v>169</v>
      </c>
      <c r="C411" s="475" t="s">
        <v>28</v>
      </c>
      <c r="D411" s="688" t="str">
        <f>D408</f>
        <v>10월</v>
      </c>
      <c r="E411" s="785" t="s">
        <v>128</v>
      </c>
      <c r="F411" s="690" t="s">
        <v>129</v>
      </c>
      <c r="G411" s="785" t="s">
        <v>130</v>
      </c>
      <c r="H411" s="690" t="s">
        <v>136</v>
      </c>
      <c r="I411" s="691"/>
      <c r="J411" s="691">
        <v>0</v>
      </c>
      <c r="K411" s="691">
        <v>0</v>
      </c>
      <c r="L411" s="692" t="e">
        <f t="shared" si="138"/>
        <v>#DIV/0!</v>
      </c>
      <c r="M411" s="691"/>
      <c r="N411" s="727">
        <f t="shared" si="137"/>
        <v>0</v>
      </c>
    </row>
    <row r="412" spans="1:14" x14ac:dyDescent="0.4">
      <c r="A412" s="475" t="s">
        <v>20</v>
      </c>
      <c r="B412" s="475" t="s">
        <v>169</v>
      </c>
      <c r="C412" s="475" t="s">
        <v>26</v>
      </c>
      <c r="D412" s="688" t="str">
        <f t="shared" si="136"/>
        <v>10월</v>
      </c>
      <c r="E412" s="785" t="s">
        <v>128</v>
      </c>
      <c r="F412" s="690" t="s">
        <v>129</v>
      </c>
      <c r="G412" s="785" t="s">
        <v>130</v>
      </c>
      <c r="H412" s="690" t="s">
        <v>137</v>
      </c>
      <c r="I412" s="691"/>
      <c r="J412" s="691">
        <v>85000000</v>
      </c>
      <c r="K412" s="691">
        <v>85000000</v>
      </c>
      <c r="L412" s="692">
        <f t="shared" si="138"/>
        <v>0</v>
      </c>
      <c r="M412" s="691"/>
      <c r="N412" s="727">
        <f t="shared" si="137"/>
        <v>85000000</v>
      </c>
    </row>
    <row r="413" spans="1:14" x14ac:dyDescent="0.4">
      <c r="A413" s="475" t="s">
        <v>20</v>
      </c>
      <c r="B413" s="475" t="s">
        <v>169</v>
      </c>
      <c r="C413" s="475" t="s">
        <v>25</v>
      </c>
      <c r="D413" s="688" t="str">
        <f t="shared" si="136"/>
        <v>10월</v>
      </c>
      <c r="E413" s="785" t="s">
        <v>128</v>
      </c>
      <c r="F413" s="690" t="s">
        <v>129</v>
      </c>
      <c r="G413" s="785" t="s">
        <v>130</v>
      </c>
      <c r="H413" s="690" t="s">
        <v>141</v>
      </c>
      <c r="I413" s="691"/>
      <c r="J413" s="691">
        <v>300000000</v>
      </c>
      <c r="K413" s="691">
        <v>300000000</v>
      </c>
      <c r="L413" s="692">
        <f t="shared" si="138"/>
        <v>0</v>
      </c>
      <c r="M413" s="691"/>
      <c r="N413" s="727">
        <f t="shared" si="137"/>
        <v>300000000</v>
      </c>
    </row>
    <row r="414" spans="1:14" x14ac:dyDescent="0.4">
      <c r="A414" s="475" t="s">
        <v>20</v>
      </c>
      <c r="B414" s="475" t="s">
        <v>169</v>
      </c>
      <c r="C414" s="475" t="s">
        <v>27</v>
      </c>
      <c r="D414" s="688" t="str">
        <f t="shared" si="136"/>
        <v>10월</v>
      </c>
      <c r="E414" s="787" t="s">
        <v>128</v>
      </c>
      <c r="F414" s="701" t="s">
        <v>129</v>
      </c>
      <c r="G414" s="787" t="s">
        <v>130</v>
      </c>
      <c r="H414" s="701" t="s">
        <v>142</v>
      </c>
      <c r="I414" s="702"/>
      <c r="J414" s="691">
        <v>93750000</v>
      </c>
      <c r="K414" s="691">
        <v>93750000</v>
      </c>
      <c r="L414" s="703"/>
      <c r="M414" s="691"/>
      <c r="N414" s="727">
        <f t="shared" si="137"/>
        <v>93750000</v>
      </c>
    </row>
    <row r="415" spans="1:14" ht="14.4" thickBot="1" x14ac:dyDescent="0.45">
      <c r="A415" s="475" t="s">
        <v>20</v>
      </c>
      <c r="B415" s="475" t="s">
        <v>169</v>
      </c>
      <c r="C415" s="475" t="s">
        <v>28</v>
      </c>
      <c r="D415" s="766" t="str">
        <f t="shared" si="136"/>
        <v>10월</v>
      </c>
      <c r="E415" s="788" t="s">
        <v>128</v>
      </c>
      <c r="F415" s="705" t="s">
        <v>129</v>
      </c>
      <c r="G415" s="788" t="s">
        <v>130</v>
      </c>
      <c r="H415" s="705" t="s">
        <v>143</v>
      </c>
      <c r="I415" s="706"/>
      <c r="J415" s="706"/>
      <c r="K415" s="706"/>
      <c r="L415" s="707" t="e">
        <f t="shared" ref="L415" si="139">+K415/J415</f>
        <v>#DIV/0!</v>
      </c>
      <c r="M415" s="706"/>
      <c r="N415" s="727">
        <f t="shared" si="137"/>
        <v>0</v>
      </c>
    </row>
    <row r="416" spans="1:14" ht="14.4" thickBot="1" x14ac:dyDescent="0.45">
      <c r="D416" s="829" t="s">
        <v>280</v>
      </c>
      <c r="E416" s="830"/>
      <c r="F416" s="830"/>
      <c r="G416" s="830"/>
      <c r="H416" s="831"/>
      <c r="I416" s="710">
        <f>SUM(I404:I415)</f>
        <v>0</v>
      </c>
      <c r="J416" s="710">
        <f>SUM(J404:J415)</f>
        <v>11941513029.333332</v>
      </c>
      <c r="K416" s="710">
        <f>SUM(K404:K415)</f>
        <v>11941513029.333332</v>
      </c>
      <c r="L416" s="711">
        <f>I416/J416</f>
        <v>0</v>
      </c>
      <c r="M416" s="712">
        <f>SUM(M404:M415)</f>
        <v>0</v>
      </c>
      <c r="N416" s="713">
        <f>SUM(N404:N415)</f>
        <v>6240144713.333333</v>
      </c>
    </row>
    <row r="417" spans="1:14" x14ac:dyDescent="0.4">
      <c r="A417" s="475" t="s">
        <v>20</v>
      </c>
      <c r="B417" s="475" t="s">
        <v>169</v>
      </c>
      <c r="C417" s="475" t="s">
        <v>101</v>
      </c>
      <c r="D417" s="682" t="s">
        <v>138</v>
      </c>
      <c r="E417" s="784" t="s">
        <v>128</v>
      </c>
      <c r="F417" s="761" t="s">
        <v>129</v>
      </c>
      <c r="G417" s="784" t="s">
        <v>130</v>
      </c>
      <c r="H417" s="761" t="s">
        <v>248</v>
      </c>
      <c r="I417" s="762"/>
      <c r="J417" s="762">
        <v>17044833.333333336</v>
      </c>
      <c r="K417" s="762">
        <v>17044833.333333336</v>
      </c>
      <c r="L417" s="763">
        <f t="shared" ref="L417" si="140">+I417/J417</f>
        <v>0</v>
      </c>
      <c r="M417" s="762"/>
      <c r="N417" s="748">
        <f>K417-M417</f>
        <v>17044833.333333336</v>
      </c>
    </row>
    <row r="418" spans="1:14" x14ac:dyDescent="0.4">
      <c r="A418" s="475" t="s">
        <v>20</v>
      </c>
      <c r="B418" s="475" t="s">
        <v>169</v>
      </c>
      <c r="C418" s="475" t="s">
        <v>101</v>
      </c>
      <c r="D418" s="688" t="str">
        <f t="shared" ref="D418:D428" si="141">D417</f>
        <v>11월</v>
      </c>
      <c r="E418" s="785" t="s">
        <v>128</v>
      </c>
      <c r="F418" s="690" t="s">
        <v>129</v>
      </c>
      <c r="G418" s="785" t="s">
        <v>130</v>
      </c>
      <c r="H418" s="690" t="s">
        <v>132</v>
      </c>
      <c r="I418" s="691"/>
      <c r="J418" s="691">
        <v>0</v>
      </c>
      <c r="K418" s="691">
        <v>0</v>
      </c>
      <c r="L418" s="692"/>
      <c r="M418" s="691"/>
      <c r="N418" s="727">
        <f t="shared" ref="N418:N421" si="142">K418-M418</f>
        <v>0</v>
      </c>
    </row>
    <row r="419" spans="1:14" x14ac:dyDescent="0.4">
      <c r="A419" s="475" t="s">
        <v>20</v>
      </c>
      <c r="B419" s="475" t="s">
        <v>169</v>
      </c>
      <c r="C419" s="475" t="s">
        <v>18</v>
      </c>
      <c r="D419" s="688" t="str">
        <f t="shared" si="141"/>
        <v>11월</v>
      </c>
      <c r="E419" s="786" t="s">
        <v>128</v>
      </c>
      <c r="F419" s="690" t="s">
        <v>129</v>
      </c>
      <c r="G419" s="785" t="s">
        <v>130</v>
      </c>
      <c r="H419" s="690" t="s">
        <v>133</v>
      </c>
      <c r="I419" s="774"/>
      <c r="J419" s="691">
        <v>1882494000</v>
      </c>
      <c r="K419" s="691">
        <v>1882494000</v>
      </c>
      <c r="L419" s="692"/>
      <c r="M419" s="691"/>
      <c r="N419" s="727">
        <f t="shared" si="142"/>
        <v>1882494000</v>
      </c>
    </row>
    <row r="420" spans="1:14" x14ac:dyDescent="0.4">
      <c r="A420" s="475" t="s">
        <v>20</v>
      </c>
      <c r="B420" s="475" t="s">
        <v>169</v>
      </c>
      <c r="C420" s="475" t="s">
        <v>23</v>
      </c>
      <c r="D420" s="688" t="str">
        <f t="shared" si="141"/>
        <v>11월</v>
      </c>
      <c r="E420" s="785" t="s">
        <v>128</v>
      </c>
      <c r="F420" s="690" t="s">
        <v>129</v>
      </c>
      <c r="G420" s="785" t="s">
        <v>130</v>
      </c>
      <c r="H420" s="690" t="s">
        <v>134</v>
      </c>
      <c r="I420" s="774"/>
      <c r="J420" s="691">
        <v>537439360</v>
      </c>
      <c r="K420" s="691">
        <v>537439360</v>
      </c>
      <c r="L420" s="692">
        <f>+I420/J420</f>
        <v>0</v>
      </c>
      <c r="M420" s="691"/>
      <c r="N420" s="727">
        <f t="shared" si="142"/>
        <v>537439360</v>
      </c>
    </row>
    <row r="421" spans="1:14" x14ac:dyDescent="0.4">
      <c r="A421" s="475" t="s">
        <v>20</v>
      </c>
      <c r="B421" s="475" t="s">
        <v>169</v>
      </c>
      <c r="C421" s="475" t="s">
        <v>22</v>
      </c>
      <c r="D421" s="688" t="str">
        <f t="shared" si="141"/>
        <v>11월</v>
      </c>
      <c r="E421" s="785" t="s">
        <v>128</v>
      </c>
      <c r="F421" s="690" t="s">
        <v>129</v>
      </c>
      <c r="G421" s="785" t="s">
        <v>130</v>
      </c>
      <c r="H421" s="690" t="s">
        <v>251</v>
      </c>
      <c r="I421" s="774"/>
      <c r="J421" s="691">
        <v>4705954200</v>
      </c>
      <c r="K421" s="691">
        <v>4705954200</v>
      </c>
      <c r="L421" s="692">
        <f t="shared" ref="L421:L426" si="143">+I421/J421</f>
        <v>0</v>
      </c>
      <c r="M421" s="691"/>
      <c r="N421" s="727">
        <f t="shared" si="142"/>
        <v>4705954200</v>
      </c>
    </row>
    <row r="422" spans="1:14" x14ac:dyDescent="0.4">
      <c r="A422" s="475" t="s">
        <v>20</v>
      </c>
      <c r="B422" s="475" t="s">
        <v>169</v>
      </c>
      <c r="C422" s="475" t="s">
        <v>22</v>
      </c>
      <c r="D422" s="688" t="str">
        <f t="shared" si="141"/>
        <v>11월</v>
      </c>
      <c r="E422" s="785" t="s">
        <v>128</v>
      </c>
      <c r="F422" s="690" t="s">
        <v>129</v>
      </c>
      <c r="G422" s="785" t="s">
        <v>130</v>
      </c>
      <c r="H422" s="690" t="s">
        <v>253</v>
      </c>
      <c r="I422" s="774"/>
      <c r="J422" s="691">
        <v>1556374694.3999999</v>
      </c>
      <c r="K422" s="691">
        <v>1556374694.3999999</v>
      </c>
      <c r="L422" s="692"/>
      <c r="M422" s="691"/>
      <c r="N422" s="727"/>
    </row>
    <row r="423" spans="1:14" x14ac:dyDescent="0.4">
      <c r="A423" s="475" t="s">
        <v>20</v>
      </c>
      <c r="B423" s="475" t="s">
        <v>169</v>
      </c>
      <c r="C423" s="475" t="s">
        <v>22</v>
      </c>
      <c r="D423" s="688" t="str">
        <f t="shared" si="141"/>
        <v>11월</v>
      </c>
      <c r="E423" s="785" t="s">
        <v>128</v>
      </c>
      <c r="F423" s="690" t="s">
        <v>129</v>
      </c>
      <c r="G423" s="785" t="s">
        <v>130</v>
      </c>
      <c r="H423" s="690" t="s">
        <v>254</v>
      </c>
      <c r="I423" s="774"/>
      <c r="J423" s="691">
        <v>3829091599.9999995</v>
      </c>
      <c r="K423" s="691">
        <v>3829091599.9999995</v>
      </c>
      <c r="L423" s="692"/>
      <c r="M423" s="691"/>
      <c r="N423" s="727"/>
    </row>
    <row r="424" spans="1:14" x14ac:dyDescent="0.4">
      <c r="A424" s="475" t="s">
        <v>20</v>
      </c>
      <c r="B424" s="475" t="s">
        <v>169</v>
      </c>
      <c r="C424" s="475" t="s">
        <v>28</v>
      </c>
      <c r="D424" s="688" t="str">
        <f>D421</f>
        <v>11월</v>
      </c>
      <c r="E424" s="785" t="s">
        <v>128</v>
      </c>
      <c r="F424" s="690" t="s">
        <v>129</v>
      </c>
      <c r="G424" s="785" t="s">
        <v>130</v>
      </c>
      <c r="H424" s="690" t="s">
        <v>136</v>
      </c>
      <c r="I424" s="691"/>
      <c r="J424" s="691">
        <v>0</v>
      </c>
      <c r="K424" s="691">
        <v>0</v>
      </c>
      <c r="L424" s="692" t="e">
        <f t="shared" si="143"/>
        <v>#DIV/0!</v>
      </c>
      <c r="M424" s="691"/>
      <c r="N424" s="727">
        <f>K424-M424</f>
        <v>0</v>
      </c>
    </row>
    <row r="425" spans="1:14" x14ac:dyDescent="0.4">
      <c r="A425" s="475" t="s">
        <v>20</v>
      </c>
      <c r="B425" s="475" t="s">
        <v>169</v>
      </c>
      <c r="C425" s="475" t="s">
        <v>26</v>
      </c>
      <c r="D425" s="688" t="str">
        <f t="shared" si="141"/>
        <v>11월</v>
      </c>
      <c r="E425" s="785" t="s">
        <v>128</v>
      </c>
      <c r="F425" s="690" t="s">
        <v>129</v>
      </c>
      <c r="G425" s="785" t="s">
        <v>130</v>
      </c>
      <c r="H425" s="690" t="s">
        <v>137</v>
      </c>
      <c r="I425" s="691"/>
      <c r="J425" s="691">
        <v>131875000</v>
      </c>
      <c r="K425" s="691">
        <v>131875000</v>
      </c>
      <c r="L425" s="692">
        <f t="shared" si="143"/>
        <v>0</v>
      </c>
      <c r="M425" s="691"/>
      <c r="N425" s="727">
        <f>K425-M425</f>
        <v>131875000</v>
      </c>
    </row>
    <row r="426" spans="1:14" x14ac:dyDescent="0.4">
      <c r="A426" s="475" t="s">
        <v>20</v>
      </c>
      <c r="B426" s="475" t="s">
        <v>169</v>
      </c>
      <c r="C426" s="475" t="s">
        <v>25</v>
      </c>
      <c r="D426" s="688" t="str">
        <f t="shared" si="141"/>
        <v>11월</v>
      </c>
      <c r="E426" s="785" t="s">
        <v>128</v>
      </c>
      <c r="F426" s="690" t="s">
        <v>129</v>
      </c>
      <c r="G426" s="785" t="s">
        <v>130</v>
      </c>
      <c r="H426" s="690" t="s">
        <v>141</v>
      </c>
      <c r="I426" s="774"/>
      <c r="J426" s="691">
        <v>2616600000</v>
      </c>
      <c r="K426" s="691">
        <v>2616600000</v>
      </c>
      <c r="L426" s="692">
        <f t="shared" si="143"/>
        <v>0</v>
      </c>
      <c r="M426" s="691"/>
      <c r="N426" s="727">
        <f t="shared" ref="N426" si="144">K426-M426</f>
        <v>2616600000</v>
      </c>
    </row>
    <row r="427" spans="1:14" x14ac:dyDescent="0.4">
      <c r="A427" s="475" t="s">
        <v>20</v>
      </c>
      <c r="B427" s="475" t="s">
        <v>169</v>
      </c>
      <c r="C427" s="475" t="s">
        <v>27</v>
      </c>
      <c r="D427" s="688" t="str">
        <f t="shared" si="141"/>
        <v>11월</v>
      </c>
      <c r="E427" s="787" t="s">
        <v>128</v>
      </c>
      <c r="F427" s="701" t="s">
        <v>129</v>
      </c>
      <c r="G427" s="787" t="s">
        <v>130</v>
      </c>
      <c r="H427" s="701" t="s">
        <v>142</v>
      </c>
      <c r="I427" s="781"/>
      <c r="J427" s="691">
        <v>0</v>
      </c>
      <c r="K427" s="691">
        <v>0</v>
      </c>
      <c r="L427" s="703"/>
      <c r="M427" s="702"/>
      <c r="N427" s="727">
        <f>K427-M427</f>
        <v>0</v>
      </c>
    </row>
    <row r="428" spans="1:14" ht="14.4" thickBot="1" x14ac:dyDescent="0.45">
      <c r="A428" s="475" t="s">
        <v>20</v>
      </c>
      <c r="B428" s="475" t="s">
        <v>169</v>
      </c>
      <c r="C428" s="475" t="s">
        <v>28</v>
      </c>
      <c r="D428" s="766" t="str">
        <f t="shared" si="141"/>
        <v>11월</v>
      </c>
      <c r="E428" s="788" t="s">
        <v>128</v>
      </c>
      <c r="F428" s="705" t="s">
        <v>129</v>
      </c>
      <c r="G428" s="788" t="s">
        <v>130</v>
      </c>
      <c r="H428" s="705" t="s">
        <v>143</v>
      </c>
      <c r="I428" s="706"/>
      <c r="J428" s="706"/>
      <c r="K428" s="706"/>
      <c r="L428" s="707" t="e">
        <f t="shared" ref="L428" si="145">+K428/J428</f>
        <v>#DIV/0!</v>
      </c>
      <c r="M428" s="706"/>
      <c r="N428" s="727">
        <f t="shared" ref="N428" si="146">K428-M428</f>
        <v>0</v>
      </c>
    </row>
    <row r="429" spans="1:14" ht="14.4" thickBot="1" x14ac:dyDescent="0.45">
      <c r="D429" s="829" t="s">
        <v>176</v>
      </c>
      <c r="E429" s="830"/>
      <c r="F429" s="830"/>
      <c r="G429" s="830"/>
      <c r="H429" s="831"/>
      <c r="I429" s="710">
        <f>SUM(I417:I428)</f>
        <v>0</v>
      </c>
      <c r="J429" s="710">
        <f>SUM(J417:J428)</f>
        <v>15276873687.733334</v>
      </c>
      <c r="K429" s="710">
        <f>SUM(K417:K428)</f>
        <v>15276873687.733334</v>
      </c>
      <c r="L429" s="711">
        <f>I429/J429</f>
        <v>0</v>
      </c>
      <c r="M429" s="712">
        <f>SUM(M417:M428)</f>
        <v>0</v>
      </c>
      <c r="N429" s="713">
        <f>SUM(N417:N428)</f>
        <v>9891407393.3333321</v>
      </c>
    </row>
    <row r="430" spans="1:14" x14ac:dyDescent="0.4">
      <c r="A430" s="475" t="s">
        <v>20</v>
      </c>
      <c r="B430" s="475" t="s">
        <v>169</v>
      </c>
      <c r="C430" s="475" t="s">
        <v>101</v>
      </c>
      <c r="D430" s="682" t="s">
        <v>139</v>
      </c>
      <c r="E430" s="784" t="s">
        <v>128</v>
      </c>
      <c r="F430" s="761" t="s">
        <v>129</v>
      </c>
      <c r="G430" s="784" t="s">
        <v>130</v>
      </c>
      <c r="H430" s="761" t="s">
        <v>281</v>
      </c>
      <c r="I430" s="762"/>
      <c r="J430" s="762">
        <v>17044833.333333336</v>
      </c>
      <c r="K430" s="762">
        <v>17044833.333333336</v>
      </c>
      <c r="L430" s="763">
        <f t="shared" ref="L430" si="147">+I430/J430</f>
        <v>0</v>
      </c>
      <c r="M430" s="762"/>
      <c r="N430" s="748">
        <f>K430-M430</f>
        <v>17044833.333333336</v>
      </c>
    </row>
    <row r="431" spans="1:14" x14ac:dyDescent="0.4">
      <c r="A431" s="475" t="s">
        <v>20</v>
      </c>
      <c r="B431" s="475" t="s">
        <v>169</v>
      </c>
      <c r="C431" s="475" t="s">
        <v>101</v>
      </c>
      <c r="D431" s="688" t="str">
        <f t="shared" ref="D431:D441" si="148">D430</f>
        <v>12월</v>
      </c>
      <c r="E431" s="785" t="s">
        <v>128</v>
      </c>
      <c r="F431" s="690" t="s">
        <v>129</v>
      </c>
      <c r="G431" s="785" t="s">
        <v>130</v>
      </c>
      <c r="H431" s="690" t="s">
        <v>132</v>
      </c>
      <c r="I431" s="691"/>
      <c r="J431" s="691">
        <v>0</v>
      </c>
      <c r="K431" s="691">
        <v>0</v>
      </c>
      <c r="L431" s="692"/>
      <c r="M431" s="774"/>
      <c r="N431" s="727">
        <f t="shared" ref="N431:N432" si="149">K431-M431</f>
        <v>0</v>
      </c>
    </row>
    <row r="432" spans="1:14" x14ac:dyDescent="0.4">
      <c r="A432" s="475" t="s">
        <v>20</v>
      </c>
      <c r="B432" s="475" t="s">
        <v>169</v>
      </c>
      <c r="C432" s="475" t="s">
        <v>18</v>
      </c>
      <c r="D432" s="688" t="str">
        <f t="shared" si="148"/>
        <v>12월</v>
      </c>
      <c r="E432" s="786" t="s">
        <v>128</v>
      </c>
      <c r="F432" s="690" t="s">
        <v>129</v>
      </c>
      <c r="G432" s="785" t="s">
        <v>130</v>
      </c>
      <c r="H432" s="690" t="s">
        <v>133</v>
      </c>
      <c r="I432" s="691"/>
      <c r="J432" s="691">
        <v>2843038800</v>
      </c>
      <c r="K432" s="691">
        <v>2843038800</v>
      </c>
      <c r="L432" s="692"/>
      <c r="M432" s="774"/>
      <c r="N432" s="727">
        <f t="shared" si="149"/>
        <v>2843038800</v>
      </c>
    </row>
    <row r="433" spans="1:14" x14ac:dyDescent="0.4">
      <c r="A433" s="475" t="s">
        <v>20</v>
      </c>
      <c r="B433" s="475" t="s">
        <v>169</v>
      </c>
      <c r="C433" s="475" t="s">
        <v>23</v>
      </c>
      <c r="D433" s="688" t="str">
        <f t="shared" si="148"/>
        <v>12월</v>
      </c>
      <c r="E433" s="785" t="s">
        <v>128</v>
      </c>
      <c r="F433" s="690" t="s">
        <v>129</v>
      </c>
      <c r="G433" s="785" t="s">
        <v>130</v>
      </c>
      <c r="H433" s="690" t="s">
        <v>134</v>
      </c>
      <c r="I433" s="691"/>
      <c r="J433" s="691">
        <v>382489320</v>
      </c>
      <c r="K433" s="691">
        <v>382489320</v>
      </c>
      <c r="L433" s="692">
        <f t="shared" ref="L433:L439" si="150">+I433/J433</f>
        <v>0</v>
      </c>
      <c r="M433" s="774"/>
      <c r="N433" s="727">
        <f>K433-M433</f>
        <v>382489320</v>
      </c>
    </row>
    <row r="434" spans="1:14" x14ac:dyDescent="0.4">
      <c r="A434" s="475" t="s">
        <v>20</v>
      </c>
      <c r="B434" s="475" t="s">
        <v>169</v>
      </c>
      <c r="C434" s="475" t="s">
        <v>22</v>
      </c>
      <c r="D434" s="688" t="str">
        <f t="shared" si="148"/>
        <v>12월</v>
      </c>
      <c r="E434" s="785" t="s">
        <v>128</v>
      </c>
      <c r="F434" s="690" t="s">
        <v>129</v>
      </c>
      <c r="G434" s="785" t="s">
        <v>130</v>
      </c>
      <c r="H434" s="690" t="s">
        <v>251</v>
      </c>
      <c r="I434" s="691"/>
      <c r="J434" s="691">
        <v>3763162800</v>
      </c>
      <c r="K434" s="691">
        <v>3763162800</v>
      </c>
      <c r="L434" s="692">
        <f t="shared" si="150"/>
        <v>0</v>
      </c>
      <c r="M434" s="774"/>
      <c r="N434" s="727">
        <f t="shared" ref="N434:N441" si="151">K434-M434</f>
        <v>3763162800</v>
      </c>
    </row>
    <row r="435" spans="1:14" x14ac:dyDescent="0.4">
      <c r="A435" s="475" t="s">
        <v>20</v>
      </c>
      <c r="B435" s="475" t="s">
        <v>169</v>
      </c>
      <c r="C435" s="475" t="s">
        <v>22</v>
      </c>
      <c r="D435" s="688" t="str">
        <f t="shared" si="148"/>
        <v>12월</v>
      </c>
      <c r="E435" s="785" t="s">
        <v>128</v>
      </c>
      <c r="F435" s="690" t="s">
        <v>129</v>
      </c>
      <c r="G435" s="785" t="s">
        <v>130</v>
      </c>
      <c r="H435" s="690" t="s">
        <v>253</v>
      </c>
      <c r="I435" s="691"/>
      <c r="J435" s="691">
        <v>4192489015.1999998</v>
      </c>
      <c r="K435" s="691">
        <v>4192489015.1999998</v>
      </c>
      <c r="L435" s="692"/>
      <c r="M435" s="774"/>
      <c r="N435" s="727"/>
    </row>
    <row r="436" spans="1:14" x14ac:dyDescent="0.4">
      <c r="A436" s="475" t="s">
        <v>20</v>
      </c>
      <c r="B436" s="475" t="s">
        <v>169</v>
      </c>
      <c r="C436" s="475" t="s">
        <v>22</v>
      </c>
      <c r="D436" s="688" t="str">
        <f t="shared" si="148"/>
        <v>12월</v>
      </c>
      <c r="E436" s="785" t="s">
        <v>128</v>
      </c>
      <c r="F436" s="690" t="s">
        <v>129</v>
      </c>
      <c r="G436" s="785" t="s">
        <v>130</v>
      </c>
      <c r="H436" s="690" t="s">
        <v>254</v>
      </c>
      <c r="I436" s="691"/>
      <c r="J436" s="691">
        <v>4416870799.999999</v>
      </c>
      <c r="K436" s="691">
        <v>4416870799.999999</v>
      </c>
      <c r="L436" s="692"/>
      <c r="M436" s="774"/>
      <c r="N436" s="727"/>
    </row>
    <row r="437" spans="1:14" x14ac:dyDescent="0.4">
      <c r="A437" s="475" t="s">
        <v>20</v>
      </c>
      <c r="B437" s="475" t="s">
        <v>169</v>
      </c>
      <c r="C437" s="475" t="s">
        <v>28</v>
      </c>
      <c r="D437" s="688" t="str">
        <f>D434</f>
        <v>12월</v>
      </c>
      <c r="E437" s="785" t="s">
        <v>128</v>
      </c>
      <c r="F437" s="690" t="s">
        <v>129</v>
      </c>
      <c r="G437" s="785" t="s">
        <v>130</v>
      </c>
      <c r="H437" s="690" t="s">
        <v>136</v>
      </c>
      <c r="I437" s="691"/>
      <c r="J437" s="691">
        <v>0</v>
      </c>
      <c r="K437" s="691">
        <v>0</v>
      </c>
      <c r="L437" s="692" t="e">
        <f t="shared" si="150"/>
        <v>#DIV/0!</v>
      </c>
      <c r="M437" s="774"/>
      <c r="N437" s="727">
        <f t="shared" si="151"/>
        <v>0</v>
      </c>
    </row>
    <row r="438" spans="1:14" x14ac:dyDescent="0.4">
      <c r="A438" s="475" t="s">
        <v>20</v>
      </c>
      <c r="B438" s="475" t="s">
        <v>169</v>
      </c>
      <c r="C438" s="475" t="s">
        <v>26</v>
      </c>
      <c r="D438" s="688" t="str">
        <f t="shared" si="148"/>
        <v>12월</v>
      </c>
      <c r="E438" s="785" t="s">
        <v>128</v>
      </c>
      <c r="F438" s="690" t="s">
        <v>129</v>
      </c>
      <c r="G438" s="785" t="s">
        <v>130</v>
      </c>
      <c r="H438" s="690" t="s">
        <v>137</v>
      </c>
      <c r="I438" s="691"/>
      <c r="J438" s="691">
        <v>0</v>
      </c>
      <c r="K438" s="691">
        <v>0</v>
      </c>
      <c r="L438" s="692" t="e">
        <f t="shared" si="150"/>
        <v>#DIV/0!</v>
      </c>
      <c r="M438" s="774"/>
      <c r="N438" s="727">
        <f t="shared" si="151"/>
        <v>0</v>
      </c>
    </row>
    <row r="439" spans="1:14" x14ac:dyDescent="0.4">
      <c r="A439" s="475" t="s">
        <v>20</v>
      </c>
      <c r="B439" s="475" t="s">
        <v>169</v>
      </c>
      <c r="C439" s="475" t="s">
        <v>25</v>
      </c>
      <c r="D439" s="688" t="str">
        <f t="shared" si="148"/>
        <v>12월</v>
      </c>
      <c r="E439" s="785" t="s">
        <v>128</v>
      </c>
      <c r="F439" s="690" t="s">
        <v>129</v>
      </c>
      <c r="G439" s="785" t="s">
        <v>130</v>
      </c>
      <c r="H439" s="690" t="s">
        <v>141</v>
      </c>
      <c r="I439" s="691"/>
      <c r="J439" s="691">
        <v>2302000000</v>
      </c>
      <c r="K439" s="691">
        <v>2302000000</v>
      </c>
      <c r="L439" s="692">
        <f t="shared" si="150"/>
        <v>0</v>
      </c>
      <c r="M439" s="774"/>
      <c r="N439" s="727">
        <f t="shared" si="151"/>
        <v>2302000000</v>
      </c>
    </row>
    <row r="440" spans="1:14" x14ac:dyDescent="0.4">
      <c r="A440" s="475" t="s">
        <v>20</v>
      </c>
      <c r="B440" s="475" t="s">
        <v>169</v>
      </c>
      <c r="C440" s="475" t="s">
        <v>27</v>
      </c>
      <c r="D440" s="688" t="str">
        <f t="shared" si="148"/>
        <v>12월</v>
      </c>
      <c r="E440" s="787" t="s">
        <v>128</v>
      </c>
      <c r="F440" s="701" t="s">
        <v>129</v>
      </c>
      <c r="G440" s="787" t="s">
        <v>130</v>
      </c>
      <c r="H440" s="701" t="s">
        <v>142</v>
      </c>
      <c r="I440" s="702"/>
      <c r="J440" s="691">
        <v>0</v>
      </c>
      <c r="K440" s="691">
        <v>0</v>
      </c>
      <c r="L440" s="703"/>
      <c r="M440" s="781"/>
      <c r="N440" s="727">
        <f t="shared" si="151"/>
        <v>0</v>
      </c>
    </row>
    <row r="441" spans="1:14" ht="14.4" thickBot="1" x14ac:dyDescent="0.45">
      <c r="A441" s="475" t="s">
        <v>20</v>
      </c>
      <c r="B441" s="475" t="s">
        <v>169</v>
      </c>
      <c r="C441" s="475" t="s">
        <v>28</v>
      </c>
      <c r="D441" s="766" t="str">
        <f t="shared" si="148"/>
        <v>12월</v>
      </c>
      <c r="E441" s="788" t="s">
        <v>128</v>
      </c>
      <c r="F441" s="705" t="s">
        <v>129</v>
      </c>
      <c r="G441" s="788" t="s">
        <v>130</v>
      </c>
      <c r="H441" s="705" t="s">
        <v>143</v>
      </c>
      <c r="I441" s="706"/>
      <c r="J441" s="706"/>
      <c r="K441" s="706"/>
      <c r="L441" s="707" t="e">
        <f t="shared" ref="L441" si="152">+K441/J441</f>
        <v>#DIV/0!</v>
      </c>
      <c r="M441" s="706"/>
      <c r="N441" s="727">
        <f t="shared" si="151"/>
        <v>0</v>
      </c>
    </row>
    <row r="442" spans="1:14" ht="14.4" thickBot="1" x14ac:dyDescent="0.45">
      <c r="D442" s="829" t="s">
        <v>179</v>
      </c>
      <c r="E442" s="830"/>
      <c r="F442" s="830"/>
      <c r="G442" s="830"/>
      <c r="H442" s="831"/>
      <c r="I442" s="710">
        <f>SUM(I430:I441)</f>
        <v>0</v>
      </c>
      <c r="J442" s="710">
        <f>SUM(J430:J441)</f>
        <v>17917095568.533333</v>
      </c>
      <c r="K442" s="710">
        <f>SUM(K430:K441)</f>
        <v>17917095568.533333</v>
      </c>
      <c r="L442" s="711">
        <f>I442/J442</f>
        <v>0</v>
      </c>
      <c r="M442" s="712">
        <f>SUM(M430:M441)</f>
        <v>0</v>
      </c>
      <c r="N442" s="713">
        <f>SUM(N430:N441)</f>
        <v>9307735753.333334</v>
      </c>
    </row>
    <row r="443" spans="1:14" ht="14.4" thickBot="1" x14ac:dyDescent="0.45">
      <c r="D443" s="832" t="s">
        <v>180</v>
      </c>
      <c r="E443" s="833"/>
      <c r="F443" s="833"/>
      <c r="G443" s="833"/>
      <c r="H443" s="834"/>
      <c r="I443" s="722">
        <f>SUM(I416,I429,I442)</f>
        <v>0</v>
      </c>
      <c r="J443" s="722">
        <f t="shared" ref="J443:K443" si="153">SUM(J416,J429,J442)</f>
        <v>45135482285.599998</v>
      </c>
      <c r="K443" s="722">
        <f t="shared" si="153"/>
        <v>45135482285.599998</v>
      </c>
      <c r="L443" s="723">
        <f>I443/J443</f>
        <v>0</v>
      </c>
      <c r="M443" s="722">
        <f t="shared" ref="M443:N443" si="154">SUM(M416,M429,M442)</f>
        <v>0</v>
      </c>
      <c r="N443" s="722">
        <f t="shared" si="154"/>
        <v>25439287860</v>
      </c>
    </row>
    <row r="444" spans="1:14" ht="14.4" thickBot="1" x14ac:dyDescent="0.45">
      <c r="D444" s="835" t="s">
        <v>282</v>
      </c>
      <c r="E444" s="836"/>
      <c r="F444" s="836"/>
      <c r="G444" s="836"/>
      <c r="H444" s="837"/>
      <c r="I444" s="769">
        <f>SUM(I323,I363,I403,I443)</f>
        <v>21955351244</v>
      </c>
      <c r="J444" s="769">
        <f>SUM(J323,J363,J403,J443)</f>
        <v>155922562852</v>
      </c>
      <c r="K444" s="769">
        <f>SUM(K323,K363,K403,K443)</f>
        <v>157968892682.88</v>
      </c>
      <c r="L444" s="770">
        <f>I444/J444</f>
        <v>0.14080932767145304</v>
      </c>
      <c r="M444" s="771">
        <f>SUM(M323,M363,M403,M443)</f>
        <v>33648715504.213333</v>
      </c>
      <c r="N444" s="772">
        <f>SUM(N323,N363,N403,N443)</f>
        <v>71386168758.266663</v>
      </c>
    </row>
  </sheetData>
  <mergeCells count="39">
    <mergeCell ref="Q304:R304"/>
    <mergeCell ref="S304:T304"/>
    <mergeCell ref="T197:T201"/>
    <mergeCell ref="T194:T196"/>
    <mergeCell ref="D157:H157"/>
    <mergeCell ref="D202:H202"/>
    <mergeCell ref="D213:H213"/>
    <mergeCell ref="D214:H214"/>
    <mergeCell ref="D225:H225"/>
    <mergeCell ref="D146:H146"/>
    <mergeCell ref="D168:H168"/>
    <mergeCell ref="D179:H179"/>
    <mergeCell ref="D180:H180"/>
    <mergeCell ref="D191:H191"/>
    <mergeCell ref="D363:H363"/>
    <mergeCell ref="D236:H236"/>
    <mergeCell ref="D247:H247"/>
    <mergeCell ref="D248:H248"/>
    <mergeCell ref="D282:H282"/>
    <mergeCell ref="D259:H259"/>
    <mergeCell ref="D270:H270"/>
    <mergeCell ref="D281:H281"/>
    <mergeCell ref="D283:H283"/>
    <mergeCell ref="D442:H442"/>
    <mergeCell ref="D443:H443"/>
    <mergeCell ref="D444:H444"/>
    <mergeCell ref="D296:H296"/>
    <mergeCell ref="D309:H309"/>
    <mergeCell ref="D322:H322"/>
    <mergeCell ref="D323:H323"/>
    <mergeCell ref="D336:H336"/>
    <mergeCell ref="D349:H349"/>
    <mergeCell ref="D362:H362"/>
    <mergeCell ref="D402:H402"/>
    <mergeCell ref="D403:H403"/>
    <mergeCell ref="D416:H416"/>
    <mergeCell ref="D429:H429"/>
    <mergeCell ref="D376:H376"/>
    <mergeCell ref="D389:H389"/>
  </mergeCells>
  <phoneticPr fontId="2" type="noConversion"/>
  <pageMargins left="0.37" right="0.23" top="0.3" bottom="0.17" header="0.3" footer="0.18"/>
  <pageSetup paperSize="9" scale="4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B6A99-724B-435A-8A5B-45571350A0AF}">
  <sheetPr codeName="Sheet7" filterMode="1"/>
  <dimension ref="B2:AH60"/>
  <sheetViews>
    <sheetView showGridLines="0" zoomScale="85" zoomScaleNormal="85" workbookViewId="0">
      <pane xSplit="5" ySplit="4" topLeftCell="J44" activePane="bottomRight" state="frozen"/>
      <selection pane="topRight" activeCell="F1" sqref="F1"/>
      <selection pane="bottomLeft" activeCell="A4" sqref="A4"/>
      <selection pane="bottomRight" activeCell="L51" sqref="L51:N53"/>
    </sheetView>
  </sheetViews>
  <sheetFormatPr defaultRowHeight="17.399999999999999" x14ac:dyDescent="0.4"/>
  <cols>
    <col min="1" max="1" width="3.59765625" customWidth="1"/>
    <col min="2" max="2" width="15.09765625" bestFit="1" customWidth="1"/>
    <col min="3" max="3" width="17.09765625" bestFit="1" customWidth="1"/>
    <col min="4" max="4" width="23.09765625" bestFit="1" customWidth="1"/>
    <col min="5" max="5" width="24.59765625" bestFit="1" customWidth="1"/>
    <col min="6" max="17" width="17.59765625" bestFit="1" customWidth="1"/>
    <col min="18" max="18" width="19.09765625" bestFit="1" customWidth="1"/>
    <col min="20" max="29" width="17.59765625" bestFit="1" customWidth="1"/>
    <col min="31" max="34" width="17.59765625" bestFit="1" customWidth="1"/>
  </cols>
  <sheetData>
    <row r="2" spans="2:34" ht="22.35" customHeight="1" x14ac:dyDescent="0.4">
      <c r="B2" s="34" t="s">
        <v>283</v>
      </c>
    </row>
    <row r="3" spans="2:34" ht="20.100000000000001" customHeight="1" x14ac:dyDescent="0.4"/>
    <row r="4" spans="2:34" ht="25.35" customHeight="1" x14ac:dyDescent="0.4">
      <c r="B4" s="200" t="s">
        <v>284</v>
      </c>
      <c r="C4" s="200" t="s">
        <v>285</v>
      </c>
      <c r="D4" s="465" t="s">
        <v>286</v>
      </c>
      <c r="E4" s="200" t="s">
        <v>287</v>
      </c>
      <c r="F4" s="466" t="s">
        <v>2</v>
      </c>
      <c r="G4" s="204" t="s">
        <v>3</v>
      </c>
      <c r="H4" s="204" t="s">
        <v>288</v>
      </c>
      <c r="I4" s="204" t="s">
        <v>289</v>
      </c>
      <c r="J4" s="204" t="s">
        <v>290</v>
      </c>
      <c r="K4" s="204" t="s">
        <v>291</v>
      </c>
      <c r="L4" s="204" t="s">
        <v>292</v>
      </c>
      <c r="M4" s="204" t="s">
        <v>293</v>
      </c>
      <c r="N4" s="204" t="s">
        <v>294</v>
      </c>
      <c r="O4" s="204" t="s">
        <v>295</v>
      </c>
      <c r="P4" s="204" t="s">
        <v>296</v>
      </c>
      <c r="Q4" s="467" t="s">
        <v>139</v>
      </c>
      <c r="R4" s="200" t="s">
        <v>297</v>
      </c>
      <c r="T4" s="465" t="s">
        <v>102</v>
      </c>
      <c r="U4" s="204" t="s">
        <v>105</v>
      </c>
      <c r="V4" s="204" t="s">
        <v>298</v>
      </c>
      <c r="W4" s="204" t="s">
        <v>299</v>
      </c>
      <c r="X4" s="204" t="s">
        <v>300</v>
      </c>
      <c r="Y4" s="204" t="s">
        <v>301</v>
      </c>
      <c r="Z4" s="204" t="s">
        <v>302</v>
      </c>
      <c r="AA4" s="204" t="s">
        <v>303</v>
      </c>
      <c r="AB4" s="204" t="s">
        <v>304</v>
      </c>
      <c r="AC4" s="468" t="s">
        <v>305</v>
      </c>
      <c r="AE4" s="203" t="s">
        <v>306</v>
      </c>
      <c r="AF4" s="204" t="s">
        <v>307</v>
      </c>
      <c r="AG4" s="204" t="s">
        <v>308</v>
      </c>
      <c r="AH4" s="468" t="s">
        <v>309</v>
      </c>
    </row>
    <row r="5" spans="2:34" ht="20.100000000000001" hidden="1" customHeight="1" x14ac:dyDescent="0.4">
      <c r="B5" s="443" t="s">
        <v>310</v>
      </c>
      <c r="C5" s="444" t="s">
        <v>311</v>
      </c>
      <c r="D5" s="445" t="s">
        <v>311</v>
      </c>
      <c r="E5" s="444" t="s">
        <v>312</v>
      </c>
      <c r="F5" s="205">
        <v>2821544822.4468293</v>
      </c>
      <c r="G5" s="199">
        <v>4232317233.6702433</v>
      </c>
      <c r="H5" s="205">
        <v>7053862056.1170731</v>
      </c>
      <c r="I5" s="199">
        <v>3775694961.3618598</v>
      </c>
      <c r="J5" s="205">
        <v>5663542442.0427885</v>
      </c>
      <c r="K5" s="199">
        <v>9439237403.4046478</v>
      </c>
      <c r="L5" s="199">
        <v>3083797564.5866461</v>
      </c>
      <c r="M5" s="205">
        <v>4625696346.8799696</v>
      </c>
      <c r="N5" s="199">
        <v>7709493911.4666157</v>
      </c>
      <c r="O5" s="205">
        <v>3318962651.6046638</v>
      </c>
      <c r="P5" s="199">
        <v>4978443977.4069948</v>
      </c>
      <c r="Q5" s="205">
        <v>8297406629.0116596</v>
      </c>
      <c r="R5" s="446">
        <f t="shared" ref="R5:R55" si="0">SUM(F5:Q5)</f>
        <v>64999999999.999985</v>
      </c>
      <c r="T5" s="447">
        <f>SUM(F5:G5)</f>
        <v>7053862056.1170731</v>
      </c>
      <c r="U5" s="199">
        <f>T5+H5</f>
        <v>14107724112.234146</v>
      </c>
      <c r="V5" s="205">
        <f t="shared" ref="V5:AC5" si="1">U5+I5</f>
        <v>17883419073.596004</v>
      </c>
      <c r="W5" s="199">
        <f t="shared" si="1"/>
        <v>23546961515.638794</v>
      </c>
      <c r="X5" s="205">
        <f t="shared" si="1"/>
        <v>32986198919.043442</v>
      </c>
      <c r="Y5" s="199">
        <f t="shared" si="1"/>
        <v>36069996483.630089</v>
      </c>
      <c r="Z5" s="199">
        <f t="shared" si="1"/>
        <v>40695692830.510056</v>
      </c>
      <c r="AA5" s="205">
        <f t="shared" si="1"/>
        <v>48405186741.976669</v>
      </c>
      <c r="AB5" s="199">
        <f t="shared" si="1"/>
        <v>51724149393.581329</v>
      </c>
      <c r="AC5" s="448">
        <f t="shared" si="1"/>
        <v>56702593370.988327</v>
      </c>
      <c r="AE5" s="449">
        <f>SUM(F5:H5)</f>
        <v>14107724112.234146</v>
      </c>
      <c r="AF5" s="205">
        <f>SUM(I5:K5)</f>
        <v>18878474806.809296</v>
      </c>
      <c r="AG5" s="199">
        <f>SUM(L5:N5)</f>
        <v>15418987822.933231</v>
      </c>
      <c r="AH5" s="448">
        <f>SUM(O5:Q5)</f>
        <v>16594813258.023319</v>
      </c>
    </row>
    <row r="6" spans="2:34" ht="20.100000000000001" hidden="1" customHeight="1" x14ac:dyDescent="0.4">
      <c r="B6" s="443" t="s">
        <v>310</v>
      </c>
      <c r="C6" s="444" t="s">
        <v>311</v>
      </c>
      <c r="D6" s="445" t="s">
        <v>311</v>
      </c>
      <c r="E6" s="444" t="s">
        <v>313</v>
      </c>
      <c r="F6" s="205">
        <v>0</v>
      </c>
      <c r="G6" s="199">
        <v>0</v>
      </c>
      <c r="H6" s="205">
        <v>0</v>
      </c>
      <c r="I6" s="199">
        <v>0</v>
      </c>
      <c r="J6" s="205">
        <v>0</v>
      </c>
      <c r="K6" s="199">
        <v>0</v>
      </c>
      <c r="L6" s="199">
        <v>0</v>
      </c>
      <c r="M6" s="205">
        <v>0</v>
      </c>
      <c r="N6" s="199">
        <v>0</v>
      </c>
      <c r="O6" s="205">
        <v>0</v>
      </c>
      <c r="P6" s="199">
        <v>0</v>
      </c>
      <c r="Q6" s="205">
        <v>0</v>
      </c>
      <c r="R6" s="450">
        <f t="shared" si="0"/>
        <v>0</v>
      </c>
      <c r="T6" s="447">
        <f t="shared" ref="T6:T55" si="2">SUM(F6:G6)</f>
        <v>0</v>
      </c>
      <c r="U6" s="199">
        <f t="shared" ref="U6:AC21" si="3">T6+H6</f>
        <v>0</v>
      </c>
      <c r="V6" s="205">
        <f t="shared" si="3"/>
        <v>0</v>
      </c>
      <c r="W6" s="199">
        <f t="shared" si="3"/>
        <v>0</v>
      </c>
      <c r="X6" s="205">
        <f t="shared" si="3"/>
        <v>0</v>
      </c>
      <c r="Y6" s="199">
        <f t="shared" si="3"/>
        <v>0</v>
      </c>
      <c r="Z6" s="199">
        <f t="shared" si="3"/>
        <v>0</v>
      </c>
      <c r="AA6" s="205">
        <f t="shared" si="3"/>
        <v>0</v>
      </c>
      <c r="AB6" s="199">
        <f t="shared" si="3"/>
        <v>0</v>
      </c>
      <c r="AC6" s="448">
        <f t="shared" si="3"/>
        <v>0</v>
      </c>
      <c r="AE6" s="449">
        <f t="shared" ref="AE6:AE55" si="4">SUM(F6:H6)</f>
        <v>0</v>
      </c>
      <c r="AF6" s="205">
        <f t="shared" ref="AF6:AF55" si="5">SUM(I6:K6)</f>
        <v>0</v>
      </c>
      <c r="AG6" s="199">
        <f t="shared" ref="AG6:AG55" si="6">SUM(L6:N6)</f>
        <v>0</v>
      </c>
      <c r="AH6" s="448">
        <f t="shared" ref="AH6:AH55" si="7">SUM(O6:Q6)</f>
        <v>0</v>
      </c>
    </row>
    <row r="7" spans="2:34" ht="20.100000000000001" hidden="1" customHeight="1" x14ac:dyDescent="0.4">
      <c r="B7" s="443" t="s">
        <v>30</v>
      </c>
      <c r="C7" s="444" t="s">
        <v>314</v>
      </c>
      <c r="D7" s="445" t="s">
        <v>315</v>
      </c>
      <c r="E7" s="444" t="s">
        <v>315</v>
      </c>
      <c r="F7" s="205">
        <v>0</v>
      </c>
      <c r="G7" s="199">
        <v>0</v>
      </c>
      <c r="H7" s="205">
        <v>0</v>
      </c>
      <c r="I7" s="199">
        <v>0</v>
      </c>
      <c r="J7" s="205">
        <v>0</v>
      </c>
      <c r="K7" s="199">
        <v>0</v>
      </c>
      <c r="L7" s="199">
        <v>0</v>
      </c>
      <c r="M7" s="205">
        <v>0</v>
      </c>
      <c r="N7" s="199">
        <v>0</v>
      </c>
      <c r="O7" s="205">
        <v>0</v>
      </c>
      <c r="P7" s="199">
        <v>0</v>
      </c>
      <c r="Q7" s="205">
        <v>0</v>
      </c>
      <c r="R7" s="450">
        <f t="shared" si="0"/>
        <v>0</v>
      </c>
      <c r="T7" s="447">
        <f t="shared" si="2"/>
        <v>0</v>
      </c>
      <c r="U7" s="199">
        <f t="shared" si="3"/>
        <v>0</v>
      </c>
      <c r="V7" s="205">
        <f t="shared" si="3"/>
        <v>0</v>
      </c>
      <c r="W7" s="199">
        <f t="shared" si="3"/>
        <v>0</v>
      </c>
      <c r="X7" s="205">
        <f t="shared" si="3"/>
        <v>0</v>
      </c>
      <c r="Y7" s="199">
        <f t="shared" si="3"/>
        <v>0</v>
      </c>
      <c r="Z7" s="199">
        <f t="shared" si="3"/>
        <v>0</v>
      </c>
      <c r="AA7" s="205">
        <f t="shared" si="3"/>
        <v>0</v>
      </c>
      <c r="AB7" s="199">
        <f t="shared" si="3"/>
        <v>0</v>
      </c>
      <c r="AC7" s="448">
        <f t="shared" si="3"/>
        <v>0</v>
      </c>
      <c r="AE7" s="449">
        <f t="shared" si="4"/>
        <v>0</v>
      </c>
      <c r="AF7" s="205">
        <f t="shared" si="5"/>
        <v>0</v>
      </c>
      <c r="AG7" s="199">
        <f t="shared" si="6"/>
        <v>0</v>
      </c>
      <c r="AH7" s="448">
        <f t="shared" si="7"/>
        <v>0</v>
      </c>
    </row>
    <row r="8" spans="2:34" ht="20.100000000000001" hidden="1" customHeight="1" x14ac:dyDescent="0.4">
      <c r="B8" s="443" t="s">
        <v>310</v>
      </c>
      <c r="C8" s="444" t="s">
        <v>316</v>
      </c>
      <c r="D8" s="445" t="s">
        <v>316</v>
      </c>
      <c r="E8" s="444" t="s">
        <v>316</v>
      </c>
      <c r="F8" s="205">
        <v>99309184.135645196</v>
      </c>
      <c r="G8" s="199">
        <v>148963776.20346782</v>
      </c>
      <c r="H8" s="205">
        <v>248272960.33911303</v>
      </c>
      <c r="I8" s="199">
        <v>132892160.05888158</v>
      </c>
      <c r="J8" s="205">
        <v>199338240.0883224</v>
      </c>
      <c r="K8" s="199">
        <v>332230400.14720392</v>
      </c>
      <c r="L8" s="199">
        <v>108539626.14459252</v>
      </c>
      <c r="M8" s="205">
        <v>162809439.21688879</v>
      </c>
      <c r="N8" s="199">
        <v>271349065.36148131</v>
      </c>
      <c r="O8" s="205">
        <v>116868120.56997171</v>
      </c>
      <c r="P8" s="199">
        <v>175302180.85495758</v>
      </c>
      <c r="Q8" s="205">
        <v>292170301.42492926</v>
      </c>
      <c r="R8" s="450">
        <f t="shared" si="0"/>
        <v>2288045454.545455</v>
      </c>
      <c r="T8" s="447">
        <f t="shared" si="2"/>
        <v>248272960.339113</v>
      </c>
      <c r="U8" s="199">
        <f t="shared" si="3"/>
        <v>496545920.67822599</v>
      </c>
      <c r="V8" s="205">
        <f t="shared" si="3"/>
        <v>629438080.73710752</v>
      </c>
      <c r="W8" s="199">
        <f t="shared" si="3"/>
        <v>828776320.82542992</v>
      </c>
      <c r="X8" s="205">
        <f t="shared" si="3"/>
        <v>1161006720.9726338</v>
      </c>
      <c r="Y8" s="199">
        <f t="shared" si="3"/>
        <v>1269546347.1172264</v>
      </c>
      <c r="Z8" s="199">
        <f t="shared" si="3"/>
        <v>1432355786.334115</v>
      </c>
      <c r="AA8" s="205">
        <f t="shared" si="3"/>
        <v>1703704851.6955962</v>
      </c>
      <c r="AB8" s="199">
        <f t="shared" si="3"/>
        <v>1820572972.265568</v>
      </c>
      <c r="AC8" s="448">
        <f t="shared" si="3"/>
        <v>1995875153.1205256</v>
      </c>
      <c r="AE8" s="449">
        <f t="shared" si="4"/>
        <v>496545920.67822599</v>
      </c>
      <c r="AF8" s="205">
        <f t="shared" si="5"/>
        <v>664460800.29440784</v>
      </c>
      <c r="AG8" s="199">
        <f t="shared" si="6"/>
        <v>542698130.72296262</v>
      </c>
      <c r="AH8" s="448">
        <f t="shared" si="7"/>
        <v>584340602.84985852</v>
      </c>
    </row>
    <row r="9" spans="2:34" ht="20.100000000000001" hidden="1" customHeight="1" x14ac:dyDescent="0.4">
      <c r="B9" s="443" t="s">
        <v>310</v>
      </c>
      <c r="C9" s="451" t="s">
        <v>317</v>
      </c>
      <c r="D9" s="444" t="s">
        <v>318</v>
      </c>
      <c r="E9" s="444" t="s">
        <v>319</v>
      </c>
      <c r="F9" s="205">
        <v>911576019.55974495</v>
      </c>
      <c r="G9" s="199">
        <v>1367364029.3396173</v>
      </c>
      <c r="H9" s="205">
        <v>2278940048.8993621</v>
      </c>
      <c r="I9" s="199">
        <v>1219839910.5938315</v>
      </c>
      <c r="J9" s="205">
        <v>1829759865.8907471</v>
      </c>
      <c r="K9" s="199">
        <v>3049599776.4845786</v>
      </c>
      <c r="L9" s="199">
        <v>996303828.55876279</v>
      </c>
      <c r="M9" s="205">
        <v>1494455742.8381441</v>
      </c>
      <c r="N9" s="199">
        <v>2490759571.3969069</v>
      </c>
      <c r="O9" s="205">
        <v>1072280241.2876606</v>
      </c>
      <c r="P9" s="199">
        <v>1608420361.9314909</v>
      </c>
      <c r="Q9" s="205">
        <v>2680700603.2191515</v>
      </c>
      <c r="R9" s="450">
        <f t="shared" si="0"/>
        <v>20999999999.999996</v>
      </c>
      <c r="T9" s="447">
        <f t="shared" si="2"/>
        <v>2278940048.8993621</v>
      </c>
      <c r="U9" s="199">
        <f t="shared" si="3"/>
        <v>4557880097.7987242</v>
      </c>
      <c r="V9" s="205">
        <f t="shared" si="3"/>
        <v>5777720008.3925552</v>
      </c>
      <c r="W9" s="199">
        <f t="shared" si="3"/>
        <v>7607479874.2833023</v>
      </c>
      <c r="X9" s="205">
        <f t="shared" si="3"/>
        <v>10657079650.767881</v>
      </c>
      <c r="Y9" s="199">
        <f t="shared" si="3"/>
        <v>11653383479.326645</v>
      </c>
      <c r="Z9" s="199">
        <f t="shared" si="3"/>
        <v>13147839222.164789</v>
      </c>
      <c r="AA9" s="205">
        <f t="shared" si="3"/>
        <v>15638598793.561695</v>
      </c>
      <c r="AB9" s="199">
        <f t="shared" si="3"/>
        <v>16710879034.849356</v>
      </c>
      <c r="AC9" s="448">
        <f t="shared" si="3"/>
        <v>18319299396.780846</v>
      </c>
      <c r="AE9" s="449">
        <f t="shared" si="4"/>
        <v>4557880097.7987242</v>
      </c>
      <c r="AF9" s="205">
        <f t="shared" si="5"/>
        <v>6099199552.9691572</v>
      </c>
      <c r="AG9" s="199">
        <f t="shared" si="6"/>
        <v>4981519142.7938137</v>
      </c>
      <c r="AH9" s="448">
        <f t="shared" si="7"/>
        <v>5361401206.438303</v>
      </c>
    </row>
    <row r="10" spans="2:34" ht="20.100000000000001" hidden="1" customHeight="1" x14ac:dyDescent="0.4">
      <c r="B10" s="443" t="s">
        <v>310</v>
      </c>
      <c r="C10" s="444" t="s">
        <v>320</v>
      </c>
      <c r="D10" s="445" t="s">
        <v>320</v>
      </c>
      <c r="E10" s="444" t="s">
        <v>321</v>
      </c>
      <c r="F10" s="205">
        <v>1584035680.1248732</v>
      </c>
      <c r="G10" s="199">
        <v>2376053520.1873088</v>
      </c>
      <c r="H10" s="205">
        <v>3838640825.870522</v>
      </c>
      <c r="I10" s="199">
        <v>2119702472.3776443</v>
      </c>
      <c r="J10" s="205">
        <v>3179553708.5664673</v>
      </c>
      <c r="K10" s="199">
        <v>4226249680.6550364</v>
      </c>
      <c r="L10" s="199">
        <v>1731266267.2327566</v>
      </c>
      <c r="M10" s="205">
        <v>2596899400.8491359</v>
      </c>
      <c r="N10" s="199">
        <v>4328165668.081893</v>
      </c>
      <c r="O10" s="205">
        <v>2221779131.6183634</v>
      </c>
      <c r="P10" s="199">
        <v>3153834280.7126975</v>
      </c>
      <c r="Q10" s="205">
        <v>4410702706.6930733</v>
      </c>
      <c r="R10" s="450">
        <f t="shared" si="0"/>
        <v>35766883342.969772</v>
      </c>
      <c r="T10" s="447">
        <f t="shared" si="2"/>
        <v>3960089200.3121819</v>
      </c>
      <c r="U10" s="199">
        <f t="shared" si="3"/>
        <v>7798730026.182704</v>
      </c>
      <c r="V10" s="205">
        <f t="shared" si="3"/>
        <v>9918432498.5603485</v>
      </c>
      <c r="W10" s="199">
        <f t="shared" si="3"/>
        <v>13097986207.126816</v>
      </c>
      <c r="X10" s="205">
        <f t="shared" si="3"/>
        <v>17324235887.781853</v>
      </c>
      <c r="Y10" s="199">
        <f t="shared" si="3"/>
        <v>19055502155.01461</v>
      </c>
      <c r="Z10" s="199">
        <f t="shared" si="3"/>
        <v>21652401555.863747</v>
      </c>
      <c r="AA10" s="205">
        <f t="shared" si="3"/>
        <v>25980567223.945641</v>
      </c>
      <c r="AB10" s="199">
        <f t="shared" si="3"/>
        <v>28202346355.564003</v>
      </c>
      <c r="AC10" s="448">
        <f t="shared" si="3"/>
        <v>31356180636.276699</v>
      </c>
      <c r="AE10" s="449">
        <f t="shared" si="4"/>
        <v>7798730026.182704</v>
      </c>
      <c r="AF10" s="205">
        <f t="shared" si="5"/>
        <v>9525505861.5991478</v>
      </c>
      <c r="AG10" s="199">
        <f t="shared" si="6"/>
        <v>8656331336.163784</v>
      </c>
      <c r="AH10" s="448">
        <f t="shared" si="7"/>
        <v>9786316119.0241337</v>
      </c>
    </row>
    <row r="11" spans="2:34" ht="20.100000000000001" hidden="1" customHeight="1" x14ac:dyDescent="0.4">
      <c r="B11" s="443" t="s">
        <v>310</v>
      </c>
      <c r="C11" s="444" t="s">
        <v>320</v>
      </c>
      <c r="D11" s="445" t="s">
        <v>320</v>
      </c>
      <c r="E11" s="444" t="s">
        <v>322</v>
      </c>
      <c r="F11" s="205">
        <v>2375176475.3720059</v>
      </c>
      <c r="G11" s="199">
        <v>3533135307.0478215</v>
      </c>
      <c r="H11" s="205">
        <v>5683574609.2833958</v>
      </c>
      <c r="I11" s="199">
        <v>3156222854.5486794</v>
      </c>
      <c r="J11" s="205">
        <v>4708687191.5312452</v>
      </c>
      <c r="K11" s="199">
        <v>6247642265.9563551</v>
      </c>
      <c r="L11" s="199">
        <v>2579272952.3427191</v>
      </c>
      <c r="M11" s="205">
        <v>3852011683.6394825</v>
      </c>
      <c r="N11" s="199">
        <v>6363693656.4838104</v>
      </c>
      <c r="O11" s="205">
        <v>3266677583.5902147</v>
      </c>
      <c r="P11" s="199">
        <v>4637076476.4803934</v>
      </c>
      <c r="Q11" s="205">
        <v>6485047705.5924978</v>
      </c>
      <c r="R11" s="450">
        <f t="shared" si="0"/>
        <v>52888218761.868629</v>
      </c>
      <c r="T11" s="447">
        <f t="shared" si="2"/>
        <v>5908311782.4198275</v>
      </c>
      <c r="U11" s="199">
        <f t="shared" si="3"/>
        <v>11591886391.703224</v>
      </c>
      <c r="V11" s="205">
        <f t="shared" si="3"/>
        <v>14748109246.251904</v>
      </c>
      <c r="W11" s="199">
        <f t="shared" si="3"/>
        <v>19456796437.78315</v>
      </c>
      <c r="X11" s="205">
        <f t="shared" si="3"/>
        <v>25704438703.739506</v>
      </c>
      <c r="Y11" s="199">
        <f t="shared" si="3"/>
        <v>28283711656.082226</v>
      </c>
      <c r="Z11" s="199">
        <f t="shared" si="3"/>
        <v>32135723339.72171</v>
      </c>
      <c r="AA11" s="205">
        <f t="shared" si="3"/>
        <v>38499416996.205521</v>
      </c>
      <c r="AB11" s="199">
        <f t="shared" si="3"/>
        <v>41766094579.795738</v>
      </c>
      <c r="AC11" s="448">
        <f t="shared" si="3"/>
        <v>46403171056.276131</v>
      </c>
      <c r="AE11" s="449">
        <f t="shared" si="4"/>
        <v>11591886391.703224</v>
      </c>
      <c r="AF11" s="205">
        <f t="shared" si="5"/>
        <v>14112552312.03628</v>
      </c>
      <c r="AG11" s="199">
        <f t="shared" si="6"/>
        <v>12794978292.466011</v>
      </c>
      <c r="AH11" s="448">
        <f t="shared" si="7"/>
        <v>14388801765.663105</v>
      </c>
    </row>
    <row r="12" spans="2:34" ht="20.100000000000001" hidden="1" customHeight="1" x14ac:dyDescent="0.4">
      <c r="B12" s="443" t="s">
        <v>30</v>
      </c>
      <c r="C12" s="444" t="s">
        <v>320</v>
      </c>
      <c r="D12" s="445" t="s">
        <v>323</v>
      </c>
      <c r="E12" s="444" t="s">
        <v>323</v>
      </c>
      <c r="F12" s="205">
        <v>-150832625.14545399</v>
      </c>
      <c r="G12" s="199">
        <v>0</v>
      </c>
      <c r="H12" s="205">
        <v>0</v>
      </c>
      <c r="I12" s="199">
        <v>0</v>
      </c>
      <c r="J12" s="205">
        <v>0</v>
      </c>
      <c r="K12" s="199">
        <v>0</v>
      </c>
      <c r="L12" s="199">
        <v>0</v>
      </c>
      <c r="M12" s="205">
        <v>0</v>
      </c>
      <c r="N12" s="199">
        <v>0</v>
      </c>
      <c r="O12" s="205">
        <v>0</v>
      </c>
      <c r="P12" s="199">
        <v>0</v>
      </c>
      <c r="Q12" s="205">
        <v>0</v>
      </c>
      <c r="R12" s="450">
        <f t="shared" si="0"/>
        <v>-150832625.14545399</v>
      </c>
      <c r="T12" s="447">
        <f t="shared" si="2"/>
        <v>-150832625.14545399</v>
      </c>
      <c r="U12" s="199">
        <f t="shared" si="3"/>
        <v>-150832625.14545399</v>
      </c>
      <c r="V12" s="205">
        <f t="shared" si="3"/>
        <v>-150832625.14545399</v>
      </c>
      <c r="W12" s="199">
        <f t="shared" si="3"/>
        <v>-150832625.14545399</v>
      </c>
      <c r="X12" s="205">
        <f t="shared" si="3"/>
        <v>-150832625.14545399</v>
      </c>
      <c r="Y12" s="199">
        <f t="shared" si="3"/>
        <v>-150832625.14545399</v>
      </c>
      <c r="Z12" s="199">
        <f t="shared" si="3"/>
        <v>-150832625.14545399</v>
      </c>
      <c r="AA12" s="205">
        <f t="shared" si="3"/>
        <v>-150832625.14545399</v>
      </c>
      <c r="AB12" s="199">
        <f t="shared" si="3"/>
        <v>-150832625.14545399</v>
      </c>
      <c r="AC12" s="448">
        <f t="shared" si="3"/>
        <v>-150832625.14545399</v>
      </c>
      <c r="AE12" s="449">
        <f t="shared" si="4"/>
        <v>-150832625.14545399</v>
      </c>
      <c r="AF12" s="205">
        <f t="shared" si="5"/>
        <v>0</v>
      </c>
      <c r="AG12" s="199">
        <f t="shared" si="6"/>
        <v>0</v>
      </c>
      <c r="AH12" s="448">
        <f t="shared" si="7"/>
        <v>0</v>
      </c>
    </row>
    <row r="13" spans="2:34" ht="20.100000000000001" hidden="1" customHeight="1" x14ac:dyDescent="0.4">
      <c r="B13" s="443" t="s">
        <v>310</v>
      </c>
      <c r="C13" s="444" t="s">
        <v>324</v>
      </c>
      <c r="D13" s="445" t="s">
        <v>325</v>
      </c>
      <c r="E13" s="444" t="s">
        <v>325</v>
      </c>
      <c r="F13" s="205">
        <v>66242576.667891666</v>
      </c>
      <c r="G13" s="199">
        <v>99363865.001837432</v>
      </c>
      <c r="H13" s="205">
        <v>160527608.31004861</v>
      </c>
      <c r="I13" s="199">
        <v>88643554.751573801</v>
      </c>
      <c r="J13" s="205">
        <v>132965332.12736067</v>
      </c>
      <c r="K13" s="199">
        <v>176736971.26972178</v>
      </c>
      <c r="L13" s="199">
        <v>72399592.937616006</v>
      </c>
      <c r="M13" s="205">
        <v>108599389.40642399</v>
      </c>
      <c r="N13" s="199">
        <v>180998982.34404001</v>
      </c>
      <c r="O13" s="205">
        <v>92912284.939029261</v>
      </c>
      <c r="P13" s="199">
        <v>131889774.80700836</v>
      </c>
      <c r="Q13" s="205">
        <v>184450587.74456412</v>
      </c>
      <c r="R13" s="450">
        <f t="shared" si="0"/>
        <v>1495730520.3071153</v>
      </c>
      <c r="T13" s="447">
        <f t="shared" si="2"/>
        <v>165606441.66972911</v>
      </c>
      <c r="U13" s="199">
        <f t="shared" si="3"/>
        <v>326134049.97977769</v>
      </c>
      <c r="V13" s="205">
        <f t="shared" si="3"/>
        <v>414777604.73135149</v>
      </c>
      <c r="W13" s="199">
        <f t="shared" si="3"/>
        <v>547742936.8587122</v>
      </c>
      <c r="X13" s="205">
        <f t="shared" si="3"/>
        <v>724479908.12843394</v>
      </c>
      <c r="Y13" s="199">
        <f t="shared" si="3"/>
        <v>796879501.06604993</v>
      </c>
      <c r="Z13" s="199">
        <f t="shared" si="3"/>
        <v>905478890.47247386</v>
      </c>
      <c r="AA13" s="205">
        <f t="shared" si="3"/>
        <v>1086477872.8165138</v>
      </c>
      <c r="AB13" s="199">
        <f t="shared" si="3"/>
        <v>1179390157.755543</v>
      </c>
      <c r="AC13" s="448">
        <f t="shared" si="3"/>
        <v>1311279932.5625513</v>
      </c>
      <c r="AE13" s="449">
        <f t="shared" si="4"/>
        <v>326134049.97977769</v>
      </c>
      <c r="AF13" s="205">
        <f t="shared" si="5"/>
        <v>398345858.14865625</v>
      </c>
      <c r="AG13" s="199">
        <f t="shared" si="6"/>
        <v>361997964.68807995</v>
      </c>
      <c r="AH13" s="448">
        <f t="shared" si="7"/>
        <v>409252647.49060172</v>
      </c>
    </row>
    <row r="14" spans="2:34" ht="20.100000000000001" hidden="1" customHeight="1" x14ac:dyDescent="0.4">
      <c r="B14" s="443" t="s">
        <v>310</v>
      </c>
      <c r="C14" s="444" t="s">
        <v>314</v>
      </c>
      <c r="D14" s="445" t="s">
        <v>314</v>
      </c>
      <c r="E14" s="444" t="s">
        <v>326</v>
      </c>
      <c r="F14" s="205">
        <v>79656085.827537</v>
      </c>
      <c r="G14" s="199">
        <v>119484128.7413055</v>
      </c>
      <c r="H14" s="205">
        <v>199140214.5688425</v>
      </c>
      <c r="I14" s="199">
        <v>106593054.80748105</v>
      </c>
      <c r="J14" s="205">
        <v>159889582.21122158</v>
      </c>
      <c r="K14" s="199">
        <v>266482637.01870263</v>
      </c>
      <c r="L14" s="199">
        <v>87059840.9513987</v>
      </c>
      <c r="M14" s="205">
        <v>130589761.42709805</v>
      </c>
      <c r="N14" s="199">
        <v>217649602.37849674</v>
      </c>
      <c r="O14" s="205">
        <v>93698874.365336418</v>
      </c>
      <c r="P14" s="199">
        <v>140548311.5480046</v>
      </c>
      <c r="Q14" s="205">
        <v>234247185.91334099</v>
      </c>
      <c r="R14" s="450">
        <f t="shared" si="0"/>
        <v>1835039279.7587657</v>
      </c>
      <c r="T14" s="447">
        <f t="shared" si="2"/>
        <v>199140214.5688425</v>
      </c>
      <c r="U14" s="199">
        <f t="shared" si="3"/>
        <v>398280429.137685</v>
      </c>
      <c r="V14" s="205">
        <f t="shared" si="3"/>
        <v>504873483.94516605</v>
      </c>
      <c r="W14" s="199">
        <f t="shared" si="3"/>
        <v>664763066.15638757</v>
      </c>
      <c r="X14" s="205">
        <f t="shared" si="3"/>
        <v>931245703.17509019</v>
      </c>
      <c r="Y14" s="199">
        <f t="shared" si="3"/>
        <v>1018305544.1264889</v>
      </c>
      <c r="Z14" s="199">
        <f t="shared" si="3"/>
        <v>1148895305.553587</v>
      </c>
      <c r="AA14" s="205">
        <f t="shared" si="3"/>
        <v>1366544907.9320836</v>
      </c>
      <c r="AB14" s="199">
        <f t="shared" si="3"/>
        <v>1460243782.29742</v>
      </c>
      <c r="AC14" s="448">
        <f t="shared" si="3"/>
        <v>1600792093.8454247</v>
      </c>
      <c r="AE14" s="449">
        <f t="shared" si="4"/>
        <v>398280429.137685</v>
      </c>
      <c r="AF14" s="205">
        <f t="shared" si="5"/>
        <v>532965274.03740525</v>
      </c>
      <c r="AG14" s="199">
        <f t="shared" si="6"/>
        <v>435299204.75699353</v>
      </c>
      <c r="AH14" s="448">
        <f t="shared" si="7"/>
        <v>468494371.82668197</v>
      </c>
    </row>
    <row r="15" spans="2:34" ht="20.100000000000001" hidden="1" customHeight="1" x14ac:dyDescent="0.4">
      <c r="B15" s="443" t="s">
        <v>310</v>
      </c>
      <c r="C15" s="444" t="s">
        <v>314</v>
      </c>
      <c r="D15" s="445" t="s">
        <v>314</v>
      </c>
      <c r="E15" s="444" t="s">
        <v>327</v>
      </c>
      <c r="F15" s="205">
        <v>193816720.04038644</v>
      </c>
      <c r="G15" s="199">
        <v>290725080.06057966</v>
      </c>
      <c r="H15" s="205">
        <v>484541800.1009661</v>
      </c>
      <c r="I15" s="199">
        <v>259358918.37066841</v>
      </c>
      <c r="J15" s="205">
        <v>389038377.55600256</v>
      </c>
      <c r="K15" s="199">
        <v>648397295.92667103</v>
      </c>
      <c r="L15" s="199">
        <v>211831307.61623007</v>
      </c>
      <c r="M15" s="205">
        <v>317746961.42434514</v>
      </c>
      <c r="N15" s="199">
        <v>529578269.04057515</v>
      </c>
      <c r="O15" s="205">
        <v>227985198.02096173</v>
      </c>
      <c r="P15" s="199">
        <v>341977797.03144258</v>
      </c>
      <c r="Q15" s="205">
        <v>569962995.05240428</v>
      </c>
      <c r="R15" s="450">
        <f t="shared" si="0"/>
        <v>4464960720.2412329</v>
      </c>
      <c r="T15" s="447">
        <f t="shared" si="2"/>
        <v>484541800.1009661</v>
      </c>
      <c r="U15" s="199">
        <f t="shared" si="3"/>
        <v>969083600.20193219</v>
      </c>
      <c r="V15" s="205">
        <f t="shared" si="3"/>
        <v>1228442518.5726006</v>
      </c>
      <c r="W15" s="199">
        <f t="shared" si="3"/>
        <v>1617480896.1286032</v>
      </c>
      <c r="X15" s="205">
        <f t="shared" si="3"/>
        <v>2265878192.055274</v>
      </c>
      <c r="Y15" s="199">
        <f t="shared" si="3"/>
        <v>2477709499.671504</v>
      </c>
      <c r="Z15" s="199">
        <f t="shared" si="3"/>
        <v>2795456461.095849</v>
      </c>
      <c r="AA15" s="205">
        <f t="shared" si="3"/>
        <v>3325034730.1364241</v>
      </c>
      <c r="AB15" s="199">
        <f t="shared" si="3"/>
        <v>3553019928.1573858</v>
      </c>
      <c r="AC15" s="448">
        <f t="shared" si="3"/>
        <v>3894997725.1888285</v>
      </c>
      <c r="AE15" s="449">
        <f t="shared" si="4"/>
        <v>969083600.20193219</v>
      </c>
      <c r="AF15" s="205">
        <f t="shared" si="5"/>
        <v>1296794591.8533421</v>
      </c>
      <c r="AG15" s="199">
        <f t="shared" si="6"/>
        <v>1059156538.0811503</v>
      </c>
      <c r="AH15" s="448">
        <f t="shared" si="7"/>
        <v>1139925990.1048086</v>
      </c>
    </row>
    <row r="16" spans="2:34" ht="20.100000000000001" hidden="1" customHeight="1" x14ac:dyDescent="0.4">
      <c r="B16" s="443" t="s">
        <v>310</v>
      </c>
      <c r="C16" s="444" t="s">
        <v>314</v>
      </c>
      <c r="D16" s="445" t="s">
        <v>328</v>
      </c>
      <c r="E16" s="444" t="s">
        <v>329</v>
      </c>
      <c r="F16" s="205">
        <v>66819000</v>
      </c>
      <c r="G16" s="199">
        <v>66819000</v>
      </c>
      <c r="H16" s="205">
        <v>106910400</v>
      </c>
      <c r="I16" s="199">
        <v>22273000</v>
      </c>
      <c r="J16" s="205">
        <v>60600937.5</v>
      </c>
      <c r="K16" s="199">
        <v>51691737.5</v>
      </c>
      <c r="L16" s="199">
        <v>69510137.5</v>
      </c>
      <c r="M16" s="205">
        <v>69510137.5</v>
      </c>
      <c r="N16" s="199">
        <v>69510137.5</v>
      </c>
      <c r="O16" s="205">
        <v>71737437.5</v>
      </c>
      <c r="P16" s="199">
        <v>71737437.5</v>
      </c>
      <c r="Q16" s="205">
        <v>71737437.5</v>
      </c>
      <c r="R16" s="450">
        <f t="shared" si="0"/>
        <v>798856800</v>
      </c>
      <c r="T16" s="447">
        <f t="shared" si="2"/>
        <v>133638000</v>
      </c>
      <c r="U16" s="199">
        <f t="shared" si="3"/>
        <v>240548400</v>
      </c>
      <c r="V16" s="205">
        <f t="shared" si="3"/>
        <v>262821400</v>
      </c>
      <c r="W16" s="199">
        <f t="shared" si="3"/>
        <v>323422337.5</v>
      </c>
      <c r="X16" s="205">
        <f t="shared" si="3"/>
        <v>375114075</v>
      </c>
      <c r="Y16" s="199">
        <f t="shared" si="3"/>
        <v>444624212.5</v>
      </c>
      <c r="Z16" s="199">
        <f t="shared" si="3"/>
        <v>514134350</v>
      </c>
      <c r="AA16" s="205">
        <f t="shared" si="3"/>
        <v>583644487.5</v>
      </c>
      <c r="AB16" s="199">
        <f t="shared" si="3"/>
        <v>655381925</v>
      </c>
      <c r="AC16" s="448">
        <f t="shared" si="3"/>
        <v>727119362.5</v>
      </c>
      <c r="AE16" s="449">
        <f t="shared" si="4"/>
        <v>240548400</v>
      </c>
      <c r="AF16" s="205">
        <f t="shared" si="5"/>
        <v>134565675</v>
      </c>
      <c r="AG16" s="199">
        <f t="shared" si="6"/>
        <v>208530412.5</v>
      </c>
      <c r="AH16" s="448">
        <f t="shared" si="7"/>
        <v>215212312.5</v>
      </c>
    </row>
    <row r="17" spans="2:34" ht="20.100000000000001" hidden="1" customHeight="1" x14ac:dyDescent="0.4">
      <c r="B17" s="443" t="s">
        <v>310</v>
      </c>
      <c r="C17" s="444" t="s">
        <v>314</v>
      </c>
      <c r="D17" s="445" t="s">
        <v>328</v>
      </c>
      <c r="E17" s="444" t="s">
        <v>330</v>
      </c>
      <c r="F17" s="205">
        <v>0</v>
      </c>
      <c r="G17" s="199">
        <v>0</v>
      </c>
      <c r="H17" s="205">
        <v>0</v>
      </c>
      <c r="I17" s="199">
        <v>0</v>
      </c>
      <c r="J17" s="205">
        <v>0</v>
      </c>
      <c r="K17" s="199">
        <v>0</v>
      </c>
      <c r="L17" s="199">
        <v>0</v>
      </c>
      <c r="M17" s="205">
        <v>0</v>
      </c>
      <c r="N17" s="199">
        <v>0</v>
      </c>
      <c r="O17" s="205">
        <v>0</v>
      </c>
      <c r="P17" s="199">
        <v>0</v>
      </c>
      <c r="Q17" s="205">
        <v>0</v>
      </c>
      <c r="R17" s="450">
        <f t="shared" si="0"/>
        <v>0</v>
      </c>
      <c r="T17" s="447">
        <f t="shared" si="2"/>
        <v>0</v>
      </c>
      <c r="U17" s="199">
        <f t="shared" si="3"/>
        <v>0</v>
      </c>
      <c r="V17" s="205">
        <f t="shared" si="3"/>
        <v>0</v>
      </c>
      <c r="W17" s="199">
        <f t="shared" si="3"/>
        <v>0</v>
      </c>
      <c r="X17" s="205">
        <f t="shared" si="3"/>
        <v>0</v>
      </c>
      <c r="Y17" s="199">
        <f t="shared" si="3"/>
        <v>0</v>
      </c>
      <c r="Z17" s="199">
        <f t="shared" si="3"/>
        <v>0</v>
      </c>
      <c r="AA17" s="205">
        <f t="shared" si="3"/>
        <v>0</v>
      </c>
      <c r="AB17" s="199">
        <f t="shared" si="3"/>
        <v>0</v>
      </c>
      <c r="AC17" s="448">
        <f t="shared" si="3"/>
        <v>0</v>
      </c>
      <c r="AE17" s="449">
        <f t="shared" si="4"/>
        <v>0</v>
      </c>
      <c r="AF17" s="205">
        <f t="shared" si="5"/>
        <v>0</v>
      </c>
      <c r="AG17" s="199">
        <f t="shared" si="6"/>
        <v>0</v>
      </c>
      <c r="AH17" s="448">
        <f t="shared" si="7"/>
        <v>0</v>
      </c>
    </row>
    <row r="18" spans="2:34" ht="20.100000000000001" hidden="1" customHeight="1" x14ac:dyDescent="0.4">
      <c r="B18" s="443" t="s">
        <v>310</v>
      </c>
      <c r="C18" s="444" t="s">
        <v>314</v>
      </c>
      <c r="D18" s="445" t="s">
        <v>331</v>
      </c>
      <c r="E18" s="444" t="s">
        <v>332</v>
      </c>
      <c r="F18" s="205">
        <v>41148000</v>
      </c>
      <c r="G18" s="199">
        <v>28512000</v>
      </c>
      <c r="H18" s="205">
        <v>50544000</v>
      </c>
      <c r="I18" s="199">
        <v>0</v>
      </c>
      <c r="J18" s="205">
        <v>70243200</v>
      </c>
      <c r="K18" s="199">
        <v>488786400</v>
      </c>
      <c r="L18" s="199">
        <v>0</v>
      </c>
      <c r="M18" s="205">
        <v>50544000</v>
      </c>
      <c r="N18" s="199">
        <v>70243200</v>
      </c>
      <c r="O18" s="205">
        <v>246240000</v>
      </c>
      <c r="P18" s="199">
        <v>0</v>
      </c>
      <c r="Q18" s="205">
        <v>525333600</v>
      </c>
      <c r="R18" s="450">
        <f t="shared" si="0"/>
        <v>1571594400</v>
      </c>
      <c r="T18" s="447">
        <f t="shared" si="2"/>
        <v>69660000</v>
      </c>
      <c r="U18" s="199">
        <f t="shared" si="3"/>
        <v>120204000</v>
      </c>
      <c r="V18" s="205">
        <f t="shared" si="3"/>
        <v>120204000</v>
      </c>
      <c r="W18" s="199">
        <f t="shared" si="3"/>
        <v>190447200</v>
      </c>
      <c r="X18" s="205">
        <f t="shared" si="3"/>
        <v>679233600</v>
      </c>
      <c r="Y18" s="199">
        <f t="shared" si="3"/>
        <v>679233600</v>
      </c>
      <c r="Z18" s="199">
        <f t="shared" si="3"/>
        <v>729777600</v>
      </c>
      <c r="AA18" s="205">
        <f t="shared" si="3"/>
        <v>800020800</v>
      </c>
      <c r="AB18" s="199">
        <f t="shared" si="3"/>
        <v>1046260800</v>
      </c>
      <c r="AC18" s="448">
        <f t="shared" si="3"/>
        <v>1046260800</v>
      </c>
      <c r="AE18" s="449">
        <f t="shared" si="4"/>
        <v>120204000</v>
      </c>
      <c r="AF18" s="205">
        <f t="shared" si="5"/>
        <v>559029600</v>
      </c>
      <c r="AG18" s="199">
        <f t="shared" si="6"/>
        <v>120787200</v>
      </c>
      <c r="AH18" s="448">
        <f t="shared" si="7"/>
        <v>771573600</v>
      </c>
    </row>
    <row r="19" spans="2:34" ht="20.100000000000001" hidden="1" customHeight="1" x14ac:dyDescent="0.4">
      <c r="B19" s="443" t="s">
        <v>310</v>
      </c>
      <c r="C19" s="444" t="s">
        <v>314</v>
      </c>
      <c r="D19" s="445" t="s">
        <v>331</v>
      </c>
      <c r="E19" s="444" t="s">
        <v>333</v>
      </c>
      <c r="F19" s="205">
        <v>0</v>
      </c>
      <c r="G19" s="199">
        <v>0</v>
      </c>
      <c r="H19" s="205">
        <v>0</v>
      </c>
      <c r="I19" s="199">
        <v>0</v>
      </c>
      <c r="J19" s="205">
        <v>0</v>
      </c>
      <c r="K19" s="199">
        <v>0</v>
      </c>
      <c r="L19" s="199">
        <v>0</v>
      </c>
      <c r="M19" s="205">
        <v>0</v>
      </c>
      <c r="N19" s="199">
        <v>0</v>
      </c>
      <c r="O19" s="205">
        <v>0</v>
      </c>
      <c r="P19" s="199">
        <v>0</v>
      </c>
      <c r="Q19" s="205">
        <v>29548800</v>
      </c>
      <c r="R19" s="450">
        <f t="shared" si="0"/>
        <v>29548800</v>
      </c>
      <c r="T19" s="447">
        <f t="shared" si="2"/>
        <v>0</v>
      </c>
      <c r="U19" s="199">
        <f t="shared" si="3"/>
        <v>0</v>
      </c>
      <c r="V19" s="205">
        <f t="shared" si="3"/>
        <v>0</v>
      </c>
      <c r="W19" s="199">
        <f t="shared" si="3"/>
        <v>0</v>
      </c>
      <c r="X19" s="205">
        <f t="shared" si="3"/>
        <v>0</v>
      </c>
      <c r="Y19" s="199">
        <f t="shared" si="3"/>
        <v>0</v>
      </c>
      <c r="Z19" s="199">
        <f t="shared" si="3"/>
        <v>0</v>
      </c>
      <c r="AA19" s="205">
        <f t="shared" si="3"/>
        <v>0</v>
      </c>
      <c r="AB19" s="199">
        <f t="shared" si="3"/>
        <v>0</v>
      </c>
      <c r="AC19" s="448">
        <f t="shared" si="3"/>
        <v>0</v>
      </c>
      <c r="AE19" s="449">
        <f t="shared" si="4"/>
        <v>0</v>
      </c>
      <c r="AF19" s="205">
        <f t="shared" si="5"/>
        <v>0</v>
      </c>
      <c r="AG19" s="199">
        <f t="shared" si="6"/>
        <v>0</v>
      </c>
      <c r="AH19" s="448">
        <f t="shared" si="7"/>
        <v>29548800</v>
      </c>
    </row>
    <row r="20" spans="2:34" ht="20.100000000000001" hidden="1" customHeight="1" x14ac:dyDescent="0.4">
      <c r="B20" s="443" t="s">
        <v>310</v>
      </c>
      <c r="C20" s="444" t="s">
        <v>314</v>
      </c>
      <c r="D20" s="445" t="s">
        <v>334</v>
      </c>
      <c r="E20" s="444" t="s">
        <v>335</v>
      </c>
      <c r="F20" s="205">
        <v>0</v>
      </c>
      <c r="G20" s="199">
        <v>0</v>
      </c>
      <c r="H20" s="205">
        <v>0</v>
      </c>
      <c r="I20" s="199">
        <v>0</v>
      </c>
      <c r="J20" s="205">
        <v>0</v>
      </c>
      <c r="K20" s="199">
        <v>0</v>
      </c>
      <c r="L20" s="199">
        <v>0</v>
      </c>
      <c r="M20" s="205">
        <v>0</v>
      </c>
      <c r="N20" s="199">
        <v>0</v>
      </c>
      <c r="O20" s="205">
        <v>0</v>
      </c>
      <c r="P20" s="199">
        <v>31448558.585382201</v>
      </c>
      <c r="Q20" s="205">
        <v>47172837.878073305</v>
      </c>
      <c r="R20" s="450">
        <f t="shared" si="0"/>
        <v>78621396.463455498</v>
      </c>
      <c r="T20" s="447">
        <f t="shared" si="2"/>
        <v>0</v>
      </c>
      <c r="U20" s="199">
        <f t="shared" si="3"/>
        <v>0</v>
      </c>
      <c r="V20" s="205">
        <f t="shared" si="3"/>
        <v>0</v>
      </c>
      <c r="W20" s="199">
        <f t="shared" si="3"/>
        <v>0</v>
      </c>
      <c r="X20" s="205">
        <f t="shared" si="3"/>
        <v>0</v>
      </c>
      <c r="Y20" s="199">
        <f t="shared" si="3"/>
        <v>0</v>
      </c>
      <c r="Z20" s="199">
        <f t="shared" si="3"/>
        <v>0</v>
      </c>
      <c r="AA20" s="205">
        <f t="shared" si="3"/>
        <v>0</v>
      </c>
      <c r="AB20" s="199">
        <f t="shared" si="3"/>
        <v>0</v>
      </c>
      <c r="AC20" s="448">
        <f t="shared" si="3"/>
        <v>31448558.585382201</v>
      </c>
      <c r="AE20" s="449">
        <f t="shared" si="4"/>
        <v>0</v>
      </c>
      <c r="AF20" s="205">
        <f t="shared" si="5"/>
        <v>0</v>
      </c>
      <c r="AG20" s="199">
        <f t="shared" si="6"/>
        <v>0</v>
      </c>
      <c r="AH20" s="448">
        <f t="shared" si="7"/>
        <v>78621396.463455498</v>
      </c>
    </row>
    <row r="21" spans="2:34" ht="20.100000000000001" hidden="1" customHeight="1" x14ac:dyDescent="0.4">
      <c r="B21" s="443" t="s">
        <v>310</v>
      </c>
      <c r="C21" s="444" t="s">
        <v>314</v>
      </c>
      <c r="D21" s="445" t="s">
        <v>334</v>
      </c>
      <c r="E21" s="444" t="s">
        <v>336</v>
      </c>
      <c r="F21" s="205">
        <v>0</v>
      </c>
      <c r="G21" s="199">
        <v>0</v>
      </c>
      <c r="H21" s="205">
        <v>0</v>
      </c>
      <c r="I21" s="199">
        <v>0</v>
      </c>
      <c r="J21" s="205">
        <v>0</v>
      </c>
      <c r="K21" s="199">
        <v>0</v>
      </c>
      <c r="L21" s="199">
        <v>0</v>
      </c>
      <c r="M21" s="205">
        <v>0</v>
      </c>
      <c r="N21" s="199">
        <v>0</v>
      </c>
      <c r="O21" s="205">
        <v>0</v>
      </c>
      <c r="P21" s="199">
        <v>0</v>
      </c>
      <c r="Q21" s="205">
        <v>0</v>
      </c>
      <c r="R21" s="450">
        <f t="shared" si="0"/>
        <v>0</v>
      </c>
      <c r="T21" s="447">
        <f t="shared" si="2"/>
        <v>0</v>
      </c>
      <c r="U21" s="199">
        <f t="shared" si="3"/>
        <v>0</v>
      </c>
      <c r="V21" s="205">
        <f t="shared" si="3"/>
        <v>0</v>
      </c>
      <c r="W21" s="199">
        <f t="shared" si="3"/>
        <v>0</v>
      </c>
      <c r="X21" s="205">
        <f t="shared" si="3"/>
        <v>0</v>
      </c>
      <c r="Y21" s="199">
        <f t="shared" si="3"/>
        <v>0</v>
      </c>
      <c r="Z21" s="199">
        <f t="shared" si="3"/>
        <v>0</v>
      </c>
      <c r="AA21" s="205">
        <f t="shared" si="3"/>
        <v>0</v>
      </c>
      <c r="AB21" s="199">
        <f t="shared" si="3"/>
        <v>0</v>
      </c>
      <c r="AC21" s="448">
        <f t="shared" si="3"/>
        <v>0</v>
      </c>
      <c r="AE21" s="449">
        <f t="shared" si="4"/>
        <v>0</v>
      </c>
      <c r="AF21" s="205">
        <f t="shared" si="5"/>
        <v>0</v>
      </c>
      <c r="AG21" s="199">
        <f t="shared" si="6"/>
        <v>0</v>
      </c>
      <c r="AH21" s="448">
        <f t="shared" si="7"/>
        <v>0</v>
      </c>
    </row>
    <row r="22" spans="2:34" ht="20.100000000000001" hidden="1" customHeight="1" x14ac:dyDescent="0.4">
      <c r="B22" s="443" t="s">
        <v>310</v>
      </c>
      <c r="C22" s="444" t="s">
        <v>314</v>
      </c>
      <c r="D22" s="445" t="s">
        <v>337</v>
      </c>
      <c r="E22" s="444" t="s">
        <v>337</v>
      </c>
      <c r="F22" s="205">
        <v>0</v>
      </c>
      <c r="G22" s="199">
        <v>0</v>
      </c>
      <c r="H22" s="205">
        <v>0</v>
      </c>
      <c r="I22" s="199">
        <v>0</v>
      </c>
      <c r="J22" s="205">
        <v>0</v>
      </c>
      <c r="K22" s="199">
        <v>0</v>
      </c>
      <c r="L22" s="199">
        <v>0</v>
      </c>
      <c r="M22" s="205">
        <v>0</v>
      </c>
      <c r="N22" s="199">
        <v>0</v>
      </c>
      <c r="O22" s="205">
        <v>0</v>
      </c>
      <c r="P22" s="199">
        <v>0</v>
      </c>
      <c r="Q22" s="205">
        <v>0</v>
      </c>
      <c r="R22" s="450">
        <f t="shared" si="0"/>
        <v>0</v>
      </c>
      <c r="T22" s="447">
        <f t="shared" si="2"/>
        <v>0</v>
      </c>
      <c r="U22" s="199">
        <f t="shared" ref="U22:AC37" si="8">T22+H22</f>
        <v>0</v>
      </c>
      <c r="V22" s="205">
        <f t="shared" si="8"/>
        <v>0</v>
      </c>
      <c r="W22" s="199">
        <f t="shared" si="8"/>
        <v>0</v>
      </c>
      <c r="X22" s="205">
        <f t="shared" si="8"/>
        <v>0</v>
      </c>
      <c r="Y22" s="199">
        <f t="shared" si="8"/>
        <v>0</v>
      </c>
      <c r="Z22" s="199">
        <f t="shared" si="8"/>
        <v>0</v>
      </c>
      <c r="AA22" s="205">
        <f t="shared" si="8"/>
        <v>0</v>
      </c>
      <c r="AB22" s="199">
        <f t="shared" si="8"/>
        <v>0</v>
      </c>
      <c r="AC22" s="448">
        <f t="shared" si="8"/>
        <v>0</v>
      </c>
      <c r="AE22" s="449">
        <f t="shared" si="4"/>
        <v>0</v>
      </c>
      <c r="AF22" s="205">
        <f t="shared" si="5"/>
        <v>0</v>
      </c>
      <c r="AG22" s="199">
        <f t="shared" si="6"/>
        <v>0</v>
      </c>
      <c r="AH22" s="448">
        <f t="shared" si="7"/>
        <v>0</v>
      </c>
    </row>
    <row r="23" spans="2:34" ht="20.100000000000001" hidden="1" customHeight="1" x14ac:dyDescent="0.4">
      <c r="B23" s="443" t="s">
        <v>338</v>
      </c>
      <c r="C23" s="444" t="s">
        <v>339</v>
      </c>
      <c r="D23" s="445" t="s">
        <v>340</v>
      </c>
      <c r="E23" s="444" t="s">
        <v>340</v>
      </c>
      <c r="F23" s="205">
        <v>1271865589.1952631</v>
      </c>
      <c r="G23" s="199">
        <v>1907798383.7928946</v>
      </c>
      <c r="H23" s="205">
        <v>3179663972.9881577</v>
      </c>
      <c r="I23" s="199">
        <v>1701967113.3523459</v>
      </c>
      <c r="J23" s="205">
        <v>2552950670.0285187</v>
      </c>
      <c r="K23" s="199">
        <v>4254917783.3808641</v>
      </c>
      <c r="L23" s="199">
        <v>1390081056.0367498</v>
      </c>
      <c r="M23" s="205">
        <v>2085121584.0551248</v>
      </c>
      <c r="N23" s="199">
        <v>3475202640.0918746</v>
      </c>
      <c r="O23" s="205">
        <v>1496086241.4156408</v>
      </c>
      <c r="P23" s="199">
        <v>2244129362.1234612</v>
      </c>
      <c r="Q23" s="205">
        <v>3740215603.5391021</v>
      </c>
      <c r="R23" s="450">
        <f t="shared" si="0"/>
        <v>29300000000</v>
      </c>
      <c r="T23" s="447">
        <f t="shared" si="2"/>
        <v>3179663972.9881577</v>
      </c>
      <c r="U23" s="199">
        <f t="shared" si="8"/>
        <v>6359327945.9763155</v>
      </c>
      <c r="V23" s="205">
        <f t="shared" si="8"/>
        <v>8061295059.328661</v>
      </c>
      <c r="W23" s="199">
        <f t="shared" si="8"/>
        <v>10614245729.35718</v>
      </c>
      <c r="X23" s="205">
        <f t="shared" si="8"/>
        <v>14869163512.738045</v>
      </c>
      <c r="Y23" s="199">
        <f t="shared" si="8"/>
        <v>16259244568.774796</v>
      </c>
      <c r="Z23" s="199">
        <f t="shared" si="8"/>
        <v>18344366152.829922</v>
      </c>
      <c r="AA23" s="205">
        <f t="shared" si="8"/>
        <v>21819568792.921795</v>
      </c>
      <c r="AB23" s="199">
        <f t="shared" si="8"/>
        <v>23315655034.337437</v>
      </c>
      <c r="AC23" s="448">
        <f t="shared" si="8"/>
        <v>25559784396.460899</v>
      </c>
      <c r="AE23" s="449">
        <f t="shared" si="4"/>
        <v>6359327945.9763155</v>
      </c>
      <c r="AF23" s="205">
        <f t="shared" si="5"/>
        <v>8509835566.7617283</v>
      </c>
      <c r="AG23" s="199">
        <f t="shared" si="6"/>
        <v>6950405280.1837492</v>
      </c>
      <c r="AH23" s="448">
        <f t="shared" si="7"/>
        <v>7480431207.0782042</v>
      </c>
    </row>
    <row r="24" spans="2:34" ht="20.100000000000001" hidden="1" customHeight="1" x14ac:dyDescent="0.4">
      <c r="B24" s="443" t="s">
        <v>338</v>
      </c>
      <c r="C24" s="444" t="s">
        <v>339</v>
      </c>
      <c r="D24" s="445" t="s">
        <v>341</v>
      </c>
      <c r="E24" s="444" t="s">
        <v>341</v>
      </c>
      <c r="F24" s="205">
        <v>998392783.32733989</v>
      </c>
      <c r="G24" s="199">
        <v>1497589174.9910095</v>
      </c>
      <c r="H24" s="205">
        <v>2495981958.3183494</v>
      </c>
      <c r="I24" s="199">
        <v>1336015140.1741967</v>
      </c>
      <c r="J24" s="205">
        <v>2004022710.2612946</v>
      </c>
      <c r="K24" s="199">
        <v>3340037850.4354911</v>
      </c>
      <c r="L24" s="199">
        <v>1091189907.4691212</v>
      </c>
      <c r="M24" s="205">
        <v>1636784861.2036817</v>
      </c>
      <c r="N24" s="199">
        <v>2727974768.6728029</v>
      </c>
      <c r="O24" s="205">
        <v>1174402169.0293429</v>
      </c>
      <c r="P24" s="199">
        <v>1761603253.544014</v>
      </c>
      <c r="Q24" s="205">
        <v>2936005422.5733566</v>
      </c>
      <c r="R24" s="450">
        <f t="shared" si="0"/>
        <v>23000000000</v>
      </c>
      <c r="T24" s="447">
        <f t="shared" si="2"/>
        <v>2495981958.3183494</v>
      </c>
      <c r="U24" s="199">
        <f t="shared" si="8"/>
        <v>4991963916.6366987</v>
      </c>
      <c r="V24" s="205">
        <f t="shared" si="8"/>
        <v>6327979056.8108959</v>
      </c>
      <c r="W24" s="199">
        <f t="shared" si="8"/>
        <v>8332001767.0721903</v>
      </c>
      <c r="X24" s="205">
        <f t="shared" si="8"/>
        <v>11672039617.507681</v>
      </c>
      <c r="Y24" s="199">
        <f t="shared" si="8"/>
        <v>12763229524.976803</v>
      </c>
      <c r="Z24" s="199">
        <f t="shared" si="8"/>
        <v>14400014386.180485</v>
      </c>
      <c r="AA24" s="205">
        <f t="shared" si="8"/>
        <v>17127989154.853287</v>
      </c>
      <c r="AB24" s="199">
        <f t="shared" si="8"/>
        <v>18302391323.882629</v>
      </c>
      <c r="AC24" s="448">
        <f t="shared" si="8"/>
        <v>20063994577.426643</v>
      </c>
      <c r="AE24" s="449">
        <f t="shared" si="4"/>
        <v>4991963916.6366987</v>
      </c>
      <c r="AF24" s="205">
        <f t="shared" si="5"/>
        <v>6680075700.8709831</v>
      </c>
      <c r="AG24" s="199">
        <f t="shared" si="6"/>
        <v>5455949537.3456059</v>
      </c>
      <c r="AH24" s="448">
        <f t="shared" si="7"/>
        <v>5872010845.1467133</v>
      </c>
    </row>
    <row r="25" spans="2:34" ht="20.100000000000001" hidden="1" customHeight="1" x14ac:dyDescent="0.4">
      <c r="B25" s="443" t="s">
        <v>338</v>
      </c>
      <c r="C25" s="444" t="s">
        <v>342</v>
      </c>
      <c r="D25" s="445" t="s">
        <v>342</v>
      </c>
      <c r="E25" s="444" t="s">
        <v>343</v>
      </c>
      <c r="F25" s="205">
        <v>199815254.34699887</v>
      </c>
      <c r="G25" s="199">
        <v>356787654.09670466</v>
      </c>
      <c r="H25" s="205">
        <v>594646090.16117454</v>
      </c>
      <c r="I25" s="199">
        <v>318294039.28703833</v>
      </c>
      <c r="J25" s="205">
        <v>477441058.93055749</v>
      </c>
      <c r="K25" s="199">
        <v>795735098.2175957</v>
      </c>
      <c r="L25" s="199">
        <v>259966547.4092688</v>
      </c>
      <c r="M25" s="205">
        <v>389949821.11390316</v>
      </c>
      <c r="N25" s="199">
        <v>649916368.5231719</v>
      </c>
      <c r="O25" s="205">
        <v>279791148.23434556</v>
      </c>
      <c r="P25" s="199">
        <v>419686722.35151833</v>
      </c>
      <c r="Q25" s="205">
        <v>699477870.58586395</v>
      </c>
      <c r="R25" s="450">
        <f t="shared" si="0"/>
        <v>5441507673.2581415</v>
      </c>
      <c r="T25" s="447">
        <f t="shared" si="2"/>
        <v>556602908.44370353</v>
      </c>
      <c r="U25" s="199">
        <f t="shared" si="8"/>
        <v>1151248998.6048779</v>
      </c>
      <c r="V25" s="205">
        <f t="shared" si="8"/>
        <v>1469543037.8919163</v>
      </c>
      <c r="W25" s="199">
        <f t="shared" si="8"/>
        <v>1946984096.8224738</v>
      </c>
      <c r="X25" s="205">
        <f t="shared" si="8"/>
        <v>2742719195.0400696</v>
      </c>
      <c r="Y25" s="199">
        <f t="shared" si="8"/>
        <v>3002685742.4493384</v>
      </c>
      <c r="Z25" s="199">
        <f t="shared" si="8"/>
        <v>3392635563.5632415</v>
      </c>
      <c r="AA25" s="205">
        <f t="shared" si="8"/>
        <v>4042551932.0864134</v>
      </c>
      <c r="AB25" s="199">
        <f t="shared" si="8"/>
        <v>4322343080.3207588</v>
      </c>
      <c r="AC25" s="448">
        <f t="shared" si="8"/>
        <v>4742029802.6722775</v>
      </c>
      <c r="AE25" s="449">
        <f t="shared" si="4"/>
        <v>1151248998.6048779</v>
      </c>
      <c r="AF25" s="205">
        <f t="shared" si="5"/>
        <v>1591470196.4351916</v>
      </c>
      <c r="AG25" s="199">
        <f t="shared" si="6"/>
        <v>1299832737.0463438</v>
      </c>
      <c r="AH25" s="448">
        <f t="shared" si="7"/>
        <v>1398955741.1717277</v>
      </c>
    </row>
    <row r="26" spans="2:34" ht="20.100000000000001" hidden="1" customHeight="1" x14ac:dyDescent="0.4">
      <c r="B26" s="443" t="s">
        <v>338</v>
      </c>
      <c r="C26" s="444" t="s">
        <v>342</v>
      </c>
      <c r="D26" s="445" t="s">
        <v>342</v>
      </c>
      <c r="E26" s="444" t="s">
        <v>344</v>
      </c>
      <c r="F26" s="205">
        <v>0</v>
      </c>
      <c r="G26" s="199">
        <v>0</v>
      </c>
      <c r="H26" s="205">
        <v>0</v>
      </c>
      <c r="I26" s="199">
        <v>0</v>
      </c>
      <c r="J26" s="205">
        <v>0</v>
      </c>
      <c r="K26" s="199">
        <v>0</v>
      </c>
      <c r="L26" s="199">
        <v>0</v>
      </c>
      <c r="M26" s="205">
        <v>0</v>
      </c>
      <c r="N26" s="199">
        <v>0</v>
      </c>
      <c r="O26" s="205">
        <v>0</v>
      </c>
      <c r="P26" s="199">
        <v>0</v>
      </c>
      <c r="Q26" s="205">
        <v>0</v>
      </c>
      <c r="R26" s="450">
        <f t="shared" si="0"/>
        <v>0</v>
      </c>
      <c r="T26" s="447">
        <f t="shared" si="2"/>
        <v>0</v>
      </c>
      <c r="U26" s="199">
        <f t="shared" si="8"/>
        <v>0</v>
      </c>
      <c r="V26" s="205">
        <f t="shared" si="8"/>
        <v>0</v>
      </c>
      <c r="W26" s="199">
        <f t="shared" si="8"/>
        <v>0</v>
      </c>
      <c r="X26" s="205">
        <f t="shared" si="8"/>
        <v>0</v>
      </c>
      <c r="Y26" s="199">
        <f t="shared" si="8"/>
        <v>0</v>
      </c>
      <c r="Z26" s="199">
        <f t="shared" si="8"/>
        <v>0</v>
      </c>
      <c r="AA26" s="205">
        <f t="shared" si="8"/>
        <v>0</v>
      </c>
      <c r="AB26" s="199">
        <f t="shared" si="8"/>
        <v>0</v>
      </c>
      <c r="AC26" s="448">
        <f t="shared" si="8"/>
        <v>0</v>
      </c>
      <c r="AE26" s="449">
        <f t="shared" si="4"/>
        <v>0</v>
      </c>
      <c r="AF26" s="205">
        <f t="shared" si="5"/>
        <v>0</v>
      </c>
      <c r="AG26" s="199">
        <f t="shared" si="6"/>
        <v>0</v>
      </c>
      <c r="AH26" s="448">
        <f t="shared" si="7"/>
        <v>0</v>
      </c>
    </row>
    <row r="27" spans="2:34" ht="20.100000000000001" hidden="1" customHeight="1" x14ac:dyDescent="0.4">
      <c r="B27" s="443" t="s">
        <v>338</v>
      </c>
      <c r="C27" s="444" t="s">
        <v>342</v>
      </c>
      <c r="D27" s="445" t="s">
        <v>342</v>
      </c>
      <c r="E27" s="444" t="s">
        <v>345</v>
      </c>
      <c r="F27" s="205">
        <v>526571185.63534772</v>
      </c>
      <c r="G27" s="199">
        <v>887047197.87326086</v>
      </c>
      <c r="H27" s="205">
        <v>1478411996.4554348</v>
      </c>
      <c r="I27" s="199">
        <v>791344185.84114528</v>
      </c>
      <c r="J27" s="205">
        <v>1187016278.7617178</v>
      </c>
      <c r="K27" s="199">
        <v>1978360464.6028633</v>
      </c>
      <c r="L27" s="199">
        <v>646330092.34583819</v>
      </c>
      <c r="M27" s="205">
        <v>969495138.51875722</v>
      </c>
      <c r="N27" s="199">
        <v>1615825230.8645954</v>
      </c>
      <c r="O27" s="205">
        <v>695618111.16857994</v>
      </c>
      <c r="P27" s="199">
        <v>1043427166.7528698</v>
      </c>
      <c r="Q27" s="205">
        <v>1739045277.9214501</v>
      </c>
      <c r="R27" s="450">
        <f t="shared" si="0"/>
        <v>13558492326.741859</v>
      </c>
      <c r="T27" s="447">
        <f t="shared" si="2"/>
        <v>1413618383.5086086</v>
      </c>
      <c r="U27" s="199">
        <f t="shared" si="8"/>
        <v>2892030379.9640436</v>
      </c>
      <c r="V27" s="205">
        <f t="shared" si="8"/>
        <v>3683374565.8051891</v>
      </c>
      <c r="W27" s="199">
        <f t="shared" si="8"/>
        <v>4870390844.5669069</v>
      </c>
      <c r="X27" s="205">
        <f t="shared" si="8"/>
        <v>6848751309.1697702</v>
      </c>
      <c r="Y27" s="199">
        <f t="shared" si="8"/>
        <v>7495081401.5156088</v>
      </c>
      <c r="Z27" s="199">
        <f t="shared" si="8"/>
        <v>8464576540.0343657</v>
      </c>
      <c r="AA27" s="205">
        <f t="shared" si="8"/>
        <v>10080401770.89896</v>
      </c>
      <c r="AB27" s="199">
        <f t="shared" si="8"/>
        <v>10776019882.067539</v>
      </c>
      <c r="AC27" s="448">
        <f t="shared" si="8"/>
        <v>11819447048.82041</v>
      </c>
      <c r="AE27" s="449">
        <f t="shared" si="4"/>
        <v>2892030379.9640436</v>
      </c>
      <c r="AF27" s="205">
        <f t="shared" si="5"/>
        <v>3956720929.2057266</v>
      </c>
      <c r="AG27" s="199">
        <f t="shared" si="6"/>
        <v>3231650461.7291908</v>
      </c>
      <c r="AH27" s="448">
        <f t="shared" si="7"/>
        <v>3478090555.8428998</v>
      </c>
    </row>
    <row r="28" spans="2:34" ht="20.100000000000001" hidden="1" customHeight="1" x14ac:dyDescent="0.4">
      <c r="B28" s="443" t="s">
        <v>338</v>
      </c>
      <c r="C28" s="444" t="s">
        <v>346</v>
      </c>
      <c r="D28" s="445" t="s">
        <v>346</v>
      </c>
      <c r="E28" s="444" t="s">
        <v>347</v>
      </c>
      <c r="F28" s="205">
        <v>115078723.9693771</v>
      </c>
      <c r="G28" s="199">
        <v>198564803.77638495</v>
      </c>
      <c r="H28" s="205">
        <v>330941339.62730831</v>
      </c>
      <c r="I28" s="199">
        <v>177141761.2928201</v>
      </c>
      <c r="J28" s="205">
        <v>265712641.93923011</v>
      </c>
      <c r="K28" s="199">
        <v>442854403.23205024</v>
      </c>
      <c r="L28" s="199">
        <v>144680472.77430305</v>
      </c>
      <c r="M28" s="205">
        <v>217020709.16145456</v>
      </c>
      <c r="N28" s="199">
        <v>361701181.93575764</v>
      </c>
      <c r="O28" s="205">
        <v>155713556.25568828</v>
      </c>
      <c r="P28" s="199">
        <v>233570334.38353238</v>
      </c>
      <c r="Q28" s="205">
        <v>389283890.63922065</v>
      </c>
      <c r="R28" s="450">
        <f t="shared" si="0"/>
        <v>3032263818.9871273</v>
      </c>
      <c r="T28" s="447">
        <f t="shared" si="2"/>
        <v>313643527.74576205</v>
      </c>
      <c r="U28" s="199">
        <f t="shared" si="8"/>
        <v>644584867.37307036</v>
      </c>
      <c r="V28" s="205">
        <f t="shared" si="8"/>
        <v>821726628.66589046</v>
      </c>
      <c r="W28" s="199">
        <f t="shared" si="8"/>
        <v>1087439270.6051207</v>
      </c>
      <c r="X28" s="205">
        <f t="shared" si="8"/>
        <v>1530293673.8371708</v>
      </c>
      <c r="Y28" s="199">
        <f t="shared" si="8"/>
        <v>1674974146.6114738</v>
      </c>
      <c r="Z28" s="199">
        <f t="shared" si="8"/>
        <v>1891994855.7729282</v>
      </c>
      <c r="AA28" s="205">
        <f t="shared" si="8"/>
        <v>2253696037.7086859</v>
      </c>
      <c r="AB28" s="199">
        <f t="shared" si="8"/>
        <v>2409409593.9643741</v>
      </c>
      <c r="AC28" s="448">
        <f t="shared" si="8"/>
        <v>2642979928.3479066</v>
      </c>
      <c r="AE28" s="449">
        <f t="shared" si="4"/>
        <v>644584867.37307036</v>
      </c>
      <c r="AF28" s="205">
        <f t="shared" si="5"/>
        <v>885708806.46410036</v>
      </c>
      <c r="AG28" s="199">
        <f t="shared" si="6"/>
        <v>723402363.87151527</v>
      </c>
      <c r="AH28" s="448">
        <f t="shared" si="7"/>
        <v>778567781.27844131</v>
      </c>
    </row>
    <row r="29" spans="2:34" ht="20.100000000000001" hidden="1" customHeight="1" x14ac:dyDescent="0.4">
      <c r="B29" s="443" t="s">
        <v>338</v>
      </c>
      <c r="C29" s="444" t="s">
        <v>346</v>
      </c>
      <c r="D29" s="445" t="s">
        <v>346</v>
      </c>
      <c r="E29" s="444" t="s">
        <v>348</v>
      </c>
      <c r="F29" s="205">
        <v>493180667.60342109</v>
      </c>
      <c r="G29" s="199">
        <v>835495392.84467709</v>
      </c>
      <c r="H29" s="205">
        <v>1392492321.4077952</v>
      </c>
      <c r="I29" s="199">
        <v>745354275.40932775</v>
      </c>
      <c r="J29" s="205">
        <v>1118031413.1139913</v>
      </c>
      <c r="K29" s="199">
        <v>1863385688.523319</v>
      </c>
      <c r="L29" s="199">
        <v>608767848.77570534</v>
      </c>
      <c r="M29" s="205">
        <v>913151773.16355801</v>
      </c>
      <c r="N29" s="199">
        <v>1521919621.9392633</v>
      </c>
      <c r="O29" s="205">
        <v>655191435.64636278</v>
      </c>
      <c r="P29" s="199">
        <v>982787153.46954417</v>
      </c>
      <c r="Q29" s="205">
        <v>1637978589.115907</v>
      </c>
      <c r="R29" s="450">
        <f t="shared" si="0"/>
        <v>12767736181.012871</v>
      </c>
      <c r="T29" s="447">
        <f t="shared" si="2"/>
        <v>1328676060.4480982</v>
      </c>
      <c r="U29" s="199">
        <f t="shared" si="8"/>
        <v>2721168381.8558931</v>
      </c>
      <c r="V29" s="205">
        <f t="shared" si="8"/>
        <v>3466522657.2652206</v>
      </c>
      <c r="W29" s="199">
        <f t="shared" si="8"/>
        <v>4584554070.3792114</v>
      </c>
      <c r="X29" s="205">
        <f t="shared" si="8"/>
        <v>6447939758.9025307</v>
      </c>
      <c r="Y29" s="199">
        <f t="shared" si="8"/>
        <v>7056707607.678236</v>
      </c>
      <c r="Z29" s="199">
        <f t="shared" si="8"/>
        <v>7969859380.841794</v>
      </c>
      <c r="AA29" s="205">
        <f t="shared" si="8"/>
        <v>9491779002.7810574</v>
      </c>
      <c r="AB29" s="199">
        <f t="shared" si="8"/>
        <v>10146970438.42742</v>
      </c>
      <c r="AC29" s="448">
        <f t="shared" si="8"/>
        <v>11129757591.896963</v>
      </c>
      <c r="AE29" s="449">
        <f t="shared" si="4"/>
        <v>2721168381.8558931</v>
      </c>
      <c r="AF29" s="205">
        <f t="shared" si="5"/>
        <v>3726771377.046638</v>
      </c>
      <c r="AG29" s="199">
        <f t="shared" si="6"/>
        <v>3043839243.8785267</v>
      </c>
      <c r="AH29" s="448">
        <f t="shared" si="7"/>
        <v>3275957178.2318139</v>
      </c>
    </row>
    <row r="30" spans="2:34" ht="20.100000000000001" hidden="1" customHeight="1" x14ac:dyDescent="0.4">
      <c r="B30" s="443" t="s">
        <v>338</v>
      </c>
      <c r="C30" s="444" t="s">
        <v>349</v>
      </c>
      <c r="D30" s="445" t="s">
        <v>349</v>
      </c>
      <c r="E30" s="444" t="s">
        <v>349</v>
      </c>
      <c r="F30" s="205">
        <v>278671386.10748053</v>
      </c>
      <c r="G30" s="199">
        <v>423468808.18629038</v>
      </c>
      <c r="H30" s="205">
        <v>705781346.9771508</v>
      </c>
      <c r="I30" s="199">
        <v>377781002.0106504</v>
      </c>
      <c r="J30" s="205">
        <v>566671503.01597548</v>
      </c>
      <c r="K30" s="199">
        <v>944452505.02662575</v>
      </c>
      <c r="L30" s="199">
        <v>308552503.80908459</v>
      </c>
      <c r="M30" s="205">
        <v>462828755.71362686</v>
      </c>
      <c r="N30" s="199">
        <v>771381259.5227114</v>
      </c>
      <c r="O30" s="205">
        <v>332082185.9260807</v>
      </c>
      <c r="P30" s="199">
        <v>498123278.889121</v>
      </c>
      <c r="Q30" s="205">
        <v>830205464.81520152</v>
      </c>
      <c r="R30" s="450">
        <f t="shared" si="0"/>
        <v>6499999999.999999</v>
      </c>
      <c r="T30" s="447">
        <f t="shared" si="2"/>
        <v>702140194.29377091</v>
      </c>
      <c r="U30" s="199">
        <f t="shared" si="8"/>
        <v>1407921541.2709217</v>
      </c>
      <c r="V30" s="205">
        <f t="shared" si="8"/>
        <v>1785702543.2815721</v>
      </c>
      <c r="W30" s="199">
        <f t="shared" si="8"/>
        <v>2352374046.2975473</v>
      </c>
      <c r="X30" s="205">
        <f t="shared" si="8"/>
        <v>3296826551.324173</v>
      </c>
      <c r="Y30" s="199">
        <f t="shared" si="8"/>
        <v>3605379055.1332574</v>
      </c>
      <c r="Z30" s="199">
        <f t="shared" si="8"/>
        <v>4068207810.8468843</v>
      </c>
      <c r="AA30" s="205">
        <f t="shared" si="8"/>
        <v>4839589070.3695955</v>
      </c>
      <c r="AB30" s="199">
        <f t="shared" si="8"/>
        <v>5171671256.2956762</v>
      </c>
      <c r="AC30" s="448">
        <f t="shared" si="8"/>
        <v>5669794535.1847973</v>
      </c>
      <c r="AE30" s="449">
        <f t="shared" si="4"/>
        <v>1407921541.2709217</v>
      </c>
      <c r="AF30" s="205">
        <f t="shared" si="5"/>
        <v>1888905010.0532517</v>
      </c>
      <c r="AG30" s="199">
        <f t="shared" si="6"/>
        <v>1542762519.045423</v>
      </c>
      <c r="AH30" s="448">
        <f t="shared" si="7"/>
        <v>1660410929.6304033</v>
      </c>
    </row>
    <row r="31" spans="2:34" ht="20.100000000000001" hidden="1" customHeight="1" x14ac:dyDescent="0.4">
      <c r="B31" s="443" t="s">
        <v>338</v>
      </c>
      <c r="C31" s="444" t="s">
        <v>350</v>
      </c>
      <c r="D31" s="445" t="s">
        <v>350</v>
      </c>
      <c r="E31" s="444" t="s">
        <v>350</v>
      </c>
      <c r="F31" s="205">
        <v>260450291.30278426</v>
      </c>
      <c r="G31" s="199">
        <v>390675436.95417631</v>
      </c>
      <c r="H31" s="205">
        <v>651125728.25696063</v>
      </c>
      <c r="I31" s="199">
        <v>348525688.74109471</v>
      </c>
      <c r="J31" s="205">
        <v>522788533.111642</v>
      </c>
      <c r="K31" s="199">
        <v>871314221.85273671</v>
      </c>
      <c r="L31" s="199">
        <v>284658236.73107505</v>
      </c>
      <c r="M31" s="205">
        <v>426987355.09661257</v>
      </c>
      <c r="N31" s="199">
        <v>711645591.8276875</v>
      </c>
      <c r="O31" s="205">
        <v>306365783.22504586</v>
      </c>
      <c r="P31" s="199">
        <v>459548674.83756876</v>
      </c>
      <c r="Q31" s="205">
        <v>765914458.06261468</v>
      </c>
      <c r="R31" s="450">
        <f t="shared" si="0"/>
        <v>6000000000</v>
      </c>
      <c r="T31" s="447">
        <f t="shared" si="2"/>
        <v>651125728.25696063</v>
      </c>
      <c r="U31" s="199">
        <f t="shared" si="8"/>
        <v>1302251456.5139213</v>
      </c>
      <c r="V31" s="205">
        <f t="shared" si="8"/>
        <v>1650777145.2550159</v>
      </c>
      <c r="W31" s="199">
        <f t="shared" si="8"/>
        <v>2173565678.3666577</v>
      </c>
      <c r="X31" s="205">
        <f t="shared" si="8"/>
        <v>3044879900.2193947</v>
      </c>
      <c r="Y31" s="199">
        <f t="shared" si="8"/>
        <v>3329538136.95047</v>
      </c>
      <c r="Z31" s="199">
        <f t="shared" si="8"/>
        <v>3756525492.0470824</v>
      </c>
      <c r="AA31" s="205">
        <f t="shared" si="8"/>
        <v>4468171083.8747702</v>
      </c>
      <c r="AB31" s="199">
        <f t="shared" si="8"/>
        <v>4774536867.0998163</v>
      </c>
      <c r="AC31" s="448">
        <f t="shared" si="8"/>
        <v>5234085541.9373856</v>
      </c>
      <c r="AE31" s="449">
        <f t="shared" si="4"/>
        <v>1302251456.5139213</v>
      </c>
      <c r="AF31" s="205">
        <f t="shared" si="5"/>
        <v>1742628443.7054734</v>
      </c>
      <c r="AG31" s="199">
        <f t="shared" si="6"/>
        <v>1423291183.655375</v>
      </c>
      <c r="AH31" s="448">
        <f t="shared" si="7"/>
        <v>1531828916.1252294</v>
      </c>
    </row>
    <row r="32" spans="2:34" ht="20.100000000000001" hidden="1" customHeight="1" x14ac:dyDescent="0.4">
      <c r="B32" s="443" t="s">
        <v>338</v>
      </c>
      <c r="C32" s="451" t="s">
        <v>351</v>
      </c>
      <c r="D32" s="445" t="s">
        <v>351</v>
      </c>
      <c r="E32" s="444" t="s">
        <v>351</v>
      </c>
      <c r="F32" s="205">
        <v>0</v>
      </c>
      <c r="G32" s="199">
        <v>0</v>
      </c>
      <c r="H32" s="205">
        <v>0</v>
      </c>
      <c r="I32" s="199">
        <v>0</v>
      </c>
      <c r="J32" s="205">
        <v>0</v>
      </c>
      <c r="K32" s="199">
        <v>0</v>
      </c>
      <c r="L32" s="199">
        <v>0</v>
      </c>
      <c r="M32" s="205">
        <v>0</v>
      </c>
      <c r="N32" s="199">
        <v>25000000</v>
      </c>
      <c r="O32" s="205">
        <v>25000000</v>
      </c>
      <c r="P32" s="199">
        <v>25000000</v>
      </c>
      <c r="Q32" s="205">
        <v>25000000</v>
      </c>
      <c r="R32" s="450">
        <f t="shared" si="0"/>
        <v>100000000</v>
      </c>
      <c r="T32" s="447">
        <f t="shared" si="2"/>
        <v>0</v>
      </c>
      <c r="U32" s="199">
        <f t="shared" si="8"/>
        <v>0</v>
      </c>
      <c r="V32" s="205">
        <f t="shared" si="8"/>
        <v>0</v>
      </c>
      <c r="W32" s="199">
        <f t="shared" si="8"/>
        <v>0</v>
      </c>
      <c r="X32" s="205">
        <f t="shared" si="8"/>
        <v>0</v>
      </c>
      <c r="Y32" s="199">
        <f t="shared" si="8"/>
        <v>0</v>
      </c>
      <c r="Z32" s="199">
        <f t="shared" si="8"/>
        <v>0</v>
      </c>
      <c r="AA32" s="205">
        <f t="shared" si="8"/>
        <v>25000000</v>
      </c>
      <c r="AB32" s="199">
        <f t="shared" si="8"/>
        <v>50000000</v>
      </c>
      <c r="AC32" s="448">
        <f t="shared" si="8"/>
        <v>75000000</v>
      </c>
      <c r="AE32" s="449">
        <f t="shared" si="4"/>
        <v>0</v>
      </c>
      <c r="AF32" s="205">
        <f t="shared" si="5"/>
        <v>0</v>
      </c>
      <c r="AG32" s="199">
        <f t="shared" si="6"/>
        <v>25000000</v>
      </c>
      <c r="AH32" s="448">
        <f t="shared" si="7"/>
        <v>75000000</v>
      </c>
    </row>
    <row r="33" spans="2:34" ht="20.100000000000001" hidden="1" customHeight="1" x14ac:dyDescent="0.4">
      <c r="B33" s="443" t="s">
        <v>338</v>
      </c>
      <c r="C33" s="451" t="s">
        <v>352</v>
      </c>
      <c r="D33" s="445" t="s">
        <v>352</v>
      </c>
      <c r="E33" s="444" t="s">
        <v>352</v>
      </c>
      <c r="F33" s="205">
        <v>0</v>
      </c>
      <c r="G33" s="199">
        <v>0</v>
      </c>
      <c r="H33" s="205">
        <v>0</v>
      </c>
      <c r="I33" s="199">
        <v>0</v>
      </c>
      <c r="J33" s="205">
        <v>0</v>
      </c>
      <c r="K33" s="199">
        <v>0</v>
      </c>
      <c r="L33" s="199">
        <v>0</v>
      </c>
      <c r="M33" s="205">
        <v>0</v>
      </c>
      <c r="N33" s="199">
        <v>0</v>
      </c>
      <c r="O33" s="205">
        <v>66666666.666666664</v>
      </c>
      <c r="P33" s="199">
        <v>66666666.666666664</v>
      </c>
      <c r="Q33" s="205">
        <v>66666666.666666664</v>
      </c>
      <c r="R33" s="450">
        <f t="shared" si="0"/>
        <v>200000000</v>
      </c>
      <c r="T33" s="447">
        <f t="shared" si="2"/>
        <v>0</v>
      </c>
      <c r="U33" s="199">
        <f t="shared" si="8"/>
        <v>0</v>
      </c>
      <c r="V33" s="205">
        <f t="shared" si="8"/>
        <v>0</v>
      </c>
      <c r="W33" s="199">
        <f t="shared" si="8"/>
        <v>0</v>
      </c>
      <c r="X33" s="205">
        <f t="shared" si="8"/>
        <v>0</v>
      </c>
      <c r="Y33" s="199">
        <f t="shared" si="8"/>
        <v>0</v>
      </c>
      <c r="Z33" s="199">
        <f t="shared" si="8"/>
        <v>0</v>
      </c>
      <c r="AA33" s="205">
        <f t="shared" si="8"/>
        <v>0</v>
      </c>
      <c r="AB33" s="199">
        <f t="shared" si="8"/>
        <v>66666666.666666664</v>
      </c>
      <c r="AC33" s="448">
        <f t="shared" si="8"/>
        <v>133333333.33333333</v>
      </c>
      <c r="AE33" s="449">
        <f t="shared" si="4"/>
        <v>0</v>
      </c>
      <c r="AF33" s="205">
        <f t="shared" si="5"/>
        <v>0</v>
      </c>
      <c r="AG33" s="199">
        <f t="shared" si="6"/>
        <v>0</v>
      </c>
      <c r="AH33" s="448">
        <f t="shared" si="7"/>
        <v>200000000</v>
      </c>
    </row>
    <row r="34" spans="2:34" ht="20.100000000000001" hidden="1" customHeight="1" x14ac:dyDescent="0.4">
      <c r="B34" s="443" t="s">
        <v>338</v>
      </c>
      <c r="C34" s="451" t="s">
        <v>353</v>
      </c>
      <c r="D34" s="445" t="s">
        <v>353</v>
      </c>
      <c r="E34" s="444" t="s">
        <v>353</v>
      </c>
      <c r="F34" s="205">
        <v>0</v>
      </c>
      <c r="G34" s="199">
        <v>0</v>
      </c>
      <c r="H34" s="205">
        <v>0</v>
      </c>
      <c r="I34" s="199">
        <v>0</v>
      </c>
      <c r="J34" s="205">
        <v>0</v>
      </c>
      <c r="K34" s="199">
        <v>0</v>
      </c>
      <c r="L34" s="199">
        <v>0</v>
      </c>
      <c r="M34" s="205">
        <v>20000000</v>
      </c>
      <c r="N34" s="199">
        <v>20000000</v>
      </c>
      <c r="O34" s="205">
        <v>20000000</v>
      </c>
      <c r="P34" s="199">
        <v>20000000</v>
      </c>
      <c r="Q34" s="205">
        <v>20000000</v>
      </c>
      <c r="R34" s="450">
        <f t="shared" si="0"/>
        <v>100000000</v>
      </c>
      <c r="T34" s="447">
        <f t="shared" si="2"/>
        <v>0</v>
      </c>
      <c r="U34" s="199">
        <f t="shared" si="8"/>
        <v>0</v>
      </c>
      <c r="V34" s="205">
        <f t="shared" si="8"/>
        <v>0</v>
      </c>
      <c r="W34" s="199">
        <f t="shared" si="8"/>
        <v>0</v>
      </c>
      <c r="X34" s="205">
        <f t="shared" si="8"/>
        <v>0</v>
      </c>
      <c r="Y34" s="199">
        <f t="shared" si="8"/>
        <v>0</v>
      </c>
      <c r="Z34" s="199">
        <f t="shared" si="8"/>
        <v>20000000</v>
      </c>
      <c r="AA34" s="205">
        <f t="shared" si="8"/>
        <v>40000000</v>
      </c>
      <c r="AB34" s="199">
        <f t="shared" si="8"/>
        <v>60000000</v>
      </c>
      <c r="AC34" s="448">
        <f t="shared" si="8"/>
        <v>80000000</v>
      </c>
      <c r="AE34" s="449">
        <f t="shared" si="4"/>
        <v>0</v>
      </c>
      <c r="AF34" s="205">
        <f t="shared" si="5"/>
        <v>0</v>
      </c>
      <c r="AG34" s="199">
        <f t="shared" si="6"/>
        <v>40000000</v>
      </c>
      <c r="AH34" s="448">
        <f t="shared" si="7"/>
        <v>60000000</v>
      </c>
    </row>
    <row r="35" spans="2:34" ht="20.100000000000001" hidden="1" customHeight="1" x14ac:dyDescent="0.4">
      <c r="B35" s="443" t="s">
        <v>338</v>
      </c>
      <c r="C35" s="451" t="s">
        <v>354</v>
      </c>
      <c r="D35" s="445" t="s">
        <v>354</v>
      </c>
      <c r="E35" s="444" t="s">
        <v>354</v>
      </c>
      <c r="F35" s="205">
        <v>0</v>
      </c>
      <c r="G35" s="199">
        <v>0</v>
      </c>
      <c r="H35" s="205">
        <v>0</v>
      </c>
      <c r="I35" s="199">
        <v>0</v>
      </c>
      <c r="J35" s="205">
        <v>0</v>
      </c>
      <c r="K35" s="199">
        <v>0</v>
      </c>
      <c r="L35" s="199">
        <v>0</v>
      </c>
      <c r="M35" s="205">
        <v>0</v>
      </c>
      <c r="N35" s="199">
        <v>0</v>
      </c>
      <c r="O35" s="205">
        <v>0</v>
      </c>
      <c r="P35" s="199">
        <v>0</v>
      </c>
      <c r="Q35" s="205">
        <v>0</v>
      </c>
      <c r="R35" s="450">
        <f t="shared" si="0"/>
        <v>0</v>
      </c>
      <c r="T35" s="447">
        <f t="shared" si="2"/>
        <v>0</v>
      </c>
      <c r="U35" s="199">
        <f t="shared" si="8"/>
        <v>0</v>
      </c>
      <c r="V35" s="205">
        <f t="shared" si="8"/>
        <v>0</v>
      </c>
      <c r="W35" s="199">
        <f t="shared" si="8"/>
        <v>0</v>
      </c>
      <c r="X35" s="205">
        <f t="shared" si="8"/>
        <v>0</v>
      </c>
      <c r="Y35" s="199">
        <f t="shared" si="8"/>
        <v>0</v>
      </c>
      <c r="Z35" s="199">
        <f t="shared" si="8"/>
        <v>0</v>
      </c>
      <c r="AA35" s="205">
        <f t="shared" si="8"/>
        <v>0</v>
      </c>
      <c r="AB35" s="199">
        <f t="shared" si="8"/>
        <v>0</v>
      </c>
      <c r="AC35" s="448">
        <f t="shared" si="8"/>
        <v>0</v>
      </c>
      <c r="AE35" s="449">
        <f t="shared" si="4"/>
        <v>0</v>
      </c>
      <c r="AF35" s="205">
        <f t="shared" si="5"/>
        <v>0</v>
      </c>
      <c r="AG35" s="199">
        <f t="shared" si="6"/>
        <v>0</v>
      </c>
      <c r="AH35" s="448">
        <f t="shared" si="7"/>
        <v>0</v>
      </c>
    </row>
    <row r="36" spans="2:34" ht="20.100000000000001" hidden="1" customHeight="1" x14ac:dyDescent="0.4">
      <c r="B36" s="443" t="s">
        <v>338</v>
      </c>
      <c r="C36" s="451" t="s">
        <v>355</v>
      </c>
      <c r="D36" s="445" t="s">
        <v>355</v>
      </c>
      <c r="E36" s="444" t="s">
        <v>355</v>
      </c>
      <c r="F36" s="205">
        <v>0</v>
      </c>
      <c r="G36" s="199">
        <v>0</v>
      </c>
      <c r="H36" s="205">
        <v>0</v>
      </c>
      <c r="I36" s="199">
        <v>0</v>
      </c>
      <c r="J36" s="205">
        <v>0</v>
      </c>
      <c r="K36" s="199">
        <v>0</v>
      </c>
      <c r="L36" s="199">
        <v>0</v>
      </c>
      <c r="M36" s="205">
        <v>0</v>
      </c>
      <c r="N36" s="199">
        <v>0</v>
      </c>
      <c r="O36" s="205">
        <v>0</v>
      </c>
      <c r="P36" s="199">
        <v>0</v>
      </c>
      <c r="Q36" s="205">
        <v>0</v>
      </c>
      <c r="R36" s="450">
        <f t="shared" si="0"/>
        <v>0</v>
      </c>
      <c r="T36" s="447">
        <f t="shared" si="2"/>
        <v>0</v>
      </c>
      <c r="U36" s="199">
        <f t="shared" si="8"/>
        <v>0</v>
      </c>
      <c r="V36" s="205">
        <f t="shared" si="8"/>
        <v>0</v>
      </c>
      <c r="W36" s="199">
        <f t="shared" si="8"/>
        <v>0</v>
      </c>
      <c r="X36" s="205">
        <f t="shared" si="8"/>
        <v>0</v>
      </c>
      <c r="Y36" s="199">
        <f t="shared" si="8"/>
        <v>0</v>
      </c>
      <c r="Z36" s="199">
        <f t="shared" si="8"/>
        <v>0</v>
      </c>
      <c r="AA36" s="205">
        <f t="shared" si="8"/>
        <v>0</v>
      </c>
      <c r="AB36" s="199">
        <f t="shared" si="8"/>
        <v>0</v>
      </c>
      <c r="AC36" s="448">
        <f t="shared" si="8"/>
        <v>0</v>
      </c>
      <c r="AE36" s="449">
        <f t="shared" si="4"/>
        <v>0</v>
      </c>
      <c r="AF36" s="205">
        <f t="shared" si="5"/>
        <v>0</v>
      </c>
      <c r="AG36" s="199">
        <f t="shared" si="6"/>
        <v>0</v>
      </c>
      <c r="AH36" s="448">
        <f t="shared" si="7"/>
        <v>0</v>
      </c>
    </row>
    <row r="37" spans="2:34" ht="20.100000000000001" hidden="1" customHeight="1" x14ac:dyDescent="0.4">
      <c r="B37" s="443" t="s">
        <v>338</v>
      </c>
      <c r="C37" s="444" t="s">
        <v>356</v>
      </c>
      <c r="D37" s="445" t="s">
        <v>357</v>
      </c>
      <c r="E37" s="444" t="s">
        <v>357</v>
      </c>
      <c r="F37" s="205">
        <v>0</v>
      </c>
      <c r="G37" s="199">
        <v>0</v>
      </c>
      <c r="H37" s="205">
        <v>0</v>
      </c>
      <c r="I37" s="199">
        <v>0</v>
      </c>
      <c r="J37" s="205">
        <v>0</v>
      </c>
      <c r="K37" s="199">
        <v>0</v>
      </c>
      <c r="L37" s="199">
        <v>0</v>
      </c>
      <c r="M37" s="205">
        <v>0</v>
      </c>
      <c r="N37" s="199">
        <v>0</v>
      </c>
      <c r="O37" s="205">
        <v>0</v>
      </c>
      <c r="P37" s="199">
        <v>0</v>
      </c>
      <c r="Q37" s="205">
        <v>0</v>
      </c>
      <c r="R37" s="450">
        <f t="shared" si="0"/>
        <v>0</v>
      </c>
      <c r="T37" s="447">
        <f t="shared" si="2"/>
        <v>0</v>
      </c>
      <c r="U37" s="199">
        <f t="shared" si="8"/>
        <v>0</v>
      </c>
      <c r="V37" s="205">
        <f t="shared" si="8"/>
        <v>0</v>
      </c>
      <c r="W37" s="199">
        <f t="shared" si="8"/>
        <v>0</v>
      </c>
      <c r="X37" s="205">
        <f t="shared" si="8"/>
        <v>0</v>
      </c>
      <c r="Y37" s="199">
        <f t="shared" si="8"/>
        <v>0</v>
      </c>
      <c r="Z37" s="199">
        <f t="shared" si="8"/>
        <v>0</v>
      </c>
      <c r="AA37" s="205">
        <f t="shared" si="8"/>
        <v>0</v>
      </c>
      <c r="AB37" s="199">
        <f t="shared" si="8"/>
        <v>0</v>
      </c>
      <c r="AC37" s="448">
        <f t="shared" si="8"/>
        <v>0</v>
      </c>
      <c r="AE37" s="449">
        <f t="shared" si="4"/>
        <v>0</v>
      </c>
      <c r="AF37" s="205">
        <f t="shared" si="5"/>
        <v>0</v>
      </c>
      <c r="AG37" s="199">
        <f t="shared" si="6"/>
        <v>0</v>
      </c>
      <c r="AH37" s="448">
        <f t="shared" si="7"/>
        <v>0</v>
      </c>
    </row>
    <row r="38" spans="2:34" ht="20.100000000000001" hidden="1" customHeight="1" x14ac:dyDescent="0.4">
      <c r="B38" s="443" t="s">
        <v>32</v>
      </c>
      <c r="C38" s="444" t="s">
        <v>358</v>
      </c>
      <c r="D38" s="445" t="s">
        <v>358</v>
      </c>
      <c r="E38" s="444" t="s">
        <v>359</v>
      </c>
      <c r="F38" s="205">
        <v>527771676.37675929</v>
      </c>
      <c r="G38" s="199">
        <v>971342514.56513941</v>
      </c>
      <c r="H38" s="205">
        <v>1219604190.9418988</v>
      </c>
      <c r="I38" s="199">
        <v>1129657522.9580364</v>
      </c>
      <c r="J38" s="205">
        <v>1015676284.4370548</v>
      </c>
      <c r="K38" s="199">
        <v>1426593807.3950915</v>
      </c>
      <c r="L38" s="199">
        <v>3388395187.2948098</v>
      </c>
      <c r="M38" s="205">
        <v>5082592780.9422188</v>
      </c>
      <c r="N38" s="199">
        <v>7832107968.2370453</v>
      </c>
      <c r="O38" s="205">
        <v>3986411613.3703899</v>
      </c>
      <c r="P38" s="199">
        <v>5377218861.4702044</v>
      </c>
      <c r="Q38" s="205">
        <v>8164006195.5478916</v>
      </c>
      <c r="R38" s="450">
        <f t="shared" si="0"/>
        <v>40121378603.536545</v>
      </c>
      <c r="T38" s="447">
        <f t="shared" si="2"/>
        <v>1499114190.9418988</v>
      </c>
      <c r="U38" s="199">
        <f t="shared" ref="U38:AC53" si="9">T38+H38</f>
        <v>2718718381.8837976</v>
      </c>
      <c r="V38" s="205">
        <f t="shared" si="9"/>
        <v>3848375904.8418341</v>
      </c>
      <c r="W38" s="199">
        <f t="shared" si="9"/>
        <v>4864052189.2788887</v>
      </c>
      <c r="X38" s="205">
        <f t="shared" si="9"/>
        <v>6290645996.6739807</v>
      </c>
      <c r="Y38" s="199">
        <f t="shared" si="9"/>
        <v>9679041183.9687901</v>
      </c>
      <c r="Z38" s="199">
        <f t="shared" si="9"/>
        <v>14761633964.911009</v>
      </c>
      <c r="AA38" s="205">
        <f t="shared" si="9"/>
        <v>22593741933.148056</v>
      </c>
      <c r="AB38" s="199">
        <f t="shared" si="9"/>
        <v>26580153546.518448</v>
      </c>
      <c r="AC38" s="448">
        <f t="shared" si="9"/>
        <v>31957372407.988651</v>
      </c>
      <c r="AE38" s="449">
        <f t="shared" si="4"/>
        <v>2718718381.8837976</v>
      </c>
      <c r="AF38" s="205">
        <f t="shared" si="5"/>
        <v>3571927614.7901826</v>
      </c>
      <c r="AG38" s="199">
        <f t="shared" si="6"/>
        <v>16303095936.474073</v>
      </c>
      <c r="AH38" s="448">
        <f t="shared" si="7"/>
        <v>17527636670.388489</v>
      </c>
    </row>
    <row r="39" spans="2:34" ht="20.100000000000001" hidden="1" customHeight="1" x14ac:dyDescent="0.4">
      <c r="B39" s="443" t="s">
        <v>32</v>
      </c>
      <c r="C39" s="444" t="s">
        <v>358</v>
      </c>
      <c r="D39" s="445" t="s">
        <v>358</v>
      </c>
      <c r="E39" s="444" t="s">
        <v>360</v>
      </c>
      <c r="F39" s="205">
        <v>515767334.72731161</v>
      </c>
      <c r="G39" s="199">
        <v>773651002.09096742</v>
      </c>
      <c r="H39" s="205">
        <v>1289418336.818279</v>
      </c>
      <c r="I39" s="199">
        <v>690182240.40693724</v>
      </c>
      <c r="J39" s="205">
        <v>1035273360.6104056</v>
      </c>
      <c r="K39" s="199">
        <v>1725455601.0173426</v>
      </c>
      <c r="L39" s="199">
        <v>563706108.11212873</v>
      </c>
      <c r="M39" s="205">
        <v>845559162.16819286</v>
      </c>
      <c r="N39" s="199">
        <v>1448110751.3226511</v>
      </c>
      <c r="O39" s="205">
        <v>645538845.35087585</v>
      </c>
      <c r="P39" s="199">
        <v>948885527.50514936</v>
      </c>
      <c r="Q39" s="205">
        <v>1555578891.8136959</v>
      </c>
      <c r="R39" s="450">
        <f t="shared" si="0"/>
        <v>12037127161.943939</v>
      </c>
      <c r="T39" s="447">
        <f t="shared" si="2"/>
        <v>1289418336.818279</v>
      </c>
      <c r="U39" s="199">
        <f t="shared" si="9"/>
        <v>2578836673.6365581</v>
      </c>
      <c r="V39" s="205">
        <f t="shared" si="9"/>
        <v>3269018914.0434952</v>
      </c>
      <c r="W39" s="199">
        <f t="shared" si="9"/>
        <v>4304292274.6539011</v>
      </c>
      <c r="X39" s="205">
        <f t="shared" si="9"/>
        <v>6029747875.6712437</v>
      </c>
      <c r="Y39" s="199">
        <f t="shared" si="9"/>
        <v>6593453983.7833729</v>
      </c>
      <c r="Z39" s="199">
        <f t="shared" si="9"/>
        <v>7439013145.9515657</v>
      </c>
      <c r="AA39" s="205">
        <f t="shared" si="9"/>
        <v>8887123897.2742176</v>
      </c>
      <c r="AB39" s="199">
        <f t="shared" si="9"/>
        <v>9532662742.6250935</v>
      </c>
      <c r="AC39" s="448">
        <f t="shared" si="9"/>
        <v>10481548270.130243</v>
      </c>
      <c r="AE39" s="449">
        <f t="shared" si="4"/>
        <v>2578836673.6365581</v>
      </c>
      <c r="AF39" s="205">
        <f t="shared" si="5"/>
        <v>3450911202.0346851</v>
      </c>
      <c r="AG39" s="199">
        <f t="shared" si="6"/>
        <v>2857376021.602973</v>
      </c>
      <c r="AH39" s="448">
        <f t="shared" si="7"/>
        <v>3150003264.6697211</v>
      </c>
    </row>
    <row r="40" spans="2:34" ht="20.100000000000001" hidden="1" customHeight="1" x14ac:dyDescent="0.4">
      <c r="B40" s="443" t="s">
        <v>32</v>
      </c>
      <c r="C40" s="444" t="s">
        <v>358</v>
      </c>
      <c r="D40" s="445" t="s">
        <v>358</v>
      </c>
      <c r="E40" s="444" t="s">
        <v>361</v>
      </c>
      <c r="F40" s="205">
        <v>0</v>
      </c>
      <c r="G40" s="199">
        <v>0</v>
      </c>
      <c r="H40" s="205">
        <v>0</v>
      </c>
      <c r="I40" s="199">
        <v>0</v>
      </c>
      <c r="J40" s="205">
        <v>0</v>
      </c>
      <c r="K40" s="199">
        <v>0</v>
      </c>
      <c r="L40" s="199">
        <v>0</v>
      </c>
      <c r="M40" s="205">
        <v>0</v>
      </c>
      <c r="N40" s="199">
        <v>0</v>
      </c>
      <c r="O40" s="205">
        <v>0</v>
      </c>
      <c r="P40" s="199">
        <v>0</v>
      </c>
      <c r="Q40" s="205">
        <v>0</v>
      </c>
      <c r="R40" s="450">
        <f t="shared" si="0"/>
        <v>0</v>
      </c>
      <c r="T40" s="447">
        <f t="shared" si="2"/>
        <v>0</v>
      </c>
      <c r="U40" s="199">
        <f t="shared" si="9"/>
        <v>0</v>
      </c>
      <c r="V40" s="205">
        <f t="shared" si="9"/>
        <v>0</v>
      </c>
      <c r="W40" s="199">
        <f t="shared" si="9"/>
        <v>0</v>
      </c>
      <c r="X40" s="205">
        <f t="shared" si="9"/>
        <v>0</v>
      </c>
      <c r="Y40" s="199">
        <f t="shared" si="9"/>
        <v>0</v>
      </c>
      <c r="Z40" s="199">
        <f t="shared" si="9"/>
        <v>0</v>
      </c>
      <c r="AA40" s="205">
        <f t="shared" si="9"/>
        <v>0</v>
      </c>
      <c r="AB40" s="199">
        <f t="shared" si="9"/>
        <v>0</v>
      </c>
      <c r="AC40" s="448">
        <f t="shared" si="9"/>
        <v>0</v>
      </c>
      <c r="AE40" s="449">
        <f t="shared" si="4"/>
        <v>0</v>
      </c>
      <c r="AF40" s="205">
        <f t="shared" si="5"/>
        <v>0</v>
      </c>
      <c r="AG40" s="199">
        <f t="shared" si="6"/>
        <v>0</v>
      </c>
      <c r="AH40" s="448">
        <f t="shared" si="7"/>
        <v>0</v>
      </c>
    </row>
    <row r="41" spans="2:34" ht="20.100000000000001" hidden="1" customHeight="1" x14ac:dyDescent="0.4">
      <c r="B41" s="443" t="s">
        <v>32</v>
      </c>
      <c r="C41" s="444" t="s">
        <v>362</v>
      </c>
      <c r="D41" s="445" t="s">
        <v>362</v>
      </c>
      <c r="E41" s="444" t="s">
        <v>363</v>
      </c>
      <c r="F41" s="205">
        <v>0</v>
      </c>
      <c r="G41" s="199">
        <v>0</v>
      </c>
      <c r="H41" s="205">
        <v>0</v>
      </c>
      <c r="I41" s="199">
        <v>0</v>
      </c>
      <c r="J41" s="205">
        <v>0</v>
      </c>
      <c r="K41" s="199">
        <v>0</v>
      </c>
      <c r="L41" s="199">
        <v>0</v>
      </c>
      <c r="M41" s="205">
        <v>0</v>
      </c>
      <c r="N41" s="199">
        <v>0</v>
      </c>
      <c r="O41" s="205">
        <v>0</v>
      </c>
      <c r="P41" s="199">
        <v>0</v>
      </c>
      <c r="Q41" s="205">
        <v>0</v>
      </c>
      <c r="R41" s="450">
        <f t="shared" si="0"/>
        <v>0</v>
      </c>
      <c r="T41" s="447">
        <f t="shared" si="2"/>
        <v>0</v>
      </c>
      <c r="U41" s="199">
        <f t="shared" si="9"/>
        <v>0</v>
      </c>
      <c r="V41" s="205">
        <f t="shared" si="9"/>
        <v>0</v>
      </c>
      <c r="W41" s="199">
        <f t="shared" si="9"/>
        <v>0</v>
      </c>
      <c r="X41" s="205">
        <f t="shared" si="9"/>
        <v>0</v>
      </c>
      <c r="Y41" s="199">
        <f t="shared" si="9"/>
        <v>0</v>
      </c>
      <c r="Z41" s="199">
        <f t="shared" si="9"/>
        <v>0</v>
      </c>
      <c r="AA41" s="205">
        <f t="shared" si="9"/>
        <v>0</v>
      </c>
      <c r="AB41" s="199">
        <f t="shared" si="9"/>
        <v>0</v>
      </c>
      <c r="AC41" s="448">
        <f t="shared" si="9"/>
        <v>0</v>
      </c>
      <c r="AE41" s="449">
        <f t="shared" si="4"/>
        <v>0</v>
      </c>
      <c r="AF41" s="205">
        <f t="shared" si="5"/>
        <v>0</v>
      </c>
      <c r="AG41" s="199">
        <f t="shared" si="6"/>
        <v>0</v>
      </c>
      <c r="AH41" s="448">
        <f t="shared" si="7"/>
        <v>0</v>
      </c>
    </row>
    <row r="42" spans="2:34" ht="20.100000000000001" hidden="1" customHeight="1" x14ac:dyDescent="0.4">
      <c r="B42" s="443" t="s">
        <v>32</v>
      </c>
      <c r="C42" s="444" t="s">
        <v>362</v>
      </c>
      <c r="D42" s="445" t="s">
        <v>362</v>
      </c>
      <c r="E42" s="444" t="s">
        <v>364</v>
      </c>
      <c r="F42" s="205">
        <v>0</v>
      </c>
      <c r="G42" s="199">
        <v>0</v>
      </c>
      <c r="H42" s="205">
        <v>0</v>
      </c>
      <c r="I42" s="199">
        <v>0</v>
      </c>
      <c r="J42" s="205">
        <v>0</v>
      </c>
      <c r="K42" s="199">
        <v>0</v>
      </c>
      <c r="L42" s="199">
        <v>0</v>
      </c>
      <c r="M42" s="205">
        <v>0</v>
      </c>
      <c r="N42" s="199">
        <v>0</v>
      </c>
      <c r="O42" s="205">
        <v>0</v>
      </c>
      <c r="P42" s="199">
        <v>0</v>
      </c>
      <c r="Q42" s="205">
        <v>0</v>
      </c>
      <c r="R42" s="450">
        <f t="shared" si="0"/>
        <v>0</v>
      </c>
      <c r="T42" s="447">
        <f t="shared" si="2"/>
        <v>0</v>
      </c>
      <c r="U42" s="199">
        <f t="shared" si="9"/>
        <v>0</v>
      </c>
      <c r="V42" s="205">
        <f t="shared" si="9"/>
        <v>0</v>
      </c>
      <c r="W42" s="199">
        <f t="shared" si="9"/>
        <v>0</v>
      </c>
      <c r="X42" s="205">
        <f t="shared" si="9"/>
        <v>0</v>
      </c>
      <c r="Y42" s="199">
        <f t="shared" si="9"/>
        <v>0</v>
      </c>
      <c r="Z42" s="199">
        <f t="shared" si="9"/>
        <v>0</v>
      </c>
      <c r="AA42" s="205">
        <f t="shared" si="9"/>
        <v>0</v>
      </c>
      <c r="AB42" s="199">
        <f t="shared" si="9"/>
        <v>0</v>
      </c>
      <c r="AC42" s="448">
        <f t="shared" si="9"/>
        <v>0</v>
      </c>
      <c r="AE42" s="449">
        <f t="shared" si="4"/>
        <v>0</v>
      </c>
      <c r="AF42" s="205">
        <f t="shared" si="5"/>
        <v>0</v>
      </c>
      <c r="AG42" s="199">
        <f t="shared" si="6"/>
        <v>0</v>
      </c>
      <c r="AH42" s="448">
        <f t="shared" si="7"/>
        <v>0</v>
      </c>
    </row>
    <row r="43" spans="2:34" ht="20.100000000000001" hidden="1" customHeight="1" x14ac:dyDescent="0.4">
      <c r="B43" s="443" t="s">
        <v>32</v>
      </c>
      <c r="C43" s="444" t="s">
        <v>365</v>
      </c>
      <c r="D43" s="444" t="s">
        <v>365</v>
      </c>
      <c r="E43" s="444" t="s">
        <v>365</v>
      </c>
      <c r="F43" s="205">
        <v>0</v>
      </c>
      <c r="G43" s="199">
        <v>0</v>
      </c>
      <c r="H43" s="205">
        <v>0</v>
      </c>
      <c r="I43" s="199">
        <v>0</v>
      </c>
      <c r="J43" s="205">
        <v>0</v>
      </c>
      <c r="K43" s="199">
        <v>0</v>
      </c>
      <c r="L43" s="199">
        <v>0</v>
      </c>
      <c r="M43" s="205">
        <v>0</v>
      </c>
      <c r="N43" s="199">
        <v>0</v>
      </c>
      <c r="O43" s="205">
        <v>0</v>
      </c>
      <c r="P43" s="199">
        <v>0</v>
      </c>
      <c r="Q43" s="205">
        <v>0</v>
      </c>
      <c r="R43" s="450">
        <f t="shared" si="0"/>
        <v>0</v>
      </c>
      <c r="T43" s="447">
        <f t="shared" si="2"/>
        <v>0</v>
      </c>
      <c r="U43" s="199">
        <f t="shared" si="9"/>
        <v>0</v>
      </c>
      <c r="V43" s="205">
        <f t="shared" si="9"/>
        <v>0</v>
      </c>
      <c r="W43" s="199">
        <f t="shared" si="9"/>
        <v>0</v>
      </c>
      <c r="X43" s="205">
        <f t="shared" si="9"/>
        <v>0</v>
      </c>
      <c r="Y43" s="199">
        <f t="shared" si="9"/>
        <v>0</v>
      </c>
      <c r="Z43" s="199">
        <f t="shared" si="9"/>
        <v>0</v>
      </c>
      <c r="AA43" s="205">
        <f t="shared" si="9"/>
        <v>0</v>
      </c>
      <c r="AB43" s="199">
        <f t="shared" si="9"/>
        <v>0</v>
      </c>
      <c r="AC43" s="448">
        <f t="shared" si="9"/>
        <v>0</v>
      </c>
      <c r="AE43" s="449">
        <f t="shared" si="4"/>
        <v>0</v>
      </c>
      <c r="AF43" s="205">
        <f t="shared" si="5"/>
        <v>0</v>
      </c>
      <c r="AG43" s="199">
        <f t="shared" si="6"/>
        <v>0</v>
      </c>
      <c r="AH43" s="448">
        <f t="shared" si="7"/>
        <v>0</v>
      </c>
    </row>
    <row r="44" spans="2:34" ht="20.100000000000001" customHeight="1" x14ac:dyDescent="0.4">
      <c r="B44" s="443" t="s">
        <v>366</v>
      </c>
      <c r="C44" s="444" t="s">
        <v>367</v>
      </c>
      <c r="D44" s="445" t="s">
        <v>368</v>
      </c>
      <c r="E44" s="444" t="s">
        <v>368</v>
      </c>
      <c r="F44" s="205">
        <v>0</v>
      </c>
      <c r="G44" s="199">
        <v>0</v>
      </c>
      <c r="H44" s="205">
        <v>0</v>
      </c>
      <c r="I44" s="199">
        <v>0</v>
      </c>
      <c r="J44" s="205">
        <v>0</v>
      </c>
      <c r="K44" s="199">
        <v>0</v>
      </c>
      <c r="L44" s="199">
        <v>0</v>
      </c>
      <c r="M44" s="205">
        <v>0</v>
      </c>
      <c r="N44" s="199">
        <v>0</v>
      </c>
      <c r="O44" s="205">
        <v>0</v>
      </c>
      <c r="P44" s="199">
        <v>0</v>
      </c>
      <c r="Q44" s="205">
        <v>0</v>
      </c>
      <c r="R44" s="450">
        <f t="shared" si="0"/>
        <v>0</v>
      </c>
      <c r="T44" s="447">
        <f t="shared" si="2"/>
        <v>0</v>
      </c>
      <c r="U44" s="199">
        <f t="shared" si="9"/>
        <v>0</v>
      </c>
      <c r="V44" s="205">
        <f t="shared" si="9"/>
        <v>0</v>
      </c>
      <c r="W44" s="199">
        <f t="shared" si="9"/>
        <v>0</v>
      </c>
      <c r="X44" s="205">
        <f t="shared" si="9"/>
        <v>0</v>
      </c>
      <c r="Y44" s="199">
        <f t="shared" si="9"/>
        <v>0</v>
      </c>
      <c r="Z44" s="199">
        <f t="shared" si="9"/>
        <v>0</v>
      </c>
      <c r="AA44" s="205">
        <f t="shared" si="9"/>
        <v>0</v>
      </c>
      <c r="AB44" s="199">
        <f t="shared" si="9"/>
        <v>0</v>
      </c>
      <c r="AC44" s="448">
        <f t="shared" si="9"/>
        <v>0</v>
      </c>
      <c r="AE44" s="449">
        <f t="shared" si="4"/>
        <v>0</v>
      </c>
      <c r="AF44" s="205">
        <f t="shared" si="5"/>
        <v>0</v>
      </c>
      <c r="AG44" s="199">
        <f t="shared" si="6"/>
        <v>0</v>
      </c>
      <c r="AH44" s="448">
        <f t="shared" si="7"/>
        <v>0</v>
      </c>
    </row>
    <row r="45" spans="2:34" ht="20.100000000000001" customHeight="1" x14ac:dyDescent="0.4">
      <c r="B45" s="443" t="s">
        <v>366</v>
      </c>
      <c r="C45" s="444" t="s">
        <v>367</v>
      </c>
      <c r="D45" s="445" t="s">
        <v>369</v>
      </c>
      <c r="E45" s="444" t="s">
        <v>369</v>
      </c>
      <c r="F45" s="205">
        <v>736312500</v>
      </c>
      <c r="G45" s="199">
        <v>3253527000</v>
      </c>
      <c r="H45" s="205">
        <v>2762644500</v>
      </c>
      <c r="I45" s="199">
        <v>736966980</v>
      </c>
      <c r="J45" s="205">
        <v>859354740</v>
      </c>
      <c r="K45" s="199">
        <v>3315697020</v>
      </c>
      <c r="L45" s="199">
        <v>0</v>
      </c>
      <c r="M45" s="205">
        <v>0</v>
      </c>
      <c r="N45" s="199">
        <v>0</v>
      </c>
      <c r="O45" s="205">
        <v>0</v>
      </c>
      <c r="P45" s="199">
        <v>0</v>
      </c>
      <c r="Q45" s="205">
        <v>0</v>
      </c>
      <c r="R45" s="450">
        <f t="shared" si="0"/>
        <v>11664502740</v>
      </c>
      <c r="T45" s="447">
        <f t="shared" si="2"/>
        <v>3989839500</v>
      </c>
      <c r="U45" s="199">
        <f t="shared" si="9"/>
        <v>6752484000</v>
      </c>
      <c r="V45" s="205">
        <f t="shared" si="9"/>
        <v>7489450980</v>
      </c>
      <c r="W45" s="199">
        <f t="shared" si="9"/>
        <v>8348805720</v>
      </c>
      <c r="X45" s="205">
        <f t="shared" si="9"/>
        <v>11664502740</v>
      </c>
      <c r="Y45" s="199">
        <f t="shared" si="9"/>
        <v>11664502740</v>
      </c>
      <c r="Z45" s="199">
        <f t="shared" si="9"/>
        <v>11664502740</v>
      </c>
      <c r="AA45" s="205">
        <f t="shared" si="9"/>
        <v>11664502740</v>
      </c>
      <c r="AB45" s="199">
        <f t="shared" si="9"/>
        <v>11664502740</v>
      </c>
      <c r="AC45" s="448">
        <f t="shared" si="9"/>
        <v>11664502740</v>
      </c>
      <c r="AE45" s="449">
        <f t="shared" si="4"/>
        <v>6752484000</v>
      </c>
      <c r="AF45" s="205">
        <f t="shared" si="5"/>
        <v>4912018740</v>
      </c>
      <c r="AG45" s="199">
        <f t="shared" si="6"/>
        <v>0</v>
      </c>
      <c r="AH45" s="448">
        <f t="shared" si="7"/>
        <v>0</v>
      </c>
    </row>
    <row r="46" spans="2:34" ht="20.100000000000001" customHeight="1" x14ac:dyDescent="0.4">
      <c r="B46" s="443" t="s">
        <v>366</v>
      </c>
      <c r="C46" s="444" t="s">
        <v>370</v>
      </c>
      <c r="D46" s="445" t="s">
        <v>370</v>
      </c>
      <c r="E46" s="444" t="s">
        <v>370</v>
      </c>
      <c r="F46" s="205">
        <v>959310827.99423397</v>
      </c>
      <c r="G46" s="199">
        <v>959310827.9942342</v>
      </c>
      <c r="H46" s="205">
        <v>959310827.9942342</v>
      </c>
      <c r="I46" s="199">
        <v>762190827.99423397</v>
      </c>
      <c r="J46" s="205">
        <v>1156430827.9942338</v>
      </c>
      <c r="K46" s="199">
        <v>959310827.9942342</v>
      </c>
      <c r="L46" s="199">
        <v>959310827.9942342</v>
      </c>
      <c r="M46" s="205">
        <v>959310827.9942342</v>
      </c>
      <c r="N46" s="199">
        <v>959310827.9942342</v>
      </c>
      <c r="O46" s="205">
        <v>959310827.9942342</v>
      </c>
      <c r="P46" s="199">
        <v>959310827.9942342</v>
      </c>
      <c r="Q46" s="205">
        <v>959310827.9942342</v>
      </c>
      <c r="R46" s="450">
        <f t="shared" si="0"/>
        <v>11511729935.930809</v>
      </c>
      <c r="T46" s="447">
        <f t="shared" si="2"/>
        <v>1918621655.9884682</v>
      </c>
      <c r="U46" s="199">
        <f t="shared" si="9"/>
        <v>2877932483.9827023</v>
      </c>
      <c r="V46" s="205">
        <f t="shared" si="9"/>
        <v>3640123311.9769363</v>
      </c>
      <c r="W46" s="199">
        <f t="shared" si="9"/>
        <v>4796554139.9711704</v>
      </c>
      <c r="X46" s="205">
        <f t="shared" si="9"/>
        <v>5755864967.9654045</v>
      </c>
      <c r="Y46" s="199">
        <f t="shared" si="9"/>
        <v>6715175795.9596386</v>
      </c>
      <c r="Z46" s="199">
        <f t="shared" si="9"/>
        <v>7674486623.9538727</v>
      </c>
      <c r="AA46" s="205">
        <f t="shared" si="9"/>
        <v>8633797451.9481068</v>
      </c>
      <c r="AB46" s="199">
        <f t="shared" si="9"/>
        <v>9593108279.9423409</v>
      </c>
      <c r="AC46" s="448">
        <f t="shared" si="9"/>
        <v>10552419107.936575</v>
      </c>
      <c r="AE46" s="449">
        <f t="shared" si="4"/>
        <v>2877932483.9827023</v>
      </c>
      <c r="AF46" s="205">
        <f t="shared" si="5"/>
        <v>2877932483.9827018</v>
      </c>
      <c r="AG46" s="199">
        <f t="shared" si="6"/>
        <v>2877932483.9827027</v>
      </c>
      <c r="AH46" s="448">
        <f t="shared" si="7"/>
        <v>2877932483.9827027</v>
      </c>
    </row>
    <row r="47" spans="2:34" ht="20.100000000000001" customHeight="1" x14ac:dyDescent="0.4">
      <c r="B47" s="443" t="s">
        <v>366</v>
      </c>
      <c r="C47" s="444" t="s">
        <v>371</v>
      </c>
      <c r="D47" s="445" t="s">
        <v>371</v>
      </c>
      <c r="E47" s="444" t="s">
        <v>371</v>
      </c>
      <c r="F47" s="205">
        <v>4405740000</v>
      </c>
      <c r="G47" s="199">
        <v>478662462.07895321</v>
      </c>
      <c r="H47" s="205">
        <v>4734489924.1579056</v>
      </c>
      <c r="I47" s="199">
        <v>3085914924.1579065</v>
      </c>
      <c r="J47" s="205">
        <v>2937036835.5432677</v>
      </c>
      <c r="K47" s="199">
        <v>5475306835.5432682</v>
      </c>
      <c r="L47" s="199">
        <v>3366606835.5432677</v>
      </c>
      <c r="M47" s="205">
        <v>10725861132.459711</v>
      </c>
      <c r="N47" s="199">
        <v>9725712264.9194241</v>
      </c>
      <c r="O47" s="205">
        <v>5305812264.919425</v>
      </c>
      <c r="P47" s="199">
        <v>5525090850.0595312</v>
      </c>
      <c r="Q47" s="205">
        <v>14509700850.059532</v>
      </c>
      <c r="R47" s="450">
        <f t="shared" si="0"/>
        <v>70275935179.4422</v>
      </c>
      <c r="T47" s="447">
        <f t="shared" si="2"/>
        <v>4884402462.0789528</v>
      </c>
      <c r="U47" s="199">
        <f t="shared" si="9"/>
        <v>9618892386.2368584</v>
      </c>
      <c r="V47" s="205">
        <f t="shared" si="9"/>
        <v>12704807310.394764</v>
      </c>
      <c r="W47" s="199">
        <f t="shared" si="9"/>
        <v>15641844145.938032</v>
      </c>
      <c r="X47" s="205">
        <f t="shared" si="9"/>
        <v>21117150981.4813</v>
      </c>
      <c r="Y47" s="199">
        <f t="shared" si="9"/>
        <v>24483757817.024567</v>
      </c>
      <c r="Z47" s="199">
        <f t="shared" si="9"/>
        <v>35209618949.484276</v>
      </c>
      <c r="AA47" s="205">
        <f t="shared" si="9"/>
        <v>44935331214.403702</v>
      </c>
      <c r="AB47" s="199">
        <f t="shared" si="9"/>
        <v>50241143479.323128</v>
      </c>
      <c r="AC47" s="448">
        <f t="shared" si="9"/>
        <v>55766234329.38266</v>
      </c>
      <c r="AE47" s="449">
        <f t="shared" si="4"/>
        <v>9618892386.2368584</v>
      </c>
      <c r="AF47" s="205">
        <f t="shared" si="5"/>
        <v>11498258595.244442</v>
      </c>
      <c r="AG47" s="199">
        <f t="shared" si="6"/>
        <v>23818180232.922401</v>
      </c>
      <c r="AH47" s="448">
        <f t="shared" si="7"/>
        <v>25340603965.03849</v>
      </c>
    </row>
    <row r="48" spans="2:34" ht="20.100000000000001" customHeight="1" x14ac:dyDescent="0.4">
      <c r="B48" s="443" t="s">
        <v>366</v>
      </c>
      <c r="C48" s="444" t="s">
        <v>372</v>
      </c>
      <c r="D48" s="445" t="s">
        <v>372</v>
      </c>
      <c r="E48" s="444" t="s">
        <v>372</v>
      </c>
      <c r="F48" s="205">
        <v>0</v>
      </c>
      <c r="G48" s="199">
        <v>0</v>
      </c>
      <c r="H48" s="205">
        <v>0</v>
      </c>
      <c r="I48" s="199">
        <v>0</v>
      </c>
      <c r="J48" s="205">
        <v>0</v>
      </c>
      <c r="K48" s="199">
        <v>137760000</v>
      </c>
      <c r="L48" s="199">
        <v>46760000</v>
      </c>
      <c r="M48" s="205">
        <v>322280000</v>
      </c>
      <c r="N48" s="199">
        <v>1579200000</v>
      </c>
      <c r="O48" s="205">
        <v>2868404000</v>
      </c>
      <c r="P48" s="199">
        <v>2142252000</v>
      </c>
      <c r="Q48" s="205">
        <v>495684000</v>
      </c>
      <c r="R48" s="450">
        <f t="shared" si="0"/>
        <v>7592340000</v>
      </c>
      <c r="T48" s="447">
        <f t="shared" si="2"/>
        <v>0</v>
      </c>
      <c r="U48" s="199">
        <f t="shared" si="9"/>
        <v>0</v>
      </c>
      <c r="V48" s="205">
        <f t="shared" si="9"/>
        <v>0</v>
      </c>
      <c r="W48" s="199">
        <f t="shared" si="9"/>
        <v>0</v>
      </c>
      <c r="X48" s="205">
        <f t="shared" si="9"/>
        <v>137760000</v>
      </c>
      <c r="Y48" s="199">
        <f t="shared" si="9"/>
        <v>184520000</v>
      </c>
      <c r="Z48" s="199">
        <f t="shared" si="9"/>
        <v>506800000</v>
      </c>
      <c r="AA48" s="205">
        <f t="shared" si="9"/>
        <v>2086000000</v>
      </c>
      <c r="AB48" s="199">
        <f t="shared" si="9"/>
        <v>4954404000</v>
      </c>
      <c r="AC48" s="448">
        <f t="shared" si="9"/>
        <v>7096656000</v>
      </c>
      <c r="AE48" s="449">
        <f t="shared" si="4"/>
        <v>0</v>
      </c>
      <c r="AF48" s="205">
        <f t="shared" si="5"/>
        <v>137760000</v>
      </c>
      <c r="AG48" s="199">
        <f t="shared" si="6"/>
        <v>1948240000</v>
      </c>
      <c r="AH48" s="448">
        <f t="shared" si="7"/>
        <v>5506340000</v>
      </c>
    </row>
    <row r="49" spans="2:34" ht="20.100000000000001" customHeight="1" x14ac:dyDescent="0.4">
      <c r="B49" s="443" t="s">
        <v>366</v>
      </c>
      <c r="C49" s="444" t="s">
        <v>373</v>
      </c>
      <c r="D49" s="445" t="s">
        <v>373</v>
      </c>
      <c r="E49" s="444" t="s">
        <v>373</v>
      </c>
      <c r="F49" s="205">
        <v>0</v>
      </c>
      <c r="G49" s="199">
        <v>0</v>
      </c>
      <c r="H49" s="205">
        <v>0</v>
      </c>
      <c r="I49" s="199">
        <v>0</v>
      </c>
      <c r="J49" s="205">
        <v>0</v>
      </c>
      <c r="K49" s="199">
        <v>0</v>
      </c>
      <c r="L49" s="199">
        <v>0</v>
      </c>
      <c r="M49" s="205">
        <v>0</v>
      </c>
      <c r="N49" s="199">
        <v>0</v>
      </c>
      <c r="O49" s="205">
        <v>0</v>
      </c>
      <c r="P49" s="199">
        <v>0</v>
      </c>
      <c r="Q49" s="205">
        <v>0</v>
      </c>
      <c r="R49" s="450">
        <f t="shared" si="0"/>
        <v>0</v>
      </c>
      <c r="T49" s="447">
        <f t="shared" si="2"/>
        <v>0</v>
      </c>
      <c r="U49" s="199">
        <f t="shared" si="9"/>
        <v>0</v>
      </c>
      <c r="V49" s="205">
        <f t="shared" si="9"/>
        <v>0</v>
      </c>
      <c r="W49" s="199">
        <f t="shared" si="9"/>
        <v>0</v>
      </c>
      <c r="X49" s="205">
        <f t="shared" si="9"/>
        <v>0</v>
      </c>
      <c r="Y49" s="199">
        <f t="shared" si="9"/>
        <v>0</v>
      </c>
      <c r="Z49" s="199">
        <f t="shared" si="9"/>
        <v>0</v>
      </c>
      <c r="AA49" s="205">
        <f t="shared" si="9"/>
        <v>0</v>
      </c>
      <c r="AB49" s="199">
        <f t="shared" si="9"/>
        <v>0</v>
      </c>
      <c r="AC49" s="448">
        <f t="shared" si="9"/>
        <v>0</v>
      </c>
      <c r="AE49" s="449">
        <f t="shared" si="4"/>
        <v>0</v>
      </c>
      <c r="AF49" s="205">
        <f t="shared" si="5"/>
        <v>0</v>
      </c>
      <c r="AG49" s="199">
        <f t="shared" si="6"/>
        <v>0</v>
      </c>
      <c r="AH49" s="448">
        <f t="shared" si="7"/>
        <v>0</v>
      </c>
    </row>
    <row r="50" spans="2:34" ht="20.100000000000001" customHeight="1" x14ac:dyDescent="0.4">
      <c r="B50" s="443" t="s">
        <v>366</v>
      </c>
      <c r="C50" s="451" t="s">
        <v>42</v>
      </c>
      <c r="D50" s="445" t="s">
        <v>374</v>
      </c>
      <c r="E50" s="444" t="s">
        <v>374</v>
      </c>
      <c r="F50" s="205">
        <v>0</v>
      </c>
      <c r="G50" s="199">
        <v>40000000</v>
      </c>
      <c r="H50" s="205">
        <v>0</v>
      </c>
      <c r="I50" s="199">
        <v>60000000</v>
      </c>
      <c r="J50" s="205">
        <v>67000000</v>
      </c>
      <c r="K50" s="199">
        <v>67000000</v>
      </c>
      <c r="L50" s="199">
        <v>0</v>
      </c>
      <c r="M50" s="205">
        <v>0</v>
      </c>
      <c r="N50" s="199">
        <v>0</v>
      </c>
      <c r="O50" s="205">
        <v>0</v>
      </c>
      <c r="P50" s="199">
        <v>107000000</v>
      </c>
      <c r="Q50" s="205">
        <v>67000000</v>
      </c>
      <c r="R50" s="450">
        <f t="shared" si="0"/>
        <v>408000000</v>
      </c>
      <c r="T50" s="447">
        <f t="shared" si="2"/>
        <v>40000000</v>
      </c>
      <c r="U50" s="199">
        <f t="shared" si="9"/>
        <v>40000000</v>
      </c>
      <c r="V50" s="205">
        <f t="shared" si="9"/>
        <v>100000000</v>
      </c>
      <c r="W50" s="199">
        <f t="shared" si="9"/>
        <v>167000000</v>
      </c>
      <c r="X50" s="205">
        <f t="shared" si="9"/>
        <v>234000000</v>
      </c>
      <c r="Y50" s="199">
        <f t="shared" si="9"/>
        <v>234000000</v>
      </c>
      <c r="Z50" s="199">
        <f t="shared" si="9"/>
        <v>234000000</v>
      </c>
      <c r="AA50" s="205">
        <f t="shared" si="9"/>
        <v>234000000</v>
      </c>
      <c r="AB50" s="199">
        <f t="shared" si="9"/>
        <v>234000000</v>
      </c>
      <c r="AC50" s="448">
        <f t="shared" si="9"/>
        <v>341000000</v>
      </c>
      <c r="AE50" s="449">
        <f>SUM(F50:H50)</f>
        <v>40000000</v>
      </c>
      <c r="AF50" s="205">
        <f>SUM(I50:K50)</f>
        <v>194000000</v>
      </c>
      <c r="AG50" s="199">
        <f>SUM(L50:N50)</f>
        <v>0</v>
      </c>
      <c r="AH50" s="448">
        <f>SUM(O50:Q50)</f>
        <v>174000000</v>
      </c>
    </row>
    <row r="51" spans="2:34" ht="20.100000000000001" customHeight="1" x14ac:dyDescent="0.4">
      <c r="B51" s="443" t="s">
        <v>366</v>
      </c>
      <c r="C51" s="451" t="s">
        <v>375</v>
      </c>
      <c r="D51" s="445" t="s">
        <v>376</v>
      </c>
      <c r="E51" s="444" t="s">
        <v>376</v>
      </c>
      <c r="F51" s="205">
        <v>0</v>
      </c>
      <c r="G51" s="199">
        <v>162000000</v>
      </c>
      <c r="H51" s="205">
        <v>506000000</v>
      </c>
      <c r="I51" s="199">
        <v>142000000</v>
      </c>
      <c r="J51" s="205">
        <v>79000000</v>
      </c>
      <c r="K51" s="199">
        <v>0</v>
      </c>
      <c r="L51" s="199">
        <v>0</v>
      </c>
      <c r="M51" s="205">
        <v>0</v>
      </c>
      <c r="N51" s="199">
        <v>0</v>
      </c>
      <c r="O51" s="205">
        <v>363000000</v>
      </c>
      <c r="P51" s="199">
        <v>724900000</v>
      </c>
      <c r="Q51" s="205">
        <v>437000000</v>
      </c>
      <c r="R51" s="450">
        <f t="shared" si="0"/>
        <v>2413900000</v>
      </c>
      <c r="T51" s="447">
        <f t="shared" si="2"/>
        <v>162000000</v>
      </c>
      <c r="U51" s="199">
        <f t="shared" si="9"/>
        <v>668000000</v>
      </c>
      <c r="V51" s="205">
        <f t="shared" si="9"/>
        <v>810000000</v>
      </c>
      <c r="W51" s="199">
        <f t="shared" si="9"/>
        <v>889000000</v>
      </c>
      <c r="X51" s="205">
        <f t="shared" si="9"/>
        <v>889000000</v>
      </c>
      <c r="Y51" s="199">
        <f t="shared" si="9"/>
        <v>889000000</v>
      </c>
      <c r="Z51" s="199">
        <f t="shared" si="9"/>
        <v>889000000</v>
      </c>
      <c r="AA51" s="205">
        <f t="shared" si="9"/>
        <v>889000000</v>
      </c>
      <c r="AB51" s="199">
        <f t="shared" si="9"/>
        <v>1252000000</v>
      </c>
      <c r="AC51" s="448">
        <f t="shared" si="9"/>
        <v>1976900000</v>
      </c>
      <c r="AE51" s="449">
        <f t="shared" si="4"/>
        <v>668000000</v>
      </c>
      <c r="AF51" s="205">
        <f t="shared" si="5"/>
        <v>221000000</v>
      </c>
      <c r="AG51" s="199">
        <f t="shared" si="6"/>
        <v>0</v>
      </c>
      <c r="AH51" s="448">
        <f t="shared" si="7"/>
        <v>1524900000</v>
      </c>
    </row>
    <row r="52" spans="2:34" ht="20.100000000000001" customHeight="1" x14ac:dyDescent="0.4">
      <c r="B52" s="443" t="s">
        <v>366</v>
      </c>
      <c r="C52" s="451" t="s">
        <v>375</v>
      </c>
      <c r="D52" s="445" t="s">
        <v>377</v>
      </c>
      <c r="E52" s="444" t="s">
        <v>377</v>
      </c>
      <c r="F52" s="205">
        <v>0</v>
      </c>
      <c r="G52" s="199">
        <v>93750000</v>
      </c>
      <c r="H52" s="205">
        <v>361875000</v>
      </c>
      <c r="I52" s="199">
        <v>0</v>
      </c>
      <c r="J52" s="205">
        <v>93750000</v>
      </c>
      <c r="K52" s="199">
        <v>395625000</v>
      </c>
      <c r="L52" s="199">
        <v>0</v>
      </c>
      <c r="M52" s="205">
        <v>0</v>
      </c>
      <c r="N52" s="199">
        <v>0</v>
      </c>
      <c r="O52" s="205">
        <v>0</v>
      </c>
      <c r="P52" s="199">
        <v>234375000</v>
      </c>
      <c r="Q52" s="205">
        <v>234375000</v>
      </c>
      <c r="R52" s="450">
        <f t="shared" si="0"/>
        <v>1413750000</v>
      </c>
      <c r="T52" s="447">
        <f t="shared" si="2"/>
        <v>93750000</v>
      </c>
      <c r="U52" s="199">
        <f t="shared" si="9"/>
        <v>455625000</v>
      </c>
      <c r="V52" s="205">
        <f t="shared" si="9"/>
        <v>455625000</v>
      </c>
      <c r="W52" s="199">
        <f t="shared" si="9"/>
        <v>549375000</v>
      </c>
      <c r="X52" s="205">
        <f t="shared" si="9"/>
        <v>945000000</v>
      </c>
      <c r="Y52" s="199">
        <f t="shared" si="9"/>
        <v>945000000</v>
      </c>
      <c r="Z52" s="199">
        <f t="shared" si="9"/>
        <v>945000000</v>
      </c>
      <c r="AA52" s="205">
        <f t="shared" si="9"/>
        <v>945000000</v>
      </c>
      <c r="AB52" s="199">
        <f t="shared" si="9"/>
        <v>945000000</v>
      </c>
      <c r="AC52" s="448">
        <f t="shared" si="9"/>
        <v>1179375000</v>
      </c>
      <c r="AE52" s="449">
        <f t="shared" si="4"/>
        <v>455625000</v>
      </c>
      <c r="AF52" s="205">
        <f t="shared" si="5"/>
        <v>489375000</v>
      </c>
      <c r="AG52" s="199">
        <f t="shared" si="6"/>
        <v>0</v>
      </c>
      <c r="AH52" s="448">
        <f t="shared" si="7"/>
        <v>468750000</v>
      </c>
    </row>
    <row r="53" spans="2:34" ht="20.100000000000001" customHeight="1" x14ac:dyDescent="0.4">
      <c r="B53" s="443" t="s">
        <v>366</v>
      </c>
      <c r="C53" s="451" t="s">
        <v>375</v>
      </c>
      <c r="D53" s="445" t="s">
        <v>378</v>
      </c>
      <c r="E53" s="444" t="s">
        <v>378</v>
      </c>
      <c r="F53" s="205">
        <v>490500000</v>
      </c>
      <c r="G53" s="199">
        <v>766500000</v>
      </c>
      <c r="H53" s="205">
        <v>1666750000</v>
      </c>
      <c r="I53" s="199">
        <v>379000000</v>
      </c>
      <c r="J53" s="205">
        <v>183500000</v>
      </c>
      <c r="K53" s="199">
        <v>48000000</v>
      </c>
      <c r="L53" s="199">
        <v>306250000</v>
      </c>
      <c r="M53" s="205">
        <v>0</v>
      </c>
      <c r="N53" s="199">
        <v>0</v>
      </c>
      <c r="O53" s="205">
        <v>0</v>
      </c>
      <c r="P53" s="199">
        <v>720875000</v>
      </c>
      <c r="Q53" s="205">
        <v>257375000</v>
      </c>
      <c r="R53" s="450">
        <f t="shared" si="0"/>
        <v>4818750000</v>
      </c>
      <c r="T53" s="447">
        <f t="shared" si="2"/>
        <v>1257000000</v>
      </c>
      <c r="U53" s="199">
        <f t="shared" si="9"/>
        <v>2923750000</v>
      </c>
      <c r="V53" s="205">
        <f t="shared" si="9"/>
        <v>3302750000</v>
      </c>
      <c r="W53" s="199">
        <f t="shared" si="9"/>
        <v>3486250000</v>
      </c>
      <c r="X53" s="205">
        <f t="shared" si="9"/>
        <v>3534250000</v>
      </c>
      <c r="Y53" s="199">
        <f t="shared" si="9"/>
        <v>3840500000</v>
      </c>
      <c r="Z53" s="199">
        <f t="shared" si="9"/>
        <v>3840500000</v>
      </c>
      <c r="AA53" s="205">
        <f t="shared" si="9"/>
        <v>3840500000</v>
      </c>
      <c r="AB53" s="199">
        <f t="shared" si="9"/>
        <v>3840500000</v>
      </c>
      <c r="AC53" s="448">
        <f t="shared" si="9"/>
        <v>4561375000</v>
      </c>
      <c r="AE53" s="449">
        <f t="shared" si="4"/>
        <v>2923750000</v>
      </c>
      <c r="AF53" s="205">
        <f t="shared" si="5"/>
        <v>610500000</v>
      </c>
      <c r="AG53" s="199">
        <f t="shared" si="6"/>
        <v>306250000</v>
      </c>
      <c r="AH53" s="448">
        <f t="shared" si="7"/>
        <v>978250000</v>
      </c>
    </row>
    <row r="54" spans="2:34" ht="20.100000000000001" hidden="1" customHeight="1" x14ac:dyDescent="0.4">
      <c r="B54" s="443" t="s">
        <v>47</v>
      </c>
      <c r="C54" s="444" t="s">
        <v>314</v>
      </c>
      <c r="D54" s="445" t="s">
        <v>379</v>
      </c>
      <c r="E54" s="444" t="s">
        <v>379</v>
      </c>
      <c r="F54" s="205">
        <v>0</v>
      </c>
      <c r="G54" s="199">
        <v>0</v>
      </c>
      <c r="H54" s="205">
        <v>-100000000</v>
      </c>
      <c r="I54" s="199">
        <v>0</v>
      </c>
      <c r="J54" s="205">
        <v>0</v>
      </c>
      <c r="K54" s="199">
        <v>-100000000</v>
      </c>
      <c r="L54" s="199">
        <v>0</v>
      </c>
      <c r="M54" s="205">
        <v>0</v>
      </c>
      <c r="N54" s="199">
        <v>-100000000</v>
      </c>
      <c r="O54" s="205">
        <v>0</v>
      </c>
      <c r="P54" s="199">
        <v>0</v>
      </c>
      <c r="Q54" s="205">
        <v>-100000000</v>
      </c>
      <c r="R54" s="450">
        <f t="shared" si="0"/>
        <v>-400000000</v>
      </c>
      <c r="T54" s="447">
        <f t="shared" si="2"/>
        <v>0</v>
      </c>
      <c r="U54" s="199">
        <f t="shared" ref="U54:AC55" si="10">T54+H54</f>
        <v>-100000000</v>
      </c>
      <c r="V54" s="205">
        <f t="shared" si="10"/>
        <v>-100000000</v>
      </c>
      <c r="W54" s="199">
        <f t="shared" si="10"/>
        <v>-100000000</v>
      </c>
      <c r="X54" s="205">
        <f t="shared" si="10"/>
        <v>-200000000</v>
      </c>
      <c r="Y54" s="199">
        <f t="shared" si="10"/>
        <v>-200000000</v>
      </c>
      <c r="Z54" s="199">
        <f t="shared" si="10"/>
        <v>-200000000</v>
      </c>
      <c r="AA54" s="205">
        <f t="shared" si="10"/>
        <v>-300000000</v>
      </c>
      <c r="AB54" s="199">
        <f t="shared" si="10"/>
        <v>-300000000</v>
      </c>
      <c r="AC54" s="448">
        <f t="shared" si="10"/>
        <v>-300000000</v>
      </c>
      <c r="AE54" s="449">
        <f t="shared" si="4"/>
        <v>-100000000</v>
      </c>
      <c r="AF54" s="205">
        <f t="shared" si="5"/>
        <v>-100000000</v>
      </c>
      <c r="AG54" s="199">
        <f t="shared" si="6"/>
        <v>-100000000</v>
      </c>
      <c r="AH54" s="448">
        <f t="shared" si="7"/>
        <v>-100000000</v>
      </c>
    </row>
    <row r="55" spans="2:34" ht="20.100000000000001" hidden="1" customHeight="1" x14ac:dyDescent="0.4">
      <c r="B55" s="452" t="s">
        <v>47</v>
      </c>
      <c r="C55" s="453" t="s">
        <v>314</v>
      </c>
      <c r="D55" s="454" t="s">
        <v>380</v>
      </c>
      <c r="E55" s="453" t="s">
        <v>380</v>
      </c>
      <c r="F55" s="205">
        <v>0</v>
      </c>
      <c r="G55" s="199">
        <v>0</v>
      </c>
      <c r="H55" s="205">
        <v>-100000000</v>
      </c>
      <c r="I55" s="199">
        <v>0</v>
      </c>
      <c r="J55" s="205">
        <v>0</v>
      </c>
      <c r="K55" s="199">
        <v>-100000000</v>
      </c>
      <c r="L55" s="199">
        <v>0</v>
      </c>
      <c r="M55" s="205">
        <v>0</v>
      </c>
      <c r="N55" s="199">
        <v>-100000000</v>
      </c>
      <c r="O55" s="205">
        <v>0</v>
      </c>
      <c r="P55" s="199">
        <v>0</v>
      </c>
      <c r="Q55" s="205">
        <v>-100000000</v>
      </c>
      <c r="R55" s="455">
        <f t="shared" si="0"/>
        <v>-400000000</v>
      </c>
      <c r="T55" s="447">
        <f t="shared" si="2"/>
        <v>0</v>
      </c>
      <c r="U55" s="199">
        <f t="shared" si="10"/>
        <v>-100000000</v>
      </c>
      <c r="V55" s="205">
        <f t="shared" si="10"/>
        <v>-100000000</v>
      </c>
      <c r="W55" s="199">
        <f t="shared" si="10"/>
        <v>-100000000</v>
      </c>
      <c r="X55" s="205">
        <f t="shared" si="10"/>
        <v>-200000000</v>
      </c>
      <c r="Y55" s="199">
        <f t="shared" si="10"/>
        <v>-200000000</v>
      </c>
      <c r="Z55" s="199">
        <f t="shared" si="10"/>
        <v>-200000000</v>
      </c>
      <c r="AA55" s="205">
        <f t="shared" si="10"/>
        <v>-300000000</v>
      </c>
      <c r="AB55" s="199">
        <f t="shared" si="10"/>
        <v>-300000000</v>
      </c>
      <c r="AC55" s="448">
        <f t="shared" si="10"/>
        <v>-300000000</v>
      </c>
      <c r="AE55" s="449">
        <f t="shared" si="4"/>
        <v>-100000000</v>
      </c>
      <c r="AF55" s="205">
        <f t="shared" si="5"/>
        <v>-100000000</v>
      </c>
      <c r="AG55" s="199">
        <f t="shared" si="6"/>
        <v>-100000000</v>
      </c>
      <c r="AH55" s="448">
        <f t="shared" si="7"/>
        <v>-100000000</v>
      </c>
    </row>
    <row r="56" spans="2:34" ht="25.35" hidden="1" customHeight="1" x14ac:dyDescent="0.4">
      <c r="B56" s="456" t="s">
        <v>140</v>
      </c>
      <c r="C56" s="457"/>
      <c r="D56" s="457"/>
      <c r="E56" s="458"/>
      <c r="F56" s="459">
        <f t="shared" ref="F56:R56" si="11">SUM(F5:F55)</f>
        <v>19867920159.615776</v>
      </c>
      <c r="G56" s="460">
        <f t="shared" si="11"/>
        <v>26258908599.496876</v>
      </c>
      <c r="H56" s="461">
        <f t="shared" si="11"/>
        <v>44234092057.593971</v>
      </c>
      <c r="I56" s="460">
        <f t="shared" si="11"/>
        <v>23663556588.496353</v>
      </c>
      <c r="J56" s="461">
        <f t="shared" si="11"/>
        <v>32515275735.262043</v>
      </c>
      <c r="K56" s="460">
        <f t="shared" si="11"/>
        <v>52768861675.584381</v>
      </c>
      <c r="L56" s="460">
        <f t="shared" si="11"/>
        <v>22305236742.166309</v>
      </c>
      <c r="M56" s="461">
        <f t="shared" si="11"/>
        <v>38465806764.77256</v>
      </c>
      <c r="N56" s="460">
        <f t="shared" si="11"/>
        <v>55456450539.905037</v>
      </c>
      <c r="O56" s="461">
        <f t="shared" si="11"/>
        <v>30064536372.698879</v>
      </c>
      <c r="P56" s="460">
        <f t="shared" si="11"/>
        <v>39765129836.905792</v>
      </c>
      <c r="Q56" s="462">
        <f t="shared" si="11"/>
        <v>63158305399.364426</v>
      </c>
      <c r="R56" s="463">
        <f t="shared" si="11"/>
        <v>448524080471.86249</v>
      </c>
      <c r="T56" s="459">
        <f t="shared" ref="T56:AC56" si="12">SUM(T5:T55)</f>
        <v>46126828759.11264</v>
      </c>
      <c r="U56" s="460">
        <f t="shared" si="12"/>
        <v>90360920816.706635</v>
      </c>
      <c r="V56" s="461">
        <f t="shared" si="12"/>
        <v>114024477405.20296</v>
      </c>
      <c r="W56" s="460">
        <f t="shared" si="12"/>
        <v>146539753140.46503</v>
      </c>
      <c r="X56" s="461">
        <f t="shared" si="12"/>
        <v>199308614816.04938</v>
      </c>
      <c r="Y56" s="460">
        <f t="shared" si="12"/>
        <v>221613851558.21576</v>
      </c>
      <c r="Z56" s="460">
        <f t="shared" si="12"/>
        <v>260079658322.98831</v>
      </c>
      <c r="AA56" s="461">
        <f t="shared" si="12"/>
        <v>315536108862.89337</v>
      </c>
      <c r="AB56" s="460">
        <f t="shared" si="12"/>
        <v>345600645235.59222</v>
      </c>
      <c r="AC56" s="462">
        <f t="shared" si="12"/>
        <v>385365775072.49805</v>
      </c>
      <c r="AE56" s="464">
        <f t="shared" ref="AE56:AH56" si="13">SUM(AE5:AE55)</f>
        <v>90360920816.706635</v>
      </c>
      <c r="AF56" s="461">
        <f t="shared" si="13"/>
        <v>108947693999.34279</v>
      </c>
      <c r="AG56" s="460">
        <f t="shared" si="13"/>
        <v>116227494046.8439</v>
      </c>
      <c r="AH56" s="462">
        <f t="shared" si="13"/>
        <v>132987971608.96909</v>
      </c>
    </row>
    <row r="57" spans="2:34" ht="20.100000000000001" customHeight="1" x14ac:dyDescent="0.4">
      <c r="T57" s="205" t="b">
        <f>ROUND(T56,0)=ROUND(SUM($F$56:G$56),0)</f>
        <v>1</v>
      </c>
      <c r="U57" t="b">
        <f>ROUND(U56,0)=ROUND(SUM($F$56:H$56),0)</f>
        <v>1</v>
      </c>
      <c r="V57" t="b">
        <f>ROUND(V56,0)=ROUND(SUM($F$56:I$56),0)</f>
        <v>1</v>
      </c>
      <c r="W57" t="b">
        <f>ROUND(W56,0)=ROUND(SUM($F$56:J$56),0)</f>
        <v>1</v>
      </c>
      <c r="X57" t="b">
        <f>ROUND(X56,0)=ROUND(SUM($F$56:K$56),0)</f>
        <v>1</v>
      </c>
      <c r="Y57" t="b">
        <f>ROUND(Y56,0)=ROUND(SUM($F$56:L$56),0)</f>
        <v>1</v>
      </c>
      <c r="Z57" t="b">
        <f>ROUND(Z56,0)=ROUND(SUM($F$56:M$56),0)</f>
        <v>1</v>
      </c>
      <c r="AA57" t="b">
        <f>ROUND(AA56,0)=ROUND(SUM($F$56:N$56),0)</f>
        <v>1</v>
      </c>
      <c r="AB57" t="b">
        <f>ROUND(AB56,0)=ROUND(SUM($F$56:O$56),0)</f>
        <v>1</v>
      </c>
      <c r="AC57" t="b">
        <f>ROUND(AC56,0)=ROUND(SUM($F$56:P$56),0)</f>
        <v>1</v>
      </c>
      <c r="AE57" s="469" t="b">
        <f>ROUND(AE56,0)=ROUND(SUM(F56:H56),0)</f>
        <v>1</v>
      </c>
      <c r="AF57" s="469" t="b">
        <f>ROUND(AF56,0)=ROUND(SUM(I56:K56),0)</f>
        <v>1</v>
      </c>
      <c r="AG57" s="469" t="b">
        <f>ROUND(AG56,0)=ROUND(SUM(L56:N56),0)</f>
        <v>1</v>
      </c>
      <c r="AH57" s="469" t="b">
        <f>ROUND(AH56,0)=ROUND(SUM(O56:Q56),0)</f>
        <v>1</v>
      </c>
    </row>
    <row r="60" spans="2:34" x14ac:dyDescent="0.4">
      <c r="Q60" s="206"/>
    </row>
  </sheetData>
  <autoFilter ref="B4:AH56" xr:uid="{78A85B1D-8F5C-4FD2-AC4A-168AE19CD164}">
    <filterColumn colId="1">
      <filters>
        <filter val="CMO상업"/>
        <filter val="L&amp;P상업"/>
        <filter val="LCM상업"/>
        <filter val="PFS상업"/>
        <filter val="개발용역"/>
        <filter val="내재화상업"/>
      </filters>
    </filterColumn>
  </autoFilter>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FEF24-9D20-48E5-902A-4336018EA248}">
  <sheetPr codeName="Sheet11">
    <tabColor rgb="FF002060"/>
    <pageSetUpPr fitToPage="1"/>
  </sheetPr>
  <dimension ref="A1:AF82"/>
  <sheetViews>
    <sheetView showGridLines="0" view="pageBreakPreview" topLeftCell="A11" zoomScale="70" zoomScaleNormal="70" zoomScaleSheetLayoutView="70" workbookViewId="0">
      <selection activeCell="B23" sqref="B23:D26"/>
    </sheetView>
  </sheetViews>
  <sheetFormatPr defaultRowHeight="17.399999999999999" x14ac:dyDescent="0.4"/>
  <cols>
    <col min="1" max="1" width="1.09765625" customWidth="1"/>
    <col min="2" max="2" width="3.09765625" customWidth="1"/>
    <col min="3" max="3" width="12.59765625" customWidth="1"/>
    <col min="4" max="26" width="9.59765625" customWidth="1"/>
    <col min="27" max="27" width="1.5" customWidth="1"/>
    <col min="30" max="30" width="10" customWidth="1"/>
    <col min="31" max="31" width="1.59765625" customWidth="1"/>
    <col min="33" max="33" width="1.59765625" customWidth="1"/>
    <col min="34" max="34" width="3.59765625" customWidth="1"/>
    <col min="35" max="35" width="11.59765625" customWidth="1"/>
  </cols>
  <sheetData>
    <row r="1" spans="1:32" ht="54.75" customHeight="1" x14ac:dyDescent="0.4">
      <c r="A1" s="1130" t="s">
        <v>391</v>
      </c>
      <c r="B1" s="1130"/>
      <c r="C1" s="1130"/>
      <c r="D1" s="1130"/>
      <c r="E1" s="1130"/>
      <c r="F1" s="1130"/>
      <c r="G1" s="1130"/>
      <c r="H1" s="1130"/>
      <c r="I1" s="1130"/>
      <c r="J1" s="1130"/>
      <c r="K1" s="1130"/>
      <c r="L1" s="1130"/>
      <c r="M1" s="1130"/>
      <c r="N1" s="1130"/>
      <c r="O1" s="1130"/>
      <c r="P1" s="1130"/>
      <c r="Q1" s="1130"/>
      <c r="R1" s="1130"/>
      <c r="S1" s="1130"/>
      <c r="T1" s="1130"/>
      <c r="U1" s="1130"/>
      <c r="V1" s="1130"/>
      <c r="W1" s="1130"/>
      <c r="X1" s="1130"/>
      <c r="Y1" s="1130"/>
      <c r="Z1" s="1130"/>
      <c r="AA1" s="1130"/>
      <c r="AB1" s="1130"/>
      <c r="AC1" s="1130"/>
      <c r="AD1" s="1130"/>
    </row>
    <row r="2" spans="1:32" ht="22.5" customHeight="1" x14ac:dyDescent="0.4">
      <c r="A2" s="425"/>
      <c r="B2" s="425"/>
      <c r="C2" s="425"/>
      <c r="D2" s="425"/>
      <c r="E2" s="425"/>
      <c r="F2" s="425"/>
      <c r="G2" s="425"/>
      <c r="H2" s="425"/>
      <c r="I2" s="425"/>
      <c r="J2" s="425"/>
      <c r="K2" s="425"/>
      <c r="L2" s="425"/>
      <c r="M2" s="425"/>
      <c r="N2" s="425"/>
      <c r="O2" s="425"/>
      <c r="P2" s="425"/>
      <c r="Q2" s="425"/>
      <c r="R2" s="425"/>
      <c r="S2" s="425"/>
      <c r="T2" s="425"/>
      <c r="U2" s="425"/>
      <c r="V2" s="425"/>
      <c r="W2" s="425"/>
      <c r="X2" s="425"/>
      <c r="Y2" s="425"/>
      <c r="Z2" s="425"/>
      <c r="AA2" s="425"/>
      <c r="AB2" s="425"/>
      <c r="AC2" s="425"/>
      <c r="AD2" s="198" t="s">
        <v>392</v>
      </c>
    </row>
    <row r="3" spans="1:32" ht="27" customHeight="1" x14ac:dyDescent="0.4">
      <c r="A3" s="195" t="s">
        <v>393</v>
      </c>
      <c r="AD3" s="198"/>
    </row>
    <row r="4" spans="1:32" ht="18" thickBot="1" x14ac:dyDescent="0.45">
      <c r="AD4" s="190" t="s">
        <v>5</v>
      </c>
    </row>
    <row r="5" spans="1:32" ht="25.35" customHeight="1" thickTop="1" x14ac:dyDescent="0.4">
      <c r="A5" s="1131" t="s">
        <v>6</v>
      </c>
      <c r="B5" s="1132"/>
      <c r="C5" s="1133"/>
      <c r="D5" s="1140" t="s">
        <v>394</v>
      </c>
      <c r="E5" s="1143" t="s">
        <v>395</v>
      </c>
      <c r="F5" s="1146" t="s">
        <v>396</v>
      </c>
      <c r="G5" s="1147"/>
      <c r="H5" s="1148"/>
      <c r="I5" s="1149" t="s">
        <v>94</v>
      </c>
      <c r="J5" s="1150"/>
      <c r="K5" s="1150"/>
      <c r="L5" s="1150"/>
      <c r="M5" s="1150"/>
      <c r="N5" s="1150"/>
      <c r="O5" s="1150"/>
      <c r="P5" s="1150"/>
      <c r="Q5" s="1150"/>
      <c r="R5" s="1150"/>
      <c r="S5" s="1150"/>
      <c r="T5" s="1151"/>
      <c r="U5" s="1163" t="s">
        <v>397</v>
      </c>
      <c r="V5" s="1164"/>
      <c r="W5" s="1165"/>
      <c r="X5" s="1152" t="s">
        <v>169</v>
      </c>
      <c r="Y5" s="1152"/>
      <c r="Z5" s="1153"/>
      <c r="AA5" s="411"/>
      <c r="AB5" s="1154" t="s">
        <v>387</v>
      </c>
      <c r="AC5" s="1155"/>
      <c r="AD5" s="1156"/>
    </row>
    <row r="6" spans="1:32" ht="25.35" customHeight="1" x14ac:dyDescent="0.4">
      <c r="A6" s="1134"/>
      <c r="B6" s="1135"/>
      <c r="C6" s="1136"/>
      <c r="D6" s="1141"/>
      <c r="E6" s="1144"/>
      <c r="F6" s="1157" t="s">
        <v>398</v>
      </c>
      <c r="G6" s="1080" t="s">
        <v>11</v>
      </c>
      <c r="H6" s="1082" t="s">
        <v>12</v>
      </c>
      <c r="I6" s="1076" t="s">
        <v>73</v>
      </c>
      <c r="J6" s="1077"/>
      <c r="K6" s="1077"/>
      <c r="L6" s="1078" t="s">
        <v>161</v>
      </c>
      <c r="M6" s="1077"/>
      <c r="N6" s="1077"/>
      <c r="O6" s="1078" t="s">
        <v>96</v>
      </c>
      <c r="P6" s="1077"/>
      <c r="Q6" s="1079"/>
      <c r="R6" s="1078" t="s">
        <v>389</v>
      </c>
      <c r="S6" s="1077"/>
      <c r="T6" s="1079"/>
      <c r="U6" s="1157" t="s">
        <v>398</v>
      </c>
      <c r="V6" s="1080" t="s">
        <v>399</v>
      </c>
      <c r="W6" s="1170" t="s">
        <v>12</v>
      </c>
      <c r="X6" s="1074" t="s">
        <v>398</v>
      </c>
      <c r="Y6" s="1166" t="s">
        <v>399</v>
      </c>
      <c r="Z6" s="1168" t="s">
        <v>12</v>
      </c>
      <c r="AA6" s="411"/>
      <c r="AB6" s="1157" t="s">
        <v>398</v>
      </c>
      <c r="AC6" s="1159" t="s">
        <v>399</v>
      </c>
      <c r="AD6" s="1161" t="s">
        <v>12</v>
      </c>
    </row>
    <row r="7" spans="1:32" ht="25.35" customHeight="1" thickBot="1" x14ac:dyDescent="0.45">
      <c r="A7" s="1137"/>
      <c r="B7" s="1138"/>
      <c r="C7" s="1139"/>
      <c r="D7" s="1142"/>
      <c r="E7" s="1145"/>
      <c r="F7" s="1158"/>
      <c r="G7" s="1081"/>
      <c r="H7" s="1083"/>
      <c r="I7" s="412" t="s">
        <v>398</v>
      </c>
      <c r="J7" s="413" t="s">
        <v>11</v>
      </c>
      <c r="K7" s="414" t="s">
        <v>12</v>
      </c>
      <c r="L7" s="415" t="s">
        <v>398</v>
      </c>
      <c r="M7" s="413" t="s">
        <v>11</v>
      </c>
      <c r="N7" s="414" t="s">
        <v>12</v>
      </c>
      <c r="O7" s="415" t="s">
        <v>398</v>
      </c>
      <c r="P7" s="413" t="s">
        <v>399</v>
      </c>
      <c r="Q7" s="414" t="s">
        <v>12</v>
      </c>
      <c r="R7" s="416" t="s">
        <v>400</v>
      </c>
      <c r="S7" s="417" t="s">
        <v>399</v>
      </c>
      <c r="T7" s="418" t="s">
        <v>13</v>
      </c>
      <c r="U7" s="1158"/>
      <c r="V7" s="1081"/>
      <c r="W7" s="1171"/>
      <c r="X7" s="1075"/>
      <c r="Y7" s="1167"/>
      <c r="Z7" s="1169"/>
      <c r="AA7" s="411"/>
      <c r="AB7" s="1158"/>
      <c r="AC7" s="1160"/>
      <c r="AD7" s="1162"/>
    </row>
    <row r="8" spans="1:32" ht="29.25" customHeight="1" x14ac:dyDescent="0.4">
      <c r="A8" s="191"/>
      <c r="B8" s="1072" t="s">
        <v>14</v>
      </c>
      <c r="C8" s="1073"/>
      <c r="D8" s="220" t="e">
        <f>D9+D12+D15</f>
        <v>#REF!</v>
      </c>
      <c r="E8" s="221" t="e">
        <f>E9+E12+E15</f>
        <v>#REF!</v>
      </c>
      <c r="F8" s="222" t="e">
        <f>F9+F12+F15</f>
        <v>#REF!</v>
      </c>
      <c r="G8" s="223" t="e">
        <f t="shared" ref="G8:H8" si="0">G9+G12+G15</f>
        <v>#REF!</v>
      </c>
      <c r="H8" s="224" t="e">
        <f t="shared" si="0"/>
        <v>#REF!</v>
      </c>
      <c r="I8" s="225" t="e">
        <f>I9+I12+I15</f>
        <v>#REF!</v>
      </c>
      <c r="J8" s="226" t="e">
        <f t="shared" ref="J8" si="1">J9+J12+J15</f>
        <v>#REF!</v>
      </c>
      <c r="K8" s="227" t="e">
        <f>J8-I8</f>
        <v>#REF!</v>
      </c>
      <c r="L8" s="228" t="e">
        <f>L9+L12+L15</f>
        <v>#REF!</v>
      </c>
      <c r="M8" s="226" t="e">
        <f t="shared" ref="M8" si="2">M9+M12+M15</f>
        <v>#REF!</v>
      </c>
      <c r="N8" s="227" t="e">
        <f>M8-L8</f>
        <v>#REF!</v>
      </c>
      <c r="O8" s="228" t="e">
        <f>O9+O12+O15</f>
        <v>#REF!</v>
      </c>
      <c r="P8" s="226" t="e">
        <f t="shared" ref="P8" si="3">P9+P12+P15</f>
        <v>#REF!</v>
      </c>
      <c r="Q8" s="227" t="e">
        <f>P8-O8</f>
        <v>#REF!</v>
      </c>
      <c r="R8" s="229" t="e">
        <f>R9+R12+R15</f>
        <v>#REF!</v>
      </c>
      <c r="S8" s="226" t="e">
        <f t="shared" ref="S8" si="4">S9+S12+S15</f>
        <v>#REF!</v>
      </c>
      <c r="T8" s="230" t="e">
        <f>S8-R8</f>
        <v>#REF!</v>
      </c>
      <c r="U8" s="229" t="e">
        <f>U9+U12+U15</f>
        <v>#REF!</v>
      </c>
      <c r="V8" s="223" t="e">
        <f t="shared" ref="V8" si="5">V9+V12+V15</f>
        <v>#REF!</v>
      </c>
      <c r="W8" s="231" t="e">
        <f>V8-U8</f>
        <v>#REF!</v>
      </c>
      <c r="X8" s="229" t="e">
        <f>X9+X12+X15</f>
        <v>#REF!</v>
      </c>
      <c r="Y8" s="226" t="e">
        <f t="shared" ref="Y8" si="6">Y9+Y12+Y15</f>
        <v>#REF!</v>
      </c>
      <c r="Z8" s="232" t="e">
        <f>Y8-X8</f>
        <v>#REF!</v>
      </c>
      <c r="AA8" s="214"/>
      <c r="AB8" s="222" t="e">
        <f>AB9+AB12+AB15</f>
        <v>#REF!</v>
      </c>
      <c r="AC8" s="233" t="e">
        <f t="shared" ref="AC8" si="7">AC9+AC12+AC15</f>
        <v>#REF!</v>
      </c>
      <c r="AD8" s="232" t="e">
        <f>AC8-AB8</f>
        <v>#REF!</v>
      </c>
    </row>
    <row r="9" spans="1:32" ht="25.35" customHeight="1" x14ac:dyDescent="0.4">
      <c r="A9" s="191"/>
      <c r="B9" s="1084" t="s">
        <v>16</v>
      </c>
      <c r="C9" s="1085"/>
      <c r="D9" s="234">
        <f>SUM(D10:D11)</f>
        <v>549.53105600000004</v>
      </c>
      <c r="E9" s="235">
        <f>SUM(E10:E11)</f>
        <v>595.19047599999999</v>
      </c>
      <c r="F9" s="236" t="e">
        <f>SUM(F10:F11)</f>
        <v>#REF!</v>
      </c>
      <c r="G9" s="237" t="e">
        <f t="shared" ref="G9:H9" si="8">SUM(G10:G11)</f>
        <v>#REF!</v>
      </c>
      <c r="H9" s="238" t="e">
        <f t="shared" si="8"/>
        <v>#REF!</v>
      </c>
      <c r="I9" s="239" t="e">
        <f t="shared" ref="I9:P9" si="9">SUM(I10:I11)</f>
        <v>#REF!</v>
      </c>
      <c r="J9" s="240" t="e">
        <f t="shared" si="9"/>
        <v>#REF!</v>
      </c>
      <c r="K9" s="241" t="e">
        <f t="shared" ref="K9:K20" si="10">J9-I9</f>
        <v>#REF!</v>
      </c>
      <c r="L9" s="242" t="e">
        <f t="shared" si="9"/>
        <v>#REF!</v>
      </c>
      <c r="M9" s="240" t="e">
        <f t="shared" si="9"/>
        <v>#REF!</v>
      </c>
      <c r="N9" s="241" t="e">
        <f t="shared" ref="N9:N20" si="11">M9-L9</f>
        <v>#REF!</v>
      </c>
      <c r="O9" s="242" t="e">
        <f t="shared" si="9"/>
        <v>#REF!</v>
      </c>
      <c r="P9" s="240" t="e">
        <f t="shared" si="9"/>
        <v>#REF!</v>
      </c>
      <c r="Q9" s="241" t="e">
        <f t="shared" ref="Q9:Q20" si="12">P9-O9</f>
        <v>#REF!</v>
      </c>
      <c r="R9" s="238" t="e">
        <f t="shared" ref="R9:V9" si="13">SUM(R10:R11)</f>
        <v>#REF!</v>
      </c>
      <c r="S9" s="240" t="e">
        <f t="shared" si="13"/>
        <v>#REF!</v>
      </c>
      <c r="T9" s="243" t="e">
        <f t="shared" ref="T9:T20" si="14">S9-R9</f>
        <v>#REF!</v>
      </c>
      <c r="U9" s="238" t="e">
        <f t="shared" si="13"/>
        <v>#REF!</v>
      </c>
      <c r="V9" s="237" t="e">
        <f t="shared" si="13"/>
        <v>#REF!</v>
      </c>
      <c r="W9" s="244" t="e">
        <f t="shared" ref="W9:W20" si="15">V9-U9</f>
        <v>#REF!</v>
      </c>
      <c r="X9" s="238" t="e">
        <f t="shared" ref="X9:Y9" si="16">SUM(X10:X11)</f>
        <v>#REF!</v>
      </c>
      <c r="Y9" s="240" t="e">
        <f t="shared" si="16"/>
        <v>#REF!</v>
      </c>
      <c r="Z9" s="243" t="e">
        <f t="shared" ref="Z9:Z20" si="17">Y9-X9</f>
        <v>#REF!</v>
      </c>
      <c r="AA9" s="245"/>
      <c r="AB9" s="236" t="e">
        <f>SUM(AB10:AB11)</f>
        <v>#REF!</v>
      </c>
      <c r="AC9" s="246" t="e">
        <f t="shared" ref="AC9" si="18">SUM(AC10:AC11)</f>
        <v>#REF!</v>
      </c>
      <c r="AD9" s="247" t="e">
        <f t="shared" ref="AD9:AD20" si="19">AC9-AB9</f>
        <v>#REF!</v>
      </c>
    </row>
    <row r="10" spans="1:32" ht="25.35" customHeight="1" x14ac:dyDescent="0.4">
      <c r="A10" s="191"/>
      <c r="B10" s="1086"/>
      <c r="C10" s="419" t="s">
        <v>127</v>
      </c>
      <c r="D10" s="248">
        <v>529.03660160000004</v>
      </c>
      <c r="E10" s="249">
        <v>586.22558800000002</v>
      </c>
      <c r="F10" s="250" t="e">
        <f>#REF!+#REF!</f>
        <v>#REF!</v>
      </c>
      <c r="G10" s="251" t="e">
        <f>#REF!+#REF!</f>
        <v>#REF!</v>
      </c>
      <c r="H10" s="252" t="e">
        <f>G10-F10</f>
        <v>#REF!</v>
      </c>
      <c r="I10" s="253" t="e">
        <f>#REF!</f>
        <v>#REF!</v>
      </c>
      <c r="J10" s="254" t="e">
        <f>#REF!</f>
        <v>#REF!</v>
      </c>
      <c r="K10" s="255" t="e">
        <f t="shared" si="10"/>
        <v>#REF!</v>
      </c>
      <c r="L10" s="256" t="e">
        <f>#REF!</f>
        <v>#REF!</v>
      </c>
      <c r="M10" s="257" t="e">
        <f>#REF!</f>
        <v>#REF!</v>
      </c>
      <c r="N10" s="255" t="e">
        <f t="shared" si="11"/>
        <v>#REF!</v>
      </c>
      <c r="O10" s="256" t="e">
        <f>#REF!</f>
        <v>#REF!</v>
      </c>
      <c r="P10" s="254" t="e">
        <f>#REF!</f>
        <v>#REF!</v>
      </c>
      <c r="Q10" s="255" t="e">
        <f t="shared" si="12"/>
        <v>#REF!</v>
      </c>
      <c r="R10" s="258" t="e">
        <f>I10+L10+O10</f>
        <v>#REF!</v>
      </c>
      <c r="S10" s="259" t="e">
        <f>J10+M10+P10</f>
        <v>#REF!</v>
      </c>
      <c r="T10" s="260" t="e">
        <f t="shared" si="14"/>
        <v>#REF!</v>
      </c>
      <c r="U10" s="250" t="e">
        <f>R10+F10</f>
        <v>#REF!</v>
      </c>
      <c r="V10" s="251" t="e">
        <f>S10+G10</f>
        <v>#REF!</v>
      </c>
      <c r="W10" s="261" t="e">
        <f t="shared" si="15"/>
        <v>#REF!</v>
      </c>
      <c r="X10" s="258" t="e">
        <f>#REF!</f>
        <v>#REF!</v>
      </c>
      <c r="Y10" s="259" t="e">
        <f>#REF!</f>
        <v>#REF!</v>
      </c>
      <c r="Z10" s="260" t="e">
        <f t="shared" si="17"/>
        <v>#REF!</v>
      </c>
      <c r="AA10" s="214"/>
      <c r="AB10" s="250" t="e">
        <f>F10+R10+X10</f>
        <v>#REF!</v>
      </c>
      <c r="AC10" s="262" t="e">
        <f>G10+S10+Y10</f>
        <v>#REF!</v>
      </c>
      <c r="AD10" s="263" t="e">
        <f t="shared" si="19"/>
        <v>#REF!</v>
      </c>
    </row>
    <row r="11" spans="1:32" ht="25.35" customHeight="1" x14ac:dyDescent="0.4">
      <c r="A11" s="191"/>
      <c r="B11" s="1086"/>
      <c r="C11" s="420" t="s">
        <v>47</v>
      </c>
      <c r="D11" s="264">
        <v>20.494454400000002</v>
      </c>
      <c r="E11" s="265">
        <v>8.9648879999999984</v>
      </c>
      <c r="F11" s="266" t="e">
        <f>#REF!+#REF!</f>
        <v>#REF!</v>
      </c>
      <c r="G11" s="267" t="e">
        <f>#REF!+#REF!</f>
        <v>#REF!</v>
      </c>
      <c r="H11" s="268" t="e">
        <f>G11-F11</f>
        <v>#REF!</v>
      </c>
      <c r="I11" s="269" t="e">
        <f>#REF!</f>
        <v>#REF!</v>
      </c>
      <c r="J11" s="270" t="e">
        <f>#REF!</f>
        <v>#REF!</v>
      </c>
      <c r="K11" s="271" t="e">
        <f t="shared" si="10"/>
        <v>#REF!</v>
      </c>
      <c r="L11" s="272" t="e">
        <f>#REF!</f>
        <v>#REF!</v>
      </c>
      <c r="M11" s="270" t="e">
        <f>#REF!</f>
        <v>#REF!</v>
      </c>
      <c r="N11" s="271" t="e">
        <f t="shared" si="11"/>
        <v>#REF!</v>
      </c>
      <c r="O11" s="272" t="e">
        <f>#REF!</f>
        <v>#REF!</v>
      </c>
      <c r="P11" s="270" t="e">
        <f>#REF!</f>
        <v>#REF!</v>
      </c>
      <c r="Q11" s="271" t="e">
        <f t="shared" si="12"/>
        <v>#REF!</v>
      </c>
      <c r="R11" s="273" t="e">
        <f>I11+L11+O11</f>
        <v>#REF!</v>
      </c>
      <c r="S11" s="274" t="e">
        <f>J11+M11+P11</f>
        <v>#REF!</v>
      </c>
      <c r="T11" s="275" t="e">
        <f t="shared" si="14"/>
        <v>#REF!</v>
      </c>
      <c r="U11" s="266" t="e">
        <f>R11+F11</f>
        <v>#REF!</v>
      </c>
      <c r="V11" s="267" t="e">
        <f>S11+G11</f>
        <v>#REF!</v>
      </c>
      <c r="W11" s="276" t="e">
        <f t="shared" si="15"/>
        <v>#REF!</v>
      </c>
      <c r="X11" s="273" t="e">
        <f>#REF!</f>
        <v>#REF!</v>
      </c>
      <c r="Y11" s="274" t="e">
        <f>#REF!</f>
        <v>#REF!</v>
      </c>
      <c r="Z11" s="275" t="e">
        <f t="shared" si="17"/>
        <v>#REF!</v>
      </c>
      <c r="AA11" s="214"/>
      <c r="AB11" s="266" t="e">
        <f>F11+R11+X11</f>
        <v>#REF!</v>
      </c>
      <c r="AC11" s="277" t="e">
        <f>G11+S11+Y11</f>
        <v>#REF!</v>
      </c>
      <c r="AD11" s="278" t="e">
        <f t="shared" si="19"/>
        <v>#REF!</v>
      </c>
      <c r="AF11" s="5"/>
    </row>
    <row r="12" spans="1:32" ht="25.35" customHeight="1" x14ac:dyDescent="0.4">
      <c r="A12" s="191"/>
      <c r="B12" s="1084" t="s">
        <v>21</v>
      </c>
      <c r="C12" s="1085"/>
      <c r="D12" s="279">
        <f>SUM(D13:D14)</f>
        <v>75.481552700000009</v>
      </c>
      <c r="E12" s="280">
        <f>SUM(E13:E14)</f>
        <v>118.82992159999999</v>
      </c>
      <c r="F12" s="281" t="e">
        <f>SUM(F13:F14)</f>
        <v>#REF!</v>
      </c>
      <c r="G12" s="282" t="e">
        <f t="shared" ref="G12:H12" si="20">SUM(G13:G14)</f>
        <v>#REF!</v>
      </c>
      <c r="H12" s="283" t="e">
        <f t="shared" si="20"/>
        <v>#REF!</v>
      </c>
      <c r="I12" s="239" t="e">
        <f t="shared" ref="I12:P12" si="21">SUM(I13:I14)</f>
        <v>#REF!</v>
      </c>
      <c r="J12" s="240" t="e">
        <f t="shared" si="21"/>
        <v>#REF!</v>
      </c>
      <c r="K12" s="241" t="e">
        <f t="shared" si="10"/>
        <v>#REF!</v>
      </c>
      <c r="L12" s="242" t="e">
        <f t="shared" si="21"/>
        <v>#REF!</v>
      </c>
      <c r="M12" s="240" t="e">
        <f t="shared" si="21"/>
        <v>#REF!</v>
      </c>
      <c r="N12" s="241" t="e">
        <f t="shared" si="11"/>
        <v>#REF!</v>
      </c>
      <c r="O12" s="242" t="e">
        <f t="shared" si="21"/>
        <v>#REF!</v>
      </c>
      <c r="P12" s="240" t="e">
        <f t="shared" si="21"/>
        <v>#REF!</v>
      </c>
      <c r="Q12" s="241" t="e">
        <f t="shared" si="12"/>
        <v>#REF!</v>
      </c>
      <c r="R12" s="238" t="e">
        <f t="shared" ref="R12:V12" si="22">SUM(R13:R14)</f>
        <v>#REF!</v>
      </c>
      <c r="S12" s="284" t="e">
        <f t="shared" si="22"/>
        <v>#REF!</v>
      </c>
      <c r="T12" s="285" t="e">
        <f t="shared" si="14"/>
        <v>#REF!</v>
      </c>
      <c r="U12" s="238" t="e">
        <f t="shared" si="22"/>
        <v>#REF!</v>
      </c>
      <c r="V12" s="282" t="e">
        <f t="shared" si="22"/>
        <v>#REF!</v>
      </c>
      <c r="W12" s="286" t="e">
        <f t="shared" si="15"/>
        <v>#REF!</v>
      </c>
      <c r="X12" s="238" t="e">
        <f t="shared" ref="X12:Y12" si="23">SUM(X13:X14)</f>
        <v>#REF!</v>
      </c>
      <c r="Y12" s="284" t="e">
        <f t="shared" si="23"/>
        <v>#REF!</v>
      </c>
      <c r="Z12" s="285" t="e">
        <f t="shared" si="17"/>
        <v>#REF!</v>
      </c>
      <c r="AA12" s="245"/>
      <c r="AB12" s="281" t="e">
        <f>SUM(AB13:AB14)</f>
        <v>#REF!</v>
      </c>
      <c r="AC12" s="287" t="e">
        <f t="shared" ref="AC12" si="24">SUM(AC13:AC14)</f>
        <v>#REF!</v>
      </c>
      <c r="AD12" s="288" t="e">
        <f t="shared" si="19"/>
        <v>#REF!</v>
      </c>
      <c r="AF12" s="197" t="s">
        <v>401</v>
      </c>
    </row>
    <row r="13" spans="1:32" ht="25.35" customHeight="1" x14ac:dyDescent="0.4">
      <c r="A13" s="191"/>
      <c r="B13" s="1086"/>
      <c r="C13" s="421" t="s">
        <v>23</v>
      </c>
      <c r="D13" s="289">
        <v>65.199321700000013</v>
      </c>
      <c r="E13" s="249">
        <v>85.205764599999995</v>
      </c>
      <c r="F13" s="250" t="e">
        <f>#REF!+#REF!</f>
        <v>#REF!</v>
      </c>
      <c r="G13" s="251" t="e">
        <f>#REF!+#REF!</f>
        <v>#REF!</v>
      </c>
      <c r="H13" s="290" t="e">
        <f t="shared" ref="H13:H14" si="25">G13-F13</f>
        <v>#REF!</v>
      </c>
      <c r="I13" s="291" t="e">
        <f>#REF!</f>
        <v>#REF!</v>
      </c>
      <c r="J13" s="292" t="e">
        <f>#REF!</f>
        <v>#REF!</v>
      </c>
      <c r="K13" s="293" t="e">
        <f t="shared" si="10"/>
        <v>#REF!</v>
      </c>
      <c r="L13" s="294" t="e">
        <f>#REF!</f>
        <v>#REF!</v>
      </c>
      <c r="M13" s="292" t="e">
        <f>#REF!</f>
        <v>#REF!</v>
      </c>
      <c r="N13" s="293" t="e">
        <f t="shared" si="11"/>
        <v>#REF!</v>
      </c>
      <c r="O13" s="294" t="e">
        <f>#REF!</f>
        <v>#REF!</v>
      </c>
      <c r="P13" s="292" t="e">
        <f>#REF!</f>
        <v>#REF!</v>
      </c>
      <c r="Q13" s="293" t="e">
        <f t="shared" si="12"/>
        <v>#REF!</v>
      </c>
      <c r="R13" s="258" t="e">
        <f>I13+L13+O13</f>
        <v>#REF!</v>
      </c>
      <c r="S13" s="259" t="e">
        <f>J13+M13+P13</f>
        <v>#REF!</v>
      </c>
      <c r="T13" s="295" t="e">
        <f t="shared" si="14"/>
        <v>#REF!</v>
      </c>
      <c r="U13" s="250" t="e">
        <f>R13+F13</f>
        <v>#REF!</v>
      </c>
      <c r="V13" s="251" t="e">
        <f>S13+G13</f>
        <v>#REF!</v>
      </c>
      <c r="W13" s="296" t="e">
        <f t="shared" si="15"/>
        <v>#REF!</v>
      </c>
      <c r="X13" s="258" t="e">
        <f>#REF!</f>
        <v>#REF!</v>
      </c>
      <c r="Y13" s="259" t="e">
        <f>#REF!</f>
        <v>#REF!</v>
      </c>
      <c r="Z13" s="295" t="e">
        <f t="shared" si="17"/>
        <v>#REF!</v>
      </c>
      <c r="AA13" s="214"/>
      <c r="AB13" s="250" t="e">
        <f>F13+R13+X13</f>
        <v>#REF!</v>
      </c>
      <c r="AC13" s="262" t="e">
        <f>G13+S13+Y13</f>
        <v>#REF!</v>
      </c>
      <c r="AD13" s="297" t="e">
        <f t="shared" si="19"/>
        <v>#REF!</v>
      </c>
      <c r="AF13" t="s">
        <v>402</v>
      </c>
    </row>
    <row r="14" spans="1:32" ht="25.35" customHeight="1" x14ac:dyDescent="0.4">
      <c r="A14" s="191"/>
      <c r="B14" s="1086"/>
      <c r="C14" s="422" t="s">
        <v>22</v>
      </c>
      <c r="D14" s="298">
        <v>10.282230999999999</v>
      </c>
      <c r="E14" s="299">
        <v>33.624156999999997</v>
      </c>
      <c r="F14" s="300" t="e">
        <f>#REF!+#REF!</f>
        <v>#REF!</v>
      </c>
      <c r="G14" s="267" t="e">
        <f>#REF!+#REF!</f>
        <v>#REF!</v>
      </c>
      <c r="H14" s="301" t="e">
        <f t="shared" si="25"/>
        <v>#REF!</v>
      </c>
      <c r="I14" s="302" t="e">
        <f>#REF!</f>
        <v>#REF!</v>
      </c>
      <c r="J14" s="303" t="e">
        <f>#REF!</f>
        <v>#REF!</v>
      </c>
      <c r="K14" s="304" t="e">
        <f t="shared" si="10"/>
        <v>#REF!</v>
      </c>
      <c r="L14" s="305" t="e">
        <f>#REF!</f>
        <v>#REF!</v>
      </c>
      <c r="M14" s="303" t="e">
        <f>#REF!</f>
        <v>#REF!</v>
      </c>
      <c r="N14" s="304" t="e">
        <f t="shared" si="11"/>
        <v>#REF!</v>
      </c>
      <c r="O14" s="305" t="e">
        <f>#REF!</f>
        <v>#REF!</v>
      </c>
      <c r="P14" s="303" t="e">
        <f>#REF!</f>
        <v>#REF!</v>
      </c>
      <c r="Q14" s="304" t="e">
        <f t="shared" si="12"/>
        <v>#REF!</v>
      </c>
      <c r="R14" s="273" t="e">
        <f>I14+L14+O14</f>
        <v>#REF!</v>
      </c>
      <c r="S14" s="306" t="e">
        <f>J14+M14+P14</f>
        <v>#REF!</v>
      </c>
      <c r="T14" s="307" t="e">
        <f t="shared" si="14"/>
        <v>#REF!</v>
      </c>
      <c r="U14" s="266" t="e">
        <f>R14+F14</f>
        <v>#REF!</v>
      </c>
      <c r="V14" s="267" t="e">
        <f>S14+G14</f>
        <v>#REF!</v>
      </c>
      <c r="W14" s="308" t="e">
        <f t="shared" si="15"/>
        <v>#REF!</v>
      </c>
      <c r="X14" s="273" t="e">
        <f>#REF!</f>
        <v>#REF!</v>
      </c>
      <c r="Y14" s="306" t="e">
        <f>#REF!</f>
        <v>#REF!</v>
      </c>
      <c r="Z14" s="307" t="e">
        <f t="shared" si="17"/>
        <v>#REF!</v>
      </c>
      <c r="AA14" s="214"/>
      <c r="AB14" s="266" t="e">
        <f>F14+R14+X14</f>
        <v>#REF!</v>
      </c>
      <c r="AC14" s="277" t="e">
        <f>G14+S14+Y14</f>
        <v>#REF!</v>
      </c>
      <c r="AD14" s="309" t="e">
        <f t="shared" si="19"/>
        <v>#REF!</v>
      </c>
      <c r="AF14" t="s">
        <v>403</v>
      </c>
    </row>
    <row r="15" spans="1:32" ht="25.35" customHeight="1" x14ac:dyDescent="0.4">
      <c r="A15" s="191"/>
      <c r="B15" s="1084" t="s">
        <v>24</v>
      </c>
      <c r="C15" s="1085"/>
      <c r="D15" s="279" t="e">
        <f>SUM(D16:D20)</f>
        <v>#REF!</v>
      </c>
      <c r="E15" s="280" t="e">
        <f>SUM(E16:E20)</f>
        <v>#REF!</v>
      </c>
      <c r="F15" s="281" t="e">
        <f>SUM(F16:F20)</f>
        <v>#REF!</v>
      </c>
      <c r="G15" s="282" t="e">
        <f t="shared" ref="G15:H15" si="26">SUM(G16:G20)</f>
        <v>#REF!</v>
      </c>
      <c r="H15" s="283" t="e">
        <f t="shared" si="26"/>
        <v>#REF!</v>
      </c>
      <c r="I15" s="310" t="e">
        <f>SUM(I16:I20)</f>
        <v>#REF!</v>
      </c>
      <c r="J15" s="284" t="e">
        <f t="shared" ref="J15" si="27">SUM(J16:J20)</f>
        <v>#REF!</v>
      </c>
      <c r="K15" s="311" t="e">
        <f t="shared" si="10"/>
        <v>#REF!</v>
      </c>
      <c r="L15" s="312" t="e">
        <f>SUM(L16:L20)</f>
        <v>#REF!</v>
      </c>
      <c r="M15" s="284" t="e">
        <f t="shared" ref="M15" si="28">SUM(M16:M20)</f>
        <v>#REF!</v>
      </c>
      <c r="N15" s="311" t="e">
        <f t="shared" si="11"/>
        <v>#REF!</v>
      </c>
      <c r="O15" s="312" t="e">
        <f>SUM(O16:O20)</f>
        <v>#REF!</v>
      </c>
      <c r="P15" s="284" t="e">
        <f t="shared" ref="P15" si="29">SUM(P16:P20)</f>
        <v>#REF!</v>
      </c>
      <c r="Q15" s="311" t="e">
        <f t="shared" si="12"/>
        <v>#REF!</v>
      </c>
      <c r="R15" s="283" t="e">
        <f>SUM(R16:R20)</f>
        <v>#REF!</v>
      </c>
      <c r="S15" s="284" t="e">
        <f t="shared" ref="S15" si="30">SUM(S16:S20)</f>
        <v>#REF!</v>
      </c>
      <c r="T15" s="285" t="e">
        <f t="shared" si="14"/>
        <v>#REF!</v>
      </c>
      <c r="U15" s="283" t="e">
        <f>SUM(U16:U20)</f>
        <v>#REF!</v>
      </c>
      <c r="V15" s="282" t="e">
        <f t="shared" ref="V15" si="31">SUM(V16:V20)</f>
        <v>#REF!</v>
      </c>
      <c r="W15" s="286" t="e">
        <f t="shared" si="15"/>
        <v>#REF!</v>
      </c>
      <c r="X15" s="283" t="e">
        <f>SUM(X16:X20)</f>
        <v>#REF!</v>
      </c>
      <c r="Y15" s="284" t="e">
        <f t="shared" ref="Y15" si="32">SUM(Y16:Y20)</f>
        <v>#REF!</v>
      </c>
      <c r="Z15" s="285" t="e">
        <f t="shared" si="17"/>
        <v>#REF!</v>
      </c>
      <c r="AA15" s="245"/>
      <c r="AB15" s="281" t="e">
        <f>SUM(AB16:AB20)</f>
        <v>#REF!</v>
      </c>
      <c r="AC15" s="287" t="e">
        <f t="shared" ref="AC15" si="33">SUM(AC16:AC20)</f>
        <v>#REF!</v>
      </c>
      <c r="AD15" s="288" t="e">
        <f t="shared" si="19"/>
        <v>#REF!</v>
      </c>
      <c r="AF15" s="197" t="s">
        <v>404</v>
      </c>
    </row>
    <row r="16" spans="1:32" ht="25.35" customHeight="1" x14ac:dyDescent="0.4">
      <c r="A16" s="191"/>
      <c r="B16" s="1087"/>
      <c r="C16" s="421" t="s">
        <v>46</v>
      </c>
      <c r="D16" s="289">
        <v>29.709</v>
      </c>
      <c r="E16" s="249">
        <v>11.77</v>
      </c>
      <c r="F16" s="250" t="e">
        <f>#REF!+#REF!</f>
        <v>#REF!</v>
      </c>
      <c r="G16" s="251">
        <v>5.08</v>
      </c>
      <c r="H16" s="290" t="e">
        <f t="shared" ref="H16:H19" si="34">G16-F16</f>
        <v>#REF!</v>
      </c>
      <c r="I16" s="291" t="e">
        <f>#REF!</f>
        <v>#REF!</v>
      </c>
      <c r="J16" s="292" t="e">
        <f>#REF!</f>
        <v>#REF!</v>
      </c>
      <c r="K16" s="293" t="e">
        <f t="shared" si="10"/>
        <v>#REF!</v>
      </c>
      <c r="L16" s="294" t="e">
        <f>#REF!</f>
        <v>#REF!</v>
      </c>
      <c r="M16" s="292" t="e">
        <f>#REF!</f>
        <v>#REF!</v>
      </c>
      <c r="N16" s="293" t="e">
        <f t="shared" si="11"/>
        <v>#REF!</v>
      </c>
      <c r="O16" s="294" t="e">
        <f>#REF!</f>
        <v>#REF!</v>
      </c>
      <c r="P16" s="254" t="e">
        <f>#REF!</f>
        <v>#REF!</v>
      </c>
      <c r="Q16" s="293" t="e">
        <f t="shared" si="12"/>
        <v>#REF!</v>
      </c>
      <c r="R16" s="258" t="e">
        <f>I16+L16+O16</f>
        <v>#REF!</v>
      </c>
      <c r="S16" s="426" t="e">
        <f>J16+M16+P16</f>
        <v>#REF!</v>
      </c>
      <c r="T16" s="295" t="e">
        <f t="shared" si="14"/>
        <v>#REF!</v>
      </c>
      <c r="U16" s="250" t="e">
        <f>R16+F16</f>
        <v>#REF!</v>
      </c>
      <c r="V16" s="251" t="e">
        <f>S16+G16</f>
        <v>#REF!</v>
      </c>
      <c r="W16" s="296" t="e">
        <f t="shared" si="15"/>
        <v>#REF!</v>
      </c>
      <c r="X16" s="258" t="e">
        <f>#REF!</f>
        <v>#REF!</v>
      </c>
      <c r="Y16" s="259" t="e">
        <f>#REF!</f>
        <v>#REF!</v>
      </c>
      <c r="Z16" s="295" t="e">
        <f t="shared" si="17"/>
        <v>#REF!</v>
      </c>
      <c r="AA16" s="214"/>
      <c r="AB16" s="250" t="e">
        <f>F16+R16+X16</f>
        <v>#REF!</v>
      </c>
      <c r="AC16" s="262" t="e">
        <f>G16+S16+Y16</f>
        <v>#REF!</v>
      </c>
      <c r="AD16" s="263" t="e">
        <f t="shared" si="19"/>
        <v>#REF!</v>
      </c>
      <c r="AF16" t="s">
        <v>405</v>
      </c>
    </row>
    <row r="17" spans="1:32" ht="25.35" customHeight="1" x14ac:dyDescent="0.4">
      <c r="A17" s="191"/>
      <c r="B17" s="1087"/>
      <c r="C17" s="423" t="s">
        <v>26</v>
      </c>
      <c r="D17" s="313">
        <v>27.535000000000004</v>
      </c>
      <c r="E17" s="314">
        <v>19.098750000000003</v>
      </c>
      <c r="F17" s="315" t="e">
        <f>#REF!+#REF!</f>
        <v>#REF!</v>
      </c>
      <c r="G17" s="316">
        <v>7.4675000000000002</v>
      </c>
      <c r="H17" s="317" t="e">
        <f t="shared" si="34"/>
        <v>#REF!</v>
      </c>
      <c r="I17" s="318" t="e">
        <f>#REF!</f>
        <v>#REF!</v>
      </c>
      <c r="J17" s="319" t="e">
        <f>#REF!</f>
        <v>#REF!</v>
      </c>
      <c r="K17" s="320" t="e">
        <f t="shared" si="10"/>
        <v>#REF!</v>
      </c>
      <c r="L17" s="321" t="e">
        <f>#REF!</f>
        <v>#REF!</v>
      </c>
      <c r="M17" s="319" t="e">
        <f>#REF!</f>
        <v>#REF!</v>
      </c>
      <c r="N17" s="320" t="e">
        <f t="shared" si="11"/>
        <v>#REF!</v>
      </c>
      <c r="O17" s="321" t="e">
        <f>#REF!</f>
        <v>#REF!</v>
      </c>
      <c r="P17" s="330" t="e">
        <f>#REF!</f>
        <v>#REF!</v>
      </c>
      <c r="Q17" s="320" t="e">
        <f t="shared" si="12"/>
        <v>#REF!</v>
      </c>
      <c r="R17" s="322" t="e">
        <f t="shared" ref="R17:S20" si="35">I17+L17+O17</f>
        <v>#REF!</v>
      </c>
      <c r="S17" s="427" t="e">
        <f t="shared" si="35"/>
        <v>#REF!</v>
      </c>
      <c r="T17" s="324" t="e">
        <f t="shared" si="14"/>
        <v>#REF!</v>
      </c>
      <c r="U17" s="315" t="e">
        <f t="shared" ref="U17:U20" si="36">R17+F17</f>
        <v>#REF!</v>
      </c>
      <c r="V17" s="316" t="e">
        <f t="shared" ref="V17:V20" si="37">S17+G17</f>
        <v>#REF!</v>
      </c>
      <c r="W17" s="325" t="e">
        <f t="shared" si="15"/>
        <v>#REF!</v>
      </c>
      <c r="X17" s="322" t="e">
        <f>#REF!</f>
        <v>#REF!</v>
      </c>
      <c r="Y17" s="323" t="e">
        <f>#REF!</f>
        <v>#REF!</v>
      </c>
      <c r="Z17" s="324" t="e">
        <f t="shared" si="17"/>
        <v>#REF!</v>
      </c>
      <c r="AA17" s="214"/>
      <c r="AB17" s="315" t="e">
        <f t="shared" ref="AB17:AB20" si="38">F17+R17+X17</f>
        <v>#REF!</v>
      </c>
      <c r="AC17" s="326" t="e">
        <f t="shared" ref="AC17:AC20" si="39">G17+S17+Y17</f>
        <v>#REF!</v>
      </c>
      <c r="AD17" s="327" t="e">
        <f t="shared" si="19"/>
        <v>#REF!</v>
      </c>
      <c r="AF17" t="s">
        <v>406</v>
      </c>
    </row>
    <row r="18" spans="1:32" ht="25.35" customHeight="1" x14ac:dyDescent="0.4">
      <c r="A18" s="191"/>
      <c r="B18" s="1087"/>
      <c r="C18" s="423" t="s">
        <v>25</v>
      </c>
      <c r="D18" s="313">
        <v>75.070822480000004</v>
      </c>
      <c r="E18" s="314">
        <v>30.988331480000006</v>
      </c>
      <c r="F18" s="315" t="e">
        <f>#REF!+#REF!</f>
        <v>#REF!</v>
      </c>
      <c r="G18" s="316">
        <v>12.22566574</v>
      </c>
      <c r="H18" s="328" t="e">
        <f t="shared" si="34"/>
        <v>#REF!</v>
      </c>
      <c r="I18" s="329" t="e">
        <f>#REF!</f>
        <v>#REF!</v>
      </c>
      <c r="J18" s="330" t="e">
        <f>#REF!</f>
        <v>#REF!</v>
      </c>
      <c r="K18" s="331" t="e">
        <f t="shared" si="10"/>
        <v>#REF!</v>
      </c>
      <c r="L18" s="332" t="e">
        <f>#REF!</f>
        <v>#REF!</v>
      </c>
      <c r="M18" s="330" t="e">
        <f>#REF!</f>
        <v>#REF!</v>
      </c>
      <c r="N18" s="331" t="e">
        <f t="shared" si="11"/>
        <v>#REF!</v>
      </c>
      <c r="O18" s="332" t="e">
        <f>#REF!</f>
        <v>#REF!</v>
      </c>
      <c r="P18" s="330" t="e">
        <f>#REF!</f>
        <v>#REF!</v>
      </c>
      <c r="Q18" s="333" t="e">
        <f t="shared" si="12"/>
        <v>#REF!</v>
      </c>
      <c r="R18" s="322" t="e">
        <f t="shared" si="35"/>
        <v>#REF!</v>
      </c>
      <c r="S18" s="427" t="e">
        <f t="shared" si="35"/>
        <v>#REF!</v>
      </c>
      <c r="T18" s="324" t="e">
        <f t="shared" si="14"/>
        <v>#REF!</v>
      </c>
      <c r="U18" s="315" t="e">
        <f t="shared" si="36"/>
        <v>#REF!</v>
      </c>
      <c r="V18" s="316" t="e">
        <f t="shared" si="37"/>
        <v>#REF!</v>
      </c>
      <c r="W18" s="334" t="e">
        <f t="shared" si="15"/>
        <v>#REF!</v>
      </c>
      <c r="X18" s="322" t="e">
        <f>#REF!</f>
        <v>#REF!</v>
      </c>
      <c r="Y18" s="323" t="e">
        <f>#REF!</f>
        <v>#REF!</v>
      </c>
      <c r="Z18" s="324" t="e">
        <f t="shared" si="17"/>
        <v>#REF!</v>
      </c>
      <c r="AA18" s="214"/>
      <c r="AB18" s="315" t="e">
        <f t="shared" si="38"/>
        <v>#REF!</v>
      </c>
      <c r="AC18" s="326" t="e">
        <f t="shared" si="39"/>
        <v>#REF!</v>
      </c>
      <c r="AD18" s="335" t="e">
        <f t="shared" si="19"/>
        <v>#REF!</v>
      </c>
      <c r="AF18" t="s">
        <v>407</v>
      </c>
    </row>
    <row r="19" spans="1:32" ht="25.35" customHeight="1" x14ac:dyDescent="0.4">
      <c r="A19" s="191"/>
      <c r="B19" s="1087"/>
      <c r="C19" s="424" t="s">
        <v>18</v>
      </c>
      <c r="D19" s="336">
        <v>11.9</v>
      </c>
      <c r="E19" s="337">
        <v>5.9499999999999993</v>
      </c>
      <c r="F19" s="338" t="e">
        <f>#REF!+#REF!</f>
        <v>#REF!</v>
      </c>
      <c r="G19" s="339">
        <v>27.006250000000001</v>
      </c>
      <c r="H19" s="340" t="e">
        <f t="shared" si="34"/>
        <v>#REF!</v>
      </c>
      <c r="I19" s="341" t="e">
        <f>#REF!</f>
        <v>#REF!</v>
      </c>
      <c r="J19" s="342" t="e">
        <f>#REF!</f>
        <v>#REF!</v>
      </c>
      <c r="K19" s="343" t="e">
        <f t="shared" si="10"/>
        <v>#REF!</v>
      </c>
      <c r="L19" s="344" t="e">
        <f>#REF!</f>
        <v>#REF!</v>
      </c>
      <c r="M19" s="345" t="e">
        <f>#REF!-0.27252</f>
        <v>#REF!</v>
      </c>
      <c r="N19" s="343" t="e">
        <f t="shared" si="11"/>
        <v>#REF!</v>
      </c>
      <c r="O19" s="344" t="e">
        <f>#REF!</f>
        <v>#REF!</v>
      </c>
      <c r="P19" s="430" t="e">
        <f>#REF!</f>
        <v>#REF!</v>
      </c>
      <c r="Q19" s="343" t="e">
        <f t="shared" si="12"/>
        <v>#REF!</v>
      </c>
      <c r="R19" s="346" t="e">
        <f t="shared" si="35"/>
        <v>#REF!</v>
      </c>
      <c r="S19" s="428" t="e">
        <f t="shared" si="35"/>
        <v>#REF!</v>
      </c>
      <c r="T19" s="348" t="e">
        <f t="shared" si="14"/>
        <v>#REF!</v>
      </c>
      <c r="U19" s="338" t="e">
        <f t="shared" si="36"/>
        <v>#REF!</v>
      </c>
      <c r="V19" s="339" t="e">
        <f t="shared" si="37"/>
        <v>#REF!</v>
      </c>
      <c r="W19" s="349" t="e">
        <f t="shared" si="15"/>
        <v>#REF!</v>
      </c>
      <c r="X19" s="346" t="e">
        <f>#REF!</f>
        <v>#REF!</v>
      </c>
      <c r="Y19" s="347" t="e">
        <f>#REF!</f>
        <v>#REF!</v>
      </c>
      <c r="Z19" s="348" t="e">
        <f t="shared" si="17"/>
        <v>#REF!</v>
      </c>
      <c r="AA19" s="214"/>
      <c r="AB19" s="338" t="e">
        <f t="shared" si="38"/>
        <v>#REF!</v>
      </c>
      <c r="AC19" s="350" t="e">
        <f t="shared" si="39"/>
        <v>#REF!</v>
      </c>
      <c r="AD19" s="351" t="e">
        <f t="shared" si="19"/>
        <v>#REF!</v>
      </c>
      <c r="AF19" t="s">
        <v>408</v>
      </c>
    </row>
    <row r="20" spans="1:32" ht="25.35" customHeight="1" thickBot="1" x14ac:dyDescent="0.45">
      <c r="A20" s="192"/>
      <c r="B20" s="1088"/>
      <c r="C20" s="193" t="s">
        <v>388</v>
      </c>
      <c r="D20" s="352" t="e">
        <f>W39</f>
        <v>#REF!</v>
      </c>
      <c r="E20" s="353" t="e">
        <f>AB20</f>
        <v>#REF!</v>
      </c>
      <c r="F20" s="354" t="e">
        <f>SUM(#REF!)/10^8</f>
        <v>#REF!</v>
      </c>
      <c r="G20" s="355" t="e">
        <f>L39</f>
        <v>#REF!</v>
      </c>
      <c r="H20" s="356" t="e">
        <f>G20-F20</f>
        <v>#REF!</v>
      </c>
      <c r="I20" s="357" t="e">
        <f>#REF!/10^8</f>
        <v>#REF!</v>
      </c>
      <c r="J20" s="358" t="e">
        <f>#REF!/10^8</f>
        <v>#REF!</v>
      </c>
      <c r="K20" s="359" t="e">
        <f t="shared" si="10"/>
        <v>#REF!</v>
      </c>
      <c r="L20" s="360" t="e">
        <f>#REF!/10^8</f>
        <v>#REF!</v>
      </c>
      <c r="M20" s="358" t="e">
        <f>#REF!</f>
        <v>#REF!</v>
      </c>
      <c r="N20" s="359" t="e">
        <f t="shared" si="11"/>
        <v>#REF!</v>
      </c>
      <c r="O20" s="360" t="e">
        <f>#REF!/10^8</f>
        <v>#REF!</v>
      </c>
      <c r="P20" s="431" t="e">
        <f>#REF!</f>
        <v>#REF!</v>
      </c>
      <c r="Q20" s="359" t="e">
        <f t="shared" si="12"/>
        <v>#REF!</v>
      </c>
      <c r="R20" s="361" t="e">
        <f t="shared" si="35"/>
        <v>#REF!</v>
      </c>
      <c r="S20" s="429" t="e">
        <f t="shared" si="35"/>
        <v>#REF!</v>
      </c>
      <c r="T20" s="362" t="e">
        <f t="shared" si="14"/>
        <v>#REF!</v>
      </c>
      <c r="U20" s="363" t="e">
        <f t="shared" si="36"/>
        <v>#REF!</v>
      </c>
      <c r="V20" s="364" t="e">
        <f t="shared" si="37"/>
        <v>#REF!</v>
      </c>
      <c r="W20" s="365" t="e">
        <f t="shared" si="15"/>
        <v>#REF!</v>
      </c>
      <c r="X20" s="366" t="e">
        <f>SUM(#REF!)/10^8</f>
        <v>#REF!</v>
      </c>
      <c r="Y20" s="367" t="e">
        <f>X20</f>
        <v>#REF!</v>
      </c>
      <c r="Z20" s="368" t="e">
        <f t="shared" si="17"/>
        <v>#REF!</v>
      </c>
      <c r="AA20" s="214"/>
      <c r="AB20" s="354" t="e">
        <f t="shared" si="38"/>
        <v>#REF!</v>
      </c>
      <c r="AC20" s="369" t="e">
        <f t="shared" si="39"/>
        <v>#REF!</v>
      </c>
      <c r="AD20" s="370" t="e">
        <f t="shared" si="19"/>
        <v>#REF!</v>
      </c>
    </row>
    <row r="21" spans="1:32" ht="22.5" customHeight="1" x14ac:dyDescent="0.4">
      <c r="B21" t="s">
        <v>409</v>
      </c>
    </row>
    <row r="22" spans="1:32" ht="31.5" customHeight="1" thickBot="1" x14ac:dyDescent="0.4">
      <c r="A22" s="195" t="s">
        <v>410</v>
      </c>
      <c r="Z22" s="196" t="s">
        <v>5</v>
      </c>
      <c r="AD22" s="196"/>
      <c r="AF22" s="197" t="s">
        <v>411</v>
      </c>
    </row>
    <row r="23" spans="1:32" ht="30.75" customHeight="1" thickBot="1" x14ac:dyDescent="0.45">
      <c r="B23" s="1105" t="s">
        <v>6</v>
      </c>
      <c r="C23" s="1106"/>
      <c r="D23" s="1107"/>
      <c r="E23" s="1093" t="s">
        <v>396</v>
      </c>
      <c r="F23" s="1094"/>
      <c r="G23" s="1094"/>
      <c r="H23" s="1094"/>
      <c r="I23" s="1094"/>
      <c r="J23" s="1094"/>
      <c r="K23" s="1095"/>
      <c r="L23" s="1095"/>
      <c r="M23" s="1096"/>
      <c r="N23" s="1093" t="s">
        <v>412</v>
      </c>
      <c r="O23" s="1094"/>
      <c r="P23" s="1094"/>
      <c r="Q23" s="1094"/>
      <c r="R23" s="1094"/>
      <c r="S23" s="1094"/>
      <c r="T23" s="1095"/>
      <c r="U23" s="1095"/>
      <c r="V23" s="1096"/>
      <c r="W23" s="1097" t="s">
        <v>413</v>
      </c>
      <c r="X23" s="1095"/>
      <c r="Y23" s="1095"/>
      <c r="Z23" s="1096"/>
    </row>
    <row r="24" spans="1:32" ht="30.75" customHeight="1" x14ac:dyDescent="0.4">
      <c r="B24" s="1108"/>
      <c r="C24" s="1109"/>
      <c r="D24" s="1110"/>
      <c r="E24" s="1101" t="s">
        <v>1</v>
      </c>
      <c r="F24" s="1101"/>
      <c r="G24" s="1101"/>
      <c r="H24" s="1101" t="s">
        <v>150</v>
      </c>
      <c r="I24" s="1101"/>
      <c r="J24" s="1101"/>
      <c r="K24" s="1102" t="s">
        <v>396</v>
      </c>
      <c r="L24" s="1102"/>
      <c r="M24" s="1102"/>
      <c r="N24" s="1101" t="s">
        <v>94</v>
      </c>
      <c r="O24" s="1101"/>
      <c r="P24" s="1101"/>
      <c r="Q24" s="1172" t="s">
        <v>169</v>
      </c>
      <c r="R24" s="1173"/>
      <c r="S24" s="1174"/>
      <c r="T24" s="1098" t="s">
        <v>412</v>
      </c>
      <c r="U24" s="1099"/>
      <c r="V24" s="1100"/>
      <c r="W24" s="1098"/>
      <c r="X24" s="1099"/>
      <c r="Y24" s="1099"/>
      <c r="Z24" s="1100"/>
    </row>
    <row r="25" spans="1:32" ht="21" customHeight="1" x14ac:dyDescent="0.4">
      <c r="B25" s="1108"/>
      <c r="C25" s="1109"/>
      <c r="D25" s="1110"/>
      <c r="E25" s="1089" t="s">
        <v>394</v>
      </c>
      <c r="F25" s="1091" t="s">
        <v>386</v>
      </c>
      <c r="G25" s="1199" t="s">
        <v>12</v>
      </c>
      <c r="H25" s="1089" t="s">
        <v>394</v>
      </c>
      <c r="I25" s="1091" t="s">
        <v>386</v>
      </c>
      <c r="J25" s="1199" t="s">
        <v>12</v>
      </c>
      <c r="K25" s="1089" t="s">
        <v>394</v>
      </c>
      <c r="L25" s="1091" t="s">
        <v>386</v>
      </c>
      <c r="M25" s="1199" t="s">
        <v>12</v>
      </c>
      <c r="N25" s="1089" t="s">
        <v>394</v>
      </c>
      <c r="O25" s="1091" t="s">
        <v>414</v>
      </c>
      <c r="P25" s="1199" t="s">
        <v>12</v>
      </c>
      <c r="Q25" s="1089" t="s">
        <v>394</v>
      </c>
      <c r="R25" s="1091" t="s">
        <v>414</v>
      </c>
      <c r="S25" s="1199" t="s">
        <v>12</v>
      </c>
      <c r="T25" s="1089" t="s">
        <v>394</v>
      </c>
      <c r="U25" s="1091" t="s">
        <v>414</v>
      </c>
      <c r="V25" s="1199" t="s">
        <v>12</v>
      </c>
      <c r="W25" s="1089" t="s">
        <v>394</v>
      </c>
      <c r="X25" s="1091" t="s">
        <v>414</v>
      </c>
      <c r="Y25" s="1195" t="s">
        <v>12</v>
      </c>
      <c r="Z25" s="1103" t="s">
        <v>390</v>
      </c>
    </row>
    <row r="26" spans="1:32" ht="21" customHeight="1" thickBot="1" x14ac:dyDescent="0.45">
      <c r="B26" s="1111"/>
      <c r="C26" s="1112"/>
      <c r="D26" s="1113"/>
      <c r="E26" s="1090"/>
      <c r="F26" s="1092"/>
      <c r="G26" s="1200"/>
      <c r="H26" s="1090"/>
      <c r="I26" s="1092"/>
      <c r="J26" s="1200"/>
      <c r="K26" s="1090"/>
      <c r="L26" s="1092"/>
      <c r="M26" s="1200"/>
      <c r="N26" s="1090"/>
      <c r="O26" s="1092"/>
      <c r="P26" s="1200"/>
      <c r="Q26" s="1090"/>
      <c r="R26" s="1092"/>
      <c r="S26" s="1200"/>
      <c r="T26" s="1090"/>
      <c r="U26" s="1092"/>
      <c r="V26" s="1200"/>
      <c r="W26" s="1090"/>
      <c r="X26" s="1092"/>
      <c r="Y26" s="1196"/>
      <c r="Z26" s="1104"/>
    </row>
    <row r="27" spans="1:32" ht="25.35" customHeight="1" x14ac:dyDescent="0.4">
      <c r="B27" s="201"/>
      <c r="C27" s="1072" t="s">
        <v>14</v>
      </c>
      <c r="D27" s="1073"/>
      <c r="E27" s="371" t="e">
        <f>E28+E31+E34</f>
        <v>#REF!</v>
      </c>
      <c r="F27" s="226" t="e">
        <f t="shared" ref="F27" si="40">F28+F31+F34</f>
        <v>#REF!</v>
      </c>
      <c r="G27" s="372" t="e">
        <f>F27-E27</f>
        <v>#REF!</v>
      </c>
      <c r="H27" s="371" t="e">
        <f>H28+H31+H34</f>
        <v>#REF!</v>
      </c>
      <c r="I27" s="226" t="e">
        <f t="shared" ref="I27" si="41">I28+I31+I34</f>
        <v>#REF!</v>
      </c>
      <c r="J27" s="407" t="e">
        <f>I27-H27</f>
        <v>#REF!</v>
      </c>
      <c r="K27" s="371" t="e">
        <f>K28+K31+K34</f>
        <v>#REF!</v>
      </c>
      <c r="L27" s="226" t="e">
        <f t="shared" ref="L27" si="42">L28+L31+L34</f>
        <v>#REF!</v>
      </c>
      <c r="M27" s="372" t="e">
        <f>L27-K27</f>
        <v>#REF!</v>
      </c>
      <c r="N27" s="371" t="e">
        <f>N28+N31+N34</f>
        <v>#REF!</v>
      </c>
      <c r="O27" s="226" t="e">
        <f t="shared" ref="O27" si="43">O28+O31+O34</f>
        <v>#REF!</v>
      </c>
      <c r="P27" s="230" t="e">
        <f>O27-N27</f>
        <v>#REF!</v>
      </c>
      <c r="Q27" s="371" t="e">
        <f>Q28+Q31+Q34</f>
        <v>#REF!</v>
      </c>
      <c r="R27" s="226" t="e">
        <f t="shared" ref="R27" si="44">R28+R31+R34</f>
        <v>#REF!</v>
      </c>
      <c r="S27" s="372" t="e">
        <f>R27-Q27</f>
        <v>#REF!</v>
      </c>
      <c r="T27" s="371" t="e">
        <f>T28+T31+T34</f>
        <v>#REF!</v>
      </c>
      <c r="U27" s="226" t="e">
        <f t="shared" ref="U27" si="45">U28+U31+U34</f>
        <v>#REF!</v>
      </c>
      <c r="V27" s="407" t="e">
        <f>U27-T27</f>
        <v>#REF!</v>
      </c>
      <c r="W27" s="371" t="e">
        <f>W28+W31+W34</f>
        <v>#REF!</v>
      </c>
      <c r="X27" s="226" t="e">
        <f t="shared" ref="X27" si="46">X28+X31+X34</f>
        <v>#REF!</v>
      </c>
      <c r="Y27" s="373" t="e">
        <f>X27-W27</f>
        <v>#REF!</v>
      </c>
      <c r="Z27" s="374" t="e">
        <f>X27/W27-1</f>
        <v>#REF!</v>
      </c>
    </row>
    <row r="28" spans="1:32" ht="25.35" customHeight="1" x14ac:dyDescent="0.4">
      <c r="B28" s="201"/>
      <c r="C28" s="1197" t="s">
        <v>16</v>
      </c>
      <c r="D28" s="1198"/>
      <c r="E28" s="375" t="e">
        <f t="shared" ref="E28:F28" si="47">SUM(E29:E30)</f>
        <v>#REF!</v>
      </c>
      <c r="F28" s="240" t="e">
        <f t="shared" si="47"/>
        <v>#REF!</v>
      </c>
      <c r="G28" s="243" t="e">
        <f t="shared" ref="G28:G39" si="48">F28-E28</f>
        <v>#REF!</v>
      </c>
      <c r="H28" s="375" t="e">
        <f t="shared" ref="H28:I28" si="49">SUM(H29:H30)</f>
        <v>#REF!</v>
      </c>
      <c r="I28" s="240" t="e">
        <f t="shared" si="49"/>
        <v>#REF!</v>
      </c>
      <c r="J28" s="376" t="e">
        <f t="shared" ref="J28:J39" si="50">I28-H28</f>
        <v>#REF!</v>
      </c>
      <c r="K28" s="375" t="e">
        <f t="shared" ref="K28:L28" si="51">SUM(K29:K30)</f>
        <v>#REF!</v>
      </c>
      <c r="L28" s="240" t="e">
        <f t="shared" si="51"/>
        <v>#REF!</v>
      </c>
      <c r="M28" s="243" t="e">
        <f t="shared" ref="M28:M39" si="52">L28-K28</f>
        <v>#REF!</v>
      </c>
      <c r="N28" s="375" t="e">
        <f t="shared" ref="N28:O28" si="53">SUM(N29:N30)</f>
        <v>#REF!</v>
      </c>
      <c r="O28" s="240" t="e">
        <f t="shared" si="53"/>
        <v>#REF!</v>
      </c>
      <c r="P28" s="376" t="e">
        <f t="shared" ref="P28:P39" si="54">O28-N28</f>
        <v>#REF!</v>
      </c>
      <c r="Q28" s="375" t="e">
        <f t="shared" ref="Q28:R28" si="55">SUM(Q29:Q30)</f>
        <v>#REF!</v>
      </c>
      <c r="R28" s="240" t="e">
        <f t="shared" si="55"/>
        <v>#REF!</v>
      </c>
      <c r="S28" s="243" t="e">
        <f t="shared" ref="S28:S39" si="56">R28-Q28</f>
        <v>#REF!</v>
      </c>
      <c r="T28" s="375" t="e">
        <f t="shared" ref="T28:U28" si="57">SUM(T29:T30)</f>
        <v>#REF!</v>
      </c>
      <c r="U28" s="240" t="e">
        <f t="shared" si="57"/>
        <v>#REF!</v>
      </c>
      <c r="V28" s="243" t="e">
        <f t="shared" ref="V28:V39" si="58">U28-T28</f>
        <v>#REF!</v>
      </c>
      <c r="W28" s="375" t="e">
        <f t="shared" ref="W28:X28" si="59">SUM(W29:W30)</f>
        <v>#REF!</v>
      </c>
      <c r="X28" s="240" t="e">
        <f t="shared" si="59"/>
        <v>#REF!</v>
      </c>
      <c r="Y28" s="377" t="e">
        <f t="shared" ref="Y28:Y39" si="60">X28-W28</f>
        <v>#REF!</v>
      </c>
      <c r="Z28" s="378" t="e">
        <f t="shared" ref="Z28:Z39" si="61">X28/W28-1</f>
        <v>#REF!</v>
      </c>
    </row>
    <row r="29" spans="1:32" ht="25.35" customHeight="1" x14ac:dyDescent="0.4">
      <c r="B29" s="201"/>
      <c r="C29" s="1201"/>
      <c r="D29" s="408" t="s">
        <v>127</v>
      </c>
      <c r="E29" s="258" t="e">
        <f>#REF!</f>
        <v>#REF!</v>
      </c>
      <c r="F29" s="259" t="e">
        <f>#REF!</f>
        <v>#REF!</v>
      </c>
      <c r="G29" s="295" t="e">
        <f t="shared" si="48"/>
        <v>#REF!</v>
      </c>
      <c r="H29" s="258" t="e">
        <f>#REF!</f>
        <v>#REF!</v>
      </c>
      <c r="I29" s="259" t="e">
        <f>#REF!</f>
        <v>#REF!</v>
      </c>
      <c r="J29" s="295" t="e">
        <f t="shared" si="50"/>
        <v>#REF!</v>
      </c>
      <c r="K29" s="258" t="e">
        <f>E29+H29</f>
        <v>#REF!</v>
      </c>
      <c r="L29" s="259" t="e">
        <f>F29+I29</f>
        <v>#REF!</v>
      </c>
      <c r="M29" s="295" t="e">
        <f t="shared" si="52"/>
        <v>#REF!</v>
      </c>
      <c r="N29" s="258" t="e">
        <f>#REF!</f>
        <v>#REF!</v>
      </c>
      <c r="O29" s="259" t="e">
        <f>S10</f>
        <v>#REF!</v>
      </c>
      <c r="P29" s="295" t="e">
        <f t="shared" si="54"/>
        <v>#REF!</v>
      </c>
      <c r="Q29" s="258" t="e">
        <f>#REF!</f>
        <v>#REF!</v>
      </c>
      <c r="R29" s="259" t="e">
        <f>Y10</f>
        <v>#REF!</v>
      </c>
      <c r="S29" s="295" t="e">
        <f t="shared" si="56"/>
        <v>#REF!</v>
      </c>
      <c r="T29" s="258" t="e">
        <f>N29+Q29</f>
        <v>#REF!</v>
      </c>
      <c r="U29" s="259" t="e">
        <f>O29+R29</f>
        <v>#REF!</v>
      </c>
      <c r="V29" s="295" t="e">
        <f t="shared" si="58"/>
        <v>#REF!</v>
      </c>
      <c r="W29" s="258" t="e">
        <f>E29+H29+N29+Q29</f>
        <v>#REF!</v>
      </c>
      <c r="X29" s="259" t="e">
        <f>F29+I29+O29+R29</f>
        <v>#REF!</v>
      </c>
      <c r="Y29" s="290" t="e">
        <f t="shared" si="60"/>
        <v>#REF!</v>
      </c>
      <c r="Z29" s="379" t="e">
        <f t="shared" si="61"/>
        <v>#REF!</v>
      </c>
    </row>
    <row r="30" spans="1:32" ht="25.35" customHeight="1" x14ac:dyDescent="0.4">
      <c r="B30" s="201"/>
      <c r="C30" s="1201"/>
      <c r="D30" s="403" t="s">
        <v>47</v>
      </c>
      <c r="E30" s="273" t="e">
        <f>#REF!</f>
        <v>#REF!</v>
      </c>
      <c r="F30" s="274" t="e">
        <f>#REF!</f>
        <v>#REF!</v>
      </c>
      <c r="G30" s="380" t="e">
        <f t="shared" si="48"/>
        <v>#REF!</v>
      </c>
      <c r="H30" s="273" t="e">
        <f>#REF!</f>
        <v>#REF!</v>
      </c>
      <c r="I30" s="274" t="e">
        <f>#REF!</f>
        <v>#REF!</v>
      </c>
      <c r="J30" s="380" t="e">
        <f t="shared" si="50"/>
        <v>#REF!</v>
      </c>
      <c r="K30" s="273" t="e">
        <f>E30+H30</f>
        <v>#REF!</v>
      </c>
      <c r="L30" s="274" t="e">
        <f>F30+I30</f>
        <v>#REF!</v>
      </c>
      <c r="M30" s="380" t="e">
        <f t="shared" si="52"/>
        <v>#REF!</v>
      </c>
      <c r="N30" s="273" t="e">
        <f>#REF!</f>
        <v>#REF!</v>
      </c>
      <c r="O30" s="274" t="e">
        <f>S11</f>
        <v>#REF!</v>
      </c>
      <c r="P30" s="380" t="e">
        <f t="shared" si="54"/>
        <v>#REF!</v>
      </c>
      <c r="Q30" s="273" t="e">
        <f>#REF!</f>
        <v>#REF!</v>
      </c>
      <c r="R30" s="274" t="e">
        <f>Y11</f>
        <v>#REF!</v>
      </c>
      <c r="S30" s="380" t="e">
        <f t="shared" si="56"/>
        <v>#REF!</v>
      </c>
      <c r="T30" s="273" t="e">
        <f>N30+Q30</f>
        <v>#REF!</v>
      </c>
      <c r="U30" s="274" t="e">
        <f>O30+R30</f>
        <v>#REF!</v>
      </c>
      <c r="V30" s="380" t="e">
        <f t="shared" si="58"/>
        <v>#REF!</v>
      </c>
      <c r="W30" s="273" t="e">
        <f>E30+H30+N30+Q30</f>
        <v>#REF!</v>
      </c>
      <c r="X30" s="274" t="e">
        <f>F30+I30+O30+R30</f>
        <v>#REF!</v>
      </c>
      <c r="Y30" s="381" t="e">
        <f t="shared" si="60"/>
        <v>#REF!</v>
      </c>
      <c r="Z30" s="382" t="e">
        <f t="shared" si="61"/>
        <v>#REF!</v>
      </c>
    </row>
    <row r="31" spans="1:32" ht="25.35" customHeight="1" x14ac:dyDescent="0.4">
      <c r="B31" s="201"/>
      <c r="C31" s="1197" t="s">
        <v>21</v>
      </c>
      <c r="D31" s="1198"/>
      <c r="E31" s="375" t="e">
        <f t="shared" ref="E31:F31" si="62">SUM(E32:E33)</f>
        <v>#REF!</v>
      </c>
      <c r="F31" s="284" t="e">
        <f t="shared" si="62"/>
        <v>#REF!</v>
      </c>
      <c r="G31" s="285" t="e">
        <f t="shared" si="48"/>
        <v>#REF!</v>
      </c>
      <c r="H31" s="375" t="e">
        <f t="shared" ref="H31:I31" si="63">SUM(H32:H33)</f>
        <v>#REF!</v>
      </c>
      <c r="I31" s="284" t="e">
        <f t="shared" si="63"/>
        <v>#REF!</v>
      </c>
      <c r="J31" s="285" t="e">
        <f t="shared" si="50"/>
        <v>#REF!</v>
      </c>
      <c r="K31" s="375" t="e">
        <f t="shared" ref="K31:L31" si="64">SUM(K32:K33)</f>
        <v>#REF!</v>
      </c>
      <c r="L31" s="284" t="e">
        <f t="shared" si="64"/>
        <v>#REF!</v>
      </c>
      <c r="M31" s="285" t="e">
        <f t="shared" si="52"/>
        <v>#REF!</v>
      </c>
      <c r="N31" s="375" t="e">
        <f t="shared" ref="N31:O31" si="65">SUM(N32:N33)</f>
        <v>#REF!</v>
      </c>
      <c r="O31" s="284" t="e">
        <f t="shared" si="65"/>
        <v>#REF!</v>
      </c>
      <c r="P31" s="285" t="e">
        <f t="shared" si="54"/>
        <v>#REF!</v>
      </c>
      <c r="Q31" s="375" t="e">
        <f t="shared" ref="Q31:R31" si="66">SUM(Q32:Q33)</f>
        <v>#REF!</v>
      </c>
      <c r="R31" s="284" t="e">
        <f t="shared" si="66"/>
        <v>#REF!</v>
      </c>
      <c r="S31" s="285" t="e">
        <f t="shared" si="56"/>
        <v>#REF!</v>
      </c>
      <c r="T31" s="375" t="e">
        <f t="shared" ref="T31:U31" si="67">SUM(T32:T33)</f>
        <v>#REF!</v>
      </c>
      <c r="U31" s="284" t="e">
        <f t="shared" si="67"/>
        <v>#REF!</v>
      </c>
      <c r="V31" s="285" t="e">
        <f t="shared" si="58"/>
        <v>#REF!</v>
      </c>
      <c r="W31" s="375" t="e">
        <f t="shared" ref="W31:X31" si="68">SUM(W32:W33)</f>
        <v>#REF!</v>
      </c>
      <c r="X31" s="284" t="e">
        <f t="shared" si="68"/>
        <v>#REF!</v>
      </c>
      <c r="Y31" s="383" t="e">
        <f t="shared" si="60"/>
        <v>#REF!</v>
      </c>
      <c r="Z31" s="384" t="e">
        <f t="shared" si="61"/>
        <v>#REF!</v>
      </c>
    </row>
    <row r="32" spans="1:32" ht="25.35" customHeight="1" x14ac:dyDescent="0.4">
      <c r="B32" s="201"/>
      <c r="C32" s="1201"/>
      <c r="D32" s="404" t="s">
        <v>23</v>
      </c>
      <c r="E32" s="258" t="e">
        <f>#REF!</f>
        <v>#REF!</v>
      </c>
      <c r="F32" s="259" t="e">
        <f>#REF!</f>
        <v>#REF!</v>
      </c>
      <c r="G32" s="295" t="e">
        <f t="shared" si="48"/>
        <v>#REF!</v>
      </c>
      <c r="H32" s="258" t="e">
        <f>#REF!</f>
        <v>#REF!</v>
      </c>
      <c r="I32" s="259" t="e">
        <f>#REF!</f>
        <v>#REF!</v>
      </c>
      <c r="J32" s="295" t="e">
        <f t="shared" si="50"/>
        <v>#REF!</v>
      </c>
      <c r="K32" s="258" t="e">
        <f>E32+H32</f>
        <v>#REF!</v>
      </c>
      <c r="L32" s="259" t="e">
        <f>F32+I32</f>
        <v>#REF!</v>
      </c>
      <c r="M32" s="295" t="e">
        <f t="shared" si="52"/>
        <v>#REF!</v>
      </c>
      <c r="N32" s="258" t="e">
        <f>#REF!</f>
        <v>#REF!</v>
      </c>
      <c r="O32" s="259" t="e">
        <f>S13</f>
        <v>#REF!</v>
      </c>
      <c r="P32" s="295" t="e">
        <f t="shared" si="54"/>
        <v>#REF!</v>
      </c>
      <c r="Q32" s="258" t="e">
        <f>#REF!</f>
        <v>#REF!</v>
      </c>
      <c r="R32" s="259" t="e">
        <f>Y13</f>
        <v>#REF!</v>
      </c>
      <c r="S32" s="295" t="e">
        <f t="shared" si="56"/>
        <v>#REF!</v>
      </c>
      <c r="T32" s="258" t="e">
        <f>N32+Q32</f>
        <v>#REF!</v>
      </c>
      <c r="U32" s="259" t="e">
        <f>O32+R32</f>
        <v>#REF!</v>
      </c>
      <c r="V32" s="295" t="e">
        <f t="shared" si="58"/>
        <v>#REF!</v>
      </c>
      <c r="W32" s="258" t="e">
        <f>E32+H32+N32+Q32</f>
        <v>#REF!</v>
      </c>
      <c r="X32" s="259" t="e">
        <f>F32+I32+O32+R32</f>
        <v>#REF!</v>
      </c>
      <c r="Y32" s="290" t="e">
        <f t="shared" si="60"/>
        <v>#REF!</v>
      </c>
      <c r="Z32" s="385" t="e">
        <f t="shared" si="61"/>
        <v>#REF!</v>
      </c>
    </row>
    <row r="33" spans="1:26" ht="25.35" customHeight="1" x14ac:dyDescent="0.4">
      <c r="B33" s="201"/>
      <c r="C33" s="1201"/>
      <c r="D33" s="409" t="s">
        <v>22</v>
      </c>
      <c r="E33" s="386" t="e">
        <f>#REF!</f>
        <v>#REF!</v>
      </c>
      <c r="F33" s="306" t="e">
        <f>#REF!</f>
        <v>#REF!</v>
      </c>
      <c r="G33" s="387" t="e">
        <f t="shared" si="48"/>
        <v>#REF!</v>
      </c>
      <c r="H33" s="386" t="e">
        <f>#REF!</f>
        <v>#REF!</v>
      </c>
      <c r="I33" s="306" t="e">
        <f>#REF!</f>
        <v>#REF!</v>
      </c>
      <c r="J33" s="387" t="e">
        <f t="shared" si="50"/>
        <v>#REF!</v>
      </c>
      <c r="K33" s="273" t="e">
        <f>E33+H33</f>
        <v>#REF!</v>
      </c>
      <c r="L33" s="274" t="e">
        <f>F33+I33</f>
        <v>#REF!</v>
      </c>
      <c r="M33" s="380" t="e">
        <f t="shared" si="52"/>
        <v>#REF!</v>
      </c>
      <c r="N33" s="386" t="e">
        <f>#REF!</f>
        <v>#REF!</v>
      </c>
      <c r="O33" s="306" t="e">
        <f>S14</f>
        <v>#REF!</v>
      </c>
      <c r="P33" s="387" t="e">
        <f t="shared" si="54"/>
        <v>#REF!</v>
      </c>
      <c r="Q33" s="386" t="e">
        <f>#REF!</f>
        <v>#REF!</v>
      </c>
      <c r="R33" s="306" t="e">
        <f>Y14</f>
        <v>#REF!</v>
      </c>
      <c r="S33" s="387" t="e">
        <f t="shared" si="56"/>
        <v>#REF!</v>
      </c>
      <c r="T33" s="273" t="e">
        <f>N33+Q33</f>
        <v>#REF!</v>
      </c>
      <c r="U33" s="274" t="e">
        <f>O33+R33</f>
        <v>#REF!</v>
      </c>
      <c r="V33" s="380" t="e">
        <f t="shared" si="58"/>
        <v>#REF!</v>
      </c>
      <c r="W33" s="273" t="e">
        <f>E33+H33+N33+Q33</f>
        <v>#REF!</v>
      </c>
      <c r="X33" s="274" t="e">
        <f>F33+I33+O33+R33</f>
        <v>#REF!</v>
      </c>
      <c r="Y33" s="388" t="e">
        <f t="shared" si="60"/>
        <v>#REF!</v>
      </c>
      <c r="Z33" s="389" t="e">
        <f t="shared" si="61"/>
        <v>#REF!</v>
      </c>
    </row>
    <row r="34" spans="1:26" ht="25.35" customHeight="1" x14ac:dyDescent="0.4">
      <c r="B34" s="201"/>
      <c r="C34" s="1197" t="s">
        <v>24</v>
      </c>
      <c r="D34" s="1198"/>
      <c r="E34" s="390" t="e">
        <f>SUM(E35:E39)</f>
        <v>#REF!</v>
      </c>
      <c r="F34" s="284" t="e">
        <f t="shared" ref="F34" si="69">SUM(F35:F39)</f>
        <v>#REF!</v>
      </c>
      <c r="G34" s="285" t="e">
        <f t="shared" si="48"/>
        <v>#REF!</v>
      </c>
      <c r="H34" s="390" t="e">
        <f>SUM(H35:H39)</f>
        <v>#REF!</v>
      </c>
      <c r="I34" s="284" t="e">
        <f t="shared" ref="I34" si="70">SUM(I35:I39)</f>
        <v>#REF!</v>
      </c>
      <c r="J34" s="285" t="e">
        <f t="shared" si="50"/>
        <v>#REF!</v>
      </c>
      <c r="K34" s="390" t="e">
        <f>SUM(K35:K39)</f>
        <v>#REF!</v>
      </c>
      <c r="L34" s="284" t="e">
        <f t="shared" ref="L34" si="71">SUM(L35:L39)</f>
        <v>#REF!</v>
      </c>
      <c r="M34" s="285" t="e">
        <f t="shared" si="52"/>
        <v>#REF!</v>
      </c>
      <c r="N34" s="390" t="e">
        <f>SUM(N35:N39)</f>
        <v>#REF!</v>
      </c>
      <c r="O34" s="284" t="e">
        <f t="shared" ref="O34" si="72">SUM(O35:O39)</f>
        <v>#REF!</v>
      </c>
      <c r="P34" s="391" t="e">
        <f t="shared" si="54"/>
        <v>#REF!</v>
      </c>
      <c r="Q34" s="390" t="e">
        <f>SUM(Q35:Q39)</f>
        <v>#REF!</v>
      </c>
      <c r="R34" s="284" t="e">
        <f t="shared" ref="R34" si="73">SUM(R35:R39)</f>
        <v>#REF!</v>
      </c>
      <c r="S34" s="391" t="e">
        <f t="shared" si="56"/>
        <v>#REF!</v>
      </c>
      <c r="T34" s="390" t="e">
        <f>SUM(T35:T39)</f>
        <v>#REF!</v>
      </c>
      <c r="U34" s="284" t="e">
        <f t="shared" ref="U34" si="74">SUM(U35:U39)</f>
        <v>#REF!</v>
      </c>
      <c r="V34" s="391" t="e">
        <f t="shared" si="58"/>
        <v>#REF!</v>
      </c>
      <c r="W34" s="390" t="e">
        <f>SUM(W35:W39)</f>
        <v>#REF!</v>
      </c>
      <c r="X34" s="284" t="e">
        <f t="shared" ref="X34" si="75">SUM(X35:X39)</f>
        <v>#REF!</v>
      </c>
      <c r="Y34" s="383" t="e">
        <f t="shared" si="60"/>
        <v>#REF!</v>
      </c>
      <c r="Z34" s="392" t="e">
        <f t="shared" si="61"/>
        <v>#REF!</v>
      </c>
    </row>
    <row r="35" spans="1:26" ht="25.35" customHeight="1" x14ac:dyDescent="0.4">
      <c r="B35" s="201"/>
      <c r="C35" s="1202"/>
      <c r="D35" s="404" t="s">
        <v>46</v>
      </c>
      <c r="E35" s="258" t="e">
        <f>#REF!</f>
        <v>#REF!</v>
      </c>
      <c r="F35" s="259" t="e">
        <f>#REF!</f>
        <v>#REF!</v>
      </c>
      <c r="G35" s="295" t="e">
        <f t="shared" si="48"/>
        <v>#REF!</v>
      </c>
      <c r="H35" s="258" t="e">
        <f>#REF!</f>
        <v>#REF!</v>
      </c>
      <c r="I35" s="259" t="e">
        <f>#REF!</f>
        <v>#REF!</v>
      </c>
      <c r="J35" s="295" t="e">
        <f t="shared" si="50"/>
        <v>#REF!</v>
      </c>
      <c r="K35" s="258" t="e">
        <f>E35+H35</f>
        <v>#REF!</v>
      </c>
      <c r="L35" s="259" t="e">
        <f>F35+I35</f>
        <v>#REF!</v>
      </c>
      <c r="M35" s="295" t="e">
        <f t="shared" si="52"/>
        <v>#REF!</v>
      </c>
      <c r="N35" s="258" t="e">
        <f>#REF!</f>
        <v>#REF!</v>
      </c>
      <c r="O35" s="259" t="e">
        <f>S16</f>
        <v>#REF!</v>
      </c>
      <c r="P35" s="295" t="e">
        <f t="shared" si="54"/>
        <v>#REF!</v>
      </c>
      <c r="Q35" s="258" t="e">
        <f>#REF!</f>
        <v>#REF!</v>
      </c>
      <c r="R35" s="259" t="e">
        <f>Y16</f>
        <v>#REF!</v>
      </c>
      <c r="S35" s="295" t="e">
        <f t="shared" si="56"/>
        <v>#REF!</v>
      </c>
      <c r="T35" s="258" t="e">
        <f>N35+Q35</f>
        <v>#REF!</v>
      </c>
      <c r="U35" s="259" t="e">
        <f>O35+R35</f>
        <v>#REF!</v>
      </c>
      <c r="V35" s="295" t="e">
        <f t="shared" si="58"/>
        <v>#REF!</v>
      </c>
      <c r="W35" s="258" t="e">
        <f t="shared" ref="W35:X39" si="76">E35+H35+N35+Q35</f>
        <v>#REF!</v>
      </c>
      <c r="X35" s="259" t="e">
        <f t="shared" si="76"/>
        <v>#REF!</v>
      </c>
      <c r="Y35" s="290" t="e">
        <f t="shared" si="60"/>
        <v>#REF!</v>
      </c>
      <c r="Z35" s="379" t="e">
        <f t="shared" si="61"/>
        <v>#REF!</v>
      </c>
    </row>
    <row r="36" spans="1:26" ht="25.35" customHeight="1" x14ac:dyDescent="0.4">
      <c r="B36" s="201"/>
      <c r="C36" s="1202"/>
      <c r="D36" s="405" t="s">
        <v>26</v>
      </c>
      <c r="E36" s="322" t="e">
        <f>#REF!</f>
        <v>#REF!</v>
      </c>
      <c r="F36" s="323" t="e">
        <f>#REF!</f>
        <v>#REF!</v>
      </c>
      <c r="G36" s="324" t="e">
        <f t="shared" si="48"/>
        <v>#REF!</v>
      </c>
      <c r="H36" s="322" t="e">
        <f>#REF!</f>
        <v>#REF!</v>
      </c>
      <c r="I36" s="323" t="e">
        <f>#REF!</f>
        <v>#REF!</v>
      </c>
      <c r="J36" s="324" t="e">
        <f t="shared" si="50"/>
        <v>#REF!</v>
      </c>
      <c r="K36" s="322" t="e">
        <f>E36+H36</f>
        <v>#REF!</v>
      </c>
      <c r="L36" s="323" t="e">
        <f>F36+I36</f>
        <v>#REF!</v>
      </c>
      <c r="M36" s="324" t="e">
        <f t="shared" si="52"/>
        <v>#REF!</v>
      </c>
      <c r="N36" s="322" t="e">
        <f>#REF!</f>
        <v>#REF!</v>
      </c>
      <c r="O36" s="323" t="e">
        <f>S17</f>
        <v>#REF!</v>
      </c>
      <c r="P36" s="324" t="e">
        <f t="shared" si="54"/>
        <v>#REF!</v>
      </c>
      <c r="Q36" s="322" t="e">
        <f>#REF!</f>
        <v>#REF!</v>
      </c>
      <c r="R36" s="323" t="e">
        <f>Y17</f>
        <v>#REF!</v>
      </c>
      <c r="S36" s="324" t="e">
        <f t="shared" si="56"/>
        <v>#REF!</v>
      </c>
      <c r="T36" s="322" t="e">
        <f>N36+Q36</f>
        <v>#REF!</v>
      </c>
      <c r="U36" s="323" t="e">
        <f>O36+R36</f>
        <v>#REF!</v>
      </c>
      <c r="V36" s="324" t="e">
        <f t="shared" si="58"/>
        <v>#REF!</v>
      </c>
      <c r="W36" s="322" t="e">
        <f t="shared" si="76"/>
        <v>#REF!</v>
      </c>
      <c r="X36" s="323" t="e">
        <f t="shared" si="76"/>
        <v>#REF!</v>
      </c>
      <c r="Y36" s="317" t="e">
        <f t="shared" si="60"/>
        <v>#REF!</v>
      </c>
      <c r="Z36" s="393" t="e">
        <f t="shared" si="61"/>
        <v>#REF!</v>
      </c>
    </row>
    <row r="37" spans="1:26" ht="25.35" customHeight="1" x14ac:dyDescent="0.4">
      <c r="B37" s="201"/>
      <c r="C37" s="1202"/>
      <c r="D37" s="405" t="s">
        <v>25</v>
      </c>
      <c r="E37" s="322" t="e">
        <f>#REF!</f>
        <v>#REF!</v>
      </c>
      <c r="F37" s="323" t="e">
        <f>#REF!</f>
        <v>#REF!</v>
      </c>
      <c r="G37" s="394" t="e">
        <f t="shared" si="48"/>
        <v>#REF!</v>
      </c>
      <c r="H37" s="322" t="e">
        <f>#REF!</f>
        <v>#REF!</v>
      </c>
      <c r="I37" s="323" t="e">
        <f>#REF!</f>
        <v>#REF!</v>
      </c>
      <c r="J37" s="324" t="e">
        <f t="shared" si="50"/>
        <v>#REF!</v>
      </c>
      <c r="K37" s="322" t="e">
        <f t="shared" ref="K37:L39" si="77">E37+H37</f>
        <v>#REF!</v>
      </c>
      <c r="L37" s="323" t="e">
        <f t="shared" si="77"/>
        <v>#REF!</v>
      </c>
      <c r="M37" s="324" t="e">
        <f t="shared" si="52"/>
        <v>#REF!</v>
      </c>
      <c r="N37" s="322" t="e">
        <f>#REF!</f>
        <v>#REF!</v>
      </c>
      <c r="O37" s="323" t="e">
        <f>S18</f>
        <v>#REF!</v>
      </c>
      <c r="P37" s="324" t="e">
        <f t="shared" si="54"/>
        <v>#REF!</v>
      </c>
      <c r="Q37" s="322" t="e">
        <f>#REF!</f>
        <v>#REF!</v>
      </c>
      <c r="R37" s="323" t="e">
        <f>Y18</f>
        <v>#REF!</v>
      </c>
      <c r="S37" s="324" t="e">
        <f t="shared" si="56"/>
        <v>#REF!</v>
      </c>
      <c r="T37" s="322" t="e">
        <f t="shared" ref="T37:U39" si="78">N37+Q37</f>
        <v>#REF!</v>
      </c>
      <c r="U37" s="323" t="e">
        <f t="shared" si="78"/>
        <v>#REF!</v>
      </c>
      <c r="V37" s="324" t="e">
        <f t="shared" si="58"/>
        <v>#REF!</v>
      </c>
      <c r="W37" s="322" t="e">
        <f t="shared" si="76"/>
        <v>#REF!</v>
      </c>
      <c r="X37" s="323" t="e">
        <f t="shared" si="76"/>
        <v>#REF!</v>
      </c>
      <c r="Y37" s="317" t="e">
        <f t="shared" si="60"/>
        <v>#REF!</v>
      </c>
      <c r="Z37" s="393" t="e">
        <f t="shared" si="61"/>
        <v>#REF!</v>
      </c>
    </row>
    <row r="38" spans="1:26" ht="25.35" customHeight="1" x14ac:dyDescent="0.4">
      <c r="B38" s="201"/>
      <c r="C38" s="1202"/>
      <c r="D38" s="410" t="s">
        <v>18</v>
      </c>
      <c r="E38" s="346" t="e">
        <f>#REF!</f>
        <v>#REF!</v>
      </c>
      <c r="F38" s="347" t="e">
        <f>#REF!</f>
        <v>#REF!</v>
      </c>
      <c r="G38" s="348" t="e">
        <f t="shared" si="48"/>
        <v>#REF!</v>
      </c>
      <c r="H38" s="346" t="e">
        <f>#REF!</f>
        <v>#REF!</v>
      </c>
      <c r="I38" s="347" t="e">
        <f>#REF!</f>
        <v>#REF!</v>
      </c>
      <c r="J38" s="348" t="e">
        <f t="shared" si="50"/>
        <v>#REF!</v>
      </c>
      <c r="K38" s="346" t="e">
        <f t="shared" si="77"/>
        <v>#REF!</v>
      </c>
      <c r="L38" s="347" t="e">
        <f t="shared" si="77"/>
        <v>#REF!</v>
      </c>
      <c r="M38" s="348" t="e">
        <f t="shared" si="52"/>
        <v>#REF!</v>
      </c>
      <c r="N38" s="346" t="e">
        <f>#REF!</f>
        <v>#REF!</v>
      </c>
      <c r="O38" s="347" t="e">
        <f>S19</f>
        <v>#REF!</v>
      </c>
      <c r="P38" s="348" t="e">
        <f t="shared" si="54"/>
        <v>#REF!</v>
      </c>
      <c r="Q38" s="346" t="e">
        <f>#REF!</f>
        <v>#REF!</v>
      </c>
      <c r="R38" s="347" t="e">
        <f>Y19</f>
        <v>#REF!</v>
      </c>
      <c r="S38" s="395" t="e">
        <f t="shared" si="56"/>
        <v>#REF!</v>
      </c>
      <c r="T38" s="346" t="e">
        <f t="shared" si="78"/>
        <v>#REF!</v>
      </c>
      <c r="U38" s="347" t="e">
        <f t="shared" si="78"/>
        <v>#REF!</v>
      </c>
      <c r="V38" s="396" t="e">
        <f t="shared" si="58"/>
        <v>#REF!</v>
      </c>
      <c r="W38" s="346" t="e">
        <f t="shared" si="76"/>
        <v>#REF!</v>
      </c>
      <c r="X38" s="347" t="e">
        <f t="shared" si="76"/>
        <v>#REF!</v>
      </c>
      <c r="Y38" s="397" t="e">
        <f t="shared" si="60"/>
        <v>#REF!</v>
      </c>
      <c r="Z38" s="398" t="e">
        <f t="shared" si="61"/>
        <v>#REF!</v>
      </c>
    </row>
    <row r="39" spans="1:26" ht="25.35" customHeight="1" thickBot="1" x14ac:dyDescent="0.45">
      <c r="B39" s="202"/>
      <c r="C39" s="1203"/>
      <c r="D39" s="406" t="s">
        <v>47</v>
      </c>
      <c r="E39" s="366" t="e">
        <f>#REF!</f>
        <v>#REF!</v>
      </c>
      <c r="F39" s="367" t="e">
        <f>#REF!</f>
        <v>#REF!</v>
      </c>
      <c r="G39" s="399" t="e">
        <f t="shared" si="48"/>
        <v>#REF!</v>
      </c>
      <c r="H39" s="366" t="e">
        <f>#REF!</f>
        <v>#REF!</v>
      </c>
      <c r="I39" s="367" t="e">
        <f>#REF!</f>
        <v>#REF!</v>
      </c>
      <c r="J39" s="399" t="e">
        <f t="shared" si="50"/>
        <v>#REF!</v>
      </c>
      <c r="K39" s="366" t="e">
        <f t="shared" si="77"/>
        <v>#REF!</v>
      </c>
      <c r="L39" s="367" t="e">
        <f t="shared" si="77"/>
        <v>#REF!</v>
      </c>
      <c r="M39" s="399" t="e">
        <f t="shared" si="52"/>
        <v>#REF!</v>
      </c>
      <c r="N39" s="366" t="e">
        <f>#REF!</f>
        <v>#REF!</v>
      </c>
      <c r="O39" s="367" t="e">
        <f>S20</f>
        <v>#REF!</v>
      </c>
      <c r="P39" s="399" t="e">
        <f t="shared" si="54"/>
        <v>#REF!</v>
      </c>
      <c r="Q39" s="366" t="e">
        <f>#REF!</f>
        <v>#REF!</v>
      </c>
      <c r="R39" s="367" t="e">
        <f>Y20</f>
        <v>#REF!</v>
      </c>
      <c r="S39" s="399" t="e">
        <f t="shared" si="56"/>
        <v>#REF!</v>
      </c>
      <c r="T39" s="366" t="e">
        <f t="shared" si="78"/>
        <v>#REF!</v>
      </c>
      <c r="U39" s="367" t="e">
        <f t="shared" si="78"/>
        <v>#REF!</v>
      </c>
      <c r="V39" s="400" t="e">
        <f t="shared" si="58"/>
        <v>#REF!</v>
      </c>
      <c r="W39" s="366" t="e">
        <f t="shared" si="76"/>
        <v>#REF!</v>
      </c>
      <c r="X39" s="367" t="e">
        <f t="shared" si="76"/>
        <v>#REF!</v>
      </c>
      <c r="Y39" s="401" t="e">
        <f t="shared" si="60"/>
        <v>#REF!</v>
      </c>
      <c r="Z39" s="402" t="e">
        <f t="shared" si="61"/>
        <v>#REF!</v>
      </c>
    </row>
    <row r="41" spans="1:26" ht="5.25" customHeight="1" x14ac:dyDescent="0.4"/>
    <row r="42" spans="1:26" ht="25.2" x14ac:dyDescent="0.4">
      <c r="A42" s="195" t="s">
        <v>415</v>
      </c>
    </row>
    <row r="43" spans="1:26" ht="24.75" customHeight="1" x14ac:dyDescent="0.4">
      <c r="B43" s="195" t="s">
        <v>416</v>
      </c>
    </row>
    <row r="44" spans="1:26" ht="25.35" customHeight="1" x14ac:dyDescent="0.4">
      <c r="B44" s="1063" t="s">
        <v>120</v>
      </c>
      <c r="C44" s="1063"/>
      <c r="D44" s="1063"/>
      <c r="E44" s="1050" t="s">
        <v>417</v>
      </c>
      <c r="F44" s="1051"/>
      <c r="G44" s="1125" t="s">
        <v>418</v>
      </c>
      <c r="H44" s="1126"/>
      <c r="I44" s="1126"/>
      <c r="J44" s="1126"/>
      <c r="K44" s="1126"/>
      <c r="L44" s="1126"/>
      <c r="M44" s="1126"/>
      <c r="N44" s="1126"/>
      <c r="O44" s="1126"/>
      <c r="P44" s="1126"/>
      <c r="Q44" s="1126"/>
      <c r="R44" s="1126"/>
      <c r="S44" s="1126"/>
      <c r="T44" s="1126"/>
      <c r="U44" s="1126"/>
      <c r="V44" s="1126"/>
      <c r="W44" s="1127"/>
    </row>
    <row r="45" spans="1:26" ht="25.35" customHeight="1" x14ac:dyDescent="0.4">
      <c r="B45" s="1064" t="s">
        <v>419</v>
      </c>
      <c r="C45" s="1065"/>
      <c r="D45" s="1065"/>
      <c r="E45" s="1052" t="s">
        <v>420</v>
      </c>
      <c r="F45" s="1053"/>
      <c r="G45" s="1061"/>
      <c r="H45" s="1062"/>
      <c r="I45" s="1062"/>
      <c r="J45" s="1062"/>
      <c r="K45" s="1062"/>
      <c r="L45" s="1062"/>
      <c r="M45" s="1062"/>
      <c r="N45" s="207"/>
      <c r="O45" s="207"/>
      <c r="P45" s="207"/>
      <c r="Q45" s="207"/>
      <c r="R45" s="207"/>
      <c r="S45" s="207"/>
      <c r="T45" s="207"/>
      <c r="U45" s="207"/>
      <c r="V45" s="207"/>
      <c r="W45" s="208"/>
    </row>
    <row r="46" spans="1:26" ht="62.25" customHeight="1" x14ac:dyDescent="0.4">
      <c r="B46" s="1188"/>
      <c r="C46" s="1066" t="s">
        <v>384</v>
      </c>
      <c r="D46" s="1066"/>
      <c r="E46" s="1068" t="s">
        <v>421</v>
      </c>
      <c r="F46" s="1060"/>
      <c r="G46" s="1115" t="s">
        <v>422</v>
      </c>
      <c r="H46" s="1116"/>
      <c r="I46" s="1116"/>
      <c r="J46" s="1116"/>
      <c r="K46" s="1116"/>
      <c r="L46" s="1116"/>
      <c r="M46" s="1116"/>
      <c r="N46" s="1116"/>
      <c r="O46" s="1116"/>
      <c r="P46" s="1116"/>
      <c r="Q46" s="1116"/>
      <c r="R46" s="1116"/>
      <c r="S46" s="1116"/>
      <c r="T46" s="1116"/>
      <c r="U46" s="1116"/>
      <c r="V46" s="1116"/>
      <c r="W46" s="1117"/>
    </row>
    <row r="47" spans="1:26" ht="72.75" customHeight="1" x14ac:dyDescent="0.4">
      <c r="B47" s="1189"/>
      <c r="C47" s="1066" t="s">
        <v>385</v>
      </c>
      <c r="D47" s="1066"/>
      <c r="E47" s="1068" t="s">
        <v>423</v>
      </c>
      <c r="F47" s="1060"/>
      <c r="G47" s="1115" t="s">
        <v>424</v>
      </c>
      <c r="H47" s="1116"/>
      <c r="I47" s="1116"/>
      <c r="J47" s="1116"/>
      <c r="K47" s="1116"/>
      <c r="L47" s="1116"/>
      <c r="M47" s="1116"/>
      <c r="N47" s="1116"/>
      <c r="O47" s="1116"/>
      <c r="P47" s="1116"/>
      <c r="Q47" s="1116"/>
      <c r="R47" s="1116"/>
      <c r="S47" s="1116"/>
      <c r="T47" s="1116"/>
      <c r="U47" s="1116"/>
      <c r="V47" s="1116"/>
      <c r="W47" s="1117"/>
    </row>
    <row r="48" spans="1:26" ht="25.35" customHeight="1" x14ac:dyDescent="0.4">
      <c r="B48" s="1064" t="s">
        <v>82</v>
      </c>
      <c r="C48" s="1065"/>
      <c r="D48" s="1065"/>
      <c r="E48" s="1052" t="s">
        <v>425</v>
      </c>
      <c r="F48" s="1053"/>
      <c r="G48" s="1061"/>
      <c r="H48" s="1062"/>
      <c r="I48" s="1062"/>
      <c r="J48" s="1062"/>
      <c r="K48" s="1062"/>
      <c r="L48" s="1062"/>
      <c r="M48" s="1062"/>
      <c r="N48" s="207"/>
      <c r="O48" s="207"/>
      <c r="P48" s="207"/>
      <c r="Q48" s="207"/>
      <c r="R48" s="207"/>
      <c r="S48" s="207"/>
      <c r="T48" s="207"/>
      <c r="U48" s="207"/>
      <c r="V48" s="207"/>
      <c r="W48" s="208"/>
    </row>
    <row r="49" spans="1:30" ht="25.35" customHeight="1" x14ac:dyDescent="0.4">
      <c r="B49" s="209"/>
      <c r="C49" s="1066" t="s">
        <v>426</v>
      </c>
      <c r="D49" s="1066"/>
      <c r="E49" s="1068" t="s">
        <v>425</v>
      </c>
      <c r="F49" s="1060"/>
      <c r="G49" s="1191" t="s">
        <v>427</v>
      </c>
      <c r="H49" s="1192"/>
      <c r="I49" s="1192"/>
      <c r="J49" s="1192"/>
      <c r="K49" s="1192"/>
      <c r="L49" s="1192"/>
      <c r="M49" s="1192"/>
      <c r="N49" s="434"/>
      <c r="O49" s="434"/>
      <c r="P49" s="434"/>
      <c r="Q49" s="434"/>
      <c r="R49" s="434"/>
      <c r="S49" s="434"/>
      <c r="T49" s="434"/>
      <c r="U49" s="434"/>
      <c r="V49" s="434"/>
      <c r="W49" s="435"/>
    </row>
    <row r="50" spans="1:30" ht="25.35" customHeight="1" x14ac:dyDescent="0.4">
      <c r="B50" s="1064" t="s">
        <v>88</v>
      </c>
      <c r="C50" s="1065"/>
      <c r="D50" s="1065"/>
      <c r="E50" s="1128" t="s">
        <v>428</v>
      </c>
      <c r="F50" s="1129"/>
      <c r="G50" s="436"/>
      <c r="H50" s="437"/>
      <c r="I50" s="437"/>
      <c r="J50" s="437"/>
      <c r="K50" s="437"/>
      <c r="L50" s="437"/>
      <c r="M50" s="437"/>
      <c r="N50" s="438"/>
      <c r="O50" s="438"/>
      <c r="P50" s="438"/>
      <c r="Q50" s="438"/>
      <c r="R50" s="438"/>
      <c r="S50" s="438"/>
      <c r="T50" s="438"/>
      <c r="U50" s="438"/>
      <c r="V50" s="438"/>
      <c r="W50" s="439"/>
    </row>
    <row r="51" spans="1:30" ht="25.35" customHeight="1" x14ac:dyDescent="0.4">
      <c r="B51" s="211"/>
      <c r="C51" s="1058" t="s">
        <v>91</v>
      </c>
      <c r="D51" s="1060"/>
      <c r="E51" s="1068" t="s">
        <v>429</v>
      </c>
      <c r="F51" s="1114"/>
      <c r="G51" s="432" t="s">
        <v>430</v>
      </c>
      <c r="H51" s="433"/>
      <c r="I51" s="433"/>
      <c r="J51" s="433"/>
      <c r="K51" s="433"/>
      <c r="L51" s="433"/>
      <c r="M51" s="433"/>
      <c r="N51" s="434"/>
      <c r="O51" s="434"/>
      <c r="P51" s="434"/>
      <c r="Q51" s="434"/>
      <c r="R51" s="434"/>
      <c r="S51" s="434"/>
      <c r="T51" s="434"/>
      <c r="U51" s="434"/>
      <c r="V51" s="434"/>
      <c r="W51" s="435"/>
    </row>
    <row r="52" spans="1:30" ht="25.35" customHeight="1" x14ac:dyDescent="0.4">
      <c r="B52" s="211"/>
      <c r="C52" s="1058" t="s">
        <v>383</v>
      </c>
      <c r="D52" s="1060"/>
      <c r="E52" s="1068" t="s">
        <v>431</v>
      </c>
      <c r="F52" s="1114"/>
      <c r="G52" s="432" t="s">
        <v>432</v>
      </c>
      <c r="H52" s="433"/>
      <c r="I52" s="433"/>
      <c r="J52" s="433"/>
      <c r="K52" s="433"/>
      <c r="L52" s="433"/>
      <c r="M52" s="433"/>
      <c r="N52" s="434"/>
      <c r="O52" s="434"/>
      <c r="P52" s="434"/>
      <c r="Q52" s="434"/>
      <c r="R52" s="434"/>
      <c r="S52" s="434"/>
      <c r="T52" s="434"/>
      <c r="U52" s="434"/>
      <c r="V52" s="434"/>
      <c r="W52" s="435"/>
    </row>
    <row r="53" spans="1:30" ht="25.35" customHeight="1" x14ac:dyDescent="0.4">
      <c r="B53" s="1069" t="s">
        <v>433</v>
      </c>
      <c r="C53" s="1070"/>
      <c r="D53" s="1071"/>
      <c r="E53" s="1120" t="s">
        <v>434</v>
      </c>
      <c r="F53" s="1071"/>
      <c r="G53" s="1193"/>
      <c r="H53" s="1194"/>
      <c r="I53" s="1194"/>
      <c r="J53" s="1194"/>
      <c r="K53" s="1194"/>
      <c r="L53" s="1194"/>
      <c r="M53" s="1194"/>
      <c r="N53" s="212"/>
      <c r="O53" s="212"/>
      <c r="P53" s="212"/>
      <c r="Q53" s="212"/>
      <c r="R53" s="212"/>
      <c r="S53" s="212"/>
      <c r="T53" s="212"/>
      <c r="U53" s="212"/>
      <c r="V53" s="212"/>
      <c r="W53" s="213"/>
    </row>
    <row r="54" spans="1:30" ht="13.5" customHeight="1" x14ac:dyDescent="0.4"/>
    <row r="55" spans="1:30" ht="24.75" customHeight="1" x14ac:dyDescent="0.45">
      <c r="B55" s="195" t="s">
        <v>435</v>
      </c>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440"/>
    </row>
    <row r="56" spans="1:30" ht="24.75" customHeight="1" x14ac:dyDescent="0.4">
      <c r="B56" s="1176" t="s">
        <v>120</v>
      </c>
      <c r="C56" s="1176"/>
      <c r="D56" s="1176"/>
      <c r="E56" s="1176" t="s">
        <v>436</v>
      </c>
      <c r="F56" s="1176"/>
      <c r="G56" s="1177" t="s">
        <v>418</v>
      </c>
      <c r="H56" s="1178"/>
      <c r="I56" s="1178"/>
      <c r="J56" s="1178"/>
      <c r="K56" s="1178"/>
      <c r="L56" s="1178"/>
      <c r="M56" s="1178"/>
      <c r="N56" s="1178"/>
      <c r="O56" s="1178"/>
      <c r="P56" s="1178"/>
      <c r="Q56" s="1178"/>
      <c r="R56" s="1178"/>
      <c r="S56" s="1178"/>
      <c r="T56" s="1178"/>
      <c r="U56" s="1178"/>
      <c r="V56" s="1178"/>
      <c r="W56" s="1179"/>
      <c r="X56" s="441"/>
      <c r="Y56" s="194"/>
      <c r="Z56" s="194"/>
      <c r="AA56" s="194"/>
      <c r="AB56" s="194"/>
      <c r="AC56" s="194"/>
      <c r="AD56" s="194"/>
    </row>
    <row r="57" spans="1:30" ht="62.25" customHeight="1" x14ac:dyDescent="0.4">
      <c r="B57" s="1186" t="s">
        <v>437</v>
      </c>
      <c r="C57" s="1186"/>
      <c r="D57" s="1186"/>
      <c r="E57" s="1187" t="s">
        <v>438</v>
      </c>
      <c r="F57" s="1187"/>
      <c r="G57" s="1183" t="s">
        <v>439</v>
      </c>
      <c r="H57" s="1184"/>
      <c r="I57" s="1184"/>
      <c r="J57" s="1184"/>
      <c r="K57" s="1184"/>
      <c r="L57" s="1184"/>
      <c r="M57" s="1184"/>
      <c r="N57" s="1184"/>
      <c r="O57" s="1184"/>
      <c r="P57" s="1184"/>
      <c r="Q57" s="1184"/>
      <c r="R57" s="1184"/>
      <c r="S57" s="1184"/>
      <c r="T57" s="1184"/>
      <c r="U57" s="1184"/>
      <c r="V57" s="1184"/>
      <c r="W57" s="1185"/>
      <c r="X57" s="442"/>
      <c r="Y57" s="214"/>
      <c r="Z57" s="214"/>
      <c r="AA57" s="214"/>
      <c r="AB57" s="214"/>
      <c r="AC57" s="214"/>
      <c r="AD57" s="214"/>
    </row>
    <row r="58" spans="1:30" ht="26.25" customHeight="1" x14ac:dyDescent="0.4">
      <c r="B58" s="1190" t="s">
        <v>81</v>
      </c>
      <c r="C58" s="1190"/>
      <c r="D58" s="1190"/>
      <c r="E58" s="1175" t="s">
        <v>438</v>
      </c>
      <c r="F58" s="1175"/>
      <c r="G58" s="1180"/>
      <c r="H58" s="1181"/>
      <c r="I58" s="1181"/>
      <c r="J58" s="1181"/>
      <c r="K58" s="1181"/>
      <c r="L58" s="1181"/>
      <c r="M58" s="1181"/>
      <c r="N58" s="1181"/>
      <c r="O58" s="1181"/>
      <c r="P58" s="1181"/>
      <c r="Q58" s="1181"/>
      <c r="R58" s="1181"/>
      <c r="S58" s="1181"/>
      <c r="T58" s="1181"/>
      <c r="U58" s="1181"/>
      <c r="V58" s="1181"/>
      <c r="W58" s="1182"/>
      <c r="X58" s="441"/>
      <c r="Y58" s="194"/>
      <c r="Z58" s="194"/>
      <c r="AA58" s="194"/>
      <c r="AB58" s="194"/>
      <c r="AC58" s="194"/>
      <c r="AD58" s="194"/>
    </row>
    <row r="59" spans="1:30" ht="18.75" customHeight="1" x14ac:dyDescent="0.4"/>
    <row r="60" spans="1:30" ht="25.2" x14ac:dyDescent="0.4">
      <c r="A60" s="195" t="s">
        <v>440</v>
      </c>
      <c r="B60" s="195"/>
    </row>
    <row r="61" spans="1:30" ht="24" customHeight="1" x14ac:dyDescent="0.4">
      <c r="B61" s="195" t="s">
        <v>441</v>
      </c>
    </row>
    <row r="62" spans="1:30" ht="25.35" customHeight="1" x14ac:dyDescent="0.4">
      <c r="B62" s="1063" t="s">
        <v>6</v>
      </c>
      <c r="C62" s="1063"/>
      <c r="D62" s="1063"/>
      <c r="E62" s="1050" t="s">
        <v>442</v>
      </c>
      <c r="F62" s="1051"/>
      <c r="G62" s="1125" t="s">
        <v>443</v>
      </c>
      <c r="H62" s="1126"/>
      <c r="I62" s="1126"/>
      <c r="J62" s="1126"/>
      <c r="K62" s="1126"/>
      <c r="L62" s="1126"/>
      <c r="M62" s="1126"/>
      <c r="N62" s="1126"/>
      <c r="O62" s="1126"/>
      <c r="P62" s="1126"/>
      <c r="Q62" s="1126"/>
      <c r="R62" s="1126"/>
      <c r="S62" s="1126"/>
      <c r="T62" s="1126"/>
      <c r="U62" s="1126"/>
      <c r="V62" s="1126"/>
      <c r="W62" s="1127"/>
    </row>
    <row r="63" spans="1:30" ht="25.35" customHeight="1" x14ac:dyDescent="0.4">
      <c r="B63" s="1064" t="s">
        <v>40</v>
      </c>
      <c r="C63" s="1065"/>
      <c r="D63" s="1065"/>
      <c r="E63" s="1052" t="s">
        <v>444</v>
      </c>
      <c r="F63" s="1053"/>
      <c r="G63" s="1061"/>
      <c r="H63" s="1062"/>
      <c r="I63" s="1062"/>
      <c r="J63" s="1062"/>
      <c r="K63" s="1062"/>
      <c r="L63" s="1062"/>
      <c r="M63" s="1062"/>
      <c r="N63" s="207"/>
      <c r="O63" s="207"/>
      <c r="P63" s="207"/>
      <c r="Q63" s="207"/>
      <c r="R63" s="207"/>
      <c r="S63" s="207"/>
      <c r="T63" s="207"/>
      <c r="U63" s="207"/>
      <c r="V63" s="207"/>
      <c r="W63" s="208"/>
    </row>
    <row r="64" spans="1:30" ht="80.25" customHeight="1" x14ac:dyDescent="0.4">
      <c r="B64" s="209"/>
      <c r="C64" s="1066" t="s">
        <v>445</v>
      </c>
      <c r="D64" s="1066"/>
      <c r="E64" s="1068" t="s">
        <v>444</v>
      </c>
      <c r="F64" s="1060"/>
      <c r="G64" s="1115" t="s">
        <v>446</v>
      </c>
      <c r="H64" s="1116"/>
      <c r="I64" s="1116"/>
      <c r="J64" s="1116"/>
      <c r="K64" s="1116"/>
      <c r="L64" s="1116"/>
      <c r="M64" s="1116"/>
      <c r="N64" s="1116"/>
      <c r="O64" s="1116"/>
      <c r="P64" s="1116"/>
      <c r="Q64" s="1116"/>
      <c r="R64" s="1116"/>
      <c r="S64" s="1116"/>
      <c r="T64" s="1116"/>
      <c r="U64" s="1116"/>
      <c r="V64" s="1116"/>
      <c r="W64" s="1117"/>
    </row>
    <row r="65" spans="2:23" ht="25.35" customHeight="1" x14ac:dyDescent="0.4">
      <c r="B65" s="1064" t="s">
        <v>447</v>
      </c>
      <c r="C65" s="1065"/>
      <c r="D65" s="1065"/>
      <c r="E65" s="1052" t="s">
        <v>448</v>
      </c>
      <c r="F65" s="1053"/>
      <c r="G65" s="1061"/>
      <c r="H65" s="1062"/>
      <c r="I65" s="1062"/>
      <c r="J65" s="1062"/>
      <c r="K65" s="1062"/>
      <c r="L65" s="1062"/>
      <c r="M65" s="1062"/>
      <c r="N65" s="207"/>
      <c r="O65" s="207"/>
      <c r="P65" s="207"/>
      <c r="Q65" s="207"/>
      <c r="R65" s="207"/>
      <c r="S65" s="207"/>
      <c r="T65" s="207"/>
      <c r="U65" s="207"/>
      <c r="V65" s="207"/>
      <c r="W65" s="208"/>
    </row>
    <row r="66" spans="2:23" ht="177" customHeight="1" x14ac:dyDescent="0.4">
      <c r="B66" s="210"/>
      <c r="C66" s="1066" t="s">
        <v>22</v>
      </c>
      <c r="D66" s="1066"/>
      <c r="E66" s="1068" t="s">
        <v>448</v>
      </c>
      <c r="F66" s="1060"/>
      <c r="G66" s="1121" t="s">
        <v>449</v>
      </c>
      <c r="H66" s="1122"/>
      <c r="I66" s="1122"/>
      <c r="J66" s="1122"/>
      <c r="K66" s="1122"/>
      <c r="L66" s="1122"/>
      <c r="M66" s="1122"/>
      <c r="N66" s="1122"/>
      <c r="O66" s="1122"/>
      <c r="P66" s="1122"/>
      <c r="Q66" s="1122"/>
      <c r="R66" s="1122"/>
      <c r="S66" s="1122"/>
      <c r="T66" s="1122"/>
      <c r="U66" s="1122"/>
      <c r="V66" s="1122"/>
      <c r="W66" s="1123"/>
    </row>
    <row r="67" spans="2:23" ht="25.35" customHeight="1" x14ac:dyDescent="0.4">
      <c r="B67" s="1118" t="s">
        <v>450</v>
      </c>
      <c r="C67" s="1109"/>
      <c r="D67" s="1119"/>
      <c r="E67" s="1052" t="s">
        <v>451</v>
      </c>
      <c r="F67" s="1124"/>
      <c r="G67" s="215"/>
      <c r="H67" s="216"/>
      <c r="I67" s="216"/>
      <c r="J67" s="216"/>
      <c r="K67" s="216"/>
      <c r="L67" s="216"/>
      <c r="M67" s="216"/>
      <c r="N67" s="216"/>
      <c r="O67" s="216"/>
      <c r="P67" s="216"/>
      <c r="Q67" s="216"/>
      <c r="R67" s="216"/>
      <c r="S67" s="216"/>
      <c r="T67" s="216"/>
      <c r="U67" s="216"/>
      <c r="V67" s="216"/>
      <c r="W67" s="217"/>
    </row>
    <row r="68" spans="2:23" ht="30.75" customHeight="1" x14ac:dyDescent="0.4">
      <c r="B68" s="211"/>
      <c r="C68" s="1058" t="s">
        <v>25</v>
      </c>
      <c r="D68" s="1060"/>
      <c r="E68" s="1068" t="s">
        <v>452</v>
      </c>
      <c r="F68" s="1114"/>
      <c r="G68" s="1115" t="s">
        <v>453</v>
      </c>
      <c r="H68" s="1116"/>
      <c r="I68" s="1116"/>
      <c r="J68" s="1116"/>
      <c r="K68" s="1116"/>
      <c r="L68" s="1116"/>
      <c r="M68" s="1116"/>
      <c r="N68" s="1116"/>
      <c r="O68" s="1116"/>
      <c r="P68" s="1116"/>
      <c r="Q68" s="1116"/>
      <c r="R68" s="1116"/>
      <c r="S68" s="1116"/>
      <c r="T68" s="1116"/>
      <c r="U68" s="1116"/>
      <c r="V68" s="1116"/>
      <c r="W68" s="1117"/>
    </row>
    <row r="69" spans="2:23" ht="25.35" customHeight="1" x14ac:dyDescent="0.4">
      <c r="B69" s="211"/>
      <c r="C69" s="1058" t="s">
        <v>18</v>
      </c>
      <c r="D69" s="1060"/>
      <c r="E69" s="1068" t="s">
        <v>454</v>
      </c>
      <c r="F69" s="1114"/>
      <c r="G69" s="1115" t="s">
        <v>455</v>
      </c>
      <c r="H69" s="1116"/>
      <c r="I69" s="1116"/>
      <c r="J69" s="1116"/>
      <c r="K69" s="1116"/>
      <c r="L69" s="1116"/>
      <c r="M69" s="1116"/>
      <c r="N69" s="1116"/>
      <c r="O69" s="1116"/>
      <c r="P69" s="1116"/>
      <c r="Q69" s="1116"/>
      <c r="R69" s="1116"/>
      <c r="S69" s="1116"/>
      <c r="T69" s="1116"/>
      <c r="U69" s="1116"/>
      <c r="V69" s="1116"/>
      <c r="W69" s="1117"/>
    </row>
    <row r="70" spans="2:23" ht="25.35" customHeight="1" x14ac:dyDescent="0.4">
      <c r="B70" s="211"/>
      <c r="C70" s="1058" t="s">
        <v>456</v>
      </c>
      <c r="D70" s="1060"/>
      <c r="E70" s="1068" t="s">
        <v>457</v>
      </c>
      <c r="F70" s="1114"/>
      <c r="G70" s="1115" t="s">
        <v>458</v>
      </c>
      <c r="H70" s="1116"/>
      <c r="I70" s="1116"/>
      <c r="J70" s="1116"/>
      <c r="K70" s="1116"/>
      <c r="L70" s="1116"/>
      <c r="M70" s="1116"/>
      <c r="N70" s="1116"/>
      <c r="O70" s="1116"/>
      <c r="P70" s="1116"/>
      <c r="Q70" s="1116"/>
      <c r="R70" s="1116"/>
      <c r="S70" s="1116"/>
      <c r="T70" s="1116"/>
      <c r="U70" s="1116"/>
      <c r="V70" s="1116"/>
      <c r="W70" s="1117"/>
    </row>
    <row r="71" spans="2:23" ht="25.35" customHeight="1" x14ac:dyDescent="0.4">
      <c r="B71" s="1069" t="s">
        <v>43</v>
      </c>
      <c r="C71" s="1070"/>
      <c r="D71" s="1071"/>
      <c r="E71" s="1120" t="s">
        <v>459</v>
      </c>
      <c r="F71" s="1071"/>
      <c r="G71" s="218" t="s">
        <v>460</v>
      </c>
      <c r="H71" s="219"/>
      <c r="I71" s="219"/>
      <c r="J71" s="219"/>
      <c r="K71" s="219"/>
      <c r="L71" s="219"/>
      <c r="M71" s="219"/>
      <c r="N71" s="212"/>
      <c r="O71" s="212"/>
      <c r="P71" s="212"/>
      <c r="Q71" s="212"/>
      <c r="R71" s="212"/>
      <c r="S71" s="212"/>
      <c r="T71" s="212"/>
      <c r="U71" s="212"/>
      <c r="V71" s="212"/>
      <c r="W71" s="213"/>
    </row>
    <row r="72" spans="2:23" x14ac:dyDescent="0.4">
      <c r="B72" s="197"/>
    </row>
    <row r="73" spans="2:23" ht="25.35" customHeight="1" x14ac:dyDescent="0.4">
      <c r="B73" s="194" t="s">
        <v>461</v>
      </c>
    </row>
    <row r="74" spans="2:23" ht="25.35" customHeight="1" x14ac:dyDescent="0.4">
      <c r="B74" s="1063" t="s">
        <v>6</v>
      </c>
      <c r="C74" s="1063"/>
      <c r="D74" s="1063"/>
      <c r="E74" s="1050" t="s">
        <v>462</v>
      </c>
      <c r="F74" s="1067"/>
      <c r="G74" s="1067"/>
      <c r="H74" s="1067"/>
      <c r="I74" s="1067"/>
      <c r="J74" s="1067"/>
      <c r="K74" s="1067"/>
      <c r="L74" s="1067"/>
      <c r="M74" s="1067"/>
      <c r="N74" s="1067"/>
      <c r="O74" s="1067"/>
      <c r="P74" s="1067"/>
      <c r="Q74" s="1067"/>
      <c r="R74" s="1067"/>
      <c r="S74" s="1067"/>
      <c r="T74" s="1067"/>
      <c r="U74" s="1067"/>
      <c r="V74" s="1067"/>
      <c r="W74" s="1051"/>
    </row>
    <row r="75" spans="2:23" ht="29.25" customHeight="1" x14ac:dyDescent="0.4">
      <c r="B75" s="1066" t="s">
        <v>109</v>
      </c>
      <c r="C75" s="1066"/>
      <c r="D75" s="1066"/>
      <c r="E75" s="1054" t="s">
        <v>463</v>
      </c>
      <c r="F75" s="1055"/>
      <c r="G75" s="1055"/>
      <c r="H75" s="1055"/>
      <c r="I75" s="1055"/>
      <c r="J75" s="1055"/>
      <c r="K75" s="1055"/>
      <c r="L75" s="1055"/>
      <c r="M75" s="1055"/>
      <c r="N75" s="1055"/>
      <c r="O75" s="1055"/>
      <c r="P75" s="1055"/>
      <c r="Q75" s="1055"/>
      <c r="R75" s="1055"/>
      <c r="S75" s="1055"/>
      <c r="T75" s="1055"/>
      <c r="U75" s="1055"/>
      <c r="V75" s="1055"/>
      <c r="W75" s="1056"/>
    </row>
    <row r="76" spans="2:23" ht="146.25" customHeight="1" x14ac:dyDescent="0.4">
      <c r="B76" s="1066" t="s">
        <v>111</v>
      </c>
      <c r="C76" s="1066"/>
      <c r="D76" s="1066"/>
      <c r="E76" s="1057" t="s">
        <v>464</v>
      </c>
      <c r="F76" s="1055"/>
      <c r="G76" s="1055"/>
      <c r="H76" s="1055"/>
      <c r="I76" s="1055"/>
      <c r="J76" s="1055"/>
      <c r="K76" s="1055"/>
      <c r="L76" s="1055"/>
      <c r="M76" s="1055"/>
      <c r="N76" s="1055"/>
      <c r="O76" s="1055"/>
      <c r="P76" s="1055"/>
      <c r="Q76" s="1055"/>
      <c r="R76" s="1055"/>
      <c r="S76" s="1055"/>
      <c r="T76" s="1055"/>
      <c r="U76" s="1055"/>
      <c r="V76" s="1055"/>
      <c r="W76" s="1056"/>
    </row>
    <row r="77" spans="2:23" ht="69.75" customHeight="1" x14ac:dyDescent="0.4">
      <c r="B77" s="1058" t="s">
        <v>23</v>
      </c>
      <c r="C77" s="1059"/>
      <c r="D77" s="1060"/>
      <c r="E77" s="1057" t="s">
        <v>465</v>
      </c>
      <c r="F77" s="1055"/>
      <c r="G77" s="1055"/>
      <c r="H77" s="1055"/>
      <c r="I77" s="1055"/>
      <c r="J77" s="1055"/>
      <c r="K77" s="1055"/>
      <c r="L77" s="1055"/>
      <c r="M77" s="1055"/>
      <c r="N77" s="1055"/>
      <c r="O77" s="1055"/>
      <c r="P77" s="1055"/>
      <c r="Q77" s="1055"/>
      <c r="R77" s="1055"/>
      <c r="S77" s="1055"/>
      <c r="T77" s="1055"/>
      <c r="U77" s="1055"/>
      <c r="V77" s="1055"/>
      <c r="W77" s="1056"/>
    </row>
    <row r="82" spans="2:2" x14ac:dyDescent="0.4">
      <c r="B82" s="197"/>
    </row>
  </sheetData>
  <mergeCells count="144">
    <mergeCell ref="Y25:Y26"/>
    <mergeCell ref="C34:D34"/>
    <mergeCell ref="S25:S26"/>
    <mergeCell ref="C28:D28"/>
    <mergeCell ref="C29:C30"/>
    <mergeCell ref="C31:D31"/>
    <mergeCell ref="C32:C33"/>
    <mergeCell ref="R25:R26"/>
    <mergeCell ref="C35:C39"/>
    <mergeCell ref="O25:O26"/>
    <mergeCell ref="P25:P26"/>
    <mergeCell ref="Q25:Q26"/>
    <mergeCell ref="E25:E26"/>
    <mergeCell ref="F25:F26"/>
    <mergeCell ref="G25:G26"/>
    <mergeCell ref="H25:H26"/>
    <mergeCell ref="I25:I26"/>
    <mergeCell ref="J25:J26"/>
    <mergeCell ref="L25:L26"/>
    <mergeCell ref="M25:M26"/>
    <mergeCell ref="N25:N26"/>
    <mergeCell ref="V25:V26"/>
    <mergeCell ref="W25:W26"/>
    <mergeCell ref="X25:X26"/>
    <mergeCell ref="G53:M53"/>
    <mergeCell ref="B50:D50"/>
    <mergeCell ref="E46:F46"/>
    <mergeCell ref="G46:W46"/>
    <mergeCell ref="C47:D47"/>
    <mergeCell ref="E47:F47"/>
    <mergeCell ref="G47:W47"/>
    <mergeCell ref="B48:D48"/>
    <mergeCell ref="E48:F48"/>
    <mergeCell ref="G48:M48"/>
    <mergeCell ref="Q24:S24"/>
    <mergeCell ref="T24:V24"/>
    <mergeCell ref="E58:F58"/>
    <mergeCell ref="E56:F56"/>
    <mergeCell ref="G56:W56"/>
    <mergeCell ref="G58:W58"/>
    <mergeCell ref="B44:D44"/>
    <mergeCell ref="E44:F44"/>
    <mergeCell ref="G44:W44"/>
    <mergeCell ref="B56:D56"/>
    <mergeCell ref="G57:W57"/>
    <mergeCell ref="B57:D57"/>
    <mergeCell ref="E57:F57"/>
    <mergeCell ref="B45:D45"/>
    <mergeCell ref="E45:F45"/>
    <mergeCell ref="G45:M45"/>
    <mergeCell ref="B46:B47"/>
    <mergeCell ref="C46:D46"/>
    <mergeCell ref="B58:D58"/>
    <mergeCell ref="C49:D49"/>
    <mergeCell ref="E49:F49"/>
    <mergeCell ref="G49:M49"/>
    <mergeCell ref="B53:D53"/>
    <mergeCell ref="E53:F53"/>
    <mergeCell ref="A1:AD1"/>
    <mergeCell ref="A5:C7"/>
    <mergeCell ref="D5:D7"/>
    <mergeCell ref="E5:E7"/>
    <mergeCell ref="F5:H5"/>
    <mergeCell ref="I5:T5"/>
    <mergeCell ref="X5:Z5"/>
    <mergeCell ref="AB5:AD5"/>
    <mergeCell ref="F6:F7"/>
    <mergeCell ref="AB6:AB7"/>
    <mergeCell ref="AC6:AC7"/>
    <mergeCell ref="AD6:AD7"/>
    <mergeCell ref="U5:W5"/>
    <mergeCell ref="Y6:Y7"/>
    <mergeCell ref="Z6:Z7"/>
    <mergeCell ref="U6:U7"/>
    <mergeCell ref="V6:V7"/>
    <mergeCell ref="W6:W7"/>
    <mergeCell ref="R6:T6"/>
    <mergeCell ref="Z25:Z26"/>
    <mergeCell ref="B23:D26"/>
    <mergeCell ref="C70:D70"/>
    <mergeCell ref="E70:F70"/>
    <mergeCell ref="G70:W70"/>
    <mergeCell ref="B67:D67"/>
    <mergeCell ref="C68:D68"/>
    <mergeCell ref="C69:D69"/>
    <mergeCell ref="E71:F71"/>
    <mergeCell ref="G66:W66"/>
    <mergeCell ref="E64:F64"/>
    <mergeCell ref="B62:D62"/>
    <mergeCell ref="E67:F67"/>
    <mergeCell ref="E68:F68"/>
    <mergeCell ref="E69:F69"/>
    <mergeCell ref="G68:W68"/>
    <mergeCell ref="G69:W69"/>
    <mergeCell ref="G62:W62"/>
    <mergeCell ref="G64:W64"/>
    <mergeCell ref="C51:D51"/>
    <mergeCell ref="E51:F51"/>
    <mergeCell ref="E52:F52"/>
    <mergeCell ref="E50:F50"/>
    <mergeCell ref="C52:D52"/>
    <mergeCell ref="B8:C8"/>
    <mergeCell ref="X6:X7"/>
    <mergeCell ref="I6:K6"/>
    <mergeCell ref="L6:N6"/>
    <mergeCell ref="O6:Q6"/>
    <mergeCell ref="G6:G7"/>
    <mergeCell ref="H6:H7"/>
    <mergeCell ref="C27:D27"/>
    <mergeCell ref="B9:C9"/>
    <mergeCell ref="B10:B11"/>
    <mergeCell ref="B12:C12"/>
    <mergeCell ref="B13:B14"/>
    <mergeCell ref="B15:C15"/>
    <mergeCell ref="B16:B20"/>
    <mergeCell ref="K25:K26"/>
    <mergeCell ref="T25:T26"/>
    <mergeCell ref="U25:U26"/>
    <mergeCell ref="E23:M23"/>
    <mergeCell ref="N23:V23"/>
    <mergeCell ref="W23:Z24"/>
    <mergeCell ref="E24:G24"/>
    <mergeCell ref="H24:J24"/>
    <mergeCell ref="K24:M24"/>
    <mergeCell ref="N24:P24"/>
    <mergeCell ref="E62:F62"/>
    <mergeCell ref="E63:F63"/>
    <mergeCell ref="E75:W75"/>
    <mergeCell ref="E76:W76"/>
    <mergeCell ref="B77:D77"/>
    <mergeCell ref="E77:W77"/>
    <mergeCell ref="G63:M63"/>
    <mergeCell ref="B74:D74"/>
    <mergeCell ref="B63:D63"/>
    <mergeCell ref="C64:D64"/>
    <mergeCell ref="B76:D76"/>
    <mergeCell ref="B75:D75"/>
    <mergeCell ref="E74:W74"/>
    <mergeCell ref="E65:F65"/>
    <mergeCell ref="E66:F66"/>
    <mergeCell ref="B71:D71"/>
    <mergeCell ref="G65:M65"/>
    <mergeCell ref="B65:D65"/>
    <mergeCell ref="C66:D66"/>
  </mergeCells>
  <phoneticPr fontId="2" type="noConversion"/>
  <pageMargins left="0.38" right="0.32" top="0.35" bottom="0.19" header="0.3" footer="0.17"/>
  <pageSetup paperSize="8" scale="48"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C38D5-B8AD-447E-BA87-B85EBCF9649A}">
  <sheetPr codeName="Sheet12"/>
  <dimension ref="B2:AD38"/>
  <sheetViews>
    <sheetView showGridLines="0" zoomScale="85" zoomScaleNormal="85" workbookViewId="0">
      <selection activeCell="M25" sqref="M25:P25"/>
    </sheetView>
  </sheetViews>
  <sheetFormatPr defaultRowHeight="17.399999999999999" x14ac:dyDescent="0.4"/>
  <cols>
    <col min="1" max="1" width="1" customWidth="1"/>
    <col min="2" max="2" width="4.59765625" customWidth="1"/>
    <col min="9" max="27" width="9" style="41"/>
  </cols>
  <sheetData>
    <row r="2" spans="2:30" ht="27.6" x14ac:dyDescent="0.4">
      <c r="B2" s="40" t="s">
        <v>466</v>
      </c>
      <c r="Q2" s="40" t="s">
        <v>467</v>
      </c>
    </row>
    <row r="3" spans="2:30" ht="18" thickBot="1" x14ac:dyDescent="0.45">
      <c r="O3" s="42" t="s">
        <v>5</v>
      </c>
      <c r="AD3" s="42" t="s">
        <v>5</v>
      </c>
    </row>
    <row r="4" spans="2:30" ht="18" thickBot="1" x14ac:dyDescent="0.45">
      <c r="B4" s="1218" t="s">
        <v>6</v>
      </c>
      <c r="C4" s="1219"/>
      <c r="D4" s="1208" t="s">
        <v>1</v>
      </c>
      <c r="E4" s="1209"/>
      <c r="F4" s="1209"/>
      <c r="G4" s="1209"/>
      <c r="H4" s="1209"/>
      <c r="I4" s="1209"/>
      <c r="J4" s="1209"/>
      <c r="K4" s="1209"/>
      <c r="L4" s="1209"/>
      <c r="M4" s="1209"/>
      <c r="N4" s="1209"/>
      <c r="O4" s="1210"/>
      <c r="Q4" s="1218" t="s">
        <v>6</v>
      </c>
      <c r="R4" s="1219"/>
      <c r="S4" s="1208" t="s">
        <v>1</v>
      </c>
      <c r="T4" s="1209"/>
      <c r="U4" s="1209"/>
      <c r="V4" s="1209"/>
      <c r="W4" s="1209"/>
      <c r="X4" s="1209"/>
      <c r="Y4" s="1209"/>
      <c r="Z4" s="1209"/>
      <c r="AA4" s="1209"/>
      <c r="AB4" s="1209"/>
      <c r="AC4" s="1209"/>
      <c r="AD4" s="1210"/>
    </row>
    <row r="5" spans="2:30" ht="18" thickTop="1" x14ac:dyDescent="0.4">
      <c r="B5" s="1220"/>
      <c r="C5" s="1221"/>
      <c r="D5" s="1211" t="s">
        <v>468</v>
      </c>
      <c r="E5" s="1212"/>
      <c r="F5" s="1213"/>
      <c r="G5" s="1214" t="s">
        <v>2</v>
      </c>
      <c r="H5" s="1214"/>
      <c r="I5" s="1215"/>
      <c r="J5" s="1216" t="s">
        <v>3</v>
      </c>
      <c r="K5" s="1214"/>
      <c r="L5" s="1215"/>
      <c r="M5" s="1216" t="s">
        <v>4</v>
      </c>
      <c r="N5" s="1214"/>
      <c r="O5" s="1217"/>
      <c r="Q5" s="1220"/>
      <c r="R5" s="1221"/>
      <c r="S5" s="1211" t="s">
        <v>468</v>
      </c>
      <c r="T5" s="1212"/>
      <c r="U5" s="1213"/>
      <c r="V5" s="1214" t="s">
        <v>2</v>
      </c>
      <c r="W5" s="1214"/>
      <c r="X5" s="1215"/>
      <c r="Y5" s="1216" t="s">
        <v>3</v>
      </c>
      <c r="Z5" s="1214"/>
      <c r="AA5" s="1215"/>
      <c r="AB5" s="1216" t="s">
        <v>4</v>
      </c>
      <c r="AC5" s="1214"/>
      <c r="AD5" s="1217"/>
    </row>
    <row r="6" spans="2:30" ht="18" thickBot="1" x14ac:dyDescent="0.45">
      <c r="B6" s="1222"/>
      <c r="C6" s="1223"/>
      <c r="D6" s="99" t="s">
        <v>35</v>
      </c>
      <c r="E6" s="100" t="s">
        <v>469</v>
      </c>
      <c r="F6" s="101" t="s">
        <v>55</v>
      </c>
      <c r="G6" s="102" t="s">
        <v>35</v>
      </c>
      <c r="H6" s="100" t="s">
        <v>469</v>
      </c>
      <c r="I6" s="100" t="s">
        <v>55</v>
      </c>
      <c r="J6" s="103" t="s">
        <v>35</v>
      </c>
      <c r="K6" s="100" t="s">
        <v>469</v>
      </c>
      <c r="L6" s="100" t="s">
        <v>55</v>
      </c>
      <c r="M6" s="103" t="s">
        <v>35</v>
      </c>
      <c r="N6" s="100" t="s">
        <v>469</v>
      </c>
      <c r="O6" s="104" t="s">
        <v>55</v>
      </c>
      <c r="Q6" s="1222"/>
      <c r="R6" s="1223"/>
      <c r="S6" s="99" t="s">
        <v>35</v>
      </c>
      <c r="T6" s="100" t="s">
        <v>469</v>
      </c>
      <c r="U6" s="101" t="s">
        <v>55</v>
      </c>
      <c r="V6" s="102" t="s">
        <v>35</v>
      </c>
      <c r="W6" s="100" t="s">
        <v>469</v>
      </c>
      <c r="X6" s="100" t="s">
        <v>55</v>
      </c>
      <c r="Y6" s="103" t="s">
        <v>35</v>
      </c>
      <c r="Z6" s="100" t="s">
        <v>469</v>
      </c>
      <c r="AA6" s="100" t="s">
        <v>55</v>
      </c>
      <c r="AB6" s="103" t="s">
        <v>35</v>
      </c>
      <c r="AC6" s="100" t="s">
        <v>469</v>
      </c>
      <c r="AD6" s="104" t="s">
        <v>55</v>
      </c>
    </row>
    <row r="7" spans="2:30" x14ac:dyDescent="0.4">
      <c r="B7" s="1224" t="s">
        <v>470</v>
      </c>
      <c r="C7" s="1225"/>
      <c r="D7" s="105" t="e">
        <f>D8+D11+D14</f>
        <v>#REF!</v>
      </c>
      <c r="E7" s="106">
        <f t="shared" ref="E7" si="0">E8+E11+E14</f>
        <v>202.61907637000002</v>
      </c>
      <c r="F7" s="140" t="e">
        <f>E7-D7</f>
        <v>#REF!</v>
      </c>
      <c r="G7" s="107" t="e">
        <f>G8+G11+G14</f>
        <v>#REF!</v>
      </c>
      <c r="H7" s="106">
        <f t="shared" ref="H7" si="1">H8+H11+H14</f>
        <v>75.121089590000011</v>
      </c>
      <c r="I7" s="108" t="e">
        <f>H7-+G7</f>
        <v>#REF!</v>
      </c>
      <c r="J7" s="106" t="e">
        <f t="shared" ref="J7:K7" si="2">J8+J11+J14</f>
        <v>#REF!</v>
      </c>
      <c r="K7" s="106">
        <f t="shared" si="2"/>
        <v>81.989757890000007</v>
      </c>
      <c r="L7" s="135" t="e">
        <f>K7-+J7</f>
        <v>#REF!</v>
      </c>
      <c r="M7" s="106" t="e">
        <f t="shared" ref="M7:N7" si="3">M8+M11+M14</f>
        <v>#REF!</v>
      </c>
      <c r="N7" s="109">
        <f t="shared" si="3"/>
        <v>45.508228890000005</v>
      </c>
      <c r="O7" s="149" t="e">
        <f>N7-+M7</f>
        <v>#REF!</v>
      </c>
      <c r="Q7" s="1224" t="s">
        <v>470</v>
      </c>
      <c r="R7" s="1225"/>
      <c r="S7" s="105" t="e">
        <f>S8+S11+S14</f>
        <v>#REF!</v>
      </c>
      <c r="T7" s="106">
        <f t="shared" ref="T7" si="4">T8+T11+T14</f>
        <v>269.57963601</v>
      </c>
      <c r="U7" s="155" t="e">
        <f>T7-S7</f>
        <v>#REF!</v>
      </c>
      <c r="V7" s="107" t="e">
        <f>V8+V11+V14</f>
        <v>#REF!</v>
      </c>
      <c r="W7" s="106">
        <f t="shared" ref="W7" si="5">W8+W11+W14</f>
        <v>66.926485450000001</v>
      </c>
      <c r="X7" s="108" t="e">
        <f>W7-+V7</f>
        <v>#REF!</v>
      </c>
      <c r="Y7" s="106" t="e">
        <f t="shared" ref="Y7:Z7" si="6">Y8+Y11+Y14</f>
        <v>#REF!</v>
      </c>
      <c r="Z7" s="106">
        <f t="shared" si="6"/>
        <v>107.74841590000001</v>
      </c>
      <c r="AA7" s="135" t="e">
        <f>Z7-+Y7</f>
        <v>#REF!</v>
      </c>
      <c r="AB7" s="106" t="e">
        <f t="shared" ref="AB7:AC7" si="7">AB8+AB11+AB14</f>
        <v>#REF!</v>
      </c>
      <c r="AC7" s="109">
        <f t="shared" si="7"/>
        <v>94.904734659999988</v>
      </c>
      <c r="AD7" s="149" t="e">
        <f>AC7-+AB7</f>
        <v>#REF!</v>
      </c>
    </row>
    <row r="8" spans="2:30" x14ac:dyDescent="0.4">
      <c r="B8" s="1226" t="s">
        <v>40</v>
      </c>
      <c r="C8" s="1227"/>
      <c r="D8" s="110" t="e">
        <f>SUM(D9:D10)</f>
        <v>#REF!</v>
      </c>
      <c r="E8" s="111">
        <f t="shared" ref="E8" si="8">SUM(E9:E10)</f>
        <v>139.98714079999999</v>
      </c>
      <c r="F8" s="122" t="e">
        <f t="shared" ref="F8:F17" si="9">E8-D8</f>
        <v>#REF!</v>
      </c>
      <c r="G8" s="112" t="e">
        <f>SUM(G9:G10)</f>
        <v>#REF!</v>
      </c>
      <c r="H8" s="111">
        <f t="shared" ref="H8" si="10">SUM(H9:H10)</f>
        <v>52.8307766</v>
      </c>
      <c r="I8" s="134" t="e">
        <f>H8-G8</f>
        <v>#REF!</v>
      </c>
      <c r="J8" s="111" t="e">
        <f t="shared" ref="J8:K8" si="11">SUM(J9:J10)</f>
        <v>#REF!</v>
      </c>
      <c r="K8" s="111">
        <f t="shared" si="11"/>
        <v>62.670532000000001</v>
      </c>
      <c r="L8" s="134" t="e">
        <f>K8-J8</f>
        <v>#REF!</v>
      </c>
      <c r="M8" s="111" t="e">
        <f t="shared" ref="M8:N8" si="12">SUM(M9:M10)</f>
        <v>#REF!</v>
      </c>
      <c r="N8" s="113">
        <f t="shared" si="12"/>
        <v>24.485832200000001</v>
      </c>
      <c r="O8" s="150" t="e">
        <f>N8-M8</f>
        <v>#REF!</v>
      </c>
      <c r="Q8" s="1226" t="s">
        <v>40</v>
      </c>
      <c r="R8" s="1227"/>
      <c r="S8" s="110" t="e">
        <f>SUM(S9:S10)</f>
        <v>#REF!</v>
      </c>
      <c r="T8" s="111">
        <f t="shared" ref="T8" si="13">SUM(T9:T10)</f>
        <v>86.421011739999997</v>
      </c>
      <c r="U8" s="156" t="e">
        <f t="shared" ref="U8:U18" si="14">T8-S8</f>
        <v>#REF!</v>
      </c>
      <c r="V8" s="112" t="e">
        <f>SUM(V9:V10)</f>
        <v>#REF!</v>
      </c>
      <c r="W8" s="111">
        <f t="shared" ref="W8" si="15">SUM(W9:W10)</f>
        <v>3.0259727999999999</v>
      </c>
      <c r="X8" s="134" t="e">
        <f>W8-V8</f>
        <v>#REF!</v>
      </c>
      <c r="Y8" s="111" t="e">
        <f t="shared" ref="Y8:Z8" si="16">SUM(Y9:Y10)</f>
        <v>#REF!</v>
      </c>
      <c r="Z8" s="111">
        <f t="shared" si="16"/>
        <v>53.72064744</v>
      </c>
      <c r="AA8" s="134" t="e">
        <f>Z8-Y8</f>
        <v>#REF!</v>
      </c>
      <c r="AB8" s="111" t="e">
        <f t="shared" ref="AB8:AC8" si="17">SUM(AB9:AB10)</f>
        <v>#REF!</v>
      </c>
      <c r="AC8" s="113">
        <f t="shared" si="17"/>
        <v>29.674391499999999</v>
      </c>
      <c r="AD8" s="150" t="e">
        <f>AC8-AB8</f>
        <v>#REF!</v>
      </c>
    </row>
    <row r="9" spans="2:30" x14ac:dyDescent="0.4">
      <c r="B9" s="1228"/>
      <c r="C9" s="59" t="s">
        <v>445</v>
      </c>
      <c r="D9" s="114" t="e">
        <f>L29</f>
        <v>#REF!</v>
      </c>
      <c r="E9" s="115">
        <f>H9+K9+N9</f>
        <v>133.7737328</v>
      </c>
      <c r="F9" s="141" t="e">
        <f t="shared" si="9"/>
        <v>#REF!</v>
      </c>
      <c r="G9" s="116" t="e">
        <f>I29</f>
        <v>#REF!</v>
      </c>
      <c r="H9" s="115">
        <f>셀트리온제약!I15/10^8</f>
        <v>51.264822600000002</v>
      </c>
      <c r="I9" s="115" t="e">
        <f>H9-G9</f>
        <v>#REF!</v>
      </c>
      <c r="J9" s="115" t="e">
        <f>J29</f>
        <v>#REF!</v>
      </c>
      <c r="K9" s="115">
        <f>셀트리온제약!I24/10^8</f>
        <v>62.670532000000001</v>
      </c>
      <c r="L9" s="115" t="e">
        <f>K9-J9</f>
        <v>#REF!</v>
      </c>
      <c r="M9" s="115" t="e">
        <f>K29</f>
        <v>#REF!</v>
      </c>
      <c r="N9" s="117">
        <f>셀트리온제약!I33/10^8</f>
        <v>19.838378200000001</v>
      </c>
      <c r="O9" s="151" t="e">
        <f>N9-M9</f>
        <v>#REF!</v>
      </c>
      <c r="Q9" s="1228"/>
      <c r="R9" s="59" t="s">
        <v>445</v>
      </c>
      <c r="S9" s="114" t="e">
        <f>D9</f>
        <v>#REF!</v>
      </c>
      <c r="T9" s="115">
        <f>W9+Z9+AC9</f>
        <v>86.421011739999997</v>
      </c>
      <c r="U9" s="157" t="e">
        <f t="shared" si="14"/>
        <v>#REF!</v>
      </c>
      <c r="V9" s="116" t="e">
        <f>G9</f>
        <v>#REF!</v>
      </c>
      <c r="W9" s="115">
        <f>'상세 자료 작성'!K7/10^8</f>
        <v>3.0259727999999999</v>
      </c>
      <c r="X9" s="115" t="e">
        <f>W9-V9</f>
        <v>#REF!</v>
      </c>
      <c r="Y9" s="115" t="e">
        <f>J9</f>
        <v>#REF!</v>
      </c>
      <c r="Z9" s="115">
        <f>'상세 자료 작성'!K18/10^8</f>
        <v>53.72064744</v>
      </c>
      <c r="AA9" s="115" t="e">
        <f>Z9-Y9</f>
        <v>#REF!</v>
      </c>
      <c r="AB9" s="115" t="e">
        <f>M9</f>
        <v>#REF!</v>
      </c>
      <c r="AC9" s="117">
        <f>'상세 자료 작성'!K29/10^8</f>
        <v>29.674391499999999</v>
      </c>
      <c r="AD9" s="151" t="e">
        <f>AC9-AB9</f>
        <v>#REF!</v>
      </c>
    </row>
    <row r="10" spans="2:30" x14ac:dyDescent="0.4">
      <c r="B10" s="1229"/>
      <c r="C10" s="67" t="s">
        <v>471</v>
      </c>
      <c r="D10" s="118" t="e">
        <f>L30</f>
        <v>#REF!</v>
      </c>
      <c r="E10" s="119">
        <f>H10+K10+N10</f>
        <v>6.2134079999999994</v>
      </c>
      <c r="F10" s="142" t="e">
        <f t="shared" si="9"/>
        <v>#REF!</v>
      </c>
      <c r="G10" s="120" t="e">
        <f>I30</f>
        <v>#REF!</v>
      </c>
      <c r="H10" s="119">
        <f>셀트리온제약!I16/10^8</f>
        <v>1.5659540000000001</v>
      </c>
      <c r="I10" s="119" t="e">
        <f>H10-G10</f>
        <v>#REF!</v>
      </c>
      <c r="J10" s="119" t="e">
        <f>J30</f>
        <v>#REF!</v>
      </c>
      <c r="K10" s="119">
        <f>셀트리온제약!I25/10^8</f>
        <v>0</v>
      </c>
      <c r="L10" s="153" t="e">
        <f>K10-J10</f>
        <v>#REF!</v>
      </c>
      <c r="M10" s="119" t="e">
        <f>K30</f>
        <v>#REF!</v>
      </c>
      <c r="N10" s="121">
        <f>셀트리온제약!I34/10^8</f>
        <v>4.6474539999999998</v>
      </c>
      <c r="O10" s="138" t="e">
        <f>N10-M10</f>
        <v>#REF!</v>
      </c>
      <c r="Q10" s="1229"/>
      <c r="R10" s="67" t="s">
        <v>471</v>
      </c>
      <c r="S10" s="118" t="e">
        <f>D10</f>
        <v>#REF!</v>
      </c>
      <c r="T10" s="119">
        <f>W10+Z10+AC10</f>
        <v>0</v>
      </c>
      <c r="U10" s="158" t="e">
        <f t="shared" si="14"/>
        <v>#REF!</v>
      </c>
      <c r="V10" s="120" t="e">
        <f>G10</f>
        <v>#REF!</v>
      </c>
      <c r="W10" s="119">
        <f>'상세 자료 작성'!K8/10^8</f>
        <v>0</v>
      </c>
      <c r="X10" s="119" t="e">
        <f>W10-V10</f>
        <v>#REF!</v>
      </c>
      <c r="Y10" s="119" t="e">
        <f>J10</f>
        <v>#REF!</v>
      </c>
      <c r="Z10" s="119">
        <f>'상세 자료 작성'!K19/10^8</f>
        <v>0</v>
      </c>
      <c r="AA10" s="153" t="e">
        <f>Z10-Y10</f>
        <v>#REF!</v>
      </c>
      <c r="AB10" s="119" t="e">
        <f>M10</f>
        <v>#REF!</v>
      </c>
      <c r="AC10" s="121">
        <f>'상세 자료 작성'!K30/10^8</f>
        <v>0</v>
      </c>
      <c r="AD10" s="152" t="e">
        <f>AC10-AB10</f>
        <v>#REF!</v>
      </c>
    </row>
    <row r="11" spans="2:30" x14ac:dyDescent="0.4">
      <c r="B11" s="1226" t="s">
        <v>447</v>
      </c>
      <c r="C11" s="1227"/>
      <c r="D11" s="110" t="e">
        <f>SUM(D12:D13)</f>
        <v>#REF!</v>
      </c>
      <c r="E11" s="111">
        <f t="shared" ref="E11" si="18">SUM(E12:E13)</f>
        <v>39.312702700000003</v>
      </c>
      <c r="F11" s="122" t="e">
        <f t="shared" si="9"/>
        <v>#REF!</v>
      </c>
      <c r="G11" s="112" t="e">
        <f>SUM(G12:G13)</f>
        <v>#REF!</v>
      </c>
      <c r="H11" s="111">
        <f t="shared" ref="H11" si="19">SUM(H12:H13)</f>
        <v>12.073718700000001</v>
      </c>
      <c r="I11" s="134" t="e">
        <f>H11-G11</f>
        <v>#REF!</v>
      </c>
      <c r="J11" s="111" t="e">
        <f t="shared" ref="J11:K11" si="20">SUM(J12:J13)</f>
        <v>#REF!</v>
      </c>
      <c r="K11" s="111">
        <f t="shared" si="20"/>
        <v>13.879781600000001</v>
      </c>
      <c r="L11" s="134" t="e">
        <f>K11-J11</f>
        <v>#REF!</v>
      </c>
      <c r="M11" s="111" t="e">
        <f t="shared" ref="M11:N11" si="21">SUM(M12:M13)</f>
        <v>#REF!</v>
      </c>
      <c r="N11" s="113">
        <f t="shared" si="21"/>
        <v>13.359202400000001</v>
      </c>
      <c r="O11" s="150" t="e">
        <f>N11-M11</f>
        <v>#REF!</v>
      </c>
      <c r="Q11" s="1226" t="s">
        <v>447</v>
      </c>
      <c r="R11" s="1227"/>
      <c r="S11" s="110" t="e">
        <f>SUM(S12:S13)</f>
        <v>#REF!</v>
      </c>
      <c r="T11" s="111">
        <f t="shared" ref="T11" si="22">SUM(T12:T13)</f>
        <v>165.62408739999998</v>
      </c>
      <c r="U11" s="122" t="e">
        <f t="shared" si="14"/>
        <v>#REF!</v>
      </c>
      <c r="V11" s="112" t="e">
        <f>SUM(V12:V13)</f>
        <v>#REF!</v>
      </c>
      <c r="W11" s="111">
        <f t="shared" ref="W11" si="23">SUM(W12:W13)</f>
        <v>58.836451699999998</v>
      </c>
      <c r="X11" s="134" t="e">
        <f>W11-V11</f>
        <v>#REF!</v>
      </c>
      <c r="Y11" s="111" t="e">
        <f t="shared" ref="Y11:Z11" si="24">SUM(Y12:Y13)</f>
        <v>#REF!</v>
      </c>
      <c r="Z11" s="111">
        <f t="shared" si="24"/>
        <v>51.226657500000002</v>
      </c>
      <c r="AA11" s="134" t="e">
        <f>Z11-Y11</f>
        <v>#REF!</v>
      </c>
      <c r="AB11" s="111" t="e">
        <f t="shared" ref="AB11:AC11" si="25">SUM(AB12:AB13)</f>
        <v>#REF!</v>
      </c>
      <c r="AC11" s="113">
        <f t="shared" si="25"/>
        <v>55.560978199999994</v>
      </c>
      <c r="AD11" s="136" t="e">
        <f>AC11-AB11</f>
        <v>#REF!</v>
      </c>
    </row>
    <row r="12" spans="2:30" x14ac:dyDescent="0.4">
      <c r="B12" s="1228"/>
      <c r="C12" s="59" t="s">
        <v>23</v>
      </c>
      <c r="D12" s="114" t="e">
        <f>L32</f>
        <v>#REF!</v>
      </c>
      <c r="E12" s="115">
        <f>H12+K12+N12</f>
        <v>20.9431437</v>
      </c>
      <c r="F12" s="141" t="e">
        <f t="shared" si="9"/>
        <v>#REF!</v>
      </c>
      <c r="G12" s="116" t="e">
        <f>I32</f>
        <v>#REF!</v>
      </c>
      <c r="H12" s="115">
        <f>셀트리온제약!I17/10^8</f>
        <v>6.7044357000000003</v>
      </c>
      <c r="I12" s="159" t="e">
        <f t="shared" ref="I12:I17" si="26">H12-G12</f>
        <v>#REF!</v>
      </c>
      <c r="J12" s="115" t="e">
        <f>J32</f>
        <v>#REF!</v>
      </c>
      <c r="K12" s="115">
        <f>셀트리온제약!I26/10^8</f>
        <v>6.3735135999999999</v>
      </c>
      <c r="L12" s="115" t="e">
        <f t="shared" ref="L12:L17" si="27">K12-J12</f>
        <v>#REF!</v>
      </c>
      <c r="M12" s="115" t="e">
        <f>K32</f>
        <v>#REF!</v>
      </c>
      <c r="N12" s="117">
        <f>셀트리온제약!I35/10^8</f>
        <v>7.8651944</v>
      </c>
      <c r="O12" s="137" t="e">
        <f t="shared" ref="O12:O17" si="28">N12-M12</f>
        <v>#REF!</v>
      </c>
      <c r="Q12" s="1228"/>
      <c r="R12" s="59" t="s">
        <v>23</v>
      </c>
      <c r="S12" s="114" t="e">
        <f>D12</f>
        <v>#REF!</v>
      </c>
      <c r="T12" s="115">
        <f>W12+Z12+AC12</f>
        <v>27.461327399999998</v>
      </c>
      <c r="U12" s="157" t="e">
        <f t="shared" si="14"/>
        <v>#REF!</v>
      </c>
      <c r="V12" s="116" t="e">
        <f>G12</f>
        <v>#REF!</v>
      </c>
      <c r="W12" s="115">
        <f>'상세 자료 작성'!K10/10^8</f>
        <v>10.137470199999999</v>
      </c>
      <c r="X12" s="159" t="e">
        <f t="shared" ref="X12:X18" si="29">W12-V12</f>
        <v>#REF!</v>
      </c>
      <c r="Y12" s="115" t="e">
        <f>J12</f>
        <v>#REF!</v>
      </c>
      <c r="Z12" s="115">
        <f>'상세 자료 작성'!K21/10^8</f>
        <v>6.8498219999999996</v>
      </c>
      <c r="AA12" s="115" t="e">
        <f t="shared" ref="AA12:AA18" si="30">Z12-Y12</f>
        <v>#REF!</v>
      </c>
      <c r="AB12" s="115" t="e">
        <f>M12</f>
        <v>#REF!</v>
      </c>
      <c r="AC12" s="117">
        <f>'상세 자료 작성'!K32/10^8</f>
        <v>10.474035199999999</v>
      </c>
      <c r="AD12" s="137" t="e">
        <f t="shared" ref="AD12:AD18" si="31">AC12-AB12</f>
        <v>#REF!</v>
      </c>
    </row>
    <row r="13" spans="2:30" x14ac:dyDescent="0.4">
      <c r="B13" s="1229"/>
      <c r="C13" s="67" t="s">
        <v>22</v>
      </c>
      <c r="D13" s="118">
        <f>L33</f>
        <v>0.616676</v>
      </c>
      <c r="E13" s="119">
        <f>H13+K13+N13</f>
        <v>18.369559000000002</v>
      </c>
      <c r="F13" s="142">
        <f t="shared" si="9"/>
        <v>17.752883000000004</v>
      </c>
      <c r="G13" s="120">
        <f>I33</f>
        <v>0</v>
      </c>
      <c r="H13" s="119">
        <f>셀트리온제약!I18/10^8</f>
        <v>5.3692830000000002</v>
      </c>
      <c r="I13" s="119">
        <f t="shared" si="26"/>
        <v>5.3692830000000002</v>
      </c>
      <c r="J13" s="119">
        <f>J33</f>
        <v>0</v>
      </c>
      <c r="K13" s="119">
        <f>셀트리온제약!I27/10^8</f>
        <v>7.5062680000000004</v>
      </c>
      <c r="L13" s="119">
        <f t="shared" si="27"/>
        <v>7.5062680000000004</v>
      </c>
      <c r="M13" s="119">
        <f>K33</f>
        <v>0.616676</v>
      </c>
      <c r="N13" s="121">
        <f>셀트리온제약!I36/10^8</f>
        <v>5.494008</v>
      </c>
      <c r="O13" s="152">
        <f t="shared" si="28"/>
        <v>4.877332</v>
      </c>
      <c r="Q13" s="1229"/>
      <c r="R13" s="67" t="s">
        <v>22</v>
      </c>
      <c r="S13" s="118">
        <f>D13</f>
        <v>0.616676</v>
      </c>
      <c r="T13" s="119">
        <f>W13+Z13+AC13</f>
        <v>138.16275999999999</v>
      </c>
      <c r="U13" s="142">
        <f t="shared" si="14"/>
        <v>137.54608399999998</v>
      </c>
      <c r="V13" s="120">
        <f>G13</f>
        <v>0</v>
      </c>
      <c r="W13" s="119">
        <f>'상세 자료 작성'!K11/10^8</f>
        <v>48.698981500000002</v>
      </c>
      <c r="X13" s="119">
        <f t="shared" si="29"/>
        <v>48.698981500000002</v>
      </c>
      <c r="Y13" s="119">
        <f>J13</f>
        <v>0</v>
      </c>
      <c r="Z13" s="119">
        <f>'상세 자료 작성'!K22/10^8</f>
        <v>44.376835499999999</v>
      </c>
      <c r="AA13" s="119">
        <f t="shared" si="30"/>
        <v>44.376835499999999</v>
      </c>
      <c r="AB13" s="119">
        <f>M13</f>
        <v>0.616676</v>
      </c>
      <c r="AC13" s="121">
        <f>'상세 자료 작성'!K33/10^8</f>
        <v>45.086942999999998</v>
      </c>
      <c r="AD13" s="138">
        <f t="shared" si="31"/>
        <v>44.470267</v>
      </c>
    </row>
    <row r="14" spans="2:30" x14ac:dyDescent="0.4">
      <c r="B14" s="1226" t="s">
        <v>472</v>
      </c>
      <c r="C14" s="1227"/>
      <c r="D14" s="110" t="e">
        <f>SUM(D15:D18)</f>
        <v>#REF!</v>
      </c>
      <c r="E14" s="111">
        <f>SUM(E15:E18)</f>
        <v>23.31923287</v>
      </c>
      <c r="F14" s="122" t="e">
        <f t="shared" si="9"/>
        <v>#REF!</v>
      </c>
      <c r="G14" s="112" t="e">
        <f>SUM(G15:G18)</f>
        <v>#REF!</v>
      </c>
      <c r="H14" s="111">
        <f>SUM(H15:H18)</f>
        <v>10.21659429</v>
      </c>
      <c r="I14" s="134" t="e">
        <f t="shared" si="26"/>
        <v>#REF!</v>
      </c>
      <c r="J14" s="111" t="e">
        <f>SUM(J15:J18)</f>
        <v>#REF!</v>
      </c>
      <c r="K14" s="111">
        <f>SUM(K15:K18)</f>
        <v>5.43944429</v>
      </c>
      <c r="L14" s="134" t="e">
        <f t="shared" si="27"/>
        <v>#REF!</v>
      </c>
      <c r="M14" s="111" t="e">
        <f>SUM(M15:M18)</f>
        <v>#REF!</v>
      </c>
      <c r="N14" s="111">
        <f>SUM(N15:N18)</f>
        <v>7.6631942899999999</v>
      </c>
      <c r="O14" s="136" t="e">
        <f t="shared" si="28"/>
        <v>#REF!</v>
      </c>
      <c r="Q14" s="1226" t="s">
        <v>472</v>
      </c>
      <c r="R14" s="1227"/>
      <c r="S14" s="110" t="e">
        <f>SUM(S15:S18)</f>
        <v>#REF!</v>
      </c>
      <c r="T14" s="111">
        <f>SUM(T15:T18)</f>
        <v>17.53453687</v>
      </c>
      <c r="U14" s="122" t="e">
        <f t="shared" si="14"/>
        <v>#REF!</v>
      </c>
      <c r="V14" s="112" t="e">
        <f>SUM(V15:V18)</f>
        <v>#REF!</v>
      </c>
      <c r="W14" s="111">
        <f>SUM(W15:W18)</f>
        <v>5.06406095</v>
      </c>
      <c r="X14" s="134" t="e">
        <f t="shared" si="29"/>
        <v>#REF!</v>
      </c>
      <c r="Y14" s="111" t="e">
        <f>SUM(Y15:Y18)</f>
        <v>#REF!</v>
      </c>
      <c r="Z14" s="111">
        <f>SUM(Z15:Z18)</f>
        <v>2.8011109599999999</v>
      </c>
      <c r="AA14" s="134" t="e">
        <f t="shared" si="30"/>
        <v>#REF!</v>
      </c>
      <c r="AB14" s="111" t="e">
        <f>SUM(AB15:AB18)</f>
        <v>#REF!</v>
      </c>
      <c r="AC14" s="111">
        <f>SUM(AC15:AC18)</f>
        <v>9.6693649599999993</v>
      </c>
      <c r="AD14" s="136" t="e">
        <f t="shared" si="31"/>
        <v>#REF!</v>
      </c>
    </row>
    <row r="15" spans="2:30" x14ac:dyDescent="0.4">
      <c r="B15" s="1243"/>
      <c r="C15" s="82" t="s">
        <v>46</v>
      </c>
      <c r="D15" s="114">
        <f>L35</f>
        <v>2.14</v>
      </c>
      <c r="E15" s="115">
        <f>H15+K15+N15</f>
        <v>1.4783999999999999</v>
      </c>
      <c r="F15" s="141">
        <f t="shared" si="9"/>
        <v>-0.66160000000000019</v>
      </c>
      <c r="G15" s="116">
        <f>I35</f>
        <v>0.4</v>
      </c>
      <c r="H15" s="115">
        <f>셀트리온제약!I19/10^8</f>
        <v>8.3999999999999995E-3</v>
      </c>
      <c r="I15" s="159">
        <f t="shared" si="26"/>
        <v>-0.3916</v>
      </c>
      <c r="J15" s="115">
        <f>J35</f>
        <v>1.7400000000000002</v>
      </c>
      <c r="K15" s="115">
        <f>셀트리온제약!I28/10^8</f>
        <v>1.47</v>
      </c>
      <c r="L15" s="115">
        <f t="shared" si="27"/>
        <v>-0.27000000000000024</v>
      </c>
      <c r="M15" s="115">
        <f>K35</f>
        <v>0</v>
      </c>
      <c r="N15" s="117">
        <f>셀트리온제약!I37/10^8</f>
        <v>0</v>
      </c>
      <c r="O15" s="137">
        <f t="shared" si="28"/>
        <v>0</v>
      </c>
      <c r="Q15" s="1243"/>
      <c r="R15" s="82" t="s">
        <v>46</v>
      </c>
      <c r="S15" s="114">
        <f>D15</f>
        <v>2.14</v>
      </c>
      <c r="T15" s="115">
        <f>W15+Z15+AC15</f>
        <v>1.47</v>
      </c>
      <c r="U15" s="141">
        <f t="shared" si="14"/>
        <v>-0.67000000000000015</v>
      </c>
      <c r="V15" s="116">
        <f>G15</f>
        <v>0.4</v>
      </c>
      <c r="W15" s="115">
        <f>'상세 자료 작성'!K12/10^8</f>
        <v>0</v>
      </c>
      <c r="X15" s="159">
        <f t="shared" si="29"/>
        <v>-0.4</v>
      </c>
      <c r="Y15" s="115">
        <f>J15</f>
        <v>1.7400000000000002</v>
      </c>
      <c r="Z15" s="115">
        <f>셀트리온제약!I28/10^8</f>
        <v>1.47</v>
      </c>
      <c r="AA15" s="115">
        <f t="shared" si="30"/>
        <v>-0.27000000000000024</v>
      </c>
      <c r="AB15" s="115">
        <f>M15</f>
        <v>0</v>
      </c>
      <c r="AC15" s="117">
        <f>'상세 자료 작성'!K34/10^8</f>
        <v>0</v>
      </c>
      <c r="AD15" s="137">
        <f t="shared" si="31"/>
        <v>0</v>
      </c>
    </row>
    <row r="16" spans="2:30" x14ac:dyDescent="0.4">
      <c r="B16" s="1243"/>
      <c r="C16" s="83" t="s">
        <v>26</v>
      </c>
      <c r="D16" s="123">
        <f>L36</f>
        <v>3.1287500000000001</v>
      </c>
      <c r="E16" s="124">
        <f t="shared" ref="E16:E17" si="32">H16+K16+N16</f>
        <v>2.8387500000000001</v>
      </c>
      <c r="F16" s="143">
        <f t="shared" si="9"/>
        <v>-0.29000000000000004</v>
      </c>
      <c r="G16" s="125">
        <f>I36</f>
        <v>0</v>
      </c>
      <c r="H16" s="124">
        <f>셀트리온제약!I20/10^8</f>
        <v>0</v>
      </c>
      <c r="I16" s="124">
        <f t="shared" si="26"/>
        <v>0</v>
      </c>
      <c r="J16" s="124">
        <f>J36</f>
        <v>0.67500000000000004</v>
      </c>
      <c r="K16" s="124">
        <f>셀트리온제약!I29/10^8</f>
        <v>0.38500000000000001</v>
      </c>
      <c r="L16" s="124">
        <f t="shared" si="27"/>
        <v>-0.29000000000000004</v>
      </c>
      <c r="M16" s="124">
        <f>K36</f>
        <v>2.4537499999999999</v>
      </c>
      <c r="N16" s="126">
        <f>셀트리온제약!I38/10^8</f>
        <v>2.4537499999999999</v>
      </c>
      <c r="O16" s="139">
        <f t="shared" si="28"/>
        <v>0</v>
      </c>
      <c r="Q16" s="1243"/>
      <c r="R16" s="83" t="s">
        <v>26</v>
      </c>
      <c r="S16" s="123">
        <f>D16</f>
        <v>3.1287500000000001</v>
      </c>
      <c r="T16" s="124">
        <f t="shared" ref="T16:T18" si="33">W16+Z16+AC16</f>
        <v>5.2037500000000003</v>
      </c>
      <c r="U16" s="143">
        <f t="shared" si="14"/>
        <v>2.0750000000000002</v>
      </c>
      <c r="V16" s="125">
        <f t="shared" ref="V16:V17" si="34">G16</f>
        <v>0</v>
      </c>
      <c r="W16" s="124">
        <f>'상세 자료 작성'!K13/10^8</f>
        <v>0</v>
      </c>
      <c r="X16" s="124">
        <f t="shared" si="29"/>
        <v>0</v>
      </c>
      <c r="Y16" s="124">
        <f>J16</f>
        <v>0.67500000000000004</v>
      </c>
      <c r="Z16" s="124">
        <f>'상세 자료 작성'!K24/10^8</f>
        <v>0</v>
      </c>
      <c r="AA16" s="124">
        <f t="shared" si="30"/>
        <v>-0.67500000000000004</v>
      </c>
      <c r="AB16" s="124">
        <f>M16</f>
        <v>2.4537499999999999</v>
      </c>
      <c r="AC16" s="126">
        <f>'상세 자료 작성'!K35/10^8</f>
        <v>5.2037500000000003</v>
      </c>
      <c r="AD16" s="139">
        <f t="shared" si="31"/>
        <v>2.7500000000000004</v>
      </c>
    </row>
    <row r="17" spans="2:30" x14ac:dyDescent="0.4">
      <c r="B17" s="1243"/>
      <c r="C17" s="162" t="s">
        <v>22</v>
      </c>
      <c r="D17" s="163">
        <f>L37</f>
        <v>3.1020828700000003</v>
      </c>
      <c r="E17" s="164">
        <f t="shared" si="32"/>
        <v>3.1020828700000003</v>
      </c>
      <c r="F17" s="165">
        <f t="shared" si="9"/>
        <v>0</v>
      </c>
      <c r="G17" s="166">
        <f>I37</f>
        <v>1.6206942900000001</v>
      </c>
      <c r="H17" s="164">
        <f>셀트리온제약!I21/10^8</f>
        <v>1.6206942900000001</v>
      </c>
      <c r="I17" s="164">
        <f t="shared" si="26"/>
        <v>0</v>
      </c>
      <c r="J17" s="164">
        <f>J37</f>
        <v>0.14069429</v>
      </c>
      <c r="K17" s="164">
        <f>셀트리온제약!I30/10^8</f>
        <v>0.14069429</v>
      </c>
      <c r="L17" s="164">
        <f t="shared" si="27"/>
        <v>0</v>
      </c>
      <c r="M17" s="164">
        <f>K37</f>
        <v>1.3406942900000001</v>
      </c>
      <c r="N17" s="167">
        <f>셀트리온제약!I39/10^8</f>
        <v>1.3406942900000001</v>
      </c>
      <c r="O17" s="168">
        <f t="shared" si="28"/>
        <v>0</v>
      </c>
      <c r="Q17" s="1243"/>
      <c r="R17" s="162" t="s">
        <v>22</v>
      </c>
      <c r="S17" s="163">
        <f>D17</f>
        <v>3.1020828700000003</v>
      </c>
      <c r="T17" s="164">
        <f t="shared" si="33"/>
        <v>8.7447868699999987</v>
      </c>
      <c r="U17" s="165">
        <f t="shared" si="14"/>
        <v>5.6427039999999984</v>
      </c>
      <c r="V17" s="166">
        <f t="shared" si="34"/>
        <v>1.6206942900000001</v>
      </c>
      <c r="W17" s="164">
        <f>'상세 자료 작성'!K14/10^8</f>
        <v>4.39139429</v>
      </c>
      <c r="X17" s="164">
        <f t="shared" si="29"/>
        <v>2.7706999999999997</v>
      </c>
      <c r="Y17" s="164">
        <f>J17</f>
        <v>0.14069429</v>
      </c>
      <c r="Z17" s="164">
        <f>'상세 자료 작성'!K25/10^8</f>
        <v>0.14069429</v>
      </c>
      <c r="AA17" s="164">
        <f t="shared" si="30"/>
        <v>0</v>
      </c>
      <c r="AB17" s="164">
        <f>M17</f>
        <v>1.3406942900000001</v>
      </c>
      <c r="AC17" s="167">
        <f>'상세 자료 작성'!K36/10^8</f>
        <v>4.2126982899999996</v>
      </c>
      <c r="AD17" s="168">
        <f t="shared" si="31"/>
        <v>2.8720039999999996</v>
      </c>
    </row>
    <row r="18" spans="2:30" ht="18" thickBot="1" x14ac:dyDescent="0.45">
      <c r="B18" s="1244"/>
      <c r="C18" s="91" t="s">
        <v>18</v>
      </c>
      <c r="D18" s="127" t="e">
        <f>L38</f>
        <v>#REF!</v>
      </c>
      <c r="E18" s="128">
        <f t="shared" ref="E18" si="35">H18+K18+N18</f>
        <v>15.9</v>
      </c>
      <c r="F18" s="129" t="e">
        <f t="shared" ref="F18" si="36">E18-D18</f>
        <v>#REF!</v>
      </c>
      <c r="G18" s="130" t="e">
        <f>I38</f>
        <v>#REF!</v>
      </c>
      <c r="H18" s="131">
        <f>셀트리온제약!I22/10^8</f>
        <v>8.5875000000000004</v>
      </c>
      <c r="I18" s="131" t="e">
        <f t="shared" ref="I18" si="37">H18-G18</f>
        <v>#REF!</v>
      </c>
      <c r="J18" s="131" t="e">
        <f>J38</f>
        <v>#REF!</v>
      </c>
      <c r="K18" s="131">
        <f>셀트리온제약!I31/10^8</f>
        <v>3.4437500000000001</v>
      </c>
      <c r="L18" s="131" t="e">
        <f t="shared" ref="L18" si="38">K18-J18</f>
        <v>#REF!</v>
      </c>
      <c r="M18" s="131" t="e">
        <f>K38</f>
        <v>#REF!</v>
      </c>
      <c r="N18" s="132">
        <f>셀트리온제약!I40/10^8</f>
        <v>3.8687499999999999</v>
      </c>
      <c r="O18" s="133" t="e">
        <f t="shared" ref="O18" si="39">N18-M18</f>
        <v>#REF!</v>
      </c>
      <c r="Q18" s="1244"/>
      <c r="R18" s="91" t="s">
        <v>18</v>
      </c>
      <c r="S18" s="127" t="e">
        <f>D18</f>
        <v>#REF!</v>
      </c>
      <c r="T18" s="128">
        <f t="shared" si="33"/>
        <v>2.1160000000000001</v>
      </c>
      <c r="U18" s="129" t="e">
        <f t="shared" si="14"/>
        <v>#REF!</v>
      </c>
      <c r="V18" s="130" t="e">
        <f>I38</f>
        <v>#REF!</v>
      </c>
      <c r="W18" s="131">
        <f>'상세 자료 작성'!K15/10^8</f>
        <v>0.67266665999999997</v>
      </c>
      <c r="X18" s="131" t="e">
        <f t="shared" si="29"/>
        <v>#REF!</v>
      </c>
      <c r="Y18" s="131" t="e">
        <f>J38</f>
        <v>#REF!</v>
      </c>
      <c r="Z18" s="131">
        <f>'상세 자료 작성'!K26/10^8</f>
        <v>1.1904166700000001</v>
      </c>
      <c r="AA18" s="131" t="e">
        <f t="shared" si="30"/>
        <v>#REF!</v>
      </c>
      <c r="AB18" s="131" t="e">
        <f>K38</f>
        <v>#REF!</v>
      </c>
      <c r="AC18" s="132">
        <f>'상세 자료 작성'!K37/10^8</f>
        <v>0.25291667000000001</v>
      </c>
      <c r="AD18" s="133" t="e">
        <f t="shared" si="31"/>
        <v>#REF!</v>
      </c>
    </row>
    <row r="19" spans="2:30" ht="19.2" x14ac:dyDescent="0.4">
      <c r="Q19" s="160" t="s">
        <v>473</v>
      </c>
    </row>
    <row r="20" spans="2:30" ht="8.25" customHeight="1" x14ac:dyDescent="0.4"/>
    <row r="21" spans="2:30" ht="27.6" x14ac:dyDescent="0.4">
      <c r="B21" s="40" t="s">
        <v>474</v>
      </c>
    </row>
    <row r="22" spans="2:30" ht="18" thickBot="1" x14ac:dyDescent="0.45">
      <c r="AA22" s="42" t="s">
        <v>5</v>
      </c>
    </row>
    <row r="23" spans="2:30" ht="19.8" thickBot="1" x14ac:dyDescent="0.45">
      <c r="B23" s="1218" t="s">
        <v>6</v>
      </c>
      <c r="C23" s="1219"/>
      <c r="D23" s="1245" t="s">
        <v>475</v>
      </c>
      <c r="E23" s="1246"/>
      <c r="F23" s="1246"/>
      <c r="G23" s="1246"/>
      <c r="H23" s="1247"/>
      <c r="I23" s="1248" t="s">
        <v>476</v>
      </c>
      <c r="J23" s="1249"/>
      <c r="K23" s="1249"/>
      <c r="L23" s="1249"/>
      <c r="M23" s="1249"/>
      <c r="N23" s="1249"/>
      <c r="O23" s="1249"/>
      <c r="P23" s="1249"/>
      <c r="Q23" s="1249"/>
      <c r="R23" s="1249"/>
      <c r="S23" s="1249"/>
      <c r="T23" s="1249"/>
      <c r="U23" s="1249"/>
      <c r="V23" s="1249"/>
      <c r="W23" s="1249"/>
      <c r="X23" s="1249"/>
      <c r="Y23" s="1249"/>
      <c r="Z23" s="1249"/>
      <c r="AA23" s="1250"/>
    </row>
    <row r="24" spans="2:30" ht="18" thickBot="1" x14ac:dyDescent="0.45">
      <c r="B24" s="1220"/>
      <c r="C24" s="1221"/>
      <c r="D24" s="1251" t="s">
        <v>1</v>
      </c>
      <c r="E24" s="1253" t="s">
        <v>150</v>
      </c>
      <c r="F24" s="1253" t="s">
        <v>94</v>
      </c>
      <c r="G24" s="1253" t="s">
        <v>169</v>
      </c>
      <c r="H24" s="1230" t="s">
        <v>477</v>
      </c>
      <c r="I24" s="1232" t="s">
        <v>396</v>
      </c>
      <c r="J24" s="1233"/>
      <c r="K24" s="1233"/>
      <c r="L24" s="1233"/>
      <c r="M24" s="1233"/>
      <c r="N24" s="1233"/>
      <c r="O24" s="1233"/>
      <c r="P24" s="1233"/>
      <c r="Q24" s="1234"/>
      <c r="R24" s="1232" t="s">
        <v>412</v>
      </c>
      <c r="S24" s="1233"/>
      <c r="T24" s="1233"/>
      <c r="U24" s="1233"/>
      <c r="V24" s="1233"/>
      <c r="W24" s="1233"/>
      <c r="X24" s="1233"/>
      <c r="Y24" s="1233"/>
      <c r="Z24" s="1234"/>
      <c r="AA24" s="1237" t="s">
        <v>477</v>
      </c>
    </row>
    <row r="25" spans="2:30" x14ac:dyDescent="0.4">
      <c r="B25" s="1220"/>
      <c r="C25" s="1221"/>
      <c r="D25" s="1251"/>
      <c r="E25" s="1253"/>
      <c r="F25" s="1253"/>
      <c r="G25" s="1253"/>
      <c r="H25" s="1230"/>
      <c r="I25" s="1240" t="s">
        <v>1</v>
      </c>
      <c r="J25" s="1241"/>
      <c r="K25" s="1241"/>
      <c r="L25" s="1242"/>
      <c r="M25" s="1240" t="s">
        <v>150</v>
      </c>
      <c r="N25" s="1241"/>
      <c r="O25" s="1241"/>
      <c r="P25" s="1242"/>
      <c r="Q25" s="1206" t="s">
        <v>396</v>
      </c>
      <c r="R25" s="1240" t="s">
        <v>94</v>
      </c>
      <c r="S25" s="1241"/>
      <c r="T25" s="1241"/>
      <c r="U25" s="1242"/>
      <c r="V25" s="1240" t="s">
        <v>169</v>
      </c>
      <c r="W25" s="1241"/>
      <c r="X25" s="1241"/>
      <c r="Y25" s="1242"/>
      <c r="Z25" s="1206" t="s">
        <v>412</v>
      </c>
      <c r="AA25" s="1238"/>
    </row>
    <row r="26" spans="2:30" ht="18" thickBot="1" x14ac:dyDescent="0.45">
      <c r="B26" s="1220"/>
      <c r="C26" s="1221"/>
      <c r="D26" s="1252"/>
      <c r="E26" s="1254"/>
      <c r="F26" s="1254"/>
      <c r="G26" s="1254"/>
      <c r="H26" s="1231"/>
      <c r="I26" s="43" t="s">
        <v>2</v>
      </c>
      <c r="J26" s="473" t="s">
        <v>3</v>
      </c>
      <c r="K26" s="473" t="s">
        <v>4</v>
      </c>
      <c r="L26" s="44" t="s">
        <v>264</v>
      </c>
      <c r="M26" s="43" t="s">
        <v>151</v>
      </c>
      <c r="N26" s="473" t="s">
        <v>153</v>
      </c>
      <c r="O26" s="473" t="s">
        <v>155</v>
      </c>
      <c r="P26" s="44" t="s">
        <v>264</v>
      </c>
      <c r="Q26" s="1207"/>
      <c r="R26" s="43" t="s">
        <v>73</v>
      </c>
      <c r="S26" s="473" t="s">
        <v>161</v>
      </c>
      <c r="T26" s="473" t="s">
        <v>96</v>
      </c>
      <c r="U26" s="44" t="s">
        <v>264</v>
      </c>
      <c r="V26" s="43" t="s">
        <v>170</v>
      </c>
      <c r="W26" s="473" t="s">
        <v>138</v>
      </c>
      <c r="X26" s="473" t="s">
        <v>139</v>
      </c>
      <c r="Y26" s="44" t="s">
        <v>264</v>
      </c>
      <c r="Z26" s="1207"/>
      <c r="AA26" s="1239"/>
    </row>
    <row r="27" spans="2:30" ht="19.8" thickBot="1" x14ac:dyDescent="0.45">
      <c r="B27" s="1204" t="s">
        <v>470</v>
      </c>
      <c r="C27" s="1205"/>
      <c r="D27" s="45">
        <f>D28+D31+D34</f>
        <v>156.70847526999998</v>
      </c>
      <c r="E27" s="46">
        <f t="shared" ref="E27:G27" si="40">E28+E31+E34</f>
        <v>224.75021746999997</v>
      </c>
      <c r="F27" s="46">
        <f t="shared" si="40"/>
        <v>259.85998817000001</v>
      </c>
      <c r="G27" s="46">
        <f t="shared" si="40"/>
        <v>132.85562027</v>
      </c>
      <c r="H27" s="47">
        <f>SUM(D27:G27)</f>
        <v>774.17430118000004</v>
      </c>
      <c r="I27" s="48" t="e">
        <f>I28+I31+I34</f>
        <v>#REF!</v>
      </c>
      <c r="J27" s="49" t="e">
        <f t="shared" ref="J27:K27" si="41">J28+J31+J34</f>
        <v>#REF!</v>
      </c>
      <c r="K27" s="49" t="e">
        <f t="shared" si="41"/>
        <v>#REF!</v>
      </c>
      <c r="L27" s="50" t="e">
        <f>SUM(I27:K27)</f>
        <v>#REF!</v>
      </c>
      <c r="M27" s="48" t="e">
        <f>M28+M31+M34</f>
        <v>#REF!</v>
      </c>
      <c r="N27" s="49" t="e">
        <f t="shared" ref="N27:O27" si="42">N28+N31+N34</f>
        <v>#REF!</v>
      </c>
      <c r="O27" s="49" t="e">
        <f t="shared" si="42"/>
        <v>#REF!</v>
      </c>
      <c r="P27" s="50" t="e">
        <f>SUM(M27:O27)</f>
        <v>#REF!</v>
      </c>
      <c r="Q27" s="51" t="e">
        <f>L27+P27</f>
        <v>#REF!</v>
      </c>
      <c r="R27" s="48" t="e">
        <f>R28+R31+R34</f>
        <v>#REF!</v>
      </c>
      <c r="S27" s="49" t="e">
        <f t="shared" ref="S27:T27" si="43">S28+S31+S34</f>
        <v>#REF!</v>
      </c>
      <c r="T27" s="49" t="e">
        <f t="shared" si="43"/>
        <v>#REF!</v>
      </c>
      <c r="U27" s="50" t="e">
        <f>SUM(R27:T27)</f>
        <v>#REF!</v>
      </c>
      <c r="V27" s="48" t="e">
        <f>V28+V31+V34</f>
        <v>#REF!</v>
      </c>
      <c r="W27" s="49" t="e">
        <f t="shared" ref="W27:X27" si="44">W28+W31+W34</f>
        <v>#REF!</v>
      </c>
      <c r="X27" s="49" t="e">
        <f t="shared" si="44"/>
        <v>#REF!</v>
      </c>
      <c r="Y27" s="50" t="e">
        <f>SUM(V27:X27)</f>
        <v>#REF!</v>
      </c>
      <c r="Z27" s="51" t="e">
        <f>U27+Y27</f>
        <v>#REF!</v>
      </c>
      <c r="AA27" s="51" t="e">
        <f>Z27+Q27</f>
        <v>#REF!</v>
      </c>
    </row>
    <row r="28" spans="2:30" ht="19.2" x14ac:dyDescent="0.4">
      <c r="B28" s="1235" t="s">
        <v>40</v>
      </c>
      <c r="C28" s="1236"/>
      <c r="D28" s="52">
        <f>SUM(D29:D30)</f>
        <v>133.5544362</v>
      </c>
      <c r="E28" s="53">
        <f t="shared" ref="E28:H28" si="45">SUM(E29:E30)</f>
        <v>182.57407659999998</v>
      </c>
      <c r="F28" s="53">
        <f t="shared" si="45"/>
        <v>180.18786779999999</v>
      </c>
      <c r="G28" s="53">
        <f t="shared" si="45"/>
        <v>53.214675399999997</v>
      </c>
      <c r="H28" s="54">
        <f t="shared" si="45"/>
        <v>549.53105600000004</v>
      </c>
      <c r="I28" s="55" t="e">
        <f>SUM(I29:I30)</f>
        <v>#REF!</v>
      </c>
      <c r="J28" s="56" t="e">
        <f t="shared" ref="J28:K28" si="46">SUM(J29:J30)</f>
        <v>#REF!</v>
      </c>
      <c r="K28" s="56" t="e">
        <f t="shared" si="46"/>
        <v>#REF!</v>
      </c>
      <c r="L28" s="57" t="e">
        <f t="shared" ref="L28:L37" si="47">SUM(I28:K28)</f>
        <v>#REF!</v>
      </c>
      <c r="M28" s="55" t="e">
        <f>SUM(M29:M30)</f>
        <v>#REF!</v>
      </c>
      <c r="N28" s="56" t="e">
        <f t="shared" ref="N28:O28" si="48">SUM(N29:N30)</f>
        <v>#REF!</v>
      </c>
      <c r="O28" s="56" t="e">
        <f t="shared" si="48"/>
        <v>#REF!</v>
      </c>
      <c r="P28" s="57" t="e">
        <f t="shared" ref="P28:P37" si="49">SUM(M28:O28)</f>
        <v>#REF!</v>
      </c>
      <c r="Q28" s="58" t="e">
        <f t="shared" ref="Q28:Q37" si="50">L28+P28</f>
        <v>#REF!</v>
      </c>
      <c r="R28" s="55" t="e">
        <f>SUM(R29:R30)</f>
        <v>#REF!</v>
      </c>
      <c r="S28" s="56" t="e">
        <f t="shared" ref="S28:T28" si="51">SUM(S29:S30)</f>
        <v>#REF!</v>
      </c>
      <c r="T28" s="56" t="e">
        <f t="shared" si="51"/>
        <v>#REF!</v>
      </c>
      <c r="U28" s="57" t="e">
        <f t="shared" ref="U28:U37" si="52">SUM(R28:T28)</f>
        <v>#REF!</v>
      </c>
      <c r="V28" s="55" t="e">
        <f>SUM(V29:V30)</f>
        <v>#REF!</v>
      </c>
      <c r="W28" s="56" t="e">
        <f t="shared" ref="W28:X28" si="53">SUM(W29:W30)</f>
        <v>#REF!</v>
      </c>
      <c r="X28" s="56" t="e">
        <f t="shared" si="53"/>
        <v>#REF!</v>
      </c>
      <c r="Y28" s="57" t="e">
        <f t="shared" ref="Y28:Y37" si="54">SUM(V28:X28)</f>
        <v>#REF!</v>
      </c>
      <c r="Z28" s="58" t="e">
        <f t="shared" ref="Z28:Z37" si="55">U28+Y28</f>
        <v>#REF!</v>
      </c>
      <c r="AA28" s="58" t="e">
        <f t="shared" ref="AA28:AA37" si="56">Z28+Q28</f>
        <v>#REF!</v>
      </c>
    </row>
    <row r="29" spans="2:30" ht="19.2" x14ac:dyDescent="0.4">
      <c r="B29" s="1228"/>
      <c r="C29" s="59" t="s">
        <v>445</v>
      </c>
      <c r="D29" s="60">
        <v>126.76906080000001</v>
      </c>
      <c r="E29" s="61">
        <v>177.97281659999999</v>
      </c>
      <c r="F29" s="61">
        <v>178.7467518</v>
      </c>
      <c r="G29" s="61">
        <v>45.547972399999999</v>
      </c>
      <c r="H29" s="62">
        <f>SUM(D29:G29)</f>
        <v>529.03660160000004</v>
      </c>
      <c r="I29" s="63" t="e">
        <f>#REF!/10^8</f>
        <v>#REF!</v>
      </c>
      <c r="J29" s="64" t="e">
        <f>#REF!/10^8</f>
        <v>#REF!</v>
      </c>
      <c r="K29" s="64" t="e">
        <f>#REF!/10^8</f>
        <v>#REF!</v>
      </c>
      <c r="L29" s="65" t="e">
        <f t="shared" si="47"/>
        <v>#REF!</v>
      </c>
      <c r="M29" s="63" t="e">
        <f>#REF!/10^8</f>
        <v>#REF!</v>
      </c>
      <c r="N29" s="64" t="e">
        <f>#REF!/10^8</f>
        <v>#REF!</v>
      </c>
      <c r="O29" s="64" t="e">
        <f>#REF!/10^8</f>
        <v>#REF!</v>
      </c>
      <c r="P29" s="65" t="e">
        <f t="shared" si="49"/>
        <v>#REF!</v>
      </c>
      <c r="Q29" s="66" t="e">
        <f t="shared" si="50"/>
        <v>#REF!</v>
      </c>
      <c r="R29" s="63" t="e">
        <f>#REF!/10^8</f>
        <v>#REF!</v>
      </c>
      <c r="S29" s="64" t="e">
        <f>#REF!/10^8</f>
        <v>#REF!</v>
      </c>
      <c r="T29" s="64" t="e">
        <f>#REF!/10^8</f>
        <v>#REF!</v>
      </c>
      <c r="U29" s="65" t="e">
        <f t="shared" si="52"/>
        <v>#REF!</v>
      </c>
      <c r="V29" s="63" t="e">
        <f>#REF!/10^8</f>
        <v>#REF!</v>
      </c>
      <c r="W29" s="64" t="e">
        <f>#REF!/10^8</f>
        <v>#REF!</v>
      </c>
      <c r="X29" s="64" t="e">
        <f>#REF!/10^8</f>
        <v>#REF!</v>
      </c>
      <c r="Y29" s="65" t="e">
        <f t="shared" si="54"/>
        <v>#REF!</v>
      </c>
      <c r="Z29" s="66" t="e">
        <f t="shared" si="55"/>
        <v>#REF!</v>
      </c>
      <c r="AA29" s="66" t="e">
        <f t="shared" si="56"/>
        <v>#REF!</v>
      </c>
    </row>
    <row r="30" spans="2:30" ht="19.2" x14ac:dyDescent="0.4">
      <c r="B30" s="1229"/>
      <c r="C30" s="67" t="s">
        <v>471</v>
      </c>
      <c r="D30" s="68">
        <v>6.7853754000000004</v>
      </c>
      <c r="E30" s="69">
        <v>4.6012599999999999</v>
      </c>
      <c r="F30" s="69">
        <v>1.4411160000000001</v>
      </c>
      <c r="G30" s="69">
        <v>7.666703</v>
      </c>
      <c r="H30" s="70">
        <f>SUM(D30:G30)</f>
        <v>20.494454400000002</v>
      </c>
      <c r="I30" s="71" t="e">
        <f>#REF!/10^8</f>
        <v>#REF!</v>
      </c>
      <c r="J30" s="72" t="e">
        <f>#REF!/10^8</f>
        <v>#REF!</v>
      </c>
      <c r="K30" s="72" t="e">
        <f>#REF!/10^8</f>
        <v>#REF!</v>
      </c>
      <c r="L30" s="73" t="e">
        <f t="shared" si="47"/>
        <v>#REF!</v>
      </c>
      <c r="M30" s="71">
        <v>0</v>
      </c>
      <c r="N30" s="72" t="e">
        <f>#REF!/10^8</f>
        <v>#REF!</v>
      </c>
      <c r="O30" s="72" t="e">
        <f>#REF!/10^8</f>
        <v>#REF!</v>
      </c>
      <c r="P30" s="73" t="e">
        <f t="shared" si="49"/>
        <v>#REF!</v>
      </c>
      <c r="Q30" s="74" t="e">
        <f t="shared" si="50"/>
        <v>#REF!</v>
      </c>
      <c r="R30" s="71">
        <v>0</v>
      </c>
      <c r="S30" s="72">
        <v>0</v>
      </c>
      <c r="T30" s="72">
        <v>0</v>
      </c>
      <c r="U30" s="73">
        <f t="shared" si="52"/>
        <v>0</v>
      </c>
      <c r="V30" s="71">
        <v>0</v>
      </c>
      <c r="W30" s="72">
        <v>0</v>
      </c>
      <c r="X30" s="72">
        <v>0</v>
      </c>
      <c r="Y30" s="73">
        <f t="shared" si="54"/>
        <v>0</v>
      </c>
      <c r="Z30" s="74">
        <f t="shared" si="55"/>
        <v>0</v>
      </c>
      <c r="AA30" s="74" t="e">
        <f t="shared" si="56"/>
        <v>#REF!</v>
      </c>
    </row>
    <row r="31" spans="2:30" ht="19.2" x14ac:dyDescent="0.4">
      <c r="B31" s="1226" t="s">
        <v>447</v>
      </c>
      <c r="C31" s="1227"/>
      <c r="D31" s="75">
        <f>SUM(D32:D33)</f>
        <v>13.162836199999999</v>
      </c>
      <c r="E31" s="76">
        <f t="shared" ref="E31:H31" si="57">SUM(E32:E33)</f>
        <v>17.593596999999999</v>
      </c>
      <c r="F31" s="76">
        <f t="shared" si="57"/>
        <v>17.107257499999999</v>
      </c>
      <c r="G31" s="76">
        <f t="shared" si="57"/>
        <v>27.617862000000002</v>
      </c>
      <c r="H31" s="77">
        <f t="shared" si="57"/>
        <v>75.481552700000009</v>
      </c>
      <c r="I31" s="78" t="e">
        <f>SUM(I32:I33)</f>
        <v>#REF!</v>
      </c>
      <c r="J31" s="79" t="e">
        <f t="shared" ref="J31:K31" si="58">SUM(J32:J33)</f>
        <v>#REF!</v>
      </c>
      <c r="K31" s="79" t="e">
        <f t="shared" si="58"/>
        <v>#REF!</v>
      </c>
      <c r="L31" s="80" t="e">
        <f t="shared" si="47"/>
        <v>#REF!</v>
      </c>
      <c r="M31" s="78" t="e">
        <f>SUM(M32:M33)</f>
        <v>#REF!</v>
      </c>
      <c r="N31" s="79" t="e">
        <f t="shared" ref="N31:O31" si="59">SUM(N32:N33)</f>
        <v>#REF!</v>
      </c>
      <c r="O31" s="79" t="e">
        <f t="shared" si="59"/>
        <v>#REF!</v>
      </c>
      <c r="P31" s="80" t="e">
        <f t="shared" si="49"/>
        <v>#REF!</v>
      </c>
      <c r="Q31" s="81" t="e">
        <f t="shared" si="50"/>
        <v>#REF!</v>
      </c>
      <c r="R31" s="78" t="e">
        <f>SUM(R32:R33)</f>
        <v>#REF!</v>
      </c>
      <c r="S31" s="79" t="e">
        <f t="shared" ref="S31:T31" si="60">SUM(S32:S33)</f>
        <v>#REF!</v>
      </c>
      <c r="T31" s="79" t="e">
        <f t="shared" si="60"/>
        <v>#REF!</v>
      </c>
      <c r="U31" s="80" t="e">
        <f t="shared" si="52"/>
        <v>#REF!</v>
      </c>
      <c r="V31" s="78" t="e">
        <f>SUM(V32:V33)</f>
        <v>#REF!</v>
      </c>
      <c r="W31" s="79" t="e">
        <f t="shared" ref="W31:X31" si="61">SUM(W32:W33)</f>
        <v>#REF!</v>
      </c>
      <c r="X31" s="79" t="e">
        <f t="shared" si="61"/>
        <v>#REF!</v>
      </c>
      <c r="Y31" s="80" t="e">
        <f t="shared" si="54"/>
        <v>#REF!</v>
      </c>
      <c r="Z31" s="81" t="e">
        <f t="shared" si="55"/>
        <v>#REF!</v>
      </c>
      <c r="AA31" s="81" t="e">
        <f t="shared" si="56"/>
        <v>#REF!</v>
      </c>
    </row>
    <row r="32" spans="2:30" ht="19.2" x14ac:dyDescent="0.4">
      <c r="B32" s="1228"/>
      <c r="C32" s="59" t="s">
        <v>23</v>
      </c>
      <c r="D32" s="60">
        <v>12.450986199999999</v>
      </c>
      <c r="E32" s="61">
        <v>13.469662</v>
      </c>
      <c r="F32" s="61">
        <v>16.0991815</v>
      </c>
      <c r="G32" s="61">
        <v>23.179492000000003</v>
      </c>
      <c r="H32" s="62">
        <f>SUM(D32:G32)</f>
        <v>65.199321700000013</v>
      </c>
      <c r="I32" s="63" t="e">
        <f>#REF!/10^8</f>
        <v>#REF!</v>
      </c>
      <c r="J32" s="64" t="e">
        <f>#REF!/10^8</f>
        <v>#REF!</v>
      </c>
      <c r="K32" s="64" t="e">
        <f>#REF!/10^8</f>
        <v>#REF!</v>
      </c>
      <c r="L32" s="65" t="e">
        <f t="shared" si="47"/>
        <v>#REF!</v>
      </c>
      <c r="M32" s="63" t="e">
        <f>#REF!/10^8</f>
        <v>#REF!</v>
      </c>
      <c r="N32" s="64" t="e">
        <f>#REF!/10^8</f>
        <v>#REF!</v>
      </c>
      <c r="O32" s="64" t="e">
        <f>#REF!/10^8</f>
        <v>#REF!</v>
      </c>
      <c r="P32" s="65" t="e">
        <f t="shared" si="49"/>
        <v>#REF!</v>
      </c>
      <c r="Q32" s="66" t="e">
        <f t="shared" si="50"/>
        <v>#REF!</v>
      </c>
      <c r="R32" s="63" t="e">
        <f>#REF!/10^8</f>
        <v>#REF!</v>
      </c>
      <c r="S32" s="64" t="e">
        <f>#REF!/10^8</f>
        <v>#REF!</v>
      </c>
      <c r="T32" s="64" t="e">
        <f>#REF!/10^8</f>
        <v>#REF!</v>
      </c>
      <c r="U32" s="65" t="e">
        <f t="shared" si="52"/>
        <v>#REF!</v>
      </c>
      <c r="V32" s="63" t="e">
        <f>#REF!/10^8</f>
        <v>#REF!</v>
      </c>
      <c r="W32" s="64" t="e">
        <f>#REF!/10^8</f>
        <v>#REF!</v>
      </c>
      <c r="X32" s="64" t="e">
        <f>#REF!/10^8</f>
        <v>#REF!</v>
      </c>
      <c r="Y32" s="65" t="e">
        <f t="shared" si="54"/>
        <v>#REF!</v>
      </c>
      <c r="Z32" s="66" t="e">
        <f t="shared" si="55"/>
        <v>#REF!</v>
      </c>
      <c r="AA32" s="66" t="e">
        <f t="shared" si="56"/>
        <v>#REF!</v>
      </c>
    </row>
    <row r="33" spans="2:27" ht="19.2" x14ac:dyDescent="0.4">
      <c r="B33" s="1229"/>
      <c r="C33" s="67" t="s">
        <v>22</v>
      </c>
      <c r="D33" s="68">
        <v>0.71184999999999998</v>
      </c>
      <c r="E33" s="69">
        <v>4.1239350000000004</v>
      </c>
      <c r="F33" s="69">
        <v>1.008076</v>
      </c>
      <c r="G33" s="69">
        <v>4.4383699999999999</v>
      </c>
      <c r="H33" s="70">
        <f>SUM(D33:G33)</f>
        <v>10.282230999999999</v>
      </c>
      <c r="I33" s="71">
        <v>0</v>
      </c>
      <c r="J33" s="72">
        <v>0</v>
      </c>
      <c r="K33" s="72">
        <v>0.616676</v>
      </c>
      <c r="L33" s="73">
        <f t="shared" si="47"/>
        <v>0.616676</v>
      </c>
      <c r="M33" s="71">
        <v>5.5362499999999999</v>
      </c>
      <c r="N33" s="72">
        <v>1.1154999999999999</v>
      </c>
      <c r="O33" s="72">
        <v>2.36063</v>
      </c>
      <c r="P33" s="73">
        <f t="shared" si="49"/>
        <v>9.0123800000000003</v>
      </c>
      <c r="Q33" s="74">
        <f t="shared" si="50"/>
        <v>9.6290560000000003</v>
      </c>
      <c r="R33" s="71">
        <v>7.9734759999999998</v>
      </c>
      <c r="S33" s="72">
        <v>0.46500000000000002</v>
      </c>
      <c r="T33" s="72">
        <v>2.8747750000000001</v>
      </c>
      <c r="U33" s="73">
        <f t="shared" si="52"/>
        <v>11.313250999999999</v>
      </c>
      <c r="V33" s="71">
        <v>3.5141499999999999</v>
      </c>
      <c r="W33" s="72">
        <v>6.2107000000000001</v>
      </c>
      <c r="X33" s="72">
        <v>2.9569999999999999</v>
      </c>
      <c r="Y33" s="73">
        <f t="shared" si="54"/>
        <v>12.681850000000001</v>
      </c>
      <c r="Z33" s="74">
        <f t="shared" si="55"/>
        <v>23.995100999999998</v>
      </c>
      <c r="AA33" s="74">
        <f t="shared" si="56"/>
        <v>33.624156999999997</v>
      </c>
    </row>
    <row r="34" spans="2:27" ht="19.2" x14ac:dyDescent="0.4">
      <c r="B34" s="1226" t="s">
        <v>472</v>
      </c>
      <c r="C34" s="1227"/>
      <c r="D34" s="75">
        <f>SUM(D35:D38)</f>
        <v>9.9912028700000004</v>
      </c>
      <c r="E34" s="76">
        <f t="shared" ref="E34:H34" si="62">SUM(E35:E38)</f>
        <v>24.582543870000002</v>
      </c>
      <c r="F34" s="76">
        <f t="shared" si="62"/>
        <v>62.564862869999999</v>
      </c>
      <c r="G34" s="76">
        <f t="shared" si="62"/>
        <v>52.023082869999996</v>
      </c>
      <c r="H34" s="77">
        <f t="shared" si="62"/>
        <v>149.16169248000003</v>
      </c>
      <c r="I34" s="78" t="e">
        <f>SUM(I35:I38)</f>
        <v>#REF!</v>
      </c>
      <c r="J34" s="79" t="e">
        <f t="shared" ref="J34:R34" si="63">SUM(J35:J38)</f>
        <v>#REF!</v>
      </c>
      <c r="K34" s="79" t="e">
        <f t="shared" si="63"/>
        <v>#REF!</v>
      </c>
      <c r="L34" s="80" t="e">
        <f t="shared" si="63"/>
        <v>#REF!</v>
      </c>
      <c r="M34" s="78" t="e">
        <f t="shared" si="63"/>
        <v>#REF!</v>
      </c>
      <c r="N34" s="79" t="e">
        <f t="shared" si="63"/>
        <v>#REF!</v>
      </c>
      <c r="O34" s="79">
        <f t="shared" si="63"/>
        <v>3.5794442899999996</v>
      </c>
      <c r="P34" s="80" t="e">
        <f t="shared" si="63"/>
        <v>#REF!</v>
      </c>
      <c r="Q34" s="81" t="e">
        <f t="shared" si="50"/>
        <v>#REF!</v>
      </c>
      <c r="R34" s="78">
        <f t="shared" si="63"/>
        <v>11.71669429</v>
      </c>
      <c r="S34" s="79">
        <f t="shared" ref="S34" si="64">SUM(S35:S38)</f>
        <v>4.8056942899999999</v>
      </c>
      <c r="T34" s="79">
        <f t="shared" ref="T34" si="65">SUM(T35:T38)</f>
        <v>9.2906942900000011</v>
      </c>
      <c r="U34" s="80">
        <f t="shared" ref="U34" si="66">SUM(U35:U38)</f>
        <v>25.813082870000002</v>
      </c>
      <c r="V34" s="78">
        <f t="shared" ref="V34" si="67">SUM(V35:V38)</f>
        <v>3.6606942899999999</v>
      </c>
      <c r="W34" s="79">
        <f t="shared" ref="W34" si="68">SUM(W35:W38)</f>
        <v>2.5144442900000001</v>
      </c>
      <c r="X34" s="79">
        <f t="shared" ref="X34" si="69">SUM(X35:X38)</f>
        <v>4.3181942900000001</v>
      </c>
      <c r="Y34" s="80">
        <f t="shared" ref="Y34" si="70">SUM(Y35:Y38)</f>
        <v>10.49333287</v>
      </c>
      <c r="Z34" s="81">
        <f t="shared" si="55"/>
        <v>36.306415740000006</v>
      </c>
      <c r="AA34" s="81" t="e">
        <f t="shared" si="56"/>
        <v>#REF!</v>
      </c>
    </row>
    <row r="35" spans="2:27" ht="19.2" x14ac:dyDescent="0.4">
      <c r="B35" s="1243"/>
      <c r="C35" s="82" t="s">
        <v>46</v>
      </c>
      <c r="D35" s="60">
        <v>4.3091200000000001</v>
      </c>
      <c r="E35" s="61">
        <v>4.3513999999999999</v>
      </c>
      <c r="F35" s="61">
        <v>16.374199999999998</v>
      </c>
      <c r="G35" s="61">
        <v>5.8224</v>
      </c>
      <c r="H35" s="62">
        <f>SUM(D35:G35)</f>
        <v>30.857120000000002</v>
      </c>
      <c r="I35" s="63">
        <v>0.4</v>
      </c>
      <c r="J35" s="64">
        <v>1.7400000000000002</v>
      </c>
      <c r="K35" s="64">
        <v>0</v>
      </c>
      <c r="L35" s="65">
        <f t="shared" si="47"/>
        <v>2.14</v>
      </c>
      <c r="M35" s="63">
        <v>0.6</v>
      </c>
      <c r="N35" s="64">
        <v>0.5</v>
      </c>
      <c r="O35" s="64">
        <v>2.4899999999999998</v>
      </c>
      <c r="P35" s="65">
        <f t="shared" si="49"/>
        <v>3.59</v>
      </c>
      <c r="Q35" s="66">
        <f t="shared" si="50"/>
        <v>5.73</v>
      </c>
      <c r="R35" s="63">
        <v>0</v>
      </c>
      <c r="S35" s="64">
        <v>2.41</v>
      </c>
      <c r="T35" s="64">
        <v>0.67</v>
      </c>
      <c r="U35" s="65">
        <f t="shared" si="52"/>
        <v>3.08</v>
      </c>
      <c r="V35" s="63">
        <v>0.3</v>
      </c>
      <c r="W35" s="64">
        <v>0.67</v>
      </c>
      <c r="X35" s="64">
        <v>1.9900000000000002</v>
      </c>
      <c r="Y35" s="65">
        <f t="shared" si="54"/>
        <v>2.96</v>
      </c>
      <c r="Z35" s="66">
        <f t="shared" si="55"/>
        <v>6.04</v>
      </c>
      <c r="AA35" s="66">
        <f t="shared" si="56"/>
        <v>11.77</v>
      </c>
    </row>
    <row r="36" spans="2:27" ht="19.2" x14ac:dyDescent="0.4">
      <c r="B36" s="1243"/>
      <c r="C36" s="83" t="s">
        <v>26</v>
      </c>
      <c r="D36" s="84">
        <v>2.5499999999999998</v>
      </c>
      <c r="E36" s="85">
        <v>5.6687500000000002</v>
      </c>
      <c r="F36" s="85">
        <v>12.6975</v>
      </c>
      <c r="G36" s="85">
        <v>7.6049999999999995</v>
      </c>
      <c r="H36" s="86">
        <f t="shared" ref="H36:H37" si="71">SUM(D36:G36)</f>
        <v>28.521249999999998</v>
      </c>
      <c r="I36" s="87">
        <v>0</v>
      </c>
      <c r="J36" s="88">
        <v>0.67500000000000004</v>
      </c>
      <c r="K36" s="88">
        <v>2.4537499999999999</v>
      </c>
      <c r="L36" s="89">
        <f t="shared" si="47"/>
        <v>3.1287500000000001</v>
      </c>
      <c r="M36" s="87">
        <v>2.14</v>
      </c>
      <c r="N36" s="88">
        <v>1.635</v>
      </c>
      <c r="O36" s="88">
        <v>0.94874999999999998</v>
      </c>
      <c r="P36" s="89">
        <f t="shared" si="49"/>
        <v>4.7237500000000008</v>
      </c>
      <c r="Q36" s="90">
        <f t="shared" si="50"/>
        <v>7.8525000000000009</v>
      </c>
      <c r="R36" s="87">
        <v>0.28999999999999998</v>
      </c>
      <c r="S36" s="88">
        <v>2.2549999999999999</v>
      </c>
      <c r="T36" s="88">
        <v>2.25</v>
      </c>
      <c r="U36" s="89">
        <f t="shared" si="52"/>
        <v>4.7949999999999999</v>
      </c>
      <c r="V36" s="87">
        <v>2.56</v>
      </c>
      <c r="W36" s="88">
        <v>1.7037500000000001</v>
      </c>
      <c r="X36" s="88">
        <v>2.1875</v>
      </c>
      <c r="Y36" s="89">
        <f t="shared" si="54"/>
        <v>6.4512499999999999</v>
      </c>
      <c r="Z36" s="90">
        <f t="shared" si="55"/>
        <v>11.24625</v>
      </c>
      <c r="AA36" s="90">
        <f t="shared" si="56"/>
        <v>19.098750000000003</v>
      </c>
    </row>
    <row r="37" spans="2:27" ht="19.2" x14ac:dyDescent="0.4">
      <c r="B37" s="1243"/>
      <c r="C37" s="162" t="s">
        <v>22</v>
      </c>
      <c r="D37" s="169">
        <v>3.1320828700000001</v>
      </c>
      <c r="E37" s="170">
        <v>14.562393869999999</v>
      </c>
      <c r="F37" s="170">
        <v>32.21816287</v>
      </c>
      <c r="G37" s="170">
        <v>25.158182870000001</v>
      </c>
      <c r="H37" s="171">
        <f t="shared" si="71"/>
        <v>75.070822480000004</v>
      </c>
      <c r="I37" s="172">
        <v>1.6206942900000001</v>
      </c>
      <c r="J37" s="173">
        <v>0.14069429</v>
      </c>
      <c r="K37" s="173">
        <v>1.3406942900000001</v>
      </c>
      <c r="L37" s="174">
        <f t="shared" si="47"/>
        <v>3.1020828700000003</v>
      </c>
      <c r="M37" s="172">
        <v>8.5846942899999998</v>
      </c>
      <c r="N37" s="173">
        <v>0.14069429</v>
      </c>
      <c r="O37" s="173">
        <v>0.14069429</v>
      </c>
      <c r="P37" s="174">
        <f t="shared" si="49"/>
        <v>8.8660828700000014</v>
      </c>
      <c r="Q37" s="175">
        <f t="shared" si="50"/>
        <v>11.968165740000002</v>
      </c>
      <c r="R37" s="172">
        <v>11.42669429</v>
      </c>
      <c r="S37" s="173">
        <v>0.14069429</v>
      </c>
      <c r="T37" s="173">
        <v>6.3706942900000003</v>
      </c>
      <c r="U37" s="174">
        <f t="shared" si="52"/>
        <v>17.938082870000002</v>
      </c>
      <c r="V37" s="172">
        <v>0.80069429000000003</v>
      </c>
      <c r="W37" s="173">
        <v>0.14069429</v>
      </c>
      <c r="X37" s="173">
        <v>0.14069429</v>
      </c>
      <c r="Y37" s="174">
        <f t="shared" si="54"/>
        <v>1.08208287</v>
      </c>
      <c r="Z37" s="175">
        <f t="shared" si="55"/>
        <v>19.020165740000003</v>
      </c>
      <c r="AA37" s="175">
        <f t="shared" si="56"/>
        <v>30.988331480000006</v>
      </c>
    </row>
    <row r="38" spans="2:27" ht="19.8" thickBot="1" x14ac:dyDescent="0.45">
      <c r="B38" s="1244"/>
      <c r="C38" s="91" t="s">
        <v>18</v>
      </c>
      <c r="D38" s="92">
        <v>0</v>
      </c>
      <c r="E38" s="93">
        <v>0</v>
      </c>
      <c r="F38" s="93">
        <v>1.2749999999999999</v>
      </c>
      <c r="G38" s="93">
        <v>13.4375</v>
      </c>
      <c r="H38" s="94">
        <f t="shared" ref="H38" si="72">SUM(D38:G38)</f>
        <v>14.7125</v>
      </c>
      <c r="I38" s="95" t="e">
        <f>#REF!/10^8</f>
        <v>#REF!</v>
      </c>
      <c r="J38" s="96" t="e">
        <f>#REF!/10^8</f>
        <v>#REF!</v>
      </c>
      <c r="K38" s="96" t="e">
        <f>#REF!/10^8</f>
        <v>#REF!</v>
      </c>
      <c r="L38" s="97" t="e">
        <f t="shared" ref="L38" si="73">SUM(I38:K38)</f>
        <v>#REF!</v>
      </c>
      <c r="M38" s="95" t="e">
        <f>#REF!/10^8</f>
        <v>#REF!</v>
      </c>
      <c r="N38" s="96" t="e">
        <f>#REF!/10^8</f>
        <v>#REF!</v>
      </c>
      <c r="O38" s="96">
        <v>0</v>
      </c>
      <c r="P38" s="97" t="e">
        <f t="shared" ref="P38" si="74">SUM(M38:O38)</f>
        <v>#REF!</v>
      </c>
      <c r="Q38" s="98" t="e">
        <f t="shared" ref="Q38" si="75">L38+P38</f>
        <v>#REF!</v>
      </c>
      <c r="R38" s="95">
        <v>0</v>
      </c>
      <c r="S38" s="96">
        <v>0</v>
      </c>
      <c r="T38" s="96">
        <v>0</v>
      </c>
      <c r="U38" s="97">
        <f t="shared" ref="U38" si="76">SUM(R38:T38)</f>
        <v>0</v>
      </c>
      <c r="V38" s="95">
        <v>0</v>
      </c>
      <c r="W38" s="96">
        <v>0</v>
      </c>
      <c r="X38" s="96">
        <v>0</v>
      </c>
      <c r="Y38" s="97">
        <f t="shared" ref="Y38" si="77">SUM(V38:X38)</f>
        <v>0</v>
      </c>
      <c r="Z38" s="98">
        <f t="shared" ref="Z38" si="78">U38+Y38</f>
        <v>0</v>
      </c>
      <c r="AA38" s="98" t="e">
        <f t="shared" ref="AA38" si="79">Z38+Q38</f>
        <v>#REF!</v>
      </c>
    </row>
  </sheetData>
  <mergeCells count="50">
    <mergeCell ref="B15:B18"/>
    <mergeCell ref="Q15:Q18"/>
    <mergeCell ref="B35:B38"/>
    <mergeCell ref="Q14:R14"/>
    <mergeCell ref="Q7:R7"/>
    <mergeCell ref="Q8:R8"/>
    <mergeCell ref="Q9:Q10"/>
    <mergeCell ref="Q11:R11"/>
    <mergeCell ref="Q12:Q13"/>
    <mergeCell ref="B23:C26"/>
    <mergeCell ref="D23:H23"/>
    <mergeCell ref="I23:AA23"/>
    <mergeCell ref="D24:D26"/>
    <mergeCell ref="E24:E26"/>
    <mergeCell ref="F24:F26"/>
    <mergeCell ref="G24:G26"/>
    <mergeCell ref="Q4:R6"/>
    <mergeCell ref="S4:AD4"/>
    <mergeCell ref="S5:U5"/>
    <mergeCell ref="V5:X5"/>
    <mergeCell ref="Y5:AA5"/>
    <mergeCell ref="AB5:AD5"/>
    <mergeCell ref="R24:Z24"/>
    <mergeCell ref="AA24:AA26"/>
    <mergeCell ref="I25:L25"/>
    <mergeCell ref="M25:P25"/>
    <mergeCell ref="Q25:Q26"/>
    <mergeCell ref="R25:U25"/>
    <mergeCell ref="V25:Y25"/>
    <mergeCell ref="B28:C28"/>
    <mergeCell ref="B29:B30"/>
    <mergeCell ref="B31:C31"/>
    <mergeCell ref="B32:B33"/>
    <mergeCell ref="B34:C34"/>
    <mergeCell ref="B27:C27"/>
    <mergeCell ref="Z25:Z26"/>
    <mergeCell ref="D4:O4"/>
    <mergeCell ref="D5:F5"/>
    <mergeCell ref="G5:I5"/>
    <mergeCell ref="J5:L5"/>
    <mergeCell ref="M5:O5"/>
    <mergeCell ref="B4:C6"/>
    <mergeCell ref="B7:C7"/>
    <mergeCell ref="B8:C8"/>
    <mergeCell ref="B9:B10"/>
    <mergeCell ref="B11:C11"/>
    <mergeCell ref="B12:B13"/>
    <mergeCell ref="B14:C14"/>
    <mergeCell ref="H24:H26"/>
    <mergeCell ref="I24:Q24"/>
  </mergeCells>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71F6D-C8FE-427B-BC76-D259E7765385}">
  <sheetPr codeName="Sheet13">
    <pageSetUpPr fitToPage="1"/>
  </sheetPr>
  <dimension ref="B2:AL25"/>
  <sheetViews>
    <sheetView topLeftCell="C1" workbookViewId="0">
      <selection activeCell="J21" sqref="J21"/>
    </sheetView>
  </sheetViews>
  <sheetFormatPr defaultRowHeight="17.399999999999999" x14ac:dyDescent="0.4"/>
  <cols>
    <col min="1" max="1" width="1" customWidth="1"/>
    <col min="2" max="2" width="9.59765625" customWidth="1"/>
    <col min="3" max="38" width="6.59765625" customWidth="1"/>
  </cols>
  <sheetData>
    <row r="2" spans="2:38" x14ac:dyDescent="0.4">
      <c r="B2" s="184" t="s">
        <v>478</v>
      </c>
    </row>
    <row r="3" spans="2:38" x14ac:dyDescent="0.4">
      <c r="B3" t="s">
        <v>479</v>
      </c>
    </row>
    <row r="4" spans="2:38" x14ac:dyDescent="0.4">
      <c r="B4" t="s">
        <v>480</v>
      </c>
    </row>
    <row r="5" spans="2:38" x14ac:dyDescent="0.4">
      <c r="B5" t="s">
        <v>481</v>
      </c>
    </row>
    <row r="6" spans="2:38" x14ac:dyDescent="0.4">
      <c r="C6" t="s">
        <v>482</v>
      </c>
    </row>
    <row r="8" spans="2:38" x14ac:dyDescent="0.4">
      <c r="B8" s="184" t="s">
        <v>483</v>
      </c>
    </row>
    <row r="9" spans="2:38" s="187" customFormat="1" ht="30" customHeight="1" x14ac:dyDescent="0.4">
      <c r="B9" s="1259" t="s">
        <v>6</v>
      </c>
      <c r="C9" s="186" t="s">
        <v>484</v>
      </c>
      <c r="D9" s="1255" t="s">
        <v>485</v>
      </c>
      <c r="E9" s="1255"/>
      <c r="F9" s="1255"/>
      <c r="G9" s="1255"/>
      <c r="H9" s="1255"/>
      <c r="I9" s="1255"/>
      <c r="J9" s="1255"/>
      <c r="K9" s="1255"/>
      <c r="L9" s="1255"/>
      <c r="M9" s="1255"/>
      <c r="N9" s="1255"/>
      <c r="O9" s="1255"/>
      <c r="P9" s="1255"/>
      <c r="Q9" s="1255"/>
      <c r="R9" s="1255"/>
      <c r="S9" s="1255"/>
      <c r="T9" s="1255"/>
      <c r="U9" s="1255"/>
      <c r="V9" s="1255"/>
      <c r="W9" s="1255"/>
      <c r="X9" s="1255"/>
      <c r="Y9" s="1255"/>
      <c r="Z9" s="1255"/>
      <c r="AA9" s="1255"/>
      <c r="AB9" s="1255"/>
      <c r="AC9" s="1255"/>
      <c r="AD9" s="1255"/>
      <c r="AE9" s="1255"/>
      <c r="AF9" s="1255"/>
      <c r="AG9" s="1255"/>
      <c r="AH9" s="1255"/>
      <c r="AI9" s="1255"/>
      <c r="AJ9" s="1255"/>
      <c r="AK9" s="1255"/>
      <c r="AL9" s="1255"/>
    </row>
    <row r="10" spans="2:38" s="187" customFormat="1" ht="30" customHeight="1" x14ac:dyDescent="0.4">
      <c r="B10" s="1259"/>
      <c r="C10" s="1260" t="s">
        <v>486</v>
      </c>
      <c r="D10" s="1256" t="s">
        <v>1</v>
      </c>
      <c r="E10" s="1256"/>
      <c r="F10" s="1256"/>
      <c r="G10" s="1256"/>
      <c r="H10" s="1256"/>
      <c r="I10" s="1256"/>
      <c r="J10" s="1257"/>
      <c r="K10" s="1257"/>
      <c r="L10" s="1256" t="s">
        <v>150</v>
      </c>
      <c r="M10" s="1256"/>
      <c r="N10" s="1256"/>
      <c r="O10" s="1256"/>
      <c r="P10" s="1256"/>
      <c r="Q10" s="1256"/>
      <c r="R10" s="1257"/>
      <c r="S10" s="1257"/>
      <c r="T10" s="1256" t="s">
        <v>94</v>
      </c>
      <c r="U10" s="1256"/>
      <c r="V10" s="1256"/>
      <c r="W10" s="1256"/>
      <c r="X10" s="1256"/>
      <c r="Y10" s="1256"/>
      <c r="Z10" s="1257"/>
      <c r="AA10" s="1257"/>
      <c r="AB10" s="1256" t="s">
        <v>169</v>
      </c>
      <c r="AC10" s="1256"/>
      <c r="AD10" s="1256"/>
      <c r="AE10" s="1256"/>
      <c r="AF10" s="1256"/>
      <c r="AG10" s="1256"/>
      <c r="AH10" s="1257"/>
      <c r="AI10" s="1257"/>
      <c r="AJ10" s="1255" t="s">
        <v>35</v>
      </c>
      <c r="AK10" s="1255" t="s">
        <v>487</v>
      </c>
      <c r="AL10" s="1255" t="s">
        <v>55</v>
      </c>
    </row>
    <row r="11" spans="2:38" s="187" customFormat="1" ht="30" customHeight="1" x14ac:dyDescent="0.4">
      <c r="B11" s="1259"/>
      <c r="C11" s="1256"/>
      <c r="D11" s="1259" t="s">
        <v>2</v>
      </c>
      <c r="E11" s="1259"/>
      <c r="F11" s="1259" t="s">
        <v>3</v>
      </c>
      <c r="G11" s="1259"/>
      <c r="H11" s="1259" t="s">
        <v>4</v>
      </c>
      <c r="I11" s="1259"/>
      <c r="J11" s="1258" t="s">
        <v>35</v>
      </c>
      <c r="K11" s="1258" t="s">
        <v>487</v>
      </c>
      <c r="L11" s="1259" t="s">
        <v>151</v>
      </c>
      <c r="M11" s="1259"/>
      <c r="N11" s="1259" t="s">
        <v>153</v>
      </c>
      <c r="O11" s="1259"/>
      <c r="P11" s="1259" t="s">
        <v>155</v>
      </c>
      <c r="Q11" s="1259"/>
      <c r="R11" s="1258" t="s">
        <v>35</v>
      </c>
      <c r="S11" s="1258" t="s">
        <v>487</v>
      </c>
      <c r="T11" s="1259" t="s">
        <v>73</v>
      </c>
      <c r="U11" s="1259"/>
      <c r="V11" s="1259" t="s">
        <v>161</v>
      </c>
      <c r="W11" s="1259"/>
      <c r="X11" s="1259" t="s">
        <v>96</v>
      </c>
      <c r="Y11" s="1259"/>
      <c r="Z11" s="1258" t="s">
        <v>35</v>
      </c>
      <c r="AA11" s="1258" t="s">
        <v>487</v>
      </c>
      <c r="AB11" s="1259" t="s">
        <v>170</v>
      </c>
      <c r="AC11" s="1259"/>
      <c r="AD11" s="1259" t="s">
        <v>138</v>
      </c>
      <c r="AE11" s="1259"/>
      <c r="AF11" s="1259" t="s">
        <v>139</v>
      </c>
      <c r="AG11" s="1259"/>
      <c r="AH11" s="1258" t="s">
        <v>35</v>
      </c>
      <c r="AI11" s="1258" t="s">
        <v>487</v>
      </c>
      <c r="AJ11" s="1255"/>
      <c r="AK11" s="1255"/>
      <c r="AL11" s="1255"/>
    </row>
    <row r="12" spans="2:38" s="187" customFormat="1" ht="30" customHeight="1" x14ac:dyDescent="0.4">
      <c r="B12" s="1259"/>
      <c r="C12" s="1256"/>
      <c r="D12" s="185" t="s">
        <v>35</v>
      </c>
      <c r="E12" s="185" t="s">
        <v>487</v>
      </c>
      <c r="F12" s="185" t="s">
        <v>35</v>
      </c>
      <c r="G12" s="185" t="s">
        <v>487</v>
      </c>
      <c r="H12" s="185" t="s">
        <v>35</v>
      </c>
      <c r="I12" s="185" t="s">
        <v>487</v>
      </c>
      <c r="J12" s="1256"/>
      <c r="K12" s="1256"/>
      <c r="L12" s="185" t="s">
        <v>35</v>
      </c>
      <c r="M12" s="185" t="s">
        <v>487</v>
      </c>
      <c r="N12" s="185" t="s">
        <v>35</v>
      </c>
      <c r="O12" s="185" t="s">
        <v>487</v>
      </c>
      <c r="P12" s="185" t="s">
        <v>35</v>
      </c>
      <c r="Q12" s="185" t="s">
        <v>487</v>
      </c>
      <c r="R12" s="1256"/>
      <c r="S12" s="1256"/>
      <c r="T12" s="185" t="s">
        <v>35</v>
      </c>
      <c r="U12" s="185" t="s">
        <v>487</v>
      </c>
      <c r="V12" s="185" t="s">
        <v>35</v>
      </c>
      <c r="W12" s="185" t="s">
        <v>487</v>
      </c>
      <c r="X12" s="185" t="s">
        <v>35</v>
      </c>
      <c r="Y12" s="185" t="s">
        <v>487</v>
      </c>
      <c r="Z12" s="1256"/>
      <c r="AA12" s="1256"/>
      <c r="AB12" s="185" t="s">
        <v>35</v>
      </c>
      <c r="AC12" s="185" t="s">
        <v>487</v>
      </c>
      <c r="AD12" s="185" t="s">
        <v>35</v>
      </c>
      <c r="AE12" s="185" t="s">
        <v>487</v>
      </c>
      <c r="AF12" s="185" t="s">
        <v>35</v>
      </c>
      <c r="AG12" s="185" t="s">
        <v>487</v>
      </c>
      <c r="AH12" s="1256"/>
      <c r="AI12" s="1256"/>
      <c r="AJ12" s="1255"/>
      <c r="AK12" s="1255"/>
      <c r="AL12" s="1255"/>
    </row>
    <row r="13" spans="2:38" ht="30" customHeight="1" x14ac:dyDescent="0.4">
      <c r="B13" s="180" t="s">
        <v>264</v>
      </c>
      <c r="C13" s="134">
        <f>SUM(C14:C18)</f>
        <v>14.7125</v>
      </c>
      <c r="D13" s="134">
        <f>SUM(D14:D18)</f>
        <v>0</v>
      </c>
      <c r="E13" s="134">
        <f t="shared" ref="E13:AI13" si="0">SUM(E14:E18)</f>
        <v>8.5875000000000004</v>
      </c>
      <c r="F13" s="134">
        <f t="shared" si="0"/>
        <v>1.7</v>
      </c>
      <c r="G13" s="134">
        <f t="shared" si="0"/>
        <v>3.4438750000000002</v>
      </c>
      <c r="H13" s="134">
        <f t="shared" si="0"/>
        <v>0.85</v>
      </c>
      <c r="I13" s="134">
        <f t="shared" si="0"/>
        <v>3.8687499999999999</v>
      </c>
      <c r="J13" s="134">
        <f t="shared" si="0"/>
        <v>2.5499999999999998</v>
      </c>
      <c r="K13" s="134">
        <f t="shared" si="0"/>
        <v>15.900125000000001</v>
      </c>
      <c r="L13" s="134">
        <f t="shared" si="0"/>
        <v>0</v>
      </c>
      <c r="M13" s="134">
        <f t="shared" si="0"/>
        <v>4.25</v>
      </c>
      <c r="N13" s="134">
        <f t="shared" si="0"/>
        <v>3.4</v>
      </c>
      <c r="O13" s="134">
        <f t="shared" si="0"/>
        <v>2.6375000000000002</v>
      </c>
      <c r="P13" s="134">
        <f t="shared" si="0"/>
        <v>0</v>
      </c>
      <c r="Q13" s="134">
        <f t="shared" si="0"/>
        <v>0.9375</v>
      </c>
      <c r="R13" s="134">
        <f t="shared" si="0"/>
        <v>3.4</v>
      </c>
      <c r="S13" s="134">
        <f t="shared" si="0"/>
        <v>7.8250000000000002</v>
      </c>
      <c r="T13" s="134">
        <f t="shared" si="0"/>
        <v>0</v>
      </c>
      <c r="U13" s="134">
        <f t="shared" si="0"/>
        <v>0.46875</v>
      </c>
      <c r="V13" s="134">
        <f t="shared" si="0"/>
        <v>0</v>
      </c>
      <c r="W13" s="134">
        <f t="shared" si="0"/>
        <v>1.875</v>
      </c>
      <c r="X13" s="134">
        <f t="shared" si="0"/>
        <v>0</v>
      </c>
      <c r="Y13" s="134">
        <f t="shared" si="0"/>
        <v>1.40625</v>
      </c>
      <c r="Z13" s="134">
        <f t="shared" si="0"/>
        <v>0</v>
      </c>
      <c r="AA13" s="134">
        <f t="shared" si="0"/>
        <v>3.75</v>
      </c>
      <c r="AB13" s="134">
        <f t="shared" si="0"/>
        <v>0</v>
      </c>
      <c r="AC13" s="134">
        <f t="shared" si="0"/>
        <v>0.9375</v>
      </c>
      <c r="AD13" s="134">
        <f t="shared" si="0"/>
        <v>0</v>
      </c>
      <c r="AE13" s="134">
        <f t="shared" si="0"/>
        <v>2.34375</v>
      </c>
      <c r="AF13" s="134">
        <f t="shared" si="0"/>
        <v>0</v>
      </c>
      <c r="AG13" s="134">
        <f t="shared" si="0"/>
        <v>1.40625</v>
      </c>
      <c r="AH13" s="134">
        <f t="shared" si="0"/>
        <v>0</v>
      </c>
      <c r="AI13" s="134">
        <f t="shared" si="0"/>
        <v>4.6875</v>
      </c>
      <c r="AJ13" s="111">
        <f>AH13+Z13+R13+J13</f>
        <v>5.9499999999999993</v>
      </c>
      <c r="AK13" s="111">
        <f>AI13+AA13+S13+K13</f>
        <v>32.162624999999998</v>
      </c>
      <c r="AL13" s="111">
        <f>AK13-AJ13</f>
        <v>26.212624999999999</v>
      </c>
    </row>
    <row r="14" spans="2:38" ht="30" customHeight="1" x14ac:dyDescent="0.4">
      <c r="B14" s="177" t="s">
        <v>488</v>
      </c>
      <c r="C14" s="115">
        <v>7.3125</v>
      </c>
      <c r="D14" s="115">
        <v>0</v>
      </c>
      <c r="E14" s="115">
        <v>0</v>
      </c>
      <c r="F14" s="115"/>
      <c r="G14" s="115"/>
      <c r="H14" s="115"/>
      <c r="I14" s="115"/>
      <c r="J14" s="115">
        <f>D14+F14+H14</f>
        <v>0</v>
      </c>
      <c r="K14" s="115">
        <f>E14+G14+I14</f>
        <v>0</v>
      </c>
      <c r="L14" s="115"/>
      <c r="M14" s="115">
        <v>0</v>
      </c>
      <c r="N14" s="115"/>
      <c r="O14" s="115">
        <v>0.46875</v>
      </c>
      <c r="P14" s="115"/>
      <c r="Q14" s="115">
        <v>0.46875</v>
      </c>
      <c r="R14" s="115">
        <f>L14+N14+P14</f>
        <v>0</v>
      </c>
      <c r="S14" s="115">
        <f>M14+O14+Q14</f>
        <v>0.9375</v>
      </c>
      <c r="T14" s="115"/>
      <c r="U14" s="115"/>
      <c r="V14" s="115"/>
      <c r="W14" s="115">
        <v>0.46875</v>
      </c>
      <c r="X14" s="115"/>
      <c r="Y14" s="115">
        <v>0.46875</v>
      </c>
      <c r="Z14" s="115">
        <f>T14+V14+X14</f>
        <v>0</v>
      </c>
      <c r="AA14" s="115">
        <f>U14+W14+Y14</f>
        <v>0.9375</v>
      </c>
      <c r="AB14" s="115"/>
      <c r="AC14" s="115"/>
      <c r="AD14" s="115"/>
      <c r="AE14" s="115">
        <v>0.46875</v>
      </c>
      <c r="AF14" s="115"/>
      <c r="AG14" s="115">
        <v>0.46875</v>
      </c>
      <c r="AH14" s="115">
        <f>AB14+AD14+AF14</f>
        <v>0</v>
      </c>
      <c r="AI14" s="115">
        <f>AC14+AE14+AG14</f>
        <v>0.9375</v>
      </c>
      <c r="AJ14" s="181">
        <f t="shared" ref="AJ14:AJ18" si="1">AH14+Z14+R14+J14</f>
        <v>0</v>
      </c>
      <c r="AK14" s="181">
        <f t="shared" ref="AK14:AK18" si="2">AI14+AA14+S14+K14</f>
        <v>2.8125</v>
      </c>
      <c r="AL14" s="181">
        <f t="shared" ref="AL14:AL18" si="3">AK14-AJ14</f>
        <v>2.8125</v>
      </c>
    </row>
    <row r="15" spans="2:38" ht="30" customHeight="1" x14ac:dyDescent="0.4">
      <c r="B15" s="178" t="s">
        <v>489</v>
      </c>
      <c r="C15" s="124">
        <v>3.0625</v>
      </c>
      <c r="D15" s="124">
        <v>0</v>
      </c>
      <c r="E15" s="124">
        <v>4.25</v>
      </c>
      <c r="F15" s="124"/>
      <c r="G15" s="124"/>
      <c r="H15" s="124"/>
      <c r="I15" s="124"/>
      <c r="J15" s="124">
        <f t="shared" ref="J15:J18" si="4">D15+F15+H15</f>
        <v>0</v>
      </c>
      <c r="K15" s="124">
        <f t="shared" ref="K15:K18" si="5">E15+G15+I15</f>
        <v>4.25</v>
      </c>
      <c r="L15" s="124"/>
      <c r="M15" s="124">
        <v>0</v>
      </c>
      <c r="N15" s="124"/>
      <c r="O15" s="124">
        <v>0.46875</v>
      </c>
      <c r="P15" s="124"/>
      <c r="Q15" s="124"/>
      <c r="R15" s="124">
        <f t="shared" ref="R15:R18" si="6">L15+N15+P15</f>
        <v>0</v>
      </c>
      <c r="S15" s="124">
        <f t="shared" ref="S15:S18" si="7">M15+O15+Q15</f>
        <v>0.46875</v>
      </c>
      <c r="T15" s="124"/>
      <c r="U15" s="124">
        <v>0.46875</v>
      </c>
      <c r="V15" s="124"/>
      <c r="W15" s="124">
        <v>0.46875</v>
      </c>
      <c r="X15" s="124"/>
      <c r="Y15" s="124">
        <v>0</v>
      </c>
      <c r="Z15" s="124">
        <f t="shared" ref="Z15:Z18" si="8">T15+V15+X15</f>
        <v>0</v>
      </c>
      <c r="AA15" s="124">
        <f t="shared" ref="AA15:AA18" si="9">U15+W15+Y15</f>
        <v>0.9375</v>
      </c>
      <c r="AB15" s="124"/>
      <c r="AC15" s="124">
        <v>0.46875</v>
      </c>
      <c r="AD15" s="124"/>
      <c r="AE15" s="124">
        <v>0.46875</v>
      </c>
      <c r="AF15" s="124"/>
      <c r="AG15" s="124"/>
      <c r="AH15" s="124">
        <f t="shared" ref="AH15:AH18" si="10">AB15+AD15+AF15</f>
        <v>0</v>
      </c>
      <c r="AI15" s="124">
        <f t="shared" ref="AI15:AI18" si="11">AC15+AE15+AG15</f>
        <v>0.9375</v>
      </c>
      <c r="AJ15" s="182">
        <f t="shared" si="1"/>
        <v>0</v>
      </c>
      <c r="AK15" s="182">
        <f t="shared" si="2"/>
        <v>6.59375</v>
      </c>
      <c r="AL15" s="182">
        <f t="shared" si="3"/>
        <v>6.59375</v>
      </c>
    </row>
    <row r="16" spans="2:38" ht="30" customHeight="1" x14ac:dyDescent="0.4">
      <c r="B16" s="178" t="s">
        <v>490</v>
      </c>
      <c r="C16" s="124">
        <v>3.0625</v>
      </c>
      <c r="D16" s="124">
        <v>0</v>
      </c>
      <c r="E16" s="124">
        <v>2.5499999999999998</v>
      </c>
      <c r="F16" s="124">
        <v>1.7</v>
      </c>
      <c r="G16" s="124">
        <v>1.7</v>
      </c>
      <c r="H16" s="124"/>
      <c r="I16" s="124"/>
      <c r="J16" s="124">
        <f t="shared" si="4"/>
        <v>1.7</v>
      </c>
      <c r="K16" s="124">
        <f t="shared" si="5"/>
        <v>4.25</v>
      </c>
      <c r="L16" s="124"/>
      <c r="M16" s="124"/>
      <c r="N16" s="124"/>
      <c r="O16" s="124"/>
      <c r="P16" s="124"/>
      <c r="Q16" s="124">
        <v>0.46875</v>
      </c>
      <c r="R16" s="124">
        <f t="shared" si="6"/>
        <v>0</v>
      </c>
      <c r="S16" s="124">
        <f t="shared" si="7"/>
        <v>0.46875</v>
      </c>
      <c r="T16" s="124"/>
      <c r="U16" s="124"/>
      <c r="V16" s="124"/>
      <c r="W16" s="124">
        <v>0.46875</v>
      </c>
      <c r="X16" s="124"/>
      <c r="Y16" s="124">
        <v>0.46875</v>
      </c>
      <c r="Z16" s="124">
        <f t="shared" si="8"/>
        <v>0</v>
      </c>
      <c r="AA16" s="124">
        <f t="shared" si="9"/>
        <v>0.9375</v>
      </c>
      <c r="AB16" s="124"/>
      <c r="AC16" s="124"/>
      <c r="AD16" s="124"/>
      <c r="AE16" s="124">
        <v>0.46875</v>
      </c>
      <c r="AF16" s="124"/>
      <c r="AG16" s="124">
        <v>0.46875</v>
      </c>
      <c r="AH16" s="124">
        <f t="shared" si="10"/>
        <v>0</v>
      </c>
      <c r="AI16" s="124">
        <f t="shared" si="11"/>
        <v>0.9375</v>
      </c>
      <c r="AJ16" s="182">
        <f t="shared" si="1"/>
        <v>1.7</v>
      </c>
      <c r="AK16" s="182">
        <f t="shared" si="2"/>
        <v>6.59375</v>
      </c>
      <c r="AL16" s="182">
        <f t="shared" si="3"/>
        <v>4.8937499999999998</v>
      </c>
    </row>
    <row r="17" spans="2:38" ht="30" customHeight="1" x14ac:dyDescent="0.4">
      <c r="B17" s="178" t="s">
        <v>491</v>
      </c>
      <c r="C17" s="124">
        <v>1.2749999999999999</v>
      </c>
      <c r="D17" s="124">
        <v>0</v>
      </c>
      <c r="E17" s="124">
        <v>1.7875000000000001</v>
      </c>
      <c r="F17" s="124"/>
      <c r="G17" s="124"/>
      <c r="H17" s="124"/>
      <c r="I17" s="124">
        <v>2.5499999999999998</v>
      </c>
      <c r="J17" s="124">
        <f t="shared" si="4"/>
        <v>0</v>
      </c>
      <c r="K17" s="124">
        <f t="shared" si="5"/>
        <v>4.3375000000000004</v>
      </c>
      <c r="L17" s="124"/>
      <c r="M17" s="124">
        <v>1.7</v>
      </c>
      <c r="N17" s="124">
        <v>1.7</v>
      </c>
      <c r="O17" s="124"/>
      <c r="P17" s="124"/>
      <c r="Q17" s="124"/>
      <c r="R17" s="124">
        <f t="shared" si="6"/>
        <v>1.7</v>
      </c>
      <c r="S17" s="124">
        <f t="shared" si="7"/>
        <v>1.7</v>
      </c>
      <c r="T17" s="124"/>
      <c r="U17" s="124"/>
      <c r="V17" s="124"/>
      <c r="W17" s="124">
        <v>0.46875</v>
      </c>
      <c r="X17" s="124"/>
      <c r="Y17" s="124">
        <v>0.46875</v>
      </c>
      <c r="Z17" s="124">
        <f t="shared" si="8"/>
        <v>0</v>
      </c>
      <c r="AA17" s="124">
        <f t="shared" si="9"/>
        <v>0.9375</v>
      </c>
      <c r="AB17" s="124"/>
      <c r="AC17" s="124"/>
      <c r="AD17" s="124"/>
      <c r="AE17" s="124">
        <v>0.46875</v>
      </c>
      <c r="AF17" s="124"/>
      <c r="AG17" s="124">
        <v>0.46875</v>
      </c>
      <c r="AH17" s="124">
        <f t="shared" si="10"/>
        <v>0</v>
      </c>
      <c r="AI17" s="124">
        <f t="shared" si="11"/>
        <v>0.9375</v>
      </c>
      <c r="AJ17" s="182">
        <f t="shared" si="1"/>
        <v>1.7</v>
      </c>
      <c r="AK17" s="182">
        <f t="shared" si="2"/>
        <v>7.9125000000000005</v>
      </c>
      <c r="AL17" s="182">
        <f t="shared" si="3"/>
        <v>6.2125000000000004</v>
      </c>
    </row>
    <row r="18" spans="2:38" ht="30" customHeight="1" x14ac:dyDescent="0.4">
      <c r="B18" s="179" t="s">
        <v>492</v>
      </c>
      <c r="C18" s="119">
        <v>0</v>
      </c>
      <c r="D18" s="119">
        <v>0</v>
      </c>
      <c r="E18" s="119">
        <v>0</v>
      </c>
      <c r="F18" s="119"/>
      <c r="G18" s="119">
        <v>1.7438750000000001</v>
      </c>
      <c r="H18" s="119">
        <v>0.85</v>
      </c>
      <c r="I18" s="119">
        <v>1.3187500000000001</v>
      </c>
      <c r="J18" s="119">
        <f t="shared" si="4"/>
        <v>0.85</v>
      </c>
      <c r="K18" s="119">
        <f t="shared" si="5"/>
        <v>3.0626250000000002</v>
      </c>
      <c r="L18" s="119"/>
      <c r="M18" s="119">
        <v>2.5499999999999998</v>
      </c>
      <c r="N18" s="119">
        <v>1.7</v>
      </c>
      <c r="O18" s="119">
        <v>1.7</v>
      </c>
      <c r="P18" s="119"/>
      <c r="Q18" s="119"/>
      <c r="R18" s="119">
        <f t="shared" si="6"/>
        <v>1.7</v>
      </c>
      <c r="S18" s="119">
        <f t="shared" si="7"/>
        <v>4.25</v>
      </c>
      <c r="T18" s="119"/>
      <c r="U18" s="119"/>
      <c r="V18" s="119"/>
      <c r="W18" s="119"/>
      <c r="X18" s="119"/>
      <c r="Y18" s="119"/>
      <c r="Z18" s="119">
        <f t="shared" si="8"/>
        <v>0</v>
      </c>
      <c r="AA18" s="119">
        <f t="shared" si="9"/>
        <v>0</v>
      </c>
      <c r="AB18" s="119"/>
      <c r="AC18" s="119">
        <v>0.46875</v>
      </c>
      <c r="AD18" s="119"/>
      <c r="AE18" s="119">
        <v>0.46875</v>
      </c>
      <c r="AF18" s="119"/>
      <c r="AG18" s="119"/>
      <c r="AH18" s="119">
        <f t="shared" si="10"/>
        <v>0</v>
      </c>
      <c r="AI18" s="119">
        <f t="shared" si="11"/>
        <v>0.9375</v>
      </c>
      <c r="AJ18" s="183">
        <f t="shared" si="1"/>
        <v>2.5499999999999998</v>
      </c>
      <c r="AK18" s="183">
        <f t="shared" si="2"/>
        <v>8.2501250000000006</v>
      </c>
      <c r="AL18" s="183">
        <f t="shared" si="3"/>
        <v>5.7001250000000008</v>
      </c>
    </row>
    <row r="19" spans="2:38" x14ac:dyDescent="0.4">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row>
    <row r="20" spans="2:38" x14ac:dyDescent="0.4">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row>
    <row r="21" spans="2:38" x14ac:dyDescent="0.4">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row>
    <row r="22" spans="2:38" x14ac:dyDescent="0.4">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row>
    <row r="23" spans="2:38" x14ac:dyDescent="0.4">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row>
    <row r="24" spans="2:38" x14ac:dyDescent="0.4">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row>
    <row r="25" spans="2:38" x14ac:dyDescent="0.4">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sheetData>
  <mergeCells count="30">
    <mergeCell ref="C10:C12"/>
    <mergeCell ref="AB11:AC11"/>
    <mergeCell ref="B9:B12"/>
    <mergeCell ref="AJ10:AJ12"/>
    <mergeCell ref="AK10:AK12"/>
    <mergeCell ref="AD11:AE11"/>
    <mergeCell ref="AF11:AG11"/>
    <mergeCell ref="D11:E11"/>
    <mergeCell ref="F11:G11"/>
    <mergeCell ref="H11:I11"/>
    <mergeCell ref="L11:M11"/>
    <mergeCell ref="N11:O11"/>
    <mergeCell ref="P11:Q11"/>
    <mergeCell ref="S11:S12"/>
    <mergeCell ref="T11:U11"/>
    <mergeCell ref="V11:W11"/>
    <mergeCell ref="AL10:AL12"/>
    <mergeCell ref="D9:AL9"/>
    <mergeCell ref="T10:AA10"/>
    <mergeCell ref="Z11:Z12"/>
    <mergeCell ref="AA11:AA12"/>
    <mergeCell ref="AB10:AI10"/>
    <mergeCell ref="AH11:AH12"/>
    <mergeCell ref="AI11:AI12"/>
    <mergeCell ref="D10:K10"/>
    <mergeCell ref="J11:J12"/>
    <mergeCell ref="K11:K12"/>
    <mergeCell ref="R11:R12"/>
    <mergeCell ref="L10:S10"/>
    <mergeCell ref="X11:Y11"/>
  </mergeCells>
  <phoneticPr fontId="2" type="noConversion"/>
  <pageMargins left="0.37" right="0.36" top="0.75" bottom="0.75" header="0.3" footer="0.3"/>
  <pageSetup paperSize="9" scale="51" fitToHeight="0"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tabColor theme="5" tint="0.79998168889431442"/>
    <pageSetUpPr fitToPage="1"/>
  </sheetPr>
  <dimension ref="B1:S242"/>
  <sheetViews>
    <sheetView showGridLines="0" topLeftCell="A3" zoomScale="85" zoomScaleNormal="85" workbookViewId="0">
      <selection activeCell="M25" sqref="M25:P25"/>
    </sheetView>
  </sheetViews>
  <sheetFormatPr defaultRowHeight="17.399999999999999" x14ac:dyDescent="0.4"/>
  <cols>
    <col min="1" max="1" width="2" customWidth="1"/>
    <col min="4" max="4" width="12.09765625" bestFit="1" customWidth="1"/>
    <col min="5" max="5" width="11.09765625" customWidth="1"/>
    <col min="6" max="6" width="15.59765625" bestFit="1" customWidth="1"/>
    <col min="7" max="7" width="17.09765625" bestFit="1" customWidth="1"/>
    <col min="8" max="8" width="15.59765625" style="1" customWidth="1"/>
    <col min="9" max="9" width="16.59765625" customWidth="1"/>
    <col min="10" max="10" width="9.59765625" customWidth="1"/>
    <col min="11" max="11" width="18.59765625" customWidth="1"/>
    <col min="12" max="12" width="17.5" customWidth="1"/>
    <col min="13" max="13" width="43" customWidth="1"/>
    <col min="14" max="14" width="14.09765625" bestFit="1" customWidth="1"/>
    <col min="15" max="15" width="12.59765625" bestFit="1" customWidth="1"/>
    <col min="18" max="18" width="12.59765625" bestFit="1" customWidth="1"/>
  </cols>
  <sheetData>
    <row r="1" spans="2:19" ht="30" x14ac:dyDescent="0.4">
      <c r="B1" s="34" t="s">
        <v>493</v>
      </c>
    </row>
    <row r="2" spans="2:19" ht="18" thickBot="1" x14ac:dyDescent="0.45">
      <c r="K2" s="1266" t="s">
        <v>494</v>
      </c>
      <c r="L2" s="1266"/>
    </row>
    <row r="3" spans="2:19" ht="18" thickBot="1" x14ac:dyDescent="0.45">
      <c r="B3" s="27" t="s">
        <v>117</v>
      </c>
      <c r="C3" s="28" t="s">
        <v>118</v>
      </c>
      <c r="D3" s="28" t="s">
        <v>119</v>
      </c>
      <c r="E3" s="28" t="s">
        <v>120</v>
      </c>
      <c r="F3" s="28" t="s">
        <v>121</v>
      </c>
      <c r="G3" s="28" t="s">
        <v>122</v>
      </c>
      <c r="H3" s="29" t="s">
        <v>123</v>
      </c>
      <c r="I3" s="28" t="s">
        <v>124</v>
      </c>
      <c r="J3" s="30" t="s">
        <v>125</v>
      </c>
      <c r="K3" s="31" t="s">
        <v>495</v>
      </c>
      <c r="L3" s="30" t="s">
        <v>55</v>
      </c>
    </row>
    <row r="4" spans="2:19" hidden="1" x14ac:dyDescent="0.4">
      <c r="B4" s="7" t="s">
        <v>2</v>
      </c>
      <c r="C4" s="8" t="s">
        <v>128</v>
      </c>
      <c r="D4" s="8" t="s">
        <v>129</v>
      </c>
      <c r="E4" s="8" t="s">
        <v>310</v>
      </c>
      <c r="F4" s="8" t="s">
        <v>311</v>
      </c>
      <c r="G4" s="24"/>
      <c r="H4" s="9" t="e">
        <f>INDEX(#REF!,MATCH(셀트리온제약!$F4,#REF!,0),MATCH(셀트리온제약!$B4,#REF!,0))</f>
        <v>#REF!</v>
      </c>
      <c r="I4" s="24" t="e">
        <f>H4</f>
        <v>#REF!</v>
      </c>
      <c r="J4" s="20" t="e">
        <f>+G4/H4</f>
        <v>#REF!</v>
      </c>
      <c r="L4" s="32"/>
      <c r="O4" s="10"/>
      <c r="R4" s="10"/>
      <c r="S4" s="10"/>
    </row>
    <row r="5" spans="2:19" hidden="1" x14ac:dyDescent="0.4">
      <c r="B5" s="2" t="s">
        <v>2</v>
      </c>
      <c r="C5" s="3" t="s">
        <v>128</v>
      </c>
      <c r="D5" s="3" t="s">
        <v>129</v>
      </c>
      <c r="E5" s="3" t="s">
        <v>310</v>
      </c>
      <c r="F5" s="3" t="s">
        <v>496</v>
      </c>
      <c r="G5" s="25"/>
      <c r="H5" s="11" t="e">
        <f>INDEX(#REF!,MATCH(셀트리온제약!$F5,#REF!,0),MATCH(셀트리온제약!$B5,#REF!,0))</f>
        <v>#REF!</v>
      </c>
      <c r="I5" s="25" t="e">
        <f t="shared" ref="I5:I43" si="0">H5</f>
        <v>#REF!</v>
      </c>
      <c r="J5" s="21" t="e">
        <f t="shared" ref="J5:J14" si="1">+G5/H5</f>
        <v>#REF!</v>
      </c>
      <c r="L5" s="32"/>
      <c r="O5" s="10"/>
      <c r="R5" s="10"/>
      <c r="S5" s="10"/>
    </row>
    <row r="6" spans="2:19" hidden="1" x14ac:dyDescent="0.4">
      <c r="B6" s="2" t="s">
        <v>2</v>
      </c>
      <c r="C6" s="3" t="s">
        <v>128</v>
      </c>
      <c r="D6" s="3" t="s">
        <v>129</v>
      </c>
      <c r="E6" s="3" t="s">
        <v>310</v>
      </c>
      <c r="F6" s="3" t="s">
        <v>84</v>
      </c>
      <c r="G6" s="25"/>
      <c r="H6" s="11" t="e">
        <f>INDEX(#REF!,MATCH(셀트리온제약!$F6,#REF!,0),MATCH(셀트리온제약!$B6,#REF!,0))</f>
        <v>#REF!</v>
      </c>
      <c r="I6" s="25" t="e">
        <f t="shared" si="0"/>
        <v>#REF!</v>
      </c>
      <c r="J6" s="21" t="e">
        <f t="shared" si="1"/>
        <v>#REF!</v>
      </c>
      <c r="L6" s="32"/>
      <c r="O6" s="10"/>
      <c r="R6" s="10"/>
      <c r="S6" s="10"/>
    </row>
    <row r="7" spans="2:19" hidden="1" x14ac:dyDescent="0.4">
      <c r="B7" s="2" t="s">
        <v>2</v>
      </c>
      <c r="C7" s="3" t="s">
        <v>128</v>
      </c>
      <c r="D7" s="3" t="s">
        <v>129</v>
      </c>
      <c r="E7" s="3" t="s">
        <v>338</v>
      </c>
      <c r="F7" s="3" t="s">
        <v>340</v>
      </c>
      <c r="G7" s="25"/>
      <c r="H7" s="11" t="e">
        <f>INDEX(#REF!,MATCH(셀트리온제약!$F7,#REF!,0),MATCH(셀트리온제약!$B7,#REF!,0))</f>
        <v>#REF!</v>
      </c>
      <c r="I7" s="25" t="e">
        <f t="shared" si="0"/>
        <v>#REF!</v>
      </c>
      <c r="J7" s="21" t="e">
        <f t="shared" si="1"/>
        <v>#REF!</v>
      </c>
      <c r="L7" s="32"/>
      <c r="O7" s="10"/>
      <c r="R7" s="10"/>
      <c r="S7" s="10"/>
    </row>
    <row r="8" spans="2:19" hidden="1" x14ac:dyDescent="0.4">
      <c r="B8" s="2" t="s">
        <v>2</v>
      </c>
      <c r="C8" s="3" t="s">
        <v>128</v>
      </c>
      <c r="D8" s="3" t="s">
        <v>129</v>
      </c>
      <c r="E8" s="3" t="s">
        <v>338</v>
      </c>
      <c r="F8" s="3" t="s">
        <v>341</v>
      </c>
      <c r="G8" s="25"/>
      <c r="H8" s="11" t="e">
        <f>INDEX(#REF!,MATCH(셀트리온제약!$F8,#REF!,0),MATCH(셀트리온제약!$B8,#REF!,0))</f>
        <v>#REF!</v>
      </c>
      <c r="I8" s="25" t="e">
        <f t="shared" si="0"/>
        <v>#REF!</v>
      </c>
      <c r="J8" s="21" t="e">
        <f t="shared" si="1"/>
        <v>#REF!</v>
      </c>
      <c r="L8" s="32"/>
      <c r="O8" s="10"/>
      <c r="R8" s="10"/>
      <c r="S8" s="10"/>
    </row>
    <row r="9" spans="2:19" hidden="1" x14ac:dyDescent="0.4">
      <c r="B9" s="2" t="s">
        <v>2</v>
      </c>
      <c r="C9" s="3" t="s">
        <v>128</v>
      </c>
      <c r="D9" s="3" t="s">
        <v>129</v>
      </c>
      <c r="E9" s="3" t="s">
        <v>338</v>
      </c>
      <c r="F9" s="3" t="s">
        <v>346</v>
      </c>
      <c r="G9" s="25"/>
      <c r="H9" s="11" t="e">
        <f>INDEX(#REF!,MATCH(셀트리온제약!$F9,#REF!,0),MATCH(셀트리온제약!$B9,#REF!,0))</f>
        <v>#REF!</v>
      </c>
      <c r="I9" s="25" t="e">
        <f t="shared" si="0"/>
        <v>#REF!</v>
      </c>
      <c r="J9" s="21" t="e">
        <f t="shared" si="1"/>
        <v>#REF!</v>
      </c>
      <c r="L9" s="32"/>
      <c r="O9" s="10"/>
      <c r="R9" s="10"/>
      <c r="S9" s="10"/>
    </row>
    <row r="10" spans="2:19" hidden="1" x14ac:dyDescent="0.4">
      <c r="B10" s="2" t="s">
        <v>2</v>
      </c>
      <c r="C10" s="3" t="s">
        <v>128</v>
      </c>
      <c r="D10" s="3" t="s">
        <v>129</v>
      </c>
      <c r="E10" s="3" t="s">
        <v>338</v>
      </c>
      <c r="F10" s="3" t="s">
        <v>342</v>
      </c>
      <c r="G10" s="26"/>
      <c r="H10" s="4" t="e">
        <f>INDEX(#REF!,MATCH(셀트리온제약!$F10,#REF!,0),MATCH(셀트리온제약!$B10,#REF!,0))</f>
        <v>#REF!</v>
      </c>
      <c r="I10" s="26" t="e">
        <f t="shared" si="0"/>
        <v>#REF!</v>
      </c>
      <c r="J10" s="21" t="e">
        <f t="shared" si="1"/>
        <v>#REF!</v>
      </c>
      <c r="L10" s="32"/>
      <c r="O10" s="10"/>
      <c r="R10" s="10"/>
      <c r="S10" s="10"/>
    </row>
    <row r="11" spans="2:19" hidden="1" x14ac:dyDescent="0.4">
      <c r="B11" s="2" t="s">
        <v>2</v>
      </c>
      <c r="C11" s="3" t="s">
        <v>128</v>
      </c>
      <c r="D11" s="3" t="s">
        <v>129</v>
      </c>
      <c r="E11" s="3" t="s">
        <v>338</v>
      </c>
      <c r="F11" s="3" t="s">
        <v>349</v>
      </c>
      <c r="G11" s="25"/>
      <c r="H11" s="11" t="e">
        <f>INDEX(#REF!,MATCH(셀트리온제약!$F11,#REF!,0),MATCH(셀트리온제약!$B11,#REF!,0))</f>
        <v>#REF!</v>
      </c>
      <c r="I11" s="25" t="e">
        <f t="shared" si="0"/>
        <v>#REF!</v>
      </c>
      <c r="J11" s="21" t="e">
        <f t="shared" si="1"/>
        <v>#REF!</v>
      </c>
      <c r="L11" s="32"/>
      <c r="O11" s="10"/>
      <c r="R11" s="10"/>
      <c r="S11" s="10"/>
    </row>
    <row r="12" spans="2:19" hidden="1" x14ac:dyDescent="0.4">
      <c r="B12" s="2" t="s">
        <v>2</v>
      </c>
      <c r="C12" s="3" t="s">
        <v>128</v>
      </c>
      <c r="D12" s="3" t="s">
        <v>129</v>
      </c>
      <c r="E12" s="3" t="s">
        <v>338</v>
      </c>
      <c r="F12" s="3" t="s">
        <v>497</v>
      </c>
      <c r="G12" s="26"/>
      <c r="H12" s="4" t="e">
        <f>INDEX(#REF!,MATCH(셀트리온제약!$F12,#REF!,0),MATCH(셀트리온제약!$B12,#REF!,0))</f>
        <v>#REF!</v>
      </c>
      <c r="I12" s="26" t="e">
        <f t="shared" si="0"/>
        <v>#REF!</v>
      </c>
      <c r="J12" s="21" t="e">
        <f t="shared" si="1"/>
        <v>#REF!</v>
      </c>
      <c r="L12" s="32"/>
      <c r="O12" s="10"/>
      <c r="R12" s="10"/>
      <c r="S12" s="10"/>
    </row>
    <row r="13" spans="2:19" hidden="1" x14ac:dyDescent="0.4">
      <c r="B13" s="2" t="s">
        <v>2</v>
      </c>
      <c r="C13" s="3" t="s">
        <v>128</v>
      </c>
      <c r="D13" s="3" t="s">
        <v>129</v>
      </c>
      <c r="E13" s="3" t="s">
        <v>320</v>
      </c>
      <c r="F13" s="3" t="s">
        <v>320</v>
      </c>
      <c r="G13" s="26"/>
      <c r="H13" s="4" t="e">
        <f>INDEX(#REF!,MATCH(셀트리온제약!$F13,#REF!,0),MATCH(셀트리온제약!$B13,#REF!,0))</f>
        <v>#REF!</v>
      </c>
      <c r="I13" s="26" t="e">
        <f t="shared" si="0"/>
        <v>#REF!</v>
      </c>
      <c r="J13" s="21" t="e">
        <f t="shared" si="1"/>
        <v>#REF!</v>
      </c>
      <c r="L13" s="32"/>
      <c r="O13" s="10"/>
    </row>
    <row r="14" spans="2:19" hidden="1" x14ac:dyDescent="0.4">
      <c r="B14" s="12" t="s">
        <v>2</v>
      </c>
      <c r="C14" s="470" t="s">
        <v>128</v>
      </c>
      <c r="D14" s="470" t="s">
        <v>129</v>
      </c>
      <c r="E14" s="470" t="s">
        <v>331</v>
      </c>
      <c r="F14" s="470" t="s">
        <v>331</v>
      </c>
      <c r="G14" s="474"/>
      <c r="H14" s="471" t="e">
        <f>INDEX(#REF!,MATCH(셀트리온제약!$F14,#REF!,0),MATCH(셀트리온제약!$B14,#REF!,0))</f>
        <v>#REF!</v>
      </c>
      <c r="I14" s="474" t="e">
        <f t="shared" si="0"/>
        <v>#REF!</v>
      </c>
      <c r="J14" s="472" t="e">
        <f t="shared" si="1"/>
        <v>#REF!</v>
      </c>
      <c r="L14" s="32"/>
      <c r="O14" s="10"/>
    </row>
    <row r="15" spans="2:19" x14ac:dyDescent="0.4">
      <c r="B15" s="1232" t="s">
        <v>2</v>
      </c>
      <c r="C15" s="8" t="s">
        <v>128</v>
      </c>
      <c r="D15" s="8" t="s">
        <v>129</v>
      </c>
      <c r="E15" s="8" t="s">
        <v>130</v>
      </c>
      <c r="F15" s="8" t="s">
        <v>131</v>
      </c>
      <c r="G15" s="33">
        <v>5126482260</v>
      </c>
      <c r="H15" s="33">
        <v>3844520000.0000005</v>
      </c>
      <c r="I15" s="33">
        <v>5126482260</v>
      </c>
      <c r="J15" s="20">
        <f>+I15/H15</f>
        <v>1.3334518379407572</v>
      </c>
      <c r="K15" s="4">
        <v>5129494020</v>
      </c>
      <c r="L15" s="148">
        <f>I15-K15</f>
        <v>-3011760</v>
      </c>
      <c r="O15" s="10"/>
    </row>
    <row r="16" spans="2:19" x14ac:dyDescent="0.4">
      <c r="B16" s="1263"/>
      <c r="C16" s="3" t="s">
        <v>128</v>
      </c>
      <c r="D16" s="3" t="s">
        <v>129</v>
      </c>
      <c r="E16" s="3" t="s">
        <v>130</v>
      </c>
      <c r="F16" s="3" t="s">
        <v>132</v>
      </c>
      <c r="G16" s="4">
        <v>156595400</v>
      </c>
      <c r="H16" s="4">
        <v>155480000</v>
      </c>
      <c r="I16" s="4">
        <v>156595400</v>
      </c>
      <c r="J16" s="21">
        <f t="shared" ref="J16:J21" si="2">+I16/H16</f>
        <v>1.0071739130434783</v>
      </c>
      <c r="K16" s="4">
        <v>156595400</v>
      </c>
      <c r="L16" s="35">
        <f t="shared" ref="L16:L22" si="3">I16-K16</f>
        <v>0</v>
      </c>
      <c r="M16" s="15"/>
      <c r="O16" s="10"/>
    </row>
    <row r="17" spans="2:19" x14ac:dyDescent="0.4">
      <c r="B17" s="1263"/>
      <c r="C17" s="3" t="s">
        <v>128</v>
      </c>
      <c r="D17" s="3" t="s">
        <v>129</v>
      </c>
      <c r="E17" s="3" t="s">
        <v>130</v>
      </c>
      <c r="F17" s="3" t="s">
        <v>134</v>
      </c>
      <c r="G17" s="4">
        <v>670443570</v>
      </c>
      <c r="H17" s="4">
        <v>709659920</v>
      </c>
      <c r="I17" s="4">
        <v>670443570</v>
      </c>
      <c r="J17" s="21">
        <f t="shared" si="2"/>
        <v>0.9447392350972843</v>
      </c>
      <c r="K17" s="4">
        <v>670443570</v>
      </c>
      <c r="L17" s="35">
        <f t="shared" si="3"/>
        <v>0</v>
      </c>
      <c r="M17" s="15"/>
      <c r="O17" s="10"/>
    </row>
    <row r="18" spans="2:19" x14ac:dyDescent="0.4">
      <c r="B18" s="1263"/>
      <c r="C18" s="3" t="s">
        <v>128</v>
      </c>
      <c r="D18" s="3" t="s">
        <v>129</v>
      </c>
      <c r="E18" s="3" t="s">
        <v>130</v>
      </c>
      <c r="F18" s="3" t="s">
        <v>135</v>
      </c>
      <c r="G18" s="4">
        <v>536928300</v>
      </c>
      <c r="H18" s="4">
        <v>0</v>
      </c>
      <c r="I18" s="4">
        <v>536928300</v>
      </c>
      <c r="J18" s="21"/>
      <c r="K18" s="4">
        <v>536928300</v>
      </c>
      <c r="L18" s="35">
        <f t="shared" si="3"/>
        <v>0</v>
      </c>
      <c r="O18" s="10"/>
    </row>
    <row r="19" spans="2:19" x14ac:dyDescent="0.4">
      <c r="B19" s="1263"/>
      <c r="C19" s="3" t="s">
        <v>128</v>
      </c>
      <c r="D19" s="3" t="s">
        <v>129</v>
      </c>
      <c r="E19" s="3" t="s">
        <v>130</v>
      </c>
      <c r="F19" s="3" t="s">
        <v>136</v>
      </c>
      <c r="G19" s="4">
        <v>1271730</v>
      </c>
      <c r="H19" s="4">
        <v>40000000</v>
      </c>
      <c r="I19" s="4">
        <v>840000</v>
      </c>
      <c r="J19" s="21">
        <f t="shared" si="2"/>
        <v>2.1000000000000001E-2</v>
      </c>
      <c r="K19" s="38">
        <v>840000</v>
      </c>
      <c r="L19" s="154">
        <f t="shared" si="3"/>
        <v>0</v>
      </c>
      <c r="O19" s="10"/>
    </row>
    <row r="20" spans="2:19" x14ac:dyDescent="0.4">
      <c r="B20" s="1263"/>
      <c r="C20" s="3" t="s">
        <v>128</v>
      </c>
      <c r="D20" s="3" t="s">
        <v>129</v>
      </c>
      <c r="E20" s="3" t="s">
        <v>130</v>
      </c>
      <c r="F20" s="3" t="s">
        <v>137</v>
      </c>
      <c r="G20" s="4">
        <v>0</v>
      </c>
      <c r="H20" s="4">
        <v>0</v>
      </c>
      <c r="I20" s="4">
        <v>0</v>
      </c>
      <c r="J20" s="21"/>
      <c r="K20" s="38">
        <v>0</v>
      </c>
      <c r="L20" s="35">
        <f t="shared" si="3"/>
        <v>0</v>
      </c>
      <c r="O20" s="10"/>
      <c r="R20" s="10"/>
      <c r="S20" s="10"/>
    </row>
    <row r="21" spans="2:19" x14ac:dyDescent="0.4">
      <c r="B21" s="1263"/>
      <c r="C21" s="3" t="s">
        <v>128</v>
      </c>
      <c r="D21" s="3" t="s">
        <v>129</v>
      </c>
      <c r="E21" s="3" t="s">
        <v>130</v>
      </c>
      <c r="F21" s="3" t="s">
        <v>141</v>
      </c>
      <c r="G21" s="4">
        <v>162069429</v>
      </c>
      <c r="H21" s="4">
        <v>162069429</v>
      </c>
      <c r="I21" s="4">
        <v>162069429</v>
      </c>
      <c r="J21" s="21">
        <f t="shared" si="2"/>
        <v>1</v>
      </c>
      <c r="K21" s="38">
        <v>162069429</v>
      </c>
      <c r="L21" s="35">
        <f t="shared" si="3"/>
        <v>0</v>
      </c>
      <c r="O21" s="10"/>
      <c r="R21" s="10"/>
      <c r="S21" s="10"/>
    </row>
    <row r="22" spans="2:19" ht="18" thickBot="1" x14ac:dyDescent="0.45">
      <c r="B22" s="1263"/>
      <c r="C22" s="17" t="s">
        <v>128</v>
      </c>
      <c r="D22" s="17" t="s">
        <v>129</v>
      </c>
      <c r="E22" s="17" t="s">
        <v>130</v>
      </c>
      <c r="F22" s="17" t="s">
        <v>142</v>
      </c>
      <c r="G22" s="6">
        <v>858750000</v>
      </c>
      <c r="H22" s="6">
        <v>0</v>
      </c>
      <c r="I22" s="6">
        <v>858750000</v>
      </c>
      <c r="J22" s="22"/>
      <c r="K22" s="6">
        <v>858750000</v>
      </c>
      <c r="L22" s="36">
        <f t="shared" si="3"/>
        <v>0</v>
      </c>
      <c r="O22" s="10"/>
      <c r="R22" s="10"/>
      <c r="S22" s="10"/>
    </row>
    <row r="23" spans="2:19" ht="21" customHeight="1" thickBot="1" x14ac:dyDescent="0.45">
      <c r="B23" s="1265"/>
      <c r="C23" s="1261" t="s">
        <v>144</v>
      </c>
      <c r="D23" s="1261"/>
      <c r="E23" s="1261"/>
      <c r="F23" s="1262"/>
      <c r="G23" s="144">
        <f>SUM(G15:G22)</f>
        <v>7512540689</v>
      </c>
      <c r="H23" s="144">
        <f>SUM(H15:H22)</f>
        <v>4911729349</v>
      </c>
      <c r="I23" s="144">
        <f>SUM(I15:I22)</f>
        <v>7512108959</v>
      </c>
      <c r="J23" s="145">
        <f>I23/H23</f>
        <v>1.5294224142316437</v>
      </c>
      <c r="K23" s="146">
        <f>SUM(K15:K22)</f>
        <v>7515120719</v>
      </c>
      <c r="L23" s="189">
        <f>SUM(L15:L22)</f>
        <v>-3011760</v>
      </c>
      <c r="O23" s="10"/>
      <c r="R23" s="10"/>
      <c r="S23" s="10"/>
    </row>
    <row r="24" spans="2:19" x14ac:dyDescent="0.4">
      <c r="B24" s="1232" t="s">
        <v>3</v>
      </c>
      <c r="C24" s="3" t="s">
        <v>128</v>
      </c>
      <c r="D24" s="3" t="s">
        <v>129</v>
      </c>
      <c r="E24" s="3" t="s">
        <v>130</v>
      </c>
      <c r="F24" s="3" t="s">
        <v>131</v>
      </c>
      <c r="G24" s="4"/>
      <c r="H24" s="4">
        <v>3922041600.0000005</v>
      </c>
      <c r="I24" s="4">
        <v>6267053200</v>
      </c>
      <c r="J24" s="21">
        <f t="shared" ref="J24:J31" si="4">+G24/H24</f>
        <v>0</v>
      </c>
      <c r="K24" s="4">
        <v>6267053200</v>
      </c>
      <c r="L24" s="176">
        <f>I24-K24</f>
        <v>0</v>
      </c>
      <c r="O24" s="10"/>
    </row>
    <row r="25" spans="2:19" x14ac:dyDescent="0.4">
      <c r="B25" s="1263"/>
      <c r="C25" s="3" t="s">
        <v>128</v>
      </c>
      <c r="D25" s="3" t="s">
        <v>129</v>
      </c>
      <c r="E25" s="3" t="s">
        <v>130</v>
      </c>
      <c r="F25" s="3" t="s">
        <v>132</v>
      </c>
      <c r="G25" s="4"/>
      <c r="H25" s="4">
        <v>77958400</v>
      </c>
      <c r="I25" s="4">
        <v>0</v>
      </c>
      <c r="J25" s="21">
        <f t="shared" si="4"/>
        <v>0</v>
      </c>
      <c r="K25" s="4">
        <v>0</v>
      </c>
      <c r="L25" s="35">
        <f t="shared" ref="L25:L31" si="5">I25-K25</f>
        <v>0</v>
      </c>
      <c r="O25" s="10"/>
    </row>
    <row r="26" spans="2:19" x14ac:dyDescent="0.4">
      <c r="B26" s="1263"/>
      <c r="C26" s="3" t="s">
        <v>128</v>
      </c>
      <c r="D26" s="3" t="s">
        <v>129</v>
      </c>
      <c r="E26" s="3" t="s">
        <v>130</v>
      </c>
      <c r="F26" s="3" t="s">
        <v>134</v>
      </c>
      <c r="G26" s="4"/>
      <c r="H26" s="4">
        <v>706930160</v>
      </c>
      <c r="I26" s="4">
        <v>637351360</v>
      </c>
      <c r="J26" s="21">
        <f t="shared" si="4"/>
        <v>0</v>
      </c>
      <c r="K26" s="4">
        <v>720000000</v>
      </c>
      <c r="L26" s="147">
        <f t="shared" si="5"/>
        <v>-82648640</v>
      </c>
      <c r="O26" s="10"/>
    </row>
    <row r="27" spans="2:19" x14ac:dyDescent="0.4">
      <c r="B27" s="1263"/>
      <c r="C27" s="3" t="s">
        <v>128</v>
      </c>
      <c r="D27" s="3" t="s">
        <v>129</v>
      </c>
      <c r="E27" s="3" t="s">
        <v>130</v>
      </c>
      <c r="F27" s="3" t="s">
        <v>135</v>
      </c>
      <c r="G27" s="4"/>
      <c r="H27" s="4">
        <v>0</v>
      </c>
      <c r="I27" s="4">
        <v>750626800</v>
      </c>
      <c r="J27" s="21"/>
      <c r="K27" s="4">
        <v>750626800</v>
      </c>
      <c r="L27" s="35">
        <f t="shared" si="5"/>
        <v>0</v>
      </c>
      <c r="O27" s="10"/>
    </row>
    <row r="28" spans="2:19" x14ac:dyDescent="0.4">
      <c r="B28" s="1263"/>
      <c r="C28" s="3" t="s">
        <v>128</v>
      </c>
      <c r="D28" s="3" t="s">
        <v>129</v>
      </c>
      <c r="E28" s="3" t="s">
        <v>130</v>
      </c>
      <c r="F28" s="3" t="s">
        <v>136</v>
      </c>
      <c r="G28" s="4"/>
      <c r="H28" s="4">
        <v>174000000</v>
      </c>
      <c r="I28" s="4">
        <v>147000000</v>
      </c>
      <c r="J28" s="21">
        <f t="shared" si="4"/>
        <v>0</v>
      </c>
      <c r="K28" s="4">
        <v>214000000</v>
      </c>
      <c r="L28" s="188">
        <f t="shared" si="5"/>
        <v>-67000000</v>
      </c>
      <c r="O28" s="10"/>
    </row>
    <row r="29" spans="2:19" x14ac:dyDescent="0.4">
      <c r="B29" s="1263"/>
      <c r="C29" s="3" t="s">
        <v>128</v>
      </c>
      <c r="D29" s="3" t="s">
        <v>129</v>
      </c>
      <c r="E29" s="3" t="s">
        <v>130</v>
      </c>
      <c r="F29" s="3" t="s">
        <v>137</v>
      </c>
      <c r="G29" s="4"/>
      <c r="H29" s="4">
        <v>67500000</v>
      </c>
      <c r="I29" s="4">
        <v>38500000</v>
      </c>
      <c r="J29" s="21">
        <f t="shared" si="4"/>
        <v>0</v>
      </c>
      <c r="K29" s="4">
        <v>67500000</v>
      </c>
      <c r="L29" s="147">
        <f t="shared" si="5"/>
        <v>-29000000</v>
      </c>
      <c r="O29" s="10"/>
      <c r="R29" s="10"/>
      <c r="S29" s="10"/>
    </row>
    <row r="30" spans="2:19" x14ac:dyDescent="0.4">
      <c r="B30" s="1263"/>
      <c r="C30" s="3" t="s">
        <v>128</v>
      </c>
      <c r="D30" s="3" t="s">
        <v>129</v>
      </c>
      <c r="E30" s="3" t="s">
        <v>130</v>
      </c>
      <c r="F30" s="3" t="s">
        <v>141</v>
      </c>
      <c r="G30" s="4"/>
      <c r="H30" s="4">
        <v>14069429</v>
      </c>
      <c r="I30" s="4">
        <f t="shared" ref="I30" si="6">H30</f>
        <v>14069429</v>
      </c>
      <c r="J30" s="21">
        <f t="shared" si="4"/>
        <v>0</v>
      </c>
      <c r="K30" s="4">
        <v>14069429</v>
      </c>
      <c r="L30" s="35">
        <f t="shared" si="5"/>
        <v>0</v>
      </c>
      <c r="O30" s="10"/>
      <c r="R30" s="10"/>
      <c r="S30" s="10"/>
    </row>
    <row r="31" spans="2:19" ht="18" thickBot="1" x14ac:dyDescent="0.45">
      <c r="B31" s="1263"/>
      <c r="C31" s="3" t="s">
        <v>128</v>
      </c>
      <c r="D31" s="3" t="s">
        <v>129</v>
      </c>
      <c r="E31" s="3" t="s">
        <v>130</v>
      </c>
      <c r="F31" s="3" t="s">
        <v>142</v>
      </c>
      <c r="G31" s="471"/>
      <c r="H31" s="471">
        <v>170000000</v>
      </c>
      <c r="I31" s="471">
        <v>344375000</v>
      </c>
      <c r="J31" s="472">
        <f t="shared" si="4"/>
        <v>0</v>
      </c>
      <c r="K31" s="471">
        <v>344375000</v>
      </c>
      <c r="L31" s="161">
        <f t="shared" si="5"/>
        <v>0</v>
      </c>
      <c r="O31" s="10"/>
      <c r="R31" s="10"/>
      <c r="S31" s="10"/>
    </row>
    <row r="32" spans="2:19" ht="18" thickBot="1" x14ac:dyDescent="0.45">
      <c r="B32" s="1265"/>
      <c r="C32" s="1261" t="s">
        <v>498</v>
      </c>
      <c r="D32" s="1261"/>
      <c r="E32" s="1261"/>
      <c r="F32" s="1262"/>
      <c r="G32" s="144">
        <f>SUM(G24:G31)</f>
        <v>0</v>
      </c>
      <c r="H32" s="144">
        <f>SUM(H24:H31)</f>
        <v>5132499589</v>
      </c>
      <c r="I32" s="144">
        <f>SUM(I24:I31)</f>
        <v>8198975789</v>
      </c>
      <c r="J32" s="145">
        <f>I32/H32</f>
        <v>1.5974625320130738</v>
      </c>
      <c r="K32" s="146">
        <f>SUM(K24:K31)</f>
        <v>8377624429</v>
      </c>
      <c r="L32" s="39">
        <f>SUM(L24:L31)</f>
        <v>-178648640</v>
      </c>
      <c r="O32" s="10"/>
      <c r="R32" s="10"/>
      <c r="S32" s="10"/>
    </row>
    <row r="33" spans="2:19" x14ac:dyDescent="0.4">
      <c r="B33" s="1263" t="s">
        <v>4</v>
      </c>
      <c r="C33" s="3" t="s">
        <v>128</v>
      </c>
      <c r="D33" s="3" t="s">
        <v>129</v>
      </c>
      <c r="E33" s="3" t="s">
        <v>130</v>
      </c>
      <c r="F33" s="3" t="s">
        <v>131</v>
      </c>
      <c r="G33" s="4"/>
      <c r="H33" s="4">
        <v>5612097600</v>
      </c>
      <c r="I33" s="4">
        <v>1983837820</v>
      </c>
      <c r="J33" s="21">
        <f t="shared" ref="J33:J44" si="7">+G33/H33</f>
        <v>0</v>
      </c>
      <c r="K33" s="37">
        <v>1983837820</v>
      </c>
      <c r="L33" s="176">
        <f>I33-K33</f>
        <v>0</v>
      </c>
      <c r="O33" s="10"/>
    </row>
    <row r="34" spans="2:19" x14ac:dyDescent="0.4">
      <c r="B34" s="1263"/>
      <c r="C34" s="3" t="s">
        <v>128</v>
      </c>
      <c r="D34" s="3" t="s">
        <v>129</v>
      </c>
      <c r="E34" s="3" t="s">
        <v>130</v>
      </c>
      <c r="F34" s="3" t="s">
        <v>132</v>
      </c>
      <c r="G34" s="4"/>
      <c r="H34" s="4">
        <v>387902400</v>
      </c>
      <c r="I34" s="4">
        <v>464745400</v>
      </c>
      <c r="J34" s="21">
        <f t="shared" si="7"/>
        <v>0</v>
      </c>
      <c r="K34" s="38">
        <v>464745400</v>
      </c>
      <c r="L34" s="35">
        <f t="shared" ref="L34:L40" si="8">I34-K34</f>
        <v>0</v>
      </c>
      <c r="O34" s="10"/>
      <c r="R34" s="10"/>
      <c r="S34" s="10"/>
    </row>
    <row r="35" spans="2:19" x14ac:dyDescent="0.4">
      <c r="B35" s="1263"/>
      <c r="C35" s="3" t="s">
        <v>128</v>
      </c>
      <c r="D35" s="3" t="s">
        <v>129</v>
      </c>
      <c r="E35" s="3" t="s">
        <v>130</v>
      </c>
      <c r="F35" s="3" t="s">
        <v>134</v>
      </c>
      <c r="G35" s="4"/>
      <c r="H35" s="4">
        <v>759929360</v>
      </c>
      <c r="I35" s="4">
        <v>786519440</v>
      </c>
      <c r="J35" s="21">
        <f t="shared" si="7"/>
        <v>0</v>
      </c>
      <c r="K35" s="38">
        <v>786519440</v>
      </c>
      <c r="L35" s="35">
        <f t="shared" si="8"/>
        <v>0</v>
      </c>
      <c r="O35" s="10"/>
      <c r="R35" s="10"/>
      <c r="S35" s="10"/>
    </row>
    <row r="36" spans="2:19" x14ac:dyDescent="0.4">
      <c r="B36" s="1263"/>
      <c r="C36" s="3" t="s">
        <v>128</v>
      </c>
      <c r="D36" s="3" t="s">
        <v>129</v>
      </c>
      <c r="E36" s="3" t="s">
        <v>130</v>
      </c>
      <c r="F36" s="3" t="s">
        <v>135</v>
      </c>
      <c r="G36" s="4"/>
      <c r="H36" s="4">
        <v>61667600</v>
      </c>
      <c r="I36" s="4">
        <v>549400800</v>
      </c>
      <c r="J36" s="21">
        <f t="shared" si="7"/>
        <v>0</v>
      </c>
      <c r="K36" s="38">
        <v>0</v>
      </c>
      <c r="L36" s="35">
        <f t="shared" si="8"/>
        <v>549400800</v>
      </c>
      <c r="O36" s="10"/>
      <c r="R36" s="10"/>
      <c r="S36" s="10"/>
    </row>
    <row r="37" spans="2:19" x14ac:dyDescent="0.4">
      <c r="B37" s="1263"/>
      <c r="C37" s="3" t="s">
        <v>128</v>
      </c>
      <c r="D37" s="3" t="s">
        <v>129</v>
      </c>
      <c r="E37" s="3" t="s">
        <v>130</v>
      </c>
      <c r="F37" s="3" t="s">
        <v>136</v>
      </c>
      <c r="G37" s="4"/>
      <c r="H37" s="4">
        <v>0</v>
      </c>
      <c r="I37" s="4">
        <v>0</v>
      </c>
      <c r="J37" s="21"/>
      <c r="K37" s="38">
        <v>0</v>
      </c>
      <c r="L37" s="154">
        <f t="shared" si="8"/>
        <v>0</v>
      </c>
      <c r="O37" s="10"/>
      <c r="R37" s="10"/>
      <c r="S37" s="10"/>
    </row>
    <row r="38" spans="2:19" x14ac:dyDescent="0.4">
      <c r="B38" s="1263"/>
      <c r="C38" s="3" t="s">
        <v>128</v>
      </c>
      <c r="D38" s="3" t="s">
        <v>129</v>
      </c>
      <c r="E38" s="3" t="s">
        <v>130</v>
      </c>
      <c r="F38" s="3" t="s">
        <v>137</v>
      </c>
      <c r="G38" s="4"/>
      <c r="H38" s="4">
        <v>245375000</v>
      </c>
      <c r="I38" s="4">
        <v>245375000</v>
      </c>
      <c r="J38" s="21">
        <f t="shared" si="7"/>
        <v>0</v>
      </c>
      <c r="K38" s="38">
        <v>245375000</v>
      </c>
      <c r="L38" s="35">
        <f t="shared" si="8"/>
        <v>0</v>
      </c>
      <c r="O38" s="10"/>
      <c r="R38" s="10"/>
      <c r="S38" s="10"/>
    </row>
    <row r="39" spans="2:19" x14ac:dyDescent="0.4">
      <c r="B39" s="1263"/>
      <c r="C39" s="3" t="s">
        <v>128</v>
      </c>
      <c r="D39" s="3" t="s">
        <v>129</v>
      </c>
      <c r="E39" s="3" t="s">
        <v>130</v>
      </c>
      <c r="F39" s="3" t="s">
        <v>141</v>
      </c>
      <c r="G39" s="4"/>
      <c r="H39" s="4">
        <v>134069429</v>
      </c>
      <c r="I39" s="4">
        <v>134069429</v>
      </c>
      <c r="J39" s="21">
        <f t="shared" si="7"/>
        <v>0</v>
      </c>
      <c r="K39" s="38">
        <v>134069429</v>
      </c>
      <c r="L39" s="35">
        <f t="shared" si="8"/>
        <v>0</v>
      </c>
      <c r="O39" s="10"/>
      <c r="R39" s="10"/>
      <c r="S39" s="10"/>
    </row>
    <row r="40" spans="2:19" ht="17.25" customHeight="1" thickBot="1" x14ac:dyDescent="0.45">
      <c r="B40" s="1263"/>
      <c r="C40" s="3" t="s">
        <v>128</v>
      </c>
      <c r="D40" s="3" t="s">
        <v>129</v>
      </c>
      <c r="E40" s="3" t="s">
        <v>130</v>
      </c>
      <c r="F40" s="3" t="s">
        <v>142</v>
      </c>
      <c r="G40" s="4"/>
      <c r="H40" s="4">
        <v>85000000</v>
      </c>
      <c r="I40" s="4">
        <v>386875000</v>
      </c>
      <c r="J40" s="21">
        <f t="shared" si="7"/>
        <v>0</v>
      </c>
      <c r="K40" s="13">
        <v>85000000</v>
      </c>
      <c r="L40" s="161">
        <f t="shared" si="8"/>
        <v>301875000</v>
      </c>
      <c r="O40" s="10"/>
      <c r="R40" s="10"/>
      <c r="S40" s="10"/>
    </row>
    <row r="41" spans="2:19" ht="18" thickBot="1" x14ac:dyDescent="0.45">
      <c r="B41" s="1264"/>
      <c r="C41" s="1261" t="s">
        <v>499</v>
      </c>
      <c r="D41" s="1261"/>
      <c r="E41" s="1261"/>
      <c r="F41" s="1262"/>
      <c r="G41" s="144">
        <f>SUM(G33:G40)</f>
        <v>0</v>
      </c>
      <c r="H41" s="144">
        <f>SUM(H33:H40)</f>
        <v>7286041389</v>
      </c>
      <c r="I41" s="144">
        <f>SUM(I33:I39)</f>
        <v>4163947889</v>
      </c>
      <c r="J41" s="145">
        <f>I41/H41</f>
        <v>0.57149660106055156</v>
      </c>
      <c r="K41" s="146">
        <f>SUM(K33:K40)</f>
        <v>3699547089</v>
      </c>
      <c r="L41" s="39">
        <f>SUM(L33:L40)</f>
        <v>851275800</v>
      </c>
      <c r="O41" s="10"/>
      <c r="R41" s="10"/>
      <c r="S41" s="10"/>
    </row>
    <row r="42" spans="2:19" hidden="1" x14ac:dyDescent="0.4">
      <c r="B42" s="14" t="s">
        <v>4</v>
      </c>
      <c r="C42" s="3" t="s">
        <v>128</v>
      </c>
      <c r="D42" s="3" t="s">
        <v>129</v>
      </c>
      <c r="E42" s="3" t="s">
        <v>130</v>
      </c>
      <c r="F42" s="3" t="s">
        <v>500</v>
      </c>
      <c r="G42" s="4"/>
      <c r="H42" s="4" t="e">
        <f>INDEX(#REF!,MATCH(셀트리온제약!$F42,#REF!,0),MATCH(셀트리온제약!$B42,#REF!,0))</f>
        <v>#REF!</v>
      </c>
      <c r="I42" s="4" t="e">
        <f t="shared" si="0"/>
        <v>#REF!</v>
      </c>
      <c r="J42" s="21" t="e">
        <f t="shared" si="7"/>
        <v>#REF!</v>
      </c>
      <c r="L42" s="15"/>
      <c r="O42" s="10"/>
      <c r="R42" s="10"/>
      <c r="S42" s="10"/>
    </row>
    <row r="43" spans="2:19" hidden="1" x14ac:dyDescent="0.4">
      <c r="B43" s="2" t="s">
        <v>4</v>
      </c>
      <c r="C43" s="3" t="s">
        <v>128</v>
      </c>
      <c r="D43" s="3" t="s">
        <v>129</v>
      </c>
      <c r="E43" s="3" t="s">
        <v>501</v>
      </c>
      <c r="F43" s="3" t="s">
        <v>358</v>
      </c>
      <c r="G43" s="4"/>
      <c r="H43" s="4" t="e">
        <f>INDEX(#REF!,MATCH(셀트리온제약!$F43,#REF!,0),MATCH(셀트리온제약!$B43,#REF!,0))</f>
        <v>#REF!</v>
      </c>
      <c r="I43" s="4" t="e">
        <f t="shared" si="0"/>
        <v>#REF!</v>
      </c>
      <c r="J43" s="21" t="e">
        <f t="shared" si="7"/>
        <v>#REF!</v>
      </c>
      <c r="L43" s="15"/>
      <c r="O43" s="10"/>
      <c r="R43" s="10"/>
      <c r="S43" s="10"/>
    </row>
    <row r="44" spans="2:19" ht="18" hidden="1" thickBot="1" x14ac:dyDescent="0.45">
      <c r="B44" s="12" t="s">
        <v>4</v>
      </c>
      <c r="C44" s="470" t="s">
        <v>128</v>
      </c>
      <c r="D44" s="470" t="s">
        <v>129</v>
      </c>
      <c r="E44" s="470" t="s">
        <v>501</v>
      </c>
      <c r="F44" s="470" t="s">
        <v>362</v>
      </c>
      <c r="G44" s="471"/>
      <c r="H44" s="471" t="e">
        <f>INDEX(#REF!,MATCH(셀트리온제약!$F44,#REF!,0),MATCH(셀트리온제약!$B44,#REF!,0))</f>
        <v>#REF!</v>
      </c>
      <c r="I44" s="471" t="e">
        <f t="shared" ref="I44:I107" si="9">H44</f>
        <v>#REF!</v>
      </c>
      <c r="J44" s="472" t="e">
        <f t="shared" si="7"/>
        <v>#REF!</v>
      </c>
      <c r="L44" s="15"/>
      <c r="O44" s="10"/>
      <c r="R44" s="10"/>
      <c r="S44" s="10"/>
    </row>
    <row r="45" spans="2:19" hidden="1" x14ac:dyDescent="0.4">
      <c r="B45" s="7" t="s">
        <v>151</v>
      </c>
      <c r="C45" s="8" t="s">
        <v>128</v>
      </c>
      <c r="D45" s="8" t="s">
        <v>129</v>
      </c>
      <c r="E45" s="8" t="s">
        <v>310</v>
      </c>
      <c r="F45" s="8" t="s">
        <v>311</v>
      </c>
      <c r="G45" s="9"/>
      <c r="H45" s="9" t="e">
        <f>INDEX(#REF!,MATCH(셀트리온제약!$F45,#REF!,0),MATCH(셀트리온제약!$B45,#REF!,0))</f>
        <v>#REF!</v>
      </c>
      <c r="I45" s="9" t="e">
        <f t="shared" si="9"/>
        <v>#REF!</v>
      </c>
      <c r="J45" s="20" t="e">
        <f>+G45/H45</f>
        <v>#REF!</v>
      </c>
      <c r="L45" s="15"/>
      <c r="O45" s="10"/>
      <c r="R45" s="10"/>
      <c r="S45" s="10"/>
    </row>
    <row r="46" spans="2:19" hidden="1" x14ac:dyDescent="0.4">
      <c r="B46" s="2" t="s">
        <v>151</v>
      </c>
      <c r="C46" s="3" t="s">
        <v>128</v>
      </c>
      <c r="D46" s="3" t="s">
        <v>129</v>
      </c>
      <c r="E46" s="3" t="s">
        <v>310</v>
      </c>
      <c r="F46" s="3" t="s">
        <v>496</v>
      </c>
      <c r="G46" s="11"/>
      <c r="H46" s="11" t="e">
        <f>INDEX(#REF!,MATCH(셀트리온제약!$F46,#REF!,0),MATCH(셀트리온제약!$B46,#REF!,0))</f>
        <v>#REF!</v>
      </c>
      <c r="I46" s="11" t="e">
        <f t="shared" si="9"/>
        <v>#REF!</v>
      </c>
      <c r="J46" s="21" t="e">
        <f t="shared" ref="J46:J66" si="10">+G46/H46</f>
        <v>#REF!</v>
      </c>
      <c r="L46" s="15"/>
    </row>
    <row r="47" spans="2:19" hidden="1" x14ac:dyDescent="0.4">
      <c r="B47" s="2" t="s">
        <v>151</v>
      </c>
      <c r="C47" s="3" t="s">
        <v>128</v>
      </c>
      <c r="D47" s="3" t="s">
        <v>129</v>
      </c>
      <c r="E47" s="3" t="s">
        <v>310</v>
      </c>
      <c r="F47" s="3" t="s">
        <v>84</v>
      </c>
      <c r="G47" s="11"/>
      <c r="H47" s="11" t="e">
        <f>INDEX(#REF!,MATCH(셀트리온제약!$F47,#REF!,0),MATCH(셀트리온제약!$B47,#REF!,0))</f>
        <v>#REF!</v>
      </c>
      <c r="I47" s="11" t="e">
        <f t="shared" si="9"/>
        <v>#REF!</v>
      </c>
      <c r="J47" s="21" t="e">
        <f t="shared" si="10"/>
        <v>#REF!</v>
      </c>
      <c r="L47" s="15"/>
    </row>
    <row r="48" spans="2:19" hidden="1" x14ac:dyDescent="0.4">
      <c r="B48" s="2" t="s">
        <v>151</v>
      </c>
      <c r="C48" s="3" t="s">
        <v>128</v>
      </c>
      <c r="D48" s="3" t="s">
        <v>129</v>
      </c>
      <c r="E48" s="3" t="s">
        <v>338</v>
      </c>
      <c r="F48" s="3" t="s">
        <v>340</v>
      </c>
      <c r="G48" s="11"/>
      <c r="H48" s="11" t="e">
        <f>INDEX(#REF!,MATCH(셀트리온제약!$F48,#REF!,0),MATCH(셀트리온제약!$B48,#REF!,0))</f>
        <v>#REF!</v>
      </c>
      <c r="I48" s="11" t="e">
        <f t="shared" si="9"/>
        <v>#REF!</v>
      </c>
      <c r="J48" s="21" t="e">
        <f t="shared" si="10"/>
        <v>#REF!</v>
      </c>
      <c r="L48" s="15"/>
      <c r="O48" s="10"/>
    </row>
    <row r="49" spans="2:19" hidden="1" x14ac:dyDescent="0.4">
      <c r="B49" s="2" t="s">
        <v>151</v>
      </c>
      <c r="C49" s="3" t="s">
        <v>128</v>
      </c>
      <c r="D49" s="3" t="s">
        <v>129</v>
      </c>
      <c r="E49" s="3" t="s">
        <v>338</v>
      </c>
      <c r="F49" s="3" t="s">
        <v>341</v>
      </c>
      <c r="G49" s="11"/>
      <c r="H49" s="11" t="e">
        <f>INDEX(#REF!,MATCH(셀트리온제약!$F49,#REF!,0),MATCH(셀트리온제약!$B49,#REF!,0))</f>
        <v>#REF!</v>
      </c>
      <c r="I49" s="11" t="e">
        <f t="shared" si="9"/>
        <v>#REF!</v>
      </c>
      <c r="J49" s="21" t="e">
        <f t="shared" si="10"/>
        <v>#REF!</v>
      </c>
      <c r="L49" s="15"/>
      <c r="O49" s="10"/>
    </row>
    <row r="50" spans="2:19" hidden="1" x14ac:dyDescent="0.4">
      <c r="B50" s="2" t="s">
        <v>151</v>
      </c>
      <c r="C50" s="3" t="s">
        <v>128</v>
      </c>
      <c r="D50" s="3" t="s">
        <v>129</v>
      </c>
      <c r="E50" s="3" t="s">
        <v>338</v>
      </c>
      <c r="F50" s="3" t="s">
        <v>346</v>
      </c>
      <c r="G50" s="11"/>
      <c r="H50" s="11" t="e">
        <f>INDEX(#REF!,MATCH(셀트리온제약!$F50,#REF!,0),MATCH(셀트리온제약!$B50,#REF!,0))</f>
        <v>#REF!</v>
      </c>
      <c r="I50" s="11" t="e">
        <f t="shared" si="9"/>
        <v>#REF!</v>
      </c>
      <c r="J50" s="21" t="e">
        <f t="shared" si="10"/>
        <v>#REF!</v>
      </c>
      <c r="L50" s="15"/>
      <c r="O50" s="10"/>
    </row>
    <row r="51" spans="2:19" hidden="1" x14ac:dyDescent="0.4">
      <c r="B51" s="2" t="s">
        <v>151</v>
      </c>
      <c r="C51" s="3" t="s">
        <v>128</v>
      </c>
      <c r="D51" s="3" t="s">
        <v>129</v>
      </c>
      <c r="E51" s="3" t="s">
        <v>338</v>
      </c>
      <c r="F51" s="3" t="s">
        <v>342</v>
      </c>
      <c r="G51" s="4"/>
      <c r="H51" s="4" t="e">
        <f>INDEX(#REF!,MATCH(셀트리온제약!$F51,#REF!,0),MATCH(셀트리온제약!$B51,#REF!,0))</f>
        <v>#REF!</v>
      </c>
      <c r="I51" s="4" t="e">
        <f t="shared" si="9"/>
        <v>#REF!</v>
      </c>
      <c r="J51" s="21" t="e">
        <f t="shared" si="10"/>
        <v>#REF!</v>
      </c>
      <c r="L51" s="15"/>
      <c r="O51" s="10"/>
    </row>
    <row r="52" spans="2:19" hidden="1" x14ac:dyDescent="0.4">
      <c r="B52" s="2" t="s">
        <v>151</v>
      </c>
      <c r="C52" s="3" t="s">
        <v>128</v>
      </c>
      <c r="D52" s="3" t="s">
        <v>129</v>
      </c>
      <c r="E52" s="3" t="s">
        <v>338</v>
      </c>
      <c r="F52" s="3" t="s">
        <v>349</v>
      </c>
      <c r="G52" s="11"/>
      <c r="H52" s="11" t="e">
        <f>INDEX(#REF!,MATCH(셀트리온제약!$F52,#REF!,0),MATCH(셀트리온제약!$B52,#REF!,0))</f>
        <v>#REF!</v>
      </c>
      <c r="I52" s="11" t="e">
        <f t="shared" si="9"/>
        <v>#REF!</v>
      </c>
      <c r="J52" s="21" t="e">
        <f t="shared" si="10"/>
        <v>#REF!</v>
      </c>
      <c r="L52" s="15"/>
      <c r="O52" s="10"/>
    </row>
    <row r="53" spans="2:19" hidden="1" x14ac:dyDescent="0.4">
      <c r="B53" s="2" t="s">
        <v>151</v>
      </c>
      <c r="C53" s="3" t="s">
        <v>128</v>
      </c>
      <c r="D53" s="3" t="s">
        <v>129</v>
      </c>
      <c r="E53" s="3" t="s">
        <v>338</v>
      </c>
      <c r="F53" s="3" t="s">
        <v>497</v>
      </c>
      <c r="G53" s="4"/>
      <c r="H53" s="4" t="e">
        <f>INDEX(#REF!,MATCH(셀트리온제약!$F53,#REF!,0),MATCH(셀트리온제약!$B53,#REF!,0))</f>
        <v>#REF!</v>
      </c>
      <c r="I53" s="4" t="e">
        <f t="shared" si="9"/>
        <v>#REF!</v>
      </c>
      <c r="J53" s="21" t="e">
        <f t="shared" si="10"/>
        <v>#REF!</v>
      </c>
      <c r="L53" s="15"/>
      <c r="N53" s="1"/>
      <c r="O53" s="10"/>
      <c r="R53" s="10"/>
      <c r="S53" s="10"/>
    </row>
    <row r="54" spans="2:19" hidden="1" x14ac:dyDescent="0.4">
      <c r="B54" s="2" t="s">
        <v>151</v>
      </c>
      <c r="C54" s="3" t="s">
        <v>128</v>
      </c>
      <c r="D54" s="3" t="s">
        <v>129</v>
      </c>
      <c r="E54" s="3" t="s">
        <v>320</v>
      </c>
      <c r="F54" s="3" t="s">
        <v>320</v>
      </c>
      <c r="G54" s="4"/>
      <c r="H54" s="4" t="e">
        <f>INDEX(#REF!,MATCH(셀트리온제약!$F54,#REF!,0),MATCH(셀트리온제약!$B54,#REF!,0))</f>
        <v>#REF!</v>
      </c>
      <c r="I54" s="4" t="e">
        <f t="shared" si="9"/>
        <v>#REF!</v>
      </c>
      <c r="J54" s="21" t="e">
        <f t="shared" si="10"/>
        <v>#REF!</v>
      </c>
      <c r="L54" s="15"/>
      <c r="N54" s="1"/>
      <c r="O54" s="10"/>
      <c r="R54" s="10"/>
      <c r="S54" s="10"/>
    </row>
    <row r="55" spans="2:19" hidden="1" x14ac:dyDescent="0.4">
      <c r="B55" s="2" t="s">
        <v>151</v>
      </c>
      <c r="C55" s="3" t="s">
        <v>128</v>
      </c>
      <c r="D55" s="3" t="s">
        <v>129</v>
      </c>
      <c r="E55" s="3" t="s">
        <v>331</v>
      </c>
      <c r="F55" s="3" t="s">
        <v>331</v>
      </c>
      <c r="G55" s="4"/>
      <c r="H55" s="4" t="e">
        <f>INDEX(#REF!,MATCH(셀트리온제약!$F55,#REF!,0),MATCH(셀트리온제약!$B55,#REF!,0))</f>
        <v>#REF!</v>
      </c>
      <c r="I55" s="4" t="e">
        <f t="shared" si="9"/>
        <v>#REF!</v>
      </c>
      <c r="J55" s="21" t="e">
        <f t="shared" si="10"/>
        <v>#REF!</v>
      </c>
      <c r="L55" s="15"/>
      <c r="N55" s="1"/>
      <c r="O55" s="10"/>
      <c r="R55" s="10"/>
      <c r="S55" s="10"/>
    </row>
    <row r="56" spans="2:19" hidden="1" x14ac:dyDescent="0.4">
      <c r="B56" s="2" t="s">
        <v>151</v>
      </c>
      <c r="C56" s="3" t="s">
        <v>128</v>
      </c>
      <c r="D56" s="3" t="s">
        <v>129</v>
      </c>
      <c r="E56" s="3" t="s">
        <v>130</v>
      </c>
      <c r="F56" s="3" t="s">
        <v>131</v>
      </c>
      <c r="G56" s="4"/>
      <c r="H56" s="4" t="e">
        <f>INDEX(#REF!,MATCH(셀트리온제약!$F56,#REF!,0),MATCH(셀트리온제약!$B56,#REF!,0))</f>
        <v>#REF!</v>
      </c>
      <c r="I56" s="4" t="e">
        <f t="shared" si="9"/>
        <v>#REF!</v>
      </c>
      <c r="J56" s="21" t="e">
        <f t="shared" si="10"/>
        <v>#REF!</v>
      </c>
      <c r="L56" s="15"/>
      <c r="N56" s="1"/>
      <c r="O56" s="10"/>
      <c r="R56" s="10"/>
      <c r="S56" s="10"/>
    </row>
    <row r="57" spans="2:19" hidden="1" x14ac:dyDescent="0.4">
      <c r="B57" s="2" t="s">
        <v>151</v>
      </c>
      <c r="C57" s="3" t="s">
        <v>128</v>
      </c>
      <c r="D57" s="3" t="s">
        <v>129</v>
      </c>
      <c r="E57" s="3" t="s">
        <v>130</v>
      </c>
      <c r="F57" s="3" t="s">
        <v>132</v>
      </c>
      <c r="G57" s="4"/>
      <c r="H57" s="4" t="e">
        <f>INDEX(#REF!,MATCH(셀트리온제약!$F57,#REF!,0),MATCH(셀트리온제약!$B57,#REF!,0))</f>
        <v>#REF!</v>
      </c>
      <c r="I57" s="4" t="e">
        <f t="shared" si="9"/>
        <v>#REF!</v>
      </c>
      <c r="J57" s="21" t="e">
        <f t="shared" si="10"/>
        <v>#REF!</v>
      </c>
      <c r="L57" s="15"/>
      <c r="N57" s="1"/>
      <c r="O57" s="10"/>
      <c r="R57" s="10"/>
      <c r="S57" s="10"/>
    </row>
    <row r="58" spans="2:19" hidden="1" x14ac:dyDescent="0.4">
      <c r="B58" s="2" t="s">
        <v>151</v>
      </c>
      <c r="C58" s="3" t="s">
        <v>128</v>
      </c>
      <c r="D58" s="3" t="s">
        <v>129</v>
      </c>
      <c r="E58" s="3" t="s">
        <v>130</v>
      </c>
      <c r="F58" s="3" t="s">
        <v>134</v>
      </c>
      <c r="G58" s="4"/>
      <c r="H58" s="4" t="e">
        <f>INDEX(#REF!,MATCH(셀트리온제약!$F58,#REF!,0),MATCH(셀트리온제약!$B58,#REF!,0))</f>
        <v>#REF!</v>
      </c>
      <c r="I58" s="4" t="e">
        <f t="shared" si="9"/>
        <v>#REF!</v>
      </c>
      <c r="J58" s="21" t="e">
        <f t="shared" si="10"/>
        <v>#REF!</v>
      </c>
      <c r="L58" s="15"/>
      <c r="N58" s="1"/>
      <c r="O58" s="10"/>
      <c r="R58" s="10"/>
      <c r="S58" s="10"/>
    </row>
    <row r="59" spans="2:19" hidden="1" x14ac:dyDescent="0.4">
      <c r="B59" s="2" t="s">
        <v>151</v>
      </c>
      <c r="C59" s="3" t="s">
        <v>128</v>
      </c>
      <c r="D59" s="3" t="s">
        <v>129</v>
      </c>
      <c r="E59" s="3" t="s">
        <v>130</v>
      </c>
      <c r="F59" s="3" t="s">
        <v>135</v>
      </c>
      <c r="G59" s="4"/>
      <c r="H59" s="4" t="e">
        <f>INDEX(#REF!,MATCH(셀트리온제약!$F59,#REF!,0),MATCH(셀트리온제약!$B59,#REF!,0))</f>
        <v>#REF!</v>
      </c>
      <c r="I59" s="4" t="e">
        <f t="shared" si="9"/>
        <v>#REF!</v>
      </c>
      <c r="J59" s="21" t="e">
        <f t="shared" si="10"/>
        <v>#REF!</v>
      </c>
      <c r="L59" s="15"/>
      <c r="N59" s="1"/>
      <c r="O59" s="10"/>
      <c r="R59" s="10"/>
      <c r="S59" s="10"/>
    </row>
    <row r="60" spans="2:19" hidden="1" x14ac:dyDescent="0.4">
      <c r="B60" s="2" t="s">
        <v>151</v>
      </c>
      <c r="C60" s="3" t="s">
        <v>128</v>
      </c>
      <c r="D60" s="3" t="s">
        <v>129</v>
      </c>
      <c r="E60" s="3" t="s">
        <v>130</v>
      </c>
      <c r="F60" s="3" t="s">
        <v>136</v>
      </c>
      <c r="G60" s="4"/>
      <c r="H60" s="4" t="e">
        <f>INDEX(#REF!,MATCH(셀트리온제약!$F60,#REF!,0),MATCH(셀트리온제약!$B60,#REF!,0))</f>
        <v>#REF!</v>
      </c>
      <c r="I60" s="4" t="e">
        <f t="shared" si="9"/>
        <v>#REF!</v>
      </c>
      <c r="J60" s="21" t="e">
        <f t="shared" si="10"/>
        <v>#REF!</v>
      </c>
      <c r="L60" s="15"/>
      <c r="N60" s="1"/>
      <c r="O60" s="10"/>
      <c r="R60" s="10"/>
      <c r="S60" s="10"/>
    </row>
    <row r="61" spans="2:19" hidden="1" x14ac:dyDescent="0.4">
      <c r="B61" s="2" t="s">
        <v>151</v>
      </c>
      <c r="C61" s="3" t="s">
        <v>128</v>
      </c>
      <c r="D61" s="3" t="s">
        <v>129</v>
      </c>
      <c r="E61" s="3" t="s">
        <v>130</v>
      </c>
      <c r="F61" s="3" t="s">
        <v>137</v>
      </c>
      <c r="G61" s="4"/>
      <c r="H61" s="4" t="e">
        <f>INDEX(#REF!,MATCH(셀트리온제약!$F61,#REF!,0),MATCH(셀트리온제약!$B61,#REF!,0))</f>
        <v>#REF!</v>
      </c>
      <c r="I61" s="4" t="e">
        <f t="shared" si="9"/>
        <v>#REF!</v>
      </c>
      <c r="J61" s="21" t="e">
        <f t="shared" si="10"/>
        <v>#REF!</v>
      </c>
      <c r="L61" s="15"/>
      <c r="N61" s="1"/>
      <c r="O61" s="10"/>
      <c r="R61" s="10"/>
      <c r="S61" s="10"/>
    </row>
    <row r="62" spans="2:19" hidden="1" x14ac:dyDescent="0.4">
      <c r="B62" s="2" t="s">
        <v>151</v>
      </c>
      <c r="C62" s="3" t="s">
        <v>128</v>
      </c>
      <c r="D62" s="3" t="s">
        <v>129</v>
      </c>
      <c r="E62" s="3" t="s">
        <v>130</v>
      </c>
      <c r="F62" s="3" t="s">
        <v>141</v>
      </c>
      <c r="G62" s="4"/>
      <c r="H62" s="4" t="e">
        <f>INDEX(#REF!,MATCH(셀트리온제약!$F62,#REF!,0),MATCH(셀트리온제약!$B62,#REF!,0))</f>
        <v>#REF!</v>
      </c>
      <c r="I62" s="4" t="e">
        <f t="shared" si="9"/>
        <v>#REF!</v>
      </c>
      <c r="J62" s="21" t="e">
        <f t="shared" si="10"/>
        <v>#REF!</v>
      </c>
      <c r="L62" s="15"/>
      <c r="N62" s="1"/>
      <c r="O62" s="10"/>
      <c r="R62" s="10"/>
      <c r="S62" s="10"/>
    </row>
    <row r="63" spans="2:19" hidden="1" x14ac:dyDescent="0.4">
      <c r="B63" s="2" t="s">
        <v>151</v>
      </c>
      <c r="C63" s="3" t="s">
        <v>128</v>
      </c>
      <c r="D63" s="3" t="s">
        <v>129</v>
      </c>
      <c r="E63" s="3" t="s">
        <v>130</v>
      </c>
      <c r="F63" s="3" t="s">
        <v>142</v>
      </c>
      <c r="G63" s="4"/>
      <c r="H63" s="4" t="e">
        <f>INDEX(#REF!,MATCH(셀트리온제약!$F63,#REF!,0),MATCH(셀트리온제약!$B63,#REF!,0))</f>
        <v>#REF!</v>
      </c>
      <c r="I63" s="4" t="e">
        <f t="shared" si="9"/>
        <v>#REF!</v>
      </c>
      <c r="J63" s="21" t="e">
        <f t="shared" si="10"/>
        <v>#REF!</v>
      </c>
      <c r="L63" s="15"/>
      <c r="N63" s="1"/>
      <c r="O63" s="10"/>
      <c r="R63" s="10"/>
      <c r="S63" s="10"/>
    </row>
    <row r="64" spans="2:19" hidden="1" x14ac:dyDescent="0.4">
      <c r="B64" s="2" t="s">
        <v>151</v>
      </c>
      <c r="C64" s="3" t="s">
        <v>128</v>
      </c>
      <c r="D64" s="3" t="s">
        <v>129</v>
      </c>
      <c r="E64" s="3" t="s">
        <v>130</v>
      </c>
      <c r="F64" s="3" t="s">
        <v>500</v>
      </c>
      <c r="G64" s="4"/>
      <c r="H64" s="4" t="e">
        <f>INDEX(#REF!,MATCH(셀트리온제약!$F64,#REF!,0),MATCH(셀트리온제약!$B64,#REF!,0))</f>
        <v>#REF!</v>
      </c>
      <c r="I64" s="4" t="e">
        <f t="shared" si="9"/>
        <v>#REF!</v>
      </c>
      <c r="J64" s="21" t="e">
        <f t="shared" si="10"/>
        <v>#REF!</v>
      </c>
      <c r="L64" s="15"/>
      <c r="O64" s="10"/>
    </row>
    <row r="65" spans="2:19" hidden="1" x14ac:dyDescent="0.4">
      <c r="B65" s="2" t="s">
        <v>151</v>
      </c>
      <c r="C65" s="3" t="s">
        <v>128</v>
      </c>
      <c r="D65" s="3" t="s">
        <v>129</v>
      </c>
      <c r="E65" s="3" t="s">
        <v>501</v>
      </c>
      <c r="F65" s="3" t="s">
        <v>358</v>
      </c>
      <c r="G65" s="4"/>
      <c r="H65" s="4" t="e">
        <f>INDEX(#REF!,MATCH(셀트리온제약!$F65,#REF!,0),MATCH(셀트리온제약!$B65,#REF!,0))</f>
        <v>#REF!</v>
      </c>
      <c r="I65" s="4" t="e">
        <f t="shared" si="9"/>
        <v>#REF!</v>
      </c>
      <c r="J65" s="21" t="e">
        <f t="shared" si="10"/>
        <v>#REF!</v>
      </c>
      <c r="L65" s="15"/>
      <c r="O65" s="10"/>
    </row>
    <row r="66" spans="2:19" ht="18" hidden="1" thickBot="1" x14ac:dyDescent="0.45">
      <c r="B66" s="13" t="s">
        <v>151</v>
      </c>
      <c r="C66" s="17" t="s">
        <v>128</v>
      </c>
      <c r="D66" s="17" t="s">
        <v>129</v>
      </c>
      <c r="E66" s="17" t="s">
        <v>501</v>
      </c>
      <c r="F66" s="17" t="s">
        <v>362</v>
      </c>
      <c r="G66" s="6"/>
      <c r="H66" s="6" t="e">
        <f>INDEX(#REF!,MATCH(셀트리온제약!$F66,#REF!,0),MATCH(셀트리온제약!$B66,#REF!,0))</f>
        <v>#REF!</v>
      </c>
      <c r="I66" s="6" t="e">
        <f t="shared" si="9"/>
        <v>#REF!</v>
      </c>
      <c r="J66" s="22" t="e">
        <f t="shared" si="10"/>
        <v>#REF!</v>
      </c>
      <c r="L66" s="15"/>
      <c r="O66" s="10"/>
    </row>
    <row r="67" spans="2:19" hidden="1" x14ac:dyDescent="0.4">
      <c r="B67" s="14" t="s">
        <v>153</v>
      </c>
      <c r="C67" s="16" t="s">
        <v>128</v>
      </c>
      <c r="D67" s="16" t="s">
        <v>129</v>
      </c>
      <c r="E67" s="16" t="s">
        <v>310</v>
      </c>
      <c r="F67" s="16" t="s">
        <v>311</v>
      </c>
      <c r="G67" s="19"/>
      <c r="H67" s="19" t="e">
        <f>INDEX(#REF!,MATCH(셀트리온제약!$F67,#REF!,0),MATCH(셀트리온제약!$B67,#REF!,0))</f>
        <v>#REF!</v>
      </c>
      <c r="I67" s="19" t="e">
        <f t="shared" si="9"/>
        <v>#REF!</v>
      </c>
      <c r="J67" s="23" t="e">
        <f>+G67/H67</f>
        <v>#REF!</v>
      </c>
      <c r="L67" s="15"/>
      <c r="O67" s="10"/>
    </row>
    <row r="68" spans="2:19" hidden="1" x14ac:dyDescent="0.4">
      <c r="B68" s="2" t="s">
        <v>153</v>
      </c>
      <c r="C68" s="3" t="s">
        <v>128</v>
      </c>
      <c r="D68" s="3" t="s">
        <v>129</v>
      </c>
      <c r="E68" s="3" t="s">
        <v>310</v>
      </c>
      <c r="F68" s="3" t="s">
        <v>496</v>
      </c>
      <c r="G68" s="11"/>
      <c r="H68" s="11" t="e">
        <f>INDEX(#REF!,MATCH(셀트리온제약!$F68,#REF!,0),MATCH(셀트리온제약!$B68,#REF!,0))</f>
        <v>#REF!</v>
      </c>
      <c r="I68" s="11" t="e">
        <f t="shared" si="9"/>
        <v>#REF!</v>
      </c>
      <c r="J68" s="21" t="e">
        <f t="shared" ref="J68:J88" si="11">+G68/H68</f>
        <v>#REF!</v>
      </c>
      <c r="L68" s="15"/>
      <c r="O68" s="10"/>
    </row>
    <row r="69" spans="2:19" hidden="1" x14ac:dyDescent="0.4">
      <c r="B69" s="2" t="s">
        <v>153</v>
      </c>
      <c r="C69" s="3" t="s">
        <v>128</v>
      </c>
      <c r="D69" s="3" t="s">
        <v>129</v>
      </c>
      <c r="E69" s="3" t="s">
        <v>310</v>
      </c>
      <c r="F69" s="3" t="s">
        <v>84</v>
      </c>
      <c r="G69" s="11"/>
      <c r="H69" s="11" t="e">
        <f>INDEX(#REF!,MATCH(셀트리온제약!$F69,#REF!,0),MATCH(셀트리온제약!$B69,#REF!,0))</f>
        <v>#REF!</v>
      </c>
      <c r="I69" s="11" t="e">
        <f t="shared" si="9"/>
        <v>#REF!</v>
      </c>
      <c r="J69" s="21" t="e">
        <f t="shared" si="11"/>
        <v>#REF!</v>
      </c>
      <c r="L69" s="15"/>
      <c r="O69" s="10"/>
    </row>
    <row r="70" spans="2:19" hidden="1" x14ac:dyDescent="0.4">
      <c r="B70" s="2" t="s">
        <v>153</v>
      </c>
      <c r="C70" s="3" t="s">
        <v>128</v>
      </c>
      <c r="D70" s="3" t="s">
        <v>129</v>
      </c>
      <c r="E70" s="3" t="s">
        <v>338</v>
      </c>
      <c r="F70" s="3" t="s">
        <v>340</v>
      </c>
      <c r="G70" s="11"/>
      <c r="H70" s="11" t="e">
        <f>INDEX(#REF!,MATCH(셀트리온제약!$F70,#REF!,0),MATCH(셀트리온제약!$B70,#REF!,0))</f>
        <v>#REF!</v>
      </c>
      <c r="I70" s="11" t="e">
        <f t="shared" si="9"/>
        <v>#REF!</v>
      </c>
      <c r="J70" s="21" t="e">
        <f t="shared" si="11"/>
        <v>#REF!</v>
      </c>
      <c r="L70" s="15"/>
      <c r="O70" s="10"/>
    </row>
    <row r="71" spans="2:19" hidden="1" x14ac:dyDescent="0.4">
      <c r="B71" s="2" t="s">
        <v>153</v>
      </c>
      <c r="C71" s="3" t="s">
        <v>128</v>
      </c>
      <c r="D71" s="3" t="s">
        <v>129</v>
      </c>
      <c r="E71" s="3" t="s">
        <v>338</v>
      </c>
      <c r="F71" s="3" t="s">
        <v>341</v>
      </c>
      <c r="G71" s="11"/>
      <c r="H71" s="11" t="e">
        <f>INDEX(#REF!,MATCH(셀트리온제약!$F71,#REF!,0),MATCH(셀트리온제약!$B71,#REF!,0))</f>
        <v>#REF!</v>
      </c>
      <c r="I71" s="11" t="e">
        <f t="shared" si="9"/>
        <v>#REF!</v>
      </c>
      <c r="J71" s="21" t="e">
        <f t="shared" si="11"/>
        <v>#REF!</v>
      </c>
      <c r="L71" s="15"/>
      <c r="O71" s="10"/>
      <c r="R71" s="10"/>
      <c r="S71" s="10"/>
    </row>
    <row r="72" spans="2:19" hidden="1" x14ac:dyDescent="0.4">
      <c r="B72" s="2" t="s">
        <v>153</v>
      </c>
      <c r="C72" s="3" t="s">
        <v>128</v>
      </c>
      <c r="D72" s="3" t="s">
        <v>129</v>
      </c>
      <c r="E72" s="3" t="s">
        <v>338</v>
      </c>
      <c r="F72" s="3" t="s">
        <v>346</v>
      </c>
      <c r="G72" s="11"/>
      <c r="H72" s="11" t="e">
        <f>INDEX(#REF!,MATCH(셀트리온제약!$F72,#REF!,0),MATCH(셀트리온제약!$B72,#REF!,0))</f>
        <v>#REF!</v>
      </c>
      <c r="I72" s="11" t="e">
        <f t="shared" si="9"/>
        <v>#REF!</v>
      </c>
      <c r="J72" s="21" t="e">
        <f t="shared" si="11"/>
        <v>#REF!</v>
      </c>
      <c r="L72" s="15"/>
      <c r="O72" s="10"/>
      <c r="R72" s="10"/>
      <c r="S72" s="10"/>
    </row>
    <row r="73" spans="2:19" hidden="1" x14ac:dyDescent="0.4">
      <c r="B73" s="2" t="s">
        <v>153</v>
      </c>
      <c r="C73" s="3" t="s">
        <v>128</v>
      </c>
      <c r="D73" s="3" t="s">
        <v>129</v>
      </c>
      <c r="E73" s="3" t="s">
        <v>338</v>
      </c>
      <c r="F73" s="3" t="s">
        <v>342</v>
      </c>
      <c r="G73" s="4"/>
      <c r="H73" s="4" t="e">
        <f>INDEX(#REF!,MATCH(셀트리온제약!$F73,#REF!,0),MATCH(셀트리온제약!$B73,#REF!,0))</f>
        <v>#REF!</v>
      </c>
      <c r="I73" s="4" t="e">
        <f t="shared" si="9"/>
        <v>#REF!</v>
      </c>
      <c r="J73" s="21" t="e">
        <f t="shared" si="11"/>
        <v>#REF!</v>
      </c>
      <c r="K73" s="10"/>
      <c r="L73" s="15"/>
    </row>
    <row r="74" spans="2:19" hidden="1" x14ac:dyDescent="0.4">
      <c r="B74" s="2" t="s">
        <v>153</v>
      </c>
      <c r="C74" s="3" t="s">
        <v>128</v>
      </c>
      <c r="D74" s="3" t="s">
        <v>129</v>
      </c>
      <c r="E74" s="3" t="s">
        <v>338</v>
      </c>
      <c r="F74" s="3" t="s">
        <v>349</v>
      </c>
      <c r="G74" s="11"/>
      <c r="H74" s="11" t="e">
        <f>INDEX(#REF!,MATCH(셀트리온제약!$F74,#REF!,0),MATCH(셀트리온제약!$B74,#REF!,0))</f>
        <v>#REF!</v>
      </c>
      <c r="I74" s="11" t="e">
        <f t="shared" si="9"/>
        <v>#REF!</v>
      </c>
      <c r="J74" s="21" t="e">
        <f t="shared" si="11"/>
        <v>#REF!</v>
      </c>
      <c r="L74" s="15"/>
    </row>
    <row r="75" spans="2:19" hidden="1" x14ac:dyDescent="0.4">
      <c r="B75" s="2" t="s">
        <v>153</v>
      </c>
      <c r="C75" s="3" t="s">
        <v>128</v>
      </c>
      <c r="D75" s="3" t="s">
        <v>129</v>
      </c>
      <c r="E75" s="3" t="s">
        <v>338</v>
      </c>
      <c r="F75" s="3" t="s">
        <v>497</v>
      </c>
      <c r="G75" s="4"/>
      <c r="H75" s="4" t="e">
        <f>INDEX(#REF!,MATCH(셀트리온제약!$F75,#REF!,0),MATCH(셀트리온제약!$B75,#REF!,0))</f>
        <v>#REF!</v>
      </c>
      <c r="I75" s="4" t="e">
        <f t="shared" si="9"/>
        <v>#REF!</v>
      </c>
      <c r="J75" s="21" t="e">
        <f t="shared" si="11"/>
        <v>#REF!</v>
      </c>
      <c r="L75" s="15"/>
    </row>
    <row r="76" spans="2:19" hidden="1" x14ac:dyDescent="0.4">
      <c r="B76" s="2" t="s">
        <v>153</v>
      </c>
      <c r="C76" s="3" t="s">
        <v>128</v>
      </c>
      <c r="D76" s="3" t="s">
        <v>129</v>
      </c>
      <c r="E76" s="3" t="s">
        <v>320</v>
      </c>
      <c r="F76" s="3" t="s">
        <v>320</v>
      </c>
      <c r="G76" s="4"/>
      <c r="H76" s="4" t="e">
        <f>INDEX(#REF!,MATCH(셀트리온제약!$F76,#REF!,0),MATCH(셀트리온제약!$B76,#REF!,0))</f>
        <v>#REF!</v>
      </c>
      <c r="I76" s="4" t="e">
        <f t="shared" si="9"/>
        <v>#REF!</v>
      </c>
      <c r="J76" s="21" t="e">
        <f t="shared" si="11"/>
        <v>#REF!</v>
      </c>
      <c r="L76" s="15"/>
    </row>
    <row r="77" spans="2:19" hidden="1" x14ac:dyDescent="0.4">
      <c r="B77" s="2" t="s">
        <v>153</v>
      </c>
      <c r="C77" s="3" t="s">
        <v>128</v>
      </c>
      <c r="D77" s="3" t="s">
        <v>129</v>
      </c>
      <c r="E77" s="3" t="s">
        <v>331</v>
      </c>
      <c r="F77" s="3" t="s">
        <v>331</v>
      </c>
      <c r="G77" s="4"/>
      <c r="H77" s="4" t="e">
        <f>INDEX(#REF!,MATCH(셀트리온제약!$F77,#REF!,0),MATCH(셀트리온제약!$B77,#REF!,0))</f>
        <v>#REF!</v>
      </c>
      <c r="I77" s="4" t="e">
        <f t="shared" si="9"/>
        <v>#REF!</v>
      </c>
      <c r="J77" s="21" t="e">
        <f t="shared" si="11"/>
        <v>#REF!</v>
      </c>
      <c r="L77" s="15"/>
    </row>
    <row r="78" spans="2:19" hidden="1" x14ac:dyDescent="0.4">
      <c r="B78" s="2" t="s">
        <v>153</v>
      </c>
      <c r="C78" s="3" t="s">
        <v>128</v>
      </c>
      <c r="D78" s="3" t="s">
        <v>129</v>
      </c>
      <c r="E78" s="3" t="s">
        <v>130</v>
      </c>
      <c r="F78" s="3" t="s">
        <v>131</v>
      </c>
      <c r="G78" s="4"/>
      <c r="H78" s="4" t="e">
        <f>INDEX(#REF!,MATCH(셀트리온제약!$F78,#REF!,0),MATCH(셀트리온제약!$B78,#REF!,0))</f>
        <v>#REF!</v>
      </c>
      <c r="I78" s="4" t="e">
        <f t="shared" si="9"/>
        <v>#REF!</v>
      </c>
      <c r="J78" s="21" t="e">
        <f t="shared" si="11"/>
        <v>#REF!</v>
      </c>
      <c r="L78" s="15"/>
    </row>
    <row r="79" spans="2:19" hidden="1" x14ac:dyDescent="0.4">
      <c r="B79" s="2" t="s">
        <v>153</v>
      </c>
      <c r="C79" s="3" t="s">
        <v>128</v>
      </c>
      <c r="D79" s="3" t="s">
        <v>129</v>
      </c>
      <c r="E79" s="3" t="s">
        <v>130</v>
      </c>
      <c r="F79" s="3" t="s">
        <v>132</v>
      </c>
      <c r="G79" s="4"/>
      <c r="H79" s="4" t="e">
        <f>INDEX(#REF!,MATCH(셀트리온제약!$F79,#REF!,0),MATCH(셀트리온제약!$B79,#REF!,0))</f>
        <v>#REF!</v>
      </c>
      <c r="I79" s="4" t="e">
        <f t="shared" si="9"/>
        <v>#REF!</v>
      </c>
      <c r="J79" s="21" t="e">
        <f t="shared" si="11"/>
        <v>#REF!</v>
      </c>
      <c r="L79" s="15"/>
    </row>
    <row r="80" spans="2:19" hidden="1" x14ac:dyDescent="0.4">
      <c r="B80" s="2" t="s">
        <v>153</v>
      </c>
      <c r="C80" s="3" t="s">
        <v>128</v>
      </c>
      <c r="D80" s="3" t="s">
        <v>129</v>
      </c>
      <c r="E80" s="3" t="s">
        <v>130</v>
      </c>
      <c r="F80" s="3" t="s">
        <v>134</v>
      </c>
      <c r="G80" s="4"/>
      <c r="H80" s="4" t="e">
        <f>INDEX(#REF!,MATCH(셀트리온제약!$F80,#REF!,0),MATCH(셀트리온제약!$B80,#REF!,0))</f>
        <v>#REF!</v>
      </c>
      <c r="I80" s="4" t="e">
        <f t="shared" si="9"/>
        <v>#REF!</v>
      </c>
      <c r="J80" s="21" t="e">
        <f t="shared" si="11"/>
        <v>#REF!</v>
      </c>
      <c r="L80" s="15"/>
    </row>
    <row r="81" spans="2:12" hidden="1" x14ac:dyDescent="0.4">
      <c r="B81" s="2" t="s">
        <v>153</v>
      </c>
      <c r="C81" s="3" t="s">
        <v>128</v>
      </c>
      <c r="D81" s="3" t="s">
        <v>129</v>
      </c>
      <c r="E81" s="3" t="s">
        <v>130</v>
      </c>
      <c r="F81" s="3" t="s">
        <v>135</v>
      </c>
      <c r="G81" s="4"/>
      <c r="H81" s="4" t="e">
        <f>INDEX(#REF!,MATCH(셀트리온제약!$F81,#REF!,0),MATCH(셀트리온제약!$B81,#REF!,0))</f>
        <v>#REF!</v>
      </c>
      <c r="I81" s="4" t="e">
        <f t="shared" si="9"/>
        <v>#REF!</v>
      </c>
      <c r="J81" s="21" t="e">
        <f t="shared" si="11"/>
        <v>#REF!</v>
      </c>
      <c r="L81" s="15"/>
    </row>
    <row r="82" spans="2:12" hidden="1" x14ac:dyDescent="0.4">
      <c r="B82" s="2" t="s">
        <v>153</v>
      </c>
      <c r="C82" s="3" t="s">
        <v>128</v>
      </c>
      <c r="D82" s="3" t="s">
        <v>129</v>
      </c>
      <c r="E82" s="3" t="s">
        <v>130</v>
      </c>
      <c r="F82" s="3" t="s">
        <v>136</v>
      </c>
      <c r="G82" s="4"/>
      <c r="H82" s="4" t="e">
        <f>INDEX(#REF!,MATCH(셀트리온제약!$F82,#REF!,0),MATCH(셀트리온제약!$B82,#REF!,0))</f>
        <v>#REF!</v>
      </c>
      <c r="I82" s="4" t="e">
        <f t="shared" si="9"/>
        <v>#REF!</v>
      </c>
      <c r="J82" s="21" t="e">
        <f t="shared" si="11"/>
        <v>#REF!</v>
      </c>
      <c r="L82" s="15"/>
    </row>
    <row r="83" spans="2:12" hidden="1" x14ac:dyDescent="0.4">
      <c r="B83" s="2" t="s">
        <v>153</v>
      </c>
      <c r="C83" s="3" t="s">
        <v>128</v>
      </c>
      <c r="D83" s="3" t="s">
        <v>129</v>
      </c>
      <c r="E83" s="3" t="s">
        <v>130</v>
      </c>
      <c r="F83" s="3" t="s">
        <v>137</v>
      </c>
      <c r="G83" s="4"/>
      <c r="H83" s="4" t="e">
        <f>INDEX(#REF!,MATCH(셀트리온제약!$F83,#REF!,0),MATCH(셀트리온제약!$B83,#REF!,0))</f>
        <v>#REF!</v>
      </c>
      <c r="I83" s="4" t="e">
        <f t="shared" si="9"/>
        <v>#REF!</v>
      </c>
      <c r="J83" s="21" t="e">
        <f t="shared" si="11"/>
        <v>#REF!</v>
      </c>
      <c r="L83" s="15"/>
    </row>
    <row r="84" spans="2:12" hidden="1" x14ac:dyDescent="0.4">
      <c r="B84" s="2" t="s">
        <v>153</v>
      </c>
      <c r="C84" s="3" t="s">
        <v>128</v>
      </c>
      <c r="D84" s="3" t="s">
        <v>129</v>
      </c>
      <c r="E84" s="3" t="s">
        <v>130</v>
      </c>
      <c r="F84" s="3" t="s">
        <v>141</v>
      </c>
      <c r="G84" s="4"/>
      <c r="H84" s="4" t="e">
        <f>INDEX(#REF!,MATCH(셀트리온제약!$F84,#REF!,0),MATCH(셀트리온제약!$B84,#REF!,0))</f>
        <v>#REF!</v>
      </c>
      <c r="I84" s="4" t="e">
        <f t="shared" si="9"/>
        <v>#REF!</v>
      </c>
      <c r="J84" s="21" t="e">
        <f t="shared" si="11"/>
        <v>#REF!</v>
      </c>
      <c r="L84" s="15"/>
    </row>
    <row r="85" spans="2:12" hidden="1" x14ac:dyDescent="0.4">
      <c r="B85" s="2" t="s">
        <v>153</v>
      </c>
      <c r="C85" s="3" t="s">
        <v>128</v>
      </c>
      <c r="D85" s="3" t="s">
        <v>129</v>
      </c>
      <c r="E85" s="3" t="s">
        <v>130</v>
      </c>
      <c r="F85" s="3" t="s">
        <v>142</v>
      </c>
      <c r="G85" s="4"/>
      <c r="H85" s="4" t="e">
        <f>INDEX(#REF!,MATCH(셀트리온제약!$F85,#REF!,0),MATCH(셀트리온제약!$B85,#REF!,0))</f>
        <v>#REF!</v>
      </c>
      <c r="I85" s="4" t="e">
        <f t="shared" si="9"/>
        <v>#REF!</v>
      </c>
      <c r="J85" s="21" t="e">
        <f t="shared" si="11"/>
        <v>#REF!</v>
      </c>
      <c r="L85" s="15"/>
    </row>
    <row r="86" spans="2:12" hidden="1" x14ac:dyDescent="0.4">
      <c r="B86" s="2" t="s">
        <v>153</v>
      </c>
      <c r="C86" s="3" t="s">
        <v>128</v>
      </c>
      <c r="D86" s="3" t="s">
        <v>129</v>
      </c>
      <c r="E86" s="3" t="s">
        <v>130</v>
      </c>
      <c r="F86" s="3" t="s">
        <v>500</v>
      </c>
      <c r="G86" s="4"/>
      <c r="H86" s="4" t="e">
        <f>INDEX(#REF!,MATCH(셀트리온제약!$F86,#REF!,0),MATCH(셀트리온제약!$B86,#REF!,0))</f>
        <v>#REF!</v>
      </c>
      <c r="I86" s="4" t="e">
        <f t="shared" si="9"/>
        <v>#REF!</v>
      </c>
      <c r="J86" s="21" t="e">
        <f t="shared" si="11"/>
        <v>#REF!</v>
      </c>
      <c r="L86" s="15"/>
    </row>
    <row r="87" spans="2:12" hidden="1" x14ac:dyDescent="0.4">
      <c r="B87" s="2" t="s">
        <v>153</v>
      </c>
      <c r="C87" s="3" t="s">
        <v>128</v>
      </c>
      <c r="D87" s="3" t="s">
        <v>129</v>
      </c>
      <c r="E87" s="3" t="s">
        <v>501</v>
      </c>
      <c r="F87" s="3" t="s">
        <v>358</v>
      </c>
      <c r="G87" s="4"/>
      <c r="H87" s="4" t="e">
        <f>INDEX(#REF!,MATCH(셀트리온제약!$F87,#REF!,0),MATCH(셀트리온제약!$B87,#REF!,0))</f>
        <v>#REF!</v>
      </c>
      <c r="I87" s="4" t="e">
        <f t="shared" si="9"/>
        <v>#REF!</v>
      </c>
      <c r="J87" s="21" t="e">
        <f t="shared" si="11"/>
        <v>#REF!</v>
      </c>
      <c r="L87" s="15"/>
    </row>
    <row r="88" spans="2:12" ht="18" hidden="1" thickBot="1" x14ac:dyDescent="0.45">
      <c r="B88" s="12" t="s">
        <v>153</v>
      </c>
      <c r="C88" s="470" t="s">
        <v>128</v>
      </c>
      <c r="D88" s="470" t="s">
        <v>129</v>
      </c>
      <c r="E88" s="470" t="s">
        <v>501</v>
      </c>
      <c r="F88" s="470" t="s">
        <v>362</v>
      </c>
      <c r="G88" s="471"/>
      <c r="H88" s="471" t="e">
        <f>INDEX(#REF!,MATCH(셀트리온제약!$F88,#REF!,0),MATCH(셀트리온제약!$B88,#REF!,0))</f>
        <v>#REF!</v>
      </c>
      <c r="I88" s="471" t="e">
        <f t="shared" si="9"/>
        <v>#REF!</v>
      </c>
      <c r="J88" s="472" t="e">
        <f t="shared" si="11"/>
        <v>#REF!</v>
      </c>
      <c r="L88" s="15"/>
    </row>
    <row r="89" spans="2:12" hidden="1" x14ac:dyDescent="0.4">
      <c r="B89" s="7" t="s">
        <v>155</v>
      </c>
      <c r="C89" s="8" t="s">
        <v>128</v>
      </c>
      <c r="D89" s="8" t="s">
        <v>129</v>
      </c>
      <c r="E89" s="8" t="s">
        <v>310</v>
      </c>
      <c r="F89" s="8" t="s">
        <v>311</v>
      </c>
      <c r="G89" s="9"/>
      <c r="H89" s="9" t="e">
        <f>INDEX(#REF!,MATCH(셀트리온제약!$F89,#REF!,0),MATCH(셀트리온제약!$B89,#REF!,0))</f>
        <v>#REF!</v>
      </c>
      <c r="I89" s="9" t="e">
        <f t="shared" si="9"/>
        <v>#REF!</v>
      </c>
      <c r="J89" s="20" t="e">
        <f>+G89/H89</f>
        <v>#REF!</v>
      </c>
      <c r="L89" s="15"/>
    </row>
    <row r="90" spans="2:12" hidden="1" x14ac:dyDescent="0.4">
      <c r="B90" s="2" t="s">
        <v>155</v>
      </c>
      <c r="C90" s="3" t="s">
        <v>128</v>
      </c>
      <c r="D90" s="3" t="s">
        <v>129</v>
      </c>
      <c r="E90" s="3" t="s">
        <v>310</v>
      </c>
      <c r="F90" s="3" t="s">
        <v>496</v>
      </c>
      <c r="G90" s="11"/>
      <c r="H90" s="11" t="e">
        <f>INDEX(#REF!,MATCH(셀트리온제약!$F90,#REF!,0),MATCH(셀트리온제약!$B90,#REF!,0))</f>
        <v>#REF!</v>
      </c>
      <c r="I90" s="11" t="e">
        <f t="shared" si="9"/>
        <v>#REF!</v>
      </c>
      <c r="J90" s="21" t="e">
        <f t="shared" ref="J90:J110" si="12">+G90/H90</f>
        <v>#REF!</v>
      </c>
      <c r="L90" s="15"/>
    </row>
    <row r="91" spans="2:12" hidden="1" x14ac:dyDescent="0.4">
      <c r="B91" s="2" t="s">
        <v>155</v>
      </c>
      <c r="C91" s="3" t="s">
        <v>128</v>
      </c>
      <c r="D91" s="3" t="s">
        <v>129</v>
      </c>
      <c r="E91" s="3" t="s">
        <v>310</v>
      </c>
      <c r="F91" s="3" t="s">
        <v>84</v>
      </c>
      <c r="G91" s="11"/>
      <c r="H91" s="11" t="e">
        <f>INDEX(#REF!,MATCH(셀트리온제약!$F91,#REF!,0),MATCH(셀트리온제약!$B91,#REF!,0))</f>
        <v>#REF!</v>
      </c>
      <c r="I91" s="11" t="e">
        <f t="shared" si="9"/>
        <v>#REF!</v>
      </c>
      <c r="J91" s="21" t="e">
        <f t="shared" si="12"/>
        <v>#REF!</v>
      </c>
      <c r="L91" s="10"/>
    </row>
    <row r="92" spans="2:12" hidden="1" x14ac:dyDescent="0.4">
      <c r="B92" s="2" t="s">
        <v>155</v>
      </c>
      <c r="C92" s="3" t="s">
        <v>128</v>
      </c>
      <c r="D92" s="3" t="s">
        <v>129</v>
      </c>
      <c r="E92" s="3" t="s">
        <v>338</v>
      </c>
      <c r="F92" s="3" t="s">
        <v>340</v>
      </c>
      <c r="G92" s="11"/>
      <c r="H92" s="11" t="e">
        <f>INDEX(#REF!,MATCH(셀트리온제약!$F92,#REF!,0),MATCH(셀트리온제약!$B92,#REF!,0))</f>
        <v>#REF!</v>
      </c>
      <c r="I92" s="11" t="e">
        <f t="shared" si="9"/>
        <v>#REF!</v>
      </c>
      <c r="J92" s="21" t="e">
        <f t="shared" si="12"/>
        <v>#REF!</v>
      </c>
      <c r="L92" s="10"/>
    </row>
    <row r="93" spans="2:12" hidden="1" x14ac:dyDescent="0.4">
      <c r="B93" s="2" t="s">
        <v>155</v>
      </c>
      <c r="C93" s="3" t="s">
        <v>128</v>
      </c>
      <c r="D93" s="3" t="s">
        <v>129</v>
      </c>
      <c r="E93" s="3" t="s">
        <v>338</v>
      </c>
      <c r="F93" s="3" t="s">
        <v>341</v>
      </c>
      <c r="G93" s="11"/>
      <c r="H93" s="11" t="e">
        <f>INDEX(#REF!,MATCH(셀트리온제약!$F93,#REF!,0),MATCH(셀트리온제약!$B93,#REF!,0))</f>
        <v>#REF!</v>
      </c>
      <c r="I93" s="11" t="e">
        <f t="shared" si="9"/>
        <v>#REF!</v>
      </c>
      <c r="J93" s="21" t="e">
        <f t="shared" si="12"/>
        <v>#REF!</v>
      </c>
      <c r="L93" s="10"/>
    </row>
    <row r="94" spans="2:12" hidden="1" x14ac:dyDescent="0.4">
      <c r="B94" s="2" t="s">
        <v>155</v>
      </c>
      <c r="C94" s="3" t="s">
        <v>128</v>
      </c>
      <c r="D94" s="3" t="s">
        <v>129</v>
      </c>
      <c r="E94" s="3" t="s">
        <v>338</v>
      </c>
      <c r="F94" s="3" t="s">
        <v>346</v>
      </c>
      <c r="G94" s="11"/>
      <c r="H94" s="11" t="e">
        <f>INDEX(#REF!,MATCH(셀트리온제약!$F94,#REF!,0),MATCH(셀트리온제약!$B94,#REF!,0))</f>
        <v>#REF!</v>
      </c>
      <c r="I94" s="11" t="e">
        <f t="shared" si="9"/>
        <v>#REF!</v>
      </c>
      <c r="J94" s="21" t="e">
        <f t="shared" si="12"/>
        <v>#REF!</v>
      </c>
      <c r="L94" s="10"/>
    </row>
    <row r="95" spans="2:12" hidden="1" x14ac:dyDescent="0.4">
      <c r="B95" s="2" t="s">
        <v>155</v>
      </c>
      <c r="C95" s="3" t="s">
        <v>128</v>
      </c>
      <c r="D95" s="3" t="s">
        <v>129</v>
      </c>
      <c r="E95" s="3" t="s">
        <v>338</v>
      </c>
      <c r="F95" s="3" t="s">
        <v>342</v>
      </c>
      <c r="G95" s="4"/>
      <c r="H95" s="4" t="e">
        <f>INDEX(#REF!,MATCH(셀트리온제약!$F95,#REF!,0),MATCH(셀트리온제약!$B95,#REF!,0))</f>
        <v>#REF!</v>
      </c>
      <c r="I95" s="4" t="e">
        <f t="shared" si="9"/>
        <v>#REF!</v>
      </c>
      <c r="J95" s="21" t="e">
        <f t="shared" si="12"/>
        <v>#REF!</v>
      </c>
      <c r="L95" s="10"/>
    </row>
    <row r="96" spans="2:12" hidden="1" x14ac:dyDescent="0.4">
      <c r="B96" s="2" t="s">
        <v>155</v>
      </c>
      <c r="C96" s="3" t="s">
        <v>128</v>
      </c>
      <c r="D96" s="3" t="s">
        <v>129</v>
      </c>
      <c r="E96" s="3" t="s">
        <v>338</v>
      </c>
      <c r="F96" s="3" t="s">
        <v>349</v>
      </c>
      <c r="G96" s="11"/>
      <c r="H96" s="11" t="e">
        <f>INDEX(#REF!,MATCH(셀트리온제약!$F96,#REF!,0),MATCH(셀트리온제약!$B96,#REF!,0))</f>
        <v>#REF!</v>
      </c>
      <c r="I96" s="11" t="e">
        <f t="shared" si="9"/>
        <v>#REF!</v>
      </c>
      <c r="J96" s="21" t="e">
        <f t="shared" si="12"/>
        <v>#REF!</v>
      </c>
      <c r="L96" s="10"/>
    </row>
    <row r="97" spans="2:12" hidden="1" x14ac:dyDescent="0.4">
      <c r="B97" s="2" t="s">
        <v>155</v>
      </c>
      <c r="C97" s="3" t="s">
        <v>128</v>
      </c>
      <c r="D97" s="3" t="s">
        <v>129</v>
      </c>
      <c r="E97" s="3" t="s">
        <v>338</v>
      </c>
      <c r="F97" s="3" t="s">
        <v>497</v>
      </c>
      <c r="G97" s="4"/>
      <c r="H97" s="4" t="e">
        <f>INDEX(#REF!,MATCH(셀트리온제약!$F97,#REF!,0),MATCH(셀트리온제약!$B97,#REF!,0))</f>
        <v>#REF!</v>
      </c>
      <c r="I97" s="4" t="e">
        <f t="shared" si="9"/>
        <v>#REF!</v>
      </c>
      <c r="J97" s="21" t="e">
        <f t="shared" si="12"/>
        <v>#REF!</v>
      </c>
      <c r="L97" s="10"/>
    </row>
    <row r="98" spans="2:12" hidden="1" x14ac:dyDescent="0.4">
      <c r="B98" s="2" t="s">
        <v>155</v>
      </c>
      <c r="C98" s="3" t="s">
        <v>128</v>
      </c>
      <c r="D98" s="3" t="s">
        <v>129</v>
      </c>
      <c r="E98" s="3" t="s">
        <v>320</v>
      </c>
      <c r="F98" s="3" t="s">
        <v>320</v>
      </c>
      <c r="G98" s="4"/>
      <c r="H98" s="4" t="e">
        <f>INDEX(#REF!,MATCH(셀트리온제약!$F98,#REF!,0),MATCH(셀트리온제약!$B98,#REF!,0))</f>
        <v>#REF!</v>
      </c>
      <c r="I98" s="4" t="e">
        <f t="shared" si="9"/>
        <v>#REF!</v>
      </c>
      <c r="J98" s="21" t="e">
        <f t="shared" si="12"/>
        <v>#REF!</v>
      </c>
      <c r="L98" s="10"/>
    </row>
    <row r="99" spans="2:12" hidden="1" x14ac:dyDescent="0.4">
      <c r="B99" s="2" t="s">
        <v>155</v>
      </c>
      <c r="C99" s="3" t="s">
        <v>128</v>
      </c>
      <c r="D99" s="3" t="s">
        <v>129</v>
      </c>
      <c r="E99" s="3" t="s">
        <v>331</v>
      </c>
      <c r="F99" s="3" t="s">
        <v>331</v>
      </c>
      <c r="G99" s="4"/>
      <c r="H99" s="4" t="e">
        <f>INDEX(#REF!,MATCH(셀트리온제약!$F99,#REF!,0),MATCH(셀트리온제약!$B99,#REF!,0))</f>
        <v>#REF!</v>
      </c>
      <c r="I99" s="4" t="e">
        <f t="shared" si="9"/>
        <v>#REF!</v>
      </c>
      <c r="J99" s="21" t="e">
        <f t="shared" si="12"/>
        <v>#REF!</v>
      </c>
      <c r="L99" s="10"/>
    </row>
    <row r="100" spans="2:12" hidden="1" x14ac:dyDescent="0.4">
      <c r="B100" s="2" t="s">
        <v>155</v>
      </c>
      <c r="C100" s="3" t="s">
        <v>128</v>
      </c>
      <c r="D100" s="3" t="s">
        <v>129</v>
      </c>
      <c r="E100" s="3" t="s">
        <v>130</v>
      </c>
      <c r="F100" s="3" t="s">
        <v>131</v>
      </c>
      <c r="G100" s="4"/>
      <c r="H100" s="4" t="e">
        <f>INDEX(#REF!,MATCH(셀트리온제약!$F100,#REF!,0),MATCH(셀트리온제약!$B100,#REF!,0))</f>
        <v>#REF!</v>
      </c>
      <c r="I100" s="4" t="e">
        <f t="shared" si="9"/>
        <v>#REF!</v>
      </c>
      <c r="J100" s="21" t="e">
        <f t="shared" si="12"/>
        <v>#REF!</v>
      </c>
      <c r="L100" s="10"/>
    </row>
    <row r="101" spans="2:12" hidden="1" x14ac:dyDescent="0.4">
      <c r="B101" s="2" t="s">
        <v>155</v>
      </c>
      <c r="C101" s="3" t="s">
        <v>128</v>
      </c>
      <c r="D101" s="3" t="s">
        <v>129</v>
      </c>
      <c r="E101" s="3" t="s">
        <v>130</v>
      </c>
      <c r="F101" s="3" t="s">
        <v>132</v>
      </c>
      <c r="G101" s="4"/>
      <c r="H101" s="4" t="e">
        <f>INDEX(#REF!,MATCH(셀트리온제약!$F101,#REF!,0),MATCH(셀트리온제약!$B101,#REF!,0))</f>
        <v>#REF!</v>
      </c>
      <c r="I101" s="4" t="e">
        <f t="shared" si="9"/>
        <v>#REF!</v>
      </c>
      <c r="J101" s="21" t="e">
        <f t="shared" si="12"/>
        <v>#REF!</v>
      </c>
      <c r="L101" s="10"/>
    </row>
    <row r="102" spans="2:12" hidden="1" x14ac:dyDescent="0.4">
      <c r="B102" s="2" t="s">
        <v>155</v>
      </c>
      <c r="C102" s="3" t="s">
        <v>128</v>
      </c>
      <c r="D102" s="3" t="s">
        <v>129</v>
      </c>
      <c r="E102" s="3" t="s">
        <v>130</v>
      </c>
      <c r="F102" s="3" t="s">
        <v>134</v>
      </c>
      <c r="G102" s="4"/>
      <c r="H102" s="4" t="e">
        <f>INDEX(#REF!,MATCH(셀트리온제약!$F102,#REF!,0),MATCH(셀트리온제약!$B102,#REF!,0))</f>
        <v>#REF!</v>
      </c>
      <c r="I102" s="4" t="e">
        <f t="shared" si="9"/>
        <v>#REF!</v>
      </c>
      <c r="J102" s="21" t="e">
        <f t="shared" si="12"/>
        <v>#REF!</v>
      </c>
      <c r="L102" s="10"/>
    </row>
    <row r="103" spans="2:12" hidden="1" x14ac:dyDescent="0.4">
      <c r="B103" s="2" t="s">
        <v>155</v>
      </c>
      <c r="C103" s="3" t="s">
        <v>128</v>
      </c>
      <c r="D103" s="3" t="s">
        <v>129</v>
      </c>
      <c r="E103" s="3" t="s">
        <v>130</v>
      </c>
      <c r="F103" s="3" t="s">
        <v>135</v>
      </c>
      <c r="G103" s="4"/>
      <c r="H103" s="4" t="e">
        <f>INDEX(#REF!,MATCH(셀트리온제약!$F103,#REF!,0),MATCH(셀트리온제약!$B103,#REF!,0))</f>
        <v>#REF!</v>
      </c>
      <c r="I103" s="4" t="e">
        <f t="shared" si="9"/>
        <v>#REF!</v>
      </c>
      <c r="J103" s="21" t="e">
        <f t="shared" si="12"/>
        <v>#REF!</v>
      </c>
      <c r="L103" s="10"/>
    </row>
    <row r="104" spans="2:12" hidden="1" x14ac:dyDescent="0.4">
      <c r="B104" s="2" t="s">
        <v>155</v>
      </c>
      <c r="C104" s="3" t="s">
        <v>128</v>
      </c>
      <c r="D104" s="3" t="s">
        <v>129</v>
      </c>
      <c r="E104" s="3" t="s">
        <v>130</v>
      </c>
      <c r="F104" s="3" t="s">
        <v>136</v>
      </c>
      <c r="G104" s="4"/>
      <c r="H104" s="4" t="e">
        <f>INDEX(#REF!,MATCH(셀트리온제약!$F104,#REF!,0),MATCH(셀트리온제약!$B104,#REF!,0))</f>
        <v>#REF!</v>
      </c>
      <c r="I104" s="4" t="e">
        <f t="shared" si="9"/>
        <v>#REF!</v>
      </c>
      <c r="J104" s="21" t="e">
        <f t="shared" si="12"/>
        <v>#REF!</v>
      </c>
      <c r="L104" s="10"/>
    </row>
    <row r="105" spans="2:12" hidden="1" x14ac:dyDescent="0.4">
      <c r="B105" s="2" t="s">
        <v>155</v>
      </c>
      <c r="C105" s="3" t="s">
        <v>128</v>
      </c>
      <c r="D105" s="3" t="s">
        <v>129</v>
      </c>
      <c r="E105" s="3" t="s">
        <v>130</v>
      </c>
      <c r="F105" s="3" t="s">
        <v>137</v>
      </c>
      <c r="G105" s="4"/>
      <c r="H105" s="4" t="e">
        <f>INDEX(#REF!,MATCH(셀트리온제약!$F105,#REF!,0),MATCH(셀트리온제약!$B105,#REF!,0))</f>
        <v>#REF!</v>
      </c>
      <c r="I105" s="4" t="e">
        <f t="shared" si="9"/>
        <v>#REF!</v>
      </c>
      <c r="J105" s="21" t="e">
        <f t="shared" si="12"/>
        <v>#REF!</v>
      </c>
      <c r="L105" s="10"/>
    </row>
    <row r="106" spans="2:12" hidden="1" x14ac:dyDescent="0.4">
      <c r="B106" s="2" t="s">
        <v>155</v>
      </c>
      <c r="C106" s="3" t="s">
        <v>128</v>
      </c>
      <c r="D106" s="3" t="s">
        <v>129</v>
      </c>
      <c r="E106" s="3" t="s">
        <v>130</v>
      </c>
      <c r="F106" s="3" t="s">
        <v>141</v>
      </c>
      <c r="G106" s="4"/>
      <c r="H106" s="4" t="e">
        <f>INDEX(#REF!,MATCH(셀트리온제약!$F106,#REF!,0),MATCH(셀트리온제약!$B106,#REF!,0))</f>
        <v>#REF!</v>
      </c>
      <c r="I106" s="4" t="e">
        <f t="shared" si="9"/>
        <v>#REF!</v>
      </c>
      <c r="J106" s="21" t="e">
        <f t="shared" si="12"/>
        <v>#REF!</v>
      </c>
      <c r="L106" s="10"/>
    </row>
    <row r="107" spans="2:12" hidden="1" x14ac:dyDescent="0.4">
      <c r="B107" s="2" t="s">
        <v>155</v>
      </c>
      <c r="C107" s="3" t="s">
        <v>128</v>
      </c>
      <c r="D107" s="3" t="s">
        <v>129</v>
      </c>
      <c r="E107" s="3" t="s">
        <v>130</v>
      </c>
      <c r="F107" s="3" t="s">
        <v>142</v>
      </c>
      <c r="G107" s="4"/>
      <c r="H107" s="4" t="e">
        <f>INDEX(#REF!,MATCH(셀트리온제약!$F107,#REF!,0),MATCH(셀트리온제약!$B107,#REF!,0))</f>
        <v>#REF!</v>
      </c>
      <c r="I107" s="4" t="e">
        <f t="shared" si="9"/>
        <v>#REF!</v>
      </c>
      <c r="J107" s="21" t="e">
        <f t="shared" si="12"/>
        <v>#REF!</v>
      </c>
      <c r="L107" s="10"/>
    </row>
    <row r="108" spans="2:12" hidden="1" x14ac:dyDescent="0.4">
      <c r="B108" s="2" t="s">
        <v>155</v>
      </c>
      <c r="C108" s="3" t="s">
        <v>128</v>
      </c>
      <c r="D108" s="3" t="s">
        <v>129</v>
      </c>
      <c r="E108" s="3" t="s">
        <v>130</v>
      </c>
      <c r="F108" s="3" t="s">
        <v>500</v>
      </c>
      <c r="G108" s="4"/>
      <c r="H108" s="4" t="e">
        <f>INDEX(#REF!,MATCH(셀트리온제약!$F108,#REF!,0),MATCH(셀트리온제약!$B108,#REF!,0))</f>
        <v>#REF!</v>
      </c>
      <c r="I108" s="4" t="e">
        <f t="shared" ref="I108:I171" si="13">H108</f>
        <v>#REF!</v>
      </c>
      <c r="J108" s="21" t="e">
        <f t="shared" si="12"/>
        <v>#REF!</v>
      </c>
      <c r="L108" s="10"/>
    </row>
    <row r="109" spans="2:12" hidden="1" x14ac:dyDescent="0.4">
      <c r="B109" s="2" t="s">
        <v>155</v>
      </c>
      <c r="C109" s="3" t="s">
        <v>128</v>
      </c>
      <c r="D109" s="3" t="s">
        <v>129</v>
      </c>
      <c r="E109" s="3" t="s">
        <v>501</v>
      </c>
      <c r="F109" s="3" t="s">
        <v>358</v>
      </c>
      <c r="G109" s="4"/>
      <c r="H109" s="4" t="e">
        <f>INDEX(#REF!,MATCH(셀트리온제약!$F109,#REF!,0),MATCH(셀트리온제약!$B109,#REF!,0))</f>
        <v>#REF!</v>
      </c>
      <c r="I109" s="4" t="e">
        <f t="shared" si="13"/>
        <v>#REF!</v>
      </c>
      <c r="J109" s="21" t="e">
        <f t="shared" si="12"/>
        <v>#REF!</v>
      </c>
      <c r="L109" s="10"/>
    </row>
    <row r="110" spans="2:12" ht="18" hidden="1" thickBot="1" x14ac:dyDescent="0.45">
      <c r="B110" s="13" t="s">
        <v>155</v>
      </c>
      <c r="C110" s="17" t="s">
        <v>128</v>
      </c>
      <c r="D110" s="17" t="s">
        <v>129</v>
      </c>
      <c r="E110" s="17" t="s">
        <v>501</v>
      </c>
      <c r="F110" s="17" t="s">
        <v>362</v>
      </c>
      <c r="G110" s="6"/>
      <c r="H110" s="6" t="e">
        <f>INDEX(#REF!,MATCH(셀트리온제약!$F110,#REF!,0),MATCH(셀트리온제약!$B110,#REF!,0))</f>
        <v>#REF!</v>
      </c>
      <c r="I110" s="6" t="e">
        <f t="shared" si="13"/>
        <v>#REF!</v>
      </c>
      <c r="J110" s="22" t="e">
        <f t="shared" si="12"/>
        <v>#REF!</v>
      </c>
      <c r="L110" s="10"/>
    </row>
    <row r="111" spans="2:12" hidden="1" x14ac:dyDescent="0.4">
      <c r="B111" s="14" t="s">
        <v>73</v>
      </c>
      <c r="C111" s="16" t="s">
        <v>128</v>
      </c>
      <c r="D111" s="16" t="s">
        <v>129</v>
      </c>
      <c r="E111" s="16" t="s">
        <v>310</v>
      </c>
      <c r="F111" s="16" t="s">
        <v>311</v>
      </c>
      <c r="G111" s="19"/>
      <c r="H111" s="19" t="e">
        <f>INDEX(#REF!,MATCH(셀트리온제약!$F111,#REF!,0),MATCH(셀트리온제약!$B111,#REF!,0))</f>
        <v>#REF!</v>
      </c>
      <c r="I111" s="19" t="e">
        <f t="shared" si="13"/>
        <v>#REF!</v>
      </c>
      <c r="J111" s="23" t="e">
        <f>+G111/H111</f>
        <v>#REF!</v>
      </c>
      <c r="L111" s="10"/>
    </row>
    <row r="112" spans="2:12" hidden="1" x14ac:dyDescent="0.4">
      <c r="B112" s="2" t="s">
        <v>73</v>
      </c>
      <c r="C112" s="3" t="s">
        <v>128</v>
      </c>
      <c r="D112" s="3" t="s">
        <v>129</v>
      </c>
      <c r="E112" s="3" t="s">
        <v>310</v>
      </c>
      <c r="F112" s="3" t="s">
        <v>496</v>
      </c>
      <c r="G112" s="11"/>
      <c r="H112" s="11" t="e">
        <f>INDEX(#REF!,MATCH(셀트리온제약!$F112,#REF!,0),MATCH(셀트리온제약!$B112,#REF!,0))</f>
        <v>#REF!</v>
      </c>
      <c r="I112" s="11" t="e">
        <f t="shared" si="13"/>
        <v>#REF!</v>
      </c>
      <c r="J112" s="21" t="e">
        <f t="shared" ref="J112:J132" si="14">+G112/H112</f>
        <v>#REF!</v>
      </c>
      <c r="L112" s="10"/>
    </row>
    <row r="113" spans="2:12" hidden="1" x14ac:dyDescent="0.4">
      <c r="B113" s="2" t="s">
        <v>73</v>
      </c>
      <c r="C113" s="3" t="s">
        <v>128</v>
      </c>
      <c r="D113" s="3" t="s">
        <v>129</v>
      </c>
      <c r="E113" s="3" t="s">
        <v>310</v>
      </c>
      <c r="F113" s="3" t="s">
        <v>84</v>
      </c>
      <c r="G113" s="11"/>
      <c r="H113" s="11" t="e">
        <f>INDEX(#REF!,MATCH(셀트리온제약!$F113,#REF!,0),MATCH(셀트리온제약!$B113,#REF!,0))</f>
        <v>#REF!</v>
      </c>
      <c r="I113" s="11" t="e">
        <f t="shared" si="13"/>
        <v>#REF!</v>
      </c>
      <c r="J113" s="21" t="e">
        <f t="shared" si="14"/>
        <v>#REF!</v>
      </c>
      <c r="L113" s="10"/>
    </row>
    <row r="114" spans="2:12" hidden="1" x14ac:dyDescent="0.4">
      <c r="B114" s="2" t="s">
        <v>73</v>
      </c>
      <c r="C114" s="3" t="s">
        <v>128</v>
      </c>
      <c r="D114" s="3" t="s">
        <v>129</v>
      </c>
      <c r="E114" s="3" t="s">
        <v>338</v>
      </c>
      <c r="F114" s="3" t="s">
        <v>340</v>
      </c>
      <c r="G114" s="11"/>
      <c r="H114" s="11" t="e">
        <f>INDEX(#REF!,MATCH(셀트리온제약!$F114,#REF!,0),MATCH(셀트리온제약!$B114,#REF!,0))</f>
        <v>#REF!</v>
      </c>
      <c r="I114" s="11" t="e">
        <f t="shared" si="13"/>
        <v>#REF!</v>
      </c>
      <c r="J114" s="21" t="e">
        <f t="shared" si="14"/>
        <v>#REF!</v>
      </c>
      <c r="L114" s="10"/>
    </row>
    <row r="115" spans="2:12" hidden="1" x14ac:dyDescent="0.4">
      <c r="B115" s="2" t="s">
        <v>73</v>
      </c>
      <c r="C115" s="3" t="s">
        <v>128</v>
      </c>
      <c r="D115" s="3" t="s">
        <v>129</v>
      </c>
      <c r="E115" s="3" t="s">
        <v>338</v>
      </c>
      <c r="F115" s="3" t="s">
        <v>341</v>
      </c>
      <c r="G115" s="11"/>
      <c r="H115" s="11" t="e">
        <f>INDEX(#REF!,MATCH(셀트리온제약!$F115,#REF!,0),MATCH(셀트리온제약!$B115,#REF!,0))</f>
        <v>#REF!</v>
      </c>
      <c r="I115" s="11" t="e">
        <f t="shared" si="13"/>
        <v>#REF!</v>
      </c>
      <c r="J115" s="21" t="e">
        <f t="shared" si="14"/>
        <v>#REF!</v>
      </c>
      <c r="L115" s="10"/>
    </row>
    <row r="116" spans="2:12" hidden="1" x14ac:dyDescent="0.4">
      <c r="B116" s="2" t="s">
        <v>73</v>
      </c>
      <c r="C116" s="3" t="s">
        <v>128</v>
      </c>
      <c r="D116" s="3" t="s">
        <v>129</v>
      </c>
      <c r="E116" s="3" t="s">
        <v>338</v>
      </c>
      <c r="F116" s="3" t="s">
        <v>346</v>
      </c>
      <c r="G116" s="11"/>
      <c r="H116" s="11" t="e">
        <f>INDEX(#REF!,MATCH(셀트리온제약!$F116,#REF!,0),MATCH(셀트리온제약!$B116,#REF!,0))</f>
        <v>#REF!</v>
      </c>
      <c r="I116" s="11" t="e">
        <f t="shared" si="13"/>
        <v>#REF!</v>
      </c>
      <c r="J116" s="21" t="e">
        <f t="shared" si="14"/>
        <v>#REF!</v>
      </c>
      <c r="L116" s="10"/>
    </row>
    <row r="117" spans="2:12" hidden="1" x14ac:dyDescent="0.4">
      <c r="B117" s="2" t="s">
        <v>73</v>
      </c>
      <c r="C117" s="3" t="s">
        <v>128</v>
      </c>
      <c r="D117" s="3" t="s">
        <v>129</v>
      </c>
      <c r="E117" s="3" t="s">
        <v>338</v>
      </c>
      <c r="F117" s="3" t="s">
        <v>342</v>
      </c>
      <c r="G117" s="4"/>
      <c r="H117" s="4" t="e">
        <f>INDEX(#REF!,MATCH(셀트리온제약!$F117,#REF!,0),MATCH(셀트리온제약!$B117,#REF!,0))</f>
        <v>#REF!</v>
      </c>
      <c r="I117" s="4" t="e">
        <f t="shared" si="13"/>
        <v>#REF!</v>
      </c>
      <c r="J117" s="21" t="e">
        <f t="shared" si="14"/>
        <v>#REF!</v>
      </c>
      <c r="L117" s="10"/>
    </row>
    <row r="118" spans="2:12" hidden="1" x14ac:dyDescent="0.4">
      <c r="B118" s="2" t="s">
        <v>73</v>
      </c>
      <c r="C118" s="3" t="s">
        <v>128</v>
      </c>
      <c r="D118" s="3" t="s">
        <v>129</v>
      </c>
      <c r="E118" s="3" t="s">
        <v>338</v>
      </c>
      <c r="F118" s="3" t="s">
        <v>349</v>
      </c>
      <c r="G118" s="11"/>
      <c r="H118" s="11" t="e">
        <f>INDEX(#REF!,MATCH(셀트리온제약!$F118,#REF!,0),MATCH(셀트리온제약!$B118,#REF!,0))</f>
        <v>#REF!</v>
      </c>
      <c r="I118" s="11" t="e">
        <f t="shared" si="13"/>
        <v>#REF!</v>
      </c>
      <c r="J118" s="21" t="e">
        <f t="shared" si="14"/>
        <v>#REF!</v>
      </c>
      <c r="L118" s="10"/>
    </row>
    <row r="119" spans="2:12" hidden="1" x14ac:dyDescent="0.4">
      <c r="B119" s="2" t="s">
        <v>73</v>
      </c>
      <c r="C119" s="3" t="s">
        <v>128</v>
      </c>
      <c r="D119" s="3" t="s">
        <v>129</v>
      </c>
      <c r="E119" s="3" t="s">
        <v>338</v>
      </c>
      <c r="F119" s="3" t="s">
        <v>497</v>
      </c>
      <c r="G119" s="4"/>
      <c r="H119" s="4" t="e">
        <f>INDEX(#REF!,MATCH(셀트리온제약!$F119,#REF!,0),MATCH(셀트리온제약!$B119,#REF!,0))</f>
        <v>#REF!</v>
      </c>
      <c r="I119" s="4" t="e">
        <f t="shared" si="13"/>
        <v>#REF!</v>
      </c>
      <c r="J119" s="21" t="e">
        <f t="shared" si="14"/>
        <v>#REF!</v>
      </c>
      <c r="L119" s="10"/>
    </row>
    <row r="120" spans="2:12" hidden="1" x14ac:dyDescent="0.4">
      <c r="B120" s="2" t="s">
        <v>73</v>
      </c>
      <c r="C120" s="3" t="s">
        <v>128</v>
      </c>
      <c r="D120" s="3" t="s">
        <v>129</v>
      </c>
      <c r="E120" s="3" t="s">
        <v>320</v>
      </c>
      <c r="F120" s="3" t="s">
        <v>320</v>
      </c>
      <c r="G120" s="4"/>
      <c r="H120" s="4" t="e">
        <f>INDEX(#REF!,MATCH(셀트리온제약!$F120,#REF!,0),MATCH(셀트리온제약!$B120,#REF!,0))</f>
        <v>#REF!</v>
      </c>
      <c r="I120" s="4" t="e">
        <f t="shared" si="13"/>
        <v>#REF!</v>
      </c>
      <c r="J120" s="21" t="e">
        <f t="shared" si="14"/>
        <v>#REF!</v>
      </c>
      <c r="L120" s="10"/>
    </row>
    <row r="121" spans="2:12" hidden="1" x14ac:dyDescent="0.4">
      <c r="B121" s="2" t="s">
        <v>73</v>
      </c>
      <c r="C121" s="3" t="s">
        <v>128</v>
      </c>
      <c r="D121" s="3" t="s">
        <v>129</v>
      </c>
      <c r="E121" s="3" t="s">
        <v>331</v>
      </c>
      <c r="F121" s="3" t="s">
        <v>331</v>
      </c>
      <c r="G121" s="4"/>
      <c r="H121" s="4" t="e">
        <f>INDEX(#REF!,MATCH(셀트리온제약!$F121,#REF!,0),MATCH(셀트리온제약!$B121,#REF!,0))</f>
        <v>#REF!</v>
      </c>
      <c r="I121" s="4" t="e">
        <f t="shared" si="13"/>
        <v>#REF!</v>
      </c>
      <c r="J121" s="21" t="e">
        <f t="shared" si="14"/>
        <v>#REF!</v>
      </c>
      <c r="L121" s="10"/>
    </row>
    <row r="122" spans="2:12" hidden="1" x14ac:dyDescent="0.4">
      <c r="B122" s="2" t="s">
        <v>73</v>
      </c>
      <c r="C122" s="3" t="s">
        <v>128</v>
      </c>
      <c r="D122" s="3" t="s">
        <v>129</v>
      </c>
      <c r="E122" s="3" t="s">
        <v>130</v>
      </c>
      <c r="F122" s="3" t="s">
        <v>131</v>
      </c>
      <c r="G122" s="4"/>
      <c r="H122" s="4" t="e">
        <f>INDEX(#REF!,MATCH(셀트리온제약!$F122,#REF!,0),MATCH(셀트리온제약!$B122,#REF!,0))</f>
        <v>#REF!</v>
      </c>
      <c r="I122" s="4" t="e">
        <f t="shared" si="13"/>
        <v>#REF!</v>
      </c>
      <c r="J122" s="21" t="e">
        <f t="shared" si="14"/>
        <v>#REF!</v>
      </c>
      <c r="L122" s="10"/>
    </row>
    <row r="123" spans="2:12" hidden="1" x14ac:dyDescent="0.4">
      <c r="B123" s="2" t="s">
        <v>73</v>
      </c>
      <c r="C123" s="3" t="s">
        <v>128</v>
      </c>
      <c r="D123" s="3" t="s">
        <v>129</v>
      </c>
      <c r="E123" s="3" t="s">
        <v>130</v>
      </c>
      <c r="F123" s="3" t="s">
        <v>132</v>
      </c>
      <c r="G123" s="4"/>
      <c r="H123" s="4" t="e">
        <f>INDEX(#REF!,MATCH(셀트리온제약!$F123,#REF!,0),MATCH(셀트리온제약!$B123,#REF!,0))</f>
        <v>#REF!</v>
      </c>
      <c r="I123" s="4" t="e">
        <f t="shared" si="13"/>
        <v>#REF!</v>
      </c>
      <c r="J123" s="21" t="e">
        <f t="shared" si="14"/>
        <v>#REF!</v>
      </c>
      <c r="L123" s="10"/>
    </row>
    <row r="124" spans="2:12" hidden="1" x14ac:dyDescent="0.4">
      <c r="B124" s="2" t="s">
        <v>73</v>
      </c>
      <c r="C124" s="3" t="s">
        <v>128</v>
      </c>
      <c r="D124" s="3" t="s">
        <v>129</v>
      </c>
      <c r="E124" s="3" t="s">
        <v>130</v>
      </c>
      <c r="F124" s="3" t="s">
        <v>134</v>
      </c>
      <c r="G124" s="4"/>
      <c r="H124" s="4" t="e">
        <f>INDEX(#REF!,MATCH(셀트리온제약!$F124,#REF!,0),MATCH(셀트리온제약!$B124,#REF!,0))</f>
        <v>#REF!</v>
      </c>
      <c r="I124" s="4" t="e">
        <f t="shared" si="13"/>
        <v>#REF!</v>
      </c>
      <c r="J124" s="21" t="e">
        <f t="shared" si="14"/>
        <v>#REF!</v>
      </c>
      <c r="L124" s="10"/>
    </row>
    <row r="125" spans="2:12" hidden="1" x14ac:dyDescent="0.4">
      <c r="B125" s="2" t="s">
        <v>73</v>
      </c>
      <c r="C125" s="3" t="s">
        <v>128</v>
      </c>
      <c r="D125" s="3" t="s">
        <v>129</v>
      </c>
      <c r="E125" s="3" t="s">
        <v>130</v>
      </c>
      <c r="F125" s="3" t="s">
        <v>135</v>
      </c>
      <c r="G125" s="4"/>
      <c r="H125" s="4" t="e">
        <f>INDEX(#REF!,MATCH(셀트리온제약!$F125,#REF!,0),MATCH(셀트리온제약!$B125,#REF!,0))</f>
        <v>#REF!</v>
      </c>
      <c r="I125" s="4" t="e">
        <f t="shared" si="13"/>
        <v>#REF!</v>
      </c>
      <c r="J125" s="21" t="e">
        <f t="shared" si="14"/>
        <v>#REF!</v>
      </c>
      <c r="L125" s="10"/>
    </row>
    <row r="126" spans="2:12" hidden="1" x14ac:dyDescent="0.4">
      <c r="B126" s="2" t="s">
        <v>73</v>
      </c>
      <c r="C126" s="3" t="s">
        <v>128</v>
      </c>
      <c r="D126" s="3" t="s">
        <v>129</v>
      </c>
      <c r="E126" s="3" t="s">
        <v>130</v>
      </c>
      <c r="F126" s="3" t="s">
        <v>136</v>
      </c>
      <c r="G126" s="4"/>
      <c r="H126" s="4" t="e">
        <f>INDEX(#REF!,MATCH(셀트리온제약!$F126,#REF!,0),MATCH(셀트리온제약!$B126,#REF!,0))</f>
        <v>#REF!</v>
      </c>
      <c r="I126" s="4" t="e">
        <f t="shared" si="13"/>
        <v>#REF!</v>
      </c>
      <c r="J126" s="21" t="e">
        <f t="shared" si="14"/>
        <v>#REF!</v>
      </c>
      <c r="L126" s="10"/>
    </row>
    <row r="127" spans="2:12" hidden="1" x14ac:dyDescent="0.4">
      <c r="B127" s="2" t="s">
        <v>73</v>
      </c>
      <c r="C127" s="3" t="s">
        <v>128</v>
      </c>
      <c r="D127" s="3" t="s">
        <v>129</v>
      </c>
      <c r="E127" s="3" t="s">
        <v>130</v>
      </c>
      <c r="F127" s="3" t="s">
        <v>137</v>
      </c>
      <c r="G127" s="4"/>
      <c r="H127" s="4" t="e">
        <f>INDEX(#REF!,MATCH(셀트리온제약!$F127,#REF!,0),MATCH(셀트리온제약!$B127,#REF!,0))</f>
        <v>#REF!</v>
      </c>
      <c r="I127" s="4" t="e">
        <f t="shared" si="13"/>
        <v>#REF!</v>
      </c>
      <c r="J127" s="21" t="e">
        <f t="shared" si="14"/>
        <v>#REF!</v>
      </c>
      <c r="L127" s="10"/>
    </row>
    <row r="128" spans="2:12" hidden="1" x14ac:dyDescent="0.4">
      <c r="B128" s="2" t="s">
        <v>73</v>
      </c>
      <c r="C128" s="3" t="s">
        <v>128</v>
      </c>
      <c r="D128" s="3" t="s">
        <v>129</v>
      </c>
      <c r="E128" s="3" t="s">
        <v>130</v>
      </c>
      <c r="F128" s="3" t="s">
        <v>141</v>
      </c>
      <c r="G128" s="4"/>
      <c r="H128" s="4" t="e">
        <f>INDEX(#REF!,MATCH(셀트리온제약!$F128,#REF!,0),MATCH(셀트리온제약!$B128,#REF!,0))</f>
        <v>#REF!</v>
      </c>
      <c r="I128" s="4" t="e">
        <f t="shared" si="13"/>
        <v>#REF!</v>
      </c>
      <c r="J128" s="21" t="e">
        <f t="shared" si="14"/>
        <v>#REF!</v>
      </c>
      <c r="L128" s="10"/>
    </row>
    <row r="129" spans="2:12" hidden="1" x14ac:dyDescent="0.4">
      <c r="B129" s="2" t="s">
        <v>73</v>
      </c>
      <c r="C129" s="3" t="s">
        <v>128</v>
      </c>
      <c r="D129" s="3" t="s">
        <v>129</v>
      </c>
      <c r="E129" s="3" t="s">
        <v>130</v>
      </c>
      <c r="F129" s="3" t="s">
        <v>142</v>
      </c>
      <c r="G129" s="4"/>
      <c r="H129" s="4" t="e">
        <f>INDEX(#REF!,MATCH(셀트리온제약!$F129,#REF!,0),MATCH(셀트리온제약!$B129,#REF!,0))</f>
        <v>#REF!</v>
      </c>
      <c r="I129" s="4" t="e">
        <f t="shared" si="13"/>
        <v>#REF!</v>
      </c>
      <c r="J129" s="21" t="e">
        <f t="shared" si="14"/>
        <v>#REF!</v>
      </c>
      <c r="L129" s="10"/>
    </row>
    <row r="130" spans="2:12" hidden="1" x14ac:dyDescent="0.4">
      <c r="B130" s="2" t="s">
        <v>73</v>
      </c>
      <c r="C130" s="3" t="s">
        <v>128</v>
      </c>
      <c r="D130" s="3" t="s">
        <v>129</v>
      </c>
      <c r="E130" s="3" t="s">
        <v>130</v>
      </c>
      <c r="F130" s="3" t="s">
        <v>500</v>
      </c>
      <c r="G130" s="4"/>
      <c r="H130" s="4" t="e">
        <f>INDEX(#REF!,MATCH(셀트리온제약!$F130,#REF!,0),MATCH(셀트리온제약!$B130,#REF!,0))</f>
        <v>#REF!</v>
      </c>
      <c r="I130" s="4" t="e">
        <f t="shared" si="13"/>
        <v>#REF!</v>
      </c>
      <c r="J130" s="21" t="e">
        <f t="shared" si="14"/>
        <v>#REF!</v>
      </c>
      <c r="L130" s="10"/>
    </row>
    <row r="131" spans="2:12" hidden="1" x14ac:dyDescent="0.4">
      <c r="B131" s="2" t="s">
        <v>73</v>
      </c>
      <c r="C131" s="3" t="s">
        <v>128</v>
      </c>
      <c r="D131" s="3" t="s">
        <v>129</v>
      </c>
      <c r="E131" s="3" t="s">
        <v>501</v>
      </c>
      <c r="F131" s="3" t="s">
        <v>358</v>
      </c>
      <c r="G131" s="4"/>
      <c r="H131" s="4" t="e">
        <f>INDEX(#REF!,MATCH(셀트리온제약!$F131,#REF!,0),MATCH(셀트리온제약!$B131,#REF!,0))</f>
        <v>#REF!</v>
      </c>
      <c r="I131" s="4" t="e">
        <f t="shared" si="13"/>
        <v>#REF!</v>
      </c>
      <c r="J131" s="21" t="e">
        <f t="shared" si="14"/>
        <v>#REF!</v>
      </c>
      <c r="L131" s="10"/>
    </row>
    <row r="132" spans="2:12" ht="18" hidden="1" thickBot="1" x14ac:dyDescent="0.45">
      <c r="B132" s="12" t="s">
        <v>73</v>
      </c>
      <c r="C132" s="470" t="s">
        <v>128</v>
      </c>
      <c r="D132" s="470" t="s">
        <v>129</v>
      </c>
      <c r="E132" s="470" t="s">
        <v>501</v>
      </c>
      <c r="F132" s="470" t="s">
        <v>362</v>
      </c>
      <c r="G132" s="471"/>
      <c r="H132" s="471" t="e">
        <f>INDEX(#REF!,MATCH(셀트리온제약!$F132,#REF!,0),MATCH(셀트리온제약!$B132,#REF!,0))</f>
        <v>#REF!</v>
      </c>
      <c r="I132" s="471" t="e">
        <f t="shared" si="13"/>
        <v>#REF!</v>
      </c>
      <c r="J132" s="472" t="e">
        <f t="shared" si="14"/>
        <v>#REF!</v>
      </c>
      <c r="L132" s="10"/>
    </row>
    <row r="133" spans="2:12" hidden="1" x14ac:dyDescent="0.4">
      <c r="B133" s="7" t="s">
        <v>161</v>
      </c>
      <c r="C133" s="8" t="s">
        <v>128</v>
      </c>
      <c r="D133" s="8" t="s">
        <v>129</v>
      </c>
      <c r="E133" s="8" t="s">
        <v>310</v>
      </c>
      <c r="F133" s="8" t="s">
        <v>311</v>
      </c>
      <c r="G133" s="9"/>
      <c r="H133" s="9" t="e">
        <f>INDEX(#REF!,MATCH(셀트리온제약!$F133,#REF!,0),MATCH(셀트리온제약!$B133,#REF!,0))</f>
        <v>#REF!</v>
      </c>
      <c r="I133" s="9" t="e">
        <f t="shared" si="13"/>
        <v>#REF!</v>
      </c>
      <c r="J133" s="20" t="e">
        <f>+G133/H133</f>
        <v>#REF!</v>
      </c>
      <c r="L133" s="10"/>
    </row>
    <row r="134" spans="2:12" hidden="1" x14ac:dyDescent="0.4">
      <c r="B134" s="2" t="s">
        <v>161</v>
      </c>
      <c r="C134" s="3" t="s">
        <v>128</v>
      </c>
      <c r="D134" s="3" t="s">
        <v>129</v>
      </c>
      <c r="E134" s="3" t="s">
        <v>310</v>
      </c>
      <c r="F134" s="3" t="s">
        <v>496</v>
      </c>
      <c r="G134" s="11"/>
      <c r="H134" s="11" t="e">
        <f>INDEX(#REF!,MATCH(셀트리온제약!$F134,#REF!,0),MATCH(셀트리온제약!$B134,#REF!,0))</f>
        <v>#REF!</v>
      </c>
      <c r="I134" s="11" t="e">
        <f t="shared" si="13"/>
        <v>#REF!</v>
      </c>
      <c r="J134" s="21" t="e">
        <f t="shared" ref="J134:J154" si="15">+G134/H134</f>
        <v>#REF!</v>
      </c>
      <c r="L134" s="10"/>
    </row>
    <row r="135" spans="2:12" hidden="1" x14ac:dyDescent="0.4">
      <c r="B135" s="2" t="s">
        <v>161</v>
      </c>
      <c r="C135" s="3" t="s">
        <v>128</v>
      </c>
      <c r="D135" s="3" t="s">
        <v>129</v>
      </c>
      <c r="E135" s="3" t="s">
        <v>310</v>
      </c>
      <c r="F135" s="3" t="s">
        <v>84</v>
      </c>
      <c r="G135" s="11"/>
      <c r="H135" s="11" t="e">
        <f>INDEX(#REF!,MATCH(셀트리온제약!$F135,#REF!,0),MATCH(셀트리온제약!$B135,#REF!,0))</f>
        <v>#REF!</v>
      </c>
      <c r="I135" s="11" t="e">
        <f t="shared" si="13"/>
        <v>#REF!</v>
      </c>
      <c r="J135" s="21" t="e">
        <f t="shared" si="15"/>
        <v>#REF!</v>
      </c>
      <c r="L135" s="10"/>
    </row>
    <row r="136" spans="2:12" hidden="1" x14ac:dyDescent="0.4">
      <c r="B136" s="2" t="s">
        <v>161</v>
      </c>
      <c r="C136" s="3" t="s">
        <v>128</v>
      </c>
      <c r="D136" s="3" t="s">
        <v>129</v>
      </c>
      <c r="E136" s="3" t="s">
        <v>338</v>
      </c>
      <c r="F136" s="3" t="s">
        <v>340</v>
      </c>
      <c r="G136" s="11"/>
      <c r="H136" s="11" t="e">
        <f>INDEX(#REF!,MATCH(셀트리온제약!$F136,#REF!,0),MATCH(셀트리온제약!$B136,#REF!,0))</f>
        <v>#REF!</v>
      </c>
      <c r="I136" s="11" t="e">
        <f t="shared" si="13"/>
        <v>#REF!</v>
      </c>
      <c r="J136" s="21" t="e">
        <f t="shared" si="15"/>
        <v>#REF!</v>
      </c>
      <c r="L136" s="10"/>
    </row>
    <row r="137" spans="2:12" hidden="1" x14ac:dyDescent="0.4">
      <c r="B137" s="2" t="s">
        <v>161</v>
      </c>
      <c r="C137" s="3" t="s">
        <v>128</v>
      </c>
      <c r="D137" s="3" t="s">
        <v>129</v>
      </c>
      <c r="E137" s="3" t="s">
        <v>338</v>
      </c>
      <c r="F137" s="3" t="s">
        <v>341</v>
      </c>
      <c r="G137" s="11"/>
      <c r="H137" s="11" t="e">
        <f>INDEX(#REF!,MATCH(셀트리온제약!$F137,#REF!,0),MATCH(셀트리온제약!$B137,#REF!,0))</f>
        <v>#REF!</v>
      </c>
      <c r="I137" s="11" t="e">
        <f t="shared" si="13"/>
        <v>#REF!</v>
      </c>
      <c r="J137" s="21" t="e">
        <f t="shared" si="15"/>
        <v>#REF!</v>
      </c>
      <c r="L137" s="10"/>
    </row>
    <row r="138" spans="2:12" hidden="1" x14ac:dyDescent="0.4">
      <c r="B138" s="2" t="s">
        <v>161</v>
      </c>
      <c r="C138" s="3" t="s">
        <v>128</v>
      </c>
      <c r="D138" s="3" t="s">
        <v>129</v>
      </c>
      <c r="E138" s="3" t="s">
        <v>338</v>
      </c>
      <c r="F138" s="3" t="s">
        <v>346</v>
      </c>
      <c r="G138" s="11"/>
      <c r="H138" s="11" t="e">
        <f>INDEX(#REF!,MATCH(셀트리온제약!$F138,#REF!,0),MATCH(셀트리온제약!$B138,#REF!,0))</f>
        <v>#REF!</v>
      </c>
      <c r="I138" s="11" t="e">
        <f t="shared" si="13"/>
        <v>#REF!</v>
      </c>
      <c r="J138" s="21" t="e">
        <f t="shared" si="15"/>
        <v>#REF!</v>
      </c>
      <c r="L138" s="10"/>
    </row>
    <row r="139" spans="2:12" hidden="1" x14ac:dyDescent="0.4">
      <c r="B139" s="2" t="s">
        <v>161</v>
      </c>
      <c r="C139" s="3" t="s">
        <v>128</v>
      </c>
      <c r="D139" s="3" t="s">
        <v>129</v>
      </c>
      <c r="E139" s="3" t="s">
        <v>338</v>
      </c>
      <c r="F139" s="3" t="s">
        <v>342</v>
      </c>
      <c r="G139" s="4"/>
      <c r="H139" s="4" t="e">
        <f>INDEX(#REF!,MATCH(셀트리온제약!$F139,#REF!,0),MATCH(셀트리온제약!$B139,#REF!,0))</f>
        <v>#REF!</v>
      </c>
      <c r="I139" s="4" t="e">
        <f t="shared" si="13"/>
        <v>#REF!</v>
      </c>
      <c r="J139" s="21" t="e">
        <f t="shared" si="15"/>
        <v>#REF!</v>
      </c>
      <c r="L139" s="10"/>
    </row>
    <row r="140" spans="2:12" hidden="1" x14ac:dyDescent="0.4">
      <c r="B140" s="2" t="s">
        <v>161</v>
      </c>
      <c r="C140" s="3" t="s">
        <v>128</v>
      </c>
      <c r="D140" s="3" t="s">
        <v>129</v>
      </c>
      <c r="E140" s="3" t="s">
        <v>338</v>
      </c>
      <c r="F140" s="3" t="s">
        <v>349</v>
      </c>
      <c r="G140" s="11"/>
      <c r="H140" s="11" t="e">
        <f>INDEX(#REF!,MATCH(셀트리온제약!$F140,#REF!,0),MATCH(셀트리온제약!$B140,#REF!,0))</f>
        <v>#REF!</v>
      </c>
      <c r="I140" s="11" t="e">
        <f t="shared" si="13"/>
        <v>#REF!</v>
      </c>
      <c r="J140" s="21" t="e">
        <f t="shared" si="15"/>
        <v>#REF!</v>
      </c>
      <c r="L140" s="10"/>
    </row>
    <row r="141" spans="2:12" hidden="1" x14ac:dyDescent="0.4">
      <c r="B141" s="2" t="s">
        <v>161</v>
      </c>
      <c r="C141" s="3" t="s">
        <v>128</v>
      </c>
      <c r="D141" s="3" t="s">
        <v>129</v>
      </c>
      <c r="E141" s="3" t="s">
        <v>338</v>
      </c>
      <c r="F141" s="3" t="s">
        <v>497</v>
      </c>
      <c r="G141" s="4"/>
      <c r="H141" s="4" t="e">
        <f>INDEX(#REF!,MATCH(셀트리온제약!$F141,#REF!,0),MATCH(셀트리온제약!$B141,#REF!,0))</f>
        <v>#REF!</v>
      </c>
      <c r="I141" s="4" t="e">
        <f t="shared" si="13"/>
        <v>#REF!</v>
      </c>
      <c r="J141" s="21" t="e">
        <f t="shared" si="15"/>
        <v>#REF!</v>
      </c>
      <c r="L141" s="10"/>
    </row>
    <row r="142" spans="2:12" hidden="1" x14ac:dyDescent="0.4">
      <c r="B142" s="2" t="s">
        <v>161</v>
      </c>
      <c r="C142" s="3" t="s">
        <v>128</v>
      </c>
      <c r="D142" s="3" t="s">
        <v>129</v>
      </c>
      <c r="E142" s="3" t="s">
        <v>320</v>
      </c>
      <c r="F142" s="3" t="s">
        <v>320</v>
      </c>
      <c r="G142" s="4"/>
      <c r="H142" s="4" t="e">
        <f>INDEX(#REF!,MATCH(셀트리온제약!$F142,#REF!,0),MATCH(셀트리온제약!$B142,#REF!,0))</f>
        <v>#REF!</v>
      </c>
      <c r="I142" s="4" t="e">
        <f t="shared" si="13"/>
        <v>#REF!</v>
      </c>
      <c r="J142" s="21" t="e">
        <f t="shared" si="15"/>
        <v>#REF!</v>
      </c>
      <c r="L142" s="10"/>
    </row>
    <row r="143" spans="2:12" hidden="1" x14ac:dyDescent="0.4">
      <c r="B143" s="2" t="s">
        <v>161</v>
      </c>
      <c r="C143" s="3" t="s">
        <v>128</v>
      </c>
      <c r="D143" s="3" t="s">
        <v>129</v>
      </c>
      <c r="E143" s="3" t="s">
        <v>331</v>
      </c>
      <c r="F143" s="3" t="s">
        <v>331</v>
      </c>
      <c r="G143" s="4"/>
      <c r="H143" s="4" t="e">
        <f>INDEX(#REF!,MATCH(셀트리온제약!$F143,#REF!,0),MATCH(셀트리온제약!$B143,#REF!,0))</f>
        <v>#REF!</v>
      </c>
      <c r="I143" s="4" t="e">
        <f t="shared" si="13"/>
        <v>#REF!</v>
      </c>
      <c r="J143" s="21" t="e">
        <f t="shared" si="15"/>
        <v>#REF!</v>
      </c>
      <c r="L143" s="10"/>
    </row>
    <row r="144" spans="2:12" hidden="1" x14ac:dyDescent="0.4">
      <c r="B144" s="2" t="s">
        <v>161</v>
      </c>
      <c r="C144" s="3" t="s">
        <v>128</v>
      </c>
      <c r="D144" s="3" t="s">
        <v>129</v>
      </c>
      <c r="E144" s="3" t="s">
        <v>130</v>
      </c>
      <c r="F144" s="3" t="s">
        <v>131</v>
      </c>
      <c r="G144" s="4"/>
      <c r="H144" s="4" t="e">
        <f>INDEX(#REF!,MATCH(셀트리온제약!$F144,#REF!,0),MATCH(셀트리온제약!$B144,#REF!,0))</f>
        <v>#REF!</v>
      </c>
      <c r="I144" s="4" t="e">
        <f t="shared" si="13"/>
        <v>#REF!</v>
      </c>
      <c r="J144" s="21" t="e">
        <f t="shared" si="15"/>
        <v>#REF!</v>
      </c>
      <c r="L144" s="10"/>
    </row>
    <row r="145" spans="2:10" hidden="1" x14ac:dyDescent="0.4">
      <c r="B145" s="2" t="s">
        <v>161</v>
      </c>
      <c r="C145" s="3" t="s">
        <v>128</v>
      </c>
      <c r="D145" s="3" t="s">
        <v>129</v>
      </c>
      <c r="E145" s="3" t="s">
        <v>130</v>
      </c>
      <c r="F145" s="3" t="s">
        <v>132</v>
      </c>
      <c r="G145" s="4"/>
      <c r="H145" s="4" t="e">
        <f>INDEX(#REF!,MATCH(셀트리온제약!$F145,#REF!,0),MATCH(셀트리온제약!$B145,#REF!,0))</f>
        <v>#REF!</v>
      </c>
      <c r="I145" s="4" t="e">
        <f t="shared" si="13"/>
        <v>#REF!</v>
      </c>
      <c r="J145" s="21" t="e">
        <f t="shared" si="15"/>
        <v>#REF!</v>
      </c>
    </row>
    <row r="146" spans="2:10" hidden="1" x14ac:dyDescent="0.4">
      <c r="B146" s="2" t="s">
        <v>161</v>
      </c>
      <c r="C146" s="3" t="s">
        <v>128</v>
      </c>
      <c r="D146" s="3" t="s">
        <v>129</v>
      </c>
      <c r="E146" s="3" t="s">
        <v>130</v>
      </c>
      <c r="F146" s="3" t="s">
        <v>134</v>
      </c>
      <c r="G146" s="4"/>
      <c r="H146" s="4" t="e">
        <f>INDEX(#REF!,MATCH(셀트리온제약!$F146,#REF!,0),MATCH(셀트리온제약!$B146,#REF!,0))</f>
        <v>#REF!</v>
      </c>
      <c r="I146" s="4" t="e">
        <f t="shared" si="13"/>
        <v>#REF!</v>
      </c>
      <c r="J146" s="21" t="e">
        <f t="shared" si="15"/>
        <v>#REF!</v>
      </c>
    </row>
    <row r="147" spans="2:10" hidden="1" x14ac:dyDescent="0.4">
      <c r="B147" s="2" t="s">
        <v>161</v>
      </c>
      <c r="C147" s="3" t="s">
        <v>128</v>
      </c>
      <c r="D147" s="3" t="s">
        <v>129</v>
      </c>
      <c r="E147" s="3" t="s">
        <v>130</v>
      </c>
      <c r="F147" s="3" t="s">
        <v>135</v>
      </c>
      <c r="G147" s="4"/>
      <c r="H147" s="4" t="e">
        <f>INDEX(#REF!,MATCH(셀트리온제약!$F147,#REF!,0),MATCH(셀트리온제약!$B147,#REF!,0))</f>
        <v>#REF!</v>
      </c>
      <c r="I147" s="4" t="e">
        <f t="shared" si="13"/>
        <v>#REF!</v>
      </c>
      <c r="J147" s="21" t="e">
        <f t="shared" si="15"/>
        <v>#REF!</v>
      </c>
    </row>
    <row r="148" spans="2:10" hidden="1" x14ac:dyDescent="0.4">
      <c r="B148" s="2" t="s">
        <v>161</v>
      </c>
      <c r="C148" s="3" t="s">
        <v>128</v>
      </c>
      <c r="D148" s="3" t="s">
        <v>129</v>
      </c>
      <c r="E148" s="3" t="s">
        <v>130</v>
      </c>
      <c r="F148" s="3" t="s">
        <v>136</v>
      </c>
      <c r="G148" s="4"/>
      <c r="H148" s="4" t="e">
        <f>INDEX(#REF!,MATCH(셀트리온제약!$F148,#REF!,0),MATCH(셀트리온제약!$B148,#REF!,0))</f>
        <v>#REF!</v>
      </c>
      <c r="I148" s="4" t="e">
        <f t="shared" si="13"/>
        <v>#REF!</v>
      </c>
      <c r="J148" s="21" t="e">
        <f t="shared" si="15"/>
        <v>#REF!</v>
      </c>
    </row>
    <row r="149" spans="2:10" hidden="1" x14ac:dyDescent="0.4">
      <c r="B149" s="2" t="s">
        <v>161</v>
      </c>
      <c r="C149" s="3" t="s">
        <v>128</v>
      </c>
      <c r="D149" s="3" t="s">
        <v>129</v>
      </c>
      <c r="E149" s="3" t="s">
        <v>130</v>
      </c>
      <c r="F149" s="3" t="s">
        <v>137</v>
      </c>
      <c r="G149" s="4"/>
      <c r="H149" s="4" t="e">
        <f>INDEX(#REF!,MATCH(셀트리온제약!$F149,#REF!,0),MATCH(셀트리온제약!$B149,#REF!,0))</f>
        <v>#REF!</v>
      </c>
      <c r="I149" s="4" t="e">
        <f t="shared" si="13"/>
        <v>#REF!</v>
      </c>
      <c r="J149" s="21" t="e">
        <f t="shared" si="15"/>
        <v>#REF!</v>
      </c>
    </row>
    <row r="150" spans="2:10" hidden="1" x14ac:dyDescent="0.4">
      <c r="B150" s="2" t="s">
        <v>161</v>
      </c>
      <c r="C150" s="3" t="s">
        <v>128</v>
      </c>
      <c r="D150" s="3" t="s">
        <v>129</v>
      </c>
      <c r="E150" s="3" t="s">
        <v>130</v>
      </c>
      <c r="F150" s="3" t="s">
        <v>141</v>
      </c>
      <c r="G150" s="4"/>
      <c r="H150" s="4" t="e">
        <f>INDEX(#REF!,MATCH(셀트리온제약!$F150,#REF!,0),MATCH(셀트리온제약!$B150,#REF!,0))</f>
        <v>#REF!</v>
      </c>
      <c r="I150" s="4" t="e">
        <f t="shared" si="13"/>
        <v>#REF!</v>
      </c>
      <c r="J150" s="21" t="e">
        <f t="shared" si="15"/>
        <v>#REF!</v>
      </c>
    </row>
    <row r="151" spans="2:10" hidden="1" x14ac:dyDescent="0.4">
      <c r="B151" s="2" t="s">
        <v>161</v>
      </c>
      <c r="C151" s="3" t="s">
        <v>128</v>
      </c>
      <c r="D151" s="3" t="s">
        <v>129</v>
      </c>
      <c r="E151" s="3" t="s">
        <v>130</v>
      </c>
      <c r="F151" s="3" t="s">
        <v>142</v>
      </c>
      <c r="G151" s="4"/>
      <c r="H151" s="4" t="e">
        <f>INDEX(#REF!,MATCH(셀트리온제약!$F151,#REF!,0),MATCH(셀트리온제약!$B151,#REF!,0))</f>
        <v>#REF!</v>
      </c>
      <c r="I151" s="4" t="e">
        <f t="shared" si="13"/>
        <v>#REF!</v>
      </c>
      <c r="J151" s="21" t="e">
        <f t="shared" si="15"/>
        <v>#REF!</v>
      </c>
    </row>
    <row r="152" spans="2:10" hidden="1" x14ac:dyDescent="0.4">
      <c r="B152" s="2" t="s">
        <v>161</v>
      </c>
      <c r="C152" s="3" t="s">
        <v>128</v>
      </c>
      <c r="D152" s="3" t="s">
        <v>129</v>
      </c>
      <c r="E152" s="3" t="s">
        <v>130</v>
      </c>
      <c r="F152" s="3" t="s">
        <v>500</v>
      </c>
      <c r="G152" s="4"/>
      <c r="H152" s="4" t="e">
        <f>INDEX(#REF!,MATCH(셀트리온제약!$F152,#REF!,0),MATCH(셀트리온제약!$B152,#REF!,0))</f>
        <v>#REF!</v>
      </c>
      <c r="I152" s="4" t="e">
        <f t="shared" si="13"/>
        <v>#REF!</v>
      </c>
      <c r="J152" s="21" t="e">
        <f t="shared" si="15"/>
        <v>#REF!</v>
      </c>
    </row>
    <row r="153" spans="2:10" hidden="1" x14ac:dyDescent="0.4">
      <c r="B153" s="2" t="s">
        <v>161</v>
      </c>
      <c r="C153" s="3" t="s">
        <v>128</v>
      </c>
      <c r="D153" s="3" t="s">
        <v>129</v>
      </c>
      <c r="E153" s="3" t="s">
        <v>501</v>
      </c>
      <c r="F153" s="3" t="s">
        <v>358</v>
      </c>
      <c r="G153" s="4"/>
      <c r="H153" s="4" t="e">
        <f>INDEX(#REF!,MATCH(셀트리온제약!$F153,#REF!,0),MATCH(셀트리온제약!$B153,#REF!,0))</f>
        <v>#REF!</v>
      </c>
      <c r="I153" s="4" t="e">
        <f t="shared" si="13"/>
        <v>#REF!</v>
      </c>
      <c r="J153" s="21" t="e">
        <f t="shared" si="15"/>
        <v>#REF!</v>
      </c>
    </row>
    <row r="154" spans="2:10" ht="18" hidden="1" thickBot="1" x14ac:dyDescent="0.45">
      <c r="B154" s="13" t="s">
        <v>161</v>
      </c>
      <c r="C154" s="17" t="s">
        <v>128</v>
      </c>
      <c r="D154" s="17" t="s">
        <v>129</v>
      </c>
      <c r="E154" s="17" t="s">
        <v>501</v>
      </c>
      <c r="F154" s="17" t="s">
        <v>362</v>
      </c>
      <c r="G154" s="6"/>
      <c r="H154" s="6" t="e">
        <f>INDEX(#REF!,MATCH(셀트리온제약!$F154,#REF!,0),MATCH(셀트리온제약!$B154,#REF!,0))</f>
        <v>#REF!</v>
      </c>
      <c r="I154" s="6" t="e">
        <f t="shared" si="13"/>
        <v>#REF!</v>
      </c>
      <c r="J154" s="22" t="e">
        <f t="shared" si="15"/>
        <v>#REF!</v>
      </c>
    </row>
    <row r="155" spans="2:10" hidden="1" x14ac:dyDescent="0.4">
      <c r="B155" s="14" t="s">
        <v>96</v>
      </c>
      <c r="C155" s="16" t="s">
        <v>128</v>
      </c>
      <c r="D155" s="16" t="s">
        <v>129</v>
      </c>
      <c r="E155" s="16" t="s">
        <v>310</v>
      </c>
      <c r="F155" s="16" t="s">
        <v>311</v>
      </c>
      <c r="G155" s="19"/>
      <c r="H155" s="19" t="e">
        <f>INDEX(#REF!,MATCH(셀트리온제약!$F155,#REF!,0),MATCH(셀트리온제약!$B155,#REF!,0))</f>
        <v>#REF!</v>
      </c>
      <c r="I155" s="19" t="e">
        <f t="shared" si="13"/>
        <v>#REF!</v>
      </c>
      <c r="J155" s="23" t="e">
        <f>+G155/H155</f>
        <v>#REF!</v>
      </c>
    </row>
    <row r="156" spans="2:10" hidden="1" x14ac:dyDescent="0.4">
      <c r="B156" s="2" t="s">
        <v>96</v>
      </c>
      <c r="C156" s="3" t="s">
        <v>128</v>
      </c>
      <c r="D156" s="3" t="s">
        <v>129</v>
      </c>
      <c r="E156" s="3" t="s">
        <v>310</v>
      </c>
      <c r="F156" s="3" t="s">
        <v>496</v>
      </c>
      <c r="G156" s="11"/>
      <c r="H156" s="11" t="e">
        <f>INDEX(#REF!,MATCH(셀트리온제약!$F156,#REF!,0),MATCH(셀트리온제약!$B156,#REF!,0))</f>
        <v>#REF!</v>
      </c>
      <c r="I156" s="11" t="e">
        <f t="shared" si="13"/>
        <v>#REF!</v>
      </c>
      <c r="J156" s="21" t="e">
        <f t="shared" ref="J156:J176" si="16">+G156/H156</f>
        <v>#REF!</v>
      </c>
    </row>
    <row r="157" spans="2:10" hidden="1" x14ac:dyDescent="0.4">
      <c r="B157" s="2" t="s">
        <v>96</v>
      </c>
      <c r="C157" s="3" t="s">
        <v>128</v>
      </c>
      <c r="D157" s="3" t="s">
        <v>129</v>
      </c>
      <c r="E157" s="3" t="s">
        <v>310</v>
      </c>
      <c r="F157" s="3" t="s">
        <v>84</v>
      </c>
      <c r="G157" s="11"/>
      <c r="H157" s="11" t="e">
        <f>INDEX(#REF!,MATCH(셀트리온제약!$F157,#REF!,0),MATCH(셀트리온제약!$B157,#REF!,0))</f>
        <v>#REF!</v>
      </c>
      <c r="I157" s="11" t="e">
        <f t="shared" si="13"/>
        <v>#REF!</v>
      </c>
      <c r="J157" s="21" t="e">
        <f t="shared" si="16"/>
        <v>#REF!</v>
      </c>
    </row>
    <row r="158" spans="2:10" hidden="1" x14ac:dyDescent="0.4">
      <c r="B158" s="2" t="s">
        <v>96</v>
      </c>
      <c r="C158" s="3" t="s">
        <v>128</v>
      </c>
      <c r="D158" s="3" t="s">
        <v>129</v>
      </c>
      <c r="E158" s="3" t="s">
        <v>338</v>
      </c>
      <c r="F158" s="3" t="s">
        <v>340</v>
      </c>
      <c r="G158" s="11"/>
      <c r="H158" s="11" t="e">
        <f>INDEX(#REF!,MATCH(셀트리온제약!$F158,#REF!,0),MATCH(셀트리온제약!$B158,#REF!,0))</f>
        <v>#REF!</v>
      </c>
      <c r="I158" s="11" t="e">
        <f t="shared" si="13"/>
        <v>#REF!</v>
      </c>
      <c r="J158" s="21" t="e">
        <f t="shared" si="16"/>
        <v>#REF!</v>
      </c>
    </row>
    <row r="159" spans="2:10" hidden="1" x14ac:dyDescent="0.4">
      <c r="B159" s="2" t="s">
        <v>96</v>
      </c>
      <c r="C159" s="3" t="s">
        <v>128</v>
      </c>
      <c r="D159" s="3" t="s">
        <v>129</v>
      </c>
      <c r="E159" s="3" t="s">
        <v>338</v>
      </c>
      <c r="F159" s="3" t="s">
        <v>341</v>
      </c>
      <c r="G159" s="11"/>
      <c r="H159" s="11" t="e">
        <f>INDEX(#REF!,MATCH(셀트리온제약!$F159,#REF!,0),MATCH(셀트리온제약!$B159,#REF!,0))</f>
        <v>#REF!</v>
      </c>
      <c r="I159" s="11" t="e">
        <f t="shared" si="13"/>
        <v>#REF!</v>
      </c>
      <c r="J159" s="21" t="e">
        <f t="shared" si="16"/>
        <v>#REF!</v>
      </c>
    </row>
    <row r="160" spans="2:10" hidden="1" x14ac:dyDescent="0.4">
      <c r="B160" s="2" t="s">
        <v>96</v>
      </c>
      <c r="C160" s="3" t="s">
        <v>128</v>
      </c>
      <c r="D160" s="3" t="s">
        <v>129</v>
      </c>
      <c r="E160" s="3" t="s">
        <v>338</v>
      </c>
      <c r="F160" s="3" t="s">
        <v>346</v>
      </c>
      <c r="G160" s="11"/>
      <c r="H160" s="11" t="e">
        <f>INDEX(#REF!,MATCH(셀트리온제약!$F160,#REF!,0),MATCH(셀트리온제약!$B160,#REF!,0))</f>
        <v>#REF!</v>
      </c>
      <c r="I160" s="11" t="e">
        <f t="shared" si="13"/>
        <v>#REF!</v>
      </c>
      <c r="J160" s="21" t="e">
        <f t="shared" si="16"/>
        <v>#REF!</v>
      </c>
    </row>
    <row r="161" spans="2:10" hidden="1" x14ac:dyDescent="0.4">
      <c r="B161" s="2" t="s">
        <v>96</v>
      </c>
      <c r="C161" s="3" t="s">
        <v>128</v>
      </c>
      <c r="D161" s="3" t="s">
        <v>129</v>
      </c>
      <c r="E161" s="3" t="s">
        <v>338</v>
      </c>
      <c r="F161" s="3" t="s">
        <v>342</v>
      </c>
      <c r="G161" s="4"/>
      <c r="H161" s="4" t="e">
        <f>INDEX(#REF!,MATCH(셀트리온제약!$F161,#REF!,0),MATCH(셀트리온제약!$B161,#REF!,0))</f>
        <v>#REF!</v>
      </c>
      <c r="I161" s="4" t="e">
        <f t="shared" si="13"/>
        <v>#REF!</v>
      </c>
      <c r="J161" s="21" t="e">
        <f t="shared" si="16"/>
        <v>#REF!</v>
      </c>
    </row>
    <row r="162" spans="2:10" hidden="1" x14ac:dyDescent="0.4">
      <c r="B162" s="2" t="s">
        <v>96</v>
      </c>
      <c r="C162" s="3" t="s">
        <v>128</v>
      </c>
      <c r="D162" s="3" t="s">
        <v>129</v>
      </c>
      <c r="E162" s="3" t="s">
        <v>338</v>
      </c>
      <c r="F162" s="3" t="s">
        <v>349</v>
      </c>
      <c r="G162" s="11"/>
      <c r="H162" s="11" t="e">
        <f>INDEX(#REF!,MATCH(셀트리온제약!$F162,#REF!,0),MATCH(셀트리온제약!$B162,#REF!,0))</f>
        <v>#REF!</v>
      </c>
      <c r="I162" s="11" t="e">
        <f t="shared" si="13"/>
        <v>#REF!</v>
      </c>
      <c r="J162" s="21" t="e">
        <f t="shared" si="16"/>
        <v>#REF!</v>
      </c>
    </row>
    <row r="163" spans="2:10" hidden="1" x14ac:dyDescent="0.4">
      <c r="B163" s="2" t="s">
        <v>96</v>
      </c>
      <c r="C163" s="3" t="s">
        <v>128</v>
      </c>
      <c r="D163" s="3" t="s">
        <v>129</v>
      </c>
      <c r="E163" s="3" t="s">
        <v>338</v>
      </c>
      <c r="F163" s="3" t="s">
        <v>497</v>
      </c>
      <c r="G163" s="4"/>
      <c r="H163" s="4" t="e">
        <f>INDEX(#REF!,MATCH(셀트리온제약!$F163,#REF!,0),MATCH(셀트리온제약!$B163,#REF!,0))</f>
        <v>#REF!</v>
      </c>
      <c r="I163" s="4" t="e">
        <f t="shared" si="13"/>
        <v>#REF!</v>
      </c>
      <c r="J163" s="21" t="e">
        <f t="shared" si="16"/>
        <v>#REF!</v>
      </c>
    </row>
    <row r="164" spans="2:10" hidden="1" x14ac:dyDescent="0.4">
      <c r="B164" s="2" t="s">
        <v>96</v>
      </c>
      <c r="C164" s="3" t="s">
        <v>128</v>
      </c>
      <c r="D164" s="3" t="s">
        <v>129</v>
      </c>
      <c r="E164" s="3" t="s">
        <v>320</v>
      </c>
      <c r="F164" s="3" t="s">
        <v>320</v>
      </c>
      <c r="G164" s="4"/>
      <c r="H164" s="4" t="e">
        <f>INDEX(#REF!,MATCH(셀트리온제약!$F164,#REF!,0),MATCH(셀트리온제약!$B164,#REF!,0))</f>
        <v>#REF!</v>
      </c>
      <c r="I164" s="4" t="e">
        <f t="shared" si="13"/>
        <v>#REF!</v>
      </c>
      <c r="J164" s="21" t="e">
        <f t="shared" si="16"/>
        <v>#REF!</v>
      </c>
    </row>
    <row r="165" spans="2:10" hidden="1" x14ac:dyDescent="0.4">
      <c r="B165" s="2" t="s">
        <v>96</v>
      </c>
      <c r="C165" s="3" t="s">
        <v>128</v>
      </c>
      <c r="D165" s="3" t="s">
        <v>129</v>
      </c>
      <c r="E165" s="3" t="s">
        <v>331</v>
      </c>
      <c r="F165" s="3" t="s">
        <v>331</v>
      </c>
      <c r="G165" s="4"/>
      <c r="H165" s="4" t="e">
        <f>INDEX(#REF!,MATCH(셀트리온제약!$F165,#REF!,0),MATCH(셀트리온제약!$B165,#REF!,0))</f>
        <v>#REF!</v>
      </c>
      <c r="I165" s="4" t="e">
        <f t="shared" si="13"/>
        <v>#REF!</v>
      </c>
      <c r="J165" s="21" t="e">
        <f t="shared" si="16"/>
        <v>#REF!</v>
      </c>
    </row>
    <row r="166" spans="2:10" hidden="1" x14ac:dyDescent="0.4">
      <c r="B166" s="2" t="s">
        <v>96</v>
      </c>
      <c r="C166" s="3" t="s">
        <v>128</v>
      </c>
      <c r="D166" s="3" t="s">
        <v>129</v>
      </c>
      <c r="E166" s="3" t="s">
        <v>130</v>
      </c>
      <c r="F166" s="3" t="s">
        <v>131</v>
      </c>
      <c r="G166" s="4"/>
      <c r="H166" s="4" t="e">
        <f>INDEX(#REF!,MATCH(셀트리온제약!$F166,#REF!,0),MATCH(셀트리온제약!$B166,#REF!,0))</f>
        <v>#REF!</v>
      </c>
      <c r="I166" s="4" t="e">
        <f t="shared" si="13"/>
        <v>#REF!</v>
      </c>
      <c r="J166" s="21" t="e">
        <f t="shared" si="16"/>
        <v>#REF!</v>
      </c>
    </row>
    <row r="167" spans="2:10" hidden="1" x14ac:dyDescent="0.4">
      <c r="B167" s="2" t="s">
        <v>96</v>
      </c>
      <c r="C167" s="3" t="s">
        <v>128</v>
      </c>
      <c r="D167" s="3" t="s">
        <v>129</v>
      </c>
      <c r="E167" s="3" t="s">
        <v>130</v>
      </c>
      <c r="F167" s="3" t="s">
        <v>132</v>
      </c>
      <c r="G167" s="4"/>
      <c r="H167" s="4" t="e">
        <f>INDEX(#REF!,MATCH(셀트리온제약!$F167,#REF!,0),MATCH(셀트리온제약!$B167,#REF!,0))</f>
        <v>#REF!</v>
      </c>
      <c r="I167" s="4" t="e">
        <f t="shared" si="13"/>
        <v>#REF!</v>
      </c>
      <c r="J167" s="21" t="e">
        <f t="shared" si="16"/>
        <v>#REF!</v>
      </c>
    </row>
    <row r="168" spans="2:10" hidden="1" x14ac:dyDescent="0.4">
      <c r="B168" s="2" t="s">
        <v>96</v>
      </c>
      <c r="C168" s="3" t="s">
        <v>128</v>
      </c>
      <c r="D168" s="3" t="s">
        <v>129</v>
      </c>
      <c r="E168" s="3" t="s">
        <v>130</v>
      </c>
      <c r="F168" s="3" t="s">
        <v>134</v>
      </c>
      <c r="G168" s="4"/>
      <c r="H168" s="4" t="e">
        <f>INDEX(#REF!,MATCH(셀트리온제약!$F168,#REF!,0),MATCH(셀트리온제약!$B168,#REF!,0))</f>
        <v>#REF!</v>
      </c>
      <c r="I168" s="4" t="e">
        <f t="shared" si="13"/>
        <v>#REF!</v>
      </c>
      <c r="J168" s="21" t="e">
        <f t="shared" si="16"/>
        <v>#REF!</v>
      </c>
    </row>
    <row r="169" spans="2:10" hidden="1" x14ac:dyDescent="0.4">
      <c r="B169" s="2" t="s">
        <v>96</v>
      </c>
      <c r="C169" s="3" t="s">
        <v>128</v>
      </c>
      <c r="D169" s="3" t="s">
        <v>129</v>
      </c>
      <c r="E169" s="3" t="s">
        <v>130</v>
      </c>
      <c r="F169" s="3" t="s">
        <v>135</v>
      </c>
      <c r="G169" s="4"/>
      <c r="H169" s="4" t="e">
        <f>INDEX(#REF!,MATCH(셀트리온제약!$F169,#REF!,0),MATCH(셀트리온제약!$B169,#REF!,0))</f>
        <v>#REF!</v>
      </c>
      <c r="I169" s="4" t="e">
        <f t="shared" si="13"/>
        <v>#REF!</v>
      </c>
      <c r="J169" s="21" t="e">
        <f t="shared" si="16"/>
        <v>#REF!</v>
      </c>
    </row>
    <row r="170" spans="2:10" hidden="1" x14ac:dyDescent="0.4">
      <c r="B170" s="2" t="s">
        <v>96</v>
      </c>
      <c r="C170" s="3" t="s">
        <v>128</v>
      </c>
      <c r="D170" s="3" t="s">
        <v>129</v>
      </c>
      <c r="E170" s="3" t="s">
        <v>130</v>
      </c>
      <c r="F170" s="3" t="s">
        <v>136</v>
      </c>
      <c r="G170" s="4"/>
      <c r="H170" s="4" t="e">
        <f>INDEX(#REF!,MATCH(셀트리온제약!$F170,#REF!,0),MATCH(셀트리온제약!$B170,#REF!,0))</f>
        <v>#REF!</v>
      </c>
      <c r="I170" s="4" t="e">
        <f t="shared" si="13"/>
        <v>#REF!</v>
      </c>
      <c r="J170" s="21" t="e">
        <f t="shared" si="16"/>
        <v>#REF!</v>
      </c>
    </row>
    <row r="171" spans="2:10" hidden="1" x14ac:dyDescent="0.4">
      <c r="B171" s="2" t="s">
        <v>96</v>
      </c>
      <c r="C171" s="3" t="s">
        <v>128</v>
      </c>
      <c r="D171" s="3" t="s">
        <v>129</v>
      </c>
      <c r="E171" s="3" t="s">
        <v>130</v>
      </c>
      <c r="F171" s="3" t="s">
        <v>137</v>
      </c>
      <c r="G171" s="4"/>
      <c r="H171" s="4" t="e">
        <f>INDEX(#REF!,MATCH(셀트리온제약!$F171,#REF!,0),MATCH(셀트리온제약!$B171,#REF!,0))</f>
        <v>#REF!</v>
      </c>
      <c r="I171" s="4" t="e">
        <f t="shared" si="13"/>
        <v>#REF!</v>
      </c>
      <c r="J171" s="21" t="e">
        <f t="shared" si="16"/>
        <v>#REF!</v>
      </c>
    </row>
    <row r="172" spans="2:10" hidden="1" x14ac:dyDescent="0.4">
      <c r="B172" s="2" t="s">
        <v>96</v>
      </c>
      <c r="C172" s="3" t="s">
        <v>128</v>
      </c>
      <c r="D172" s="3" t="s">
        <v>129</v>
      </c>
      <c r="E172" s="3" t="s">
        <v>130</v>
      </c>
      <c r="F172" s="3" t="s">
        <v>141</v>
      </c>
      <c r="G172" s="4"/>
      <c r="H172" s="4" t="e">
        <f>INDEX(#REF!,MATCH(셀트리온제약!$F172,#REF!,0),MATCH(셀트리온제약!$B172,#REF!,0))</f>
        <v>#REF!</v>
      </c>
      <c r="I172" s="4" t="e">
        <f t="shared" ref="I172:I235" si="17">H172</f>
        <v>#REF!</v>
      </c>
      <c r="J172" s="21" t="e">
        <f t="shared" si="16"/>
        <v>#REF!</v>
      </c>
    </row>
    <row r="173" spans="2:10" hidden="1" x14ac:dyDescent="0.4">
      <c r="B173" s="2" t="s">
        <v>96</v>
      </c>
      <c r="C173" s="3" t="s">
        <v>128</v>
      </c>
      <c r="D173" s="3" t="s">
        <v>129</v>
      </c>
      <c r="E173" s="3" t="s">
        <v>130</v>
      </c>
      <c r="F173" s="3" t="s">
        <v>142</v>
      </c>
      <c r="G173" s="4"/>
      <c r="H173" s="4" t="e">
        <f>INDEX(#REF!,MATCH(셀트리온제약!$F173,#REF!,0),MATCH(셀트리온제약!$B173,#REF!,0))</f>
        <v>#REF!</v>
      </c>
      <c r="I173" s="4" t="e">
        <f t="shared" si="17"/>
        <v>#REF!</v>
      </c>
      <c r="J173" s="21" t="e">
        <f t="shared" si="16"/>
        <v>#REF!</v>
      </c>
    </row>
    <row r="174" spans="2:10" hidden="1" x14ac:dyDescent="0.4">
      <c r="B174" s="2" t="s">
        <v>96</v>
      </c>
      <c r="C174" s="3" t="s">
        <v>128</v>
      </c>
      <c r="D174" s="3" t="s">
        <v>129</v>
      </c>
      <c r="E174" s="3" t="s">
        <v>130</v>
      </c>
      <c r="F174" s="3" t="s">
        <v>500</v>
      </c>
      <c r="G174" s="4"/>
      <c r="H174" s="4" t="e">
        <f>INDEX(#REF!,MATCH(셀트리온제약!$F174,#REF!,0),MATCH(셀트리온제약!$B174,#REF!,0))</f>
        <v>#REF!</v>
      </c>
      <c r="I174" s="4" t="e">
        <f t="shared" si="17"/>
        <v>#REF!</v>
      </c>
      <c r="J174" s="21" t="e">
        <f t="shared" si="16"/>
        <v>#REF!</v>
      </c>
    </row>
    <row r="175" spans="2:10" hidden="1" x14ac:dyDescent="0.4">
      <c r="B175" s="2" t="s">
        <v>96</v>
      </c>
      <c r="C175" s="3" t="s">
        <v>128</v>
      </c>
      <c r="D175" s="3" t="s">
        <v>129</v>
      </c>
      <c r="E175" s="3" t="s">
        <v>501</v>
      </c>
      <c r="F175" s="3" t="s">
        <v>358</v>
      </c>
      <c r="G175" s="4"/>
      <c r="H175" s="4" t="e">
        <f>INDEX(#REF!,MATCH(셀트리온제약!$F175,#REF!,0),MATCH(셀트리온제약!$B175,#REF!,0))</f>
        <v>#REF!</v>
      </c>
      <c r="I175" s="4" t="e">
        <f t="shared" si="17"/>
        <v>#REF!</v>
      </c>
      <c r="J175" s="21" t="e">
        <f t="shared" si="16"/>
        <v>#REF!</v>
      </c>
    </row>
    <row r="176" spans="2:10" ht="18" hidden="1" thickBot="1" x14ac:dyDescent="0.45">
      <c r="B176" s="12" t="s">
        <v>96</v>
      </c>
      <c r="C176" s="470" t="s">
        <v>128</v>
      </c>
      <c r="D176" s="470" t="s">
        <v>129</v>
      </c>
      <c r="E176" s="470" t="s">
        <v>501</v>
      </c>
      <c r="F176" s="470" t="s">
        <v>362</v>
      </c>
      <c r="G176" s="471"/>
      <c r="H176" s="471" t="e">
        <f>INDEX(#REF!,MATCH(셀트리온제약!$F176,#REF!,0),MATCH(셀트리온제약!$B176,#REF!,0))</f>
        <v>#REF!</v>
      </c>
      <c r="I176" s="471" t="e">
        <f t="shared" si="17"/>
        <v>#REF!</v>
      </c>
      <c r="J176" s="472" t="e">
        <f t="shared" si="16"/>
        <v>#REF!</v>
      </c>
    </row>
    <row r="177" spans="2:12" hidden="1" x14ac:dyDescent="0.4">
      <c r="B177" s="7" t="s">
        <v>170</v>
      </c>
      <c r="C177" s="8" t="s">
        <v>128</v>
      </c>
      <c r="D177" s="8" t="s">
        <v>129</v>
      </c>
      <c r="E177" s="8" t="s">
        <v>310</v>
      </c>
      <c r="F177" s="8" t="s">
        <v>311</v>
      </c>
      <c r="G177" s="9"/>
      <c r="H177" s="9" t="e">
        <f>INDEX(#REF!,MATCH(셀트리온제약!$F177,#REF!,0),MATCH(셀트리온제약!$B177,#REF!,0))</f>
        <v>#REF!</v>
      </c>
      <c r="I177" s="9" t="e">
        <f t="shared" si="17"/>
        <v>#REF!</v>
      </c>
      <c r="J177" s="20" t="e">
        <f>+G177/H177</f>
        <v>#REF!</v>
      </c>
    </row>
    <row r="178" spans="2:12" hidden="1" x14ac:dyDescent="0.4">
      <c r="B178" s="2" t="s">
        <v>170</v>
      </c>
      <c r="C178" s="3" t="s">
        <v>128</v>
      </c>
      <c r="D178" s="3" t="s">
        <v>129</v>
      </c>
      <c r="E178" s="3" t="s">
        <v>310</v>
      </c>
      <c r="F178" s="3" t="s">
        <v>496</v>
      </c>
      <c r="G178" s="11"/>
      <c r="H178" s="11" t="e">
        <f>INDEX(#REF!,MATCH(셀트리온제약!$F178,#REF!,0),MATCH(셀트리온제약!$B178,#REF!,0))</f>
        <v>#REF!</v>
      </c>
      <c r="I178" s="11" t="e">
        <f t="shared" si="17"/>
        <v>#REF!</v>
      </c>
      <c r="J178" s="21" t="e">
        <f t="shared" ref="J178:J198" si="18">+G178/H178</f>
        <v>#REF!</v>
      </c>
    </row>
    <row r="179" spans="2:12" hidden="1" x14ac:dyDescent="0.4">
      <c r="B179" s="2" t="s">
        <v>170</v>
      </c>
      <c r="C179" s="3" t="s">
        <v>128</v>
      </c>
      <c r="D179" s="3" t="s">
        <v>129</v>
      </c>
      <c r="E179" s="3" t="s">
        <v>310</v>
      </c>
      <c r="F179" s="3" t="s">
        <v>84</v>
      </c>
      <c r="G179" s="11"/>
      <c r="H179" s="11" t="e">
        <f>INDEX(#REF!,MATCH(셀트리온제약!$F179,#REF!,0),MATCH(셀트리온제약!$B179,#REF!,0))</f>
        <v>#REF!</v>
      </c>
      <c r="I179" s="11" t="e">
        <f t="shared" si="17"/>
        <v>#REF!</v>
      </c>
      <c r="J179" s="21" t="e">
        <f t="shared" si="18"/>
        <v>#REF!</v>
      </c>
    </row>
    <row r="180" spans="2:12" hidden="1" x14ac:dyDescent="0.4">
      <c r="B180" s="2" t="s">
        <v>170</v>
      </c>
      <c r="C180" s="3" t="s">
        <v>128</v>
      </c>
      <c r="D180" s="3" t="s">
        <v>129</v>
      </c>
      <c r="E180" s="3" t="s">
        <v>338</v>
      </c>
      <c r="F180" s="3" t="s">
        <v>340</v>
      </c>
      <c r="G180" s="11"/>
      <c r="H180" s="11" t="e">
        <f>INDEX(#REF!,MATCH(셀트리온제약!$F180,#REF!,0),MATCH(셀트리온제약!$B180,#REF!,0))</f>
        <v>#REF!</v>
      </c>
      <c r="I180" s="11" t="e">
        <f t="shared" si="17"/>
        <v>#REF!</v>
      </c>
      <c r="J180" s="21" t="e">
        <f t="shared" si="18"/>
        <v>#REF!</v>
      </c>
    </row>
    <row r="181" spans="2:12" hidden="1" x14ac:dyDescent="0.4">
      <c r="B181" s="2" t="s">
        <v>170</v>
      </c>
      <c r="C181" s="3" t="s">
        <v>128</v>
      </c>
      <c r="D181" s="3" t="s">
        <v>129</v>
      </c>
      <c r="E181" s="3" t="s">
        <v>338</v>
      </c>
      <c r="F181" s="3" t="s">
        <v>341</v>
      </c>
      <c r="G181" s="11"/>
      <c r="H181" s="11" t="e">
        <f>INDEX(#REF!,MATCH(셀트리온제약!$F181,#REF!,0),MATCH(셀트리온제약!$B181,#REF!,0))</f>
        <v>#REF!</v>
      </c>
      <c r="I181" s="11" t="e">
        <f t="shared" si="17"/>
        <v>#REF!</v>
      </c>
      <c r="J181" s="21" t="e">
        <f t="shared" si="18"/>
        <v>#REF!</v>
      </c>
    </row>
    <row r="182" spans="2:12" hidden="1" x14ac:dyDescent="0.4">
      <c r="B182" s="2" t="s">
        <v>170</v>
      </c>
      <c r="C182" s="3" t="s">
        <v>128</v>
      </c>
      <c r="D182" s="3" t="s">
        <v>129</v>
      </c>
      <c r="E182" s="3" t="s">
        <v>338</v>
      </c>
      <c r="F182" s="3" t="s">
        <v>346</v>
      </c>
      <c r="G182" s="11"/>
      <c r="H182" s="11" t="e">
        <f>INDEX(#REF!,MATCH(셀트리온제약!$F182,#REF!,0),MATCH(셀트리온제약!$B182,#REF!,0))</f>
        <v>#REF!</v>
      </c>
      <c r="I182" s="11" t="e">
        <f t="shared" si="17"/>
        <v>#REF!</v>
      </c>
      <c r="J182" s="21" t="e">
        <f t="shared" si="18"/>
        <v>#REF!</v>
      </c>
    </row>
    <row r="183" spans="2:12" hidden="1" x14ac:dyDescent="0.4">
      <c r="B183" s="2" t="s">
        <v>170</v>
      </c>
      <c r="C183" s="3" t="s">
        <v>128</v>
      </c>
      <c r="D183" s="3" t="s">
        <v>129</v>
      </c>
      <c r="E183" s="3" t="s">
        <v>338</v>
      </c>
      <c r="F183" s="3" t="s">
        <v>342</v>
      </c>
      <c r="G183" s="4"/>
      <c r="H183" s="4" t="e">
        <f>INDEX(#REF!,MATCH(셀트리온제약!$F183,#REF!,0),MATCH(셀트리온제약!$B183,#REF!,0))</f>
        <v>#REF!</v>
      </c>
      <c r="I183" s="4" t="e">
        <f t="shared" si="17"/>
        <v>#REF!</v>
      </c>
      <c r="J183" s="21" t="e">
        <f t="shared" si="18"/>
        <v>#REF!</v>
      </c>
    </row>
    <row r="184" spans="2:12" hidden="1" x14ac:dyDescent="0.4">
      <c r="B184" s="2" t="s">
        <v>170</v>
      </c>
      <c r="C184" s="3" t="s">
        <v>128</v>
      </c>
      <c r="D184" s="3" t="s">
        <v>129</v>
      </c>
      <c r="E184" s="3" t="s">
        <v>338</v>
      </c>
      <c r="F184" s="3" t="s">
        <v>349</v>
      </c>
      <c r="G184" s="11"/>
      <c r="H184" s="11" t="e">
        <f>INDEX(#REF!,MATCH(셀트리온제약!$F184,#REF!,0),MATCH(셀트리온제약!$B184,#REF!,0))</f>
        <v>#REF!</v>
      </c>
      <c r="I184" s="11" t="e">
        <f t="shared" si="17"/>
        <v>#REF!</v>
      </c>
      <c r="J184" s="21" t="e">
        <f t="shared" si="18"/>
        <v>#REF!</v>
      </c>
    </row>
    <row r="185" spans="2:12" hidden="1" x14ac:dyDescent="0.4">
      <c r="B185" s="2" t="s">
        <v>170</v>
      </c>
      <c r="C185" s="3" t="s">
        <v>128</v>
      </c>
      <c r="D185" s="3" t="s">
        <v>129</v>
      </c>
      <c r="E185" s="3" t="s">
        <v>338</v>
      </c>
      <c r="F185" s="3" t="s">
        <v>497</v>
      </c>
      <c r="G185" s="4"/>
      <c r="H185" s="4" t="e">
        <f>INDEX(#REF!,MATCH(셀트리온제약!$F185,#REF!,0),MATCH(셀트리온제약!$B185,#REF!,0))</f>
        <v>#REF!</v>
      </c>
      <c r="I185" s="4" t="e">
        <f t="shared" si="17"/>
        <v>#REF!</v>
      </c>
      <c r="J185" s="21" t="e">
        <f t="shared" si="18"/>
        <v>#REF!</v>
      </c>
      <c r="L185" s="18"/>
    </row>
    <row r="186" spans="2:12" hidden="1" x14ac:dyDescent="0.4">
      <c r="B186" s="2" t="s">
        <v>170</v>
      </c>
      <c r="C186" s="3" t="s">
        <v>128</v>
      </c>
      <c r="D186" s="3" t="s">
        <v>129</v>
      </c>
      <c r="E186" s="3" t="s">
        <v>320</v>
      </c>
      <c r="F186" s="3" t="s">
        <v>320</v>
      </c>
      <c r="G186" s="4"/>
      <c r="H186" s="4" t="e">
        <f>INDEX(#REF!,MATCH(셀트리온제약!$F186,#REF!,0),MATCH(셀트리온제약!$B186,#REF!,0))</f>
        <v>#REF!</v>
      </c>
      <c r="I186" s="4" t="e">
        <f t="shared" si="17"/>
        <v>#REF!</v>
      </c>
      <c r="J186" s="21" t="e">
        <f t="shared" si="18"/>
        <v>#REF!</v>
      </c>
    </row>
    <row r="187" spans="2:12" hidden="1" x14ac:dyDescent="0.4">
      <c r="B187" s="2" t="s">
        <v>170</v>
      </c>
      <c r="C187" s="3" t="s">
        <v>128</v>
      </c>
      <c r="D187" s="3" t="s">
        <v>129</v>
      </c>
      <c r="E187" s="3" t="s">
        <v>331</v>
      </c>
      <c r="F187" s="3" t="s">
        <v>331</v>
      </c>
      <c r="G187" s="4"/>
      <c r="H187" s="4" t="e">
        <f>INDEX(#REF!,MATCH(셀트리온제약!$F187,#REF!,0),MATCH(셀트리온제약!$B187,#REF!,0))</f>
        <v>#REF!</v>
      </c>
      <c r="I187" s="4" t="e">
        <f t="shared" si="17"/>
        <v>#REF!</v>
      </c>
      <c r="J187" s="21" t="e">
        <f t="shared" si="18"/>
        <v>#REF!</v>
      </c>
    </row>
    <row r="188" spans="2:12" hidden="1" x14ac:dyDescent="0.4">
      <c r="B188" s="2" t="s">
        <v>170</v>
      </c>
      <c r="C188" s="3" t="s">
        <v>128</v>
      </c>
      <c r="D188" s="3" t="s">
        <v>129</v>
      </c>
      <c r="E188" s="3" t="s">
        <v>130</v>
      </c>
      <c r="F188" s="3" t="s">
        <v>131</v>
      </c>
      <c r="G188" s="4"/>
      <c r="H188" s="4" t="e">
        <f>INDEX(#REF!,MATCH(셀트리온제약!$F188,#REF!,0),MATCH(셀트리온제약!$B188,#REF!,0))</f>
        <v>#REF!</v>
      </c>
      <c r="I188" s="4" t="e">
        <f t="shared" si="17"/>
        <v>#REF!</v>
      </c>
      <c r="J188" s="21" t="e">
        <f t="shared" si="18"/>
        <v>#REF!</v>
      </c>
    </row>
    <row r="189" spans="2:12" hidden="1" x14ac:dyDescent="0.4">
      <c r="B189" s="2" t="s">
        <v>170</v>
      </c>
      <c r="C189" s="3" t="s">
        <v>128</v>
      </c>
      <c r="D189" s="3" t="s">
        <v>129</v>
      </c>
      <c r="E189" s="3" t="s">
        <v>130</v>
      </c>
      <c r="F189" s="3" t="s">
        <v>132</v>
      </c>
      <c r="G189" s="4"/>
      <c r="H189" s="4" t="e">
        <f>INDEX(#REF!,MATCH(셀트리온제약!$F189,#REF!,0),MATCH(셀트리온제약!$B189,#REF!,0))</f>
        <v>#REF!</v>
      </c>
      <c r="I189" s="4" t="e">
        <f t="shared" si="17"/>
        <v>#REF!</v>
      </c>
      <c r="J189" s="21" t="e">
        <f t="shared" si="18"/>
        <v>#REF!</v>
      </c>
    </row>
    <row r="190" spans="2:12" hidden="1" x14ac:dyDescent="0.4">
      <c r="B190" s="2" t="s">
        <v>170</v>
      </c>
      <c r="C190" s="3" t="s">
        <v>128</v>
      </c>
      <c r="D190" s="3" t="s">
        <v>129</v>
      </c>
      <c r="E190" s="3" t="s">
        <v>130</v>
      </c>
      <c r="F190" s="3" t="s">
        <v>134</v>
      </c>
      <c r="G190" s="4"/>
      <c r="H190" s="4" t="e">
        <f>INDEX(#REF!,MATCH(셀트리온제약!$F190,#REF!,0),MATCH(셀트리온제약!$B190,#REF!,0))</f>
        <v>#REF!</v>
      </c>
      <c r="I190" s="4" t="e">
        <f t="shared" si="17"/>
        <v>#REF!</v>
      </c>
      <c r="J190" s="21" t="e">
        <f t="shared" si="18"/>
        <v>#REF!</v>
      </c>
    </row>
    <row r="191" spans="2:12" hidden="1" x14ac:dyDescent="0.4">
      <c r="B191" s="2" t="s">
        <v>170</v>
      </c>
      <c r="C191" s="3" t="s">
        <v>128</v>
      </c>
      <c r="D191" s="3" t="s">
        <v>129</v>
      </c>
      <c r="E191" s="3" t="s">
        <v>130</v>
      </c>
      <c r="F191" s="3" t="s">
        <v>135</v>
      </c>
      <c r="G191" s="4"/>
      <c r="H191" s="4" t="e">
        <f>INDEX(#REF!,MATCH(셀트리온제약!$F191,#REF!,0),MATCH(셀트리온제약!$B191,#REF!,0))</f>
        <v>#REF!</v>
      </c>
      <c r="I191" s="4" t="e">
        <f t="shared" si="17"/>
        <v>#REF!</v>
      </c>
      <c r="J191" s="21" t="e">
        <f t="shared" si="18"/>
        <v>#REF!</v>
      </c>
    </row>
    <row r="192" spans="2:12" hidden="1" x14ac:dyDescent="0.4">
      <c r="B192" s="2" t="s">
        <v>170</v>
      </c>
      <c r="C192" s="3" t="s">
        <v>128</v>
      </c>
      <c r="D192" s="3" t="s">
        <v>129</v>
      </c>
      <c r="E192" s="3" t="s">
        <v>130</v>
      </c>
      <c r="F192" s="3" t="s">
        <v>136</v>
      </c>
      <c r="G192" s="4"/>
      <c r="H192" s="4" t="e">
        <f>INDEX(#REF!,MATCH(셀트리온제약!$F192,#REF!,0),MATCH(셀트리온제약!$B192,#REF!,0))</f>
        <v>#REF!</v>
      </c>
      <c r="I192" s="4" t="e">
        <f t="shared" si="17"/>
        <v>#REF!</v>
      </c>
      <c r="J192" s="21" t="e">
        <f t="shared" si="18"/>
        <v>#REF!</v>
      </c>
    </row>
    <row r="193" spans="2:10" hidden="1" x14ac:dyDescent="0.4">
      <c r="B193" s="2" t="s">
        <v>170</v>
      </c>
      <c r="C193" s="3" t="s">
        <v>128</v>
      </c>
      <c r="D193" s="3" t="s">
        <v>129</v>
      </c>
      <c r="E193" s="3" t="s">
        <v>130</v>
      </c>
      <c r="F193" s="3" t="s">
        <v>137</v>
      </c>
      <c r="G193" s="4"/>
      <c r="H193" s="4" t="e">
        <f>INDEX(#REF!,MATCH(셀트리온제약!$F193,#REF!,0),MATCH(셀트리온제약!$B193,#REF!,0))</f>
        <v>#REF!</v>
      </c>
      <c r="I193" s="4" t="e">
        <f t="shared" si="17"/>
        <v>#REF!</v>
      </c>
      <c r="J193" s="21" t="e">
        <f t="shared" si="18"/>
        <v>#REF!</v>
      </c>
    </row>
    <row r="194" spans="2:10" hidden="1" x14ac:dyDescent="0.4">
      <c r="B194" s="2" t="s">
        <v>170</v>
      </c>
      <c r="C194" s="3" t="s">
        <v>128</v>
      </c>
      <c r="D194" s="3" t="s">
        <v>129</v>
      </c>
      <c r="E194" s="3" t="s">
        <v>130</v>
      </c>
      <c r="F194" s="3" t="s">
        <v>141</v>
      </c>
      <c r="G194" s="4"/>
      <c r="H194" s="4" t="e">
        <f>INDEX(#REF!,MATCH(셀트리온제약!$F194,#REF!,0),MATCH(셀트리온제약!$B194,#REF!,0))</f>
        <v>#REF!</v>
      </c>
      <c r="I194" s="4" t="e">
        <f t="shared" si="17"/>
        <v>#REF!</v>
      </c>
      <c r="J194" s="21" t="e">
        <f t="shared" si="18"/>
        <v>#REF!</v>
      </c>
    </row>
    <row r="195" spans="2:10" hidden="1" x14ac:dyDescent="0.4">
      <c r="B195" s="2" t="s">
        <v>170</v>
      </c>
      <c r="C195" s="3" t="s">
        <v>128</v>
      </c>
      <c r="D195" s="3" t="s">
        <v>129</v>
      </c>
      <c r="E195" s="3" t="s">
        <v>130</v>
      </c>
      <c r="F195" s="3" t="s">
        <v>142</v>
      </c>
      <c r="G195" s="4"/>
      <c r="H195" s="4" t="e">
        <f>INDEX(#REF!,MATCH(셀트리온제약!$F195,#REF!,0),MATCH(셀트리온제약!$B195,#REF!,0))</f>
        <v>#REF!</v>
      </c>
      <c r="I195" s="4" t="e">
        <f t="shared" si="17"/>
        <v>#REF!</v>
      </c>
      <c r="J195" s="21" t="e">
        <f t="shared" si="18"/>
        <v>#REF!</v>
      </c>
    </row>
    <row r="196" spans="2:10" hidden="1" x14ac:dyDescent="0.4">
      <c r="B196" s="2" t="s">
        <v>170</v>
      </c>
      <c r="C196" s="3" t="s">
        <v>128</v>
      </c>
      <c r="D196" s="3" t="s">
        <v>129</v>
      </c>
      <c r="E196" s="3" t="s">
        <v>130</v>
      </c>
      <c r="F196" s="3" t="s">
        <v>500</v>
      </c>
      <c r="G196" s="4"/>
      <c r="H196" s="4" t="e">
        <f>INDEX(#REF!,MATCH(셀트리온제약!$F196,#REF!,0),MATCH(셀트리온제약!$B196,#REF!,0))</f>
        <v>#REF!</v>
      </c>
      <c r="I196" s="4" t="e">
        <f t="shared" si="17"/>
        <v>#REF!</v>
      </c>
      <c r="J196" s="21" t="e">
        <f t="shared" si="18"/>
        <v>#REF!</v>
      </c>
    </row>
    <row r="197" spans="2:10" hidden="1" x14ac:dyDescent="0.4">
      <c r="B197" s="2" t="s">
        <v>170</v>
      </c>
      <c r="C197" s="3" t="s">
        <v>128</v>
      </c>
      <c r="D197" s="3" t="s">
        <v>129</v>
      </c>
      <c r="E197" s="3" t="s">
        <v>501</v>
      </c>
      <c r="F197" s="3" t="s">
        <v>358</v>
      </c>
      <c r="G197" s="4"/>
      <c r="H197" s="4" t="e">
        <f>INDEX(#REF!,MATCH(셀트리온제약!$F197,#REF!,0),MATCH(셀트리온제약!$B197,#REF!,0))</f>
        <v>#REF!</v>
      </c>
      <c r="I197" s="4" t="e">
        <f t="shared" si="17"/>
        <v>#REF!</v>
      </c>
      <c r="J197" s="21" t="e">
        <f t="shared" si="18"/>
        <v>#REF!</v>
      </c>
    </row>
    <row r="198" spans="2:10" ht="18" hidden="1" thickBot="1" x14ac:dyDescent="0.45">
      <c r="B198" s="13" t="s">
        <v>170</v>
      </c>
      <c r="C198" s="17" t="s">
        <v>128</v>
      </c>
      <c r="D198" s="17" t="s">
        <v>129</v>
      </c>
      <c r="E198" s="17" t="s">
        <v>501</v>
      </c>
      <c r="F198" s="17" t="s">
        <v>362</v>
      </c>
      <c r="G198" s="6"/>
      <c r="H198" s="6" t="e">
        <f>INDEX(#REF!,MATCH(셀트리온제약!$F198,#REF!,0),MATCH(셀트리온제약!$B198,#REF!,0))</f>
        <v>#REF!</v>
      </c>
      <c r="I198" s="6" t="e">
        <f t="shared" si="17"/>
        <v>#REF!</v>
      </c>
      <c r="J198" s="22" t="e">
        <f t="shared" si="18"/>
        <v>#REF!</v>
      </c>
    </row>
    <row r="199" spans="2:10" hidden="1" x14ac:dyDescent="0.4">
      <c r="B199" s="14" t="s">
        <v>138</v>
      </c>
      <c r="C199" s="16" t="s">
        <v>128</v>
      </c>
      <c r="D199" s="16" t="s">
        <v>129</v>
      </c>
      <c r="E199" s="16" t="s">
        <v>310</v>
      </c>
      <c r="F199" s="16" t="s">
        <v>311</v>
      </c>
      <c r="G199" s="19"/>
      <c r="H199" s="19" t="e">
        <f>INDEX(#REF!,MATCH(셀트리온제약!$F199,#REF!,0),MATCH(셀트리온제약!$B199,#REF!,0))</f>
        <v>#REF!</v>
      </c>
      <c r="I199" s="19" t="e">
        <f t="shared" si="17"/>
        <v>#REF!</v>
      </c>
      <c r="J199" s="23" t="e">
        <f>+G199/H199</f>
        <v>#REF!</v>
      </c>
    </row>
    <row r="200" spans="2:10" hidden="1" x14ac:dyDescent="0.4">
      <c r="B200" s="2" t="s">
        <v>138</v>
      </c>
      <c r="C200" s="3" t="s">
        <v>128</v>
      </c>
      <c r="D200" s="3" t="s">
        <v>129</v>
      </c>
      <c r="E200" s="3" t="s">
        <v>310</v>
      </c>
      <c r="F200" s="3" t="s">
        <v>496</v>
      </c>
      <c r="G200" s="11"/>
      <c r="H200" s="11" t="e">
        <f>INDEX(#REF!,MATCH(셀트리온제약!$F200,#REF!,0),MATCH(셀트리온제약!$B200,#REF!,0))</f>
        <v>#REF!</v>
      </c>
      <c r="I200" s="11" t="e">
        <f t="shared" si="17"/>
        <v>#REF!</v>
      </c>
      <c r="J200" s="21" t="e">
        <f t="shared" ref="J200:J220" si="19">+G200/H200</f>
        <v>#REF!</v>
      </c>
    </row>
    <row r="201" spans="2:10" hidden="1" x14ac:dyDescent="0.4">
      <c r="B201" s="2" t="s">
        <v>138</v>
      </c>
      <c r="C201" s="3" t="s">
        <v>128</v>
      </c>
      <c r="D201" s="3" t="s">
        <v>129</v>
      </c>
      <c r="E201" s="3" t="s">
        <v>310</v>
      </c>
      <c r="F201" s="3" t="s">
        <v>84</v>
      </c>
      <c r="G201" s="11"/>
      <c r="H201" s="11" t="e">
        <f>INDEX(#REF!,MATCH(셀트리온제약!$F201,#REF!,0),MATCH(셀트리온제약!$B201,#REF!,0))</f>
        <v>#REF!</v>
      </c>
      <c r="I201" s="11" t="e">
        <f t="shared" si="17"/>
        <v>#REF!</v>
      </c>
      <c r="J201" s="21" t="e">
        <f t="shared" si="19"/>
        <v>#REF!</v>
      </c>
    </row>
    <row r="202" spans="2:10" hidden="1" x14ac:dyDescent="0.4">
      <c r="B202" s="2" t="s">
        <v>138</v>
      </c>
      <c r="C202" s="3" t="s">
        <v>128</v>
      </c>
      <c r="D202" s="3" t="s">
        <v>129</v>
      </c>
      <c r="E202" s="3" t="s">
        <v>338</v>
      </c>
      <c r="F202" s="3" t="s">
        <v>340</v>
      </c>
      <c r="G202" s="11"/>
      <c r="H202" s="11" t="e">
        <f>INDEX(#REF!,MATCH(셀트리온제약!$F202,#REF!,0),MATCH(셀트리온제약!$B202,#REF!,0))</f>
        <v>#REF!</v>
      </c>
      <c r="I202" s="11" t="e">
        <f t="shared" si="17"/>
        <v>#REF!</v>
      </c>
      <c r="J202" s="21" t="e">
        <f t="shared" si="19"/>
        <v>#REF!</v>
      </c>
    </row>
    <row r="203" spans="2:10" hidden="1" x14ac:dyDescent="0.4">
      <c r="B203" s="2" t="s">
        <v>138</v>
      </c>
      <c r="C203" s="3" t="s">
        <v>128</v>
      </c>
      <c r="D203" s="3" t="s">
        <v>129</v>
      </c>
      <c r="E203" s="3" t="s">
        <v>338</v>
      </c>
      <c r="F203" s="3" t="s">
        <v>341</v>
      </c>
      <c r="G203" s="11"/>
      <c r="H203" s="11" t="e">
        <f>INDEX(#REF!,MATCH(셀트리온제약!$F203,#REF!,0),MATCH(셀트리온제약!$B203,#REF!,0))</f>
        <v>#REF!</v>
      </c>
      <c r="I203" s="11" t="e">
        <f t="shared" si="17"/>
        <v>#REF!</v>
      </c>
      <c r="J203" s="21" t="e">
        <f t="shared" si="19"/>
        <v>#REF!</v>
      </c>
    </row>
    <row r="204" spans="2:10" hidden="1" x14ac:dyDescent="0.4">
      <c r="B204" s="2" t="s">
        <v>138</v>
      </c>
      <c r="C204" s="3" t="s">
        <v>128</v>
      </c>
      <c r="D204" s="3" t="s">
        <v>129</v>
      </c>
      <c r="E204" s="3" t="s">
        <v>338</v>
      </c>
      <c r="F204" s="3" t="s">
        <v>346</v>
      </c>
      <c r="G204" s="11"/>
      <c r="H204" s="11" t="e">
        <f>INDEX(#REF!,MATCH(셀트리온제약!$F204,#REF!,0),MATCH(셀트리온제약!$B204,#REF!,0))</f>
        <v>#REF!</v>
      </c>
      <c r="I204" s="11" t="e">
        <f t="shared" si="17"/>
        <v>#REF!</v>
      </c>
      <c r="J204" s="21" t="e">
        <f t="shared" si="19"/>
        <v>#REF!</v>
      </c>
    </row>
    <row r="205" spans="2:10" hidden="1" x14ac:dyDescent="0.4">
      <c r="B205" s="2" t="s">
        <v>138</v>
      </c>
      <c r="C205" s="3" t="s">
        <v>128</v>
      </c>
      <c r="D205" s="3" t="s">
        <v>129</v>
      </c>
      <c r="E205" s="3" t="s">
        <v>338</v>
      </c>
      <c r="F205" s="3" t="s">
        <v>342</v>
      </c>
      <c r="G205" s="4"/>
      <c r="H205" s="4" t="e">
        <f>INDEX(#REF!,MATCH(셀트리온제약!$F205,#REF!,0),MATCH(셀트리온제약!$B205,#REF!,0))</f>
        <v>#REF!</v>
      </c>
      <c r="I205" s="4" t="e">
        <f t="shared" si="17"/>
        <v>#REF!</v>
      </c>
      <c r="J205" s="21" t="e">
        <f t="shared" si="19"/>
        <v>#REF!</v>
      </c>
    </row>
    <row r="206" spans="2:10" hidden="1" x14ac:dyDescent="0.4">
      <c r="B206" s="2" t="s">
        <v>138</v>
      </c>
      <c r="C206" s="3" t="s">
        <v>128</v>
      </c>
      <c r="D206" s="3" t="s">
        <v>129</v>
      </c>
      <c r="E206" s="3" t="s">
        <v>338</v>
      </c>
      <c r="F206" s="3" t="s">
        <v>349</v>
      </c>
      <c r="G206" s="11"/>
      <c r="H206" s="11" t="e">
        <f>INDEX(#REF!,MATCH(셀트리온제약!$F206,#REF!,0),MATCH(셀트리온제약!$B206,#REF!,0))</f>
        <v>#REF!</v>
      </c>
      <c r="I206" s="11" t="e">
        <f t="shared" si="17"/>
        <v>#REF!</v>
      </c>
      <c r="J206" s="21" t="e">
        <f t="shared" si="19"/>
        <v>#REF!</v>
      </c>
    </row>
    <row r="207" spans="2:10" hidden="1" x14ac:dyDescent="0.4">
      <c r="B207" s="2" t="s">
        <v>138</v>
      </c>
      <c r="C207" s="3" t="s">
        <v>128</v>
      </c>
      <c r="D207" s="3" t="s">
        <v>129</v>
      </c>
      <c r="E207" s="3" t="s">
        <v>338</v>
      </c>
      <c r="F207" s="3" t="s">
        <v>497</v>
      </c>
      <c r="G207" s="4"/>
      <c r="H207" s="4" t="e">
        <f>INDEX(#REF!,MATCH(셀트리온제약!$F207,#REF!,0),MATCH(셀트리온제약!$B207,#REF!,0))</f>
        <v>#REF!</v>
      </c>
      <c r="I207" s="4" t="e">
        <f t="shared" si="17"/>
        <v>#REF!</v>
      </c>
      <c r="J207" s="21" t="e">
        <f t="shared" si="19"/>
        <v>#REF!</v>
      </c>
    </row>
    <row r="208" spans="2:10" hidden="1" x14ac:dyDescent="0.4">
      <c r="B208" s="2" t="s">
        <v>138</v>
      </c>
      <c r="C208" s="3" t="s">
        <v>128</v>
      </c>
      <c r="D208" s="3" t="s">
        <v>129</v>
      </c>
      <c r="E208" s="3" t="s">
        <v>320</v>
      </c>
      <c r="F208" s="3" t="s">
        <v>320</v>
      </c>
      <c r="G208" s="4"/>
      <c r="H208" s="4" t="e">
        <f>INDEX(#REF!,MATCH(셀트리온제약!$F208,#REF!,0),MATCH(셀트리온제약!$B208,#REF!,0))</f>
        <v>#REF!</v>
      </c>
      <c r="I208" s="4" t="e">
        <f t="shared" si="17"/>
        <v>#REF!</v>
      </c>
      <c r="J208" s="21" t="e">
        <f t="shared" si="19"/>
        <v>#REF!</v>
      </c>
    </row>
    <row r="209" spans="2:10" hidden="1" x14ac:dyDescent="0.4">
      <c r="B209" s="2" t="s">
        <v>138</v>
      </c>
      <c r="C209" s="3" t="s">
        <v>128</v>
      </c>
      <c r="D209" s="3" t="s">
        <v>129</v>
      </c>
      <c r="E209" s="3" t="s">
        <v>331</v>
      </c>
      <c r="F209" s="3" t="s">
        <v>331</v>
      </c>
      <c r="G209" s="4"/>
      <c r="H209" s="4" t="e">
        <f>INDEX(#REF!,MATCH(셀트리온제약!$F209,#REF!,0),MATCH(셀트리온제약!$B209,#REF!,0))</f>
        <v>#REF!</v>
      </c>
      <c r="I209" s="4" t="e">
        <f t="shared" si="17"/>
        <v>#REF!</v>
      </c>
      <c r="J209" s="21" t="e">
        <f t="shared" si="19"/>
        <v>#REF!</v>
      </c>
    </row>
    <row r="210" spans="2:10" hidden="1" x14ac:dyDescent="0.4">
      <c r="B210" s="2" t="s">
        <v>138</v>
      </c>
      <c r="C210" s="3" t="s">
        <v>128</v>
      </c>
      <c r="D210" s="3" t="s">
        <v>129</v>
      </c>
      <c r="E210" s="3" t="s">
        <v>130</v>
      </c>
      <c r="F210" s="3" t="s">
        <v>131</v>
      </c>
      <c r="G210" s="4"/>
      <c r="H210" s="4" t="e">
        <f>INDEX(#REF!,MATCH(셀트리온제약!$F210,#REF!,0),MATCH(셀트리온제약!$B210,#REF!,0))</f>
        <v>#REF!</v>
      </c>
      <c r="I210" s="4" t="e">
        <f t="shared" si="17"/>
        <v>#REF!</v>
      </c>
      <c r="J210" s="21" t="e">
        <f t="shared" si="19"/>
        <v>#REF!</v>
      </c>
    </row>
    <row r="211" spans="2:10" hidden="1" x14ac:dyDescent="0.4">
      <c r="B211" s="2" t="s">
        <v>138</v>
      </c>
      <c r="C211" s="3" t="s">
        <v>128</v>
      </c>
      <c r="D211" s="3" t="s">
        <v>129</v>
      </c>
      <c r="E211" s="3" t="s">
        <v>130</v>
      </c>
      <c r="F211" s="3" t="s">
        <v>132</v>
      </c>
      <c r="G211" s="4"/>
      <c r="H211" s="4" t="e">
        <f>INDEX(#REF!,MATCH(셀트리온제약!$F211,#REF!,0),MATCH(셀트리온제약!$B211,#REF!,0))</f>
        <v>#REF!</v>
      </c>
      <c r="I211" s="4" t="e">
        <f t="shared" si="17"/>
        <v>#REF!</v>
      </c>
      <c r="J211" s="21" t="e">
        <f t="shared" si="19"/>
        <v>#REF!</v>
      </c>
    </row>
    <row r="212" spans="2:10" hidden="1" x14ac:dyDescent="0.4">
      <c r="B212" s="2" t="s">
        <v>138</v>
      </c>
      <c r="C212" s="3" t="s">
        <v>128</v>
      </c>
      <c r="D212" s="3" t="s">
        <v>129</v>
      </c>
      <c r="E212" s="3" t="s">
        <v>130</v>
      </c>
      <c r="F212" s="3" t="s">
        <v>134</v>
      </c>
      <c r="G212" s="4"/>
      <c r="H212" s="4" t="e">
        <f>INDEX(#REF!,MATCH(셀트리온제약!$F212,#REF!,0),MATCH(셀트리온제약!$B212,#REF!,0))</f>
        <v>#REF!</v>
      </c>
      <c r="I212" s="4" t="e">
        <f t="shared" si="17"/>
        <v>#REF!</v>
      </c>
      <c r="J212" s="21" t="e">
        <f t="shared" si="19"/>
        <v>#REF!</v>
      </c>
    </row>
    <row r="213" spans="2:10" hidden="1" x14ac:dyDescent="0.4">
      <c r="B213" s="2" t="s">
        <v>138</v>
      </c>
      <c r="C213" s="3" t="s">
        <v>128</v>
      </c>
      <c r="D213" s="3" t="s">
        <v>129</v>
      </c>
      <c r="E213" s="3" t="s">
        <v>130</v>
      </c>
      <c r="F213" s="3" t="s">
        <v>135</v>
      </c>
      <c r="G213" s="4"/>
      <c r="H213" s="4" t="e">
        <f>INDEX(#REF!,MATCH(셀트리온제약!$F213,#REF!,0),MATCH(셀트리온제약!$B213,#REF!,0))</f>
        <v>#REF!</v>
      </c>
      <c r="I213" s="4" t="e">
        <f t="shared" si="17"/>
        <v>#REF!</v>
      </c>
      <c r="J213" s="21" t="e">
        <f t="shared" si="19"/>
        <v>#REF!</v>
      </c>
    </row>
    <row r="214" spans="2:10" hidden="1" x14ac:dyDescent="0.4">
      <c r="B214" s="2" t="s">
        <v>138</v>
      </c>
      <c r="C214" s="3" t="s">
        <v>128</v>
      </c>
      <c r="D214" s="3" t="s">
        <v>129</v>
      </c>
      <c r="E214" s="3" t="s">
        <v>130</v>
      </c>
      <c r="F214" s="3" t="s">
        <v>136</v>
      </c>
      <c r="G214" s="4"/>
      <c r="H214" s="4" t="e">
        <f>INDEX(#REF!,MATCH(셀트리온제약!$F214,#REF!,0),MATCH(셀트리온제약!$B214,#REF!,0))</f>
        <v>#REF!</v>
      </c>
      <c r="I214" s="4" t="e">
        <f t="shared" si="17"/>
        <v>#REF!</v>
      </c>
      <c r="J214" s="21" t="e">
        <f t="shared" si="19"/>
        <v>#REF!</v>
      </c>
    </row>
    <row r="215" spans="2:10" hidden="1" x14ac:dyDescent="0.4">
      <c r="B215" s="2" t="s">
        <v>138</v>
      </c>
      <c r="C215" s="3" t="s">
        <v>128</v>
      </c>
      <c r="D215" s="3" t="s">
        <v>129</v>
      </c>
      <c r="E215" s="3" t="s">
        <v>130</v>
      </c>
      <c r="F215" s="3" t="s">
        <v>137</v>
      </c>
      <c r="G215" s="4"/>
      <c r="H215" s="4" t="e">
        <f>INDEX(#REF!,MATCH(셀트리온제약!$F215,#REF!,0),MATCH(셀트리온제약!$B215,#REF!,0))</f>
        <v>#REF!</v>
      </c>
      <c r="I215" s="4" t="e">
        <f t="shared" si="17"/>
        <v>#REF!</v>
      </c>
      <c r="J215" s="21" t="e">
        <f t="shared" si="19"/>
        <v>#REF!</v>
      </c>
    </row>
    <row r="216" spans="2:10" hidden="1" x14ac:dyDescent="0.4">
      <c r="B216" s="2" t="s">
        <v>138</v>
      </c>
      <c r="C216" s="3" t="s">
        <v>128</v>
      </c>
      <c r="D216" s="3" t="s">
        <v>129</v>
      </c>
      <c r="E216" s="3" t="s">
        <v>130</v>
      </c>
      <c r="F216" s="3" t="s">
        <v>141</v>
      </c>
      <c r="G216" s="4"/>
      <c r="H216" s="4" t="e">
        <f>INDEX(#REF!,MATCH(셀트리온제약!$F216,#REF!,0),MATCH(셀트리온제약!$B216,#REF!,0))</f>
        <v>#REF!</v>
      </c>
      <c r="I216" s="4" t="e">
        <f t="shared" si="17"/>
        <v>#REF!</v>
      </c>
      <c r="J216" s="21" t="e">
        <f t="shared" si="19"/>
        <v>#REF!</v>
      </c>
    </row>
    <row r="217" spans="2:10" hidden="1" x14ac:dyDescent="0.4">
      <c r="B217" s="2" t="s">
        <v>138</v>
      </c>
      <c r="C217" s="3" t="s">
        <v>128</v>
      </c>
      <c r="D217" s="3" t="s">
        <v>129</v>
      </c>
      <c r="E217" s="3" t="s">
        <v>130</v>
      </c>
      <c r="F217" s="3" t="s">
        <v>142</v>
      </c>
      <c r="G217" s="4"/>
      <c r="H217" s="4" t="e">
        <f>INDEX(#REF!,MATCH(셀트리온제약!$F217,#REF!,0),MATCH(셀트리온제약!$B217,#REF!,0))</f>
        <v>#REF!</v>
      </c>
      <c r="I217" s="4" t="e">
        <f t="shared" si="17"/>
        <v>#REF!</v>
      </c>
      <c r="J217" s="21" t="e">
        <f t="shared" si="19"/>
        <v>#REF!</v>
      </c>
    </row>
    <row r="218" spans="2:10" hidden="1" x14ac:dyDescent="0.4">
      <c r="B218" s="2" t="s">
        <v>138</v>
      </c>
      <c r="C218" s="3" t="s">
        <v>128</v>
      </c>
      <c r="D218" s="3" t="s">
        <v>129</v>
      </c>
      <c r="E218" s="3" t="s">
        <v>130</v>
      </c>
      <c r="F218" s="3" t="s">
        <v>500</v>
      </c>
      <c r="G218" s="4"/>
      <c r="H218" s="4" t="e">
        <f>INDEX(#REF!,MATCH(셀트리온제약!$F218,#REF!,0),MATCH(셀트리온제약!$B218,#REF!,0))</f>
        <v>#REF!</v>
      </c>
      <c r="I218" s="4" t="e">
        <f t="shared" si="17"/>
        <v>#REF!</v>
      </c>
      <c r="J218" s="21" t="e">
        <f t="shared" si="19"/>
        <v>#REF!</v>
      </c>
    </row>
    <row r="219" spans="2:10" hidden="1" x14ac:dyDescent="0.4">
      <c r="B219" s="2" t="s">
        <v>138</v>
      </c>
      <c r="C219" s="3" t="s">
        <v>128</v>
      </c>
      <c r="D219" s="3" t="s">
        <v>129</v>
      </c>
      <c r="E219" s="3" t="s">
        <v>501</v>
      </c>
      <c r="F219" s="3" t="s">
        <v>358</v>
      </c>
      <c r="G219" s="4"/>
      <c r="H219" s="4" t="e">
        <f>INDEX(#REF!,MATCH(셀트리온제약!$F219,#REF!,0),MATCH(셀트리온제약!$B219,#REF!,0))</f>
        <v>#REF!</v>
      </c>
      <c r="I219" s="4" t="e">
        <f t="shared" si="17"/>
        <v>#REF!</v>
      </c>
      <c r="J219" s="21" t="e">
        <f t="shared" si="19"/>
        <v>#REF!</v>
      </c>
    </row>
    <row r="220" spans="2:10" ht="18" hidden="1" thickBot="1" x14ac:dyDescent="0.45">
      <c r="B220" s="12" t="s">
        <v>138</v>
      </c>
      <c r="C220" s="470" t="s">
        <v>128</v>
      </c>
      <c r="D220" s="470" t="s">
        <v>129</v>
      </c>
      <c r="E220" s="470" t="s">
        <v>501</v>
      </c>
      <c r="F220" s="470" t="s">
        <v>362</v>
      </c>
      <c r="G220" s="471"/>
      <c r="H220" s="471" t="e">
        <f>INDEX(#REF!,MATCH(셀트리온제약!$F220,#REF!,0),MATCH(셀트리온제약!$B220,#REF!,0))</f>
        <v>#REF!</v>
      </c>
      <c r="I220" s="471" t="e">
        <f t="shared" si="17"/>
        <v>#REF!</v>
      </c>
      <c r="J220" s="472" t="e">
        <f t="shared" si="19"/>
        <v>#REF!</v>
      </c>
    </row>
    <row r="221" spans="2:10" hidden="1" x14ac:dyDescent="0.4">
      <c r="B221" s="7" t="s">
        <v>139</v>
      </c>
      <c r="C221" s="8" t="s">
        <v>128</v>
      </c>
      <c r="D221" s="8" t="s">
        <v>129</v>
      </c>
      <c r="E221" s="8" t="s">
        <v>310</v>
      </c>
      <c r="F221" s="8" t="s">
        <v>311</v>
      </c>
      <c r="G221" s="9"/>
      <c r="H221" s="9" t="e">
        <f>INDEX(#REF!,MATCH(셀트리온제약!$F221,#REF!,0),MATCH(셀트리온제약!$B221,#REF!,0))</f>
        <v>#REF!</v>
      </c>
      <c r="I221" s="9" t="e">
        <f t="shared" si="17"/>
        <v>#REF!</v>
      </c>
      <c r="J221" s="20" t="e">
        <f>+G221/H221</f>
        <v>#REF!</v>
      </c>
    </row>
    <row r="222" spans="2:10" hidden="1" x14ac:dyDescent="0.4">
      <c r="B222" s="2" t="s">
        <v>139</v>
      </c>
      <c r="C222" s="3" t="s">
        <v>128</v>
      </c>
      <c r="D222" s="3" t="s">
        <v>129</v>
      </c>
      <c r="E222" s="3" t="s">
        <v>310</v>
      </c>
      <c r="F222" s="3" t="s">
        <v>496</v>
      </c>
      <c r="G222" s="11"/>
      <c r="H222" s="11" t="e">
        <f>INDEX(#REF!,MATCH(셀트리온제약!$F222,#REF!,0),MATCH(셀트리온제약!$B222,#REF!,0))</f>
        <v>#REF!</v>
      </c>
      <c r="I222" s="11" t="e">
        <f t="shared" si="17"/>
        <v>#REF!</v>
      </c>
      <c r="J222" s="21" t="e">
        <f t="shared" ref="J222:J242" si="20">+G222/H222</f>
        <v>#REF!</v>
      </c>
    </row>
    <row r="223" spans="2:10" hidden="1" x14ac:dyDescent="0.4">
      <c r="B223" s="2" t="s">
        <v>139</v>
      </c>
      <c r="C223" s="3" t="s">
        <v>128</v>
      </c>
      <c r="D223" s="3" t="s">
        <v>129</v>
      </c>
      <c r="E223" s="3" t="s">
        <v>310</v>
      </c>
      <c r="F223" s="3" t="s">
        <v>84</v>
      </c>
      <c r="G223" s="11"/>
      <c r="H223" s="11" t="e">
        <f>INDEX(#REF!,MATCH(셀트리온제약!$F223,#REF!,0),MATCH(셀트리온제약!$B223,#REF!,0))</f>
        <v>#REF!</v>
      </c>
      <c r="I223" s="11" t="e">
        <f t="shared" si="17"/>
        <v>#REF!</v>
      </c>
      <c r="J223" s="21" t="e">
        <f t="shared" si="20"/>
        <v>#REF!</v>
      </c>
    </row>
    <row r="224" spans="2:10" hidden="1" x14ac:dyDescent="0.4">
      <c r="B224" s="2" t="s">
        <v>139</v>
      </c>
      <c r="C224" s="3" t="s">
        <v>128</v>
      </c>
      <c r="D224" s="3" t="s">
        <v>129</v>
      </c>
      <c r="E224" s="3" t="s">
        <v>338</v>
      </c>
      <c r="F224" s="3" t="s">
        <v>340</v>
      </c>
      <c r="G224" s="11"/>
      <c r="H224" s="11" t="e">
        <f>INDEX(#REF!,MATCH(셀트리온제약!$F224,#REF!,0),MATCH(셀트리온제약!$B224,#REF!,0))</f>
        <v>#REF!</v>
      </c>
      <c r="I224" s="11" t="e">
        <f t="shared" si="17"/>
        <v>#REF!</v>
      </c>
      <c r="J224" s="21" t="e">
        <f t="shared" si="20"/>
        <v>#REF!</v>
      </c>
    </row>
    <row r="225" spans="2:10" hidden="1" x14ac:dyDescent="0.4">
      <c r="B225" s="2" t="s">
        <v>139</v>
      </c>
      <c r="C225" s="3" t="s">
        <v>128</v>
      </c>
      <c r="D225" s="3" t="s">
        <v>129</v>
      </c>
      <c r="E225" s="3" t="s">
        <v>338</v>
      </c>
      <c r="F225" s="3" t="s">
        <v>341</v>
      </c>
      <c r="G225" s="11"/>
      <c r="H225" s="11" t="e">
        <f>INDEX(#REF!,MATCH(셀트리온제약!$F225,#REF!,0),MATCH(셀트리온제약!$B225,#REF!,0))</f>
        <v>#REF!</v>
      </c>
      <c r="I225" s="11" t="e">
        <f t="shared" si="17"/>
        <v>#REF!</v>
      </c>
      <c r="J225" s="21" t="e">
        <f t="shared" si="20"/>
        <v>#REF!</v>
      </c>
    </row>
    <row r="226" spans="2:10" hidden="1" x14ac:dyDescent="0.4">
      <c r="B226" s="2" t="s">
        <v>139</v>
      </c>
      <c r="C226" s="3" t="s">
        <v>128</v>
      </c>
      <c r="D226" s="3" t="s">
        <v>129</v>
      </c>
      <c r="E226" s="3" t="s">
        <v>338</v>
      </c>
      <c r="F226" s="3" t="s">
        <v>346</v>
      </c>
      <c r="G226" s="11"/>
      <c r="H226" s="11" t="e">
        <f>INDEX(#REF!,MATCH(셀트리온제약!$F226,#REF!,0),MATCH(셀트리온제약!$B226,#REF!,0))</f>
        <v>#REF!</v>
      </c>
      <c r="I226" s="11" t="e">
        <f t="shared" si="17"/>
        <v>#REF!</v>
      </c>
      <c r="J226" s="21" t="e">
        <f t="shared" si="20"/>
        <v>#REF!</v>
      </c>
    </row>
    <row r="227" spans="2:10" hidden="1" x14ac:dyDescent="0.4">
      <c r="B227" s="2" t="s">
        <v>139</v>
      </c>
      <c r="C227" s="3" t="s">
        <v>128</v>
      </c>
      <c r="D227" s="3" t="s">
        <v>129</v>
      </c>
      <c r="E227" s="3" t="s">
        <v>338</v>
      </c>
      <c r="F227" s="3" t="s">
        <v>342</v>
      </c>
      <c r="G227" s="4"/>
      <c r="H227" s="4" t="e">
        <f>INDEX(#REF!,MATCH(셀트리온제약!$F227,#REF!,0),MATCH(셀트리온제약!$B227,#REF!,0))</f>
        <v>#REF!</v>
      </c>
      <c r="I227" s="4" t="e">
        <f t="shared" si="17"/>
        <v>#REF!</v>
      </c>
      <c r="J227" s="21" t="e">
        <f t="shared" si="20"/>
        <v>#REF!</v>
      </c>
    </row>
    <row r="228" spans="2:10" hidden="1" x14ac:dyDescent="0.4">
      <c r="B228" s="2" t="s">
        <v>139</v>
      </c>
      <c r="C228" s="3" t="s">
        <v>128</v>
      </c>
      <c r="D228" s="3" t="s">
        <v>129</v>
      </c>
      <c r="E228" s="3" t="s">
        <v>338</v>
      </c>
      <c r="F228" s="3" t="s">
        <v>349</v>
      </c>
      <c r="G228" s="11"/>
      <c r="H228" s="11" t="e">
        <f>INDEX(#REF!,MATCH(셀트리온제약!$F228,#REF!,0),MATCH(셀트리온제약!$B228,#REF!,0))</f>
        <v>#REF!</v>
      </c>
      <c r="I228" s="11" t="e">
        <f t="shared" si="17"/>
        <v>#REF!</v>
      </c>
      <c r="J228" s="21" t="e">
        <f t="shared" si="20"/>
        <v>#REF!</v>
      </c>
    </row>
    <row r="229" spans="2:10" hidden="1" x14ac:dyDescent="0.4">
      <c r="B229" s="2" t="s">
        <v>139</v>
      </c>
      <c r="C229" s="3" t="s">
        <v>128</v>
      </c>
      <c r="D229" s="3" t="s">
        <v>129</v>
      </c>
      <c r="E229" s="3" t="s">
        <v>338</v>
      </c>
      <c r="F229" s="3" t="s">
        <v>497</v>
      </c>
      <c r="G229" s="4"/>
      <c r="H229" s="4" t="e">
        <f>INDEX(#REF!,MATCH(셀트리온제약!$F229,#REF!,0),MATCH(셀트리온제약!$B229,#REF!,0))</f>
        <v>#REF!</v>
      </c>
      <c r="I229" s="4" t="e">
        <f t="shared" si="17"/>
        <v>#REF!</v>
      </c>
      <c r="J229" s="21" t="e">
        <f t="shared" si="20"/>
        <v>#REF!</v>
      </c>
    </row>
    <row r="230" spans="2:10" hidden="1" x14ac:dyDescent="0.4">
      <c r="B230" s="2" t="s">
        <v>139</v>
      </c>
      <c r="C230" s="3" t="s">
        <v>128</v>
      </c>
      <c r="D230" s="3" t="s">
        <v>129</v>
      </c>
      <c r="E230" s="3" t="s">
        <v>320</v>
      </c>
      <c r="F230" s="3" t="s">
        <v>320</v>
      </c>
      <c r="G230" s="4"/>
      <c r="H230" s="4" t="e">
        <f>INDEX(#REF!,MATCH(셀트리온제약!$F230,#REF!,0),MATCH(셀트리온제약!$B230,#REF!,0))</f>
        <v>#REF!</v>
      </c>
      <c r="I230" s="4" t="e">
        <f t="shared" si="17"/>
        <v>#REF!</v>
      </c>
      <c r="J230" s="21" t="e">
        <f t="shared" si="20"/>
        <v>#REF!</v>
      </c>
    </row>
    <row r="231" spans="2:10" hidden="1" x14ac:dyDescent="0.4">
      <c r="B231" s="2" t="s">
        <v>139</v>
      </c>
      <c r="C231" s="3" t="s">
        <v>128</v>
      </c>
      <c r="D231" s="3" t="s">
        <v>129</v>
      </c>
      <c r="E231" s="3" t="s">
        <v>331</v>
      </c>
      <c r="F231" s="3" t="s">
        <v>331</v>
      </c>
      <c r="G231" s="4"/>
      <c r="H231" s="4" t="e">
        <f>INDEX(#REF!,MATCH(셀트리온제약!$F231,#REF!,0),MATCH(셀트리온제약!$B231,#REF!,0))</f>
        <v>#REF!</v>
      </c>
      <c r="I231" s="4" t="e">
        <f t="shared" si="17"/>
        <v>#REF!</v>
      </c>
      <c r="J231" s="21" t="e">
        <f t="shared" si="20"/>
        <v>#REF!</v>
      </c>
    </row>
    <row r="232" spans="2:10" hidden="1" x14ac:dyDescent="0.4">
      <c r="B232" s="2" t="s">
        <v>139</v>
      </c>
      <c r="C232" s="3" t="s">
        <v>128</v>
      </c>
      <c r="D232" s="3" t="s">
        <v>129</v>
      </c>
      <c r="E232" s="3" t="s">
        <v>130</v>
      </c>
      <c r="F232" s="3" t="s">
        <v>131</v>
      </c>
      <c r="G232" s="4"/>
      <c r="H232" s="4" t="e">
        <f>INDEX(#REF!,MATCH(셀트리온제약!$F232,#REF!,0),MATCH(셀트리온제약!$B232,#REF!,0))</f>
        <v>#REF!</v>
      </c>
      <c r="I232" s="4" t="e">
        <f t="shared" si="17"/>
        <v>#REF!</v>
      </c>
      <c r="J232" s="21" t="e">
        <f t="shared" si="20"/>
        <v>#REF!</v>
      </c>
    </row>
    <row r="233" spans="2:10" hidden="1" x14ac:dyDescent="0.4">
      <c r="B233" s="2" t="s">
        <v>139</v>
      </c>
      <c r="C233" s="3" t="s">
        <v>128</v>
      </c>
      <c r="D233" s="3" t="s">
        <v>129</v>
      </c>
      <c r="E233" s="3" t="s">
        <v>130</v>
      </c>
      <c r="F233" s="3" t="s">
        <v>132</v>
      </c>
      <c r="G233" s="4"/>
      <c r="H233" s="4" t="e">
        <f>INDEX(#REF!,MATCH(셀트리온제약!$F233,#REF!,0),MATCH(셀트리온제약!$B233,#REF!,0))</f>
        <v>#REF!</v>
      </c>
      <c r="I233" s="4" t="e">
        <f t="shared" si="17"/>
        <v>#REF!</v>
      </c>
      <c r="J233" s="21" t="e">
        <f t="shared" si="20"/>
        <v>#REF!</v>
      </c>
    </row>
    <row r="234" spans="2:10" hidden="1" x14ac:dyDescent="0.4">
      <c r="B234" s="2" t="s">
        <v>139</v>
      </c>
      <c r="C234" s="3" t="s">
        <v>128</v>
      </c>
      <c r="D234" s="3" t="s">
        <v>129</v>
      </c>
      <c r="E234" s="3" t="s">
        <v>130</v>
      </c>
      <c r="F234" s="3" t="s">
        <v>134</v>
      </c>
      <c r="G234" s="4"/>
      <c r="H234" s="4" t="e">
        <f>INDEX(#REF!,MATCH(셀트리온제약!$F234,#REF!,0),MATCH(셀트리온제약!$B234,#REF!,0))</f>
        <v>#REF!</v>
      </c>
      <c r="I234" s="4" t="e">
        <f t="shared" si="17"/>
        <v>#REF!</v>
      </c>
      <c r="J234" s="21" t="e">
        <f t="shared" si="20"/>
        <v>#REF!</v>
      </c>
    </row>
    <row r="235" spans="2:10" hidden="1" x14ac:dyDescent="0.4">
      <c r="B235" s="2" t="s">
        <v>139</v>
      </c>
      <c r="C235" s="3" t="s">
        <v>128</v>
      </c>
      <c r="D235" s="3" t="s">
        <v>129</v>
      </c>
      <c r="E235" s="3" t="s">
        <v>130</v>
      </c>
      <c r="F235" s="3" t="s">
        <v>135</v>
      </c>
      <c r="G235" s="4"/>
      <c r="H235" s="4" t="e">
        <f>INDEX(#REF!,MATCH(셀트리온제약!$F235,#REF!,0),MATCH(셀트리온제약!$B235,#REF!,0))</f>
        <v>#REF!</v>
      </c>
      <c r="I235" s="4" t="e">
        <f t="shared" si="17"/>
        <v>#REF!</v>
      </c>
      <c r="J235" s="21" t="e">
        <f t="shared" si="20"/>
        <v>#REF!</v>
      </c>
    </row>
    <row r="236" spans="2:10" hidden="1" x14ac:dyDescent="0.4">
      <c r="B236" s="2" t="s">
        <v>139</v>
      </c>
      <c r="C236" s="3" t="s">
        <v>128</v>
      </c>
      <c r="D236" s="3" t="s">
        <v>129</v>
      </c>
      <c r="E236" s="3" t="s">
        <v>130</v>
      </c>
      <c r="F236" s="3" t="s">
        <v>136</v>
      </c>
      <c r="G236" s="4"/>
      <c r="H236" s="4" t="e">
        <f>INDEX(#REF!,MATCH(셀트리온제약!$F236,#REF!,0),MATCH(셀트리온제약!$B236,#REF!,0))</f>
        <v>#REF!</v>
      </c>
      <c r="I236" s="4" t="e">
        <f t="shared" ref="I236:I242" si="21">H236</f>
        <v>#REF!</v>
      </c>
      <c r="J236" s="21" t="e">
        <f t="shared" si="20"/>
        <v>#REF!</v>
      </c>
    </row>
    <row r="237" spans="2:10" hidden="1" x14ac:dyDescent="0.4">
      <c r="B237" s="2" t="s">
        <v>139</v>
      </c>
      <c r="C237" s="3" t="s">
        <v>128</v>
      </c>
      <c r="D237" s="3" t="s">
        <v>129</v>
      </c>
      <c r="E237" s="3" t="s">
        <v>130</v>
      </c>
      <c r="F237" s="3" t="s">
        <v>137</v>
      </c>
      <c r="G237" s="4"/>
      <c r="H237" s="4" t="e">
        <f>INDEX(#REF!,MATCH(셀트리온제약!$F237,#REF!,0),MATCH(셀트리온제약!$B237,#REF!,0))</f>
        <v>#REF!</v>
      </c>
      <c r="I237" s="4" t="e">
        <f t="shared" si="21"/>
        <v>#REF!</v>
      </c>
      <c r="J237" s="21" t="e">
        <f t="shared" si="20"/>
        <v>#REF!</v>
      </c>
    </row>
    <row r="238" spans="2:10" hidden="1" x14ac:dyDescent="0.4">
      <c r="B238" s="2" t="s">
        <v>139</v>
      </c>
      <c r="C238" s="3" t="s">
        <v>128</v>
      </c>
      <c r="D238" s="3" t="s">
        <v>129</v>
      </c>
      <c r="E238" s="3" t="s">
        <v>130</v>
      </c>
      <c r="F238" s="3" t="s">
        <v>141</v>
      </c>
      <c r="G238" s="4"/>
      <c r="H238" s="4" t="e">
        <f>INDEX(#REF!,MATCH(셀트리온제약!$F238,#REF!,0),MATCH(셀트리온제약!$B238,#REF!,0))</f>
        <v>#REF!</v>
      </c>
      <c r="I238" s="4" t="e">
        <f t="shared" si="21"/>
        <v>#REF!</v>
      </c>
      <c r="J238" s="21" t="e">
        <f t="shared" si="20"/>
        <v>#REF!</v>
      </c>
    </row>
    <row r="239" spans="2:10" hidden="1" x14ac:dyDescent="0.4">
      <c r="B239" s="2" t="s">
        <v>139</v>
      </c>
      <c r="C239" s="3" t="s">
        <v>128</v>
      </c>
      <c r="D239" s="3" t="s">
        <v>129</v>
      </c>
      <c r="E239" s="3" t="s">
        <v>130</v>
      </c>
      <c r="F239" s="3" t="s">
        <v>142</v>
      </c>
      <c r="G239" s="4"/>
      <c r="H239" s="4" t="e">
        <f>INDEX(#REF!,MATCH(셀트리온제약!$F239,#REF!,0),MATCH(셀트리온제약!$B239,#REF!,0))</f>
        <v>#REF!</v>
      </c>
      <c r="I239" s="4" t="e">
        <f t="shared" si="21"/>
        <v>#REF!</v>
      </c>
      <c r="J239" s="21" t="e">
        <f t="shared" si="20"/>
        <v>#REF!</v>
      </c>
    </row>
    <row r="240" spans="2:10" hidden="1" x14ac:dyDescent="0.4">
      <c r="B240" s="2" t="s">
        <v>139</v>
      </c>
      <c r="C240" s="3" t="s">
        <v>128</v>
      </c>
      <c r="D240" s="3" t="s">
        <v>129</v>
      </c>
      <c r="E240" s="3" t="s">
        <v>130</v>
      </c>
      <c r="F240" s="3" t="s">
        <v>500</v>
      </c>
      <c r="G240" s="4"/>
      <c r="H240" s="4" t="e">
        <f>INDEX(#REF!,MATCH(셀트리온제약!$F240,#REF!,0),MATCH(셀트리온제약!$B240,#REF!,0))</f>
        <v>#REF!</v>
      </c>
      <c r="I240" s="4" t="e">
        <f t="shared" si="21"/>
        <v>#REF!</v>
      </c>
      <c r="J240" s="21" t="e">
        <f t="shared" si="20"/>
        <v>#REF!</v>
      </c>
    </row>
    <row r="241" spans="2:10" hidden="1" x14ac:dyDescent="0.4">
      <c r="B241" s="2" t="s">
        <v>139</v>
      </c>
      <c r="C241" s="3" t="s">
        <v>128</v>
      </c>
      <c r="D241" s="3" t="s">
        <v>129</v>
      </c>
      <c r="E241" s="3" t="s">
        <v>501</v>
      </c>
      <c r="F241" s="3" t="s">
        <v>358</v>
      </c>
      <c r="G241" s="4"/>
      <c r="H241" s="4" t="e">
        <f>INDEX(#REF!,MATCH(셀트리온제약!$F241,#REF!,0),MATCH(셀트리온제약!$B241,#REF!,0))</f>
        <v>#REF!</v>
      </c>
      <c r="I241" s="4" t="e">
        <f t="shared" si="21"/>
        <v>#REF!</v>
      </c>
      <c r="J241" s="21" t="e">
        <f t="shared" si="20"/>
        <v>#REF!</v>
      </c>
    </row>
    <row r="242" spans="2:10" ht="18" hidden="1" thickBot="1" x14ac:dyDescent="0.45">
      <c r="B242" s="13" t="s">
        <v>139</v>
      </c>
      <c r="C242" s="17" t="s">
        <v>128</v>
      </c>
      <c r="D242" s="17" t="s">
        <v>129</v>
      </c>
      <c r="E242" s="17" t="s">
        <v>501</v>
      </c>
      <c r="F242" s="17" t="s">
        <v>362</v>
      </c>
      <c r="G242" s="6"/>
      <c r="H242" s="6" t="e">
        <f>INDEX(#REF!,MATCH(셀트리온제약!$F242,#REF!,0),MATCH(셀트리온제약!$B242,#REF!,0))</f>
        <v>#REF!</v>
      </c>
      <c r="I242" s="6" t="e">
        <f t="shared" si="21"/>
        <v>#REF!</v>
      </c>
      <c r="J242" s="22" t="e">
        <f t="shared" si="20"/>
        <v>#REF!</v>
      </c>
    </row>
  </sheetData>
  <mergeCells count="7">
    <mergeCell ref="C41:F41"/>
    <mergeCell ref="B33:B41"/>
    <mergeCell ref="C23:F23"/>
    <mergeCell ref="B15:B23"/>
    <mergeCell ref="K2:L2"/>
    <mergeCell ref="C32:F32"/>
    <mergeCell ref="B24:B32"/>
  </mergeCells>
  <phoneticPr fontId="2" type="noConversion"/>
  <pageMargins left="0.37" right="0.28999999999999998" top="0.3" bottom="0.17" header="0.3" footer="0.3"/>
  <pageSetup paperSize="9" scale="45" fitToWidth="0" orientation="landscape"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951C2-D980-46B1-A0E1-B5ACEF3F6647}">
  <sheetPr codeName="Sheet15">
    <tabColor theme="7" tint="0.79998168889431442"/>
  </sheetPr>
  <dimension ref="A3:O51"/>
  <sheetViews>
    <sheetView workbookViewId="0">
      <selection activeCell="O44" sqref="O44"/>
    </sheetView>
  </sheetViews>
  <sheetFormatPr defaultRowHeight="17.399999999999999" x14ac:dyDescent="0.4"/>
  <cols>
    <col min="2" max="2" width="16.59765625" bestFit="1" customWidth="1"/>
    <col min="3" max="14" width="15.59765625" bestFit="1" customWidth="1"/>
  </cols>
  <sheetData>
    <row r="3" spans="1:14" x14ac:dyDescent="0.4">
      <c r="A3" t="s">
        <v>381</v>
      </c>
      <c r="B3" t="s">
        <v>502</v>
      </c>
      <c r="C3" t="s">
        <v>503</v>
      </c>
      <c r="D3" t="s">
        <v>504</v>
      </c>
      <c r="E3" t="s">
        <v>505</v>
      </c>
      <c r="F3" t="s">
        <v>506</v>
      </c>
      <c r="G3" t="s">
        <v>507</v>
      </c>
      <c r="H3" t="s">
        <v>508</v>
      </c>
      <c r="I3" t="s">
        <v>509</v>
      </c>
      <c r="J3" t="s">
        <v>510</v>
      </c>
      <c r="K3" t="s">
        <v>511</v>
      </c>
      <c r="L3" t="s">
        <v>512</v>
      </c>
      <c r="M3" t="s">
        <v>513</v>
      </c>
      <c r="N3" t="s">
        <v>514</v>
      </c>
    </row>
    <row r="4" spans="1:14" x14ac:dyDescent="0.4">
      <c r="A4" t="s">
        <v>382</v>
      </c>
      <c r="B4" t="s">
        <v>358</v>
      </c>
      <c r="C4" s="1">
        <v>3517101196.6677775</v>
      </c>
      <c r="D4" s="1">
        <v>3508185808.143961</v>
      </c>
      <c r="E4" s="1">
        <v>5266736406.4778509</v>
      </c>
      <c r="F4" s="1">
        <v>5275651795.0016651</v>
      </c>
      <c r="G4" s="1">
        <v>7034202393.3355551</v>
      </c>
      <c r="H4" s="1">
        <v>8792752991.6694431</v>
      </c>
      <c r="I4" s="1">
        <v>6154927094.1686115</v>
      </c>
      <c r="J4" s="1">
        <v>7922393081.0263138</v>
      </c>
      <c r="K4" s="1">
        <v>9680943679.3602066</v>
      </c>
      <c r="L4" s="1">
        <v>6154927094.1686115</v>
      </c>
      <c r="M4" s="1">
        <v>11430578889.170277</v>
      </c>
      <c r="N4" s="1">
        <v>13189129487.504168</v>
      </c>
    </row>
    <row r="5" spans="1:14" x14ac:dyDescent="0.4">
      <c r="A5" t="s">
        <v>382</v>
      </c>
      <c r="B5" t="s">
        <v>362</v>
      </c>
      <c r="C5" s="1">
        <v>442748017.48241448</v>
      </c>
      <c r="D5" s="1">
        <v>441625709.54377872</v>
      </c>
      <c r="E5" s="1">
        <v>662999718.28498602</v>
      </c>
      <c r="F5" s="1">
        <v>664122026.22362149</v>
      </c>
      <c r="G5" s="1">
        <v>885496034.96482897</v>
      </c>
      <c r="H5" s="1">
        <v>1106870043.7060363</v>
      </c>
      <c r="I5" s="1">
        <v>774809030.59422541</v>
      </c>
      <c r="J5" s="1">
        <v>997305347.27406812</v>
      </c>
      <c r="K5" s="1">
        <v>1218679356.0152755</v>
      </c>
      <c r="L5" s="1">
        <v>774809030.59422541</v>
      </c>
      <c r="M5" s="1">
        <v>1438931056.817847</v>
      </c>
      <c r="N5" s="1">
        <v>1660305065.5590539</v>
      </c>
    </row>
    <row r="6" spans="1:14" x14ac:dyDescent="0.4">
      <c r="A6" t="s">
        <v>338</v>
      </c>
      <c r="B6" t="s">
        <v>515</v>
      </c>
      <c r="C6" s="1">
        <v>0</v>
      </c>
      <c r="D6" s="1">
        <v>0</v>
      </c>
      <c r="E6" s="1">
        <v>0</v>
      </c>
      <c r="F6" s="1">
        <v>0</v>
      </c>
      <c r="G6" s="1">
        <v>0</v>
      </c>
      <c r="H6" s="1">
        <v>0</v>
      </c>
      <c r="I6" s="1">
        <v>0</v>
      </c>
      <c r="J6" s="1">
        <v>0</v>
      </c>
      <c r="K6" s="1">
        <v>0</v>
      </c>
      <c r="L6" s="1">
        <v>0</v>
      </c>
      <c r="M6" s="1">
        <v>0</v>
      </c>
      <c r="N6" s="1">
        <v>0</v>
      </c>
    </row>
    <row r="7" spans="1:14" x14ac:dyDescent="0.4">
      <c r="A7" t="s">
        <v>338</v>
      </c>
      <c r="B7" t="s">
        <v>350</v>
      </c>
      <c r="C7" s="1">
        <v>0</v>
      </c>
      <c r="D7" s="1">
        <v>10000000</v>
      </c>
      <c r="E7" s="1">
        <v>30000000</v>
      </c>
      <c r="F7" s="1">
        <v>30000000</v>
      </c>
      <c r="G7" s="1">
        <v>50000000</v>
      </c>
      <c r="H7" s="1">
        <v>50000000</v>
      </c>
      <c r="I7" s="1">
        <v>80000000</v>
      </c>
      <c r="J7" s="1">
        <v>80000000</v>
      </c>
      <c r="K7" s="1">
        <v>80000000</v>
      </c>
      <c r="L7" s="1">
        <v>110000000</v>
      </c>
      <c r="M7" s="1">
        <v>140000000</v>
      </c>
      <c r="N7" s="1">
        <v>140000000</v>
      </c>
    </row>
    <row r="8" spans="1:14" x14ac:dyDescent="0.4">
      <c r="A8" t="s">
        <v>338</v>
      </c>
      <c r="B8" t="s">
        <v>351</v>
      </c>
      <c r="C8" s="1">
        <v>0</v>
      </c>
      <c r="D8" s="1">
        <v>0</v>
      </c>
      <c r="E8" s="1">
        <v>0</v>
      </c>
      <c r="F8" s="1">
        <v>0</v>
      </c>
      <c r="G8" s="1">
        <v>0</v>
      </c>
      <c r="H8" s="1">
        <v>0</v>
      </c>
      <c r="I8" s="1">
        <v>0</v>
      </c>
      <c r="J8" s="1">
        <v>0</v>
      </c>
      <c r="K8" s="1">
        <v>0</v>
      </c>
      <c r="L8" s="1">
        <v>0</v>
      </c>
      <c r="M8" s="1">
        <v>0</v>
      </c>
      <c r="N8" s="1">
        <v>0</v>
      </c>
    </row>
    <row r="9" spans="1:14" x14ac:dyDescent="0.4">
      <c r="A9" t="s">
        <v>338</v>
      </c>
      <c r="B9" t="s">
        <v>352</v>
      </c>
      <c r="C9" s="1">
        <v>0</v>
      </c>
      <c r="D9" s="1">
        <v>0</v>
      </c>
      <c r="E9" s="1">
        <v>0</v>
      </c>
      <c r="F9" s="1">
        <v>0</v>
      </c>
      <c r="G9" s="1">
        <v>0</v>
      </c>
      <c r="H9" s="1">
        <v>0</v>
      </c>
      <c r="I9" s="1">
        <v>0</v>
      </c>
      <c r="J9" s="1">
        <v>0</v>
      </c>
      <c r="K9" s="1">
        <v>0</v>
      </c>
      <c r="L9" s="1">
        <v>0</v>
      </c>
      <c r="M9" s="1">
        <v>0</v>
      </c>
      <c r="N9" s="1">
        <v>0</v>
      </c>
    </row>
    <row r="10" spans="1:14" x14ac:dyDescent="0.4">
      <c r="A10" t="s">
        <v>338</v>
      </c>
      <c r="B10" t="s">
        <v>354</v>
      </c>
      <c r="C10" s="1">
        <v>0</v>
      </c>
      <c r="D10" s="1">
        <v>0</v>
      </c>
      <c r="E10" s="1">
        <v>0</v>
      </c>
      <c r="F10" s="1">
        <v>0</v>
      </c>
      <c r="G10" s="1">
        <v>0</v>
      </c>
      <c r="H10" s="1">
        <v>0</v>
      </c>
      <c r="I10" s="1">
        <v>0</v>
      </c>
      <c r="J10" s="1">
        <v>0</v>
      </c>
      <c r="K10" s="1">
        <v>0</v>
      </c>
      <c r="L10" s="1">
        <v>0</v>
      </c>
      <c r="M10" s="1">
        <v>0</v>
      </c>
      <c r="N10" s="1">
        <v>0</v>
      </c>
    </row>
    <row r="11" spans="1:14" x14ac:dyDescent="0.4">
      <c r="A11" t="s">
        <v>338</v>
      </c>
      <c r="B11" t="s">
        <v>516</v>
      </c>
      <c r="C11" s="1">
        <v>0</v>
      </c>
      <c r="D11" s="1">
        <v>0</v>
      </c>
      <c r="E11" s="1">
        <v>0</v>
      </c>
      <c r="F11" s="1">
        <v>0</v>
      </c>
      <c r="G11" s="1">
        <v>0</v>
      </c>
      <c r="H11" s="1">
        <v>0</v>
      </c>
      <c r="I11" s="1">
        <v>0</v>
      </c>
      <c r="J11" s="1">
        <v>0</v>
      </c>
      <c r="K11" s="1">
        <v>0</v>
      </c>
      <c r="L11" s="1">
        <v>0</v>
      </c>
      <c r="M11" s="1">
        <v>0</v>
      </c>
      <c r="N11" s="1">
        <v>0</v>
      </c>
    </row>
    <row r="12" spans="1:14" x14ac:dyDescent="0.4">
      <c r="A12" t="s">
        <v>338</v>
      </c>
      <c r="B12" t="s">
        <v>349</v>
      </c>
      <c r="C12" s="1">
        <v>142567164.17910442</v>
      </c>
      <c r="D12" s="1">
        <v>214298507.46268645</v>
      </c>
      <c r="E12" s="1">
        <v>193294720.42771199</v>
      </c>
      <c r="F12" s="1">
        <v>179552238.80597001</v>
      </c>
      <c r="G12" s="1">
        <v>327093339.27378017</v>
      </c>
      <c r="H12" s="1">
        <v>384811762.08509666</v>
      </c>
      <c r="I12" s="1">
        <v>253074626.86567155</v>
      </c>
      <c r="J12" s="1">
        <v>280027623.07863647</v>
      </c>
      <c r="K12" s="1">
        <v>456362218.75696146</v>
      </c>
      <c r="L12" s="1">
        <v>195227712.18534186</v>
      </c>
      <c r="M12" s="1">
        <v>378521452.43929595</v>
      </c>
      <c r="N12" s="1">
        <v>595168634.43974304</v>
      </c>
    </row>
    <row r="13" spans="1:14" x14ac:dyDescent="0.4">
      <c r="A13" t="s">
        <v>338</v>
      </c>
      <c r="B13" t="s">
        <v>353</v>
      </c>
      <c r="C13" s="1">
        <v>0</v>
      </c>
      <c r="D13" s="1">
        <v>0</v>
      </c>
      <c r="E13" s="1">
        <v>0</v>
      </c>
      <c r="F13" s="1">
        <v>0</v>
      </c>
      <c r="G13" s="1">
        <v>0</v>
      </c>
      <c r="H13" s="1">
        <v>0</v>
      </c>
      <c r="I13" s="1">
        <v>0</v>
      </c>
      <c r="J13" s="1">
        <v>0</v>
      </c>
      <c r="K13" s="1">
        <v>0</v>
      </c>
      <c r="L13" s="1">
        <v>0</v>
      </c>
      <c r="M13" s="1">
        <v>0</v>
      </c>
      <c r="N13" s="1">
        <v>0</v>
      </c>
    </row>
    <row r="14" spans="1:14" x14ac:dyDescent="0.4">
      <c r="A14" t="s">
        <v>338</v>
      </c>
      <c r="B14" t="s">
        <v>346</v>
      </c>
      <c r="C14" s="1">
        <v>554427860.69651723</v>
      </c>
      <c r="D14" s="1">
        <v>833383084.57711375</v>
      </c>
      <c r="E14" s="1">
        <v>751701690.55221343</v>
      </c>
      <c r="F14" s="1">
        <v>698258706.46766114</v>
      </c>
      <c r="G14" s="1">
        <v>1272029652.7313673</v>
      </c>
      <c r="H14" s="1">
        <v>1496490185.886487</v>
      </c>
      <c r="I14" s="1">
        <v>984179104.47761154</v>
      </c>
      <c r="J14" s="1">
        <v>1088996311.9724753</v>
      </c>
      <c r="K14" s="1">
        <v>1774741961.832628</v>
      </c>
      <c r="L14" s="1">
        <v>759218880.7207737</v>
      </c>
      <c r="M14" s="1">
        <v>1472027870.5972617</v>
      </c>
      <c r="N14" s="1">
        <v>2314544689.4878893</v>
      </c>
    </row>
    <row r="15" spans="1:14" x14ac:dyDescent="0.4">
      <c r="A15" t="s">
        <v>338</v>
      </c>
      <c r="B15" t="s">
        <v>355</v>
      </c>
      <c r="C15" s="1">
        <v>0</v>
      </c>
      <c r="D15" s="1">
        <v>0</v>
      </c>
      <c r="E15" s="1">
        <v>0</v>
      </c>
      <c r="F15" s="1">
        <v>0</v>
      </c>
      <c r="G15" s="1">
        <v>0</v>
      </c>
      <c r="H15" s="1">
        <v>0</v>
      </c>
      <c r="I15" s="1">
        <v>0</v>
      </c>
      <c r="J15" s="1">
        <v>0</v>
      </c>
      <c r="K15" s="1">
        <v>0</v>
      </c>
      <c r="L15" s="1">
        <v>0</v>
      </c>
      <c r="M15" s="1">
        <v>0</v>
      </c>
      <c r="N15" s="1">
        <v>0</v>
      </c>
    </row>
    <row r="16" spans="1:14" x14ac:dyDescent="0.4">
      <c r="A16" t="s">
        <v>338</v>
      </c>
      <c r="B16" t="s">
        <v>342</v>
      </c>
      <c r="C16" s="1">
        <v>831641791.04477572</v>
      </c>
      <c r="D16" s="1">
        <v>1250074626.8656704</v>
      </c>
      <c r="E16" s="1">
        <v>1127552535.82832</v>
      </c>
      <c r="F16" s="1">
        <v>1047388059.7014916</v>
      </c>
      <c r="G16" s="1">
        <v>1908044479.0970507</v>
      </c>
      <c r="H16" s="1">
        <v>2244735278.82973</v>
      </c>
      <c r="I16" s="1">
        <v>1476268656.7164171</v>
      </c>
      <c r="J16" s="1">
        <v>1633494467.9587123</v>
      </c>
      <c r="K16" s="1">
        <v>2662112942.7489414</v>
      </c>
      <c r="L16" s="1">
        <v>1138828321.0811603</v>
      </c>
      <c r="M16" s="1">
        <v>2208041805.8958921</v>
      </c>
      <c r="N16" s="1">
        <v>3471817034.2318344</v>
      </c>
    </row>
    <row r="17" spans="1:14" x14ac:dyDescent="0.4">
      <c r="A17" t="s">
        <v>338</v>
      </c>
      <c r="B17" t="s">
        <v>340</v>
      </c>
      <c r="C17" s="1">
        <v>792039800.99502468</v>
      </c>
      <c r="D17" s="1">
        <v>1190547263.6815913</v>
      </c>
      <c r="E17" s="1">
        <v>1073859557.9317336</v>
      </c>
      <c r="F17" s="1">
        <v>997512437.8109448</v>
      </c>
      <c r="G17" s="1">
        <v>1817185218.1876681</v>
      </c>
      <c r="H17" s="1">
        <v>2137843122.6949818</v>
      </c>
      <c r="I17" s="1">
        <v>1405970149.253731</v>
      </c>
      <c r="J17" s="1">
        <v>1555709017.1035361</v>
      </c>
      <c r="K17" s="1">
        <v>2535345659.7608976</v>
      </c>
      <c r="L17" s="1">
        <v>1084598401.0296769</v>
      </c>
      <c r="M17" s="1">
        <v>2102896957.9960887</v>
      </c>
      <c r="N17" s="1">
        <v>3306492413.5541286</v>
      </c>
    </row>
    <row r="18" spans="1:14" x14ac:dyDescent="0.4">
      <c r="A18" t="s">
        <v>338</v>
      </c>
      <c r="B18" t="s">
        <v>341</v>
      </c>
      <c r="C18" s="1">
        <v>831641791.04477572</v>
      </c>
      <c r="D18" s="1">
        <v>1250074626.8656704</v>
      </c>
      <c r="E18" s="1">
        <v>1127552535.82832</v>
      </c>
      <c r="F18" s="1">
        <v>1047388059.7014917</v>
      </c>
      <c r="G18" s="1">
        <v>1908044479.0970509</v>
      </c>
      <c r="H18" s="1">
        <v>2244735278.8297305</v>
      </c>
      <c r="I18" s="1">
        <v>1476268656.7164173</v>
      </c>
      <c r="J18" s="1">
        <v>1633494467.9587126</v>
      </c>
      <c r="K18" s="1">
        <v>2662112942.7489419</v>
      </c>
      <c r="L18" s="1">
        <v>1138828321.0811605</v>
      </c>
      <c r="M18" s="1">
        <v>2208041805.8958926</v>
      </c>
      <c r="N18" s="1">
        <v>3471817034.2318339</v>
      </c>
    </row>
    <row r="19" spans="1:14" x14ac:dyDescent="0.4">
      <c r="A19" t="s">
        <v>366</v>
      </c>
      <c r="B19" t="s">
        <v>134</v>
      </c>
      <c r="C19" s="1">
        <v>709659920</v>
      </c>
      <c r="D19" s="1">
        <v>706930160</v>
      </c>
      <c r="E19" s="1">
        <v>759929360</v>
      </c>
      <c r="F19" s="1">
        <v>697302040</v>
      </c>
      <c r="G19" s="1">
        <v>743443160</v>
      </c>
      <c r="H19" s="1">
        <v>713418780</v>
      </c>
      <c r="I19" s="1">
        <v>718062760</v>
      </c>
      <c r="J19" s="1">
        <v>633081160</v>
      </c>
      <c r="K19" s="1">
        <v>683216760</v>
      </c>
      <c r="L19" s="1">
        <v>702335360</v>
      </c>
      <c r="M19" s="1">
        <v>691896560</v>
      </c>
      <c r="N19" s="1">
        <v>761300440</v>
      </c>
    </row>
    <row r="20" spans="1:14" x14ac:dyDescent="0.4">
      <c r="A20" t="s">
        <v>366</v>
      </c>
      <c r="B20" t="s">
        <v>517</v>
      </c>
      <c r="C20" s="1">
        <v>0</v>
      </c>
      <c r="D20" s="1">
        <v>0</v>
      </c>
      <c r="E20" s="1">
        <v>0</v>
      </c>
      <c r="F20" s="1">
        <v>0</v>
      </c>
      <c r="G20" s="1">
        <v>0</v>
      </c>
      <c r="H20" s="1">
        <v>0</v>
      </c>
      <c r="I20" s="1">
        <v>0</v>
      </c>
      <c r="J20" s="1">
        <v>0</v>
      </c>
      <c r="K20" s="1">
        <v>0</v>
      </c>
      <c r="L20" s="1">
        <v>0</v>
      </c>
      <c r="M20" s="1">
        <v>0</v>
      </c>
      <c r="N20" s="1">
        <v>0</v>
      </c>
    </row>
    <row r="21" spans="1:14" x14ac:dyDescent="0.4">
      <c r="A21" t="s">
        <v>366</v>
      </c>
      <c r="B21" t="s">
        <v>135</v>
      </c>
      <c r="C21" s="1">
        <v>0</v>
      </c>
      <c r="D21" s="1">
        <v>0</v>
      </c>
      <c r="E21" s="1">
        <v>61667600</v>
      </c>
      <c r="F21" s="1">
        <v>553625000</v>
      </c>
      <c r="G21" s="1">
        <v>111550000</v>
      </c>
      <c r="H21" s="1">
        <v>236063000</v>
      </c>
      <c r="I21" s="1">
        <v>797347600</v>
      </c>
      <c r="J21" s="1">
        <v>46500000</v>
      </c>
      <c r="K21" s="1">
        <v>287477500</v>
      </c>
      <c r="L21" s="1">
        <v>351415000</v>
      </c>
      <c r="M21" s="1">
        <v>621070000</v>
      </c>
      <c r="N21" s="1">
        <v>295700000</v>
      </c>
    </row>
    <row r="22" spans="1:14" x14ac:dyDescent="0.4">
      <c r="A22" t="s">
        <v>366</v>
      </c>
      <c r="B22" t="s">
        <v>518</v>
      </c>
      <c r="C22" s="1">
        <v>0</v>
      </c>
      <c r="D22" s="1">
        <v>0</v>
      </c>
      <c r="E22" s="1">
        <v>0</v>
      </c>
      <c r="F22" s="1">
        <v>0</v>
      </c>
      <c r="G22" s="1">
        <v>0</v>
      </c>
      <c r="H22" s="1">
        <v>0</v>
      </c>
      <c r="I22" s="1">
        <v>0</v>
      </c>
      <c r="J22" s="1">
        <v>0</v>
      </c>
      <c r="K22" s="1">
        <v>0</v>
      </c>
      <c r="L22" s="1">
        <v>0</v>
      </c>
      <c r="M22" s="1">
        <v>0</v>
      </c>
      <c r="N22" s="1">
        <v>0</v>
      </c>
    </row>
    <row r="23" spans="1:14" x14ac:dyDescent="0.4">
      <c r="A23" t="s">
        <v>366</v>
      </c>
      <c r="B23" t="s">
        <v>132</v>
      </c>
      <c r="C23" s="1">
        <v>155480000</v>
      </c>
      <c r="D23" s="1">
        <v>77958400</v>
      </c>
      <c r="E23" s="1">
        <v>387902400</v>
      </c>
      <c r="F23" s="1">
        <v>0</v>
      </c>
      <c r="G23" s="1">
        <v>275148000</v>
      </c>
      <c r="H23" s="1">
        <v>0</v>
      </c>
      <c r="I23" s="1">
        <v>0</v>
      </c>
      <c r="J23" s="1">
        <v>0</v>
      </c>
      <c r="K23" s="1">
        <v>0</v>
      </c>
      <c r="L23" s="1">
        <v>0</v>
      </c>
      <c r="M23" s="1">
        <v>0</v>
      </c>
      <c r="N23" s="1">
        <v>0</v>
      </c>
    </row>
    <row r="24" spans="1:14" x14ac:dyDescent="0.4">
      <c r="A24" t="s">
        <v>366</v>
      </c>
      <c r="B24" t="s">
        <v>131</v>
      </c>
      <c r="C24" s="1">
        <v>3844520000.0000005</v>
      </c>
      <c r="D24" s="1">
        <v>3922041600.0000005</v>
      </c>
      <c r="E24" s="1">
        <v>5612097600</v>
      </c>
      <c r="F24" s="1">
        <v>5499999999.999999</v>
      </c>
      <c r="G24" s="1">
        <v>5224852000</v>
      </c>
      <c r="H24" s="1">
        <v>6700000000</v>
      </c>
      <c r="I24" s="1">
        <v>4500000000</v>
      </c>
      <c r="J24" s="1">
        <v>2800000000</v>
      </c>
      <c r="K24" s="1">
        <v>7800000000.000001</v>
      </c>
      <c r="L24" s="1">
        <v>5000000000</v>
      </c>
      <c r="M24" s="1">
        <v>4519047600</v>
      </c>
      <c r="N24" s="1">
        <v>3200000000</v>
      </c>
    </row>
    <row r="25" spans="1:14" x14ac:dyDescent="0.4">
      <c r="A25" t="s">
        <v>366</v>
      </c>
      <c r="B25" t="s">
        <v>136</v>
      </c>
      <c r="C25" s="1">
        <v>40000000</v>
      </c>
      <c r="D25" s="1">
        <v>174000000</v>
      </c>
      <c r="E25" s="1">
        <v>0</v>
      </c>
      <c r="F25" s="1">
        <v>60000000</v>
      </c>
      <c r="G25" s="1">
        <v>50000000</v>
      </c>
      <c r="H25" s="1">
        <v>249000000</v>
      </c>
      <c r="I25" s="1">
        <v>0</v>
      </c>
      <c r="J25" s="1">
        <v>241000000</v>
      </c>
      <c r="K25" s="1">
        <v>67000000</v>
      </c>
      <c r="L25" s="1">
        <v>30000000</v>
      </c>
      <c r="M25" s="1">
        <v>67000000</v>
      </c>
      <c r="N25" s="1">
        <v>199000000</v>
      </c>
    </row>
    <row r="26" spans="1:14" x14ac:dyDescent="0.4">
      <c r="A26" t="s">
        <v>366</v>
      </c>
      <c r="B26" t="s">
        <v>137</v>
      </c>
      <c r="C26" s="1">
        <v>0</v>
      </c>
      <c r="D26" s="1">
        <v>67500000</v>
      </c>
      <c r="E26" s="1">
        <v>245375000</v>
      </c>
      <c r="F26" s="1">
        <v>214000000</v>
      </c>
      <c r="G26" s="1">
        <v>163500000</v>
      </c>
      <c r="H26" s="1">
        <v>94875000</v>
      </c>
      <c r="I26" s="1">
        <v>29000000</v>
      </c>
      <c r="J26" s="1">
        <v>225500000</v>
      </c>
      <c r="K26" s="1">
        <v>225000000</v>
      </c>
      <c r="L26" s="1">
        <v>256000000</v>
      </c>
      <c r="M26" s="1">
        <v>170375000</v>
      </c>
      <c r="N26" s="1">
        <v>218750000</v>
      </c>
    </row>
    <row r="27" spans="1:14" x14ac:dyDescent="0.4">
      <c r="A27" t="s">
        <v>366</v>
      </c>
      <c r="B27" t="s">
        <v>141</v>
      </c>
      <c r="C27" s="1">
        <v>162069429</v>
      </c>
      <c r="D27" s="1">
        <v>14069429</v>
      </c>
      <c r="E27" s="1">
        <v>134069429</v>
      </c>
      <c r="F27" s="1">
        <v>858469429</v>
      </c>
      <c r="G27" s="1">
        <v>14069429</v>
      </c>
      <c r="H27" s="1">
        <v>14069429</v>
      </c>
      <c r="I27" s="1">
        <v>1142669429</v>
      </c>
      <c r="J27" s="1">
        <v>14069429</v>
      </c>
      <c r="K27" s="1">
        <v>637069429</v>
      </c>
      <c r="L27" s="1">
        <v>80069429</v>
      </c>
      <c r="M27" s="1">
        <v>14069429</v>
      </c>
      <c r="N27" s="1">
        <v>14069429</v>
      </c>
    </row>
    <row r="28" spans="1:14" x14ac:dyDescent="0.4">
      <c r="A28" t="s">
        <v>366</v>
      </c>
      <c r="B28" t="s">
        <v>519</v>
      </c>
      <c r="C28" s="1">
        <v>0</v>
      </c>
      <c r="D28" s="1">
        <v>170000000</v>
      </c>
      <c r="E28" s="1">
        <v>85000000</v>
      </c>
      <c r="F28" s="1">
        <v>0</v>
      </c>
      <c r="G28" s="1">
        <v>340000000</v>
      </c>
      <c r="H28" s="1">
        <v>0</v>
      </c>
      <c r="I28" s="1">
        <v>0</v>
      </c>
      <c r="J28" s="1">
        <v>0</v>
      </c>
      <c r="K28" s="1">
        <v>0</v>
      </c>
      <c r="L28" s="1">
        <v>0</v>
      </c>
      <c r="M28" s="1">
        <v>0</v>
      </c>
      <c r="N28" s="1">
        <v>0</v>
      </c>
    </row>
    <row r="29" spans="1:14" x14ac:dyDescent="0.4">
      <c r="A29" t="s">
        <v>366</v>
      </c>
      <c r="B29" t="s">
        <v>520</v>
      </c>
      <c r="C29" s="1">
        <v>14500000</v>
      </c>
      <c r="D29" s="1">
        <v>14500000</v>
      </c>
      <c r="E29" s="1">
        <v>47500000</v>
      </c>
      <c r="F29" s="1">
        <v>14500000</v>
      </c>
      <c r="G29" s="1">
        <v>14500000</v>
      </c>
      <c r="H29" s="1">
        <v>46500000</v>
      </c>
      <c r="I29" s="1">
        <v>14500000</v>
      </c>
      <c r="J29" s="1">
        <v>14500000</v>
      </c>
      <c r="K29" s="1">
        <v>47500000</v>
      </c>
      <c r="L29" s="1">
        <v>14500000</v>
      </c>
      <c r="M29" s="1">
        <v>14500000</v>
      </c>
      <c r="N29" s="1">
        <v>46500000</v>
      </c>
    </row>
    <row r="30" spans="1:14" x14ac:dyDescent="0.4">
      <c r="A30" t="s">
        <v>310</v>
      </c>
      <c r="B30" t="s">
        <v>320</v>
      </c>
      <c r="C30" s="1">
        <v>9464817555.3919506</v>
      </c>
      <c r="D30" s="1">
        <v>8462059418.8857565</v>
      </c>
      <c r="E30" s="1">
        <v>9262748953.0123043</v>
      </c>
      <c r="F30" s="1">
        <v>7825555402.3831329</v>
      </c>
      <c r="G30" s="1">
        <v>7825555402.3831329</v>
      </c>
      <c r="H30" s="1">
        <v>7724865868.2565851</v>
      </c>
      <c r="I30" s="1">
        <v>7048267388.8584127</v>
      </c>
      <c r="J30" s="1">
        <v>7048267388.8584127</v>
      </c>
      <c r="K30" s="1">
        <v>7652404593.6177053</v>
      </c>
      <c r="L30" s="1">
        <v>6453094127.7442551</v>
      </c>
      <c r="M30" s="1">
        <v>6653783661.8708038</v>
      </c>
      <c r="N30" s="1">
        <v>6855162730.1239061</v>
      </c>
    </row>
    <row r="31" spans="1:14" x14ac:dyDescent="0.4">
      <c r="A31" t="s">
        <v>310</v>
      </c>
      <c r="B31" t="s">
        <v>311</v>
      </c>
      <c r="C31" s="1">
        <v>2263362151.7800703</v>
      </c>
      <c r="D31" s="1">
        <v>3436064834.4041367</v>
      </c>
      <c r="E31" s="1">
        <v>6994283601.3084087</v>
      </c>
      <c r="F31" s="1">
        <v>3196493772.3131065</v>
      </c>
      <c r="G31" s="1">
        <v>5294702946.3083076</v>
      </c>
      <c r="H31" s="1">
        <v>8356803977.7255697</v>
      </c>
      <c r="I31" s="1">
        <v>3394975438.0192719</v>
      </c>
      <c r="J31" s="1">
        <v>4581419779.2055149</v>
      </c>
      <c r="K31" s="1">
        <v>6869460599.8153791</v>
      </c>
      <c r="L31" s="1">
        <v>2894249781.3298092</v>
      </c>
      <c r="M31" s="1">
        <v>3481373560.4626589</v>
      </c>
      <c r="N31" s="1">
        <v>6502150677.3277578</v>
      </c>
    </row>
    <row r="32" spans="1:14" x14ac:dyDescent="0.4">
      <c r="A32" t="s">
        <v>310</v>
      </c>
      <c r="B32" t="s">
        <v>84</v>
      </c>
      <c r="C32" s="1">
        <v>1365802226.4135175</v>
      </c>
      <c r="D32" s="1">
        <v>745802226.41351724</v>
      </c>
      <c r="E32" s="1">
        <v>745802226.413517</v>
      </c>
      <c r="F32" s="1">
        <v>745802226.41351724</v>
      </c>
      <c r="G32" s="1">
        <v>745802226.41351724</v>
      </c>
      <c r="H32" s="1">
        <v>745802226.413517</v>
      </c>
      <c r="I32" s="1">
        <v>-530780264.97278309</v>
      </c>
      <c r="J32" s="1">
        <v>645802226.413517</v>
      </c>
      <c r="K32" s="1">
        <v>605802226.41351724</v>
      </c>
      <c r="L32" s="1">
        <v>365802226.41351712</v>
      </c>
      <c r="M32" s="1">
        <v>365802226.41351712</v>
      </c>
      <c r="N32" s="1">
        <v>445802226.413517</v>
      </c>
    </row>
    <row r="33" spans="1:15" x14ac:dyDescent="0.4">
      <c r="A33" t="s">
        <v>310</v>
      </c>
      <c r="B33" t="s">
        <v>316</v>
      </c>
      <c r="C33" s="1">
        <v>180000000</v>
      </c>
      <c r="D33" s="1">
        <v>270000000.00000006</v>
      </c>
      <c r="E33" s="1">
        <v>360000000</v>
      </c>
      <c r="F33" s="1">
        <v>450000000.00000012</v>
      </c>
      <c r="G33" s="1">
        <v>630000000.00000012</v>
      </c>
      <c r="H33" s="1">
        <v>810000000</v>
      </c>
      <c r="I33" s="1">
        <v>810000000</v>
      </c>
      <c r="J33" s="1">
        <v>900000000.00000024</v>
      </c>
      <c r="K33" s="1">
        <v>990000000</v>
      </c>
      <c r="L33" s="1">
        <v>900000000.00000024</v>
      </c>
      <c r="M33" s="1">
        <v>1260000000.0000002</v>
      </c>
      <c r="N33" s="1">
        <v>1440000000</v>
      </c>
    </row>
    <row r="34" spans="1:15" x14ac:dyDescent="0.4">
      <c r="A34" t="s">
        <v>310</v>
      </c>
      <c r="B34" t="s">
        <v>521</v>
      </c>
      <c r="C34" s="1">
        <v>0</v>
      </c>
      <c r="D34" s="1">
        <v>0</v>
      </c>
      <c r="E34" s="1">
        <v>0</v>
      </c>
      <c r="F34" s="1">
        <v>0</v>
      </c>
      <c r="G34" s="1">
        <v>0</v>
      </c>
      <c r="H34" s="1">
        <v>0</v>
      </c>
      <c r="I34" s="1">
        <v>0</v>
      </c>
      <c r="J34" s="1">
        <v>0</v>
      </c>
      <c r="K34" s="1">
        <v>0</v>
      </c>
      <c r="L34" s="1">
        <v>0</v>
      </c>
      <c r="M34" s="1">
        <v>0</v>
      </c>
      <c r="N34" s="1">
        <v>0</v>
      </c>
    </row>
    <row r="35" spans="1:15" x14ac:dyDescent="0.4">
      <c r="A35" t="s">
        <v>310</v>
      </c>
      <c r="B35" t="s">
        <v>522</v>
      </c>
      <c r="C35">
        <v>475000000</v>
      </c>
      <c r="D35">
        <v>26300000</v>
      </c>
      <c r="E35">
        <v>70750000</v>
      </c>
      <c r="F35">
        <v>35250000</v>
      </c>
      <c r="G35">
        <v>23750000</v>
      </c>
      <c r="H35">
        <v>217375000</v>
      </c>
      <c r="I35">
        <v>237500000</v>
      </c>
      <c r="J35">
        <v>35250000</v>
      </c>
      <c r="K35">
        <v>65000000</v>
      </c>
      <c r="L35">
        <v>475000000</v>
      </c>
      <c r="M35">
        <v>572400000</v>
      </c>
      <c r="N35">
        <v>272750000</v>
      </c>
    </row>
    <row r="36" spans="1:15" x14ac:dyDescent="0.4">
      <c r="A36" t="s">
        <v>523</v>
      </c>
      <c r="C36">
        <v>25787378904.69593</v>
      </c>
      <c r="D36">
        <v>26785415695.843884</v>
      </c>
      <c r="E36">
        <v>35000823335.065369</v>
      </c>
      <c r="F36">
        <v>30090871193.822601</v>
      </c>
      <c r="G36">
        <v>36658968760.792259</v>
      </c>
      <c r="H36">
        <v>44367011945.097168</v>
      </c>
      <c r="I36">
        <v>30767039669.69759</v>
      </c>
      <c r="J36">
        <v>32376810299.849903</v>
      </c>
      <c r="K36">
        <v>47000229870.070457</v>
      </c>
      <c r="L36">
        <v>28878903685.34853</v>
      </c>
      <c r="M36">
        <v>39810357876.55954</v>
      </c>
      <c r="N36">
        <v>48400459861.87384</v>
      </c>
    </row>
    <row r="42" spans="1:15" x14ac:dyDescent="0.4">
      <c r="A42" t="s">
        <v>524</v>
      </c>
      <c r="B42" t="s">
        <v>525</v>
      </c>
      <c r="C42">
        <v>1</v>
      </c>
      <c r="D42">
        <v>2</v>
      </c>
      <c r="E42">
        <v>3</v>
      </c>
      <c r="F42">
        <v>4</v>
      </c>
      <c r="G42">
        <v>5</v>
      </c>
      <c r="H42">
        <v>6</v>
      </c>
      <c r="I42">
        <v>7</v>
      </c>
      <c r="J42">
        <v>8</v>
      </c>
      <c r="K42">
        <v>9</v>
      </c>
      <c r="L42">
        <v>10</v>
      </c>
      <c r="M42">
        <v>11</v>
      </c>
      <c r="N42">
        <v>12</v>
      </c>
    </row>
    <row r="43" spans="1:15" x14ac:dyDescent="0.4">
      <c r="A43" t="s">
        <v>526</v>
      </c>
      <c r="B43" t="s">
        <v>527</v>
      </c>
      <c r="C43" s="1">
        <v>7840692631.6674509</v>
      </c>
      <c r="D43" s="1">
        <v>7504007383.1038132</v>
      </c>
      <c r="E43" s="1">
        <v>8574692336.6893063</v>
      </c>
      <c r="F43" s="1">
        <v>8127280934.9075661</v>
      </c>
      <c r="G43" s="1">
        <v>7900086130.6717615</v>
      </c>
      <c r="H43" s="1">
        <v>8234315500.4155722</v>
      </c>
      <c r="I43" s="1">
        <v>8227921173.5753393</v>
      </c>
      <c r="J43" s="1">
        <v>8257411404.8504162</v>
      </c>
      <c r="K43" s="1">
        <v>8184929619.8781004</v>
      </c>
      <c r="L43" s="1">
        <v>8294559366.8272953</v>
      </c>
      <c r="M43" s="1">
        <v>8543599150.6782722</v>
      </c>
      <c r="N43" s="1">
        <v>9306734720.4899254</v>
      </c>
      <c r="O43" t="e">
        <f>SUM(C43:N43)=#REF!+#REF!</f>
        <v>#REF!</v>
      </c>
    </row>
    <row r="44" spans="1:15" x14ac:dyDescent="0.4">
      <c r="A44" t="s">
        <v>528</v>
      </c>
      <c r="B44" t="s">
        <v>529</v>
      </c>
      <c r="C44" s="1">
        <v>7610835802.2137365</v>
      </c>
      <c r="D44" s="1">
        <v>7659628597.7799482</v>
      </c>
      <c r="E44" s="1">
        <v>8219587425.0245647</v>
      </c>
      <c r="F44" s="1">
        <v>7332604499.1766968</v>
      </c>
      <c r="G44" s="1">
        <v>8056045596.4316359</v>
      </c>
      <c r="H44" s="1">
        <v>8932580701.0029469</v>
      </c>
      <c r="I44" s="1">
        <v>7670377002.9847307</v>
      </c>
      <c r="J44" s="1">
        <v>8186092813.2137604</v>
      </c>
      <c r="K44" s="1">
        <v>8259375990.4670439</v>
      </c>
      <c r="L44" s="1">
        <v>8054955102.3079958</v>
      </c>
      <c r="M44" s="1">
        <v>8185618474.3871832</v>
      </c>
      <c r="N44" s="1">
        <v>8356511831.8028336</v>
      </c>
      <c r="O44" t="e">
        <f>SUM(C44:N44)=SUM(#REF!)</f>
        <v>#REF!</v>
      </c>
    </row>
    <row r="45" spans="1:15" x14ac:dyDescent="0.4">
      <c r="A45" t="s">
        <v>530</v>
      </c>
      <c r="B45" t="s">
        <v>531</v>
      </c>
      <c r="C45" s="1">
        <v>4256833582.9561729</v>
      </c>
      <c r="D45" s="1">
        <v>4555764085.2171535</v>
      </c>
      <c r="E45" s="1">
        <v>4886520098.8922815</v>
      </c>
      <c r="F45" s="1">
        <v>4038762422.6087976</v>
      </c>
      <c r="G45" s="1">
        <v>4846948033.3642645</v>
      </c>
      <c r="H45" s="1">
        <v>5396030579.0520716</v>
      </c>
      <c r="I45" s="1">
        <v>4450705930.2710886</v>
      </c>
      <c r="J45" s="1">
        <v>4926677423.6378136</v>
      </c>
      <c r="K45" s="1">
        <v>4995654330.0430965</v>
      </c>
      <c r="L45" s="1">
        <v>4786927171.0360489</v>
      </c>
      <c r="M45" s="1">
        <v>4908176494.2716675</v>
      </c>
      <c r="N45" s="1">
        <v>5074087620.7193174</v>
      </c>
    </row>
    <row r="46" spans="1:15" x14ac:dyDescent="0.4">
      <c r="A46" t="s">
        <v>532</v>
      </c>
      <c r="B46" t="s">
        <v>533</v>
      </c>
      <c r="C46" s="1">
        <v>1733026051.4652185</v>
      </c>
      <c r="D46" s="1">
        <v>1482625758.0424502</v>
      </c>
      <c r="E46" s="1">
        <v>1707123678.8839383</v>
      </c>
      <c r="F46" s="1">
        <v>1664268118.5915546</v>
      </c>
      <c r="G46" s="1">
        <v>1576364434.3630261</v>
      </c>
      <c r="H46" s="1">
        <v>1900186682.5185304</v>
      </c>
      <c r="I46" s="1">
        <v>1579677322.553299</v>
      </c>
      <c r="J46" s="1">
        <v>1615791328.6876025</v>
      </c>
      <c r="K46" s="1">
        <v>1615791328.6876025</v>
      </c>
      <c r="L46" s="1">
        <v>1615791328.6876025</v>
      </c>
      <c r="M46" s="1">
        <v>1630656957.3676023</v>
      </c>
      <c r="N46" s="1">
        <v>1630656957.3676023</v>
      </c>
    </row>
    <row r="47" spans="1:15" x14ac:dyDescent="0.4">
      <c r="A47" t="s">
        <v>534</v>
      </c>
      <c r="B47" t="s">
        <v>535</v>
      </c>
      <c r="C47" s="1">
        <v>1333289908.9103441</v>
      </c>
      <c r="D47" s="1">
        <v>1333289908.9103441</v>
      </c>
      <c r="E47" s="1">
        <v>1333289908.9103441</v>
      </c>
      <c r="F47" s="1">
        <v>1333289908.9103441</v>
      </c>
      <c r="G47" s="1">
        <v>1333289908.9103441</v>
      </c>
      <c r="H47" s="1">
        <v>1333289908.9103441</v>
      </c>
      <c r="I47" s="1">
        <v>1333289908.9103441</v>
      </c>
      <c r="J47" s="1">
        <v>1333289908.9103441</v>
      </c>
      <c r="K47" s="1">
        <v>1333289908.9103441</v>
      </c>
      <c r="L47" s="1">
        <v>1333289908.9103441</v>
      </c>
      <c r="M47" s="1">
        <v>1323532058.2259152</v>
      </c>
      <c r="N47" s="1">
        <v>1323532058.2259152</v>
      </c>
    </row>
    <row r="48" spans="1:15" x14ac:dyDescent="0.4">
      <c r="A48" t="s">
        <v>536</v>
      </c>
      <c r="B48" t="s">
        <v>537</v>
      </c>
      <c r="C48" s="1">
        <v>54616089.682000011</v>
      </c>
      <c r="D48" s="1">
        <v>55867056.410000011</v>
      </c>
      <c r="E48" s="1">
        <v>59199949.138000004</v>
      </c>
      <c r="F48" s="1">
        <v>62830259.866000004</v>
      </c>
      <c r="G48" s="1">
        <v>66460570.594000004</v>
      </c>
      <c r="H48" s="1">
        <v>70090881.321999997</v>
      </c>
      <c r="I48" s="1">
        <v>73721192.049999997</v>
      </c>
      <c r="J48" s="1">
        <v>77351502.777999997</v>
      </c>
      <c r="K48" s="1">
        <v>80981813.505999997</v>
      </c>
      <c r="L48" s="1">
        <v>84612124.234000012</v>
      </c>
      <c r="M48" s="1">
        <v>88242434.962000012</v>
      </c>
      <c r="N48" s="1">
        <v>91872745.690000013</v>
      </c>
    </row>
    <row r="49" spans="1:14" x14ac:dyDescent="0.4">
      <c r="A49" t="s">
        <v>538</v>
      </c>
      <c r="B49" t="s">
        <v>539</v>
      </c>
      <c r="C49" s="1">
        <v>154391160</v>
      </c>
      <c r="D49" s="1">
        <v>154391160</v>
      </c>
      <c r="E49" s="1">
        <v>155763160</v>
      </c>
      <c r="F49" s="1">
        <v>155763160</v>
      </c>
      <c r="G49" s="1">
        <v>155135960</v>
      </c>
      <c r="H49" s="1">
        <v>155135960</v>
      </c>
      <c r="I49" s="1">
        <v>155135960</v>
      </c>
      <c r="J49" s="1">
        <v>155135960</v>
      </c>
      <c r="K49" s="1">
        <v>155135960</v>
      </c>
      <c r="L49" s="1">
        <v>155135960</v>
      </c>
      <c r="M49" s="1">
        <v>155135960</v>
      </c>
      <c r="N49" s="1">
        <v>155135960</v>
      </c>
    </row>
    <row r="50" spans="1:14" x14ac:dyDescent="0.4">
      <c r="A50" t="s">
        <v>540</v>
      </c>
      <c r="B50" t="s">
        <v>541</v>
      </c>
      <c r="C50" s="1">
        <v>26609760</v>
      </c>
      <c r="D50" s="1">
        <v>25621380</v>
      </c>
      <c r="E50" s="1">
        <v>25621380</v>
      </c>
      <c r="F50" s="1">
        <v>25621380</v>
      </c>
      <c r="G50" s="1">
        <v>25777440</v>
      </c>
      <c r="H50" s="1">
        <v>25777440</v>
      </c>
      <c r="I50" s="1">
        <v>25777440</v>
      </c>
      <c r="J50" s="1">
        <v>25777440</v>
      </c>
      <c r="K50" s="1">
        <v>26453400.119999997</v>
      </c>
      <c r="L50" s="1">
        <v>27129360.240000002</v>
      </c>
      <c r="M50" s="1">
        <v>27805320.359999999</v>
      </c>
      <c r="N50" s="1">
        <v>29157240.600000001</v>
      </c>
    </row>
    <row r="51" spans="1:14" x14ac:dyDescent="0.4">
      <c r="A51" t="s">
        <v>542</v>
      </c>
      <c r="B51" t="s">
        <v>543</v>
      </c>
      <c r="C51" s="1">
        <v>52069249.199999988</v>
      </c>
      <c r="D51" s="1">
        <v>52069249.199999988</v>
      </c>
      <c r="E51" s="1">
        <v>52069249.199999988</v>
      </c>
      <c r="F51" s="1">
        <v>52069249.199999988</v>
      </c>
      <c r="G51" s="1">
        <v>52069249.199999988</v>
      </c>
      <c r="H51" s="1">
        <v>52069249.199999988</v>
      </c>
      <c r="I51" s="1">
        <v>52069249.199999988</v>
      </c>
      <c r="J51" s="1">
        <v>52069249.199999988</v>
      </c>
      <c r="K51" s="1">
        <v>52069249.199999988</v>
      </c>
      <c r="L51" s="1">
        <v>52069249.199999988</v>
      </c>
      <c r="M51" s="1">
        <v>52069249.199999988</v>
      </c>
      <c r="N51" s="1">
        <v>52069249.199999988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vt:i4>
      </vt:variant>
      <vt:variant>
        <vt:lpstr>이름 지정된 범위</vt:lpstr>
      </vt:variant>
      <vt:variant>
        <vt:i4>3</vt:i4>
      </vt:variant>
    </vt:vector>
  </HeadingPairs>
  <TitlesOfParts>
    <vt:vector size="11" baseType="lpstr">
      <vt:lpstr>요약(보고)</vt:lpstr>
      <vt:lpstr>상세 자료 작성</vt:lpstr>
      <vt:lpstr>2024년 계획</vt:lpstr>
      <vt:lpstr>연간 에상 (사장님보고)</vt:lpstr>
      <vt:lpstr>1분기 상세</vt:lpstr>
      <vt:lpstr>내재화</vt:lpstr>
      <vt:lpstr>셀트리온제약</vt:lpstr>
      <vt:lpstr>Sheet1</vt:lpstr>
      <vt:lpstr>'상세 자료 작성'!Print_Area</vt:lpstr>
      <vt:lpstr>'연간 에상 (사장님보고)'!Print_Area</vt:lpstr>
      <vt:lpstr>'요약(보고)'!Print_Area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sangmin.park(sangmin.park@celltrion.com)</dc:creator>
  <cp:keywords/>
  <dc:description/>
  <cp:lastModifiedBy>김형수</cp:lastModifiedBy>
  <cp:revision/>
  <cp:lastPrinted>2026-03-26T06:21:11Z</cp:lastPrinted>
  <dcterms:created xsi:type="dcterms:W3CDTF">2022-05-23T01:25:49Z</dcterms:created>
  <dcterms:modified xsi:type="dcterms:W3CDTF">2026-03-27T06:34:25Z</dcterms:modified>
  <cp:category/>
  <cp:contentStatus/>
</cp:coreProperties>
</file>