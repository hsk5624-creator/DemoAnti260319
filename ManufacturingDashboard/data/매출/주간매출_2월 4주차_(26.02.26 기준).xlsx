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2.26\"/>
    </mc:Choice>
  </mc:AlternateContent>
  <xr:revisionPtr revIDLastSave="0" documentId="13_ncr:1_{3E692C56-D446-45C2-85E9-C8FAC051506F}" xr6:coauthVersionLast="47" xr6:coauthVersionMax="47" xr10:uidLastSave="{00000000-0000-0000-0000-000000000000}"/>
  <bookViews>
    <workbookView xWindow="-108" yWindow="-108" windowWidth="23256" windowHeight="12456" tabRatio="825" xr2:uid="{00000000-000D-0000-FFFF-FFFF00000000}"/>
  </bookViews>
  <sheets>
    <sheet name="요약(보고)" sheetId="25" r:id="rId1"/>
    <sheet name="상세 자료 작성" sheetId="14" r:id="rId2"/>
    <sheet name="Hasten 단가 정보" sheetId="50" r:id="rId3"/>
    <sheet name="Sheet2" sheetId="49" r:id="rId4"/>
    <sheet name="상세 자료 작성 241025현실화" sheetId="48" r:id="rId5"/>
    <sheet name="2024년 계획_변경적용" sheetId="24" r:id="rId6"/>
    <sheet name="2024년 계획" sheetId="26" state="hidden" r:id="rId7"/>
    <sheet name="2023년 실적" sheetId="23" r:id="rId8"/>
    <sheet name="1분기 실적" sheetId="22" r:id="rId9"/>
    <sheet name="요약(보고) 241025현실화" sheetId="47" r:id="rId10"/>
    <sheet name="연간 에상 (사장님보고)" sheetId="18" state="hidden" r:id="rId11"/>
    <sheet name="1분기 상세" sheetId="13" state="hidden" r:id="rId12"/>
    <sheet name="내재화" sheetId="15" state="hidden" r:id="rId13"/>
    <sheet name="셀트리온제약" sheetId="2" state="hidden" r:id="rId14"/>
    <sheet name="Sheet1" sheetId="12" state="hidden" r:id="rId15"/>
  </sheets>
  <externalReferences>
    <externalReference r:id="rId16"/>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6"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6"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localSheetId="2" hidden="1">{#N/A,#N/A,TRUE,"경전'96(1)";#N/A,#N/A,TRUE,"경전'96 (2)"}</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localSheetId="2" hidden="1">{#N/A,#N/A,TRUE,"경전'96(1)";#N/A,#N/A,TRUE,"경전'96 (2)"}</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6" hidden="1">{#N/A,#N/A,FALSE,"단축1";#N/A,#N/A,FALSE,"단축2";#N/A,#N/A,FALSE,"단축3";#N/A,#N/A,FALSE,"장축";#N/A,#N/A,FALSE,"4WD"}</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localSheetId="2" hidden="1">{#N/A,#N/A,TRUE,"경전'96(1)";#N/A,#N/A,TRUE,"경전'96 (2)"}</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6" hidden="1">{#N/A,#N/A,FALSE,"단축1";#N/A,#N/A,FALSE,"단축2";#N/A,#N/A,FALSE,"단축3";#N/A,#N/A,FALSE,"장축";#N/A,#N/A,FALSE,"4WD"}</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localSheetId="2" hidden="1">{#N/A,#N/A,TRUE,"경전'96(1)";#N/A,#N/A,TRUE,"경전'96 (2)"}</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6" hidden="1">{#N/A,#N/A,FALSE,"단축1";#N/A,#N/A,FALSE,"단축2";#N/A,#N/A,FALSE,"단축3";#N/A,#N/A,FALSE,"장축";#N/A,#N/A,FALSE,"4WD"}</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localSheetId="2" hidden="1">{#N/A,#N/A,TRUE,"경전'96(1)";#N/A,#N/A,TRUE,"경전'96 (2)"}</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 localSheetId="2" hidden="1">{"'Sheet1'!$A$1:$H$36"}</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6" hidden="1">{#N/A,#N/A,FALSE,"단축1";#N/A,#N/A,FALSE,"단축2";#N/A,#N/A,FALSE,"단축3";#N/A,#N/A,FALSE,"장축";#N/A,#N/A,FALSE,"4WD"}</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6" hidden="1">{#N/A,#N/A,FALSE,"Aging Summary";#N/A,#N/A,FALSE,"Ratio Analysis";#N/A,#N/A,FALSE,"Test 120 Day Accts";#N/A,#N/A,FALSE,"Tickmarks"}</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6" hidden="1">{#N/A,#N/A,FALSE,"단축1";#N/A,#N/A,FALSE,"단축2";#N/A,#N/A,FALSE,"단축3";#N/A,#N/A,FALSE,"장축";#N/A,#N/A,FALSE,"4WD"}</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localSheetId="2" hidden="1">{#N/A,#N/A,TRUE,"경전'96(1)";#N/A,#N/A,TRUE,"경전'96 (2)"}</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6" hidden="1">{#N/A,#N/A,FALSE,"단축1";#N/A,#N/A,FALSE,"단축2";#N/A,#N/A,FALSE,"단축3";#N/A,#N/A,FALSE,"장축";#N/A,#N/A,FALSE,"4WD"}</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6" hidden="1">{#N/A,#N/A,FALSE,"단축1";#N/A,#N/A,FALSE,"단축2";#N/A,#N/A,FALSE,"단축3";#N/A,#N/A,FALSE,"장축";#N/A,#N/A,FALSE,"4WD"}</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localSheetId="2" hidden="1">{#N/A,#N/A,TRUE,"경전'96(1)";#N/A,#N/A,TRUE,"경전'96 (2)"}</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localSheetId="2" hidden="1">{#N/A,#N/A,FALSE,"UNIT";#N/A,#N/A,FALSE,"UNIT";#N/A,#N/A,FALSE,"계정"}</definedName>
    <definedName name="________s1" hidden="1">{#N/A,#N/A,FALSE,"UNIT";#N/A,#N/A,FALSE,"UNIT";#N/A,#N/A,FALSE,"계정"}</definedName>
    <definedName name="________s10" localSheetId="2" hidden="1">{#N/A,#N/A,FALSE,"UNIT";#N/A,#N/A,FALSE,"UNIT";#N/A,#N/A,FALSE,"계정"}</definedName>
    <definedName name="________s10" hidden="1">{#N/A,#N/A,FALSE,"UNIT";#N/A,#N/A,FALSE,"UNIT";#N/A,#N/A,FALSE,"계정"}</definedName>
    <definedName name="________s11" localSheetId="2" hidden="1">{#N/A,#N/A,FALSE,"UNIT";#N/A,#N/A,FALSE,"UNIT";#N/A,#N/A,FALSE,"계정"}</definedName>
    <definedName name="________s11" hidden="1">{#N/A,#N/A,FALSE,"UNIT";#N/A,#N/A,FALSE,"UNIT";#N/A,#N/A,FALSE,"계정"}</definedName>
    <definedName name="________s12" localSheetId="2" hidden="1">{#N/A,#N/A,FALSE,"UNIT";#N/A,#N/A,FALSE,"UNIT";#N/A,#N/A,FALSE,"계정"}</definedName>
    <definedName name="________s12" hidden="1">{#N/A,#N/A,FALSE,"UNIT";#N/A,#N/A,FALSE,"UNIT";#N/A,#N/A,FALSE,"계정"}</definedName>
    <definedName name="________s13" localSheetId="2" hidden="1">{#N/A,#N/A,FALSE,"UNIT";#N/A,#N/A,FALSE,"UNIT";#N/A,#N/A,FALSE,"계정"}</definedName>
    <definedName name="________s13" hidden="1">{#N/A,#N/A,FALSE,"UNIT";#N/A,#N/A,FALSE,"UNIT";#N/A,#N/A,FALSE,"계정"}</definedName>
    <definedName name="________s14" localSheetId="2" hidden="1">{#N/A,#N/A,FALSE,"UNIT";#N/A,#N/A,FALSE,"UNIT";#N/A,#N/A,FALSE,"계정"}</definedName>
    <definedName name="________s14" hidden="1">{#N/A,#N/A,FALSE,"UNIT";#N/A,#N/A,FALSE,"UNIT";#N/A,#N/A,FALSE,"계정"}</definedName>
    <definedName name="________s16" localSheetId="2" hidden="1">{#N/A,#N/A,FALSE,"UNIT";#N/A,#N/A,FALSE,"UNIT";#N/A,#N/A,FALSE,"계정"}</definedName>
    <definedName name="________s16" hidden="1">{#N/A,#N/A,FALSE,"UNIT";#N/A,#N/A,FALSE,"UNIT";#N/A,#N/A,FALSE,"계정"}</definedName>
    <definedName name="________s17" localSheetId="2" hidden="1">{#N/A,#N/A,FALSE,"UNIT";#N/A,#N/A,FALSE,"UNIT";#N/A,#N/A,FALSE,"계정"}</definedName>
    <definedName name="________s17" hidden="1">{#N/A,#N/A,FALSE,"UNIT";#N/A,#N/A,FALSE,"UNIT";#N/A,#N/A,FALSE,"계정"}</definedName>
    <definedName name="________s2" localSheetId="2" hidden="1">{#N/A,#N/A,FALSE,"UNIT";#N/A,#N/A,FALSE,"UNIT";#N/A,#N/A,FALSE,"계정"}</definedName>
    <definedName name="________s2" hidden="1">{#N/A,#N/A,FALSE,"UNIT";#N/A,#N/A,FALSE,"UNIT";#N/A,#N/A,FALSE,"계정"}</definedName>
    <definedName name="________s3" localSheetId="2" hidden="1">{#N/A,#N/A,FALSE,"UNIT";#N/A,#N/A,FALSE,"UNIT";#N/A,#N/A,FALSE,"계정"}</definedName>
    <definedName name="________s3" hidden="1">{#N/A,#N/A,FALSE,"UNIT";#N/A,#N/A,FALSE,"UNIT";#N/A,#N/A,FALSE,"계정"}</definedName>
    <definedName name="________s4" localSheetId="2" hidden="1">{#N/A,#N/A,FALSE,"UNIT";#N/A,#N/A,FALSE,"UNIT";#N/A,#N/A,FALSE,"계정"}</definedName>
    <definedName name="________s4" hidden="1">{#N/A,#N/A,FALSE,"UNIT";#N/A,#N/A,FALSE,"UNIT";#N/A,#N/A,FALSE,"계정"}</definedName>
    <definedName name="________s5" localSheetId="2" hidden="1">{#N/A,#N/A,FALSE,"UNIT";#N/A,#N/A,FALSE,"UNIT";#N/A,#N/A,FALSE,"계정"}</definedName>
    <definedName name="________s5" hidden="1">{#N/A,#N/A,FALSE,"UNIT";#N/A,#N/A,FALSE,"UNIT";#N/A,#N/A,FALSE,"계정"}</definedName>
    <definedName name="________s6" localSheetId="2" hidden="1">{#N/A,#N/A,FALSE,"UNIT";#N/A,#N/A,FALSE,"UNIT";#N/A,#N/A,FALSE,"계정"}</definedName>
    <definedName name="________s6" hidden="1">{#N/A,#N/A,FALSE,"UNIT";#N/A,#N/A,FALSE,"UNIT";#N/A,#N/A,FALSE,"계정"}</definedName>
    <definedName name="________s9" localSheetId="2" hidden="1">{#N/A,#N/A,FALSE,"UNIT";#N/A,#N/A,FALSE,"UNIT";#N/A,#N/A,FALSE,"계정"}</definedName>
    <definedName name="________s9" hidden="1">{#N/A,#N/A,FALSE,"UNIT";#N/A,#N/A,FALSE,"UNIT";#N/A,#N/A,FALSE,"계정"}</definedName>
    <definedName name="________SUM1" localSheetId="6" hidden="1">{#N/A,#N/A,FALSE,"단축1";#N/A,#N/A,FALSE,"단축2";#N/A,#N/A,FALSE,"단축3";#N/A,#N/A,FALSE,"장축";#N/A,#N/A,FALSE,"4WD"}</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localSheetId="2" hidden="1">{#N/A,#N/A,TRUE,"경전'96(1)";#N/A,#N/A,TRUE,"경전'96 (2)"}</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6" hidden="1">{#N/A,#N/A,FALSE,"단축1";#N/A,#N/A,FALSE,"단축2";#N/A,#N/A,FALSE,"단축3";#N/A,#N/A,FALSE,"장축";#N/A,#N/A,FALSE,"4WD"}</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6" hidden="1">{#N/A,#N/A,FALSE,"단축1";#N/A,#N/A,FALSE,"단축2";#N/A,#N/A,FALSE,"단축3";#N/A,#N/A,FALSE,"장축";#N/A,#N/A,FALSE,"4WD"}</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localSheetId="2" hidden="1">{#N/A,#N/A,TRUE,"경전'96(1)";#N/A,#N/A,TRUE,"경전'96 (2)"}</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localSheetId="2" hidden="1">{#N/A,#N/A,FALSE,"UNIT";#N/A,#N/A,FALSE,"UNIT";#N/A,#N/A,FALSE,"계정"}</definedName>
    <definedName name="______s1" hidden="1">{#N/A,#N/A,FALSE,"UNIT";#N/A,#N/A,FALSE,"UNIT";#N/A,#N/A,FALSE,"계정"}</definedName>
    <definedName name="______s10" localSheetId="2" hidden="1">{#N/A,#N/A,FALSE,"UNIT";#N/A,#N/A,FALSE,"UNIT";#N/A,#N/A,FALSE,"계정"}</definedName>
    <definedName name="______s10" hidden="1">{#N/A,#N/A,FALSE,"UNIT";#N/A,#N/A,FALSE,"UNIT";#N/A,#N/A,FALSE,"계정"}</definedName>
    <definedName name="______s11" localSheetId="2" hidden="1">{#N/A,#N/A,FALSE,"UNIT";#N/A,#N/A,FALSE,"UNIT";#N/A,#N/A,FALSE,"계정"}</definedName>
    <definedName name="______s11" hidden="1">{#N/A,#N/A,FALSE,"UNIT";#N/A,#N/A,FALSE,"UNIT";#N/A,#N/A,FALSE,"계정"}</definedName>
    <definedName name="______s12" localSheetId="2" hidden="1">{#N/A,#N/A,FALSE,"UNIT";#N/A,#N/A,FALSE,"UNIT";#N/A,#N/A,FALSE,"계정"}</definedName>
    <definedName name="______s12" hidden="1">{#N/A,#N/A,FALSE,"UNIT";#N/A,#N/A,FALSE,"UNIT";#N/A,#N/A,FALSE,"계정"}</definedName>
    <definedName name="______s13" localSheetId="2" hidden="1">{#N/A,#N/A,FALSE,"UNIT";#N/A,#N/A,FALSE,"UNIT";#N/A,#N/A,FALSE,"계정"}</definedName>
    <definedName name="______s13" hidden="1">{#N/A,#N/A,FALSE,"UNIT";#N/A,#N/A,FALSE,"UNIT";#N/A,#N/A,FALSE,"계정"}</definedName>
    <definedName name="______s14" localSheetId="2" hidden="1">{#N/A,#N/A,FALSE,"UNIT";#N/A,#N/A,FALSE,"UNIT";#N/A,#N/A,FALSE,"계정"}</definedName>
    <definedName name="______s14" hidden="1">{#N/A,#N/A,FALSE,"UNIT";#N/A,#N/A,FALSE,"UNIT";#N/A,#N/A,FALSE,"계정"}</definedName>
    <definedName name="______s16" localSheetId="2" hidden="1">{#N/A,#N/A,FALSE,"UNIT";#N/A,#N/A,FALSE,"UNIT";#N/A,#N/A,FALSE,"계정"}</definedName>
    <definedName name="______s16" hidden="1">{#N/A,#N/A,FALSE,"UNIT";#N/A,#N/A,FALSE,"UNIT";#N/A,#N/A,FALSE,"계정"}</definedName>
    <definedName name="______s17" localSheetId="2" hidden="1">{#N/A,#N/A,FALSE,"UNIT";#N/A,#N/A,FALSE,"UNIT";#N/A,#N/A,FALSE,"계정"}</definedName>
    <definedName name="______s17" hidden="1">{#N/A,#N/A,FALSE,"UNIT";#N/A,#N/A,FALSE,"UNIT";#N/A,#N/A,FALSE,"계정"}</definedName>
    <definedName name="______s2" localSheetId="2" hidden="1">{#N/A,#N/A,FALSE,"UNIT";#N/A,#N/A,FALSE,"UNIT";#N/A,#N/A,FALSE,"계정"}</definedName>
    <definedName name="______s2" hidden="1">{#N/A,#N/A,FALSE,"UNIT";#N/A,#N/A,FALSE,"UNIT";#N/A,#N/A,FALSE,"계정"}</definedName>
    <definedName name="______s3" localSheetId="2" hidden="1">{#N/A,#N/A,FALSE,"UNIT";#N/A,#N/A,FALSE,"UNIT";#N/A,#N/A,FALSE,"계정"}</definedName>
    <definedName name="______s3" hidden="1">{#N/A,#N/A,FALSE,"UNIT";#N/A,#N/A,FALSE,"UNIT";#N/A,#N/A,FALSE,"계정"}</definedName>
    <definedName name="______s4" localSheetId="2" hidden="1">{#N/A,#N/A,FALSE,"UNIT";#N/A,#N/A,FALSE,"UNIT";#N/A,#N/A,FALSE,"계정"}</definedName>
    <definedName name="______s4" hidden="1">{#N/A,#N/A,FALSE,"UNIT";#N/A,#N/A,FALSE,"UNIT";#N/A,#N/A,FALSE,"계정"}</definedName>
    <definedName name="______s5" localSheetId="2" hidden="1">{#N/A,#N/A,FALSE,"UNIT";#N/A,#N/A,FALSE,"UNIT";#N/A,#N/A,FALSE,"계정"}</definedName>
    <definedName name="______s5" hidden="1">{#N/A,#N/A,FALSE,"UNIT";#N/A,#N/A,FALSE,"UNIT";#N/A,#N/A,FALSE,"계정"}</definedName>
    <definedName name="______s6" localSheetId="2" hidden="1">{#N/A,#N/A,FALSE,"UNIT";#N/A,#N/A,FALSE,"UNIT";#N/A,#N/A,FALSE,"계정"}</definedName>
    <definedName name="______s6" hidden="1">{#N/A,#N/A,FALSE,"UNIT";#N/A,#N/A,FALSE,"UNIT";#N/A,#N/A,FALSE,"계정"}</definedName>
    <definedName name="______s9" localSheetId="2" hidden="1">{#N/A,#N/A,FALSE,"UNIT";#N/A,#N/A,FALSE,"UNIT";#N/A,#N/A,FALSE,"계정"}</definedName>
    <definedName name="______s9" hidden="1">{#N/A,#N/A,FALSE,"UNIT";#N/A,#N/A,FALSE,"UNIT";#N/A,#N/A,FALSE,"계정"}</definedName>
    <definedName name="______SUM1" localSheetId="6" hidden="1">{#N/A,#N/A,FALSE,"단축1";#N/A,#N/A,FALSE,"단축2";#N/A,#N/A,FALSE,"단축3";#N/A,#N/A,FALSE,"장축";#N/A,#N/A,FALSE,"4WD"}</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6" hidden="1">{#N/A,#N/A,FALSE,"단축1";#N/A,#N/A,FALSE,"단축2";#N/A,#N/A,FALSE,"단축3";#N/A,#N/A,FALSE,"장축";#N/A,#N/A,FALSE,"4WD"}</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localSheetId="2" hidden="1">{#N/A,#N/A,TRUE,"경전'96(1)";#N/A,#N/A,TRUE,"경전'96 (2)"}</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6" hidden="1">{#N/A,#N/A,FALSE,"단축1";#N/A,#N/A,FALSE,"단축2";#N/A,#N/A,FALSE,"단축3";#N/A,#N/A,FALSE,"장축";#N/A,#N/A,FALSE,"4WD"}</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6" hidden="1">{#N/A,#N/A,FALSE,"단축1";#N/A,#N/A,FALSE,"단축2";#N/A,#N/A,FALSE,"단축3";#N/A,#N/A,FALSE,"장축";#N/A,#N/A,FALSE,"4WD"}</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localSheetId="2" hidden="1">{#N/A,#N/A,TRUE,"경전'96(1)";#N/A,#N/A,TRUE,"경전'96 (2)"}</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localSheetId="2" hidden="1">{#N/A,#N/A,FALSE,"UNIT";#N/A,#N/A,FALSE,"UNIT";#N/A,#N/A,FALSE,"계정"}</definedName>
    <definedName name="____s1" hidden="1">{#N/A,#N/A,FALSE,"UNIT";#N/A,#N/A,FALSE,"UNIT";#N/A,#N/A,FALSE,"계정"}</definedName>
    <definedName name="____s10" localSheetId="2" hidden="1">{#N/A,#N/A,FALSE,"UNIT";#N/A,#N/A,FALSE,"UNIT";#N/A,#N/A,FALSE,"계정"}</definedName>
    <definedName name="____s10" hidden="1">{#N/A,#N/A,FALSE,"UNIT";#N/A,#N/A,FALSE,"UNIT";#N/A,#N/A,FALSE,"계정"}</definedName>
    <definedName name="____s11" localSheetId="2" hidden="1">{#N/A,#N/A,FALSE,"UNIT";#N/A,#N/A,FALSE,"UNIT";#N/A,#N/A,FALSE,"계정"}</definedName>
    <definedName name="____s11" hidden="1">{#N/A,#N/A,FALSE,"UNIT";#N/A,#N/A,FALSE,"UNIT";#N/A,#N/A,FALSE,"계정"}</definedName>
    <definedName name="____s12" localSheetId="2" hidden="1">{#N/A,#N/A,FALSE,"UNIT";#N/A,#N/A,FALSE,"UNIT";#N/A,#N/A,FALSE,"계정"}</definedName>
    <definedName name="____s12" hidden="1">{#N/A,#N/A,FALSE,"UNIT";#N/A,#N/A,FALSE,"UNIT";#N/A,#N/A,FALSE,"계정"}</definedName>
    <definedName name="____s13" localSheetId="2" hidden="1">{#N/A,#N/A,FALSE,"UNIT";#N/A,#N/A,FALSE,"UNIT";#N/A,#N/A,FALSE,"계정"}</definedName>
    <definedName name="____s13" hidden="1">{#N/A,#N/A,FALSE,"UNIT";#N/A,#N/A,FALSE,"UNIT";#N/A,#N/A,FALSE,"계정"}</definedName>
    <definedName name="____s14" localSheetId="2" hidden="1">{#N/A,#N/A,FALSE,"UNIT";#N/A,#N/A,FALSE,"UNIT";#N/A,#N/A,FALSE,"계정"}</definedName>
    <definedName name="____s14" hidden="1">{#N/A,#N/A,FALSE,"UNIT";#N/A,#N/A,FALSE,"UNIT";#N/A,#N/A,FALSE,"계정"}</definedName>
    <definedName name="____s16" localSheetId="2" hidden="1">{#N/A,#N/A,FALSE,"UNIT";#N/A,#N/A,FALSE,"UNIT";#N/A,#N/A,FALSE,"계정"}</definedName>
    <definedName name="____s16" hidden="1">{#N/A,#N/A,FALSE,"UNIT";#N/A,#N/A,FALSE,"UNIT";#N/A,#N/A,FALSE,"계정"}</definedName>
    <definedName name="____s17" localSheetId="2" hidden="1">{#N/A,#N/A,FALSE,"UNIT";#N/A,#N/A,FALSE,"UNIT";#N/A,#N/A,FALSE,"계정"}</definedName>
    <definedName name="____s17" hidden="1">{#N/A,#N/A,FALSE,"UNIT";#N/A,#N/A,FALSE,"UNIT";#N/A,#N/A,FALSE,"계정"}</definedName>
    <definedName name="____s2" localSheetId="2" hidden="1">{#N/A,#N/A,FALSE,"UNIT";#N/A,#N/A,FALSE,"UNIT";#N/A,#N/A,FALSE,"계정"}</definedName>
    <definedName name="____s2" hidden="1">{#N/A,#N/A,FALSE,"UNIT";#N/A,#N/A,FALSE,"UNIT";#N/A,#N/A,FALSE,"계정"}</definedName>
    <definedName name="____s3" localSheetId="2" hidden="1">{#N/A,#N/A,FALSE,"UNIT";#N/A,#N/A,FALSE,"UNIT";#N/A,#N/A,FALSE,"계정"}</definedName>
    <definedName name="____s3" hidden="1">{#N/A,#N/A,FALSE,"UNIT";#N/A,#N/A,FALSE,"UNIT";#N/A,#N/A,FALSE,"계정"}</definedName>
    <definedName name="____s4" localSheetId="2" hidden="1">{#N/A,#N/A,FALSE,"UNIT";#N/A,#N/A,FALSE,"UNIT";#N/A,#N/A,FALSE,"계정"}</definedName>
    <definedName name="____s4" hidden="1">{#N/A,#N/A,FALSE,"UNIT";#N/A,#N/A,FALSE,"UNIT";#N/A,#N/A,FALSE,"계정"}</definedName>
    <definedName name="____s5" localSheetId="2" hidden="1">{#N/A,#N/A,FALSE,"UNIT";#N/A,#N/A,FALSE,"UNIT";#N/A,#N/A,FALSE,"계정"}</definedName>
    <definedName name="____s5" hidden="1">{#N/A,#N/A,FALSE,"UNIT";#N/A,#N/A,FALSE,"UNIT";#N/A,#N/A,FALSE,"계정"}</definedName>
    <definedName name="____s6" localSheetId="2" hidden="1">{#N/A,#N/A,FALSE,"UNIT";#N/A,#N/A,FALSE,"UNIT";#N/A,#N/A,FALSE,"계정"}</definedName>
    <definedName name="____s6" hidden="1">{#N/A,#N/A,FALSE,"UNIT";#N/A,#N/A,FALSE,"UNIT";#N/A,#N/A,FALSE,"계정"}</definedName>
    <definedName name="____s9" localSheetId="2" hidden="1">{#N/A,#N/A,FALSE,"UNIT";#N/A,#N/A,FALSE,"UNIT";#N/A,#N/A,FALSE,"계정"}</definedName>
    <definedName name="____s9" hidden="1">{#N/A,#N/A,FALSE,"UNIT";#N/A,#N/A,FALSE,"UNIT";#N/A,#N/A,FALSE,"계정"}</definedName>
    <definedName name="____SUM1" localSheetId="6" hidden="1">{#N/A,#N/A,FALSE,"단축1";#N/A,#N/A,FALSE,"단축2";#N/A,#N/A,FALSE,"단축3";#N/A,#N/A,FALSE,"장축";#N/A,#N/A,FALSE,"4WD"}</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6" hidden="1">{#N/A,#N/A,FALSE,"단축1";#N/A,#N/A,FALSE,"단축2";#N/A,#N/A,FALSE,"단축3";#N/A,#N/A,FALSE,"장축";#N/A,#N/A,FALSE,"4WD"}</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localSheetId="2" hidden="1">{#N/A,#N/A,TRUE,"경전'96(1)";#N/A,#N/A,TRUE,"경전'96 (2)"}</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6" hidden="1">{#N/A,#N/A,FALSE,"UNIT";#N/A,#N/A,FALSE,"UNIT";#N/A,#N/A,FALSE,"계정"}</definedName>
    <definedName name="___s1" localSheetId="2" hidden="1">{#N/A,#N/A,FALSE,"UNIT";#N/A,#N/A,FALSE,"UNIT";#N/A,#N/A,FALSE,"계정"}</definedName>
    <definedName name="___s1" hidden="1">{#N/A,#N/A,FALSE,"UNIT";#N/A,#N/A,FALSE,"UNIT";#N/A,#N/A,FALSE,"계정"}</definedName>
    <definedName name="___s10" localSheetId="6" hidden="1">{#N/A,#N/A,FALSE,"UNIT";#N/A,#N/A,FALSE,"UNIT";#N/A,#N/A,FALSE,"계정"}</definedName>
    <definedName name="___s10" localSheetId="2" hidden="1">{#N/A,#N/A,FALSE,"UNIT";#N/A,#N/A,FALSE,"UNIT";#N/A,#N/A,FALSE,"계정"}</definedName>
    <definedName name="___s10" hidden="1">{#N/A,#N/A,FALSE,"UNIT";#N/A,#N/A,FALSE,"UNIT";#N/A,#N/A,FALSE,"계정"}</definedName>
    <definedName name="___s11" localSheetId="6" hidden="1">{#N/A,#N/A,FALSE,"UNIT";#N/A,#N/A,FALSE,"UNIT";#N/A,#N/A,FALSE,"계정"}</definedName>
    <definedName name="___s11" localSheetId="2" hidden="1">{#N/A,#N/A,FALSE,"UNIT";#N/A,#N/A,FALSE,"UNIT";#N/A,#N/A,FALSE,"계정"}</definedName>
    <definedName name="___s11" hidden="1">{#N/A,#N/A,FALSE,"UNIT";#N/A,#N/A,FALSE,"UNIT";#N/A,#N/A,FALSE,"계정"}</definedName>
    <definedName name="___s12" localSheetId="6" hidden="1">{#N/A,#N/A,FALSE,"UNIT";#N/A,#N/A,FALSE,"UNIT";#N/A,#N/A,FALSE,"계정"}</definedName>
    <definedName name="___s12" localSheetId="2" hidden="1">{#N/A,#N/A,FALSE,"UNIT";#N/A,#N/A,FALSE,"UNIT";#N/A,#N/A,FALSE,"계정"}</definedName>
    <definedName name="___s12" hidden="1">{#N/A,#N/A,FALSE,"UNIT";#N/A,#N/A,FALSE,"UNIT";#N/A,#N/A,FALSE,"계정"}</definedName>
    <definedName name="___s13" localSheetId="6" hidden="1">{#N/A,#N/A,FALSE,"UNIT";#N/A,#N/A,FALSE,"UNIT";#N/A,#N/A,FALSE,"계정"}</definedName>
    <definedName name="___s13" localSheetId="2" hidden="1">{#N/A,#N/A,FALSE,"UNIT";#N/A,#N/A,FALSE,"UNIT";#N/A,#N/A,FALSE,"계정"}</definedName>
    <definedName name="___s13" hidden="1">{#N/A,#N/A,FALSE,"UNIT";#N/A,#N/A,FALSE,"UNIT";#N/A,#N/A,FALSE,"계정"}</definedName>
    <definedName name="___s14" localSheetId="6" hidden="1">{#N/A,#N/A,FALSE,"UNIT";#N/A,#N/A,FALSE,"UNIT";#N/A,#N/A,FALSE,"계정"}</definedName>
    <definedName name="___s14" localSheetId="2" hidden="1">{#N/A,#N/A,FALSE,"UNIT";#N/A,#N/A,FALSE,"UNIT";#N/A,#N/A,FALSE,"계정"}</definedName>
    <definedName name="___s14" hidden="1">{#N/A,#N/A,FALSE,"UNIT";#N/A,#N/A,FALSE,"UNIT";#N/A,#N/A,FALSE,"계정"}</definedName>
    <definedName name="___s16" localSheetId="6" hidden="1">{#N/A,#N/A,FALSE,"UNIT";#N/A,#N/A,FALSE,"UNIT";#N/A,#N/A,FALSE,"계정"}</definedName>
    <definedName name="___s16" localSheetId="2" hidden="1">{#N/A,#N/A,FALSE,"UNIT";#N/A,#N/A,FALSE,"UNIT";#N/A,#N/A,FALSE,"계정"}</definedName>
    <definedName name="___s16" hidden="1">{#N/A,#N/A,FALSE,"UNIT";#N/A,#N/A,FALSE,"UNIT";#N/A,#N/A,FALSE,"계정"}</definedName>
    <definedName name="___s17" localSheetId="6" hidden="1">{#N/A,#N/A,FALSE,"UNIT";#N/A,#N/A,FALSE,"UNIT";#N/A,#N/A,FALSE,"계정"}</definedName>
    <definedName name="___s17" localSheetId="2" hidden="1">{#N/A,#N/A,FALSE,"UNIT";#N/A,#N/A,FALSE,"UNIT";#N/A,#N/A,FALSE,"계정"}</definedName>
    <definedName name="___s17" hidden="1">{#N/A,#N/A,FALSE,"UNIT";#N/A,#N/A,FALSE,"UNIT";#N/A,#N/A,FALSE,"계정"}</definedName>
    <definedName name="___s2" localSheetId="6" hidden="1">{#N/A,#N/A,FALSE,"UNIT";#N/A,#N/A,FALSE,"UNIT";#N/A,#N/A,FALSE,"계정"}</definedName>
    <definedName name="___s2" localSheetId="2" hidden="1">{#N/A,#N/A,FALSE,"UNIT";#N/A,#N/A,FALSE,"UNIT";#N/A,#N/A,FALSE,"계정"}</definedName>
    <definedName name="___s2" hidden="1">{#N/A,#N/A,FALSE,"UNIT";#N/A,#N/A,FALSE,"UNIT";#N/A,#N/A,FALSE,"계정"}</definedName>
    <definedName name="___s3" localSheetId="6" hidden="1">{#N/A,#N/A,FALSE,"UNIT";#N/A,#N/A,FALSE,"UNIT";#N/A,#N/A,FALSE,"계정"}</definedName>
    <definedName name="___s3" localSheetId="2" hidden="1">{#N/A,#N/A,FALSE,"UNIT";#N/A,#N/A,FALSE,"UNIT";#N/A,#N/A,FALSE,"계정"}</definedName>
    <definedName name="___s3" hidden="1">{#N/A,#N/A,FALSE,"UNIT";#N/A,#N/A,FALSE,"UNIT";#N/A,#N/A,FALSE,"계정"}</definedName>
    <definedName name="___s4" localSheetId="6" hidden="1">{#N/A,#N/A,FALSE,"UNIT";#N/A,#N/A,FALSE,"UNIT";#N/A,#N/A,FALSE,"계정"}</definedName>
    <definedName name="___s4" localSheetId="2" hidden="1">{#N/A,#N/A,FALSE,"UNIT";#N/A,#N/A,FALSE,"UNIT";#N/A,#N/A,FALSE,"계정"}</definedName>
    <definedName name="___s4" hidden="1">{#N/A,#N/A,FALSE,"UNIT";#N/A,#N/A,FALSE,"UNIT";#N/A,#N/A,FALSE,"계정"}</definedName>
    <definedName name="___s5" localSheetId="6" hidden="1">{#N/A,#N/A,FALSE,"UNIT";#N/A,#N/A,FALSE,"UNIT";#N/A,#N/A,FALSE,"계정"}</definedName>
    <definedName name="___s5" localSheetId="2" hidden="1">{#N/A,#N/A,FALSE,"UNIT";#N/A,#N/A,FALSE,"UNIT";#N/A,#N/A,FALSE,"계정"}</definedName>
    <definedName name="___s5" hidden="1">{#N/A,#N/A,FALSE,"UNIT";#N/A,#N/A,FALSE,"UNIT";#N/A,#N/A,FALSE,"계정"}</definedName>
    <definedName name="___s6" localSheetId="6" hidden="1">{#N/A,#N/A,FALSE,"UNIT";#N/A,#N/A,FALSE,"UNIT";#N/A,#N/A,FALSE,"계정"}</definedName>
    <definedName name="___s6" localSheetId="2" hidden="1">{#N/A,#N/A,FALSE,"UNIT";#N/A,#N/A,FALSE,"UNIT";#N/A,#N/A,FALSE,"계정"}</definedName>
    <definedName name="___s6" hidden="1">{#N/A,#N/A,FALSE,"UNIT";#N/A,#N/A,FALSE,"UNIT";#N/A,#N/A,FALSE,"계정"}</definedName>
    <definedName name="___s9" localSheetId="6" hidden="1">{#N/A,#N/A,FALSE,"UNIT";#N/A,#N/A,FALSE,"UNIT";#N/A,#N/A,FALSE,"계정"}</definedName>
    <definedName name="___s9" localSheetId="2" hidden="1">{#N/A,#N/A,FALSE,"UNIT";#N/A,#N/A,FALSE,"UNIT";#N/A,#N/A,FALSE,"계정"}</definedName>
    <definedName name="___s9" hidden="1">{#N/A,#N/A,FALSE,"UNIT";#N/A,#N/A,FALSE,"UNIT";#N/A,#N/A,FALSE,"계정"}</definedName>
    <definedName name="___SUM1" localSheetId="6" hidden="1">{#N/A,#N/A,FALSE,"단축1";#N/A,#N/A,FALSE,"단축2";#N/A,#N/A,FALSE,"단축3";#N/A,#N/A,FALSE,"장축";#N/A,#N/A,FALSE,"4WD"}</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6" hidden="1">{#N/A,#N/A,FALSE,"Aging Summary";#N/A,#N/A,FALSE,"Ratio Analysis";#N/A,#N/A,FALSE,"Test 120 Day Accts";#N/A,#N/A,FALSE,"Tickmarks"}</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6" hidden="1">{#N/A,#N/A,FALSE,"단축1";#N/A,#N/A,FALSE,"단축2";#N/A,#N/A,FALSE,"단축3";#N/A,#N/A,FALSE,"장축";#N/A,#N/A,FALSE,"4WD"}</definedName>
    <definedName name="__A3" localSheetId="2" hidden="1">{#N/A,#N/A,FALSE,"단축1";#N/A,#N/A,FALSE,"단축2";#N/A,#N/A,FALSE,"단축3";#N/A,#N/A,FALSE,"장축";#N/A,#N/A,FALSE,"4WD"}</definedName>
    <definedName name="__A3" hidden="1">{#N/A,#N/A,FALSE,"단축1";#N/A,#N/A,FALSE,"단축2";#N/A,#N/A,FALSE,"단축3";#N/A,#N/A,FALSE,"장축";#N/A,#N/A,FALSE,"4WD"}</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localSheetId="2" hidden="1">{#N/A,#N/A,TRUE,"경전'96(1)";#N/A,#N/A,TRUE,"경전'96 (2)"}</definedName>
    <definedName name="__AAA1" hidden="1">{#N/A,#N/A,TRUE,"경전'96(1)";#N/A,#N/A,TRUE,"경전'96 (2)"}</definedName>
    <definedName name="__aaa2" localSheetId="6" hidden="1">{#N/A,#N/A,FALSE,"Aging Summary";#N/A,#N/A,FALSE,"Ratio Analysis";#N/A,#N/A,FALSE,"Test 120 Day Accts";#N/A,#N/A,FALSE,"Tickmarks"}</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6" hidden="1">{#N/A,#N/A,FALSE,"BS";#N/A,#N/A,FALSE,"PL";#N/A,#N/A,FALSE,"A";#N/A,#N/A,FALSE,"B";#N/A,#N/A,FALSE,"B1";#N/A,#N/A,FALSE,"C";#N/A,#N/A,FALSE,"C1";#N/A,#N/A,FALSE,"C2";#N/A,#N/A,FALSE,"D";#N/A,#N/A,FALSE,"E";#N/A,#N/A,FALSE,"F";#N/A,#N/A,FALSE,"AA";#N/A,#N/A,FALSE,"BB";#N/A,#N/A,FALSE,"CC";#N/A,#N/A,FALSE,"DD";#N/A,#N/A,FALSE,"EE";#N/A,#N/A,FALSE,"FF";#N/A,#N/A,FALSE,"PL10";#N/A,#N/A,FALSE,"PL20";#N/A,#N/A,FALSE,"PL30"}</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6"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localSheetId="2" hidden="1">{42,43,44,45,40,30,31,33,32,28,23,24,25,26,22,27,21,20,19,18,17,16,13,6,14,15,1,2}</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6" hidden="1">{#N/A,#N/A,TRUE,"매출진척-1";#N/A,#N/A,TRUE,"매출진척-2";#N/A,#N/A,TRUE,"제품실적";#N/A,#N/A,TRUE,"RAC";#N/A,#N/A,TRUE,"PAC ";#N/A,#N/A,TRUE,"재고현황";#N/A,#N/A,TRUE,"공지사항"}</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6"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localSheetId="2" hidden="1">{#N/A,#N/A,FALSE,"UNIT";#N/A,#N/A,FALSE,"UNIT";#N/A,#N/A,FALSE,"계정"}</definedName>
    <definedName name="__s1" hidden="1">{#N/A,#N/A,FALSE,"UNIT";#N/A,#N/A,FALSE,"UNIT";#N/A,#N/A,FALSE,"계정"}</definedName>
    <definedName name="__s10" localSheetId="2" hidden="1">{#N/A,#N/A,FALSE,"UNIT";#N/A,#N/A,FALSE,"UNIT";#N/A,#N/A,FALSE,"계정"}</definedName>
    <definedName name="__s10" hidden="1">{#N/A,#N/A,FALSE,"UNIT";#N/A,#N/A,FALSE,"UNIT";#N/A,#N/A,FALSE,"계정"}</definedName>
    <definedName name="__s11" localSheetId="2" hidden="1">{#N/A,#N/A,FALSE,"UNIT";#N/A,#N/A,FALSE,"UNIT";#N/A,#N/A,FALSE,"계정"}</definedName>
    <definedName name="__s11" hidden="1">{#N/A,#N/A,FALSE,"UNIT";#N/A,#N/A,FALSE,"UNIT";#N/A,#N/A,FALSE,"계정"}</definedName>
    <definedName name="__s12" localSheetId="2" hidden="1">{#N/A,#N/A,FALSE,"UNIT";#N/A,#N/A,FALSE,"UNIT";#N/A,#N/A,FALSE,"계정"}</definedName>
    <definedName name="__s12" hidden="1">{#N/A,#N/A,FALSE,"UNIT";#N/A,#N/A,FALSE,"UNIT";#N/A,#N/A,FALSE,"계정"}</definedName>
    <definedName name="__s13" localSheetId="2" hidden="1">{#N/A,#N/A,FALSE,"UNIT";#N/A,#N/A,FALSE,"UNIT";#N/A,#N/A,FALSE,"계정"}</definedName>
    <definedName name="__s13" hidden="1">{#N/A,#N/A,FALSE,"UNIT";#N/A,#N/A,FALSE,"UNIT";#N/A,#N/A,FALSE,"계정"}</definedName>
    <definedName name="__s14" localSheetId="2" hidden="1">{#N/A,#N/A,FALSE,"UNIT";#N/A,#N/A,FALSE,"UNIT";#N/A,#N/A,FALSE,"계정"}</definedName>
    <definedName name="__s14" hidden="1">{#N/A,#N/A,FALSE,"UNIT";#N/A,#N/A,FALSE,"UNIT";#N/A,#N/A,FALSE,"계정"}</definedName>
    <definedName name="__s16" localSheetId="2" hidden="1">{#N/A,#N/A,FALSE,"UNIT";#N/A,#N/A,FALSE,"UNIT";#N/A,#N/A,FALSE,"계정"}</definedName>
    <definedName name="__s16" hidden="1">{#N/A,#N/A,FALSE,"UNIT";#N/A,#N/A,FALSE,"UNIT";#N/A,#N/A,FALSE,"계정"}</definedName>
    <definedName name="__s17" localSheetId="2" hidden="1">{#N/A,#N/A,FALSE,"UNIT";#N/A,#N/A,FALSE,"UNIT";#N/A,#N/A,FALSE,"계정"}</definedName>
    <definedName name="__s17" hidden="1">{#N/A,#N/A,FALSE,"UNIT";#N/A,#N/A,FALSE,"UNIT";#N/A,#N/A,FALSE,"계정"}</definedName>
    <definedName name="__s2" localSheetId="2" hidden="1">{#N/A,#N/A,FALSE,"UNIT";#N/A,#N/A,FALSE,"UNIT";#N/A,#N/A,FALSE,"계정"}</definedName>
    <definedName name="__s2" hidden="1">{#N/A,#N/A,FALSE,"UNIT";#N/A,#N/A,FALSE,"UNIT";#N/A,#N/A,FALSE,"계정"}</definedName>
    <definedName name="__s3" localSheetId="2" hidden="1">{#N/A,#N/A,FALSE,"UNIT";#N/A,#N/A,FALSE,"UNIT";#N/A,#N/A,FALSE,"계정"}</definedName>
    <definedName name="__s3" hidden="1">{#N/A,#N/A,FALSE,"UNIT";#N/A,#N/A,FALSE,"UNIT";#N/A,#N/A,FALSE,"계정"}</definedName>
    <definedName name="__s4" localSheetId="2" hidden="1">{#N/A,#N/A,FALSE,"UNIT";#N/A,#N/A,FALSE,"UNIT";#N/A,#N/A,FALSE,"계정"}</definedName>
    <definedName name="__s4" hidden="1">{#N/A,#N/A,FALSE,"UNIT";#N/A,#N/A,FALSE,"UNIT";#N/A,#N/A,FALSE,"계정"}</definedName>
    <definedName name="__s5" localSheetId="2" hidden="1">{#N/A,#N/A,FALSE,"UNIT";#N/A,#N/A,FALSE,"UNIT";#N/A,#N/A,FALSE,"계정"}</definedName>
    <definedName name="__s5" hidden="1">{#N/A,#N/A,FALSE,"UNIT";#N/A,#N/A,FALSE,"UNIT";#N/A,#N/A,FALSE,"계정"}</definedName>
    <definedName name="__s6" localSheetId="2" hidden="1">{#N/A,#N/A,FALSE,"UNIT";#N/A,#N/A,FALSE,"UNIT";#N/A,#N/A,FALSE,"계정"}</definedName>
    <definedName name="__s6" hidden="1">{#N/A,#N/A,FALSE,"UNIT";#N/A,#N/A,FALSE,"UNIT";#N/A,#N/A,FALSE,"계정"}</definedName>
    <definedName name="__s9" localSheetId="2" hidden="1">{#N/A,#N/A,FALSE,"UNIT";#N/A,#N/A,FALSE,"UNIT";#N/A,#N/A,FALSE,"계정"}</definedName>
    <definedName name="__s9" hidden="1">{#N/A,#N/A,FALSE,"UNIT";#N/A,#N/A,FALSE,"UNIT";#N/A,#N/A,FALSE,"계정"}</definedName>
    <definedName name="__SUM1" localSheetId="6" hidden="1">{#N/A,#N/A,FALSE,"단축1";#N/A,#N/A,FALSE,"단축2";#N/A,#N/A,FALSE,"단축3";#N/A,#N/A,FALSE,"장축";#N/A,#N/A,FALSE,"4WD"}</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 localSheetId="2">{"'tel2'!$B$29:$J$45","'tel2'!$A$5:$G$19","'tel2'!$B$50:$F$57","'tel2'!$B$105:$G$110","'tel2'!$B$63:$H$85","'tel2'!$B$14:$G$18","'tel2'!$B$29:$C$29"}</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6" hidden="1">{#N/A,#N/A,FALSE,"Aging Summary";#N/A,#N/A,FALSE,"Ratio Analysis";#N/A,#N/A,FALSE,"Test 120 Day Accts";#N/A,#N/A,FALSE,"Tickmarks"}</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localSheetId="2"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localSheetId="2"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6" hidden="1">{#N/A,#N/A,FALSE,"UNIT";#N/A,#N/A,FALSE,"UNIT";#N/A,#N/A,FALSE,"계정"}</definedName>
    <definedName name="_104s1_" localSheetId="2" hidden="1">{#N/A,#N/A,FALSE,"UNIT";#N/A,#N/A,FALSE,"UNIT";#N/A,#N/A,FALSE,"계정"}</definedName>
    <definedName name="_104s1_" hidden="1">{#N/A,#N/A,FALSE,"UNIT";#N/A,#N/A,FALSE,"UNIT";#N/A,#N/A,FALSE,"계정"}</definedName>
    <definedName name="_105s10_" localSheetId="6"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6"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6"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6" hidden="1">{#N/A,#N/A,FALSE,"UNIT";#N/A,#N/A,FALSE,"UNIT";#N/A,#N/A,FALSE,"계정"}</definedName>
    <definedName name="_108s13_" localSheetId="2" hidden="1">{#N/A,#N/A,FALSE,"UNIT";#N/A,#N/A,FALSE,"UNIT";#N/A,#N/A,FALSE,"계정"}</definedName>
    <definedName name="_108s13_" hidden="1">{#N/A,#N/A,FALSE,"UNIT";#N/A,#N/A,FALSE,"UNIT";#N/A,#N/A,FALSE,"계정"}</definedName>
    <definedName name="_109s14_" localSheetId="6"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6" hidden="1">{#N/A,#N/A,FALSE,"UNIT";#N/A,#N/A,FALSE,"UNIT";#N/A,#N/A,FALSE,"계정"}</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localSheetId="2"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6" hidden="1">{#N/A,#N/A,FALSE,"UNIT";#N/A,#N/A,FALSE,"UNIT";#N/A,#N/A,FALSE,"계정"}</definedName>
    <definedName name="_110s16_" localSheetId="2" hidden="1">{#N/A,#N/A,FALSE,"UNIT";#N/A,#N/A,FALSE,"UNIT";#N/A,#N/A,FALSE,"계정"}</definedName>
    <definedName name="_110s16_" hidden="1">{#N/A,#N/A,FALSE,"UNIT";#N/A,#N/A,FALSE,"UNIT";#N/A,#N/A,FALSE,"계정"}</definedName>
    <definedName name="_111" hidden="1">#REF!</definedName>
    <definedName name="_111s17_" localSheetId="6" hidden="1">{#N/A,#N/A,FALSE,"UNIT";#N/A,#N/A,FALSE,"UNIT";#N/A,#N/A,FALSE,"계정"}</definedName>
    <definedName name="_111s17_" localSheetId="2" hidden="1">{#N/A,#N/A,FALSE,"UNIT";#N/A,#N/A,FALSE,"UNIT";#N/A,#N/A,FALSE,"계정"}</definedName>
    <definedName name="_111s17_" hidden="1">{#N/A,#N/A,FALSE,"UNIT";#N/A,#N/A,FALSE,"UNIT";#N/A,#N/A,FALSE,"계정"}</definedName>
    <definedName name="_112s2_" localSheetId="6" hidden="1">{#N/A,#N/A,FALSE,"UNIT";#N/A,#N/A,FALSE,"UNIT";#N/A,#N/A,FALSE,"계정"}</definedName>
    <definedName name="_112s2_" localSheetId="2" hidden="1">{#N/A,#N/A,FALSE,"UNIT";#N/A,#N/A,FALSE,"UNIT";#N/A,#N/A,FALSE,"계정"}</definedName>
    <definedName name="_112s2_" hidden="1">{#N/A,#N/A,FALSE,"UNIT";#N/A,#N/A,FALSE,"UNIT";#N/A,#N/A,FALSE,"계정"}</definedName>
    <definedName name="_113s3_" localSheetId="6"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6" hidden="1">{#N/A,#N/A,FALSE,"UNIT";#N/A,#N/A,FALSE,"UNIT";#N/A,#N/A,FALSE,"계정"}</definedName>
    <definedName name="_114s4_" localSheetId="2" hidden="1">{#N/A,#N/A,FALSE,"UNIT";#N/A,#N/A,FALSE,"UNIT";#N/A,#N/A,FALSE,"계정"}</definedName>
    <definedName name="_114s4_" hidden="1">{#N/A,#N/A,FALSE,"UNIT";#N/A,#N/A,FALSE,"UNIT";#N/A,#N/A,FALSE,"계정"}</definedName>
    <definedName name="_115s5_" localSheetId="6" hidden="1">{#N/A,#N/A,FALSE,"UNIT";#N/A,#N/A,FALSE,"UNIT";#N/A,#N/A,FALSE,"계정"}</definedName>
    <definedName name="_115s5_" localSheetId="2" hidden="1">{#N/A,#N/A,FALSE,"UNIT";#N/A,#N/A,FALSE,"UNIT";#N/A,#N/A,FALSE,"계정"}</definedName>
    <definedName name="_115s5_" hidden="1">{#N/A,#N/A,FALSE,"UNIT";#N/A,#N/A,FALSE,"UNIT";#N/A,#N/A,FALSE,"계정"}</definedName>
    <definedName name="_116A1_" localSheetId="2" hidden="1">{#N/A,#N/A,FALSE,"신규dep";#N/A,#N/A,FALSE,"신규dep-금형상각후";#N/A,#N/A,FALSE,"신규dep-연구비상각후";#N/A,#N/A,FALSE,"신규dep-기계,공구상각후"}</definedName>
    <definedName name="_116A1_" hidden="1">{#N/A,#N/A,FALSE,"신규dep";#N/A,#N/A,FALSE,"신규dep-금형상각후";#N/A,#N/A,FALSE,"신규dep-연구비상각후";#N/A,#N/A,FALSE,"신규dep-기계,공구상각후"}</definedName>
    <definedName name="_116s6_" localSheetId="6" hidden="1">{#N/A,#N/A,FALSE,"UNIT";#N/A,#N/A,FALSE,"UNIT";#N/A,#N/A,FALSE,"계정"}</definedName>
    <definedName name="_116s6_" localSheetId="2" hidden="1">{#N/A,#N/A,FALSE,"UNIT";#N/A,#N/A,FALSE,"UNIT";#N/A,#N/A,FALSE,"계정"}</definedName>
    <definedName name="_116s6_" hidden="1">{#N/A,#N/A,FALSE,"UNIT";#N/A,#N/A,FALSE,"UNIT";#N/A,#N/A,FALSE,"계정"}</definedName>
    <definedName name="_117s9_" localSheetId="6"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localSheetId="2"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localSheetId="2" hidden="1">{#N/A,#N/A,FALSE,"신규dep";#N/A,#N/A,FALSE,"신규dep-금형상각후";#N/A,#N/A,FALSE,"신규dep-연구비상각후";#N/A,#N/A,FALSE,"신규dep-기계,공구상각후"}</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localSheetId="2" hidden="1">{#N/A,#N/A,FALSE,"단축1";#N/A,#N/A,FALSE,"단축2";#N/A,#N/A,FALSE,"단축3";#N/A,#N/A,FALSE,"장축";#N/A,#N/A,FALSE,"4WD"}</definedName>
    <definedName name="_123A3_" hidden="1">{#N/A,#N/A,FALSE,"단축1";#N/A,#N/A,FALSE,"단축2";#N/A,#N/A,FALSE,"단축3";#N/A,#N/A,FALSE,"장축";#N/A,#N/A,FALSE,"4WD"}</definedName>
    <definedName name="_123GRAPH_LBL_B1" hidden="1">#REF!</definedName>
    <definedName name="_127AA4_" localSheetId="2" hidden="1">{#N/A,#N/A,FALSE,"신규dep";#N/A,#N/A,FALSE,"신규dep-금형상각후";#N/A,#N/A,FALSE,"신규dep-연구비상각후";#N/A,#N/A,FALSE,"신규dep-기계,공구상각후"}</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6" hidden="1">{#N/A,#N/A,FALSE,"UNIT";#N/A,#N/A,FALSE,"UNIT";#N/A,#N/A,FALSE,"계정"}</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localSheetId="2"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localSheetId="2"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localSheetId="2" hidden="1">{#N/A,#N/A,FALSE,"신규dep";#N/A,#N/A,FALSE,"신규dep-금형상각후";#N/A,#N/A,FALSE,"신규dep-연구비상각후";#N/A,#N/A,FALSE,"신규dep-기계,공구상각후"}</definedName>
    <definedName name="_141d1_" hidden="1">{#N/A,#N/A,FALSE,"신규dep";#N/A,#N/A,FALSE,"신규dep-금형상각후";#N/A,#N/A,FALSE,"신규dep-연구비상각후";#N/A,#N/A,FALSE,"신규dep-기계,공구상각후"}</definedName>
    <definedName name="_142d2_" localSheetId="2"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localSheetId="2"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6" hidden="1">{#N/A,#N/A,FALSE,"단축1";#N/A,#N/A,FALSE,"단축2";#N/A,#N/A,FALSE,"단축3";#N/A,#N/A,FALSE,"장축";#N/A,#N/A,FALSE,"4WD"}</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6" hidden="1">{#N/A,#N/A,FALSE,"UNIT";#N/A,#N/A,FALSE,"UNIT";#N/A,#N/A,FALSE,"계정"}</definedName>
    <definedName name="_14s16_" localSheetId="2" hidden="1">{#N/A,#N/A,FALSE,"UNIT";#N/A,#N/A,FALSE,"UNIT";#N/A,#N/A,FALSE,"계정"}</definedName>
    <definedName name="_14s16_" hidden="1">{#N/A,#N/A,FALSE,"UNIT";#N/A,#N/A,FALSE,"UNIT";#N/A,#N/A,FALSE,"계정"}</definedName>
    <definedName name="_15">#N/A</definedName>
    <definedName name="_15__FDSAUDITLINK__" localSheetId="2"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localSheetId="2" hidden="1">{#N/A,#N/A,FALSE,"단축1";#N/A,#N/A,FALSE,"단축2";#N/A,#N/A,FALSE,"단축3";#N/A,#N/A,FALSE,"장축";#N/A,#N/A,FALSE,"4WD"}</definedName>
    <definedName name="_150e1_" hidden="1">{#N/A,#N/A,FALSE,"단축1";#N/A,#N/A,FALSE,"단축2";#N/A,#N/A,FALSE,"단축3";#N/A,#N/A,FALSE,"장축";#N/A,#N/A,FALSE,"4WD"}</definedName>
    <definedName name="_151e2_" localSheetId="2" hidden="1">{#N/A,#N/A,FALSE,"단축1";#N/A,#N/A,FALSE,"단축2";#N/A,#N/A,FALSE,"단축3";#N/A,#N/A,FALSE,"장축";#N/A,#N/A,FALSE,"4WD"}</definedName>
    <definedName name="_151e2_" hidden="1">{#N/A,#N/A,FALSE,"단축1";#N/A,#N/A,FALSE,"단축2";#N/A,#N/A,FALSE,"단축3";#N/A,#N/A,FALSE,"장축";#N/A,#N/A,FALSE,"4WD"}</definedName>
    <definedName name="_152e3_" localSheetId="2" hidden="1">{#N/A,#N/A,FALSE,"단축1";#N/A,#N/A,FALSE,"단축2";#N/A,#N/A,FALSE,"단축3";#N/A,#N/A,FALSE,"장축";#N/A,#N/A,FALSE,"4WD"}</definedName>
    <definedName name="_152e3_" hidden="1">{#N/A,#N/A,FALSE,"단축1";#N/A,#N/A,FALSE,"단축2";#N/A,#N/A,FALSE,"단축3";#N/A,#N/A,FALSE,"장축";#N/A,#N/A,FALSE,"4WD"}</definedName>
    <definedName name="_153e4_" localSheetId="2" hidden="1">{#N/A,#N/A,FALSE,"단축1";#N/A,#N/A,FALSE,"단축2";#N/A,#N/A,FALSE,"단축3";#N/A,#N/A,FALSE,"장축";#N/A,#N/A,FALSE,"4WD"}</definedName>
    <definedName name="_153e4_" hidden="1">{#N/A,#N/A,FALSE,"단축1";#N/A,#N/A,FALSE,"단축2";#N/A,#N/A,FALSE,"단축3";#N/A,#N/A,FALSE,"장축";#N/A,#N/A,FALSE,"4WD"}</definedName>
    <definedName name="_154__FDSAUDITLINK__" localSheetId="2"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localSheetId="2" hidden="1">{#N/A,#N/A,FALSE,"단축1";#N/A,#N/A,FALSE,"단축2";#N/A,#N/A,FALSE,"단축3";#N/A,#N/A,FALSE,"장축";#N/A,#N/A,FALSE,"4WD"}</definedName>
    <definedName name="_154e5_" hidden="1">{#N/A,#N/A,FALSE,"단축1";#N/A,#N/A,FALSE,"단축2";#N/A,#N/A,FALSE,"단축3";#N/A,#N/A,FALSE,"장축";#N/A,#N/A,FALSE,"4WD"}</definedName>
    <definedName name="_155e6_" localSheetId="2" hidden="1">{#N/A,#N/A,FALSE,"단축1";#N/A,#N/A,FALSE,"단축2";#N/A,#N/A,FALSE,"단축3";#N/A,#N/A,FALSE,"장축";#N/A,#N/A,FALSE,"4WD"}</definedName>
    <definedName name="_155e6_" hidden="1">{#N/A,#N/A,FALSE,"단축1";#N/A,#N/A,FALSE,"단축2";#N/A,#N/A,FALSE,"단축3";#N/A,#N/A,FALSE,"장축";#N/A,#N/A,FALSE,"4WD"}</definedName>
    <definedName name="_156e7_" localSheetId="2" hidden="1">{#N/A,#N/A,FALSE,"신규dep";#N/A,#N/A,FALSE,"신규dep-금형상각후";#N/A,#N/A,FALSE,"신규dep-연구비상각후";#N/A,#N/A,FALSE,"신규dep-기계,공구상각후"}</definedName>
    <definedName name="_156e7_" hidden="1">{#N/A,#N/A,FALSE,"신규dep";#N/A,#N/A,FALSE,"신규dep-금형상각후";#N/A,#N/A,FALSE,"신규dep-연구비상각후";#N/A,#N/A,FALSE,"신규dep-기계,공구상각후"}</definedName>
    <definedName name="_157e8_" localSheetId="2"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localSheetId="2" hidden="1">{#N/A,#N/A,FALSE,"단축1";#N/A,#N/A,FALSE,"단축2";#N/A,#N/A,FALSE,"단축3";#N/A,#N/A,FALSE,"장축";#N/A,#N/A,FALSE,"4WD"}</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localSheetId="2"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6" hidden="1">{#N/A,#N/A,FALSE,"UNIT";#N/A,#N/A,FALSE,"UNIT";#N/A,#N/A,FALSE,"계정"}</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localSheetId="2" hidden="1">{#N/A,#N/A,FALSE,"단축1";#N/A,#N/A,FALSE,"단축2";#N/A,#N/A,FALSE,"단축3";#N/A,#N/A,FALSE,"장축";#N/A,#N/A,FALSE,"4WD"}</definedName>
    <definedName name="_174q1_" hidden="1">{#N/A,#N/A,FALSE,"단축1";#N/A,#N/A,FALSE,"단축2";#N/A,#N/A,FALSE,"단축3";#N/A,#N/A,FALSE,"장축";#N/A,#N/A,FALSE,"4WD"}</definedName>
    <definedName name="_175q3_" localSheetId="2" hidden="1">{#N/A,#N/A,FALSE,"단축1";#N/A,#N/A,FALSE,"단축2";#N/A,#N/A,FALSE,"단축3";#N/A,#N/A,FALSE,"장축";#N/A,#N/A,FALSE,"4WD"}</definedName>
    <definedName name="_175q3_" hidden="1">{#N/A,#N/A,FALSE,"단축1";#N/A,#N/A,FALSE,"단축2";#N/A,#N/A,FALSE,"단축3";#N/A,#N/A,FALSE,"장축";#N/A,#N/A,FALSE,"4WD"}</definedName>
    <definedName name="_176q5_" localSheetId="2" hidden="1">{#N/A,#N/A,FALSE,"신규dep";#N/A,#N/A,FALSE,"신규dep-금형상각후";#N/A,#N/A,FALSE,"신규dep-연구비상각후";#N/A,#N/A,FALSE,"신규dep-기계,공구상각후"}</definedName>
    <definedName name="_176q5_" hidden="1">{#N/A,#N/A,FALSE,"신규dep";#N/A,#N/A,FALSE,"신규dep-금형상각후";#N/A,#N/A,FALSE,"신규dep-연구비상각후";#N/A,#N/A,FALSE,"신규dep-기계,공구상각후"}</definedName>
    <definedName name="_177q6_" localSheetId="2"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localSheetId="2"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localSheetId="2"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localSheetId="2" hidden="1">{#N/A,#N/A,FALSE,"신규dep";#N/A,#N/A,FALSE,"신규dep-금형상각후";#N/A,#N/A,FALSE,"신규dep-연구비상각후";#N/A,#N/A,FALSE,"신규dep-기계,공구상각후"}</definedName>
    <definedName name="_183s1_" hidden="1">{#N/A,#N/A,FALSE,"신규dep";#N/A,#N/A,FALSE,"신규dep-금형상각후";#N/A,#N/A,FALSE,"신규dep-연구비상각후";#N/A,#N/A,FALSE,"신규dep-기계,공구상각후"}</definedName>
    <definedName name="_184s2_" localSheetId="2"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localSheetId="2" hidden="1">{#N/A,#N/A,FALSE,"단축1";#N/A,#N/A,FALSE,"단축2";#N/A,#N/A,FALSE,"단축3";#N/A,#N/A,FALSE,"장축";#N/A,#N/A,FALSE,"4WD"}</definedName>
    <definedName name="_185s3_" hidden="1">{#N/A,#N/A,FALSE,"단축1";#N/A,#N/A,FALSE,"단축2";#N/A,#N/A,FALSE,"단축3";#N/A,#N/A,FALSE,"장축";#N/A,#N/A,FALSE,"4WD"}</definedName>
    <definedName name="_186s4_" localSheetId="2" hidden="1">{#N/A,#N/A,FALSE,"단축1";#N/A,#N/A,FALSE,"단축2";#N/A,#N/A,FALSE,"단축3";#N/A,#N/A,FALSE,"장축";#N/A,#N/A,FALSE,"4WD"}</definedName>
    <definedName name="_186s4_" hidden="1">{#N/A,#N/A,FALSE,"단축1";#N/A,#N/A,FALSE,"단축2";#N/A,#N/A,FALSE,"단축3";#N/A,#N/A,FALSE,"장축";#N/A,#N/A,FALSE,"4WD"}</definedName>
    <definedName name="_187s5_" localSheetId="2" hidden="1">{#N/A,#N/A,FALSE,"신규dep";#N/A,#N/A,FALSE,"신규dep-금형상각후";#N/A,#N/A,FALSE,"신규dep-연구비상각후";#N/A,#N/A,FALSE,"신규dep-기계,공구상각후"}</definedName>
    <definedName name="_187s5_" hidden="1">{#N/A,#N/A,FALSE,"신규dep";#N/A,#N/A,FALSE,"신규dep-금형상각후";#N/A,#N/A,FALSE,"신규dep-연구비상각후";#N/A,#N/A,FALSE,"신규dep-기계,공구상각후"}</definedName>
    <definedName name="_188s6_" localSheetId="2"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localSheetId="2"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6" hidden="1">{#N/A,#N/A,FALSE,"UNIT";#N/A,#N/A,FALSE,"UNIT";#N/A,#N/A,FALSE,"계정"}</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localSheetId="2" hidden="1">{#N/A,#N/A,FALSE,"신규dep";#N/A,#N/A,FALSE,"신규dep-금형상각후";#N/A,#N/A,FALSE,"신규dep-연구비상각후";#N/A,#N/A,FALSE,"신규dep-기계,공구상각후"}</definedName>
    <definedName name="_190s8_" hidden="1">{#N/A,#N/A,FALSE,"신규dep";#N/A,#N/A,FALSE,"신규dep-금형상각후";#N/A,#N/A,FALSE,"신규dep-연구비상각후";#N/A,#N/A,FALSE,"신규dep-기계,공구상각후"}</definedName>
    <definedName name="_191T2_" localSheetId="2" hidden="1">{#N/A,#N/A,FALSE,"단축1";#N/A,#N/A,FALSE,"단축2";#N/A,#N/A,FALSE,"단축3";#N/A,#N/A,FALSE,"장축";#N/A,#N/A,FALSE,"4WD"}</definedName>
    <definedName name="_191T2_" hidden="1">{#N/A,#N/A,FALSE,"단축1";#N/A,#N/A,FALSE,"단축2";#N/A,#N/A,FALSE,"단축3";#N/A,#N/A,FALSE,"장축";#N/A,#N/A,FALSE,"4WD"}</definedName>
    <definedName name="_192T3_" localSheetId="2" hidden="1">{#N/A,#N/A,FALSE,"단축1";#N/A,#N/A,FALSE,"단축2";#N/A,#N/A,FALSE,"단축3";#N/A,#N/A,FALSE,"장축";#N/A,#N/A,FALSE,"4WD"}</definedName>
    <definedName name="_192T3_" hidden="1">{#N/A,#N/A,FALSE,"단축1";#N/A,#N/A,FALSE,"단축2";#N/A,#N/A,FALSE,"단축3";#N/A,#N/A,FALSE,"장축";#N/A,#N/A,FALSE,"4WD"}</definedName>
    <definedName name="_193U1_" localSheetId="2" hidden="1">{#N/A,#N/A,FALSE,"단축1";#N/A,#N/A,FALSE,"단축2";#N/A,#N/A,FALSE,"단축3";#N/A,#N/A,FALSE,"장축";#N/A,#N/A,FALSE,"4WD"}</definedName>
    <definedName name="_193U1_" hidden="1">{#N/A,#N/A,FALSE,"단축1";#N/A,#N/A,FALSE,"단축2";#N/A,#N/A,FALSE,"단축3";#N/A,#N/A,FALSE,"장축";#N/A,#N/A,FALSE,"4WD"}</definedName>
    <definedName name="_197w1_" localSheetId="2" hidden="1">{#N/A,#N/A,FALSE,"신규dep";#N/A,#N/A,FALSE,"신규dep-금형상각후";#N/A,#N/A,FALSE,"신규dep-연구비상각후";#N/A,#N/A,FALSE,"신규dep-기계,공구상각후"}</definedName>
    <definedName name="_197w1_" hidden="1">{#N/A,#N/A,FALSE,"신규dep";#N/A,#N/A,FALSE,"신규dep-금형상각후";#N/A,#N/A,FALSE,"신규dep-연구비상각후";#N/A,#N/A,FALSE,"신규dep-기계,공구상각후"}</definedName>
    <definedName name="_198w3_" localSheetId="2"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localSheetId="2" hidden="1">{#N/A,#N/A,FALSE,"단축1";#N/A,#N/A,FALSE,"단축2";#N/A,#N/A,FALSE,"단축3";#N/A,#N/A,FALSE,"장축";#N/A,#N/A,FALSE,"4WD"}</definedName>
    <definedName name="_199w4_" hidden="1">{#N/A,#N/A,FALSE,"단축1";#N/A,#N/A,FALSE,"단축2";#N/A,#N/A,FALSE,"단축3";#N/A,#N/A,FALSE,"장축";#N/A,#N/A,FALSE,"4WD"}</definedName>
    <definedName name="_1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localSheetId="2"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localSheetId="2" hidden="1">{#N/A,#N/A,FALSE,"신규dep";#N/A,#N/A,FALSE,"신규dep-금형상각후";#N/A,#N/A,FALSE,"신규dep-연구비상각후";#N/A,#N/A,FALSE,"신규dep-기계,공구상각후"}</definedName>
    <definedName name="_200w5_" hidden="1">{#N/A,#N/A,FALSE,"신규dep";#N/A,#N/A,FALSE,"신규dep-금형상각후";#N/A,#N/A,FALSE,"신규dep-연구비상각후";#N/A,#N/A,FALSE,"신규dep-기계,공구상각후"}</definedName>
    <definedName name="_201x1_" localSheetId="2" hidden="1">{#N/A,#N/A,FALSE,"단축1";#N/A,#N/A,FALSE,"단축2";#N/A,#N/A,FALSE,"단축3";#N/A,#N/A,FALSE,"장축";#N/A,#N/A,FALSE,"4WD"}</definedName>
    <definedName name="_201x1_" hidden="1">{#N/A,#N/A,FALSE,"단축1";#N/A,#N/A,FALSE,"단축2";#N/A,#N/A,FALSE,"단축3";#N/A,#N/A,FALSE,"장축";#N/A,#N/A,FALSE,"4WD"}</definedName>
    <definedName name="_202x2_" localSheetId="2" hidden="1">{#N/A,#N/A,FALSE,"단축1";#N/A,#N/A,FALSE,"단축2";#N/A,#N/A,FALSE,"단축3";#N/A,#N/A,FALSE,"장축";#N/A,#N/A,FALSE,"4WD"}</definedName>
    <definedName name="_202x2_" hidden="1">{#N/A,#N/A,FALSE,"단축1";#N/A,#N/A,FALSE,"단축2";#N/A,#N/A,FALSE,"단축3";#N/A,#N/A,FALSE,"장축";#N/A,#N/A,FALSE,"4WD"}</definedName>
    <definedName name="_203z1_" localSheetId="2" hidden="1">{#N/A,#N/A,FALSE,"단축1";#N/A,#N/A,FALSE,"단축2";#N/A,#N/A,FALSE,"단축3";#N/A,#N/A,FALSE,"장축";#N/A,#N/A,FALSE,"4WD"}</definedName>
    <definedName name="_203z1_" hidden="1">{#N/A,#N/A,FALSE,"단축1";#N/A,#N/A,FALSE,"단축2";#N/A,#N/A,FALSE,"단축3";#N/A,#N/A,FALSE,"장축";#N/A,#N/A,FALSE,"4WD"}</definedName>
    <definedName name="_204z2_" localSheetId="2" hidden="1">{#N/A,#N/A,FALSE,"단축1";#N/A,#N/A,FALSE,"단축2";#N/A,#N/A,FALSE,"단축3";#N/A,#N/A,FALSE,"장축";#N/A,#N/A,FALSE,"4WD"}</definedName>
    <definedName name="_204z2_" hidden="1">{#N/A,#N/A,FALSE,"단축1";#N/A,#N/A,FALSE,"단축2";#N/A,#N/A,FALSE,"단축3";#N/A,#N/A,FALSE,"장축";#N/A,#N/A,FALSE,"4WD"}</definedName>
    <definedName name="_205z4_" localSheetId="2"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6" hidden="1">{#N/A,#N/A,FALSE,"UNIT";#N/A,#N/A,FALSE,"UNIT";#N/A,#N/A,FALSE,"계정"}</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localSheetId="2"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localSheetId="2"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6" hidden="1">{#N/A,#N/A,FALSE,"단축1";#N/A,#N/A,FALSE,"단축2";#N/A,#N/A,FALSE,"단축3";#N/A,#N/A,FALSE,"장축";#N/A,#N/A,FALSE,"4WD"}</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6" hidden="1">{#N/A,#N/A,FALSE,"UNIT";#N/A,#N/A,FALSE,"UNIT";#N/A,#N/A,FALSE,"계정"}</definedName>
    <definedName name="_22s4_" localSheetId="2" hidden="1">{#N/A,#N/A,FALSE,"UNIT";#N/A,#N/A,FALSE,"UNIT";#N/A,#N/A,FALSE,"계정"}</definedName>
    <definedName name="_22s4_" hidden="1">{#N/A,#N/A,FALSE,"UNIT";#N/A,#N/A,FALSE,"UNIT";#N/A,#N/A,FALSE,"계정"}</definedName>
    <definedName name="_23">#N/A</definedName>
    <definedName name="_23__FDSAUDITLINK__" localSheetId="2"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localSheetId="2"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6" hidden="1">{#N/A,#N/A,FALSE,"UNIT";#N/A,#N/A,FALSE,"UNIT";#N/A,#N/A,FALSE,"계정"}</definedName>
    <definedName name="_24s5_" localSheetId="2" hidden="1">{#N/A,#N/A,FALSE,"UNIT";#N/A,#N/A,FALSE,"UNIT";#N/A,#N/A,FALSE,"계정"}</definedName>
    <definedName name="_24s5_" hidden="1">{#N/A,#N/A,FALSE,"UNIT";#N/A,#N/A,FALSE,"UNIT";#N/A,#N/A,FALSE,"계정"}</definedName>
    <definedName name="_25">#N/A</definedName>
    <definedName name="_25__FDSAUDITLINK__" localSheetId="2"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localSheetId="2"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6" hidden="1">{#N/A,#N/A,FALSE,"UNIT";#N/A,#N/A,FALSE,"UNIT";#N/A,#N/A,FALSE,"계정"}</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localSheetId="2"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localSheetId="2"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localSheetId="2"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6" hidden="1">{#N/A,#N/A,FALSE,"UNIT";#N/A,#N/A,FALSE,"UNIT";#N/A,#N/A,FALSE,"계정"}</definedName>
    <definedName name="_28s9_" localSheetId="2" hidden="1">{#N/A,#N/A,FALSE,"UNIT";#N/A,#N/A,FALSE,"UNIT";#N/A,#N/A,FALSE,"계정"}</definedName>
    <definedName name="_28s9_" hidden="1">{#N/A,#N/A,FALSE,"UNIT";#N/A,#N/A,FALSE,"UNIT";#N/A,#N/A,FALSE,"계정"}</definedName>
    <definedName name="_29">#N/A</definedName>
    <definedName name="_29__FDSAUDITLINK__" localSheetId="2"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localSheetId="2"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6" hidden="1">{#N/A,#N/A,FALSE,"UNIT";#N/A,#N/A,FALSE,"UNIT";#N/A,#N/A,FALSE,"계정"}</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localSheetId="2"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localSheetId="2"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localSheetId="2"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localSheetId="2"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localSheetId="2"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localSheetId="2"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localSheetId="2"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localSheetId="2"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localSheetId="2"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localSheetId="2"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localSheetId="2"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localSheetId="2"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localSheetId="2"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localSheetId="2"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localSheetId="2"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localSheetId="2"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localSheetId="2" hidden="1">{"'용역비'!$A$4:$C$8"}</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localSheetId="2"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localSheetId="2"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localSheetId="2"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6" hidden="1">{#N/A,#N/A,FALSE,"단축1";#N/A,#N/A,FALSE,"단축2";#N/A,#N/A,FALSE,"단축3";#N/A,#N/A,FALSE,"장축";#N/A,#N/A,FALSE,"4WD"}</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localSheetId="2"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6" hidden="1">{#N/A,#N/A,FALSE,"UNIT";#N/A,#N/A,FALSE,"UNIT";#N/A,#N/A,FALSE,"계정"}</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localSheetId="2"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6" hidden="1">{#N/A,#N/A,FALSE,"UNIT";#N/A,#N/A,FALSE,"UNIT";#N/A,#N/A,FALSE,"계정"}</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localSheetId="2"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6" hidden="1">{#N/A,#N/A,FALSE,"단축1";#N/A,#N/A,FALSE,"단축2";#N/A,#N/A,FALSE,"단축3";#N/A,#N/A,FALSE,"장축";#N/A,#N/A,FALSE,"4WD"}</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localSheetId="2"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6" hidden="1">{#N/A,#N/A,FALSE,"UNIT";#N/A,#N/A,FALSE,"UNIT";#N/A,#N/A,FALSE,"계정"}</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localSheetId="2"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localSheetId="2"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6" hidden="1">{#N/A,#N/A,FALSE,"단축1";#N/A,#N/A,FALSE,"단축2";#N/A,#N/A,FALSE,"단축3";#N/A,#N/A,FALSE,"장축";#N/A,#N/A,FALSE,"4WD"}</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localSheetId="2" hidden="1">{#N/A,#N/A,TRUE,"경전'96(1)";#N/A,#N/A,TRUE,"경전'96 (2)"}</definedName>
    <definedName name="_AAA1" hidden="1">{#N/A,#N/A,TRUE,"경전'96(1)";#N/A,#N/A,TRUE,"경전'96 (2)"}</definedName>
    <definedName name="_aaa2" localSheetId="6" hidden="1">{#N/A,#N/A,FALSE,"Aging Summary";#N/A,#N/A,FALSE,"Ratio Analysis";#N/A,#N/A,FALSE,"Test 120 Day Accts";#N/A,#N/A,FALSE,"Tickmarks"}</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6" hidden="1">{#N/A,#N/A,FALSE,"BS";#N/A,#N/A,FALSE,"PL";#N/A,#N/A,FALSE,"A";#N/A,#N/A,FALSE,"B";#N/A,#N/A,FALSE,"B1";#N/A,#N/A,FALSE,"C";#N/A,#N/A,FALSE,"C1";#N/A,#N/A,FALSE,"C2";#N/A,#N/A,FALSE,"D";#N/A,#N/A,FALSE,"E";#N/A,#N/A,FALSE,"F";#N/A,#N/A,FALSE,"AA";#N/A,#N/A,FALSE,"BB";#N/A,#N/A,FALSE,"CC";#N/A,#N/A,FALSE,"DD";#N/A,#N/A,FALSE,"EE";#N/A,#N/A,FALSE,"FF";#N/A,#N/A,FALSE,"PL10";#N/A,#N/A,FALSE,"PL20";#N/A,#N/A,FALSE,"PL30"}</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6"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7" hidden="1">'2023년 실적'!$B$4:$AH$63</definedName>
    <definedName name="_xlnm._FilterDatabase" localSheetId="6" hidden="1">'2024년 계획'!$B$4:$AH$56</definedName>
    <definedName name="_xlnm._FilterDatabase" localSheetId="5" hidden="1">'2024년 계획_변경적용'!$B$4:$AH$57</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localSheetId="2" hidden="1">{"comp1",#N/A,FALSE,"COMPS";"footnotes",#N/A,FALSE,"COMPS"}</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localSheetId="2" hidden="1">{"comp1",#N/A,FALSE,"COMPS";"footnotes",#N/A,FALSE,"COMPS"}</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 localSheetId="2" hidden="1">{"'Sheet1'!$A$1:$H$36"}</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6" hidden="1">{#N/A,#N/A,FALSE,"현장 NCR 분석";#N/A,#N/A,FALSE,"현장품질감사";#N/A,#N/A,FALSE,"현장품질감사"}</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6"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6" hidden="1">{#N/A,#N/A,TRUE,"매출진척-1";#N/A,#N/A,TRUE,"매출진척-2";#N/A,#N/A,TRUE,"제품실적";#N/A,#N/A,TRUE,"RAC";#N/A,#N/A,TRUE,"PAC ";#N/A,#N/A,TRUE,"재고현황";#N/A,#N/A,TRUE,"공지사항"}</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6"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localSheetId="2" hidden="1">{#N/A,#N/A,FALSE,"단축1";#N/A,#N/A,FALSE,"단축2";#N/A,#N/A,FALSE,"단축3";#N/A,#N/A,FALSE,"장축";#N/A,#N/A,FALSE,"4WD"}</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localSheetId="2"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localSheetId="2"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localSheetId="2" hidden="1">{#N/A,#N/A,FALSE,"단축1";#N/A,#N/A,FALSE,"단축2";#N/A,#N/A,FALSE,"단축3";#N/A,#N/A,FALSE,"장축";#N/A,#N/A,FALSE,"4WD"}</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6" hidden="1">{#N/A,#N/A,FALSE,"UNIT";#N/A,#N/A,FALSE,"UNIT";#N/A,#N/A,FALSE,"계정"}</definedName>
    <definedName name="_s10" localSheetId="2" hidden="1">{#N/A,#N/A,FALSE,"UNIT";#N/A,#N/A,FALSE,"UNIT";#N/A,#N/A,FALSE,"계정"}</definedName>
    <definedName name="_s10" hidden="1">{#N/A,#N/A,FALSE,"UNIT";#N/A,#N/A,FALSE,"UNIT";#N/A,#N/A,FALSE,"계정"}</definedName>
    <definedName name="_s11" localSheetId="6" hidden="1">{#N/A,#N/A,FALSE,"UNIT";#N/A,#N/A,FALSE,"UNIT";#N/A,#N/A,FALSE,"계정"}</definedName>
    <definedName name="_s11" localSheetId="2" hidden="1">{#N/A,#N/A,FALSE,"UNIT";#N/A,#N/A,FALSE,"UNIT";#N/A,#N/A,FALSE,"계정"}</definedName>
    <definedName name="_s11" hidden="1">{#N/A,#N/A,FALSE,"UNIT";#N/A,#N/A,FALSE,"UNIT";#N/A,#N/A,FALSE,"계정"}</definedName>
    <definedName name="_s12" localSheetId="6" hidden="1">{#N/A,#N/A,FALSE,"UNIT";#N/A,#N/A,FALSE,"UNIT";#N/A,#N/A,FALSE,"계정"}</definedName>
    <definedName name="_s12" localSheetId="2" hidden="1">{#N/A,#N/A,FALSE,"UNIT";#N/A,#N/A,FALSE,"UNIT";#N/A,#N/A,FALSE,"계정"}</definedName>
    <definedName name="_s12" hidden="1">{#N/A,#N/A,FALSE,"UNIT";#N/A,#N/A,FALSE,"UNIT";#N/A,#N/A,FALSE,"계정"}</definedName>
    <definedName name="_s13" localSheetId="6" hidden="1">{#N/A,#N/A,FALSE,"UNIT";#N/A,#N/A,FALSE,"UNIT";#N/A,#N/A,FALSE,"계정"}</definedName>
    <definedName name="_s13" localSheetId="2" hidden="1">{#N/A,#N/A,FALSE,"UNIT";#N/A,#N/A,FALSE,"UNIT";#N/A,#N/A,FALSE,"계정"}</definedName>
    <definedName name="_s13" hidden="1">{#N/A,#N/A,FALSE,"UNIT";#N/A,#N/A,FALSE,"UNIT";#N/A,#N/A,FALSE,"계정"}</definedName>
    <definedName name="_s14" localSheetId="6" hidden="1">{#N/A,#N/A,FALSE,"UNIT";#N/A,#N/A,FALSE,"UNIT";#N/A,#N/A,FALSE,"계정"}</definedName>
    <definedName name="_s14" localSheetId="2" hidden="1">{#N/A,#N/A,FALSE,"UNIT";#N/A,#N/A,FALSE,"UNIT";#N/A,#N/A,FALSE,"계정"}</definedName>
    <definedName name="_s14" hidden="1">{#N/A,#N/A,FALSE,"UNIT";#N/A,#N/A,FALSE,"UNIT";#N/A,#N/A,FALSE,"계정"}</definedName>
    <definedName name="_s16" localSheetId="6" hidden="1">{#N/A,#N/A,FALSE,"UNIT";#N/A,#N/A,FALSE,"UNIT";#N/A,#N/A,FALSE,"계정"}</definedName>
    <definedName name="_s16" localSheetId="2" hidden="1">{#N/A,#N/A,FALSE,"UNIT";#N/A,#N/A,FALSE,"UNIT";#N/A,#N/A,FALSE,"계정"}</definedName>
    <definedName name="_s16" hidden="1">{#N/A,#N/A,FALSE,"UNIT";#N/A,#N/A,FALSE,"UNIT";#N/A,#N/A,FALSE,"계정"}</definedName>
    <definedName name="_s17" localSheetId="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6" hidden="1">{#N/A,#N/A,FALSE,"UNIT";#N/A,#N/A,FALSE,"UNIT";#N/A,#N/A,FALSE,"계정"}</definedName>
    <definedName name="_s3" localSheetId="2" hidden="1">{#N/A,#N/A,FALSE,"UNIT";#N/A,#N/A,FALSE,"UNIT";#N/A,#N/A,FALSE,"계정"}</definedName>
    <definedName name="_s3" hidden="1">{#N/A,#N/A,FALSE,"UNIT";#N/A,#N/A,FALSE,"UNIT";#N/A,#N/A,FALSE,"계정"}</definedName>
    <definedName name="_s4" localSheetId="6" hidden="1">{#N/A,#N/A,FALSE,"UNIT";#N/A,#N/A,FALSE,"UNIT";#N/A,#N/A,FALSE,"계정"}</definedName>
    <definedName name="_s4" localSheetId="2" hidden="1">{#N/A,#N/A,FALSE,"UNIT";#N/A,#N/A,FALSE,"UNIT";#N/A,#N/A,FALSE,"계정"}</definedName>
    <definedName name="_s4" hidden="1">{#N/A,#N/A,FALSE,"UNIT";#N/A,#N/A,FALSE,"UNIT";#N/A,#N/A,FALSE,"계정"}</definedName>
    <definedName name="_s5" localSheetId="6" hidden="1">{#N/A,#N/A,FALSE,"UNIT";#N/A,#N/A,FALSE,"UNIT";#N/A,#N/A,FALSE,"계정"}</definedName>
    <definedName name="_s5" localSheetId="2" hidden="1">{#N/A,#N/A,FALSE,"UNIT";#N/A,#N/A,FALSE,"UNIT";#N/A,#N/A,FALSE,"계정"}</definedName>
    <definedName name="_s5" hidden="1">{#N/A,#N/A,FALSE,"UNIT";#N/A,#N/A,FALSE,"UNIT";#N/A,#N/A,FALSE,"계정"}</definedName>
    <definedName name="_s6" localSheetId="6" hidden="1">{#N/A,#N/A,FALSE,"UNIT";#N/A,#N/A,FALSE,"UNIT";#N/A,#N/A,FALSE,"계정"}</definedName>
    <definedName name="_s6" localSheetId="2" hidden="1">{#N/A,#N/A,FALSE,"UNIT";#N/A,#N/A,FALSE,"UNIT";#N/A,#N/A,FALSE,"계정"}</definedName>
    <definedName name="_s6" hidden="1">{#N/A,#N/A,FALSE,"UNIT";#N/A,#N/A,FALSE,"UNIT";#N/A,#N/A,FALSE,"계정"}</definedName>
    <definedName name="_s9" localSheetId="6" hidden="1">{#N/A,#N/A,FALSE,"UNIT";#N/A,#N/A,FALSE,"UNIT";#N/A,#N/A,FALSE,"계정"}</definedName>
    <definedName name="_s9" localSheetId="2" hidden="1">{#N/A,#N/A,FALSE,"UNIT";#N/A,#N/A,FALSE,"UNIT";#N/A,#N/A,FALSE,"계정"}</definedName>
    <definedName name="_s9" hidden="1">{#N/A,#N/A,FALSE,"UNIT";#N/A,#N/A,FALSE,"UNIT";#N/A,#N/A,FALSE,"계정"}</definedName>
    <definedName name="_SAF2" localSheetId="6" hidden="1">{#N/A,#N/A,FALSE,"Aging Summary";#N/A,#N/A,FALSE,"Ratio Analysis";#N/A,#N/A,FALSE,"Test 120 Day Accts";#N/A,#N/A,FALSE,"Tickmarks"}</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localSheetId="2"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6" hidden="1">{#N/A,#N/A,FALSE,"단축1";#N/A,#N/A,FALSE,"단축2";#N/A,#N/A,FALSE,"단축3";#N/A,#N/A,FALSE,"장축";#N/A,#N/A,FALSE,"4WD"}</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localSheetId="2" hidden="1">{#N/A,#N/A,FALSE,"단축1";#N/A,#N/A,FALSE,"단축2";#N/A,#N/A,FALSE,"단축3";#N/A,#N/A,FALSE,"장축";#N/A,#N/A,FALSE,"4WD"}</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6" hidden="1">{#N/A,#N/A,TRUE,"일정"}</definedName>
    <definedName name="_Tir1" localSheetId="2" hidden="1">{#N/A,#N/A,TRUE,"일정"}</definedName>
    <definedName name="_Tir1" hidden="1">{#N/A,#N/A,TRUE,"일정"}</definedName>
    <definedName name="_top10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6" hidden="1">{#N/A,#N/A,FALSE,"BS";#N/A,#N/A,FALSE,"PL";#N/A,#N/A,FALSE,"처분";#N/A,#N/A,FALSE,"현금";#N/A,#N/A,FALSE,"매출";#N/A,#N/A,FALSE,"원가";#N/A,#N/A,FALSE,"경영"}</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6" hidden="1">{#N/A,#N/A,FALSE,"Aging Summary";#N/A,#N/A,FALSE,"Ratio Analysis";#N/A,#N/A,FALSE,"Test 120 Day Accts";#N/A,#N/A,FALSE,"Tickmarks"}</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localSheetId="2" hidden="1">{#N/A,#N/A,FALSE,"단축1";#N/A,#N/A,FALSE,"단축2";#N/A,#N/A,FALSE,"단축3";#N/A,#N/A,FALSE,"장축";#N/A,#N/A,FALSE,"4WD"}</definedName>
    <definedName name="_WRN2" hidden="1">{#N/A,#N/A,FALSE,"단축1";#N/A,#N/A,FALSE,"단축2";#N/A,#N/A,FALSE,"단축3";#N/A,#N/A,FALSE,"장축";#N/A,#N/A,FALSE,"4WD"}</definedName>
    <definedName name="_wsb5">#REF!</definedName>
    <definedName name="_wuie" hidden="1">#REF!</definedName>
    <definedName name="_X">#REF!</definedName>
    <definedName name="_XG2" localSheetId="2" hidden="1">{#N/A,#N/A,FALSE,"단축1";#N/A,#N/A,FALSE,"단축2";#N/A,#N/A,FALSE,"단축3";#N/A,#N/A,FALSE,"장축";#N/A,#N/A,FALSE,"4WD"}</definedName>
    <definedName name="_XG2" hidden="1">{#N/A,#N/A,FALSE,"단축1";#N/A,#N/A,FALSE,"단축2";#N/A,#N/A,FALSE,"단축3";#N/A,#N/A,FALSE,"장축";#N/A,#N/A,FALSE,"4WD"}</definedName>
    <definedName name="_xkd" hidden="1">#REF!</definedName>
    <definedName name="_xlcn.WorksheetConnection_Table11" localSheetId="2" hidden="1">Country_Summary</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 localSheetId="2">{"'Sheet1'!$A$1:$H$36"}</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localSheetId="2" hidden="1">{#N/A,#N/A,FALSE,"단축1";#N/A,#N/A,FALSE,"단축2";#N/A,#N/A,FALSE,"단축3";#N/A,#N/A,FALSE,"장축";#N/A,#N/A,FALSE,"4WD"}</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 localSheetId="2">#N/A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6" hidden="1">{#N/A,#N/A,FALSE,"BS";#N/A,#N/A,FALSE,"PL";#N/A,#N/A,FALSE,"처분";#N/A,#N/A,FALSE,"현금";#N/A,#N/A,FALSE,"매출";#N/A,#N/A,FALSE,"원가";#N/A,#N/A,FALSE,"경영"}</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6" hidden="1">{#N/A,#N/A,FALSE,"정공"}</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2" hidden="1">{#N/A,#N/A,FALSE,"단축1";#N/A,#N/A,FALSE,"단축2";#N/A,#N/A,FALSE,"단축3";#N/A,#N/A,FALSE,"장축";#N/A,#N/A,FALSE,"4WD"}</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localSheetId="2">#N/A</definedName>
    <definedName name="aaaa" hidden="1">#REF!</definedName>
    <definedName name="aaaaa" hidden="1">#REF!</definedName>
    <definedName name="AAAAAA">#REF!</definedName>
    <definedName name="aaaaaaa" localSheetId="6" hidden="1">{#N/A,#N/A,FALSE,"type1";#N/A,#N/A,FALSE,"지지력";#N/A,#N/A,FALSE,"PILE계산";#N/A,#N/A,FALSE,"PILE ";#N/A,#N/A,FALSE,"철근량";#N/A,#N/A,FALSE,"균열검토";#N/A,#N/A,FALSE,"날개벽";#N/A,#N/A,FALSE,"주철근조립도";#N/A,#N/A,FALSE,"교좌"}</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6" hidden="1">{#N/A,#N/A,FALSE,"정공"}</definedName>
    <definedName name="AAAAS" localSheetId="2" hidden="1">{#N/A,#N/A,FALSE,"정공"}</definedName>
    <definedName name="AAAAS" hidden="1">{#N/A,#N/A,FALSE,"정공"}</definedName>
    <definedName name="aaab"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localSheetId="2" hidden="1">{#N/A,#N/A,FALSE,"단축1";#N/A,#N/A,FALSE,"단축2";#N/A,#N/A,FALSE,"단축3";#N/A,#N/A,FALSE,"장축";#N/A,#N/A,FALSE,"4WD"}</definedName>
    <definedName name="aaif" hidden="1">{#N/A,#N/A,FALSE,"단축1";#N/A,#N/A,FALSE,"단축2";#N/A,#N/A,FALSE,"단축3";#N/A,#N/A,FALSE,"장축";#N/A,#N/A,FALSE,"4WD"}</definedName>
    <definedName name="Aas" localSheetId="6" hidden="1">{#N/A,#N/A,FALSE,"을지 (4)";#N/A,#N/A,FALSE,"을지 (5)";#N/A,#N/A,FALSE,"을지 (6)"}</definedName>
    <definedName name="Aas" localSheetId="2" hidden="1">{#N/A,#N/A,FALSE,"을지 (4)";#N/A,#N/A,FALSE,"을지 (5)";#N/A,#N/A,FALSE,"을지 (6)"}</definedName>
    <definedName name="Aas" hidden="1">{#N/A,#N/A,FALSE,"을지 (4)";#N/A,#N/A,FALSE,"을지 (5)";#N/A,#N/A,FALSE,"을지 (6)"}</definedName>
    <definedName name="aasdfa" localSheetId="2" hidden="1">{"rtn",#N/A,FALSE,"RTN";"tables",#N/A,FALSE,"RTN";"cf",#N/A,FALSE,"CF";"stats",#N/A,FALSE,"Stats";"prop",#N/A,FALSE,"Prop"}</definedName>
    <definedName name="aasdfa" hidden="1">{"rtn",#N/A,FALSE,"RTN";"tables",#N/A,FALSE,"RTN";"cf",#N/A,FALSE,"CF";"stats",#N/A,FALSE,"Stats";"prop",#N/A,FALSE,"Prop"}</definedName>
    <definedName name="AAZZ">#N/A</definedName>
    <definedName name="AB">#REF!</definedName>
    <definedName name="ABAP">#REF!</definedName>
    <definedName name="ABC" localSheetId="6" hidden="1">{#N/A,#N/A,FALSE,"초도품";#N/A,#N/A,FALSE,"초도품 (2)";#N/A,#N/A,FALSE,"초도품 (3)";#N/A,#N/A,FALSE,"초도품 (4)";#N/A,#N/A,FALSE,"초도품 (5)";#N/A,#N/A,FALSE,"초도품 (6)"}</definedName>
    <definedName name="abc"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{#N/A,#N/A,FALSE,"초도품";#N/A,#N/A,FALSE,"초도품 (2)";#N/A,#N/A,FALSE,"초도품 (3)";#N/A,#N/A,FALSE,"초도품 (4)";#N/A,#N/A,FALSE,"초도품 (5)";#N/A,#N/A,FALSE,"초도품 (6)"}</definedName>
    <definedName name="abcd">#N/A</definedName>
    <definedName name="abcde">#N/A</definedName>
    <definedName name="ABCDEF" localSheetId="6" hidden="1">{#N/A,#N/A,FALSE,"정공"}</definedName>
    <definedName name="ABCDEF" localSheetId="2" hidden="1">{#N/A,#N/A,FALSE,"정공"}</definedName>
    <definedName name="ABCDEF" hidden="1">{#N/A,#N/A,FALSE,"정공"}</definedName>
    <definedName name="ABCD관리" localSheetId="6" hidden="1">{#N/A,#N/A,FALSE,"정공"}</definedName>
    <definedName name="ABCD관리" localSheetId="2" hidden="1">{#N/A,#N/A,FALSE,"정공"}</definedName>
    <definedName name="ABCD관리" hidden="1">{#N/A,#N/A,FALSE,"정공"}</definedName>
    <definedName name="ABDD" localSheetId="2" hidden="1">{#N/A,#N/A,FALSE,"단축1";#N/A,#N/A,FALSE,"단축2";#N/A,#N/A,FALSE,"단축3";#N/A,#N/A,FALSE,"장축";#N/A,#N/A,FALSE,"4WD"}</definedName>
    <definedName name="ABDD" hidden="1">{#N/A,#N/A,FALSE,"단축1";#N/A,#N/A,FALSE,"단축2";#N/A,#N/A,FALSE,"단축3";#N/A,#N/A,FALSE,"장축";#N/A,#N/A,FALSE,"4WD"}</definedName>
    <definedName name="ABS_원부_수납">#REF!</definedName>
    <definedName name="ABS_원부_약정">#REF!</definedName>
    <definedName name="abx" localSheetId="2" hidden="1">{"FTEAOB 91",#N/A,FALSE,"FTEAOB - 5.0 Format - Input"}</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6" hidden="1">{#N/A,#N/A,FALSE,"단축1";#N/A,#N/A,FALSE,"단축2";#N/A,#N/A,FALSE,"단축3";#N/A,#N/A,FALSE,"장축";#N/A,#N/A,FALSE,"4WD"}</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localSheetId="2" hidden="1">{#N/A,#N/A,FALSE,"을지 (4)";#N/A,#N/A,FALSE,"을지 (5)";#N/A,#N/A,FALSE,"을지 (6)"}</definedName>
    <definedName name="AD" hidden="1">{#N/A,#N/A,FALSE,"을지 (4)";#N/A,#N/A,FALSE,"을지 (5)";#N/A,#N/A,FALSE,"을지 (6)"}</definedName>
    <definedName name="ADA">#REF!</definedName>
    <definedName name="ADC" hidden="1">#REF!</definedName>
    <definedName name="Adcetris">#REF!</definedName>
    <definedName name="add" localSheetId="6" hidden="1">{#N/A,#N/A,FALSE,"Aging Summary";#N/A,#N/A,FALSE,"Ratio Analysis";#N/A,#N/A,FALSE,"Test 120 Day Accts";#N/A,#N/A,FALSE,"Tickmarks"}</definedName>
    <definedName name="add"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hidden="1">{#N/A,#N/A,FALSE,"Aging Summary";#N/A,#N/A,FALSE,"Ratio Analysis";#N/A,#N/A,FALSE,"Test 120 Day Accts";#N/A,#N/A,FALSE,"Tickmarks"}</definedName>
    <definedName name="adf" hidden="1">#REF!</definedName>
    <definedName name="adfasdfdafadf" localSheetId="2">BlankMacro1</definedName>
    <definedName name="adfasdfdafadf">BlankMacro1</definedName>
    <definedName name="adfds" localSheetId="2" hidden="1">{#N/A,#N/A,FALSE,"단축1";#N/A,#N/A,FALSE,"단축2";#N/A,#N/A,FALSE,"단축3";#N/A,#N/A,FALSE,"장축";#N/A,#N/A,FALSE,"4WD"}</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 localSheetId="2">{"'Sheet1'!$A$1:$C$75"}</definedName>
    <definedName name="ADM">{"'Sheet1'!$A$1:$C$75"}</definedName>
    <definedName name="ads" localSheetId="2"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6" hidden="1">{#N/A,#N/A,TRUE,"매출진척-1";#N/A,#N/A,TRUE,"매출진척-2";#N/A,#N/A,TRUE,"제품실적";#N/A,#N/A,TRUE,"RAC";#N/A,#N/A,TRUE,"PAC ";#N/A,#N/A,TRUE,"재고현황";#N/A,#N/A,TRUE,"공지사항"}</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6"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localSheetId="2" hidden="1">{#N/A,#N/A,FALSE,"Sheet1"}</definedName>
    <definedName name="adsfa" hidden="1">{#N/A,#N/A,FALSE,"Sheet1"}</definedName>
    <definedName name="ADSFAEG">#N/A</definedName>
    <definedName name="ADSGHJHGJ" localSheetId="2" hidden="1">{#N/A,#N/A,FALSE,"단축1";#N/A,#N/A,FALSE,"단축2";#N/A,#N/A,FALSE,"단축3";#N/A,#N/A,FALSE,"장축";#N/A,#N/A,FALSE,"4WD"}</definedName>
    <definedName name="ADSGHJHGJ" hidden="1">{#N/A,#N/A,FALSE,"단축1";#N/A,#N/A,FALSE,"단축2";#N/A,#N/A,FALSE,"단축3";#N/A,#N/A,FALSE,"장축";#N/A,#N/A,FALSE,"4WD"}</definedName>
    <definedName name="a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 localSheetId="2">BlankMacro1</definedName>
    <definedName name="afd">BlankMacro1</definedName>
    <definedName name="afdasgh" localSheetId="6" hidden="1">{#N/A,#N/A,FALSE,"CCTV"}</definedName>
    <definedName name="afdasgh" localSheetId="2" hidden="1">{#N/A,#N/A,FALSE,"CCTV"}</definedName>
    <definedName name="afdasgh" hidden="1">{#N/A,#N/A,FALSE,"CCTV"}</definedName>
    <definedName name="afdd" hidden="1">#REF!</definedName>
    <definedName name="afds">#REF!</definedName>
    <definedName name="afdsfdg" localSheetId="6" hidden="1">{#N/A,#N/A,FALSE,"CCTV"}</definedName>
    <definedName name="afdsfdg" localSheetId="2" hidden="1">{#N/A,#N/A,FALSE,"CCTV"}</definedName>
    <definedName name="afdsfdg" hidden="1">{#N/A,#N/A,FALSE,"CCTV"}</definedName>
    <definedName name="aff" localSheetId="2" hidden="1">{#N/A,#N/A,FALSE,"단축1";#N/A,#N/A,FALSE,"단축2";#N/A,#N/A,FALSE,"단축3";#N/A,#N/A,FALSE,"장축";#N/A,#N/A,FALSE,"4WD"}</definedName>
    <definedName name="aff" hidden="1">{#N/A,#N/A,FALSE,"단축1";#N/A,#N/A,FALSE,"단축2";#N/A,#N/A,FALSE,"단축3";#N/A,#N/A,FALSE,"장축";#N/A,#N/A,FALSE,"4WD"}</definedName>
    <definedName name="afffgff" localSheetId="6" hidden="1">{#N/A,#N/A,FALSE,"CCTV"}</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6" hidden="1">{#N/A,#N/A,FALSE,"BS";#N/A,#N/A,FALSE,"PL";#N/A,#N/A,FALSE,"A";#N/A,#N/A,FALSE,"B";#N/A,#N/A,FALSE,"B1";#N/A,#N/A,FALSE,"C";#N/A,#N/A,FALSE,"C1";#N/A,#N/A,FALSE,"C2";#N/A,#N/A,FALSE,"D";#N/A,#N/A,FALSE,"E";#N/A,#N/A,FALSE,"F";#N/A,#N/A,FALSE,"AA";#N/A,#N/A,FALSE,"BB";#N/A,#N/A,FALSE,"CC";#N/A,#N/A,FALSE,"DD";#N/A,#N/A,FALSE,"EE";#N/A,#N/A,FALSE,"FF";#N/A,#N/A,FALSE,"PL10";#N/A,#N/A,FALSE,"PL20";#N/A,#N/A,FALSE,"PL30"}</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6"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 localSheetId="2">BLCH</definedName>
    <definedName name="ahs">BLCH</definedName>
    <definedName name="AIRCON" localSheetId="2" hidden="1">{#N/A,#N/A,FALSE,"단축1";#N/A,#N/A,FALSE,"단축2";#N/A,#N/A,FALSE,"단축3";#N/A,#N/A,FALSE,"장축";#N/A,#N/A,FALSE,"4WD"}</definedName>
    <definedName name="AIRCON" hidden="1">{#N/A,#N/A,FALSE,"단축1";#N/A,#N/A,FALSE,"단축2";#N/A,#N/A,FALSE,"단축3";#N/A,#N/A,FALSE,"장축";#N/A,#N/A,FALSE,"4WD"}</definedName>
    <definedName name="AI상">#REF!</definedName>
    <definedName name="AKS" localSheetId="6" hidden="1">{#N/A,#N/A,FALSE,"BS";#N/A,#N/A,FALSE,"PL";#N/A,#N/A,FALSE,"처분";#N/A,#N/A,FALSE,"현금";#N/A,#N/A,FALSE,"매출";#N/A,#N/A,FALSE,"원가";#N/A,#N/A,FALSE,"경영"}</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localSheetId="2" hidden="1">{#N/A,#N/A,TRUE,"경전'96(1)";#N/A,#N/A,TRUE,"경전'96 (2)"}</definedName>
    <definedName name="alf" hidden="1">{#N/A,#N/A,TRUE,"경전'96(1)";#N/A,#N/A,TRUE,"경전'96 (2)"}</definedName>
    <definedName name="Align">#REF!</definedName>
    <definedName name="alk" hidden="1">#REF!</definedName>
    <definedName name="All"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6" hidden="1">{#N/A,#N/A,FALSE,"UNIT";#N/A,#N/A,FALSE,"UNIT";#N/A,#N/A,FALSE,"계정"}</definedName>
    <definedName name="ALㅓ머" localSheetId="2" hidden="1">{#N/A,#N/A,FALSE,"UNIT";#N/A,#N/A,FALSE,"UNIT";#N/A,#N/A,FALSE,"계정"}</definedName>
    <definedName name="ALㅓ머" hidden="1">{#N/A,#N/A,FALSE,"UNIT";#N/A,#N/A,FALSE,"UNIT";#N/A,#N/A,FALSE,"계정"}</definedName>
    <definedName name="amaryl">#REF!</definedName>
    <definedName name="AMECH" localSheetId="2" hidden="1">{#N/A,#N/A,FALSE,"단축1";#N/A,#N/A,FALSE,"단축2";#N/A,#N/A,FALSE,"단축3";#N/A,#N/A,FALSE,"장축";#N/A,#N/A,FALSE,"4WD"}</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6" hidden="1">{#N/A,#N/A,FALSE,"채권채무";#N/A,#N/A,FALSE,"control sheet"}</definedName>
    <definedName name="aocnf" localSheetId="2" hidden="1">{#N/A,#N/A,FALSE,"채권채무";#N/A,#N/A,FALSE,"control sheet"}</definedName>
    <definedName name="aocnf" hidden="1">{#N/A,#N/A,FALSE,"채권채무";#N/A,#N/A,FALSE,"control sheet"}</definedName>
    <definedName name="AOCNFTHSDLR" localSheetId="2" hidden="1">{#N/A,#N/A,FALSE,"정공"}</definedName>
    <definedName name="AOCNFTHSDLR" hidden="1">{#N/A,#N/A,FALSE,"정공"}</definedName>
    <definedName name="aolin1" localSheetId="2" hidden="1">{#N/A,"Base Case",FALSE,"Revenue";#N/A,"£6.25 Fee",FALSE,"Revenue"}</definedName>
    <definedName name="aolin1" hidden="1">{#N/A,"Base Case",FALSE,"Revenue";#N/A,"£6.25 Fee",FALSE,"Revenue"}</definedName>
    <definedName name="aolinc" localSheetId="2"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localSheetId="2" hidden="1">{#N/A,#N/A,TRUE,"Cover His PWC";#N/A,#N/A,TRUE,"P&amp;L";#N/A,#N/A,TRUE,"BS";#N/A,#N/A,TRUE,"Depreciation";#N/A,#N/A,TRUE,"GRAPHS";#N/A,#N/A,TRUE,"DCF EBITDA Multiple";#N/A,#N/A,TRUE,"DCF Perpetual Growth"}</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localSheetId="2" hidden="1">{#N/A,#N/A,FALSE,"단축1";#N/A,#N/A,FALSE,"단축2";#N/A,#N/A,FALSE,"단축3";#N/A,#N/A,FALSE,"장축";#N/A,#N/A,FALSE,"4WD"}</definedName>
    <definedName name="ASADS" hidden="1">{#N/A,#N/A,FALSE,"단축1";#N/A,#N/A,FALSE,"단축2";#N/A,#N/A,FALSE,"단축3";#N/A,#N/A,FALSE,"장축";#N/A,#N/A,FALSE,"4WD"}</definedName>
    <definedName name="ASAMT">#N/A</definedName>
    <definedName name="asas" localSheetId="6" hidden="1">{#N/A,#N/A,TRUE,"변동비고정비분류(5단계)";#N/A,#N/A,TRUE,"변동비고정비분류(5단계)"}</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6" hidden="1">{#N/A,#N/A,FALSE,"Aging Summary";#N/A,#N/A,FALSE,"Ratio Analysis";#N/A,#N/A,FALSE,"Test 120 Day Accts";#N/A,#N/A,FALSE,"Tickmarks"}</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localSheetId="2" hidden="1">{#N/A,#N/A,FALSE,"단축1";#N/A,#N/A,FALSE,"단축2";#N/A,#N/A,FALSE,"단축3";#N/A,#N/A,FALSE,"장축";#N/A,#N/A,FALSE,"4WD"}</definedName>
    <definedName name="asasasws" hidden="1">{#N/A,#N/A,FALSE,"단축1";#N/A,#N/A,FALSE,"단축2";#N/A,#N/A,FALSE,"단축3";#N/A,#N/A,FALSE,"장축";#N/A,#N/A,FALSE,"4WD"}</definedName>
    <definedName name="asd" localSheetId="2">BlankMacro1</definedName>
    <definedName name="asd">#REF!</definedName>
    <definedName name="asdas" localSheetId="6" hidden="1">{#N/A,#N/A,FALSE,"Performance Flash Report"}</definedName>
    <definedName name="asdas" localSheetId="2" hidden="1">{#N/A,#N/A,FALSE,"Performance Flash Report"}</definedName>
    <definedName name="asdas" hidden="1">{#N/A,#N/A,FALSE,"Performance Flash Report"}</definedName>
    <definedName name="asdas_1" localSheetId="6" hidden="1">{#N/A,#N/A,FALSE,"Performance Flash Report"}</definedName>
    <definedName name="asdas_1" localSheetId="2" hidden="1">{#N/A,#N/A,FALSE,"Performance Flash Report"}</definedName>
    <definedName name="asdas_1" hidden="1">{#N/A,#N/A,FALSE,"Performance Flash Report"}</definedName>
    <definedName name="asdas_1_1" localSheetId="6" hidden="1">{#N/A,#N/A,FALSE,"Performance Flash Report"}</definedName>
    <definedName name="asdas_1_1" localSheetId="2" hidden="1">{#N/A,#N/A,FALSE,"Performance Flash Report"}</definedName>
    <definedName name="asdas_1_1" hidden="1">{#N/A,#N/A,FALSE,"Performance Flash Report"}</definedName>
    <definedName name="asdas_1_2" localSheetId="6" hidden="1">{#N/A,#N/A,FALSE,"Performance Flash Report"}</definedName>
    <definedName name="asdas_1_2" localSheetId="2" hidden="1">{#N/A,#N/A,FALSE,"Performance Flash Report"}</definedName>
    <definedName name="asdas_1_2" hidden="1">{#N/A,#N/A,FALSE,"Performance Flash Report"}</definedName>
    <definedName name="asdas_1_3" localSheetId="6" hidden="1">{#N/A,#N/A,FALSE,"Performance Flash Report"}</definedName>
    <definedName name="asdas_1_3" localSheetId="2" hidden="1">{#N/A,#N/A,FALSE,"Performance Flash Report"}</definedName>
    <definedName name="asdas_1_3" hidden="1">{#N/A,#N/A,FALSE,"Performance Flash Report"}</definedName>
    <definedName name="asdas_1_4" localSheetId="6" hidden="1">{#N/A,#N/A,FALSE,"Performance Flash Report"}</definedName>
    <definedName name="asdas_1_4" localSheetId="2" hidden="1">{#N/A,#N/A,FALSE,"Performance Flash Report"}</definedName>
    <definedName name="asdas_1_4" hidden="1">{#N/A,#N/A,FALSE,"Performance Flash Report"}</definedName>
    <definedName name="asdas_2" localSheetId="6" hidden="1">{#N/A,#N/A,FALSE,"Performance Flash Report"}</definedName>
    <definedName name="asdas_2" localSheetId="2" hidden="1">{#N/A,#N/A,FALSE,"Performance Flash Report"}</definedName>
    <definedName name="asdas_2" hidden="1">{#N/A,#N/A,FALSE,"Performance Flash Report"}</definedName>
    <definedName name="asdas_2_1" localSheetId="6" hidden="1">{#N/A,#N/A,FALSE,"Performance Flash Report"}</definedName>
    <definedName name="asdas_2_1" localSheetId="2" hidden="1">{#N/A,#N/A,FALSE,"Performance Flash Report"}</definedName>
    <definedName name="asdas_2_1" hidden="1">{#N/A,#N/A,FALSE,"Performance Flash Report"}</definedName>
    <definedName name="asdas_2_2" localSheetId="6" hidden="1">{#N/A,#N/A,FALSE,"Performance Flash Report"}</definedName>
    <definedName name="asdas_2_2" localSheetId="2" hidden="1">{#N/A,#N/A,FALSE,"Performance Flash Report"}</definedName>
    <definedName name="asdas_2_2" hidden="1">{#N/A,#N/A,FALSE,"Performance Flash Report"}</definedName>
    <definedName name="asdas_2_3" localSheetId="6" hidden="1">{#N/A,#N/A,FALSE,"Performance Flash Report"}</definedName>
    <definedName name="asdas_2_3" localSheetId="2" hidden="1">{#N/A,#N/A,FALSE,"Performance Flash Report"}</definedName>
    <definedName name="asdas_2_3" hidden="1">{#N/A,#N/A,FALSE,"Performance Flash Report"}</definedName>
    <definedName name="asdas_2_4" localSheetId="6" hidden="1">{#N/A,#N/A,FALSE,"Performance Flash Report"}</definedName>
    <definedName name="asdas_2_4" localSheetId="2" hidden="1">{#N/A,#N/A,FALSE,"Performance Flash Report"}</definedName>
    <definedName name="asdas_2_4" hidden="1">{#N/A,#N/A,FALSE,"Performance Flash Report"}</definedName>
    <definedName name="asdas_3" localSheetId="6" hidden="1">{#N/A,#N/A,FALSE,"Performance Flash Report"}</definedName>
    <definedName name="asdas_3" localSheetId="2" hidden="1">{#N/A,#N/A,FALSE,"Performance Flash Report"}</definedName>
    <definedName name="asdas_3" hidden="1">{#N/A,#N/A,FALSE,"Performance Flash Report"}</definedName>
    <definedName name="asdas_3_1" localSheetId="6" hidden="1">{#N/A,#N/A,FALSE,"Performance Flash Report"}</definedName>
    <definedName name="asdas_3_1" localSheetId="2" hidden="1">{#N/A,#N/A,FALSE,"Performance Flash Report"}</definedName>
    <definedName name="asdas_3_1" hidden="1">{#N/A,#N/A,FALSE,"Performance Flash Report"}</definedName>
    <definedName name="asdas_3_2" localSheetId="6" hidden="1">{#N/A,#N/A,FALSE,"Performance Flash Report"}</definedName>
    <definedName name="asdas_3_2" localSheetId="2" hidden="1">{#N/A,#N/A,FALSE,"Performance Flash Report"}</definedName>
    <definedName name="asdas_3_2" hidden="1">{#N/A,#N/A,FALSE,"Performance Flash Report"}</definedName>
    <definedName name="asdas_3_3" localSheetId="6" hidden="1">{#N/A,#N/A,FALSE,"Performance Flash Report"}</definedName>
    <definedName name="asdas_3_3" localSheetId="2" hidden="1">{#N/A,#N/A,FALSE,"Performance Flash Report"}</definedName>
    <definedName name="asdas_3_3" hidden="1">{#N/A,#N/A,FALSE,"Performance Flash Report"}</definedName>
    <definedName name="asdas_3_4" localSheetId="6" hidden="1">{#N/A,#N/A,FALSE,"Performance Flash Report"}</definedName>
    <definedName name="asdas_3_4" localSheetId="2" hidden="1">{#N/A,#N/A,FALSE,"Performance Flash Report"}</definedName>
    <definedName name="asdas_3_4" hidden="1">{#N/A,#N/A,FALSE,"Performance Flash Report"}</definedName>
    <definedName name="asdas_4" localSheetId="6" hidden="1">{#N/A,#N/A,FALSE,"Performance Flash Report"}</definedName>
    <definedName name="asdas_4" localSheetId="2" hidden="1">{#N/A,#N/A,FALSE,"Performance Flash Report"}</definedName>
    <definedName name="asdas_4" hidden="1">{#N/A,#N/A,FALSE,"Performance Flash Report"}</definedName>
    <definedName name="asdas_4_1" localSheetId="6" hidden="1">{#N/A,#N/A,FALSE,"Performance Flash Report"}</definedName>
    <definedName name="asdas_4_1" localSheetId="2" hidden="1">{#N/A,#N/A,FALSE,"Performance Flash Report"}</definedName>
    <definedName name="asdas_4_1" hidden="1">{#N/A,#N/A,FALSE,"Performance Flash Report"}</definedName>
    <definedName name="asdas_4_2" localSheetId="6" hidden="1">{#N/A,#N/A,FALSE,"Performance Flash Report"}</definedName>
    <definedName name="asdas_4_2" localSheetId="2" hidden="1">{#N/A,#N/A,FALSE,"Performance Flash Report"}</definedName>
    <definedName name="asdas_4_2" hidden="1">{#N/A,#N/A,FALSE,"Performance Flash Report"}</definedName>
    <definedName name="asdas_4_3" localSheetId="6" hidden="1">{#N/A,#N/A,FALSE,"Performance Flash Report"}</definedName>
    <definedName name="asdas_4_3" localSheetId="2" hidden="1">{#N/A,#N/A,FALSE,"Performance Flash Report"}</definedName>
    <definedName name="asdas_4_3" hidden="1">{#N/A,#N/A,FALSE,"Performance Flash Report"}</definedName>
    <definedName name="asdas_4_4" localSheetId="6" hidden="1">{#N/A,#N/A,FALSE,"Performance Flash Report"}</definedName>
    <definedName name="asdas_4_4" localSheetId="2" hidden="1">{#N/A,#N/A,FALSE,"Performance Flash Report"}</definedName>
    <definedName name="asdas_4_4" hidden="1">{#N/A,#N/A,FALSE,"Performance Flash Report"}</definedName>
    <definedName name="asdas_5" localSheetId="6" hidden="1">{#N/A,#N/A,FALSE,"Performance Flash Report"}</definedName>
    <definedName name="asdas_5" localSheetId="2" hidden="1">{#N/A,#N/A,FALSE,"Performance Flash Report"}</definedName>
    <definedName name="asdas_5" hidden="1">{#N/A,#N/A,FALSE,"Performance Flash Report"}</definedName>
    <definedName name="asdas_5_1" localSheetId="6" hidden="1">{#N/A,#N/A,FALSE,"Performance Flash Report"}</definedName>
    <definedName name="asdas_5_1" localSheetId="2" hidden="1">{#N/A,#N/A,FALSE,"Performance Flash Report"}</definedName>
    <definedName name="asdas_5_1" hidden="1">{#N/A,#N/A,FALSE,"Performance Flash Report"}</definedName>
    <definedName name="asdas_5_2" localSheetId="6" hidden="1">{#N/A,#N/A,FALSE,"Performance Flash Report"}</definedName>
    <definedName name="asdas_5_2" localSheetId="2" hidden="1">{#N/A,#N/A,FALSE,"Performance Flash Report"}</definedName>
    <definedName name="asdas_5_2" hidden="1">{#N/A,#N/A,FALSE,"Performance Flash Report"}</definedName>
    <definedName name="asdas_5_3" localSheetId="6" hidden="1">{#N/A,#N/A,FALSE,"Performance Flash Report"}</definedName>
    <definedName name="asdas_5_3" localSheetId="2" hidden="1">{#N/A,#N/A,FALSE,"Performance Flash Report"}</definedName>
    <definedName name="asdas_5_3" hidden="1">{#N/A,#N/A,FALSE,"Performance Flash Report"}</definedName>
    <definedName name="asdas_5_4" localSheetId="6" hidden="1">{#N/A,#N/A,FALSE,"Performance Flash Report"}</definedName>
    <definedName name="asdas_5_4" localSheetId="2" hidden="1">{#N/A,#N/A,FALSE,"Performance Flash Report"}</definedName>
    <definedName name="asdas_5_4" hidden="1">{#N/A,#N/A,FALSE,"Performance Flash Report"}</definedName>
    <definedName name="asdasxfdasfasgadsrts" localSheetId="2" hidden="1">{#N/A,#N/A,FALSE,"CCTV"}</definedName>
    <definedName name="asdasxfdasfasgadsrts" hidden="1">{#N/A,#N/A,FALSE,"CCTV"}</definedName>
    <definedName name="asdf" hidden="1">#REF!</definedName>
    <definedName name="asdf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2"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6">{"Book1"}</definedName>
    <definedName name="asdfg" localSheetId="2">{"Book1"}</definedName>
    <definedName name="asdfg">{"Book1"}</definedName>
    <definedName name="asdfgdfg" localSheetId="2" hidden="1">{#N/A,#N/A,TRUE,"Lines";#N/A,#N/A,TRUE,"Stations";#N/A,#N/A,TRUE,"Cap. Expenses";#N/A,#N/A,TRUE,"Land";#N/A,#N/A,TRUE,"Cen Proces Sys";#N/A,#N/A,TRUE,"telecom";#N/A,#N/A,TRUE,"Other"}</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localSheetId="2" hidden="1">{#N/A,#N/A,FALSE,"단축1";#N/A,#N/A,FALSE,"단축2";#N/A,#N/A,FALSE,"단축3";#N/A,#N/A,FALSE,"장축";#N/A,#N/A,FALSE,"4WD"}</definedName>
    <definedName name="ASDSAD" hidden="1">{#N/A,#N/A,FALSE,"단축1";#N/A,#N/A,FALSE,"단축2";#N/A,#N/A,FALSE,"단축3";#N/A,#N/A,FALSE,"장축";#N/A,#N/A,FALSE,"4WD"}</definedName>
    <definedName name="ASE" localSheetId="6"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 localSheetId="2">BlankMacro1</definedName>
    <definedName name="asfasdfasdf">BlankMacro1</definedName>
    <definedName name="asfd" hidden="1">#REF!</definedName>
    <definedName name="asfdsfas" localSheetId="2">BlankMacro1</definedName>
    <definedName name="asfdsfas">BlankMacro1</definedName>
    <definedName name="asfg">#REF!</definedName>
    <definedName name="ASS" localSheetId="6" hidden="1">{#N/A,#N/A,FALSE,"을지 (4)";#N/A,#N/A,FALSE,"을지 (5)";#N/A,#N/A,FALSE,"을지 (6)"}</definedName>
    <definedName name="ass" localSheetId="2" hidden="1">{"print 1.6",#N/A,FALSE,"Sheet1";"print 2.6",#N/A,FALSE,"Sheet1";"print 3.6",#N/A,FALSE,"Sheet1";"print 4.6",#N/A,FALSE,"Sheet1";"print 5.6",#N/A,FALSE,"Sheet1";"print 6.6",#N/A,FALSE,"Sheet1"}</definedName>
    <definedName name="ASS" hidden="1">{#N/A,#N/A,FALSE,"을지 (4)";#N/A,#N/A,FALSE,"을지 (5)";#N/A,#N/A,FALSE,"을지 (6)"}</definedName>
    <definedName name="ASSA" localSheetId="2" hidden="1">{#N/A,#N/A,FALSE,"단축1";#N/A,#N/A,FALSE,"단축2";#N/A,#N/A,FALSE,"단축3";#N/A,#N/A,FALSE,"장축";#N/A,#N/A,FALSE,"4WD"}</definedName>
    <definedName name="ASSA" hidden="1">{#N/A,#N/A,FALSE,"단축1";#N/A,#N/A,FALSE,"단축2";#N/A,#N/A,FALSE,"단축3";#N/A,#N/A,FALSE,"장축";#N/A,#N/A,FALSE,"4WD"}</definedName>
    <definedName name="assdewdwe" localSheetId="2"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6" hidden="1">{#N/A,#N/A,FALSE,"채권채무";#N/A,#N/A,FALSE,"control sheet"}</definedName>
    <definedName name="asss" localSheetId="2" hidden="1">{"rtn",#N/A,FALSE,"RTN";"tables",#N/A,FALSE,"RTN";"cf",#N/A,FALSE,"CF";"stats",#N/A,FALSE,"Stats";"prop",#N/A,FALSE,"Prop"}</definedName>
    <definedName name="asss" hidden="1">{#N/A,#N/A,FALSE,"채권채무";#N/A,#N/A,FALSE,"control sheet"}</definedName>
    <definedName name="ASSSS" localSheetId="2" hidden="1">{#N/A,#N/A,FALSE,"단축1";#N/A,#N/A,FALSE,"단축2";#N/A,#N/A,FALSE,"단축3";#N/A,#N/A,FALSE,"장축";#N/A,#N/A,FALSE,"4WD"}</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localSheetId="2" hidden="1">{#N/A,#N/A,FALSE,"단축1";#N/A,#N/A,FALSE,"단축2";#N/A,#N/A,FALSE,"단축3";#N/A,#N/A,FALSE,"장축";#N/A,#N/A,FALSE,"4WD"}</definedName>
    <definedName name="ASSY" hidden="1">{#N/A,#N/A,FALSE,"단축1";#N/A,#N/A,FALSE,"단축2";#N/A,#N/A,FALSE,"단축3";#N/A,#N/A,FALSE,"장축";#N/A,#N/A,FALSE,"4WD"}</definedName>
    <definedName name="asxz">#N/A</definedName>
    <definedName name="AS생산량"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localSheetId="2"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ar">#REF!</definedName>
    <definedName name="awefrqwr" localSheetId="6" hidden="1">{#N/A,#N/A,FALSE,"Pharm";#N/A,#N/A,FALSE,"WWCM"}</definedName>
    <definedName name="awefrqwr" localSheetId="2" hidden="1">{#N/A,#N/A,FALSE,"Pharm";#N/A,#N/A,FALSE,"WWCM"}</definedName>
    <definedName name="awefrqwr" hidden="1">{#N/A,#N/A,FALSE,"Pharm";#N/A,#N/A,FALSE,"WWCM"}</definedName>
    <definedName name="awsd">#REF!</definedName>
    <definedName name="Ax">#REF!</definedName>
    <definedName name="axcdf" localSheetId="6" hidden="1">{#N/A,#N/A,FALSE,"정공"}</definedName>
    <definedName name="axcdf" localSheetId="2" hidden="1">{#N/A,#N/A,FALSE,"정공"}</definedName>
    <definedName name="axcdf" hidden="1">{#N/A,#N/A,FALSE,"정공"}</definedName>
    <definedName name="AXD" localSheetId="6"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6" hidden="1">{#N/A,#N/A,FALSE,"P.C.B"}</definedName>
    <definedName name="ban" localSheetId="2" hidden="1">{#N/A,#N/A,FALSE,"P.C.B"}</definedName>
    <definedName name="ban" hidden="1">{#N/A,#N/A,FALSE,"P.C.B"}</definedName>
    <definedName name="BankKey">#REF!</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 localSheetId="2">BlankMacro1</definedName>
    <definedName name="bb">BlankMacro1</definedName>
    <definedName name="bbase">#REF!</definedName>
    <definedName name="BBB"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localSheetId="2" hidden="1">#REF!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localSheetId="2" hidden="1">{"Outflow 1",#N/A,FALSE,"Outflows-Inflows";"Outflow 2",#N/A,FALSE,"Outflows-Inflows";"Inflow 1",#N/A,FALSE,"Outflows-Inflows";"Inflow 2",#N/A,FALSE,"Outflows-Inflows"}</definedName>
    <definedName name="bbbbb" hidden="1">{"Outflow 1",#N/A,FALSE,"Outflows-Inflows";"Outflow 2",#N/A,FALSE,"Outflows-Inflows";"Inflow 1",#N/A,FALSE,"Outflows-Inflows";"Inflow 2",#N/A,FALSE,"Outflows-Inflows"}</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localSheetId="2" hidden="1">{#N/A,#N/A,FALSE,"Sheet1"}</definedName>
    <definedName name="bdfbe" hidden="1">{#N/A,#N/A,FALSE,"Sheet1"}</definedName>
    <definedName name="bdtgr">#REF!</definedName>
    <definedName name="BE" localSheetId="6" hidden="1">{#N/A,#N/A,FALSE,"기안지";#N/A,#N/A,FALSE,"통신지"}</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localSheetId="2" hidden="1">{"income statement",#N/A,FALSE,"ATLAS-A"}</definedName>
    <definedName name="bethany" hidden="1">{"income statement",#N/A,FALSE,"ATLAS-A"}</definedName>
    <definedName name="BF">#REF!</definedName>
    <definedName name="bfbfdhfdhdfgh" localSheetId="6" hidden="1">{#N/A,#N/A,FALSE,"CCTV"}</definedName>
    <definedName name="bfbfdhfdhdfgh" localSheetId="2" hidden="1">{#N/A,#N/A,FALSE,"CCTV"}</definedName>
    <definedName name="bfbfdhfdhdfgh" hidden="1">{#N/A,#N/A,FALSE,"CCTV"}</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localSheetId="2" hidden="1">{"cover a","1q",FALSE,"Cover";"Op Earn Mgd Q1",#N/A,FALSE,"Op-Earn (Mng)";"Op Earn Rpt Q1",#N/A,FALSE,"Op-Earn (Rpt)";"Loans",#N/A,FALSE,"Loans";"Credit Costs",#N/A,FALSE,"CCosts";"Net Interest Margin",#N/A,FALSE,"Margin";"Nonint Income",#N/A,FALSE,"NonII";"Nonint Exp",#N/A,FALSE,"NonIE";"Valuation",#N/A,FALSE,"Valuation"}</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localSheetId="2" hidden="1">{#N/A,#N/A,FALSE,"Sheet6"}</definedName>
    <definedName name="BHJ" hidden="1">{#N/A,#N/A,FALSE,"Sheet6"}</definedName>
    <definedName name="BHU">#REF!</definedName>
    <definedName name="BI" localSheetId="2" hidden="1">{#N/A,#N/A,FALSE,"이태원철근"}</definedName>
    <definedName name="BI" hidden="1">{#N/A,#N/A,FALSE,"이태원철근"}</definedName>
    <definedName name="BIDO" hidden="1">#REF!</definedName>
    <definedName name="BIGO">#N/A</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6" hidden="1">{#N/A,#N/A,FALSE,"Performance Flash Report"}</definedName>
    <definedName name="blah2" localSheetId="2" hidden="1">{#N/A,#N/A,FALSE,"Performance Flash Report"}</definedName>
    <definedName name="blah2" hidden="1">{#N/A,#N/A,FALSE,"Performance Flash Report"}</definedName>
    <definedName name="blah2_1" localSheetId="6" hidden="1">{#N/A,#N/A,FALSE,"Performance Flash Report"}</definedName>
    <definedName name="blah2_1" localSheetId="2" hidden="1">{#N/A,#N/A,FALSE,"Performance Flash Report"}</definedName>
    <definedName name="blah2_1" hidden="1">{#N/A,#N/A,FALSE,"Performance Flash Report"}</definedName>
    <definedName name="blah2_1_1" localSheetId="6" hidden="1">{#N/A,#N/A,FALSE,"Performance Flash Report"}</definedName>
    <definedName name="blah2_1_1" localSheetId="2" hidden="1">{#N/A,#N/A,FALSE,"Performance Flash Report"}</definedName>
    <definedName name="blah2_1_1" hidden="1">{#N/A,#N/A,FALSE,"Performance Flash Report"}</definedName>
    <definedName name="blah2_1_2" localSheetId="6" hidden="1">{#N/A,#N/A,FALSE,"Performance Flash Report"}</definedName>
    <definedName name="blah2_1_2" localSheetId="2" hidden="1">{#N/A,#N/A,FALSE,"Performance Flash Report"}</definedName>
    <definedName name="blah2_1_2" hidden="1">{#N/A,#N/A,FALSE,"Performance Flash Report"}</definedName>
    <definedName name="blah2_1_3" localSheetId="6" hidden="1">{#N/A,#N/A,FALSE,"Performance Flash Report"}</definedName>
    <definedName name="blah2_1_3" localSheetId="2" hidden="1">{#N/A,#N/A,FALSE,"Performance Flash Report"}</definedName>
    <definedName name="blah2_1_3" hidden="1">{#N/A,#N/A,FALSE,"Performance Flash Report"}</definedName>
    <definedName name="blah2_1_4" localSheetId="6" hidden="1">{#N/A,#N/A,FALSE,"Performance Flash Report"}</definedName>
    <definedName name="blah2_1_4" localSheetId="2" hidden="1">{#N/A,#N/A,FALSE,"Performance Flash Report"}</definedName>
    <definedName name="blah2_1_4" hidden="1">{#N/A,#N/A,FALSE,"Performance Flash Report"}</definedName>
    <definedName name="blah2_2" localSheetId="6" hidden="1">{#N/A,#N/A,FALSE,"Performance Flash Report"}</definedName>
    <definedName name="blah2_2" localSheetId="2" hidden="1">{#N/A,#N/A,FALSE,"Performance Flash Report"}</definedName>
    <definedName name="blah2_2" hidden="1">{#N/A,#N/A,FALSE,"Performance Flash Report"}</definedName>
    <definedName name="blah2_2_1" localSheetId="6" hidden="1">{#N/A,#N/A,FALSE,"Performance Flash Report"}</definedName>
    <definedName name="blah2_2_1" localSheetId="2" hidden="1">{#N/A,#N/A,FALSE,"Performance Flash Report"}</definedName>
    <definedName name="blah2_2_1" hidden="1">{#N/A,#N/A,FALSE,"Performance Flash Report"}</definedName>
    <definedName name="blah2_2_2" localSheetId="6" hidden="1">{#N/A,#N/A,FALSE,"Performance Flash Report"}</definedName>
    <definedName name="blah2_2_2" localSheetId="2" hidden="1">{#N/A,#N/A,FALSE,"Performance Flash Report"}</definedName>
    <definedName name="blah2_2_2" hidden="1">{#N/A,#N/A,FALSE,"Performance Flash Report"}</definedName>
    <definedName name="blah2_2_3" localSheetId="6" hidden="1">{#N/A,#N/A,FALSE,"Performance Flash Report"}</definedName>
    <definedName name="blah2_2_3" localSheetId="2" hidden="1">{#N/A,#N/A,FALSE,"Performance Flash Report"}</definedName>
    <definedName name="blah2_2_3" hidden="1">{#N/A,#N/A,FALSE,"Performance Flash Report"}</definedName>
    <definedName name="blah2_2_4" localSheetId="6" hidden="1">{#N/A,#N/A,FALSE,"Performance Flash Report"}</definedName>
    <definedName name="blah2_2_4" localSheetId="2" hidden="1">{#N/A,#N/A,FALSE,"Performance Flash Report"}</definedName>
    <definedName name="blah2_2_4" hidden="1">{#N/A,#N/A,FALSE,"Performance Flash Report"}</definedName>
    <definedName name="blah2_3" localSheetId="6" hidden="1">{#N/A,#N/A,FALSE,"Performance Flash Report"}</definedName>
    <definedName name="blah2_3" localSheetId="2" hidden="1">{#N/A,#N/A,FALSE,"Performance Flash Report"}</definedName>
    <definedName name="blah2_3" hidden="1">{#N/A,#N/A,FALSE,"Performance Flash Report"}</definedName>
    <definedName name="blah2_3_1" localSheetId="6" hidden="1">{#N/A,#N/A,FALSE,"Performance Flash Report"}</definedName>
    <definedName name="blah2_3_1" localSheetId="2" hidden="1">{#N/A,#N/A,FALSE,"Performance Flash Report"}</definedName>
    <definedName name="blah2_3_1" hidden="1">{#N/A,#N/A,FALSE,"Performance Flash Report"}</definedName>
    <definedName name="blah2_3_2" localSheetId="6" hidden="1">{#N/A,#N/A,FALSE,"Performance Flash Report"}</definedName>
    <definedName name="blah2_3_2" localSheetId="2" hidden="1">{#N/A,#N/A,FALSE,"Performance Flash Report"}</definedName>
    <definedName name="blah2_3_2" hidden="1">{#N/A,#N/A,FALSE,"Performance Flash Report"}</definedName>
    <definedName name="blah2_3_3" localSheetId="6" hidden="1">{#N/A,#N/A,FALSE,"Performance Flash Report"}</definedName>
    <definedName name="blah2_3_3" localSheetId="2" hidden="1">{#N/A,#N/A,FALSE,"Performance Flash Report"}</definedName>
    <definedName name="blah2_3_3" hidden="1">{#N/A,#N/A,FALSE,"Performance Flash Report"}</definedName>
    <definedName name="blah2_3_4" localSheetId="6" hidden="1">{#N/A,#N/A,FALSE,"Performance Flash Report"}</definedName>
    <definedName name="blah2_3_4" localSheetId="2" hidden="1">{#N/A,#N/A,FALSE,"Performance Flash Report"}</definedName>
    <definedName name="blah2_3_4" hidden="1">{#N/A,#N/A,FALSE,"Performance Flash Report"}</definedName>
    <definedName name="blah2_4" localSheetId="6" hidden="1">{#N/A,#N/A,FALSE,"Performance Flash Report"}</definedName>
    <definedName name="blah2_4" localSheetId="2" hidden="1">{#N/A,#N/A,FALSE,"Performance Flash Report"}</definedName>
    <definedName name="blah2_4" hidden="1">{#N/A,#N/A,FALSE,"Performance Flash Report"}</definedName>
    <definedName name="blah2_4_1" localSheetId="6" hidden="1">{#N/A,#N/A,FALSE,"Performance Flash Report"}</definedName>
    <definedName name="blah2_4_1" localSheetId="2" hidden="1">{#N/A,#N/A,FALSE,"Performance Flash Report"}</definedName>
    <definedName name="blah2_4_1" hidden="1">{#N/A,#N/A,FALSE,"Performance Flash Report"}</definedName>
    <definedName name="blah2_4_2" localSheetId="6" hidden="1">{#N/A,#N/A,FALSE,"Performance Flash Report"}</definedName>
    <definedName name="blah2_4_2" localSheetId="2" hidden="1">{#N/A,#N/A,FALSE,"Performance Flash Report"}</definedName>
    <definedName name="blah2_4_2" hidden="1">{#N/A,#N/A,FALSE,"Performance Flash Report"}</definedName>
    <definedName name="blah2_4_3" localSheetId="6" hidden="1">{#N/A,#N/A,FALSE,"Performance Flash Report"}</definedName>
    <definedName name="blah2_4_3" localSheetId="2" hidden="1">{#N/A,#N/A,FALSE,"Performance Flash Report"}</definedName>
    <definedName name="blah2_4_3" hidden="1">{#N/A,#N/A,FALSE,"Performance Flash Report"}</definedName>
    <definedName name="blah2_4_4" localSheetId="6" hidden="1">{#N/A,#N/A,FALSE,"Performance Flash Report"}</definedName>
    <definedName name="blah2_4_4" localSheetId="2" hidden="1">{#N/A,#N/A,FALSE,"Performance Flash Report"}</definedName>
    <definedName name="blah2_4_4" hidden="1">{#N/A,#N/A,FALSE,"Performance Flash Report"}</definedName>
    <definedName name="blah2_5" localSheetId="6" hidden="1">{#N/A,#N/A,FALSE,"Performance Flash Report"}</definedName>
    <definedName name="blah2_5" localSheetId="2" hidden="1">{#N/A,#N/A,FALSE,"Performance Flash Report"}</definedName>
    <definedName name="blah2_5" hidden="1">{#N/A,#N/A,FALSE,"Performance Flash Report"}</definedName>
    <definedName name="blah2_5_1" localSheetId="6" hidden="1">{#N/A,#N/A,FALSE,"Performance Flash Report"}</definedName>
    <definedName name="blah2_5_1" localSheetId="2" hidden="1">{#N/A,#N/A,FALSE,"Performance Flash Report"}</definedName>
    <definedName name="blah2_5_1" hidden="1">{#N/A,#N/A,FALSE,"Performance Flash Report"}</definedName>
    <definedName name="blah2_5_2" localSheetId="6" hidden="1">{#N/A,#N/A,FALSE,"Performance Flash Report"}</definedName>
    <definedName name="blah2_5_2" localSheetId="2" hidden="1">{#N/A,#N/A,FALSE,"Performance Flash Report"}</definedName>
    <definedName name="blah2_5_2" hidden="1">{#N/A,#N/A,FALSE,"Performance Flash Report"}</definedName>
    <definedName name="blah2_5_3" localSheetId="6" hidden="1">{#N/A,#N/A,FALSE,"Performance Flash Report"}</definedName>
    <definedName name="blah2_5_3" localSheetId="2" hidden="1">{#N/A,#N/A,FALSE,"Performance Flash Report"}</definedName>
    <definedName name="blah2_5_3" hidden="1">{#N/A,#N/A,FALSE,"Performance Flash Report"}</definedName>
    <definedName name="blah2_5_4" localSheetId="6"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6" hidden="1">{#N/A,#N/A,FALSE,"CCTV"}</definedName>
    <definedName name="BM" localSheetId="2" hidden="1">{#N/A,#N/A,FALSE,"CCTV"}</definedName>
    <definedName name="BM" hidden="1">{#N/A,#N/A,FALSE,"CCTV"}</definedName>
    <definedName name="BN" localSheetId="2">BlankMacro1</definedName>
    <definedName name="BN">BlankMacro1</definedName>
    <definedName name="BNE_MESSAGES_HIDDEN" hidden="1">#REF!</definedName>
    <definedName name="bnumber">#REF!</definedName>
    <definedName name="bnwgr">#REF!</definedName>
    <definedName name="Bo">#REF!</definedName>
    <definedName name="bob"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localSheetId="2" hidden="1">{#N/A,#N/A,FALSE,"단축1";#N/A,#N/A,FALSE,"단축2";#N/A,#N/A,FALSE,"단축3";#N/A,#N/A,FALSE,"장축";#N/A,#N/A,FALSE,"4WD"}</definedName>
    <definedName name="BOOK" hidden="1">{#N/A,#N/A,FALSE,"단축1";#N/A,#N/A,FALSE,"단축2";#N/A,#N/A,FALSE,"단축3";#N/A,#N/A,FALSE,"장축";#N/A,#N/A,FALSE,"4WD"}</definedName>
    <definedName name="book1" localSheetId="6" hidden="1">{#N/A,#N/A,FALSE,"UNIT";#N/A,#N/A,FALSE,"UNIT";#N/A,#N/A,FALSE,"계정"}</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6" hidden="1">{#N/A,#N/A,FALSE,"BS";#N/A,#N/A,FALSE,"PL";#N/A,#N/A,FALSE,"처분";#N/A,#N/A,FALSE,"현금";#N/A,#N/A,FALSE,"매출";#N/A,#N/A,FALSE,"원가";#N/A,#N/A,FALSE,"경영"}</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 localSheetId="2">BLCH</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localSheetId="2" hidden="1">{#N/A,#N/A,FALSE,"지침";#N/A,#N/A,FALSE,"환경분석";#N/A,#N/A,FALSE,"Sheet16"}</definedName>
    <definedName name="BS_전년" hidden="1">{#N/A,#N/A,FALSE,"지침";#N/A,#N/A,FALSE,"환경분석";#N/A,#N/A,FALSE,"Sheet16"}</definedName>
    <definedName name="BS_후">#REF!,#REF!,#REF!,#REF!,#REF!,#REF!</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6" hidden="1">{#N/A,#N/A,FALSE,"정공"}</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localSheetId="2"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lly"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6"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lculations">#REF!</definedName>
    <definedName name="CALENDAR" localSheetId="2" hidden="1">{#N/A,#N/A,TRUE,"Y생산";#N/A,#N/A,TRUE,"Y판매";#N/A,#N/A,TRUE,"Y총물량";#N/A,#N/A,TRUE,"Y능력";#N/A,#N/A,TRUE,"YKD"}</definedName>
    <definedName name="CALENDAR" hidden="1">{#N/A,#N/A,TRUE,"Y생산";#N/A,#N/A,TRUE,"Y판매";#N/A,#N/A,TRUE,"Y총물량";#N/A,#N/A,TRUE,"Y능력";#N/A,#N/A,TRUE,"YKD"}</definedName>
    <definedName name="Call_Bep"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6" hidden="1">{#N/A,#N/A,FALSE,"P.C.B"}</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localSheetId="2" hidden="1">{#N/A,#N/A,FALSE,"단축1";#N/A,#N/A,FALSE,"단축2";#N/A,#N/A,FALSE,"단축3";#N/A,#N/A,FALSE,"장축";#N/A,#N/A,FALSE,"4WD"}</definedName>
    <definedName name="CARRIER" hidden="1">{#N/A,#N/A,FALSE,"단축1";#N/A,#N/A,FALSE,"단축2";#N/A,#N/A,FALSE,"단축3";#N/A,#N/A,FALSE,"장축";#N/A,#N/A,FALSE,"4WD"}</definedName>
    <definedName name="CASE" localSheetId="2"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6">#REF!,#REF!,#REF!,#REF!,#REF!,#REF!,#REF!,#REF!,#REF!,#REF!</definedName>
    <definedName name="cash" localSheetId="2">#REF!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 localSheetId="2">#N/A</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6" hidden="1">{"'5국공정'!$A$1:$E$128"}</definedName>
    <definedName name="cc0" localSheetId="2" hidden="1">{"'5국공정'!$A$1:$E$128"}</definedName>
    <definedName name="cc0" hidden="1">{"'5국공정'!$A$1:$E$128"}</definedName>
    <definedName name="CCC" hidden="1">#REF!</definedName>
    <definedName name="cccccccccccccccccccccc">#N/A</definedName>
    <definedName name="cccddd" localSheetId="2" hidden="1">{#N/A,#N/A,FALSE,"단축1";#N/A,#N/A,FALSE,"단축2";#N/A,#N/A,FALSE,"단축3";#N/A,#N/A,FALSE,"장축";#N/A,#N/A,FALSE,"4WD"}</definedName>
    <definedName name="cccddd" hidden="1">{#N/A,#N/A,FALSE,"단축1";#N/A,#N/A,FALSE,"단축2";#N/A,#N/A,FALSE,"단축3";#N/A,#N/A,FALSE,"장축";#N/A,#N/A,FALSE,"4WD"}</definedName>
    <definedName name="CCR" localSheetId="6" hidden="1">{#N/A,#N/A,FALSE,"CCTV"}</definedName>
    <definedName name="CCR" localSheetId="2" hidden="1">{#N/A,#N/A,FALSE,"CCTV"}</definedName>
    <definedName name="CCR" hidden="1">{#N/A,#N/A,FALSE,"CCTV"}</definedName>
    <definedName name="CCR빈양식" localSheetId="6" hidden="1">{#N/A,#N/A,FALSE,"CCTV"}</definedName>
    <definedName name="CCR빈양식" localSheetId="2" hidden="1">{#N/A,#N/A,FALSE,"CCTV"}</definedName>
    <definedName name="CCR빈양식" hidden="1">{#N/A,#N/A,FALSE,"CCTV"}</definedName>
    <definedName name="cd" localSheetId="2">BlankMacro1</definedName>
    <definedName name="cd">BlankMacro1</definedName>
    <definedName name="cDATA1">#REF!</definedName>
    <definedName name="CDB" localSheetId="2">CommonDB.xls</definedName>
    <definedName name="CDB">CommonDB.xls</definedName>
    <definedName name="cdf" localSheetId="2">BlankMacro1</definedName>
    <definedName name="cdf">BlankMacro1</definedName>
    <definedName name="CENTA">#REF!</definedName>
    <definedName name="CENTA1">#REF!</definedName>
    <definedName name="CF">#N/A</definedName>
    <definedName name="CF_Eng">#REF!</definedName>
    <definedName name="CF02기초" localSheetId="6" hidden="1">{#N/A,#N/A,TRUE,"Summary";#N/A,#N/A,TRUE,"IS";#N/A,#N/A,TRUE,"Adj";#N/A,#N/A,TRUE,"BS";#N/A,#N/A,TRUE,"CF";#N/A,#N/A,TRUE,"Debt";#N/A,#N/A,TRUE,"IRR"}</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6"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6" hidden="1">{#N/A,#N/A,FALSE,"BS";#N/A,#N/A,FALSE,"PL";#N/A,#N/A,FALSE,"A";#N/A,#N/A,FALSE,"B";#N/A,#N/A,FALSE,"B1";#N/A,#N/A,FALSE,"C";#N/A,#N/A,FALSE,"C1";#N/A,#N/A,FALSE,"C2";#N/A,#N/A,FALSE,"D";#N/A,#N/A,FALSE,"E";#N/A,#N/A,FALSE,"F";#N/A,#N/A,FALSE,"AA";#N/A,#N/A,FALSE,"BB";#N/A,#N/A,FALSE,"CC";#N/A,#N/A,FALSE,"DD";#N/A,#N/A,FALSE,"EE";#N/A,#N/A,FALSE,"FF";#N/A,#N/A,FALSE,"PL10";#N/A,#N/A,FALSE,"PL20";#N/A,#N/A,FALSE,"PL30"}</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6"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localSheetId="2" hidden="1">{"'용역비'!$A$4:$C$8"}</definedName>
    <definedName name="cgmh" hidden="1">{"'용역비'!$A$4:$C$8"}</definedName>
    <definedName name="ch_BS">#REF!</definedName>
    <definedName name="ch_PL">#REF!</definedName>
    <definedName name="CHANG" localSheetId="6" hidden="1">{#N/A,#N/A,FALSE,"P.C.B"}</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 localSheetId="2">BlankMacro1</definedName>
    <definedName name="CI">BlankMacro1</definedName>
    <definedName name="CIE" localSheetId="2">BlankMacro1</definedName>
    <definedName name="CIE">BlankMacro1</definedName>
    <definedName name="CIG" localSheetId="2">BlankMacro1</definedName>
    <definedName name="CIG">BlankMacro1</definedName>
    <definedName name="CIGH" localSheetId="2">BlankMacro1</definedName>
    <definedName name="CIGH">BlankMacro1</definedName>
    <definedName name="CIGJL" localSheetId="2">BlankMacro1</definedName>
    <definedName name="CIGJL">BlankMacro1</definedName>
    <definedName name="CIHG" localSheetId="2">BlankMacro1</definedName>
    <definedName name="CIHG">BlankMacro1</definedName>
    <definedName name="ciperiod">#REF!</definedName>
    <definedName name="Cipla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 localSheetId="2">BlankMacro1</definedName>
    <definedName name="CJI">BlankMacro1</definedName>
    <definedName name="CK">#REF!</definedName>
    <definedName name="CKEI" localSheetId="2">BlankMacro1</definedName>
    <definedName name="CKEI">BlankMacro1</definedName>
    <definedName name="CKG" localSheetId="6" hidden="1">{#N/A,#N/A,FALSE,"기안지";#N/A,#N/A,FALSE,"통신지"}</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localSheetId="2" hidden="1">{"'Sheet1'!$A$1:$H$36"}</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localSheetId="2" hidden="1">{#N/A,#N/A,FALSE,"신규dep";#N/A,#N/A,FALSE,"신규dep-금형상각후";#N/A,#N/A,FALSE,"신규dep-연구비상각후";#N/A,#N/A,FALSE,"신규dep-기계,공구상각후"}</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localSheetId="2" hidden="1">{#N/A,#N/A,FALSE,"단축1";#N/A,#N/A,FALSE,"단축2";#N/A,#N/A,FALSE,"단축3";#N/A,#N/A,FALSE,"장축";#N/A,#N/A,FALSE,"4WD"}</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localSheetId="2" hidden="1">{"'Price List '!$A$1:$R$156"}</definedName>
    <definedName name="consulgin" hidden="1">{"'Price List '!$A$1:$R$156"}</definedName>
    <definedName name="CONSUM">#REF!</definedName>
    <definedName name="ContentsHelp" hidden="1">#REF!</definedName>
    <definedName name="Contrac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localSheetId="2"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localSheetId="2" hidden="1">{#N/A,#N/A,FALSE,"단축1";#N/A,#N/A,FALSE,"단축2";#N/A,#N/A,FALSE,"단축3";#N/A,#N/A,FALSE,"장축";#N/A,#N/A,FALSE,"4WD"}</definedName>
    <definedName name="COVER" hidden="1">{#N/A,#N/A,FALSE,"단축1";#N/A,#N/A,FALSE,"단축2";#N/A,#N/A,FALSE,"단축3";#N/A,#N/A,FALSE,"장축";#N/A,#N/A,FALSE,"4WD"}</definedName>
    <definedName name="cox" localSheetId="2" hidden="1">{#N/A,#N/A,FALSE,"Time Warner";#N/A,#N/A,FALSE,"Entertainment Group";#N/A,#N/A,FALSE,"EBITDA";#N/A,#N/A,FALSE,"Notes"}</definedName>
    <definedName name="cox" hidden="1">{#N/A,#N/A,FALSE,"Time Warner";#N/A,#N/A,FALSE,"Entertainment Group";#N/A,#N/A,FALSE,"EBITDA";#N/A,#N/A,FALSE,"Notes"}</definedName>
    <definedName name="CO상">#REF!</definedName>
    <definedName name="cp">#REF!</definedName>
    <definedName name="CPAD" localSheetId="2" hidden="1">{#N/A,#N/A,FALSE,"단축1";#N/A,#N/A,FALSE,"단축2";#N/A,#N/A,FALSE,"단축3";#N/A,#N/A,FALSE,"장축";#N/A,#N/A,FALSE,"4WD"}</definedName>
    <definedName name="CPAD" hidden="1">{#N/A,#N/A,FALSE,"단축1";#N/A,#N/A,FALSE,"단축2";#N/A,#N/A,FALSE,"단축3";#N/A,#N/A,FALSE,"장축";#N/A,#N/A,FALSE,"4WD"}</definedName>
    <definedName name="CPIU00">3%</definedName>
    <definedName name="CPIU01">4%</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6" hidden="1">{#N/A,#N/A,FALSE,"BS";#N/A,#N/A,FALSE,"PL";#N/A,#N/A,FALSE,"처분";#N/A,#N/A,FALSE,"현금";#N/A,#N/A,FALSE,"매출";#N/A,#N/A,FALSE,"원가";#N/A,#N/A,FALSE,"경영"}</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6"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 localSheetId="2">BlankMacro1</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 localSheetId="2">BlankMacro1</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6" hidden="1">{"'Jibu9811 (3)'!$B$1:$J$433"}</definedName>
    <definedName name="CVC" localSheetId="2" hidden="1">{"'Jibu9811 (3)'!$B$1:$J$433"}</definedName>
    <definedName name="CVC" hidden="1">{"'Jibu9811 (3)'!$B$1:$J$433"}</definedName>
    <definedName name="cvcv" localSheetId="6" hidden="1">{#N/A,#N/A,FALSE,"Aging Summary";#N/A,#N/A,FALSE,"Ratio Analysis";#N/A,#N/A,FALSE,"Test 120 Day Accts";#N/A,#N/A,FALSE,"Tickmarks"}</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 localSheetId="2">BlankMacro1</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6" hidden="1">{#N/A,#N/A,FALSE,"UNIT";#N/A,#N/A,FALSE,"UNIT";#N/A,#N/A,FALSE,"계정"}</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localSheetId="2" hidden="1">{#N/A,"Base Case",FALSE,"Revenue";#N/A,"£6.25 Fee",FALSE,"Revenue"}</definedName>
    <definedName name="dasdg" hidden="1">{#N/A,"Base Case",FALSE,"Revenue";#N/A,"£6.25 Fee",FALSE,"Revenue"}</definedName>
    <definedName name="dasdsa">#REF!</definedName>
    <definedName name="dassa"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 localSheetId="2">#REF!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6" hidden="1">{#N/A,#N/A,FALSE,"단축1";#N/A,#N/A,FALSE,"단축2";#N/A,#N/A,FALSE,"단축3";#N/A,#N/A,FALSE,"장축";#N/A,#N/A,FALSE,"4WD"}</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 localSheetId="2">[0]!BlankMacro1</definedName>
    <definedName name="dddd">#REF!</definedName>
    <definedName name="DDDDA" localSheetId="2">BlankMacro1</definedName>
    <definedName name="DDDDA">BlankMacro1</definedName>
    <definedName name="ddddd" hidden="1">#REF!</definedName>
    <definedName name="dddddd">#N/A</definedName>
    <definedName name="dddddddd" localSheetId="6" hidden="1">{"'5국공정'!$A$1:$E$128"}</definedName>
    <definedName name="dddddddd" localSheetId="2" hidden="1">{"'5국공정'!$A$1:$E$128"}</definedName>
    <definedName name="dddddddd" hidden="1">{"'5국공정'!$A$1:$E$128"}</definedName>
    <definedName name="ddddddddd">#REF!</definedName>
    <definedName name="dddddf" localSheetId="2" hidden="1">{#N/A,#N/A,FALSE,"단축1";#N/A,#N/A,FALSE,"단축2";#N/A,#N/A,FALSE,"단축3";#N/A,#N/A,FALSE,"장축";#N/A,#N/A,FALSE,"4WD"}</definedName>
    <definedName name="dddddf" hidden="1">{#N/A,#N/A,FALSE,"단축1";#N/A,#N/A,FALSE,"단축2";#N/A,#N/A,FALSE,"단축3";#N/A,#N/A,FALSE,"장축";#N/A,#N/A,FALSE,"4WD"}</definedName>
    <definedName name="dddfg" localSheetId="6" hidden="1">{#N/A,#N/A,FALSE,"정공"}</definedName>
    <definedName name="dddfg" localSheetId="2" hidden="1">{#N/A,#N/A,FALSE,"정공"}</definedName>
    <definedName name="dddfg" hidden="1">{#N/A,#N/A,FALSE,"정공"}</definedName>
    <definedName name="dDFA" localSheetId="2" hidden="1">{#N/A,#N/A,FALSE,"단축1";#N/A,#N/A,FALSE,"단축2";#N/A,#N/A,FALSE,"단축3";#N/A,#N/A,FALSE,"장축";#N/A,#N/A,FALSE,"4WD"}</definedName>
    <definedName name="dDFA" hidden="1">{#N/A,#N/A,FALSE,"단축1";#N/A,#N/A,FALSE,"단축2";#N/A,#N/A,FALSE,"단축3";#N/A,#N/A,FALSE,"장축";#N/A,#N/A,FALSE,"4WD"}</definedName>
    <definedName name="DDFD" localSheetId="6" hidden="1">{#N/A,#N/A,FALSE,"CCTV"}</definedName>
    <definedName name="DDFD" localSheetId="2" hidden="1">{#N/A,#N/A,FALSE,"CCTV"}</definedName>
    <definedName name="DDFD" hidden="1">{#N/A,#N/A,FALSE,"CCTV"}</definedName>
    <definedName name="DDQ" localSheetId="2">BlankMacro1</definedName>
    <definedName name="DDQ">BlankMacro1</definedName>
    <definedName name="DDS" localSheetId="6" hidden="1">{#N/A,#N/A,FALSE,"을지 (4)";#N/A,#N/A,FALSE,"을지 (5)";#N/A,#N/A,FALSE,"을지 (6)"}</definedName>
    <definedName name="DDS" localSheetId="2" hidden="1">{#N/A,#N/A,FALSE,"을지 (4)";#N/A,#N/A,FALSE,"을지 (5)";#N/A,#N/A,FALSE,"을지 (6)"}</definedName>
    <definedName name="DDS" hidden="1">{#N/A,#N/A,FALSE,"을지 (4)";#N/A,#N/A,FALSE,"을지 (5)";#N/A,#N/A,FALSE,"을지 (6)"}</definedName>
    <definedName name="DDW" localSheetId="2">BlankMacro1</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localSheetId="2" hidden="1">{#N/A,#N/A,TRUE,"Julio";#N/A,#N/A,TRUE,"Agosto";#N/A,#N/A,TRUE,"BHCo";#N/A,#N/A,TRUE,"Abril";#N/A,#N/A,TRUE,"Pro Forma"}</definedName>
    <definedName name="ded" hidden="1">{#N/A,#N/A,TRUE,"Julio";#N/A,#N/A,TRUE,"Agosto";#N/A,#N/A,TRUE,"BHCo";#N/A,#N/A,TRUE,"Abril";#N/A,#N/A,TRUE,"Pro Forma"}</definedName>
    <definedName name="DEFERRED">#REF!</definedName>
    <definedName name="DEFERRED2">#REF!</definedName>
    <definedName name="defgh"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6" hidden="1">{#N/A,#N/A,FALSE,"Aging Summary";#N/A,#N/A,FALSE,"Ratio Analysis";#N/A,#N/A,FALSE,"Test 120 Day Accts";#N/A,#N/A,FALSE,"Tickmarks"}</definedName>
    <definedName name="df" localSheetId="2">BlankMacro1</definedName>
    <definedName name="DF" hidden="1">{#N/A,#N/A,FALSE,"Aging Summary";#N/A,#N/A,FALSE,"Ratio Analysis";#N/A,#N/A,FALSE,"Test 120 Day Accts";#N/A,#N/A,FALSE,"Tickmarks"}</definedName>
    <definedName name="DFA" localSheetId="2" hidden="1">{#N/A,#N/A,FALSE,"단축1";#N/A,#N/A,FALSE,"단축2";#N/A,#N/A,FALSE,"단축3";#N/A,#N/A,FALSE,"장축";#N/A,#N/A,FALSE,"4WD"}</definedName>
    <definedName name="DFA" hidden="1">{#N/A,#N/A,FALSE,"단축1";#N/A,#N/A,FALSE,"단축2";#N/A,#N/A,FALSE,"단축3";#N/A,#N/A,FALSE,"장축";#N/A,#N/A,FALSE,"4WD"}</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localSheetId="2" hidden="1">{#N/A,#N/A,FALSE,"Sheet6"}</definedName>
    <definedName name="dfd" hidden="1">{#N/A,#N/A,FALSE,"Sheet6"}</definedName>
    <definedName name="DFDF" localSheetId="6" hidden="1">{#N/A,#N/A,FALSE,"Aging Summary";#N/A,#N/A,FALSE,"Ratio Analysis";#N/A,#N/A,FALSE,"Test 120 Day Accts";#N/A,#N/A,FALSE,"Tickmarks"}</definedName>
    <definedName name="dfdf" localSheetId="2">BlankMacro1</definedName>
    <definedName name="DFDF" hidden="1">{#N/A,#N/A,FALSE,"Aging Summary";#N/A,#N/A,FALSE,"Ratio Analysis";#N/A,#N/A,FALSE,"Test 120 Day Accts";#N/A,#N/A,FALSE,"Tickmarks"}</definedName>
    <definedName name="dfds">#REF!</definedName>
    <definedName name="dfdsfaf" localSheetId="2">BlankMacro1</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6" hidden="1">{"'Jibu9811 (3)'!$B$1:$J$433"}</definedName>
    <definedName name="DFHGHF" localSheetId="2" hidden="1">{"'Jibu9811 (3)'!$B$1:$J$433"}</definedName>
    <definedName name="DFHGHF" hidden="1">{"'Jibu9811 (3)'!$B$1:$J$433"}</definedName>
    <definedName name="dfhkhfkjsg" localSheetId="2" hidden="1">{"'Sheet1'!$A$1:$H$36"}</definedName>
    <definedName name="dfhkhfkjsg" hidden="1">{"'Sheet1'!$A$1:$H$36"}</definedName>
    <definedName name="DFJDFJFJFJF" localSheetId="2" hidden="1">{#N/A,#N/A,TRUE,"Y생산";#N/A,#N/A,TRUE,"Y판매";#N/A,#N/A,TRUE,"Y총물량";#N/A,#N/A,TRUE,"Y능력";#N/A,#N/A,TRUE,"YKD"}</definedName>
    <definedName name="DFJDFJFJFJF" hidden="1">{#N/A,#N/A,TRUE,"Y생산";#N/A,#N/A,TRUE,"Y판매";#N/A,#N/A,TRUE,"Y총물량";#N/A,#N/A,TRUE,"Y능력";#N/A,#N/A,TRUE,"YKD"}</definedName>
    <definedName name="DFJHD" localSheetId="2" hidden="1">{#N/A,#N/A,FALSE,"단축1";#N/A,#N/A,FALSE,"단축2";#N/A,#N/A,FALSE,"단축3";#N/A,#N/A,FALSE,"장축";#N/A,#N/A,FALSE,"4WD"}</definedName>
    <definedName name="DFJHD" hidden="1">{#N/A,#N/A,FALSE,"단축1";#N/A,#N/A,FALSE,"단축2";#N/A,#N/A,FALSE,"단축3";#N/A,#N/A,FALSE,"장축";#N/A,#N/A,FALSE,"4WD"}</definedName>
    <definedName name="dfjkdhf" localSheetId="2" hidden="1">{"'Sheet1'!$A$1:$H$36"}</definedName>
    <definedName name="dfjkdhf" hidden="1">{"'Sheet1'!$A$1:$H$36"}</definedName>
    <definedName name="dflhsdpif" localSheetId="6" hidden="1">{"'Jibu9811 (3)'!$B$1:$J$433"}</definedName>
    <definedName name="dflhsdpif" localSheetId="2" hidden="1">{"'Jibu9811 (3)'!$B$1:$J$433"}</definedName>
    <definedName name="dflhsdpif" hidden="1">{"'Jibu9811 (3)'!$B$1:$J$433"}</definedName>
    <definedName name="dfs" localSheetId="2" hidden="1">{#N/A,#N/A,FALSE,"Sheet1"}</definedName>
    <definedName name="dfs" hidden="1">{#N/A,#N/A,FALSE,"Sheet1"}</definedName>
    <definedName name="dfsad" hidden="1">#REF!</definedName>
    <definedName name="DFSD" localSheetId="2" hidden="1">{#N/A,#N/A,FALSE,"Sheet6"}</definedName>
    <definedName name="DFSD" hidden="1">{#N/A,#N/A,FALSE,"Sheet6"}</definedName>
    <definedName name="dfsdf">#REF!</definedName>
    <definedName name="dfsdsfsfdsfd" hidden="1">#REF!</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 localSheetId="2">BlankMacro1</definedName>
    <definedName name="dge">BlankMacro1</definedName>
    <definedName name="DGF" localSheetId="2" hidden="1">{#N/A,#N/A,FALSE,"단축1";#N/A,#N/A,FALSE,"단축2";#N/A,#N/A,FALSE,"단축3";#N/A,#N/A,FALSE,"장축";#N/A,#N/A,FALSE,"4WD"}</definedName>
    <definedName name="DGF" hidden="1">{#N/A,#N/A,FALSE,"단축1";#N/A,#N/A,FALSE,"단축2";#N/A,#N/A,FALSE,"단축3";#N/A,#N/A,FALSE,"장축";#N/A,#N/A,FALSE,"4WD"}</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6" hidden="1">{#N/A,#N/A,FALSE,"CCTV"}</definedName>
    <definedName name="dgfgjgj" localSheetId="2" hidden="1">{#N/A,#N/A,FALSE,"CCTV"}</definedName>
    <definedName name="dgfgjgj" hidden="1">{#N/A,#N/A,FALSE,"CCTV"}</definedName>
    <definedName name="Dgo">#REF!</definedName>
    <definedName name="dgs" hidden="1">#REF!</definedName>
    <definedName name="dgsg" localSheetId="2">BLCH</definedName>
    <definedName name="dgsg">BLCH</definedName>
    <definedName name="Dgx">#REF!</definedName>
    <definedName name="Dgz">#REF!</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 hidden="1">{"'Sheet1'!$A$1:$H$36"}</definedName>
    <definedName name="dhfkldjk" hidden="1">{"'Sheet1'!$A$1:$H$36"}</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localSheetId="2" hidden="1">{"'용역비'!$A$4:$C$8"}</definedName>
    <definedName name="dhj" hidden="1">{"'용역비'!$A$4:$C$8"}</definedName>
    <definedName name="dhjkfhdjkhslhjkls" localSheetId="2" hidden="1">{"'Sheet1'!$A$1:$H$36"}</definedName>
    <definedName name="dhjkfhdjkhslhjkls" hidden="1">{"'Sheet1'!$A$1:$H$36"}</definedName>
    <definedName name="dhksie" localSheetId="2" hidden="1">{"'Sheet1'!$A$1:$H$36"}</definedName>
    <definedName name="dhksie" hidden="1">{"'Sheet1'!$A$1:$H$36"}</definedName>
    <definedName name="dhsjhsks" localSheetId="2"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 localSheetId="2">BlankMacro1</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localSheetId="2" hidden="1">{#N/A,#N/A,TRUE,"경전'96(1)";#N/A,#N/A,TRUE,"경전'96 (2)"}</definedName>
    <definedName name="dja" hidden="1">{#N/A,#N/A,TRUE,"경전'96(1)";#N/A,#N/A,TRUE,"경전'96 (2)"}</definedName>
    <definedName name="DJDJ" localSheetId="6" hidden="1">{#N/A,#N/A,FALSE,"9612"}</definedName>
    <definedName name="DJDJ" localSheetId="2" hidden="1">{#N/A,#N/A,FALSE,"9612"}</definedName>
    <definedName name="DJDJ" hidden="1">{#N/A,#N/A,FALSE,"9612"}</definedName>
    <definedName name="djfljdlf">#N/A</definedName>
    <definedName name="djkdjls" localSheetId="2" hidden="1">{"'Sheet1'!$A$1:$H$36"}</definedName>
    <definedName name="djkdjls" hidden="1">{"'Sheet1'!$A$1:$H$36"}</definedName>
    <definedName name="djkjksl" localSheetId="2" hidden="1">{"'Sheet1'!$A$1:$H$36"}</definedName>
    <definedName name="djkjksl" hidden="1">{"'Sheet1'!$A$1:$H$36"}</definedName>
    <definedName name="djklcnkl" localSheetId="2" hidden="1">{"'Sheet1'!$A$1:$H$36"}</definedName>
    <definedName name="djklcnkl" hidden="1">{"'Sheet1'!$A$1:$H$36"}</definedName>
    <definedName name="djklsjksj" localSheetId="2" hidden="1">{"'Sheet1'!$A$1:$H$36"}</definedName>
    <definedName name="djklsjksj" hidden="1">{"'Sheet1'!$A$1:$H$36"}</definedName>
    <definedName name="djklslls" localSheetId="2" hidden="1">{"'Sheet1'!$A$1:$H$36"}</definedName>
    <definedName name="djklslls" hidden="1">{"'Sheet1'!$A$1:$H$36"}</definedName>
    <definedName name="djkskls" localSheetId="2" hidden="1">{"'Sheet1'!$A$1:$H$36"}</definedName>
    <definedName name="djkskls" hidden="1">{"'Sheet1'!$A$1:$H$36"}</definedName>
    <definedName name="djksl" localSheetId="2" hidden="1">{"'Sheet1'!$A$1:$H$36"}</definedName>
    <definedName name="djksl" hidden="1">{"'Sheet1'!$A$1:$H$36"}</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localSheetId="2" hidden="1">{"'Sheet1'!$A$1:$H$36"}</definedName>
    <definedName name="djlkslmxl" hidden="1">{"'Sheet1'!$A$1:$H$36"}</definedName>
    <definedName name="dk" hidden="1">#REF!</definedName>
    <definedName name="DKD" localSheetId="6" hidden="1">{#N/A,#N/A,FALSE,"기안지";#N/A,#N/A,FALSE,"통신지"}</definedName>
    <definedName name="DKD" localSheetId="2" hidden="1">{#N/A,#N/A,FALSE,"기안지";#N/A,#N/A,FALSE,"통신지"}</definedName>
    <definedName name="DKD" hidden="1">{#N/A,#N/A,FALSE,"기안지";#N/A,#N/A,FALSE,"통신지"}</definedName>
    <definedName name="dkdk" localSheetId="6" hidden="1">{#N/A,#N/A,FALSE,"BS";#N/A,#N/A,FALSE,"PL";#N/A,#N/A,FALSE,"처분";#N/A,#N/A,FALSE,"현금";#N/A,#N/A,FALSE,"매출";#N/A,#N/A,FALSE,"원가";#N/A,#N/A,FALSE,"경영"}</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6" hidden="1">{#N/A,#N/A,FALSE,"UNIT";#N/A,#N/A,FALSE,"UNIT";#N/A,#N/A,FALSE,"계정"}</definedName>
    <definedName name="dkdkd" localSheetId="2" hidden="1">{#N/A,#N/A,FALSE,"UNIT";#N/A,#N/A,FALSE,"UNIT";#N/A,#N/A,FALSE,"계정"}</definedName>
    <definedName name="dkdkd" hidden="1">{#N/A,#N/A,FALSE,"UNIT";#N/A,#N/A,FALSE,"UNIT";#N/A,#N/A,FALSE,"계정"}</definedName>
    <definedName name="dkdkdk" localSheetId="2" hidden="1">{"'Sheet1'!$A$1:$H$36"}</definedName>
    <definedName name="dkdkdk" hidden="1">{"'Sheet1'!$A$1:$H$36"}</definedName>
    <definedName name="dkdlrh" localSheetId="2" hidden="1">{"'Sheet1'!$A$1:$D$15"}</definedName>
    <definedName name="dkdlrh" hidden="1">{"'Sheet1'!$A$1:$D$15"}</definedName>
    <definedName name="DKE" localSheetId="2">BlankMacro1</definedName>
    <definedName name="DKE">BlankMacro1</definedName>
    <definedName name="dkf" localSheetId="2" hidden="1">{#N/A,#N/A,FALSE,"단축1";#N/A,#N/A,FALSE,"단축2";#N/A,#N/A,FALSE,"단축3";#N/A,#N/A,FALSE,"장축";#N/A,#N/A,FALSE,"4WD"}</definedName>
    <definedName name="dkf" hidden="1">{#N/A,#N/A,FALSE,"단축1";#N/A,#N/A,FALSE,"단축2";#N/A,#N/A,FALSE,"단축3";#N/A,#N/A,FALSE,"장축";#N/A,#N/A,FALSE,"4WD"}</definedName>
    <definedName name="DKHG" localSheetId="2">BlankMacro1</definedName>
    <definedName name="DKHG">BlankMacro1</definedName>
    <definedName name="dkiw" localSheetId="2">BlankMacro1</definedName>
    <definedName name="dkiw">BlankMacro1</definedName>
    <definedName name="dkjiqw">#N/A</definedName>
    <definedName name="dkslke" localSheetId="2" hidden="1">{"'Sheet1'!$A$1:$H$36"}</definedName>
    <definedName name="dkslke" hidden="1">{"'Sheet1'!$A$1:$H$36"}</definedName>
    <definedName name="dl">#REF!</definedName>
    <definedName name="DLAKL" localSheetId="2"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hidden="1">{#N/A,#N/A,FALSE,"단축1";#N/A,#N/A,FALSE,"단축2";#N/A,#N/A,FALSE,"단축3";#N/A,#N/A,FALSE,"장축";#N/A,#N/A,FALSE,"4WD"}</definedName>
    <definedName name="DLDL" localSheetId="2" hidden="1">{#N/A,#N/A,FALSE,"단축1";#N/A,#N/A,FALSE,"단축2";#N/A,#N/A,FALSE,"단축3";#N/A,#N/A,FALSE,"장축";#N/A,#N/A,FALSE,"4WD"}</definedName>
    <definedName name="DLDL" hidden="1">{#N/A,#N/A,FALSE,"단축1";#N/A,#N/A,FALSE,"단축2";#N/A,#N/A,FALSE,"단축3";#N/A,#N/A,FALSE,"장축";#N/A,#N/A,FALSE,"4WD"}</definedName>
    <definedName name="DLDLD" localSheetId="2"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6" hidden="1">{#N/A,#N/A,FALSE,"기안지";#N/A,#N/A,FALSE,"통신지"}</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6" hidden="1">{#N/A,#N/A,FALSE,"BS";#N/A,#N/A,FALSE,"PL";#N/A,#N/A,FALSE,"처분";#N/A,#N/A,FALSE,"현금";#N/A,#N/A,FALSE,"매출";#N/A,#N/A,FALSE,"원가";#N/A,#N/A,FALSE,"경영"}</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8">BlankMacro1</definedName>
    <definedName name="dnfl" localSheetId="6">BlankMacro1</definedName>
    <definedName name="dnfl" localSheetId="2">BlankMacro1</definedName>
    <definedName name="dnfl" localSheetId="0">BlankMacro1</definedName>
    <definedName name="dnfl" localSheetId="9">BlankMacro1</definedName>
    <definedName name="dnfl">BlankMacro1</definedName>
    <definedName name="dnlksnlkslk" localSheetId="2" hidden="1">{"'Sheet1'!$A$1:$H$36"}</definedName>
    <definedName name="dnlksnlkslk" hidden="1">{"'Sheet1'!$A$1:$H$36"}</definedName>
    <definedName name="DNTL" localSheetId="2" hidden="1">{#N/A,#N/A,FALSE,"단축1";#N/A,#N/A,FALSE,"단축2";#N/A,#N/A,FALSE,"단축3";#N/A,#N/A,FALSE,"장축";#N/A,#N/A,FALSE,"4WD"}</definedName>
    <definedName name="DNTL" hidden="1">{#N/A,#N/A,FALSE,"단축1";#N/A,#N/A,FALSE,"단축2";#N/A,#N/A,FALSE,"단축3";#N/A,#N/A,FALSE,"장축";#N/A,#N/A,FALSE,"4WD"}</definedName>
    <definedName name="DOC">#REF!</definedName>
    <definedName name="DOCK" localSheetId="6" hidden="1">#REF!</definedName>
    <definedName name="DOCK" hidden="1">#REF!</definedName>
    <definedName name="Document_array" localSheetId="6">{"Book1"}</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localSheetId="2"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 hidden="1">#REF!</definedName>
    <definedName name="dre" localSheetId="2" hidden="1">{"comp1",#N/A,FALSE,"COMPS";"footnotes",#N/A,FALSE,"COMPS"}</definedName>
    <definedName name="dre" hidden="1">{"comp1",#N/A,FALSE,"COMPS";"footnotes",#N/A,FALSE,"COMPS"}</definedName>
    <definedName name="drg" hidden="1">#REF!</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opdownPerformedby">#REF!</definedName>
    <definedName name="drsg">#REF!</definedName>
    <definedName name="ds" localSheetId="8">BlankMacro1</definedName>
    <definedName name="ds" localSheetId="6">BlankMacro1</definedName>
    <definedName name="ds" localSheetId="2" hidden="1">#REF!</definedName>
    <definedName name="ds" localSheetId="0">BlankMacro1</definedName>
    <definedName name="ds" localSheetId="9">BlankMacro1</definedName>
    <definedName name="ds">BlankMacro1</definedName>
    <definedName name="DSA" localSheetId="6" hidden="1">{#N/A,#N/A,FALSE,"을지 (4)";#N/A,#N/A,FALSE,"을지 (5)";#N/A,#N/A,FALSE,"을지 (6)"}</definedName>
    <definedName name="DSA" localSheetId="2" hidden="1">{#N/A,#N/A,FALSE,"을지 (4)";#N/A,#N/A,FALSE,"을지 (5)";#N/A,#N/A,FALSE,"을지 (6)"}</definedName>
    <definedName name="DSA" hidden="1">{#N/A,#N/A,FALSE,"을지 (4)";#N/A,#N/A,FALSE,"을지 (5)";#N/A,#N/A,FALSE,"을지 (6)"}</definedName>
    <definedName name="dsad"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localSheetId="2" hidden="1">{"Monthly 1999 Stats",#N/A,FALSE,"Months";"Monthly 1999 IS",#N/A,FALSE,"Months"}</definedName>
    <definedName name="dsadsa" hidden="1">{"Monthly 1999 Stats",#N/A,FALSE,"Months";"Monthly 1999 IS",#N/A,FALSE,"Months"}</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6" hidden="1">{#N/A,#N/A,FALSE,"Aging Summary";#N/A,#N/A,FALSE,"Ratio Analysis";#N/A,#N/A,FALSE,"Test 120 Day Accts";#N/A,#N/A,FALSE,"Tickmarks"}</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6" hidden="1">{#N/A,#N/A,TRUE,"Summary";#N/A,#N/A,TRUE,"IS";#N/A,#N/A,TRUE,"Adj";#N/A,#N/A,TRUE,"BS";#N/A,#N/A,TRUE,"CF";#N/A,#N/A,TRUE,"Debt";#N/A,#N/A,TRUE,"IRR"}</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localSheetId="2" hidden="1">{#N/A,#N/A,FALSE,"단축1";#N/A,#N/A,FALSE,"단축2";#N/A,#N/A,FALSE,"단축3";#N/A,#N/A,FALSE,"장축";#N/A,#N/A,FALSE,"4WD"}</definedName>
    <definedName name="DSDS" hidden="1">{#N/A,#N/A,FALSE,"단축1";#N/A,#N/A,FALSE,"단축2";#N/A,#N/A,FALSE,"단축3";#N/A,#N/A,FALSE,"장축";#N/A,#N/A,FALSE,"4WD"}</definedName>
    <definedName name="DSDSD" localSheetId="2" hidden="1">{#N/A,#N/A,FALSE,"단축1";#N/A,#N/A,FALSE,"단축2";#N/A,#N/A,FALSE,"단축3";#N/A,#N/A,FALSE,"장축";#N/A,#N/A,FALSE,"4WD"}</definedName>
    <definedName name="DSDSD" hidden="1">{#N/A,#N/A,FALSE,"단축1";#N/A,#N/A,FALSE,"단축2";#N/A,#N/A,FALSE,"단축3";#N/A,#N/A,FALSE,"장축";#N/A,#N/A,FALSE,"4WD"}</definedName>
    <definedName name="DSDSLKJFJ" localSheetId="6" hidden="1">{#N/A,#N/A,FALSE,"Aging Summary";#N/A,#N/A,FALSE,"Ratio Analysis";#N/A,#N/A,FALSE,"Test 120 Day Accts";#N/A,#N/A,FALSE,"Tickmarks"}</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 localSheetId="2">BlankMacro1</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 localSheetId="2">BlankMacro1</definedName>
    <definedName name="E8IIE">BlankMacro1</definedName>
    <definedName name="EADAF" localSheetId="2" hidden="1">{#N/A,#N/A,FALSE,"단축1";#N/A,#N/A,FALSE,"단축2";#N/A,#N/A,FALSE,"단축3";#N/A,#N/A,FALSE,"장축";#N/A,#N/A,FALSE,"4WD"}</definedName>
    <definedName name="EADAF" hidden="1">{#N/A,#N/A,FALSE,"단축1";#N/A,#N/A,FALSE,"단축2";#N/A,#N/A,FALSE,"단축3";#N/A,#N/A,FALSE,"장축";#N/A,#N/A,FALSE,"4WD"}</definedName>
    <definedName name="earn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localSheetId="2" hidden="1">{#N/A,#N/A,FALSE,"단축1";#N/A,#N/A,FALSE,"단축2";#N/A,#N/A,FALSE,"단축3";#N/A,#N/A,FALSE,"장축";#N/A,#N/A,FALSE,"4WD"}</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localSheetId="2" hidden="1">{#N/A,#N/A,FALSE,"운반시간"}</definedName>
    <definedName name="eee.송운" hidden="1">{#N/A,#N/A,FALSE,"운반시간"}</definedName>
    <definedName name="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localSheetId="2" hidden="1">{#N/A,#N/A,TRUE,"Y생산";#N/A,#N/A,TRUE,"Y판매";#N/A,#N/A,TRUE,"Y총물량";#N/A,#N/A,TRUE,"Y능력";#N/A,#N/A,TRUE,"YKD"}</definedName>
    <definedName name="EEJEJJEJEJEJE" hidden="1">{#N/A,#N/A,TRUE,"Y생산";#N/A,#N/A,TRUE,"Y판매";#N/A,#N/A,TRUE,"Y총물량";#N/A,#N/A,TRUE,"Y능력";#N/A,#N/A,TRUE,"YKD"}</definedName>
    <definedName name="eeojfkjks" localSheetId="2" hidden="1">{"'Sheet1'!$A$1:$H$36"}</definedName>
    <definedName name="eeojfkjks" hidden="1">{"'Sheet1'!$A$1:$H$36"}</definedName>
    <definedName name="EF">#REF!</definedName>
    <definedName name="efbar" localSheetId="6" hidden="1">{#N/A,#N/A,FALSE,"Performance Flash Report"}</definedName>
    <definedName name="efbar" localSheetId="2" hidden="1">{#N/A,#N/A,FALSE,"Performance Flash Report"}</definedName>
    <definedName name="efbar" hidden="1">{#N/A,#N/A,FALSE,"Performance Flash Report"}</definedName>
    <definedName name="efbar_1" localSheetId="6" hidden="1">{#N/A,#N/A,FALSE,"Performance Flash Report"}</definedName>
    <definedName name="efbar_1" localSheetId="2" hidden="1">{#N/A,#N/A,FALSE,"Performance Flash Report"}</definedName>
    <definedName name="efbar_1" hidden="1">{#N/A,#N/A,FALSE,"Performance Flash Report"}</definedName>
    <definedName name="efbar_1_1" localSheetId="6" hidden="1">{#N/A,#N/A,FALSE,"Performance Flash Report"}</definedName>
    <definedName name="efbar_1_1" localSheetId="2" hidden="1">{#N/A,#N/A,FALSE,"Performance Flash Report"}</definedName>
    <definedName name="efbar_1_1" hidden="1">{#N/A,#N/A,FALSE,"Performance Flash Report"}</definedName>
    <definedName name="efbar_1_2" localSheetId="6" hidden="1">{#N/A,#N/A,FALSE,"Performance Flash Report"}</definedName>
    <definedName name="efbar_1_2" localSheetId="2" hidden="1">{#N/A,#N/A,FALSE,"Performance Flash Report"}</definedName>
    <definedName name="efbar_1_2" hidden="1">{#N/A,#N/A,FALSE,"Performance Flash Report"}</definedName>
    <definedName name="efbar_1_3" localSheetId="6" hidden="1">{#N/A,#N/A,FALSE,"Performance Flash Report"}</definedName>
    <definedName name="efbar_1_3" localSheetId="2" hidden="1">{#N/A,#N/A,FALSE,"Performance Flash Report"}</definedName>
    <definedName name="efbar_1_3" hidden="1">{#N/A,#N/A,FALSE,"Performance Flash Report"}</definedName>
    <definedName name="efbar_1_4" localSheetId="6" hidden="1">{#N/A,#N/A,FALSE,"Performance Flash Report"}</definedName>
    <definedName name="efbar_1_4" localSheetId="2" hidden="1">{#N/A,#N/A,FALSE,"Performance Flash Report"}</definedName>
    <definedName name="efbar_1_4" hidden="1">{#N/A,#N/A,FALSE,"Performance Flash Report"}</definedName>
    <definedName name="efbar_2" localSheetId="6" hidden="1">{#N/A,#N/A,FALSE,"Performance Flash Report"}</definedName>
    <definedName name="efbar_2" localSheetId="2" hidden="1">{#N/A,#N/A,FALSE,"Performance Flash Report"}</definedName>
    <definedName name="efbar_2" hidden="1">{#N/A,#N/A,FALSE,"Performance Flash Report"}</definedName>
    <definedName name="efbar_2_1" localSheetId="6" hidden="1">{#N/A,#N/A,FALSE,"Performance Flash Report"}</definedName>
    <definedName name="efbar_2_1" localSheetId="2" hidden="1">{#N/A,#N/A,FALSE,"Performance Flash Report"}</definedName>
    <definedName name="efbar_2_1" hidden="1">{#N/A,#N/A,FALSE,"Performance Flash Report"}</definedName>
    <definedName name="efbar_2_2" localSheetId="6" hidden="1">{#N/A,#N/A,FALSE,"Performance Flash Report"}</definedName>
    <definedName name="efbar_2_2" localSheetId="2" hidden="1">{#N/A,#N/A,FALSE,"Performance Flash Report"}</definedName>
    <definedName name="efbar_2_2" hidden="1">{#N/A,#N/A,FALSE,"Performance Flash Report"}</definedName>
    <definedName name="efbar_2_3" localSheetId="6" hidden="1">{#N/A,#N/A,FALSE,"Performance Flash Report"}</definedName>
    <definedName name="efbar_2_3" localSheetId="2" hidden="1">{#N/A,#N/A,FALSE,"Performance Flash Report"}</definedName>
    <definedName name="efbar_2_3" hidden="1">{#N/A,#N/A,FALSE,"Performance Flash Report"}</definedName>
    <definedName name="efbar_2_4" localSheetId="6" hidden="1">{#N/A,#N/A,FALSE,"Performance Flash Report"}</definedName>
    <definedName name="efbar_2_4" localSheetId="2" hidden="1">{#N/A,#N/A,FALSE,"Performance Flash Report"}</definedName>
    <definedName name="efbar_2_4" hidden="1">{#N/A,#N/A,FALSE,"Performance Flash Report"}</definedName>
    <definedName name="efbar_3" localSheetId="6" hidden="1">{#N/A,#N/A,FALSE,"Performance Flash Report"}</definedName>
    <definedName name="efbar_3" localSheetId="2" hidden="1">{#N/A,#N/A,FALSE,"Performance Flash Report"}</definedName>
    <definedName name="efbar_3" hidden="1">{#N/A,#N/A,FALSE,"Performance Flash Report"}</definedName>
    <definedName name="efbar_3_1" localSheetId="6" hidden="1">{#N/A,#N/A,FALSE,"Performance Flash Report"}</definedName>
    <definedName name="efbar_3_1" localSheetId="2" hidden="1">{#N/A,#N/A,FALSE,"Performance Flash Report"}</definedName>
    <definedName name="efbar_3_1" hidden="1">{#N/A,#N/A,FALSE,"Performance Flash Report"}</definedName>
    <definedName name="efbar_3_2" localSheetId="6" hidden="1">{#N/A,#N/A,FALSE,"Performance Flash Report"}</definedName>
    <definedName name="efbar_3_2" localSheetId="2" hidden="1">{#N/A,#N/A,FALSE,"Performance Flash Report"}</definedName>
    <definedName name="efbar_3_2" hidden="1">{#N/A,#N/A,FALSE,"Performance Flash Report"}</definedName>
    <definedName name="efbar_3_3" localSheetId="6" hidden="1">{#N/A,#N/A,FALSE,"Performance Flash Report"}</definedName>
    <definedName name="efbar_3_3" localSheetId="2" hidden="1">{#N/A,#N/A,FALSE,"Performance Flash Report"}</definedName>
    <definedName name="efbar_3_3" hidden="1">{#N/A,#N/A,FALSE,"Performance Flash Report"}</definedName>
    <definedName name="efbar_3_4" localSheetId="6" hidden="1">{#N/A,#N/A,FALSE,"Performance Flash Report"}</definedName>
    <definedName name="efbar_3_4" localSheetId="2" hidden="1">{#N/A,#N/A,FALSE,"Performance Flash Report"}</definedName>
    <definedName name="efbar_3_4" hidden="1">{#N/A,#N/A,FALSE,"Performance Flash Report"}</definedName>
    <definedName name="efbar_4" localSheetId="6" hidden="1">{#N/A,#N/A,FALSE,"Performance Flash Report"}</definedName>
    <definedName name="efbar_4" localSheetId="2" hidden="1">{#N/A,#N/A,FALSE,"Performance Flash Report"}</definedName>
    <definedName name="efbar_4" hidden="1">{#N/A,#N/A,FALSE,"Performance Flash Report"}</definedName>
    <definedName name="efbar_4_1" localSheetId="6" hidden="1">{#N/A,#N/A,FALSE,"Performance Flash Report"}</definedName>
    <definedName name="efbar_4_1" localSheetId="2" hidden="1">{#N/A,#N/A,FALSE,"Performance Flash Report"}</definedName>
    <definedName name="efbar_4_1" hidden="1">{#N/A,#N/A,FALSE,"Performance Flash Report"}</definedName>
    <definedName name="efbar_4_2" localSheetId="6" hidden="1">{#N/A,#N/A,FALSE,"Performance Flash Report"}</definedName>
    <definedName name="efbar_4_2" localSheetId="2" hidden="1">{#N/A,#N/A,FALSE,"Performance Flash Report"}</definedName>
    <definedName name="efbar_4_2" hidden="1">{#N/A,#N/A,FALSE,"Performance Flash Report"}</definedName>
    <definedName name="efbar_4_3" localSheetId="6" hidden="1">{#N/A,#N/A,FALSE,"Performance Flash Report"}</definedName>
    <definedName name="efbar_4_3" localSheetId="2" hidden="1">{#N/A,#N/A,FALSE,"Performance Flash Report"}</definedName>
    <definedName name="efbar_4_3" hidden="1">{#N/A,#N/A,FALSE,"Performance Flash Report"}</definedName>
    <definedName name="efbar_4_4" localSheetId="6" hidden="1">{#N/A,#N/A,FALSE,"Performance Flash Report"}</definedName>
    <definedName name="efbar_4_4" localSheetId="2" hidden="1">{#N/A,#N/A,FALSE,"Performance Flash Report"}</definedName>
    <definedName name="efbar_4_4" hidden="1">{#N/A,#N/A,FALSE,"Performance Flash Report"}</definedName>
    <definedName name="efbar_5" localSheetId="6" hidden="1">{#N/A,#N/A,FALSE,"Performance Flash Report"}</definedName>
    <definedName name="efbar_5" localSheetId="2" hidden="1">{#N/A,#N/A,FALSE,"Performance Flash Report"}</definedName>
    <definedName name="efbar_5" hidden="1">{#N/A,#N/A,FALSE,"Performance Flash Report"}</definedName>
    <definedName name="efbar_5_1" localSheetId="6" hidden="1">{#N/A,#N/A,FALSE,"Performance Flash Report"}</definedName>
    <definedName name="efbar_5_1" localSheetId="2" hidden="1">{#N/A,#N/A,FALSE,"Performance Flash Report"}</definedName>
    <definedName name="efbar_5_1" hidden="1">{#N/A,#N/A,FALSE,"Performance Flash Report"}</definedName>
    <definedName name="efbar_5_2" localSheetId="6" hidden="1">{#N/A,#N/A,FALSE,"Performance Flash Report"}</definedName>
    <definedName name="efbar_5_2" localSheetId="2" hidden="1">{#N/A,#N/A,FALSE,"Performance Flash Report"}</definedName>
    <definedName name="efbar_5_2" hidden="1">{#N/A,#N/A,FALSE,"Performance Flash Report"}</definedName>
    <definedName name="efbar_5_3" localSheetId="6" hidden="1">{#N/A,#N/A,FALSE,"Performance Flash Report"}</definedName>
    <definedName name="efbar_5_3" localSheetId="2" hidden="1">{#N/A,#N/A,FALSE,"Performance Flash Report"}</definedName>
    <definedName name="efbar_5_3" hidden="1">{#N/A,#N/A,FALSE,"Performance Flash Report"}</definedName>
    <definedName name="efbar_5_4" localSheetId="6"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localSheetId="2" hidden="1">{#N/A,#N/A,FALSE,"단축1";#N/A,#N/A,FALSE,"단축2";#N/A,#N/A,FALSE,"단축3";#N/A,#N/A,FALSE,"장축";#N/A,#N/A,FALSE,"4WD"}</definedName>
    <definedName name="EFFOG" hidden="1">{#N/A,#N/A,FALSE,"단축1";#N/A,#N/A,FALSE,"단축2";#N/A,#N/A,FALSE,"단축3";#N/A,#N/A,FALSE,"장축";#N/A,#N/A,FALSE,"4WD"}</definedName>
    <definedName name="efweufwb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localSheetId="2" hidden="1">{#N/A,#N/A,FALSE,"단축1";#N/A,#N/A,FALSE,"단축2";#N/A,#N/A,FALSE,"단축3";#N/A,#N/A,FALSE,"장축";#N/A,#N/A,FALSE,"4WD"}</definedName>
    <definedName name="EF제동" hidden="1">{#N/A,#N/A,FALSE,"단축1";#N/A,#N/A,FALSE,"단축2";#N/A,#N/A,FALSE,"단축3";#N/A,#N/A,FALSE,"장축";#N/A,#N/A,FALSE,"4WD"}</definedName>
    <definedName name="ej" localSheetId="2" hidden="1">{"'용역비'!$A$4:$C$8"}</definedName>
    <definedName name="ej" hidden="1">{"'용역비'!$A$4:$C$8"}</definedName>
    <definedName name="ejklejle" localSheetId="2" hidden="1">{"'Sheet1'!$A$1:$H$36"}</definedName>
    <definedName name="ejklejle" hidden="1">{"'Sheet1'!$A$1:$H$36"}</definedName>
    <definedName name="EK" hidden="1">#REF!</definedName>
    <definedName name="EKCI" localSheetId="2">BlankMacro1</definedName>
    <definedName name="EKCI">BlankMacro1</definedName>
    <definedName name="ekele" localSheetId="2" hidden="1">{"'Sheet1'!$A$1:$H$36"}</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6"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6" hidden="1">{#N/A,#N/A,FALSE,"BS";#N/A,#N/A,FALSE,"PL";#N/A,#N/A,FALSE,"처분";#N/A,#N/A,FALSE,"현금";#N/A,#N/A,FALSE,"매출";#N/A,#N/A,FALSE,"원가";#N/A,#N/A,FALSE,"경영"}</definedName>
    <definedName name="Eo" localSheetId="2">#REF!</definedName>
    <definedName name="eo" hidden="1">{#N/A,#N/A,FALSE,"BS";#N/A,#N/A,FALSE,"PL";#N/A,#N/A,FALSE,"처분";#N/A,#N/A,FALSE,"현금";#N/A,#N/A,FALSE,"매출";#N/A,#N/A,FALSE,"원가";#N/A,#N/A,FALSE,"경영"}</definedName>
    <definedName name="EOCK">#REF!</definedName>
    <definedName name="EOGH" localSheetId="2" hidden="1">{#N/A,#N/A,FALSE,"단축1";#N/A,#N/A,FALSE,"단축2";#N/A,#N/A,FALSE,"단축3";#N/A,#N/A,FALSE,"장축";#N/A,#N/A,FALSE,"4WD"}</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localSheetId="2" hidden="1">{#N/A,#N/A,FALSE,"단축1";#N/A,#N/A,FALSE,"단축2";#N/A,#N/A,FALSE,"단축3";#N/A,#N/A,FALSE,"장축";#N/A,#N/A,FALSE,"4WD"}</definedName>
    <definedName name="ERRE" hidden="1">{#N/A,#N/A,FALSE,"단축1";#N/A,#N/A,FALSE,"단축2";#N/A,#N/A,FALSE,"단축3";#N/A,#N/A,FALSE,"장축";#N/A,#N/A,FALSE,"4WD"}</definedName>
    <definedName name="ers">#N/A</definedName>
    <definedName name="ertyertye" localSheetId="2" hidden="1">{"'용역비'!$A$4:$C$8"}</definedName>
    <definedName name="ertyertye" hidden="1">{"'용역비'!$A$4:$C$8"}</definedName>
    <definedName name="erwrw">#N/A</definedName>
    <definedName name="erwrwe" localSheetId="2" hidden="1">{#N/A,#N/A,FALSE,"Sheet1"}</definedName>
    <definedName name="erwrwe" hidden="1">{#N/A,#N/A,FALSE,"Sheet1"}</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localSheetId="2" hidden="1">{"FTSE100","COMPANIES",TRUE}</definedName>
    <definedName name="esnrc100c1_values" hidden="1">{"FTSE100","COMPANIES",TRUE}</definedName>
    <definedName name="esnrc33c1_values" localSheetId="2" hidden="1">{"EUMOT","COMPANIES",TRUE}</definedName>
    <definedName name="esnrc33c1_values" hidden="1">{"EUMOT","COMPANIES",TRUE}</definedName>
    <definedName name="esnrc56c1_values" localSheetId="2" hidden="1">{"ASCONGRP","COMPANIES",TRUE}</definedName>
    <definedName name="esnrc56c1_values" hidden="1">{"ASCONGRP","COMPANIES",TRUE}</definedName>
    <definedName name="esnrc63c1_values" localSheetId="2" hidden="1">{"EUUTIGRP","COMPANIES",TRUE}</definedName>
    <definedName name="esnrc63c1_values" hidden="1">{"EUUTIGRP","COMPANIES",TRUE}</definedName>
    <definedName name="esnrc91c1_values" localSheetId="2" hidden="1">{"EUUTI","COMPANIES",TRUE}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localSheetId="2" hidden="1">{#N/A,#N/A,FALSE,"Sheet6"}</definedName>
    <definedName name="ETWE" hidden="1">{#N/A,#N/A,FALSE,"Sheet6"}</definedName>
    <definedName name="ETWEGF" localSheetId="2" hidden="1">{#N/A,#N/A,FALSE,"Sheet6"}</definedName>
    <definedName name="ETWEGF" hidden="1">{#N/A,#N/A,FALSE,"Sheet6"}</definedName>
    <definedName name="etyj" localSheetId="2" hidden="1">{"'용역비'!$A$4:$C$8"}</definedName>
    <definedName name="etyj" hidden="1">{"'용역비'!$A$4:$C$8"}</definedName>
    <definedName name="etyjj" localSheetId="2"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localSheetId="2"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6" hidden="1">{#N/A,#N/A,FALSE,"Aging Summary";#N/A,#N/A,FALSE,"Ratio Analysis";#N/A,#N/A,FALSE,"Test 120 Day Accts";#N/A,#N/A,FALSE,"Tickmarks"}</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localSheetId="2" hidden="1">{#N/A,#N/A,FALSE,"Sheet6"}</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6" hidden="1">{#N/A,#N/A,TRUE,"일정"}</definedName>
    <definedName name="EXT" localSheetId="2" hidden="1">{#N/A,#N/A,TRUE,"일정"}</definedName>
    <definedName name="EXT" hidden="1">{#N/A,#N/A,TRUE,"일정"}</definedName>
    <definedName name="_xlnm.Extract">#REF!</definedName>
    <definedName name="Extract_MI">#REF!</definedName>
    <definedName name="EXTT" localSheetId="6" hidden="1">{#N/A,#N/A,TRUE,"일정"}</definedName>
    <definedName name="EXTT" localSheetId="2" hidden="1">{#N/A,#N/A,TRUE,"일정"}</definedName>
    <definedName name="EXTT" hidden="1">{#N/A,#N/A,TRUE,"일정"}</definedName>
    <definedName name="eyteyt" localSheetId="6" hidden="1">{#N/A,#N/A,FALSE,"CCTV"}</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 localSheetId="2">BlankMacro1</definedName>
    <definedName name="fadad">BlankMacro1</definedName>
    <definedName name="fall" hidden="1">#REF!</definedName>
    <definedName name="fasdf" hidden="1">#REF!</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6" hidden="1">{"'Jibu9811 (3)'!$B$1:$J$433"}</definedName>
    <definedName name="FASJFSLFJKLSF" localSheetId="2" hidden="1">{"'Jibu9811 (3)'!$B$1:$J$433"}</definedName>
    <definedName name="FASJFSLFJKLSF" hidden="1">{"'Jibu9811 (3)'!$B$1:$J$433"}</definedName>
    <definedName name="FC" localSheetId="2" hidden="1">{#N/A,#N/A,FALSE,"단축1";#N/A,#N/A,FALSE,"단축2";#N/A,#N/A,FALSE,"단축3";#N/A,#N/A,FALSE,"장축";#N/A,#N/A,FALSE,"4WD"}</definedName>
    <definedName name="FC" hidden="1">{#N/A,#N/A,FALSE,"단축1";#N/A,#N/A,FALSE,"단축2";#N/A,#N/A,FALSE,"단축3";#N/A,#N/A,FALSE,"장축";#N/A,#N/A,FALSE,"4WD"}</definedName>
    <definedName name="FC." localSheetId="2" hidden="1">{#N/A,#N/A,FALSE,"단축1";#N/A,#N/A,FALSE,"단축2";#N/A,#N/A,FALSE,"단축3";#N/A,#N/A,FALSE,"장축";#N/A,#N/A,FALSE,"4WD"}</definedName>
    <definedName name="FC." hidden="1">{#N/A,#N/A,FALSE,"단축1";#N/A,#N/A,FALSE,"단축2";#N/A,#N/A,FALSE,"단축3";#N/A,#N/A,FALSE,"장축";#N/A,#N/A,FALSE,"4WD"}</definedName>
    <definedName name="fck">#REF!</definedName>
    <definedName name="FCLINE2" localSheetId="2" hidden="1">{#N/A,#N/A,FALSE,"단축1";#N/A,#N/A,FALSE,"단축2";#N/A,#N/A,FALSE,"단축3";#N/A,#N/A,FALSE,"장축";#N/A,#N/A,FALSE,"4WD"}</definedName>
    <definedName name="FCLINE2" hidden="1">{#N/A,#N/A,FALSE,"단축1";#N/A,#N/A,FALSE,"단축2";#N/A,#N/A,FALSE,"단축3";#N/A,#N/A,FALSE,"장축";#N/A,#N/A,FALSE,"4WD"}</definedName>
    <definedName name="FCode" hidden="1">#REF!</definedName>
    <definedName name="FD" localSheetId="6" hidden="1">{#N/A,#N/A,FALSE,"Aging Summary";#N/A,#N/A,FALSE,"Ratio Analysis";#N/A,#N/A,FALSE,"Test 120 Day Accts";#N/A,#N/A,FALSE,"Tickmarks"}</definedName>
    <definedName name="fd" localSheetId="2">BlankMacro1</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6" hidden="1">{#N/A,#N/A,FALSE,"CCTV"}</definedName>
    <definedName name="fddfhdfhdgh" localSheetId="2" hidden="1">{#N/A,#N/A,FALSE,"CCTV"}</definedName>
    <definedName name="fddfhdfhdgh" hidden="1">{#N/A,#N/A,FALSE,"CCTV"}</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BlankMacro1</definedName>
    <definedName name="fdf">BlankMacro1</definedName>
    <definedName name="fdfd" localSheetId="6" hidden="1">{#N/A,#N/A,FALSE,"Aging Summary";#N/A,#N/A,FALSE,"Ratio Analysis";#N/A,#N/A,FALSE,"Test 120 Day Accts";#N/A,#N/A,FALSE,"Tickmarks"}</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{#N/A,#N/A,FALSE,"Aging Summary";#N/A,#N/A,FALSE,"Ratio Analysis";#N/A,#N/A,FALSE,"Test 120 Day Accts";#N/A,#N/A,FALSE,"Tickmarks"}</definedName>
    <definedName name="FDFDF" localSheetId="6" hidden="1">{#N/A,#N/A,FALSE,"CCTV"}</definedName>
    <definedName name="FDFDF" localSheetId="2" hidden="1">{#N/A,#N/A,FALSE,"CCTV"}</definedName>
    <definedName name="FDFDF" hidden="1">{#N/A,#N/A,FALSE,"CCTV"}</definedName>
    <definedName name="FDG" localSheetId="6" hidden="1">{"'Jibu9811 (3)'!$B$1:$J$433"}</definedName>
    <definedName name="FDG" localSheetId="2" hidden="1">{"'Jibu9811 (3)'!$B$1:$J$433"}</definedName>
    <definedName name="FDG" hidden="1">{"'Jibu9811 (3)'!$B$1:$J$433"}</definedName>
    <definedName name="FDGHDFG" localSheetId="2" hidden="1">{#N/A,#N/A,FALSE,"단축1";#N/A,#N/A,FALSE,"단축2";#N/A,#N/A,FALSE,"단축3";#N/A,#N/A,FALSE,"장축";#N/A,#N/A,FALSE,"4WD"}</definedName>
    <definedName name="FDGHDFG" hidden="1">{#N/A,#N/A,FALSE,"단축1";#N/A,#N/A,FALSE,"단축2";#N/A,#N/A,FALSE,"단축3";#N/A,#N/A,FALSE,"장축";#N/A,#N/A,FALSE,"4WD"}</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localSheetId="2" hidden="1">{#N/A,#N/A,FALSE,"단축1";#N/A,#N/A,FALSE,"단축2";#N/A,#N/A,FALSE,"단축3";#N/A,#N/A,FALSE,"장축";#N/A,#N/A,FALSE,"4WD"}</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localSheetId="2" hidden="1">{#N/A,#N/A,FALSE,"단축1";#N/A,#N/A,FALSE,"단축2";#N/A,#N/A,FALSE,"단축3";#N/A,#N/A,FALSE,"장축";#N/A,#N/A,FALSE,"4WD"}</definedName>
    <definedName name="fdsa" hidden="1">{#N/A,#N/A,FALSE,"단축1";#N/A,#N/A,FALSE,"단축2";#N/A,#N/A,FALSE,"단축3";#N/A,#N/A,FALSE,"장축";#N/A,#N/A,FALSE,"4WD"}</definedName>
    <definedName name="fdsfd"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6" hidden="1">{"'買掛金'!$J$6"}</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localSheetId="2" hidden="1">#REF!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localSheetId="2" hidden="1">{#N/A,#N/A,FALSE,"단축1";#N/A,#N/A,FALSE,"단축2";#N/A,#N/A,FALSE,"단축3";#N/A,#N/A,FALSE,"장축";#N/A,#N/A,FALSE,"4WD"}</definedName>
    <definedName name="FFD" hidden="1">{#N/A,#N/A,FALSE,"단축1";#N/A,#N/A,FALSE,"단축2";#N/A,#N/A,FALSE,"단축3";#N/A,#N/A,FALSE,"장축";#N/A,#N/A,FALSE,"4WD"}</definedName>
    <definedName name="FFDF" localSheetId="2" hidden="1">{#N/A,#N/A,FALSE,"단축1";#N/A,#N/A,FALSE,"단축2";#N/A,#N/A,FALSE,"단축3";#N/A,#N/A,FALSE,"장축";#N/A,#N/A,FALSE,"4WD"}</definedName>
    <definedName name="FFDF" hidden="1">{#N/A,#N/A,FALSE,"단축1";#N/A,#N/A,FALSE,"단축2";#N/A,#N/A,FALSE,"단축3";#N/A,#N/A,FALSE,"장축";#N/A,#N/A,FALSE,"4WD"}</definedName>
    <definedName name="ffee" localSheetId="6" hidden="1">{"'買掛金'!$J$6"}</definedName>
    <definedName name="ffee" localSheetId="2" hidden="1">{"'買掛金'!$J$6"}</definedName>
    <definedName name="ffee" hidden="1">{"'買掛金'!$J$6"}</definedName>
    <definedName name="FFF">#REF!</definedName>
    <definedName name="FFFFF" localSheetId="2" hidden="1">{#N/A,#N/A,FALSE,"단축1";#N/A,#N/A,FALSE,"단축2";#N/A,#N/A,FALSE,"단축3";#N/A,#N/A,FALSE,"장축";#N/A,#N/A,FALSE,"4WD"}</definedName>
    <definedName name="FFFFF" hidden="1">{#N/A,#N/A,FALSE,"단축1";#N/A,#N/A,FALSE,"단축2";#N/A,#N/A,FALSE,"단축3";#N/A,#N/A,FALSE,"장축";#N/A,#N/A,FALSE,"4WD"}</definedName>
    <definedName name="ffffff" localSheetId="6" hidden="1">{#N/A,#N/A,FALSE,"CCTV"}</definedName>
    <definedName name="ffffff" localSheetId="2" hidden="1">{#N/A,#N/A,FALSE,"CCTV"}</definedName>
    <definedName name="ffffff" hidden="1">{#N/A,#N/A,FALSE,"CCTV"}</definedName>
    <definedName name="fffgfg" localSheetId="2" hidden="1">{#N/A,#N/A,FALSE,"단축1";#N/A,#N/A,FALSE,"단축2";#N/A,#N/A,FALSE,"단축3";#N/A,#N/A,FALSE,"장축";#N/A,#N/A,FALSE,"4WD"}</definedName>
    <definedName name="fffgfg" hidden="1">{#N/A,#N/A,FALSE,"단축1";#N/A,#N/A,FALSE,"단축2";#N/A,#N/A,FALSE,"단축3";#N/A,#N/A,FALSE,"장축";#N/A,#N/A,FALSE,"4WD"}</definedName>
    <definedName name="ffwefrhj2ljw" localSheetId="6" hidden="1">{"'Jibu9811 (3)'!$B$1:$J$433"}</definedName>
    <definedName name="ffwefrhj2ljw" localSheetId="2" hidden="1">{"'Jibu9811 (3)'!$B$1:$J$433"}</definedName>
    <definedName name="ffwefrhj2ljw" hidden="1">{"'Jibu9811 (3)'!$B$1:$J$433"}</definedName>
    <definedName name="FG">#REF!</definedName>
    <definedName name="FG46TBTB4RTDKDK">#REF!</definedName>
    <definedName name="FGF" localSheetId="6" hidden="1">{#N/A,#N/A,FALSE,"CCTV"}</definedName>
    <definedName name="FGF" localSheetId="2" hidden="1">{#N/A,#N/A,FALSE,"CCTV"}</definedName>
    <definedName name="FGF" hidden="1">{#N/A,#N/A,FALSE,"CCTV"}</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localSheetId="2" hidden="1">{#N/A,#N/A,FALSE,"단축1";#N/A,#N/A,FALSE,"단축2";#N/A,#N/A,FALSE,"단축3";#N/A,#N/A,FALSE,"장축";#N/A,#N/A,FALSE,"4WD"}</definedName>
    <definedName name="FGHJ" hidden="1">{#N/A,#N/A,FALSE,"단축1";#N/A,#N/A,FALSE,"단축2";#N/A,#N/A,FALSE,"단축3";#N/A,#N/A,FALSE,"장축";#N/A,#N/A,FALSE,"4WD"}</definedName>
    <definedName name="FGJ">#N/A</definedName>
    <definedName name="fgjft" localSheetId="2" hidden="1">{#N/A,#N/A,FALSE,"Sheet6"}</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6" hidden="1">{#N/A,#N/A,FALSE,"CCTV"}</definedName>
    <definedName name="fhgjfghfghgf" localSheetId="2" hidden="1">{#N/A,#N/A,FALSE,"CCTV"}</definedName>
    <definedName name="fhgjfghfghgf" hidden="1">{#N/A,#N/A,FALSE,"CCTV"}</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localSheetId="2" hidden="1">{#N/A,#N/A,TRUE,"경전'96(1)";#N/A,#N/A,TRUE,"경전'96 (2)"}</definedName>
    <definedName name="FHKLDFJODFGJD" hidden="1">{#N/A,#N/A,TRUE,"경전'96(1)";#N/A,#N/A,TRUE,"경전'96 (2)"}</definedName>
    <definedName name="fila" localSheetId="6" hidden="1">{#N/A,#N/A,FALSE,"채권채무";#N/A,#N/A,FALSE,"control sheet"}</definedName>
    <definedName name="fila" localSheetId="2" hidden="1">{#N/A,#N/A,FALSE,"채권채무";#N/A,#N/A,FALSE,"control sheet"}</definedName>
    <definedName name="fila" hidden="1">{#N/A,#N/A,FALSE,"채권채무";#N/A,#N/A,FALSE,"control sheet"}</definedName>
    <definedName name="fila_a" localSheetId="6"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6"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6" hidden="1">{#N/A,#N/A,FALSE,"을지 (4)";#N/A,#N/A,FALSE,"을지 (5)";#N/A,#N/A,FALSE,"을지 (6)"}</definedName>
    <definedName name="fjalaslaslfasllaa" localSheetId="2" hidden="1">{#N/A,#N/A,FALSE,"을지 (4)";#N/A,#N/A,FALSE,"을지 (5)";#N/A,#N/A,FALSE,"을지 (6)"}</definedName>
    <definedName name="fjalaslaslfasllaa" hidden="1">{#N/A,#N/A,FALSE,"을지 (4)";#N/A,#N/A,FALSE,"을지 (5)";#N/A,#N/A,FALSE,"을지 (6)"}</definedName>
    <definedName name="FJD" localSheetId="6" hidden="1">{#N/A,#N/A,FALSE,"단축1";#N/A,#N/A,FALSE,"단축2";#N/A,#N/A,FALSE,"단축3";#N/A,#N/A,FALSE,"장축";#N/A,#N/A,FALSE,"4WD"}</definedName>
    <definedName name="FJD" localSheetId="2" hidden="1">{#N/A,#N/A,FALSE,"단축1";#N/A,#N/A,FALSE,"단축2";#N/A,#N/A,FALSE,"단축3";#N/A,#N/A,FALSE,"장축";#N/A,#N/A,FALSE,"4WD"}</definedName>
    <definedName name="FJD" hidden="1">{#N/A,#N/A,FALSE,"단축1";#N/A,#N/A,FALSE,"단축2";#N/A,#N/A,FALSE,"단축3";#N/A,#N/A,FALSE,"장축";#N/A,#N/A,FALSE,"4WD"}</definedName>
    <definedName name="fjdi0s" localSheetId="2" hidden="1">#REF!</definedName>
    <definedName name="fjdi0s" hidden="1">#N/A</definedName>
    <definedName name="fjEFIEHFH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localSheetId="2" hidden="1">{#N/A,#N/A,FALSE,"단축1";#N/A,#N/A,FALSE,"단축2";#N/A,#N/A,FALSE,"단축3";#N/A,#N/A,FALSE,"장축";#N/A,#N/A,FALSE,"4WD"}</definedName>
    <definedName name="FJFJ" hidden="1">{#N/A,#N/A,FALSE,"단축1";#N/A,#N/A,FALSE,"단축2";#N/A,#N/A,FALSE,"단축3";#N/A,#N/A,FALSE,"장축";#N/A,#N/A,FALSE,"4WD"}</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 hidden="1">{"'Sheet1'!$A$1:$H$36"}</definedName>
    <definedName name="fjklsjkl" hidden="1">{"'Sheet1'!$A$1:$H$36"}</definedName>
    <definedName name="FK" localSheetId="2" hidden="1">{"'용역비'!$A$4:$C$8"}</definedName>
    <definedName name="FK" hidden="1">{"'용역비'!$A$4:$C$8"}</definedName>
    <definedName name="FKFK" localSheetId="2" hidden="1">{#N/A,#N/A,FALSE,"단축1";#N/A,#N/A,FALSE,"단축2";#N/A,#N/A,FALSE,"단축3";#N/A,#N/A,FALSE,"장축";#N/A,#N/A,FALSE,"4WD"}</definedName>
    <definedName name="FKFK" hidden="1">{#N/A,#N/A,FALSE,"단축1";#N/A,#N/A,FALSE,"단축2";#N/A,#N/A,FALSE,"단축3";#N/A,#N/A,FALSE,"장축";#N/A,#N/A,FALSE,"4WD"}</definedName>
    <definedName name="FLEXIBLE.T.L" localSheetId="6"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localSheetId="2" hidden="1">{"'Sheet1'!$A$1:$H$36"}</definedName>
    <definedName name="flsklhdjhjd" hidden="1">{"'Sheet1'!$A$1:$H$36"}</definedName>
    <definedName name="FN">#REF!</definedName>
    <definedName name="fno">#REF!</definedName>
    <definedName name="fnx">#REF!</definedName>
    <definedName name="fnz">#REF!</definedName>
    <definedName name="fo">#REF!</definedName>
    <definedName name="FOB가" localSheetId="2" hidden="1">{#N/A,#N/A,FALSE,"단축1";#N/A,#N/A,FALSE,"단축2";#N/A,#N/A,FALSE,"단축3";#N/A,#N/A,FALSE,"장축";#N/A,#N/A,FALSE,"4WD"}</definedName>
    <definedName name="FOB가" hidden="1">{#N/A,#N/A,FALSE,"단축1";#N/A,#N/A,FALSE,"단축2";#N/A,#N/A,FALSE,"단축3";#N/A,#N/A,FALSE,"장축";#N/A,#N/A,FALSE,"4WD"}</definedName>
    <definedName name="footing">#REF!</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localSheetId="2" hidden="1">{#N/A,#N/A,FALSE,"단축1";#N/A,#N/A,FALSE,"단축2";#N/A,#N/A,FALSE,"단축3";#N/A,#N/A,FALSE,"장축";#N/A,#N/A,FALSE,"4WD"}</definedName>
    <definedName name="FO투입시UPH조정" hidden="1">{#N/A,#N/A,FALSE,"단축1";#N/A,#N/A,FALSE,"단축2";#N/A,#N/A,FALSE,"단축3";#N/A,#N/A,FALSE,"장축";#N/A,#N/A,FALSE,"4WD"}</definedName>
    <definedName name="fp" localSheetId="2" hidden="1">{#N/A,#N/A,TRUE,"경전'96(1)";#N/A,#N/A,TRUE,"경전'96 (2)"}</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 localSheetId="2">BlankMacro1</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6" hidden="1">{#N/A,#N/A,FALSE,"BS";#N/A,#N/A,FALSE,"PL";#N/A,#N/A,FALSE,"처분";#N/A,#N/A,FALSE,"현금";#N/A,#N/A,FALSE,"매출";#N/A,#N/A,FALSE,"원가";#N/A,#N/A,FALSE,"경영"}</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6"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localSheetId="2" hidden="1">{"comp1",#N/A,FALSE,"COMPS";"footnotes",#N/A,FALSE,"COMPS"}</definedName>
    <definedName name="fsdfwe" hidden="1">{"comp1",#N/A,FALSE,"COMPS";"footnotes",#N/A,FALSE,"COMPS"}</definedName>
    <definedName name="fsf" localSheetId="2">BlankMacro1</definedName>
    <definedName name="fsf">BlankMacro1</definedName>
    <definedName name="FSform">#REF!</definedName>
    <definedName name="fsg" localSheetId="2" hidden="1">{#N/A,#N/A,TRUE,"Cover His T";#N/A,#N/A,TRUE,"P&amp;L";#N/A,#N/A,TRUE,"BS";#N/A,#N/A,TRUE,"Depreciation";#N/A,#N/A,TRUE,"GRAPHS";#N/A,#N/A,TRUE,"DCF EBITDA Multiple";#N/A,#N/A,TRUE,"DCF Perpetual Growth"}</definedName>
    <definedName name="fsg" hidden="1">{#N/A,#N/A,TRUE,"Cover His T";#N/A,#N/A,TRUE,"P&amp;L";#N/A,#N/A,TRUE,"BS";#N/A,#N/A,TRUE,"Depreciation";#N/A,#N/A,TRUE,"GRAPHS";#N/A,#N/A,TRUE,"DCF EBITDA Multiple";#N/A,#N/A,TRUE,"DCF Perpetual Growth"}</definedName>
    <definedName name="FSoPacific" localSheetId="2" hidden="1">{"BS",#N/A,FALSE,"USA"}</definedName>
    <definedName name="FSoPacific" hidden="1">{"BS",#N/A,FALSE,"USA"}</definedName>
    <definedName name="fsq" localSheetId="8">BlankMacro1</definedName>
    <definedName name="fsq" localSheetId="6">BlankMacro1</definedName>
    <definedName name="fsq" localSheetId="2">BlankMacro1</definedName>
    <definedName name="fsq" localSheetId="0">BlankMacro1</definedName>
    <definedName name="fsq" localSheetId="9">BlankMacro1</definedName>
    <definedName name="fsq">BlankMacro1</definedName>
    <definedName name="f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localSheetId="2" hidden="1">{#N/A,#N/A,FALSE,"단축1";#N/A,#N/A,FALSE,"단축2";#N/A,#N/A,FALSE,"단축3";#N/A,#N/A,FALSE,"장축";#N/A,#N/A,FALSE,"4WD"}</definedName>
    <definedName name="FTFTFTF" hidden="1">{#N/A,#N/A,FALSE,"단축1";#N/A,#N/A,FALSE,"단축2";#N/A,#N/A,FALSE,"단축3";#N/A,#N/A,FALSE,"장축";#N/A,#N/A,FALSE,"4WD"}</definedName>
    <definedName name="Ftx">#REF!</definedName>
    <definedName name="FTYGHJKL" localSheetId="2" hidden="1">{#N/A,#N/A,TRUE,"경전'96(1)";#N/A,#N/A,TRUE,"경전'96 (2)"}</definedName>
    <definedName name="FTYGHJKL" hidden="1">{#N/A,#N/A,TRUE,"경전'96(1)";#N/A,#N/A,TRUE,"경전'96 (2)"}</definedName>
    <definedName name="Ftz">#REF!</definedName>
    <definedName name="fuckyou">#N/A</definedName>
    <definedName name="FUIEA">#N/A</definedName>
    <definedName name="FUYU" localSheetId="2" hidden="1">{#N/A,#N/A,FALSE,"단축1";#N/A,#N/A,FALSE,"단축2";#N/A,#N/A,FALSE,"단축3";#N/A,#N/A,FALSE,"장축";#N/A,#N/A,FALSE,"4WD"}</definedName>
    <definedName name="FUYU" hidden="1">{#N/A,#N/A,FALSE,"단축1";#N/A,#N/A,FALSE,"단축2";#N/A,#N/A,FALSE,"단축3";#N/A,#N/A,FALSE,"장축";#N/A,#N/A,FALSE,"4WD"}</definedName>
    <definedName name="Fwd">#REF!</definedName>
    <definedName name="Fx">#REF!</definedName>
    <definedName name="fy">#REF!</definedName>
    <definedName name="g" localSheetId="6">{"Book1"}</definedName>
    <definedName name="g" localSheetId="2">#REF!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localSheetId="2" hidden="1">{#N/A,#N/A,FALSE,"단축1";#N/A,#N/A,FALSE,"단축2";#N/A,#N/A,FALSE,"단축3";#N/A,#N/A,FALSE,"장축";#N/A,#N/A,FALSE,"4WD"}</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8">BlankMacro1</definedName>
    <definedName name="gc" localSheetId="6">BlankMacro1</definedName>
    <definedName name="gc" localSheetId="2">BlankMacro1</definedName>
    <definedName name="gc" localSheetId="0">BlankMacro1</definedName>
    <definedName name="gc" localSheetId="9">BlankMacro1</definedName>
    <definedName name="gc">BlankMacro1</definedName>
    <definedName name="GCJK">#REF!</definedName>
    <definedName name="GCODE">#N/A</definedName>
    <definedName name="g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6" hidden="1">{#N/A,#N/A,FALSE,"Aging Summary";#N/A,#N/A,FALSE,"Ratio Analysis";#N/A,#N/A,FALSE,"Test 120 Day Accts";#N/A,#N/A,FALSE,"Tickmarks"}</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 localSheetId="2">#REF!</definedName>
    <definedName name="GE">BlankMacro1</definedName>
    <definedName name="GEMCO" hidden="1">#REF!</definedName>
    <definedName name="gf">#REF!</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2" hidden="1">{#N/A,#N/A,FALSE,"단축1";#N/A,#N/A,FALSE,"단축2";#N/A,#N/A,FALSE,"단축3";#N/A,#N/A,FALSE,"장축";#N/A,#N/A,FALSE,"4WD"}</definedName>
    <definedName name="GFDS" hidden="1">{#N/A,#N/A,FALSE,"단축1";#N/A,#N/A,FALSE,"단축2";#N/A,#N/A,FALSE,"단축3";#N/A,#N/A,FALSE,"장축";#N/A,#N/A,FALSE,"4WD"}</definedName>
    <definedName name="gfe">#REF!</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localSheetId="2" hidden="1">{#N/A,#N/A,FALSE,"단축1";#N/A,#N/A,FALSE,"단축2";#N/A,#N/A,FALSE,"단축3";#N/A,#N/A,FALSE,"장축";#N/A,#N/A,FALSE,"4WD"}</definedName>
    <definedName name="GFGGF" hidden="1">{#N/A,#N/A,FALSE,"단축1";#N/A,#N/A,FALSE,"단축2";#N/A,#N/A,FALSE,"단축3";#N/A,#N/A,FALSE,"장축";#N/A,#N/A,FALSE,"4WD"}</definedName>
    <definedName name="gfggfr">#REF!</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localSheetId="2" hidden="1">{#N/A,#N/A,FALSE,"Sheet6"}</definedName>
    <definedName name="gfjf" hidden="1">{#N/A,#N/A,FALSE,"Sheet6"}</definedName>
    <definedName name="gfjgfh" localSheetId="6" hidden="1">{#N/A,#N/A,FALSE,"CCTV"}</definedName>
    <definedName name="gfjgfh" localSheetId="2" hidden="1">{#N/A,#N/A,FALSE,"CCTV"}</definedName>
    <definedName name="gfjgfh" hidden="1">{#N/A,#N/A,FALSE,"CCTV"}</definedName>
    <definedName name="gfjgfhfg" localSheetId="6" hidden="1">{#N/A,#N/A,FALSE,"CCTV"}</definedName>
    <definedName name="gfjgfhfg" localSheetId="2" hidden="1">{#N/A,#N/A,FALSE,"CCTV"}</definedName>
    <definedName name="gfjgfhfg" hidden="1">{#N/A,#N/A,FALSE,"CCTV"}</definedName>
    <definedName name="gg" localSheetId="6" hidden="1">{#N/A,#N/A,TRUE,"Summary";#N/A,#N/A,TRUE,"IS";#N/A,#N/A,TRUE,"Adj";#N/A,#N/A,TRUE,"BS";#N/A,#N/A,TRUE,"CF";#N/A,#N/A,TRUE,"Debt";#N/A,#N/A,TRUE,"IRR"}</definedName>
    <definedName name="gg" localSheetId="2" hidden="1">#REF!</definedName>
    <definedName name="gg" hidden="1">{#N/A,#N/A,TRUE,"Summary";#N/A,#N/A,TRUE,"IS";#N/A,#N/A,TRUE,"Adj";#N/A,#N/A,TRUE,"BS";#N/A,#N/A,TRUE,"CF";#N/A,#N/A,TRUE,"Debt";#N/A,#N/A,TRUE,"IRR"}</definedName>
    <definedName name="gg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localSheetId="2" hidden="1">{#N/A,#N/A,FALSE,"단축1";#N/A,#N/A,FALSE,"단축2";#N/A,#N/A,FALSE,"단축3";#N/A,#N/A,FALSE,"장축";#N/A,#N/A,FALSE,"4WD"}</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 localSheetId="2">BlankMacro1</definedName>
    <definedName name="GH">BlankMacro1</definedName>
    <definedName name="GHD" localSheetId="2">BlankMacro1</definedName>
    <definedName name="GHD">BlankMacro1</definedName>
    <definedName name="GHDJDG" localSheetId="2" hidden="1">{#N/A,#N/A,FALSE,"단축1";#N/A,#N/A,FALSE,"단축2";#N/A,#N/A,FALSE,"단축3";#N/A,#N/A,FALSE,"장축";#N/A,#N/A,FALSE,"4WD"}</definedName>
    <definedName name="GHDJDG" hidden="1">{#N/A,#N/A,FALSE,"단축1";#N/A,#N/A,FALSE,"단축2";#N/A,#N/A,FALSE,"단축3";#N/A,#N/A,FALSE,"장축";#N/A,#N/A,FALSE,"4WD"}</definedName>
    <definedName name="GHE" localSheetId="6" hidden="1">{#N/A,#N/A,FALSE,"이정표"}</definedName>
    <definedName name="GHE" localSheetId="2" hidden="1">{#N/A,#N/A,FALSE,"이정표"}</definedName>
    <definedName name="GHE" hidden="1">{#N/A,#N/A,FALSE,"이정표"}</definedName>
    <definedName name="ghfj" localSheetId="2" hidden="1">{#N/A,#N/A,FALSE,"Sheet6"}</definedName>
    <definedName name="ghfj" hidden="1">{#N/A,#N/A,FALSE,"Sheet6"}</definedName>
    <definedName name="GHG" localSheetId="2">BlankMacro1</definedName>
    <definedName name="GHG">BlankMacro1</definedName>
    <definedName name="GHGF" localSheetId="2" hidden="1">{#N/A,#N/A,FALSE,"Sheet6"}</definedName>
    <definedName name="GHGF" hidden="1">{#N/A,#N/A,FALSE,"Sheet6"}</definedName>
    <definedName name="GHGHGH" localSheetId="6" hidden="1">{"'미착금액'!$A$4:$G$14"}</definedName>
    <definedName name="GHGHGH" localSheetId="2" hidden="1">{"'미착금액'!$A$4:$G$14"}</definedName>
    <definedName name="GHGHGH" hidden="1">{"'미착금액'!$A$4:$G$14"}</definedName>
    <definedName name="GHJ">#N/A</definedName>
    <definedName name="GHJ9IQA" localSheetId="2">BlankMacro1</definedName>
    <definedName name="GHJ9IQA">BlankMacro1</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localSheetId="2" hidden="1">{#N/A,#N/A,FALSE,"Sheet6"}</definedName>
    <definedName name="GHTRH" hidden="1">{#N/A,#N/A,FALSE,"Sheet6"}</definedName>
    <definedName name="GHUTGHF" localSheetId="2" hidden="1">{#N/A,#N/A,FALSE,"96 3월물량표";#N/A,#N/A,FALSE,"96 4월물량표";#N/A,#N/A,FALSE,"96 5월물량표"}</definedName>
    <definedName name="GHUTGHF" hidden="1">{#N/A,#N/A,FALSE,"96 3월물량표";#N/A,#N/A,FALSE,"96 4월물량표";#N/A,#N/A,FALSE,"96 5월물량표"}</definedName>
    <definedName name="GI" localSheetId="2">BlankMacro1</definedName>
    <definedName name="GI">BlankMacro1</definedName>
    <definedName name="GID" localSheetId="2">BlankMacro1</definedName>
    <definedName name="GID">BlankMacro1</definedName>
    <definedName name="GIE" localSheetId="2">BlankMacro1</definedName>
    <definedName name="GIE">BlankMacro1</definedName>
    <definedName name="GIGIGIGIGIGIG" localSheetId="2" hidden="1">{#N/A,#N/A,FALSE,"단축1";#N/A,#N/A,FALSE,"단축2";#N/A,#N/A,FALSE,"단축3";#N/A,#N/A,FALSE,"장축";#N/A,#N/A,FALSE,"4WD"}</definedName>
    <definedName name="GIGIGIGIGIGIG" hidden="1">{#N/A,#N/A,FALSE,"단축1";#N/A,#N/A,FALSE,"단축2";#N/A,#N/A,FALSE,"단축3";#N/A,#N/A,FALSE,"장축";#N/A,#N/A,FALSE,"4WD"}</definedName>
    <definedName name="giovann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localSheetId="2"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IE" localSheetId="2">BlankMacro1</definedName>
    <definedName name="GJIE">BlankMacro1</definedName>
    <definedName name="GJIEQ" localSheetId="6" hidden="1">{#N/A,#N/A,FALSE,"기안지";#N/A,#N/A,FALSE,"통신지"}</definedName>
    <definedName name="GJIEQ" localSheetId="2" hidden="1">{#N/A,#N/A,FALSE,"기안지";#N/A,#N/A,FALSE,"통신지"}</definedName>
    <definedName name="GJIEQ" hidden="1">{#N/A,#N/A,FALSE,"기안지";#N/A,#N/A,FALSE,"통신지"}</definedName>
    <definedName name="gjiwe">#N/A</definedName>
    <definedName name="GJJR89" localSheetId="2">BlankMacro1</definedName>
    <definedName name="GJJR89">BlankMacro1</definedName>
    <definedName name="gkduvhsjkf" localSheetId="6" hidden="1">{"'Jibu9811 (3)'!$B$1:$J$433"}</definedName>
    <definedName name="gkduvhsjkf" localSheetId="2" hidden="1">{"'Jibu9811 (3)'!$B$1:$J$433"}</definedName>
    <definedName name="gkduvhsjkf" hidden="1">{"'Jibu9811 (3)'!$B$1:$J$433"}</definedName>
    <definedName name="gksmdgjs" localSheetId="6" hidden="1">{#N/A,#N/A,FALSE,"BS";#N/A,#N/A,FALSE,"PL";#N/A,#N/A,FALSE,"A";#N/A,#N/A,FALSE,"B";#N/A,#N/A,FALSE,"B1";#N/A,#N/A,FALSE,"C";#N/A,#N/A,FALSE,"C1";#N/A,#N/A,FALSE,"C2";#N/A,#N/A,FALSE,"D";#N/A,#N/A,FALSE,"E";#N/A,#N/A,FALSE,"F";#N/A,#N/A,FALSE,"AA";#N/A,#N/A,FALSE,"BB";#N/A,#N/A,FALSE,"CC";#N/A,#N/A,FALSE,"DD";#N/A,#N/A,FALSE,"EE";#N/A,#N/A,FALSE,"FF";#N/A,#N/A,FALSE,"PL10";#N/A,#N/A,FALSE,"PL20";#N/A,#N/A,FALSE,"PL30"}</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6" hidden="1">{#N/A,#N/A,FALSE,"단축1";#N/A,#N/A,FALSE,"단축2";#N/A,#N/A,FALSE,"단축3";#N/A,#N/A,FALSE,"장축";#N/A,#N/A,FALSE,"4WD"}</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8">BlankMacro1</definedName>
    <definedName name="Gown_Consumables" localSheetId="6">BlankMacro1</definedName>
    <definedName name="Gown_Consumables" localSheetId="2">BlankMacro1</definedName>
    <definedName name="Gown_Consumables" localSheetId="0">BlankMacro1</definedName>
    <definedName name="Gown_Consumables" localSheetId="9">BlankMacro1</definedName>
    <definedName name="Gown_Consumables">BlankMacro1</definedName>
    <definedName name="GPRIC">#N/A</definedName>
    <definedName name="gr">#REF!</definedName>
    <definedName name="Grade">#REF!</definedName>
    <definedName name="grafici" localSheetId="2" hidden="1">{#N/A,#N/A,FALSE,"SAFILOR"}</definedName>
    <definedName name="grafici" hidden="1">{#N/A,#N/A,FALSE,"SAFILOR"}</definedName>
    <definedName name="GRMRGN_" localSheetId="6">#REF!</definedName>
    <definedName name="GRMRGN_">#REF!</definedName>
    <definedName name="gross">#REF!</definedName>
    <definedName name="grout_type">#REF!</definedName>
    <definedName name="GSETGS" localSheetId="2" hidden="1">{#N/A,#N/A,FALSE,"Sheet6"}</definedName>
    <definedName name="GSETGS" hidden="1">{#N/A,#N/A,FALSE,"Sheet6"}</definedName>
    <definedName name="GTR" localSheetId="2"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hidden="1">{#N/A,#N/A,FALSE,"단축1";#N/A,#N/A,FALSE,"단축2";#N/A,#N/A,FALSE,"단축3";#N/A,#N/A,FALSE,"장축";#N/A,#N/A,FALSE,"4WD"}</definedName>
    <definedName name="GUBUN">#N/A</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localSheetId="2" hidden="1">{#N/A,#N/A,FALSE,"단축1";#N/A,#N/A,FALSE,"단축2";#N/A,#N/A,FALSE,"단축3";#N/A,#N/A,FALSE,"장축";#N/A,#N/A,FALSE,"4WD"}</definedName>
    <definedName name="GUKMSDF" hidden="1">{#N/A,#N/A,FALSE,"단축1";#N/A,#N/A,FALSE,"단축2";#N/A,#N/A,FALSE,"단축3";#N/A,#N/A,FALSE,"장축";#N/A,#N/A,FALSE,"4WD"}</definedName>
    <definedName name="guo" localSheetId="2" hidden="1">{#N/A,#N/A,FALSE,"Sheet6"}</definedName>
    <definedName name="guo" hidden="1">{#N/A,#N/A,FALSE,"Sheet6"}</definedName>
    <definedName name="gusg" localSheetId="6" hidden="1">{#N/A,#N/A,TRUE,"Summary";#N/A,#N/A,TRUE,"IS";#N/A,#N/A,TRUE,"Adj";#N/A,#N/A,TRUE,"BS";#N/A,#N/A,TRUE,"CF";#N/A,#N/A,TRUE,"Debt";#N/A,#N/A,TRUE,"IRR"}</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localSheetId="2">BlankMacro1</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 localSheetId="2">BlankMacro1</definedName>
    <definedName name="HE">BlankMacro1</definedName>
    <definedName name="Headcount_2005">#REF!</definedName>
    <definedName name="HEADER">#REF!</definedName>
    <definedName name="HeaderData">#REF!</definedName>
    <definedName name="Heb">#REF!</definedName>
    <definedName name="height">#REF!</definedName>
    <definedName name="heryyw" localSheetId="2"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6" hidden="1">{#N/A,#N/A,FALSE,"CCTV"}</definedName>
    <definedName name="hfdgfdg" localSheetId="2" hidden="1">{#N/A,#N/A,FALSE,"CCTV"}</definedName>
    <definedName name="hfdgfdg" hidden="1">{#N/A,#N/A,FALSE,"CCTV"}</definedName>
    <definedName name="HFG" localSheetId="2" hidden="1">{#N/A,#N/A,TRUE,"Y생산";#N/A,#N/A,TRUE,"Y판매";#N/A,#N/A,TRUE,"Y총물량";#N/A,#N/A,TRUE,"Y능력";#N/A,#N/A,TRUE,"YKD"}</definedName>
    <definedName name="HFG" hidden="1">{#N/A,#N/A,TRUE,"Y생산";#N/A,#N/A,TRUE,"Y판매";#N/A,#N/A,TRUE,"Y총물량";#N/A,#N/A,TRUE,"Y능력";#N/A,#N/A,TRUE,"YKD"}</definedName>
    <definedName name="hfjhhjj" localSheetId="6" hidden="1">{#N/A,#N/A,FALSE,"CCTV"}</definedName>
    <definedName name="hfjhhjj" localSheetId="2" hidden="1">{#N/A,#N/A,FALSE,"CCTV"}</definedName>
    <definedName name="hfjhhjj" hidden="1">{#N/A,#N/A,FALSE,"CCTV"}</definedName>
    <definedName name="HFLDFHIODGHIONB" localSheetId="2" hidden="1">{#N/A,#N/A,TRUE,"경전'96(1)";#N/A,#N/A,TRUE,"경전'96 (2)"}</definedName>
    <definedName name="HFLDFHIODGHIONB" hidden="1">{#N/A,#N/A,TRUE,"경전'96(1)";#N/A,#N/A,TRUE,"경전'96 (2)"}</definedName>
    <definedName name="HFS">#REF!</definedName>
    <definedName name="hg">#REF!</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localSheetId="2" hidden="1">{#N/A,#N/A,FALSE,"Sheet6"}</definedName>
    <definedName name="hgj" hidden="1">{#N/A,#N/A,FALSE,"Sheet6"}</definedName>
    <definedName name="hgjfgh" localSheetId="6" hidden="1">{#N/A,#N/A,FALSE,"CCTV"}</definedName>
    <definedName name="hgjfgh" localSheetId="2" hidden="1">{#N/A,#N/A,FALSE,"CCTV"}</definedName>
    <definedName name="hgjfgh" hidden="1">{#N/A,#N/A,FALSE,"CCTV"}</definedName>
    <definedName name="hgjgfhgh" localSheetId="6" hidden="1">{#N/A,#N/A,FALSE,"CCTV"}</definedName>
    <definedName name="hgjgfhgh" localSheetId="2" hidden="1">{#N/A,#N/A,FALSE,"CCTV"}</definedName>
    <definedName name="hgjgfhgh" hidden="1">{#N/A,#N/A,FALSE,"CCTV"}</definedName>
    <definedName name="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localSheetId="2" hidden="1">#REF!</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6" hidden="1">{#N/A,#N/A,FALSE,"BS";#N/A,#N/A,FALSE,"PL";#N/A,#N/A,FALSE,"처분";#N/A,#N/A,FALSE,"현금";#N/A,#N/A,FALSE,"매출";#N/A,#N/A,FALSE,"원가";#N/A,#N/A,FALSE,"경영"}</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localSheetId="2" hidden="1">{#N/A,#N/A,FALSE,"단축1";#N/A,#N/A,FALSE,"단축2";#N/A,#N/A,FALSE,"단축3";#N/A,#N/A,FALSE,"장축";#N/A,#N/A,FALSE,"4WD"}</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localSheetId="2" hidden="1">{#N/A,#N/A,FALSE,"단축1";#N/A,#N/A,FALSE,"단축2";#N/A,#N/A,FALSE,"단축3";#N/A,#N/A,FALSE,"장축";#N/A,#N/A,FALSE,"4WD"}</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localSheetId="2" hidden="1">{#N/A,#N/A,FALSE,"단축1";#N/A,#N/A,FALSE,"단축2";#N/A,#N/A,FALSE,"단축3";#N/A,#N/A,FALSE,"장축";#N/A,#N/A,FALSE,"4WD"}</definedName>
    <definedName name="HJHG" hidden="1">{#N/A,#N/A,FALSE,"단축1";#N/A,#N/A,FALSE,"단축2";#N/A,#N/A,FALSE,"단축3";#N/A,#N/A,FALSE,"장축";#N/A,#N/A,FALSE,"4WD"}</definedName>
    <definedName name="hjj">#REF!</definedName>
    <definedName name="HJK" localSheetId="2" hidden="1">{#N/A,#N/A,FALSE,"이태원철근"}</definedName>
    <definedName name="HJK" hidden="1">{#N/A,#N/A,FALSE,"이태원철근"}</definedName>
    <definedName name="HJKLL" localSheetId="2" hidden="1">{#N/A,#N/A,TRUE,"Y생산";#N/A,#N/A,TRUE,"Y판매";#N/A,#N/A,TRUE,"Y총물량";#N/A,#N/A,TRUE,"Y능력";#N/A,#N/A,TRUE,"YKD"}</definedName>
    <definedName name="HJKLL" hidden="1">{#N/A,#N/A,TRUE,"Y생산";#N/A,#N/A,TRUE,"Y판매";#N/A,#N/A,TRUE,"Y총물량";#N/A,#N/A,TRUE,"Y능력";#N/A,#N/A,TRUE,"YKD"}</definedName>
    <definedName name="HJKOL" localSheetId="2" hidden="1">#REF!</definedName>
    <definedName name="HJKOL" hidden="1">#N/A</definedName>
    <definedName name="hkhf">#REF!</definedName>
    <definedName name="HKJJB">#REF!</definedName>
    <definedName name="HLING" localSheetId="2" hidden="1">{#N/A,#N/A,FALSE,"단축1";#N/A,#N/A,FALSE,"단축2";#N/A,#N/A,FALSE,"단축3";#N/A,#N/A,FALSE,"장축";#N/A,#N/A,FALSE,"4WD"}</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localSheetId="2" hidden="1">{#N/A,#N/A,FALSE,"단축1";#N/A,#N/A,FALSE,"단축2";#N/A,#N/A,FALSE,"단축3";#N/A,#N/A,FALSE,"장축";#N/A,#N/A,FALSE,"4WD"}</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6" hidden="1">{"'손익현황'!$A$1:$J$29"}</definedName>
    <definedName name="HTML_Control" localSheetId="2" hidden="1">{"'손익현황'!$A$1:$J$29"}</definedName>
    <definedName name="HTML_Control" hidden="1">{"'손익현황'!$A$1:$J$29"}</definedName>
    <definedName name="HTML_Control_1" localSheetId="6" hidden="1">{"'보고양식'!$A$58:$K$111"}</definedName>
    <definedName name="HTML_Control_1" localSheetId="2" hidden="1">{"'보고양식'!$A$58:$K$111"}</definedName>
    <definedName name="HTML_Control_1" hidden="1">{"'보고양식'!$A$58:$K$111"}</definedName>
    <definedName name="HTML_Control_1_1" localSheetId="6" hidden="1">{"'보고양식'!$A$58:$K$111"}</definedName>
    <definedName name="HTML_Control_1_1" localSheetId="2" hidden="1">{"'보고양식'!$A$58:$K$111"}</definedName>
    <definedName name="HTML_Control_1_1" hidden="1">{"'보고양식'!$A$58:$K$111"}</definedName>
    <definedName name="HTML_Control_1_1_1" localSheetId="6" hidden="1">{"'보고양식'!$A$58:$K$111"}</definedName>
    <definedName name="HTML_Control_1_1_1" localSheetId="2" hidden="1">{"'보고양식'!$A$58:$K$111"}</definedName>
    <definedName name="HTML_Control_1_1_1" hidden="1">{"'보고양식'!$A$58:$K$111"}</definedName>
    <definedName name="HTML_Control_1_2" localSheetId="6" hidden="1">{"'보고양식'!$A$58:$K$111"}</definedName>
    <definedName name="HTML_Control_1_2" localSheetId="2" hidden="1">{"'보고양식'!$A$58:$K$111"}</definedName>
    <definedName name="HTML_Control_1_2" hidden="1">{"'보고양식'!$A$58:$K$111"}</definedName>
    <definedName name="HTML_Control_1_3" localSheetId="6" hidden="1">{"'보고양식'!$A$58:$K$111"}</definedName>
    <definedName name="HTML_Control_1_3" localSheetId="2" hidden="1">{"'보고양식'!$A$58:$K$111"}</definedName>
    <definedName name="HTML_Control_1_3" hidden="1">{"'보고양식'!$A$58:$K$111"}</definedName>
    <definedName name="HTML_Control_1_4" localSheetId="6" hidden="1">{"'보고양식'!$A$58:$K$111"}</definedName>
    <definedName name="HTML_Control_1_4" localSheetId="2" hidden="1">{"'보고양식'!$A$58:$K$111"}</definedName>
    <definedName name="HTML_Control_1_4" hidden="1">{"'보고양식'!$A$58:$K$111"}</definedName>
    <definedName name="HTML_Control_2" localSheetId="6" hidden="1">{"'보고양식'!$A$58:$K$111"}</definedName>
    <definedName name="HTML_Control_2" localSheetId="2" hidden="1">{"'보고양식'!$A$58:$K$111"}</definedName>
    <definedName name="HTML_Control_2" hidden="1">{"'보고양식'!$A$58:$K$111"}</definedName>
    <definedName name="HTML_Control_2_1" localSheetId="6" hidden="1">{"'보고양식'!$A$58:$K$111"}</definedName>
    <definedName name="HTML_Control_2_1" localSheetId="2" hidden="1">{"'보고양식'!$A$58:$K$111"}</definedName>
    <definedName name="HTML_Control_2_1" hidden="1">{"'보고양식'!$A$58:$K$111"}</definedName>
    <definedName name="HTML_Control_2_2" localSheetId="6" hidden="1">{"'보고양식'!$A$58:$K$111"}</definedName>
    <definedName name="HTML_Control_2_2" localSheetId="2" hidden="1">{"'보고양식'!$A$58:$K$111"}</definedName>
    <definedName name="HTML_Control_2_2" hidden="1">{"'보고양식'!$A$58:$K$111"}</definedName>
    <definedName name="HTML_Control_2_3" localSheetId="6" hidden="1">{"'보고양식'!$A$58:$K$111"}</definedName>
    <definedName name="HTML_Control_2_3" localSheetId="2" hidden="1">{"'보고양식'!$A$58:$K$111"}</definedName>
    <definedName name="HTML_Control_2_3" hidden="1">{"'보고양식'!$A$58:$K$111"}</definedName>
    <definedName name="HTML_Control_2_4" localSheetId="6" hidden="1">{"'보고양식'!$A$58:$K$111"}</definedName>
    <definedName name="HTML_Control_2_4" localSheetId="2" hidden="1">{"'보고양식'!$A$58:$K$111"}</definedName>
    <definedName name="HTML_Control_2_4" hidden="1">{"'보고양식'!$A$58:$K$111"}</definedName>
    <definedName name="HTML_Control_3" localSheetId="6" hidden="1">{"'보고양식'!$A$58:$K$111"}</definedName>
    <definedName name="HTML_Control_3" localSheetId="2" hidden="1">{"'보고양식'!$A$58:$K$111"}</definedName>
    <definedName name="HTML_Control_3" hidden="1">{"'보고양식'!$A$58:$K$111"}</definedName>
    <definedName name="HTML_Control_3_1" localSheetId="6" hidden="1">{"'보고양식'!$A$58:$K$111"}</definedName>
    <definedName name="HTML_Control_3_1" localSheetId="2" hidden="1">{"'보고양식'!$A$58:$K$111"}</definedName>
    <definedName name="HTML_Control_3_1" hidden="1">{"'보고양식'!$A$58:$K$111"}</definedName>
    <definedName name="HTML_Control_3_2" localSheetId="6" hidden="1">{"'보고양식'!$A$58:$K$111"}</definedName>
    <definedName name="HTML_Control_3_2" localSheetId="2" hidden="1">{"'보고양식'!$A$58:$K$111"}</definedName>
    <definedName name="HTML_Control_3_2" hidden="1">{"'보고양식'!$A$58:$K$111"}</definedName>
    <definedName name="HTML_Control_3_3" localSheetId="6" hidden="1">{"'보고양식'!$A$58:$K$111"}</definedName>
    <definedName name="HTML_Control_3_3" localSheetId="2" hidden="1">{"'보고양식'!$A$58:$K$111"}</definedName>
    <definedName name="HTML_Control_3_3" hidden="1">{"'보고양식'!$A$58:$K$111"}</definedName>
    <definedName name="HTML_Control_3_4" localSheetId="6" hidden="1">{"'보고양식'!$A$58:$K$111"}</definedName>
    <definedName name="HTML_Control_3_4" localSheetId="2" hidden="1">{"'보고양식'!$A$58:$K$111"}</definedName>
    <definedName name="HTML_Control_3_4" hidden="1">{"'보고양식'!$A$58:$K$111"}</definedName>
    <definedName name="HTML_Control_4" localSheetId="6" hidden="1">{"'보고양식'!$A$58:$K$111"}</definedName>
    <definedName name="HTML_Control_4" localSheetId="2" hidden="1">{"'보고양식'!$A$58:$K$111"}</definedName>
    <definedName name="HTML_Control_4" hidden="1">{"'보고양식'!$A$58:$K$111"}</definedName>
    <definedName name="HTML_Control_4_1" localSheetId="6" hidden="1">{"'보고양식'!$A$58:$K$111"}</definedName>
    <definedName name="HTML_Control_4_1" localSheetId="2" hidden="1">{"'보고양식'!$A$58:$K$111"}</definedName>
    <definedName name="HTML_Control_4_1" hidden="1">{"'보고양식'!$A$58:$K$111"}</definedName>
    <definedName name="HTML_Control_4_2" localSheetId="6" hidden="1">{"'보고양식'!$A$58:$K$111"}</definedName>
    <definedName name="HTML_Control_4_2" localSheetId="2" hidden="1">{"'보고양식'!$A$58:$K$111"}</definedName>
    <definedName name="HTML_Control_4_2" hidden="1">{"'보고양식'!$A$58:$K$111"}</definedName>
    <definedName name="HTML_Control_4_3" localSheetId="6" hidden="1">{"'보고양식'!$A$58:$K$111"}</definedName>
    <definedName name="HTML_Control_4_3" localSheetId="2" hidden="1">{"'보고양식'!$A$58:$K$111"}</definedName>
    <definedName name="HTML_Control_4_3" hidden="1">{"'보고양식'!$A$58:$K$111"}</definedName>
    <definedName name="HTML_Control_4_4" localSheetId="6" hidden="1">{"'보고양식'!$A$58:$K$111"}</definedName>
    <definedName name="HTML_Control_4_4" localSheetId="2" hidden="1">{"'보고양식'!$A$58:$K$111"}</definedName>
    <definedName name="HTML_Control_4_4" hidden="1">{"'보고양식'!$A$58:$K$111"}</definedName>
    <definedName name="HTML_Control_5" localSheetId="6" hidden="1">{"'보고양식'!$A$58:$K$111"}</definedName>
    <definedName name="HTML_Control_5" localSheetId="2" hidden="1">{"'보고양식'!$A$58:$K$111"}</definedName>
    <definedName name="HTML_Control_5" hidden="1">{"'보고양식'!$A$58:$K$111"}</definedName>
    <definedName name="HTML_Control_5_1" localSheetId="6" hidden="1">{"'보고양식'!$A$58:$K$111"}</definedName>
    <definedName name="HTML_Control_5_1" localSheetId="2" hidden="1">{"'보고양식'!$A$58:$K$111"}</definedName>
    <definedName name="HTML_Control_5_1" hidden="1">{"'보고양식'!$A$58:$K$111"}</definedName>
    <definedName name="HTML_Control_5_2" localSheetId="6" hidden="1">{"'보고양식'!$A$58:$K$111"}</definedName>
    <definedName name="HTML_Control_5_2" localSheetId="2" hidden="1">{"'보고양식'!$A$58:$K$111"}</definedName>
    <definedName name="HTML_Control_5_2" hidden="1">{"'보고양식'!$A$58:$K$111"}</definedName>
    <definedName name="HTML_Control_5_3" localSheetId="6" hidden="1">{"'보고양식'!$A$58:$K$111"}</definedName>
    <definedName name="HTML_Control_5_3" localSheetId="2" hidden="1">{"'보고양식'!$A$58:$K$111"}</definedName>
    <definedName name="HTML_Control_5_3" hidden="1">{"'보고양식'!$A$58:$K$111"}</definedName>
    <definedName name="HTML_Control_5_4" localSheetId="6"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localSheetId="2" hidden="1">{#N/A,#N/A,FALSE,"이태원철근"}</definedName>
    <definedName name="htr" hidden="1">#N/A</definedName>
    <definedName name="HTS">#REF!</definedName>
    <definedName name="Htwt">#REF!</definedName>
    <definedName name="HUI" localSheetId="2" hidden="1">#REF!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localSheetId="2" hidden="1">{#N/A,#N/A,FALSE,"단축1";#N/A,#N/A,FALSE,"단축2";#N/A,#N/A,FALSE,"단축3";#N/A,#N/A,FALSE,"장축";#N/A,#N/A,FALSE,"4WD"}</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6" hidden="1">{#N/A,#N/A,FALSE,"UNIT";#N/A,#N/A,FALSE,"UNIT";#N/A,#N/A,FALSE,"계정"}</definedName>
    <definedName name="ii" localSheetId="2" hidden="1">42724.6135763889</definedName>
    <definedName name="ii" hidden="1">{#N/A,#N/A,FALSE,"UNIT";#N/A,#N/A,FALSE,"UNIT";#N/A,#N/A,FALSE,"계정"}</definedName>
    <definedName name="III" localSheetId="2" hidden="1">{#N/A,#N/A,FALSE,"Sheet6"}</definedName>
    <definedName name="III" hidden="1">{#N/A,#N/A,FALSE,"Sheet6"}</definedName>
    <definedName name="iiouolkll" localSheetId="6" hidden="1">{#N/A,#N/A,FALSE,"CCTV"}</definedName>
    <definedName name="iiouolkll" localSheetId="2" hidden="1">{#N/A,#N/A,FALSE,"CCTV"}</definedName>
    <definedName name="iiouolkll" hidden="1">{#N/A,#N/A,FALSE,"CCTV"}</definedName>
    <definedName name="IJHY" localSheetId="2" hidden="1">#REF!</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localSheetId="2" hidden="1">{#N/A,#N/A,TRUE,"Cover Repl";#N/A,#N/A,TRUE,"P&amp;L";#N/A,#N/A,TRUE,"P&amp;L (2)";#N/A,#N/A,TRUE,"BS";#N/A,#N/A,TRUE,"Depreciation";#N/A,#N/A,TRUE,"GRAPHS";#N/A,#N/A,TRUE,"DCF EBITDA Multiple";#N/A,#N/A,TRUE,"DCF Perpetual Growth"}</definedName>
    <definedName name="Impax" hidden="1">{#N/A,#N/A,TRUE,"Cover Repl";#N/A,#N/A,TRUE,"P&amp;L";#N/A,#N/A,TRUE,"P&amp;L (2)";#N/A,#N/A,TRUE,"BS";#N/A,#N/A,TRUE,"Depreciation";#N/A,#N/A,TRUE,"GRAPHS";#N/A,#N/A,TRUE,"DCF EBITDA Multiple";#N/A,#N/A,TRUE,"DCF Perpetual Growth"}</definedName>
    <definedName name="IMPOR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6" hidden="1">{#N/A,#N/A,FALSE,"UNIT";#N/A,#N/A,FALSE,"UNIT";#N/A,#N/A,FALSE,"계정"}</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 localSheetId="2">BlankMacro1</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 localSheetId="2">BlankMacro1</definedName>
    <definedName name="J5E">BlankMacro1</definedName>
    <definedName name="Jan" localSheetId="6" hidden="1">{"'Euro Conversion rates'!$A$1:$E$21"}</definedName>
    <definedName name="Jan" localSheetId="2" hidden="1">{"'Euro Conversion rates'!$A$1:$E$21"}</definedName>
    <definedName name="Jan" hidden="1">{"'Euro Conversion rates'!$A$1:$E$21"}</definedName>
    <definedName name="Jan.DM">#REF!</definedName>
    <definedName name="Jan_1" localSheetId="6" hidden="1">{"'Euro Conversion rates'!$A$1:$E$21"}</definedName>
    <definedName name="Jan_1" localSheetId="2" hidden="1">{"'Euro Conversion rates'!$A$1:$E$21"}</definedName>
    <definedName name="Jan_1" hidden="1">{"'Euro Conversion rates'!$A$1:$E$21"}</definedName>
    <definedName name="Januar">#REF!</definedName>
    <definedName name="jeklklw" localSheetId="2" hidden="1">{"'Sheet1'!$A$1:$H$36"}</definedName>
    <definedName name="jeklklw" hidden="1">{"'Sheet1'!$A$1:$H$36"}</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 localSheetId="2">BlankMacro1</definedName>
    <definedName name="jgi">BlankMacro1</definedName>
    <definedName name="jhbjkhkj" localSheetId="6" hidden="1">{#N/A,#N/A,TRUE,"Summary";#N/A,#N/A,TRUE,"IS";#N/A,#N/A,TRUE,"Adj";#N/A,#N/A,TRUE,"BS";#N/A,#N/A,TRUE,"CF";#N/A,#N/A,TRUE,"Debt";#N/A,#N/A,TRUE,"IRR"}</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6" hidden="1">{#N/A,#N/A,FALSE,"CCTV"}</definedName>
    <definedName name="jhhhh" localSheetId="2" hidden="1">{#N/A,#N/A,FALSE,"CCTV"}</definedName>
    <definedName name="jhhhh" hidden="1">{#N/A,#N/A,FALSE,"CCTV"}</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localSheetId="2" hidden="1">{"'Directory'!$A$72:$E$91"}</definedName>
    <definedName name="jimm" hidden="1">{"'Directory'!$A$72:$E$91"}</definedName>
    <definedName name="jj"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localSheetId="2" hidden="1">{#N/A,#N/A,FALSE,"JV"}</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localSheetId="2" hidden="1">#REF!</definedName>
    <definedName name="JJJJ" hidden="1">#N/A</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hidden="1">{#N/A,#N/A,TRUE,"Y생산";#N/A,#N/A,TRUE,"Y판매";#N/A,#N/A,TRUE,"Y총물량";#N/A,#N/A,TRUE,"Y능력";#N/A,#N/A,TRUE,"YKD"}</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 hidden="1">{"'Sheet1'!$A$1:$H$36"}</definedName>
    <definedName name="jklejke" hidden="1">{"'Sheet1'!$A$1:$H$36"}</definedName>
    <definedName name="jkljlkjl" localSheetId="6" hidden="1">{#N/A,#N/A,FALSE,"UNIT";#N/A,#N/A,FALSE,"UNIT";#N/A,#N/A,FALSE,"계정"}</definedName>
    <definedName name="jkljlkjl" localSheetId="2" hidden="1">{#N/A,#N/A,FALSE,"UNIT";#N/A,#N/A,FALSE,"UNIT";#N/A,#N/A,FALSE,"계정"}</definedName>
    <definedName name="jkljlkjl" hidden="1">{#N/A,#N/A,FALSE,"UNIT";#N/A,#N/A,FALSE,"UNIT";#N/A,#N/A,FALSE,"계정"}</definedName>
    <definedName name="JL" localSheetId="2" hidden="1">{#N/A,#N/A,FALSE,"단축1";#N/A,#N/A,FALSE,"단축2";#N/A,#N/A,FALSE,"단축3";#N/A,#N/A,FALSE,"장축";#N/A,#N/A,FALSE,"4WD"}</definedName>
    <definedName name="JL" hidden="1">{#N/A,#N/A,FALSE,"단축1";#N/A,#N/A,FALSE,"단축2";#N/A,#N/A,FALSE,"단축3";#N/A,#N/A,FALSE,"장축";#N/A,#N/A,FALSE,"4WD"}</definedName>
    <definedName name="job_run">#REF!</definedName>
    <definedName name="JOBNUM">#REF!</definedName>
    <definedName name="JOKM" localSheetId="2" hidden="1">{#N/A,#N/A,FALSE,"단축1";#N/A,#N/A,FALSE,"단축2";#N/A,#N/A,FALSE,"단축3";#N/A,#N/A,FALSE,"장축";#N/A,#N/A,FALSE,"4WD"}</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localSheetId="2" hidden="1">#REF!</definedName>
    <definedName name="JUU" hidden="1">#N/A</definedName>
    <definedName name="JV">#REF!</definedName>
    <definedName name="jwd">#N/A</definedName>
    <definedName name="JWG" localSheetId="2" hidden="1">{#N/A,#N/A,FALSE,"단축1";#N/A,#N/A,FALSE,"단축2";#N/A,#N/A,FALSE,"단축3";#N/A,#N/A,FALSE,"장축";#N/A,#N/A,FALSE,"4WD"}</definedName>
    <definedName name="JWG" hidden="1">{#N/A,#N/A,FALSE,"단축1";#N/A,#N/A,FALSE,"단축2";#N/A,#N/A,FALSE,"단축3";#N/A,#N/A,FALSE,"장축";#N/A,#N/A,FALSE,"4WD"}</definedName>
    <definedName name="JY" localSheetId="6" hidden="1">{#N/A,#N/A,FALSE,"포장2"}</definedName>
    <definedName name="JY" localSheetId="2" hidden="1">{#N/A,#N/A,FALSE,"포장2"}</definedName>
    <definedName name="JY" hidden="1">{#N/A,#N/A,FALSE,"포장2"}</definedName>
    <definedName name="JYE" localSheetId="6" hidden="1">{#N/A,#N/A,FALSE,"부대1"}</definedName>
    <definedName name="JYE" localSheetId="2" hidden="1">{#N/A,#N/A,FALSE,"부대1"}</definedName>
    <definedName name="JYE" hidden="1">{#N/A,#N/A,FALSE,"부대1"}</definedName>
    <definedName name="k" hidden="1">#REF!</definedName>
    <definedName name="k0">#REF!</definedName>
    <definedName name="K2_WBEVMODE" hidden="1">-1</definedName>
    <definedName name="ka" localSheetId="2" hidden="1">{#N/A,#N/A,FALSE,"단축1";#N/A,#N/A,FALSE,"단축2";#N/A,#N/A,FALSE,"단축3";#N/A,#N/A,FALSE,"장축";#N/A,#N/A,FALSE,"4WD"}</definedName>
    <definedName name="ka" hidden="1">{#N/A,#N/A,FALSE,"단축1";#N/A,#N/A,FALSE,"단축2";#N/A,#N/A,FALSE,"단축3";#N/A,#N/A,FALSE,"장축";#N/A,#N/A,FALSE,"4WD"}</definedName>
    <definedName name="KC" localSheetId="6" hidden="1">{#N/A,#N/A,FALSE,"을지 (4)";#N/A,#N/A,FALSE,"을지 (5)";#N/A,#N/A,FALSE,"을지 (6)"}</definedName>
    <definedName name="KC" localSheetId="2" hidden="1">{#N/A,#N/A,FALSE,"을지 (4)";#N/A,#N/A,FALSE,"을지 (5)";#N/A,#N/A,FALSE,"을지 (6)"}</definedName>
    <definedName name="KC" hidden="1">{#N/A,#N/A,FALSE,"을지 (4)";#N/A,#N/A,FALSE,"을지 (5)";#N/A,#N/A,FALSE,"을지 (6)"}</definedName>
    <definedName name="kcja" localSheetId="2">BlankMacro1</definedName>
    <definedName name="kcja">BlankMacro1</definedName>
    <definedName name="KDJ" localSheetId="2">BlankMacro1</definedName>
    <definedName name="KDJ">BlankMacro1</definedName>
    <definedName name="KDJHSKDSKH" localSheetId="2">BLCH</definedName>
    <definedName name="KDJHSKDSKH">BLCH</definedName>
    <definedName name="keiso_data">#REF!</definedName>
    <definedName name="KEPNET">#REF!</definedName>
    <definedName name="ket" hidden="1">#REF!</definedName>
    <definedName name="Kevi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6" hidden="1">{#N/A,#N/A,FALSE,"CCTV"}</definedName>
    <definedName name="kghlgh" localSheetId="2" hidden="1">{#N/A,#N/A,FALSE,"CCTV"}</definedName>
    <definedName name="kghlgh" hidden="1">{#N/A,#N/A,FALSE,"CCTV"}</definedName>
    <definedName name="kh">#REF!</definedName>
    <definedName name="KHALID" localSheetId="2" hidden="1">{#N/A,#N/A,FALSE,"Che-Ga";#N/A,#N/A,FALSE,"Iv-Sm";#N/A,#N/A,FALSE,"So-We";#N/A,#N/A,FALSE,"Me-Po";#N/A,#N/A,FALSE,"Be-Bo";#N/A,#N/A,FALSE,"Cha-Ki";#N/A,#N/A,FALSE,"In";#N/A,#N/A,FALSE,"Schedule 23";#N/A,#N/A,FALSE,"Schedule 22";#N/A,#N/A,FALSE,"WACC"}</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8">BlankMacro1</definedName>
    <definedName name="khsdd" localSheetId="6">BlankMacro1</definedName>
    <definedName name="khsdd" localSheetId="2">BlankMacro1</definedName>
    <definedName name="khsdd" localSheetId="0">BlankMacro1</definedName>
    <definedName name="khsdd" localSheetId="9">BlankMacro1</definedName>
    <definedName name="khsdd">BlankMacro1</definedName>
    <definedName name="KI">#REF!</definedName>
    <definedName name="KIA" localSheetId="2" hidden="1">{#N/A,#N/A,FALSE,"단축1";#N/A,#N/A,FALSE,"단축2";#N/A,#N/A,FALSE,"단축3";#N/A,#N/A,FALSE,"장축";#N/A,#N/A,FALSE,"4WD"}</definedName>
    <definedName name="KIA" hidden="1">{#N/A,#N/A,FALSE,"단축1";#N/A,#N/A,FALSE,"단축2";#N/A,#N/A,FALSE,"단축3";#N/A,#N/A,FALSE,"장축";#N/A,#N/A,FALSE,"4WD"}</definedName>
    <definedName name="KICKOF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localSheetId="2" hidden="1">{#N/A,#N/A,FALSE,"단축1";#N/A,#N/A,FALSE,"단축2";#N/A,#N/A,FALSE,"단축3";#N/A,#N/A,FALSE,"장축";#N/A,#N/A,FALSE,"4WD"}</definedName>
    <definedName name="KIM" hidden="1">{#N/A,#N/A,FALSE,"단축1";#N/A,#N/A,FALSE,"단축2";#N/A,#N/A,FALSE,"단축3";#N/A,#N/A,FALSE,"장축";#N/A,#N/A,FALSE,"4WD"}</definedName>
    <definedName name="KIT">#N/A</definedName>
    <definedName name="kiulil" localSheetId="6" hidden="1">{#N/A,#N/A,FALSE,"CCTV"}</definedName>
    <definedName name="kiulil" localSheetId="2" hidden="1">{#N/A,#N/A,FALSE,"CCTV"}</definedName>
    <definedName name="kiulil" hidden="1">{#N/A,#N/A,FALSE,"CCTV"}</definedName>
    <definedName name="kj" hidden="1">#REF!</definedName>
    <definedName name="kjh">#N/A</definedName>
    <definedName name="kjhlh" localSheetId="6" hidden="1">{#N/A,#N/A,FALSE,"CCTV"}</definedName>
    <definedName name="kjhlh" localSheetId="2" hidden="1">{#N/A,#N/A,FALSE,"CCTV"}</definedName>
    <definedName name="kjhlh" hidden="1">{#N/A,#N/A,FALSE,"CCTV"}</definedName>
    <definedName name="kjhljhk" localSheetId="6" hidden="1">{#N/A,#N/A,FALSE,"CCTV"}</definedName>
    <definedName name="kjhljhk" localSheetId="2" hidden="1">{#N/A,#N/A,FALSE,"CCTV"}</definedName>
    <definedName name="kjhljhk" hidden="1">{#N/A,#N/A,FALSE,"CCTV"}</definedName>
    <definedName name="KJNK" localSheetId="2">BLCH</definedName>
    <definedName name="KJNK">BLCH</definedName>
    <definedName name="kk"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6" hidden="1">{#N/A,#N/A,FALSE,"BS";#N/A,#N/A,FALSE,"PL";#N/A,#N/A,FALSE,"처분";#N/A,#N/A,FALSE,"현금";#N/A,#N/A,FALSE,"매출";#N/A,#N/A,FALSE,"원가";#N/A,#N/A,FALSE,"경영"}</definedName>
    <definedName name="kkk" localSheetId="2" hidden="1">#REF!</definedName>
    <definedName name="kkk" hidden="1">{#N/A,#N/A,FALSE,"BS";#N/A,#N/A,FALSE,"PL";#N/A,#N/A,FALSE,"처분";#N/A,#N/A,FALSE,"현금";#N/A,#N/A,FALSE,"매출";#N/A,#N/A,FALSE,"원가";#N/A,#N/A,FALSE,"경영"}</definedName>
    <definedName name="kkkk" localSheetId="6"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6" hidden="1">{#N/A,#N/A,FALSE,"을지 (4)";#N/A,#N/A,FALSE,"을지 (5)";#N/A,#N/A,FALSE,"을지 (6)"}</definedName>
    <definedName name="KN" localSheetId="2" hidden="1">{#N/A,#N/A,FALSE,"을지 (4)";#N/A,#N/A,FALSE,"을지 (5)";#N/A,#N/A,FALSE,"을지 (6)"}</definedName>
    <definedName name="KN" hidden="1">{#N/A,#N/A,FALSE,"을지 (4)";#N/A,#N/A,FALSE,"을지 (5)";#N/A,#N/A,FALSE,"을지 (6)"}</definedName>
    <definedName name="KO">#REF!</definedName>
    <definedName name="KOI" localSheetId="2" hidden="1">{#N/A,#N/A,TRUE,"경전'96(1)";#N/A,#N/A,TRUE,"경전'96 (2)"}</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 localSheetId="2">BlankMacro1</definedName>
    <definedName name="KR">BlankMacro1</definedName>
    <definedName name="krw">#REF!</definedName>
    <definedName name="ks_awg">#REF!</definedName>
    <definedName name="KSJHGFD" localSheetId="2" hidden="1">{#N/A,#N/A,FALSE,"단축1";#N/A,#N/A,FALSE,"단축2";#N/A,#N/A,FALSE,"단축3";#N/A,#N/A,FALSE,"장축";#N/A,#N/A,FALSE,"4WD"}</definedName>
    <definedName name="KSJHGFD" hidden="1">{#N/A,#N/A,FALSE,"단축1";#N/A,#N/A,FALSE,"단축2";#N/A,#N/A,FALSE,"단축3";#N/A,#N/A,FALSE,"장축";#N/A,#N/A,FALSE,"4WD"}</definedName>
    <definedName name="KTB">#REF!</definedName>
    <definedName name="KTB_YTM">#REF!</definedName>
    <definedName name="ktft" hidden="1">3</definedName>
    <definedName name="KTY" localSheetId="2" hidden="1">{#N/A,#N/A,FALSE,"단축1";#N/A,#N/A,FALSE,"단축2";#N/A,#N/A,FALSE,"단축3";#N/A,#N/A,FALSE,"장축";#N/A,#N/A,FALSE,"4WD"}</definedName>
    <definedName name="KTY" hidden="1">{#N/A,#N/A,FALSE,"단축1";#N/A,#N/A,FALSE,"단축2";#N/A,#N/A,FALSE,"단축3";#N/A,#N/A,FALSE,"장축";#N/A,#N/A,FALSE,"4WD"}</definedName>
    <definedName name="KU" localSheetId="2" hidden="1">{#N/A,#N/A,TRUE,"Y생산";#N/A,#N/A,TRUE,"Y판매";#N/A,#N/A,TRUE,"Y총물량";#N/A,#N/A,TRUE,"Y능력";#N/A,#N/A,TRUE,"YKD"}</definedName>
    <definedName name="KU" hidden="1">{#N/A,#N/A,TRUE,"Y생산";#N/A,#N/A,TRUE,"Y판매";#N/A,#N/A,TRUE,"Y총물량";#N/A,#N/A,TRUE,"Y능력";#N/A,#N/A,TRUE,"YKD"}</definedName>
    <definedName name="kurskol">#REF!</definedName>
    <definedName name="Kx">#REF!</definedName>
    <definedName name="kㅛ" localSheetId="6" hidden="1">{"'Jibu9811 (3)'!$B$1:$J$433"}</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localSheetId="2" hidden="1">{#N/A,#N/A,FALSE,"단축1";#N/A,#N/A,FALSE,"단축2";#N/A,#N/A,FALSE,"단축3";#N/A,#N/A,FALSE,"장축";#N/A,#N/A,FALSE,"4WD"}</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localSheetId="2" hidden="1">{"'용역비'!$A$4:$C$8"}</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localSheetId="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localSheetId="2" hidden="1">{#N/A,#N/A,TRUE,"Y생산";#N/A,#N/A,TRUE,"Y판매";#N/A,#N/A,TRUE,"Y총물량";#N/A,#N/A,TRUE,"Y능력";#N/A,#N/A,TRUE,"YKD"}</definedName>
    <definedName name="LKHGFDF" hidden="1">{#N/A,#N/A,TRUE,"Y생산";#N/A,#N/A,TRUE,"Y판매";#N/A,#N/A,TRUE,"Y총물량";#N/A,#N/A,TRUE,"Y능력";#N/A,#N/A,TRUE,"YKD"}</definedName>
    <definedName name="lkiolki9olkiol">#N/A</definedName>
    <definedName name="LKJ" localSheetId="6" hidden="1">{#N/A,#N/A,FALSE,"을지 (4)";#N/A,#N/A,FALSE,"을지 (5)";#N/A,#N/A,FALSE,"을지 (6)"}</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6" hidden="1">{#N/A,#N/A,FALSE,"CCTV"}</definedName>
    <definedName name="lklhlkjl" localSheetId="2" hidden="1">{#N/A,#N/A,FALSE,"CCTV"}</definedName>
    <definedName name="lklhlkjl" hidden="1">{#N/A,#N/A,FALSE,"CCTV"}</definedName>
    <definedName name="lklklklk">#N/A</definedName>
    <definedName name="lkll" localSheetId="2" hidden="1">{"'2 혼례가구(1)'!$C$10"}</definedName>
    <definedName name="lkll" hidden="1">{"'2 혼례가구(1)'!$C$10"}</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2">#REF!</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localSheetId="2" hidden="1">{"'Set-Out'!$A$1:$H$30"}</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 localSheetId="2">[0]!BlankMacro1</definedName>
    <definedName name="LPS">#REF!</definedName>
    <definedName name="LPS가동계획" localSheetId="2">[0]!BlankMacro1</definedName>
    <definedName name="LPS가동계획">#REF!</definedName>
    <definedName name="LP능력검토" localSheetId="2"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6" hidden="1">{#N/A,#N/A,FALSE,"BS";#N/A,#N/A,FALSE,"PL";#N/A,#N/A,FALSE,"A";#N/A,#N/A,FALSE,"B";#N/A,#N/A,FALSE,"B1";#N/A,#N/A,FALSE,"C";#N/A,#N/A,FALSE,"C1";#N/A,#N/A,FALSE,"C2";#N/A,#N/A,FALSE,"D";#N/A,#N/A,FALSE,"E";#N/A,#N/A,FALSE,"F";#N/A,#N/A,FALSE,"AA";#N/A,#N/A,FALSE,"BB";#N/A,#N/A,FALSE,"CC";#N/A,#N/A,FALSE,"DD";#N/A,#N/A,FALSE,"EE";#N/A,#N/A,FALSE,"FF";#N/A,#N/A,FALSE,"PL10";#N/A,#N/A,FALSE,"PL20";#N/A,#N/A,FALSE,"PL30"}</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8">BlankMacro1</definedName>
    <definedName name="Machinery" localSheetId="6">BlankMacro1</definedName>
    <definedName name="Machinery" localSheetId="2">BlankMacro1</definedName>
    <definedName name="Machinery" localSheetId="0">BlankMacro1</definedName>
    <definedName name="Machinery" localSheetId="9">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localSheetId="2" hidden="1">{#N/A,#N/A,FALSE,"단축1";#N/A,#N/A,FALSE,"단축2";#N/A,#N/A,FALSE,"단축3";#N/A,#N/A,FALSE,"장축";#N/A,#N/A,FALSE,"4WD"}</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6" hidden="1">{"'Euro Conversion rates'!$A$1:$E$21"}</definedName>
    <definedName name="Mar." localSheetId="2" hidden="1">{"'Euro Conversion rates'!$A$1:$E$21"}</definedName>
    <definedName name="Mar." hidden="1">{"'Euro Conversion rates'!$A$1:$E$21"}</definedName>
    <definedName name="Mar._1" localSheetId="6"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localSheetId="2" hidden="1">{"'Sheet1'!$A$1:$H$36"}</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 localSheetId="2">#N/A</definedName>
    <definedName name="Meb01m00">#REF!</definedName>
    <definedName name="Mecaanical">#REF!</definedName>
    <definedName name="MEC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localSheetId="2" hidden="1">{#N/A,"Base Case",FALSE,"Revenue";#N/A,"£6.25 Fee",FALSE,"Revenue"}</definedName>
    <definedName name="Meh" hidden="1">{#N/A,"Base Case",FALSE,"Revenue";#N/A,"£6.25 Fee",FALSE,"Revenue"}</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localSheetId="2" hidden="1">{"income statement",#N/A,TRUE,"Model";"rig build up",#N/A,TRUE,"Model";"rig status and expenses",#N/A,TRUE,"Model"}</definedName>
    <definedName name="Mfile_earnins" hidden="1">{"income statement",#N/A,TRUE,"Model";"rig build up",#N/A,TRUE,"Model";"rig status and expenses",#N/A,TRUE,"Model"}</definedName>
    <definedName name="MICON">#N/A</definedName>
    <definedName name="mii">#REF!</definedName>
    <definedName name="MIP능력검토" localSheetId="2"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hidden="1">{#N/A,#N/A,FALSE,"단축1";#N/A,#N/A,FALSE,"단축2";#N/A,#N/A,FALSE,"단축3";#N/A,#N/A,FALSE,"장축";#N/A,#N/A,FALSE,"4WD"}</definedName>
    <definedName name="mkkl" localSheetId="2" hidden="1">{"'Sheet1'!$A$1:$H$36"}</definedName>
    <definedName name="mkkl" hidden="1">{"'Sheet1'!$A$1:$H$36"}</definedName>
    <definedName name="mlkcoe" localSheetId="2" hidden="1">{"'Sheet1'!$A$1:$H$36"}</definedName>
    <definedName name="mlkcoe" hidden="1">{"'Sheet1'!$A$1:$H$36"}</definedName>
    <definedName name="mm" localSheetId="2">#REF!</definedName>
    <definedName name="MM">10^6</definedName>
    <definedName name="MMA">#REF!</definedName>
    <definedName name="mmm">#REF!</definedName>
    <definedName name="mmmmm" localSheetId="6" hidden="1">{#N/A,#N/A,FALSE,"CCTV"}</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6"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6" hidden="1">{#N/A,#N/A,FALSE,"UNIT";#N/A,#N/A,FALSE,"UNIT";#N/A,#N/A,FALSE,"계정"}</definedName>
    <definedName name="MYJ" localSheetId="2" hidden="1">{#N/A,#N/A,FALSE,"UNIT";#N/A,#N/A,FALSE,"UNIT";#N/A,#N/A,FALSE,"계정"}</definedName>
    <definedName name="MYJ" hidden="1">{#N/A,#N/A,FALSE,"UNIT";#N/A,#N/A,FALSE,"UNIT";#N/A,#N/A,FALSE,"계정"}</definedName>
    <definedName name="Mz">#REF!</definedName>
    <definedName name="m記" localSheetId="6" hidden="1">{"'買掛金'!$J$6"}</definedName>
    <definedName name="m記" localSheetId="2" hidden="1">{"'買掛金'!$J$6"}</definedName>
    <definedName name="m記" hidden="1">{"'買掛金'!$J$6"}</definedName>
    <definedName name="M행">#REF!</definedName>
    <definedName name="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localSheetId="2">#REF!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 localSheetId="2">#N/A</definedName>
    <definedName name="NAME">#REF!</definedName>
    <definedName name="NAME01">#REF!</definedName>
    <definedName name="namekb" hidden="1">#REF!</definedName>
    <definedName name="namekc" hidden="1">#REF!</definedName>
    <definedName name="namekg" localSheetId="2" hidden="1">{#VALUE!,0,FALSE,0;#N/A,0,FALSE,0;#N/A,0,FALSE,0;#N/A,0,FALSE,0;#N/A,0,FALSE,0;#N/A,0,FALSE,0}</definedName>
    <definedName name="namekg" hidden="1">{#VALUE!,0,FALSE,0;#N/A,0,FALSE,0;#N/A,0,FALSE,0;#N/A,0,FALSE,0;#N/A,0,FALSE,0;#N/A,0,FALSE,0}</definedName>
    <definedName name="NAV" localSheetId="2" hidden="1">{#N/A,#N/A,FALSE,"SAFILOR"}</definedName>
    <definedName name="NAV" hidden="1">{#N/A,#N/A,FALSE,"SAFILOR"}</definedName>
    <definedName name="Nave">#REF!</definedName>
    <definedName name="NE">#N/A</definedName>
    <definedName name="NetSales">#REF!</definedName>
    <definedName name="new" localSheetId="2" hidden="1">{#N/A,"Base Case",FALSE,"Revenue";#N/A,"£6.25 Fee",FALSE,"Revenue"}</definedName>
    <definedName name="NEW" hidden="1">#REF!</definedName>
    <definedName name="NEWNAME" localSheetId="6" hidden="1">{#N/A,#N/A,FALSE,"CCTV"}</definedName>
    <definedName name="NEWNAME" localSheetId="2" hidden="1">{#N/A,#N/A,FALSE,"CCTV"}</definedName>
    <definedName name="NEWNAME" hidden="1">{#N/A,#N/A,FALSE,"CCTV"}</definedName>
    <definedName name="NewRange" hidden="1">#REF!</definedName>
    <definedName name="Ninlaro">#REF!</definedName>
    <definedName name="nkknk" localSheetId="6" hidden="1">{#N/A,#N/A,FALSE,"CCTV"}</definedName>
    <definedName name="nkknk" localSheetId="2" hidden="1">{#N/A,#N/A,FALSE,"CCTV"}</definedName>
    <definedName name="nkknk" hidden="1">{#N/A,#N/A,FALSE,"CCTV"}</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2">BlankMacro1</definedName>
    <definedName name="nnn">BlankMacro1</definedName>
    <definedName name="nnvk" localSheetId="2">BlankMacro1</definedName>
    <definedName name="nnvk">BlankMacro1</definedName>
    <definedName name="No">#REF!</definedName>
    <definedName name="No._of_Derived_Datasets">#REF!</definedName>
    <definedName name="No_Dry_Runs">#REF!</definedName>
    <definedName name="No_InterimAnalysis">#REF!</definedName>
    <definedName name="NOBOBOGOPGFO" localSheetId="2" hidden="1">{#N/A,#N/A,FALSE,"단축1";#N/A,#N/A,FALSE,"단축2";#N/A,#N/A,FALSE,"단축3";#N/A,#N/A,FALSE,"장축";#N/A,#N/A,FALSE,"4WD"}</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localSheetId="2" hidden="1">{#N/A,#N/A,TRUE,"총괄"}</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6" hidden="1">{"'매출이익'!$A$24:$K$45"}</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localSheetId="2" hidden="1">{#N/A,#N/A,FALSE,"Cellular"}</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localSheetId="2" hidden="1">{"'용역비'!$A$4:$C$8"}</definedName>
    <definedName name="OIL" hidden="1">{"'용역비'!$A$4:$C$8"}</definedName>
    <definedName name="oililui" localSheetId="6" hidden="1">{#N/A,#N/A,FALSE,"CCTV"}</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6" hidden="1">{#N/A,#N/A,FALSE,"BS";#N/A,#N/A,FALSE,"PL";#N/A,#N/A,FALSE,"A";#N/A,#N/A,FALSE,"B";#N/A,#N/A,FALSE,"B1";#N/A,#N/A,FALSE,"C";#N/A,#N/A,FALSE,"C1";#N/A,#N/A,FALSE,"C2";#N/A,#N/A,FALSE,"D";#N/A,#N/A,FALSE,"E";#N/A,#N/A,FALSE,"F";#N/A,#N/A,FALSE,"AA";#N/A,#N/A,FALSE,"BB";#N/A,#N/A,FALSE,"CC";#N/A,#N/A,FALSE,"DD";#N/A,#N/A,FALSE,"EE";#N/A,#N/A,FALSE,"FF";#N/A,#N/A,FALSE,"PL10";#N/A,#N/A,FALSE,"PL20";#N/A,#N/A,FALSE,"PL30"}</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localSheetId="2" hidden="1">{#N/A,#N/A,TRUE,"summary";#N/A,#N/A,TRUE,"model";#N/A,#N/A,TRUE,"Consolidated P&amp;L Summary";#N/A,#N/A,TRUE,"Schwinn";#N/A,#N/A,TRUE,"G.T.";#N/A,#N/A,TRUE,"Hebb"}</definedName>
    <definedName name="oo" hidden="1">#REF!</definedName>
    <definedName name="OOO" localSheetId="6" hidden="1">{#N/A,#N/A,TRUE,"Y생산";#N/A,#N/A,TRUE,"Y판매";#N/A,#N/A,TRUE,"Y총물량";#N/A,#N/A,TRUE,"Y능력";#N/A,#N/A,TRUE,"YKD"}</definedName>
    <definedName name="ooo" localSheetId="2">BlankMacro1</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localSheetId="2" hidden="1">{#N/A,#N/A,FALSE,"지침";#N/A,#N/A,FALSE,"환경분석";#N/A,#N/A,FALSE,"Sheet16"}</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localSheetId="2" hidden="1">{#N/A,#N/A,FALSE,"표지";#N/A,#N/A,FALSE,"전제";#N/A,#N/A,FALSE,"대당";#N/A,#N/A,FALSE,"가공비";#N/A,#N/A,FALSE,"재료비";#N/A,#N/A,FALSE,"손익"}</definedName>
    <definedName name="organization" hidden="1">{#N/A,#N/A,FALSE,"표지";#N/A,#N/A,FALSE,"전제";#N/A,#N/A,FALSE,"대당";#N/A,#N/A,FALSE,"가공비";#N/A,#N/A,FALSE,"재료비";#N/A,#N/A,FALSE,"손익"}</definedName>
    <definedName name="OST" localSheetId="2">BlankMacro1</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6" hidden="1">{#N/A,#N/A,FALSE,"1.CRITERIA";#N/A,#N/A,FALSE,"2.IS";#N/A,#N/A,FALSE,"3.BS";#N/A,#N/A,FALSE,"4.PER PL";#N/A,#N/A,FALSE,"5.INVESTMENT";#N/A,#N/A,FALSE,"6.공문";#N/A,#N/A,FALSE,"7.netinvest"}</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6" hidden="1">{#N/A,#N/A,TRUE,"Summary";#N/A,#N/A,TRUE,"IS";#N/A,#N/A,TRUE,"Adj";#N/A,#N/A,TRUE,"BS";#N/A,#N/A,TRUE,"CF";#N/A,#N/A,TRUE,"Debt";#N/A,#N/A,TRUE,"IRR"}</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6"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localSheetId="2" hidden="1">{"PAGE1",#N/A,FALSE,"Consolidation";"PAGE2",#N/A,FALSE,"Consolidation";"PAGE3",#N/A,FALSE,"Consolidation";"PAGE4",#N/A,FALSE,"Consolidation";"PAGE5",#N/A,FALSE,"Consolidation";"PAGE6",#N/A,FALSE,"Consolidation";"PAGE7",#N/A,FALSE,"Consolidation"}</definedName>
    <definedName name="Paul" hidden="1">{"PAGE1",#N/A,FALSE,"Consolidation";"PAGE2",#N/A,FALSE,"Consolidation";"PAGE3",#N/A,FALSE,"Consolidation";"PAGE4",#N/A,FALSE,"Consolidation";"PAGE5",#N/A,FALSE,"Consolidation";"PAGE6",#N/A,FALSE,"Consolidation";"PAGE7",#N/A,FALSE,"Consolidation"}</definedName>
    <definedName name="Paul2" localSheetId="2"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localSheetId="2" hidden="1">{"Print Summary",#N/A,FALSE,"Bal_Graphs";"Print Summary",#N/A,FALSE,"DCF";"Print Summary",#N/A,FALSE,"Graphs";"Print Summary",#N/A,FALSE,"Summary"}</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 localSheetId="2">BlankMacro1</definedName>
    <definedName name="pd분리">BlankMacro1</definedName>
    <definedName name="p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localSheetId="2" hidden="1">{#N/A,#N/A,FALSE,"Sheet9"}</definedName>
    <definedName name="PGM" hidden="1">{#N/A,#N/A,FALSE,"Sheet9"}</definedName>
    <definedName name="PGZ">#N/A</definedName>
    <definedName name="PH">#REF!</definedName>
    <definedName name="PHZ">#N/A</definedName>
    <definedName name="pi" localSheetId="2">#REF!</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localSheetId="2"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6" hidden="1">{#N/A,#N/A,FALSE,"Performance Flash Report"}</definedName>
    <definedName name="placeholder" localSheetId="2" hidden="1">{#N/A,#N/A,FALSE,"Performance Flash Report"}</definedName>
    <definedName name="placeholder" hidden="1">{#N/A,#N/A,FALSE,"Performance Flash Report"}</definedName>
    <definedName name="placeholder_1" localSheetId="6" hidden="1">{#N/A,#N/A,FALSE,"Performance Flash Report"}</definedName>
    <definedName name="placeholder_1" localSheetId="2" hidden="1">{#N/A,#N/A,FALSE,"Performance Flash Report"}</definedName>
    <definedName name="placeholder_1" hidden="1">{#N/A,#N/A,FALSE,"Performance Flash Report"}</definedName>
    <definedName name="placeholder_1_1" localSheetId="6" hidden="1">{#N/A,#N/A,FALSE,"Performance Flash Report"}</definedName>
    <definedName name="placeholder_1_1" localSheetId="2" hidden="1">{#N/A,#N/A,FALSE,"Performance Flash Report"}</definedName>
    <definedName name="placeholder_1_1" hidden="1">{#N/A,#N/A,FALSE,"Performance Flash Report"}</definedName>
    <definedName name="placeholder_1_2" localSheetId="6" hidden="1">{#N/A,#N/A,FALSE,"Performance Flash Report"}</definedName>
    <definedName name="placeholder_1_2" localSheetId="2" hidden="1">{#N/A,#N/A,FALSE,"Performance Flash Report"}</definedName>
    <definedName name="placeholder_1_2" hidden="1">{#N/A,#N/A,FALSE,"Performance Flash Report"}</definedName>
    <definedName name="placeholder_1_3" localSheetId="6" hidden="1">{#N/A,#N/A,FALSE,"Performance Flash Report"}</definedName>
    <definedName name="placeholder_1_3" localSheetId="2" hidden="1">{#N/A,#N/A,FALSE,"Performance Flash Report"}</definedName>
    <definedName name="placeholder_1_3" hidden="1">{#N/A,#N/A,FALSE,"Performance Flash Report"}</definedName>
    <definedName name="placeholder_1_4" localSheetId="6" hidden="1">{#N/A,#N/A,FALSE,"Performance Flash Report"}</definedName>
    <definedName name="placeholder_1_4" localSheetId="2" hidden="1">{#N/A,#N/A,FALSE,"Performance Flash Report"}</definedName>
    <definedName name="placeholder_1_4" hidden="1">{#N/A,#N/A,FALSE,"Performance Flash Report"}</definedName>
    <definedName name="placeholder_2" localSheetId="6" hidden="1">{#N/A,#N/A,FALSE,"Performance Flash Report"}</definedName>
    <definedName name="placeholder_2" localSheetId="2" hidden="1">{#N/A,#N/A,FALSE,"Performance Flash Report"}</definedName>
    <definedName name="placeholder_2" hidden="1">{#N/A,#N/A,FALSE,"Performance Flash Report"}</definedName>
    <definedName name="placeholder_2_1" localSheetId="6" hidden="1">{#N/A,#N/A,FALSE,"Performance Flash Report"}</definedName>
    <definedName name="placeholder_2_1" localSheetId="2" hidden="1">{#N/A,#N/A,FALSE,"Performance Flash Report"}</definedName>
    <definedName name="placeholder_2_1" hidden="1">{#N/A,#N/A,FALSE,"Performance Flash Report"}</definedName>
    <definedName name="placeholder_2_2" localSheetId="6" hidden="1">{#N/A,#N/A,FALSE,"Performance Flash Report"}</definedName>
    <definedName name="placeholder_2_2" localSheetId="2" hidden="1">{#N/A,#N/A,FALSE,"Performance Flash Report"}</definedName>
    <definedName name="placeholder_2_2" hidden="1">{#N/A,#N/A,FALSE,"Performance Flash Report"}</definedName>
    <definedName name="placeholder_2_3" localSheetId="6" hidden="1">{#N/A,#N/A,FALSE,"Performance Flash Report"}</definedName>
    <definedName name="placeholder_2_3" localSheetId="2" hidden="1">{#N/A,#N/A,FALSE,"Performance Flash Report"}</definedName>
    <definedName name="placeholder_2_3" hidden="1">{#N/A,#N/A,FALSE,"Performance Flash Report"}</definedName>
    <definedName name="placeholder_2_4" localSheetId="6" hidden="1">{#N/A,#N/A,FALSE,"Performance Flash Report"}</definedName>
    <definedName name="placeholder_2_4" localSheetId="2" hidden="1">{#N/A,#N/A,FALSE,"Performance Flash Report"}</definedName>
    <definedName name="placeholder_2_4" hidden="1">{#N/A,#N/A,FALSE,"Performance Flash Report"}</definedName>
    <definedName name="placeholder_3" localSheetId="6" hidden="1">{#N/A,#N/A,FALSE,"Performance Flash Report"}</definedName>
    <definedName name="placeholder_3" localSheetId="2" hidden="1">{#N/A,#N/A,FALSE,"Performance Flash Report"}</definedName>
    <definedName name="placeholder_3" hidden="1">{#N/A,#N/A,FALSE,"Performance Flash Report"}</definedName>
    <definedName name="placeholder_3_1" localSheetId="6" hidden="1">{#N/A,#N/A,FALSE,"Performance Flash Report"}</definedName>
    <definedName name="placeholder_3_1" localSheetId="2" hidden="1">{#N/A,#N/A,FALSE,"Performance Flash Report"}</definedName>
    <definedName name="placeholder_3_1" hidden="1">{#N/A,#N/A,FALSE,"Performance Flash Report"}</definedName>
    <definedName name="placeholder_3_2" localSheetId="6" hidden="1">{#N/A,#N/A,FALSE,"Performance Flash Report"}</definedName>
    <definedName name="placeholder_3_2" localSheetId="2" hidden="1">{#N/A,#N/A,FALSE,"Performance Flash Report"}</definedName>
    <definedName name="placeholder_3_2" hidden="1">{#N/A,#N/A,FALSE,"Performance Flash Report"}</definedName>
    <definedName name="placeholder_3_3" localSheetId="6" hidden="1">{#N/A,#N/A,FALSE,"Performance Flash Report"}</definedName>
    <definedName name="placeholder_3_3" localSheetId="2" hidden="1">{#N/A,#N/A,FALSE,"Performance Flash Report"}</definedName>
    <definedName name="placeholder_3_3" hidden="1">{#N/A,#N/A,FALSE,"Performance Flash Report"}</definedName>
    <definedName name="placeholder_3_4" localSheetId="6" hidden="1">{#N/A,#N/A,FALSE,"Performance Flash Report"}</definedName>
    <definedName name="placeholder_3_4" localSheetId="2" hidden="1">{#N/A,#N/A,FALSE,"Performance Flash Report"}</definedName>
    <definedName name="placeholder_3_4" hidden="1">{#N/A,#N/A,FALSE,"Performance Flash Report"}</definedName>
    <definedName name="placeholder_4" localSheetId="6" hidden="1">{#N/A,#N/A,FALSE,"Performance Flash Report"}</definedName>
    <definedName name="placeholder_4" localSheetId="2" hidden="1">{#N/A,#N/A,FALSE,"Performance Flash Report"}</definedName>
    <definedName name="placeholder_4" hidden="1">{#N/A,#N/A,FALSE,"Performance Flash Report"}</definedName>
    <definedName name="placeholder_4_1" localSheetId="6" hidden="1">{#N/A,#N/A,FALSE,"Performance Flash Report"}</definedName>
    <definedName name="placeholder_4_1" localSheetId="2" hidden="1">{#N/A,#N/A,FALSE,"Performance Flash Report"}</definedName>
    <definedName name="placeholder_4_1" hidden="1">{#N/A,#N/A,FALSE,"Performance Flash Report"}</definedName>
    <definedName name="placeholder_4_2" localSheetId="6" hidden="1">{#N/A,#N/A,FALSE,"Performance Flash Report"}</definedName>
    <definedName name="placeholder_4_2" localSheetId="2" hidden="1">{#N/A,#N/A,FALSE,"Performance Flash Report"}</definedName>
    <definedName name="placeholder_4_2" hidden="1">{#N/A,#N/A,FALSE,"Performance Flash Report"}</definedName>
    <definedName name="placeholder_4_3" localSheetId="6" hidden="1">{#N/A,#N/A,FALSE,"Performance Flash Report"}</definedName>
    <definedName name="placeholder_4_3" localSheetId="2" hidden="1">{#N/A,#N/A,FALSE,"Performance Flash Report"}</definedName>
    <definedName name="placeholder_4_3" hidden="1">{#N/A,#N/A,FALSE,"Performance Flash Report"}</definedName>
    <definedName name="placeholder_4_4" localSheetId="6" hidden="1">{#N/A,#N/A,FALSE,"Performance Flash Report"}</definedName>
    <definedName name="placeholder_4_4" localSheetId="2" hidden="1">{#N/A,#N/A,FALSE,"Performance Flash Report"}</definedName>
    <definedName name="placeholder_4_4" hidden="1">{#N/A,#N/A,FALSE,"Performance Flash Report"}</definedName>
    <definedName name="placeholder_5" localSheetId="6" hidden="1">{#N/A,#N/A,FALSE,"Performance Flash Report"}</definedName>
    <definedName name="placeholder_5" localSheetId="2" hidden="1">{#N/A,#N/A,FALSE,"Performance Flash Report"}</definedName>
    <definedName name="placeholder_5" hidden="1">{#N/A,#N/A,FALSE,"Performance Flash Report"}</definedName>
    <definedName name="placeholder_5_1" localSheetId="6" hidden="1">{#N/A,#N/A,FALSE,"Performance Flash Report"}</definedName>
    <definedName name="placeholder_5_1" localSheetId="2" hidden="1">{#N/A,#N/A,FALSE,"Performance Flash Report"}</definedName>
    <definedName name="placeholder_5_1" hidden="1">{#N/A,#N/A,FALSE,"Performance Flash Report"}</definedName>
    <definedName name="placeholder_5_2" localSheetId="6" hidden="1">{#N/A,#N/A,FALSE,"Performance Flash Report"}</definedName>
    <definedName name="placeholder_5_2" localSheetId="2" hidden="1">{#N/A,#N/A,FALSE,"Performance Flash Report"}</definedName>
    <definedName name="placeholder_5_2" hidden="1">{#N/A,#N/A,FALSE,"Performance Flash Report"}</definedName>
    <definedName name="placeholder_5_3" localSheetId="6" hidden="1">{#N/A,#N/A,FALSE,"Performance Flash Report"}</definedName>
    <definedName name="placeholder_5_3" localSheetId="2" hidden="1">{#N/A,#N/A,FALSE,"Performance Flash Report"}</definedName>
    <definedName name="placeholder_5_3" hidden="1">{#N/A,#N/A,FALSE,"Performance Flash Report"}</definedName>
    <definedName name="placeholder_5_4" localSheetId="6"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P" localSheetId="2"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8">'1분기 실적'!$A$1:$AA$71</definedName>
    <definedName name="_xlnm.Print_Area" localSheetId="6">#REF!</definedName>
    <definedName name="_xlnm.Print_Area" localSheetId="2">'Hasten 단가 정보'!$A$1:$Y$45</definedName>
    <definedName name="_xlnm.Print_Area" localSheetId="1">'상세 자료 작성'!$C$1:$O$173</definedName>
    <definedName name="_xlnm.Print_Area" localSheetId="4">'상세 자료 작성 241025현실화'!$A$1:$M$162</definedName>
    <definedName name="_xlnm.Print_Area" localSheetId="10">'연간 에상 (사장님보고)'!$A$1:$AE$77</definedName>
    <definedName name="_xlnm.Print_Area" localSheetId="0">'요약(보고)'!$A$1:$AC$205</definedName>
    <definedName name="_xlnm.Print_Area" localSheetId="9">'요약(보고) 241025현실화'!$A$1:$BO$40</definedName>
    <definedName name="_xlnm.Print_Area">#REF!</definedName>
    <definedName name="PRINT_AREA_MI" localSheetId="6">#REF!</definedName>
    <definedName name="PRINT_AREA_MI">#REF!</definedName>
    <definedName name="PRINT_AREA_MI1">#REF!</definedName>
    <definedName name="Print_Area\C">#REF!</definedName>
    <definedName name="PRINT_PAGE_6">#REF!</definedName>
    <definedName name="_xlnm.Print_Titles" localSheetId="6">#REF!</definedName>
    <definedName name="_xlnm.Print_Titles">#REF!</definedName>
    <definedName name="PRINT_TITLES_MI">#REF!</definedName>
    <definedName name="PRINT_TITLS">#REF!</definedName>
    <definedName name="printarea">#REF!</definedName>
    <definedName name="PrintBuyer" localSheetId="2"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6" hidden="1">{#N/A,#N/A,FALSE,"Aging Summary";#N/A,#N/A,FALSE,"Ratio Analysis";#N/A,#N/A,FALSE,"Test 120 Day Accts";#N/A,#N/A,FALSE,"Tickmarks"}</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localSheetId="2" hidden="1">{"'용역비'!$A$4:$C$8"}</definedName>
    <definedName name="q234562456" hidden="1">{"'용역비'!$A$4:$C$8"}</definedName>
    <definedName name="Q2777x2c">#REF!</definedName>
    <definedName name="Qa">#REF!</definedName>
    <definedName name="QAMT86106">#N/A</definedName>
    <definedName name="QAW" localSheetId="6" hidden="1">{#N/A,#N/A,FALSE,"을지 (4)";#N/A,#N/A,FALSE,"을지 (5)";#N/A,#N/A,FALSE,"을지 (6)"}</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 localSheetId="2">BlankMacro1</definedName>
    <definedName name="QC">BlankMacro1</definedName>
    <definedName name="QC_1" localSheetId="2">BlankMacro1</definedName>
    <definedName name="QC_1">BlankMacro1</definedName>
    <definedName name="QC_2" localSheetId="6" hidden="1">{#N/A,#N/A,FALSE,"Pharm";#N/A,#N/A,FALSE,"WWCM"}</definedName>
    <definedName name="QC_2" localSheetId="2" hidden="1">{#N/A,#N/A,FALSE,"Pharm";#N/A,#N/A,FALSE,"WWCM"}</definedName>
    <definedName name="QC_2" hidden="1">{#N/A,#N/A,FALSE,"Pharm";#N/A,#N/A,FALSE,"WWCM"}</definedName>
    <definedName name="qd">#REF!</definedName>
    <definedName name="QE" localSheetId="6"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6" hidden="1">{#N/A,#N/A,FALSE,"Aging Summary";#N/A,#N/A,FALSE,"Ratio Analysis";#N/A,#N/A,FALSE,"Test 120 Day Accts";#N/A,#N/A,FALSE,"Tickmarks"}</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 localSheetId="2">BlankMacro1</definedName>
    <definedName name="QI">BlankMacro1</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6" hidden="1">{#N/A,#N/A,FALSE,"BS";#N/A,#N/A,FALSE,"PL";#N/A,#N/A,FALSE,"처분";#N/A,#N/A,FALSE,"현금";#N/A,#N/A,FALSE,"매출";#N/A,#N/A,FALSE,"원가";#N/A,#N/A,FALSE,"경영"}</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{#N/A,#N/A,FALSE,"BS";#N/A,#N/A,FALSE,"PL";#N/A,#N/A,FALSE,"처분";#N/A,#N/A,FALSE,"현금";#N/A,#N/A,FALSE,"매출";#N/A,#N/A,FALSE,"원가";#N/A,#N/A,FALSE,"경영"}</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6" hidden="1">{#N/A,#N/A,FALSE,"단축1";#N/A,#N/A,FALSE,"단축2";#N/A,#N/A,FALSE,"단축3";#N/A,#N/A,FALSE,"장축";#N/A,#N/A,FALSE,"4WD"}</definedName>
    <definedName name="qqqq" localSheetId="2">Dlog_Show</definedName>
    <definedName name="QQQQ" hidden="1">{#N/A,#N/A,FALSE,"단축1";#N/A,#N/A,FALSE,"단축2";#N/A,#N/A,FALSE,"단축3";#N/A,#N/A,FALSE,"장축";#N/A,#N/A,FALSE,"4WD"}</definedName>
    <definedName name="QQQQQ" localSheetId="6" hidden="1">{#N/A,#N/A,FALSE,"UNIT";#N/A,#N/A,FALSE,"UNIT";#N/A,#N/A,FALSE,"계정"}</definedName>
    <definedName name="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{#N/A,#N/A,FALSE,"UNIT";#N/A,#N/A,FALSE,"UNIT";#N/A,#N/A,FALSE,"계정"}</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localSheetId="2" hidden="1">{#N/A,#N/A,FALSE,"단축1";#N/A,#N/A,FALSE,"단축2";#N/A,#N/A,FALSE,"단축3";#N/A,#N/A,FALSE,"장축";#N/A,#N/A,FALSE,"4WD"}</definedName>
    <definedName name="QQQQQQQQQQQQ" hidden="1">{#N/A,#N/A,FALSE,"단축1";#N/A,#N/A,FALSE,"단축2";#N/A,#N/A,FALSE,"단축3";#N/A,#N/A,FALSE,"장축";#N/A,#N/A,FALSE,"4WD"}</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localSheetId="2" hidden="1">{#N/A,#N/A,FALSE,"을지 (4)";#N/A,#N/A,FALSE,"을지 (5)";#N/A,#N/A,FALSE,"을지 (6)"}</definedName>
    <definedName name="QSS" hidden="1">{#N/A,#N/A,FALSE,"을지 (4)";#N/A,#N/A,FALSE,"을지 (5)";#N/A,#N/A,FALSE,"을지 (6)"}</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6" hidden="1">{#N/A,#N/A,FALSE,"단가표지"}</definedName>
    <definedName name="qw" localSheetId="2" hidden="1">{#N/A,#N/A,FALSE,"단가표지"}</definedName>
    <definedName name="qw" hidden="1">{#N/A,#N/A,FALSE,"단가표지"}</definedName>
    <definedName name="QWA" localSheetId="6" hidden="1">{#N/A,#N/A,FALSE,"을지 (4)";#N/A,#N/A,FALSE,"을지 (5)";#N/A,#N/A,FALSE,"을지 (6)"}</definedName>
    <definedName name="QWA" localSheetId="2" hidden="1">{#N/A,#N/A,FALSE,"을지 (4)";#N/A,#N/A,FALSE,"을지 (5)";#N/A,#N/A,FALSE,"을지 (6)"}</definedName>
    <definedName name="QWA" hidden="1">{#N/A,#N/A,FALSE,"을지 (4)";#N/A,#N/A,FALSE,"을지 (5)";#N/A,#N/A,FALSE,"을지 (6)"}</definedName>
    <definedName name="qwe" localSheetId="6" hidden="1">{#N/A,#N/A,FALSE,"Aging Summary";#N/A,#N/A,FALSE,"Ratio Analysis";#N/A,#N/A,FALSE,"Test 120 Day Accts";#N/A,#N/A,FALSE,"Tickmarks"}</definedName>
    <definedName name="QWE" localSheetId="2" hidden="1">{#N/A,#N/A,FALSE,"을지 (4)";#N/A,#N/A,FALSE,"을지 (5)";#N/A,#N/A,FALSE,"을지 (6)"}</definedName>
    <definedName name="qwe" hidden="1">{#N/A,#N/A,FALSE,"Aging Summary";#N/A,#N/A,FALSE,"Ratio Analysis";#N/A,#N/A,FALSE,"Test 120 Day Accts";#N/A,#N/A,FALSE,"Tickmarks"}</definedName>
    <definedName name="qweqwe" localSheetId="6"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6" hidden="1">{#N/A,#N/A,FALSE,"Aging Summary";#N/A,#N/A,FALSE,"Ratio Analysis";#N/A,#N/A,FALSE,"Test 120 Day Accts";#N/A,#N/A,FALSE,"Tickmarks"}</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6" hidden="1">{#N/A,#N/A,FALSE,"Aging Summary";#N/A,#N/A,FALSE,"Ratio Analysis";#N/A,#N/A,FALSE,"Test 120 Day Accts";#N/A,#N/A,FALSE,"Tickmarks"}</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localSheetId="2" hidden="1">{#N/A,#N/A,FALSE,"단축1";#N/A,#N/A,FALSE,"단축2";#N/A,#N/A,FALSE,"단축3";#N/A,#N/A,FALSE,"장축";#N/A,#N/A,FALSE,"4WD"}</definedName>
    <definedName name="QWWWWW" hidden="1">{#N/A,#N/A,FALSE,"단축1";#N/A,#N/A,FALSE,"단축2";#N/A,#N/A,FALSE,"단축3";#N/A,#N/A,FALSE,"장축";#N/A,#N/A,FALSE,"4WD"}</definedName>
    <definedName name="qyk" localSheetId="2" hidden="1">{"'용역비'!$A$4:$C$8"}</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6" hidden="1">{#N/A,#N/A,FALSE,"CCTV"}</definedName>
    <definedName name="rarewt" localSheetId="2" hidden="1">{#N/A,#N/A,FALSE,"CCTV"}</definedName>
    <definedName name="rarewt" hidden="1">{#N/A,#N/A,FALSE,"CCTV"}</definedName>
    <definedName name="Rate">#REF!</definedName>
    <definedName name="rates">#REF!</definedName>
    <definedName name="RATTLE" localSheetId="2" hidden="1">{#N/A,#N/A,FALSE,"단축1";#N/A,#N/A,FALSE,"단축2";#N/A,#N/A,FALSE,"단축3";#N/A,#N/A,FALSE,"장축";#N/A,#N/A,FALSE,"4WD"}</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localSheetId="2" hidden="1">{#N/A,#N/A,FALSE,"단축1";#N/A,#N/A,FALSE,"단축2";#N/A,#N/A,FALSE,"단축3";#N/A,#N/A,FALSE,"장축";#N/A,#N/A,FALSE,"4WD"}</definedName>
    <definedName name="RDG" hidden="1">{#N/A,#N/A,FALSE,"단축1";#N/A,#N/A,FALSE,"단축2";#N/A,#N/A,FALSE,"단축3";#N/A,#N/A,FALSE,"장축";#N/A,#N/A,FALSE,"4WD"}</definedName>
    <definedName name="RDU">#REF!,#REF!,#REF!,#REF!,#REF!,#REF!</definedName>
    <definedName name="re"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localSheetId="2" hidden="1">{#N/A,#N/A,FALSE,"초도품";#N/A,#N/A,FALSE,"초도품 (2)";#N/A,#N/A,FALSE,"초도품 (3)";#N/A,#N/A,FALSE,"초도품 (4)";#N/A,#N/A,FALSE,"초도품 (5)";#N/A,#N/A,FALSE,"초도품 (6)"}</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 localSheetId="2">BlankMacro1</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localSheetId="2" hidden="1">{"'7-2지역별'!$A$1:$R$44"}</definedName>
    <definedName name="RENN" hidden="1">{"'7-2지역별'!$A$1:$R$44"}</definedName>
    <definedName name="rep" localSheetId="2" hidden="1">{#N/A,#N/A,FALSE,"COVER";#N/A,#N/A,FALSE,"VALUATION";#N/A,#N/A,FALSE,"FORECAST";#N/A,#N/A,FALSE,"FY ANALYSIS ";#N/A,#N/A,FALSE," HY ANALYSIS"}</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localSheetId="2" hidden="1">#REF!</definedName>
    <definedName name="rews" hidden="1">#N/A</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6" hidden="1">{#N/A,#N/A,FALSE,"기안지";#N/A,#N/A,FALSE,"통신지"}</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 localSheetId="2">BLCH</definedName>
    <definedName name="RFSDF">BLCH</definedName>
    <definedName name="RGSDG" localSheetId="2" hidden="1">{#N/A,#N/A,FALSE,"단축1";#N/A,#N/A,FALSE,"단축2";#N/A,#N/A,FALSE,"단축3";#N/A,#N/A,FALSE,"장축";#N/A,#N/A,FALSE,"4WD"}</definedName>
    <definedName name="RGSDG" hidden="1">{#N/A,#N/A,FALSE,"단축1";#N/A,#N/A,FALSE,"단축2";#N/A,#N/A,FALSE,"단축3";#N/A,#N/A,FALSE,"장축";#N/A,#N/A,FALSE,"4WD"}</definedName>
    <definedName name="RH" localSheetId="2" hidden="1">{"'용역비'!$A$4:$C$8"}</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6" hidden="1">{#N/A,#N/A,FALSE,"UNIT";#N/A,#N/A,FALSE,"UNIT";#N/A,#N/A,FALSE,"계정"}</definedName>
    <definedName name="RISK내용" localSheetId="2" hidden="1">{#N/A,#N/A,FALSE,"UNIT";#N/A,#N/A,FALSE,"UNIT";#N/A,#N/A,FALSE,"계정"}</definedName>
    <definedName name="RISK내용" hidden="1">{#N/A,#N/A,FALSE,"UNIT";#N/A,#N/A,FALSE,"UNIT";#N/A,#N/A,FALSE,"계정"}</definedName>
    <definedName name="rk" localSheetId="6"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6"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6" hidden="1">{#N/A,#N/A,TRUE,"Y생산";#N/A,#N/A,TRUE,"Y판매";#N/A,#N/A,TRUE,"Y총물량";#N/A,#N/A,TRUE,"Y능력";#N/A,#N/A,TRUE,"YKD"}</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localSheetId="2" hidden="1">{"comp1",#N/A,FALSE,"COMPS";"footnotes",#N/A,FALSE,"COMPS"}</definedName>
    <definedName name="rOSTOV" hidden="1">{"comp1",#N/A,FALSE,"COMPS";"footnotes",#N/A,FALSE,"COMPS"}</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6" hidden="1">{#N/A,#N/A,FALSE,"기술료 비교"}</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 localSheetId="2">BlankMacro1</definedName>
    <definedName name="RRI">BlankMacro1</definedName>
    <definedName name="RRR" hidden="1">#REF!</definedName>
    <definedName name="rrrr">#REF!</definedName>
    <definedName name="RRRRR">#REF!</definedName>
    <definedName name="RRRRRRR" localSheetId="2">[0]!BlankMacro1</definedName>
    <definedName name="RRRRRRR">#REF!</definedName>
    <definedName name="RS">#REF!</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localSheetId="2" hidden="1">{#N/A,#N/A,FALSE,"견적대비-2"}</definedName>
    <definedName name="rsty" hidden="1">{#N/A,#N/A,FALSE,"견적대비-2"}</definedName>
    <definedName name="RT" localSheetId="2" hidden="1">{#N/A,#N/A,FALSE,"이태원철근"}</definedName>
    <definedName name="RT" hidden="1">{#N/A,#N/A,FALSE,"이태원철근"}</definedName>
    <definedName name="RTDOSING">#REF!</definedName>
    <definedName name="rtfg">#REF!</definedName>
    <definedName name="rth" localSheetId="2" hidden="1">{"'용역비'!$A$4:$C$8"}</definedName>
    <definedName name="rth" hidden="1">{"'용역비'!$A$4:$C$8"}</definedName>
    <definedName name="RTIN">#N/A</definedName>
    <definedName name="rtre">#REF!</definedName>
    <definedName name="RTSALES">#REF!</definedName>
    <definedName name="rtugf">#REF!</definedName>
    <definedName name="rty" localSheetId="2" hidden="1">{"'용역비'!$A$4:$C$8"}</definedName>
    <definedName name="rty" hidden="1">{"'용역비'!$A$4:$C$8"}</definedName>
    <definedName name="RTYG" localSheetId="2" hidden="1">{#N/A,#N/A,FALSE,"단축1";#N/A,#N/A,FALSE,"단축2";#N/A,#N/A,FALSE,"단축3";#N/A,#N/A,FALSE,"장축";#N/A,#N/A,FALSE,"4WD"}</definedName>
    <definedName name="RTYG" hidden="1">{#N/A,#N/A,FALSE,"단축1";#N/A,#N/A,FALSE,"단축2";#N/A,#N/A,FALSE,"단축3";#N/A,#N/A,FALSE,"장축";#N/A,#N/A,FALSE,"4WD"}</definedName>
    <definedName name="Ru">#REF!</definedName>
    <definedName name="rud" localSheetId="2" hidden="1">{#N/A,#N/A,TRUE,"경전'96(1)";#N/A,#N/A,TRUE,"경전'96 (2)"}</definedName>
    <definedName name="rud" hidden="1">{#N/A,#N/A,TRUE,"경전'96(1)";#N/A,#N/A,TRUE,"경전'96 (2)"}</definedName>
    <definedName name="rv">#REF!</definedName>
    <definedName name="rwerw" localSheetId="6" hidden="1">{#N/A,#N/A,FALSE,"Aging Summary";#N/A,#N/A,FALSE,"Ratio Analysis";#N/A,#N/A,FALSE,"Test 120 Day Accts";#N/A,#N/A,FALSE,"Tickmarks"}</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6"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6" hidden="1">{#N/A,#N/A,FALSE,"Aging Summary";#N/A,#N/A,FALSE,"Ratio Analysis";#N/A,#N/A,FALSE,"Test 120 Day Accts";#N/A,#N/A,FALSE,"Tickmarks"}</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localSheetId="2" hidden="1">{"'용역비'!$A$4:$C$8"}</definedName>
    <definedName name="ryuk" hidden="1">{"'용역비'!$A$4:$C$8"}</definedName>
    <definedName name="Rz">#REF!</definedName>
    <definedName name="rzr">#REF!</definedName>
    <definedName name="R행">#REF!</definedName>
    <definedName name="s" localSheetId="6" hidden="1">{"'손익현황'!$A$1:$J$29"}</definedName>
    <definedName name="s" localSheetId="2" hidden="1">{"'손익현황'!$A$1:$J$29"}</definedName>
    <definedName name="s" hidden="1">{"'손익현황'!$A$1:$J$29"}</definedName>
    <definedName name="s_1" localSheetId="6"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localSheetId="2">BlankMacro1</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localSheetId="2" hidden="1">{"rtn",#N/A,FALSE,"RTN";"tables",#N/A,FALSE,"RTN";"cf",#N/A,FALSE,"CF";"stats",#N/A,FALSE,"Stats";"prop",#N/A,FALSE,"Prop"}</definedName>
    <definedName name="saa" hidden="1">{"rtn",#N/A,FALSE,"RTN";"tables",#N/A,FALSE,"RTN";"cf",#N/A,FALSE,"CF";"stats",#N/A,FALSE,"Stats";"prop",#N/A,FALSE,"Prop"}</definedName>
    <definedName name="SABEXrevision2" hidden="1">231</definedName>
    <definedName name="SAD" localSheetId="2" hidden="1">{#N/A,#N/A,FALSE,"단축1";#N/A,#N/A,FALSE,"단축2";#N/A,#N/A,FALSE,"단축3";#N/A,#N/A,FALSE,"장축";#N/A,#N/A,FALSE,"4WD"}</definedName>
    <definedName name="SAD" hidden="1">{#N/A,#N/A,FALSE,"단축1";#N/A,#N/A,FALSE,"단축2";#N/A,#N/A,FALSE,"단축3";#N/A,#N/A,FALSE,"장축";#N/A,#N/A,FALSE,"4WD"}</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localSheetId="2" hidden="1">{#N/A,#N/A,FALSE,"단축1";#N/A,#N/A,FALSE,"단축2";#N/A,#N/A,FALSE,"단축3";#N/A,#N/A,FALSE,"장축";#N/A,#N/A,FALSE,"4WD"}</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 localSheetId="2">BLCH</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localSheetId="2" hidden="1">Main.SAPF4Help()</definedName>
    <definedName name="SAPFuncF4Help" hidden="1">Main.SAPF4Help()</definedName>
    <definedName name="SAPsysID" hidden="1">"708C5W7SBKP804JT78WJ0JNKI"</definedName>
    <definedName name="SAPwbID" hidden="1">"ARS"</definedName>
    <definedName name="SAR">#REF!</definedName>
    <definedName name="sas" localSheetId="2"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A" localSheetId="2" hidden="1">{#N/A,#N/A,FALSE,"단축1";#N/A,#N/A,FALSE,"단축2";#N/A,#N/A,FALSE,"단축3";#N/A,#N/A,FALSE,"장축";#N/A,#N/A,FALSE,"4WD"}</definedName>
    <definedName name="SASA" hidden="1">{#N/A,#N/A,FALSE,"단축1";#N/A,#N/A,FALSE,"단축2";#N/A,#N/A,FALSE,"단축3";#N/A,#N/A,FALSE,"장축";#N/A,#N/A,FALSE,"4WD"}</definedName>
    <definedName name="SAUPJA">#N/A</definedName>
    <definedName name="sawrhbAZ" localSheetId="2" hidden="1">{#N/A,#N/A,FALSE,"단축1";#N/A,#N/A,FALSE,"단축2";#N/A,#N/A,FALSE,"단축3";#N/A,#N/A,FALSE,"장축";#N/A,#N/A,FALSE,"4WD"}</definedName>
    <definedName name="sawrhbAZ" hidden="1">{#N/A,#N/A,FALSE,"단축1";#N/A,#N/A,FALSE,"단축2";#N/A,#N/A,FALSE,"단축3";#N/A,#N/A,FALSE,"장축";#N/A,#N/A,FALSE,"4WD"}</definedName>
    <definedName name="sayang" localSheetId="2"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localSheetId="2" hidden="1">{#N/A,#N/A,FALSE,"단축1";#N/A,#N/A,FALSE,"단축2";#N/A,#N/A,FALSE,"단축3";#N/A,#N/A,FALSE,"장축";#N/A,#N/A,FALSE,"4WD"}</definedName>
    <definedName name="SDAFDF" hidden="1">{#N/A,#N/A,FALSE,"단축1";#N/A,#N/A,FALSE,"단축2";#N/A,#N/A,FALSE,"단축3";#N/A,#N/A,FALSE,"장축";#N/A,#N/A,FALSE,"4WD"}</definedName>
    <definedName name="sdds">#N/A</definedName>
    <definedName name="sdewq">#REF!</definedName>
    <definedName name="sdf" localSheetId="6" hidden="1">{#N/A,#N/A,FALSE,"BS";#N/A,#N/A,FALSE,"PL";#N/A,#N/A,FALSE,"처분";#N/A,#N/A,FALSE,"현금";#N/A,#N/A,FALSE,"매출";#N/A,#N/A,FALSE,"원가";#N/A,#N/A,FALSE,"경영"}</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6"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localSheetId="2"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sdg"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6" hidden="1">{"'Jibu9811 (3)'!$B$1:$J$433"}</definedName>
    <definedName name="sdfsdf" localSheetId="2" hidden="1">{"'Jibu9811 (3)'!$B$1:$J$433"}</definedName>
    <definedName name="sdfsdf" hidden="1">{"'Jibu9811 (3)'!$B$1:$J$433"}</definedName>
    <definedName name="sdfsdfsdf" localSheetId="6" hidden="1">{#N/A,#N/A,FALSE,"BS";#N/A,#N/A,FALSE,"PL";#N/A,#N/A,FALSE,"A";#N/A,#N/A,FALSE,"B";#N/A,#N/A,FALSE,"B1";#N/A,#N/A,FALSE,"C";#N/A,#N/A,FALSE,"C1";#N/A,#N/A,FALSE,"C2";#N/A,#N/A,FALSE,"D";#N/A,#N/A,FALSE,"E";#N/A,#N/A,FALSE,"F";#N/A,#N/A,FALSE,"AA";#N/A,#N/A,FALSE,"BB";#N/A,#N/A,FALSE,"CC";#N/A,#N/A,FALSE,"DD";#N/A,#N/A,FALSE,"EE";#N/A,#N/A,FALSE,"FF";#N/A,#N/A,FALSE,"PL10";#N/A,#N/A,FALSE,"PL20";#N/A,#N/A,FALSE,"PL30"}</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6" hidden="1">{"'Jibu9811 (3)'!$B$1:$J$433"}</definedName>
    <definedName name="SDHYIOFUWEIOFYUWEIO" localSheetId="2" hidden="1">{"'Jibu9811 (3)'!$B$1:$J$433"}</definedName>
    <definedName name="SDHYIOFUWEIOFYUWEIO" hidden="1">{"'Jibu9811 (3)'!$B$1:$J$433"}</definedName>
    <definedName name="sdjkddjk" localSheetId="2" hidden="1">{"'Sheet1'!$A$1:$H$36"}</definedName>
    <definedName name="sdjkddjk" hidden="1">{"'Sheet1'!$A$1:$H$36"}</definedName>
    <definedName name="sdryhj" localSheetId="2" hidden="1">{"'용역비'!$A$4:$C$8"}</definedName>
    <definedName name="sdryhj" hidden="1">{"'용역비'!$A$4:$C$8"}</definedName>
    <definedName name="sds" hidden="1">#REF!</definedName>
    <definedName name="sdsa">#REF!</definedName>
    <definedName name="sdsd" localSheetId="6" hidden="1">{#N/A,#N/A,FALSE,"Aging Summary";#N/A,#N/A,FALSE,"Ratio Analysis";#N/A,#N/A,FALSE,"Test 120 Day Accts";#N/A,#N/A,FALSE,"Tickmarks"}</definedName>
    <definedName name="sdsd"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{#N/A,#N/A,FALSE,"Aging Summary";#N/A,#N/A,FALSE,"Ratio Analysis";#N/A,#N/A,FALSE,"Test 120 Day Accts";#N/A,#N/A,FALSE,"Tickmarks"}</definedName>
    <definedName name="sdsdsd" localSheetId="6" hidden="1">{#N/A,#N/A,FALSE,"Aging Summary";#N/A,#N/A,FALSE,"Ratio Analysis";#N/A,#N/A,FALSE,"Test 120 Day Accts";#N/A,#N/A,FALSE,"Tickmarks"}</definedName>
    <definedName name="SDSDSD" localSheetId="2" hidden="1">{#N/A,#N/A,FALSE,"단축1";#N/A,#N/A,FALSE,"단축2";#N/A,#N/A,FALSE,"단축3";#N/A,#N/A,FALSE,"장축";#N/A,#N/A,FALSE,"4WD"}</definedName>
    <definedName name="sdsdsd" hidden="1">{#N/A,#N/A,FALSE,"Aging Summary";#N/A,#N/A,FALSE,"Ratio Analysis";#N/A,#N/A,FALSE,"Test 120 Day Accts";#N/A,#N/A,FALSE,"Tickmarks"}</definedName>
    <definedName name="SDV_Perc">#REF!</definedName>
    <definedName name="SE" localSheetId="2" hidden="1">{"'용역비'!$A$4:$C$8"}</definedName>
    <definedName name="SE" hidden="1">{"'용역비'!$A$4:$C$8"}</definedName>
    <definedName name="Season_factor">#REF!</definedName>
    <definedName name="Season_factor1">#REF!</definedName>
    <definedName name="segvx" localSheetId="6" hidden="1">{"'買掛金'!$J$6"}</definedName>
    <definedName name="segvx" localSheetId="2" hidden="1">{"'買掛金'!$J$6"}</definedName>
    <definedName name="segvx" hidden="1">{"'買掛金'!$J$6"}</definedName>
    <definedName name="SEJINBS" localSheetId="6" hidden="1">{#N/A,#N/A,FALSE,"정공"}</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6" hidden="1">{"'Jibu9811 (3)'!$B$1:$J$433"}</definedName>
    <definedName name="set" localSheetId="2" hidden="1">{"'Jibu9811 (3)'!$B$1:$J$433"}</definedName>
    <definedName name="set" hidden="1">{"'Jibu9811 (3)'!$B$1:$J$433"}</definedName>
    <definedName name="seth" localSheetId="2" hidden="1">{#N/A,#N/A,TRUE,"Cover Repl";#N/A,#N/A,TRUE,"P&amp;L";#N/A,#N/A,TRUE,"P&amp;L (2)";#N/A,#N/A,TRUE,"BS";#N/A,#N/A,TRUE,"Depreciation";#N/A,#N/A,TRUE,"GRAPHS";#N/A,#N/A,TRUE,"DCF EBITDA Multiple";#N/A,#N/A,TRUE,"DCF Perpetual Growth"}</definedName>
    <definedName name="seth" hidden="1">{#N/A,#N/A,TRUE,"Cover Repl";#N/A,#N/A,TRUE,"P&amp;L";#N/A,#N/A,TRUE,"P&amp;L (2)";#N/A,#N/A,TRUE,"BS";#N/A,#N/A,TRUE,"Depreciation";#N/A,#N/A,TRUE,"GRAPHS";#N/A,#N/A,TRUE,"DCF EBITDA Multiple";#N/A,#N/A,TRUE,"DCF Perpetual Growth"}</definedName>
    <definedName name="sethgd"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2" hidden="1">{#N/A,#N/A,FALSE,"단축1";#N/A,#N/A,FALSE,"단축2";#N/A,#N/A,FALSE,"단축3";#N/A,#N/A,FALSE,"장축";#N/A,#N/A,FALSE,"4WD"}</definedName>
    <definedName name="SFSFSFS" hidden="1">{#N/A,#N/A,FALSE,"단축1";#N/A,#N/A,FALSE,"단축2";#N/A,#N/A,FALSE,"단축3";#N/A,#N/A,FALSE,"장축";#N/A,#N/A,FALSE,"4WD"}</definedName>
    <definedName name="sgfsd">#N/A</definedName>
    <definedName name="shareholder_v">#REF!</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6" hidden="1">{#N/A,#N/A,FALSE,"UNIT";#N/A,#N/A,FALSE,"UNIT";#N/A,#N/A,FALSE,"계정"}</definedName>
    <definedName name="sheet" localSheetId="2" hidden="1">{#N/A,#N/A,FALSE,"UNIT";#N/A,#N/A,FALSE,"UNIT";#N/A,#N/A,FALSE,"계정"}</definedName>
    <definedName name="sheet" hidden="1">{#N/A,#N/A,FALSE,"UNIT";#N/A,#N/A,FALSE,"UNIT";#N/A,#N/A,FALSE,"계정"}</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6" hidden="1">{"'Jibu9811 (3)'!$B$1:$J$433"}</definedName>
    <definedName name="SHEET8" localSheetId="2" hidden="1">{"'Jibu9811 (3)'!$B$1:$J$433"}</definedName>
    <definedName name="SHEET8" hidden="1">{"'Jibu9811 (3)'!$B$1:$J$433"}</definedName>
    <definedName name="Sheet9">#REF!</definedName>
    <definedName name="sheets_name" localSheetId="2">#REF!:_RjC2</definedName>
    <definedName name="sheets_name">#REF!:_RjC2</definedName>
    <definedName name="SHHHH">#REF!</definedName>
    <definedName name="shi" localSheetId="2" hidden="1">{#N/A,#N/A,FALSE,"단축1";#N/A,#N/A,FALSE,"단축2";#N/A,#N/A,FALSE,"단축3";#N/A,#N/A,FALSE,"장축";#N/A,#N/A,FALSE,"4WD"}</definedName>
    <definedName name="shi" hidden="1">{#N/A,#N/A,FALSE,"단축1";#N/A,#N/A,FALSE,"단축2";#N/A,#N/A,FALSE,"단축3";#N/A,#N/A,FALSE,"장축";#N/A,#N/A,FALSE,"4WD"}</definedName>
    <definedName name="SHIN" localSheetId="6" hidden="1">{#N/A,#N/A,FALSE,"P.C.B"}</definedName>
    <definedName name="SHIN" localSheetId="2" hidden="1">{#N/A,#N/A,FALSE,"P.C.B"}</definedName>
    <definedName name="SHIN" hidden="1">{#N/A,#N/A,FALSE,"P.C.B"}</definedName>
    <definedName name="shpe">#REF!</definedName>
    <definedName name="SHS" localSheetId="2" hidden="1">{#N/A,#N/A,FALSE,"단축1";#N/A,#N/A,FALSE,"단축2";#N/A,#N/A,FALSE,"단축3";#N/A,#N/A,FALSE,"장축";#N/A,#N/A,FALSE,"4WD"}</definedName>
    <definedName name="SHS" hidden="1">{#N/A,#N/A,FALSE,"단축1";#N/A,#N/A,FALSE,"단축2";#N/A,#N/A,FALSE,"단축3";#N/A,#N/A,FALSE,"장축";#N/A,#N/A,FALSE,"4WD"}</definedName>
    <definedName name="SHSH" localSheetId="2" hidden="1">{#N/A,#N/A,FALSE,"단축1";#N/A,#N/A,FALSE,"단축2";#N/A,#N/A,FALSE,"단축3";#N/A,#N/A,FALSE,"장축";#N/A,#N/A,FALSE,"4WD"}</definedName>
    <definedName name="SHSH" hidden="1">{#N/A,#N/A,FALSE,"단축1";#N/A,#N/A,FALSE,"단축2";#N/A,#N/A,FALSE,"단축3";#N/A,#N/A,FALSE,"장축";#N/A,#N/A,FALSE,"4WD"}</definedName>
    <definedName name="SIDE" localSheetId="2" hidden="1">{#N/A,#N/A,FALSE,"단축1";#N/A,#N/A,FALSE,"단축2";#N/A,#N/A,FALSE,"단축3";#N/A,#N/A,FALSE,"장축";#N/A,#N/A,FALSE,"4WD"}</definedName>
    <definedName name="SIDE" hidden="1">{#N/A,#N/A,FALSE,"단축1";#N/A,#N/A,FALSE,"단축2";#N/A,#N/A,FALSE,"단축3";#N/A,#N/A,FALSE,"장축";#N/A,#N/A,FALSE,"4WD"}</definedName>
    <definedName name="sigy">#REF!</definedName>
    <definedName name="Site" localSheetId="2" hidden="1">{#N/A,#N/A,FALSE,"단축1";#N/A,#N/A,FALSE,"단축2";#N/A,#N/A,FALSE,"단축3";#N/A,#N/A,FALSE,"장축";#N/A,#N/A,FALSE,"4WD"}</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localSheetId="2"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hidden="1">{#N/A,#N/A,FALSE,"단축1";#N/A,#N/A,FALSE,"단축2";#N/A,#N/A,FALSE,"단축3";#N/A,#N/A,FALSE,"장축";#N/A,#N/A,FALSE,"4WD"}</definedName>
    <definedName name="SK" hidden="1">#REF!</definedName>
    <definedName name="ŞK" localSheetId="2" hidden="1">{#N/A,#N/A,FALSE,"단축1";#N/A,#N/A,FALSE,"단축2";#N/A,#N/A,FALSE,"단축3";#N/A,#N/A,FALSE,"장축";#N/A,#N/A,FALSE,"4WD"}</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localSheetId="2" hidden="1">{#N/A,#N/A,TRUE,"경전'96(1)";#N/A,#N/A,TRUE,"경전'96 (2)"}</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localSheetId="2" hidden="1">{"'Sheet1'!$A$1:$H$36"}</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localSheetId="2"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ial">#REF!</definedName>
    <definedName name="SOC분야" localSheetId="2"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투자"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6" hidden="1">{#N/A,#N/A,FALSE,"P.C.B"}</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localSheetId="2"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6" hidden="1">{#N/A,#N/A,FALSE,"BS";#N/A,#N/A,FALSE,"PL";#N/A,#N/A,FALSE,"처분";#N/A,#N/A,FALSE,"현금";#N/A,#N/A,FALSE,"매출";#N/A,#N/A,FALSE,"원가";#N/A,#N/A,FALSE,"경영"}</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6"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localSheetId="2" hidden="1">{"'용역비'!$A$4:$C$8"}</definedName>
    <definedName name="srth" hidden="1">{"'용역비'!$A$4:$C$8"}</definedName>
    <definedName name="ss" hidden="1">#REF!</definedName>
    <definedName name="ssasd" localSheetId="6" hidden="1">{"'분양원가'!$B$1:$F$113"}</definedName>
    <definedName name="ssasd" localSheetId="2" hidden="1">{"'분양원가'!$B$1:$F$113"}</definedName>
    <definedName name="ssasd" hidden="1">{"'분양원가'!$B$1:$F$113"}</definedName>
    <definedName name="ssavecenterfooter">#REF!</definedName>
    <definedName name="ssaveheader">#REF!</definedName>
    <definedName name="SSD" localSheetId="6" hidden="1">{#N/A,#N/A,FALSE,"을지 (4)";#N/A,#N/A,FALSE,"을지 (5)";#N/A,#N/A,FALSE,"을지 (6)"}</definedName>
    <definedName name="SSD" localSheetId="2" hidden="1">{#N/A,#N/A,FALSE,"을지 (4)";#N/A,#N/A,FALSE,"을지 (5)";#N/A,#N/A,FALSE,"을지 (6)"}</definedName>
    <definedName name="SSD" hidden="1">{#N/A,#N/A,FALSE,"을지 (4)";#N/A,#N/A,FALSE,"을지 (5)";#N/A,#N/A,FALSE,"을지 (6)"}</definedName>
    <definedName name="ssklsl" localSheetId="2" hidden="1">{"'Sheet1'!$A$1:$H$36"}</definedName>
    <definedName name="ssklsl" hidden="1">{"'Sheet1'!$A$1:$H$36"}</definedName>
    <definedName name="SSS" hidden="1">#REF!</definedName>
    <definedName name="sssa" localSheetId="2">BlankMacro1</definedName>
    <definedName name="sssa">BlankMacro1</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6" hidden="1">{#N/A,#N/A,TRUE,"매출진척-1";#N/A,#N/A,TRUE,"매출진척-2";#N/A,#N/A,TRUE,"제품실적";#N/A,#N/A,TRUE,"RAC";#N/A,#N/A,TRUE,"PAC ";#N/A,#N/A,TRUE,"재고현황";#N/A,#N/A,TRUE,"공지사항"}</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 localSheetId="2">BlankMacro1</definedName>
    <definedName name="ssssss">BlankMacro1</definedName>
    <definedName name="ssssssss" localSheetId="2" hidden="1">{#N/A,#N/A,FALSE,"단축1";#N/A,#N/A,FALSE,"단축2";#N/A,#N/A,FALSE,"단축3";#N/A,#N/A,FALSE,"장축";#N/A,#N/A,FALSE,"4WD"}</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localSheetId="2" hidden="1">{#N/A,#N/A,FALSE,"단축1";#N/A,#N/A,FALSE,"단축2";#N/A,#N/A,FALSE,"단축3";#N/A,#N/A,FALSE,"장축";#N/A,#N/A,FALSE,"4WD"}</definedName>
    <definedName name="STR_LPG" hidden="1">{#N/A,#N/A,FALSE,"단축1";#N/A,#N/A,FALSE,"단축2";#N/A,#N/A,FALSE,"단축3";#N/A,#N/A,FALSE,"장축";#N/A,#N/A,FALSE,"4WD"}</definedName>
    <definedName name="Strategy">#REF!</definedName>
    <definedName name="strhgd"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localSheetId="2" hidden="1">{"'용역비'!$A$4:$C$8"}</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localSheetId="2" hidden="1">{#N/A,#N/A,FALSE,"단축1";#N/A,#N/A,FALSE,"단축2";#N/A,#N/A,FALSE,"단축3";#N/A,#N/A,FALSE,"장축";#N/A,#N/A,FALSE,"4WD"}</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 localSheetId="2">BlankMacro1</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localSheetId="2" hidden="1">{"PAGE1",#N/A,FALSE,"Consolidation";"PAGE2",#N/A,FALSE,"Consolidation";"PAGE3",#N/A,FALSE,"Consolidation";"PAGE4",#N/A,FALSE,"Consolidation";"PAGE5",#N/A,FALSE,"Consolidation";"PAGE6",#N/A,FALSE,"Consolidation";"PAGE7",#N/A,FALSE,"Consolidation"}</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localSheetId="2"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hidden="1">{#N/A,#N/A,FALSE,"단축1";#N/A,#N/A,FALSE,"단축2";#N/A,#N/A,FALSE,"단축3";#N/A,#N/A,FALSE,"장축";#N/A,#N/A,FALSE,"4WD"}</definedName>
    <definedName name="tdrutru" localSheetId="2" hidden="1">{#N/A,#N/A,FALSE,"Sheet6"}</definedName>
    <definedName name="tdrutru" hidden="1">{#N/A,#N/A,FALSE,"Sheet6"}</definedName>
    <definedName name="TE" localSheetId="6" hidden="1">{#N/A,#N/A,FALSE,"기안지";#N/A,#N/A,FALSE,"통신지"}</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6" hidden="1">{#N/A,#N/A,FALSE,"Performance Flash Report"}</definedName>
    <definedName name="test2" localSheetId="2" hidden="1">{#N/A,#N/A,FALSE,"Performance Flash Report"}</definedName>
    <definedName name="test2" hidden="1">{#N/A,#N/A,FALSE,"Performance Flash Report"}</definedName>
    <definedName name="test2_1" localSheetId="6" hidden="1">{#N/A,#N/A,FALSE,"Performance Flash Report"}</definedName>
    <definedName name="test2_1" localSheetId="2" hidden="1">{#N/A,#N/A,FALSE,"Performance Flash Report"}</definedName>
    <definedName name="test2_1" hidden="1">{#N/A,#N/A,FALSE,"Performance Flash Report"}</definedName>
    <definedName name="test2_1_1" localSheetId="6" hidden="1">{#N/A,#N/A,FALSE,"Performance Flash Report"}</definedName>
    <definedName name="test2_1_1" localSheetId="2" hidden="1">{#N/A,#N/A,FALSE,"Performance Flash Report"}</definedName>
    <definedName name="test2_1_1" hidden="1">{#N/A,#N/A,FALSE,"Performance Flash Report"}</definedName>
    <definedName name="test2_1_2" localSheetId="6" hidden="1">{#N/A,#N/A,FALSE,"Performance Flash Report"}</definedName>
    <definedName name="test2_1_2" localSheetId="2" hidden="1">{#N/A,#N/A,FALSE,"Performance Flash Report"}</definedName>
    <definedName name="test2_1_2" hidden="1">{#N/A,#N/A,FALSE,"Performance Flash Report"}</definedName>
    <definedName name="test2_1_3" localSheetId="6" hidden="1">{#N/A,#N/A,FALSE,"Performance Flash Report"}</definedName>
    <definedName name="test2_1_3" localSheetId="2" hidden="1">{#N/A,#N/A,FALSE,"Performance Flash Report"}</definedName>
    <definedName name="test2_1_3" hidden="1">{#N/A,#N/A,FALSE,"Performance Flash Report"}</definedName>
    <definedName name="test2_1_4" localSheetId="6" hidden="1">{#N/A,#N/A,FALSE,"Performance Flash Report"}</definedName>
    <definedName name="test2_1_4" localSheetId="2" hidden="1">{#N/A,#N/A,FALSE,"Performance Flash Report"}</definedName>
    <definedName name="test2_1_4" hidden="1">{#N/A,#N/A,FALSE,"Performance Flash Report"}</definedName>
    <definedName name="test2_2" localSheetId="6" hidden="1">{#N/A,#N/A,FALSE,"Performance Flash Report"}</definedName>
    <definedName name="test2_2" localSheetId="2" hidden="1">{#N/A,#N/A,FALSE,"Performance Flash Report"}</definedName>
    <definedName name="test2_2" hidden="1">{#N/A,#N/A,FALSE,"Performance Flash Report"}</definedName>
    <definedName name="test2_2_1" localSheetId="6" hidden="1">{#N/A,#N/A,FALSE,"Performance Flash Report"}</definedName>
    <definedName name="test2_2_1" localSheetId="2" hidden="1">{#N/A,#N/A,FALSE,"Performance Flash Report"}</definedName>
    <definedName name="test2_2_1" hidden="1">{#N/A,#N/A,FALSE,"Performance Flash Report"}</definedName>
    <definedName name="test2_2_2" localSheetId="6" hidden="1">{#N/A,#N/A,FALSE,"Performance Flash Report"}</definedName>
    <definedName name="test2_2_2" localSheetId="2" hidden="1">{#N/A,#N/A,FALSE,"Performance Flash Report"}</definedName>
    <definedName name="test2_2_2" hidden="1">{#N/A,#N/A,FALSE,"Performance Flash Report"}</definedName>
    <definedName name="test2_2_3" localSheetId="6" hidden="1">{#N/A,#N/A,FALSE,"Performance Flash Report"}</definedName>
    <definedName name="test2_2_3" localSheetId="2" hidden="1">{#N/A,#N/A,FALSE,"Performance Flash Report"}</definedName>
    <definedName name="test2_2_3" hidden="1">{#N/A,#N/A,FALSE,"Performance Flash Report"}</definedName>
    <definedName name="test2_2_4" localSheetId="6" hidden="1">{#N/A,#N/A,FALSE,"Performance Flash Report"}</definedName>
    <definedName name="test2_2_4" localSheetId="2" hidden="1">{#N/A,#N/A,FALSE,"Performance Flash Report"}</definedName>
    <definedName name="test2_2_4" hidden="1">{#N/A,#N/A,FALSE,"Performance Flash Report"}</definedName>
    <definedName name="test2_3" localSheetId="6" hidden="1">{#N/A,#N/A,FALSE,"Performance Flash Report"}</definedName>
    <definedName name="test2_3" localSheetId="2" hidden="1">{#N/A,#N/A,FALSE,"Performance Flash Report"}</definedName>
    <definedName name="test2_3" hidden="1">{#N/A,#N/A,FALSE,"Performance Flash Report"}</definedName>
    <definedName name="test2_3_1" localSheetId="6" hidden="1">{#N/A,#N/A,FALSE,"Performance Flash Report"}</definedName>
    <definedName name="test2_3_1" localSheetId="2" hidden="1">{#N/A,#N/A,FALSE,"Performance Flash Report"}</definedName>
    <definedName name="test2_3_1" hidden="1">{#N/A,#N/A,FALSE,"Performance Flash Report"}</definedName>
    <definedName name="test2_3_2" localSheetId="6" hidden="1">{#N/A,#N/A,FALSE,"Performance Flash Report"}</definedName>
    <definedName name="test2_3_2" localSheetId="2" hidden="1">{#N/A,#N/A,FALSE,"Performance Flash Report"}</definedName>
    <definedName name="test2_3_2" hidden="1">{#N/A,#N/A,FALSE,"Performance Flash Report"}</definedName>
    <definedName name="test2_3_3" localSheetId="6" hidden="1">{#N/A,#N/A,FALSE,"Performance Flash Report"}</definedName>
    <definedName name="test2_3_3" localSheetId="2" hidden="1">{#N/A,#N/A,FALSE,"Performance Flash Report"}</definedName>
    <definedName name="test2_3_3" hidden="1">{#N/A,#N/A,FALSE,"Performance Flash Report"}</definedName>
    <definedName name="test2_3_4" localSheetId="6" hidden="1">{#N/A,#N/A,FALSE,"Performance Flash Report"}</definedName>
    <definedName name="test2_3_4" localSheetId="2" hidden="1">{#N/A,#N/A,FALSE,"Performance Flash Report"}</definedName>
    <definedName name="test2_3_4" hidden="1">{#N/A,#N/A,FALSE,"Performance Flash Report"}</definedName>
    <definedName name="test2_4" localSheetId="6" hidden="1">{#N/A,#N/A,FALSE,"Performance Flash Report"}</definedName>
    <definedName name="test2_4" localSheetId="2" hidden="1">{#N/A,#N/A,FALSE,"Performance Flash Report"}</definedName>
    <definedName name="test2_4" hidden="1">{#N/A,#N/A,FALSE,"Performance Flash Report"}</definedName>
    <definedName name="test2_4_1" localSheetId="6" hidden="1">{#N/A,#N/A,FALSE,"Performance Flash Report"}</definedName>
    <definedName name="test2_4_1" localSheetId="2" hidden="1">{#N/A,#N/A,FALSE,"Performance Flash Report"}</definedName>
    <definedName name="test2_4_1" hidden="1">{#N/A,#N/A,FALSE,"Performance Flash Report"}</definedName>
    <definedName name="test2_4_2" localSheetId="6" hidden="1">{#N/A,#N/A,FALSE,"Performance Flash Report"}</definedName>
    <definedName name="test2_4_2" localSheetId="2" hidden="1">{#N/A,#N/A,FALSE,"Performance Flash Report"}</definedName>
    <definedName name="test2_4_2" hidden="1">{#N/A,#N/A,FALSE,"Performance Flash Report"}</definedName>
    <definedName name="test2_4_3" localSheetId="6" hidden="1">{#N/A,#N/A,FALSE,"Performance Flash Report"}</definedName>
    <definedName name="test2_4_3" localSheetId="2" hidden="1">{#N/A,#N/A,FALSE,"Performance Flash Report"}</definedName>
    <definedName name="test2_4_3" hidden="1">{#N/A,#N/A,FALSE,"Performance Flash Report"}</definedName>
    <definedName name="test2_4_4" localSheetId="6" hidden="1">{#N/A,#N/A,FALSE,"Performance Flash Report"}</definedName>
    <definedName name="test2_4_4" localSheetId="2" hidden="1">{#N/A,#N/A,FALSE,"Performance Flash Report"}</definedName>
    <definedName name="test2_4_4" hidden="1">{#N/A,#N/A,FALSE,"Performance Flash Report"}</definedName>
    <definedName name="test2_5" localSheetId="6" hidden="1">{#N/A,#N/A,FALSE,"Performance Flash Report"}</definedName>
    <definedName name="test2_5" localSheetId="2" hidden="1">{#N/A,#N/A,FALSE,"Performance Flash Report"}</definedName>
    <definedName name="test2_5" hidden="1">{#N/A,#N/A,FALSE,"Performance Flash Report"}</definedName>
    <definedName name="test2_5_1" localSheetId="6" hidden="1">{#N/A,#N/A,FALSE,"Performance Flash Report"}</definedName>
    <definedName name="test2_5_1" localSheetId="2" hidden="1">{#N/A,#N/A,FALSE,"Performance Flash Report"}</definedName>
    <definedName name="test2_5_1" hidden="1">{#N/A,#N/A,FALSE,"Performance Flash Report"}</definedName>
    <definedName name="test2_5_2" localSheetId="6" hidden="1">{#N/A,#N/A,FALSE,"Performance Flash Report"}</definedName>
    <definedName name="test2_5_2" localSheetId="2" hidden="1">{#N/A,#N/A,FALSE,"Performance Flash Report"}</definedName>
    <definedName name="test2_5_2" hidden="1">{#N/A,#N/A,FALSE,"Performance Flash Report"}</definedName>
    <definedName name="test2_5_3" localSheetId="6" hidden="1">{#N/A,#N/A,FALSE,"Performance Flash Report"}</definedName>
    <definedName name="test2_5_3" localSheetId="2" hidden="1">{#N/A,#N/A,FALSE,"Performance Flash Report"}</definedName>
    <definedName name="test2_5_3" hidden="1">{#N/A,#N/A,FALSE,"Performance Flash Report"}</definedName>
    <definedName name="test2_5_4" localSheetId="6" hidden="1">{#N/A,#N/A,FALSE,"Performance Flash Report"}</definedName>
    <definedName name="test2_5_4" localSheetId="2" hidden="1">{#N/A,#N/A,FALSE,"Performance Flash Report"}</definedName>
    <definedName name="test2_5_4" hidden="1">{#N/A,#N/A,FALSE,"Performance Flash Report"}</definedName>
    <definedName name="test3" localSheetId="6" hidden="1">{#N/A,#N/A,FALSE,"Performance Flash Report"}</definedName>
    <definedName name="test3" localSheetId="2" hidden="1">{#N/A,#N/A,FALSE,"Performance Flash Report"}</definedName>
    <definedName name="test3" hidden="1">{#N/A,#N/A,FALSE,"Performance Flash Report"}</definedName>
    <definedName name="test3_1" localSheetId="6" hidden="1">{#N/A,#N/A,FALSE,"Performance Flash Report"}</definedName>
    <definedName name="test3_1" localSheetId="2" hidden="1">{#N/A,#N/A,FALSE,"Performance Flash Report"}</definedName>
    <definedName name="test3_1" hidden="1">{#N/A,#N/A,FALSE,"Performance Flash Report"}</definedName>
    <definedName name="test3_1_1" localSheetId="6" hidden="1">{#N/A,#N/A,FALSE,"Performance Flash Report"}</definedName>
    <definedName name="test3_1_1" localSheetId="2" hidden="1">{#N/A,#N/A,FALSE,"Performance Flash Report"}</definedName>
    <definedName name="test3_1_1" hidden="1">{#N/A,#N/A,FALSE,"Performance Flash Report"}</definedName>
    <definedName name="test3_1_2" localSheetId="6" hidden="1">{#N/A,#N/A,FALSE,"Performance Flash Report"}</definedName>
    <definedName name="test3_1_2" localSheetId="2" hidden="1">{#N/A,#N/A,FALSE,"Performance Flash Report"}</definedName>
    <definedName name="test3_1_2" hidden="1">{#N/A,#N/A,FALSE,"Performance Flash Report"}</definedName>
    <definedName name="test3_1_3" localSheetId="6" hidden="1">{#N/A,#N/A,FALSE,"Performance Flash Report"}</definedName>
    <definedName name="test3_1_3" localSheetId="2" hidden="1">{#N/A,#N/A,FALSE,"Performance Flash Report"}</definedName>
    <definedName name="test3_1_3" hidden="1">{#N/A,#N/A,FALSE,"Performance Flash Report"}</definedName>
    <definedName name="test3_1_4" localSheetId="6" hidden="1">{#N/A,#N/A,FALSE,"Performance Flash Report"}</definedName>
    <definedName name="test3_1_4" localSheetId="2" hidden="1">{#N/A,#N/A,FALSE,"Performance Flash Report"}</definedName>
    <definedName name="test3_1_4" hidden="1">{#N/A,#N/A,FALSE,"Performance Flash Report"}</definedName>
    <definedName name="test3_2" localSheetId="6" hidden="1">{#N/A,#N/A,FALSE,"Performance Flash Report"}</definedName>
    <definedName name="test3_2" localSheetId="2" hidden="1">{#N/A,#N/A,FALSE,"Performance Flash Report"}</definedName>
    <definedName name="test3_2" hidden="1">{#N/A,#N/A,FALSE,"Performance Flash Report"}</definedName>
    <definedName name="test3_2_1" localSheetId="6" hidden="1">{#N/A,#N/A,FALSE,"Performance Flash Report"}</definedName>
    <definedName name="test3_2_1" localSheetId="2" hidden="1">{#N/A,#N/A,FALSE,"Performance Flash Report"}</definedName>
    <definedName name="test3_2_1" hidden="1">{#N/A,#N/A,FALSE,"Performance Flash Report"}</definedName>
    <definedName name="test3_2_2" localSheetId="6" hidden="1">{#N/A,#N/A,FALSE,"Performance Flash Report"}</definedName>
    <definedName name="test3_2_2" localSheetId="2" hidden="1">{#N/A,#N/A,FALSE,"Performance Flash Report"}</definedName>
    <definedName name="test3_2_2" hidden="1">{#N/A,#N/A,FALSE,"Performance Flash Report"}</definedName>
    <definedName name="test3_2_3" localSheetId="6" hidden="1">{#N/A,#N/A,FALSE,"Performance Flash Report"}</definedName>
    <definedName name="test3_2_3" localSheetId="2" hidden="1">{#N/A,#N/A,FALSE,"Performance Flash Report"}</definedName>
    <definedName name="test3_2_3" hidden="1">{#N/A,#N/A,FALSE,"Performance Flash Report"}</definedName>
    <definedName name="test3_2_4" localSheetId="6" hidden="1">{#N/A,#N/A,FALSE,"Performance Flash Report"}</definedName>
    <definedName name="test3_2_4" localSheetId="2" hidden="1">{#N/A,#N/A,FALSE,"Performance Flash Report"}</definedName>
    <definedName name="test3_2_4" hidden="1">{#N/A,#N/A,FALSE,"Performance Flash Report"}</definedName>
    <definedName name="test3_3" localSheetId="6" hidden="1">{#N/A,#N/A,FALSE,"Performance Flash Report"}</definedName>
    <definedName name="test3_3" localSheetId="2" hidden="1">{#N/A,#N/A,FALSE,"Performance Flash Report"}</definedName>
    <definedName name="test3_3" hidden="1">{#N/A,#N/A,FALSE,"Performance Flash Report"}</definedName>
    <definedName name="test3_3_1" localSheetId="6" hidden="1">{#N/A,#N/A,FALSE,"Performance Flash Report"}</definedName>
    <definedName name="test3_3_1" localSheetId="2" hidden="1">{#N/A,#N/A,FALSE,"Performance Flash Report"}</definedName>
    <definedName name="test3_3_1" hidden="1">{#N/A,#N/A,FALSE,"Performance Flash Report"}</definedName>
    <definedName name="test3_3_2" localSheetId="6" hidden="1">{#N/A,#N/A,FALSE,"Performance Flash Report"}</definedName>
    <definedName name="test3_3_2" localSheetId="2" hidden="1">{#N/A,#N/A,FALSE,"Performance Flash Report"}</definedName>
    <definedName name="test3_3_2" hidden="1">{#N/A,#N/A,FALSE,"Performance Flash Report"}</definedName>
    <definedName name="test3_3_3" localSheetId="6" hidden="1">{#N/A,#N/A,FALSE,"Performance Flash Report"}</definedName>
    <definedName name="test3_3_3" localSheetId="2" hidden="1">{#N/A,#N/A,FALSE,"Performance Flash Report"}</definedName>
    <definedName name="test3_3_3" hidden="1">{#N/A,#N/A,FALSE,"Performance Flash Report"}</definedName>
    <definedName name="test3_3_4" localSheetId="6" hidden="1">{#N/A,#N/A,FALSE,"Performance Flash Report"}</definedName>
    <definedName name="test3_3_4" localSheetId="2" hidden="1">{#N/A,#N/A,FALSE,"Performance Flash Report"}</definedName>
    <definedName name="test3_3_4" hidden="1">{#N/A,#N/A,FALSE,"Performance Flash Report"}</definedName>
    <definedName name="test3_4" localSheetId="6" hidden="1">{#N/A,#N/A,FALSE,"Performance Flash Report"}</definedName>
    <definedName name="test3_4" localSheetId="2" hidden="1">{#N/A,#N/A,FALSE,"Performance Flash Report"}</definedName>
    <definedName name="test3_4" hidden="1">{#N/A,#N/A,FALSE,"Performance Flash Report"}</definedName>
    <definedName name="test3_4_1" localSheetId="6" hidden="1">{#N/A,#N/A,FALSE,"Performance Flash Report"}</definedName>
    <definedName name="test3_4_1" localSheetId="2" hidden="1">{#N/A,#N/A,FALSE,"Performance Flash Report"}</definedName>
    <definedName name="test3_4_1" hidden="1">{#N/A,#N/A,FALSE,"Performance Flash Report"}</definedName>
    <definedName name="test3_4_2" localSheetId="6" hidden="1">{#N/A,#N/A,FALSE,"Performance Flash Report"}</definedName>
    <definedName name="test3_4_2" localSheetId="2" hidden="1">{#N/A,#N/A,FALSE,"Performance Flash Report"}</definedName>
    <definedName name="test3_4_2" hidden="1">{#N/A,#N/A,FALSE,"Performance Flash Report"}</definedName>
    <definedName name="test3_4_3" localSheetId="6" hidden="1">{#N/A,#N/A,FALSE,"Performance Flash Report"}</definedName>
    <definedName name="test3_4_3" localSheetId="2" hidden="1">{#N/A,#N/A,FALSE,"Performance Flash Report"}</definedName>
    <definedName name="test3_4_3" hidden="1">{#N/A,#N/A,FALSE,"Performance Flash Report"}</definedName>
    <definedName name="test3_4_4" localSheetId="6" hidden="1">{#N/A,#N/A,FALSE,"Performance Flash Report"}</definedName>
    <definedName name="test3_4_4" localSheetId="2" hidden="1">{#N/A,#N/A,FALSE,"Performance Flash Report"}</definedName>
    <definedName name="test3_4_4" hidden="1">{#N/A,#N/A,FALSE,"Performance Flash Report"}</definedName>
    <definedName name="test3_5" localSheetId="6" hidden="1">{#N/A,#N/A,FALSE,"Performance Flash Report"}</definedName>
    <definedName name="test3_5" localSheetId="2" hidden="1">{#N/A,#N/A,FALSE,"Performance Flash Report"}</definedName>
    <definedName name="test3_5" hidden="1">{#N/A,#N/A,FALSE,"Performance Flash Report"}</definedName>
    <definedName name="test3_5_1" localSheetId="6" hidden="1">{#N/A,#N/A,FALSE,"Performance Flash Report"}</definedName>
    <definedName name="test3_5_1" localSheetId="2" hidden="1">{#N/A,#N/A,FALSE,"Performance Flash Report"}</definedName>
    <definedName name="test3_5_1" hidden="1">{#N/A,#N/A,FALSE,"Performance Flash Report"}</definedName>
    <definedName name="test3_5_2" localSheetId="6" hidden="1">{#N/A,#N/A,FALSE,"Performance Flash Report"}</definedName>
    <definedName name="test3_5_2" localSheetId="2" hidden="1">{#N/A,#N/A,FALSE,"Performance Flash Report"}</definedName>
    <definedName name="test3_5_2" hidden="1">{#N/A,#N/A,FALSE,"Performance Flash Report"}</definedName>
    <definedName name="test3_5_3" localSheetId="6" hidden="1">{#N/A,#N/A,FALSE,"Performance Flash Report"}</definedName>
    <definedName name="test3_5_3" localSheetId="2" hidden="1">{#N/A,#N/A,FALSE,"Performance Flash Report"}</definedName>
    <definedName name="test3_5_3" hidden="1">{#N/A,#N/A,FALSE,"Performance Flash Report"}</definedName>
    <definedName name="test3_5_4" localSheetId="6"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hidden="1">{#N/A,#N/A,TRUE,"Y생산";#N/A,#N/A,TRUE,"Y판매";#N/A,#N/A,TRUE,"Y총물량";#N/A,#N/A,TRUE,"Y능력";#N/A,#N/A,TRUE,"YKD"}</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localSheetId="2" hidden="1">#REF!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localSheetId="2" hidden="1">{"'용역비'!$A$4:$C$8"}</definedName>
    <definedName name="TFUI" hidden="1">{"'용역비'!$A$4:$C$8"}</definedName>
    <definedName name="tggf" localSheetId="2" hidden="1">#REF!</definedName>
    <definedName name="tggf" hidden="1">#N/A</definedName>
    <definedName name="tgp">#REF!</definedName>
    <definedName name="TGR">#REF!</definedName>
    <definedName name="th">10^3</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localSheetId="2" hidden="1">{#N/A,#N/A,TRUE,"Y생산";#N/A,#N/A,TRUE,"Y판매";#N/A,#N/A,TRUE,"Y총물량";#N/A,#N/A,TRUE,"Y능력";#N/A,#N/A,TRUE,"YKD"}</definedName>
    <definedName name="TJAUDLWS" hidden="1">{#N/A,#N/A,TRUE,"Y생산";#N/A,#N/A,TRUE,"Y판매";#N/A,#N/A,TRUE,"Y총물량";#N/A,#N/A,TRUE,"Y능력";#N/A,#N/A,TRUE,"YKD"}</definedName>
    <definedName name="tk" localSheetId="6" hidden="1">{"'Jibu9811 (3)'!$B$1:$J$433"}</definedName>
    <definedName name="tk" localSheetId="2" hidden="1">{"'Jibu9811 (3)'!$B$1:$J$433"}</definedName>
    <definedName name="tk" hidden="1">{"'Jibu9811 (3)'!$B$1:$J$433"}</definedName>
    <definedName name="tkdl">#N/A</definedName>
    <definedName name="TKTKTK" localSheetId="6" hidden="1">{"'미착금액'!$A$4:$G$14"}</definedName>
    <definedName name="TKTKTK" localSheetId="2" hidden="1">{"'미착금액'!$A$4:$G$14"}</definedName>
    <definedName name="TKTKTK" hidden="1">{"'미착금액'!$A$4:$G$14"}</definedName>
    <definedName name="TLF" localSheetId="2" hidden="1">{"'10_03일자별'!$A$2:$H$31"}</definedName>
    <definedName name="TLF">{"'10_03일자별'!$A$2:$H$31"}</definedName>
    <definedName name="tlsdmsdk" localSheetId="6" hidden="1">{#N/A,#N/A,FALSE,"Pharm";#N/A,#N/A,FALSE,"WWCM"}</definedName>
    <definedName name="tlsdmsdk" localSheetId="2" hidden="1">{#N/A,#N/A,FALSE,"Pharm";#N/A,#N/A,FALSE,"WWCM"}</definedName>
    <definedName name="tlsdmsdk" hidden="1">{#N/A,#N/A,FALSE,"Pharm";#N/A,#N/A,FALSE,"WWCM"}</definedName>
    <definedName name="TM1REBUILDOPTION">1</definedName>
    <definedName name="TMqkf" localSheetId="2" hidden="1">{"'통신지'!$A$1:$J$41"}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8">BlankMacro1</definedName>
    <definedName name="Training" localSheetId="6">BlankMacro1</definedName>
    <definedName name="Training" localSheetId="2">BlankMacro1</definedName>
    <definedName name="Training" localSheetId="0">BlankMacro1</definedName>
    <definedName name="Training" localSheetId="9">BlankMacro1</definedName>
    <definedName name="Training">BlankMacro1</definedName>
    <definedName name="Transfer">#REF!</definedName>
    <definedName name="TRAY">#REF!</definedName>
    <definedName name="TRAY_D">#REF!</definedName>
    <definedName name="t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localSheetId="2" hidden="1">{#N/A,#N/A,FALSE,"Sheet6"}</definedName>
    <definedName name="TRHEE" hidden="1">{#N/A,#N/A,FALSE,"Sheet6"}</definedName>
    <definedName name="trhr" localSheetId="2" hidden="1">{#N/A,#N/A,FALSE,"Sheet6"}</definedName>
    <definedName name="trhr" hidden="1">{#N/A,#N/A,FALSE,"Sheet6"}</definedName>
    <definedName name="TrialBalance2">#REF!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6" hidden="1">{#N/A,#N/A,FALSE,"UNIT";#N/A,#N/A,FALSE,"UNIT";#N/A,#N/A,FALSE,"계정"}</definedName>
    <definedName name="TT" localSheetId="2">#REF!</definedName>
    <definedName name="TT" hidden="1">{#N/A,#N/A,FALSE,"UNIT";#N/A,#N/A,FALSE,"UNIT";#N/A,#N/A,FALSE,"계정"}</definedName>
    <definedName name="tthh" localSheetId="2" hidden="1">#REF!</definedName>
    <definedName name="tthh" hidden="1">#N/A</definedName>
    <definedName name="TTI" localSheetId="2" hidden="1">{#N/A,#N/A,FALSE,"단축1";#N/A,#N/A,FALSE,"단축2";#N/A,#N/A,FALSE,"단축3";#N/A,#N/A,FALSE,"장축";#N/A,#N/A,FALSE,"4WD"}</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localSheetId="2" hidden="1">{#N/A,#N/A,FALSE,"Sheet6"}</definedName>
    <definedName name="ttr" hidden="1">{#N/A,#N/A,FALSE,"Sheet6"}</definedName>
    <definedName name="TTSALE">#N/A</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2" hidden="1">{#N/A,#N/A,FALSE,"혼합골재"}</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localSheetId="2" hidden="1">{#N/A,#N/A,FALSE,"지침";#N/A,#N/A,FALSE,"환경분석";#N/A,#N/A,FALSE,"Sheet16"}</definedName>
    <definedName name="ttttt" hidden="1">{#N/A,#N/A,FALSE,"지침";#N/A,#N/A,FALSE,"환경분석";#N/A,#N/A,FALSE,"Sheet16"}</definedName>
    <definedName name="TTTTTTT" localSheetId="2">[0]!BlankMacro1</definedName>
    <definedName name="TTTTTTT">#REF!</definedName>
    <definedName name="ttttttttt" localSheetId="2" hidden="1">{"'Set-Out'!$A$1:$H$30"}</definedName>
    <definedName name="ttttttttt" hidden="1">{"'Set-Out'!$A$1:$H$30"}</definedName>
    <definedName name="tu" localSheetId="2" hidden="1">{"'용역비'!$A$4:$C$8"}</definedName>
    <definedName name="tu" hidden="1">{"'용역비'!$A$4:$C$8"}</definedName>
    <definedName name="tuilol" localSheetId="2"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localSheetId="2" hidden="1">{#N/A,#N/A,FALSE,"Sheet6"}</definedName>
    <definedName name="tyiutyui" hidden="1">{#N/A,#N/A,FALSE,"Sheet6"}</definedName>
    <definedName name="TYJ" localSheetId="2" hidden="1">{"'용역비'!$A$4:$C$8"}</definedName>
    <definedName name="TYJ" hidden="1">{"'용역비'!$A$4:$C$8"}</definedName>
    <definedName name="tyje" localSheetId="2" hidden="1">{"'용역비'!$A$4:$C$8"}</definedName>
    <definedName name="tyje" hidden="1">{"'용역비'!$A$4:$C$8"}</definedName>
    <definedName name="tyjet" localSheetId="2" hidden="1">{"'용역비'!$A$4:$C$8"}</definedName>
    <definedName name="tyjet" hidden="1">{"'용역비'!$A$4:$C$8"}</definedName>
    <definedName name="TYPE">#REF!</definedName>
    <definedName name="type_dropdown">#REF!</definedName>
    <definedName name="TYTYTYTYTYT" localSheetId="2" hidden="1">{#N/A,#N/A,FALSE,"단축1";#N/A,#N/A,FALSE,"단축2";#N/A,#N/A,FALSE,"단축3";#N/A,#N/A,FALSE,"장축";#N/A,#N/A,FALSE,"4WD"}</definedName>
    <definedName name="TYTYTYTYTYT" hidden="1">{#N/A,#N/A,FALSE,"단축1";#N/A,#N/A,FALSE,"단축2";#N/A,#N/A,FALSE,"단축3";#N/A,#N/A,FALSE,"장축";#N/A,#N/A,FALSE,"4WD"}</definedName>
    <definedName name="tyu" localSheetId="2" hidden="1">{"'용역비'!$A$4:$C$8"}</definedName>
    <definedName name="tyu" hidden="1">{"'용역비'!$A$4:$C$8"}</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localSheetId="2" hidden="1">{"'용역비'!$A$4:$C$8"}</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localSheetId="2" hidden="1">{#N/A,#N/A,FALSE,"지침";#N/A,#N/A,FALSE,"환경분석";#N/A,#N/A,FALSE,"Sheet16"}</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6" hidden="1">{#N/A,#N/A,FALSE,"CCTV"}</definedName>
    <definedName name="UUU" localSheetId="2" hidden="1">{#N/A,#N/A,FALSE,"CCTV"}</definedName>
    <definedName name="UUU" hidden="1">{#N/A,#N/A,FALSE,"CCTV"}</definedName>
    <definedName name="uuuu" localSheetId="2" hidden="1">{#N/A,#N/A,FALSE,"단가표지"}</definedName>
    <definedName name="uuuu" hidden="1">{#N/A,#N/A,FALSE,"단가표지"}</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localSheetId="2" hidden="1">{#N/A,#N/A,FALSE,"단축1";#N/A,#N/A,FALSE,"단축2";#N/A,#N/A,FALSE,"단축3";#N/A,#N/A,FALSE,"장축";#N/A,#N/A,FALSE,"4WD"}</definedName>
    <definedName name="UYR" hidden="1">{#N/A,#N/A,FALSE,"단축1";#N/A,#N/A,FALSE,"단축2";#N/A,#N/A,FALSE,"단축3";#N/A,#N/A,FALSE,"장축";#N/A,#N/A,FALSE,"4WD"}</definedName>
    <definedName name="uyteyj" hidden="1">#REF!</definedName>
    <definedName name="UYTRC" localSheetId="2" hidden="1">{#N/A,#N/A,FALSE,"단축1";#N/A,#N/A,FALSE,"단축2";#N/A,#N/A,FALSE,"단축3";#N/A,#N/A,FALSE,"장축";#N/A,#N/A,FALSE,"4WD"}</definedName>
    <definedName name="UYTRC" hidden="1">{#N/A,#N/A,FALSE,"단축1";#N/A,#N/A,FALSE,"단축2";#N/A,#N/A,FALSE,"단축3";#N/A,#N/A,FALSE,"장축";#N/A,#N/A,FALSE,"4WD"}</definedName>
    <definedName name="U행">#REF!</definedName>
    <definedName name="v" localSheetId="6"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localSheetId="2" hidden="1">{#N/A,#N/A,FALSE,"이태원철근"}</definedName>
    <definedName name="VB" hidden="1">{#N/A,#N/A,FALSE,"이태원철근"}</definedName>
    <definedName name="VBN" localSheetId="2" hidden="1">{#N/A,#N/A,FALSE,"이태원철근"}</definedName>
    <definedName name="VBN" hidden="1">{#N/A,#N/A,FALSE,"이태원철근"}</definedName>
    <definedName name="vbnhj" localSheetId="2" hidden="1">{#N/A,#N/A,FALSE,"Sheet6"}</definedName>
    <definedName name="vbnhj" hidden="1">{#N/A,#N/A,FALSE,"Sheet6"}</definedName>
    <definedName name="vds" localSheetId="6" hidden="1">{"'買掛金'!$J$6"}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 localSheetId="2">BlankMacro1</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localSheetId="2" hidden="1">{#N/A,#N/A,TRUE,"경전'96(1)";#N/A,#N/A,TRUE,"경전'96 (2)"}</definedName>
    <definedName name="VRTRVTR" hidden="1">{#N/A,#N/A,TRUE,"경전'96(1)";#N/A,#N/A,TRUE,"경전'96 (2)"}</definedName>
    <definedName name="Vtwt">#REF!</definedName>
    <definedName name="vv" localSheetId="2">#REF!</definedName>
    <definedName name="vv">Main.SAPF4Help()</definedName>
    <definedName name="vvv" localSheetId="6" hidden="1">{"'買掛金'!$J$6"}</definedName>
    <definedName name="VVV" localSheetId="2">#REF!</definedName>
    <definedName name="vvv" hidden="1">{"'買掛金'!$J$6"}</definedName>
    <definedName name="vvvv" localSheetId="2" hidden="1">{TRUE,TRUE,-1.25,-15.5,456.75,279.75,FALSE,FALSE,TRUE,TRUE,0,1,18,1,199,6,3,4,TRUE,TRUE,3,TRUE,1,TRUE,100,"Swvu.cash.","ACwvu.cash.",1,FALSE,FALSE,0.511811023622047,0.511811023622047,0.511811023622047,0.511811023622047,1,"","",FALSE,FALSE,FALSE,FALSE,1,#N/A,1,1,#DIV/0!,FALSE,"Rwvu.cash.",#N/A,FALSE,FALSE}</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6" hidden="1">{#N/A,#N/A,FALSE,"기안지";#N/A,#N/A,FALSE,"통신지"}</definedName>
    <definedName name="VW" localSheetId="2" hidden="1">{#N/A,#N/A,FALSE,"기안지";#N/A,#N/A,FALSE,"통신지"}</definedName>
    <definedName name="VW" hidden="1">{#N/A,#N/A,FALSE,"기안지";#N/A,#N/A,FALSE,"통신지"}</definedName>
    <definedName name="vxccx" localSheetId="6" hidden="1">{"'買掛金'!$J$6"}</definedName>
    <definedName name="vxccx" localSheetId="2" hidden="1">{"'買掛金'!$J$6"}</definedName>
    <definedName name="vxccx" hidden="1">{"'買掛金'!$J$6"}</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localSheetId="2" hidden="1">{#N/A,#N/A,FALSE,"단축1";#N/A,#N/A,FALSE,"단축2";#N/A,#N/A,FALSE,"단축3";#N/A,#N/A,FALSE,"장축";#N/A,#N/A,FALSE,"4WD"}</definedName>
    <definedName name="VYVY" hidden="1">{#N/A,#N/A,FALSE,"단축1";#N/A,#N/A,FALSE,"단축2";#N/A,#N/A,FALSE,"단축3";#N/A,#N/A,FALSE,"장축";#N/A,#N/A,FALSE,"4WD"}</definedName>
    <definedName name="V행">#REF!</definedName>
    <definedName name="w" hidden="1">#REF!</definedName>
    <definedName name="w4e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localSheetId="2"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6" hidden="1">{#N/A,#N/A,FALSE,"UNIT";#N/A,#N/A,FALSE,"UNIT";#N/A,#N/A,FALSE,"계정"}</definedName>
    <definedName name="wdd" localSheetId="2" hidden="1">{#N/A,#N/A,FALSE,"UNIT";#N/A,#N/A,FALSE,"UNIT";#N/A,#N/A,FALSE,"계정"}</definedName>
    <definedName name="wdd" hidden="1">{#N/A,#N/A,FALSE,"UNIT";#N/A,#N/A,FALSE,"UNIT";#N/A,#N/A,FALSE,"계정"}</definedName>
    <definedName name="wdj">#N/A</definedName>
    <definedName name="we" localSheetId="6"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6" hidden="1">{#N/A,#N/A,FALSE,"Performance Flash Report"}</definedName>
    <definedName name="wef" localSheetId="2" hidden="1">{#N/A,#N/A,FALSE,"Performance Flash Report"}</definedName>
    <definedName name="wef" hidden="1">{#N/A,#N/A,FALSE,"Performance Flash Report"}</definedName>
    <definedName name="wef_1" localSheetId="6" hidden="1">{#N/A,#N/A,FALSE,"Performance Flash Report"}</definedName>
    <definedName name="wef_1" localSheetId="2" hidden="1">{#N/A,#N/A,FALSE,"Performance Flash Report"}</definedName>
    <definedName name="wef_1" hidden="1">{#N/A,#N/A,FALSE,"Performance Flash Report"}</definedName>
    <definedName name="wef_1_1" localSheetId="6" hidden="1">{#N/A,#N/A,FALSE,"Performance Flash Report"}</definedName>
    <definedName name="wef_1_1" localSheetId="2" hidden="1">{#N/A,#N/A,FALSE,"Performance Flash Report"}</definedName>
    <definedName name="wef_1_1" hidden="1">{#N/A,#N/A,FALSE,"Performance Flash Report"}</definedName>
    <definedName name="wef_1_2" localSheetId="6" hidden="1">{#N/A,#N/A,FALSE,"Performance Flash Report"}</definedName>
    <definedName name="wef_1_2" localSheetId="2" hidden="1">{#N/A,#N/A,FALSE,"Performance Flash Report"}</definedName>
    <definedName name="wef_1_2" hidden="1">{#N/A,#N/A,FALSE,"Performance Flash Report"}</definedName>
    <definedName name="wef_1_3" localSheetId="6" hidden="1">{#N/A,#N/A,FALSE,"Performance Flash Report"}</definedName>
    <definedName name="wef_1_3" localSheetId="2" hidden="1">{#N/A,#N/A,FALSE,"Performance Flash Report"}</definedName>
    <definedName name="wef_1_3" hidden="1">{#N/A,#N/A,FALSE,"Performance Flash Report"}</definedName>
    <definedName name="wef_1_4" localSheetId="6" hidden="1">{#N/A,#N/A,FALSE,"Performance Flash Report"}</definedName>
    <definedName name="wef_1_4" localSheetId="2" hidden="1">{#N/A,#N/A,FALSE,"Performance Flash Report"}</definedName>
    <definedName name="wef_1_4" hidden="1">{#N/A,#N/A,FALSE,"Performance Flash Report"}</definedName>
    <definedName name="wef_2" localSheetId="6" hidden="1">{#N/A,#N/A,FALSE,"Performance Flash Report"}</definedName>
    <definedName name="wef_2" localSheetId="2" hidden="1">{#N/A,#N/A,FALSE,"Performance Flash Report"}</definedName>
    <definedName name="wef_2" hidden="1">{#N/A,#N/A,FALSE,"Performance Flash Report"}</definedName>
    <definedName name="wef_2_1" localSheetId="6" hidden="1">{#N/A,#N/A,FALSE,"Performance Flash Report"}</definedName>
    <definedName name="wef_2_1" localSheetId="2" hidden="1">{#N/A,#N/A,FALSE,"Performance Flash Report"}</definedName>
    <definedName name="wef_2_1" hidden="1">{#N/A,#N/A,FALSE,"Performance Flash Report"}</definedName>
    <definedName name="wef_2_2" localSheetId="6" hidden="1">{#N/A,#N/A,FALSE,"Performance Flash Report"}</definedName>
    <definedName name="wef_2_2" localSheetId="2" hidden="1">{#N/A,#N/A,FALSE,"Performance Flash Report"}</definedName>
    <definedName name="wef_2_2" hidden="1">{#N/A,#N/A,FALSE,"Performance Flash Report"}</definedName>
    <definedName name="wef_2_3" localSheetId="6" hidden="1">{#N/A,#N/A,FALSE,"Performance Flash Report"}</definedName>
    <definedName name="wef_2_3" localSheetId="2" hidden="1">{#N/A,#N/A,FALSE,"Performance Flash Report"}</definedName>
    <definedName name="wef_2_3" hidden="1">{#N/A,#N/A,FALSE,"Performance Flash Report"}</definedName>
    <definedName name="wef_2_4" localSheetId="6" hidden="1">{#N/A,#N/A,FALSE,"Performance Flash Report"}</definedName>
    <definedName name="wef_2_4" localSheetId="2" hidden="1">{#N/A,#N/A,FALSE,"Performance Flash Report"}</definedName>
    <definedName name="wef_2_4" hidden="1">{#N/A,#N/A,FALSE,"Performance Flash Report"}</definedName>
    <definedName name="wef_3" localSheetId="6" hidden="1">{#N/A,#N/A,FALSE,"Performance Flash Report"}</definedName>
    <definedName name="wef_3" localSheetId="2" hidden="1">{#N/A,#N/A,FALSE,"Performance Flash Report"}</definedName>
    <definedName name="wef_3" hidden="1">{#N/A,#N/A,FALSE,"Performance Flash Report"}</definedName>
    <definedName name="wef_3_1" localSheetId="6" hidden="1">{#N/A,#N/A,FALSE,"Performance Flash Report"}</definedName>
    <definedName name="wef_3_1" localSheetId="2" hidden="1">{#N/A,#N/A,FALSE,"Performance Flash Report"}</definedName>
    <definedName name="wef_3_1" hidden="1">{#N/A,#N/A,FALSE,"Performance Flash Report"}</definedName>
    <definedName name="wef_3_2" localSheetId="6" hidden="1">{#N/A,#N/A,FALSE,"Performance Flash Report"}</definedName>
    <definedName name="wef_3_2" localSheetId="2" hidden="1">{#N/A,#N/A,FALSE,"Performance Flash Report"}</definedName>
    <definedName name="wef_3_2" hidden="1">{#N/A,#N/A,FALSE,"Performance Flash Report"}</definedName>
    <definedName name="wef_3_3" localSheetId="6" hidden="1">{#N/A,#N/A,FALSE,"Performance Flash Report"}</definedName>
    <definedName name="wef_3_3" localSheetId="2" hidden="1">{#N/A,#N/A,FALSE,"Performance Flash Report"}</definedName>
    <definedName name="wef_3_3" hidden="1">{#N/A,#N/A,FALSE,"Performance Flash Report"}</definedName>
    <definedName name="wef_3_4" localSheetId="6" hidden="1">{#N/A,#N/A,FALSE,"Performance Flash Report"}</definedName>
    <definedName name="wef_3_4" localSheetId="2" hidden="1">{#N/A,#N/A,FALSE,"Performance Flash Report"}</definedName>
    <definedName name="wef_3_4" hidden="1">{#N/A,#N/A,FALSE,"Performance Flash Report"}</definedName>
    <definedName name="wef_4" localSheetId="6" hidden="1">{#N/A,#N/A,FALSE,"Performance Flash Report"}</definedName>
    <definedName name="wef_4" localSheetId="2" hidden="1">{#N/A,#N/A,FALSE,"Performance Flash Report"}</definedName>
    <definedName name="wef_4" hidden="1">{#N/A,#N/A,FALSE,"Performance Flash Report"}</definedName>
    <definedName name="wef_4_1" localSheetId="6" hidden="1">{#N/A,#N/A,FALSE,"Performance Flash Report"}</definedName>
    <definedName name="wef_4_1" localSheetId="2" hidden="1">{#N/A,#N/A,FALSE,"Performance Flash Report"}</definedName>
    <definedName name="wef_4_1" hidden="1">{#N/A,#N/A,FALSE,"Performance Flash Report"}</definedName>
    <definedName name="wef_4_2" localSheetId="6" hidden="1">{#N/A,#N/A,FALSE,"Performance Flash Report"}</definedName>
    <definedName name="wef_4_2" localSheetId="2" hidden="1">{#N/A,#N/A,FALSE,"Performance Flash Report"}</definedName>
    <definedName name="wef_4_2" hidden="1">{#N/A,#N/A,FALSE,"Performance Flash Report"}</definedName>
    <definedName name="wef_4_3" localSheetId="6" hidden="1">{#N/A,#N/A,FALSE,"Performance Flash Report"}</definedName>
    <definedName name="wef_4_3" localSheetId="2" hidden="1">{#N/A,#N/A,FALSE,"Performance Flash Report"}</definedName>
    <definedName name="wef_4_3" hidden="1">{#N/A,#N/A,FALSE,"Performance Flash Report"}</definedName>
    <definedName name="wef_4_4" localSheetId="6" hidden="1">{#N/A,#N/A,FALSE,"Performance Flash Report"}</definedName>
    <definedName name="wef_4_4" localSheetId="2" hidden="1">{#N/A,#N/A,FALSE,"Performance Flash Report"}</definedName>
    <definedName name="wef_4_4" hidden="1">{#N/A,#N/A,FALSE,"Performance Flash Report"}</definedName>
    <definedName name="wef_5" localSheetId="6" hidden="1">{#N/A,#N/A,FALSE,"Performance Flash Report"}</definedName>
    <definedName name="wef_5" localSheetId="2" hidden="1">{#N/A,#N/A,FALSE,"Performance Flash Report"}</definedName>
    <definedName name="wef_5" hidden="1">{#N/A,#N/A,FALSE,"Performance Flash Report"}</definedName>
    <definedName name="wef_5_1" localSheetId="6" hidden="1">{#N/A,#N/A,FALSE,"Performance Flash Report"}</definedName>
    <definedName name="wef_5_1" localSheetId="2" hidden="1">{#N/A,#N/A,FALSE,"Performance Flash Report"}</definedName>
    <definedName name="wef_5_1" hidden="1">{#N/A,#N/A,FALSE,"Performance Flash Report"}</definedName>
    <definedName name="wef_5_2" localSheetId="6" hidden="1">{#N/A,#N/A,FALSE,"Performance Flash Report"}</definedName>
    <definedName name="wef_5_2" localSheetId="2" hidden="1">{#N/A,#N/A,FALSE,"Performance Flash Report"}</definedName>
    <definedName name="wef_5_2" hidden="1">{#N/A,#N/A,FALSE,"Performance Flash Report"}</definedName>
    <definedName name="wef_5_3" localSheetId="6" hidden="1">{#N/A,#N/A,FALSE,"Performance Flash Report"}</definedName>
    <definedName name="wef_5_3" localSheetId="2" hidden="1">{#N/A,#N/A,FALSE,"Performance Flash Report"}</definedName>
    <definedName name="wef_5_3" hidden="1">{#N/A,#N/A,FALSE,"Performance Flash Report"}</definedName>
    <definedName name="wef_5_4" localSheetId="6" hidden="1">{#N/A,#N/A,FALSE,"Performance Flash Report"}</definedName>
    <definedName name="wef_5_4" localSheetId="2" hidden="1">{#N/A,#N/A,FALSE,"Performance Flash Report"}</definedName>
    <definedName name="wef_5_4" hidden="1">{#N/A,#N/A,FALSE,"Performance Flash Report"}</definedName>
    <definedName name="wef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localSheetId="2" hidden="1">{#N/A,#N/A,FALSE,"단축1";#N/A,#N/A,FALSE,"단축2";#N/A,#N/A,FALSE,"단축3";#N/A,#N/A,FALSE,"장축";#N/A,#N/A,FALSE,"4WD"}</definedName>
    <definedName name="WEQ" hidden="1">{#N/A,#N/A,FALSE,"단축1";#N/A,#N/A,FALSE,"단축2";#N/A,#N/A,FALSE,"단축3";#N/A,#N/A,FALSE,"장축";#N/A,#N/A,FALSE,"4WD"}</definedName>
    <definedName name="weqew" localSheetId="6" hidden="1">{#N/A,#N/A,FALSE,"Aging Summary";#N/A,#N/A,FALSE,"Ratio Analysis";#N/A,#N/A,FALSE,"Test 120 Day Accts";#N/A,#N/A,FALSE,"Tickmarks"}</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localSheetId="2" hidden="1">{"INCSTMT1",#N/A,FALSE,"COR";"INCSTMT2",#N/A,FALSE,"COR"}</definedName>
    <definedName name="wet" hidden="1">{"INCSTMT1",#N/A,FALSE,"COR";"INCSTMT2",#N/A,FALSE,"COR"}</definedName>
    <definedName name="we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6" hidden="1">{#N/A,#N/A,FALSE,"Aging Summary";#N/A,#N/A,FALSE,"Ratio Analysis";#N/A,#N/A,FALSE,"Test 120 Day Accts";#N/A,#N/A,FALSE,"Tickmarks"}</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localSheetId="2" hidden="1">{#N/A,#N/A,FALSE,"단축1";#N/A,#N/A,FALSE,"단축2";#N/A,#N/A,FALSE,"단축3";#N/A,#N/A,FALSE,"장축";#N/A,#N/A,FALSE,"4WD"}</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localSheetId="2" hidden="1">{#N/A,#N/A,TRUE,"경전'96(1)";#N/A,#N/A,TRUE,"경전'96 (2)"}</definedName>
    <definedName name="wjs" hidden="1">{#N/A,#N/A,TRUE,"경전'96(1)";#N/A,#N/A,TRUE,"경전'96 (2)"}</definedName>
    <definedName name="WJWJWJW" localSheetId="2" hidden="1">{#N/A,#N/A,FALSE,"단축1";#N/A,#N/A,FALSE,"단축2";#N/A,#N/A,FALSE,"단축3";#N/A,#N/A,FALSE,"장축";#N/A,#N/A,FALSE,"4WD"}</definedName>
    <definedName name="WJWJWJW" hidden="1">{#N/A,#N/A,FALSE,"단축1";#N/A,#N/A,FALSE,"단축2";#N/A,#N/A,FALSE,"단축3";#N/A,#N/A,FALSE,"장축";#N/A,#N/A,FALSE,"4WD"}</definedName>
    <definedName name="wkf" localSheetId="2" hidden="1">{#N/A,#N/A,FALSE,"단축1";#N/A,#N/A,FALSE,"단축2";#N/A,#N/A,FALSE,"단축3";#N/A,#N/A,FALSE,"장축";#N/A,#N/A,FALSE,"4WD"}</definedName>
    <definedName name="wkf" hidden="1">{#N/A,#N/A,FALSE,"단축1";#N/A,#N/A,FALSE,"단축2";#N/A,#N/A,FALSE,"단축3";#N/A,#N/A,FALSE,"장축";#N/A,#N/A,FALSE,"4WD"}</definedName>
    <definedName name="wkgk" localSheetId="6"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 hidden="1">{#N/A,#N/A,TRUE,"Y생산";#N/A,#N/A,TRUE,"Y판매";#N/A,#N/A,TRUE,"Y총물량";#N/A,#N/A,TRUE,"Y능력";#N/A,#N/A,TRUE,"YKD"}</definedName>
    <definedName name="wkworhgk" hidden="1">{#N/A,#N/A,TRUE,"Y생산";#N/A,#N/A,TRUE,"Y판매";#N/A,#N/A,TRUE,"Y총물량";#N/A,#N/A,TRUE,"Y능력";#N/A,#N/A,TRUE,"YKD"}</definedName>
    <definedName name="wl">#REF!</definedName>
    <definedName name="WLRMA" localSheetId="6" hidden="1">{#N/A,#N/A,FALSE,"Aging Summary";#N/A,#N/A,FALSE,"Ratio Analysis";#N/A,#N/A,FALSE,"Test 120 Day Accts";#N/A,#N/A,FALSE,"Tickmarks"}</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6" hidden="1">{#N/A,#N/A,FALSE,"조골재"}</definedName>
    <definedName name="wm.조골재1" localSheetId="2" hidden="1">{#N/A,#N/A,FALSE,"조골재"}</definedName>
    <definedName name="wm.조골재1" hidden="1">{#N/A,#N/A,FALSE,"조골재"}</definedName>
    <definedName name="WND" localSheetId="2" hidden="1">{#N/A,#N/A,FALSE,"단축1";#N/A,#N/A,FALSE,"단축2";#N/A,#N/A,FALSE,"단축3";#N/A,#N/A,FALSE,"장축";#N/A,#N/A,FALSE,"4WD"}</definedName>
    <definedName name="WND" hidden="1">{#N/A,#N/A,FALSE,"단축1";#N/A,#N/A,FALSE,"단축2";#N/A,#N/A,FALSE,"단축3";#N/A,#N/A,FALSE,"장축";#N/A,#N/A,FALSE,"4WD"}</definedName>
    <definedName name="wnkllwk" localSheetId="2" hidden="1">{"'Sheet1'!$A$1:$H$36"}</definedName>
    <definedName name="wnkllwk" hidden="1">{"'Sheet1'!$A$1:$H$36"}</definedName>
    <definedName name="wnwn"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localSheetId="2" hidden="1">{#N/A,#N/A,TRUE,"Cover Repl";#N/A,#N/A,TRUE,"P&amp;L";#N/A,#N/A,TRUE,"P&amp;L (2)";#N/A,#N/A,TRUE,"BS";#N/A,#N/A,TRUE,"Depreciation";#N/A,#N/A,TRUE,"GRAPHS";#N/A,#N/A,TRUE,"DCF EBITDA Multiple";#N/A,#N/A,TRUE,"DCF Perpetual Growth"}</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6"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6" hidden="1">{#N/A,#N/A,FALSE,"을지 (4)";#N/A,#N/A,FALSE,"을지 (5)";#N/A,#N/A,FALSE,"을지 (6)"}</definedName>
    <definedName name="WQ" localSheetId="2" hidden="1">{#N/A,#N/A,FALSE,"을지 (4)";#N/A,#N/A,FALSE,"을지 (5)";#N/A,#N/A,FALSE,"을지 (6)"}</definedName>
    <definedName name="WQ" hidden="1">{#N/A,#N/A,FALSE,"을지 (4)";#N/A,#N/A,FALSE,"을지 (5)";#N/A,#N/A,FALSE,"을지 (6)"}</definedName>
    <definedName name="wqe" localSheetId="2" hidden="1">{#N/A,#N/A,FALSE,"견적대비-2"}</definedName>
    <definedName name="wqe" hidden="1">{#N/A,#N/A,FALSE,"견적대비-2"}</definedName>
    <definedName name="wqwqw" localSheetId="2" hidden="1">{#N/A,#N/A,FALSE,"단축1";#N/A,#N/A,FALSE,"단축2";#N/A,#N/A,FALSE,"단축3";#N/A,#N/A,FALSE,"장축";#N/A,#N/A,FALSE,"4WD"}</definedName>
    <definedName name="wqwqw" hidden="1">{#N/A,#N/A,FALSE,"단축1";#N/A,#N/A,FALSE,"단축2";#N/A,#N/A,FALSE,"단축3";#N/A,#N/A,FALSE,"장축";#N/A,#N/A,FALSE,"4WD"}</definedName>
    <definedName name="wr"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6" hidden="1">{#N/A,#N/A,FALSE,"CCTV"}</definedName>
    <definedName name="WRITE" localSheetId="2" hidden="1">{#N/A,#N/A,FALSE,"CCTV"}</definedName>
    <definedName name="WRITE" hidden="1">{#N/A,#N/A,FALSE,"CCTV"}</definedName>
    <definedName name="wrn" localSheetId="2" hidden="1">{"cap_structure",#N/A,FALSE,"Graph-Mkt Cap";"price",#N/A,FALSE,"Graph-Price";"ebit",#N/A,FALSE,"Graph-EBITDA";"ebitda",#N/A,FALSE,"Graph-EBITDA"}</definedName>
    <definedName name="wrn" hidden="1">{"cap_structure",#N/A,FALSE,"Graph-Mkt Cap";"price",#N/A,FALSE,"Graph-Price";"ebit",#N/A,FALSE,"Graph-EBITDA";"ebitda",#N/A,FALSE,"Graph-EBITDA"}</definedName>
    <definedName name="wrn.2._.pagers." localSheetId="2" hidden="1">{"Cover",#N/A,FALSE,"Cover";"Summary",#N/A,FALSE,"Summarpage"}</definedName>
    <definedName name="wrn.2._.pagers." hidden="1">{"Cover",#N/A,FALSE,"Cover";"Summary",#N/A,FALSE,"Summarpage"}</definedName>
    <definedName name="wrn.2번." localSheetId="6" hidden="1">{#N/A,#N/A,FALSE,"2~8번"}</definedName>
    <definedName name="wrn.2번." localSheetId="2" hidden="1">{#N/A,#N/A,FALSE,"2~8번"}</definedName>
    <definedName name="wrn.2번." hidden="1">{#N/A,#N/A,FALSE,"2~8번"}</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localSheetId="2" hidden="1">{#N/A,"Base",FALSE,"Dividend";#N/A,"Conservative",FALSE,"Dividend";#N/A,"Downside",FALSE,"Dividend"}</definedName>
    <definedName name="wrn.3cases." hidden="1">{#N/A,"Base",FALSE,"Dividend";#N/A,"Conservative",FALSE,"Dividend";#N/A,"Downside",FALSE,"Dividend"}</definedName>
    <definedName name="wrn.95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localSheetId="2" hidden="1">{#N/A,#N/A,FALSE,"지침";#N/A,#N/A,FALSE,"환경분석";#N/A,#N/A,FALSE,"Sheet16"}</definedName>
    <definedName name="wrn.97." hidden="1">{#N/A,#N/A,FALSE,"지침";#N/A,#N/A,FALSE,"환경분석";#N/A,#N/A,FALSE,"Sheet16"}</definedName>
    <definedName name="wrn.97년._.투자계획." localSheetId="6" hidden="1">{#N/A,#N/A,FALSE,"97년 투자계획 세부내역 "}</definedName>
    <definedName name="wrn.97년._.투자계획." localSheetId="2" hidden="1">{#N/A,#N/A,FALSE,"97년 투자계획 세부내역 "}</definedName>
    <definedName name="wrn.97년._.투자계획." hidden="1">{#N/A,#N/A,FALSE,"97년 투자계획 세부내역 "}</definedName>
    <definedName name="wrn.A." localSheetId="2" hidden="1">{#N/A,#N/A,TRUE,"매출";#N/A,#N/A,TRUE,"손익-재무";#N/A,#N/A,TRUE,"Cash Flow(4)";#N/A,#N/A,TRUE,"Sheet1"}</definedName>
    <definedName name="wrn.A." hidden="1">{#N/A,#N/A,TRUE,"매출";#N/A,#N/A,TRUE,"손익-재무";#N/A,#N/A,TRUE,"Cash Flow(4)";#N/A,#N/A,TRUE,"Sheet1"}</definedName>
    <definedName name="wrn.aa." localSheetId="6" hidden="1">{#N/A,#N/A,FALSE,"UNIT";#N/A,#N/A,FALSE,"UNIT";#N/A,#N/A,FALSE,"계정"}</definedName>
    <definedName name="wrn.aa." localSheetId="2" hidden="1">{#N/A,#N/A,FALSE,"UNIT";#N/A,#N/A,FALSE,"UNIT";#N/A,#N/A,FALSE,"계정"}</definedName>
    <definedName name="wrn.aa." hidden="1">{#N/A,#N/A,FALSE,"UNIT";#N/A,#N/A,FALSE,"UNIT";#N/A,#N/A,FALSE,"계정"}</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ccounts." localSheetId="2" hidden="1">{"turnover",#N/A,FALSE;"profits",#N/A,FALSE;"cash",#N/A,FALSE}</definedName>
    <definedName name="wrn.Accounts." hidden="1">{"turnover",#N/A,FALSE;"profits",#N/A,FALSE;"cash",#N/A,FALSE}</definedName>
    <definedName name="wrn.ACHESON94TAXRETURN." localSheetId="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6"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6"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2"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2" hidden="1">{"QTRINC",#N/A,FALSE,"QTRINC";"MARGIN",#N/A,FALSE,"MARGIN";"CASHFLOW",#N/A,FALSE,"CASHFLOW"}</definedName>
    <definedName name="wrn.AHP._.MODELS." hidden="1">{"QTRINC",#N/A,FALSE,"QTRINC";"MARGIN",#N/A,FALSE,"MARGIN";"CASHFLOW",#N/A,FALSE,"CASHFLOW"}</definedName>
    <definedName name="wrn.Alex." localSheetId="2" hidden="1">{#N/A,#N/A,FALSE,"TradeSumm";#N/A,#N/A,FALSE,"StatsSumm"}</definedName>
    <definedName name="wrn.Alex." hidden="1">{#N/A,#N/A,FALSE,"TradeSumm";#N/A,#N/A,FALSE,"StatsSumm"}</definedName>
    <definedName name="wrn.all." localSheetId="6" hidden="1">{#N/A,#N/A,FALSE,"assumptions";#N/A,#N/A,FALSE,"v_projcy";#N/A,#N/A,FALSE,"tar_proj";#N/A,#N/A,FALSE,"contrib_annual";#N/A,#N/A,FALSE,"Proforma";#N/A,#N/A,FALSE,"purc_97";#N/A,#N/A,FALSE,"syn_purc_97";#N/A,#N/A,FALSE,"pool_97";#N/A,#N/A,FALSE,"syn_pool_97";#N/A,#N/A,FALSE,"pool1_FY2"}</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6" hidden="1">{#N/A,#N/A,FALSE,"assumptions";#N/A,#N/A,FALSE,"v_projcy";#N/A,#N/A,FALSE,"tar_proj";#N/A,#N/A,FALSE,"contrib_annual";#N/A,#N/A,FALSE,"Proforma";#N/A,#N/A,FALSE,"purc_97";#N/A,#N/A,FALSE,"syn_purc_97";#N/A,#N/A,FALSE,"pool_97";#N/A,#N/A,FALSE,"syn_pool_97";#N/A,#N/A,FALSE,"pool1_FY2"}</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6"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6"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6"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6"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6"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6"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6"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6"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6"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6"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6"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6"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6"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6"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6"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6"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6"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6"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6"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6"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6"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6"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6"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6"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6"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6"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6"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6"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6"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6"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6"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6"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6"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6"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6"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6"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6"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6"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6"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6"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6"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6"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6"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6"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6"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6"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6"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6"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6"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6"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localSheetId="2" hidden="1">{#N/A,#N/A,TRUE,"Historicals";#N/A,#N/A,TRUE,"Charts";#N/A,#N/A,TRUE,"Forecasts"}</definedName>
    <definedName name="wrn.allpages." hidden="1">{#N/A,#N/A,TRUE,"Historicals";#N/A,#N/A,TRUE,"Charts";#N/A,#N/A,TRUE,"Forecasts"}</definedName>
    <definedName name="wrn.America._.Online." localSheetId="2"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localSheetId="2"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2"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localSheetId="2"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endix.1" localSheetId="2"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localSheetId="2"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localSheetId="2" hidden="1">{"revenue",#N/A,FALSE,"Revenue";"Qearn1",#N/A,FALSE,"Qearn";"Qearn2",#N/A,FALSE,"Qearn";"Qmargin",#N/A,FALSE,"Qmargin";"Cashflow",#N/A,FALSE,"Cashflow"}</definedName>
    <definedName name="wrn.Ares_Serono." hidden="1">{"revenue",#N/A,FALSE,"Revenue";"Qearn1",#N/A,FALSE,"Qearn";"Qearn2",#N/A,FALSE,"Qearn";"Qmargin",#N/A,FALSE,"Qmargin";"Cashflow",#N/A,FALSE,"Cashflow"}</definedName>
    <definedName name="wrn.AU._.검사성적서." localSheetId="6"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6"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 hidden="1">{#N/A,#N/A,FALSE,"´UA";#N/A,#N/A,FALSE,"´UA";#N/A,#N/A,FALSE,"´UA";#N/A,#N/A,FALSE,"Aa";#N/A,#N/A,FALSE,"4WD"}</definedName>
    <definedName name="wrn.AuºIAI¼a." hidden="1">{#N/A,#N/A,FALSE,"´UA";#N/A,#N/A,FALSE,"´UA";#N/A,#N/A,FALSE,"´UA";#N/A,#N/A,FALSE,"Aa";#N/A,#N/A,FALSE,"4WD"}</definedName>
    <definedName name="wrn.Auto._.Comp." localSheetId="2" hidden="1">{#N/A,#N/A,FALSE,"Sheet1"}</definedName>
    <definedName name="wrn.Auto._.Comp." hidden="1">{#N/A,#N/A,FALSE,"Sheet1"}</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localSheetId="2"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 hidden="1">{"banks",#N/A,FALSE,"BASIC"}</definedName>
    <definedName name="wrn.bank._.model." hidden="1">{"banks",#N/A,FALSE,"BASIC"}</definedName>
    <definedName name="wrn.BL94TAXRETURN." localSheetId="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6" hidden="1">{#N/A,#N/A,FALSE,"CCTV"}</definedName>
    <definedName name="wrn.BM." localSheetId="2" hidden="1">{#N/A,#N/A,FALSE,"CCTV"}</definedName>
    <definedName name="wrn.BM." hidden="1">{#N/A,#N/A,FALSE,"CCTV"}</definedName>
    <definedName name="wrn.BMC._.FTEAOB._.90." localSheetId="2" hidden="1">{"FTEAOB 90",#N/A,FALSE,"FTEAOB - 5.0 Format - Input"}</definedName>
    <definedName name="wrn.BMC._.FTEAOB._.90." hidden="1">{"FTEAOB 90",#N/A,FALSE,"FTEAOB - 5.0 Format - Input"}</definedName>
    <definedName name="wrn.BMC._.FTEAOB._.91." localSheetId="2" hidden="1">{"FTEAOB 91",#N/A,FALSE,"FTEAOB - 5.0 Format - Input"}</definedName>
    <definedName name="wrn.BMC._.FTEAOB._.91." hidden="1">{"FTEAOB 91",#N/A,FALSE,"FTEAOB - 5.0 Format - Input"}</definedName>
    <definedName name="wrn.BMC._.FTEAOB._.92." localSheetId="2" hidden="1">{"FTEAOB 92",#N/A,FALSE,"FTEAOB - 5.0 Format - Input"}</definedName>
    <definedName name="wrn.BMC._.FTEAOB._.92." hidden="1">{"FTEAOB 92",#N/A,FALSE,"FTEAOB - 5.0 Format - Input"}</definedName>
    <definedName name="wrn.BMC._.FTEAOB._.93." localSheetId="2" hidden="1">{"FTEAOB 93",#N/A,FALSE,"FTEAOB - 5.0 Format - Input"}</definedName>
    <definedName name="wrn.BMC._.FTEAOB._.93." hidden="1">{"FTEAOB 93",#N/A,FALSE,"FTEAOB - 5.0 Format - Input"}</definedName>
    <definedName name="wrn.BMC._.FTEAOB._.94." localSheetId="2" hidden="1">{"FTEAOB 94",#N/A,FALSE,"FTEAOB - 5.0 Format - Input"}</definedName>
    <definedName name="wrn.BMC._.FTEAOB._.94." hidden="1">{"FTEAOB 94",#N/A,FALSE,"FTEAOB - 5.0 Format - Input"}</definedName>
    <definedName name="wrn.BMC._.FTEAOB._.95." localSheetId="2" hidden="1">{"FTEAOB 95",#N/A,FALSE,"FTEAOB - 5.0 Format - Input"}</definedName>
    <definedName name="wrn.BMC._.FTEAOB._.95." hidden="1">{"FTEAOB 95",#N/A,FALSE,"FTEAOB - 5.0 Format - Input"}</definedName>
    <definedName name="wrn.BMC._.FTEAOB._.96." localSheetId="2" hidden="1">{"FTEAOB 96",#N/A,FALSE,"FTEAOB - 5.0 Format - Input"}</definedName>
    <definedName name="wrn.BMC._.FTEAOB._.96." hidden="1">{"FTEAOB 96",#N/A,FALSE,"FTEAOB - 5.0 Format - Input"}</definedName>
    <definedName name="wrn.BMC._.FTEAOB._.ALL." localSheetId="2" hidden="1">{"FTEAOB ALL",#N/A,FALSE,"FTEAOB - 5.0 Format - Input"}</definedName>
    <definedName name="wrn.BMC._.FTEAOB._.ALL." hidden="1">{"FTEAOB ALL",#N/A,FALSE,"FTEAOB - 5.0 Format - Input"}</definedName>
    <definedName name="wrn.BMC._.FTEAOB._.YEARLY." localSheetId="2" hidden="1">{"FTEAOB YEARLY",#N/A,FALSE,"FTEAOB - 5.0 Format - Input"}</definedName>
    <definedName name="wrn.BMC._.FTEAOB._.YEARLY." hidden="1">{"FTEAOB YEARLY",#N/A,FALSE,"FTEAOB - 5.0 Format - Input"}</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localSheetId="2" hidden="1">{#N/A,#N/A,TRUE,"Chris Beard";#N/A,#N/A,TRUE,"P&amp;L - Regent Street";#N/A,#N/A,TRUE,"P&amp;L - Covent Garden";#N/A,#N/A,TRUE,"P&amp;L - Seven Dials"}</definedName>
    <definedName name="wrn.Chris._.Beard." hidden="1">{#N/A,#N/A,TRUE,"Chris Beard";#N/A,#N/A,TRUE,"P&amp;L - Regent Street";#N/A,#N/A,TRUE,"P&amp;L - Covent Garden";#N/A,#N/A,TRUE,"P&amp;L - Seven Dials"}</definedName>
    <definedName name="wrn.CIC94TAX." localSheetId="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localSheetId="2" hidden="1">{#N/A,#N/A,TRUE,"Clairwyn Richardson";#N/A,#N/A,TRUE,"P&amp;L - Harrogate";#N/A,#N/A,TRUE,"P&amp;L - York";#N/A,#N/A,TRUE,"P&amp;L - Leeds";#N/A,#N/A,TRUE,"P&amp;L - Manchester";#N/A,#N/A,TRUE,"P&amp;L - Deansgate";#N/A,#N/A,TRUE,"P&amp;L - Durham";#N/A,#N/A,TRUE,"P&amp;L - Nottingham";#N/A,#N/A,TRUE,"P&amp;L - The Triangle"}</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localSheetId="2" hidden="1">{"client cfbs",#N/A,FALSE,"Client"}</definedName>
    <definedName name="wrn.Client._.cfbs." hidden="1">{"client cfbs",#N/A,FALSE,"Client"}</definedName>
    <definedName name="wrn.Client._.is." localSheetId="2" hidden="1">{"Client is",#N/A,FALSE,"Client"}</definedName>
    <definedName name="wrn.Client._.is." hidden="1">{"Client is",#N/A,FALSE,"Client"}</definedName>
    <definedName name="wrn.Client._.stats." localSheetId="2" hidden="1">{"Client stats",#N/A,FALSE,"Client"}</definedName>
    <definedName name="wrn.Client._.stats." hidden="1">{"Client stats",#N/A,FALSE,"Client"}</definedName>
    <definedName name="wrn.CMI._.Actuals." localSheetId="2" hidden="1">{"CMI ACT Cover Page",#N/A,FALSE,"Cover Page";"CMI Leadsheet",#N/A,FALSE,"Cover Page";"CMI ACT G&amp;A",#N/A,FALSE,"Cover Page"}</definedName>
    <definedName name="wrn.CMI._.Actuals." hidden="1">{"CMI ACT Cover Page",#N/A,FALSE,"Cover Page";"CMI Leadsheet",#N/A,FALSE,"Cover Page";"CMI ACT G&amp;A",#N/A,FALSE,"Cover Page"}</definedName>
    <definedName name="wrn.CMI._.FCST." localSheetId="2" hidden="1">{"CMI FCST Cover Page",#N/A,FALSE,"Cover Page";"CMI FCST rev by month",#N/A,FALSE,"Cover Page";"CMI Budget rev by month",#N/A,FALSE,"Cover Page";"CMI FCST vs Budget rev by month",#N/A,FALSE,"Cover Page";"CMI FCST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MISSION." localSheetId="6" hidden="1">{"FORM17",#N/A,FALSE,"Commission1";"FORM17.1",#N/A,FALSE,"Commission2"}</definedName>
    <definedName name="wrn.COMMISSION." localSheetId="2" hidden="1">{"FORM17",#N/A,FALSE,"Commission1";"FORM17.1",#N/A,FALSE,"Commission2"}</definedName>
    <definedName name="wrn.COMMISSION." hidden="1">{"FORM17",#N/A,FALSE,"Commission1";"FORM17.1",#N/A,FALSE,"Commission2"}</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localSheetId="2" hidden="1">{#N/A,#N/A,TRUE,"summary";#N/A,#N/A,TRUE,"model"}</definedName>
    <definedName name="wrn.Consolidated._.Only." hidden="1">{#N/A,#N/A,TRUE,"summary";#N/A,#N/A,TRUE,"model"}</definedName>
    <definedName name="wrn.Consolidated._.Statements." localSheetId="2" hidden="1">{"view1",#N/A,FALSE,"EARN (US$)";"view1",#N/A,FALSE,"DASTBS (US$)";"view1",#N/A,FALSE,"DASTCF (US$)"}</definedName>
    <definedName name="wrn.Consolidated._.Statements." hidden="1">{"view1",#N/A,FALSE,"EARN (US$)";"view1",#N/A,FALSE,"DASTBS (US$)";"view1",#N/A,FALSE,"DASTCF (US$)"}</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2" hidden="1">{"INCSTMT1",#N/A,FALSE,"COR";"INCSTMT2",#N/A,FALSE,"COR"}</definedName>
    <definedName name="wrn.CORR." hidden="1">{"INCSTMT1",#N/A,FALSE,"COR";"INCSTMT2",#N/A,FALSE,"COR"}</definedName>
    <definedName name="wrn.COSA._.FS._.국문." localSheetId="6"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6"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6"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6" hidden="1">{#N/A,#N/A,FALSE,"Performance Flash Report"}</definedName>
    <definedName name="wrn.CS._.Flash._.Test." localSheetId="2" hidden="1">{#N/A,#N/A,FALSE,"Performance Flash Report"}</definedName>
    <definedName name="wrn.CS._.Flash._.Test." hidden="1">{#N/A,#N/A,FALSE,"Performance Flash Report"}</definedName>
    <definedName name="wrn.CS._.Flash._.Test._1" localSheetId="6"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6"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6"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6"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6"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6"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6"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6"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6"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6"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6"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6"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6"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6"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6"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6"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6"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6"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6"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6"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6"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6"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6"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6"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6" hidden="1">{#N/A,#N/A,FALSE,"Performance Flash Report"}</definedName>
    <definedName name="wrn.CS._.Flash._.Test._5_4" localSheetId="2" hidden="1">{#N/A,#N/A,FALSE,"Performance Flash Report"}</definedName>
    <definedName name="wrn.CS._.Flash._.Test._5_4" hidden="1">{#N/A,#N/A,FALSE,"Performance Flash Report"}</definedName>
    <definedName name="wrn.daily." localSheetId="2"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d"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localSheetId="2" hidden="1">{#N/A,#N/A,TRUE,"P&amp;L - Main Summary";#N/A,#N/A,TRUE,"P&amp;L-Main Detail";#N/A,#N/A,TRUE,"Overhead Analysis";#N/A,#N/A,TRUE,"BalanceSheet"}</definedName>
    <definedName name="wrn.Directors._.Cover._.Sheets." hidden="1">{#N/A,#N/A,TRUE,"P&amp;L - Main Summary";#N/A,#N/A,TRUE,"P&amp;L-Main Detail";#N/A,#N/A,TRUE,"Overhead Analysis";#N/A,#N/A,TRUE,"BalanceSheet"}</definedName>
    <definedName name="wrn.DVI._.Borrowing._.Base." localSheetId="2" hidden="1">{#N/A,#N/A,FALSE,"Draw BB";#N/A,#N/A,FALSE,"Draw BC";#N/A,#N/A,FALSE,"Draw SH";#N/A,#N/A,FALSE,"Draw WH";#N/A,#N/A,FALSE,"Draw CC";#N/A,#N/A,FALSE,"Draw RV";#N/A,#N/A,FALSE,"Draw SW";#N/A,#N/A,FALSE,"Draw WM &amp; PC";#N/A,#N/A,FALSE,"Draw MM ";#N/A,#N/A,FALSE,"Census";#N/A,#N/A,FALSE,"Analysis";#N/A,#N/A,FALSE,"Fax";#N/A,#N/A,FALSE,"Ineligibles"}</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localSheetId="2" hidden="1">{#N/A,#N/A,TRUE,"summary";#N/A,#N/A,TRUE,"model";#N/A,#N/A,TRUE,"Consolidated P&amp;L Summary";#N/A,#N/A,TRUE,"Schwinn";#N/A,#N/A,TRUE,"G.T.";#N/A,#N/A,TRUE,"Hebb"}</definedName>
    <definedName name="wrn.Entire._.Model." hidden="1">{#N/A,#N/A,TRUE,"summary";#N/A,#N/A,TRUE,"model";#N/A,#N/A,TRUE,"Consolidated P&amp;L Summary";#N/A,#N/A,TRUE,"Schwinn";#N/A,#N/A,TRUE,"G.T.";#N/A,#N/A,TRUE,"Hebb"}</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6" hidden="1">{"FCB_ALL",#N/A,FALSE,"FCB"}</definedName>
    <definedName name="wrn.FCB." localSheetId="2" hidden="1">{"FCB_ALL",#N/A,FALSE,"FCB"}</definedName>
    <definedName name="wrn.FCB." hidden="1">{"FCB_ALL",#N/A,FALSE,"FCB"}</definedName>
    <definedName name="wrn.FCB._1" localSheetId="6" hidden="1">{"FCB_ALL",#N/A,FALSE,"FCB"}</definedName>
    <definedName name="wrn.FCB._1" localSheetId="2" hidden="1">{"FCB_ALL",#N/A,FALSE,"FCB"}</definedName>
    <definedName name="wrn.FCB._1" hidden="1">{"FCB_ALL",#N/A,FALSE,"FCB"}</definedName>
    <definedName name="wrn.FCB._1_1" localSheetId="6" hidden="1">{"FCB_ALL",#N/A,FALSE,"FCB"}</definedName>
    <definedName name="wrn.FCB._1_1" localSheetId="2" hidden="1">{"FCB_ALL",#N/A,FALSE,"FCB"}</definedName>
    <definedName name="wrn.FCB._1_1" hidden="1">{"FCB_ALL",#N/A,FALSE,"FCB"}</definedName>
    <definedName name="wrn.FCB._1_2" localSheetId="6" hidden="1">{"FCB_ALL",#N/A,FALSE,"FCB"}</definedName>
    <definedName name="wrn.FCB._1_2" localSheetId="2" hidden="1">{"FCB_ALL",#N/A,FALSE,"FCB"}</definedName>
    <definedName name="wrn.FCB._1_2" hidden="1">{"FCB_ALL",#N/A,FALSE,"FCB"}</definedName>
    <definedName name="wrn.FCB._1_3" localSheetId="6" hidden="1">{"FCB_ALL",#N/A,FALSE,"FCB"}</definedName>
    <definedName name="wrn.FCB._1_3" localSheetId="2" hidden="1">{"FCB_ALL",#N/A,FALSE,"FCB"}</definedName>
    <definedName name="wrn.FCB._1_3" hidden="1">{"FCB_ALL",#N/A,FALSE,"FCB"}</definedName>
    <definedName name="wrn.FCB._1_4" localSheetId="6" hidden="1">{"FCB_ALL",#N/A,FALSE,"FCB"}</definedName>
    <definedName name="wrn.FCB._1_4" localSheetId="2" hidden="1">{"FCB_ALL",#N/A,FALSE,"FCB"}</definedName>
    <definedName name="wrn.FCB._1_4" hidden="1">{"FCB_ALL",#N/A,FALSE,"FCB"}</definedName>
    <definedName name="wrn.FCB._2" localSheetId="6" hidden="1">{"FCB_ALL",#N/A,FALSE,"FCB"}</definedName>
    <definedName name="wrn.FCB._2" localSheetId="2" hidden="1">{"FCB_ALL",#N/A,FALSE,"FCB"}</definedName>
    <definedName name="wrn.FCB._2" hidden="1">{"FCB_ALL",#N/A,FALSE,"FCB"}</definedName>
    <definedName name="wrn.FCB._2_1" localSheetId="6" hidden="1">{"FCB_ALL",#N/A,FALSE,"FCB"}</definedName>
    <definedName name="wrn.FCB._2_1" localSheetId="2" hidden="1">{"FCB_ALL",#N/A,FALSE,"FCB"}</definedName>
    <definedName name="wrn.FCB._2_1" hidden="1">{"FCB_ALL",#N/A,FALSE,"FCB"}</definedName>
    <definedName name="wrn.FCB._2_2" localSheetId="6" hidden="1">{"FCB_ALL",#N/A,FALSE,"FCB"}</definedName>
    <definedName name="wrn.FCB._2_2" localSheetId="2" hidden="1">{"FCB_ALL",#N/A,FALSE,"FCB"}</definedName>
    <definedName name="wrn.FCB._2_2" hidden="1">{"FCB_ALL",#N/A,FALSE,"FCB"}</definedName>
    <definedName name="wrn.FCB._2_3" localSheetId="6" hidden="1">{"FCB_ALL",#N/A,FALSE,"FCB"}</definedName>
    <definedName name="wrn.FCB._2_3" localSheetId="2" hidden="1">{"FCB_ALL",#N/A,FALSE,"FCB"}</definedName>
    <definedName name="wrn.FCB._2_3" hidden="1">{"FCB_ALL",#N/A,FALSE,"FCB"}</definedName>
    <definedName name="wrn.FCB._2_4" localSheetId="6" hidden="1">{"FCB_ALL",#N/A,FALSE,"FCB"}</definedName>
    <definedName name="wrn.FCB._2_4" localSheetId="2" hidden="1">{"FCB_ALL",#N/A,FALSE,"FCB"}</definedName>
    <definedName name="wrn.FCB._2_4" hidden="1">{"FCB_ALL",#N/A,FALSE,"FCB"}</definedName>
    <definedName name="wrn.FCB._3" localSheetId="6" hidden="1">{"FCB_ALL",#N/A,FALSE,"FCB"}</definedName>
    <definedName name="wrn.FCB._3" localSheetId="2" hidden="1">{"FCB_ALL",#N/A,FALSE,"FCB"}</definedName>
    <definedName name="wrn.FCB._3" hidden="1">{"FCB_ALL",#N/A,FALSE,"FCB"}</definedName>
    <definedName name="wrn.FCB._3_1" localSheetId="6" hidden="1">{"FCB_ALL",#N/A,FALSE,"FCB"}</definedName>
    <definedName name="wrn.FCB._3_1" localSheetId="2" hidden="1">{"FCB_ALL",#N/A,FALSE,"FCB"}</definedName>
    <definedName name="wrn.FCB._3_1" hidden="1">{"FCB_ALL",#N/A,FALSE,"FCB"}</definedName>
    <definedName name="wrn.FCB._3_2" localSheetId="6" hidden="1">{"FCB_ALL",#N/A,FALSE,"FCB"}</definedName>
    <definedName name="wrn.FCB._3_2" localSheetId="2" hidden="1">{"FCB_ALL",#N/A,FALSE,"FCB"}</definedName>
    <definedName name="wrn.FCB._3_2" hidden="1">{"FCB_ALL",#N/A,FALSE,"FCB"}</definedName>
    <definedName name="wrn.FCB._3_3" localSheetId="6" hidden="1">{"FCB_ALL",#N/A,FALSE,"FCB"}</definedName>
    <definedName name="wrn.FCB._3_3" localSheetId="2" hidden="1">{"FCB_ALL",#N/A,FALSE,"FCB"}</definedName>
    <definedName name="wrn.FCB._3_3" hidden="1">{"FCB_ALL",#N/A,FALSE,"FCB"}</definedName>
    <definedName name="wrn.FCB._3_4" localSheetId="6" hidden="1">{"FCB_ALL",#N/A,FALSE,"FCB"}</definedName>
    <definedName name="wrn.FCB._3_4" localSheetId="2" hidden="1">{"FCB_ALL",#N/A,FALSE,"FCB"}</definedName>
    <definedName name="wrn.FCB._3_4" hidden="1">{"FCB_ALL",#N/A,FALSE,"FCB"}</definedName>
    <definedName name="wrn.FCB._4" localSheetId="6" hidden="1">{"FCB_ALL",#N/A,FALSE,"FCB"}</definedName>
    <definedName name="wrn.FCB._4" localSheetId="2" hidden="1">{"FCB_ALL",#N/A,FALSE,"FCB"}</definedName>
    <definedName name="wrn.FCB._4" hidden="1">{"FCB_ALL",#N/A,FALSE,"FCB"}</definedName>
    <definedName name="wrn.FCB._4_1" localSheetId="6" hidden="1">{"FCB_ALL",#N/A,FALSE,"FCB"}</definedName>
    <definedName name="wrn.FCB._4_1" localSheetId="2" hidden="1">{"FCB_ALL",#N/A,FALSE,"FCB"}</definedName>
    <definedName name="wrn.FCB._4_1" hidden="1">{"FCB_ALL",#N/A,FALSE,"FCB"}</definedName>
    <definedName name="wrn.FCB._4_2" localSheetId="6" hidden="1">{"FCB_ALL",#N/A,FALSE,"FCB"}</definedName>
    <definedName name="wrn.FCB._4_2" localSheetId="2" hidden="1">{"FCB_ALL",#N/A,FALSE,"FCB"}</definedName>
    <definedName name="wrn.FCB._4_2" hidden="1">{"FCB_ALL",#N/A,FALSE,"FCB"}</definedName>
    <definedName name="wrn.FCB._4_3" localSheetId="6" hidden="1">{"FCB_ALL",#N/A,FALSE,"FCB"}</definedName>
    <definedName name="wrn.FCB._4_3" localSheetId="2" hidden="1">{"FCB_ALL",#N/A,FALSE,"FCB"}</definedName>
    <definedName name="wrn.FCB._4_3" hidden="1">{"FCB_ALL",#N/A,FALSE,"FCB"}</definedName>
    <definedName name="wrn.FCB._4_4" localSheetId="6" hidden="1">{"FCB_ALL",#N/A,FALSE,"FCB"}</definedName>
    <definedName name="wrn.FCB._4_4" localSheetId="2" hidden="1">{"FCB_ALL",#N/A,FALSE,"FCB"}</definedName>
    <definedName name="wrn.FCB._4_4" hidden="1">{"FCB_ALL",#N/A,FALSE,"FCB"}</definedName>
    <definedName name="wrn.FCB._5" localSheetId="6" hidden="1">{"FCB_ALL",#N/A,FALSE,"FCB"}</definedName>
    <definedName name="wrn.FCB._5" localSheetId="2" hidden="1">{"FCB_ALL",#N/A,FALSE,"FCB"}</definedName>
    <definedName name="wrn.FCB._5" hidden="1">{"FCB_ALL",#N/A,FALSE,"FCB"}</definedName>
    <definedName name="wrn.FCB._5_1" localSheetId="6" hidden="1">{"FCB_ALL",#N/A,FALSE,"FCB"}</definedName>
    <definedName name="wrn.FCB._5_1" localSheetId="2" hidden="1">{"FCB_ALL",#N/A,FALSE,"FCB"}</definedName>
    <definedName name="wrn.FCB._5_1" hidden="1">{"FCB_ALL",#N/A,FALSE,"FCB"}</definedName>
    <definedName name="wrn.FCB._5_2" localSheetId="6" hidden="1">{"FCB_ALL",#N/A,FALSE,"FCB"}</definedName>
    <definedName name="wrn.FCB._5_2" localSheetId="2" hidden="1">{"FCB_ALL",#N/A,FALSE,"FCB"}</definedName>
    <definedName name="wrn.FCB._5_2" hidden="1">{"FCB_ALL",#N/A,FALSE,"FCB"}</definedName>
    <definedName name="wrn.FCB._5_3" localSheetId="6" hidden="1">{"FCB_ALL",#N/A,FALSE,"FCB"}</definedName>
    <definedName name="wrn.FCB._5_3" localSheetId="2" hidden="1">{"FCB_ALL",#N/A,FALSE,"FCB"}</definedName>
    <definedName name="wrn.FCB._5_3" hidden="1">{"FCB_ALL",#N/A,FALSE,"FCB"}</definedName>
    <definedName name="wrn.FCB._5_4" localSheetId="6" hidden="1">{"FCB_ALL",#N/A,FALSE,"FCB"}</definedName>
    <definedName name="wrn.FCB._5_4" localSheetId="2" hidden="1">{"FCB_ALL",#N/A,FALSE,"FCB"}</definedName>
    <definedName name="wrn.FCB._5_4" hidden="1">{"FCB_ALL",#N/A,FALSE,"FCB"}</definedName>
    <definedName name="wrn.fcb2" localSheetId="6" hidden="1">{"FCB_ALL",#N/A,FALSE,"FCB"}</definedName>
    <definedName name="wrn.fcb2" localSheetId="2" hidden="1">{"FCB_ALL",#N/A,FALSE,"FCB"}</definedName>
    <definedName name="wrn.fcb2" hidden="1">{"FCB_ALL",#N/A,FALSE,"FCB"}</definedName>
    <definedName name="wrn.fcb2_1" localSheetId="6" hidden="1">{"FCB_ALL",#N/A,FALSE,"FCB"}</definedName>
    <definedName name="wrn.fcb2_1" localSheetId="2" hidden="1">{"FCB_ALL",#N/A,FALSE,"FCB"}</definedName>
    <definedName name="wrn.fcb2_1" hidden="1">{"FCB_ALL",#N/A,FALSE,"FCB"}</definedName>
    <definedName name="wrn.fcb2_1_1" localSheetId="6" hidden="1">{"FCB_ALL",#N/A,FALSE,"FCB"}</definedName>
    <definedName name="wrn.fcb2_1_1" localSheetId="2" hidden="1">{"FCB_ALL",#N/A,FALSE,"FCB"}</definedName>
    <definedName name="wrn.fcb2_1_1" hidden="1">{"FCB_ALL",#N/A,FALSE,"FCB"}</definedName>
    <definedName name="wrn.fcb2_1_2" localSheetId="6" hidden="1">{"FCB_ALL",#N/A,FALSE,"FCB"}</definedName>
    <definedName name="wrn.fcb2_1_2" localSheetId="2" hidden="1">{"FCB_ALL",#N/A,FALSE,"FCB"}</definedName>
    <definedName name="wrn.fcb2_1_2" hidden="1">{"FCB_ALL",#N/A,FALSE,"FCB"}</definedName>
    <definedName name="wrn.fcb2_1_3" localSheetId="6" hidden="1">{"FCB_ALL",#N/A,FALSE,"FCB"}</definedName>
    <definedName name="wrn.fcb2_1_3" localSheetId="2" hidden="1">{"FCB_ALL",#N/A,FALSE,"FCB"}</definedName>
    <definedName name="wrn.fcb2_1_3" hidden="1">{"FCB_ALL",#N/A,FALSE,"FCB"}</definedName>
    <definedName name="wrn.fcb2_1_4" localSheetId="6" hidden="1">{"FCB_ALL",#N/A,FALSE,"FCB"}</definedName>
    <definedName name="wrn.fcb2_1_4" localSheetId="2" hidden="1">{"FCB_ALL",#N/A,FALSE,"FCB"}</definedName>
    <definedName name="wrn.fcb2_1_4" hidden="1">{"FCB_ALL",#N/A,FALSE,"FCB"}</definedName>
    <definedName name="wrn.fcb2_2" localSheetId="6" hidden="1">{"FCB_ALL",#N/A,FALSE,"FCB"}</definedName>
    <definedName name="wrn.fcb2_2" localSheetId="2" hidden="1">{"FCB_ALL",#N/A,FALSE,"FCB"}</definedName>
    <definedName name="wrn.fcb2_2" hidden="1">{"FCB_ALL",#N/A,FALSE,"FCB"}</definedName>
    <definedName name="wrn.fcb2_2_1" localSheetId="6" hidden="1">{"FCB_ALL",#N/A,FALSE,"FCB"}</definedName>
    <definedName name="wrn.fcb2_2_1" localSheetId="2" hidden="1">{"FCB_ALL",#N/A,FALSE,"FCB"}</definedName>
    <definedName name="wrn.fcb2_2_1" hidden="1">{"FCB_ALL",#N/A,FALSE,"FCB"}</definedName>
    <definedName name="wrn.fcb2_2_2" localSheetId="6" hidden="1">{"FCB_ALL",#N/A,FALSE,"FCB"}</definedName>
    <definedName name="wrn.fcb2_2_2" localSheetId="2" hidden="1">{"FCB_ALL",#N/A,FALSE,"FCB"}</definedName>
    <definedName name="wrn.fcb2_2_2" hidden="1">{"FCB_ALL",#N/A,FALSE,"FCB"}</definedName>
    <definedName name="wrn.fcb2_2_3" localSheetId="6" hidden="1">{"FCB_ALL",#N/A,FALSE,"FCB"}</definedName>
    <definedName name="wrn.fcb2_2_3" localSheetId="2" hidden="1">{"FCB_ALL",#N/A,FALSE,"FCB"}</definedName>
    <definedName name="wrn.fcb2_2_3" hidden="1">{"FCB_ALL",#N/A,FALSE,"FCB"}</definedName>
    <definedName name="wrn.fcb2_2_4" localSheetId="6" hidden="1">{"FCB_ALL",#N/A,FALSE,"FCB"}</definedName>
    <definedName name="wrn.fcb2_2_4" localSheetId="2" hidden="1">{"FCB_ALL",#N/A,FALSE,"FCB"}</definedName>
    <definedName name="wrn.fcb2_2_4" hidden="1">{"FCB_ALL",#N/A,FALSE,"FCB"}</definedName>
    <definedName name="wrn.fcb2_3" localSheetId="6" hidden="1">{"FCB_ALL",#N/A,FALSE,"FCB"}</definedName>
    <definedName name="wrn.fcb2_3" localSheetId="2" hidden="1">{"FCB_ALL",#N/A,FALSE,"FCB"}</definedName>
    <definedName name="wrn.fcb2_3" hidden="1">{"FCB_ALL",#N/A,FALSE,"FCB"}</definedName>
    <definedName name="wrn.fcb2_3_1" localSheetId="6" hidden="1">{"FCB_ALL",#N/A,FALSE,"FCB"}</definedName>
    <definedName name="wrn.fcb2_3_1" localSheetId="2" hidden="1">{"FCB_ALL",#N/A,FALSE,"FCB"}</definedName>
    <definedName name="wrn.fcb2_3_1" hidden="1">{"FCB_ALL",#N/A,FALSE,"FCB"}</definedName>
    <definedName name="wrn.fcb2_3_2" localSheetId="6" hidden="1">{"FCB_ALL",#N/A,FALSE,"FCB"}</definedName>
    <definedName name="wrn.fcb2_3_2" localSheetId="2" hidden="1">{"FCB_ALL",#N/A,FALSE,"FCB"}</definedName>
    <definedName name="wrn.fcb2_3_2" hidden="1">{"FCB_ALL",#N/A,FALSE,"FCB"}</definedName>
    <definedName name="wrn.fcb2_3_3" localSheetId="6" hidden="1">{"FCB_ALL",#N/A,FALSE,"FCB"}</definedName>
    <definedName name="wrn.fcb2_3_3" localSheetId="2" hidden="1">{"FCB_ALL",#N/A,FALSE,"FCB"}</definedName>
    <definedName name="wrn.fcb2_3_3" hidden="1">{"FCB_ALL",#N/A,FALSE,"FCB"}</definedName>
    <definedName name="wrn.fcb2_3_4" localSheetId="6" hidden="1">{"FCB_ALL",#N/A,FALSE,"FCB"}</definedName>
    <definedName name="wrn.fcb2_3_4" localSheetId="2" hidden="1">{"FCB_ALL",#N/A,FALSE,"FCB"}</definedName>
    <definedName name="wrn.fcb2_3_4" hidden="1">{"FCB_ALL",#N/A,FALSE,"FCB"}</definedName>
    <definedName name="wrn.fcb2_4" localSheetId="6" hidden="1">{"FCB_ALL",#N/A,FALSE,"FCB"}</definedName>
    <definedName name="wrn.fcb2_4" localSheetId="2" hidden="1">{"FCB_ALL",#N/A,FALSE,"FCB"}</definedName>
    <definedName name="wrn.fcb2_4" hidden="1">{"FCB_ALL",#N/A,FALSE,"FCB"}</definedName>
    <definedName name="wrn.fcb2_4_1" localSheetId="6" hidden="1">{"FCB_ALL",#N/A,FALSE,"FCB"}</definedName>
    <definedName name="wrn.fcb2_4_1" localSheetId="2" hidden="1">{"FCB_ALL",#N/A,FALSE,"FCB"}</definedName>
    <definedName name="wrn.fcb2_4_1" hidden="1">{"FCB_ALL",#N/A,FALSE,"FCB"}</definedName>
    <definedName name="wrn.fcb2_4_2" localSheetId="6" hidden="1">{"FCB_ALL",#N/A,FALSE,"FCB"}</definedName>
    <definedName name="wrn.fcb2_4_2" localSheetId="2" hidden="1">{"FCB_ALL",#N/A,FALSE,"FCB"}</definedName>
    <definedName name="wrn.fcb2_4_2" hidden="1">{"FCB_ALL",#N/A,FALSE,"FCB"}</definedName>
    <definedName name="wrn.fcb2_4_3" localSheetId="6" hidden="1">{"FCB_ALL",#N/A,FALSE,"FCB"}</definedName>
    <definedName name="wrn.fcb2_4_3" localSheetId="2" hidden="1">{"FCB_ALL",#N/A,FALSE,"FCB"}</definedName>
    <definedName name="wrn.fcb2_4_3" hidden="1">{"FCB_ALL",#N/A,FALSE,"FCB"}</definedName>
    <definedName name="wrn.fcb2_4_4" localSheetId="6" hidden="1">{"FCB_ALL",#N/A,FALSE,"FCB"}</definedName>
    <definedName name="wrn.fcb2_4_4" localSheetId="2" hidden="1">{"FCB_ALL",#N/A,FALSE,"FCB"}</definedName>
    <definedName name="wrn.fcb2_4_4" hidden="1">{"FCB_ALL",#N/A,FALSE,"FCB"}</definedName>
    <definedName name="wrn.fcb2_5" localSheetId="6" hidden="1">{"FCB_ALL",#N/A,FALSE,"FCB"}</definedName>
    <definedName name="wrn.fcb2_5" localSheetId="2" hidden="1">{"FCB_ALL",#N/A,FALSE,"FCB"}</definedName>
    <definedName name="wrn.fcb2_5" hidden="1">{"FCB_ALL",#N/A,FALSE,"FCB"}</definedName>
    <definedName name="wrn.fcb2_5_1" localSheetId="6" hidden="1">{"FCB_ALL",#N/A,FALSE,"FCB"}</definedName>
    <definedName name="wrn.fcb2_5_1" localSheetId="2" hidden="1">{"FCB_ALL",#N/A,FALSE,"FCB"}</definedName>
    <definedName name="wrn.fcb2_5_1" hidden="1">{"FCB_ALL",#N/A,FALSE,"FCB"}</definedName>
    <definedName name="wrn.fcb2_5_2" localSheetId="6" hidden="1">{"FCB_ALL",#N/A,FALSE,"FCB"}</definedName>
    <definedName name="wrn.fcb2_5_2" localSheetId="2" hidden="1">{"FCB_ALL",#N/A,FALSE,"FCB"}</definedName>
    <definedName name="wrn.fcb2_5_2" hidden="1">{"FCB_ALL",#N/A,FALSE,"FCB"}</definedName>
    <definedName name="wrn.fcb2_5_3" localSheetId="6" hidden="1">{"FCB_ALL",#N/A,FALSE,"FCB"}</definedName>
    <definedName name="wrn.fcb2_5_3" localSheetId="2" hidden="1">{"FCB_ALL",#N/A,FALSE,"FCB"}</definedName>
    <definedName name="wrn.fcb2_5_3" hidden="1">{"FCB_ALL",#N/A,FALSE,"FCB"}</definedName>
    <definedName name="wrn.fcb2_5_4" localSheetId="6" hidden="1">{"FCB_ALL",#N/A,FALSE,"FCB"}</definedName>
    <definedName name="wrn.fcb2_5_4" localSheetId="2" hidden="1">{"FCB_ALL",#N/A,FALSE,"FCB"}</definedName>
    <definedName name="wrn.fcb2_5_4" hidden="1">{"FCB_ALL",#N/A,FALSE,"FCB"}</definedName>
    <definedName name="wrn.Final._.Payable._.By._.Country." localSheetId="2" hidden="1">{"Final Payable By Country",#N/A,FALSE,"Final Payable"}</definedName>
    <definedName name="wrn.Final._.Payable._.By._.Country." hidden="1">{"Final Payable By Country",#N/A,FALSE,"Final Payable"}</definedName>
    <definedName name="wrn.for._.TenneT."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localSheetId="2"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localSheetId="2"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localSheetId="2" hidden="1">{#N/A,#N/A,TRUE,"Julio";#N/A,#N/A,TRUE,"Agosto";#N/A,#N/A,TRUE,"BHCo";#N/A,#N/A,TRUE,"Abril";#N/A,#N/A,TRUE,"Pro Forma"}</definedName>
    <definedName name="wrn.Friendly." hidden="1">{#N/A,#N/A,TRUE,"Julio";#N/A,#N/A,TRUE,"Agosto";#N/A,#N/A,TRUE,"BHCo";#N/A,#N/A,TRUE,"Abril";#N/A,#N/A,TRUE,"Pro Forma"}</definedName>
    <definedName name="wrn.Full._.Report."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localSheetId="2"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rn.FY97SBP." localSheetId="6"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6"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6"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6"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6"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6"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6"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6"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6"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6"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6"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6"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6"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6"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6"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6"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6"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6"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6"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6"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6"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6"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6"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6"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6"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6"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localSheetId="2"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localSheetId="2" hidden="1">{#N/A,#N/A,FALSE,"Giles Potter";#N/A,#N/A,FALSE,"P&amp;L - Heathrow";#N/A,#N/A,FALSE,"P&amp;L - Tottenham Court Road";#N/A,#N/A,FALSE,"P&amp;L - Brewer Street";#N/A,#N/A,FALSE,"P&amp;L - Strand";#N/A,#N/A,FALSE,"P&amp;L - Lancaster Place";#N/A,#N/A,FALSE,"P&amp;L - Soho"}</definedName>
    <definedName name="wrn.Giles._.Potter." hidden="1">{#N/A,#N/A,FALSE,"Giles Potter";#N/A,#N/A,FALSE,"P&amp;L - Heathrow";#N/A,#N/A,FALSE,"P&amp;L - Tottenham Court Road";#N/A,#N/A,FALSE,"P&amp;L - Brewer Street";#N/A,#N/A,FALSE,"P&amp;L - Strand";#N/A,#N/A,FALSE,"P&amp;L - Lancaster Place";#N/A,#N/A,FALSE,"P&amp;L - Soho"}</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Historical._.Cost._.PWC." localSheetId="2"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PWC.1" localSheetId="2"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localSheetId="2"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localSheetId="2"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localSheetId="2" hidden="1">{"Income statement",#N/A,TRUE,"P&amp;L";"Cash flow and Bal sheet",#N/A,TRUE,"P&amp;L";"intl",#N/A,TRUE,"Int'l";"Local and other telecom",#N/A,TRUE,"P&amp;L";"FAs cash and staff",#N/A,TRUE,"P&amp;L";"Loss of revenue",#N/A,TRUE,"Int'l"}</definedName>
    <definedName name="wrn.HK._.Telecom." hidden="1">{"Income statement",#N/A,TRUE,"P&amp;L";"Cash flow and Bal sheet",#N/A,TRUE,"P&amp;L";"intl",#N/A,TRUE,"Int'l";"Local and other telecom",#N/A,TRUE,"P&amp;L";"FAs cash and staff",#N/A,TRUE,"P&amp;L";"Loss of revenue",#N/A,TRUE,"Int'l"}</definedName>
    <definedName name="wrn.Hutchison._.Max." localSheetId="2" hidden="1">{#N/A,#N/A,FALSE,"Cellular"}</definedName>
    <definedName name="wrn.Hutchison._.Max." hidden="1">{#N/A,#N/A,FALSE,"Cellular"}</definedName>
    <definedName name="wrn.HWITEM." localSheetId="6"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localSheetId="2" hidden="1">{#N/A,#N/A,FALSE,"main";#N/A,#N/A,FALSE,"100% Cash";#N/A,#N/A,FALSE,"100% Stock"}</definedName>
    <definedName name="wrn.Hyg._.Acq." hidden="1">{#N/A,#N/A,FALSE,"main";#N/A,#N/A,FALSE,"100% Cash";#N/A,#N/A,FALSE,"100% Stock"}</definedName>
    <definedName name="wrn.I1III11." localSheetId="2"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2" hidden="1">{#N/A,#N/A,TRUE,"IGT";#N/A,#N/A,TRUE,"IGTSLOT"}</definedName>
    <definedName name="wrn.IGT._.Model." hidden="1">{#N/A,#N/A,TRUE,"IGT";#N/A,#N/A,TRUE,"IGTSLOT"}</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6" hidden="1">{#N/A,#N/A,TRUE,"COFTOT"}</definedName>
    <definedName name="wrn.imprim." localSheetId="2" hidden="1">{#N/A,#N/A,TRUE,"COFTOT"}</definedName>
    <definedName name="wrn.imprim." hidden="1">{#N/A,#N/A,TRUE,"COFTOT"}</definedName>
    <definedName name="wrn.Income._.Statement." localSheetId="2" hidden="1">{#N/A,#N/A,FALSE,"Report Print"}</definedName>
    <definedName name="wrn.Income._.Statement." hidden="1">{#N/A,#N/A,FALSE,"Report Print"}</definedName>
    <definedName name="wrn.Income._.Stmt." localSheetId="2" hidden="1">{"Income Stmt",#N/A,FALSE,"Model"}</definedName>
    <definedName name="wrn.Income._.Stmt." hidden="1">{"Income Stmt",#N/A,FALSE,"Model"}</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localSheetId="2"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localSheetId="2" hidden="1">{"Internal is",#N/A,FALSE,"Model"}</definedName>
    <definedName name="wrn.Internal._.is." hidden="1">{"Internal is",#N/A,FALSE,"Model"}</definedName>
    <definedName name="wrn.Introduction."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localSheetId="2" hidden="1">{#N/A,#N/A,FALSE,"John Taffe";#N/A,#N/A,FALSE,"P&amp;L - Ashford";#N/A,#N/A,FALSE,"P&amp;L - Bristol";#N/A,#N/A,FALSE,"P&amp;L - Clapham Junction";#N/A,#N/A,FALSE,"P&amp;L - Clapham High Street"}</definedName>
    <definedName name="wrn.John._.Taffe." hidden="1">{#N/A,#N/A,FALSE,"John Taffe";#N/A,#N/A,FALSE,"P&amp;L - Ashford";#N/A,#N/A,FALSE,"P&amp;L - Bristol";#N/A,#N/A,FALSE,"P&amp;L - Clapham Junction";#N/A,#N/A,FALSE,"P&amp;L - Clapham High Street"}</definedName>
    <definedName name="wrn.JV." localSheetId="2" hidden="1">{#N/A,#N/A,FALSE,"JV"}</definedName>
    <definedName name="wrn.JV." hidden="1">{#N/A,#N/A,FALSE,"JV"}</definedName>
    <definedName name="wrn.Key_Financial_Graphs."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localSheetId="2" hidden="1">{#N/A,#N/A,FALSE,"Initial Year";#N/A,#N/A,FALSE,"Historical";#N/A,#N/A,FALSE,"balsheet";#N/A,#N/A,FALSE,"incstate";#N/A,#N/A,FALSE,"Fleet"}</definedName>
    <definedName name="wrn.Leases.xls." hidden="1">{#N/A,#N/A,FALSE,"Initial Year";#N/A,#N/A,FALSE,"Historical";#N/A,#N/A,FALSE,"balsheet";#N/A,#N/A,FALSE,"incstate";#N/A,#N/A,FALSE,"Fleet"}</definedName>
    <definedName name="wrn.Liesel._.Panchaud." localSheetId="2" hidden="1">{#N/A,#N/A,FALSE,"Liesel Panchaud";#N/A,#N/A,FALSE,"P&amp;L - Winchester House";#N/A,#N/A,FALSE,"P&amp;L - Wormwood";#N/A,#N/A,FALSE,"P&amp;L - Leadenhall";#N/A,#N/A,FALSE,"P&amp;L - Cranbourn Street";#N/A,#N/A,FALSE,"P&amp;L - Edgeware Road";#N/A,#N/A,FALSE,"P&amp;L - Piccadilly"}</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localSheetId="2" hidden="1">{#N/A,#N/A,FALSE,"EPS";#N/A,#N/A,FALSE,"EBITDA"}</definedName>
    <definedName name="wrn.Lodging." hidden="1">{#N/A,#N/A,FALSE,"EPS";#N/A,#N/A,FALSE,"EBITDA"}</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localSheetId="2" hidden="1">{#N/A,#N/A,FALSE,"MIR";#N/A,#N/A,FALSE,"NYNY"}</definedName>
    <definedName name="wrn.mirBellagio." hidden="1">{#N/A,#N/A,FALSE,"MIR";#N/A,#N/A,FALSE,"NYNY"}</definedName>
    <definedName name="wrn.model." localSheetId="2" hidden="1">{"basic",#N/A,FALSE,"BASIC"}</definedName>
    <definedName name="wrn.model." hidden="1">{"basic",#N/A,FALSE,"BASIC"}</definedName>
    <definedName name="wrn.MODELS." localSheetId="2"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localSheetId="2" hidden="1">{"Month End Performance",#N/A,FALSE,"Report";"Site Talk Times",#N/A,FALSE,"Report"}</definedName>
    <definedName name="wrn.Monthly." hidden="1">{"Month End Performance",#N/A,FALSE,"Report";"Site Talk Times",#N/A,FALSE,"Report"}</definedName>
    <definedName name="wrn.Monthly._.Financials." localSheetId="2" hidden="1">{#N/A,#N/A,FALSE,"mfg - consol";#N/A,#N/A,FALSE,"mfg - flo";#N/A,#N/A,FALSE,"mfg - lindsay"}</definedName>
    <definedName name="wrn.Monthly._.Financials." hidden="1">{#N/A,#N/A,FALSE,"mfg - consol";#N/A,#N/A,FALSE,"mfg - flo";#N/A,#N/A,FALSE,"mfg - lindsay"}</definedName>
    <definedName name="wrn.Months._.1999." localSheetId="2" hidden="1">{"Monthly 1999 Stats",#N/A,FALSE,"Months";"Monthly 1999 IS",#N/A,FALSE,"Months"}</definedName>
    <definedName name="wrn.Months._.1999." hidden="1">{"Monthly 1999 Stats",#N/A,FALSE,"Months";"Monthly 1999 IS",#N/A,FALSE,"Months"}</definedName>
    <definedName name="wrn.Months._.2000." localSheetId="2" hidden="1">{"Monthly 2000 Stats",#N/A,FALSE,"Months";"Monthly 2000 IS",#N/A,FALSE,"Months"}</definedName>
    <definedName name="wrn.Months._.2000." hidden="1">{"Monthly 2000 Stats",#N/A,FALSE,"Months";"Monthly 2000 IS",#N/A,FALSE,"Months"}</definedName>
    <definedName name="wrn.Months._.2001." localSheetId="2" hidden="1">{"Monthly 2001 Stats",#N/A,FALSE,"Months";"Monthly 2001 IS",#N/A,FALSE,"Months"}</definedName>
    <definedName name="wrn.Months._.2001." hidden="1">{"Monthly 2001 Stats",#N/A,FALSE,"Months";"Monthly 2001 IS",#N/A,FALSE,"Months"}</definedName>
    <definedName name="wrn.Months._.2002." localSheetId="2" hidden="1">{"Monthly 2002 Stats",#N/A,FALSE,"Months";"Monthly 2002 IS",#N/A,FALSE,"Months"}</definedName>
    <definedName name="wrn.Months._.2002." hidden="1">{"Monthly 2002 Stats",#N/A,FALSE,"Months";"Monthly 2002 IS",#N/A,FALSE,"Months"}</definedName>
    <definedName name="wrn.Months._.2003." localSheetId="2" hidden="1">{"Monthly 2003 Stats",#N/A,FALSE,"Months";"Monthly 2003 IS",#N/A,FALSE,"Months"}</definedName>
    <definedName name="wrn.Months._.2003." hidden="1">{"Monthly 2003 Stats",#N/A,FALSE,"Months";"Monthly 2003 IS",#N/A,FALSE,"Months"}</definedName>
    <definedName name="wrn.New._.business." localSheetId="2"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localSheetId="2" hidden="1">{"QTRINC",#N/A,FALSE,"US FORMAT - P&amp;L";"MARGIN",#N/A,FALSE,"US FORMAT-MARGIN";"SALES1",#N/A,FALSE,"US FORMAT - SALES";"SALES2",#N/A,FALSE,"US FORMAT - SALES";"SALES3",#N/A,FALSE,"US FORMAT - SALES";"SALES4",#N/A,FALSE,"US FORMAT - SALES";"SALES5",#N/A,FALSE,"US FORMAT - SALES"}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localSheetId="2"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6" hidden="1">{#N/A,#N/A,FALSE,"P.C.B"}</definedName>
    <definedName name="wrn.PCB원가계산." localSheetId="2" hidden="1">{#N/A,#N/A,FALSE,"P.C.B"}</definedName>
    <definedName name="wrn.PCB원가계산." hidden="1">{#N/A,#N/A,FALSE,"P.C.B"}</definedName>
    <definedName name="wrn.pc보유현황." localSheetId="6" hidden="1">{#N/A,#N/A,FALSE,"초중조사서식 "}</definedName>
    <definedName name="wrn.pc보유현황." localSheetId="2" hidden="1">{#N/A,#N/A,FALSE,"초중조사서식 "}</definedName>
    <definedName name="wrn.pc보유현황." hidden="1">{#N/A,#N/A,FALSE,"초중조사서식 "}</definedName>
    <definedName name="wrn.PERSONNEL." localSheetId="6" hidden="1">{"FORM16",#N/A,TRUE,"Personnel1";"FORM16.2",#N/A,TRUE,"Personnel2";"FORM16.2",#N/A,TRUE,"Personnel3";"FORM16.3",#N/A,TRUE,"Personnel4";"FORM16.4",#N/A,TRUE,"Personnel5"}</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6" hidden="1">{#N/A,#N/A,FALSE,"9612";#N/A,#N/A,FALSE,"9612"}</definedName>
    <definedName name="wrn.pl." localSheetId="2" hidden="1">{#N/A,#N/A,FALSE,"9612";#N/A,#N/A,FALSE,"9612"}</definedName>
    <definedName name="wrn.pl." hidden="1">{#N/A,#N/A,FALSE,"9612";#N/A,#N/A,FALSE,"9612"}</definedName>
    <definedName name="wrn.Planilhas." localSheetId="2" hidden="1">{"Presentation","Presentation",FALSE,"3 COT"}</definedName>
    <definedName name="wrn.Planilhas." hidden="1">{"Presentation","Presentation",FALSE,"3 COT"}</definedName>
    <definedName name="wrn.Portrait._.IS." localSheetId="2" hidden="1">{"Portrait letter is",#N/A,FALSE,"Model"}</definedName>
    <definedName name="wrn.Portrait._.IS." hidden="1">{"Portrait letter is",#N/A,FALSE,"Model"}</definedName>
    <definedName name="wrn.Portrait._.letter._.is." localSheetId="2" hidden="1">{"Portrait letter is",#N/A,FALSE,"Model"}</definedName>
    <definedName name="wrn.Portrait._.letter._.is." hidden="1">{"Portrait letter is",#N/A,FALSE,"Model"}</definedName>
    <definedName name="wrn.pres." localSheetId="2"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localSheetId="2"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t." localSheetId="2" hidden="1">{"vi1",#N/A,FALSE,"Financial Statements";"vi2",#N/A,FALSE,"Financial Statements";#N/A,#N/A,FALSE,"DCF"}</definedName>
    <definedName name="wrn.Print." hidden="1">{"vi1",#N/A,FALSE,"Financial Statements";"vi2",#N/A,FALSE,"Financial Statements";#N/A,#N/A,FALSE,"DCF"}</definedName>
    <definedName name="wrn.Print._.4." localSheetId="2"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2"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6" hidden="1">{#N/A,#N/A,FALSE,"Pharm";#N/A,#N/A,FALSE,"WWCM"}</definedName>
    <definedName name="wrn.PRINT._.ALL." localSheetId="2" hidden="1">{#N/A,#N/A,FALSE,"Pharm";#N/A,#N/A,FALSE,"WWCM"}</definedName>
    <definedName name="wrn.PRINT._.ALL." hidden="1">{#N/A,#N/A,FALSE,"Pharm";#N/A,#N/A,FALSE,"WWCM"}</definedName>
    <definedName name="wrn.PRINT._.ALL._1" localSheetId="6" hidden="1">{#N/A,#N/A,FALSE,"Pharm";#N/A,#N/A,FALSE,"WWCM"}</definedName>
    <definedName name="wrn.PRINT._.ALL._1" localSheetId="2" hidden="1">{#N/A,#N/A,FALSE,"Pharm";#N/A,#N/A,FALSE,"WWCM"}</definedName>
    <definedName name="wrn.PRINT._.ALL._1" hidden="1">{#N/A,#N/A,FALSE,"Pharm";#N/A,#N/A,FALSE,"WWCM"}</definedName>
    <definedName name="wrn.print._.area._.1."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6"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6"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6"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6"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6"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6"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6"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6"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6"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6"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6"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6"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6"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6"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6"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6"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6"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6"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6"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6"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6"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6"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6"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6"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6"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6"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6" hidden="1">{"inputs raw data",#N/A,TRUE,"INPUT"}</definedName>
    <definedName name="wrn.print._.raw._.data._.entry." localSheetId="2" hidden="1">{"inputs raw data",#N/A,TRUE,"INPUT"}</definedName>
    <definedName name="wrn.print._.raw._.data._.entry." hidden="1">{"inputs raw data",#N/A,TRUE,"INPUT"}</definedName>
    <definedName name="wrn.print._.raw._.data._.entry._1" localSheetId="6"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6"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6"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6"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6"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6"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6"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6"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6"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6"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6"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6"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6"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6"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6"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6"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6"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6"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6"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6"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6"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6"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6"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6"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6" hidden="1">{"inputs raw data",#N/A,TRUE,"INPUT"}</definedName>
    <definedName name="wrn.print._.raw._.data._.entry._5_4" localSheetId="2" hidden="1">{"inputs raw data",#N/A,TRUE,"INPUT"}</definedName>
    <definedName name="wrn.print._.raw._.data._.entry._5_4" hidden="1">{"inputs raw data",#N/A,TRUE,"INPUT"}</definedName>
    <definedName name="wrn.print._.standalone." localSheetId="2" hidden="1">{"standalone1",#N/A,FALSE,"DCFBase";"standalone2",#N/A,FALSE,"DCFBase"}</definedName>
    <definedName name="wrn.print._.standalone." hidden="1">{"standalone1",#N/A,FALSE,"DCFBase";"standalone2",#N/A,FALSE,"DCFBase"}</definedName>
    <definedName name="wrn.print._.summary._.sheets." localSheetId="6"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6"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6"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6"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6"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6"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6"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6"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6"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6"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6"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6"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6"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6"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6"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6"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6"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6"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6"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6"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6"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6"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6"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6"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6"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6"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6"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6"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6"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6"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6"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6"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6"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6"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6"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6"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6"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6"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6"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6"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6"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6"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6"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6"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6"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6"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6"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6"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6"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6"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6"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6"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6" hidden="1">{#N/A,#N/A,TRUE,"Summary";#N/A,#N/A,TRUE,"IS";#N/A,#N/A,TRUE,"Adj";#N/A,#N/A,TRUE,"BS";#N/A,#N/A,TRUE,"CF";#N/A,#N/A,TRUE,"Debt";#N/A,#N/A,TRUE,"IRR"}</definedName>
    <definedName name="wrn.printall." localSheetId="2" hidden="1">{"printall",#N/A,FALSE,"BAIRNUMB"}</definedName>
    <definedName name="wrn.PrintAll." hidden="1">{#N/A,#N/A,TRUE,"Summary";#N/A,#N/A,TRUE,"IS";#N/A,#N/A,TRUE,"Adj";#N/A,#N/A,TRUE,"BS";#N/A,#N/A,TRUE,"CF";#N/A,#N/A,TRUE,"Debt";#N/A,#N/A,TRUE,"IRR"}</definedName>
    <definedName name="wrn.Program." localSheetId="2" hidden="1">{#N/A,#N/A,FALSE,"RPR Grid";#N/A,#N/A,FALSE,"Budget"}</definedName>
    <definedName name="wrn.Program." hidden="1">{#N/A,#N/A,FALSE,"RPR Grid";#N/A,#N/A,FALSE,"Budget"}</definedName>
    <definedName name="wrn.Pulp." localSheetId="2" hidden="1">{"Pulp Production",#N/A,FALSE,"Pulp";"Pulp Earnings",#N/A,FALSE,"Pulp"}</definedName>
    <definedName name="wrn.Pulp." hidden="1">{"Pulp Production",#N/A,FALSE,"Pulp";"Pulp Earnings",#N/A,FALSE,"Pulp"}</definedName>
    <definedName name="wrn.qrt95." localSheetId="2" hidden="1">{"qrt95",#N/A,FALSE,"BAIRNUMB"}</definedName>
    <definedName name="wrn.qrt95." hidden="1">{"qrt95",#N/A,FALSE,"BAIRNUMB"}</definedName>
    <definedName name="wrn.Qtr._.Op._.Q1." localSheetId="2"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2"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2"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2"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erly." localSheetId="2" hidden="1">{"quarterly",#N/A,FALSE,"BAIRNUMB"}</definedName>
    <definedName name="wrn.quarterly." hidden="1">{"quarterly",#N/A,FALSE,"BAIRNUMB"}</definedName>
    <definedName name="wrn.Raff._.Di._.Landro." localSheetId="2" hidden="1">{#N/A,#N/A,FALSE,"Raff di Landro";#N/A,#N/A,FALSE,"P&amp;L - Brighton";#N/A,#N/A,FALSE,"P&amp;L - Guildford"}</definedName>
    <definedName name="wrn.Raff._.Di._.Landro." hidden="1">{#N/A,#N/A,FALSE,"Raff di Landro";#N/A,#N/A,FALSE,"P&amp;L - Brighton";#N/A,#N/A,FALSE,"P&amp;L - Guildford"}</definedName>
    <definedName name="wrn.rep1." localSheetId="2" hidden="1">{"add",#N/A,FALSE,"code"}</definedName>
    <definedName name="wrn.rep1." hidden="1">{"add",#N/A,FALSE,"code"}</definedName>
    <definedName name="wrn.Replacement._.Cost." localSheetId="2"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lacement._.Cost.1" localSheetId="2"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localSheetId="2" hidden="1">{#N/A,#N/A,FALSE,"COVER";#N/A,#N/A,FALSE,"FORECAST";#N/A,#N/A,FALSE,"VALUATION";#N/A,#N/A,FALSE,"FY ANALYSIS ";#N/A,#N/A,FALSE," HY ANALYSIS"}</definedName>
    <definedName name="wrn.Report." hidden="1">{#N/A,#N/A,FALSE,"COVER";#N/A,#N/A,FALSE,"FORECAST";#N/A,#N/A,FALSE,"VALUATION";#N/A,#N/A,FALSE,"FY ANALYSIS ";#N/A,#N/A,FALSE," HY ANALYSIS"}</definedName>
    <definedName name="wrn.Report1." localSheetId="6" hidden="1">{#N/A,#N/A,FALSE,"IS";#N/A,#N/A,FALSE,"BS";#N/A,#N/A,FALSE,"CF";#N/A,#N/A,FALSE,"CE";#N/A,#N/A,FALSE,"Depr";#N/A,#N/A,FALSE,"APAL"}</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6"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6"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6"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6"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6"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6"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6"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6"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6"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6"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6"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6"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6"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6"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6"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6"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6"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6"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6"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6"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6"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6"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6"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6"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6"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localSheetId="2"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localSheetId="2"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6" hidden="1">{"FORM1",#N/A,FALSE,"Revenue";"FORMTR",#N/A,FALSE,"Revenue";"FORM3.1",#N/A,FALSE,"Revenue"}</definedName>
    <definedName name="wrn.REV1." localSheetId="2" hidden="1">{"FORM1",#N/A,FALSE,"Revenue";"FORMTR",#N/A,FALSE,"Revenue";"FORM3.1",#N/A,FALSE,"Revenue"}</definedName>
    <definedName name="wrn.REV1." hidden="1">{"FORM1",#N/A,FALSE,"Revenue";"FORMTR",#N/A,FALSE,"Revenue";"FORM3.1",#N/A,FALSE,"Revenue"}</definedName>
    <definedName name="wrn.REVENUE." localSheetId="6" hidden="1">{"FORM1",#N/A,TRUE,"Revenue";"FORM1.1",#N/A,TRUE,"Revenue";"FORM1.2",#N/A,TRUE,"Revenue";"FORM2",#N/A,TRUE,"Revenue";"FORM2.1",#N/A,TRUE,"Revenue"}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2"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2"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localSheetId="2"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2" hidden="1">{#N/A,#N/A,FALSE,"SAFILOR"}</definedName>
    <definedName name="wrn.saf." hidden="1">{#N/A,#N/A,FALSE,"SAFILOR"}</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CA._.Acq.." localSheetId="2" hidden="1">{#N/A,#N/A,FALSE,"main";#N/A,#N/A,FALSE,"Pooling";#N/A,#N/A,FALSE,"Purchase"}</definedName>
    <definedName name="wrn.SCA._.Acq.." hidden="1">{#N/A,#N/A,FALSE,"main";#N/A,#N/A,FALSE,"Pooling";#N/A,#N/A,FALSE,"Purchase"}</definedName>
    <definedName name="wrn.SCA._.AcqDisv." localSheetId="2" hidden="1">{#N/A,#N/A,FALSE,"main";#N/A,#N/A,FALSE,"Purchase"}</definedName>
    <definedName name="wrn.SCA._.AcqDisv." hidden="1">{#N/A,#N/A,FALSE,"main";#N/A,#N/A,FALSE,"Purchase"}</definedName>
    <definedName name="wrn.Scenario._.Analysis." localSheetId="2" hidden="1">{#N/A,"Base Case",FALSE,"Revenue";#N/A,"£6.25 Fee",FALSE,"Revenue"}</definedName>
    <definedName name="wrn.Scenario._.Analysis." hidden="1">{#N/A,"Base Case",FALSE,"Revenue";#N/A,"£6.25 Fee",FALSE,"Revenue"}</definedName>
    <definedName name="wrn.SGPMODELS." localSheetId="2"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localSheetId="2"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N." localSheetId="6" hidden="1">{#N/A,#N/A,FALSE,"LANOS표면현황";#N/A,#N/A,FALSE,"표면처리업체별";#N/A,#N/A,FALSE,"사양별";#N/A,#N/A,FALSE,"제작업체별";#N/A,#N/A,FALSE,"장착부위";#N/A,#N/A,FALSE,"업체주소";#N/A,#N/A,FALSE,"불량현황"}</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arTone." localSheetId="2" hidden="1">{#N/A,#N/A,FALSE,"Financial data";#N/A,#N/A,FALSE,"Cellular analysis";#N/A,#N/A,FALSE,"Accounts detail";#N/A,#N/A,FALSE,"Valn's";#N/A,#N/A,FALSE,"Share price statistics"}</definedName>
    <definedName name="wrn.SmarTone." hidden="1">{#N/A,#N/A,FALSE,"Financial data";#N/A,#N/A,FALSE,"Cellular analysis";#N/A,#N/A,FALSE,"Accounts detail";#N/A,#N/A,FALSE,"Valn's";#N/A,#N/A,FALSE,"Share price statistics"}</definedName>
    <definedName name="wrn.STAND_ALONE_BOTH." localSheetId="6" hidden="1">{"FCB_ALL",#N/A,FALSE,"FCB";"GREY_ALL",#N/A,FALSE,"GREY"}</definedName>
    <definedName name="wrn.STAND_ALONE_BOTH." localSheetId="2" hidden="1">{"FCB_ALL",#N/A,FALSE,"FCB";"GREY_ALL",#N/A,FALSE,"GREY"}</definedName>
    <definedName name="wrn.STAND_ALONE_BOTH." hidden="1">{"FCB_ALL",#N/A,FALSE,"FCB";"GREY_ALL",#N/A,FALSE,"GREY"}</definedName>
    <definedName name="wrn.STAND_ALONE_BOTH._1" localSheetId="6"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6"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6"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6"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6"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6"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6"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6"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6"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6"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6"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6"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6"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6"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6"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6"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6"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6"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6"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6"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6"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6"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6"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6"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6"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 hidden="1">{"BS",#N/A,FALSE,"USA"}</definedName>
    <definedName name="wrn.SUMMARY." hidden="1">{"BS",#N/A,FALSE,"USA"}</definedName>
    <definedName name="wrn.Summary._.Reports."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odel." localSheetId="2"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_.and._.E._.Report." localSheetId="6" hidden="1">{#N/A,#N/A,TRUE,"T&amp;E";#N/A,#N/A,TRUE,"BUS. ENT. DET."}</definedName>
    <definedName name="wrn.T._.and._.E._.Report." localSheetId="2" hidden="1">{#N/A,#N/A,TRUE,"T&amp;E";#N/A,#N/A,TRUE,"BUS. ENT. DET."}</definedName>
    <definedName name="wrn.T._.and._.E._.Report." hidden="1">{#N/A,#N/A,TRUE,"T&amp;E";#N/A,#N/A,TRUE,"BUS. ENT. DET."}</definedName>
    <definedName name="wrn.Tables." localSheetId="2" hidden="1">{"view1",#N/A,FALSE,"Tables";"view2",#N/A,FALSE,"Tables";"view3",#N/A,FALSE,"Tables"}</definedName>
    <definedName name="wrn.Tables." hidden="1">{"view1",#N/A,FALSE,"Tables";"view2",#N/A,FALSE,"Tables";"view3",#N/A,FALSE,"Tables"}</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localSheetId="2" hidden="1">{"comp1",#N/A,FALSE,"COMPS";"footnotes",#N/A,FALSE,"COMPS"}</definedName>
    <definedName name="wrn.totalcomp." hidden="1">{"comp1",#N/A,FALSE,"COMPS";"footnotes",#N/A,FALSE,"COMPS"}</definedName>
    <definedName name="wrn.tou구매." localSheetId="2" hidden="1">{#N/A,#N/A,FALSE,"견적대비-2"}</definedName>
    <definedName name="wrn.tou구매." hidden="1">{#N/A,#N/A,FALSE,"견적대비-2"}</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Tycon._.Model." localSheetId="2" hidden="1">{"rtn",#N/A,FALSE,"RTN";"tables",#N/A,FALSE,"RTN";"cf",#N/A,FALSE,"CF";"stats",#N/A,FALSE,"Stats";"prop",#N/A,FALSE,"Prop"}</definedName>
    <definedName name="wrn.Tycon._.Model." hidden="1">{"rtn",#N/A,FALSE,"RTN";"tables",#N/A,FALSE,"RTN";"cf",#N/A,FALSE,"CF";"stats",#N/A,FALSE,"Stats";"prop",#N/A,FALSE,"Prop"}</definedName>
    <definedName name="wrn.Ü." localSheetId="2" hidden="1">{#N/A,#N/A,FALSE,"ITHALAT";#N/A,#N/A,FALSE,"ÜRETİM"}</definedName>
    <definedName name="wrn.Ü." hidden="1">{#N/A,#N/A,FALSE,"ITHALAT";#N/A,#N/A,FALSE,"ÜRETİM"}</definedName>
    <definedName name="wrn.Unicom._.Financial._.Model." localSheetId="6" hidden="1">{#N/A,#N/A,TRUE,"Cover";#N/A,#N/A,TRUE,"DCF Analysis";#N/A,#N/A,TRUE,"P&amp;L";#N/A,#N/A,TRUE,"BS";#N/A,#N/A,TRUE,"CF";#N/A,#N/A,TRUE,"Assumptions";#N/A,#N/A,TRUE,"Wireless";#N/A,#N/A,TRUE,"LD, Data &amp; Int.";#N/A,#N/A,TRUE,"Paging";#N/A,#N/A,TRUE,"Capex &amp; Depr.";#N/A,#N/A,TRUE,"Non-Op. &amp; Other Items"}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6"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6"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6"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6"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6"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6"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6"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6"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6"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6"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6"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6"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6"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6"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6"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6"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6"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6"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6"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6"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6"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6"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6"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6"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6"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localSheetId="2"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localSheetId="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Committee."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localSheetId="2" hidden="1">{"Variance Q3",#N/A,FALSE,"Var"}</definedName>
    <definedName name="wrn.Variance._.3." hidden="1">{"Variance Q3",#N/A,FALSE,"Var"}</definedName>
    <definedName name="wrn.Variance._.Q1." localSheetId="2" hidden="1">{"Variance Q1",#N/A,FALSE,"Var"}</definedName>
    <definedName name="wrn.Variance._.Q1." hidden="1">{"Variance Q1",#N/A,FALSE,"Var"}</definedName>
    <definedName name="wrn.Variance._.Q2." localSheetId="2" hidden="1">{"Variance Q2",#N/A,FALSE,"Var"}</definedName>
    <definedName name="wrn.Variance._.Q2." hidden="1">{"Variance Q2",#N/A,FALSE,"Var"}</definedName>
    <definedName name="wrn.Variance._.Q3." localSheetId="2" hidden="1">{"Variance Q3",#N/A,FALSE,"Var"}</definedName>
    <definedName name="wrn.Variance._.Q3." hidden="1">{"Variance Q3",#N/A,FALSE,"Var"}</definedName>
    <definedName name="wrn.Variance._.Q4" localSheetId="2" hidden="1">{"Variance Q4",#N/A,FALSE,"Var"}</definedName>
    <definedName name="wrn.Variance._.Q4" hidden="1">{"Variance Q4",#N/A,FALSE,"Var"}</definedName>
    <definedName name="wrn.Variance._.Q4." localSheetId="2" hidden="1">{"Variance Q4",#N/A,FALSE,"Var"}</definedName>
    <definedName name="wrn.Variance._.Q4." hidden="1">{"Variance Q4",#N/A,FALSE,"Var"}</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localSheetId="2" hidden="1">{"inc.ann",#N/A,FALSE,"WAG";"inc.quart",#N/A,FALSE,"WAG"}</definedName>
    <definedName name="wrn.wag." hidden="1">{"inc.ann",#N/A,FALSE,"WAG";"inc.quart",#N/A,FALSE,"WAG"}</definedName>
    <definedName name="wrn.weekly." localSheetId="2"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LAVARIANCEANALYSIS." localSheetId="2" hidden="1">{"INCOME STATEMENT",#N/A,FALSE,"IS";"WWSALES",#N/A,FALSE,"WWSALES";"USSALES",#N/A,FALSE,"USSALES";"INTLSALES",#N/A,FALSE,"INTLSALES"}</definedName>
    <definedName name="wrn.WLAVARIANCEANALYSIS." hidden="1">{"INCOME STATEMENT",#N/A,FALSE,"IS";"WWSALES",#N/A,FALSE,"WWSALES";"USSALES",#N/A,FALSE,"USSALES";"INTLSALES",#N/A,FALSE,"INTLSALES"}</definedName>
    <definedName name="wrn.Yahoo." localSheetId="2"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UH33400." localSheetId="6" hidden="1">{#N/A,#N/A,FALSE,"2000";#N/A,#N/A,FALSE,"1999_1998"}</definedName>
    <definedName name="wrn.YUH33400." localSheetId="2" hidden="1">{#N/A,#N/A,FALSE,"2000";#N/A,#N/A,FALSE,"1999_1998"}</definedName>
    <definedName name="wrn.YUH33400." hidden="1">{#N/A,#N/A,FALSE,"2000";#N/A,#N/A,FALSE,"1999_1998"}</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6" hidden="1">{#N/A,#N/A,FALSE,"Sheet1";#N/A,#N/A,FALSE,"Sheet2";#N/A,#N/A,FALSE,"TAB96-1"}</definedName>
    <definedName name="wrn.견적." localSheetId="2" hidden="1">{#N/A,#N/A,FALSE,"Sheet1";#N/A,#N/A,FALSE,"Sheet2";#N/A,#N/A,FALSE,"TAB96-1"}</definedName>
    <definedName name="wrn.견적." hidden="1">{#N/A,#N/A,FALSE,"Sheet1";#N/A,#N/A,FALSE,"Sheet2";#N/A,#N/A,FALSE,"TAB96-1"}</definedName>
    <definedName name="wrn.결산서." localSheetId="6" hidden="1">{#N/A,#N/A,TRUE,"최종합계잔액시산표";#N/A,#N/A,TRUE,"최종대차대조표";#N/A,#N/A,TRUE,"최종손익계산서";#N/A,#N/A,TRUE,"재무상태변동표";#N/A,#N/A,TRUE,"이익잉여금처분"}</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6"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localSheetId="2" hidden="1">{#N/A,#N/A,TRUE,"경전'96(1)";#N/A,#N/A,TRUE,"경전'96 (2)"}</definedName>
    <definedName name="wrn.경전회의96." hidden="1">{#N/A,#N/A,TRUE,"경전'96(1)";#N/A,#N/A,TRUE,"경전'96 (2)"}</definedName>
    <definedName name="wrn.골재소요량." localSheetId="6" hidden="1">{#N/A,#N/A,FALSE,"골재소요량";#N/A,#N/A,FALSE,"골재소요량"}</definedName>
    <definedName name="wrn.골재소요량." localSheetId="2" hidden="1">{#N/A,#N/A,FALSE,"골재소요량";#N/A,#N/A,FALSE,"골재소요량"}</definedName>
    <definedName name="wrn.골재소요량." hidden="1">{#N/A,#N/A,FALSE,"골재소요량";#N/A,#N/A,FALSE,"골재소요량"}</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6"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구소민." localSheetId="6" hidden="1">{#N/A,#N/A,TRUE,"변동비고정비분류(5단계)";#N/A,#N/A,TRUE,"변동비고정비분류(5단계)"}</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6" hidden="1">{#N/A,#N/A,FALSE,"구조2"}</definedName>
    <definedName name="wrn.구조2." localSheetId="2" hidden="1">{#N/A,#N/A,FALSE,"구조2"}</definedName>
    <definedName name="wrn.구조2." hidden="1">{#N/A,#N/A,FALSE,"구조2"}</definedName>
    <definedName name="wrn.급여인상안." localSheetId="6" hidden="1">{#N/A,#N/A,FALSE,"계약직(여)"}</definedName>
    <definedName name="wrn.급여인상안." localSheetId="2" hidden="1">{#N/A,#N/A,FALSE,"계약직(여)"}</definedName>
    <definedName name="wrn.급여인상안." hidden="1">{#N/A,#N/A,FALSE,"계약직(여)"}</definedName>
    <definedName name="wrn.기술료._.비교." localSheetId="6" hidden="1">{#N/A,#N/A,FALSE,"기술료 비교"}</definedName>
    <definedName name="wrn.기술료._.비교." localSheetId="2" hidden="1">{#N/A,#N/A,FALSE,"기술료 비교"}</definedName>
    <definedName name="wrn.기술료._.비교." hidden="1">{#N/A,#N/A,FALSE,"기술료 비교"}</definedName>
    <definedName name="wrn.단가표지." localSheetId="6" hidden="1">{#N/A,#N/A,FALSE,"단가표지"}</definedName>
    <definedName name="wrn.단가표지." localSheetId="2" hidden="1">{#N/A,#N/A,FALSE,"단가표지"}</definedName>
    <definedName name="wrn.단가표지." hidden="1">{#N/A,#N/A,FALSE,"단가표지"}</definedName>
    <definedName name="wrn.배수1." localSheetId="6" hidden="1">{#N/A,#N/A,FALSE,"배수1"}</definedName>
    <definedName name="wrn.배수1." localSheetId="2" hidden="1">{#N/A,#N/A,FALSE,"배수1"}</definedName>
    <definedName name="wrn.배수1." hidden="1">{#N/A,#N/A,FALSE,"배수1"}</definedName>
    <definedName name="wrn.배수2." localSheetId="6" hidden="1">{#N/A,#N/A,FALSE,"배수2"}</definedName>
    <definedName name="wrn.배수2." localSheetId="2" hidden="1">{#N/A,#N/A,FALSE,"배수2"}</definedName>
    <definedName name="wrn.배수2." hidden="1">{#N/A,#N/A,FALSE,"배수2"}</definedName>
    <definedName name="wrn.변경예산." localSheetId="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6" hidden="1">{#N/A,#N/A,FALSE,"Sheet1";#N/A,#N/A,FALSE,"기평9607"}</definedName>
    <definedName name="wrn.보고서." localSheetId="2" hidden="1">{#N/A,#N/A,FALSE,"Sheet1";#N/A,#N/A,FALSE,"기평9607"}</definedName>
    <definedName name="wrn.보고서." hidden="1">{#N/A,#N/A,FALSE,"Sheet1";#N/A,#N/A,FALSE,"기평9607"}</definedName>
    <definedName name="wrn.보고서._1" localSheetId="6" hidden="1">{#N/A,#N/A,FALSE,"Sheet1";#N/A,#N/A,FALSE,"기평9607"}</definedName>
    <definedName name="wrn.보고서._1" localSheetId="2" hidden="1">{#N/A,#N/A,FALSE,"Sheet1";#N/A,#N/A,FALSE,"기평9607"}</definedName>
    <definedName name="wrn.보고서._1" hidden="1">{#N/A,#N/A,FALSE,"Sheet1";#N/A,#N/A,FALSE,"기평9607"}</definedName>
    <definedName name="wrn.부대1." localSheetId="6" hidden="1">{#N/A,#N/A,FALSE,"부대1"}</definedName>
    <definedName name="wrn.부대1." localSheetId="2" hidden="1">{#N/A,#N/A,FALSE,"부대1"}</definedName>
    <definedName name="wrn.부대1." hidden="1">{#N/A,#N/A,FALSE,"부대1"}</definedName>
    <definedName name="wrn.부대2." localSheetId="6" hidden="1">{#N/A,#N/A,FALSE,"부대2"}</definedName>
    <definedName name="wrn.부대2." localSheetId="2" hidden="1">{#N/A,#N/A,FALSE,"부대2"}</definedName>
    <definedName name="wrn.부대2." hidden="1">{#N/A,#N/A,FALSE,"부대2"}</definedName>
    <definedName name="wrn.부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6" hidden="1">{#N/A,#N/A,FALSE,"9612"}</definedName>
    <definedName name="wrn.불량금액." localSheetId="2" hidden="1">{#N/A,#N/A,FALSE,"9612"}</definedName>
    <definedName name="wrn.불량금액." hidden="1">{#N/A,#N/A,FALSE,"9612"}</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6" hidden="1">{#N/A,#N/A,FALSE,"속도"}</definedName>
    <definedName name="wrn.속도." localSheetId="2" hidden="1">{#N/A,#N/A,FALSE,"속도"}</definedName>
    <definedName name="wrn.속도." hidden="1">{#N/A,#N/A,FALSE,"속도"}</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6" hidden="1">{#N/A,"수불부",FALSE,"사급자재수불서";#N/A,"수불부",FALSE,"사급자재수불서"}</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6"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6" hidden="1">{#N/A,#N/A,TRUE,"토적및재료집계";#N/A,#N/A,TRUE,"토적및재료집계";#N/A,#N/A,TRUE,"단위량"}</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심창규" localSheetId="6" hidden="1">{#N/A,#N/A,FALSE,"범우구미";#N/A,#N/A,FALSE,"세한케미칼";#N/A,#N/A,FALSE,"세명화학";#N/A,#N/A,FALSE,"신영케미칼";#N/A,#N/A,FALSE,"일석상사"}</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localSheetId="2" hidden="1">{"SJ - 기본 보기",#N/A,FALSE,"공사별 외주견적"}</definedName>
    <definedName name="wrn.업체별._.견적공사명." hidden="1">{"SJ - 기본 보기",#N/A,FALSE,"공사별 외주견적"}</definedName>
    <definedName name="wrn.업체선정보고서." localSheetId="2"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localSheetId="2" hidden="1">{#N/A,#N/A,TRUE,"총괄"}</definedName>
    <definedName name="wrn.연동제." hidden="1">{#N/A,#N/A,TRUE,"총괄"}</definedName>
    <definedName name="wrn.예상손익." localSheetId="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6" hidden="1">{#N/A,#N/A,FALSE,"운반시간"}</definedName>
    <definedName name="wrn.운반시간." localSheetId="2" hidden="1">{#N/A,#N/A,FALSE,"운반시간"}</definedName>
    <definedName name="wrn.운반시간." hidden="1">{#N/A,#N/A,FALSE,"운반시간"}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6" hidden="1">{#N/A,#N/A,FALSE,"월추정감가상각비";#N/A,#N/A,FALSE,"main_prog"}</definedName>
    <definedName name="wrn.월추정." localSheetId="2" hidden="1">{#N/A,#N/A,FALSE,"월추정감가상각비";#N/A,#N/A,FALSE,"main_prog"}</definedName>
    <definedName name="wrn.월추정." hidden="1">{#N/A,#N/A,FALSE,"월추정감가상각비";#N/A,#N/A,FALSE,"main_prog"}</definedName>
    <definedName name="wrn.유형자산." localSheetId="2" hidden="1">{#N/A,#N/A,FALSE,"Sheet1"}</definedName>
    <definedName name="wrn.유형자산." hidden="1">{#N/A,#N/A,FALSE,"Sheet1"}</definedName>
    <definedName name="wrn.이정표." localSheetId="6" hidden="1">{#N/A,#N/A,FALSE,"이정표"}</definedName>
    <definedName name="wrn.이정표." localSheetId="2" hidden="1">{#N/A,#N/A,FALSE,"이정표"}</definedName>
    <definedName name="wrn.이정표." hidden="1">{#N/A,#N/A,FALSE,"이정표"}</definedName>
    <definedName name="wrn.이태원._.철근." localSheetId="2" hidden="1">{#N/A,#N/A,FALSE,"이태원철근"}</definedName>
    <definedName name="wrn.이태원._.철근." hidden="1">{#N/A,#N/A,FALSE,"이태원철근"}</definedName>
    <definedName name="wrn.자재코드집." localSheetId="2" hidden="1">{#N/A,#N/A,FALSE,"Sheet1"}</definedName>
    <definedName name="wrn.자재코드집." hidden="1">{#N/A,#N/A,FALSE,"Sheet1"}</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6" hidden="1">{#N/A,#N/A,FALSE,"BS";#N/A,#N/A,FALSE,"IS";#N/A,#N/A,FALSE,"결손금처리";#N/A,#N/A,FALSE,"cashflow"}</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6"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6"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6"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6" hidden="1">{#N/A,#N/A,FALSE,"생산성";#N/A,#N/A,FALSE,"인력1";#N/A,#N/A,FALSE,"인력2";#N/A,#N/A,FALSE,"인력3";#N/A,#N/A,FALSE,"인건1";#N/A,#N/A,FALSE,"인건2";#N/A,#N/A,FALSE,"인건3";#N/A,#N/A,FALSE,"인원증감";#N/A,#N/A,FALSE,"인건증감";#N/A,#N/A,FALSE,"표지등"}</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6" hidden="1">{#N/A,#N/A,FALSE,"9612"}</definedName>
    <definedName name="wrn.제조원가." localSheetId="2" hidden="1">{#N/A,#N/A,FALSE,"9612"}</definedName>
    <definedName name="wrn.제조원가." hidden="1">{#N/A,#N/A,FALSE,"9612"}</definedName>
    <definedName name="wrn.제품수불." localSheetId="6" hidden="1">{#N/A,#N/A,FALSE,"9612"}</definedName>
    <definedName name="wrn.제품수불." localSheetId="2" hidden="1">{#N/A,#N/A,FALSE,"9612"}</definedName>
    <definedName name="wrn.제품수불." hidden="1">{#N/A,#N/A,FALSE,"9612"}</definedName>
    <definedName name="wrn.조골재." localSheetId="6" hidden="1">{#N/A,#N/A,FALSE,"조골재"}</definedName>
    <definedName name="wrn.조골재." localSheetId="2" hidden="1">{#N/A,#N/A,FALSE,"조골재"}</definedName>
    <definedName name="wrn.조골재." hidden="1">{#N/A,#N/A,FALSE,"조골재"}</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6" hidden="1">{#N/A,#N/A,TRUE,"일정"}</definedName>
    <definedName name="wrn.주간._.보고." localSheetId="2" hidden="1">{#N/A,#N/A,TRUE,"일정"}</definedName>
    <definedName name="wrn.주간._.보고." hidden="1">{#N/A,#N/A,TRUE,"일정"}</definedName>
    <definedName name="wrn.중장기계획." localSheetId="2"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localSheetId="2" hidden="1">{#N/A,#N/A,FALSE,"Sheet6"}</definedName>
    <definedName name="wrn.집기비품보고서._.품목별._.및._.현장별._.집계표." hidden="1">{#N/A,#N/A,FALSE,"Sheet6"}</definedName>
    <definedName name="wrn.채권채무조회서." localSheetId="6" hidden="1">{#N/A,#N/A,FALSE,"채권채무";#N/A,#N/A,FALSE,"control sheet"}</definedName>
    <definedName name="wrn.채권채무조회서." localSheetId="2" hidden="1">{#N/A,#N/A,FALSE,"채권채무";#N/A,#N/A,FALSE,"control sheet"}</definedName>
    <definedName name="wrn.채권채무조회서." hidden="1">{#N/A,#N/A,FALSE,"채권채무";#N/A,#N/A,FALSE,"control sheet"}</definedName>
    <definedName name="wrn.철골집계표._.5칸." localSheetId="2" hidden="1">{#N/A,#N/A,FALSE,"Sheet1"}</definedName>
    <definedName name="wrn.철골집계표._.5칸." hidden="1">{#N/A,#N/A,FALSE,"Sheet1"}</definedName>
    <definedName name="wrn.토공1." localSheetId="6" hidden="1">{#N/A,#N/A,FALSE,"구조1"}</definedName>
    <definedName name="wrn.토공1." localSheetId="2" hidden="1">{#N/A,#N/A,FALSE,"구조1"}</definedName>
    <definedName name="wrn.토공1." hidden="1">{#N/A,#N/A,FALSE,"구조1"}</definedName>
    <definedName name="wrn.토공2." localSheetId="6" hidden="1">{#N/A,#N/A,FALSE,"토공2"}</definedName>
    <definedName name="wrn.토공2." localSheetId="2" hidden="1">{#N/A,#N/A,FALSE,"토공2"}</definedName>
    <definedName name="wrn.토공2." hidden="1">{#N/A,#N/A,FALSE,"토공2"}</definedName>
    <definedName name="wrn.통신지." localSheetId="6" hidden="1">{#N/A,#N/A,FALSE,"기안지";#N/A,#N/A,FALSE,"통신지"}</definedName>
    <definedName name="wrn.통신지." localSheetId="2" hidden="1">{#N/A,#N/A,FALSE,"기안지";#N/A,#N/A,FALSE,"통신지"}</definedName>
    <definedName name="wrn.통신지." hidden="1">{#N/A,#N/A,FALSE,"기안지";#N/A,#N/A,FALSE,"통신지"}</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6" hidden="1">{#N/A,#N/A,FALSE,"포장1";#N/A,#N/A,FALSE,"포장1"}</definedName>
    <definedName name="wrn.포장1." localSheetId="2" hidden="1">{#N/A,#N/A,FALSE,"포장1";#N/A,#N/A,FALSE,"포장1"}</definedName>
    <definedName name="wrn.포장1." hidden="1">{#N/A,#N/A,FALSE,"포장1";#N/A,#N/A,FALSE,"포장1"}</definedName>
    <definedName name="wrn.포장2." localSheetId="6" hidden="1">{#N/A,#N/A,FALSE,"포장2"}</definedName>
    <definedName name="wrn.포장2." localSheetId="2" hidden="1">{#N/A,#N/A,FALSE,"포장2"}</definedName>
    <definedName name="wrn.포장2." hidden="1">{#N/A,#N/A,FALSE,"포장2"}</definedName>
    <definedName name="wrn.포항강판." localSheetId="6" hidden="1">{"현수",#N/A,FALSE,"월추정감가상각비"}</definedName>
    <definedName name="wrn.포항강판." localSheetId="2" hidden="1">{"현수",#N/A,FALSE,"월추정감가상각비"}</definedName>
    <definedName name="wrn.포항강판." hidden="1">{"현수",#N/A,FALSE,"월추정감가상각비"}</definedName>
    <definedName name="wrn.표면처리._.현황." localSheetId="6" hidden="1">{#N/A,#N/A,FALSE,"불량현황";#N/A,#N/A,FALSE,"표면처리업체별";#N/A,#N/A,FALSE,"사양별";#N/A,#N/A,FALSE,"제작업체별";#N/A,#N/A,FALSE,"업체주소";#N/A,#N/A,FALSE,"장착부위";#N/A,#N/A,FALSE,"V-100표면현황 (2)"}</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6" hidden="1">{#N/A,#N/A,FALSE,"표지목차"}</definedName>
    <definedName name="wrn.표지목차." localSheetId="2" hidden="1">{#N/A,#N/A,FALSE,"표지목차"}</definedName>
    <definedName name="wrn.표지목차." hidden="1">{#N/A,#N/A,FALSE,"표지목차"}</definedName>
    <definedName name="wrn.함영민." localSheetId="6" hidden="1">{#N/A,#N/A,FALSE,"범우구미";#N/A,#N/A,FALSE,"세한케미칼";#N/A,#N/A,FALSE,"세명화학";#N/A,#N/A,FALSE,"신영케미칼";#N/A,#N/A,FALSE,"일석상사"}</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6" hidden="1">{#N/A,#N/A,FALSE,"정공"}</definedName>
    <definedName name="wrn.현대정공구매현황." localSheetId="2" hidden="1">{#N/A,#N/A,FALSE,"정공"}</definedName>
    <definedName name="wrn.현대정공구매현황." hidden="1">{#N/A,#N/A,FALSE,"정공"}</definedName>
    <definedName name="wrn.현장._.NCR._.분석." localSheetId="6"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6"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localSheetId="2" hidden="1">{#N/A,#N/A,FALSE,"Sheet9"}</definedName>
    <definedName name="wrn.호." hidden="1">{#N/A,#N/A,FALSE,"Sheet9"}</definedName>
    <definedName name="wrn.혼합골재." localSheetId="6" hidden="1">{#N/A,#N/A,FALSE,"혼합골재"}</definedName>
    <definedName name="wrn.혼합골재." localSheetId="2" hidden="1">{#N/A,#N/A,FALSE,"혼합골재"}</definedName>
    <definedName name="wrn.혼합골재." hidden="1">{#N/A,#N/A,FALSE,"혼합골재"}</definedName>
    <definedName name="wrn.회선임차현황." localSheetId="6" hidden="1">{#N/A,#N/A,FALSE,"회선임차현황"}</definedName>
    <definedName name="wrn.회선임차현황." localSheetId="2" hidden="1">{#N/A,#N/A,FALSE,"회선임차현황"}</definedName>
    <definedName name="wrn.회선임차현황." hidden="1">{#N/A,#N/A,FALSE,"회선임차현황"}</definedName>
    <definedName name="wrn.회선임차현황._1" localSheetId="6"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6"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6"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6"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6"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6"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6"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6"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6"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6"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6"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6"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6"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6"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6"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6"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6"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6"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6"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6"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6"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6"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6"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6"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6"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6" hidden="1">{#N/A,#N/A,TRUE,"매출진척-1";#N/A,#N/A,TRUE,"매출진척-2";#N/A,#N/A,TRUE,"제품실적";#N/A,#N/A,TRUE,"RAC";#N/A,#N/A,TRUE,"PAC ";#N/A,#N/A,TRUE,"재고현황";#N/A,#N/A,TRUE,"공지사항"}</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6"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localSheetId="2" hidden="1">{#VALUE!,#N/A,FALSE,0;#N/A,#N/A,FALSE,0;#N/A,#N/A,FALSE,0;#N/A,#N/A,FALSE,0}</definedName>
    <definedName name="WRR" hidden="1">{#VALUE!,#N/A,FALSE,0;#N/A,#N/A,FALSE,0;#N/A,#N/A,FALSE,0;#N/A,#N/A,FALSE,0}</definedName>
    <definedName name="wrty" localSheetId="2" hidden="1">{"'용역비'!$A$4:$C$8"}</definedName>
    <definedName name="wrty" hidden="1">{"'용역비'!$A$4:$C$8"}</definedName>
    <definedName name="wrtyrtyrt" localSheetId="2" hidden="1">{"'용역비'!$A$4:$C$8"}</definedName>
    <definedName name="wrtyrtyrt" hidden="1">{"'용역비'!$A$4:$C$8"}</definedName>
    <definedName name="wrtywrtywr" localSheetId="2"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localSheetId="2" hidden="1">{"'용역비'!$A$4:$C$8"}</definedName>
    <definedName name="wuy" hidden="1">{"'용역비'!$A$4:$C$8"}</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localSheetId="2"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localSheetId="2"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2"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localSheetId="2"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2"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2"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localSheetId="2" hidden="1">{#N/A,#N/A,FALSE,"단축1";#N/A,#N/A,FALSE,"단축2";#N/A,#N/A,FALSE,"단축3";#N/A,#N/A,FALSE,"장축";#N/A,#N/A,FALSE,"4WD"}</definedName>
    <definedName name="WWE" hidden="1">{#N/A,#N/A,FALSE,"단축1";#N/A,#N/A,FALSE,"단축2";#N/A,#N/A,FALSE,"단축3";#N/A,#N/A,FALSE,"장축";#N/A,#N/A,FALSE,"4WD"}</definedName>
    <definedName name="wwererwrwersf" localSheetId="2" hidden="1">{#N/A,#N/A,FALSE,"Che-Ga";#N/A,#N/A,FALSE,"Iv-Sm";#N/A,#N/A,FALSE,"So-We";#N/A,#N/A,FALSE,"Me-Po";#N/A,#N/A,FALSE,"Be-Bo";#N/A,#N/A,FALSE,"Cha-Ki";#N/A,#N/A,FALSE,"In";#N/A,#N/A,FALSE,"Schedule 23";#N/A,#N/A,FALSE,"Schedule 22";#N/A,#N/A,FALSE,"WACC"}</definedName>
    <definedName name="wwererwrwersf" hidden="1">{#N/A,#N/A,FALSE,"Che-Ga";#N/A,#N/A,FALSE,"Iv-Sm";#N/A,#N/A,FALSE,"So-We";#N/A,#N/A,FALSE,"Me-Po";#N/A,#N/A,FALSE,"Be-Bo";#N/A,#N/A,FALSE,"Cha-Ki";#N/A,#N/A,FALSE,"In";#N/A,#N/A,FALSE,"Schedule 23";#N/A,#N/A,FALSE,"Schedule 22";#N/A,#N/A,FALSE,"WACC"}</definedName>
    <definedName name="wwii" localSheetId="2" hidden="1">{#N/A,#N/A,TRUE,"Clairwyn Richardson";#N/A,#N/A,TRUE,"P&amp;L - Harrogate";#N/A,#N/A,TRUE,"P&amp;L - York";#N/A,#N/A,TRUE,"P&amp;L - Leeds";#N/A,#N/A,TRUE,"P&amp;L - Manchester";#N/A,#N/A,TRUE,"P&amp;L - Deansgate";#N/A,#N/A,TRUE,"P&amp;L - Durham";#N/A,#N/A,TRUE,"P&amp;L - Nottingham";#N/A,#N/A,TRUE,"P&amp;L - The Triangle"}</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6" hidden="1">{#N/A,#N/A,FALSE,"CCTV"}</definedName>
    <definedName name="WWW" localSheetId="2" hidden="1">{#N/A,#N/A,FALSE,"CCTV"}</definedName>
    <definedName name="WWW" hidden="1">{#N/A,#N/A,FALSE,"CCTV"}</definedName>
    <definedName name="wwww" localSheetId="6" hidden="1">{#N/A,#N/A,FALSE,"Aging Summary";#N/A,#N/A,FALSE,"Ratio Analysis";#N/A,#N/A,FALSE,"Test 120 Day Accts";#N/A,#N/A,FALSE,"Tickmarks"}</definedName>
    <definedName name="wwww" localSheetId="2" hidden="1">{#N/A,#N/A,FALSE,"기술료 비교"}</definedName>
    <definedName name="wwww" hidden="1">{#N/A,#N/A,FALSE,"Aging Summary";#N/A,#N/A,FALSE,"Ratio Analysis";#N/A,#N/A,FALSE,"Test 120 Day Accts";#N/A,#N/A,FALSE,"Tickmarks"}</definedName>
    <definedName name="WWWWWPPPPPPP">#N/A</definedName>
    <definedName name="WZ">#REF!</definedName>
    <definedName name="W행">#REF!</definedName>
    <definedName name="X" localSheetId="2">{#N/A,#N/A,FALSE,"Che-Ga";#N/A,#N/A,FALSE,"Iv-Sm";#N/A,#N/A,FALSE,"So-We";#N/A,#N/A,FALSE,"Me-Po";#N/A,#N/A,FALSE,"Be-Bo";#N/A,#N/A,FALSE,"Cha-Ki";#N/A,#N/A,FALSE,"In";#N/A,#N/A,FALSE,"Schedule 23";#N/A,#N/A,FALSE,"Schedule 22";#N/A,#N/A,FALSE,"WACC"}</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localSheetId="2"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localSheetId="2" hidden="1">{#N/A,#N/A,FALSE,"Sheet6"}</definedName>
    <definedName name="XCB" hidden="1">{#N/A,#N/A,FALSE,"Sheet6"}</definedName>
    <definedName name="xcvc" hidden="1">#REF!</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6" hidden="1">{#N/A,#N/A,FALSE,"을지 (4)";#N/A,#N/A,FALSE,"을지 (5)";#N/A,#N/A,FALSE,"을지 (6)"}</definedName>
    <definedName name="XDS" localSheetId="2" hidden="1">{#N/A,#N/A,FALSE,"을지 (4)";#N/A,#N/A,FALSE,"을지 (5)";#N/A,#N/A,FALSE,"을지 (6)"}</definedName>
    <definedName name="XDS" hidden="1">{#N/A,#N/A,FALSE,"을지 (4)";#N/A,#N/A,FALSE,"을지 (5)";#N/A,#N/A,FALSE,"을지 (6)"}</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품확일정" localSheetId="6"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localSheetId="2" hidden="1">{#N/A,#N/A,FALSE,"Sheet6"}</definedName>
    <definedName name="xf" hidden="1">{#N/A,#N/A,FALSE,"Sheet6"}</definedName>
    <definedName name="XG개" localSheetId="2"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6" hidden="1">{#N/A,#N/A,FALSE,"을지 (4)";#N/A,#N/A,FALSE,"을지 (5)";#N/A,#N/A,FALSE,"을지 (6)"}</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localSheetId="2" hidden="1">{"FTEAOB 90",#N/A,FALSE,"FTEAOB - 5.0 Format - Input"}</definedName>
    <definedName name="xxx" hidden="1">{"FTEAOB 90",#N/A,FALSE,"FTEAOB - 5.0 Format - Input"}</definedName>
    <definedName name="xxxxx" localSheetId="2" hidden="1">{#N/A,#N/A,FALSE,"Che-Ga";#N/A,#N/A,FALSE,"Iv-Sm";#N/A,#N/A,FALSE,"So-We";#N/A,#N/A,FALSE,"Me-Po";#N/A,#N/A,FALSE,"Be-Bo";#N/A,#N/A,FALSE,"Cha-Ki";#N/A,#N/A,FALSE,"In";#N/A,#N/A,FALSE,"Schedule 23";#N/A,#N/A,FALSE,"Schedule 22";#N/A,#N/A,FALSE,"WACC"}</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localSheetId="2"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sh"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localSheetId="2" hidden="1">{"'용역비'!$A$4:$C$8"}</definedName>
    <definedName name="YFU" hidden="1">{"'용역비'!$A$4:$C$8"}</definedName>
    <definedName name="yhg" hidden="1">2</definedName>
    <definedName name="Yield">#REF!</definedName>
    <definedName name="YJN" localSheetId="2">BlankMacro1</definedName>
    <definedName name="YJN">BlankMacro1</definedName>
    <definedName name="yjyg">#REF!</definedName>
    <definedName name="YMMA">#REF!</definedName>
    <definedName name="yrdtytyt" localSheetId="6" hidden="1">{#N/A,#N/A,FALSE,"CCTV"}</definedName>
    <definedName name="yrdtytyt" localSheetId="2" hidden="1">{#N/A,#N/A,FALSE,"CCTV"}</definedName>
    <definedName name="yrdtytyt" hidden="1">{#N/A,#N/A,FALSE,"CCTV"}</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localSheetId="2" hidden="1">{#N/A,#N/A,FALSE,"단축1";#N/A,#N/A,FALSE,"단축2";#N/A,#N/A,FALSE,"단축3";#N/A,#N/A,FALSE,"장축";#N/A,#N/A,FALSE,"4WD"}</definedName>
    <definedName name="YTUJYTU" hidden="1">{#N/A,#N/A,FALSE,"단축1";#N/A,#N/A,FALSE,"단축2";#N/A,#N/A,FALSE,"단축3";#N/A,#N/A,FALSE,"장축";#N/A,#N/A,FALSE,"4WD"}</definedName>
    <definedName name="ytutyu">#REF!</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2" hidden="1">{"'용역비'!$A$4:$C$8"}</definedName>
    <definedName name="YUK" hidden="1">{"'용역비'!$A$4:$C$8"}</definedName>
    <definedName name="YUTY" localSheetId="2" hidden="1">{#N/A,#N/A,FALSE,"Sheet6"}</definedName>
    <definedName name="YUTY" hidden="1">{#N/A,#N/A,FALSE,"Sheet6"}</definedName>
    <definedName name="yy" localSheetId="2" hidden="1">{#N/A,#N/A,FALSE,"Hip.Bas";#N/A,#N/A,FALSE,"ventas";#N/A,#N/A,FALSE,"ingre-Año";#N/A,#N/A,FALSE,"ventas-Año";#N/A,#N/A,FALSE,"Costepro";#N/A,#N/A,FALSE,"inversion";#N/A,#N/A,FALSE,"personal";#N/A,#N/A,FALSE,"Gastos-V";#N/A,#N/A,FALSE,"Circulante";#N/A,#N/A,FALSE,"CONSOLI";#N/A,#N/A,FALSE,"Es-Fin";#N/A,#N/A,FALSE,"Margen-P"}</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localSheetId="2" hidden="1">{#N/A,#N/A,FALSE,"지침";#N/A,#N/A,FALSE,"환경분석";#N/A,#N/A,FALSE,"Sheet16"}</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 localSheetId="2">[0]!BlankMacro1</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6" hidden="1">{"'Jibu9811 (3)'!$B$1:$J$433"}</definedName>
    <definedName name="zgafkhakf" localSheetId="2" hidden="1">{"'Jibu9811 (3)'!$B$1:$J$433"}</definedName>
    <definedName name="zgafkhakf" hidden="1">{"'Jibu9811 (3)'!$B$1:$J$433"}</definedName>
    <definedName name="zip" localSheetId="6">{"Book1"}</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6"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 hidden="1">{#N/A,#N/A,FALSE,"이태원철근"}</definedName>
    <definedName name="ZXC" hidden="1">{#N/A,#N/A,FALSE,"이태원철근"}</definedName>
    <definedName name="zxcv">#N/A</definedName>
    <definedName name="Zy">#REF!</definedName>
    <definedName name="ZZ">#REF!</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localSheetId="2" hidden="1">#REF!</definedName>
    <definedName name="ппп" hidden="1">#N/A</definedName>
    <definedName name="あああ" localSheetId="6" hidden="1">{"'買掛金'!$J$6"}</definedName>
    <definedName name="あああ" localSheetId="2" hidden="1">{"'買掛金'!$J$6"}</definedName>
    <definedName name="あああ" hidden="1">{"'買掛金'!$J$6"}</definedName>
    <definedName name="その他の投資" localSheetId="6" hidden="1">{"'買掛金'!$J$6"}</definedName>
    <definedName name="その他の投資" localSheetId="2" hidden="1">{"'買掛金'!$J$6"}</definedName>
    <definedName name="その他の投資" hidden="1">{"'買掛金'!$J$6"}</definedName>
    <definedName name="っっｂ" localSheetId="6" hidden="1">{"'買掛金'!$J$6"}</definedName>
    <definedName name="っっｂ" localSheetId="2" hidden="1">{"'買掛金'!$J$6"}</definedName>
    <definedName name="っっｂ" hidden="1">{"'買掛金'!$J$6"}</definedName>
    <definedName name="テスト" localSheetId="6" hidden="1">{"'買掛金'!$J$6"}</definedName>
    <definedName name="テスト" localSheetId="2" hidden="1">{"'買掛金'!$J$6"}</definedName>
    <definedName name="テスト" hidden="1">{"'買掛金'!$J$6"}</definedName>
    <definedName name="ㄱ" localSheetId="6"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6" hidden="1">{#N/A,#N/A,FALSE,"UNIT";#N/A,#N/A,FALSE,"UNIT";#N/A,#N/A,FALSE,"계정"}</definedName>
    <definedName name="ㄱㄱ" localSheetId="2" hidden="1">{#N/A,#N/A,FALSE,"UNIT";#N/A,#N/A,FALSE,"UNIT";#N/A,#N/A,FALSE,"계정"}</definedName>
    <definedName name="ㄱㄱ" hidden="1">{#N/A,#N/A,FALSE,"UNIT";#N/A,#N/A,FALSE,"UNIT";#N/A,#N/A,FALSE,"계정"}</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6" hidden="1">{#N/A,#N/A,FALSE,"1.CRITERIA";#N/A,#N/A,FALSE,"2.IS";#N/A,#N/A,FALSE,"3.BS";#N/A,#N/A,FALSE,"4.PER PL";#N/A,#N/A,FALSE,"5.INVESTMENT";#N/A,#N/A,FALSE,"6.공문";#N/A,#N/A,FALSE,"7.netinvest"}</definedName>
    <definedName name="ㄱㄱㄱㄱ" localSheetId="2" hidden="1">{#N/A,#N/A,FALSE,"지침";#N/A,#N/A,FALSE,"환경분석";#N/A,#N/A,FALSE,"Sheet16"}</definedName>
    <definedName name="ㄱㄱㄱㄱ" hidden="1">{#N/A,#N/A,FALSE,"1.CRITERIA";#N/A,#N/A,FALSE,"2.IS";#N/A,#N/A,FALSE,"3.BS";#N/A,#N/A,FALSE,"4.PER PL";#N/A,#N/A,FALSE,"5.INVESTMENT";#N/A,#N/A,FALSE,"6.공문";#N/A,#N/A,FALSE,"7.netinvest"}</definedName>
    <definedName name="ㄱㄱㄱㄱㄱ" localSheetId="6" hidden="1">{#N/A,#N/A,FALSE,"UNIT";#N/A,#N/A,FALSE,"UNIT";#N/A,#N/A,FALSE,"계정"}</definedName>
    <definedName name="ㄱㄱㄱㄱㄱ" localSheetId="2" hidden="1">{#N/A,#N/A,FALSE,"UNIT";#N/A,#N/A,FALSE,"UNIT";#N/A,#N/A,FALSE,"계정"}</definedName>
    <definedName name="ㄱㄱㄱㄱㄱ" hidden="1">{#N/A,#N/A,FALSE,"UNIT";#N/A,#N/A,FALSE,"UNIT";#N/A,#N/A,FALSE,"계정"}</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localSheetId="2"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2"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6" hidden="1">{"'Jibu9811 (3)'!$B$1:$J$433"}</definedName>
    <definedName name="ㄱㄱㄱㅎㄱ" localSheetId="2" hidden="1">{"'Jibu9811 (3)'!$B$1:$J$433"}</definedName>
    <definedName name="ㄱㄱㄱㅎㄱ" hidden="1">{"'Jibu9811 (3)'!$B$1:$J$433"}</definedName>
    <definedName name="ㄱㄴㄷㅎ" localSheetId="6"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localSheetId="2" hidden="1">{#N/A,#N/A,FALSE,"Sheet6"}</definedName>
    <definedName name="ㄱㄷㄱ" hidden="1">{#N/A,#N/A,FALSE,"Sheet6"}</definedName>
    <definedName name="ㄱㄷㅅ" localSheetId="2" hidden="1">{#N/A,#N/A,FALSE,"Sheet6"}</definedName>
    <definedName name="ㄱㄷㅅ" hidden="1">{#N/A,#N/A,FALSE,"Sheet6"}</definedName>
    <definedName name="ㄱㄷㅈ" localSheetId="2">BlankMacro1</definedName>
    <definedName name="ㄱㄷㅈ">BlankMacro1</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6" hidden="1">{"'Jibu9811 (3)'!$B$1:$J$433"}</definedName>
    <definedName name="ㄱㄷㅎ" localSheetId="2" hidden="1">{"'Jibu9811 (3)'!$B$1:$J$433"}</definedName>
    <definedName name="ㄱㄷㅎ" hidden="1">{"'Jibu9811 (3)'!$B$1:$J$433"}</definedName>
    <definedName name="ㄱㄷㅎㄷㄱㅎㄱㅎㄱ" localSheetId="6" hidden="1">{"'Jibu9811 (3)'!$B$1:$J$433"}</definedName>
    <definedName name="ㄱㄷㅎㄷㄱㅎㄱㅎㄱ" localSheetId="2" hidden="1">{"'Jibu9811 (3)'!$B$1:$J$433"}</definedName>
    <definedName name="ㄱㄷㅎㄷㄱㅎㄱㅎㄱ" hidden="1">{"'Jibu9811 (3)'!$B$1:$J$433"}</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 localSheetId="2">BlankMacro1</definedName>
    <definedName name="ㄱㄹ">BlankMacro1</definedName>
    <definedName name="ㄱㄹ홍ㄱ호" localSheetId="2" hidden="1">{#N/A,#N/A,FALSE,"Sheet6"}</definedName>
    <definedName name="ㄱㄹ홍ㄱ호" hidden="1">{#N/A,#N/A,FALSE,"Sheet6"}</definedName>
    <definedName name="ㄱ리" localSheetId="2">BlankMacro1</definedName>
    <definedName name="ㄱ리">BlankMacro1</definedName>
    <definedName name="ㄱㄿ" localSheetId="2" hidden="1">{#N/A,#N/A,FALSE,"Sheet1"}</definedName>
    <definedName name="ㄱㄿ" hidden="1">{#N/A,#N/A,FALSE,"Sheet1"}</definedName>
    <definedName name="ㄱㅁㅇ리허ㅏㅣ" localSheetId="6" hidden="1">{"'Jibu9811 (3)'!$B$1:$J$433"}</definedName>
    <definedName name="ㄱㅁㅇ리허ㅏㅣ" localSheetId="2" hidden="1">{"'Jibu9811 (3)'!$B$1:$J$433"}</definedName>
    <definedName name="ㄱㅁㅇ리허ㅏㅣ" hidden="1">{"'Jibu9811 (3)'!$B$1:$J$433"}</definedName>
    <definedName name="ㄱㅂㅊ" localSheetId="2">BlankMacro1</definedName>
    <definedName name="ㄱㅂㅊ">BlankMacro1</definedName>
    <definedName name="ㄱ보" localSheetId="2">BlankMacro1</definedName>
    <definedName name="ㄱ보">BlankMacro1</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localSheetId="2" hidden="1">{#N/A,#N/A,FALSE,"Sheet6"}</definedName>
    <definedName name="ㄱ쇽" hidden="1">{#N/A,#N/A,FALSE,"Sheet6"}</definedName>
    <definedName name="ㄱ슈곡ㄴ">#N/A</definedName>
    <definedName name="ㄱㅇ" localSheetId="6"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6" hidden="1">{#N/A,#N/A,FALSE,"기안지";#N/A,#N/A,FALSE,"통신지"}</definedName>
    <definedName name="ㄱㅈ" localSheetId="2" hidden="1">{#N/A,#N/A,FALSE,"기안지";#N/A,#N/A,FALSE,"통신지"}</definedName>
    <definedName name="ㄱㅈ" hidden="1">{#N/A,#N/A,FALSE,"기안지";#N/A,#N/A,FALSE,"통신지"}</definedName>
    <definedName name="ㄱㅈ새새ㅐ재파ㅣㅍㄹ" localSheetId="6" hidden="1">{"'Jibu9811 (3)'!$B$1:$J$433"}</definedName>
    <definedName name="ㄱㅈ새새ㅐ재파ㅣㅍㄹ" localSheetId="2" hidden="1">{"'Jibu9811 (3)'!$B$1:$J$433"}</definedName>
    <definedName name="ㄱㅈ새새ㅐ재파ㅣㅍㄹ" hidden="1">{"'Jibu9811 (3)'!$B$1:$J$433"}</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6" hidden="1">{"'Jibu9811 (3)'!$B$1:$J$433"}</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localSheetId="2" hidden="1">{#N/A,#N/A,TRUE,"경전'96(1)";#N/A,#N/A,TRUE,"경전'96 (2)"}</definedName>
    <definedName name="ㄱ호ㅗㄱㄱㄱ" hidden="1">{#N/A,#N/A,TRUE,"경전'96(1)";#N/A,#N/A,TRUE,"경전'96 (2)"}</definedName>
    <definedName name="ㄱ히망ㅎ" localSheetId="6"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6" hidden="1">{#N/A,#N/A,FALSE,"UNIT";#N/A,#N/A,FALSE,"UNIT";#N/A,#N/A,FALSE,"계정"}</definedName>
    <definedName name="가가" localSheetId="2" hidden="1">{#N/A,#N/A,FALSE,"UNIT";#N/A,#N/A,FALSE,"UNIT";#N/A,#N/A,FALSE,"계정"}</definedName>
    <definedName name="가가" hidden="1">{#N/A,#N/A,FALSE,"UNIT";#N/A,#N/A,FALSE,"UNIT";#N/A,#N/A,FALSE,"계정"}</definedName>
    <definedName name="가가가"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6" hidden="1">{"'미착금액'!$A$4:$G$14"}</definedName>
    <definedName name="가기긱" localSheetId="2" hidden="1">{"'미착금액'!$A$4:$G$14"}</definedName>
    <definedName name="가기긱" hidden="1">{"'미착금액'!$A$4:$G$14"}</definedName>
    <definedName name="가나" localSheetId="6" hidden="1">{#N/A,#N/A,FALSE,"1.CRITERIA";#N/A,#N/A,FALSE,"2.IS";#N/A,#N/A,FALSE,"3.BS";#N/A,#N/A,FALSE,"4.PER PL";#N/A,#N/A,FALSE,"5.INVESTMENT";#N/A,#N/A,FALSE,"6.공문";#N/A,#N/A,FALSE,"7.netinvest"}</definedName>
    <definedName name="가나" localSheetId="2">[0]!BlankMacro1</definedName>
    <definedName name="가나" hidden="1">{#N/A,#N/A,FALSE,"1.CRITERIA";#N/A,#N/A,FALSE,"2.IS";#N/A,#N/A,FALSE,"3.BS";#N/A,#N/A,FALSE,"4.PER PL";#N/A,#N/A,FALSE,"5.INVESTMENT";#N/A,#N/A,FALSE,"6.공문";#N/A,#N/A,FALSE,"7.netinvest"}</definedName>
    <definedName name="가나다" localSheetId="6" hidden="1">{"'Jibu9811 (3)'!$B$1:$J$433"}</definedName>
    <definedName name="가나다" localSheetId="2" hidden="1">{"'Jibu9811 (3)'!$B$1:$J$433"}</definedName>
    <definedName name="가나다" hidden="1">{"'Jibu9811 (3)'!$B$1:$J$433"}</definedName>
    <definedName name="가나다11">#REF!</definedName>
    <definedName name="가나다라"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localSheetId="2" hidden="1">{#N/A,#N/A,FALSE,"정공"}</definedName>
    <definedName name="가나다오" hidden="1">{#N/A,#N/A,FALSE,"정공"}</definedName>
    <definedName name="가나라" localSheetId="6"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6"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 localSheetId="2">BlankMacro1</definedName>
    <definedName name="가대">BlankMacro1</definedName>
    <definedName name="가라" localSheetId="6"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6"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6" hidden="1">{#N/A,#N/A,TRUE,"Y생산";#N/A,#N/A,TRUE,"Y판매";#N/A,#N/A,TRUE,"Y총물량";#N/A,#N/A,TRUE,"Y능력";#N/A,#N/A,TRUE,"YKD"}</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6"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6"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6"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6" hidden="1">{"'Jibu9811 (3)'!$B$1:$J$433"}</definedName>
    <definedName name="가짜" localSheetId="2" hidden="1">{"'Jibu9811 (3)'!$B$1:$J$433"}</definedName>
    <definedName name="가짜" hidden="1">{"'Jibu9811 (3)'!$B$1:$J$433"}</definedName>
    <definedName name="가짜2" localSheetId="6" hidden="1">{"'Jibu9811 (3)'!$B$1:$J$433"}</definedName>
    <definedName name="가짜2" localSheetId="2" hidden="1">{"'Jibu9811 (3)'!$B$1:$J$433"}</definedName>
    <definedName name="가짜2" hidden="1">{"'Jibu9811 (3)'!$B$1:$J$433"}</definedName>
    <definedName name="가카" localSheetId="6"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6" hidden="1">{"'매출이익'!$A$24:$K$45"}</definedName>
    <definedName name="가ㅏ" localSheetId="2" hidden="1">{"'매출이익'!$A$24:$K$45"}</definedName>
    <definedName name="가ㅏ" hidden="1">{"'매출이익'!$A$24:$K$45"}</definedName>
    <definedName name="가ㅏㅏㅏㅓ갸">#N/A</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간" localSheetId="6" hidden="1">{#N/A,#N/A,FALSE,"UNIT";#N/A,#N/A,FALSE,"UNIT";#N/A,#N/A,FALSE,"계정"}</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6" hidden="1">{"'Jibu9811 (3)'!$B$1:$J$433"}</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 localSheetId="2">BlankMacro1</definedName>
    <definedName name="갇">BlankMacro1</definedName>
    <definedName name="갈" localSheetId="6"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6" hidden="1">{"'Jibu9811 (3)'!$B$1:$J$433"}</definedName>
    <definedName name="갈레닉" localSheetId="2" hidden="1">{"'Jibu9811 (3)'!$B$1:$J$433"}</definedName>
    <definedName name="갈레닉" hidden="1">{"'Jibu9811 (3)'!$B$1:$J$433"}</definedName>
    <definedName name="갈레닉2" localSheetId="6" hidden="1">{"'Jibu9811 (3)'!$B$1:$J$433"}</definedName>
    <definedName name="갈레닉2" localSheetId="2" hidden="1">{"'Jibu9811 (3)'!$B$1:$J$433"}</definedName>
    <definedName name="갈레닉2" hidden="1">{"'Jibu9811 (3)'!$B$1:$J$433"}</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6" hidden="1">{#N/A,#N/A,FALSE,"9612"}</definedName>
    <definedName name="감가상각" localSheetId="2" hidden="1">{#N/A,#N/A,FALSE,"9612"}</definedName>
    <definedName name="감가상각" hidden="1">{#N/A,#N/A,FALSE,"9612"}</definedName>
    <definedName name="감가상각2003" localSheetId="6" hidden="1">{"FORM17",#N/A,FALSE,"Commission1";"FORM17.1",#N/A,FALSE,"Commission2"}</definedName>
    <definedName name="감가상각2003" localSheetId="2" hidden="1">{"FORM17",#N/A,FALSE,"Commission1";"FORM17.1",#N/A,FALSE,"Commission2"}</definedName>
    <definedName name="감가상각2003" hidden="1">{"FORM17",#N/A,FALSE,"Commission1";"FORM17.1",#N/A,FALSE,"Commission2"}</definedName>
    <definedName name="감가상각비" localSheetId="6" hidden="1">{#N/A,#N/A,FALSE,"1.CRITERIA";#N/A,#N/A,FALSE,"2.IS";#N/A,#N/A,FALSE,"3.BS";#N/A,#N/A,FALSE,"4.PER PL";#N/A,#N/A,FALSE,"5.INVESTMENT";#N/A,#N/A,FALSE,"6.공문";#N/A,#N/A,FALSE,"7.netinvest"}</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localSheetId="2"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 localSheetId="2">BLCH</definedName>
    <definedName name="감리조서2">BLCH</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6" hidden="1">{"'Jibu9811 (3)'!$B$1:$J$433"}</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6" hidden="1">{#N/A,#N/A,FALSE,"CCTV"}</definedName>
    <definedName name="갑지2" localSheetId="2" hidden="1">{#N/A,#N/A,FALSE,"CCTV"}</definedName>
    <definedName name="갑지2" hidden="1">{#N/A,#N/A,FALSE,"CCTV"}</definedName>
    <definedName name="값">#REF!</definedName>
    <definedName name="값2">#REF!</definedName>
    <definedName name="강" localSheetId="6" hidden="1">{#N/A,#N/A,FALSE,"1.CRITERIA";#N/A,#N/A,FALSE,"2.IS";#N/A,#N/A,FALSE,"3.BS";#N/A,#N/A,FALSE,"4.PER PL";#N/A,#N/A,FALSE,"5.INVESTMENT";#N/A,#N/A,FALSE,"6.공문";#N/A,#N/A,FALSE,"7.netinvest"}</definedName>
    <definedName name="강" localSheetId="2">BlankMacro1</definedName>
    <definedName name="강" hidden="1">{#N/A,#N/A,FALSE,"1.CRITERIA";#N/A,#N/A,FALSE,"2.IS";#N/A,#N/A,FALSE,"3.BS";#N/A,#N/A,FALSE,"4.PER PL";#N/A,#N/A,FALSE,"5.INVESTMENT";#N/A,#N/A,FALSE,"6.공문";#N/A,#N/A,FALSE,"7.netinvest"}</definedName>
    <definedName name="강강농" localSheetId="2" hidden="1">{#N/A,#N/A,FALSE,"단축1";#N/A,#N/A,FALSE,"단축2";#N/A,#N/A,FALSE,"단축3";#N/A,#N/A,FALSE,"장축";#N/A,#N/A,FALSE,"4WD"}</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6" hidden="1">{"'Jibu9811 (3)'!$B$1:$J$433"}</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localSheetId="2"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강종옥" localSheetId="6" hidden="1">{#N/A,#N/A,FALSE,"단축1";#N/A,#N/A,FALSE,"단축2";#N/A,#N/A,FALSE,"단축3";#N/A,#N/A,FALSE,"장축";#N/A,#N/A,FALSE,"4WD"}</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6" hidden="1">{#N/A,#N/A,FALSE,"부대2"}</definedName>
    <definedName name="개가ㅠㅡ" localSheetId="2" hidden="1">{#N/A,#N/A,FALSE,"부대2"}</definedName>
    <definedName name="개가ㅠㅡ" hidden="1">{#N/A,#N/A,FALSE,"부대2"}</definedName>
    <definedName name="개나리">#REF!</definedName>
    <definedName name="개덯" localSheetId="2">BlankMacro1</definedName>
    <definedName name="개덯">BlankMacro1</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6" hidden="1">{"FORM1",#N/A,FALSE,"Revenue";"FORMTR",#N/A,FALSE,"Revenue";"FORM3.1",#N/A,FALSE,"Revenue"}</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localSheetId="2" hidden="1">{#N/A,#N/A,FALSE,"단축1";#N/A,#N/A,FALSE,"단축2";#N/A,#N/A,FALSE,"단축3";#N/A,#N/A,FALSE,"장축";#N/A,#N/A,FALSE,"4WD"}</definedName>
    <definedName name="개선"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6" hidden="1">{#N/A,#N/A,FALSE,"초중조사서식 "}</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6" hidden="1">{#N/A,#N/A,FALSE,"정공"}</definedName>
    <definedName name="갤로" localSheetId="2" hidden="1">{#N/A,#N/A,FALSE,"정공"}</definedName>
    <definedName name="갤로" hidden="1">{#N/A,#N/A,FALSE,"정공"}</definedName>
    <definedName name="갸허" localSheetId="2">BlankMacro1</definedName>
    <definedName name="갸허">BlankMacro1</definedName>
    <definedName name="갸ㅑㅐㅗㅡ" localSheetId="6" hidden="1">{#N/A,#N/A,FALSE,"기안지";#N/A,#N/A,FALSE,"통신지"}</definedName>
    <definedName name="갸ㅑㅐㅗㅡ" localSheetId="2" hidden="1">{#N/A,#N/A,FALSE,"기안지";#N/A,#N/A,FALSE,"통신지"}</definedName>
    <definedName name="갸ㅑㅐㅗㅡ" hidden="1">{#N/A,#N/A,FALSE,"기안지";#N/A,#N/A,FALSE,"통신지"}</definedName>
    <definedName name="갸ㅗㅓ허ㅏ" localSheetId="6" hidden="1">{#N/A,#N/A,FALSE,"토공2"}</definedName>
    <definedName name="갸ㅗㅓ허ㅏ" localSheetId="2" hidden="1">{#N/A,#N/A,FALSE,"토공2"}</definedName>
    <definedName name="갸ㅗㅓ허ㅏ" hidden="1">{#N/A,#N/A,FALSE,"토공2"}</definedName>
    <definedName name="거" localSheetId="6" hidden="1">{#N/A,#N/A,FALSE,"1.CRITERIA";#N/A,#N/A,FALSE,"2.IS";#N/A,#N/A,FALSE,"3.BS";#N/A,#N/A,FALSE,"4.PER PL";#N/A,#N/A,FALSE,"5.INVESTMENT";#N/A,#N/A,FALSE,"6.공문";#N/A,#N/A,FALSE,"7.netinvest"}</definedName>
    <definedName name="거" localSheetId="2">#REF!</definedName>
    <definedName name="거" hidden="1">{#N/A,#N/A,FALSE,"1.CRITERIA";#N/A,#N/A,FALSE,"2.IS";#N/A,#N/A,FALSE,"3.BS";#N/A,#N/A,FALSE,"4.PER PL";#N/A,#N/A,FALSE,"5.INVESTMENT";#N/A,#N/A,FALSE,"6.공문";#N/A,#N/A,FALSE,"7.netinvest"}</definedName>
    <definedName name="거너" localSheetId="2" hidden="1">{#N/A,#N/A,FALSE,"단축1";#N/A,#N/A,FALSE,"단축2";#N/A,#N/A,FALSE,"단축3";#N/A,#N/A,FALSE,"장축";#N/A,#N/A,FALSE,"4WD"}</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6"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6"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 localSheetId="2">BlankMacro1</definedName>
    <definedName name="거ㅓㄷㅂ">BlankMacro1</definedName>
    <definedName name="건">#REF!</definedName>
    <definedName name="건강보험료">#REF!</definedName>
    <definedName name="건기" localSheetId="2" hidden="1">{#N/A,#N/A,FALSE,"사업총괄";#N/A,#N/A,FALSE,"장비사업";#N/A,#N/A,FALSE,"철구사업";#N/A,#N/A,FALSE,"준설사업"}</definedName>
    <definedName name="건기" hidden="1">{#N/A,#N/A,FALSE,"사업총괄";#N/A,#N/A,FALSE,"장비사업";#N/A,#N/A,FALSE,"철구사업";#N/A,#N/A,FALSE,"준설사업"}</definedName>
    <definedName name="건기2" localSheetId="2" hidden="1">{#N/A,#N/A,FALSE,"사업총괄";#N/A,#N/A,FALSE,"장비사업";#N/A,#N/A,FALSE,"철구사업";#N/A,#N/A,FALSE,"준설사업"}</definedName>
    <definedName name="건기2" hidden="1">{#N/A,#N/A,FALSE,"사업총괄";#N/A,#N/A,FALSE,"장비사업";#N/A,#N/A,FALSE,"철구사업";#N/A,#N/A,FALSE,"준설사업"}</definedName>
    <definedName name="건물" localSheetId="2" hidden="1">{"'손익현황'!$A$1:$J$29"}</definedName>
    <definedName name="건물" hidden="1">{"'손익현황'!$A$1:$J$29"}</definedName>
    <definedName name="건물관리비" hidden="1">#REF!</definedName>
    <definedName name="건물시부인">#REF!</definedName>
    <definedName name="건물임." localSheetId="6" hidden="1">{"'손익현황'!$A$1:$J$29"}</definedName>
    <definedName name="건물임." localSheetId="2" hidden="1">{"'손익현황'!$A$1:$J$29"}</definedName>
    <definedName name="건물임." hidden="1">{"'손익현황'!$A$1:$J$29"}</definedName>
    <definedName name="건물임._1" localSheetId="6" hidden="1">{"'손익현황'!$A$1:$J$29"}</definedName>
    <definedName name="건물임._1" localSheetId="2" hidden="1">{"'손익현황'!$A$1:$J$29"}</definedName>
    <definedName name="건물임._1" hidden="1">{"'손익현황'!$A$1:$J$29"}</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localSheetId="2" hidden="1">{#VALUE!,#N/A,FALSE,0;#N/A,#N/A,FALSE,0;#N/A,#N/A,FALSE,0;#N/A,#N/A,FALSE,0}</definedName>
    <definedName name="건설기계새로움" hidden="1">{#VALUE!,#N/A,FALSE,0;#N/A,#N/A,FALSE,0;#N/A,#N/A,FALSE,0;#N/A,#N/A,FALSE,0}</definedName>
    <definedName name="건설중인자산1" localSheetId="2">BlankMacro1</definedName>
    <definedName name="건설중인자산1">BlankMacro1</definedName>
    <definedName name="건설중인자산2" localSheetId="2">BlankMacro1</definedName>
    <definedName name="건설중인자산2">BlankMacro1</definedName>
    <definedName name="건설중자산3" localSheetId="2">BlankMacro1</definedName>
    <definedName name="건설중자산3">BlankMacro1</definedName>
    <definedName name="건설팀" localSheetId="6" hidden="1">{#N/A,#N/A,TRUE,"Y생산";#N/A,#N/A,TRUE,"Y판매";#N/A,#N/A,TRUE,"Y총물량";#N/A,#N/A,TRUE,"Y능력";#N/A,#N/A,TRUE,"YKD"}</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 localSheetId="2">BlankMacro1</definedName>
    <definedName name="건원가">BlankMacro1</definedName>
    <definedName name="건축" localSheetId="2">BlankMacro1</definedName>
    <definedName name="건축">BlankMacro1</definedName>
    <definedName name="건축내역1" localSheetId="2">BlankMacro1</definedName>
    <definedName name="건축내역1">BlankMacro1</definedName>
    <definedName name="건축내역2" localSheetId="2">BlankMacro1</definedName>
    <definedName name="건축내역2">BlankMacro1</definedName>
    <definedName name="건축도급" localSheetId="2">BlankMacro1</definedName>
    <definedName name="건축도급">BlankMacro1</definedName>
    <definedName name="건축목공">#REF!</definedName>
    <definedName name="건축원가" localSheetId="6" hidden="1">{#N/A,#N/A,FALSE,"토공2"}</definedName>
    <definedName name="건축원가" localSheetId="2" hidden="1">{#N/A,#N/A,FALSE,"토공2"}</definedName>
    <definedName name="건축원가" hidden="1">{#N/A,#N/A,FALSE,"토공2"}</definedName>
    <definedName name="건축집계분임">#REF!</definedName>
    <definedName name="건축토공" localSheetId="6" hidden="1">{#N/A,#N/A,FALSE,"기안지";#N/A,#N/A,FALSE,"통신지"}</definedName>
    <definedName name="건축토공" localSheetId="2" hidden="1">{#N/A,#N/A,FALSE,"기안지";#N/A,#N/A,FALSE,"통신지"}</definedName>
    <definedName name="건축토공" hidden="1">{#N/A,#N/A,FALSE,"기안지";#N/A,#N/A,FALSE,"통신지"}</definedName>
    <definedName name="건축플랜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localSheetId="2" hidden="1">{#N/A,#N/A,FALSE,"단축1";#N/A,#N/A,FALSE,"단축2";#N/A,#N/A,FALSE,"단축3";#N/A,#N/A,FALSE,"장축";#N/A,#N/A,FALSE,"4WD"}</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 localSheetId="2">Dlog_Show</definedName>
    <definedName name="견적1">Dlog_Show</definedName>
    <definedName name="견적list3" localSheetId="2" hidden="1">{#N/A,#N/A,FALSE,"단축1";#N/A,#N/A,FALSE,"단축2";#N/A,#N/A,FALSE,"단축3";#N/A,#N/A,FALSE,"장축";#N/A,#N/A,FALSE,"4WD"}</definedName>
    <definedName name="견적list3" hidden="1">{#N/A,#N/A,FALSE,"단축1";#N/A,#N/A,FALSE,"단축2";#N/A,#N/A,FALSE,"단축3";#N/A,#N/A,FALSE,"장축";#N/A,#N/A,FALSE,"4WD"}</definedName>
    <definedName name="견적비교">#REF!</definedName>
    <definedName name="견적서">#REF!</definedName>
    <definedName name="견적소" localSheetId="2">BlankMacro1</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localSheetId="2" hidden="1">{#N/A,#N/A,FALSE,"Aging Summary";#N/A,#N/A,FALSE,"Ratio Analysis";#N/A,#N/A,FALSE,"Test 120 Day Accts";#N/A,#N/A,FALSE,"Tickmarks"}</definedName>
    <definedName name="결손금" hidden="1">{#N/A,#N/A,FALSE,"Aging Summary";#N/A,#N/A,FALSE,"Ratio Analysis";#N/A,#N/A,FALSE,"Test 120 Day Accts";#N/A,#N/A,FALSE,"Tickmarks"}</definedName>
    <definedName name="결영" localSheetId="6" hidden="1">{#N/A,#N/A,FALSE,"P.C.B"}</definedName>
    <definedName name="결영" localSheetId="2" hidden="1">{#N/A,#N/A,FALSE,"P.C.B"}</definedName>
    <definedName name="결영" hidden="1">{#N/A,#N/A,FALSE,"P.C.B"}</definedName>
    <definedName name="결정세액03">#REF!</definedName>
    <definedName name="결정세액04">#REF!</definedName>
    <definedName name="결품" localSheetId="2" hidden="1">{#N/A,#N/A,FALSE,"단축1";#N/A,#N/A,FALSE,"단축2";#N/A,#N/A,FALSE,"단축3";#N/A,#N/A,FALSE,"장축";#N/A,#N/A,FALSE,"4WD"}</definedName>
    <definedName name="결품" hidden="1">{#N/A,#N/A,FALSE,"단축1";#N/A,#N/A,FALSE,"단축2";#N/A,#N/A,FALSE,"단축3";#N/A,#N/A,FALSE,"장축";#N/A,#N/A,FALSE,"4WD"}</definedName>
    <definedName name="경" localSheetId="2" hidden="1">{#N/A,#N/A,TRUE,"경전'96(1)";#N/A,#N/A,TRUE,"경전'96 (2)"}</definedName>
    <definedName name="경" hidden="1">{#N/A,#N/A,TRUE,"경전'96(1)";#N/A,#N/A,TRUE,"경전'96 (2)"}</definedName>
    <definedName name="경001" localSheetId="2" hidden="1">{#N/A,#N/A,TRUE,"경전'96(1)";#N/A,#N/A,TRUE,"경전'96 (2)"}</definedName>
    <definedName name="경001" hidden="1">{#N/A,#N/A,TRUE,"경전'96(1)";#N/A,#N/A,TRUE,"경전'96 (2)"}</definedName>
    <definedName name="경1" localSheetId="2" hidden="1">{#N/A,#N/A,TRUE,"경전'96(1)";#N/A,#N/A,TRUE,"경전'96 (2)"}</definedName>
    <definedName name="경1" hidden="1">{#N/A,#N/A,TRUE,"경전'96(1)";#N/A,#N/A,TRUE,"경전'96 (2)"}</definedName>
    <definedName name="경남"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6" hidden="1">{#N/A,#N/A,FALSE,"P.C.B"}</definedName>
    <definedName name="경리" localSheetId="2" hidden="1">{#N/A,#N/A,FALSE,"P.C.B"}</definedName>
    <definedName name="경리" hidden="1">{#N/A,#N/A,FALSE,"P.C.B"}</definedName>
    <definedName name="경리손익" localSheetId="2" hidden="1">{#N/A,#N/A,FALSE,"정공"}</definedName>
    <definedName name="경리손익" hidden="1">{#N/A,#N/A,FALSE,"정공"}</definedName>
    <definedName name="경리일보_지출예정_List">#REF!</definedName>
    <definedName name="경비">#REF!</definedName>
    <definedName name="경비1" hidden="1">#REF!</definedName>
    <definedName name="경비실적" localSheetId="6" hidden="1">{#N/A,#N/A,FALSE,"정공"}</definedName>
    <definedName name="경비실적" localSheetId="2" hidden="1">{#N/A,#N/A,FALSE,"정공"}</definedName>
    <definedName name="경비실적" hidden="1">{#N/A,#N/A,FALSE,"정공"}</definedName>
    <definedName name="경비예산">#REF!,#REF!</definedName>
    <definedName name="경비율">#REF!</definedName>
    <definedName name="경상비8월" localSheetId="2" hidden="1">{#N/A,#N/A,FALSE,"단축1";#N/A,#N/A,FALSE,"단축2";#N/A,#N/A,FALSE,"단축3";#N/A,#N/A,FALSE,"장축";#N/A,#N/A,FALSE,"4WD"}</definedName>
    <definedName name="경상비8월" hidden="1">{#N/A,#N/A,FALSE,"단축1";#N/A,#N/A,FALSE,"단축2";#N/A,#N/A,FALSE,"단축3";#N/A,#N/A,FALSE,"장축";#N/A,#N/A,FALSE,"4WD"}</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 localSheetId="2">BlankMacro1</definedName>
    <definedName name="경순">BlankMacro1</definedName>
    <definedName name="경영" localSheetId="6" hidden="1">{#N/A,#N/A,FALSE,"P.C.B"}</definedName>
    <definedName name="경영" localSheetId="2" hidden="1">{#N/A,#N/A,FALSE,"P.C.B"}</definedName>
    <definedName name="경영" hidden="1">{#N/A,#N/A,FALSE,"P.C.B"}</definedName>
    <definedName name="경영2" hidden="1">#REF!</definedName>
    <definedName name="경영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6"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6" hidden="1">{"'Sheet1'!$A$1:$H$36"}</definedName>
    <definedName name="경영진보고" localSheetId="2" hidden="1">{"'Sheet1'!$A$1:$H$36"}</definedName>
    <definedName name="경영진보고" hidden="1">{"'Sheet1'!$A$1:$H$36"}</definedName>
    <definedName name="경인" localSheetId="6" hidden="1">{"'Jibu9811 (3)'!$B$1:$J$433"}</definedName>
    <definedName name="경인" localSheetId="2" hidden="1">{"'Jibu9811 (3)'!$B$1:$J$433"}</definedName>
    <definedName name="경인" hidden="1">{"'Jibu9811 (3)'!$B$1:$J$433"}</definedName>
    <definedName name="경자" hidden="1">#REF!</definedName>
    <definedName name="경쟁사동향" localSheetId="6" hidden="1">{#N/A,#N/A,FALSE,"97년 투자계획 세부내역 "}</definedName>
    <definedName name="경쟁사동향" localSheetId="2" hidden="1">{#N/A,#N/A,FALSE,"97년 투자계획 세부내역 "}</definedName>
    <definedName name="경쟁사동향" hidden="1">{#N/A,#N/A,FALSE,"97년 투자계획 세부내역 "}</definedName>
    <definedName name="경전요약" localSheetId="2" hidden="1">{#N/A,#N/A,TRUE,"경전'96(1)";#N/A,#N/A,TRUE,"경전'96 (2)"}</definedName>
    <definedName name="경전요약" hidden="1">{#N/A,#N/A,TRUE,"경전'96(1)";#N/A,#N/A,TRUE,"경전'96 (2)"}</definedName>
    <definedName name="경주">#REF!</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량기재료비분석" localSheetId="6" hidden="1">{#N/A,#N/A,FALSE,"UNIT";#N/A,#N/A,FALSE,"UNIT";#N/A,#N/A,FALSE,"계정"}</definedName>
    <definedName name="계량기재료비분석" localSheetId="2" hidden="1">{#N/A,#N/A,FALSE,"UNIT";#N/A,#N/A,FALSE,"UNIT";#N/A,#N/A,FALSE,"계정"}</definedName>
    <definedName name="계량기재료비분석" hidden="1">{#N/A,#N/A,FALSE,"UNIT";#N/A,#N/A,FALSE,"UNIT";#N/A,#N/A,FALSE,"계정"}</definedName>
    <definedName name="계산" localSheetId="6"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2" hidden="1">{#N/A,#N/A,FALSE,"지침";#N/A,#N/A,FALSE,"환경분석";#N/A,#N/A,FALSE,"Sheet16"}</definedName>
    <definedName name="계수" hidden="1">{#N/A,#N/A,FALSE,"지침";#N/A,#N/A,FALSE,"환경분석";#N/A,#N/A,FALSE,"Sheet16"}</definedName>
    <definedName name="계약" localSheetId="6" hidden="1">{#N/A,#N/A,FALSE,"계약직(여)"}</definedName>
    <definedName name="계약" localSheetId="2">#REF!</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6" hidden="1">{#N/A,#N/A,FALSE,"UNIT";#N/A,#N/A,FALSE,"UNIT";#N/A,#N/A,FALSE,"계정"}</definedName>
    <definedName name="계획" localSheetId="2" hidden="1">{#N/A,#N/A,FALSE,"정공"}</definedName>
    <definedName name="계획" hidden="1">{#N/A,#N/A,FALSE,"UNIT";#N/A,#N/A,FALSE,"UNIT";#N/A,#N/A,FALSE,"계정"}</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 localSheetId="6" hidden="1">{#N/A,#N/A,FALSE,"UNIT";#N/A,#N/A,FALSE,"UNIT";#N/A,#N/A,FALSE,"계정"}</definedName>
    <definedName name="계획1" localSheetId="2" hidden="1">{#N/A,#N/A,FALSE,"단축1";#N/A,#N/A,FALSE,"단축2";#N/A,#N/A,FALSE,"단축3";#N/A,#N/A,FALSE,"장축";#N/A,#N/A,FALSE,"4WD"}</definedName>
    <definedName name="계획1" hidden="1">{#N/A,#N/A,FALSE,"UNIT";#N/A,#N/A,FALSE,"UNIT";#N/A,#N/A,FALSE,"계정"}</definedName>
    <definedName name="계획2" localSheetId="6" hidden="1">{#N/A,#N/A,FALSE,"정공"}</definedName>
    <definedName name="계획2" localSheetId="2" hidden="1">{#N/A,#N/A,FALSE,"정공"}</definedName>
    <definedName name="계획2" hidden="1">{#N/A,#N/A,FALSE,"정공"}</definedName>
    <definedName name="계획표">#REF!</definedName>
    <definedName name="계획표지" localSheetId="2" hidden="1">{#N/A,#N/A,FALSE,"단축1";#N/A,#N/A,FALSE,"단축2";#N/A,#N/A,FALSE,"단축3";#N/A,#N/A,FALSE,"장축";#N/A,#N/A,FALSE,"4WD"}</definedName>
    <definedName name="계획표지" hidden="1">{#N/A,#N/A,FALSE,"단축1";#N/A,#N/A,FALSE,"단축2";#N/A,#N/A,FALSE,"단축3";#N/A,#N/A,FALSE,"장축";#N/A,#N/A,FALSE,"4WD"}</definedName>
    <definedName name="고" hidden="1">#REF!</definedName>
    <definedName name="고사" localSheetId="2" hidden="1">{#N/A,#N/A,FALSE,"CCTV"}</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6" hidden="1">{"FORM1",#N/A,FALSE,"Revenue";"FORMTR",#N/A,FALSE,"Revenue";"FORM3.1",#N/A,FALSE,"Revenue"}</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6" hidden="1">{"FORM17",#N/A,FALSE,"Commission1";"FORM17.1",#N/A,FALSE,"Commission2"}</definedName>
    <definedName name="고정자산" localSheetId="2" hidden="1">{"FORM17",#N/A,FALSE,"Commission1";"FORM17.1",#N/A,FALSE,"Commission2"}</definedName>
    <definedName name="고정자산" hidden="1">{"FORM17",#N/A,FALSE,"Commission1";"FORM17.1",#N/A,FALSE,"Commission2"}</definedName>
    <definedName name="고정자산2" localSheetId="6" hidden="1">{"FORM1",#N/A,TRUE,"Revenue";"FORM1.1",#N/A,TRUE,"Revenue";"FORM1.2",#N/A,TRUE,"Revenue";"FORM2",#N/A,TRUE,"Revenue";"FORM2.1",#N/A,TRUE,"Revenue"}</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6" hidden="1">{#N/A,#N/A,FALSE,"1.CRITERIA";#N/A,#N/A,FALSE,"2.IS";#N/A,#N/A,FALSE,"3.BS";#N/A,#N/A,FALSE,"4.PER PL";#N/A,#N/A,FALSE,"5.INVESTMENT";#N/A,#N/A,FALSE,"6.공문";#N/A,#N/A,FALSE,"7.netinvest"}</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localSheetId="2" hidden="1">{#N/A,#N/A,FALSE,"Sheet6"}</definedName>
    <definedName name="곧ㄱ" hidden="1">{#N/A,#N/A,FALSE,"Sheet6"}</definedName>
    <definedName name="골" localSheetId="2" hidden="1">{#N/A,#N/A,FALSE,"단축1";#N/A,#N/A,FALSE,"단축2";#N/A,#N/A,FALSE,"단축3";#N/A,#N/A,FALSE,"장축";#N/A,#N/A,FALSE,"4WD"}</definedName>
    <definedName name="골" hidden="1">{#N/A,#N/A,FALSE,"단축1";#N/A,#N/A,FALSE,"단축2";#N/A,#N/A,FALSE,"단축3";#N/A,#N/A,FALSE,"장축";#N/A,#N/A,FALSE,"4WD"}</definedName>
    <definedName name="골라인쇄">#REF!</definedName>
    <definedName name="공" localSheetId="6" hidden="1">{"'손익현황'!$A$1:$J$29"}</definedName>
    <definedName name="공" localSheetId="2" hidden="1">{"'손익현황'!$A$1:$J$29"}</definedName>
    <definedName name="공" hidden="1">{"'손익현황'!$A$1:$J$29"}</definedName>
    <definedName name="공___종">#REF!</definedName>
    <definedName name="공_1" localSheetId="6" hidden="1">{"'손익현황'!$A$1:$J$29"}</definedName>
    <definedName name="공_1" localSheetId="2" hidden="1">{"'손익현황'!$A$1:$J$29"}</definedName>
    <definedName name="공_1" hidden="1">{"'손익현황'!$A$1:$J$29"}</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6" hidden="1">{"'손익현황'!$A$1:$J$29"}</definedName>
    <definedName name="공구" localSheetId="2" hidden="1">{"'손익현황'!$A$1:$J$29"}</definedName>
    <definedName name="공구" hidden="1">{"'손익현황'!$A$1:$J$29"}</definedName>
    <definedName name="공구_1" localSheetId="6" hidden="1">{"'손익현황'!$A$1:$J$29"}</definedName>
    <definedName name="공구_1" localSheetId="2" hidden="1">{"'손익현황'!$A$1:$J$29"}</definedName>
    <definedName name="공구_1" hidden="1">{"'손익현황'!$A$1:$J$29"}</definedName>
    <definedName name="공구기구" localSheetId="6" hidden="1">{"'손익현황'!$A$1:$J$29"}</definedName>
    <definedName name="공구기구" localSheetId="2" hidden="1">{"'손익현황'!$A$1:$J$29"}</definedName>
    <definedName name="공구기구" hidden="1">{"'손익현황'!$A$1:$J$29"}</definedName>
    <definedName name="공구기구_1" localSheetId="6"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6" hidden="1">{#N/A,#N/A,FALSE,"기안지";#N/A,#N/A,FALSE,"통신지"}</definedName>
    <definedName name="공동구토공" localSheetId="2" hidden="1">{#N/A,#N/A,FALSE,"기안지";#N/A,#N/A,FALSE,"통신지"}</definedName>
    <definedName name="공동구토공" hidden="1">{#N/A,#N/A,FALSE,"기안지";#N/A,#N/A,FALSE,"통신지"}</definedName>
    <definedName name="공모23" localSheetId="6" hidden="1">{#N/A,#N/A,FALSE,"현장 NCR 분석";#N/A,#N/A,FALSE,"현장품질감사";#N/A,#N/A,FALSE,"현장품질감사"}</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6"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6"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6"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6" hidden="1">{#N/A,#N/A,TRUE,"토적및재료집계";#N/A,#N/A,TRUE,"토적및재료집계";#N/A,#N/A,TRUE,"단위량"}</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수투입" localSheetId="6" hidden="1">{#N/A,#N/A,FALSE,"정공"}</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localSheetId="2" hidden="1">{#N/A,#N/A,TRUE,"Y생산";#N/A,#N/A,TRUE,"Y판매";#N/A,#N/A,TRUE,"Y총물량";#N/A,#N/A,TRUE,"Y능력";#N/A,#N/A,TRUE,"YKD"}</definedName>
    <definedName name="공장현황" hidden="1">{#N/A,#N/A,TRUE,"Y생산";#N/A,#N/A,TRUE,"Y판매";#N/A,#N/A,TRUE,"Y총물량";#N/A,#N/A,TRUE,"Y능력";#N/A,#N/A,TRUE,"YKD"}</definedName>
    <definedName name="공정" hidden="1">#REF!</definedName>
    <definedName name="공정계획" localSheetId="2" hidden="1">{#N/A,#N/A,FALSE,"단축1";#N/A,#N/A,FALSE,"단축2";#N/A,#N/A,FALSE,"단축3";#N/A,#N/A,FALSE,"장축";#N/A,#N/A,FALSE,"4WD"}</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6" hidden="1">{"'Jibu9811 (3)'!$B$1:$J$433"}</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localSheetId="2" hidden="1">{#N/A,#N/A,FALSE,"단축1";#N/A,#N/A,FALSE,"단축2";#N/A,#N/A,FALSE,"단축3";#N/A,#N/A,FALSE,"장축";#N/A,#N/A,FALSE,"4WD"}</definedName>
    <definedName name="과거실적" hidden="1">{#N/A,#N/A,FALSE,"단축1";#N/A,#N/A,FALSE,"단축2";#N/A,#N/A,FALSE,"단축3";#N/A,#N/A,FALSE,"장축";#N/A,#N/A,FALSE,"4WD"}</definedName>
    <definedName name="과학">#REF!</definedName>
    <definedName name="과학실">#REF!</definedName>
    <definedName name="과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 localSheetId="2">CommonDB.xls</definedName>
    <definedName name="관정">CommonDB.xls</definedName>
    <definedName name="관할세무서지">#REF!</definedName>
    <definedName name="광">#REF!</definedName>
    <definedName name="광명">#REF!</definedName>
    <definedName name="광주" localSheetId="6" hidden="1">{"'Jibu9811 (3)'!$B$1:$J$433"}</definedName>
    <definedName name="광주" localSheetId="2" hidden="1">{"'Jibu9811 (3)'!$B$1:$J$433"}</definedName>
    <definedName name="광주" hidden="1">{"'Jibu9811 (3)'!$B$1:$J$433"}</definedName>
    <definedName name="광주2" localSheetId="6" hidden="1">{"'Jibu9811 (3)'!$B$1:$J$433"}</definedName>
    <definedName name="광주2" localSheetId="2" hidden="1">{"'Jibu9811 (3)'!$B$1:$J$433"}</definedName>
    <definedName name="광주2" hidden="1">{"'Jibu9811 (3)'!$B$1:$J$433"}</definedName>
    <definedName name="광주3" localSheetId="6" hidden="1">{"'Jibu9811 (3)'!$B$1:$J$433"}</definedName>
    <definedName name="광주3" localSheetId="2" hidden="1">{"'Jibu9811 (3)'!$B$1:$J$433"}</definedName>
    <definedName name="광주3" hidden="1">{"'Jibu9811 (3)'!$B$1:$J$433"}</definedName>
    <definedName name="광주공장" hidden="1">#REF!</definedName>
    <definedName name="광주지역미수현황.xlx" localSheetId="6" hidden="1">{"'Jibu9811 (3)'!$B$1:$J$433"}</definedName>
    <definedName name="광주지역미수현황.xlx" localSheetId="2" hidden="1">{"'Jibu9811 (3)'!$B$1:$J$433"}</definedName>
    <definedName name="광주지역미수현황.xlx" hidden="1">{"'Jibu9811 (3)'!$B$1:$J$433"}</definedName>
    <definedName name="광주지점사무실" localSheetId="6"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localSheetId="2" hidden="1">{#N/A,#N/A,FALSE,"이태원철근"}</definedName>
    <definedName name="교동토목공사" hidden="1">{#N/A,#N/A,FALSE,"이태원철근"}</definedName>
    <definedName name="교목계">#REF!</definedName>
    <definedName name="교무">#REF!</definedName>
    <definedName name="교사">#REF!</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6" hidden="1">{#N/A,#N/A,FALSE,"단축1";#N/A,#N/A,FALSE,"단축2";#N/A,#N/A,FALSE,"단축3";#N/A,#N/A,FALSE,"장축";#N/A,#N/A,FALSE,"4WD"}</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localSheetId="2" hidden="1">{#N/A,#N/A,FALSE,"Sheet6"}</definedName>
    <definedName name="굗ㄱ" hidden="1">{#N/A,#N/A,FALSE,"Sheet6"}</definedName>
    <definedName name="구" localSheetId="6" hidden="1">{"'손익현황'!$A$1:$J$29"}</definedName>
    <definedName name="구" localSheetId="2" hidden="1">{"'손익현황'!$A$1:$J$29"}</definedName>
    <definedName name="구" hidden="1">{"'손익현황'!$A$1:$J$29"}</definedName>
    <definedName name="구_1" localSheetId="6" hidden="1">{"'손익현황'!$A$1:$J$29"}</definedName>
    <definedName name="구_1" localSheetId="2" hidden="1">{"'손익현황'!$A$1:$J$29"}</definedName>
    <definedName name="구_1" hidden="1">{"'손익현황'!$A$1:$J$29"}</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6" hidden="1">{#N/A,#N/A,TRUE,"Y생산";#N/A,#N/A,TRUE,"Y판매";#N/A,#N/A,TRUE,"Y총물량";#N/A,#N/A,TRUE,"Y능력";#N/A,#N/A,TRUE,"YKD"}</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2" hidden="1">{#N/A,#N/A,FALSE,"Sheet6"}</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6" hidden="1">{#N/A,#N/A,FALSE,"이정표"}</definedName>
    <definedName name="구조물공" localSheetId="2" hidden="1">{#N/A,#N/A,FALSE,"이정표"}</definedName>
    <definedName name="구조물공" hidden="1">{#N/A,#N/A,FALSE,"이정표"}</definedName>
    <definedName name="구조물공사" localSheetId="2" hidden="1">{#N/A,#N/A,TRUE,"토적및재료집계";#N/A,#N/A,TRUE,"토적및재료집계";#N/A,#N/A,TRUE,"단위량"}</definedName>
    <definedName name="구조물공사" hidden="1">{#N/A,#N/A,TRUE,"토적및재료집계";#N/A,#N/A,TRUE,"토적및재료집계";#N/A,#N/A,TRUE,"단위량"}</definedName>
    <definedName name="구축물" localSheetId="6" hidden="1">{#N/A,#N/A,FALSE,"9612"}</definedName>
    <definedName name="구축물" localSheetId="2" hidden="1">{"'손익현황'!$A$1:$J$29"}</definedName>
    <definedName name="구축물" hidden="1">{#N/A,#N/A,FALSE,"9612"}</definedName>
    <definedName name="구축물시부인">#REF!</definedName>
    <definedName name="구축물임" localSheetId="6" hidden="1">{"'손익현황'!$A$1:$J$29"}</definedName>
    <definedName name="구축물임" localSheetId="2" hidden="1">{"'손익현황'!$A$1:$J$29"}</definedName>
    <definedName name="구축물임" hidden="1">{"'손익현황'!$A$1:$J$29"}</definedName>
    <definedName name="구축물임_1" localSheetId="6" hidden="1">{"'손익현황'!$A$1:$J$29"}</definedName>
    <definedName name="구축물임_1" localSheetId="2" hidden="1">{"'손익현황'!$A$1:$J$29"}</definedName>
    <definedName name="구축물임_1" hidden="1">{"'손익현황'!$A$1:$J$29"}</definedName>
    <definedName name="국_내_매_출">#REF!</definedName>
    <definedName name="국가별일반현황" localSheetId="2" hidden="1">{#N/A,#N/A,FALSE,"단축1";#N/A,#N/A,FALSE,"단축2";#N/A,#N/A,FALSE,"단축3";#N/A,#N/A,FALSE,"장축";#N/A,#N/A,FALSE,"4WD"}</definedName>
    <definedName name="국가별일반현황" hidden="1">{#N/A,#N/A,FALSE,"단축1";#N/A,#N/A,FALSE,"단축2";#N/A,#N/A,FALSE,"단축3";#N/A,#N/A,FALSE,"장축";#N/A,#N/A,FALSE,"4WD"}</definedName>
    <definedName name="국공채미수이자" localSheetId="6" hidden="1">{#N/A,#N/A,FALSE,"Aging Summary";#N/A,#N/A,FALSE,"Ratio Analysis";#N/A,#N/A,FALSE,"Test 120 Day Accts";#N/A,#N/A,FALSE,"Tickmarks"}</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6"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localSheetId="2" hidden="1">{#N/A,#N/A,FALSE,"단축1";#N/A,#N/A,FALSE,"단축2";#N/A,#N/A,FALSE,"단축3";#N/A,#N/A,FALSE,"장축";#N/A,#N/A,FALSE,"4WD"}</definedName>
    <definedName name="국구구" hidden="1">{#N/A,#N/A,FALSE,"단축1";#N/A,#N/A,FALSE,"단축2";#N/A,#N/A,FALSE,"단축3";#N/A,#N/A,FALSE,"장축";#N/A,#N/A,FALSE,"4WD"}</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6"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6"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localSheetId="2" hidden="1">{#N/A,#N/A,FALSE,"단축1";#N/A,#N/A,FALSE,"단축2";#N/A,#N/A,FALSE,"단축3";#N/A,#N/A,FALSE,"장축";#N/A,#N/A,FALSE,"4WD"}</definedName>
    <definedName name="근거1" hidden="1">{#N/A,#N/A,FALSE,"단축1";#N/A,#N/A,FALSE,"단축2";#N/A,#N/A,FALSE,"단축3";#N/A,#N/A,FALSE,"장축";#N/A,#N/A,FALSE,"4WD"}</definedName>
    <definedName name="근거2" localSheetId="6"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6" hidden="1">{#N/A,#N/A,FALSE,"97년 투자계획 세부내역 "}</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6" hidden="1">{"'Jibu9811 (3)'!$B$1:$J$433"}</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 localSheetId="2">BlankMacro1</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6" hidden="1">{#N/A,#N/A,FALSE,"단축1";#N/A,#N/A,FALSE,"단축2";#N/A,#N/A,FALSE,"단축3";#N/A,#N/A,FALSE,"장축";#N/A,#N/A,FALSE,"4WD"}</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6"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6" hidden="1">{#N/A,#N/A,FALSE,"계약직(여)"}</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6" hidden="1">{#N/A,#N/A,FALSE,"계약직(여)"}</definedName>
    <definedName name="급여인상안" localSheetId="2" hidden="1">{#N/A,#N/A,FALSE,"계약직(여)"}</definedName>
    <definedName name="급여인상안" hidden="1">{#N/A,#N/A,FALSE,"계약직(여)"}</definedName>
    <definedName name="기" localSheetId="6" hidden="1">{#N/A,#N/A,FALSE,"1.CRITERIA";#N/A,#N/A,FALSE,"2.IS";#N/A,#N/A,FALSE,"3.BS";#N/A,#N/A,FALSE,"4.PER PL";#N/A,#N/A,FALSE,"5.INVESTMENT";#N/A,#N/A,FALSE,"6.공문";#N/A,#N/A,FALSE,"7.netinvest"}</definedName>
    <definedName name="기" localSheetId="2">#N/A</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 localSheetId="2">BlankMacro1</definedName>
    <definedName name="기계3">BlankMacro1</definedName>
    <definedName name="기계공">#REF!</definedName>
    <definedName name="기계설치공">#REF!</definedName>
    <definedName name="기계장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localSheetId="2" hidden="1">{"'손익현황'!$A$1:$J$29"}</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6" hidden="1">{#N/A,#N/A,FALSE,"UNIT";#N/A,#N/A,FALSE,"UNIT";#N/A,#N/A,FALSE,"계정"}</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6" hidden="1">{#N/A,#N/A,FALSE,"UNIT";#N/A,#N/A,FALSE,"UNIT";#N/A,#N/A,FALSE,"계정"}</definedName>
    <definedName name="기기투자리스트" localSheetId="2" hidden="1">{#N/A,#N/A,FALSE,"UNIT";#N/A,#N/A,FALSE,"UNIT";#N/A,#N/A,FALSE,"계정"}</definedName>
    <definedName name="기기투자리스트" hidden="1">{#N/A,#N/A,FALSE,"UNIT";#N/A,#N/A,FALSE,"UNIT";#N/A,#N/A,FALSE,"계정"}</definedName>
    <definedName name="기능" localSheetId="2" hidden="1">{#N/A,#N/A,FALSE,"단축1";#N/A,#N/A,FALSE,"단축2";#N/A,#N/A,FALSE,"단축3";#N/A,#N/A,FALSE,"장축";#N/A,#N/A,FALSE,"4WD"}</definedName>
    <definedName name="기능" hidden="1">{#N/A,#N/A,FALSE,"단축1";#N/A,#N/A,FALSE,"단축2";#N/A,#N/A,FALSE,"단축3";#N/A,#N/A,FALSE,"장축";#N/A,#N/A,FALSE,"4WD"}</definedName>
    <definedName name="기능시험" localSheetId="2"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6" hidden="1">{#N/A,#N/A,FALSE,"BS";#N/A,#N/A,FALSE,"PL";#N/A,#N/A,FALSE,"처분";#N/A,#N/A,FALSE,"현금";#N/A,#N/A,FALSE,"매출";#N/A,#N/A,FALSE,"원가";#N/A,#N/A,FALSE,"경영"}</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localSheetId="2" hidden="1">{"'자격급추가지급자'!$A$1:$M$13"}</definedName>
    <definedName name="기술사명단" hidden="1">{"'자격급추가지급자'!$A$1:$M$13"}</definedName>
    <definedName name="기술영업" hidden="1">#REF!</definedName>
    <definedName name="기아" localSheetId="6"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6" hidden="1">{#N/A,#N/A,FALSE,"정공"}</definedName>
    <definedName name="기아모텍" localSheetId="2" hidden="1">{#N/A,#N/A,FALSE,"정공"}</definedName>
    <definedName name="기아모텍" hidden="1">{#N/A,#N/A,FALSE,"정공"}</definedName>
    <definedName name="기아전자" localSheetId="6" hidden="1">{#N/A,#N/A,FALSE,"정공"}</definedName>
    <definedName name="기아전자" localSheetId="2" hidden="1">{#N/A,#N/A,FALSE,"정공"}</definedName>
    <definedName name="기아전자" hidden="1">{#N/A,#N/A,FALSE,"정공"}</definedName>
    <definedName name="기아차" localSheetId="6"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6" hidden="1">{#N/A,#N/A,FALSE,"UNIT";#N/A,#N/A,FALSE,"UNIT";#N/A,#N/A,FALSE,"계정"}</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localSheetId="2" hidden="1">{#N/A,#N/A,FALSE,"단축1";#N/A,#N/A,FALSE,"단축2";#N/A,#N/A,FALSE,"단축3";#N/A,#N/A,FALSE,"장축";#N/A,#N/A,FALSE,"4WD"}</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localSheetId="2" hidden="1">{#N/A,#N/A,FALSE,"Sheet1"}</definedName>
    <definedName name="기타" hidden="1">{#N/A,#N/A,FALSE,"Sheet1"}</definedName>
    <definedName name="기타경비">#REF!</definedName>
    <definedName name="기타경비율">#REF!</definedName>
    <definedName name="기타미정산2000">#REF!</definedName>
    <definedName name="기타유동부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6" hidden="1">{#N/A,#N/A,FALSE,"Aging Summary";#N/A,#N/A,FALSE,"Ratio Analysis";#N/A,#N/A,FALSE,"Test 120 Day Accts";#N/A,#N/A,FALSE,"Tickmarks"}</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6"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localSheetId="2" hidden="1">{"'Price List '!$A$1:$R$156"}</definedName>
    <definedName name="김기백" hidden="1">{"'Price List '!$A$1:$R$156"}</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6" hidden="1">{#N/A,#N/A,FALSE,"기술료 비교"}</definedName>
    <definedName name="김대업" localSheetId="2" hidden="1">{#N/A,#N/A,FALSE,"기술료 비교"}</definedName>
    <definedName name="김대업" hidden="1">{#N/A,#N/A,FALSE,"기술료 비교"}</definedName>
    <definedName name="김덕연" localSheetId="6" hidden="1">{"'Jibu9811 (3)'!$B$1:$J$433"}</definedName>
    <definedName name="김덕연" localSheetId="2" hidden="1">{"'Jibu9811 (3)'!$B$1:$J$433"}</definedName>
    <definedName name="김덕연" hidden="1">{"'Jibu9811 (3)'!$B$1:$J$433"}</definedName>
    <definedName name="김도윤" localSheetId="2" hidden="1">{#N/A,#N/A,TRUE,"Y생산";#N/A,#N/A,TRUE,"Y판매";#N/A,#N/A,TRUE,"Y총물량";#N/A,#N/A,TRUE,"Y능력";#N/A,#N/A,TRUE,"YKD"}</definedName>
    <definedName name="김도윤" hidden="1">{#N/A,#N/A,TRUE,"Y생산";#N/A,#N/A,TRUE,"Y판매";#N/A,#N/A,TRUE,"Y총물량";#N/A,#N/A,TRUE,"Y능력";#N/A,#N/A,TRUE,"YKD"}</definedName>
    <definedName name="김동욱" localSheetId="2" hidden="1">{"'Price List '!$A$1:$R$156"}</definedName>
    <definedName name="김동욱" hidden="1">{"'Price List '!$A$1:$R$156"}</definedName>
    <definedName name="김베" localSheetId="2" hidden="1">{#N/A,#N/A,FALSE,"단축1";#N/A,#N/A,FALSE,"단축2";#N/A,#N/A,FALSE,"단축3";#N/A,#N/A,FALSE,"장축";#N/A,#N/A,FALSE,"4WD"}</definedName>
    <definedName name="김베" hidden="1">{#N/A,#N/A,FALSE,"단축1";#N/A,#N/A,FALSE,"단축2";#N/A,#N/A,FALSE,"단축3";#N/A,#N/A,FALSE,"장축";#N/A,#N/A,FALSE,"4WD"}</definedName>
    <definedName name="김석빈" localSheetId="2" hidden="1">{#N/A,#N/A,FALSE,"단축1";#N/A,#N/A,FALSE,"단축2";#N/A,#N/A,FALSE,"단축3";#N/A,#N/A,FALSE,"장축";#N/A,#N/A,FALSE,"4WD"}</definedName>
    <definedName name="김석빈" hidden="1">{#N/A,#N/A,FALSE,"단축1";#N/A,#N/A,FALSE,"단축2";#N/A,#N/A,FALSE,"단축3";#N/A,#N/A,FALSE,"장축";#N/A,#N/A,FALSE,"4WD"}</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localSheetId="2" hidden="1">{"'Price List '!$A$1:$R$156"}</definedName>
    <definedName name="김성현" hidden="1">{"'Price List '!$A$1:$R$156"}</definedName>
    <definedName name="김심선">#N/A</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6" hidden="1">{#N/A,#N/A,FALSE,"기술료 비교"}</definedName>
    <definedName name="김종묵" localSheetId="2" hidden="1">{#N/A,#N/A,FALSE,"기술료 비교"}</definedName>
    <definedName name="김종묵" hidden="1">{#N/A,#N/A,FALSE,"기술료 비교"}</definedName>
    <definedName name="김종범">#REF!</definedName>
    <definedName name="김종삼" localSheetId="2" hidden="1">{"'Price List '!$A$1:$R$156"}</definedName>
    <definedName name="김종삼" hidden="1">{"'Price List '!$A$1:$R$156"}</definedName>
    <definedName name="김종성" localSheetId="2">BlankMacro1</definedName>
    <definedName name="김종성">BlankMacro1</definedName>
    <definedName name="김종진">#REF!</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6" hidden="1">{"'Jibu9811 (3)'!$B$1:$J$433"}</definedName>
    <definedName name="김천사업장" localSheetId="2" hidden="1">{"'Jibu9811 (3)'!$B$1:$J$433"}</definedName>
    <definedName name="김천사업장" hidden="1">{"'Jibu9811 (3)'!$B$1:$J$433"}</definedName>
    <definedName name="김하얀">#REF!</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6" hidden="1">{"'Jibu9811 (3)'!$B$1:$J$433"}</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localSheetId="2" hidden="1">{"'용역비'!$A$4:$C$8"}</definedName>
    <definedName name="ㄳㄳㄳㄳ" hidden="1">{"'용역비'!$A$4:$C$8"}</definedName>
    <definedName name="ㄳㄳㅅㄱ" localSheetId="2" hidden="1">{#N/A,#N/A,FALSE,"단축1";#N/A,#N/A,FALSE,"단축2";#N/A,#N/A,FALSE,"단축3";#N/A,#N/A,FALSE,"장축";#N/A,#N/A,FALSE,"4WD"}</definedName>
    <definedName name="ㄳㄳㅅㄱ" hidden="1">{#N/A,#N/A,FALSE,"단축1";#N/A,#N/A,FALSE,"단축2";#N/A,#N/A,FALSE,"단축3";#N/A,#N/A,FALSE,"장축";#N/A,#N/A,FALSE,"4WD"}</definedName>
    <definedName name="ㄳㄳㅅㄷㅅ"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localSheetId="2" hidden="1">{#N/A,#N/A,FALSE,"Sheet6"}</definedName>
    <definedName name="ㄳㄷ" hidden="1">{#N/A,#N/A,FALSE,"Sheet6"}</definedName>
    <definedName name="ㄳㅁㄴ" localSheetId="2" hidden="1">{#N/A,#N/A,FALSE,"단축1";#N/A,#N/A,FALSE,"단축2";#N/A,#N/A,FALSE,"단축3";#N/A,#N/A,FALSE,"장축";#N/A,#N/A,FALSE,"4WD"}</definedName>
    <definedName name="ㄳㅁㄴ" hidden="1">{#N/A,#N/A,FALSE,"단축1";#N/A,#N/A,FALSE,"단축2";#N/A,#N/A,FALSE,"단축3";#N/A,#N/A,FALSE,"장축";#N/A,#N/A,FALSE,"4WD"}</definedName>
    <definedName name="ㄴ">#REF!</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6" hidden="1">{#N/A,#N/A,FALSE,"Sheet1";#N/A,#N/A,FALSE,"기평9607"}</definedName>
    <definedName name="ㄴㄴ" localSheetId="2" hidden="1">{#N/A,#N/A,FALSE,"Sheet1";#N/A,#N/A,FALSE,"기평9607"}</definedName>
    <definedName name="ㄴㄴ" hidden="1">{#N/A,#N/A,FALSE,"Sheet1";#N/A,#N/A,FALSE,"기평9607"}</definedName>
    <definedName name="ㄴㄴ_1" localSheetId="6" hidden="1">{#N/A,#N/A,FALSE,"Sheet1";#N/A,#N/A,FALSE,"기평9607"}</definedName>
    <definedName name="ㄴㄴ_1" localSheetId="2" hidden="1">{#N/A,#N/A,FALSE,"Sheet1";#N/A,#N/A,FALSE,"기평9607"}</definedName>
    <definedName name="ㄴㄴ_1" hidden="1">{#N/A,#N/A,FALSE,"Sheet1";#N/A,#N/A,FALSE,"기평9607"}</definedName>
    <definedName name="ㄴㄴㄴ" localSheetId="6" hidden="1">{"'손익현황'!$A$1:$J$29"}</definedName>
    <definedName name="ㄴㄴㄴ" localSheetId="2" hidden="1">{"'손익현황'!$A$1:$J$29"}</definedName>
    <definedName name="ㄴㄴㄴ" hidden="1">{"'손익현황'!$A$1:$J$29"}</definedName>
    <definedName name="ㄴㄴㄴ_1" localSheetId="6" hidden="1">{"'손익현황'!$A$1:$J$29"}</definedName>
    <definedName name="ㄴㄴㄴ_1" localSheetId="2" hidden="1">{"'손익현황'!$A$1:$J$29"}</definedName>
    <definedName name="ㄴㄴㄴ_1" hidden="1">{"'손익현황'!$A$1:$J$29"}</definedName>
    <definedName name="ㄴㄴㄴㄴ" localSheetId="6" hidden="1">{#N/A,#N/A,FALSE,"UNIT";#N/A,#N/A,FALSE,"UNIT";#N/A,#N/A,FALSE,"계정"}</definedName>
    <definedName name="ㄴㄴㄴㄴ" localSheetId="2" hidden="1">{#N/A,#N/A,FALSE,"UNIT";#N/A,#N/A,FALSE,"UNIT";#N/A,#N/A,FALSE,"계정"}</definedName>
    <definedName name="ㄴㄴㄴㄴ" hidden="1">{#N/A,#N/A,FALSE,"UNIT";#N/A,#N/A,FALSE,"UNIT";#N/A,#N/A,FALSE,"계정"}</definedName>
    <definedName name="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localSheetId="2" hidden="1">{#N/A,#N/A,FALSE,"Sheet6"}</definedName>
    <definedName name="ㄴㄷㄱㅈ" hidden="1">{#N/A,#N/A,FALSE,"Sheet6"}</definedName>
    <definedName name="ㄴㄷ더" localSheetId="2" hidden="1">{#N/A,#N/A,FALSE,"단축1";#N/A,#N/A,FALSE,"단축2";#N/A,#N/A,FALSE,"단축3";#N/A,#N/A,FALSE,"장축";#N/A,#N/A,FALSE,"4WD"}</definedName>
    <definedName name="ㄴㄷ더" hidden="1">{#N/A,#N/A,FALSE,"단축1";#N/A,#N/A,FALSE,"단축2";#N/A,#N/A,FALSE,"단축3";#N/A,#N/A,FALSE,"장축";#N/A,#N/A,FALSE,"4WD"}</definedName>
    <definedName name="ㄴㄹ">#REF!</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6" hidden="1">{"'Jibu9811 (3)'!$B$1:$J$433"}</definedName>
    <definedName name="ㄴ롸ㅣ러ㅏㅣㅁ러ㅣ" localSheetId="2" hidden="1">{"'Jibu9811 (3)'!$B$1:$J$433"}</definedName>
    <definedName name="ㄴ롸ㅣ러ㅏㅣㅁ러ㅣ" hidden="1">{"'Jibu9811 (3)'!$B$1:$J$433"}</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 localSheetId="2">BlankMacro1</definedName>
    <definedName name="ㄴㅁㄱ">BlankMacro1</definedName>
    <definedName name="ㄴㅅㄱㅓ" hidden="1">#REF!</definedName>
    <definedName name="ㄴ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localSheetId="2">#REF!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localSheetId="2" hidden="1">{#N/A,#N/A,FALSE,"단축1";#N/A,#N/A,FALSE,"단축2";#N/A,#N/A,FALSE,"단축3";#N/A,#N/A,FALSE,"장축";#N/A,#N/A,FALSE,"4WD"}</definedName>
    <definedName name="ㄴㅇㄴ" hidden="1">{#N/A,#N/A,FALSE,"단축1";#N/A,#N/A,FALSE,"단축2";#N/A,#N/A,FALSE,"단축3";#N/A,#N/A,FALSE,"장축";#N/A,#N/A,FALSE,"4WD"}</definedName>
    <definedName name="ㄴㅇㄴㅇㄴ" localSheetId="2"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hidden="1">{#N/A,#N/A,FALSE,"단축1";#N/A,#N/A,FALSE,"단축2";#N/A,#N/A,FALSE,"단축3";#N/A,#N/A,FALSE,"장축";#N/A,#N/A,FALSE,"4WD"}</definedName>
    <definedName name="ㄴㅇㄹ" localSheetId="6" hidden="1">{#N/A,#N/A,FALSE,"UNIT";#N/A,#N/A,FALSE,"UNIT";#N/A,#N/A,FALSE,"계정"}</definedName>
    <definedName name="ㄴㅇㄹ" localSheetId="2" hidden="1">#REF!</definedName>
    <definedName name="ㄴㅇㄹ" hidden="1">{#N/A,#N/A,FALSE,"UNIT";#N/A,#N/A,FALSE,"UNIT";#N/A,#N/A,FALSE,"계정"}</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6" hidden="1">{#N/A,#N/A,FALSE,"계약직(여)"}</definedName>
    <definedName name="ㄴㅇ라" localSheetId="2" hidden="1">{#N/A,#N/A,FALSE,"계약직(여)"}</definedName>
    <definedName name="ㄴㅇ라" hidden="1">{#N/A,#N/A,FALSE,"계약직(여)"}</definedName>
    <definedName name="ㄴㅇㄻ">#REF!</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localSheetId="2" hidden="1">{#N/A,#N/A,FALSE,"정공"}</definedName>
    <definedName name="ㄴㅇㅀㅁㅇㅎㄴㅇㅁㅀㅇㅀㄴㅇㅀ" hidden="1">{#N/A,#N/A,FALSE,"정공"}</definedName>
    <definedName name="ㄴㅇㅁ" localSheetId="6" hidden="1">{"'Jibu9811 (3)'!$B$1:$J$433"}</definedName>
    <definedName name="ㄴㅇㅁ" localSheetId="2" hidden="1">{"'Jibu9811 (3)'!$B$1:$J$433"}</definedName>
    <definedName name="ㄴㅇㅁ" hidden="1">{"'Jibu9811 (3)'!$B$1:$J$433"}</definedName>
    <definedName name="ㄴㅇㅇ" localSheetId="6" hidden="1">{#N/A,#N/A,TRUE,"일정"}</definedName>
    <definedName name="ㄴㅇㅇ" localSheetId="2" hidden="1">{#N/A,#N/A,TRUE,"일정"}</definedName>
    <definedName name="ㄴㅇㅇ" hidden="1">{#N/A,#N/A,TRUE,"일정"}</definedName>
    <definedName name="ㄴㅇㅇㄴㄹ" localSheetId="6" hidden="1">{#N/A,#N/A,FALSE,"BS";#N/A,#N/A,FALSE,"PL";#N/A,#N/A,FALSE,"처분";#N/A,#N/A,FALSE,"현금";#N/A,#N/A,FALSE,"매출";#N/A,#N/A,FALSE,"원가";#N/A,#N/A,FALSE,"경영"}</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6"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6" hidden="1">{"'Jibu9811 (3)'!$B$1:$J$433"}</definedName>
    <definedName name="ㄴ와ㅣㅎㄴㅇ허ㅣ" localSheetId="2" hidden="1">{"'Jibu9811 (3)'!$B$1:$J$433"}</definedName>
    <definedName name="ㄴ와ㅣㅎㄴㅇ허ㅣ" hidden="1">{"'Jibu9811 (3)'!$B$1:$J$433"}</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 hidden="1">{#N/A,#N/A,FALSE,"단축1";#N/A,#N/A,FALSE,"단축2";#N/A,#N/A,FALSE,"단축3";#N/A,#N/A,FALSE,"장축";#N/A,#N/A,FALSE,"4WD"}</definedName>
    <definedName name="ㄴㅋ" hidden="1">{#N/A,#N/A,FALSE,"단축1";#N/A,#N/A,FALSE,"단축2";#N/A,#N/A,FALSE,"단축3";#N/A,#N/A,FALSE,"장축";#N/A,#N/A,FALSE,"4WD"}</definedName>
    <definedName name="나" localSheetId="6" hidden="1">{#N/A,#N/A,FALSE,"1.CRITERIA";#N/A,#N/A,FALSE,"2.IS";#N/A,#N/A,FALSE,"3.BS";#N/A,#N/A,FALSE,"4.PER PL";#N/A,#N/A,FALSE,"5.INVESTMENT";#N/A,#N/A,FALSE,"6.공문";#N/A,#N/A,FALSE,"7.netinvest"}</definedName>
    <definedName name="나" localSheetId="2">#REF!</definedName>
    <definedName name="나" hidden="1">{#N/A,#N/A,FALSE,"1.CRITERIA";#N/A,#N/A,FALSE,"2.IS";#N/A,#N/A,FALSE,"3.BS";#N/A,#N/A,FALSE,"4.PER PL";#N/A,#N/A,FALSE,"5.INVESTMENT";#N/A,#N/A,FALSE,"6.공문";#N/A,#N/A,FALSE,"7.netinvest"}</definedName>
    <definedName name="나.">#REF!</definedName>
    <definedName name="나1" localSheetId="2" hidden="1">{#N/A,#N/A,TRUE,"경전'96(1)";#N/A,#N/A,TRUE,"경전'96 (2)"}</definedName>
    <definedName name="나1" hidden="1">{#N/A,#N/A,TRUE,"경전'96(1)";#N/A,#N/A,TRUE,"경전'96 (2)"}</definedName>
    <definedName name="나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6" hidden="1">{"'미착금액'!$A$4:$G$14"}</definedName>
    <definedName name="나나나" localSheetId="2" hidden="1">{"'미착금액'!$A$4:$G$14"}</definedName>
    <definedName name="나나나" hidden="1">{"'미착금액'!$A$4:$G$14"}</definedName>
    <definedName name="나다라" localSheetId="6"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6" hidden="1">{#N/A,#N/A,FALSE,"초중조사서식 "}</definedName>
    <definedName name="나두" localSheetId="2" hidden="1">{#N/A,#N/A,FALSE,"초중조사서식 "}</definedName>
    <definedName name="나두" hidden="1">{#N/A,#N/A,FALSE,"초중조사서식 "}</definedName>
    <definedName name="나라" localSheetId="6"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 hidden="1">{#N/A,#N/A,FALSE,"정공"}</definedName>
    <definedName name="나라사랑" hidden="1">{#N/A,#N/A,FALSE,"정공"}</definedName>
    <definedName name="나리" localSheetId="6" hidden="1">{#N/A,#N/A,FALSE,"P.C.B"}</definedName>
    <definedName name="나리" localSheetId="2" hidden="1">{#N/A,#N/A,FALSE,"P.C.B"}</definedName>
    <definedName name="나리" hidden="1">{#N/A,#N/A,FALSE,"P.C.B"}</definedName>
    <definedName name="나리2" localSheetId="6" hidden="1">{#N/A,#N/A,FALSE,"P.C.B"}</definedName>
    <definedName name="나리2" localSheetId="2" hidden="1">{#N/A,#N/A,FALSE,"P.C.B"}</definedName>
    <definedName name="나리2" hidden="1">{#N/A,#N/A,FALSE,"P.C.B"}</definedName>
    <definedName name="나무라오" localSheetId="2" hidden="1">{#N/A,#N/A,FALSE,"정공"}</definedName>
    <definedName name="나무라오" hidden="1">{#N/A,#N/A,FALSE,"정공"}</definedName>
    <definedName name="나의사랑" localSheetId="2" hidden="1">{#N/A,#N/A,FALSE,"단축1";#N/A,#N/A,FALSE,"단축2";#N/A,#N/A,FALSE,"단축3";#N/A,#N/A,FALSE,"장축";#N/A,#N/A,FALSE,"4WD"}</definedName>
    <definedName name="나의사랑" hidden="1">{#N/A,#N/A,FALSE,"단축1";#N/A,#N/A,FALSE,"단축2";#N/A,#N/A,FALSE,"단축3";#N/A,#N/A,FALSE,"장축";#N/A,#N/A,FALSE,"4WD"}</definedName>
    <definedName name="나ㅏㅇ" hidden="1">#REF!</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 localSheetId="2">BlankMacro1</definedName>
    <definedName name="남덕">BlankMacro1</definedName>
    <definedName name="남덕1" localSheetId="2">BlankMacro1</definedName>
    <definedName name="남덕1">BlankMacro1</definedName>
    <definedName name="남의나라" localSheetId="2" hidden="1">{#N/A,#N/A,FALSE,"정공"}</definedName>
    <definedName name="남의나라" hidden="1">{#N/A,#N/A,FALSE,"정공"}</definedName>
    <definedName name="내" localSheetId="6" hidden="1">{#N/A,#N/A,FALSE,"1.CRITERIA";#N/A,#N/A,FALSE,"2.IS";#N/A,#N/A,FALSE,"3.BS";#N/A,#N/A,FALSE,"4.PER PL";#N/A,#N/A,FALSE,"5.INVESTMENT";#N/A,#N/A,FALSE,"6.공문";#N/A,#N/A,FALSE,"7.netinvest"}</definedName>
    <definedName name="내" localSheetId="2">#N/A</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6" hidden="1">#REF!,#REF!,#REF!,#REF!,#REF!,#REF!,#REF!,#REF!,#REF!,#REF!,#REF!,#REF!,#REF!</definedName>
    <definedName name="내용" hidden="1">#REF!,#REF!,#REF!,#REF!,#REF!,#REF!,#REF!,#REF!,#REF!,#REF!,#REF!,#REF!,#REF!</definedName>
    <definedName name="내전">#REF!</definedName>
    <definedName name="낵역4">#REF!</definedName>
    <definedName name="냉각" localSheetId="2" hidden="1">{#N/A,#N/A,FALSE,"단축1";#N/A,#N/A,FALSE,"단축2";#N/A,#N/A,FALSE,"단축3";#N/A,#N/A,FALSE,"장축";#N/A,#N/A,FALSE,"4WD"}</definedName>
    <definedName name="냉각" hidden="1">{#N/A,#N/A,FALSE,"단축1";#N/A,#N/A,FALSE,"단축2";#N/A,#N/A,FALSE,"단축3";#N/A,#N/A,FALSE,"장축";#N/A,#N/A,FALSE,"4WD"}</definedName>
    <definedName name="너" localSheetId="6" hidden="1">{#N/A,#N/A,FALSE,"인원";#N/A,#N/A,FALSE,"비용2";#N/A,#N/A,FALSE,"비용1";#N/A,#N/A,FALSE,"비용";#N/A,#N/A,FALSE,"보증2";#N/A,#N/A,FALSE,"보증1";#N/A,#N/A,FALSE,"보증";#N/A,#N/A,FALSE,"손익1";#N/A,#N/A,FALSE,"손익";#N/A,#N/A,FALSE,"부서별매출";#N/A,#N/A,FALSE,"매출"}</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6" hidden="1">{#N/A,#N/A,FALSE,"P.C.B"}</definedName>
    <definedName name="네" localSheetId="2" hidden="1">{#N/A,#N/A,FALSE,"P.C.B"}</definedName>
    <definedName name="네" hidden="1">{#N/A,#N/A,FALSE,"P.C.B"}</definedName>
    <definedName name="네고">#REF!</definedName>
    <definedName name="녀" localSheetId="6" hidden="1">{#N/A,#N/A,FALSE,"1.CRITERIA";#N/A,#N/A,FALSE,"2.IS";#N/A,#N/A,FALSE,"3.BS";#N/A,#N/A,FALSE,"4.PER PL";#N/A,#N/A,FALSE,"5.INVESTMENT";#N/A,#N/A,FALSE,"6.공문";#N/A,#N/A,FALSE,"7.netinvest"}</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localSheetId="2" hidden="1">{"'전일자'!$A$5:$N$17"}</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6" hidden="1">{#N/A,#N/A,FALSE,"1.CRITERIA";#N/A,#N/A,FALSE,"2.IS";#N/A,#N/A,FALSE,"3.BS";#N/A,#N/A,FALSE,"4.PER PL";#N/A,#N/A,FALSE,"5.INVESTMENT";#N/A,#N/A,FALSE,"6.공문";#N/A,#N/A,FALSE,"7.netinvest"}</definedName>
    <definedName name="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6" hidden="1">{#N/A,#N/A,FALSE,"단축1";#N/A,#N/A,FALSE,"단축2";#N/A,#N/A,FALSE,"단축3";#N/A,#N/A,FALSE,"장축";#N/A,#N/A,FALSE,"4WD"}</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 localSheetId="2">BlankMacro1</definedName>
    <definedName name="노석지이사품위서">BlankMacro1</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localSheetId="2" hidden="1">{#N/A,#N/A,FALSE,"단축1";#N/A,#N/A,FALSE,"단축2";#N/A,#N/A,FALSE,"단축3";#N/A,#N/A,FALSE,"장축";#N/A,#N/A,FALSE,"4WD"}</definedName>
    <definedName name="노원" hidden="1">{#N/A,#N/A,FALSE,"단축1";#N/A,#N/A,FALSE,"단축2";#N/A,#N/A,FALSE,"단축3";#N/A,#N/A,FALSE,"장축";#N/A,#N/A,FALSE,"4WD"}</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2">BlankMacro1</definedName>
    <definedName name="노임1">BlankMacro1</definedName>
    <definedName name="노임단가">#REF!</definedName>
    <definedName name="노출직부">#REF!</definedName>
    <definedName name="노트" localSheetId="2" hidden="1">{#N/A,#N/A,TRUE,"총괄"}</definedName>
    <definedName name="노트" hidden="1">{#N/A,#N/A,TRUE,"총괄"}</definedName>
    <definedName name="논ㄱ">#N/A</definedName>
    <definedName name="논현동외" localSheetId="2" hidden="1">{#N/A,#N/A,FALSE,"Sheet6"}</definedName>
    <definedName name="논현동외" hidden="1">{#N/A,#N/A,FALSE,"Sheet6"}</definedName>
    <definedName name="놈">#N/A</definedName>
    <definedName name="농원" localSheetId="2" hidden="1">{#N/A,#N/A,FALSE,"신규dep";#N/A,#N/A,FALSE,"신규dep-금형상각후";#N/A,#N/A,FALSE,"신규dep-연구비상각후";#N/A,#N/A,FALSE,"신규dep-기계,공구상각후"}</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localSheetId="2" hidden="1">{#N/A,#N/A,FALSE,"Sheet1"}</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 hidden="1">{#N/A,#N/A,TRUE,"경전'96(1)";#N/A,#N/A,TRUE,"경전'96 (2)"}</definedName>
    <definedName name="니" hidden="1">{#N/A,#N/A,TRUE,"경전'96(1)";#N/A,#N/A,TRUE,"경전'96 (2)"}</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6" hidden="1">{"'Jibu9811 (3)'!$B$1:$J$433"}</definedName>
    <definedName name="ㄶㄴㄷㄹ렂다ㅣㄹ" localSheetId="2" hidden="1">{"'Jibu9811 (3)'!$B$1:$J$433"}</definedName>
    <definedName name="ㄶㄴㄷㄹ렂다ㅣㄹ" hidden="1">{"'Jibu9811 (3)'!$B$1:$J$433"}</definedName>
    <definedName name="ㄶㅁ" localSheetId="2" hidden="1">{#N/A,#N/A,TRUE,"경전'96(1)";#N/A,#N/A,TRUE,"경전'96 (2)"}</definedName>
    <definedName name="ㄶㅁ" hidden="1">{#N/A,#N/A,TRUE,"경전'96(1)";#N/A,#N/A,TRUE,"경전'96 (2)"}</definedName>
    <definedName name="ㄷ" localSheetId="6" hidden="1">{#N/A,#N/A,FALSE,"BS";#N/A,#N/A,FALSE,"PL";#N/A,#N/A,FALSE,"처분";#N/A,#N/A,FALSE,"현금";#N/A,#N/A,FALSE,"매출";#N/A,#N/A,FALSE,"원가";#N/A,#N/A,FALSE,"경영"}</definedName>
    <definedName name="ㄷ" localSheetId="2" hidden="1">{#N/A,#N/A,FALSE,"이태원철근"}</definedName>
    <definedName name="ㄷ" hidden="1">{#N/A,#N/A,FALSE,"BS";#N/A,#N/A,FALSE,"PL";#N/A,#N/A,FALSE,"처분";#N/A,#N/A,FALSE,"현금";#N/A,#N/A,FALSE,"매출";#N/A,#N/A,FALSE,"원가";#N/A,#N/A,FALSE,"경영"}</definedName>
    <definedName name="ㄷ119">#REF!</definedName>
    <definedName name="ㄷ3" localSheetId="6" hidden="1">{#N/A,#N/A,FALSE,"9612"}</definedName>
    <definedName name="ㄷ3" localSheetId="2" hidden="1">{#N/A,#N/A,FALSE,"9612"}</definedName>
    <definedName name="ㄷ3" hidden="1">{#N/A,#N/A,FALSE,"9612"}</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6" hidden="1">{"'Jibu9811 (3)'!$B$1:$J$433"}</definedName>
    <definedName name="ㄷㄱㄱ" localSheetId="2" hidden="1">{"'Jibu9811 (3)'!$B$1:$J$433"}</definedName>
    <definedName name="ㄷㄱㄱ" hidden="1">{"'Jibu9811 (3)'!$B$1:$J$433"}</definedName>
    <definedName name="ㄷㄱㄷㄱ">#REF!</definedName>
    <definedName name="ㄷㄱㄷㅈㄹㅊㅇ" localSheetId="2" hidden="1">{"'용역비'!$A$4:$C$8"}</definedName>
    <definedName name="ㄷㄱㄷㅈㄹㅊㅇ" hidden="1">{"'용역비'!$A$4:$C$8"}</definedName>
    <definedName name="ㄷㄱㅈㄷ" localSheetId="6" hidden="1">{"'매출이익'!$A$24:$K$45"}</definedName>
    <definedName name="ㄷㄱㅈㄷ" localSheetId="2" hidden="1">{"'매출이익'!$A$24:$K$45"}</definedName>
    <definedName name="ㄷㄱㅈㄷ" hidden="1">{"'매출이익'!$A$24:$K$45"}</definedName>
    <definedName name="ㄷ갲" localSheetId="2">BlankMacro1</definedName>
    <definedName name="ㄷ갲">BlankMacro1</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6" hidden="1">{#N/A,#N/A,FALSE,"단축1";#N/A,#N/A,FALSE,"단축2";#N/A,#N/A,FALSE,"단축3";#N/A,#N/A,FALSE,"장축";#N/A,#N/A,FALSE,"4WD"}</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 localSheetId="2">BlankMacro1</definedName>
    <definedName name="ㄷㄳㅇㅀㄹㅇㄴㄹ">BlankMacro1</definedName>
    <definedName name="ㄷㄳㅇㅀㅊ">#N/A</definedName>
    <definedName name="ㄷㄷ" localSheetId="6" hidden="1">{#N/A,#N/A,FALSE,"BS";#N/A,#N/A,FALSE,"PL";#N/A,#N/A,FALSE,"처분";#N/A,#N/A,FALSE,"현금";#N/A,#N/A,FALSE,"매출";#N/A,#N/A,FALSE,"원가";#N/A,#N/A,FALSE,"경영"}</definedName>
    <definedName name="ㄷㄷ" localSheetId="2" hidden="1">#REF!</definedName>
    <definedName name="ㄷㄷ" hidden="1">{#N/A,#N/A,FALSE,"BS";#N/A,#N/A,FALSE,"PL";#N/A,#N/A,FALSE,"처분";#N/A,#N/A,FALSE,"현금";#N/A,#N/A,FALSE,"매출";#N/A,#N/A,FALSE,"원가";#N/A,#N/A,FALSE,"경영"}</definedName>
    <definedName name="ㄷㄷ_1" localSheetId="6"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localSheetId="2" hidden="1">{#N/A,#N/A,FALSE,"단축1";#N/A,#N/A,FALSE,"단축2";#N/A,#N/A,FALSE,"단축3";#N/A,#N/A,FALSE,"장축";#N/A,#N/A,FALSE,"4WD"}</definedName>
    <definedName name="ㄷㄷEEE" hidden="1">{#N/A,#N/A,FALSE,"단축1";#N/A,#N/A,FALSE,"단축2";#N/A,#N/A,FALSE,"단축3";#N/A,#N/A,FALSE,"장축";#N/A,#N/A,FALSE,"4WD"}</definedName>
    <definedName name="ㄷㄷㄷ" localSheetId="6" hidden="1">{#N/A,#N/A,FALSE,"UNIT";#N/A,#N/A,FALSE,"UNIT";#N/A,#N/A,FALSE,"계정"}</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localSheetId="2" hidden="1">{#N/A,#N/A,FALSE,"Sheet1"}</definedName>
    <definedName name="ㄷㄷㄷㄹㅇ" hidden="1">{#N/A,#N/A,FALSE,"Sheet1"}</definedName>
    <definedName name="ㄷㄹ">#REF!</definedName>
    <definedName name="ㄷ랴겋" localSheetId="6" hidden="1">{#N/A,#N/A,FALSE,"구조2"}</definedName>
    <definedName name="ㄷ랴겋" localSheetId="2" hidden="1">{#N/A,#N/A,FALSE,"구조2"}</definedName>
    <definedName name="ㄷ랴겋" hidden="1">{#N/A,#N/A,FALSE,"구조2"}</definedName>
    <definedName name="ㄷㅂ" localSheetId="2">BlankMacro1</definedName>
    <definedName name="ㄷㅂ">BlankMacro1</definedName>
    <definedName name="ㄷㅅ" localSheetId="2">BlankMacro1</definedName>
    <definedName name="ㄷㅅ">BlankMacro1</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6" hidden="1">{"'Jibu9811 (3)'!$B$1:$J$433"}</definedName>
    <definedName name="ㄷㅎㄱㅎㄱ" localSheetId="2" hidden="1">{"'Jibu9811 (3)'!$B$1:$J$433"}</definedName>
    <definedName name="ㄷㅎㄱㅎㄱ" hidden="1">{"'Jibu9811 (3)'!$B$1:$J$433"}</definedName>
    <definedName name="ㄷㅎㄷㄳㄷ공ㄱ" localSheetId="6" hidden="1">{"'Jibu9811 (3)'!$B$1:$J$433"}</definedName>
    <definedName name="ㄷㅎㄷㄳㄷ공ㄱ" localSheetId="2" hidden="1">{"'Jibu9811 (3)'!$B$1:$J$433"}</definedName>
    <definedName name="ㄷㅎㄷㄳㄷ공ㄱ" hidden="1">{"'Jibu9811 (3)'!$B$1:$J$433"}</definedName>
    <definedName name="ㄷ흇ㅇㄹㅊ">#N/A</definedName>
    <definedName name="다" localSheetId="6" hidden="1">{#N/A,#N/A,FALSE,"1.CRITERIA";#N/A,#N/A,FALSE,"2.IS";#N/A,#N/A,FALSE,"3.BS";#N/A,#N/A,FALSE,"4.PER PL";#N/A,#N/A,FALSE,"5.INVESTMENT";#N/A,#N/A,FALSE,"6.공문";#N/A,#N/A,FALSE,"7.netinvest"}</definedName>
    <definedName name="다" localSheetId="2" hidden="1">{#N/A,#N/A,FALSE,"표지목차"}</definedName>
    <definedName name="다" hidden="1">{#N/A,#N/A,FALSE,"1.CRITERIA";#N/A,#N/A,FALSE,"2.IS";#N/A,#N/A,FALSE,"3.BS";#N/A,#N/A,FALSE,"4.PER PL";#N/A,#N/A,FALSE,"5.INVESTMENT";#N/A,#N/A,FALSE,"6.공문";#N/A,#N/A,FALSE,"7.netinvest"}</definedName>
    <definedName name="다.">#REF!</definedName>
    <definedName name="다가아노는" localSheetId="6"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 hidden="1">{#N/A,#N/A,FALSE,"정공"}</definedName>
    <definedName name="다나가라" hidden="1">{#N/A,#N/A,FALSE,"정공"}</definedName>
    <definedName name="다다" localSheetId="2" hidden="1">{#N/A,#N/A,FALSE,"정공"}</definedName>
    <definedName name="다다" hidden="1">{#N/A,#N/A,FALSE,"정공"}</definedName>
    <definedName name="다다익선" localSheetId="6" hidden="1">{#N/A,#N/A,FALSE,"정공"}</definedName>
    <definedName name="다다익선" localSheetId="2" hidden="1">{#N/A,#N/A,FALSE,"정공"}</definedName>
    <definedName name="다다익선" hidden="1">{#N/A,#N/A,FALSE,"정공"}</definedName>
    <definedName name="다달이" localSheetId="6" hidden="1">{#N/A,#N/A,FALSE,"정공"}</definedName>
    <definedName name="다달이" localSheetId="2" hidden="1">{#N/A,#N/A,FALSE,"정공"}</definedName>
    <definedName name="다달이" hidden="1">{#N/A,#N/A,FALSE,"정공"}</definedName>
    <definedName name="다라" localSheetId="2" hidden="1">{#N/A,#N/A,FALSE,"표지목차"}</definedName>
    <definedName name="다라" hidden="1">{#N/A,#N/A,FALSE,"표지목차"}</definedName>
    <definedName name="다라니경" localSheetId="6" hidden="1">{#N/A,#N/A,FALSE,"정공"}</definedName>
    <definedName name="다라니경" localSheetId="2" hidden="1">{#N/A,#N/A,FALSE,"정공"}</definedName>
    <definedName name="다라니경" hidden="1">{#N/A,#N/A,FALSE,"정공"}</definedName>
    <definedName name="다라니경을피우자" localSheetId="6" hidden="1">{#N/A,#N/A,FALSE,"정공"}</definedName>
    <definedName name="다라니경을피우자" localSheetId="2" hidden="1">{#N/A,#N/A,FALSE,"정공"}</definedName>
    <definedName name="다라니경을피우자" hidden="1">{#N/A,#N/A,FALSE,"정공"}</definedName>
    <definedName name="다른" localSheetId="6"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6"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6"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6" hidden="1">{#N/A,#N/A,FALSE,"Aging Summary";#N/A,#N/A,FALSE,"Ratio Analysis";#N/A,#N/A,FALSE,"Test 120 Day Accts";#N/A,#N/A,FALSE,"Tickmarks"}</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6" hidden="1">{"'買掛金'!$J$6"}</definedName>
    <definedName name="短期借入金" localSheetId="2" hidden="1">{"'買掛金'!$J$6"}</definedName>
    <definedName name="短期借入金" hidden="1">{"'買掛金'!$J$6"}</definedName>
    <definedName name="단김승호">#REF!</definedName>
    <definedName name="단말기" localSheetId="6" hidden="1">{#N/A,#N/A,FALSE,"정공"}</definedName>
    <definedName name="단말기" localSheetId="2" hidden="1">{#N/A,#N/A,FALSE,"정공"}</definedName>
    <definedName name="단말기" hidden="1">{#N/A,#N/A,FALSE,"정공"}</definedName>
    <definedName name="단말기번호" localSheetId="6" hidden="1">{#N/A,#N/A,FALSE,"정공"}</definedName>
    <definedName name="단말기번호" localSheetId="2" hidden="1">{#N/A,#N/A,FALSE,"정공"}</definedName>
    <definedName name="단말기번호" hidden="1">{#N/A,#N/A,FALSE,"정공"}</definedName>
    <definedName name="단알기" localSheetId="6"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6" hidden="1">{#N/A,#N/A,FALSE,"단축1";#N/A,#N/A,FALSE,"단축2";#N/A,#N/A,FALSE,"단축3";#N/A,#N/A,FALSE,"장축";#N/A,#N/A,FALSE,"4WD"}</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localSheetId="2"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2" hidden="1">{#N/A,#N/A,FALSE,"단축1";#N/A,#N/A,FALSE,"단축2";#N/A,#N/A,FALSE,"단축3";#N/A,#N/A,FALSE,"장축";#N/A,#N/A,FALSE,"4WD"}</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localSheetId="2" hidden="1">{#N/A,#N/A,FALSE,"지침";#N/A,#N/A,FALSE,"환경분석";#N/A,#N/A,FALSE,"Sheet16"}</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localSheetId="2" hidden="1">{#N/A,#N/A,FALSE,"정공"}</definedName>
    <definedName name="당초기준손이" hidden="1">{#N/A,#N/A,FALSE,"정공"}</definedName>
    <definedName name="당초손익표" localSheetId="2" hidden="1">{#N/A,#N/A,FALSE,"정공"}</definedName>
    <definedName name="당초손익표" hidden="1">{#N/A,#N/A,FALSE,"정공"}</definedName>
    <definedName name="닻" localSheetId="2">BlankMacro1</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6" hidden="1">{#N/A,#N/A,FALSE,"UNIT";#N/A,#N/A,FALSE,"UNIT";#N/A,#N/A,FALSE,"계정"}</definedName>
    <definedName name="대련" localSheetId="2" hidden="1">{#N/A,#N/A,FALSE,"UNIT";#N/A,#N/A,FALSE,"UNIT";#N/A,#N/A,FALSE,"계정"}</definedName>
    <definedName name="대련" hidden="1">{#N/A,#N/A,FALSE,"UNIT";#N/A,#N/A,FALSE,"UNIT";#N/A,#N/A,FALSE,"계정"}</definedName>
    <definedName name="대리님" localSheetId="6" hidden="1">{#N/A,#N/A,FALSE,"정공"}</definedName>
    <definedName name="대리님" localSheetId="2" hidden="1">{#N/A,#N/A,FALSE,"정공"}</definedName>
    <definedName name="대리님" hidden="1">{#N/A,#N/A,FALSE,"정공"}</definedName>
    <definedName name="대방총괄" localSheetId="6" hidden="1">{#N/A,#N/A,FALSE,"단축1";#N/A,#N/A,FALSE,"단축2";#N/A,#N/A,FALSE,"단축3";#N/A,#N/A,FALSE,"장축";#N/A,#N/A,FALSE,"4WD"}</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6" hidden="1">{#N/A,#N/A,FALSE,"정공"}</definedName>
    <definedName name="대상시트" localSheetId="2" hidden="1">{#N/A,#N/A,FALSE,"정공"}</definedName>
    <definedName name="대상시트" hidden="1">{#N/A,#N/A,FALSE,"정공"}</definedName>
    <definedName name="대상자산">#REF!</definedName>
    <definedName name="대손"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6" hidden="1">{#N/A,#N/A,FALSE,"1.CRITERIA";#N/A,#N/A,FALSE,"2.IS";#N/A,#N/A,FALSE,"3.BS";#N/A,#N/A,FALSE,"4.PER PL";#N/A,#N/A,FALSE,"5.INVESTMENT";#N/A,#N/A,FALSE,"6.공문";#N/A,#N/A,FALSE,"7.netinvest"}</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6"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localSheetId="2" hidden="1">{"'전일자'!$A$5:$N$17"}</definedName>
    <definedName name="대장" hidden="1">{"'전일자'!$A$5:$N$17"}</definedName>
    <definedName name="대전">#REF!</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6" hidden="1">{#N/A,#N/A,FALSE,"BS";#N/A,#N/A,FALSE,"PL";#N/A,#N/A,FALSE,"처분";#N/A,#N/A,FALSE,"현금";#N/A,#N/A,FALSE,"매출";#N/A,#N/A,FALSE,"원가";#N/A,#N/A,FALSE,"경영"}</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6" hidden="1">{#N/A,#N/A,FALSE,"구조1"}</definedName>
    <definedName name="대퓨ㅜ허" localSheetId="2" hidden="1">{#N/A,#N/A,FALSE,"구조1"}</definedName>
    <definedName name="대퓨ㅜ허" hidden="1">{#N/A,#N/A,FALSE,"구조1"}</definedName>
    <definedName name="대한" localSheetId="6" hidden="1">{#N/A,#N/A,FALSE,"UNIT";#N/A,#N/A,FALSE,"UNIT";#N/A,#N/A,FALSE,"계정"}</definedName>
    <definedName name="대한" localSheetId="2" hidden="1">{#N/A,#N/A,FALSE,"UNIT";#N/A,#N/A,FALSE,"UNIT";#N/A,#N/A,FALSE,"계정"}</definedName>
    <definedName name="대한" hidden="1">{#N/A,#N/A,FALSE,"UNIT";#N/A,#N/A,FALSE,"UNIT";#N/A,#N/A,FALSE,"계정"}</definedName>
    <definedName name="대회">#REF!</definedName>
    <definedName name="댜러혀" localSheetId="2">BlankMacro1</definedName>
    <definedName name="댜러혀">BlankMacro1</definedName>
    <definedName name="댜해ㅜ" localSheetId="2">BlankMacro1</definedName>
    <definedName name="댜해ㅜ">BlankMacro1</definedName>
    <definedName name="댜ㅐㅐ허" localSheetId="2">BlankMacro1</definedName>
    <definedName name="댜ㅐㅐ허">BlankMacro1</definedName>
    <definedName name="댜ㅑㅓ" localSheetId="2">BlankMacro1</definedName>
    <definedName name="댜ㅑㅓ">BlankMacro1</definedName>
    <definedName name="댜ㅓㅎ" localSheetId="2">BlankMacro1</definedName>
    <definedName name="댜ㅓㅎ">BlankMacro1</definedName>
    <definedName name="댱추" localSheetId="2">BlankMacro1</definedName>
    <definedName name="댱추">BlankMacro1</definedName>
    <definedName name="더">#REF!</definedName>
    <definedName name="더ㅑㅂ">#REF!</definedName>
    <definedName name="던기차입금" localSheetId="6" hidden="1">{"'買掛金'!$J$6"}</definedName>
    <definedName name="던기차입금" localSheetId="2" hidden="1">{"'買掛金'!$J$6"}</definedName>
    <definedName name="던기차입금" hidden="1">{"'買掛金'!$J$6"}</definedName>
    <definedName name="도" localSheetId="6"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6"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6"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6" hidden="1">{#N/A,#N/A,FALSE,"기안지";#N/A,#N/A,FALSE,"통신지"}</definedName>
    <definedName name="독립기초" localSheetId="2" hidden="1">{#N/A,#N/A,FALSE,"기안지";#N/A,#N/A,FALSE,"통신지"}</definedName>
    <definedName name="독립기초" hidden="1">{#N/A,#N/A,FALSE,"기안지";#N/A,#N/A,FALSE,"통신지"}</definedName>
    <definedName name="독립기초토공수량산출" localSheetId="6"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localSheetId="2" hidden="1">{#N/A,#N/A,FALSE,"단축1";#N/A,#N/A,FALSE,"단축2";#N/A,#N/A,FALSE,"단축3";#N/A,#N/A,FALSE,"장축";#N/A,#N/A,FALSE,"4WD"}</definedName>
    <definedName name="돌" hidden="1">{#N/A,#N/A,FALSE,"단축1";#N/A,#N/A,FALSE,"단축2";#N/A,#N/A,FALSE,"단축3";#N/A,#N/A,FALSE,"장축";#N/A,#N/A,FALSE,"4WD"}</definedName>
    <definedName name="돌단풍">#REF!</definedName>
    <definedName name="돌돋소" localSheetId="2" hidden="1">{#N/A,#N/A,TRUE,"경전'96(1)";#N/A,#N/A,TRUE,"경전'96 (2)"}</definedName>
    <definedName name="돌돋소" hidden="1">{#N/A,#N/A,TRUE,"경전'96(1)";#N/A,#N/A,TRUE,"경전'96 (2)"}</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2" hidden="1">{#N/A,#N/A,FALSE,"단축1";#N/A,#N/A,FALSE,"단축2";#N/A,#N/A,FALSE,"단축3";#N/A,#N/A,FALSE,"장축";#N/A,#N/A,FALSE,"4WD"}</definedName>
    <definedName name="동력성능1" hidden="1">{#N/A,#N/A,FALSE,"단축1";#N/A,#N/A,FALSE,"단축2";#N/A,#N/A,FALSE,"단축3";#N/A,#N/A,FALSE,"장축";#N/A,#N/A,FALSE,"4WD"}</definedName>
    <definedName name="동방" localSheetId="6"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6"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6"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localSheetId="2"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6"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6"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6"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6" hidden="1">{#N/A,#N/A,FALSE,"정공"}</definedName>
    <definedName name="두번째" localSheetId="2" hidden="1">{#N/A,#N/A,FALSE,"정공"}</definedName>
    <definedName name="두번째" hidden="1">{#N/A,#N/A,FALSE,"정공"}</definedName>
    <definedName name="디" localSheetId="6"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6" hidden="1">{"'Jibu9811 (3)'!$B$1:$J$433"}</definedName>
    <definedName name="딜레마" localSheetId="2" hidden="1">{"'Jibu9811 (3)'!$B$1:$J$433"}</definedName>
    <definedName name="딜레마" hidden="1">{"'Jibu9811 (3)'!$B$1:$J$433"}</definedName>
    <definedName name="또기타">#REF!</definedName>
    <definedName name="ㄹ" localSheetId="6"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6" hidden="1">{"'Jibu9811 (3)'!$B$1:$J$433"}</definedName>
    <definedName name="ㄹㄴ" localSheetId="2" hidden="1">{"'Jibu9811 (3)'!$B$1:$J$433"}</definedName>
    <definedName name="ㄹㄴ" hidden="1">{"'Jibu9811 (3)'!$B$1:$J$433"}</definedName>
    <definedName name="ㄹㄴㄹ" localSheetId="6" hidden="1">{"'Jibu9811 (3)'!$B$1:$J$433"}</definedName>
    <definedName name="ㄹㄴㄹ" localSheetId="2" hidden="1">{"'Jibu9811 (3)'!$B$1:$J$433"}</definedName>
    <definedName name="ㄹㄴㄹ" hidden="1">{"'Jibu9811 (3)'!$B$1:$J$433"}</definedName>
    <definedName name="ㄹㄴㅇ" localSheetId="6" hidden="1">{"'Jibu9811 (3)'!$B$1:$J$433"}</definedName>
    <definedName name="ㄹㄴㅇ" localSheetId="2" hidden="1">{"'Jibu9811 (3)'!$B$1:$J$433"}</definedName>
    <definedName name="ㄹㄴㅇ" hidden="1">{"'Jibu9811 (3)'!$B$1:$J$433"}</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6" hidden="1">{"'Jibu9811 (3)'!$B$1:$J$433"}</definedName>
    <definedName name="ㄹㄴㅇㄹㄴㅇ" localSheetId="2" hidden="1">{"'Jibu9811 (3)'!$B$1:$J$433"}</definedName>
    <definedName name="ㄹㄴㅇㄹㄴㅇ" hidden="1">{"'Jibu9811 (3)'!$B$1:$J$433"}</definedName>
    <definedName name="ㄹㄷ" localSheetId="6" hidden="1">{#N/A,#N/A,FALSE,"기안지";#N/A,#N/A,FALSE,"통신지"}</definedName>
    <definedName name="ㄹㄷ" localSheetId="2" hidden="1">{#N/A,#N/A,FALSE,"기안지";#N/A,#N/A,FALSE,"통신지"}</definedName>
    <definedName name="ㄹㄷ" hidden="1">{#N/A,#N/A,FALSE,"기안지";#N/A,#N/A,FALSE,"통신지"}</definedName>
    <definedName name="ㄹㄷㄱ" localSheetId="6" hidden="1">{"'Jibu9811 (3)'!$B$1:$J$433"}</definedName>
    <definedName name="ㄹㄷㄱ" localSheetId="2" hidden="1">{"'Jibu9811 (3)'!$B$1:$J$433"}</definedName>
    <definedName name="ㄹㄷㄱ" hidden="1">{"'Jibu9811 (3)'!$B$1:$J$433"}</definedName>
    <definedName name="ㄹㄷㅈ" localSheetId="6" hidden="1">{"'Jibu9811 (3)'!$B$1:$J$433"}</definedName>
    <definedName name="ㄹㄷㅈ" localSheetId="2" hidden="1">{"'Jibu9811 (3)'!$B$1:$J$433"}</definedName>
    <definedName name="ㄹㄷㅈ" hidden="1">{"'Jibu9811 (3)'!$B$1:$J$433"}</definedName>
    <definedName name="ㄹㄷㅈㄹㄹㄹ" hidden="1">#N/A</definedName>
    <definedName name="ㄹㄹ" localSheetId="6"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localSheetId="2" hidden="1">{#N/A,#N/A,FALSE,"단축1";#N/A,#N/A,FALSE,"단축2";#N/A,#N/A,FALSE,"단축3";#N/A,#N/A,FALSE,"장축";#N/A,#N/A,FALSE,"4WD"}</definedName>
    <definedName name="ㄹㄹㄴ" hidden="1">{#N/A,#N/A,FALSE,"단축1";#N/A,#N/A,FALSE,"단축2";#N/A,#N/A,FALSE,"단축3";#N/A,#N/A,FALSE,"장축";#N/A,#N/A,FALSE,"4WD"}</definedName>
    <definedName name="ㄹㄹㄹ" localSheetId="6" hidden="1">{"'Jibu9811 (3)'!$B$1:$J$433"}</definedName>
    <definedName name="ㄹㄹㄹ" localSheetId="2" hidden="1">{"'Jibu9811 (3)'!$B$1:$J$433"}</definedName>
    <definedName name="ㄹㄹㄹ" hidden="1">{"'Jibu9811 (3)'!$B$1:$J$433"}</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6" hidden="1">{#N/A,#N/A,FALSE,"BS";#N/A,#N/A,FALSE,"IS";#N/A,#N/A,FALSE,"결손금처리";#N/A,#N/A,FALSE,"cashflow"}</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 hidden="1">{#N/A,#N/A,FALSE,"Sheet1"}</definedName>
    <definedName name="ㄹㄹㄹㄹㄹㄹㄹㄹㄹ" hidden="1">{#N/A,#N/A,FALSE,"Sheet1"}</definedName>
    <definedName name="ㄹㄹㄹㄹㄹㄹㄹㄹㄹㄹㄹㄹ" hidden="1">#REF!</definedName>
    <definedName name="ㄹㄹㅇㄹㅇㄴㄹㅇㄴㅇㄴ" hidden="1">#REF!</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6" hidden="1">{#N/A,#N/A,FALSE,"BS";#N/A,#N/A,FALSE,"PL";#N/A,#N/A,FALSE,"처분";#N/A,#N/A,FALSE,"현금";#N/A,#N/A,FALSE,"매출";#N/A,#N/A,FALSE,"원가";#N/A,#N/A,FALSE,"경영"}</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 localSheetId="2">BlankMacro1</definedName>
    <definedName name="ㄹ러ㅏ허ㅣ">BlankMacro1</definedName>
    <definedName name="ㄹ로ㅓ채패ㅛ해ㅑㅎ" localSheetId="6" hidden="1">{"'Jibu9811 (3)'!$B$1:$J$433"}</definedName>
    <definedName name="ㄹ로ㅓ채패ㅛ해ㅑㅎ" localSheetId="2" hidden="1">{"'Jibu9811 (3)'!$B$1:$J$433"}</definedName>
    <definedName name="ㄹ로ㅓ채패ㅛ해ㅑㅎ" hidden="1">{"'Jibu9811 (3)'!$B$1:$J$433"}</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6" hidden="1">{"'Jibu9811 (3)'!$B$1:$J$433"}</definedName>
    <definedName name="ㄹㅇㄴㄻ" localSheetId="2" hidden="1">{"'Jibu9811 (3)'!$B$1:$J$433"}</definedName>
    <definedName name="ㄹㅇㄴㄻ" hidden="1">{"'Jibu9811 (3)'!$B$1:$J$433"}</definedName>
    <definedName name="ㄹㅇㄴㅁ"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localSheetId="2">#REF!</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localSheetId="2" hidden="1">{#N/A,#N/A,FALSE,"Sheet1"}</definedName>
    <definedName name="ㄹㅇㅀㅇㄹ" hidden="1">{#N/A,#N/A,FALSE,"Sheet1"}</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6" hidden="1">{#N/A,#N/A,FALSE,"UNIT";#N/A,#N/A,FALSE,"UNIT";#N/A,#N/A,FALSE,"계정"}</definedName>
    <definedName name="ㄹ아ㅣㅇㅎ리" localSheetId="2" hidden="1">{#N/A,#N/A,FALSE,"UNIT";#N/A,#N/A,FALSE,"UNIT";#N/A,#N/A,FALSE,"계정"}</definedName>
    <definedName name="ㄹ아ㅣㅇㅎ리" hidden="1">{#N/A,#N/A,FALSE,"UNIT";#N/A,#N/A,FALSE,"UNIT";#N/A,#N/A,FALSE,"계정"}</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오ㅗㅓ" localSheetId="2"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localSheetId="2" hidden="1">{#N/A,#N/A,FALSE,"단축1";#N/A,#N/A,FALSE,"단축2";#N/A,#N/A,FALSE,"단축3";#N/A,#N/A,FALSE,"장축";#N/A,#N/A,FALSE,"4WD"}</definedName>
    <definedName name="ㄹ호" hidden="1">{#N/A,#N/A,FALSE,"단축1";#N/A,#N/A,FALSE,"단축2";#N/A,#N/A,FALSE,"단축3";#N/A,#N/A,FALSE,"장축";#N/A,#N/A,FALSE,"4WD"}</definedName>
    <definedName name="ㄹ호ㅓㅓ" localSheetId="2" hidden="1">{#N/A,#N/A,FALSE,"단축1";#N/A,#N/A,FALSE,"단축2";#N/A,#N/A,FALSE,"단축3";#N/A,#N/A,FALSE,"장축";#N/A,#N/A,FALSE,"4WD"}</definedName>
    <definedName name="ㄹ호ㅓㅓ" hidden="1">{#N/A,#N/A,FALSE,"단축1";#N/A,#N/A,FALSE,"단축2";#N/A,#N/A,FALSE,"단축3";#N/A,#N/A,FALSE,"장축";#N/A,#N/A,FALSE,"4WD"}</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6" hidden="1">{#N/A,#N/A,FALSE,"1.CRITERIA";#N/A,#N/A,FALSE,"2.IS";#N/A,#N/A,FALSE,"3.BS";#N/A,#N/A,FALSE,"4.PER PL";#N/A,#N/A,FALSE,"5.INVESTMENT";#N/A,#N/A,FALSE,"6.공문";#N/A,#N/A,FALSE,"7.netinvest"}</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6" hidden="1">{#N/A,#N/A,FALSE,"정공"}</definedName>
    <definedName name="란다리아" localSheetId="2" hidden="1">{#N/A,#N/A,FALSE,"정공"}</definedName>
    <definedName name="란다리아" hidden="1">{#N/A,#N/A,FALSE,"정공"}</definedName>
    <definedName name="랴" localSheetId="6" hidden="1">{#N/A,#N/A,FALSE,"기안지";#N/A,#N/A,FALSE,"통신지"}</definedName>
    <definedName name="랴" localSheetId="2" hidden="1">{#N/A,#N/A,FALSE,"기안지";#N/A,#N/A,FALSE,"통신지"}</definedName>
    <definedName name="랴" hidden="1">{#N/A,#N/A,FALSE,"기안지";#N/A,#N/A,FALSE,"통신지"}</definedName>
    <definedName name="랻">#N/A</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6" hidden="1">{"'Jibu9811 (3)'!$B$1:$J$433"}</definedName>
    <definedName name="러ㅣ러니러니런ㄹㅈㄷㄹ" localSheetId="2" hidden="1">{"'Jibu9811 (3)'!$B$1:$J$433"}</definedName>
    <definedName name="러ㅣ러니러니런ㄹㅈㄷㄹ" hidden="1">{"'Jibu9811 (3)'!$B$1:$J$433"}</definedName>
    <definedName name="레" localSheetId="2" hidden="1">{#N/A,#N/A,TRUE,"경전'96(1)";#N/A,#N/A,TRUE,"경전'96 (2)"}</definedName>
    <definedName name="레" hidden="1">{#N/A,#N/A,TRUE,"경전'96(1)";#N/A,#N/A,TRUE,"경전'96 (2)"}</definedName>
    <definedName name="레180">#REF!</definedName>
    <definedName name="레210">#REF!</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6" hidden="1">{#N/A,#N/A,FALSE,"1.CRITERIA";#N/A,#N/A,FALSE,"2.IS";#N/A,#N/A,FALSE,"3.BS";#N/A,#N/A,FALSE,"4.PER PL";#N/A,#N/A,FALSE,"5.INVESTMENT";#N/A,#N/A,FALSE,"6.공문";#N/A,#N/A,FALSE,"7.netinvest"}</definedName>
    <definedName name="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localSheetId="2" hidden="1">{#N/A,#N/A,FALSE,"단축1";#N/A,#N/A,FALSE,"단축2";#N/A,#N/A,FALSE,"단축3";#N/A,#N/A,FALSE,"장축";#N/A,#N/A,FALSE,"4WD"}</definedName>
    <definedName name="롸ㅡㅗ" hidden="1">{#N/A,#N/A,FALSE,"단축1";#N/A,#N/A,FALSE,"단축2";#N/A,#N/A,FALSE,"단축3";#N/A,#N/A,FALSE,"장축";#N/A,#N/A,FALSE,"4WD"}</definedName>
    <definedName name="류" localSheetId="6"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2" hidden="1">{#N/A,#N/A,FALSE,"단축1";#N/A,#N/A,FALSE,"단축2";#N/A,#N/A,FALSE,"단축3";#N/A,#N/A,FALSE,"장축";#N/A,#N/A,FALSE,"4WD"}</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6" hidden="1">{"'買掛金'!$J$6"}</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6" hidden="1">{"'Jibu9811 (3)'!$B$1:$J$433"}</definedName>
    <definedName name="리오" localSheetId="2" hidden="1">{"'Jibu9811 (3)'!$B$1:$J$433"}</definedName>
    <definedName name="리오" hidden="1">{"'Jibu9811 (3)'!$B$1:$J$433"}</definedName>
    <definedName name="링클라인" localSheetId="6" hidden="1">{"'Jibu9811 (3)'!$B$1:$J$433"}</definedName>
    <definedName name="링클라인" localSheetId="2" hidden="1">{"'Jibu9811 (3)'!$B$1:$J$433"}</definedName>
    <definedName name="링클라인" hidden="1">{"'Jibu9811 (3)'!$B$1:$J$433"}</definedName>
    <definedName name="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6" hidden="1">{#N/A,#N/A,FALSE,"UNIT";#N/A,#N/A,FALSE,"UNIT";#N/A,#N/A,FALSE,"계정"}</definedName>
    <definedName name="ㄺㄹ" localSheetId="2" hidden="1">{#N/A,#N/A,FALSE,"UNIT";#N/A,#N/A,FALSE,"UNIT";#N/A,#N/A,FALSE,"계정"}</definedName>
    <definedName name="ㄺㄹ" hidden="1">{#N/A,#N/A,FALSE,"UNIT";#N/A,#N/A,FALSE,"UNIT";#N/A,#N/A,FALSE,"계정"}</definedName>
    <definedName name="ㄺㅅ"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6" hidden="1">{#N/A,#N/A,FALSE,"포장2"}</definedName>
    <definedName name="ㄻ" localSheetId="2" hidden="1">{#N/A,#N/A,FALSE,"포장2"}</definedName>
    <definedName name="ㄻ" hidden="1">{#N/A,#N/A,FALSE,"포장2"}</definedName>
    <definedName name="ㄻㄴ" localSheetId="2" hidden="1">{#N/A,#N/A,FALSE,"단축1";#N/A,#N/A,FALSE,"단축2";#N/A,#N/A,FALSE,"단축3";#N/A,#N/A,FALSE,"장축";#N/A,#N/A,FALSE,"4WD"}</definedName>
    <definedName name="ㄻㄴ" hidden="1">{#N/A,#N/A,FALSE,"단축1";#N/A,#N/A,FALSE,"단축2";#N/A,#N/A,FALSE,"단축3";#N/A,#N/A,FALSE,"장축";#N/A,#N/A,FALSE,"4WD"}</definedName>
    <definedName name="ㄻ뢀ㄴㄹㄹ" localSheetId="6" hidden="1">{"'Jibu9811 (3)'!$B$1:$J$433"}</definedName>
    <definedName name="ㄻ뢀ㄴㄹㄹ" localSheetId="2" hidden="1">{"'Jibu9811 (3)'!$B$1:$J$433"}</definedName>
    <definedName name="ㄻ뢀ㄴㄹㄹ" hidden="1">{"'Jibu9811 (3)'!$B$1:$J$433"}</definedName>
    <definedName name="ㄼ호" localSheetId="2">BlankMacro1</definedName>
    <definedName name="ㄼ호">BlankMacro1</definedName>
    <definedName name="ㅀ" localSheetId="6" hidden="1">{#N/A,#N/A,TRUE,"토적및재료집계";#N/A,#N/A,TRUE,"토적및재료집계";#N/A,#N/A,TRUE,"단위량"}</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6" hidden="1">{#N/A,#N/A,FALSE,"을지 (4)";#N/A,#N/A,FALSE,"을지 (5)";#N/A,#N/A,FALSE,"을지 (6)"}</definedName>
    <definedName name="ㅀ미리밀ㅎ밈림" localSheetId="2" hidden="1">{#N/A,#N/A,FALSE,"을지 (4)";#N/A,#N/A,FALSE,"을지 (5)";#N/A,#N/A,FALSE,"을지 (6)"}</definedName>
    <definedName name="ㅀ미리밀ㅎ밈림" hidden="1">{#N/A,#N/A,FALSE,"을지 (4)";#N/A,#N/A,FALSE,"을지 (5)";#N/A,#N/A,FALSE,"을지 (6)"}</definedName>
    <definedName name="ㅀㅅㄱ" localSheetId="2" hidden="1">{#N/A,#N/A,FALSE,"Sheet6"}</definedName>
    <definedName name="ㅀㅅㄱ" hidden="1">{#N/A,#N/A,FALSE,"Sheet6"}</definedName>
    <definedName name="ㅀㅇㄹㄶㅀㄹ" localSheetId="6" hidden="1">{#N/A,#N/A,FALSE,"UNIT";#N/A,#N/A,FALSE,"UNIT";#N/A,#N/A,FALSE,"계정"}</definedName>
    <definedName name="ㅀㅇㄹㄶㅀㄹ" localSheetId="2" hidden="1">{#N/A,#N/A,FALSE,"UNIT";#N/A,#N/A,FALSE,"UNIT";#N/A,#N/A,FALSE,"계정"}</definedName>
    <definedName name="ㅀㅇㄹㄶㅀㄹ" hidden="1">{#N/A,#N/A,FALSE,"UNIT";#N/A,#N/A,FALSE,"UNIT";#N/A,#N/A,FALSE,"계정"}</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6" hidden="1">{#N/A,#N/A,FALSE,"UNIT";#N/A,#N/A,FALSE,"UNIT";#N/A,#N/A,FALSE,"계정"}</definedName>
    <definedName name="ㅁ" localSheetId="2" hidden="1">#REF!</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8">BlankMacro1</definedName>
    <definedName name="ㅁ2" localSheetId="6">BlankMacro1</definedName>
    <definedName name="ㅁ2" localSheetId="2">BlankMacro1</definedName>
    <definedName name="ㅁ2" localSheetId="0">BlankMacro1</definedName>
    <definedName name="ㅁ2" localSheetId="9">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6" hidden="1">{#N/A,#N/A,TRUE,"매출진척-1";#N/A,#N/A,TRUE,"매출진척-2";#N/A,#N/A,TRUE,"제품실적";#N/A,#N/A,TRUE,"RAC";#N/A,#N/A,TRUE,"PAC ";#N/A,#N/A,TRUE,"재고현황";#N/A,#N/A,TRUE,"공지사항"}</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localSheetId="2" hidden="1">{#N/A,#N/A,FALSE,"단축1";#N/A,#N/A,FALSE,"단축2";#N/A,#N/A,FALSE,"단축3";#N/A,#N/A,FALSE,"장축";#N/A,#N/A,FALSE,"4WD"}</definedName>
    <definedName name="ㅁㄴㄴㅁ" hidden="1">{#N/A,#N/A,FALSE,"단축1";#N/A,#N/A,FALSE,"단축2";#N/A,#N/A,FALSE,"단축3";#N/A,#N/A,FALSE,"장축";#N/A,#N/A,FALSE,"4WD"}</definedName>
    <definedName name="ㅁㄴ도모" localSheetId="2" hidden="1">{#N/A,#N/A,TRUE,"경전'96(1)";#N/A,#N/A,TRUE,"경전'96 (2)"}</definedName>
    <definedName name="ㅁㄴ도모" hidden="1">{#N/A,#N/A,TRUE,"경전'96(1)";#N/A,#N/A,TRUE,"경전'96 (2)"}</definedName>
    <definedName name="ㅁㄴㄹ" localSheetId="2" hidden="1">{#N/A,#N/A,FALSE,"전력간선"}</definedName>
    <definedName name="ㅁㄴㄹ" hidden="1">{#N/A,#N/A,FALSE,"전력간선"}</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localSheetId="2" hidden="1">{#N/A,#N/A,FALSE,"단축1";#N/A,#N/A,FALSE,"단축2";#N/A,#N/A,FALSE,"단축3";#N/A,#N/A,FALSE,"장축";#N/A,#N/A,FALSE,"4WD"}</definedName>
    <definedName name="ㅁㄴㅁ" hidden="1">{#N/A,#N/A,FALSE,"단축1";#N/A,#N/A,FALSE,"단축2";#N/A,#N/A,FALSE,"단축3";#N/A,#N/A,FALSE,"장축";#N/A,#N/A,FALSE,"4WD"}</definedName>
    <definedName name="ㅁㄴㅁㅇ" hidden="1">#REF!</definedName>
    <definedName name="ㅁㄴㅇ" hidden="1">#REF!</definedName>
    <definedName name="ㅁㄴㅇㄴㅇㄹㄴㅇ" localSheetId="2"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localSheetId="2"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6" hidden="1">{"'Jibu9811 (3)'!$B$1:$J$433"}</definedName>
    <definedName name="ㅁ니러나럼닐" localSheetId="2" hidden="1">{"'Jibu9811 (3)'!$B$1:$J$433"}</definedName>
    <definedName name="ㅁ니러나럼닐" hidden="1">{"'Jibu9811 (3)'!$B$1:$J$433"}</definedName>
    <definedName name="ㅁㄶㅇㅎㅁ" localSheetId="2">BlankMacro1</definedName>
    <definedName name="ㅁㄶㅇㅎㅁ">BlankMacro1</definedName>
    <definedName name="ㅁㄷㅀ">#N/A</definedName>
    <definedName name="ㅁㄹㄴㅁㄿ추ㅘㅘ"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6" hidden="1">{#N/A,#N/A,FALSE,"UNIT";#N/A,#N/A,FALSE,"UNIT";#N/A,#N/A,FALSE,"계정"}</definedName>
    <definedName name="ㅁㅁㅁ" localSheetId="2">BlankMacro1</definedName>
    <definedName name="ㅁㅁㅁ" hidden="1">{#N/A,#N/A,FALSE,"UNIT";#N/A,#N/A,FALSE,"UNIT";#N/A,#N/A,FALSE,"계정"}</definedName>
    <definedName name="ㅁㅁㅁㅁ" localSheetId="6" hidden="1">{#N/A,#N/A,FALSE,"UNIT";#N/A,#N/A,FALSE,"UNIT";#N/A,#N/A,FALSE,"계정"}</definedName>
    <definedName name="ㅁㅁㅁㅁ" localSheetId="2">BlankMacro1</definedName>
    <definedName name="ㅁㅁㅁㅁ" hidden="1">{#N/A,#N/A,FALSE,"UNIT";#N/A,#N/A,FALSE,"UNIT";#N/A,#N/A,FALSE,"계정"}</definedName>
    <definedName name="ㅁㅁㅁㅁㅁ" localSheetId="6"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localSheetId="2"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localSheetId="2" hidden="1">{#N/A,#N/A,FALSE,"단축1";#N/A,#N/A,FALSE,"단축2";#N/A,#N/A,FALSE,"단축3";#N/A,#N/A,FALSE,"장축";#N/A,#N/A,FALSE,"4WD"}</definedName>
    <definedName name="ㅁㅁㅁㅇ" hidden="1">{#N/A,#N/A,FALSE,"단축1";#N/A,#N/A,FALSE,"단축2";#N/A,#N/A,FALSE,"단축3";#N/A,#N/A,FALSE,"장축";#N/A,#N/A,FALSE,"4WD"}</definedName>
    <definedName name="ㅁㅁ심힘ㄴㄹ" localSheetId="6" hidden="1">{"'Jibu9811 (3)'!$B$1:$J$433"}</definedName>
    <definedName name="ㅁㅁ심힘ㄴㄹ" localSheetId="2" hidden="1">{"'Jibu9811 (3)'!$B$1:$J$433"}</definedName>
    <definedName name="ㅁㅁ심힘ㄴㄹ" hidden="1">{"'Jibu9811 (3)'!$B$1:$J$433"}</definedName>
    <definedName name="ㅁㅂ">#REF!</definedName>
    <definedName name="ㅁㅂㅇㄴㄹ">#N/A</definedName>
    <definedName name="ㅁㅇ" localSheetId="2" hidden="1">{#N/A,#N/A,FALSE,"단축1";#N/A,#N/A,FALSE,"단축2";#N/A,#N/A,FALSE,"단축3";#N/A,#N/A,FALSE,"장축";#N/A,#N/A,FALSE,"4WD"}</definedName>
    <definedName name="ㅁㅇ" hidden="1">{#N/A,#N/A,FALSE,"단축1";#N/A,#N/A,FALSE,"단축2";#N/A,#N/A,FALSE,"단축3";#N/A,#N/A,FALSE,"장축";#N/A,#N/A,FALSE,"4WD"}</definedName>
    <definedName name="ㅁㅇㄴㄹ" localSheetId="2" hidden="1">{"SJ - 기본 보기",#N/A,FALSE,"공사별 외주견적"}</definedName>
    <definedName name="ㅁㅇㄴㄹ" hidden="1">{"SJ - 기본 보기",#N/A,FALSE,"공사별 외주견적"}</definedName>
    <definedName name="ㅁㅇㄹ" localSheetId="2" hidden="1">{#N/A,#N/A,FALSE,"단축1";#N/A,#N/A,FALSE,"단축2";#N/A,#N/A,FALSE,"단축3";#N/A,#N/A,FALSE,"장축";#N/A,#N/A,FALSE,"4WD"}</definedName>
    <definedName name="ㅁㅇㄹ" hidden="1">{#N/A,#N/A,FALSE,"단축1";#N/A,#N/A,FALSE,"단축2";#N/A,#N/A,FALSE,"단축3";#N/A,#N/A,FALSE,"장축";#N/A,#N/A,FALSE,"4WD"}</definedName>
    <definedName name="ㅁㅎㅁㅎ" localSheetId="2" hidden="1">{#N/A,#N/A,TRUE,"경전'96(1)";#N/A,#N/A,TRUE,"경전'96 (2)"}</definedName>
    <definedName name="ㅁㅎㅁㅎ" hidden="1">{#N/A,#N/A,TRUE,"경전'96(1)";#N/A,#N/A,TRUE,"경전'96 (2)"}</definedName>
    <definedName name="ㅁㅎㅎ" hidden="1">#REF!</definedName>
    <definedName name="ㅁ호ㅗㅎ" localSheetId="2" hidden="1">{#N/A,#N/A,TRUE,"경전'96(1)";#N/A,#N/A,TRUE,"경전'96 (2)"}</definedName>
    <definedName name="ㅁ호ㅗㅎ" hidden="1">{#N/A,#N/A,TRUE,"경전'96(1)";#N/A,#N/A,TRUE,"경전'96 (2)"}</definedName>
    <definedName name="마" localSheetId="6"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6"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 hidden="1">{#N/A,#N/A,FALSE,"정공"}</definedName>
    <definedName name="마마보이" hidden="1">{#N/A,#N/A,FALSE,"정공"}</definedName>
    <definedName name="마마오" localSheetId="6"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 hidden="1">{"'FAX번호'!$A$2:$F$21"}</definedName>
    <definedName name="마바" hidden="1">{"'FAX번호'!$A$2:$F$21"}</definedName>
    <definedName name="마산">#REF!</definedName>
    <definedName name="마아" localSheetId="6"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localSheetId="2" hidden="1">{"'손익현황'!$A$1:$J$29"}</definedName>
    <definedName name="마음" hidden="1">{"'손익현황'!$A$1:$J$29"}</definedName>
    <definedName name="마지막예산" localSheetId="2" hidden="1">{#N/A,#N/A,FALSE,"단축1";#N/A,#N/A,FALSE,"단축2";#N/A,#N/A,FALSE,"단축3";#N/A,#N/A,FALSE,"장축";#N/A,#N/A,FALSE,"4WD"}</definedName>
    <definedName name="마지막예산" hidden="1">{#N/A,#N/A,FALSE,"단축1";#N/A,#N/A,FALSE,"단축2";#N/A,#N/A,FALSE,"단축3";#N/A,#N/A,FALSE,"장축";#N/A,#N/A,FALSE,"4WD"}</definedName>
    <definedName name="마케팅" localSheetId="6" hidden="1">{"'5국공정'!$A$1:$E$128"}</definedName>
    <definedName name="마케팅" localSheetId="2" hidden="1">{"'5국공정'!$A$1:$E$128"}</definedName>
    <definedName name="마케팅" hidden="1">{"'5국공정'!$A$1:$E$128"}</definedName>
    <definedName name="마케팅2" localSheetId="6" hidden="1">{"'5국공정'!$A$1:$E$128"}</definedName>
    <definedName name="마케팅2" localSheetId="2" hidden="1">{"'5국공정'!$A$1:$E$128"}</definedName>
    <definedName name="마케팅2" hidden="1">{"'5국공정'!$A$1:$E$128"}</definedName>
    <definedName name="만기보장수익율">#REF!</definedName>
    <definedName name="말" localSheetId="2">BlankMacro1</definedName>
    <definedName name="말">BlankMacro1</definedName>
    <definedName name="말자" localSheetId="2" hidden="1">{#N/A,#N/A,FALSE,"단축1";#N/A,#N/A,FALSE,"단축2";#N/A,#N/A,FALSE,"단축3";#N/A,#N/A,FALSE,"장축";#N/A,#N/A,FALSE,"4WD"}</definedName>
    <definedName name="말자" hidden="1">{#N/A,#N/A,FALSE,"단축1";#N/A,#N/A,FALSE,"단축2";#N/A,#N/A,FALSE,"단축3";#N/A,#N/A,FALSE,"장축";#N/A,#N/A,FALSE,"4WD"}</definedName>
    <definedName name="망">#REF!</definedName>
    <definedName name="매" localSheetId="6" hidden="1">{#N/A,#N/A,FALSE,"1.CRITERIA";#N/A,#N/A,FALSE,"2.IS";#N/A,#N/A,FALSE,"3.BS";#N/A,#N/A,FALSE,"4.PER PL";#N/A,#N/A,FALSE,"5.INVESTMENT";#N/A,#N/A,FALSE,"6.공문";#N/A,#N/A,FALSE,"7.netinvest"}</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{#N/A,#N/A,FALSE,"1.CRITERIA";#N/A,#N/A,FALSE,"2.IS";#N/A,#N/A,FALSE,"3.BS";#N/A,#N/A,FALSE,"4.PER PL";#N/A,#N/A,FALSE,"5.INVESTMENT";#N/A,#N/A,FALSE,"6.공문";#N/A,#N/A,FALSE,"7.netinvest"}</definedName>
    <definedName name="買掛金" localSheetId="6" hidden="1">{"'買掛金'!$J$6"}</definedName>
    <definedName name="買掛金" localSheetId="2" hidden="1">{"'買掛金'!$J$6"}</definedName>
    <definedName name="買掛金" hidden="1">{"'買掛金'!$J$6"}</definedName>
    <definedName name="매료" localSheetId="6" hidden="1">{#N/A,#N/A,FALSE,"1.CRITERIA";#N/A,#N/A,FALSE,"2.IS";#N/A,#N/A,FALSE,"3.BS";#N/A,#N/A,FALSE,"4.PER PL";#N/A,#N/A,FALSE,"5.INVESTMENT";#N/A,#N/A,FALSE,"6.공문";#N/A,#N/A,FALSE,"7.netinvest"}</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6"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6" hidden="1">{#N/A,#N/A,FALSE,"BS";#N/A,#N/A,FALSE,"PL";#N/A,#N/A,FALSE,"처분";#N/A,#N/A,FALSE,"현금";#N/A,#N/A,FALSE,"매출";#N/A,#N/A,FALSE,"원가";#N/A,#N/A,FALSE,"경영"}</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6" hidden="1">{#N/A,#N/A,FALSE,"UNIT";#N/A,#N/A,FALSE,"UNIT";#N/A,#N/A,FALSE,"계정"}</definedName>
    <definedName name="매출계획" localSheetId="2" hidden="1">{#N/A,#N/A,FALSE,"UNIT";#N/A,#N/A,FALSE,"UNIT";#N/A,#N/A,FALSE,"계정"}</definedName>
    <definedName name="매출계획" hidden="1">{#N/A,#N/A,FALSE,"UNIT";#N/A,#N/A,FALSE,"UNIT";#N/A,#N/A,FALSE,"계정"}</definedName>
    <definedName name="매출계획2" localSheetId="6" hidden="1">{"'Sheet1'!$A$1:$H$36"}</definedName>
    <definedName name="매출계획2" localSheetId="2" hidden="1">{"'Sheet1'!$A$1:$H$36"}</definedName>
    <definedName name="매출계획2" hidden="1">{"'Sheet1'!$A$1:$H$36"}</definedName>
    <definedName name="매출구분">#REF!</definedName>
    <definedName name="매출금">#REF!</definedName>
    <definedName name="매출기준" localSheetId="2" hidden="1">{#N/A,#N/A,FALSE,"정공"}</definedName>
    <definedName name="매출기준" hidden="1">{#N/A,#N/A,FALSE,"정공"}</definedName>
    <definedName name="매출및원가">#REF!</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localSheetId="2" hidden="1">{#N/A,#N/A,FALSE,"정공"}</definedName>
    <definedName name="매출손익" hidden="1">{#N/A,#N/A,FALSE,"정공"}</definedName>
    <definedName name="매출액" hidden="1">#REF!</definedName>
    <definedName name="매출액2" localSheetId="6"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6"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localSheetId="2" hidden="1">{#N/A,#N/A,FALSE,"정공"}</definedName>
    <definedName name="매출전환손익" hidden="1">{#N/A,#N/A,FALSE,"정공"}</definedName>
    <definedName name="매출조정" localSheetId="6" hidden="1">{"'Jibu9811 (3)'!$B$1:$J$433"}</definedName>
    <definedName name="매출조정" localSheetId="2" hidden="1">{"'Jibu9811 (3)'!$B$1:$J$433"}</definedName>
    <definedName name="매출조정" hidden="1">{"'Jibu9811 (3)'!$B$1:$J$433"}</definedName>
    <definedName name="매출채권">#REF!</definedName>
    <definedName name="매출채권_1" localSheetId="6" hidden="1">{#N/A,#N/A,FALSE,"Aging Summary";#N/A,#N/A,FALSE,"Ratio Analysis";#N/A,#N/A,FALSE,"Test 120 Day Accts";#N/A,#N/A,FALSE,"Tickmarks"}</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6"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6" hidden="1">{"'손익현황'!$A$1:$J$29"}</definedName>
    <definedName name="매출채권비율" localSheetId="2" hidden="1">{"'손익현황'!$A$1:$J$29"}</definedName>
    <definedName name="매출채권비율" hidden="1">{"'손익현황'!$A$1:$J$29"}</definedName>
    <definedName name="매출채권비율_1" localSheetId="6"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6" hidden="1">{#N/A,#N/A,FALSE,"정공"}</definedName>
    <definedName name="매출추1" localSheetId="2" hidden="1">{#N/A,#N/A,FALSE,"정공"}</definedName>
    <definedName name="매출추1" hidden="1">{#N/A,#N/A,FALSE,"정공"}</definedName>
    <definedName name="매출추정" localSheetId="6"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6"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 localSheetId="2">BlankMacro1</definedName>
    <definedName name="머ㅏㅑㄷ">BlankMacro1</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6"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6" hidden="1">{"'Jibu9811 (3)'!$B$1:$J$433"}</definedName>
    <definedName name="명단2" localSheetId="2" hidden="1">{"'Jibu9811 (3)'!$B$1:$J$433"}</definedName>
    <definedName name="명단2" hidden="1">{"'Jibu9811 (3)'!$B$1:$J$433"}</definedName>
    <definedName name="명단결과" localSheetId="6"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6" hidden="1">{#N/A,#N/A,FALSE,"Aging Summary";#N/A,#N/A,FALSE,"Ratio Analysis";#N/A,#N/A,FALSE,"Test 120 Day Accts";#N/A,#N/A,FALSE,"Tickmarks"}</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6"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localSheetId="2" hidden="1">{#N/A,#N/A,FALSE,"정공"}</definedName>
    <definedName name="모나리자아" hidden="1">{#N/A,#N/A,FALSE,"정공"}</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6"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6" hidden="1">{#N/A,#N/A,FALSE,"BS";#N/A,#N/A,FALSE,"PL";#N/A,#N/A,FALSE,"처분";#N/A,#N/A,FALSE,"현금";#N/A,#N/A,FALSE,"매출";#N/A,#N/A,FALSE,"원가";#N/A,#N/A,FALSE,"경영"}</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6"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 localSheetId="2">BLCH</definedName>
    <definedName name="목ㄱ돋">BLCH</definedName>
    <definedName name="목공">#REF!</definedName>
    <definedName name="목도공">#REF!</definedName>
    <definedName name="목돈입력">#REF!</definedName>
    <definedName name="목동현대" localSheetId="2">BLCH</definedName>
    <definedName name="목동현대">BLCH</definedName>
    <definedName name="목록">OFFSET(#REF!,0,0,COUNTA(#REF!),1)</definedName>
    <definedName name="목백합">#REF!</definedName>
    <definedName name="목차" localSheetId="6"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localSheetId="2" hidden="1">{#N/A,#N/A,FALSE,"정공"}</definedName>
    <definedName name="목차도" hidden="1">{#N/A,#N/A,FALSE,"정공"}</definedName>
    <definedName name="목포">#REF!</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localSheetId="2" hidden="1">{#N/A,#N/A,FALSE,"표지목차"}</definedName>
    <definedName name="몬" hidden="1">{#N/A,#N/A,FALSE,"표지목차"}</definedName>
    <definedName name="몰" localSheetId="2">BlankMacro1</definedName>
    <definedName name="몰">BlankMacro1</definedName>
    <definedName name="몰라" localSheetId="6" hidden="1">{#N/A,#N/A,FALSE,"정공"}</definedName>
    <definedName name="몰라" localSheetId="2" hidden="1">{#N/A,#N/A,FALSE,"정공"}</definedName>
    <definedName name="몰라" hidden="1">{#N/A,#N/A,FALSE,"정공"}</definedName>
    <definedName name="몰랄ㄹ" localSheetId="6" hidden="1">{#N/A,#N/A,FALSE,"초중조사서식 "}</definedName>
    <definedName name="몰랄ㄹ" localSheetId="2" hidden="1">{#N/A,#N/A,FALSE,"초중조사서식 "}</definedName>
    <definedName name="몰랄ㄹ" hidden="1">{#N/A,#N/A,FALSE,"초중조사서식 "}</definedName>
    <definedName name="뫌" localSheetId="6"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6"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6" hidden="1">{#N/A,#N/A,FALSE,"BS";#N/A,#N/A,FALSE,"PL";#N/A,#N/A,FALSE,"A";#N/A,#N/A,FALSE,"B";#N/A,#N/A,FALSE,"B1";#N/A,#N/A,FALSE,"C";#N/A,#N/A,FALSE,"C1";#N/A,#N/A,FALSE,"C2";#N/A,#N/A,FALSE,"D";#N/A,#N/A,FALSE,"E";#N/A,#N/A,FALSE,"F";#N/A,#N/A,FALSE,"AA";#N/A,#N/A,FALSE,"BB";#N/A,#N/A,FALSE,"CC";#N/A,#N/A,FALSE,"DD";#N/A,#N/A,FALSE,"EE";#N/A,#N/A,FALSE,"FF";#N/A,#N/A,FALSE,"PL10";#N/A,#N/A,FALSE,"PL20";#N/A,#N/A,FALSE,"PL30"}</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6"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localSheetId="2" hidden="1">{#N/A,#N/A,FALSE,"Aging Summary";#N/A,#N/A,FALSE,"Ratio Analysis";#N/A,#N/A,FALSE,"Test 120 Day Accts";#N/A,#N/A,FALSE,"Tickmarks"}</definedName>
    <definedName name="무형자산" hidden="1">{#N/A,#N/A,FALSE,"Aging Summary";#N/A,#N/A,FALSE,"Ratio Analysis";#N/A,#N/A,FALSE,"Test 120 Day Accts";#N/A,#N/A,FALSE,"Tickmarks"}</definedName>
    <definedName name="문서의_처음">#N/A</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6" hidden="1">{#N/A,#N/A,FALSE,"단축1";#N/A,#N/A,FALSE,"단축2";#N/A,#N/A,FALSE,"단축3";#N/A,#N/A,FALSE,"장축";#N/A,#N/A,FALSE,"4WD"}</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6" hidden="1">{"'Jibu9811 (3)'!$B$1:$J$433"}</definedName>
    <definedName name="문제점" localSheetId="2" hidden="1">{"'Jibu9811 (3)'!$B$1:$J$433"}</definedName>
    <definedName name="문제점" hidden="1">{"'Jibu9811 (3)'!$B$1:$J$433"}</definedName>
    <definedName name="물"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localSheetId="2" hidden="1">{#N/A,#N/A,FALSE,"이태원철근"}</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6" hidden="1">{#N/A,#N/A,TRUE,"일정"}</definedName>
    <definedName name="물류" localSheetId="2" hidden="1">{#N/A,#N/A,TRUE,"일정"}</definedName>
    <definedName name="물류" hidden="1">{#N/A,#N/A,TRUE,"일정"}</definedName>
    <definedName name="물류혁신" localSheetId="6" hidden="1">{#N/A,#N/A,FALSE,"인원";#N/A,#N/A,FALSE,"비용2";#N/A,#N/A,FALSE,"비용1";#N/A,#N/A,FALSE,"비용";#N/A,#N/A,FALSE,"보증2";#N/A,#N/A,FALSE,"보증1";#N/A,#N/A,FALSE,"보증";#N/A,#N/A,FALSE,"손익1";#N/A,#N/A,FALSE,"손익";#N/A,#N/A,FALSE,"부서별매출";#N/A,#N/A,FALSE,"매출"}</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localSheetId="2" hidden="1">{#N/A,#N/A,FALSE,"이태원철근"}</definedName>
    <definedName name="뭐가이태원이야" hidden="1">{#N/A,#N/A,FALSE,"이태원철근"}</definedName>
    <definedName name="뭐야"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6" hidden="1">{#N/A,#N/A,FALSE,"기술료 비교"}</definedName>
    <definedName name="뮤" localSheetId="2" hidden="1">{#N/A,#N/A,FALSE,"기술료 비교"}</definedName>
    <definedName name="뮤" hidden="1">{#N/A,#N/A,FALSE,"기술료 비교"}</definedName>
    <definedName name="뮤629">#REF!</definedName>
    <definedName name="뮤뮤" localSheetId="6"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6" hidden="1">{#N/A,#N/A,TRUE,"일정"}</definedName>
    <definedName name="므" localSheetId="2" hidden="1">{#N/A,#N/A,TRUE,"일정"}</definedName>
    <definedName name="므" hidden="1">{#N/A,#N/A,TRUE,"일정"}</definedName>
    <definedName name="미" localSheetId="6" hidden="1">{#N/A,#N/A,TRUE,"일정"}</definedName>
    <definedName name="미" localSheetId="2" hidden="1">{#N/A,#N/A,TRUE,"일정"}</definedName>
    <definedName name="미" hidden="1">{#N/A,#N/A,TRUE,"일정"}</definedName>
    <definedName name="미금" hidden="1">#REF!</definedName>
    <definedName name="미라" localSheetId="6"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6" hidden="1">{#N/A,#N/A,FALSE,"정공"}</definedName>
    <definedName name="미미미아" localSheetId="2" hidden="1">{#N/A,#N/A,FALSE,"정공"}</definedName>
    <definedName name="미미미아" hidden="1">{#N/A,#N/A,FALSE,"정공"}</definedName>
    <definedName name="未払" localSheetId="6" hidden="1">{"'買掛金'!$J$6"}</definedName>
    <definedName name="未払" localSheetId="2" hidden="1">{"'買掛金'!$J$6"}</definedName>
    <definedName name="未払" hidden="1">{"'買掛金'!$J$6"}</definedName>
    <definedName name="未払金" localSheetId="6" hidden="1">{"'買掛金'!$J$6"}</definedName>
    <definedName name="未払金" localSheetId="2" hidden="1">{"'買掛金'!$J$6"}</definedName>
    <definedName name="未払金" hidden="1">{"'買掛金'!$J$6"}</definedName>
    <definedName name="미석" localSheetId="6" hidden="1">{#N/A,#N/A,FALSE,"정공"}</definedName>
    <definedName name="미석" localSheetId="2" hidden="1">{#N/A,#N/A,FALSE,"정공"}</definedName>
    <definedName name="미석" hidden="1">{#N/A,#N/A,FALSE,"정공"}</definedName>
    <definedName name="미수" localSheetId="6" hidden="1">{#N/A,#N/A,FALSE,"계약직(여)"}</definedName>
    <definedName name="미수" localSheetId="2" hidden="1">{#N/A,#N/A,FALSE,"계약직(여)"}</definedName>
    <definedName name="미수" hidden="1">{#N/A,#N/A,FALSE,"계약직(여)"}</definedName>
    <definedName name="미수금" hidden="1">#REF!</definedName>
    <definedName name="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localSheetId="2" hidden="1">{"'FAX번호'!$A$2:$F$21"}</definedName>
    <definedName name="미음" hidden="1">{"'FAX번호'!$A$2:$F$21"}</definedName>
    <definedName name="미일초등">#REF!</definedName>
    <definedName name="미지" localSheetId="6" hidden="1">{#N/A,#N/A,FALSE,"UNIT";#N/A,#N/A,FALSE,"UNIT";#N/A,#N/A,FALSE,"계정"}</definedName>
    <definedName name="미지" localSheetId="2" hidden="1">{#N/A,#N/A,FALSE,"UNIT";#N/A,#N/A,FALSE,"UNIT";#N/A,#N/A,FALSE,"계정"}</definedName>
    <definedName name="미지" hidden="1">{#N/A,#N/A,FALSE,"UNIT";#N/A,#N/A,FALSE,"UNIT";#N/A,#N/A,FALSE,"계정"}</definedName>
    <definedName name="미지급" localSheetId="6" hidden="1">{#N/A,#N/A,FALSE,"BS";#N/A,#N/A,FALSE,"PL";#N/A,#N/A,FALSE,"처분";#N/A,#N/A,FALSE,"현금";#N/A,#N/A,FALSE,"매출";#N/A,#N/A,FALSE,"원가";#N/A,#N/A,FALSE,"경영"}</definedName>
    <definedName name="미지급" localSheetId="2">BlankMacro1</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6" hidden="1">{"'보고양식'!$A$58:$K$111"}</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 localSheetId="2">BlankMacro1</definedName>
    <definedName name="미지급브">BlankMacro1</definedName>
    <definedName name="미지급비용" localSheetId="6" hidden="1">{#N/A,#N/A,FALSE,"1.CRITERIA";#N/A,#N/A,FALSE,"2.IS";#N/A,#N/A,FALSE,"3.BS";#N/A,#N/A,FALSE,"4.PER PL";#N/A,#N/A,FALSE,"5.INVESTMENT";#N/A,#N/A,FALSE,"6.공문";#N/A,#N/A,FALSE,"7.netinvest"}</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6" hidden="1">{#N/A,#N/A,FALSE,"계약직(여)"}</definedName>
    <definedName name="미지급비용분류" localSheetId="2" hidden="1">{#N/A,#N/A,FALSE,"계약직(여)"}</definedName>
    <definedName name="미지급비용분류" hidden="1">{#N/A,#N/A,FALSE,"계약직(여)"}</definedName>
    <definedName name="미지급이자" localSheetId="6" hidden="1">{"FORM17",#N/A,FALSE,"Commission1";"FORM17.1",#N/A,FALSE,"Commission2"}</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6" hidden="1">{#N/A,#N/A,FALSE,"9612"}</definedName>
    <definedName name="미착기계" localSheetId="2" hidden="1">{#N/A,#N/A,FALSE,"9612"}</definedName>
    <definedName name="미착기계" hidden="1">{#N/A,#N/A,FALSE,"9612"}</definedName>
    <definedName name="미ㅣ하ㅣ미ㅣㅣㄴ" localSheetId="6" hidden="1">{"'Jibu9811 (3)'!$B$1:$J$433"}</definedName>
    <definedName name="미ㅣ하ㅣ미ㅣㅣㄴ" localSheetId="2" hidden="1">{"'Jibu9811 (3)'!$B$1:$J$433"}</definedName>
    <definedName name="미ㅣ하ㅣ미ㅣㅣㄴ" hidden="1">{"'Jibu9811 (3)'!$B$1:$J$433"}</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6" hidden="1">{#N/A,#N/A,FALSE,"을지 (4)";#N/A,#N/A,FALSE,"을지 (5)";#N/A,#N/A,FALSE,"을지 (6)"}</definedName>
    <definedName name="민총2" localSheetId="2" hidden="1">{#N/A,#N/A,FALSE,"을지 (4)";#N/A,#N/A,FALSE,"을지 (5)";#N/A,#N/A,FALSE,"을지 (6)"}</definedName>
    <definedName name="민총2" hidden="1">{#N/A,#N/A,FALSE,"을지 (4)";#N/A,#N/A,FALSE,"을지 (5)";#N/A,#N/A,FALSE,"을지 (6)"}</definedName>
    <definedName name="밀" localSheetId="2" hidden="1">{#N/A,#N/A,TRUE,"경전'96(1)";#N/A,#N/A,TRUE,"경전'96 (2)"}</definedName>
    <definedName name="밀" hidden="1">{#N/A,#N/A,TRUE,"경전'96(1)";#N/A,#N/A,TRUE,"경전'96 (2)"}</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localSheetId="2" hidden="1">{#N/A,#N/A,TRUE,"경전'96(1)";#N/A,#N/A,TRUE,"경전'96 (2)"}</definedName>
    <definedName name="ㅂ2ㅂ2" hidden="1">{#N/A,#N/A,TRUE,"경전'96(1)";#N/A,#N/A,TRUE,"경전'96 (2)"}</definedName>
    <definedName name="ㅂ3ㄱ" localSheetId="6" hidden="1">{#N/A,#N/A,FALSE,"BS";#N/A,#N/A,FALSE,"PL";#N/A,#N/A,FALSE,"처분";#N/A,#N/A,FALSE,"현금";#N/A,#N/A,FALSE,"매출";#N/A,#N/A,FALSE,"원가";#N/A,#N/A,FALSE,"경영"}</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6"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6" hidden="1">{"'Jibu9811 (3)'!$B$1:$J$433"}</definedName>
    <definedName name="ㅂ갷ㄻ" localSheetId="2" hidden="1">{"'Jibu9811 (3)'!$B$1:$J$433"}</definedName>
    <definedName name="ㅂ갷ㄻ" hidden="1">{"'Jibu9811 (3)'!$B$1:$J$433"}</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localSheetId="2" hidden="1">{#N/A,#N/A,FALSE,"단축1";#N/A,#N/A,FALSE,"단축2";#N/A,#N/A,FALSE,"단축3";#N/A,#N/A,FALSE,"장축";#N/A,#N/A,FALSE,"4WD"}</definedName>
    <definedName name="ㅂㄴㅁㅋ" hidden="1">{#N/A,#N/A,FALSE,"단축1";#N/A,#N/A,FALSE,"단축2";#N/A,#N/A,FALSE,"단축3";#N/A,#N/A,FALSE,"장축";#N/A,#N/A,FALSE,"4WD"}</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6" hidden="1">{#N/A,#N/A,TRUE,"일정"}</definedName>
    <definedName name="ㅂㅂㅂ" localSheetId="2" hidden="1">{#N/A,#N/A,TRUE,"일정"}</definedName>
    <definedName name="ㅂㅂㅂ" hidden="1">{#N/A,#N/A,TRUE,"일정"}</definedName>
    <definedName name="ㅂㅂㅂ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hidden="1">#REF!</definedName>
    <definedName name="ㅂㅂㅂㅂㅂㅂ">#REF!</definedName>
    <definedName name="ㅂㅂㅂㅂㅂㅂㅂㅂ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6" hidden="1">{#N/A,#N/A,FALSE,"UNIT";#N/A,#N/A,FALSE,"UNIT";#N/A,#N/A,FALSE,"계정"}</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localSheetId="2" hidden="1">{#N/A,#N/A,FALSE,"단축1";#N/A,#N/A,FALSE,"단축2";#N/A,#N/A,FALSE,"단축3";#N/A,#N/A,FALSE,"장축";#N/A,#N/A,FALSE,"4WD"}</definedName>
    <definedName name="ㅂㅈㄷㅈㄷ" hidden="1">{#N/A,#N/A,FALSE,"단축1";#N/A,#N/A,FALSE,"단축2";#N/A,#N/A,FALSE,"단축3";#N/A,#N/A,FALSE,"장축";#N/A,#N/A,FALSE,"4WD"}</definedName>
    <definedName name="바" localSheetId="6" hidden="1">{#N/A,#N/A,FALSE,"1.CRITERIA";#N/A,#N/A,FALSE,"2.IS";#N/A,#N/A,FALSE,"3.BS";#N/A,#N/A,FALSE,"4.PER PL";#N/A,#N/A,FALSE,"5.INVESTMENT";#N/A,#N/A,FALSE,"6.공문";#N/A,#N/A,FALSE,"7.netinvest"}</definedName>
    <definedName name="바" localSheetId="2" hidden="1">{#N/A,#N/A,FALSE,"Sheet1"}</definedName>
    <definedName name="바"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6" hidden="1">{"'Jibu9811 (3)'!$B$1:$J$433"}</definedName>
    <definedName name="바디카밍" localSheetId="2" hidden="1">{"'Jibu9811 (3)'!$B$1:$J$433"}</definedName>
    <definedName name="바디카밍" hidden="1">{"'Jibu9811 (3)'!$B$1:$J$433"}</definedName>
    <definedName name="바라" localSheetId="6"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6" hidden="1">{#N/A,#N/A,FALSE,"정공"}</definedName>
    <definedName name="바랑라" localSheetId="2" hidden="1">{#N/A,#N/A,FALSE,"정공"}</definedName>
    <definedName name="바랑라" hidden="1">{#N/A,#N/A,FALSE,"정공"}</definedName>
    <definedName name="바로" localSheetId="6"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바" localSheetId="6"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6" hidden="1">{#N/A,#N/A,FALSE,"정공"}</definedName>
    <definedName name="바보" localSheetId="2" hidden="1">{#N/A,#N/A,FALSE,"정공"}</definedName>
    <definedName name="바보" hidden="1">{#N/A,#N/A,FALSE,"정공"}</definedName>
    <definedName name="바보상자" localSheetId="6" hidden="1">{#N/A,#N/A,FALSE,"정공"}</definedName>
    <definedName name="바보상자" localSheetId="2" hidden="1">{#N/A,#N/A,FALSE,"정공"}</definedName>
    <definedName name="바보상자" hidden="1">{#N/A,#N/A,FALSE,"정공"}</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6"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8">BlankMacro1</definedName>
    <definedName name="바이오사업팀" localSheetId="6">BlankMacro1</definedName>
    <definedName name="바이오사업팀" localSheetId="2">BlankMacro1</definedName>
    <definedName name="바이오사업팀" localSheetId="0">BlankMacro1</definedName>
    <definedName name="바이오사업팀" localSheetId="9">BlankMacro1</definedName>
    <definedName name="바이오사업팀">BlankMacro1</definedName>
    <definedName name="박" localSheetId="6" hidden="1">{#N/A,#N/A,FALSE,"1.CRITERIA";#N/A,#N/A,FALSE,"2.IS";#N/A,#N/A,FALSE,"3.BS";#N/A,#N/A,FALSE,"4.PER PL";#N/A,#N/A,FALSE,"5.INVESTMENT";#N/A,#N/A,FALSE,"6.공문";#N/A,#N/A,FALSE,"7.netinvest"}</definedName>
    <definedName name="박" localSheetId="2">BlankMacro1</definedName>
    <definedName name="박" hidden="1">{#N/A,#N/A,FALSE,"1.CRITERIA";#N/A,#N/A,FALSE,"2.IS";#N/A,#N/A,FALSE,"3.BS";#N/A,#N/A,FALSE,"4.PER PL";#N/A,#N/A,FALSE,"5.INVESTMENT";#N/A,#N/A,FALSE,"6.공문";#N/A,#N/A,FALSE,"7.netinvest"}</definedName>
    <definedName name="박남규" localSheetId="6" hidden="1">{#N/A,#N/A,FALSE,"BS";#N/A,#N/A,FALSE,"IS";#N/A,#N/A,FALSE,"결손금처리";#N/A,#N/A,FALSE,"cashflow"}</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6"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 localSheetId="2">Dlog_Show</definedName>
    <definedName name="박은하">Dlog_Show</definedName>
    <definedName name="박인철" localSheetId="2"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재영" hidden="1">#REF!</definedName>
    <definedName name="박진만" localSheetId="6" hidden="1">{#N/A,#N/A,FALSE,"단축1";#N/A,#N/A,FALSE,"단축2";#N/A,#N/A,FALSE,"단축3";#N/A,#N/A,FALSE,"장축";#N/A,#N/A,FALSE,"4WD"}</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6" hidden="1">{#N/A,#N/A,FALSE,"BS";#N/A,#N/A,FALSE,"PL";#N/A,#N/A,FALSE,"처분";#N/A,#N/A,FALSE,"현금";#N/A,#N/A,FALSE,"매출";#N/A,#N/A,FALSE,"원가";#N/A,#N/A,FALSE,"경영"}</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6"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localSheetId="2" hidden="1">{#N/A,#N/A,TRUE,"Y생산";#N/A,#N/A,TRUE,"Y판매";#N/A,#N/A,TRUE,"Y총물량";#N/A,#N/A,TRUE,"Y능력";#N/A,#N/A,TRUE,"YKD"}</definedName>
    <definedName name="받" hidden="1">{#N/A,#N/A,TRUE,"Y생산";#N/A,#N/A,TRUE,"Y판매";#N/A,#N/A,TRUE,"Y총물량";#N/A,#N/A,TRUE,"Y능력";#N/A,#N/A,TRUE,"YKD"}</definedName>
    <definedName name="받을어음">#REF!</definedName>
    <definedName name="발" localSheetId="6"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6" hidden="1">{"'매출이익'!$A$24:$K$45"}</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localSheetId="2" hidden="1">{#N/A,#N/A,FALSE,"단축1";#N/A,#N/A,FALSE,"단축2";#N/A,#N/A,FALSE,"단축3";#N/A,#N/A,FALSE,"장축";#N/A,#N/A,FALSE,"4WD"}</definedName>
    <definedName name="방안" hidden="1">{#N/A,#N/A,FALSE,"단축1";#N/A,#N/A,FALSE,"단축2";#N/A,#N/A,FALSE,"단축3";#N/A,#N/A,FALSE,"장축";#N/A,#N/A,FALSE,"4WD"}</definedName>
    <definedName name="방진고무" localSheetId="2" hidden="1">{#N/A,#N/A,FALSE,"단축1";#N/A,#N/A,FALSE,"단축2";#N/A,#N/A,FALSE,"단축3";#N/A,#N/A,FALSE,"장축";#N/A,#N/A,FALSE,"4WD"}</definedName>
    <definedName name="방진고무" hidden="1">{#N/A,#N/A,FALSE,"단축1";#N/A,#N/A,FALSE,"단축2";#N/A,#N/A,FALSE,"단축3";#N/A,#N/A,FALSE,"장축";#N/A,#N/A,FALSE,"4WD"}</definedName>
    <definedName name="배" localSheetId="6"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6" hidden="1">{"'미착금액'!$A$4:$G$14"}</definedName>
    <definedName name="배배배" localSheetId="2" hidden="1">{"'미착금액'!$A$4:$G$14"}</definedName>
    <definedName name="배배배" hidden="1">{"'미착금액'!$A$4:$G$14"}</definedName>
    <definedName name="배부" localSheetId="2" hidden="1">{#N/A,#N/A,FALSE,"지침";#N/A,#N/A,FALSE,"환경분석";#N/A,#N/A,FALSE,"Sheet16"}</definedName>
    <definedName name="배부" hidden="1">{#N/A,#N/A,FALSE,"지침";#N/A,#N/A,FALSE,"환경분석";#N/A,#N/A,FALSE,"Sheet16"}</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localSheetId="2" hidden="1">{#N/A,#N/A,FALSE,"지침";#N/A,#N/A,FALSE,"환경분석";#N/A,#N/A,FALSE,"Sheet16"}</definedName>
    <definedName name="배부영업자산" hidden="1">{#N/A,#N/A,FALSE,"지침";#N/A,#N/A,FALSE,"환경분석";#N/A,#N/A,FALSE,"Sheet16"}</definedName>
    <definedName name="배분액" localSheetId="6" hidden="1">{"FORM1",#N/A,FALSE,"Revenue";"FORMTR",#N/A,FALSE,"Revenue";"FORM3.1",#N/A,FALSE,"Revenue"}</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6"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6"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6" hidden="1">{#N/A,#N/A,FALSE,"UNIT";#N/A,#N/A,FALSE,"UNIT";#N/A,#N/A,FALSE,"계정"}</definedName>
    <definedName name="법인세주석사항정리" localSheetId="2" hidden="1">{#N/A,#N/A,FALSE,"UNIT";#N/A,#N/A,FALSE,"UNIT";#N/A,#N/A,FALSE,"계정"}</definedName>
    <definedName name="법인세주석사항정리" hidden="1">{#N/A,#N/A,FALSE,"UNIT";#N/A,#N/A,FALSE,"UNIT";#N/A,#N/A,FALSE,"계정"}</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2" hidden="1">{#N/A,#N/A,FALSE,"Sheet6"}</definedName>
    <definedName name="벙" hidden="1">{#N/A,#N/A,FALSE,"Sheet6"}</definedName>
    <definedName name="베" localSheetId="6"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6" hidden="1">{"'Jibu9811 (3)'!$B$1:$J$433"}</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6" hidden="1">{"'Jibu9811 (3)'!$B$1:$J$433"}</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6"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localSheetId="2"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localSheetId="2" hidden="1">{#N/A,#N/A,FALSE,"단축1";#N/A,#N/A,FALSE,"단축2";#N/A,#N/A,FALSE,"단축3";#N/A,#N/A,FALSE,"장축";#N/A,#N/A,FALSE,"4WD"}</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localSheetId="2" hidden="1">{#N/A,#N/A,FALSE,"Sheet1"}</definedName>
    <definedName name="변동" hidden="1">{#N/A,#N/A,FALSE,"Sheet1"}</definedName>
    <definedName name="변동비" localSheetId="2"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localSheetId="2" hidden="1">{#N/A,#N/A,FALSE,"단축1";#N/A,#N/A,FALSE,"단축2";#N/A,#N/A,FALSE,"단축3";#N/A,#N/A,FALSE,"장축";#N/A,#N/A,FALSE,"4WD"}</definedName>
    <definedName name="별도투자비" hidden="1">{#N/A,#N/A,FALSE,"단축1";#N/A,#N/A,FALSE,"단축2";#N/A,#N/A,FALSE,"단축3";#N/A,#N/A,FALSE,"장축";#N/A,#N/A,FALSE,"4WD"}</definedName>
    <definedName name="별지_제6_2호_서식">#REF!</definedName>
    <definedName name="별지_제6_3_2_호_서식">#REF!</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localSheetId="2" hidden="1">{"'Price List '!$A$1:$R$156"}</definedName>
    <definedName name="별첨5" hidden="1">{"'Price List '!$A$1:$R$156"}</definedName>
    <definedName name="별첨퇴직" localSheetId="6" hidden="1">{"'매출이익'!$A$24:$K$45"}</definedName>
    <definedName name="별첨퇴직" localSheetId="2" hidden="1">{"'매출이익'!$A$24:$K$45"}</definedName>
    <definedName name="별첨퇴직" hidden="1">{"'매출이익'!$A$24:$K$45"}</definedName>
    <definedName name="별퇴직급여" localSheetId="6" hidden="1">{"'매출이익'!$A$24:$K$45"}</definedName>
    <definedName name="별퇴직급여" localSheetId="2" hidden="1">{"'매출이익'!$A$24:$K$45"}</definedName>
    <definedName name="별퇴직급여" hidden="1">{"'매출이익'!$A$24:$K$45"}</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6" hidden="1">{#N/A,#N/A,FALSE,"1.CRITERIA";#N/A,#N/A,FALSE,"2.IS";#N/A,#N/A,FALSE,"3.BS";#N/A,#N/A,FALSE,"4.PER PL";#N/A,#N/A,FALSE,"5.INVESTMENT";#N/A,#N/A,FALSE,"6.공문";#N/A,#N/A,FALSE,"7.netinvest"}</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{#N/A,#N/A,FALSE,"1.CRITERIA";#N/A,#N/A,FALSE,"2.IS";#N/A,#N/A,FALSE,"3.BS";#N/A,#N/A,FALSE,"4.PER PL";#N/A,#N/A,FALSE,"5.INVESTMENT";#N/A,#N/A,FALSE,"6.공문";#N/A,#N/A,FALSE,"7.netinvest"}</definedName>
    <definedName name="보고" localSheetId="6" hidden="1">{#N/A,#N/A,FALSE,"UNIT";#N/A,#N/A,FALSE,"UNIT";#N/A,#N/A,FALSE,"계정"}</definedName>
    <definedName name="보고" localSheetId="2" hidden="1">{#N/A,#N/A,FALSE,"UNIT";#N/A,#N/A,FALSE,"UNIT";#N/A,#N/A,FALSE,"계정"}</definedName>
    <definedName name="보고" hidden="1">{#N/A,#N/A,FALSE,"UNIT";#N/A,#N/A,FALSE,"UNIT";#N/A,#N/A,FALSE,"계정"}</definedName>
    <definedName name="보고1" localSheetId="2" hidden="1">{#N/A,#N/A,FALSE,"단축1";#N/A,#N/A,FALSE,"단축2";#N/A,#N/A,FALSE,"단축3";#N/A,#N/A,FALSE,"장축";#N/A,#N/A,FALSE,"4WD"}</definedName>
    <definedName name="보고1" hidden="1">{#N/A,#N/A,FALSE,"단축1";#N/A,#N/A,FALSE,"단축2";#N/A,#N/A,FALSE,"단축3";#N/A,#N/A,FALSE,"장축";#N/A,#N/A,FALSE,"4WD"}</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6" hidden="1">{#N/A,#N/A,FALSE,"UNIT";#N/A,#N/A,FALSE,"UNIT";#N/A,#N/A,FALSE,"계정"}</definedName>
    <definedName name="보고기준" localSheetId="2" hidden="1">{#N/A,#N/A,FALSE,"UNIT";#N/A,#N/A,FALSE,"UNIT";#N/A,#N/A,FALSE,"계정"}</definedName>
    <definedName name="보고기준" hidden="1">{#N/A,#N/A,FALSE,"UNIT";#N/A,#N/A,FALSE,"UNIT";#N/A,#N/A,FALSE,"계정"}</definedName>
    <definedName name="보고서1" localSheetId="2" hidden="1">{#N/A,#N/A,FALSE,"단축1";#N/A,#N/A,FALSE,"단축2";#N/A,#N/A,FALSE,"단축3";#N/A,#N/A,FALSE,"장축";#N/A,#N/A,FALSE,"4WD"}</definedName>
    <definedName name="보고서1" hidden="1">{#N/A,#N/A,FALSE,"단축1";#N/A,#N/A,FALSE,"단축2";#N/A,#N/A,FALSE,"단축3";#N/A,#N/A,FALSE,"장축";#N/A,#N/A,FALSE,"4WD"}</definedName>
    <definedName name="보고서CF">#REF!</definedName>
    <definedName name="보고서표지">#REF!</definedName>
    <definedName name="보고용" localSheetId="2">BlankMacro1</definedName>
    <definedName name="보고용">BlankMacro1</definedName>
    <definedName name="보관1">#REF!</definedName>
    <definedName name="보관2">#REF!</definedName>
    <definedName name="보라차" localSheetId="6"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6"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6"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6" hidden="1">{#N/A,#N/A,FALSE,"BS";#N/A,#N/A,FALSE,"PL";#N/A,#N/A,FALSE,"처분";#N/A,#N/A,FALSE,"현금";#N/A,#N/A,FALSE,"매출";#N/A,#N/A,FALSE,"원가";#N/A,#N/A,FALSE,"경영"}</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6"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6"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6"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localSheetId="2" hidden="1">{#N/A,#N/A,FALSE,"골재소요량";#N/A,#N/A,FALSE,"골재소요량"}</definedName>
    <definedName name="부대구조" hidden="1">{#N/A,#N/A,FALSE,"골재소요량";#N/A,#N/A,FALSE,"골재소요량"}</definedName>
    <definedName name="부대내역비교">#REF!</definedName>
    <definedName name="부대방안" localSheetId="2" hidden="1">{#N/A,#N/A,FALSE,"단가표지"}</definedName>
    <definedName name="부대방안" hidden="1">{#N/A,#N/A,FALSE,"단가표지"}</definedName>
    <definedName name="부대사항">#REF!</definedName>
    <definedName name="부대원본" localSheetId="6" hidden="1">{#N/A,#N/A,FALSE,"토공2"}</definedName>
    <definedName name="부대원본" localSheetId="2" hidden="1">{#N/A,#N/A,FALSE,"토공2"}</definedName>
    <definedName name="부대원본" hidden="1">{#N/A,#N/A,FALSE,"토공2"}</definedName>
    <definedName name="부대입찰서류작성" hidden="1">#REF!</definedName>
    <definedName name="부대입찰잡비" localSheetId="2">Dlog_Show</definedName>
    <definedName name="부대입찰잡비">Dlog_Show</definedName>
    <definedName name="부대토목">#REF!</definedName>
    <definedName name="부도어음" localSheetId="6"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 localSheetId="2">Dlog_Show</definedName>
    <definedName name="부토">Dlog_Show</definedName>
    <definedName name="부품문제" localSheetId="2" hidden="1">{#N/A,#N/A,FALSE,"단축1";#N/A,#N/A,FALSE,"단축2";#N/A,#N/A,FALSE,"단축3";#N/A,#N/A,FALSE,"장축";#N/A,#N/A,FALSE,"4WD"}</definedName>
    <definedName name="부품문제" hidden="1">{#N/A,#N/A,FALSE,"단축1";#N/A,#N/A,FALSE,"단축2";#N/A,#N/A,FALSE,"단축3";#N/A,#N/A,FALSE,"장축";#N/A,#N/A,FALSE,"4WD"}</definedName>
    <definedName name="북부">#REF!</definedName>
    <definedName name="분" localSheetId="2" hidden="1">{#N/A,#N/A,FALSE,"이태원철근"}</definedName>
    <definedName name="분" hidden="1">{#N/A,#N/A,FALSE,"이태원철근"}</definedName>
    <definedName name="분개및수수료계상">#REF!</definedName>
    <definedName name="분기" localSheetId="6" hidden="1">{"'Jibu9811 (3)'!$B$1:$J$433"}</definedName>
    <definedName name="분기" localSheetId="2" hidden="1">{"'Jibu9811 (3)'!$B$1:$J$433"}</definedName>
    <definedName name="분기" hidden="1">{"'Jibu9811 (3)'!$B$1:$J$433"}</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localSheetId="2" hidden="1">{#N/A,#N/A,FALSE,"이태원철근"}</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6" hidden="1">{#N/A,#N/A,FALSE,"BS";#N/A,#N/A,FALSE,"PL";#N/A,#N/A,FALSE,"처분";#N/A,#N/A,FALSE,"현금";#N/A,#N/A,FALSE,"매출";#N/A,#N/A,FALSE,"원가";#N/A,#N/A,FALSE,"경영"}</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 localSheetId="2">BlankMacro1</definedName>
    <definedName name="분전반">BlankMacro1</definedName>
    <definedName name="뷰샨" localSheetId="6" hidden="1">{"'Jibu9811 (3)'!$B$1:$J$433"}</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6" hidden="1">{#N/A,#N/A,FALSE,"1.CRITERIA";#N/A,#N/A,FALSE,"2.IS";#N/A,#N/A,FALSE,"3.BS";#N/A,#N/A,FALSE,"4.PER PL";#N/A,#N/A,FALSE,"5.INVESTMENT";#N/A,#N/A,FALSE,"6.공문";#N/A,#N/A,FALSE,"7.netinvest"}</definedName>
    <definedName name="비" localSheetId="2">#REF!</definedName>
    <definedName name="비" hidden="1">{#N/A,#N/A,FALSE,"1.CRITERIA";#N/A,#N/A,FALSE,"2.IS";#N/A,#N/A,FALSE,"3.BS";#N/A,#N/A,FALSE,"4.PER PL";#N/A,#N/A,FALSE,"5.INVESTMENT";#N/A,#N/A,FALSE,"6.공문";#N/A,#N/A,FALSE,"7.netinvest"}</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2" hidden="1">255</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2" hidden="1">{#N/A,#N/A,FALSE,"정공"}</definedName>
    <definedName name="비교손익당초" hidden="1">{#N/A,#N/A,FALSE,"정공"}</definedName>
    <definedName name="비교차종" localSheetId="2" hidden="1">{#N/A,#N/A,FALSE,"단축1";#N/A,#N/A,FALSE,"단축2";#N/A,#N/A,FALSE,"단축3";#N/A,#N/A,FALSE,"장축";#N/A,#N/A,FALSE,"4WD"}</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localSheetId="2" hidden="1">{#N/A,#N/A,FALSE,"단축1";#N/A,#N/A,FALSE,"단축2";#N/A,#N/A,FALSE,"단축3";#N/A,#N/A,FALSE,"장축";#N/A,#N/A,FALSE,"4WD"}</definedName>
    <definedName name="빈" hidden="1">{#N/A,#N/A,FALSE,"단축1";#N/A,#N/A,FALSE,"단축2";#N/A,#N/A,FALSE,"단축3";#N/A,#N/A,FALSE,"장축";#N/A,#N/A,FALSE,"4WD"}</definedName>
    <definedName name="빈양식" localSheetId="6" hidden="1">{#N/A,#N/A,FALSE,"CCTV"}</definedName>
    <definedName name="빈양식" localSheetId="2" hidden="1">{#N/A,#N/A,FALSE,"CCTV"}</definedName>
    <definedName name="빈양식" hidden="1">{#N/A,#N/A,FALSE,"CCTV"}</definedName>
    <definedName name="빙수" localSheetId="6"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6" hidden="1">{#N/A,#N/A,FALSE,"Aging Summary";#N/A,#N/A,FALSE,"Ratio Analysis";#N/A,#N/A,FALSE,"Test 120 Day Accts";#N/A,#N/A,FALSE,"Tickmarks"}</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6" hidden="1">{#N/A,#N/A,FALSE,"BS";#N/A,#N/A,FALSE,"PL";#N/A,#N/A,FALSE,"처분";#N/A,#N/A,FALSE,"현금";#N/A,#N/A,FALSE,"매출";#N/A,#N/A,FALSE,"원가";#N/A,#N/A,FALSE,"경영"}</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localSheetId="2" hidden="1">{#N/A,#N/A,FALSE,"Sheet6"}</definedName>
    <definedName name="ㅅㄱ혿ㄱㅎ" hidden="1">{#N/A,#N/A,FALSE,"Sheet6"}</definedName>
    <definedName name="ㅅ건거">#N/A</definedName>
    <definedName name="ㅅ곣ㅈ궈ㅕ" hidden="1">#REF!</definedName>
    <definedName name="ㅅ곳ㄷㄴ">#N/A</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 hidden="1">{#N/A,#N/A,FALSE,"Sheet6"}</definedName>
    <definedName name="ㅅ굔ㄱㄷ" hidden="1">{#N/A,#N/A,FALSE,"Sheet6"}</definedName>
    <definedName name="ㅅㄷ" localSheetId="2">BlankMacro1</definedName>
    <definedName name="ㅅㄷ">BlankMacro1</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2" hidden="1">{#N/A,#N/A,FALSE,"단축1";#N/A,#N/A,FALSE,"단축2";#N/A,#N/A,FALSE,"단축3";#N/A,#N/A,FALSE,"장축";#N/A,#N/A,FALSE,"4WD"}</definedName>
    <definedName name="ㅅㅅ" hidden="1">{#N/A,#N/A,FALSE,"단축1";#N/A,#N/A,FALSE,"단축2";#N/A,#N/A,FALSE,"단축3";#N/A,#N/A,FALSE,"장축";#N/A,#N/A,FALSE,"4WD"}</definedName>
    <definedName name="ㅅㅅㅅ" localSheetId="6" hidden="1">{"'손익현황'!$A$1:$J$29"}</definedName>
    <definedName name="ㅅㅅㅅ" localSheetId="2" hidden="1">{"'손익현황'!$A$1:$J$29"}</definedName>
    <definedName name="ㅅㅅㅅ" hidden="1">{"'손익현황'!$A$1:$J$29"}</definedName>
    <definedName name="ㅅㅅㅅ_1" localSheetId="6" hidden="1">{"'손익현황'!$A$1:$J$29"}</definedName>
    <definedName name="ㅅㅅㅅ_1" localSheetId="2" hidden="1">{"'손익현황'!$A$1:$J$29"}</definedName>
    <definedName name="ㅅㅅㅅ_1" hidden="1">{"'손익현황'!$A$1:$J$29"}</definedName>
    <definedName name="ㅅㅅㅅㅅ" localSheetId="6" hidden="1">{#N/A,#N/A,FALSE,"UNIT";#N/A,#N/A,FALSE,"UNIT";#N/A,#N/A,FALSE,"계정"}</definedName>
    <definedName name="ㅅㅅㅅㅅ" localSheetId="2" hidden="1">{#N/A,#N/A,FALSE,"UNIT";#N/A,#N/A,FALSE,"UNIT";#N/A,#N/A,FALSE,"계정"}</definedName>
    <definedName name="ㅅㅅㅅㅅ" hidden="1">{#N/A,#N/A,FALSE,"UNIT";#N/A,#N/A,FALSE,"UNIT";#N/A,#N/A,FALSE,"계정"}</definedName>
    <definedName name="ㅅㅅㅅㅅㅅ" localSheetId="6" hidden="1">{#N/A,#N/A,FALSE,"1.CRITERIA";#N/A,#N/A,FALSE,"2.IS";#N/A,#N/A,FALSE,"3.BS";#N/A,#N/A,FALSE,"4.PER PL";#N/A,#N/A,FALSE,"5.INVESTMENT";#N/A,#N/A,FALSE,"6.공문";#N/A,#N/A,FALSE,"7.netinvest"}</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6" hidden="1">{#N/A,#N/A,FALSE,"UNIT";#N/A,#N/A,FALSE,"UNIT";#N/A,#N/A,FALSE,"계정"}</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6" hidden="1">{"'Jibu9811 (3)'!$B$1:$J$433"}</definedName>
    <definedName name="ㅅㅎㅎ" localSheetId="2" hidden="1">{"'Jibu9811 (3)'!$B$1:$J$433"}</definedName>
    <definedName name="ㅅㅎㅎ" hidden="1">{"'Jibu9811 (3)'!$B$1:$J$433"}</definedName>
    <definedName name="ㅅㅓ" hidden="1">#REF!</definedName>
    <definedName name="사" hidden="1">#REF!</definedName>
    <definedName name="사1" localSheetId="2" hidden="1">{#N/A,#N/A,FALSE,"지침";#N/A,#N/A,FALSE,"환경분석";#N/A,#N/A,FALSE,"Sheet16"}</definedName>
    <definedName name="사1" hidden="1">{#N/A,#N/A,FALSE,"지침";#N/A,#N/A,FALSE,"환경분석";#N/A,#N/A,FALSE,"Sheet16"}</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6" hidden="1">{#N/A,#N/A,FALSE,"범우구미";#N/A,#N/A,FALSE,"세한케미칼";#N/A,#N/A,FALSE,"세명화학";#N/A,#N/A,FALSE,"신영케미칼";#N/A,#N/A,FALSE,"일석상사"}</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6"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6"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6"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6"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6" hidden="1">{#N/A,#N/A,FALSE,"정공"}</definedName>
    <definedName name="사다함이" localSheetId="2" hidden="1">{#N/A,#N/A,FALSE,"정공"}</definedName>
    <definedName name="사다함이" hidden="1">{#N/A,#N/A,FALSE,"정공"}</definedName>
    <definedName name="사람" localSheetId="6"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 hidden="1">{#N/A,#N/A,FALSE,"정공"}</definedName>
    <definedName name="사람이야" hidden="1">{#N/A,#N/A,FALSE,"정공"}</definedName>
    <definedName name="사랑" localSheetId="2" hidden="1">{#N/A,#N/A,TRUE,"경전'96(1)";#N/A,#N/A,TRUE,"경전'96 (2)"}</definedName>
    <definedName name="사랑" hidden="1">{#N/A,#N/A,TRUE,"경전'96(1)";#N/A,#N/A,TRUE,"경전'96 (2)"}</definedName>
    <definedName name="사랑하오" localSheetId="2" hidden="1">{#N/A,#N/A,FALSE,"정공"}</definedName>
    <definedName name="사랑하오" hidden="1">{#N/A,#N/A,FALSE,"정공"}</definedName>
    <definedName name="사망"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localSheetId="2" hidden="1">{#N/A,#N/A,FALSE,"정공"}</definedName>
    <definedName name="사본" hidden="1">{#N/A,#N/A,FALSE,"정공"}</definedName>
    <definedName name="사소" localSheetId="6"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localSheetId="2" hidden="1">{#N/A,#N/A,FALSE,"단축1";#N/A,#N/A,FALSE,"단축2";#N/A,#N/A,FALSE,"단축3";#N/A,#N/A,FALSE,"장축";#N/A,#N/A,FALSE,"4WD"}</definedName>
    <definedName name="사양안" hidden="1">{#N/A,#N/A,FALSE,"단축1";#N/A,#N/A,FALSE,"단축2";#N/A,#N/A,FALSE,"단축3";#N/A,#N/A,FALSE,"장축";#N/A,#N/A,FALSE,"4WD"}</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6" hidden="1">{#N/A,#N/A,FALSE,"UNIT";#N/A,#N/A,FALSE,"UNIT";#N/A,#N/A,FALSE,"계정"}</definedName>
    <definedName name="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6" hidden="1">{#N/A,#N/A,FALSE,"기술료 비교"}</definedName>
    <definedName name="사업계획" localSheetId="2" hidden="1">{#N/A,#N/A,FALSE,"기술료 비교"}</definedName>
    <definedName name="사업계획" hidden="1">{#N/A,#N/A,FALSE,"기술료 비교"}</definedName>
    <definedName name="사업별" localSheetId="2">[0]!BlankMacro1</definedName>
    <definedName name="사업별">#REF!</definedName>
    <definedName name="사업별실적입력">#REF!</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localSheetId="2" hidden="1">{#N/A,#N/A,FALSE,"정공"}</definedName>
    <definedName name="사업비교표" hidden="1">{#N/A,#N/A,FALSE,"정공"}</definedName>
    <definedName name="사업자등록번호">#REF!</definedName>
    <definedName name="사업장소재지">#REF!</definedName>
    <definedName name="사업추진" localSheetId="6" hidden="1">{#N/A,#N/A,FALSE,"정공"}</definedName>
    <definedName name="사업추진" localSheetId="2" hidden="1">{#N/A,#N/A,FALSE,"정공"}</definedName>
    <definedName name="사업추진" hidden="1">{#N/A,#N/A,FALSE,"정공"}</definedName>
    <definedName name="사업활성" localSheetId="6" hidden="1">{#N/A,#N/A,FALSE,"UNIT";#N/A,#N/A,FALSE,"UNIT";#N/A,#N/A,FALSE,"계정"}</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6"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localSheetId="2" hidden="1">{#N/A,#N/A,FALSE,"단축1";#N/A,#N/A,FALSE,"단축2";#N/A,#N/A,FALSE,"단축3";#N/A,#N/A,FALSE,"장축";#N/A,#N/A,FALSE,"4WD"}</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6"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사질" localSheetId="6"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localSheetId="2" hidden="1">{#N/A,#N/A,FALSE,"단축1";#N/A,#N/A,FALSE,"단축2";#N/A,#N/A,FALSE,"단축3";#N/A,#N/A,FALSE,"장축";#N/A,#N/A,FALSE,"4WD"}</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 localSheetId="2">BlankMacro1</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6" hidden="1">{#N/A,#N/A,FALSE,"정공"}</definedName>
    <definedName name="삼성" localSheetId="2" hidden="1">{#N/A,#N/A,FALSE,"정공"}</definedName>
    <definedName name="삼성" hidden="1">{#N/A,#N/A,FALSE,"정공"}</definedName>
    <definedName name="삼성2" localSheetId="6" hidden="1">{#N/A,#N/A,FALSE,"정공"}</definedName>
    <definedName name="삼성2" localSheetId="2" hidden="1">{#N/A,#N/A,FALSE,"정공"}</definedName>
    <definedName name="삼성2" hidden="1">{#N/A,#N/A,FALSE,"정공"}</definedName>
    <definedName name="삽" localSheetId="2" hidden="1">{#N/A,#N/A,FALSE,"Sheet6"}</definedName>
    <definedName name="삽" hidden="1">{#N/A,#N/A,FALSE,"Sheet6"}</definedName>
    <definedName name="삽입" localSheetId="2" hidden="1">{#N/A,#N/A,FALSE,"단축1";#N/A,#N/A,FALSE,"단축2";#N/A,#N/A,FALSE,"단축3";#N/A,#N/A,FALSE,"장축";#N/A,#N/A,FALSE,"4WD"}</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localSheetId="2" hidden="1">{#N/A,#N/A,FALSE,"단축1";#N/A,#N/A,FALSE,"단축2";#N/A,#N/A,FALSE,"단축3";#N/A,#N/A,FALSE,"장축";#N/A,#N/A,FALSE,"4WD"}</definedName>
    <definedName name="상당5" hidden="1">{#N/A,#N/A,FALSE,"단축1";#N/A,#N/A,FALSE,"단축2";#N/A,#N/A,FALSE,"단축3";#N/A,#N/A,FALSE,"장축";#N/A,#N/A,FALSE,"4WD"}</definedName>
    <definedName name="상당6" localSheetId="2" hidden="1">{#N/A,#N/A,FALSE,"단축1";#N/A,#N/A,FALSE,"단축2";#N/A,#N/A,FALSE,"단축3";#N/A,#N/A,FALSE,"장축";#N/A,#N/A,FALSE,"4WD"}</definedName>
    <definedName name="상당6" hidden="1">{#N/A,#N/A,FALSE,"단축1";#N/A,#N/A,FALSE,"단축2";#N/A,#N/A,FALSE,"단축3";#N/A,#N/A,FALSE,"장축";#N/A,#N/A,FALSE,"4WD"}</definedName>
    <definedName name="상당7" localSheetId="2" hidden="1">{#N/A,#N/A,FALSE,"단축1";#N/A,#N/A,FALSE,"단축2";#N/A,#N/A,FALSE,"단축3";#N/A,#N/A,FALSE,"장축";#N/A,#N/A,FALSE,"4WD"}</definedName>
    <definedName name="상당7" hidden="1">{#N/A,#N/A,FALSE,"단축1";#N/A,#N/A,FALSE,"단축2";#N/A,#N/A,FALSE,"단축3";#N/A,#N/A,FALSE,"장축";#N/A,#N/A,FALSE,"4WD"}</definedName>
    <definedName name="상당8" localSheetId="2" hidden="1">{#N/A,#N/A,FALSE,"단축1";#N/A,#N/A,FALSE,"단축2";#N/A,#N/A,FALSE,"단축3";#N/A,#N/A,FALSE,"장축";#N/A,#N/A,FALSE,"4WD"}</definedName>
    <definedName name="상당8" hidden="1">{#N/A,#N/A,FALSE,"단축1";#N/A,#N/A,FALSE,"단축2";#N/A,#N/A,FALSE,"단축3";#N/A,#N/A,FALSE,"장축";#N/A,#N/A,FALSE,"4WD"}</definedName>
    <definedName name="상당9" localSheetId="2"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로허호" localSheetId="6" hidden="1">{#N/A,#N/A,FALSE,"정공"}</definedName>
    <definedName name="상로허호" localSheetId="2" hidden="1">{#N/A,#N/A,FALSE,"정공"}</definedName>
    <definedName name="상로허호" hidden="1">{#N/A,#N/A,FALSE,"정공"}</definedName>
    <definedName name="상미">#REF!</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 hidden="1">{#N/A,#N/A,FALSE,"단축1";#N/A,#N/A,FALSE,"단축2";#N/A,#N/A,FALSE,"단축3";#N/A,#N/A,FALSE,"장축";#N/A,#N/A,FALSE,"4WD"}</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6" hidden="1">{"'Jibu9811 (3)'!$B$1:$J$433"}</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localSheetId="2" hidden="1">{#N/A,#N/A,FALSE,"단축1";#N/A,#N/A,FALSE,"단축2";#N/A,#N/A,FALSE,"단축3";#N/A,#N/A,FALSE,"장축";#N/A,#N/A,FALSE,"4WD"}</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localSheetId="2" hidden="1">{#N/A,#N/A,FALSE,"단축1";#N/A,#N/A,FALSE,"단축2";#N/A,#N/A,FALSE,"단축3";#N/A,#N/A,FALSE,"장축";#N/A,#N/A,FALSE,"4WD"}</definedName>
    <definedName name="상하검토" hidden="1">{#N/A,#N/A,FALSE,"단축1";#N/A,#N/A,FALSE,"단축2";#N/A,#N/A,FALSE,"단축3";#N/A,#N/A,FALSE,"장축";#N/A,#N/A,FALSE,"4WD"}</definedName>
    <definedName name="상한금액조정">OFFSET(#REF!,,,COUNTA(#REF!), COUNTA(#REF!))</definedName>
    <definedName name="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2" hidden="1">{#N/A,#N/A,FALSE,"이태원철근"}</definedName>
    <definedName name="새공통" hidden="1">{#N/A,#N/A,FALSE,"이태원철근"}</definedName>
    <definedName name="새로운" localSheetId="2" hidden="1">{#N/A,#N/A,FALSE,"단축1";#N/A,#N/A,FALSE,"단축2";#N/A,#N/A,FALSE,"단축3";#N/A,#N/A,FALSE,"장축";#N/A,#N/A,FALSE,"4WD"}</definedName>
    <definedName name="새로운" hidden="1">{#N/A,#N/A,FALSE,"단축1";#N/A,#N/A,FALSE,"단축2";#N/A,#N/A,FALSE,"단축3";#N/A,#N/A,FALSE,"장축";#N/A,#N/A,FALSE,"4WD"}</definedName>
    <definedName name="새로운미지급" localSheetId="6" hidden="1">{#N/A,#N/A,FALSE,"Aging Summary";#N/A,#N/A,FALSE,"Ratio Analysis";#N/A,#N/A,FALSE,"Test 120 Day Accts";#N/A,#N/A,FALSE,"Tickmarks"}</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6"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6" hidden="1">{#N/A,#N/A,FALSE,"UNIT";#N/A,#N/A,FALSE,"UNIT";#N/A,#N/A,FALSE,"계정"}</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6" hidden="1">{"'Jibu9811 (3)'!$B$1:$J$433"}</definedName>
    <definedName name="새로이" localSheetId="2" hidden="1">{"'Jibu9811 (3)'!$B$1:$J$433"}</definedName>
    <definedName name="새로이" hidden="1">{"'Jibu9811 (3)'!$B$1:$J$433"}</definedName>
    <definedName name="새새샛" localSheetId="6" hidden="1">{"'미착금액'!$A$4:$G$14"}</definedName>
    <definedName name="새새샛" localSheetId="2" hidden="1">{"'미착금액'!$A$4:$G$14"}</definedName>
    <definedName name="새새샛" hidden="1">{"'미착금액'!$A$4:$G$14"}</definedName>
    <definedName name="새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6" hidden="1">{#N/A,#N/A,FALSE,"Aging Summary";#N/A,#N/A,FALSE,"Ratio Analysis";#N/A,#N/A,FALSE,"Test 120 Day Accts";#N/A,#N/A,FALSE,"Tickmarks"}</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6" hidden="1">{#N/A,#N/A,FALSE,"정공"}</definedName>
    <definedName name="새파일편집" localSheetId="2" hidden="1">{#N/A,#N/A,FALSE,"정공"}</definedName>
    <definedName name="새파일편집" hidden="1">{#N/A,#N/A,FALSE,"정공"}</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관리부" localSheetId="2" hidden="1">{#N/A,#N/A,FALSE,"단축1";#N/A,#N/A,FALSE,"단축2";#N/A,#N/A,FALSE,"단축3";#N/A,#N/A,FALSE,"장축";#N/A,#N/A,FALSE,"4WD"}</definedName>
    <definedName name="생산관리부" hidden="1">{#N/A,#N/A,FALSE,"단축1";#N/A,#N/A,FALSE,"단축2";#N/A,#N/A,FALSE,"단축3";#N/A,#N/A,FALSE,"장축";#N/A,#N/A,FALSE,"4WD"}</definedName>
    <definedName name="생산능력" localSheetId="6" hidden="1">{#N/A,#N/A,FALSE,"정공"}</definedName>
    <definedName name="생산능력" localSheetId="2" hidden="1">{#N/A,#N/A,FALSE,"정공"}</definedName>
    <definedName name="생산능력" hidden="1">{#N/A,#N/A,FALSE,"정공"}</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 hidden="1">{#N/A,#N/A,FALSE,"단축1";#N/A,#N/A,FALSE,"단축2";#N/A,#N/A,FALSE,"단축3";#N/A,#N/A,FALSE,"장축";#N/A,#N/A,FALSE,"4WD"}</definedName>
    <definedName name="생산성" hidden="1">{#N/A,#N/A,FALSE,"단축1";#N/A,#N/A,FALSE,"단축2";#N/A,#N/A,FALSE,"단축3";#N/A,#N/A,FALSE,"장축";#N/A,#N/A,FALSE,"4WD"}</definedName>
    <definedName name="생산성1">#REF!</definedName>
    <definedName name="생산성2">#REF!,#REF!</definedName>
    <definedName name="생산손익" localSheetId="2" hidden="1">{#N/A,#N/A,FALSE,"정공"}</definedName>
    <definedName name="생산손익" hidden="1">{#N/A,#N/A,FALSE,"정공"}</definedName>
    <definedName name="생산실적" localSheetId="6">{"XG6PR2"}</definedName>
    <definedName name="생산실적" localSheetId="2">{"XG6PR2"}</definedName>
    <definedName name="생산실적">{"XG6PR2"}</definedName>
    <definedName name="생산실적2" localSheetId="6">{"XG6PR2"}</definedName>
    <definedName name="생산실적2" localSheetId="2">{"XG6PR2"}</definedName>
    <definedName name="생산실적2">{"XG6PR2"}</definedName>
    <definedName name="생산재고" localSheetId="6" hidden="1">{#N/A,#N/A,FALSE,"Aging Summary";#N/A,#N/A,FALSE,"Ratio Analysis";#N/A,#N/A,FALSE,"Test 120 Day Accts";#N/A,#N/A,FALSE,"Tickmarks"}</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6" hidden="1">{#N/A,#N/A,FALSE,"정공"}</definedName>
    <definedName name="생산품목" localSheetId="2" hidden="1">{#N/A,#N/A,FALSE,"정공"}</definedName>
    <definedName name="생산품목" hidden="1">{#N/A,#N/A,FALSE,"정공"}</definedName>
    <definedName name="샤워">#REF!</definedName>
    <definedName name="서" hidden="1">#REF!</definedName>
    <definedName name="서구1" localSheetId="6" hidden="1">{"'Jibu9811 (3)'!$B$1:$J$433"}</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6"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localSheetId="2" hidden="1">{#N/A,#N/A,FALSE,"단축1";#N/A,#N/A,FALSE,"단축2";#N/A,#N/A,FALSE,"단축3";#N/A,#N/A,FALSE,"장축";#N/A,#N/A,FALSE,"4WD"}</definedName>
    <definedName name="석빈" hidden="1">{#N/A,#N/A,FALSE,"단축1";#N/A,#N/A,FALSE,"단축2";#N/A,#N/A,FALSE,"단축3";#N/A,#N/A,FALSE,"장축";#N/A,#N/A,FALSE,"4WD"}</definedName>
    <definedName name="석희" hidden="1">#REF!</definedName>
    <definedName name="선그그그급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6"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6" hidden="1">{#N/A,#N/A,FALSE,"BS";#N/A,#N/A,FALSE,"PL";#N/A,#N/A,FALSE,"처분";#N/A,#N/A,FALSE,"현금";#N/A,#N/A,FALSE,"매출";#N/A,#N/A,FALSE,"원가";#N/A,#N/A,FALSE,"경영"}</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6"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6" hidden="1">{"FORM17",#N/A,FALSE,"Commission1";"FORM17.1",#N/A,FALSE,"Commission2"}</definedName>
    <definedName name="선급이자" localSheetId="2" hidden="1">{"FORM17",#N/A,FALSE,"Commission1";"FORM17.1",#N/A,FALSE,"Commission2"}</definedName>
    <definedName name="선급이자" hidden="1">{"FORM17",#N/A,FALSE,"Commission1";"FORM17.1",#N/A,FALSE,"Commission2"}</definedName>
    <definedName name="선급이자계상" localSheetId="6" hidden="1">{"FORM1",#N/A,FALSE,"Revenue";"FORMTR",#N/A,FALSE,"Revenue";"FORM3.1",#N/A,FALSE,"Revenue"}</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6" hidden="1">{#N/A,#N/A,FALSE,"BS";#N/A,#N/A,FALSE,"PL";#N/A,#N/A,FALSE,"처분";#N/A,#N/A,FALSE,"현금";#N/A,#N/A,FALSE,"매출";#N/A,#N/A,FALSE,"원가";#N/A,#N/A,FALSE,"경영"}</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localSheetId="2" hidden="1">{#N/A,#N/A,TRUE,"총괄"}</definedName>
    <definedName name="설" hidden="1">{#N/A,#N/A,TRUE,"총괄"}</definedName>
    <definedName name="설계">#N/A</definedName>
    <definedName name="설계2팀" localSheetId="6" hidden="1">{#N/A,#N/A,FALSE,"UNIT";#N/A,#N/A,FALSE,"UNIT";#N/A,#N/A,FALSE,"계정"}</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6" hidden="1">{#N/A,#N/A,FALSE,"삼진정공";#N/A,#N/A,FALSE,"영신금속";#N/A,#N/A,FALSE,"태양금속";#N/A,#N/A,FALSE,"진합정공";#N/A,#N/A,FALSE,"코리아";#N/A,#N/A,FALSE,"풍강금속";#N/A,#N/A,FALSE,"선일기계"}</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localSheetId="2" hidden="1">{#N/A,#N/A,FALSE,"단축1";#N/A,#N/A,FALSE,"단축2";#N/A,#N/A,FALSE,"단축3";#N/A,#N/A,FALSE,"장축";#N/A,#N/A,FALSE,"4WD"}</definedName>
    <definedName name="설계지침수정중" hidden="1">{#N/A,#N/A,FALSE,"단축1";#N/A,#N/A,FALSE,"단축2";#N/A,#N/A,FALSE,"단축3";#N/A,#N/A,FALSE,"장축";#N/A,#N/A,FALSE,"4WD"}</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2" hidden="1">{#N/A,#N/A,TRUE,"총괄"}</definedName>
    <definedName name="설변" hidden="1">{#N/A,#N/A,TRUE,"총괄"}</definedName>
    <definedName name="설비" localSheetId="2" hidden="1">{#N/A,#N/A,FALSE,"이태원철근"}</definedName>
    <definedName name="설비" hidden="1">{#N/A,#N/A,FALSE,"이태원철근"}</definedName>
    <definedName name="설비물량">#REF!</definedName>
    <definedName name="설비절감방안" localSheetId="2" hidden="1">{#N/A,#N/A,FALSE,"단축1";#N/A,#N/A,FALSE,"단축2";#N/A,#N/A,FALSE,"단축3";#N/A,#N/A,FALSE,"장축";#N/A,#N/A,FALSE,"4WD"}</definedName>
    <definedName name="설비절감방안" hidden="1">{#N/A,#N/A,FALSE,"단축1";#N/A,#N/A,FALSE,"단축2";#N/A,#N/A,FALSE,"단축3";#N/A,#N/A,FALSE,"장축";#N/A,#N/A,FALSE,"4WD"}</definedName>
    <definedName name="설비투자" localSheetId="6" hidden="1">{#N/A,#N/A,FALSE,"정공"}</definedName>
    <definedName name="설비투자" localSheetId="2" hidden="1">{#N/A,#N/A,FALSE,"정공"}</definedName>
    <definedName name="설비투자" hidden="1">{#N/A,#N/A,FALSE,"정공"}</definedName>
    <definedName name="설설" localSheetId="2" hidden="1">{#N/A,#N/A,FALSE,"단축1";#N/A,#N/A,FALSE,"단축2";#N/A,#N/A,FALSE,"단축3";#N/A,#N/A,FALSE,"장축";#N/A,#N/A,FALSE,"4WD"}</definedName>
    <definedName name="설설" hidden="1">{#N/A,#N/A,FALSE,"단축1";#N/A,#N/A,FALSE,"단축2";#N/A,#N/A,FALSE,"단축3";#N/A,#N/A,FALSE,"장축";#N/A,#N/A,FALSE,"4WD"}</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6" hidden="1">{#N/A,#N/A,FALSE,"초중조사서식 "}</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6" hidden="1">{#N/A,#N/A,FALSE,"UNIT";#N/A,#N/A,FALSE,"UNIT";#N/A,#N/A,FALSE,"계정"}</definedName>
    <definedName name="성" localSheetId="2" hidden="1">{#N/A,#N/A,FALSE,"UNIT";#N/A,#N/A,FALSE,"UNIT";#N/A,#N/A,FALSE,"계정"}</definedName>
    <definedName name="성" hidden="1">{#N/A,#N/A,FALSE,"UNIT";#N/A,#N/A,FALSE,"UNIT";#N/A,#N/A,FALSE,"계정"}</definedName>
    <definedName name="성남" localSheetId="6" hidden="1">{"'Jibu9811 (3)'!$B$1:$J$433"}</definedName>
    <definedName name="성남" localSheetId="2" hidden="1">{"'Jibu9811 (3)'!$B$1:$J$433"}</definedName>
    <definedName name="성남" hidden="1">{"'Jibu9811 (3)'!$B$1:$J$433"}</definedName>
    <definedName name="성명">OFFSET(#REF!,0,0,COUNTA(#REF!),1)</definedName>
    <definedName name="성적">#REF!</definedName>
    <definedName name="성지안분" localSheetId="6" hidden="1">{"'Jibu9811 (3)'!$B$1:$J$433"}</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6" hidden="1">{"'Jibu9811 (3)'!$B$1:$J$433"}</definedName>
    <definedName name="세부" localSheetId="2" hidden="1">{"'Jibu9811 (3)'!$B$1:$J$433"}</definedName>
    <definedName name="세부" hidden="1">{"'Jibu9811 (3)'!$B$1:$J$433"}</definedName>
    <definedName name="세부근거" localSheetId="6" hidden="1">{"'Jibu9811 (3)'!$B$1:$J$433"}</definedName>
    <definedName name="세부근거" localSheetId="2" hidden="1">{"'Jibu9811 (3)'!$B$1:$J$433"}</definedName>
    <definedName name="세부근거" hidden="1">{"'Jibu9811 (3)'!$B$1:$J$433"}</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6" hidden="1">{#N/A,#N/A,FALSE,"단축1";#N/A,#N/A,FALSE,"단축2";#N/A,#N/A,FALSE,"단축3";#N/A,#N/A,FALSE,"장축";#N/A,#N/A,FALSE,"4WD"}</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6"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localSheetId="2" hidden="1">{#N/A,#N/A,FALSE,"단축1";#N/A,#N/A,FALSE,"단축2";#N/A,#N/A,FALSE,"단축3";#N/A,#N/A,FALSE,"장축";#N/A,#N/A,FALSE,"4WD"}</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localSheetId="2" hidden="1">{#N/A,#N/A,FALSE,"지침";#N/A,#N/A,FALSE,"환경분석";#N/A,#N/A,FALSE,"Sheet16"}</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6" hidden="1">{#N/A,#N/A,FALSE,"UNIT";#N/A,#N/A,FALSE,"UNIT";#N/A,#N/A,FALSE,"계정"}</definedName>
    <definedName name="소득금액" localSheetId="2" hidden="1">{#N/A,#N/A,FALSE,"UNIT";#N/A,#N/A,FALSE,"UNIT";#N/A,#N/A,FALSE,"계정"}</definedName>
    <definedName name="소득금액" hidden="1">{#N/A,#N/A,FALSE,"UNIT";#N/A,#N/A,FALSE,"UNIT";#N/A,#N/A,FALSE,"계정"}</definedName>
    <definedName name="소득금액2000" localSheetId="6"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방" localSheetId="2" hidden="1">{"SJ - 기본 보기",#N/A,FALSE,"공사별 외주견적"}</definedName>
    <definedName name="소방" hidden="1">{"SJ - 기본 보기",#N/A,FALSE,"공사별 외주견적"}</definedName>
    <definedName name="소방내역" localSheetId="2">BlankMacro1</definedName>
    <definedName name="소방내역">BlankMacro1</definedName>
    <definedName name="소방내역서" localSheetId="2">BlankMacro1</definedName>
    <definedName name="소방내역서">BlankMacro1</definedName>
    <definedName name="소요금액" localSheetId="2" hidden="1">{#N/A,#N/A,FALSE,"단축1";#N/A,#N/A,FALSE,"단축2";#N/A,#N/A,FALSE,"단축3";#N/A,#N/A,FALSE,"장축";#N/A,#N/A,FALSE,"4WD"}</definedName>
    <definedName name="소요금액" hidden="1">{#N/A,#N/A,FALSE,"단축1";#N/A,#N/A,FALSE,"단축2";#N/A,#N/A,FALSE,"단축3";#N/A,#N/A,FALSE,"장축";#N/A,#N/A,FALSE,"4WD"}</definedName>
    <definedName name="소요기간" localSheetId="6" hidden="1">{#N/A,#N/A,FALSE,"정공"}</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화갑지" localSheetId="2" hidden="1">{#N/A,#N/A,FALSE,"CCTV"}</definedName>
    <definedName name="소화갑지" hidden="1">{#N/A,#N/A,FALSE,"CCTV"}</definedName>
    <definedName name="소화주철장판" localSheetId="6" hidden="1">{#N/A,#N/A,FALSE,"단축1";#N/A,#N/A,FALSE,"단축2";#N/A,#N/A,FALSE,"단축3";#N/A,#N/A,FALSE,"장축";#N/A,#N/A,FALSE,"4WD"}</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6"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6" hidden="1">{#N/A,#N/A,FALSE,"UNIT";#N/A,#N/A,FALSE,"UNIT";#N/A,#N/A,FALSE,"계정"}</definedName>
    <definedName name="손익3" localSheetId="2" hidden="1">{#N/A,#N/A,FALSE,"UNIT";#N/A,#N/A,FALSE,"UNIT";#N/A,#N/A,FALSE,"계정"}</definedName>
    <definedName name="손익3" hidden="1">{#N/A,#N/A,FALSE,"UNIT";#N/A,#N/A,FALSE,"UNIT";#N/A,#N/A,FALSE,"계정"}</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6" hidden="1">{#N/A,#N/A,FALSE,"정공"}</definedName>
    <definedName name="손익계산" localSheetId="2" hidden="1">{#N/A,#N/A,FALSE,"정공"}</definedName>
    <definedName name="손익계산" hidden="1">{#N/A,#N/A,FALSE,"정공"}</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6"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localSheetId="2" hidden="1">{#N/A,#N/A,FALSE,"지침";#N/A,#N/A,FALSE,"환경분석";#N/A,#N/A,FALSE,"Sheet16"}</definedName>
    <definedName name="손익변경" hidden="1">{#N/A,#N/A,FALSE,"지침";#N/A,#N/A,FALSE,"환경분석";#N/A,#N/A,FALSE,"Sheet16"}</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6" hidden="1">{#N/A,#N/A,FALSE,"UNIT";#N/A,#N/A,FALSE,"UNIT";#N/A,#N/A,FALSE,"계정"}</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6" hidden="1">{"'Jibu9811 (3)'!$B$1:$J$433"}</definedName>
    <definedName name="솔비쥬재고" localSheetId="2" hidden="1">{"'Jibu9811 (3)'!$B$1:$J$433"}</definedName>
    <definedName name="솔비쥬재고" hidden="1">{"'Jibu9811 (3)'!$B$1:$J$433"}</definedName>
    <definedName name="솔재고" localSheetId="6" hidden="1">{"'Jibu9811 (3)'!$B$1:$J$433"}</definedName>
    <definedName name="솔재고" localSheetId="2" hidden="1">{"'Jibu9811 (3)'!$B$1:$J$433"}</definedName>
    <definedName name="솔재고" hidden="1">{"'Jibu9811 (3)'!$B$1:$J$433"}</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6" hidden="1">{"'Jibu9811 (3)'!$B$1:$J$433"}</definedName>
    <definedName name="송년" localSheetId="2" hidden="1">{"'Jibu9811 (3)'!$B$1:$J$433"}</definedName>
    <definedName name="송년" hidden="1">{"'Jibu9811 (3)'!$B$1:$J$433"}</definedName>
    <definedName name="송익" localSheetId="6" hidden="1">{#N/A,#N/A,FALSE,"정공"}</definedName>
    <definedName name="송익" localSheetId="2" hidden="1">{#N/A,#N/A,FALSE,"정공"}</definedName>
    <definedName name="송익" hidden="1">{#N/A,#N/A,FALSE,"정공"}</definedName>
    <definedName name="송재동" localSheetId="6" hidden="1">{"'Jibu9811 (3)'!$B$1:$J$433"}</definedName>
    <definedName name="송재동" localSheetId="2" hidden="1">{"'Jibu9811 (3)'!$B$1:$J$433"}</definedName>
    <definedName name="송재동" hidden="1">{"'Jibu9811 (3)'!$B$1:$J$433"}</definedName>
    <definedName name="송전전공">#REF!</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localSheetId="2" hidden="1">{#N/A,#N/A,FALSE,"단축1";#N/A,#N/A,FALSE,"단축2";#N/A,#N/A,FALSE,"단축3";#N/A,#N/A,FALSE,"장축";#N/A,#N/A,FALSE,"4WD"}</definedName>
    <definedName name="쇼쇼쇼쇼쇼쇼쇼쇼쇼쇼" hidden="1">{#N/A,#N/A,FALSE,"단축1";#N/A,#N/A,FALSE,"단축2";#N/A,#N/A,FALSE,"단축3";#N/A,#N/A,FALSE,"장축";#N/A,#N/A,FALSE,"4WD"}</definedName>
    <definedName name="쇼ㅏㅅ" localSheetId="2" hidden="1">{#N/A,#N/A,FALSE,"Sheet6"}</definedName>
    <definedName name="쇼ㅏㅅ" hidden="1">{#N/A,#N/A,FALSE,"Sheet6"}</definedName>
    <definedName name="쇼ㅓㅇㄱ셔ㅓ">#N/A</definedName>
    <definedName name="쇼ㅓㅇㅅ">#N/A</definedName>
    <definedName name="숏교" localSheetId="2" hidden="1">{#N/A,#N/A,FALSE,"Sheet6"}</definedName>
    <definedName name="숏교" hidden="1">{#N/A,#N/A,FALSE,"Sheet6"}</definedName>
    <definedName name="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 localSheetId="2">BlankMacro1</definedName>
    <definedName name="수량2">BlankMacro1</definedName>
    <definedName name="수량산출" localSheetId="2">BlankMacro1</definedName>
    <definedName name="수량산출">BlankMacro1</definedName>
    <definedName name="수량산출2" localSheetId="2">BlankMacro1</definedName>
    <definedName name="수량산출2">BlankMacro1</definedName>
    <definedName name="수량산출5" localSheetId="2">BlankMacro1</definedName>
    <definedName name="수량산출5">BlankMacro1</definedName>
    <definedName name="수량산출서">#REF!</definedName>
    <definedName name="수량산출서표지" localSheetId="2">BlankMacro1</definedName>
    <definedName name="수량산출서표지">BlankMacro1</definedName>
    <definedName name="수량입력">#REF!</definedName>
    <definedName name="수량추정" localSheetId="6" hidden="1">{#N/A,#N/A,FALSE,"정공"}</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6" hidden="1">{#N/A,#N/A,FALSE,"정공"}</definedName>
    <definedName name="수불현황" localSheetId="2" hidden="1">{#N/A,#N/A,FALSE,"정공"}</definedName>
    <definedName name="수불현황" hidden="1">{#N/A,#N/A,FALSE,"정공"}</definedName>
    <definedName name="수선비첨부5" localSheetId="6" hidden="1">{#N/A,#N/A,FALSE,"단축1";#N/A,#N/A,FALSE,"단축2";#N/A,#N/A,FALSE,"단축3";#N/A,#N/A,FALSE,"장축";#N/A,#N/A,FALSE,"4WD"}</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6" hidden="1">{#N/A,#N/A,FALSE,"단축1";#N/A,#N/A,FALSE,"단축2";#N/A,#N/A,FALSE,"단축3";#N/A,#N/A,FALSE,"장축";#N/A,#N/A,FALSE,"4WD"}</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6"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 localSheetId="2" hidden="1">{"'10_03일자별'!$A$2:$H$31"}</definedName>
    <definedName name="수정1212">{"'10_03일자별'!$A$2:$H$31"}</definedName>
    <definedName name="수정169억" localSheetId="2" hidden="1">{#N/A,#N/A,FALSE,"단축1";#N/A,#N/A,FALSE,"단축2";#N/A,#N/A,FALSE,"단축3";#N/A,#N/A,FALSE,"장축";#N/A,#N/A,FALSE,"4WD"}</definedName>
    <definedName name="수정169억" hidden="1">{#N/A,#N/A,FALSE,"단축1";#N/A,#N/A,FALSE,"단축2";#N/A,#N/A,FALSE,"단축3";#N/A,#N/A,FALSE,"장축";#N/A,#N/A,FALSE,"4WD"}</definedName>
    <definedName name="수정CF" localSheetId="6" hidden="1">{#N/A,#N/A,TRUE,"Summary";#N/A,#N/A,TRUE,"IS";#N/A,#N/A,TRUE,"Adj";#N/A,#N/A,TRUE,"BS";#N/A,#N/A,TRUE,"CF";#N/A,#N/A,TRUE,"Debt";#N/A,#N/A,TRUE,"IRR"}</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6"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6" hidden="1">{#N/A,#N/A,FALSE,"BS";#N/A,#N/A,FALSE,"PL";#N/A,#N/A,FALSE,"처분";#N/A,#N/A,FALSE,"현금";#N/A,#N/A,FALSE,"매출";#N/A,#N/A,FALSE,"원가";#N/A,#N/A,FALSE,"경영"}</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localSheetId="2" hidden="1">{#N/A,#N/A,FALSE,"정공"}</definedName>
    <definedName name="수정손익" hidden="1">{#N/A,#N/A,FALSE,"정공"}</definedName>
    <definedName name="수정현금흐름표" localSheetId="6"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6"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localSheetId="2" hidden="1">{#N/A,#N/A,FALSE,"기안지";#N/A,#N/A,FALSE,"통신지"}</definedName>
    <definedName name="수주" hidden="1">{#N/A,#N/A,FALSE,"기안지";#N/A,#N/A,FALSE,"통신지"}</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localSheetId="2"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위">#REF!</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localSheetId="2" hidden="1">{#N/A,#N/A,FALSE,"단축1";#N/A,#N/A,FALSE,"단축2";#N/A,#N/A,FALSE,"단축3";#N/A,#N/A,FALSE,"장축";#N/A,#N/A,FALSE,"4WD"}</definedName>
    <definedName name="스타렉스" hidden="1">{#N/A,#N/A,FALSE,"단축1";#N/A,#N/A,FALSE,"단축2";#N/A,#N/A,FALSE,"단축3";#N/A,#N/A,FALSE,"장축";#N/A,#N/A,FALSE,"4WD"}</definedName>
    <definedName name="승렬">#REF!</definedName>
    <definedName name="승인서" localSheetId="6" hidden="1">{#N/A,#N/A,FALSE,"범우구미";#N/A,#N/A,FALSE,"세한케미칼";#N/A,#N/A,FALSE,"세명화학";#N/A,#N/A,FALSE,"신영케미칼";#N/A,#N/A,FALSE,"일석상사"}</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localSheetId="2" hidden="1">{#N/A,#N/A,TRUE,"Y생산";#N/A,#N/A,TRUE,"Y판매";#N/A,#N/A,TRUE,"Y총물량";#N/A,#N/A,TRUE,"Y능력";#N/A,#N/A,TRUE,"YKD"}</definedName>
    <definedName name="시간" hidden="1">{#N/A,#N/A,TRUE,"Y생산";#N/A,#N/A,TRUE,"Y판매";#N/A,#N/A,TRUE,"Y총물량";#N/A,#N/A,TRUE,"Y능력";#N/A,#N/A,TRUE,"YKD"}</definedName>
    <definedName name="시간외근무_인사" hidden="1">#REF!</definedName>
    <definedName name="시공업체">#REF!</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 localSheetId="2">BlankMacro1</definedName>
    <definedName name="시산표1">BlankMacro1</definedName>
    <definedName name="시산표2" localSheetId="6"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6" hidden="1">{#N/A,#N/A,FALSE,"UNIT";#N/A,#N/A,FALSE,"UNIT";#N/A,#N/A,FALSE,"계정"}</definedName>
    <definedName name="시설투자" localSheetId="2" hidden="1">{#N/A,#N/A,FALSE,"UNIT";#N/A,#N/A,FALSE,"UNIT";#N/A,#N/A,FALSE,"계정"}</definedName>
    <definedName name="시설투자" hidden="1">{#N/A,#N/A,FALSE,"UNIT";#N/A,#N/A,FALSE,"UNIT";#N/A,#N/A,FALSE,"계정"}</definedName>
    <definedName name="시설투자계획_월별" localSheetId="6"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6"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6"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6" hidden="1">{#N/A,#N/A,TRUE,"Y생산";#N/A,#N/A,TRUE,"Y판매";#N/A,#N/A,TRUE,"Y총물량";#N/A,#N/A,TRUE,"Y능력";#N/A,#N/A,TRUE,"YKD"}</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6" hidden="1">{#N/A,#N/A,FALSE,"단축1";#N/A,#N/A,FALSE,"단축2";#N/A,#N/A,FALSE,"단축3";#N/A,#N/A,FALSE,"장축";#N/A,#N/A,FALSE,"4WD"}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localSheetId="2" hidden="1">{#N/A,#N/A,FALSE,"이태원철근"}</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6" hidden="1">{"'Jibu9811 (3)'!$B$1:$J$433"}</definedName>
    <definedName name="신" localSheetId="2" hidden="1">{"'Jibu9811 (3)'!$B$1:$J$433"}</definedName>
    <definedName name="신" hidden="1">{"'Jibu9811 (3)'!$B$1:$J$433"}</definedName>
    <definedName name="신AT종합" localSheetId="6" hidden="1">{#N/A,#N/A,FALSE,"단축1";#N/A,#N/A,FALSE,"단축2";#N/A,#N/A,FALSE,"단축3";#N/A,#N/A,FALSE,"장축";#N/A,#N/A,FALSE,"4WD"}</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 localSheetId="2">BlankMacro1</definedName>
    <definedName name="신공장">BlankMacro1</definedName>
    <definedName name="신규" localSheetId="6" hidden="1">{#N/A,#N/A,FALSE,"UNIT";#N/A,#N/A,FALSE,"UNIT";#N/A,#N/A,FALSE,"계정"}</definedName>
    <definedName name="신규" localSheetId="2" hidden="1">{#N/A,#N/A,FALSE,"신규dep";#N/A,#N/A,FALSE,"신규dep-금형상각후";#N/A,#N/A,FALSE,"신규dep-연구비상각후";#N/A,#N/A,FALSE,"신규dep-기계,공구상각후"}</definedName>
    <definedName name="신규" hidden="1">{#N/A,#N/A,FALSE,"UNIT";#N/A,#N/A,FALSE,"UNIT";#N/A,#N/A,FALSE,"계정"}</definedName>
    <definedName name="신규가입자">#REF!</definedName>
    <definedName name="신동" localSheetId="2"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2" hidden="1">{#N/A,#N/A,FALSE,"단축1";#N/A,#N/A,FALSE,"단축2";#N/A,#N/A,FALSE,"단축3";#N/A,#N/A,FALSE,"장축";#N/A,#N/A,FALSE,"4WD"}</definedName>
    <definedName name="신동좁" hidden="1">{#N/A,#N/A,FALSE,"단축1";#N/A,#N/A,FALSE,"단축2";#N/A,#N/A,FALSE,"단축3";#N/A,#N/A,FALSE,"장축";#N/A,#N/A,FALSE,"4WD"}</definedName>
    <definedName name="신명근" localSheetId="6" hidden="1">{#N/A,#N/A,FALSE,"1.CRITERIA";#N/A,#N/A,FALSE,"2.IS";#N/A,#N/A,FALSE,"3.BS";#N/A,#N/A,FALSE,"4.PER PL";#N/A,#N/A,FALSE,"5.INVESTMENT";#N/A,#N/A,FALSE,"6.공문";#N/A,#N/A,FALSE,"7.netinvest"}</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6" hidden="1">{#N/A,#N/A,FALSE,"단축1";#N/A,#N/A,FALSE,"단축2";#N/A,#N/A,FALSE,"단축3";#N/A,#N/A,FALSE,"장축";#N/A,#N/A,FALSE,"4WD"}</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localSheetId="2" hidden="1">{"'전일자'!$A$5:$N$17"}</definedName>
    <definedName name="신입사원" hidden="1">{"'전일자'!$A$5:$N$17"}</definedName>
    <definedName name="신입시론" localSheetId="2" hidden="1">{#N/A,#N/A,FALSE,"단축1";#N/A,#N/A,FALSE,"단축2";#N/A,#N/A,FALSE,"단축3";#N/A,#N/A,FALSE,"장축";#N/A,#N/A,FALSE,"4WD"}</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6" hidden="1">{"'Jibu9811 (3)'!$B$1:$J$433"}</definedName>
    <definedName name="신제품" localSheetId="2" hidden="1">{"'Jibu9811 (3)'!$B$1:$J$433"}</definedName>
    <definedName name="신제품" hidden="1">{"'Jibu9811 (3)'!$B$1:$J$433"}</definedName>
    <definedName name="신제품세부내역" localSheetId="6" hidden="1">{"'Jibu9811 (3)'!$B$1:$J$433"}</definedName>
    <definedName name="신제품세부내역" localSheetId="2" hidden="1">{"'Jibu9811 (3)'!$B$1:$J$433"}</definedName>
    <definedName name="신제품세부내역" hidden="1">{"'Jibu9811 (3)'!$B$1:$J$433"}</definedName>
    <definedName name="신준수">#REF!</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6" hidden="1">{#N/A,#N/A,FALSE,"Aging Summary";#N/A,#N/A,FALSE,"Ratio Analysis";#N/A,#N/A,FALSE,"Test 120 Day Accts";#N/A,#N/A,FALSE,"Tickmarks"}</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6"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 localSheetId="2">BlankMacro1</definedName>
    <definedName name="실내">BlankMacro1</definedName>
    <definedName name="실비적용">#REF!</definedName>
    <definedName name="실습동" localSheetId="2">BlankMacro1</definedName>
    <definedName name="실습동">BlankMacro1</definedName>
    <definedName name="실시" localSheetId="6" hidden="1">{#N/A,#N/A,FALSE,"단축1";#N/A,#N/A,FALSE,"단축2";#N/A,#N/A,FALSE,"단축3";#N/A,#N/A,FALSE,"장축";#N/A,#N/A,FALSE,"4WD"}</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6" hidden="1">{"'Jibu9811 (3)'!$B$1:$J$433"}</definedName>
    <definedName name="실적" localSheetId="2" hidden="1">{"'Jibu9811 (3)'!$B$1:$J$433"}</definedName>
    <definedName name="실적" hidden="1">{"'Jibu9811 (3)'!$B$1:$J$433"}</definedName>
    <definedName name="실적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6" hidden="1">{#N/A,#N/A,FALSE,"UNIT";#N/A,#N/A,FALSE,"UNIT";#N/A,#N/A,FALSE,"계정"}</definedName>
    <definedName name="실적4월" localSheetId="2" hidden="1">{#N/A,#N/A,FALSE,"UNIT";#N/A,#N/A,FALSE,"UNIT";#N/A,#N/A,FALSE,"계정"}</definedName>
    <definedName name="실적4월" hidden="1">{#N/A,#N/A,FALSE,"UNIT";#N/A,#N/A,FALSE,"UNIT";#N/A,#N/A,FALSE,"계정"}</definedName>
    <definedName name="실적6월" localSheetId="6" hidden="1">{#N/A,#N/A,FALSE,"UNIT";#N/A,#N/A,FALSE,"UNIT";#N/A,#N/A,FALSE,"계정"}</definedName>
    <definedName name="실적6월" localSheetId="2" hidden="1">{#N/A,#N/A,FALSE,"UNIT";#N/A,#N/A,FALSE,"UNIT";#N/A,#N/A,FALSE,"계정"}</definedName>
    <definedName name="실적6월" hidden="1">{#N/A,#N/A,FALSE,"UNIT";#N/A,#N/A,FALSE,"UNIT";#N/A,#N/A,FALSE,"계정"}</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localSheetId="2" hidden="1">{#N/A,#N/A,FALSE,"단축1";#N/A,#N/A,FALSE,"단축2";#N/A,#N/A,FALSE,"단축3";#N/A,#N/A,FALSE,"장축";#N/A,#N/A,FALSE,"4WD"}</definedName>
    <definedName name="심의보고단기종합" hidden="1">{#N/A,#N/A,FALSE,"단축1";#N/A,#N/A,FALSE,"단축2";#N/A,#N/A,FALSE,"단축3";#N/A,#N/A,FALSE,"장축";#N/A,#N/A,FALSE,"4WD"}</definedName>
    <definedName name="십습동" localSheetId="2">BlankMacro1</definedName>
    <definedName name="십습동">BlankMacro1</definedName>
    <definedName name="십이월">#REF!</definedName>
    <definedName name="십이월시간외">#REF!</definedName>
    <definedName name="쌍용클레임분담" localSheetId="6" hidden="1">{#N/A,#N/A,FALSE,"단축1";#N/A,#N/A,FALSE,"단축2";#N/A,#N/A,FALSE,"단축3";#N/A,#N/A,FALSE,"장축";#N/A,#N/A,FALSE,"4WD"}</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6" hidden="1">{#N/A,#N/A,FALSE,"BS";#N/A,#N/A,FALSE,"PL";#N/A,#N/A,FALSE,"처분";#N/A,#N/A,FALSE,"현금";#N/A,#N/A,FALSE,"매출";#N/A,#N/A,FALSE,"원가";#N/A,#N/A,FALSE,"경영"}</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6" hidden="1">{#N/A,#N/A,FALSE,"을지 (4)";#N/A,#N/A,FALSE,"을지 (5)";#N/A,#N/A,FALSE,"을지 (6)"}</definedName>
    <definedName name="ㅇADKFJDA" localSheetId="2" hidden="1">{#N/A,#N/A,FALSE,"을지 (4)";#N/A,#N/A,FALSE,"을지 (5)";#N/A,#N/A,FALSE,"을지 (6)"}</definedName>
    <definedName name="ㅇADKFJDA" hidden="1">{#N/A,#N/A,FALSE,"을지 (4)";#N/A,#N/A,FALSE,"을지 (5)";#N/A,#N/A,FALSE,"을지 (6)"}</definedName>
    <definedName name="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 hidden="1">{#N/A,#N/A,TRUE,"경전'96(1)";#N/A,#N/A,TRUE,"경전'96 (2)"}</definedName>
    <definedName name="ㅇㄴㅀ" hidden="1">{#N/A,#N/A,TRUE,"경전'96(1)";#N/A,#N/A,TRUE,"경전'96 (2)"}</definedName>
    <definedName name="ㅇㄴㅇ" localSheetId="2" hidden="1">{#N/A,#N/A,FALSE,"단축1";#N/A,#N/A,FALSE,"단축2";#N/A,#N/A,FALSE,"단축3";#N/A,#N/A,FALSE,"장축";#N/A,#N/A,FALSE,"4WD"}</definedName>
    <definedName name="ㅇㄴㅇ" hidden="1">{#N/A,#N/A,FALSE,"단축1";#N/A,#N/A,FALSE,"단축2";#N/A,#N/A,FALSE,"단축3";#N/A,#N/A,FALSE,"장축";#N/A,#N/A,FALSE,"4WD"}</definedName>
    <definedName name="ㅇㄴㅇㅇ" localSheetId="6" hidden="1">{#N/A,#N/A,FALSE,"UNIT";#N/A,#N/A,FALSE,"UNIT";#N/A,#N/A,FALSE,"계정"}</definedName>
    <definedName name="ㅇㄴㅇㅇ" localSheetId="2" hidden="1">{#N/A,#N/A,FALSE,"UNIT";#N/A,#N/A,FALSE,"UNIT";#N/A,#N/A,FALSE,"계정"}</definedName>
    <definedName name="ㅇㄴㅇㅇ" hidden="1">{#N/A,#N/A,FALSE,"UNIT";#N/A,#N/A,FALSE,"UNIT";#N/A,#N/A,FALSE,"계정"}</definedName>
    <definedName name="ㅇ노라ㅓ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localSheetId="2" hidden="1">{#N/A,#N/A,FALSE,"단축1";#N/A,#N/A,FALSE,"단축2";#N/A,#N/A,FALSE,"단축3";#N/A,#N/A,FALSE,"장축";#N/A,#N/A,FALSE,"4WD"}</definedName>
    <definedName name="ㅇㄶ" hidden="1">{#N/A,#N/A,FALSE,"단축1";#N/A,#N/A,FALSE,"단축2";#N/A,#N/A,FALSE,"단축3";#N/A,#N/A,FALSE,"장축";#N/A,#N/A,FALSE,"4WD"}</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 localSheetId="2">BlankMacro1</definedName>
    <definedName name="ㅇ댜댜ㅏ">BlankMacro1</definedName>
    <definedName name="ㅇㄹ" hidden="1">#REF!</definedName>
    <definedName name="ㅇㄹㄴ" localSheetId="6"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 localSheetId="2">BlankMacro1</definedName>
    <definedName name="ㅇㄹㄴㅇㄹㄴㅇㄹㄴ">BlankMacro1</definedName>
    <definedName name="ㅇㄹ니ㅓㄷ" hidden="1">#REF!</definedName>
    <definedName name="ㅇㄹㄹ" hidden="1">#REF!</definedName>
    <definedName name="ㅇㄹㄹㄹㄴㄹ" localSheetId="2" hidden="1">{#N/A,#N/A,FALSE,"단축1";#N/A,#N/A,FALSE,"단축2";#N/A,#N/A,FALSE,"단축3";#N/A,#N/A,FALSE,"장축";#N/A,#N/A,FALSE,"4WD"}</definedName>
    <definedName name="ㅇㄹㄹㄹㄴㄹ" hidden="1">{#N/A,#N/A,FALSE,"단축1";#N/A,#N/A,FALSE,"단축2";#N/A,#N/A,FALSE,"단축3";#N/A,#N/A,FALSE,"장축";#N/A,#N/A,FALSE,"4WD"}</definedName>
    <definedName name="ㅇㄹㄹㅇㅁㄴ" localSheetId="2">BlankMacro1</definedName>
    <definedName name="ㅇㄹㄹㅇㅁㄴ">BlankMacro1</definedName>
    <definedName name="ㅇㄹㅇ" localSheetId="6"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6" hidden="1">{#N/A,#N/A,FALSE,"정공"}</definedName>
    <definedName name="ㅇㄹㅇㄹㅇ" localSheetId="2" hidden="1">{#N/A,#N/A,FALSE,"정공"}</definedName>
    <definedName name="ㅇㄹㅇㄹㅇ" hidden="1">{#N/A,#N/A,FALSE,"정공"}</definedName>
    <definedName name="ㅇㄹㅇㄹㅇㄹㅇ" localSheetId="6" hidden="1">{#N/A,#N/A,FALSE,"UNIT";#N/A,#N/A,FALSE,"UNIT";#N/A,#N/A,FALSE,"계정"}</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localSheetId="2" hidden="1">{#N/A,#N/A,FALSE,"토공2"}</definedName>
    <definedName name="ㅇㄹ허" hidden="1">{#N/A,#N/A,FALSE,"토공2"}</definedName>
    <definedName name="ㅇㄹ호">#REF!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 localSheetId="2">BlankMacro1</definedName>
    <definedName name="ㅇ라마">BlankMacro1</definedName>
    <definedName name="ㅇ라ㅏㅇ" localSheetId="2">BlankMacro1</definedName>
    <definedName name="ㅇ라ㅏㅇ">BlankMacro1</definedName>
    <definedName name="ㅇ로">#N/A</definedName>
    <definedName name="ㅇㄻㄴㅇㄹ" hidden="1">#REF!</definedName>
    <definedName name="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localSheetId="2" hidden="1">{#N/A,#N/A,FALSE,"Performance Flash Report"}</definedName>
    <definedName name="ㅇㅀㅇㅀㅇㅀ" hidden="1">{#N/A,#N/A,FALSE,"Performance Flash Report"}</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2" hidden="1">{#N/A,#N/A,FALSE,"단축1";#N/A,#N/A,FALSE,"단축2";#N/A,#N/A,FALSE,"단축3";#N/A,#N/A,FALSE,"장축";#N/A,#N/A,FALSE,"4WD"}</definedName>
    <definedName name="ㅇㅁㄴㅇ" hidden="1">{#N/A,#N/A,FALSE,"단축1";#N/A,#N/A,FALSE,"단축2";#N/A,#N/A,FALSE,"단축3";#N/A,#N/A,FALSE,"장축";#N/A,#N/A,FALSE,"4WD"}</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6" hidden="1">{#N/A,#N/A,FALSE,"Sheet1";#N/A,#N/A,FALSE,"기평9607"}</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 localSheetId="2">BlankMacro1</definedName>
    <definedName name="ㅇㅂ">BlankMacro1</definedName>
    <definedName name="ㅇㅂㅎ" localSheetId="2">BlankMacro1</definedName>
    <definedName name="ㅇㅂㅎ">BlankMacro1</definedName>
    <definedName name="ㅇㅅ거ㅛ">#N/A</definedName>
    <definedName name="ㅇ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6"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6" hidden="1">{"'Jibu9811 (3)'!$B$1:$J$433"}</definedName>
    <definedName name="ㅇㅇㄻ" localSheetId="2" hidden="1">{"'Jibu9811 (3)'!$B$1:$J$433"}</definedName>
    <definedName name="ㅇㅇㄻ" hidden="1">{"'Jibu9811 (3)'!$B$1:$J$433"}</definedName>
    <definedName name="ㅇ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6" hidden="1">{#N/A,#N/A,FALSE,"정공"}</definedName>
    <definedName name="ㅇ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{#N/A,#N/A,FALSE,"정공"}</definedName>
    <definedName name="ㅇㅇㅇ_1" localSheetId="6"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6" hidden="1">{"'Jibu9811 (3)'!$B$1:$J$433"}</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localSheetId="2"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 localSheetId="2">BlankMacro1</definedName>
    <definedName name="ㅇㅇ허ㅓㅎㄱ">BlankMacro1</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 localSheetId="2">BlankMacro1</definedName>
    <definedName name="ㅇㅈㅂ">BlankMacro1</definedName>
    <definedName name="ㅇㅈㅇㄴㅇㅈㅇ" hidden="1">#REF!</definedName>
    <definedName name="ㅇ자" localSheetId="6" hidden="1">{"'Jibu9811 (3)'!$B$1:$J$433"}</definedName>
    <definedName name="ㅇ자" localSheetId="2" hidden="1">{"'Jibu9811 (3)'!$B$1:$J$433"}</definedName>
    <definedName name="ㅇ자" hidden="1">{"'Jibu9811 (3)'!$B$1:$J$433"}</definedName>
    <definedName name="ㅇㅎ" localSheetId="6" hidden="1">{#N/A,#N/A,FALSE,"단축1";#N/A,#N/A,FALSE,"단축2";#N/A,#N/A,FALSE,"단축3";#N/A,#N/A,FALSE,"장축";#N/A,#N/A,FALSE,"4WD"}</definedName>
    <definedName name="ㅇㅎ" localSheetId="2">BlankMacro1</definedName>
    <definedName name="ㅇㅎ" hidden="1">{#N/A,#N/A,FALSE,"단축1";#N/A,#N/A,FALSE,"단축2";#N/A,#N/A,FALSE,"단축3";#N/A,#N/A,FALSE,"장축";#N/A,#N/A,FALSE,"4WD"}</definedName>
    <definedName name="ㅇㅎㄷㄱ" localSheetId="6" hidden="1">{#N/A,#N/A,FALSE,"부대1"}</definedName>
    <definedName name="ㅇㅎㄷㄱ" localSheetId="2" hidden="1">{#N/A,#N/A,FALSE,"부대1"}</definedName>
    <definedName name="ㅇㅎㄷㄱ" hidden="1">{#N/A,#N/A,FALSE,"부대1"}</definedName>
    <definedName name="ㅇㅎㅁ" localSheetId="6" hidden="1">{#N/A,#N/A,FALSE,"97년 투자계획 세부내역 "}</definedName>
    <definedName name="ㅇㅎㅁ" localSheetId="2" hidden="1">{#N/A,#N/A,FALSE,"97년 투자계획 세부내역 "}</definedName>
    <definedName name="ㅇㅎㅁ" hidden="1">{#N/A,#N/A,FALSE,"97년 투자계획 세부내역 "}</definedName>
    <definedName name="ㅇ햡">#N/A</definedName>
    <definedName name="ㅇ허호" localSheetId="2">BlankMacro1</definedName>
    <definedName name="ㅇ허호">BlankMacro1</definedName>
    <definedName name="ㅇ허ㅏㅎ" localSheetId="2">BlankMacro1</definedName>
    <definedName name="ㅇ허ㅏㅎ">BlankMacro1</definedName>
    <definedName name="ㅇ호" localSheetId="2">[0]!BlankMacro1</definedName>
    <definedName name="ㅇ호">#REF!</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localSheetId="2" hidden="1">{#N/A,#N/A,FALSE,"단축1";#N/A,#N/A,FALSE,"단축2";#N/A,#N/A,FALSE,"단축3";#N/A,#N/A,FALSE,"장축";#N/A,#N/A,FALSE,"4WD"}</definedName>
    <definedName name="ㅇ홍" hidden="1">{#N/A,#N/A,FALSE,"단축1";#N/A,#N/A,FALSE,"단축2";#N/A,#N/A,FALSE,"단축3";#N/A,#N/A,FALSE,"장축";#N/A,#N/A,FALSE,"4WD"}</definedName>
    <definedName name="아" localSheetId="6" hidden="1">{#N/A,#N/A,FALSE,"1.CRITERIA";#N/A,#N/A,FALSE,"2.IS";#N/A,#N/A,FALSE,"3.BS";#N/A,#N/A,FALSE,"4.PER PL";#N/A,#N/A,FALSE,"5.INVESTMENT";#N/A,#N/A,FALSE,"6.공문";#N/A,#N/A,FALSE,"7.netinvest"}</definedName>
    <definedName name="아" localSheetId="2">#REF!</definedName>
    <definedName name="아" hidden="1">{#N/A,#N/A,FALSE,"1.CRITERIA";#N/A,#N/A,FALSE,"2.IS";#N/A,#N/A,FALSE,"3.BS";#N/A,#N/A,FALSE,"4.PER PL";#N/A,#N/A,FALSE,"5.INVESTMENT";#N/A,#N/A,FALSE,"6.공문";#N/A,#N/A,FALSE,"7.netinvest"}</definedName>
    <definedName name="아2" localSheetId="6" hidden="1">{"'Jibu9811 (3)'!$B$1:$J$433"}</definedName>
    <definedName name="아2" localSheetId="2" hidden="1">{"'Jibu9811 (3)'!$B$1:$J$433"}</definedName>
    <definedName name="아2" hidden="1">{"'Jibu9811 (3)'!$B$1:$J$433"}</definedName>
    <definedName name="아나나" localSheetId="2" hidden="1">{#N/A,#N/A,FALSE,"정공"}</definedName>
    <definedName name="아나나" hidden="1">{#N/A,#N/A,FALSE,"정공"}</definedName>
    <definedName name="아나마오" localSheetId="2" hidden="1">{#N/A,#N/A,FALSE,"정공"}</definedName>
    <definedName name="아나마오" hidden="1">{#N/A,#N/A,FALSE,"정공"}</definedName>
    <definedName name="아논" localSheetId="6" hidden="1">{#N/A,#N/A,FALSE,"채권채무";#N/A,#N/A,FALSE,"control sheet"}</definedName>
    <definedName name="아논" localSheetId="2" hidden="1">{#N/A,#N/A,FALSE,"채권채무";#N/A,#N/A,FALSE,"control sheet"}</definedName>
    <definedName name="아논" hidden="1">{#N/A,#N/A,FALSE,"채권채무";#N/A,#N/A,FALSE,"control sheet"}</definedName>
    <definedName name="아늘믿" localSheetId="2">BlankMacro1</definedName>
    <definedName name="아늘믿">BlankMacro1</definedName>
    <definedName name="아니" localSheetId="6" hidden="1">{#N/A,#N/A,FALSE,"BS";#N/A,#N/A,FALSE,"PL";#N/A,#N/A,FALSE,"처분";#N/A,#N/A,FALSE,"현금";#N/A,#N/A,FALSE,"매출";#N/A,#N/A,FALSE,"원가";#N/A,#N/A,FALSE,"경영"}</definedName>
    <definedName name="아니" localSheetId="2" hidden="1">{#N/A,#N/A,FALSE,"단축1";#N/A,#N/A,FALSE,"단축2";#N/A,#N/A,FALSE,"단축3";#N/A,#N/A,FALSE,"장축";#N/A,#N/A,FALSE,"4WD"}</definedName>
    <definedName name="아니" hidden="1">{#N/A,#N/A,FALSE,"BS";#N/A,#N/A,FALSE,"PL";#N/A,#N/A,FALSE,"처분";#N/A,#N/A,FALSE,"현금";#N/A,#N/A,FALSE,"매출";#N/A,#N/A,FALSE,"원가";#N/A,#N/A,FALSE,"경영"}</definedName>
    <definedName name="아니1" localSheetId="2" hidden="1">{#N/A,#N/A,FALSE,"단축1";#N/A,#N/A,FALSE,"단축2";#N/A,#N/A,FALSE,"단축3";#N/A,#N/A,FALSE,"장축";#N/A,#N/A,FALSE,"4WD"}</definedName>
    <definedName name="아니1" hidden="1">{#N/A,#N/A,FALSE,"단축1";#N/A,#N/A,FALSE,"단축2";#N/A,#N/A,FALSE,"단축3";#N/A,#N/A,FALSE,"장축";#N/A,#N/A,FALSE,"4WD"}</definedName>
    <definedName name="아니면말고" localSheetId="6" hidden="1">{#N/A,#N/A,FALSE,"정공"}</definedName>
    <definedName name="아니면말고" localSheetId="2" hidden="1">{#N/A,#N/A,FALSE,"정공"}</definedName>
    <definedName name="아니면말고" hidden="1">{#N/A,#N/A,FALSE,"정공"}</definedName>
    <definedName name="아니오" localSheetId="6" hidden="1">{#N/A,#N/A,FALSE,"정공"}</definedName>
    <definedName name="아니오" localSheetId="2" hidden="1">{#N/A,#N/A,FALSE,"정공"}</definedName>
    <definedName name="아니오" hidden="1">{#N/A,#N/A,FALSE,"정공"}</definedName>
    <definedName name="아니오1" localSheetId="2" hidden="1">{"'Price List '!$A$1:$R$156"}</definedName>
    <definedName name="아니오1" hidden="1">{"'Price List '!$A$1:$R$156"}</definedName>
    <definedName name="아님">#REF!</definedName>
    <definedName name="아닙니다" localSheetId="2" hidden="1">{#N/A,#N/A,FALSE,"정공"}</definedName>
    <definedName name="아닙니다" hidden="1">{#N/A,#N/A,FALSE,"정공"}</definedName>
    <definedName name="아다" localSheetId="2">BlankMacro1</definedName>
    <definedName name="아다">BlankMacro1</definedName>
    <definedName name="아디" localSheetId="2">BlankMacro1</definedName>
    <definedName name="아디">BlankMacro1</definedName>
    <definedName name="아러" localSheetId="6" hidden="1">{#N/A,#N/A,FALSE,"BS";#N/A,#N/A,FALSE,"PL";#N/A,#N/A,FALSE,"처분";#N/A,#N/A,FALSE,"현금";#N/A,#N/A,FALSE,"매출";#N/A,#N/A,FALSE,"원가";#N/A,#N/A,FALSE,"경영"}</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6" hidden="1">{"'매출이익'!$A$24:$K$45"}</definedName>
    <definedName name="아러ㅏ" localSheetId="2" hidden="1">{"'매출이익'!$A$24:$K$45"}</definedName>
    <definedName name="아러ㅏ" hidden="1">{"'매출이익'!$A$24:$K$45"}</definedName>
    <definedName name="아름다은" localSheetId="6"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6" hidden="1">{#N/A,#N/A,FALSE,"97년 투자계획 세부내역 "}</definedName>
    <definedName name="아마도" localSheetId="2" hidden="1">{#N/A,#N/A,FALSE,"97년 투자계획 세부내역 "}</definedName>
    <definedName name="아마도" hidden="1">{#N/A,#N/A,FALSE,"97년 투자계획 세부내역 "}</definedName>
    <definedName name="아메리카"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6" hidden="1">{#N/A,#N/A,TRUE,"Summary";#N/A,#N/A,TRUE,"IS";#N/A,#N/A,TRUE,"Adj";#N/A,#N/A,TRUE,"BS";#N/A,#N/A,TRUE,"CF";#N/A,#N/A,TRUE,"Debt";#N/A,#N/A,TRUE,"IRR"}</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 localSheetId="2">BlankMacro1</definedName>
    <definedName name="아서">BlankMacro1</definedName>
    <definedName name="아스콘기층">#REF!</definedName>
    <definedName name="아스콘표층">#REF!</definedName>
    <definedName name="아아" localSheetId="6" hidden="1">{#N/A,#N/A,FALSE,"1.CRITERIA";#N/A,#N/A,FALSE,"2.IS";#N/A,#N/A,FALSE,"3.BS";#N/A,#N/A,FALSE,"4.PER PL";#N/A,#N/A,FALSE,"5.INVESTMENT";#N/A,#N/A,FALSE,"6.공문";#N/A,#N/A,FALSE,"7.netinvest"}</definedName>
    <definedName name="아아" localSheetId="2">BlankMacro1</definedName>
    <definedName name="아아" hidden="1">{#N/A,#N/A,FALSE,"1.CRITERIA";#N/A,#N/A,FALSE,"2.IS";#N/A,#N/A,FALSE,"3.BS";#N/A,#N/A,FALSE,"4.PER PL";#N/A,#N/A,FALSE,"5.INVESTMENT";#N/A,#N/A,FALSE,"6.공문";#N/A,#N/A,FALSE,"7.netinvest"}</definedName>
    <definedName name="아아아" localSheetId="6" hidden="1">{#N/A,#N/A,FALSE,"정공"}</definedName>
    <definedName name="아아아" localSheetId="2" hidden="1">{#N/A,#N/A,FALSE,"정공"}</definedName>
    <definedName name="아아아" hidden="1">{#N/A,#N/A,FALSE,"정공"}</definedName>
    <definedName name="아아ㅏ" localSheetId="6" hidden="1">{#N/A,#N/A,FALSE,"기안지";#N/A,#N/A,FALSE,"통신지"}</definedName>
    <definedName name="아아ㅏ" localSheetId="2" hidden="1">{#N/A,#N/A,FALSE,"기안지";#N/A,#N/A,FALSE,"통신지"}</definedName>
    <definedName name="아아ㅏ" hidden="1">{#N/A,#N/A,FALSE,"기안지";#N/A,#N/A,FALSE,"통신지"}</definedName>
    <definedName name="아앙"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6" hidden="1">{#N/A,#N/A,FALSE,"정공"}</definedName>
    <definedName name="아이" localSheetId="2" hidden="1">{#N/A,#N/A,FALSE,"정공"}</definedName>
    <definedName name="아이" hidden="1">{#N/A,#N/A,FALSE,"정공"}</definedName>
    <definedName name="아조하아" localSheetId="6" hidden="1">{#N/A,#N/A,FALSE,"UNIT";#N/A,#N/A,FALSE,"UNIT";#N/A,#N/A,FALSE,"계정"}</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 localSheetId="2">BlankMacro1</definedName>
    <definedName name="아허ㅑ">BlankMacro1</definedName>
    <definedName name="아혀뱌" localSheetId="2">BlankMacro1</definedName>
    <definedName name="아혀뱌">BlankMacro1</definedName>
    <definedName name="아ㅏ" localSheetId="2">BlankMacro1</definedName>
    <definedName name="아ㅏ">BlankMacro1</definedName>
    <definedName name="아ㅏㅂ" localSheetId="2">BlankMacro1</definedName>
    <definedName name="아ㅏㅂ">BlankMacro1</definedName>
    <definedName name="아ㅏㅇ">#REF!</definedName>
    <definedName name="아ㅏ아아아아아" localSheetId="6" hidden="1">{#N/A,#N/A,FALSE,"UNIT";#N/A,#N/A,FALSE,"UNIT";#N/A,#N/A,FALSE,"계정"}</definedName>
    <definedName name="아ㅏ아아아아아" localSheetId="2" hidden="1">{#N/A,#N/A,FALSE,"UNIT";#N/A,#N/A,FALSE,"UNIT";#N/A,#N/A,FALSE,"계정"}</definedName>
    <definedName name="아ㅏ아아아아아" hidden="1">{#N/A,#N/A,FALSE,"UNIT";#N/A,#N/A,FALSE,"UNIT";#N/A,#N/A,FALSE,"계정"}</definedName>
    <definedName name="아ㅏㅏㄷ" localSheetId="6" hidden="1">{#N/A,#N/A,FALSE,"기안지";#N/A,#N/A,FALSE,"통신지"}</definedName>
    <definedName name="아ㅏㅏㄷ" localSheetId="2" hidden="1">{#N/A,#N/A,FALSE,"기안지";#N/A,#N/A,FALSE,"통신지"}</definedName>
    <definedName name="아ㅏㅏㄷ" hidden="1">{#N/A,#N/A,FALSE,"기안지";#N/A,#N/A,FALSE,"통신지"}</definedName>
    <definedName name="아ㅓ" localSheetId="6" hidden="1">{#N/A,#N/A,FALSE,"기안지";#N/A,#N/A,FALSE,"통신지"}</definedName>
    <definedName name="아ㅓ" localSheetId="2" hidden="1">{#N/A,#N/A,FALSE,"기안지";#N/A,#N/A,FALSE,"통신지"}</definedName>
    <definedName name="아ㅓ" hidden="1">{#N/A,#N/A,FALSE,"기안지";#N/A,#N/A,FALSE,"통신지"}</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6" hidden="1">{#N/A,#N/A,FALSE,"기안지";#N/A,#N/A,FALSE,"통신지"}</definedName>
    <definedName name="아ㅓㅁㅂ" localSheetId="2" hidden="1">{#N/A,#N/A,FALSE,"기안지";#N/A,#N/A,FALSE,"통신지"}</definedName>
    <definedName name="아ㅓㅁㅂ" hidden="1">{#N/A,#N/A,FALSE,"기안지";#N/A,#N/A,FALSE,"통신지"}</definedName>
    <definedName name="아ㅓㅂ" localSheetId="2">BlankMacro1</definedName>
    <definedName name="아ㅓㅂ">BlankMacro1</definedName>
    <definedName name="아ㅓㅎ" localSheetId="2">BlankMacro1</definedName>
    <definedName name="아ㅓㅎ">BlankMacro1</definedName>
    <definedName name="아ㅓㅎ어호" localSheetId="2">BlankMacro1</definedName>
    <definedName name="아ㅓㅎ어호">BlankMacro1</definedName>
    <definedName name="아ㅓ호" localSheetId="2">BlankMacro1</definedName>
    <definedName name="아ㅓ호">BlankMacro1</definedName>
    <definedName name="아ㅓㅏㅓ" localSheetId="2" hidden="1">{#N/A,#N/A,FALSE,"단축1";#N/A,#N/A,FALSE,"단축2";#N/A,#N/A,FALSE,"단축3";#N/A,#N/A,FALSE,"장축";#N/A,#N/A,FALSE,"4WD"}</definedName>
    <definedName name="아ㅓㅏㅓ" hidden="1">{#N/A,#N/A,FALSE,"단축1";#N/A,#N/A,FALSE,"단축2";#N/A,#N/A,FALSE,"단축3";#N/A,#N/A,FALSE,"장축";#N/A,#N/A,FALSE,"4WD"}</definedName>
    <definedName name="아ㅓㅑㅂ" localSheetId="2">BlankMacro1</definedName>
    <definedName name="아ㅓㅑㅂ">BlankMacro1</definedName>
    <definedName name="아ㅕㅂ" localSheetId="2">BlankMacro1</definedName>
    <definedName name="아ㅕㅂ">BlankMacro1</definedName>
    <definedName name="안" hidden="1">#REF!</definedName>
    <definedName name="안건" localSheetId="6"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localSheetId="2" hidden="1">Country_Summary</definedName>
    <definedName name="안정성계획v2.0" hidden="1">Country_Summary</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알파">#REF!</definedName>
    <definedName name="알파Ⅰ" localSheetId="2" hidden="1">{#N/A,#N/A,FALSE,"단축1";#N/A,#N/A,FALSE,"단축2";#N/A,#N/A,FALSE,"단축3";#N/A,#N/A,FALSE,"장축";#N/A,#N/A,FALSE,"4WD"}</definedName>
    <definedName name="알파Ⅰ" hidden="1">{#N/A,#N/A,FALSE,"단축1";#N/A,#N/A,FALSE,"단축2";#N/A,#N/A,FALSE,"단축3";#N/A,#N/A,FALSE,"장축";#N/A,#N/A,FALSE,"4WD"}</definedName>
    <definedName name="앗서" localSheetId="6" hidden="1">{#N/A,#N/A,FALSE,"정공"}</definedName>
    <definedName name="앗서" localSheetId="2" hidden="1">{#N/A,#N/A,FALSE,"정공"}</definedName>
    <definedName name="앗서" hidden="1">{#N/A,#N/A,FALSE,"정공"}</definedName>
    <definedName name="앙" localSheetId="6"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6"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6"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6"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 localSheetId="2">BlankMacro1</definedName>
    <definedName name="앟">BlankMacro1</definedName>
    <definedName name="액슬" localSheetId="2" hidden="1">{#N/A,#N/A,FALSE,"단축1";#N/A,#N/A,FALSE,"단축2";#N/A,#N/A,FALSE,"단축3";#N/A,#N/A,FALSE,"장축";#N/A,#N/A,FALSE,"4WD"}</definedName>
    <definedName name="액슬" hidden="1">{#N/A,#N/A,FALSE,"단축1";#N/A,#N/A,FALSE,"단축2";#N/A,#N/A,FALSE,"단축3";#N/A,#N/A,FALSE,"장축";#N/A,#N/A,FALSE,"4WD"}</definedName>
    <definedName name="야" localSheetId="6" hidden="1">{#N/A,#N/A,FALSE,"UNIT";#N/A,#N/A,FALSE,"UNIT";#N/A,#N/A,FALSE,"계정"}</definedName>
    <definedName name="야" localSheetId="2" hidden="1">{#N/A,#N/A,TRUE,"Y생산";#N/A,#N/A,TRUE,"Y판매";#N/A,#N/A,TRUE,"Y총물량";#N/A,#N/A,TRUE,"Y능력";#N/A,#N/A,TRUE,"YKD"}</definedName>
    <definedName name="야" hidden="1">{#N/A,#N/A,FALSE,"UNIT";#N/A,#N/A,FALSE,"UNIT";#N/A,#N/A,FALSE,"계정"}</definedName>
    <definedName name="약도" localSheetId="2" hidden="1">{"'전일자'!$A$5:$N$17"}</definedName>
    <definedName name="약도" hidden="1">{"'전일자'!$A$5:$N$17"}</definedName>
    <definedName name="약식손익" localSheetId="2" hidden="1">{#N/A,#N/A,FALSE,"정공"}</definedName>
    <definedName name="약식손익" hidden="1">{#N/A,#N/A,FALSE,"정공"}</definedName>
    <definedName name="약정사항"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6" hidden="1">{#N/A,#N/A,FALSE,"정공"}</definedName>
    <definedName name="약정잉자" localSheetId="2" hidden="1">{#N/A,#N/A,FALSE,"정공"}</definedName>
    <definedName name="약정잉자" hidden="1">{#N/A,#N/A,FALSE,"정공"}</definedName>
    <definedName name="양" localSheetId="6" hidden="1">{#N/A,#N/A,FALSE,"UNIT";#N/A,#N/A,FALSE,"UNIT";#N/A,#N/A,FALSE,"계정"}</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{#N/A,#N/A,FALSE,"UNIT";#N/A,#N/A,FALSE,"UNIT";#N/A,#N/A,FALSE,"계정"}</definedName>
    <definedName name="양대호" localSheetId="2" hidden="1">{#N/A,#N/A,FALSE,"단축1";#N/A,#N/A,FALSE,"단축2";#N/A,#N/A,FALSE,"단축3";#N/A,#N/A,FALSE,"장축";#N/A,#N/A,FALSE,"4WD"}</definedName>
    <definedName name="양대호" hidden="1">{#N/A,#N/A,FALSE,"단축1";#N/A,#N/A,FALSE,"단축2";#N/A,#N/A,FALSE,"단축3";#N/A,#N/A,FALSE,"장축";#N/A,#N/A,FALSE,"4WD"}</definedName>
    <definedName name="양산조직"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localSheetId="2" hidden="1">{#N/A,#N/A,FALSE,"단축1";#N/A,#N/A,FALSE,"단축2";#N/A,#N/A,FALSE,"단축3";#N/A,#N/A,FALSE,"장축";#N/A,#N/A,FALSE,"4WD"}</definedName>
    <definedName name="양식1" hidden="1">{#N/A,#N/A,FALSE,"단축1";#N/A,#N/A,FALSE,"단축2";#N/A,#N/A,FALSE,"단축3";#N/A,#N/A,FALSE,"장축";#N/A,#N/A,FALSE,"4WD"}</definedName>
    <definedName name="양식2">#REF!</definedName>
    <definedName name="양식3">#REF!</definedName>
    <definedName name="양행" localSheetId="6" hidden="1">{#N/A,#N/A,FALSE,"범우구미";#N/A,#N/A,FALSE,"세한케미칼";#N/A,#N/A,FALSE,"세명화학";#N/A,#N/A,FALSE,"신영케미칼";#N/A,#N/A,FALSE,"일석상사"}</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6" hidden="1">{"'매출이익'!$A$24:$K$45"}</definedName>
    <definedName name="어" localSheetId="2">#REF!</definedName>
    <definedName name="어" hidden="1">{"'매출이익'!$A$24:$K$45"}</definedName>
    <definedName name="어떻하지" hidden="1">#REF!</definedName>
    <definedName name="어랑" localSheetId="6" hidden="1">{#N/A,#N/A,FALSE,"BS";#N/A,#N/A,FALSE,"PL";#N/A,#N/A,FALSE,"처분";#N/A,#N/A,FALSE,"현금";#N/A,#N/A,FALSE,"매출";#N/A,#N/A,FALSE,"원가";#N/A,#N/A,FALSE,"경영"}</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 localSheetId="2">BlankMacro1</definedName>
    <definedName name="어뱌">BlankMacro1</definedName>
    <definedName name="어서">#N/A</definedName>
    <definedName name="어스앙카">#REF!</definedName>
    <definedName name="어어" localSheetId="6"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 localSheetId="2">BlankMacro1</definedName>
    <definedName name="어엉">BlankMacro1</definedName>
    <definedName name="어음" hidden="1">#REF!</definedName>
    <definedName name="어음수표" localSheetId="6" hidden="1">{#N/A,#N/A,FALSE,"1.CRITERIA";#N/A,#N/A,FALSE,"2.IS";#N/A,#N/A,FALSE,"3.BS";#N/A,#N/A,FALSE,"4.PER PL";#N/A,#N/A,FALSE,"5.INVESTMENT";#N/A,#N/A,FALSE,"6.공문";#N/A,#N/A,FALSE,"7.netinvest"}</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6" hidden="1">{#N/A,#N/A,FALSE,"Aging Summary";#N/A,#N/A,FALSE,"Ratio Analysis";#N/A,#N/A,FALSE,"Test 120 Day Accts";#N/A,#N/A,FALSE,"Tickmarks"}</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6"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 localSheetId="2">BlankMacro1</definedName>
    <definedName name="어허ㅑㅂ">BlankMacro1</definedName>
    <definedName name="어호" localSheetId="6" hidden="1">{#N/A,#N/A,FALSE,"기안지";#N/A,#N/A,FALSE,"통신지"}</definedName>
    <definedName name="어호" localSheetId="2" hidden="1">{#N/A,#N/A,FALSE,"기안지";#N/A,#N/A,FALSE,"통신지"}</definedName>
    <definedName name="어호" hidden="1">{#N/A,#N/A,FALSE,"기안지";#N/A,#N/A,FALSE,"통신지"}</definedName>
    <definedName name="어호ㅚㅏ" localSheetId="2">BlankMacro1</definedName>
    <definedName name="어호ㅚㅏ">BlankMacro1</definedName>
    <definedName name="어ㅑ" localSheetId="6" hidden="1">{#N/A,#N/A,FALSE,"기안지";#N/A,#N/A,FALSE,"통신지"}</definedName>
    <definedName name="어ㅑ" localSheetId="2" hidden="1">{#N/A,#N/A,FALSE,"기안지";#N/A,#N/A,FALSE,"통신지"}</definedName>
    <definedName name="어ㅑ" hidden="1">{#N/A,#N/A,FALSE,"기안지";#N/A,#N/A,FALSE,"통신지"}</definedName>
    <definedName name="어ㅑㄷ" localSheetId="2">BlankMacro1</definedName>
    <definedName name="어ㅑㄷ">BlankMacro1</definedName>
    <definedName name="어ㅑㅑㄷ" localSheetId="2">BlankMacro1</definedName>
    <definedName name="어ㅑㅑㄷ">BlankMacro1</definedName>
    <definedName name="어ㅑㅑㅑㅑㅁㅂ" localSheetId="2">BlankMacro1</definedName>
    <definedName name="어ㅑㅑㅑㅑㅁㅂ">BlankMacro1</definedName>
    <definedName name="어ㅓ" localSheetId="2">BlankMacro1</definedName>
    <definedName name="어ㅓ">BlankMacro1</definedName>
    <definedName name="어ㅓㅏㅇ" localSheetId="2">BlankMacro1</definedName>
    <definedName name="어ㅓㅏㅇ">BlankMacro1</definedName>
    <definedName name="억">#REF!</definedName>
    <definedName name="언" localSheetId="2" hidden="1">{#N/A,#N/A,FALSE,"단축1";#N/A,#N/A,FALSE,"단축2";#N/A,#N/A,FALSE,"단축3";#N/A,#N/A,FALSE,"장축";#N/A,#N/A,FALSE,"4WD"}</definedName>
    <definedName name="언" hidden="1">{#N/A,#N/A,FALSE,"단축1";#N/A,#N/A,FALSE,"단축2";#N/A,#N/A,FALSE,"단축3";#N/A,#N/A,FALSE,"장축";#N/A,#N/A,FALSE,"4WD"}</definedName>
    <definedName name="얼">#REF!</definedName>
    <definedName name="엄" localSheetId="2" hidden="1">{#N/A,#N/A,TRUE,"경전'96(1)";#N/A,#N/A,TRUE,"경전'96 (2)"}</definedName>
    <definedName name="엄" hidden="1">{#N/A,#N/A,TRUE,"경전'96(1)";#N/A,#N/A,TRUE,"경전'96 (2)"}</definedName>
    <definedName name="업_________태">#REF!</definedName>
    <definedName name="업무" localSheetId="2">[0]!BlankMacro1</definedName>
    <definedName name="업무">#REF!</definedName>
    <definedName name="업무2" localSheetId="2">[0]!BlankMacro1</definedName>
    <definedName name="업무2">#REF!</definedName>
    <definedName name="업무보고">#REF!</definedName>
    <definedName name="업무보고용" localSheetId="2" hidden="1">{#N/A,#N/A,FALSE,"정공"}</definedName>
    <definedName name="업무보고용" hidden="1">{#N/A,#N/A,FALSE,"정공"}</definedName>
    <definedName name="업체" localSheetId="2" hidden="1">{#N/A,#N/A,FALSE,"단축1";#N/A,#N/A,FALSE,"단축2";#N/A,#N/A,FALSE,"단축3";#N/A,#N/A,FALSE,"장축";#N/A,#N/A,FALSE,"4WD"}</definedName>
    <definedName name="업체" hidden="1">{#N/A,#N/A,FALSE,"단축1";#N/A,#N/A,FALSE,"단축2";#N/A,#N/A,FALSE,"단축3";#N/A,#N/A,FALSE,"장축";#N/A,#N/A,FALSE,"4WD"}</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6" hidden="1">{#N/A,#N/A,FALSE,"Aging Summary";#N/A,#N/A,FALSE,"Ratio Analysis";#N/A,#N/A,FALSE,"Test 120 Day Accts";#N/A,#N/A,FALSE,"Tickmarks"}</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 localSheetId="2">BlankMacro1</definedName>
    <definedName name="엉ㅁ">BlankMacro1</definedName>
    <definedName name="엏" localSheetId="6" hidden="1">{#N/A,#N/A,FALSE,"기안지";#N/A,#N/A,FALSE,"통신지"}</definedName>
    <definedName name="엏" localSheetId="2" hidden="1">{#N/A,#N/A,FALSE,"기안지";#N/A,#N/A,FALSE,"통신지"}</definedName>
    <definedName name="엏" hidden="1">{#N/A,#N/A,FALSE,"기안지";#N/A,#N/A,FALSE,"통신지"}</definedName>
    <definedName name="엏걉" localSheetId="2">BlankMacro1</definedName>
    <definedName name="엏걉">BlankMacro1</definedName>
    <definedName name="에어벤트" localSheetId="2"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hidden="1">{#N/A,#N/A,FALSE,"견적대비-2"}</definedName>
    <definedName name="엔진" localSheetId="2" hidden="1">{#N/A,#N/A,FALSE,"단축1";#N/A,#N/A,FALSE,"단축2";#N/A,#N/A,FALSE,"단축3";#N/A,#N/A,FALSE,"장축";#N/A,#N/A,FALSE,"4WD"}</definedName>
    <definedName name="엔진" hidden="1">{#N/A,#N/A,FALSE,"단축1";#N/A,#N/A,FALSE,"단축2";#N/A,#N/A,FALSE,"단축3";#N/A,#N/A,FALSE,"장축";#N/A,#N/A,FALSE,"4WD"}</definedName>
    <definedName name="엔진표지" localSheetId="2"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6"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6" hidden="1">{#N/A,#N/A,FALSE,"UNIT";#N/A,#N/A,FALSE,"UNIT";#N/A,#N/A,FALSE,"계정"}</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6"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localSheetId="2" hidden="1">{#N/A,#N/A,TRUE,"경전'96(1)";#N/A,#N/A,TRUE,"경전'96 (2)"}</definedName>
    <definedName name="연구1" hidden="1">{#N/A,#N/A,TRUE,"경전'96(1)";#N/A,#N/A,TRUE,"경전'96 (2)"}</definedName>
    <definedName name="연구개발" localSheetId="2" hidden="1">{#N/A,#N/A,TRUE,"경전'96(1)";#N/A,#N/A,TRUE,"경전'96 (2)"}</definedName>
    <definedName name="연구개발" hidden="1">{#N/A,#N/A,TRUE,"경전'96(1)";#N/A,#N/A,TRUE,"경전'96 (2)"}</definedName>
    <definedName name="연구소" localSheetId="2" hidden="1">{#N/A,#N/A,TRUE,"경전'96(1)";#N/A,#N/A,TRUE,"경전'96 (2)"}</definedName>
    <definedName name="연구소" hidden="1">{#N/A,#N/A,TRUE,"경전'96(1)";#N/A,#N/A,TRUE,"경전'96 (2)"}</definedName>
    <definedName name="연구소1" localSheetId="2" hidden="1">{#N/A,#N/A,TRUE,"경전'96(1)";#N/A,#N/A,TRUE,"경전'96 (2)"}</definedName>
    <definedName name="연구소1" hidden="1">{#N/A,#N/A,TRUE,"경전'96(1)";#N/A,#N/A,TRUE,"경전'96 (2)"}</definedName>
    <definedName name="연구소계" localSheetId="6" hidden="1">{"'5국공정'!$A$1:$E$128"}</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localSheetId="2" hidden="1">{#N/A,#N/A,FALSE,"단축1";#N/A,#N/A,FALSE,"단축2";#N/A,#N/A,FALSE,"단축3";#N/A,#N/A,FALSE,"장축";#N/A,#N/A,FALSE,"4WD"}</definedName>
    <definedName name="연료2" hidden="1">{#N/A,#N/A,FALSE,"단축1";#N/A,#N/A,FALSE,"단축2";#N/A,#N/A,FALSE,"단축3";#N/A,#N/A,FALSE,"장축";#N/A,#N/A,FALSE,"4WD"}</definedName>
    <definedName name="연말손익" localSheetId="6" hidden="1">{#N/A,#N/A,FALSE,"UNIT";#N/A,#N/A,FALSE,"UNIT";#N/A,#N/A,FALSE,"계정"}</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6" hidden="1">{#N/A,#N/A,FALSE,"정공"}</definedName>
    <definedName name="연주얀" localSheetId="2" hidden="1">{#N/A,#N/A,FALSE,"정공"}</definedName>
    <definedName name="연주얀" hidden="1">{#N/A,#N/A,FALSE,"정공"}</definedName>
    <definedName name="연차" localSheetId="2" hidden="1">{"'전일자'!$A$5:$N$17"}</definedName>
    <definedName name="연차" hidden="1">{"'전일자'!$A$5:$N$17"}</definedName>
    <definedName name="연차예" localSheetId="2" hidden="1">{"'전일자'!$A$5:$N$17"}</definedName>
    <definedName name="연차예" hidden="1">{"'전일자'!$A$5:$N$17"}</definedName>
    <definedName name="연차정산" localSheetId="2" hidden="1">{"'전일자'!$A$5:$N$17"}</definedName>
    <definedName name="연차정산" hidden="1">{"'전일자'!$A$5:$N$17"}</definedName>
    <definedName name="연평균과표계">#REF!</definedName>
    <definedName name="열">#REF!</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6" hidden="1">{#N/A,#N/A,FALSE,"단축1";#N/A,#N/A,FALSE,"단축2";#N/A,#N/A,FALSE,"단축3";#N/A,#N/A,FALSE,"장축";#N/A,#N/A,FALSE,"4WD"}</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6" hidden="1">{#N/A,#N/A,FALSE,"1.CRITERIA";#N/A,#N/A,FALSE,"2.IS";#N/A,#N/A,FALSE,"3.BS";#N/A,#N/A,FALSE,"4.PER PL";#N/A,#N/A,FALSE,"5.INVESTMENT";#N/A,#N/A,FALSE,"6.공문";#N/A,#N/A,FALSE,"7.netinvest"}</definedName>
    <definedName name="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{#N/A,#N/A,FALSE,"1.CRITERIA";#N/A,#N/A,FALSE,"2.IS";#N/A,#N/A,FALSE,"3.BS";#N/A,#N/A,FALSE,"4.PER PL";#N/A,#N/A,FALSE,"5.INVESTMENT";#N/A,#N/A,FALSE,"6.공문";#N/A,#N/A,FALSE,"7.netinvest"}</definedName>
    <definedName name="영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localSheetId="2" hidden="1">{#N/A,#N/A,FALSE,"단축1";#N/A,#N/A,FALSE,"단축2";#N/A,#N/A,FALSE,"단축3";#N/A,#N/A,FALSE,"장축";#N/A,#N/A,FALSE,"4WD"}</definedName>
    <definedName name="영복" hidden="1">{#N/A,#N/A,FALSE,"단축1";#N/A,#N/A,FALSE,"단축2";#N/A,#N/A,FALSE,"단축3";#N/A,#N/A,FALSE,"장축";#N/A,#N/A,FALSE,"4WD"}</definedName>
    <definedName name="영산홍">#REF!</definedName>
    <definedName name="영성기업" localSheetId="6" hidden="1">{#N/A,#N/A,FALSE,"범우구미";#N/A,#N/A,FALSE,"세한케미칼";#N/A,#N/A,FALSE,"세명화학";#N/A,#N/A,FALSE,"신영케미칼";#N/A,#N/A,FALSE,"일석상사"}</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6" hidden="1">{#N/A,#N/A,FALSE,"P.C.B"}</definedName>
    <definedName name="영업" localSheetId="2" hidden="1">{#N/A,#N/A,FALSE,"P.C.B"}</definedName>
    <definedName name="영업" hidden="1">{#N/A,#N/A,FALSE,"P.C.B"}</definedName>
    <definedName name="영업1">#REF!</definedName>
    <definedName name="영업2">#REF!</definedName>
    <definedName name="영업권" localSheetId="6" hidden="1">{#N/A,#N/A,FALSE,"BS";#N/A,#N/A,FALSE,"PL";#N/A,#N/A,FALSE,"처분";#N/A,#N/A,FALSE,"현금";#N/A,#N/A,FALSE,"매출";#N/A,#N/A,FALSE,"원가";#N/A,#N/A,FALSE,"경영"}</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6"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6"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6" hidden="1">{#N/A,#N/A,FALSE,"1.CRITERIA";#N/A,#N/A,FALSE,"2.IS";#N/A,#N/A,FALSE,"3.BS";#N/A,#N/A,FALSE,"4.PER PL";#N/A,#N/A,FALSE,"5.INVESTMENT";#N/A,#N/A,FALSE,"6.공문";#N/A,#N/A,FALSE,"7.netinvest"}</definedName>
    <definedName name="영업외" localSheetId="2" hidden="1">#REF!</definedName>
    <definedName name="영업외" hidden="1">{#N/A,#N/A,FALSE,"1.CRITERIA";#N/A,#N/A,FALSE,"2.IS";#N/A,#N/A,FALSE,"3.BS";#N/A,#N/A,FALSE,"4.PER PL";#N/A,#N/A,FALSE,"5.INVESTMENT";#N/A,#N/A,FALSE,"6.공문";#N/A,#N/A,FALSE,"7.netinvest"}</definedName>
    <definedName name="영업외비용" localSheetId="6"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6" hidden="1">{#N/A,#N/A,FALSE,"97년 투자계획 세부내역 "}</definedName>
    <definedName name="영업인건배부" localSheetId="2" hidden="1">{#N/A,#N/A,FALSE,"97년 투자계획 세부내역 "}</definedName>
    <definedName name="영업인건배부" hidden="1">{#N/A,#N/A,FALSE,"97년 투자계획 세부내역 "}</definedName>
    <definedName name="영업인건비배부" localSheetId="6"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localSheetId="2" hidden="1">{#N/A,#N/A,FALSE,"지침";#N/A,#N/A,FALSE,"환경분석";#N/A,#N/A,FALSE,"Sheet16"}</definedName>
    <definedName name="영업현금" hidden="1">{#N/A,#N/A,FALSE,"지침";#N/A,#N/A,FALSE,"환경분석";#N/A,#N/A,FALSE,"Sheet16"}</definedName>
    <definedName name="영역">#REF!</definedName>
    <definedName name="영역1">#REF!</definedName>
    <definedName name="영외수">#REF!</definedName>
    <definedName name="옂ㅂ" localSheetId="2">BlankMacro1</definedName>
    <definedName name="옂ㅂ">BlankMacro1</definedName>
    <definedName name="예">#REF!</definedName>
    <definedName name="예1" localSheetId="2" hidden="1">{#N/A,#N/A,FALSE,"정공"}</definedName>
    <definedName name="예1" hidden="1">{#N/A,#N/A,FALSE,"정공"}</definedName>
    <definedName name="예2" localSheetId="2" hidden="1">{#N/A,#N/A,FALSE,"정공"}</definedName>
    <definedName name="예2" hidden="1">{#N/A,#N/A,FALSE,"정공"}</definedName>
    <definedName name="예3" localSheetId="2" hidden="1">{#N/A,#N/A,FALSE,"정공"}</definedName>
    <definedName name="예3" hidden="1">{#N/A,#N/A,FALSE,"정공"}</definedName>
    <definedName name="預り保証金" localSheetId="6" hidden="1">{"'買掛金'!$J$6"}</definedName>
    <definedName name="預り保証金" localSheetId="2" hidden="1">{"'買掛金'!$J$6"}</definedName>
    <definedName name="預り保証金" hidden="1">{"'買掛金'!$J$6"}</definedName>
    <definedName name="예광" localSheetId="6" hidden="1">{#N/A,#N/A,FALSE,"UNIT";#N/A,#N/A,FALSE,"UNIT";#N/A,#N/A,FALSE,"계정"}</definedName>
    <definedName name="예광" localSheetId="2" hidden="1">{#N/A,#N/A,FALSE,"UNIT";#N/A,#N/A,FALSE,"UNIT";#N/A,#N/A,FALSE,"계정"}</definedName>
    <definedName name="예광" hidden="1">{#N/A,#N/A,FALSE,"UNIT";#N/A,#N/A,FALSE,"UNIT";#N/A,#N/A,FALSE,"계정"}</definedName>
    <definedName name="예금" localSheetId="6"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 localSheetId="2">BlankMacro1</definedName>
    <definedName name="예산">BlankMacro1</definedName>
    <definedName name="예산세부내역" localSheetId="6" hidden="1">{"'Jibu9811 (3)'!$B$1:$J$433"}</definedName>
    <definedName name="예산세부내역" localSheetId="2" hidden="1">{"'Jibu9811 (3)'!$B$1:$J$433"}</definedName>
    <definedName name="예산세부내역" hidden="1">{"'Jibu9811 (3)'!$B$1:$J$433"}</definedName>
    <definedName name="예산이원화포함" localSheetId="2" hidden="1">{#N/A,#N/A,FALSE,"단축1";#N/A,#N/A,FALSE,"단축2";#N/A,#N/A,FALSE,"단축3";#N/A,#N/A,FALSE,"장축";#N/A,#N/A,FALSE,"4WD"}</definedName>
    <definedName name="예산이원화포함" hidden="1">{#N/A,#N/A,FALSE,"단축1";#N/A,#N/A,FALSE,"단축2";#N/A,#N/A,FALSE,"단축3";#N/A,#N/A,FALSE,"장축";#N/A,#N/A,FALSE,"4WD"}</definedName>
    <definedName name="예산현황">#REF!</definedName>
    <definedName name="예산현황표">#REF!</definedName>
    <definedName name="예상내역" localSheetId="6" hidden="1">{#N/A,#N/A,FALSE,"생산성";#N/A,#N/A,FALSE,"인력1";#N/A,#N/A,FALSE,"인력2";#N/A,#N/A,FALSE,"인력3";#N/A,#N/A,FALSE,"인건1";#N/A,#N/A,FALSE,"인건2";#N/A,#N/A,FALSE,"인건3";#N/A,#N/A,FALSE,"인원증감";#N/A,#N/A,FALSE,"인건증감";#N/A,#N/A,FALSE,"표지등"}</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 localSheetId="2" hidden="1">{"'분양원가'!$B$1:$F$113"}</definedName>
    <definedName name="예치보증금">{"'분양원가'!$B$1:$F$113"}</definedName>
    <definedName name="옛날세율89">#REF!</definedName>
    <definedName name="옛날세율91">#REF!</definedName>
    <definedName name="옛날세율93">#REF!</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빠" localSheetId="6" hidden="1">{"'Jibu9811 (3)'!$B$1:$J$433"}</definedName>
    <definedName name="오빠" localSheetId="2" hidden="1">{"'Jibu9811 (3)'!$B$1:$J$433"}</definedName>
    <definedName name="오빠" hidden="1">{"'Jibu9811 (3)'!$B$1:$J$433"}</definedName>
    <definedName name="오서방" localSheetId="6" hidden="1">{#N/A,#N/A,FALSE,"97년 투자계획 세부내역 "}</definedName>
    <definedName name="오서방" localSheetId="2" hidden="1">{#N/A,#N/A,FALSE,"97년 투자계획 세부내역 "}</definedName>
    <definedName name="오서방" hidden="1">{#N/A,#N/A,FALSE,"97년 투자계획 세부내역 "}</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6" hidden="1">{#N/A,#N/A,FALSE,"97년 투자계획 세부내역 "}</definedName>
    <definedName name="오세범" localSheetId="2" hidden="1">{#N/A,#N/A,FALSE,"97년 투자계획 세부내역 "}</definedName>
    <definedName name="오세범" hidden="1">{#N/A,#N/A,FALSE,"97년 투자계획 세부내역 "}</definedName>
    <definedName name="오세범1" localSheetId="6"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6"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6"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6" hidden="1">{#N/A,#N/A,FALSE,"기안지";#N/A,#N/A,FALSE,"통신지"}</definedName>
    <definedName name="오수토공" localSheetId="2" hidden="1">{#N/A,#N/A,FALSE,"기안지";#N/A,#N/A,FALSE,"통신지"}</definedName>
    <definedName name="오수토공" hidden="1">{#N/A,#N/A,FALSE,"기안지";#N/A,#N/A,FALSE,"통신지"}</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localSheetId="2" hidden="1">{#N/A,#N/A,FALSE,"이태원철근"}</definedName>
    <definedName name="옥외공사" hidden="1">{#N/A,#N/A,FALSE,"이태원철근"}</definedName>
    <definedName name="옥외대비" localSheetId="2" hidden="1">{#N/A,#N/A,FALSE,"이태원철근"}</definedName>
    <definedName name="옥외대비" hidden="1">{#N/A,#N/A,FALSE,"이태원철근"}</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6" hidden="1">{#N/A,#N/A,FALSE,"인원";#N/A,#N/A,FALSE,"비용2";#N/A,#N/A,FALSE,"비용1";#N/A,#N/A,FALSE,"비용";#N/A,#N/A,FALSE,"보증2";#N/A,#N/A,FALSE,"보증1";#N/A,#N/A,FALSE,"보증";#N/A,#N/A,FALSE,"손익1";#N/A,#N/A,FALSE,"손익";#N/A,#N/A,FALSE,"부서별매출";#N/A,#N/A,FALSE,"매출"}</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6" hidden="1">{#N/A,#N/A,FALSE,"1.CRITERIA";#N/A,#N/A,FALSE,"2.IS";#N/A,#N/A,FALSE,"3.BS";#N/A,#N/A,FALSE,"4.PER PL";#N/A,#N/A,FALSE,"5.INVESTMENT";#N/A,#N/A,FALSE,"6.공문";#N/A,#N/A,FALSE,"7.netinvest"}</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6" hidden="1">{#N/A,#N/A,FALSE,"BS";#N/A,#N/A,FALSE,"PL";#N/A,#N/A,FALSE,"처분";#N/A,#N/A,FALSE,"현금";#N/A,#N/A,FALSE,"매출";#N/A,#N/A,FALSE,"원가";#N/A,#N/A,FALSE,"경영"}</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6"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localSheetId="2" hidden="1">{#N/A,#N/A,FALSE,"단축1";#N/A,#N/A,FALSE,"단축2";#N/A,#N/A,FALSE,"단축3";#N/A,#N/A,FALSE,"장축";#N/A,#N/A,FALSE,"4WD"}</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6"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6"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외주공과잡비">#REF!</definedName>
    <definedName name="외화"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6" hidden="1">{#N/A,#N/A,FALSE,"Aging Summary";#N/A,#N/A,FALSE,"Ratio Analysis";#N/A,#N/A,FALSE,"Test 120 Day Accts";#N/A,#N/A,FALSE,"Tickmarks"}</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6"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localSheetId="2" hidden="1">{#N/A,#N/A,FALSE,"정공"}</definedName>
    <definedName name="외화환차" hidden="1">{#N/A,#N/A,FALSE,"정공"}</definedName>
    <definedName name="외화환차1" localSheetId="2" hidden="1">{#N/A,#N/A,FALSE,"정공"}</definedName>
    <definedName name="외화환차1" hidden="1">{#N/A,#N/A,FALSE,"정공"}</definedName>
    <definedName name="요" localSheetId="6"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localSheetId="2" hidden="1">{#N/A,#N/A,FALSE,"단축1";#N/A,#N/A,FALSE,"단축2";#N/A,#N/A,FALSE,"단축3";#N/A,#N/A,FALSE,"장축";#N/A,#N/A,FALSE,"4WD"}</definedName>
    <definedName name="요구사항" hidden="1">{#N/A,#N/A,FALSE,"단축1";#N/A,#N/A,FALSE,"단축2";#N/A,#N/A,FALSE,"단축3";#N/A,#N/A,FALSE,"장축";#N/A,#N/A,FALSE,"4WD"}</definedName>
    <definedName name="요섟언">#N/A</definedName>
    <definedName name="요약" localSheetId="6" hidden="1">{#N/A,#N/A,FALSE,"정공"}</definedName>
    <definedName name="요약" localSheetId="2" hidden="1">{#N/A,#N/A,FALSE,"정공"}</definedName>
    <definedName name="요약" hidden="1">{#N/A,#N/A,FALSE,"정공"}</definedName>
    <definedName name="요약." localSheetId="6" hidden="1">{"'매출이익'!$A$24:$K$45"}</definedName>
    <definedName name="요약." localSheetId="2" hidden="1">{"'매출이익'!$A$24:$K$45"}</definedName>
    <definedName name="요약." hidden="1">{"'매출이익'!$A$24:$K$45"}</definedName>
    <definedName name="요약1차">#REF!,#REF!</definedName>
    <definedName name="요약2차">#REF!,#REF!</definedName>
    <definedName name="요약3" localSheetId="6" hidden="1">{#N/A,#N/A,FALSE,"정공"}</definedName>
    <definedName name="요약3" localSheetId="2" hidden="1">{#N/A,#N/A,FALSE,"정공"}</definedName>
    <definedName name="요약3" hidden="1">{#N/A,#N/A,FALSE,"정공"}</definedName>
    <definedName name="요약4" localSheetId="6" hidden="1">{"'매출이익'!$A$24:$K$45"}</definedName>
    <definedName name="요약4" localSheetId="2" hidden="1">{"'매출이익'!$A$24:$K$45"}</definedName>
    <definedName name="요약4" hidden="1">{"'매출이익'!$A$24:$K$45"}</definedName>
    <definedName name="요약5" localSheetId="6" hidden="1">{"'매출이익'!$A$24:$K$45"}</definedName>
    <definedName name="요약5" localSheetId="2" hidden="1">{#N/A,#N/A,FALSE,"정공"}</definedName>
    <definedName name="요약5" hidden="1">{"'매출이익'!$A$24:$K$45"}</definedName>
    <definedName name="요약총괄" localSheetId="2" hidden="1">{#N/A,#N/A,FALSE,"정공"}</definedName>
    <definedName name="요약총괄" hidden="1">{#N/A,#N/A,FALSE,"정공"}</definedName>
    <definedName name="요율">#REF!</definedName>
    <definedName name="요율인쇄">#REF!</definedName>
    <definedName name="요인비교차종1" localSheetId="2" hidden="1">{#N/A,#N/A,FALSE,"단축1";#N/A,#N/A,FALSE,"단축2";#N/A,#N/A,FALSE,"단축3";#N/A,#N/A,FALSE,"장축";#N/A,#N/A,FALSE,"4WD"}</definedName>
    <definedName name="요인비교차종1" hidden="1">{#N/A,#N/A,FALSE,"단축1";#N/A,#N/A,FALSE,"단축2";#N/A,#N/A,FALSE,"단축3";#N/A,#N/A,FALSE,"장축";#N/A,#N/A,FALSE,"4WD"}</definedName>
    <definedName name="요인비교차종별1" localSheetId="2" hidden="1">{#N/A,#N/A,FALSE,"단축1";#N/A,#N/A,FALSE,"단축2";#N/A,#N/A,FALSE,"단축3";#N/A,#N/A,FALSE,"장축";#N/A,#N/A,FALSE,"4WD"}</definedName>
    <definedName name="요인비교차종별1" hidden="1">{#N/A,#N/A,FALSE,"단축1";#N/A,#N/A,FALSE,"단축2";#N/A,#N/A,FALSE,"단축3";#N/A,#N/A,FALSE,"장축";#N/A,#N/A,FALSE,"4WD"}</definedName>
    <definedName name="용" localSheetId="6" hidden="1">{#N/A,#N/A,FALSE,"P.C.B"}</definedName>
    <definedName name="용" localSheetId="2" hidden="1">{#N/A,#N/A,FALSE,"P.C.B"}</definedName>
    <definedName name="용" hidden="1">{#N/A,#N/A,FALSE,"P.C.B"}</definedName>
    <definedName name="용도차" localSheetId="2" hidden="1">{#N/A,#N/A,FALSE,"단축1";#N/A,#N/A,FALSE,"단축2";#N/A,#N/A,FALSE,"단축3";#N/A,#N/A,FALSE,"장축";#N/A,#N/A,FALSE,"4WD"}</definedName>
    <definedName name="용도차" hidden="1">{#N/A,#N/A,FALSE,"단축1";#N/A,#N/A,FALSE,"단축2";#N/A,#N/A,FALSE,"단축3";#N/A,#N/A,FALSE,"장축";#N/A,#N/A,FALSE,"4WD"}</definedName>
    <definedName name="용수로">#REF!</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2">[0]!BlankMacro1</definedName>
    <definedName name="용역">#REF!</definedName>
    <definedName name="용인">#REF!</definedName>
    <definedName name="용접">#REF!</definedName>
    <definedName name="용접공">#REF!</definedName>
    <definedName name="우" localSheetId="2" hidden="1">{#N/A,#N/A,TRUE,"경전'96(1)";#N/A,#N/A,TRUE,"경전'96 (2)"}</definedName>
    <definedName name="우" hidden="1">{#N/A,#N/A,TRUE,"경전'96(1)";#N/A,#N/A,TRUE,"경전'96 (2)"}</definedName>
    <definedName name="우라" localSheetId="2" hidden="1">{"'Sheet1'!$A$1:$D$15"}</definedName>
    <definedName name="우라" hidden="1">{"'Sheet1'!$A$1:$D$15"}</definedName>
    <definedName name="우리" localSheetId="6" hidden="1">{#N/A,#N/A,FALSE,"인원";#N/A,#N/A,FALSE,"비용2";#N/A,#N/A,FALSE,"비용1";#N/A,#N/A,FALSE,"비용";#N/A,#N/A,FALSE,"보증2";#N/A,#N/A,FALSE,"보증1";#N/A,#N/A,FALSE,"보증";#N/A,#N/A,FALSE,"손익1";#N/A,#N/A,FALSE,"손익";#N/A,#N/A,FALSE,"부서별매출";#N/A,#N/A,FALSE,"매출"}</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localSheetId="2" hidden="1">{#N/A,#N/A,FALSE,"기안지";#N/A,#N/A,FALSE,"통신지"}</definedName>
    <definedName name="우오수공" hidden="1">{#N/A,#N/A,FALSE,"기안지";#N/A,#N/A,FALSE,"통신지"}</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경비계힉" localSheetId="2">BlankMacro1</definedName>
    <definedName name="운영경비계힉">BlankMacro1</definedName>
    <definedName name="운영방안" localSheetId="2" hidden="1">{#N/A,#N/A,FALSE,"단축1";#N/A,#N/A,FALSE,"단축2";#N/A,#N/A,FALSE,"단축3";#N/A,#N/A,FALSE,"장축";#N/A,#N/A,FALSE,"4WD"}</definedName>
    <definedName name="운영방안" hidden="1">{#N/A,#N/A,FALSE,"단축1";#N/A,#N/A,FALSE,"단축2";#N/A,#N/A,FALSE,"단축3";#N/A,#N/A,FALSE,"장축";#N/A,#N/A,FALSE,"4WD"}</definedName>
    <definedName name="운영비증가율">#REF!</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6" hidden="1">{#N/A,#N/A,TRUE,"Y생산";#N/A,#N/A,TRUE,"Y판매";#N/A,#N/A,TRUE,"Y총물량";#N/A,#N/A,TRUE,"Y능력";#N/A,#N/A,TRUE,"YKD"}</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6" hidden="1">{#N/A,#N/A,FALSE,"1.CRITERIA";#N/A,#N/A,FALSE,"2.IS";#N/A,#N/A,FALSE,"3.BS";#N/A,#N/A,FALSE,"4.PER PL";#N/A,#N/A,FALSE,"5.INVESTMENT";#N/A,#N/A,FALSE,"6.공문";#N/A,#N/A,FALSE,"7.netinvest"}</definedName>
    <definedName name="원가" localSheetId="2">BlankMacro1</definedName>
    <definedName name="원가" hidden="1">{#N/A,#N/A,FALSE,"1.CRITERIA";#N/A,#N/A,FALSE,"2.IS";#N/A,#N/A,FALSE,"3.BS";#N/A,#N/A,FALSE,"4.PER PL";#N/A,#N/A,FALSE,"5.INVESTMENT";#N/A,#N/A,FALSE,"6.공문";#N/A,#N/A,FALSE,"7.netinvest"}</definedName>
    <definedName name="원가개선" localSheetId="2">[0]!BlankMacro1</definedName>
    <definedName name="원가개선">#REF!</definedName>
    <definedName name="원가관리라" localSheetId="6" hidden="1">{#N/A,#N/A,FALSE,"정공"}</definedName>
    <definedName name="원가관리라" localSheetId="2" hidden="1">{#N/A,#N/A,FALSE,"정공"}</definedName>
    <definedName name="원가관리라" hidden="1">{#N/A,#N/A,FALSE,"정공"}</definedName>
    <definedName name="원가분석" localSheetId="6"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6" hidden="1">{#N/A,#N/A,FALSE,"정공"}</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6" hidden="1">{#N/A,#N/A,FALSE,"범우구미";#N/A,#N/A,FALSE,"세한케미칼";#N/A,#N/A,FALSE,"세명화학";#N/A,#N/A,FALSE,"신영케미칼";#N/A,#N/A,FALSE,"일석상사"}</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6"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localSheetId="2" hidden="1">{#N/A,#N/A,FALSE,"이태원철근"}</definedName>
    <definedName name="월드건설" hidden="1">{#N/A,#N/A,FALSE,"이태원철근"}</definedName>
    <definedName name="월말" localSheetId="6"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6" hidden="1">{#N/A,#N/A,FALSE,"97년 투자계획 세부내역 "}</definedName>
    <definedName name="월별매출3" localSheetId="2" hidden="1">{#N/A,#N/A,FALSE,"97년 투자계획 세부내역 "}</definedName>
    <definedName name="월별매출3" hidden="1">{#N/A,#N/A,FALSE,"97년 투자계획 세부내역 "}</definedName>
    <definedName name="월별목" localSheetId="6" hidden="1">{"'Jibu9811 (3)'!$B$1:$J$433"}</definedName>
    <definedName name="월별목" localSheetId="2" hidden="1">{"'Jibu9811 (3)'!$B$1:$J$433"}</definedName>
    <definedName name="월별목" hidden="1">{"'Jibu9811 (3)'!$B$1:$J$433"}</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6"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 hidden="1">{#N/A,#N/A,FALSE,"정공"}</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6" hidden="1">{#N/A,#N/A,FALSE,"97년 투자계획 세부내역 "}</definedName>
    <definedName name="유" localSheetId="2" hidden="1">{#N/A,#N/A,FALSE,"97년 투자계획 세부내역 "}</definedName>
    <definedName name="유" hidden="1">{#N/A,#N/A,FALSE,"97년 투자계획 세부내역 "}</definedName>
    <definedName name="유가" localSheetId="6"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6"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6"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6" hidden="1">{#N/A,#N/A,FALSE,"채권채무";#N/A,#N/A,FALSE,"control sheet"}</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6" hidden="1">{#N/A,#N/A,FALSE,"BS";#N/A,#N/A,FALSE,"PL";#N/A,#N/A,FALSE,"처분";#N/A,#N/A,FALSE,"현금";#N/A,#N/A,FALSE,"매출";#N/A,#N/A,FALSE,"원가";#N/A,#N/A,FALSE,"경영"}</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6"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 localSheetId="2">BlankMacro1</definedName>
    <definedName name="유동자산">BlankMacro1</definedName>
    <definedName name="유럽별도" localSheetId="2" hidden="1">{#N/A,#N/A,FALSE,"단축1";#N/A,#N/A,FALSE,"단축2";#N/A,#N/A,FALSE,"단축3";#N/A,#N/A,FALSE,"장축";#N/A,#N/A,FALSE,"4WD"}</definedName>
    <definedName name="유럽별도" hidden="1">{#N/A,#N/A,FALSE,"단축1";#N/A,#N/A,FALSE,"단축2";#N/A,#N/A,FALSE,"단축3";#N/A,#N/A,FALSE,"장축";#N/A,#N/A,FALSE,"4WD"}</definedName>
    <definedName name="유산" hidden="1">#REF!</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6"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6" hidden="1">{#N/A,#N/A,FALSE,"97년 투자계획 세부내역 "}</definedName>
    <definedName name="유지니" localSheetId="2" hidden="1">{#N/A,#N/A,FALSE,"97년 투자계획 세부내역 "}</definedName>
    <definedName name="유지니" hidden="1">{#N/A,#N/A,FALSE,"97년 투자계획 세부내역 "}</definedName>
    <definedName name="유지니네" localSheetId="6"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6"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6" hidden="1">{#N/A,#N/A,FALSE,"9612"}</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6" hidden="1">{#N/A,#N/A,FALSE,"채권채무";#N/A,#N/A,FALSE,"control sheet"}</definedName>
    <definedName name="유형자산." localSheetId="2" hidden="1">{#N/A,#N/A,FALSE,"채권채무";#N/A,#N/A,FALSE,"control sheet"}</definedName>
    <definedName name="유형자산." hidden="1">{#N/A,#N/A,FALSE,"채권채무";#N/A,#N/A,FALSE,"control sheet"}</definedName>
    <definedName name="유형자산명세"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6" hidden="1">{#N/A,#N/A,FALSE,"매출이익"}</definedName>
    <definedName name="유화처분" localSheetId="2" hidden="1">{#N/A,#N/A,FALSE,"매출이익"}</definedName>
    <definedName name="유화처분" hidden="1">{#N/A,#N/A,FALSE,"매출이익"}</definedName>
    <definedName name="유효" localSheetId="6" hidden="1">{#N/A,#N/A,FALSE,"초중조사서식 "}</definedName>
    <definedName name="유효" localSheetId="2" hidden="1">#REF!</definedName>
    <definedName name="유효" hidden="1">{#N/A,#N/A,FALSE,"초중조사서식 "}</definedName>
    <definedName name="유휴율95">#REF!</definedName>
    <definedName name="유휴율96">#REF!</definedName>
    <definedName name="유휴율97">#REF!</definedName>
    <definedName name="윤소원" localSheetId="6" hidden="1">{"'Jibu9811 (3)'!$B$1:$J$433"}</definedName>
    <definedName name="윤소원" localSheetId="2" hidden="1">{"'Jibu9811 (3)'!$B$1:$J$433"}</definedName>
    <definedName name="윤소원" hidden="1">{"'Jibu9811 (3)'!$B$1:$J$433"}</definedName>
    <definedName name="윤정문" hidden="1">#REF!</definedName>
    <definedName name="율리1총괄표"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2" hidden="1">{#N/A,#N/A,TRUE,"경전'96(1)";#N/A,#N/A,TRUE,"경전'96 (2)"}</definedName>
    <definedName name="의" hidden="1">{#N/A,#N/A,TRUE,"경전'96(1)";#N/A,#N/A,TRUE,"경전'96 (2)"}</definedName>
    <definedName name="의정부">#REF!</definedName>
    <definedName name="이" localSheetId="6" hidden="1">{#N/A,#N/A,FALSE,"BS";#N/A,#N/A,FALSE,"PL";#N/A,#N/A,FALSE,"처분";#N/A,#N/A,FALSE,"현금";#N/A,#N/A,FALSE,"매출";#N/A,#N/A,FALSE,"원가";#N/A,#N/A,FALSE,"경영"}</definedName>
    <definedName name="이" localSheetId="2" hidden="1">{#N/A,#N/A,FALSE,"Sheet1"}</definedName>
    <definedName name="이" hidden="1">{#N/A,#N/A,FALSE,"BS";#N/A,#N/A,FALSE,"PL";#N/A,#N/A,FALSE,"처분";#N/A,#N/A,FALSE,"현금";#N/A,#N/A,FALSE,"매출";#N/A,#N/A,FALSE,"원가";#N/A,#N/A,FALSE,"경영"}</definedName>
    <definedName name="이건형" localSheetId="2" hidden="1">{#N/A,#N/A,FALSE,"단축1";#N/A,#N/A,FALSE,"단축2";#N/A,#N/A,FALSE,"단축3";#N/A,#N/A,FALSE,"장축";#N/A,#N/A,FALSE,"4WD"}</definedName>
    <definedName name="이건형" hidden="1">{#N/A,#N/A,FALSE,"단축1";#N/A,#N/A,FALSE,"단축2";#N/A,#N/A,FALSE,"단축3";#N/A,#N/A,FALSE,"장축";#N/A,#N/A,FALSE,"4WD"}</definedName>
    <definedName name="이겅ㄴ" localSheetId="2"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localSheetId="2" hidden="1">{#N/A,#N/A,FALSE,"단축1";#N/A,#N/A,FALSE,"단축2";#N/A,#N/A,FALSE,"단축3";#N/A,#N/A,FALSE,"장축";#N/A,#N/A,FALSE,"4WD"}</definedName>
    <definedName name="이국" hidden="1">{#N/A,#N/A,FALSE,"단축1";#N/A,#N/A,FALSE,"단축2";#N/A,#N/A,FALSE,"단축3";#N/A,#N/A,FALSE,"장축";#N/A,#N/A,FALSE,"4WD"}</definedName>
    <definedName name="이근" localSheetId="2" hidden="1">{#N/A,#N/A,FALSE,"단축1";#N/A,#N/A,FALSE,"단축2";#N/A,#N/A,FALSE,"단축3";#N/A,#N/A,FALSE,"장축";#N/A,#N/A,FALSE,"4WD"}</definedName>
    <definedName name="이근" hidden="1">{#N/A,#N/A,FALSE,"단축1";#N/A,#N/A,FALSE,"단축2";#N/A,#N/A,FALSE,"단축3";#N/A,#N/A,FALSE,"장축";#N/A,#N/A,FALSE,"4WD"}</definedName>
    <definedName name="이근우" localSheetId="6"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동" localSheetId="6" hidden="1">{#N/A,#N/A,FALSE,"을지 (4)";#N/A,#N/A,FALSE,"을지 (5)";#N/A,#N/A,FALSE,"을지 (6)"}</definedName>
    <definedName name="이동" localSheetId="2" hidden="1">{#N/A,#N/A,FALSE,"을지 (4)";#N/A,#N/A,FALSE,"을지 (5)";#N/A,#N/A,FALSE,"을지 (6)"}</definedName>
    <definedName name="이동" hidden="1">{#N/A,#N/A,FALSE,"을지 (4)";#N/A,#N/A,FALSE,"을지 (5)";#N/A,#N/A,FALSE,"을지 (6)"}</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런" localSheetId="6" hidden="1">{"'보고양식'!$A$58:$K$111"}</definedName>
    <definedName name="이런" localSheetId="2" hidden="1">{"'보고양식'!$A$58:$K$111"}</definedName>
    <definedName name="이런" hidden="1">{"'보고양식'!$A$58:$K$111"}</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6" hidden="1">{#N/A,#N/A,FALSE,"UNIT";#N/A,#N/A,FALSE,"UNIT";#N/A,#N/A,FALSE,"계정"}</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6" hidden="1">{#N/A,#N/A,FALSE,"범우구미";#N/A,#N/A,FALSE,"세한케미칼";#N/A,#N/A,FALSE,"세명화학";#N/A,#N/A,FALSE,"신영케미칼";#N/A,#N/A,FALSE,"일석상사"}</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6"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localSheetId="2" hidden="1">{#N/A,#N/A,FALSE,"단축1";#N/A,#N/A,FALSE,"단축2";#N/A,#N/A,FALSE,"단축3";#N/A,#N/A,FALSE,"장축";#N/A,#N/A,FALSE,"4WD"}</definedName>
    <definedName name="이선유" hidden="1">{#N/A,#N/A,FALSE,"단축1";#N/A,#N/A,FALSE,"단축2";#N/A,#N/A,FALSE,"단축3";#N/A,#N/A,FALSE,"장축";#N/A,#N/A,FALSE,"4WD"}</definedName>
    <definedName name="이설공사_광양07호_시설진행중" localSheetId="2">BLCH</definedName>
    <definedName name="이설공사_광양07호_시설진행중">BLCH</definedName>
    <definedName name="이성일" localSheetId="6" hidden="1">{"'5국공정'!$A$1:$E$128"}</definedName>
    <definedName name="이성일" localSheetId="2" hidden="1">{"'5국공정'!$A$1:$E$128"}</definedName>
    <definedName name="이성일" hidden="1">{"'5국공정'!$A$1:$E$128"}</definedName>
    <definedName name="이소" hidden="1">#REF!</definedName>
    <definedName name="이소영" hidden="1">#REF!</definedName>
    <definedName name="이슈" localSheetId="6" hidden="1">{#N/A,#N/A,TRUE,"일정"}</definedName>
    <definedName name="이슈" localSheetId="2" hidden="1">{#N/A,#N/A,TRUE,"일정"}</definedName>
    <definedName name="이슈" hidden="1">{#N/A,#N/A,TRUE,"일정"}</definedName>
    <definedName name="이시혁" localSheetId="2" hidden="1">{#N/A,#N/A,FALSE,"단축1";#N/A,#N/A,FALSE,"단축2";#N/A,#N/A,FALSE,"단축3";#N/A,#N/A,FALSE,"장축";#N/A,#N/A,FALSE,"4WD"}</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 localSheetId="2">BlankMacro1</definedName>
    <definedName name="이유림">BlankMacro1</definedName>
    <definedName name="이윤">#REF!</definedName>
    <definedName name="이윤율">#REF!</definedName>
    <definedName name="이율">#REF!</definedName>
    <definedName name="이이" localSheetId="6" hidden="1">{#N/A,#N/A,TRUE,"Y생산";#N/A,#N/A,TRUE,"Y판매";#N/A,#N/A,TRUE,"Y총물량";#N/A,#N/A,TRUE,"Y능력";#N/A,#N/A,TRUE,"YKD"}</definedName>
    <definedName name="이이" localSheetId="2">BlankMacro1</definedName>
    <definedName name="이이" hidden="1">{#N/A,#N/A,TRUE,"Y생산";#N/A,#N/A,TRUE,"Y판매";#N/A,#N/A,TRUE,"Y총물량";#N/A,#N/A,TRUE,"Y능력";#N/A,#N/A,TRUE,"YKD"}</definedName>
    <definedName name="이이이" localSheetId="2" hidden="1">{#N/A,#N/A,FALSE,"단축1";#N/A,#N/A,FALSE,"단축2";#N/A,#N/A,FALSE,"단축3";#N/A,#N/A,FALSE,"장축";#N/A,#N/A,FALSE,"4WD"}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6" hidden="1">{#N/A,#N/A,FALSE,"현장 NCR 분석";#N/A,#N/A,FALSE,"현장품질감사";#N/A,#N/A,FALSE,"현장품질감사"}</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6"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localSheetId="2" hidden="1">{#N/A,#N/A,FALSE,"지침";#N/A,#N/A,FALSE,"환경분석";#N/A,#N/A,FALSE,"Sheet16"}</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 localSheetId="2">BlankMacro1</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6" hidden="1">{#N/A,#N/A,FALSE,"범우구미";#N/A,#N/A,FALSE,"세한케미칼";#N/A,#N/A,FALSE,"세명화학";#N/A,#N/A,FALSE,"신영케미칼";#N/A,#N/A,FALSE,"일석상사"}</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6" hidden="1">{#N/A,#N/A,FALSE,"Aging Summary";#N/A,#N/A,FALSE,"Ratio Analysis";#N/A,#N/A,FALSE,"Test 120 Day Accts";#N/A,#N/A,FALSE,"Tickmarks"}</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localSheetId="2" hidden="1">{#N/A,#N/A,FALSE,"Sheet1"}</definedName>
    <definedName name="인" hidden="1">{#N/A,#N/A,FALSE,"Sheet1"}</definedName>
    <definedName name="인공">#REF!</definedName>
    <definedName name="인니" localSheetId="6" hidden="1">{#N/A,#N/A,FALSE,"UNIT";#N/A,#N/A,FALSE,"UNIT";#N/A,#N/A,FALSE,"계정"}</definedName>
    <definedName name="인니" localSheetId="2" hidden="1">{#N/A,#N/A,FALSE,"UNIT";#N/A,#N/A,FALSE,"UNIT";#N/A,#N/A,FALSE,"계정"}</definedName>
    <definedName name="인니" hidden="1">{#N/A,#N/A,FALSE,"UNIT";#N/A,#N/A,FALSE,"UNIT";#N/A,#N/A,FALSE,"계정"}</definedName>
    <definedName name="인당평균사원수" localSheetId="2" hidden="1">{#N/A,#N/A,TRUE,"경전'96(1)";#N/A,#N/A,TRUE,"경전'96 (2)"}</definedName>
    <definedName name="인당평균사원수" hidden="1">{#N/A,#N/A,TRUE,"경전'96(1)";#N/A,#N/A,TRUE,"경전'96 (2)"}</definedName>
    <definedName name="인당평균인원" localSheetId="2" hidden="1">{#N/A,#N/A,TRUE,"경전'96(1)";#N/A,#N/A,TRUE,"경전'96 (2)"}</definedName>
    <definedName name="인당평균인원" hidden="1">{#N/A,#N/A,TRUE,"경전'96(1)";#N/A,#N/A,TRUE,"경전'96 (2)"}</definedName>
    <definedName name="인도네시아" localSheetId="6" hidden="1">{#N/A,#N/A,FALSE,"UNIT";#N/A,#N/A,FALSE,"UNIT";#N/A,#N/A,FALSE,"계정"}</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localSheetId="2"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localSheetId="2" hidden="1">{#N/A,#N/A,FALSE,"단축1";#N/A,#N/A,FALSE,"단축2";#N/A,#N/A,FALSE,"단축3";#N/A,#N/A,FALSE,"장축";#N/A,#N/A,FALSE,"4WD"}</definedName>
    <definedName name="인상1안" hidden="1">{#N/A,#N/A,FALSE,"단축1";#N/A,#N/A,FALSE,"단축2";#N/A,#N/A,FALSE,"단축3";#N/A,#N/A,FALSE,"장축";#N/A,#N/A,FALSE,"4WD"}</definedName>
    <definedName name="인상익" localSheetId="2">BlankMacro1</definedName>
    <definedName name="인상익">BlankMacro1</definedName>
    <definedName name="인쇄BU" localSheetId="2" hidden="1">{#N/A,#N/A,FALSE,"지침";#N/A,#N/A,FALSE,"환경분석";#N/A,#N/A,FALSE,"Sheet16"}</definedName>
    <definedName name="인쇄BU" hidden="1">{#N/A,#N/A,FALSE,"지침";#N/A,#N/A,FALSE,"환경분석";#N/A,#N/A,FALSE,"Sheet16"}</definedName>
    <definedName name="인쇄영역">#REF!,#REF!,#REF!</definedName>
    <definedName name="인우너" localSheetId="2" hidden="1">{#N/A,#N/A,TRUE,"경전'96(1)";#N/A,#N/A,TRUE,"경전'96 (2)"}</definedName>
    <definedName name="인우너" hidden="1">{#N/A,#N/A,TRUE,"경전'96(1)";#N/A,#N/A,TRUE,"경전'96 (2)"}</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localSheetId="2" hidden="1">{"'BSC(2001)'!$A$27:$G$32"}</definedName>
    <definedName name="인원증감" hidden="1">{"'BSC(2001)'!$A$27:$G$32"}</definedName>
    <definedName name="인원충원사유" localSheetId="6" hidden="1">{#N/A,#N/A,FALSE,"계약직(여)"}</definedName>
    <definedName name="인원충원사유" localSheetId="2" hidden="1">{#N/A,#N/A,FALSE,"계약직(여)"}</definedName>
    <definedName name="인원충원사유" hidden="1">{#N/A,#N/A,FALSE,"계약직(여)"}</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6" hidden="1">{#N/A,#N/A,TRUE,"Y생산";#N/A,#N/A,TRUE,"Y판매";#N/A,#N/A,TRUE,"Y총물량";#N/A,#N/A,TRUE,"Y능력";#N/A,#N/A,TRUE,"YKD"}</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hidden="1">#REF!</definedName>
    <definedName name="일반1" hidden="1">#REF!</definedName>
    <definedName name="一般管理" localSheetId="6" hidden="1">{"'買掛金'!$J$6"}</definedName>
    <definedName name="一般管理" localSheetId="2" hidden="1">{"'買掛金'!$J$6"}</definedName>
    <definedName name="一般管理" hidden="1">{"'買掛金'!$J$6"}</definedName>
    <definedName name="일반관리비" localSheetId="2" hidden="1">{#N/A,#N/A,FALSE,"Sheet1"}</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 localSheetId="2">BlankMacro1</definedName>
    <definedName name="일산사업팀">BlankMacro1</definedName>
    <definedName name="일용직">#REF!</definedName>
    <definedName name="일위" localSheetId="2">#REF!,#REF!</definedName>
    <definedName name="일위" hidden="1">#REF!</definedName>
    <definedName name="일위단가">#REF!</definedName>
    <definedName name="일위대가표">#REF!</definedName>
    <definedName name="일이ㅏㄹ" localSheetId="2" hidden="1">{#N/A,#N/A,FALSE,"단축1";#N/A,#N/A,FALSE,"단축2";#N/A,#N/A,FALSE,"단축3";#N/A,#N/A,FALSE,"장축";#N/A,#N/A,FALSE,"4WD"}</definedName>
    <definedName name="일이ㅏㄹ" hidden="1">{#N/A,#N/A,FALSE,"단축1";#N/A,#N/A,FALSE,"단축2";#N/A,#N/A,FALSE,"단축3";#N/A,#N/A,FALSE,"장축";#N/A,#N/A,FALSE,"4WD"}</definedName>
    <definedName name="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6" hidden="1">{#N/A,#N/A,FALSE,"단축1";#N/A,#N/A,FALSE,"단축2";#N/A,#N/A,FALSE,"단축3";#N/A,#N/A,FALSE,"장축";#N/A,#N/A,FALSE,"4WD"}</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localSheetId="2" hidden="1">{#N/A,#N/A,FALSE,"단축1";#N/A,#N/A,FALSE,"단축2";#N/A,#N/A,FALSE,"단축3";#N/A,#N/A,FALSE,"장축";#N/A,#N/A,FALSE,"4WD"}</definedName>
    <definedName name="일정1" hidden="1">{#N/A,#N/A,FALSE,"단축1";#N/A,#N/A,FALSE,"단축2";#N/A,#N/A,FALSE,"단축3";#N/A,#N/A,FALSE,"장축";#N/A,#N/A,FALSE,"4WD"}</definedName>
    <definedName name="일정3" localSheetId="2" hidden="1">{#N/A,#N/A,FALSE,"단축1";#N/A,#N/A,FALSE,"단축2";#N/A,#N/A,FALSE,"단축3";#N/A,#N/A,FALSE,"장축";#N/A,#N/A,FALSE,"4WD"}</definedName>
    <definedName name="일정3" hidden="1">{#N/A,#N/A,FALSE,"단축1";#N/A,#N/A,FALSE,"단축2";#N/A,#N/A,FALSE,"단축3";#N/A,#N/A,FALSE,"장축";#N/A,#N/A,FALSE,"4WD"}</definedName>
    <definedName name="일진" localSheetId="6" hidden="1">{#N/A,#N/A,FALSE,"BS";#N/A,#N/A,FALSE,"PL";#N/A,#N/A,FALSE,"처분";#N/A,#N/A,FALSE,"현금";#N/A,#N/A,FALSE,"매출";#N/A,#N/A,FALSE,"원가";#N/A,#N/A,FALSE,"경영"}</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6"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6" hidden="1">{#N/A,#N/A,FALSE,"BS";#N/A,#N/A,FALSE,"PL";#N/A,#N/A,FALSE,"A";#N/A,#N/A,FALSE,"B";#N/A,#N/A,FALSE,"B1";#N/A,#N/A,FALSE,"C";#N/A,#N/A,FALSE,"C1";#N/A,#N/A,FALSE,"C2";#N/A,#N/A,FALSE,"D";#N/A,#N/A,FALSE,"E";#N/A,#N/A,FALSE,"F";#N/A,#N/A,FALSE,"AA";#N/A,#N/A,FALSE,"BB";#N/A,#N/A,FALSE,"CC";#N/A,#N/A,FALSE,"DD";#N/A,#N/A,FALSE,"EE";#N/A,#N/A,FALSE,"FF";#N/A,#N/A,FALSE,"PL10";#N/A,#N/A,FALSE,"PL20";#N/A,#N/A,FALSE,"PL30"}</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6"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6"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6"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6" hidden="1">{#N/A,#N/A,FALSE,"BS";#N/A,#N/A,FALSE,"PL";#N/A,#N/A,FALSE,"처분";#N/A,#N/A,FALSE,"현금";#N/A,#N/A,FALSE,"매출";#N/A,#N/A,FALSE,"원가";#N/A,#N/A,FALSE,"경영"}</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6" hidden="1">{#N/A,#N/A,FALSE,"정공"}</definedName>
    <definedName name="임동원" localSheetId="2" hidden="1">{#N/A,#N/A,FALSE,"정공"}</definedName>
    <definedName name="임동원" hidden="1">{#N/A,#N/A,FALSE,"정공"}</definedName>
    <definedName name="임병길" localSheetId="2" hidden="1">{#N/A,#N/A,FALSE,"단축1";#N/A,#N/A,FALSE,"단축2";#N/A,#N/A,FALSE,"단축3";#N/A,#N/A,FALSE,"장축";#N/A,#N/A,FALSE,"4WD"}</definedName>
    <definedName name="임병길" hidden="1">{#N/A,#N/A,FALSE,"단축1";#N/A,#N/A,FALSE,"단축2";#N/A,#N/A,FALSE,"단축3";#N/A,#N/A,FALSE,"장축";#N/A,#N/A,FALSE,"4WD"}</definedName>
    <definedName name="임시" localSheetId="2">BLCH</definedName>
    <definedName name="임시">BLCH</definedName>
    <definedName name="임시2" localSheetId="2" hidden="1">{#N/A,#N/A,FALSE,"단축1";#N/A,#N/A,FALSE,"단축2";#N/A,#N/A,FALSE,"단축3";#N/A,#N/A,FALSE,"장축";#N/A,#N/A,FALSE,"4WD"}</definedName>
    <definedName name="임시2" hidden="1">{#N/A,#N/A,FALSE,"단축1";#N/A,#N/A,FALSE,"단축2";#N/A,#N/A,FALSE,"단축3";#N/A,#N/A,FALSE,"장축";#N/A,#N/A,FALSE,"4WD"}</definedName>
    <definedName name="임직">#REF!</definedName>
    <definedName name="임차2" localSheetId="2" hidden="1">{"'분양원가'!$B$1:$F$113"}</definedName>
    <definedName name="임차2">{"'분양원가'!$B$1:$F$113"}</definedName>
    <definedName name="임차보증금">#REF!</definedName>
    <definedName name="임차시설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6">{"XG6PR2"}</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6"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6"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localSheetId="2" hidden="1">{#N/A,#N/A,FALSE,"단축1";#N/A,#N/A,FALSE,"단축2";#N/A,#N/A,FALSE,"단축3";#N/A,#N/A,FALSE,"장축";#N/A,#N/A,FALSE,"4WD"}</definedName>
    <definedName name="ㅈ3ㄱㄷ" hidden="1">{#N/A,#N/A,FALSE,"단축1";#N/A,#N/A,FALSE,"단축2";#N/A,#N/A,FALSE,"단축3";#N/A,#N/A,FALSE,"장축";#N/A,#N/A,FALSE,"4WD"}</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6"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localSheetId="2" hidden="1">{"'용역비'!$A$4:$C$8"}</definedName>
    <definedName name="ㅈㄷㄱㄷㄱㄷ" hidden="1">{"'용역비'!$A$4:$C$8"}</definedName>
    <definedName name="ㅈㄷㄱㄷㄱ호ㅗ" localSheetId="6" hidden="1">{"'Jibu9811 (3)'!$B$1:$J$433"}</definedName>
    <definedName name="ㅈㄷㄱㄷㄱ호ㅗ" localSheetId="2" hidden="1">{"'Jibu9811 (3)'!$B$1:$J$433"}</definedName>
    <definedName name="ㅈㄷㄱㄷㄱ호ㅗ" hidden="1">{"'Jibu9811 (3)'!$B$1:$J$433"}</definedName>
    <definedName name="ㅈㄷㄱㅈ" localSheetId="2" hidden="1">{#N/A,#N/A,FALSE,"Sheet6"}</definedName>
    <definedName name="ㅈㄷㄱㅈ" hidden="1">{#N/A,#N/A,FALSE,"Sheet6"}</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localSheetId="2" hidden="1">{#N/A,#N/A,FALSE,"Sheet6"}</definedName>
    <definedName name="ㅈㄷㄳㅈㄷ" hidden="1">{#N/A,#N/A,FALSE,"Sheet6"}</definedName>
    <definedName name="ㅈㄷㄴ" localSheetId="2" hidden="1">{#N/A,#N/A,FALSE,"단축1";#N/A,#N/A,FALSE,"단축2";#N/A,#N/A,FALSE,"단축3";#N/A,#N/A,FALSE,"장축";#N/A,#N/A,FALSE,"4WD"}</definedName>
    <definedName name="ㅈㄷㄴ" hidden="1">{#N/A,#N/A,FALSE,"단축1";#N/A,#N/A,FALSE,"단축2";#N/A,#N/A,FALSE,"단축3";#N/A,#N/A,FALSE,"장축";#N/A,#N/A,FALSE,"4WD"}</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 localSheetId="2">BlankMacro1</definedName>
    <definedName name="ㅈㄿ">BlankMacro1</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6" hidden="1">{#N/A,#N/A,FALSE,"BS";#N/A,#N/A,FALSE,"PL";#N/A,#N/A,FALSE,"처분";#N/A,#N/A,FALSE,"현금";#N/A,#N/A,FALSE,"매출";#N/A,#N/A,FALSE,"원가";#N/A,#N/A,FALSE,"경영"}</definedName>
    <definedName name="ㅈㅈㅈ" localSheetId="2">BlankMacro1</definedName>
    <definedName name="ㅈㅈㅈ" hidden="1">{#N/A,#N/A,FALSE,"BS";#N/A,#N/A,FALSE,"PL";#N/A,#N/A,FALSE,"처분";#N/A,#N/A,FALSE,"현금";#N/A,#N/A,FALSE,"매출";#N/A,#N/A,FALSE,"원가";#N/A,#N/A,FALSE,"경영"}</definedName>
    <definedName name="ㅈㅈㅈㅈ" localSheetId="2" hidden="1">{#N/A,#N/A,TRUE,"Y생산";#N/A,#N/A,TRUE,"Y판매";#N/A,#N/A,TRUE,"Y총물량";#N/A,#N/A,TRUE,"Y능력";#N/A,#N/A,TRUE,"YKD"}</definedName>
    <definedName name="ㅈㅈㅈㅈ" hidden="1">{#N/A,#N/A,TRUE,"Y생산";#N/A,#N/A,TRUE,"Y판매";#N/A,#N/A,TRUE,"Y총물량";#N/A,#N/A,TRUE,"Y능력";#N/A,#N/A,TRUE,"YKD"}</definedName>
    <definedName name="ㅈㅈㅈㅈㅈ" localSheetId="2">BlankMacro1</definedName>
    <definedName name="ㅈㅈㅈㅈㅈ">BlankMacro1</definedName>
    <definedName name="ㅈㅈㅈㅈㅈㅈㅈㅈㅈㅈㅈㅈㅈㅈㅈㅈㅈㅈㅈ" localSheetId="6" hidden="1">{#N/A,#N/A,FALSE,"1.CRITERIA";#N/A,#N/A,FALSE,"2.IS";#N/A,#N/A,FALSE,"3.BS";#N/A,#N/A,FALSE,"4.PER PL";#N/A,#N/A,FALSE,"5.INVESTMENT";#N/A,#N/A,FALSE,"6.공문";#N/A,#N/A,FALSE,"7.netinvest"}</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6"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localSheetId="2" hidden="1">{#N/A,#N/A,TRUE,"경전'96(1)";#N/A,#N/A,TRUE,"경전'96 (2)"}</definedName>
    <definedName name="ㅈㅎㅎ" hidden="1">{#N/A,#N/A,TRUE,"경전'96(1)";#N/A,#N/A,TRUE,"경전'96 (2)"}</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 localSheetId="2">BlankMacro1</definedName>
    <definedName name="자동제어1차공량산출">BlankMacro1</definedName>
    <definedName name="자동화" localSheetId="6" hidden="1">{#N/A,#N/A,FALSE,"UNIT";#N/A,#N/A,FALSE,"UNIT";#N/A,#N/A,FALSE,"계정"}</definedName>
    <definedName name="자동화" localSheetId="2" hidden="1">{#N/A,#N/A,FALSE,"UNIT";#N/A,#N/A,FALSE,"UNIT";#N/A,#N/A,FALSE,"계정"}</definedName>
    <definedName name="자동화" hidden="1">{#N/A,#N/A,FALSE,"UNIT";#N/A,#N/A,FALSE,"UNIT";#N/A,#N/A,FALSE,"계정"}</definedName>
    <definedName name="자료" localSheetId="2" hidden="1">{#N/A,#N/A,FALSE,"단축1";#N/A,#N/A,FALSE,"단축2";#N/A,#N/A,FALSE,"단축3";#N/A,#N/A,FALSE,"장축";#N/A,#N/A,FALSE,"4WD"}</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6" hidden="1">{#N/A,#N/A,FALSE,"정공"}</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6"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6" hidden="1">{#N/A,#N/A,FALSE,"BS";#N/A,#N/A,FALSE,"PL";#N/A,#N/A,FALSE,"A";#N/A,#N/A,FALSE,"B";#N/A,#N/A,FALSE,"B1";#N/A,#N/A,FALSE,"C";#N/A,#N/A,FALSE,"C1";#N/A,#N/A,FALSE,"C2";#N/A,#N/A,FALSE,"D";#N/A,#N/A,FALSE,"E";#N/A,#N/A,FALSE,"F";#N/A,#N/A,FALSE,"AA";#N/A,#N/A,FALSE,"BB";#N/A,#N/A,FALSE,"CC";#N/A,#N/A,FALSE,"DD";#N/A,#N/A,FALSE,"EE";#N/A,#N/A,FALSE,"FF";#N/A,#N/A,FALSE,"PL10";#N/A,#N/A,FALSE,"PL20";#N/A,#N/A,FALSE,"PL30"}</definedName>
    <definedName name="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6"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localSheetId="2" hidden="1">{#N/A,#N/A,FALSE,"UNIT";#N/A,#N/A,FALSE,"UNIT";#N/A,#N/A,FALSE,"계정"}</definedName>
    <definedName name="자연" hidden="1">{#N/A,#N/A,FALSE,"UNIT";#N/A,#N/A,FALSE,"UNIT";#N/A,#N/A,FALSE,"계정"}</definedName>
    <definedName name="자이자">#REF!</definedName>
    <definedName name="자인원">#REF!</definedName>
    <definedName name="자잦" localSheetId="2" hidden="1">{#N/A,#N/A,FALSE,"단축1";#N/A,#N/A,FALSE,"단축2";#N/A,#N/A,FALSE,"단축3";#N/A,#N/A,FALSE,"장축";#N/A,#N/A,FALSE,"4WD"}</definedName>
    <definedName name="자잦" hidden="1">{#N/A,#N/A,FALSE,"단축1";#N/A,#N/A,FALSE,"단축2";#N/A,#N/A,FALSE,"단축3";#N/A,#N/A,FALSE,"장축";#N/A,#N/A,FALSE,"4WD"}</definedName>
    <definedName name="자재">#REF!</definedName>
    <definedName name="자재1" localSheetId="2" hidden="1">{#N/A,#N/A,FALSE,"단축1";#N/A,#N/A,FALSE,"단축2";#N/A,#N/A,FALSE,"단축3";#N/A,#N/A,FALSE,"장축";#N/A,#N/A,FALSE,"4WD"}</definedName>
    <definedName name="자재1" hidden="1">{#N/A,#N/A,FALSE,"단축1";#N/A,#N/A,FALSE,"단축2";#N/A,#N/A,FALSE,"단축3";#N/A,#N/A,FALSE,"장축";#N/A,#N/A,FALSE,"4WD"}</definedName>
    <definedName name="자재2" localSheetId="2" hidden="1">{#N/A,#N/A,FALSE,"단축1";#N/A,#N/A,FALSE,"단축2";#N/A,#N/A,FALSE,"단축3";#N/A,#N/A,FALSE,"장축";#N/A,#N/A,FALSE,"4WD"}</definedName>
    <definedName name="자재2" hidden="1">{#N/A,#N/A,FALSE,"단축1";#N/A,#N/A,FALSE,"단축2";#N/A,#N/A,FALSE,"단축3";#N/A,#N/A,FALSE,"장축";#N/A,#N/A,FALSE,"4WD"}</definedName>
    <definedName name="자재3" localSheetId="2" hidden="1">{#N/A,#N/A,FALSE,"단축1";#N/A,#N/A,FALSE,"단축2";#N/A,#N/A,FALSE,"단축3";#N/A,#N/A,FALSE,"장축";#N/A,#N/A,FALSE,"4WD"}</definedName>
    <definedName name="자재3" hidden="1">{#N/A,#N/A,FALSE,"단축1";#N/A,#N/A,FALSE,"단축2";#N/A,#N/A,FALSE,"단축3";#N/A,#N/A,FALSE,"장축";#N/A,#N/A,FALSE,"4WD"}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단가" localSheetId="2" hidden="1">{#N/A,#N/A,TRUE,"총괄"}</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 localSheetId="2">BlankMacro1</definedName>
    <definedName name="자재집계5">BlankMacro1</definedName>
    <definedName name="자재현황비교">#REF!</definedName>
    <definedName name="자진" hidden="1">#REF!</definedName>
    <definedName name="자챧" localSheetId="2">BlankMacro1</definedName>
    <definedName name="자챧">BlankMacro1</definedName>
    <definedName name="자챰" localSheetId="2">BlankMacro1</definedName>
    <definedName name="자챰">BlankMacro1</definedName>
    <definedName name="자판간접">#REF!</definedName>
    <definedName name="자회사" hidden="1">#REF!</definedName>
    <definedName name="작성자">#REF!</definedName>
    <definedName name="작성조서" localSheetId="6"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6" hidden="1">{#N/A,#N/A,FALSE,"정공"}</definedName>
    <definedName name="잔다르크" localSheetId="2" hidden="1">{#N/A,#N/A,FALSE,"정공"}</definedName>
    <definedName name="잔다르크" hidden="1">{#N/A,#N/A,FALSE,"정공"}</definedName>
    <definedName name="잔디_평떼">#REF!</definedName>
    <definedName name="잔액">#REF!</definedName>
    <definedName name="잔양" localSheetId="6" hidden="1">{#N/A,#N/A,FALSE,"P.C.B"}</definedName>
    <definedName name="잔양" localSheetId="2" hidden="1">{#N/A,#N/A,FALSE,"P.C.B"}</definedName>
    <definedName name="잔양" hidden="1">{#N/A,#N/A,FALSE,"P.C.B"}</definedName>
    <definedName name="잔존" localSheetId="6" hidden="1">{#N/A,#N/A,FALSE,"단축1";#N/A,#N/A,FALSE,"단축2";#N/A,#N/A,FALSE,"단축3";#N/A,#N/A,FALSE,"장축";#N/A,#N/A,FALSE,"4WD"}</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6" hidden="1">{"'買掛金'!$J$6"}</definedName>
    <definedName name="雑費" localSheetId="2" hidden="1">{"'買掛金'!$J$6"}</definedName>
    <definedName name="雑費" hidden="1">{"'買掛金'!$J$6"}</definedName>
    <definedName name="잡손실" localSheetId="6"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6" hidden="1">{#N/A,#N/A,FALSE,"UNIT";#N/A,#N/A,FALSE,"UNIT";#N/A,#N/A,FALSE,"계정"}</definedName>
    <definedName name="장VP" localSheetId="2" hidden="1">{#N/A,#N/A,FALSE,"UNIT";#N/A,#N/A,FALSE,"UNIT";#N/A,#N/A,FALSE,"계정"}</definedName>
    <definedName name="장VP" hidden="1">{#N/A,#N/A,FALSE,"UNIT";#N/A,#N/A,FALSE,"UNIT";#N/A,#N/A,FALSE,"계정"}</definedName>
    <definedName name="장구" localSheetId="2" hidden="1">{#N/A,#N/A,FALSE,"Sheet6"}</definedName>
    <definedName name="장구" hidden="1">{#N/A,#N/A,FALSE,"Sheet6"}</definedName>
    <definedName name="장기" localSheetId="6" hidden="1">{#N/A,#N/A,TRUE,"Y생산";#N/A,#N/A,TRUE,"Y판매";#N/A,#N/A,TRUE,"Y총물량";#N/A,#N/A,TRUE,"Y능력";#N/A,#N/A,TRUE,"YKD"}</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6" hidden="1">{#N/A,#N/A,FALSE,"UNIT";#N/A,#N/A,FALSE,"UNIT";#N/A,#N/A,FALSE,"계정"}</definedName>
    <definedName name="장기미수금" localSheetId="2" hidden="1">{#N/A,#N/A,FALSE,"UNIT";#N/A,#N/A,FALSE,"UNIT";#N/A,#N/A,FALSE,"계정"}</definedName>
    <definedName name="장기미수금" hidden="1">{#N/A,#N/A,FALSE,"UNIT";#N/A,#N/A,FALSE,"UNIT";#N/A,#N/A,FALSE,"계정"}</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6" hidden="1">{#N/A,#N/A,FALSE,"BS";#N/A,#N/A,FALSE,"PL";#N/A,#N/A,FALSE,"처분";#N/A,#N/A,FALSE,"현금";#N/A,#N/A,FALSE,"매출";#N/A,#N/A,FALSE,"원가";#N/A,#N/A,FALSE,"경영"}</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6" hidden="1">{"'買掛金'!$J$6"}</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localSheetId="2" hidden="1">{#N/A,#N/A,FALSE,"단축1";#N/A,#N/A,FALSE,"단축2";#N/A,#N/A,FALSE,"단축3";#N/A,#N/A,FALSE,"장축";#N/A,#N/A,FALSE,"4WD"}</definedName>
    <definedName name="장호대" hidden="1">{#N/A,#N/A,FALSE,"단축1";#N/A,#N/A,FALSE,"단축2";#N/A,#N/A,FALSE,"단축3";#N/A,#N/A,FALSE,"장축";#N/A,#N/A,FALSE,"4WD"}</definedName>
    <definedName name="재" localSheetId="6" hidden="1">{#N/A,#N/A,FALSE,"UNIT";#N/A,#N/A,FALSE,"UNIT";#N/A,#N/A,FALSE,"계정"}</definedName>
    <definedName name="재" localSheetId="2" hidden="1">{#N/A,#N/A,FALSE,"UNIT";#N/A,#N/A,FALSE,"UNIT";#N/A,#N/A,FALSE,"계정"}</definedName>
    <definedName name="재" hidden="1">{#N/A,#N/A,FALSE,"UNIT";#N/A,#N/A,FALSE,"UNIT";#N/A,#N/A,FALSE,"계정"}</definedName>
    <definedName name="재가ㅗㄹ" localSheetId="6" hidden="1">{#N/A,#N/A,FALSE,"배수1"}</definedName>
    <definedName name="재가ㅗㄹ" localSheetId="2" hidden="1">{#N/A,#N/A,FALSE,"배수1"}</definedName>
    <definedName name="재가ㅗㄹ" hidden="1">{#N/A,#N/A,FALSE,"배수1"}</definedName>
    <definedName name="재경" localSheetId="6" hidden="1">{#N/A,#N/A,FALSE,"UNIT";#N/A,#N/A,FALSE,"UNIT";#N/A,#N/A,FALSE,"계정"}</definedName>
    <definedName name="재경" localSheetId="2" hidden="1">{#N/A,#N/A,FALSE,"UNIT";#N/A,#N/A,FALSE,"UNIT";#N/A,#N/A,FALSE,"계정"}</definedName>
    <definedName name="재경" hidden="1">{#N/A,#N/A,FALSE,"UNIT";#N/A,#N/A,FALSE,"UNIT";#N/A,#N/A,FALSE,"계정"}</definedName>
    <definedName name="재고"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 hidden="1">{"'분양원가'!$B$1:$F$113"}</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6" hidden="1">{#N/A,#N/A,FALSE,"UNIT";#N/A,#N/A,FALSE,"UNIT";#N/A,#N/A,FALSE,"계정"}</definedName>
    <definedName name="재료" localSheetId="2" hidden="1">{#N/A,#N/A,FALSE,"UNIT";#N/A,#N/A,FALSE,"UNIT";#N/A,#N/A,FALSE,"계정"}</definedName>
    <definedName name="재료" hidden="1">{#N/A,#N/A,FALSE,"UNIT";#N/A,#N/A,FALSE,"UNIT";#N/A,#N/A,FALSE,"계정"}</definedName>
    <definedName name="재료비">#REF!</definedName>
    <definedName name="재료비RS" localSheetId="2" hidden="1">{#N/A,#N/A,FALSE,"단축1";#N/A,#N/A,FALSE,"단축2";#N/A,#N/A,FALSE,"단축3";#N/A,#N/A,FALSE,"장축";#N/A,#N/A,FALSE,"4WD"}</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6" hidden="1">{"'미착금액'!$A$4:$G$14"}</definedName>
    <definedName name="재재재" localSheetId="2" hidden="1">{"'미착금액'!$A$4:$G$14"}</definedName>
    <definedName name="재재재" hidden="1">{"'미착금액'!$A$4:$G$14"}</definedName>
    <definedName name="재쟏" localSheetId="6" hidden="1">{#N/A,#N/A,FALSE,"배수2"}</definedName>
    <definedName name="재쟏" localSheetId="2" hidden="1">{#N/A,#N/A,FALSE,"배수2"}</definedName>
    <definedName name="재쟏" hidden="1">{#N/A,#N/A,FALSE,"배수2"}</definedName>
    <definedName name="재직노">#REF!</definedName>
    <definedName name="재ㅔㅈ하" localSheetId="6" hidden="1">{#N/A,#N/A,FALSE,"부대1"}</definedName>
    <definedName name="재ㅔㅈ하" localSheetId="2" hidden="1">{#N/A,#N/A,FALSE,"부대1"}</definedName>
    <definedName name="재ㅔㅈ하" hidden="1">{#N/A,#N/A,FALSE,"부대1"}</definedName>
    <definedName name="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2" hidden="1">{#N/A,#N/A,FALSE,"정공"}</definedName>
    <definedName name="저1" hidden="1">{#N/A,#N/A,FALSE,"정공"}</definedName>
    <definedName name="저2" localSheetId="2"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6" hidden="1">{#N/A,#N/A,FALSE,"UNIT";#N/A,#N/A,FALSE,"UNIT";#N/A,#N/A,FALSE,"계정"}</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localSheetId="2"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6" hidden="1">{#N/A,#N/A,FALSE,"정공"}</definedName>
    <definedName name="전2" localSheetId="2" hidden="1">{#N/A,#N/A,FALSE,"정공"}</definedName>
    <definedName name="전2" hidden="1">{#N/A,#N/A,FALSE,"정공"}</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 localSheetId="2">BlankMacro1</definedName>
    <definedName name="전기공사원가">BlankMacro1</definedName>
    <definedName name="전기공사원가내역" localSheetId="2">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6" hidden="1">{"FORM1",#N/A,FALSE,"Revenue";"FORMTR",#N/A,FALSE,"Revenue";"FORM3.1",#N/A,FALSE,"Revenue"}</definedName>
    <definedName name="전도" localSheetId="2" hidden="1">{"FORM1",#N/A,FALSE,"Revenue";"FORMTR",#N/A,FALSE,"Revenue";"FORM3.1",#N/A,FALSE,"Revenue"}</definedName>
    <definedName name="전도" hidden="1">{"FORM1",#N/A,FALSE,"Revenue";"FORMTR",#N/A,FALSE,"Revenue";"FORM3.1",#N/A,FALSE,"Revenue"}</definedName>
    <definedName name="전도\" localSheetId="6" hidden="1">{"FORM17",#N/A,FALSE,"Commission1";"FORM17.1",#N/A,FALSE,"Commission2"}</definedName>
    <definedName name="전도\" localSheetId="2" hidden="1">{"FORM17",#N/A,FALSE,"Commission1";"FORM17.1",#N/A,FALSE,"Commission2"}</definedName>
    <definedName name="전도\" hidden="1">{"FORM17",#N/A,FALSE,"Commission1";"FORM17.1",#N/A,FALSE,"Commission2"}</definedName>
    <definedName name="전도금2" localSheetId="6"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6" hidden="1">{#N/A,#N/A,FALSE,"정공"}</definedName>
    <definedName name="전략" localSheetId="2" hidden="1">{#N/A,#N/A,FALSE,"정공"}</definedName>
    <definedName name="전략" hidden="1">{#N/A,#N/A,FALSE,"정공"}</definedName>
    <definedName name="전략2" localSheetId="6" hidden="1">{#N/A,#N/A,FALSE,"정공"}</definedName>
    <definedName name="전략2" localSheetId="2" hidden="1">{#N/A,#N/A,FALSE,"정공"}</definedName>
    <definedName name="전략2" hidden="1">{#N/A,#N/A,FALSE,"정공"}</definedName>
    <definedName name="전략투" localSheetId="6" hidden="1">{#N/A,#N/A,FALSE,"정공"}</definedName>
    <definedName name="전략투" localSheetId="2" hidden="1">{#N/A,#N/A,FALSE,"정공"}</definedName>
    <definedName name="전략투" hidden="1">{#N/A,#N/A,FALSE,"정공"}</definedName>
    <definedName name="전부" localSheetId="2" hidden="1">{#N/A,#N/A,FALSE,"단축1";#N/A,#N/A,FALSE,"단축2";#N/A,#N/A,FALSE,"단축3";#N/A,#N/A,FALSE,"장축";#N/A,#N/A,FALSE,"4WD"}</definedName>
    <definedName name="전부" hidden="1">{#N/A,#N/A,FALSE,"단축1";#N/A,#N/A,FALSE,"단축2";#N/A,#N/A,FALSE,"단축3";#N/A,#N/A,FALSE,"장축";#N/A,#N/A,FALSE,"4WD"}</definedName>
    <definedName name="전사" localSheetId="2" hidden="1">{#N/A,#N/A,FALSE,"지침";#N/A,#N/A,FALSE,"환경분석";#N/A,#N/A,FALSE,"Sheet16"}</definedName>
    <definedName name="전사" hidden="1">#REF!</definedName>
    <definedName name="전사교육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6" hidden="1">{#N/A,#N/A,FALSE,"97년 투자계획 세부내역 "}</definedName>
    <definedName name="전용원" localSheetId="2" hidden="1">{#N/A,#N/A,FALSE,"97년 투자계획 세부내역 "}</definedName>
    <definedName name="전용원" hidden="1">{#N/A,#N/A,FALSE,"97년 투자계획 세부내역 "}</definedName>
    <definedName name="전용원1" localSheetId="6"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6" hidden="1">{#N/A,#N/A,FALSE,"불량현황";#N/A,#N/A,FALSE,"표면처리업체별";#N/A,#N/A,FALSE,"사양별";#N/A,#N/A,FALSE,"제작업체별";#N/A,#N/A,FALSE,"업체주소";#N/A,#N/A,FALSE,"장착부위";#N/A,#N/A,FALSE,"V-100표면현황 (2)"}</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6" hidden="1">{"'Jibu9811 (3)'!$B$1:$J$433"}</definedName>
    <definedName name="전주" localSheetId="2" hidden="1">{"'Jibu9811 (3)'!$B$1:$J$433"}</definedName>
    <definedName name="전주" hidden="1">{"'Jibu9811 (3)'!$B$1:$J$433"}</definedName>
    <definedName name="전주2" localSheetId="6" hidden="1">{"'Jibu9811 (3)'!$B$1:$J$433"}</definedName>
    <definedName name="전주2" localSheetId="2" hidden="1">{"'Jibu9811 (3)'!$B$1:$J$433"}</definedName>
    <definedName name="전주2" hidden="1">{"'Jibu9811 (3)'!$B$1:$J$433"}</definedName>
    <definedName name="전직사유">#REF!</definedName>
    <definedName name="전차종" localSheetId="6"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화">#REF!</definedName>
    <definedName name="전화가입권" localSheetId="6" hidden="1">{#N/A,#N/A,FALSE,"정공"}</definedName>
    <definedName name="전화가입권" localSheetId="2" hidden="1">{#N/A,#N/A,FALSE,"정공"}</definedName>
    <definedName name="전화가입권" hidden="1">{#N/A,#N/A,FALSE,"정공"}</definedName>
    <definedName name="절" hidden="1">#REF!</definedName>
    <definedName name="절감" localSheetId="2">[0]!BlankMacro1</definedName>
    <definedName name="절감">#REF!</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localSheetId="2" hidden="1">{#N/A,#N/A,FALSE,"단축1";#N/A,#N/A,FALSE,"단축2";#N/A,#N/A,FALSE,"단축3";#N/A,#N/A,FALSE,"장축";#N/A,#N/A,FALSE,"4WD"}</definedName>
    <definedName name="절감계산2" hidden="1">{#N/A,#N/A,FALSE,"단축1";#N/A,#N/A,FALSE,"단축2";#N/A,#N/A,FALSE,"단축3";#N/A,#N/A,FALSE,"장축";#N/A,#N/A,FALSE,"4WD"}</definedName>
    <definedName name="절감내역상세" localSheetId="2" hidden="1">{#N/A,#N/A,FALSE,"정공"}</definedName>
    <definedName name="절감내역상세" hidden="1">{#N/A,#N/A,FALSE,"정공"}</definedName>
    <definedName name="절감반기계획對실적" localSheetId="2" hidden="1">{#N/A,#N/A,FALSE,"정공"}</definedName>
    <definedName name="절감반기계획對실적" hidden="1">{#N/A,#N/A,FALSE,"정공"}</definedName>
    <definedName name="絶費" localSheetId="6" hidden="1">{"'買掛金'!$J$6"}</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6" hidden="1">{#N/A,#N/A,FALSE,"UNIT";#N/A,#N/A,FALSE,"UNIT";#N/A,#N/A,FALSE,"계정"}</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6" hidden="1">{#N/A,#N/A,FALSE,"UNIT";#N/A,#N/A,FALSE,"UNIT";#N/A,#N/A,FALSE,"계정"}</definedName>
    <definedName name="정문" localSheetId="2" hidden="1">{#N/A,#N/A,FALSE,"UNIT";#N/A,#N/A,FALSE,"UNIT";#N/A,#N/A,FALSE,"계정"}</definedName>
    <definedName name="정문" hidden="1">{#N/A,#N/A,FALSE,"UNIT";#N/A,#N/A,FALSE,"UNIT";#N/A,#N/A,FALSE,"계정"}</definedName>
    <definedName name="정문식" localSheetId="6"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6" hidden="1">{#N/A,#N/A,FALSE,"BS";#N/A,#N/A,FALSE,"PL";#N/A,#N/A,FALSE,"처분";#N/A,#N/A,FALSE,"현금";#N/A,#N/A,FALSE,"매출";#N/A,#N/A,FALSE,"원가";#N/A,#N/A,FALSE,"경영"}</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6" hidden="1">{#N/A,#N/A,FALSE,"BS";#N/A,#N/A,FALSE,"PL";#N/A,#N/A,FALSE,"처분";#N/A,#N/A,FALSE,"현금";#N/A,#N/A,FALSE,"매출";#N/A,#N/A,FALSE,"원가";#N/A,#N/A,FALSE,"경영"}</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6" hidden="1">{"'Jibu9811 (3)'!$B$1:$J$433"}</definedName>
    <definedName name="정종" localSheetId="2" hidden="1">{"'Jibu9811 (3)'!$B$1:$J$433"}</definedName>
    <definedName name="정종" hidden="1">{"'Jibu9811 (3)'!$B$1:$J$433"}</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localSheetId="2" hidden="1">{#N/A,#N/A,TRUE,"경전'96(1)";#N/A,#N/A,TRUE,"경전'96 (2)"}</definedName>
    <definedName name="정현석" hidden="1">{#N/A,#N/A,TRUE,"경전'96(1)";#N/A,#N/A,TRUE,"경전'96 (2)"}</definedName>
    <definedName name="젖" localSheetId="2" hidden="1">{#N/A,#N/A,FALSE,"단축1";#N/A,#N/A,FALSE,"단축2";#N/A,#N/A,FALSE,"단축3";#N/A,#N/A,FALSE,"장축";#N/A,#N/A,FALSE,"4WD"}</definedName>
    <definedName name="젖" hidden="1">{#N/A,#N/A,FALSE,"단축1";#N/A,#N/A,FALSE,"단축2";#N/A,#N/A,FALSE,"단축3";#N/A,#N/A,FALSE,"장축";#N/A,#N/A,FALSE,"4WD"}</definedName>
    <definedName name="제1안" localSheetId="6" hidden="1">{#N/A,#N/A,TRUE,"매출진척-1";#N/A,#N/A,TRUE,"매출진척-2";#N/A,#N/A,TRUE,"제품실적";#N/A,#N/A,TRUE,"RAC";#N/A,#N/A,TRUE,"PAC ";#N/A,#N/A,TRUE,"재고현황";#N/A,#N/A,TRUE,"공지사항"}</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6"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localSheetId="2" hidden="1">{#N/A,#N/A,FALSE,"단축1";#N/A,#N/A,FALSE,"단축2";#N/A,#N/A,FALSE,"단축3";#N/A,#N/A,FALSE,"장축";#N/A,#N/A,FALSE,"4WD"}</definedName>
    <definedName name="제작현황" hidden="1">{#N/A,#N/A,FALSE,"단축1";#N/A,#N/A,FALSE,"단축2";#N/A,#N/A,FALSE,"단축3";#N/A,#N/A,FALSE,"장축";#N/A,#N/A,FALSE,"4WD"}</definedName>
    <definedName name="제잡비">#REF!</definedName>
    <definedName name="제조" localSheetId="6" hidden="1">{#N/A,#N/A,FALSE,"UNIT";#N/A,#N/A,FALSE,"UNIT";#N/A,#N/A,FALSE,"계정"}</definedName>
    <definedName name="제조" localSheetId="2" hidden="1">{#N/A,#N/A,FALSE,"UNIT";#N/A,#N/A,FALSE,"UNIT";#N/A,#N/A,FALSE,"계정"}</definedName>
    <definedName name="제조" hidden="1">{#N/A,#N/A,FALSE,"UNIT";#N/A,#N/A,FALSE,"UNIT";#N/A,#N/A,FALSE,"계정"}</definedName>
    <definedName name="제조경비">#REF!</definedName>
    <definedName name="제조발" localSheetId="6" hidden="1">{"'매출이익'!$A$24:$K$45"}</definedName>
    <definedName name="제조발" localSheetId="2" hidden="1">{"'매출이익'!$A$24:$K$45"}</definedName>
    <definedName name="제조발" hidden="1">{"'매출이익'!$A$24:$K$45"}</definedName>
    <definedName name="제조발생전" localSheetId="6" hidden="1">{"'매출이익'!$A$24:$K$45"}</definedName>
    <definedName name="제조발생전" localSheetId="2" hidden="1">{"'매출이익'!$A$24:$K$45"}</definedName>
    <definedName name="제조발생전" hidden="1">{"'매출이익'!$A$24:$K$45"}</definedName>
    <definedName name="제조발생전파일" localSheetId="6"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6" hidden="1">{#N/A,#N/A,FALSE,"정공"}</definedName>
    <definedName name="제조원가명세서" localSheetId="2" hidden="1">{#N/A,#N/A,FALSE,"정공"}</definedName>
    <definedName name="제조원가명세서" hidden="1">{#N/A,#N/A,FALSE,"정공"}</definedName>
    <definedName name="제조원가절감추진실적" localSheetId="2" hidden="1">{"'BSC(2001)'!$A$27:$G$32"}</definedName>
    <definedName name="제조원가절감추진실적" hidden="1">{"'BSC(2001)'!$A$27:$G$32"}</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6" hidden="1">{#N/A,#N/A,FALSE,"9612"}</definedName>
    <definedName name="제품" localSheetId="2" hidden="1">{#N/A,#N/A,FALSE,"9612"}</definedName>
    <definedName name="제품" hidden="1">{#N/A,#N/A,FALSE,"9612"}</definedName>
    <definedName name="제품개발계획" localSheetId="2">BlankMacro1</definedName>
    <definedName name="제품개발계획">BlankMacro1</definedName>
    <definedName name="제품구성" localSheetId="6" hidden="1">{"'Jibu9811 (3)'!$B$1:$J$433"}</definedName>
    <definedName name="제품구성" localSheetId="2" hidden="1">{"'Jibu9811 (3)'!$B$1:$J$433"}</definedName>
    <definedName name="제품구성" hidden="1">{"'Jibu9811 (3)'!$B$1:$J$433"}</definedName>
    <definedName name="제품명">#REF!</definedName>
    <definedName name="제품별사업전략" localSheetId="6" hidden="1">{#N/A,#N/A,FALSE,"UNIT";#N/A,#N/A,FALSE,"UNIT";#N/A,#N/A,FALSE,"계정"}</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6"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localSheetId="2"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광원" localSheetId="6" hidden="1">{#N/A,#N/A,FALSE,"UNIT";#N/A,#N/A,FALSE,"UNIT";#N/A,#N/A,FALSE,"계정"}</definedName>
    <definedName name="조광원" localSheetId="2" hidden="1">{#N/A,#N/A,FALSE,"UNIT";#N/A,#N/A,FALSE,"UNIT";#N/A,#N/A,FALSE,"계정"}</definedName>
    <definedName name="조광원" hidden="1">{#N/A,#N/A,FALSE,"UNIT";#N/A,#N/A,FALSE,"UNIT";#N/A,#N/A,FALSE,"계정"}</definedName>
    <definedName name="조달수수료">#REF!</definedName>
    <definedName name="조동" localSheetId="2" hidden="1">{#N/A,#N/A,FALSE,"단축1";#N/A,#N/A,FALSE,"단축2";#N/A,#N/A,FALSE,"단축3";#N/A,#N/A,FALSE,"장축";#N/A,#N/A,FALSE,"4WD"}</definedName>
    <definedName name="조동" hidden="1">{#N/A,#N/A,FALSE,"단축1";#N/A,#N/A,FALSE,"단축2";#N/A,#N/A,FALSE,"단축3";#N/A,#N/A,FALSE,"장축";#N/A,#N/A,FALSE,"4WD"}</definedName>
    <definedName name="조동신" localSheetId="2"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6" hidden="1">{#N/A,#N/A,FALSE,"단축1";#N/A,#N/A,FALSE,"단축2";#N/A,#N/A,FALSE,"단축3";#N/A,#N/A,FALSE,"장축";#N/A,#N/A,FALSE,"4WD"}</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6" hidden="1">{#N/A,#N/A,FALSE,"정공"}</definedName>
    <definedName name="조정후손익" localSheetId="2" hidden="1">{#N/A,#N/A,FALSE,"정공"}</definedName>
    <definedName name="조정후손익" hidden="1">{#N/A,#N/A,FALSE,"정공"}</definedName>
    <definedName name="조직" hidden="1">#REF!</definedName>
    <definedName name="조직1" localSheetId="6" hidden="1">{#N/A,#N/A,FALSE,"정공"}</definedName>
    <definedName name="조직1" localSheetId="2" hidden="1">{#N/A,#N/A,FALSE,"정공"}</definedName>
    <definedName name="조직1" hidden="1">{#N/A,#N/A,FALSE,"정공"}</definedName>
    <definedName name="조직3" localSheetId="6" hidden="1">{#N/A,#N/A,FALSE,"정공"}</definedName>
    <definedName name="조직3" localSheetId="2" hidden="1">{#N/A,#N/A,FALSE,"정공"}</definedName>
    <definedName name="조직3" hidden="1">{#N/A,#N/A,FALSE,"정공"}</definedName>
    <definedName name="조직도" localSheetId="2" hidden="1">{#N/A,#N/A,FALSE,"Sheet6"}</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6" hidden="1">{#N/A,#N/A,FALSE,"단축1";#N/A,#N/A,FALSE,"단축2";#N/A,#N/A,FALSE,"단축3";#N/A,#N/A,FALSE,"장축";#N/A,#N/A,FALSE,"4WD"}</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localSheetId="2" hidden="1">{#N/A,#N/A,FALSE,"채권채무";#N/A,#N/A,FALSE,"control sheet"}</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localSheetId="2" hidden="1">{#N/A,#N/A,FALSE,"단축1";#N/A,#N/A,FALSE,"단축2";#N/A,#N/A,FALSE,"단축3";#N/A,#N/A,FALSE,"장축";#N/A,#N/A,FALSE,"4WD"}</definedName>
    <definedName name="종주" hidden="1">{#N/A,#N/A,FALSE,"단축1";#N/A,#N/A,FALSE,"단축2";#N/A,#N/A,FALSE,"단축3";#N/A,#N/A,FALSE,"장축";#N/A,#N/A,FALSE,"4WD"}</definedName>
    <definedName name="종합2" localSheetId="6" hidden="1">{#N/A,#N/A,FALSE,"정공"}</definedName>
    <definedName name="종합2" localSheetId="2" hidden="1">{#N/A,#N/A,FALSE,"정공"}</definedName>
    <definedName name="종합2" hidden="1">{#N/A,#N/A,FALSE,"정공"}</definedName>
    <definedName name="종합과세대상금융소득">#REF!</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미래2" localSheetId="6" hidden="1">{#N/A,#N/A,FALSE,"정공"}</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 localSheetId="2">[0]!BlankMacro1</definedName>
    <definedName name="종합추이">#REF!</definedName>
    <definedName name="좋은금고">#N/A</definedName>
    <definedName name="주" localSheetId="6" hidden="1">{#N/A,#N/A,FALSE,"UNIT";#N/A,#N/A,FALSE,"UNIT";#N/A,#N/A,FALSE,"계정"}</definedName>
    <definedName name="주" localSheetId="2" hidden="1">{#N/A,#N/A,FALSE,"지침";#N/A,#N/A,FALSE,"환경분석";#N/A,#N/A,FALSE,"Sheet16"}</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 localSheetId="2">[0]!BlankMacro1</definedName>
    <definedName name="주요업무1">#REF!</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localSheetId="2" hidden="1">{#N/A,#N/A,FALSE,"표지목차"}</definedName>
    <definedName name="주요현안" hidden="1">{#N/A,#N/A,FALSE,"표지목차"}</definedName>
    <definedName name="주재원" hidden="1">#REF!</definedName>
    <definedName name="주정산2000">#REF!</definedName>
    <definedName name="주제어동인원" localSheetId="2" hidden="1">{#N/A,#N/A,FALSE,"CCTV"}</definedName>
    <definedName name="주제어동인원" hidden="1">{#N/A,#N/A,FALSE,"CCTV"}</definedName>
    <definedName name="주종단체">#REF!</definedName>
    <definedName name="주차계획" localSheetId="6" hidden="1">{#N/A,#N/A,FALSE,"UNIT";#N/A,#N/A,FALSE,"UNIT";#N/A,#N/A,FALSE,"계정"}</definedName>
    <definedName name="주차계획" localSheetId="2" hidden="1">{#N/A,#N/A,FALSE,"UNIT";#N/A,#N/A,FALSE,"UNIT";#N/A,#N/A,FALSE,"계정"}</definedName>
    <definedName name="주차계획" hidden="1">{#N/A,#N/A,FALSE,"UNIT";#N/A,#N/A,FALSE,"UNIT";#N/A,#N/A,FALSE,"계정"}</definedName>
    <definedName name="주택" localSheetId="2" hidden="1">{#N/A,#N/A,FALSE,"지침";#N/A,#N/A,FALSE,"환경분석";#N/A,#N/A,FALSE,"Sheet16"}</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6" hidden="1">{#N/A,#N/A,FALSE,"Aging Summary";#N/A,#N/A,FALSE,"Ratio Analysis";#N/A,#N/A,FALSE,"Test 120 Day Accts";#N/A,#N/A,FALSE,"Tickmarks"}</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6"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 localSheetId="2">BLCH</definedName>
    <definedName name="준공">BLCH</definedName>
    <definedName name="준공2" localSheetId="2">BLCH</definedName>
    <definedName name="준공2">BLCH</definedName>
    <definedName name="준공계2" localSheetId="2">BLCH</definedName>
    <definedName name="준공계2">BLCH</definedName>
    <definedName name="준공일">#REF!</definedName>
    <definedName name="준비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6"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6" hidden="1">{#N/A,#N/A,FALSE,"정공"}</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6"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localSheetId="2" hidden="1">{#N/A,#N/A,FALSE,"단축1";#N/A,#N/A,FALSE,"단축2";#N/A,#N/A,FALSE,"단축3";#N/A,#N/A,FALSE,"장축";#N/A,#N/A,FALSE,"4WD"}</definedName>
    <definedName name="중일정3" hidden="1">{#N/A,#N/A,FALSE,"단축1";#N/A,#N/A,FALSE,"단축2";#N/A,#N/A,FALSE,"단축3";#N/A,#N/A,FALSE,"장축";#N/A,#N/A,FALSE,"4WD"}</definedName>
    <definedName name="중재">#REF!</definedName>
    <definedName name="중점" localSheetId="2" hidden="1">{"'BSC(2001)'!$A$27:$G$32"}</definedName>
    <definedName name="중점" hidden="1">{"'BSC(2001)'!$A$27:$G$32"}</definedName>
    <definedName name="중점검토" localSheetId="6"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localSheetId="2" hidden="1">{"'BSC(2001)'!$A$27:$G$32"}</definedName>
    <definedName name="중점추" hidden="1">{"'BSC(2001)'!$A$27:$G$32"}</definedName>
    <definedName name="중점추진" localSheetId="6" hidden="1">{#N/A,#N/A,TRUE,"일정"}</definedName>
    <definedName name="중점추진" localSheetId="2" hidden="1">{#N/A,#N/A,TRUE,"일정"}</definedName>
    <definedName name="중점추진" hidden="1">{#N/A,#N/A,TRUE,"일정"}</definedName>
    <definedName name="중점추진상" localSheetId="2" hidden="1">{"'BSC(2001)'!$A$27:$G$32"}</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6" hidden="1">{#N/A,#N/A,FALSE,"인원";#N/A,#N/A,FALSE,"비용2";#N/A,#N/A,FALSE,"비용1";#N/A,#N/A,FALSE,"비용";#N/A,#N/A,FALSE,"보증2";#N/A,#N/A,FALSE,"보증1";#N/A,#N/A,FALSE,"보증";#N/A,#N/A,FALSE,"손익1";#N/A,#N/A,FALSE,"손익";#N/A,#N/A,FALSE,"부서별매출";#N/A,#N/A,FALSE,"매출"}</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6"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6" hidden="1">{#N/A,#N/A,FALSE,"97년 투자계획 세부내역 "}</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6" hidden="1">{#N/A,#N/A,TRUE,"Y생산";#N/A,#N/A,TRUE,"Y판매";#N/A,#N/A,TRUE,"Y총물량";#N/A,#N/A,TRUE,"Y능력";#N/A,#N/A,TRUE,"YKD"}</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6" hidden="1">{#N/A,#N/A,FALSE,"Aging Summary";#N/A,#N/A,FALSE,"Ratio Analysis";#N/A,#N/A,FALSE,"Test 120 Day Accts";#N/A,#N/A,FALSE,"Tickmarks"}</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localSheetId="2" hidden="1">{#N/A,#N/A,FALSE,"정공"}</definedName>
    <definedName name="지급어음명세서3" hidden="1">{#N/A,#N/A,FALSE,"정공"}</definedName>
    <definedName name="지급율">#REF!</definedName>
    <definedName name="지급자재비">#REF!</definedName>
    <definedName name="지급조건">#REF!</definedName>
    <definedName name="지도" localSheetId="6" hidden="1">{"'Jibu9811 (3)'!$B$1:$J$433"}</definedName>
    <definedName name="지도" localSheetId="2" hidden="1">{"'Jibu9811 (3)'!$B$1:$J$433"}</definedName>
    <definedName name="지도" hidden="1">{"'Jibu9811 (3)'!$B$1:$J$433"}</definedName>
    <definedName name="지방1" localSheetId="6" hidden="1">{#N/A,#N/A,FALSE,"생산성";#N/A,#N/A,FALSE,"인력1";#N/A,#N/A,FALSE,"인력2";#N/A,#N/A,FALSE,"인력3";#N/A,#N/A,FALSE,"인건1";#N/A,#N/A,FALSE,"인건2";#N/A,#N/A,FALSE,"인건3";#N/A,#N/A,FALSE,"인원증감";#N/A,#N/A,FALSE,"인건증감";#N/A,#N/A,FALSE,"표지등"}</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6" hidden="1">{"'Jibu9811 (3)'!$B$1:$J$433"}</definedName>
    <definedName name="지부실적" localSheetId="2" hidden="1">{"'Jibu9811 (3)'!$B$1:$J$433"}</definedName>
    <definedName name="지부실적" hidden="1">{"'Jibu9811 (3)'!$B$1:$J$433"}</definedName>
    <definedName name="지부와실적" localSheetId="6" hidden="1">{"'Jibu9811 (3)'!$B$1:$J$433"}</definedName>
    <definedName name="지부와실적" localSheetId="2" hidden="1">{"'Jibu9811 (3)'!$B$1:$J$433"}</definedName>
    <definedName name="지부와실적" hidden="1">{"'Jibu9811 (3)'!$B$1:$J$433"}</definedName>
    <definedName name="지분법" localSheetId="6" hidden="1">{#N/A,#N/A,FALSE,"BS";#N/A,#N/A,FALSE,"PL";#N/A,#N/A,FALSE,"A";#N/A,#N/A,FALSE,"B";#N/A,#N/A,FALSE,"B1";#N/A,#N/A,FALSE,"C";#N/A,#N/A,FALSE,"C1";#N/A,#N/A,FALSE,"C2";#N/A,#N/A,FALSE,"D";#N/A,#N/A,FALSE,"E";#N/A,#N/A,FALSE,"F";#N/A,#N/A,FALSE,"AA";#N/A,#N/A,FALSE,"BB";#N/A,#N/A,FALSE,"CC";#N/A,#N/A,FALSE,"DD";#N/A,#N/A,FALSE,"EE";#N/A,#N/A,FALSE,"FF";#N/A,#N/A,FALSE,"PL10";#N/A,#N/A,FALSE,"PL20";#N/A,#N/A,FALSE,"PL30"}</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6" hidden="1">{"'買掛金'!$J$6"}</definedName>
    <definedName name="支払" localSheetId="2" hidden="1">{"'買掛金'!$J$6"}</definedName>
    <definedName name="支払" hidden="1">{"'買掛金'!$J$6"}</definedName>
    <definedName name="支払手形" localSheetId="6"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6" hidden="1">{"'Jibu9811 (3)'!$B$1:$J$433"}</definedName>
    <definedName name="지점제시기준" localSheetId="2" hidden="1">{"'Jibu9811 (3)'!$B$1:$J$433"}</definedName>
    <definedName name="지점제시기준" hidden="1">{"'Jibu9811 (3)'!$B$1:$J$433"}</definedName>
    <definedName name="지주">#N/A</definedName>
    <definedName name="지지">#REF!</definedName>
    <definedName name="지지지" localSheetId="6" hidden="1">{"'미착금액'!$A$4:$G$14"}</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localSheetId="2" hidden="1">{#N/A,#N/A,FALSE,"Sheet1"}</definedName>
    <definedName name="직급별3" hidden="1">{#N/A,#N/A,FALSE,"Sheet1"}</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6" hidden="1">{#N/A,#N/A,TRUE,"토적및재료집계";#N/A,#N/A,TRUE,"토적및재료집계";#N/A,#N/A,TRUE,"단위량"}</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localSheetId="2" hidden="1">{#N/A,#N/A,FALSE,"CCTV"}</definedName>
    <definedName name="직접인원" hidden="1">{#N/A,#N/A,FALSE,"CCTV"}</definedName>
    <definedName name="직접재료비">#REF!</definedName>
    <definedName name="직종">#REF!</definedName>
    <definedName name="진" localSheetId="6" hidden="1">{"'Jibu9811 (3)'!$B$1:$J$433"}</definedName>
    <definedName name="진" localSheetId="2" hidden="1">{"'Jibu9811 (3)'!$B$1:$J$433"}</definedName>
    <definedName name="진" hidden="1">{"'Jibu9811 (3)'!$B$1:$J$433"}</definedName>
    <definedName name="진단표"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6" hidden="1">{"'Jibu9811 (3)'!$B$1:$J$433"}</definedName>
    <definedName name="진자" localSheetId="2" hidden="1">{"'Jibu9811 (3)'!$B$1:$J$433"}</definedName>
    <definedName name="진자" hidden="1">{"'Jibu9811 (3)'!$B$1:$J$433"}</definedName>
    <definedName name="진주">#REF!</definedName>
    <definedName name="진짜" localSheetId="6" hidden="1">{"'Jibu9811 (3)'!$B$1:$J$433"}</definedName>
    <definedName name="진짜" localSheetId="2" hidden="1">{"'Jibu9811 (3)'!$B$1:$J$433"}</definedName>
    <definedName name="진짜" hidden="1">{"'Jibu9811 (3)'!$B$1:$J$433"}</definedName>
    <definedName name="진짜살림">#REF!</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6"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6" hidden="1">{#N/A,#N/A,FALSE,"97년 투자계획 세부내역 "}</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localSheetId="2">#REF!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6"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 localSheetId="2">BlankMacro1</definedName>
    <definedName name="ㅊ댜ㅓㅏㅎ">BlankMacro1</definedName>
    <definedName name="ㅊㅂㄷ" localSheetId="6" hidden="1">{#N/A,#N/A,FALSE,"기안지";#N/A,#N/A,FALSE,"통신지"}</definedName>
    <definedName name="ㅊㅂㄷ" localSheetId="2" hidden="1">{#N/A,#N/A,FALSE,"기안지";#N/A,#N/A,FALSE,"통신지"}</definedName>
    <definedName name="ㅊㅂㄷ" hidden="1">{#N/A,#N/A,FALSE,"기안지";#N/A,#N/A,FALSE,"통신지"}</definedName>
    <definedName name="ㅊㅇ" localSheetId="6" hidden="1">{#N/A,#N/A,FALSE,"기안지";#N/A,#N/A,FALSE,"통신지"}</definedName>
    <definedName name="ㅊㅇ" localSheetId="2" hidden="1">{#N/A,#N/A,FALSE,"기안지";#N/A,#N/A,FALSE,"통신지"}</definedName>
    <definedName name="ㅊㅇ" hidden="1">{#N/A,#N/A,FALSE,"기안지";#N/A,#N/A,FALSE,"통신지"}</definedName>
    <definedName name="ㅊ어ㅑㅐ" localSheetId="2">BlankMacro1</definedName>
    <definedName name="ㅊ어ㅑㅐ">BlankMacro1</definedName>
    <definedName name="ㅊㅊ" localSheetId="2">BlankMacro1</definedName>
    <definedName name="ㅊㅊ">BlankMacro1</definedName>
    <definedName name="ㅊㅊㅊ" localSheetId="2" hidden="1">{#N/A,#N/A,FALSE,"단축1";#N/A,#N/A,FALSE,"단축2";#N/A,#N/A,FALSE,"단축3";#N/A,#N/A,FALSE,"장축";#N/A,#N/A,FALSE,"4WD"}</definedName>
    <definedName name="ㅊㅊㅊ" hidden="1">{#N/A,#N/A,FALSE,"단축1";#N/A,#N/A,FALSE,"단축2";#N/A,#N/A,FALSE,"단축3";#N/A,#N/A,FALSE,"장축";#N/A,#N/A,FALSE,"4WD"}</definedName>
    <definedName name="ㅊㅊㅊㅊㅊ" localSheetId="6"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 localSheetId="2">BlankMacro1</definedName>
    <definedName name="ㅊ차ㅓ">BlankMacro1</definedName>
    <definedName name="ㅊ퍄" localSheetId="2">BlankMacro1</definedName>
    <definedName name="ㅊ퍄">BlankMacro1</definedName>
    <definedName name="ㅊ폴" localSheetId="2" hidden="1">{#N/A,#N/A,FALSE,"Sheet6"}</definedName>
    <definedName name="ㅊ폴" hidden="1">{#N/A,#N/A,FALSE,"Sheet6"}</definedName>
    <definedName name="차" localSheetId="6"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6" hidden="1">{#N/A,#N/A,FALSE,"UNIT";#N/A,#N/A,FALSE,"UNIT";#N/A,#N/A,FALSE,"계정"}</definedName>
    <definedName name="차." localSheetId="2" hidden="1">{#N/A,#N/A,FALSE,"UNIT";#N/A,#N/A,FALSE,"UNIT";#N/A,#N/A,FALSE,"계정"}</definedName>
    <definedName name="차." hidden="1">{#N/A,#N/A,FALSE,"UNIT";#N/A,#N/A,FALSE,"UNIT";#N/A,#N/A,FALSE,"계정"}</definedName>
    <definedName name="차댜" localSheetId="2">BlankMacro1</definedName>
    <definedName name="차댜">BlankMacro1</definedName>
    <definedName name="차댬ㅎ" localSheetId="2">BlankMacro1</definedName>
    <definedName name="차댬ㅎ">BlankMacro1</definedName>
    <definedName name="차댱" localSheetId="6" hidden="1">{#N/A,#N/A,FALSE,"기안지";#N/A,#N/A,FALSE,"통신지"}</definedName>
    <definedName name="차댱" localSheetId="2" hidden="1">{#N/A,#N/A,FALSE,"기안지";#N/A,#N/A,FALSE,"통신지"}</definedName>
    <definedName name="차댱" hidden="1">{#N/A,#N/A,FALSE,"기안지";#N/A,#N/A,FALSE,"통신지"}</definedName>
    <definedName name="차량" localSheetId="6" hidden="1">{#N/A,#N/A,FALSE,"UNIT";#N/A,#N/A,FALSE,"UNIT";#N/A,#N/A,FALSE,"계정"}</definedName>
    <definedName name="차량" localSheetId="2">#REF!</definedName>
    <definedName name="차량" hidden="1">{#N/A,#N/A,FALSE,"UNIT";#N/A,#N/A,FALSE,"UNIT";#N/A,#N/A,FALSE,"계정"}</definedName>
    <definedName name="차량SVC" localSheetId="6"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6" hidden="1">{"'손익현황'!$A$1:$J$29"}</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 localSheetId="2">BlankMacro1</definedName>
    <definedName name="차아">BlankMacro1</definedName>
    <definedName name="차이조">#REF!</definedName>
    <definedName name="차이조정분" localSheetId="2" hidden="1">{"'Sheet1'!$A$1:$D$15"}</definedName>
    <definedName name="차이조정분" hidden="1">{"'Sheet1'!$A$1:$D$15"}</definedName>
    <definedName name="차이조회">#REF!</definedName>
    <definedName name="차입" localSheetId="2" hidden="1">{#N/A,#N/A,FALSE,"Sheet1"}</definedName>
    <definedName name="차입" hidden="1">{#N/A,#N/A,FALSE,"Sheet1"}</definedName>
    <definedName name="차입금">#REF!</definedName>
    <definedName name="차입금리">#REF!</definedName>
    <definedName name="差入保証金" localSheetId="6" hidden="1">{"'買掛金'!$J$6"}</definedName>
    <definedName name="差入保証金" localSheetId="2" hidden="1">{"'買掛金'!$J$6"}</definedName>
    <definedName name="差入保証金" hidden="1">{"'買掛金'!$J$6"}</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2" hidden="1">{#N/A,#N/A,FALSE,"단축1";#N/A,#N/A,FALSE,"단축2";#N/A,#N/A,FALSE,"단축3";#N/A,#N/A,FALSE,"장축";#N/A,#N/A,FALSE,"4WD"}</definedName>
    <definedName name="차체1" hidden="1">{#N/A,#N/A,FALSE,"단축1";#N/A,#N/A,FALSE,"단축2";#N/A,#N/A,FALSE,"단축3";#N/A,#N/A,FALSE,"장축";#N/A,#N/A,FALSE,"4WD"}</definedName>
    <definedName name="차트" localSheetId="6" hidden="1">{#N/A,#N/A,FALSE,"정공"}</definedName>
    <definedName name="차트" localSheetId="2" hidden="1">{#N/A,#N/A,FALSE,"정공"}</definedName>
    <definedName name="차트" hidden="1">{#N/A,#N/A,FALSE,"정공"}</definedName>
    <definedName name="차ㅏ" localSheetId="2">BlankMacro1</definedName>
    <definedName name="차ㅏ">BlankMacro1</definedName>
    <definedName name="차ㅏㄷ" localSheetId="2">BlankMacro1</definedName>
    <definedName name="차ㅏㄷ">BlankMacro1</definedName>
    <definedName name="차ㅏㅇ" localSheetId="2">BlankMacro1</definedName>
    <definedName name="차ㅏㅇ">BlankMacro1</definedName>
    <definedName name="차ㅏ아" localSheetId="2">BlankMacro1</definedName>
    <definedName name="차ㅏ아">BlankMacro1</definedName>
    <definedName name="차ㅏㅈ" localSheetId="6" hidden="1">{#N/A,#N/A,FALSE,"기안지";#N/A,#N/A,FALSE,"통신지"}</definedName>
    <definedName name="차ㅏㅈ" localSheetId="2" hidden="1">{#N/A,#N/A,FALSE,"기안지";#N/A,#N/A,FALSE,"통신지"}</definedName>
    <definedName name="차ㅏㅈ" hidden="1">{#N/A,#N/A,FALSE,"기안지";#N/A,#N/A,FALSE,"통신지"}</definedName>
    <definedName name="차ㅏㅊ" localSheetId="6" hidden="1">{#N/A,#N/A,FALSE,"기안지";#N/A,#N/A,FALSE,"통신지"}</definedName>
    <definedName name="차ㅏㅊ" localSheetId="2" hidden="1">{#N/A,#N/A,FALSE,"기안지";#N/A,#N/A,FALSE,"통신지"}</definedName>
    <definedName name="차ㅏㅊ" hidden="1">{#N/A,#N/A,FALSE,"기안지";#N/A,#N/A,FALSE,"통신지"}</definedName>
    <definedName name="차ㅏㅏㅏㅏㅕ다ㅣ" localSheetId="2">BlankMacro1</definedName>
    <definedName name="차ㅏㅏㅏㅏㅕ다ㅣ">BlankMacro1</definedName>
    <definedName name="차ㅏㅓ허" localSheetId="6" hidden="1">{#N/A,#N/A,FALSE,"기안지";#N/A,#N/A,FALSE,"통신지"}</definedName>
    <definedName name="차ㅏㅓ허" localSheetId="2" hidden="1">{#N/A,#N/A,FALSE,"기안지";#N/A,#N/A,FALSE,"통신지"}</definedName>
    <definedName name="차ㅏㅓ허" hidden="1">{#N/A,#N/A,FALSE,"기안지";#N/A,#N/A,FALSE,"통신지"}</definedName>
    <definedName name="차ㅓㅇ" localSheetId="2">BlankMacro1</definedName>
    <definedName name="차ㅓㅇ">BlankMacro1</definedName>
    <definedName name="차ㅓㅎ" localSheetId="2">BlankMacro1</definedName>
    <definedName name="차ㅓㅎ">BlankMacro1</definedName>
    <definedName name="차ㅓㅓ" localSheetId="2">BlankMacro1</definedName>
    <definedName name="차ㅓㅓ">BlankMacro1</definedName>
    <definedName name="차ㅕ도호" localSheetId="2">BlankMacro1</definedName>
    <definedName name="차ㅕ도호">BlankMacro1</definedName>
    <definedName name="착공월">#REF!</definedName>
    <definedName name="착공일">#REF!</definedName>
    <definedName name="착정">#N/A</definedName>
    <definedName name="참고" localSheetId="6"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6"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localSheetId="2" hidden="1">{#N/A,#N/A,FALSE,"단축1";#N/A,#N/A,FALSE,"단축2";#N/A,#N/A,FALSE,"단축3";#N/A,#N/A,FALSE,"장축";#N/A,#N/A,FALSE,"4WD"}</definedName>
    <definedName name="참고1장" hidden="1">{#N/A,#N/A,FALSE,"단축1";#N/A,#N/A,FALSE,"단축2";#N/A,#N/A,FALSE,"단축3";#N/A,#N/A,FALSE,"장축";#N/A,#N/A,FALSE,"4WD"}</definedName>
    <definedName name="참고2" hidden="1">#REF!</definedName>
    <definedName name="참고자료" localSheetId="2" hidden="1">{#VALUE!,#N/A,FALSE,0;#N/A,#N/A,FALSE,0;#N/A,#N/A,FALSE,0;#N/A,#N/A,FALSE,0}</definedName>
    <definedName name="참고자료" hidden="1">{#VALUE!,#N/A,FALSE,0;#N/A,#N/A,FALSE,0;#N/A,#N/A,FALSE,0;#N/A,#N/A,FALSE,0}</definedName>
    <definedName name="창고">#REF!</definedName>
    <definedName name="채권과다" localSheetId="6" hidden="1">{#N/A,#N/A,FALSE,"범우구미";#N/A,#N/A,FALSE,"세한케미칼";#N/A,#N/A,FALSE,"세명화학";#N/A,#N/A,FALSE,"신영케미칼";#N/A,#N/A,FALSE,"일석상사"}</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6"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6"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6"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6"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6"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6" hidden="1">{#N/A,#N/A,FALSE,"채권채무";#N/A,#N/A,FALSE,"control sheet"}</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6" hidden="1">{"'매출이익'!$A$24:$K$45"}</definedName>
    <definedName name="채무" localSheetId="2" hidden="1">{"'매출이익'!$A$24:$K$45"}</definedName>
    <definedName name="채무" hidden="1">{"'매출이익'!$A$24:$K$45"}</definedName>
    <definedName name="채무내역" localSheetId="6" hidden="1">{"'매출이익'!$A$24:$K$45"}</definedName>
    <definedName name="채무내역" localSheetId="2" hidden="1">{"'매출이익'!$A$24:$K$45"}</definedName>
    <definedName name="채무내역" hidden="1">{"'매출이익'!$A$24:$K$45"}</definedName>
    <definedName name="채ㅏ더ㅓㅓㅎ" localSheetId="2">BlankMacro1</definedName>
    <definedName name="채ㅏ더ㅓㅓㅎ">BlankMacro1</definedName>
    <definedName name="책" localSheetId="2">BlankMacro1</definedName>
    <definedName name="책">BlankMacro1</definedName>
    <definedName name="챠" localSheetId="2">BlankMacro1</definedName>
    <definedName name="챠">BlankMacro1</definedName>
    <definedName name="챠다" localSheetId="2">BlankMacro1</definedName>
    <definedName name="챠다">BlankMacro1</definedName>
    <definedName name="챠더히햐" localSheetId="2">BlankMacro1</definedName>
    <definedName name="챠더히햐">BlankMacro1</definedName>
    <definedName name="챠뎌" localSheetId="6" hidden="1">{#N/A,#N/A,FALSE,"기안지";#N/A,#N/A,FALSE,"통신지"}</definedName>
    <definedName name="챠뎌" localSheetId="2" hidden="1">{#N/A,#N/A,FALSE,"기안지";#N/A,#N/A,FALSE,"통신지"}</definedName>
    <definedName name="챠뎌" hidden="1">{#N/A,#N/A,FALSE,"기안지";#N/A,#N/A,FALSE,"통신지"}</definedName>
    <definedName name="챠디" localSheetId="2">BlankMacro1</definedName>
    <definedName name="챠디">BlankMacro1</definedName>
    <definedName name="챠어" localSheetId="2">BlankMacro1</definedName>
    <definedName name="챠어">BlankMacro1</definedName>
    <definedName name="챠ㅏㅏ어" localSheetId="2">BlankMacro1</definedName>
    <definedName name="챠ㅏㅏ어">BlankMacro1</definedName>
    <definedName name="챠ㅐㅏㅣㅣㅇ" localSheetId="2">BlankMacro1</definedName>
    <definedName name="챠ㅐㅏㅣㅣㅇ">BlankMacro1</definedName>
    <definedName name="챧" localSheetId="2">BlankMacro1</definedName>
    <definedName name="챧">BlankMacro1</definedName>
    <definedName name="챧ㅁ" localSheetId="2">BlankMacro1</definedName>
    <definedName name="챧ㅁ">BlankMacro1</definedName>
    <definedName name="챰ㅂ" localSheetId="2">BlankMacro1</definedName>
    <definedName name="챰ㅂ">BlankMacro1</definedName>
    <definedName name="챶당" localSheetId="2">BlankMacro1</definedName>
    <definedName name="챶당">BlankMacro1</definedName>
    <definedName name="처" localSheetId="6" hidden="1">{#N/A,#N/A,FALSE,"기안지";#N/A,#N/A,FALSE,"통신지"}</definedName>
    <definedName name="처" localSheetId="2" hidden="1">{#N/A,#N/A,FALSE,"기안지";#N/A,#N/A,FALSE,"통신지"}</definedName>
    <definedName name="처" hidden="1">{#N/A,#N/A,FALSE,"기안지";#N/A,#N/A,FALSE,"통신지"}</definedName>
    <definedName name="처댜" localSheetId="2">BlankMacro1</definedName>
    <definedName name="처댜">BlankMacro1</definedName>
    <definedName name="처댜차ㅏㅓㅇ" localSheetId="2">BlankMacro1</definedName>
    <definedName name="처댜차ㅏㅓㅇ">BlankMacro1</definedName>
    <definedName name="처뱌" localSheetId="2">BlankMacro1</definedName>
    <definedName name="처뱌">BlankMacro1</definedName>
    <definedName name="처아아" localSheetId="6" hidden="1">{#N/A,#N/A,FALSE,"기안지";#N/A,#N/A,FALSE,"통신지"}</definedName>
    <definedName name="처아아" localSheetId="2" hidden="1">{#N/A,#N/A,FALSE,"기안지";#N/A,#N/A,FALSE,"통신지"}</definedName>
    <definedName name="처아아" hidden="1">{#N/A,#N/A,FALSE,"기안지";#N/A,#N/A,FALSE,"통신지"}</definedName>
    <definedName name="처어ㅓ" localSheetId="2">BlankMacro1</definedName>
    <definedName name="처어ㅓ">BlankMacro1</definedName>
    <definedName name="처장신규" localSheetId="6" hidden="1">{"'Jibu9811 (3)'!$B$1:$J$433"}</definedName>
    <definedName name="처장신규" localSheetId="2" hidden="1">{"'Jibu9811 (3)'!$B$1:$J$433"}</definedName>
    <definedName name="처장신규" hidden="1">{"'Jibu9811 (3)'!$B$1:$J$433"}</definedName>
    <definedName name="처허아" localSheetId="2">BlankMacro1</definedName>
    <definedName name="처허아">BlankMacro1</definedName>
    <definedName name="처허ㅏㅣ" localSheetId="2">BlankMacro1</definedName>
    <definedName name="처허ㅏㅣ">BlankMacro1</definedName>
    <definedName name="처허ㅓㅇ" localSheetId="2">BlankMacro1</definedName>
    <definedName name="처허ㅓㅇ">BlankMacro1</definedName>
    <definedName name="처호" localSheetId="2">BlankMacro1</definedName>
    <definedName name="처호">BlankMacro1</definedName>
    <definedName name="처회" localSheetId="2">BlankMacro1</definedName>
    <definedName name="처회">BlankMacro1</definedName>
    <definedName name="처ㅏㄷ" localSheetId="2">BlankMacro1</definedName>
    <definedName name="처ㅏㄷ">BlankMacro1</definedName>
    <definedName name="처ㅏㅇ" localSheetId="2">BlankMacro1</definedName>
    <definedName name="처ㅏㅇ">BlankMacro1</definedName>
    <definedName name="처ㅏ허" localSheetId="2">BlankMacro1</definedName>
    <definedName name="처ㅏ허">BlankMacro1</definedName>
    <definedName name="처ㅏㅏㅇ" localSheetId="2">BlankMacro1</definedName>
    <definedName name="처ㅏㅏㅇ">BlankMacro1</definedName>
    <definedName name="처ㅏㅏㅏㅇ" localSheetId="2">BlankMacro1</definedName>
    <definedName name="처ㅏㅏㅏㅇ">BlankMacro1</definedName>
    <definedName name="처ㅏㅐㄷㄱ" localSheetId="6" hidden="1">{#N/A,#N/A,FALSE,"기안지";#N/A,#N/A,FALSE,"통신지"}</definedName>
    <definedName name="처ㅏㅐㄷㄱ" localSheetId="2" hidden="1">{#N/A,#N/A,FALSE,"기안지";#N/A,#N/A,FALSE,"통신지"}</definedName>
    <definedName name="처ㅏㅐㄷㄱ" hidden="1">{#N/A,#N/A,FALSE,"기안지";#N/A,#N/A,FALSE,"통신지"}</definedName>
    <definedName name="처ㅑ" localSheetId="2">BlankMacro1</definedName>
    <definedName name="처ㅑ">BlankMacro1</definedName>
    <definedName name="처ㅑㄷㄱ" localSheetId="6" hidden="1">{#N/A,#N/A,FALSE,"기안지";#N/A,#N/A,FALSE,"통신지"}</definedName>
    <definedName name="처ㅑㄷㄱ" localSheetId="2" hidden="1">{#N/A,#N/A,FALSE,"기안지";#N/A,#N/A,FALSE,"통신지"}</definedName>
    <definedName name="처ㅑㄷㄱ" hidden="1">{#N/A,#N/A,FALSE,"기안지";#N/A,#N/A,FALSE,"통신지"}</definedName>
    <definedName name="처ㅑ다" localSheetId="2">BlankMacro1</definedName>
    <definedName name="처ㅑ다">BlankMacro1</definedName>
    <definedName name="처ㅑ디" localSheetId="2">BlankMacro1</definedName>
    <definedName name="처ㅑ디">BlankMacro1</definedName>
    <definedName name="처ㅑㅂ" localSheetId="2">BlankMacro1</definedName>
    <definedName name="처ㅑㅂ">BlankMacro1</definedName>
    <definedName name="처ㅓ" localSheetId="6" hidden="1">{#N/A,#N/A,FALSE,"기안지";#N/A,#N/A,FALSE,"통신지"}</definedName>
    <definedName name="처ㅓ" localSheetId="2" hidden="1">{#N/A,#N/A,FALSE,"기안지";#N/A,#N/A,FALSE,"통신지"}</definedName>
    <definedName name="처ㅓ" hidden="1">{#N/A,#N/A,FALSE,"기안지";#N/A,#N/A,FALSE,"통신지"}</definedName>
    <definedName name="처ㅓㄹ" localSheetId="2">BlankMacro1</definedName>
    <definedName name="처ㅓㄹ">BlankMacro1</definedName>
    <definedName name="처ㅓㅇ" localSheetId="2">BlankMacro1</definedName>
    <definedName name="처ㅓㅇ">BlankMacro1</definedName>
    <definedName name="처ㅓㅇ아" localSheetId="2">BlankMacro1</definedName>
    <definedName name="처ㅓㅇ아">BlankMacro1</definedName>
    <definedName name="처ㅓㅎ" localSheetId="2">BlankMacro1</definedName>
    <definedName name="처ㅓㅎ">BlankMacro1</definedName>
    <definedName name="처ㅓ하" localSheetId="2">BlankMacro1</definedName>
    <definedName name="처ㅓ하">BlankMacro1</definedName>
    <definedName name="처ㅓ허ㅓㅇ" localSheetId="2">BlankMacro1</definedName>
    <definedName name="처ㅓ허ㅓㅇ">BlankMacro1</definedName>
    <definedName name="처ㅓㅓㅇ" localSheetId="6" hidden="1">{#N/A,#N/A,FALSE,"기안지";#N/A,#N/A,FALSE,"통신지"}</definedName>
    <definedName name="처ㅓㅓㅇ" localSheetId="2" hidden="1">{#N/A,#N/A,FALSE,"기안지";#N/A,#N/A,FALSE,"통신지"}</definedName>
    <definedName name="처ㅓㅓㅇ" hidden="1">{#N/A,#N/A,FALSE,"기안지";#N/A,#N/A,FALSE,"통신지"}</definedName>
    <definedName name="처ㅓㅓㅑㄷ" localSheetId="2">BlankMacro1</definedName>
    <definedName name="처ㅓㅓㅑㄷ">BlankMacro1</definedName>
    <definedName name="천">#REF!</definedName>
    <definedName name="천안">#REF!</definedName>
    <definedName name="천천천" localSheetId="2">BlankMacro1</definedName>
    <definedName name="천천천">BlankMacro1</definedName>
    <definedName name="철거현황" localSheetId="2" hidden="1">{#N/A,#N/A,FALSE,"단축1";#N/A,#N/A,FALSE,"단축2";#N/A,#N/A,FALSE,"단축3";#N/A,#N/A,FALSE,"장축";#N/A,#N/A,FALSE,"4WD"}</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6" hidden="1">{"'Jibu9811 (3)'!$B$1:$J$433"}</definedName>
    <definedName name="철호" localSheetId="2" hidden="1">{"'Jibu9811 (3)'!$B$1:$J$433"}</definedName>
    <definedName name="철호" hidden="1">{"'Jibu9811 (3)'!$B$1:$J$433"}</definedName>
    <definedName name="첨" localSheetId="2" hidden="1">{#N/A,#N/A,FALSE,"단축1";#N/A,#N/A,FALSE,"단축2";#N/A,#N/A,FALSE,"단축3";#N/A,#N/A,FALSE,"장축";#N/A,#N/A,FALSE,"4WD"}</definedName>
    <definedName name="첨" hidden="1">{#N/A,#N/A,FALSE,"단축1";#N/A,#N/A,FALSE,"단축2";#N/A,#N/A,FALSE,"단축3";#N/A,#N/A,FALSE,"장축";#N/A,#N/A,FALSE,"4WD"}</definedName>
    <definedName name="첨부." hidden="1">#REF!</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1" localSheetId="2">BlankMacro1</definedName>
    <definedName name="첨부11">BlankMacro1</definedName>
    <definedName name="첩모" localSheetId="2">BlankMacro1</definedName>
    <definedName name="첩모">BlankMacro1</definedName>
    <definedName name="첫장" localSheetId="2" hidden="1">{#N/A,#N/A,TRUE,"총괄"}</definedName>
    <definedName name="첫장" hidden="1">{#N/A,#N/A,TRUE,"총괄"}</definedName>
    <definedName name="첫장1" localSheetId="2" hidden="1">{"'용역비'!$A$4:$C$8"}</definedName>
    <definedName name="첫장1" hidden="1">{"'용역비'!$A$4:$C$8"}</definedName>
    <definedName name="청단풍">#REF!</definedName>
    <definedName name="청주">#REF!</definedName>
    <definedName name="청주가동률" localSheetId="2">{"Book1"}</definedName>
    <definedName name="청주가동률">{"Book1"}</definedName>
    <definedName name="첳" localSheetId="2">BlankMacro1</definedName>
    <definedName name="첳">BlankMacro1</definedName>
    <definedName name="초고압" localSheetId="6" hidden="1">{#N/A,#N/A,FALSE,"UNIT";#N/A,#N/A,FALSE,"UNIT";#N/A,#N/A,FALSE,"계정"}</definedName>
    <definedName name="초고압" localSheetId="2" hidden="1">{#N/A,#N/A,FALSE,"UNIT";#N/A,#N/A,FALSE,"UNIT";#N/A,#N/A,FALSE,"계정"}</definedName>
    <definedName name="초고압" hidden="1">{#N/A,#N/A,FALSE,"UNIT";#N/A,#N/A,FALSE,"UNIT";#N/A,#N/A,FALSE,"계정"}</definedName>
    <definedName name="초기작업"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localSheetId="2" hidden="1">{#N/A,#N/A,FALSE,"단축1";#N/A,#N/A,FALSE,"단축2";#N/A,#N/A,FALSE,"단축3";#N/A,#N/A,FALSE,"장축";#N/A,#N/A,FALSE,"4WD"}</definedName>
    <definedName name="초안" hidden="1">{#N/A,#N/A,FALSE,"단축1";#N/A,#N/A,FALSE,"단축2";#N/A,#N/A,FALSE,"단축3";#N/A,#N/A,FALSE,"장축";#N/A,#N/A,FALSE,"4WD"}</definedName>
    <definedName name="초임금비교" localSheetId="6" hidden="1">{#N/A,#N/A,FALSE,"계약직(여)"}</definedName>
    <definedName name="초임금비교" localSheetId="2" hidden="1">{#N/A,#N/A,FALSE,"계약직(여)"}</definedName>
    <definedName name="초임금비교" hidden="1">{#N/A,#N/A,FALSE,"계약직(여)"}</definedName>
    <definedName name="초임급" localSheetId="6" hidden="1">{#N/A,#N/A,FALSE,"계약직(여)"}</definedName>
    <definedName name="초임급" localSheetId="2" hidden="1">{#N/A,#N/A,FALSE,"계약직(여)"}</definedName>
    <definedName name="초임급" hidden="1">{#N/A,#N/A,FALSE,"계약직(여)"}</definedName>
    <definedName name="초ㅓㅑㅂ" localSheetId="2">BlankMacro1</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6" hidden="1">{#N/A,#N/A,FALSE,"운반시간"}</definedName>
    <definedName name="총공" localSheetId="2" hidden="1">{#N/A,#N/A,FALSE,"운반시간"}</definedName>
    <definedName name="총공" hidden="1">{#N/A,#N/A,FALSE,"운반시간"}</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2" hidden="1">#REF!</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6" hidden="1">{#N/A,#N/A,FALSE,"정공"}</definedName>
    <definedName name="총괄_신세대" localSheetId="2" hidden="1">{#N/A,#N/A,FALSE,"정공"}</definedName>
    <definedName name="총괄_신세대" hidden="1">{#N/A,#N/A,FALSE,"정공"}</definedName>
    <definedName name="총괄1" localSheetId="6" hidden="1">{#N/A,#N/A,FALSE,"UNIT";#N/A,#N/A,FALSE,"UNIT";#N/A,#N/A,FALSE,"계정"}</definedName>
    <definedName name="총괄1" localSheetId="2" hidden="1">{#N/A,#N/A,FALSE,"UNIT";#N/A,#N/A,FALSE,"UNIT";#N/A,#N/A,FALSE,"계정"}</definedName>
    <definedName name="총괄1" hidden="1">{#N/A,#N/A,FALSE,"UNIT";#N/A,#N/A,FALSE,"UNIT";#N/A,#N/A,FALSE,"계정"}</definedName>
    <definedName name="총괄내역" localSheetId="2" hidden="1">{#N/A,#N/A,TRUE,"총괄"}</definedName>
    <definedName name="총괄내역" hidden="1">{#N/A,#N/A,TRUE,"총괄"}</definedName>
    <definedName name="총괄내역서" localSheetId="2" hidden="1">{#N/A,#N/A,TRUE,"총괄"}</definedName>
    <definedName name="총괄내역서" hidden="1">{#N/A,#N/A,TRUE,"총괄"}</definedName>
    <definedName name="총괄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6" hidden="1">{#N/A,#N/A,FALSE,"P.C.B"}</definedName>
    <definedName name="총무" localSheetId="2" hidden="1">{#N/A,#N/A,FALSE,"P.C.B"}</definedName>
    <definedName name="총무" hidden="1">{#N/A,#N/A,FALSE,"P.C.B"}</definedName>
    <definedName name="총무3" localSheetId="2" hidden="1">{#N/A,#N/A,FALSE,"단축1";#N/A,#N/A,FALSE,"단축2";#N/A,#N/A,FALSE,"단축3";#N/A,#N/A,FALSE,"장축";#N/A,#N/A,FALSE,"4WD"}</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6" hidden="1">{#N/A,#N/A,FALSE,"범우구미";#N/A,#N/A,FALSE,"세한케미칼";#N/A,#N/A,FALSE,"세명화학";#N/A,#N/A,FALSE,"신영케미칼";#N/A,#N/A,FALSE,"일석상사"}</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6"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6" hidden="1">{#N/A,#N/A,FALSE,"정공"}</definedName>
    <definedName name="최영" localSheetId="2" hidden="1">{#N/A,#N/A,FALSE,"정공"}</definedName>
    <definedName name="최영" hidden="1">{#N/A,#N/A,FALSE,"정공"}</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localSheetId="2" hidden="1">{#N/A,#N/A,TRUE,"경전'96(1)";#N/A,#N/A,TRUE,"경전'96 (2)"}</definedName>
    <definedName name="최치" hidden="1">{#N/A,#N/A,TRUE,"경전'96(1)";#N/A,#N/A,TRUE,"경전'96 (2)"}</definedName>
    <definedName name="추" localSheetId="2" hidden="1">{#N/A,#N/A,FALSE,"단축1";#N/A,#N/A,FALSE,"단축2";#N/A,#N/A,FALSE,"단축3";#N/A,#N/A,FALSE,"장축";#N/A,#N/A,FALSE,"4WD"}</definedName>
    <definedName name="추" hidden="1">{#N/A,#N/A,FALSE,"단축1";#N/A,#N/A,FALSE,"단축2";#N/A,#N/A,FALSE,"단축3";#N/A,#N/A,FALSE,"장축";#N/A,#N/A,FALSE,"4WD"}</definedName>
    <definedName name="추가">#REF!</definedName>
    <definedName name="추계">#N/A</definedName>
    <definedName name="추계합계">#REF!</definedName>
    <definedName name="추이" localSheetId="2" hidden="1">{#VALUE!,#N/A,FALSE,0;#N/A,#N/A,FALSE,0;#N/A,#N/A,FALSE,0;#N/A,#N/A,FALSE,0}</definedName>
    <definedName name="추이" hidden="1">{#VALUE!,#N/A,FALSE,0;#N/A,#N/A,FALSE,0;#N/A,#N/A,FALSE,0;#N/A,#N/A,FALSE,0}</definedName>
    <definedName name="추정" localSheetId="6" hidden="1">{#N/A,#N/A,FALSE,"Aging Summary";#N/A,#N/A,FALSE,"Ratio Analysis";#N/A,#N/A,FALSE,"Test 120 Day Accts";#N/A,#N/A,FALSE,"Tickmarks"}</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6" hidden="1">{#N/A,#N/A,FALSE,"BS";#N/A,#N/A,FALSE,"PL";#N/A,#N/A,FALSE,"처분";#N/A,#N/A,FALSE,"현금";#N/A,#N/A,FALSE,"매출";#N/A,#N/A,FALSE,"원가";#N/A,#N/A,FALSE,"경영"}</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6"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6" hidden="1">{#N/A,#N/A,FALSE,"정공"}</definedName>
    <definedName name="추진" localSheetId="2" hidden="1">{#N/A,#N/A,FALSE,"정공"}</definedName>
    <definedName name="추진" hidden="1">{#N/A,#N/A,FALSE,"정공"}</definedName>
    <definedName name="추진과제" localSheetId="2" hidden="1">{#N/A,#N/A,FALSE,"단축1";#N/A,#N/A,FALSE,"단축2";#N/A,#N/A,FALSE,"단축3";#N/A,#N/A,FALSE,"장축";#N/A,#N/A,FALSE,"4WD"}</definedName>
    <definedName name="추진과제" hidden="1">{#N/A,#N/A,FALSE,"단축1";#N/A,#N/A,FALSE,"단축2";#N/A,#N/A,FALSE,"단축3";#N/A,#N/A,FALSE,"장축";#N/A,#N/A,FALSE,"4WD"}</definedName>
    <definedName name="추진방안" localSheetId="6" hidden="1">{#N/A,#N/A,FALSE,"인원";#N/A,#N/A,FALSE,"비용2";#N/A,#N/A,FALSE,"비용1";#N/A,#N/A,FALSE,"비용";#N/A,#N/A,FALSE,"보증2";#N/A,#N/A,FALSE,"보증1";#N/A,#N/A,FALSE,"보증";#N/A,#N/A,FALSE,"손익1";#N/A,#N/A,FALSE,"손익";#N/A,#N/A,FALSE,"부서별매출";#N/A,#N/A,FALSE,"매출"}</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2" hidden="1">{#N/A,#N/A,FALSE,"단축1";#N/A,#N/A,FALSE,"단축2";#N/A,#N/A,FALSE,"단축3";#N/A,#N/A,FALSE,"장축";#N/A,#N/A,FALSE,"4WD"}</definedName>
    <definedName name="추진배경" hidden="1">{#N/A,#N/A,FALSE,"단축1";#N/A,#N/A,FALSE,"단축2";#N/A,#N/A,FALSE,"단축3";#N/A,#N/A,FALSE,"장축";#N/A,#N/A,FALSE,"4WD"}</definedName>
    <definedName name="추진전략" localSheetId="6" hidden="1">{#N/A,#N/A,FALSE,"정공"}</definedName>
    <definedName name="추진전략" localSheetId="2" hidden="1">{#N/A,#N/A,FALSE,"정공"}</definedName>
    <definedName name="추진전략" hidden="1">{#N/A,#N/A,FALSE,"정공"}</definedName>
    <definedName name="추진효과" localSheetId="2" hidden="1">{"'BSC(2001)'!$A$27:$G$32"}</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localSheetId="2" hidden="1">{#N/A,#N/A,FALSE,"지침";#N/A,#N/A,FALSE,"환경분석";#N/A,#N/A,FALSE,"Sheet16"}</definedName>
    <definedName name="출판" hidden="1">{#N/A,#N/A,FALSE,"지침";#N/A,#N/A,FALSE,"환경분석";#N/A,#N/A,FALSE,"Sheet16"}</definedName>
    <definedName name="충당금">#REF!</definedName>
    <definedName name="충당금1" hidden="1">#REF!</definedName>
    <definedName name="충당집계a">#REF!</definedName>
    <definedName name="충돌" localSheetId="2" hidden="1">{#N/A,#N/A,FALSE,"단축1";#N/A,#N/A,FALSE,"단축2";#N/A,#N/A,FALSE,"단축3";#N/A,#N/A,FALSE,"장축";#N/A,#N/A,FALSE,"4WD"}</definedName>
    <definedName name="충돌" hidden="1">{#N/A,#N/A,FALSE,"단축1";#N/A,#N/A,FALSE,"단축2";#N/A,#N/A,FALSE,"단축3";#N/A,#N/A,FALSE,"장축";#N/A,#N/A,FALSE,"4WD"}</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 localSheetId="2">BLCH</definedName>
    <definedName name="취소국소">BLCH</definedName>
    <definedName name="츄" localSheetId="2" hidden="1">{#N/A,#N/A,FALSE,"Sheet1"}</definedName>
    <definedName name="츄" hidden="1">{#N/A,#N/A,FALSE,"Sheet1"}</definedName>
    <definedName name="측구">#REF!</definedName>
    <definedName name="측량">#REF!</definedName>
    <definedName name="측정함">#N/A</definedName>
    <definedName name="츧갸허" localSheetId="2">BlankMacro1</definedName>
    <definedName name="츧갸허">BlankMacro1</definedName>
    <definedName name="치" localSheetId="6" hidden="1">{#N/A,#N/A,FALSE,"97년 투자계획 세부내역 "}</definedName>
    <definedName name="치" localSheetId="2" hidden="1">{#N/A,#N/A,FALSE,"97년 투자계획 세부내역 "}</definedName>
    <definedName name="치" hidden="1">{#N/A,#N/A,FALSE,"97년 투자계획 세부내역 "}</definedName>
    <definedName name="치버ㅑ" localSheetId="2">BlankMacro1</definedName>
    <definedName name="치버ㅑ">BlankMacro1</definedName>
    <definedName name="치장벽돌공">#REF!</definedName>
    <definedName name="치ㅑㄷ" localSheetId="2">BlankMacro1</definedName>
    <definedName name="치ㅑㄷ">BlankMacro1</definedName>
    <definedName name="칭" localSheetId="2">BlankMacro1</definedName>
    <definedName name="칭">BlankMacro1</definedName>
    <definedName name="ㅋ" localSheetId="6" hidden="1">{#N/A,#N/A,FALSE,"UNIT";#N/A,#N/A,FALSE,"UNIT";#N/A,#N/A,FALSE,"계정"}</definedName>
    <definedName name="ㅋ" localSheetId="2" hidden="1">{#N/A,#N/A,FALSE,"UNIT";#N/A,#N/A,FALSE,"UNIT";#N/A,#N/A,FALSE,"계정"}</definedName>
    <definedName name="ㅋ" hidden="1">{#N/A,#N/A,FALSE,"UNIT";#N/A,#N/A,FALSE,"UNIT";#N/A,#N/A,FALSE,"계정"}</definedName>
    <definedName name="ㅋㄴ" localSheetId="2" hidden="1">{#N/A,#N/A,FALSE,"단축1";#N/A,#N/A,FALSE,"단축2";#N/A,#N/A,FALSE,"단축3";#N/A,#N/A,FALSE,"장축";#N/A,#N/A,FALSE,"4WD"}</definedName>
    <definedName name="ㅋㄴ" hidden="1">{#N/A,#N/A,FALSE,"단축1";#N/A,#N/A,FALSE,"단축2";#N/A,#N/A,FALSE,"단축3";#N/A,#N/A,FALSE,"장축";#N/A,#N/A,FALSE,"4WD"}</definedName>
    <definedName name="ㅋㄷㅎㄷㅎㅁ" localSheetId="2" hidden="1">{#N/A,#N/A,TRUE,"경전'96(1)";#N/A,#N/A,TRUE,"경전'96 (2)"}</definedName>
    <definedName name="ㅋㄷㅎㄷㅎㅁ" hidden="1">{#N/A,#N/A,TRUE,"경전'96(1)";#N/A,#N/A,TRUE,"경전'96 (2)"}</definedName>
    <definedName name="ㅋ돔ㄷ롬ㄷ" localSheetId="2" hidden="1">{#N/A,#N/A,TRUE,"경전'96(1)";#N/A,#N/A,TRUE,"경전'96 (2)"}</definedName>
    <definedName name="ㅋ돔ㄷ롬ㄷ" hidden="1">{#N/A,#N/A,TRUE,"경전'96(1)";#N/A,#N/A,TRUE,"경전'96 (2)"}</definedName>
    <definedName name="ㅋㅇ로" localSheetId="2" hidden="1">{#N/A,#N/A,TRUE,"경전'96(1)";#N/A,#N/A,TRUE,"경전'96 (2)"}</definedName>
    <definedName name="ㅋㅇ로" hidden="1">{#N/A,#N/A,TRUE,"경전'96(1)";#N/A,#N/A,TRUE,"경전'96 (2)"}</definedName>
    <definedName name="ㅋㅇㅎㅇㅎ" localSheetId="2" hidden="1">{#N/A,#N/A,TRUE,"경전'96(1)";#N/A,#N/A,TRUE,"경전'96 (2)"}</definedName>
    <definedName name="ㅋㅇㅎㅇㅎ" hidden="1">{#N/A,#N/A,TRUE,"경전'96(1)";#N/A,#N/A,TRUE,"경전'96 (2)"}</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6" hidden="1">{"'Jibu9811 (3)'!$B$1:$J$433"}</definedName>
    <definedName name="ㅋㅋㅋ" localSheetId="2" hidden="1">{"'Jibu9811 (3)'!$B$1:$J$433"}</definedName>
    <definedName name="ㅋㅋㅋ" hidden="1">{"'Jibu9811 (3)'!$B$1:$J$433"}</definedName>
    <definedName name="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#REF!</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localSheetId="2" hidden="1">{#N/A,#N/A,FALSE,"Sheet1"}</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localSheetId="2" hidden="1">{#N/A,#N/A,FALSE,"단축1";#N/A,#N/A,FALSE,"단축2";#N/A,#N/A,FALSE,"단축3";#N/A,#N/A,FALSE,"장축";#N/A,#N/A,FALSE,"4WD"}</definedName>
    <definedName name="카" hidden="1">{#N/A,#N/A,FALSE,"단축1";#N/A,#N/A,FALSE,"단축2";#N/A,#N/A,FALSE,"단축3";#N/A,#N/A,FALSE,"장축";#N/A,#N/A,FALSE,"4WD"}</definedName>
    <definedName name="카러" localSheetId="6"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localSheetId="2" hidden="1">{#N/A,#N/A,FALSE,"지침";#N/A,#N/A,FALSE,"환경분석";#N/A,#N/A,FALSE,"Sheet16"}</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6"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6"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6" hidden="1">{#N/A,#N/A,TRUE,"토적및재료집계";#N/A,#N/A,TRUE,"토적및재료집계";#N/A,#N/A,TRUE,"단위량"}</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localSheetId="2" hidden="1">{#N/A,#N/A,FALSE,"단축1";#N/A,#N/A,FALSE,"단축2";#N/A,#N/A,FALSE,"단축3";#N/A,#N/A,FALSE,"장축";#N/A,#N/A,FALSE,"4WD"}</definedName>
    <definedName name="케이스" hidden="1">{#N/A,#N/A,FALSE,"단축1";#N/A,#N/A,FALSE,"단축2";#N/A,#N/A,FALSE,"단축3";#N/A,#N/A,FALSE,"장축";#N/A,#N/A,FALSE,"4WD"}</definedName>
    <definedName name="코" localSheetId="6"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localSheetId="2" hidden="1">{#N/A,#N/A,TRUE,"경전'96(1)";#N/A,#N/A,TRUE,"경전'96 (2)"}</definedName>
    <definedName name="콛소" hidden="1">{#N/A,#N/A,TRUE,"경전'96(1)";#N/A,#N/A,TRUE,"경전'96 (2)"}</definedName>
    <definedName name="콤프">#N/A</definedName>
    <definedName name="큐ㅗㅅㄹ">#N/A</definedName>
    <definedName name="크" localSheetId="2" hidden="1">{#N/A,#N/A,FALSE,"단축1";#N/A,#N/A,FALSE,"단축2";#N/A,#N/A,FALSE,"단축3";#N/A,#N/A,FALSE,"장축";#N/A,#N/A,FALSE,"4WD"}</definedName>
    <definedName name="크"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6"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6" hidden="1">{#N/A,#N/A,FALSE,"인원";#N/A,#N/A,FALSE,"비용2";#N/A,#N/A,FALSE,"비용1";#N/A,#N/A,FALSE,"비용";#N/A,#N/A,FALSE,"보증2";#N/A,#N/A,FALSE,"보증1";#N/A,#N/A,FALSE,"보증";#N/A,#N/A,FALSE,"손익1";#N/A,#N/A,FALSE,"손익";#N/A,#N/A,FALSE,"부서별매출";#N/A,#N/A,FALSE,"매출"}</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6"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6" hidden="1">{#N/A,#N/A,FALSE,"을지 (4)";#N/A,#N/A,FALSE,"을지 (5)";#N/A,#N/A,FALSE,"을지 (6)"}</definedName>
    <definedName name="키프코" localSheetId="2" hidden="1">{#N/A,#N/A,FALSE,"을지 (4)";#N/A,#N/A,FALSE,"을지 (5)";#N/A,#N/A,FALSE,"을지 (6)"}</definedName>
    <definedName name="키프코" hidden="1">{#N/A,#N/A,FALSE,"을지 (4)";#N/A,#N/A,FALSE,"을지 (5)";#N/A,#N/A,FALSE,"을지 (6)"}</definedName>
    <definedName name="ㅌ" localSheetId="6"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6" hidden="1">{#N/A,#N/A,FALSE,"단축1";#N/A,#N/A,FALSE,"단축2";#N/A,#N/A,FALSE,"단축3";#N/A,#N/A,FALSE,"장축";#N/A,#N/A,FALSE,"4WD"}</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 localSheetId="2">BlankMacro1</definedName>
    <definedName name="ㅌㄷ">BlankMacro1</definedName>
    <definedName name="ㅌㅇ로" localSheetId="2" hidden="1">{#N/A,#N/A,FALSE,"단축1";#N/A,#N/A,FALSE,"단축2";#N/A,#N/A,FALSE,"단축3";#N/A,#N/A,FALSE,"장축";#N/A,#N/A,FALSE,"4WD"}</definedName>
    <definedName name="ㅌㅇ로" hidden="1">{#N/A,#N/A,FALSE,"단축1";#N/A,#N/A,FALSE,"단축2";#N/A,#N/A,FALSE,"단축3";#N/A,#N/A,FALSE,"장축";#N/A,#N/A,FALSE,"4WD"}</definedName>
    <definedName name="ㅌㅊ" localSheetId="2" hidden="1">{#N/A,#N/A,FALSE,"단축1";#N/A,#N/A,FALSE,"단축2";#N/A,#N/A,FALSE,"단축3";#N/A,#N/A,FALSE,"장축";#N/A,#N/A,FALSE,"4WD"}</definedName>
    <definedName name="ㅌㅊ" hidden="1">{#N/A,#N/A,FALSE,"단축1";#N/A,#N/A,FALSE,"단축2";#N/A,#N/A,FALSE,"단축3";#N/A,#N/A,FALSE,"장축";#N/A,#N/A,FALSE,"4WD"}</definedName>
    <definedName name="ㅌㅌ" localSheetId="6" hidden="1">{"'매출이익'!$A$24:$K$45"}</definedName>
    <definedName name="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 hidden="1">{"'매출이익'!$A$24:$K$45"}</definedName>
    <definedName name="ㅌㅌㅌ" localSheetId="6" hidden="1">{#N/A,#N/A,TRUE,"일정"}</definedName>
    <definedName name="ㅌㅌㅌ" localSheetId="2" hidden="1">{#N/A,#N/A,TRUE,"일정"}</definedName>
    <definedName name="ㅌㅌㅌ" hidden="1">{#N/A,#N/A,TRUE,"일정"}</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6" hidden="1">{#N/A,#N/A,FALSE,"부대1"}</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6" hidden="1">{#N/A,#N/A,TRUE,"Y생산";#N/A,#N/A,TRUE,"Y판매";#N/A,#N/A,TRUE,"Y총물량";#N/A,#N/A,TRUE,"Y능력";#N/A,#N/A,TRUE,"YKD"}</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6"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 localSheetId="2">BlankMacro1</definedName>
    <definedName name="템플">BlankMacro1</definedName>
    <definedName name="템플리트모듈1" localSheetId="8">BlankMacro1</definedName>
    <definedName name="템플리트모듈1" localSheetId="6">BlankMacro1</definedName>
    <definedName name="템플리트모듈1" localSheetId="2">BlankMacro1</definedName>
    <definedName name="템플리트모듈1" localSheetId="0">BlankMacro1</definedName>
    <definedName name="템플리트모듈1" localSheetId="9">BlankMacro1</definedName>
    <definedName name="템플리트모듈1">BlankMacro1</definedName>
    <definedName name="템플리트모듈10" localSheetId="2">BlankMacro1</definedName>
    <definedName name="템플리트모듈10">BlankMacro1</definedName>
    <definedName name="템플리트모듈2" localSheetId="8">BlankMacro1</definedName>
    <definedName name="템플리트모듈2" localSheetId="6">BlankMacro1</definedName>
    <definedName name="템플리트모듈2" localSheetId="2">BlankMacro1</definedName>
    <definedName name="템플리트모듈2" localSheetId="0">BlankMacro1</definedName>
    <definedName name="템플리트모듈2" localSheetId="9">BlankMacro1</definedName>
    <definedName name="템플리트모듈2">BlankMacro1</definedName>
    <definedName name="템플리트모듈3" localSheetId="8">BlankMacro1</definedName>
    <definedName name="템플리트모듈3" localSheetId="6">BlankMacro1</definedName>
    <definedName name="템플리트모듈3" localSheetId="2">BlankMacro1</definedName>
    <definedName name="템플리트모듈3" localSheetId="0">BlankMacro1</definedName>
    <definedName name="템플리트모듈3" localSheetId="9">BlankMacro1</definedName>
    <definedName name="템플리트모듈3">BlankMacro1</definedName>
    <definedName name="템플리트모듈4" localSheetId="8">BlankMacro1</definedName>
    <definedName name="템플리트모듈4" localSheetId="6">BlankMacro1</definedName>
    <definedName name="템플리트모듈4" localSheetId="2">BlankMacro1</definedName>
    <definedName name="템플리트모듈4" localSheetId="0">BlankMacro1</definedName>
    <definedName name="템플리트모듈4" localSheetId="9">BlankMacro1</definedName>
    <definedName name="템플리트모듈4">BlankMacro1</definedName>
    <definedName name="템플리트모듈5" localSheetId="8">BlankMacro1</definedName>
    <definedName name="템플리트모듈5" localSheetId="6">BlankMacro1</definedName>
    <definedName name="템플리트모듈5" localSheetId="2">BlankMacro1</definedName>
    <definedName name="템플리트모듈5" localSheetId="0">BlankMacro1</definedName>
    <definedName name="템플리트모듈5" localSheetId="9">BlankMacro1</definedName>
    <definedName name="템플리트모듈5">BlankMacro1</definedName>
    <definedName name="템플리트모듈6" localSheetId="8">BlankMacro1</definedName>
    <definedName name="템플리트모듈6" localSheetId="6">BlankMacro1</definedName>
    <definedName name="템플리트모듈6" localSheetId="2">BlankMacro1</definedName>
    <definedName name="템플리트모듈6" localSheetId="0">BlankMacro1</definedName>
    <definedName name="템플리트모듈6" localSheetId="9">BlankMacro1</definedName>
    <definedName name="템플리트모듈6">BlankMacro1</definedName>
    <definedName name="토">#REF!</definedName>
    <definedName name="토건">#REF!</definedName>
    <definedName name="토공">#REF!</definedName>
    <definedName name="토공량" localSheetId="2" hidden="1">{#N/A,#N/A,FALSE,"기안지";#N/A,#N/A,FALSE,"통신지"}</definedName>
    <definedName name="토공량" hidden="1">{#N/A,#N/A,FALSE,"기안지";#N/A,#N/A,FALSE,"통신지"}</definedName>
    <definedName name="토공사">#REF!</definedName>
    <definedName name="토목">#REF!</definedName>
    <definedName name="토목공사" localSheetId="2" hidden="1">{#N/A,#N/A,FALSE,"이태원철근"}</definedName>
    <definedName name="토목공사" hidden="1">{#N/A,#N/A,FALSE,"이태원철근"}</definedName>
    <definedName name="토목공사강릉" localSheetId="6" hidden="1">#REF!</definedName>
    <definedName name="토목공사강릉" hidden="1">#REF!</definedName>
    <definedName name="토목내역">#REF!</definedName>
    <definedName name="토목법규">#REF!</definedName>
    <definedName name="토목설계" localSheetId="6" hidden="1">{#N/A,#N/A,FALSE,"골재소요량";#N/A,#N/A,FALSE,"골재소요량"}</definedName>
    <definedName name="토목설계" localSheetId="2" hidden="1">{#N/A,#N/A,FALSE,"골재소요량";#N/A,#N/A,FALSE,"골재소요량"}</definedName>
    <definedName name="토목설계" hidden="1">{#N/A,#N/A,FALSE,"골재소요량";#N/A,#N/A,FALSE,"골재소요량"}</definedName>
    <definedName name="토목실견적" localSheetId="2" hidden="1">{#N/A,#N/A,FALSE,"이태원철근"}</definedName>
    <definedName name="토목실견적" hidden="1">{#N/A,#N/A,FALSE,"이태원철근"}</definedName>
    <definedName name="토용임" localSheetId="6" hidden="1">{"'Jibu9811 (3)'!$B$1:$J$433"}</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 localSheetId="2">BlankMacro1</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6" hidden="1">{"'Jibu9811 (3)'!$B$1:$J$433"}</definedName>
    <definedName name="통합" localSheetId="2" hidden="1">{"'Jibu9811 (3)'!$B$1:$J$433"}</definedName>
    <definedName name="통합" hidden="1">{"'Jibu9811 (3)'!$B$1:$J$433"}</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6" hidden="1">{"'매출이익'!$A$24:$K$45"}</definedName>
    <definedName name="퇴직급여" localSheetId="2" hidden="1">{"'매출이익'!$A$24:$K$45"}</definedName>
    <definedName name="퇴직급여" hidden="1">{"'매출이익'!$A$24:$K$45"}</definedName>
    <definedName name="퇴직급여충당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localSheetId="2" hidden="1">{#N/A,#N/A,TRUE,"경전'96(1)";#N/A,#N/A,TRUE,"경전'96 (2)"}</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 localSheetId="2">{"A","내복";"B","주사";"C","외용";"D","기타"}</definedName>
    <definedName name="투여표">{"A","내복";"B","주사";"C","외용";"D","기타"}</definedName>
    <definedName name="투이윤">#REF!</definedName>
    <definedName name="투일반관리비">#REF!</definedName>
    <definedName name="투자" localSheetId="6" hidden="1">{#N/A,#N/A,FALSE,"삼진정공";#N/A,#N/A,FALSE,"영신금속";#N/A,#N/A,FALSE,"태양금속";#N/A,#N/A,FALSE,"진합정공";#N/A,#N/A,FALSE,"코리아";#N/A,#N/A,FALSE,"풍강금속";#N/A,#N/A,FALSE,"선일기계"}</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6" hidden="1">{#N/A,#N/A,FALSE,"단축1";#N/A,#N/A,FALSE,"단축2";#N/A,#N/A,FALSE,"단축3";#N/A,#N/A,FALSE,"장축";#N/A,#N/A,FALSE,"4WD"}</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6" hidden="1">{#N/A,#N/A,FALSE,"Aging Summary";#N/A,#N/A,FALSE,"Ratio Analysis";#N/A,#N/A,FALSE,"Test 120 Day Accts";#N/A,#N/A,FALSE,"Tickmarks"}</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6" hidden="1">{#N/A,#N/A,FALSE,"UNIT";#N/A,#N/A,FALSE,"UNIT";#N/A,#N/A,FALSE,"계정"}</definedName>
    <definedName name="투자계획" localSheetId="2" hidden="1">{#N/A,#N/A,FALSE,"UNIT";#N/A,#N/A,FALSE,"UNIT";#N/A,#N/A,FALSE,"계정"}</definedName>
    <definedName name="투자계획" hidden="1">{#N/A,#N/A,FALSE,"UNIT";#N/A,#N/A,FALSE,"UNIT";#N/A,#N/A,FALSE,"계정"}</definedName>
    <definedName name="투자계획1" localSheetId="6"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6"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localSheetId="2" hidden="1">{#N/A,#N/A,FALSE,"단축1";#N/A,#N/A,FALSE,"단축2";#N/A,#N/A,FALSE,"단축3";#N/A,#N/A,FALSE,"장축";#N/A,#N/A,FALSE,"4WD"}</definedName>
    <definedName name="투자대상" hidden="1">{#N/A,#N/A,FALSE,"단축1";#N/A,#N/A,FALSE,"단축2";#N/A,#N/A,FALSE,"단축3";#N/A,#N/A,FALSE,"장축";#N/A,#N/A,FALSE,"4WD"}</definedName>
    <definedName name="투자비.현재" localSheetId="2"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3" localSheetId="2" hidden="1">{#N/A,#N/A,FALSE,"단축1";#N/A,#N/A,FALSE,"단축2";#N/A,#N/A,FALSE,"단축3";#N/A,#N/A,FALSE,"장축";#N/A,#N/A,FALSE,"4WD"}</definedName>
    <definedName name="투자비3" hidden="1">{#N/A,#N/A,FALSE,"단축1";#N/A,#N/A,FALSE,"단축2";#N/A,#N/A,FALSE,"단축3";#N/A,#N/A,FALSE,"장축";#N/A,#N/A,FALSE,"4WD"}</definedName>
    <definedName name="투자비3안" localSheetId="2" hidden="1">{#N/A,#N/A,FALSE,"단축1";#N/A,#N/A,FALSE,"단축2";#N/A,#N/A,FALSE,"단축3";#N/A,#N/A,FALSE,"장축";#N/A,#N/A,FALSE,"4WD"}</definedName>
    <definedName name="투자비3안" hidden="1">{#N/A,#N/A,FALSE,"단축1";#N/A,#N/A,FALSE,"단축2";#N/A,#N/A,FALSE,"단축3";#N/A,#N/A,FALSE,"장축";#N/A,#N/A,FALSE,"4WD"}</definedName>
    <definedName name="투자비검토" localSheetId="2" hidden="1">{#N/A,#N/A,FALSE,"단축1";#N/A,#N/A,FALSE,"단축2";#N/A,#N/A,FALSE,"단축3";#N/A,#N/A,FALSE,"장축";#N/A,#N/A,FALSE,"4WD"}</definedName>
    <definedName name="투자비검토" hidden="1">{#N/A,#N/A,FALSE,"단축1";#N/A,#N/A,FALSE,"단축2";#N/A,#N/A,FALSE,"단축3";#N/A,#N/A,FALSE,"장축";#N/A,#N/A,FALSE,"4WD"}</definedName>
    <definedName name="투자비복" localSheetId="2" hidden="1">{#N/A,#N/A,FALSE,"단축1";#N/A,#N/A,FALSE,"단축2";#N/A,#N/A,FALSE,"단축3";#N/A,#N/A,FALSE,"장축";#N/A,#N/A,FALSE,"4WD"}</definedName>
    <definedName name="투자비복" hidden="1">{#N/A,#N/A,FALSE,"단축1";#N/A,#N/A,FALSE,"단축2";#N/A,#N/A,FALSE,"단축3";#N/A,#N/A,FALSE,"장축";#N/A,#N/A,FALSE,"4WD"}</definedName>
    <definedName name="투자비비교" localSheetId="6"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유가증권" localSheetId="2"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#REF!</definedName>
    <definedName name="투자자산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6" hidden="1">{#N/A,#N/A,FALSE,"UNIT";#N/A,#N/A,FALSE,"UNIT";#N/A,#N/A,FALSE,"계정"}</definedName>
    <definedName name="투자현황" localSheetId="2" hidden="1">{#N/A,#N/A,FALSE,"UNIT";#N/A,#N/A,FALSE,"UNIT";#N/A,#N/A,FALSE,"계정"}</definedName>
    <definedName name="투자현황" hidden="1">{#N/A,#N/A,FALSE,"UNIT";#N/A,#N/A,FALSE,"UNIT";#N/A,#N/A,FALSE,"계정"}</definedName>
    <definedName name="투재료비">#REF!</definedName>
    <definedName name="투찰" localSheetId="2" hidden="1">{#N/A,#N/A,FALSE,"단가표지"}</definedName>
    <definedName name="투찰" hidden="1">{#N/A,#N/A,FALSE,"단가표지"}</definedName>
    <definedName name="투폐기물처리비">#REF!</definedName>
    <definedName name="튜" localSheetId="2" hidden="1">{#N/A,#N/A,FALSE,"Sheet1"}</definedName>
    <definedName name="튜" hidden="1">{#N/A,#N/A,FALSE,"Sheet1"}</definedName>
    <definedName name="특고">#REF!</definedName>
    <definedName name="특근" localSheetId="6" hidden="1">{#N/A,#N/A,FALSE,"단축1";#N/A,#N/A,FALSE,"단축2";#N/A,#N/A,FALSE,"단축3";#N/A,#N/A,FALSE,"장축";#N/A,#N/A,FALSE,"4WD"}</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6"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6" hidden="1">{#N/A,#N/A,FALSE,"UNIT";#N/A,#N/A,FALSE,"UNIT";#N/A,#N/A,FALSE,"계정"}</definedName>
    <definedName name="팀별계획" localSheetId="2" hidden="1">{#N/A,#N/A,FALSE,"UNIT";#N/A,#N/A,FALSE,"UNIT";#N/A,#N/A,FALSE,"계정"}</definedName>
    <definedName name="팀별계획" hidden="1">{#N/A,#N/A,FALSE,"UNIT";#N/A,#N/A,FALSE,"UNIT";#N/A,#N/A,FALSE,"계정"}</definedName>
    <definedName name="팀에분석" localSheetId="6" hidden="1">{"'Jibu9811 (3)'!$B$1:$J$433"}</definedName>
    <definedName name="팀에분석" localSheetId="2" hidden="1">{"'Jibu9811 (3)'!$B$1:$J$433"}</definedName>
    <definedName name="팀에분석" hidden="1">{"'Jibu9811 (3)'!$B$1:$J$433"}</definedName>
    <definedName name="팀장" localSheetId="6" hidden="1">{"'Jibu9811 (3)'!$B$1:$J$433"}</definedName>
    <definedName name="팀장" localSheetId="2" hidden="1">{"'Jibu9811 (3)'!$B$1:$J$433"}</definedName>
    <definedName name="팀장" hidden="1">{"'Jibu9811 (3)'!$B$1:$J$433"}</definedName>
    <definedName name="ㅍ" hidden="1">#REF!</definedName>
    <definedName name="ㅍ77">#REF!</definedName>
    <definedName name="ㅍㄱ" localSheetId="2">BlankMacro1</definedName>
    <definedName name="ㅍㄱ">BlankMacro1</definedName>
    <definedName name="ㅍㄹ" localSheetId="2">BlankMacro1</definedName>
    <definedName name="ㅍㄹ">BlankMacro1</definedName>
    <definedName name="ㅍㄹㄷㅁㅁ" hidden="1">#REF!</definedName>
    <definedName name="ㅍ르ㅜ" localSheetId="6" hidden="1">{#N/A,#N/A,FALSE,"인원";#N/A,#N/A,FALSE,"비용2";#N/A,#N/A,FALSE,"비용1";#N/A,#N/A,FALSE,"비용";#N/A,#N/A,FALSE,"보증2";#N/A,#N/A,FALSE,"보증1";#N/A,#N/A,FALSE,"보증";#N/A,#N/A,FALSE,"손익1";#N/A,#N/A,FALSE,"손익";#N/A,#N/A,FALSE,"부서별매출";#N/A,#N/A,FALSE,"매출"}</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 localSheetId="2">BlankMacro1</definedName>
    <definedName name="ㅍㅈ">BlankMacro1</definedName>
    <definedName name="ㅍㅍ" hidden="1">#REF!</definedName>
    <definedName name="ㅍㅍㅍ" localSheetId="2" hidden="1">{#N/A,#N/A,FALSE,"단축1";#N/A,#N/A,FALSE,"단축2";#N/A,#N/A,FALSE,"단축3";#N/A,#N/A,FALSE,"장축";#N/A,#N/A,FALSE,"4WD"}</definedName>
    <definedName name="ㅍㅍㅍ" hidden="1">{#N/A,#N/A,FALSE,"단축1";#N/A,#N/A,FALSE,"단축2";#N/A,#N/A,FALSE,"단축3";#N/A,#N/A,FALSE,"장축";#N/A,#N/A,FALSE,"4WD"}</definedName>
    <definedName name="ㅍㅍㅍㅍ" localSheetId="6" hidden="1">{#N/A,#N/A,FALSE,"UNIT";#N/A,#N/A,FALSE,"UNIT";#N/A,#N/A,FALSE,"계정"}</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 localSheetId="2">BlankMacro1</definedName>
    <definedName name="ㅍㅎ">BlankMacro1</definedName>
    <definedName name="ㅍㅎㄴㄷㅇㅎㄽㄴㄷㅎ" localSheetId="6" hidden="1">{"'Jibu9811 (3)'!$B$1:$J$433"}</definedName>
    <definedName name="ㅍㅎㄴㄷㅇㅎㄽㄴㄷㅎ" localSheetId="2" hidden="1">{"'Jibu9811 (3)'!$B$1:$J$433"}</definedName>
    <definedName name="ㅍㅎㄴㄷㅇㅎㄽㄴㄷㅎ" hidden="1">{"'Jibu9811 (3)'!$B$1:$J$433"}</definedName>
    <definedName name="파" localSheetId="6"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6" hidden="1">{#N/A,#N/A,FALSE,"UNIT";#N/A,#N/A,FALSE,"UNIT";#N/A,#N/A,FALSE,"계정"}</definedName>
    <definedName name="파과" localSheetId="2" hidden="1">{#N/A,#N/A,FALSE,"UNIT";#N/A,#N/A,FALSE,"UNIT";#N/A,#N/A,FALSE,"계정"}</definedName>
    <definedName name="파과" hidden="1">{#N/A,#N/A,FALSE,"UNIT";#N/A,#N/A,FALSE,"UNIT";#N/A,#N/A,FALSE,"계정"}</definedName>
    <definedName name="파생" localSheetId="2" hidden="1">{#N/A,#N/A,FALSE,"Sheet1"}</definedName>
    <definedName name="파생" hidden="1">{#N/A,#N/A,FALSE,"Sheet1"}</definedName>
    <definedName name="파생상품"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6"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6"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6" hidden="1">{#N/A,#N/A,FALSE,"포장1";#N/A,#N/A,FALSE,"포장1"}</definedName>
    <definedName name="파해가호" localSheetId="2" hidden="1">{#N/A,#N/A,FALSE,"포장1";#N/A,#N/A,FALSE,"포장1"}</definedName>
    <definedName name="파해가호" hidden="1">{#N/A,#N/A,FALSE,"포장1";#N/A,#N/A,FALSE,"포장1"}</definedName>
    <definedName name="파ㅏ" localSheetId="2">BlankMacro1</definedName>
    <definedName name="파ㅏ">BlankMacro1</definedName>
    <definedName name="파ㅑㅈ" localSheetId="2">BlankMacro1</definedName>
    <definedName name="파ㅑㅈ">BlankMacro1</definedName>
    <definedName name="판관" localSheetId="6" hidden="1">{#N/A,#N/A,FALSE,"UNIT";#N/A,#N/A,FALSE,"UNIT";#N/A,#N/A,FALSE,"계정"}</definedName>
    <definedName name="판관" localSheetId="2" hidden="1">{#N/A,#N/A,FALSE,"UNIT";#N/A,#N/A,FALSE,"UNIT";#N/A,#N/A,FALSE,"계정"}</definedName>
    <definedName name="판관" hidden="1">{#N/A,#N/A,FALSE,"UNIT";#N/A,#N/A,FALSE,"UNIT";#N/A,#N/A,FALSE,"계정"}</definedName>
    <definedName name="판관비" localSheetId="6">{#N/A,#N/A,FALSE,"UNIT";#N/A,#N/A,FALSE,"UNIT";#N/A,#N/A,FALSE,"계정"}</definedName>
    <definedName name="판관비" localSheetId="2">#REF!</definedName>
    <definedName name="판관비">{#N/A,#N/A,FALSE,"UNIT";#N/A,#N/A,FALSE,"UNIT";#N/A,#N/A,FALSE,"계정"}</definedName>
    <definedName name="판관비TOT" localSheetId="2"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 hidden="1">{#N/A,#N/A,FALSE,"Sheet1"}</definedName>
    <definedName name="판관비누계" hidden="1">{#N/A,#N/A,FALSE,"Sheet1"}</definedName>
    <definedName name="판관비현황비교2" localSheetId="2" hidden="1">{#N/A,#N/A,FALSE,"Sheet1"}</definedName>
    <definedName name="판관비현황비교2" hidden="1">{#N/A,#N/A,FALSE,"Sheet1"}</definedName>
    <definedName name="판교사업" hidden="1">#REF!</definedName>
    <definedName name="판도라상자" localSheetId="6" hidden="1">{#N/A,#N/A,FALSE,"정공"}</definedName>
    <definedName name="판도라상자" localSheetId="2" hidden="1">{#N/A,#N/A,FALSE,"정공"}</definedName>
    <definedName name="판도라상자" hidden="1">{#N/A,#N/A,FALSE,"정공"}</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2" hidden="1">{#N/A,#N/A,TRUE,"Y생산";#N/A,#N/A,TRUE,"Y판매";#N/A,#N/A,TRUE,"Y총물량";#N/A,#N/A,TRUE,"Y능력";#N/A,#N/A,TRUE,"YKD"}</definedName>
    <definedName name="판촉비계산용" hidden="1">{#N/A,#N/A,TRUE,"Y생산";#N/A,#N/A,TRUE,"Y판매";#N/A,#N/A,TRUE,"Y총물량";#N/A,#N/A,TRUE,"Y능력";#N/A,#N/A,TRUE,"YKD"}</definedName>
    <definedName name="판촉지원적립금" localSheetId="6" hidden="1">{#N/A,#N/A,TRUE,"매출진척-1";#N/A,#N/A,TRUE,"매출진척-2";#N/A,#N/A,TRUE,"제품실적";#N/A,#N/A,TRUE,"RAC";#N/A,#N/A,TRUE,"PAC ";#N/A,#N/A,TRUE,"재고현황";#N/A,#N/A,TRUE,"공지사항"}</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6"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localSheetId="2"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hidden="1">{#N/A,#N/A,FALSE,"단축1";#N/A,#N/A,FALSE,"단축2";#N/A,#N/A,FALSE,"단축3";#N/A,#N/A,FALSE,"장축";#N/A,#N/A,FALSE,"4WD"}</definedName>
    <definedName name="퍄" localSheetId="6"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 localSheetId="2">BlankMacro1</definedName>
    <definedName name="퍼">BlankMacro1</definedName>
    <definedName name="퍼아" localSheetId="2">BlankMacro1</definedName>
    <definedName name="퍼아">BlankMacro1</definedName>
    <definedName name="퍼ㅏㄹ" localSheetId="2">BlankMacro1</definedName>
    <definedName name="퍼ㅏㄹ">BlankMacro1</definedName>
    <definedName name="퍼ㅏㅂ" localSheetId="6" hidden="1">{#N/A,#N/A,FALSE,"기안지";#N/A,#N/A,FALSE,"통신지"}</definedName>
    <definedName name="퍼ㅏㅂ" localSheetId="2" hidden="1">{#N/A,#N/A,FALSE,"기안지";#N/A,#N/A,FALSE,"통신지"}</definedName>
    <definedName name="퍼ㅏㅂ" hidden="1">{#N/A,#N/A,FALSE,"기안지";#N/A,#N/A,FALSE,"통신지"}</definedName>
    <definedName name="퍼ㅓㄷ갸" localSheetId="2">BlankMacro1</definedName>
    <definedName name="퍼ㅓㄷ갸">BlankMacro1</definedName>
    <definedName name="퍼ㅓㅇ" localSheetId="6" hidden="1">{#N/A,#N/A,FALSE,"기안지";#N/A,#N/A,FALSE,"통신지"}</definedName>
    <definedName name="퍼ㅓㅇ" localSheetId="2" hidden="1">{#N/A,#N/A,FALSE,"기안지";#N/A,#N/A,FALSE,"통신지"}</definedName>
    <definedName name="퍼ㅓㅇ" hidden="1">{#N/A,#N/A,FALSE,"기안지";#N/A,#N/A,FALSE,"통신지"}</definedName>
    <definedName name="퍼ㅓㅇ아" localSheetId="2">BlankMacro1</definedName>
    <definedName name="퍼ㅓㅇ아">BlankMacro1</definedName>
    <definedName name="퍼ㅓ아" localSheetId="2">BlankMacro1</definedName>
    <definedName name="퍼ㅓ아">BlankMacro1</definedName>
    <definedName name="페" localSheetId="6"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6" hidden="1">{#N/A,#N/A,FALSE,"단축1";#N/A,#N/A,FALSE,"단축2";#N/A,#N/A,FALSE,"단축3";#N/A,#N/A,FALSE,"장축";#N/A,#N/A,FALSE,"4WD"}</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6"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6" hidden="1">{#N/A,#N/A,FALSE,"범우구미";#N/A,#N/A,FALSE,"세한케미칼";#N/A,#N/A,FALSE,"세명화학";#N/A,#N/A,FALSE,"신영케미칼";#N/A,#N/A,FALSE,"일석상사"}</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localSheetId="2" hidden="1">{#N/A,#N/A,FALSE,"표지목차"}</definedName>
    <definedName name="포기3" hidden="1">{#N/A,#N/A,FALSE,"표지목차"}</definedName>
    <definedName name="포장2월ocf" localSheetId="2" hidden="1">{#N/A,#N/A,FALSE,"지침";#N/A,#N/A,FALSE,"환경분석";#N/A,#N/A,FALSE,"Sheet16"}</definedName>
    <definedName name="포장2월ocf" hidden="1">{#N/A,#N/A,FALSE,"지침";#N/A,#N/A,FALSE,"환경분석";#N/A,#N/A,FALSE,"Sheet16"}</definedName>
    <definedName name="포장ocf" localSheetId="2" hidden="1">{#N/A,#N/A,FALSE,"지침";#N/A,#N/A,FALSE,"환경분석";#N/A,#N/A,FALSE,"Sheet16"}</definedName>
    <definedName name="포장ocf" hidden="1">{#N/A,#N/A,FALSE,"지침";#N/A,#N/A,FALSE,"환경분석";#N/A,#N/A,FALSE,"Sheet16"}</definedName>
    <definedName name="포장공">#REF!</definedName>
    <definedName name="포장공1" localSheetId="2">BlankMacro1</definedName>
    <definedName name="포장공1">BlankMacro1</definedName>
    <definedName name="폭래" localSheetId="2">BlankMacro1</definedName>
    <definedName name="폭래">BlankMacro1</definedName>
    <definedName name="표">#REF!</definedName>
    <definedName name="표_2" localSheetId="6" hidden="1">{#N/A,#N/A,FALSE,"P.C.B"}</definedName>
    <definedName name="표_2" localSheetId="2" hidden="1">{#N/A,#N/A,FALSE,"P.C.B"}</definedName>
    <definedName name="표_2" hidden="1">{#N/A,#N/A,FALSE,"P.C.B"}</definedName>
    <definedName name="표1" localSheetId="6"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localSheetId="2" hidden="1">{#N/A,#N/A,FALSE,"단축1";#N/A,#N/A,FALSE,"단축2";#N/A,#N/A,FALSE,"단축3";#N/A,#N/A,FALSE,"장축";#N/A,#N/A,FALSE,"4WD"}</definedName>
    <definedName name="표지자료" hidden="1">{#N/A,#N/A,FALSE,"단축1";#N/A,#N/A,FALSE,"단축2";#N/A,#N/A,FALSE,"단축3";#N/A,#N/A,FALSE,"장축";#N/A,#N/A,FALSE,"4WD"}</definedName>
    <definedName name="표층t">#REF!</definedName>
    <definedName name="표표">#REF!</definedName>
    <definedName name="표표표" localSheetId="6" hidden="1">{#N/A,#N/A,FALSE,"P.C.B"}</definedName>
    <definedName name="표표표" localSheetId="2" hidden="1">{#N/A,#N/A,FALSE,"P.C.B"}</definedName>
    <definedName name="표표표" hidden="1">{#N/A,#N/A,FALSE,"P.C.B"}</definedName>
    <definedName name="푸" localSheetId="2" hidden="1">{#N/A,#N/A,FALSE,"단축1";#N/A,#N/A,FALSE,"단축2";#N/A,#N/A,FALSE,"단축3";#N/A,#N/A,FALSE,"장축";#N/A,#N/A,FALSE,"4WD"}</definedName>
    <definedName name="푸" hidden="1">{#N/A,#N/A,FALSE,"단축1";#N/A,#N/A,FALSE,"단축2";#N/A,#N/A,FALSE,"단축3";#N/A,#N/A,FALSE,"장축";#N/A,#N/A,FALSE,"4WD"}</definedName>
    <definedName name="품" localSheetId="6"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 localSheetId="2">BlankMacro1</definedName>
    <definedName name="품위내역서">BlankMacro1</definedName>
    <definedName name="품의">#REF!</definedName>
    <definedName name="품의서">#REF!</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개선" hidden="1">#REF!</definedName>
    <definedName name="품질현황">#REF!,#REF!</definedName>
    <definedName name="품확1" localSheetId="2" hidden="1">{#N/A,#N/A,FALSE,"단축1";#N/A,#N/A,FALSE,"단축2";#N/A,#N/A,FALSE,"단축3";#N/A,#N/A,FALSE,"장축";#N/A,#N/A,FALSE,"4WD"}</definedName>
    <definedName name="품확1" hidden="1">{#N/A,#N/A,FALSE,"단축1";#N/A,#N/A,FALSE,"단축2";#N/A,#N/A,FALSE,"단축3";#N/A,#N/A,FALSE,"장축";#N/A,#N/A,FALSE,"4WD"}</definedName>
    <definedName name="풍납동" hidden="1">#REF!</definedName>
    <definedName name="풍납동아파트" hidden="1">#REF!</definedName>
    <definedName name="퓾ㄴ" localSheetId="6" hidden="1">{#N/A,#N/A,FALSE,"기안지";#N/A,#N/A,FALSE,"통신지"}</definedName>
    <definedName name="퓾ㄴ" localSheetId="2" hidden="1">{#N/A,#N/A,FALSE,"기안지";#N/A,#N/A,FALSE,"통신지"}</definedName>
    <definedName name="퓾ㄴ" hidden="1">{#N/A,#N/A,FALSE,"기안지";#N/A,#N/A,FALSE,"통신지"}</definedName>
    <definedName name="프라임코팅">#REF!</definedName>
    <definedName name="프레스" localSheetId="2" hidden="1">{#N/A,#N/A,FALSE,"단축1";#N/A,#N/A,FALSE,"단축2";#N/A,#N/A,FALSE,"단축3";#N/A,#N/A,FALSE,"장축";#N/A,#N/A,FALSE,"4WD"}</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localSheetId="2" hidden="1">{#N/A,#N/A,FALSE,"이태원철근"}</definedName>
    <definedName name="피로티" hidden="1">{#N/A,#N/A,FALSE,"이태원철근"}</definedName>
    <definedName name="피로티1" localSheetId="2" hidden="1">{#N/A,#N/A,FALSE,"이태원철근"}</definedName>
    <definedName name="피로티1" hidden="1">{#N/A,#N/A,FALSE,"이태원철근"}</definedName>
    <definedName name="피비씨">#REF!</definedName>
    <definedName name="피비씨리스트">#REF!</definedName>
    <definedName name="필터">#REF!</definedName>
    <definedName name="핌너ㅏ" localSheetId="2">BlankMacro1</definedName>
    <definedName name="핌너ㅏ">BlankMacro1</definedName>
    <definedName name="ㅎ" localSheetId="6"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6" hidden="1">{"'Jibu9811 (3)'!$B$1:$J$433"}</definedName>
    <definedName name="ㅎ5ㄱㅎ" localSheetId="2" hidden="1">{"'Jibu9811 (3)'!$B$1:$J$433"}</definedName>
    <definedName name="ㅎ5ㄱㅎ" hidden="1">{"'Jibu9811 (3)'!$B$1:$J$433"}</definedName>
    <definedName name="ㅎㄱ" localSheetId="2">BlankMacro1</definedName>
    <definedName name="ㅎㄱ">BlankMacro1</definedName>
    <definedName name="ㅎㄱㄱ" localSheetId="6" hidden="1">{"'Jibu9811 (3)'!$B$1:$J$433"}</definedName>
    <definedName name="ㅎㄱㄱ" localSheetId="2" hidden="1">{"'Jibu9811 (3)'!$B$1:$J$433"}</definedName>
    <definedName name="ㅎㄱㄱ" hidden="1">{"'Jibu9811 (3)'!$B$1:$J$433"}</definedName>
    <definedName name="ㅎㄱㄱㄱ" localSheetId="6" hidden="1">{"'Jibu9811 (3)'!$B$1:$J$433"}</definedName>
    <definedName name="ㅎㄱㄱㄱ" localSheetId="2" hidden="1">{"'Jibu9811 (3)'!$B$1:$J$433"}</definedName>
    <definedName name="ㅎㄱㄱㄱ" hidden="1">{"'Jibu9811 (3)'!$B$1:$J$433"}</definedName>
    <definedName name="ㅎㄱㅂ" localSheetId="2">BlankMacro1</definedName>
    <definedName name="ㅎㄱㅂ">BlankMacro1</definedName>
    <definedName name="ㅎㄱㅂㄷ" localSheetId="2">BlankMacro1</definedName>
    <definedName name="ㅎㄱㅂㄷ">BlankMacro1</definedName>
    <definedName name="ㅎㄱㅂㅂㅂㅂ" localSheetId="2">BlankMacro1</definedName>
    <definedName name="ㅎㄱㅂㅂㅂㅂ">BlankMacro1</definedName>
    <definedName name="ㅎㄴ" localSheetId="6" hidden="1">{"'Jibu9811 (3)'!$B$1:$J$433"}</definedName>
    <definedName name="ㅎㄴ" localSheetId="2" hidden="1">{"'Jibu9811 (3)'!$B$1:$J$433"}</definedName>
    <definedName name="ㅎㄴ" hidden="1">{"'Jibu9811 (3)'!$B$1:$J$433"}</definedName>
    <definedName name="ㅎ노" localSheetId="2">{"'Sheet1'!$A$1:$C$75"}</definedName>
    <definedName name="ㅎ노">{"'Sheet1'!$A$1:$C$75"}</definedName>
    <definedName name="ㅎㄷㄱㅎㄱ" localSheetId="6" hidden="1">{"'Jibu9811 (3)'!$B$1:$J$433"}</definedName>
    <definedName name="ㅎㄷㄱㅎㄱ" localSheetId="2" hidden="1">{"'Jibu9811 (3)'!$B$1:$J$433"}</definedName>
    <definedName name="ㅎㄷㄱㅎㄱ" hidden="1">{"'Jibu9811 (3)'!$B$1:$J$433"}</definedName>
    <definedName name="ㅎㄷㅁㄱ" localSheetId="2" hidden="1">{#N/A,#N/A,FALSE,"단축1";#N/A,#N/A,FALSE,"단축2";#N/A,#N/A,FALSE,"단축3";#N/A,#N/A,FALSE,"장축";#N/A,#N/A,FALSE,"4WD"}</definedName>
    <definedName name="ㅎㄷㅁㄱ" hidden="1">{#N/A,#N/A,FALSE,"단축1";#N/A,#N/A,FALSE,"단축2";#N/A,#N/A,FALSE,"단축3";#N/A,#N/A,FALSE,"장축";#N/A,#N/A,FALSE,"4WD"}</definedName>
    <definedName name="ㅎㄷ뮤">#N/A</definedName>
    <definedName name="ㅎㄹㄴ" localSheetId="6" hidden="1">{#N/A,#N/A,FALSE,"97년 투자계획 세부내역 "}</definedName>
    <definedName name="ㅎㄹㄴ" localSheetId="2" hidden="1">{#N/A,#N/A,FALSE,"97년 투자계획 세부내역 "}</definedName>
    <definedName name="ㅎㄹㄴ" hidden="1">{#N/A,#N/A,FALSE,"97년 투자계획 세부내역 "}</definedName>
    <definedName name="ㅎ라ㅏㅊ" localSheetId="2">BlankMacro1</definedName>
    <definedName name="ㅎ라ㅏㅊ">BlankMacro1</definedName>
    <definedName name="ㅎ랄" localSheetId="6" hidden="1">{#N/A,#N/A,FALSE,"기안지";#N/A,#N/A,FALSE,"통신지"}</definedName>
    <definedName name="ㅎ랄" localSheetId="2" hidden="1">{#N/A,#N/A,FALSE,"기안지";#N/A,#N/A,FALSE,"통신지"}</definedName>
    <definedName name="ㅎ랄" hidden="1">{#N/A,#N/A,FALSE,"기안지";#N/A,#N/A,FALSE,"통신지"}</definedName>
    <definedName name="ㅎ러닢ㅎㄶㅎ" localSheetId="6" hidden="1">{"'Jibu9811 (3)'!$B$1:$J$433"}</definedName>
    <definedName name="ㅎ러닢ㅎㄶㅎ" localSheetId="2" hidden="1">{"'Jibu9811 (3)'!$B$1:$J$433"}</definedName>
    <definedName name="ㅎ러닢ㅎㄶㅎ" hidden="1">{"'Jibu9811 (3)'!$B$1:$J$433"}</definedName>
    <definedName name="ㅎ러ㅗㅀ" localSheetId="2" hidden="1">{#N/A,#N/A,FALSE,"단축1";#N/A,#N/A,FALSE,"단축2";#N/A,#N/A,FALSE,"단축3";#N/A,#N/A,FALSE,"장축";#N/A,#N/A,FALSE,"4WD"}</definedName>
    <definedName name="ㅎ러ㅗㅀ" hidden="1">{#N/A,#N/A,FALSE,"단축1";#N/A,#N/A,FALSE,"단축2";#N/A,#N/A,FALSE,"단축3";#N/A,#N/A,FALSE,"장축";#N/A,#N/A,FALSE,"4WD"}</definedName>
    <definedName name="ㅎ러ㅗㅎ로ㅓ" hidden="1">#REF!</definedName>
    <definedName name="ㅎ러ㅗㅓㅏㅇ노" hidden="1">#REF!</definedName>
    <definedName name="ㅎ로" localSheetId="2" hidden="1">{#N/A,#N/A,FALSE,"단축1";#N/A,#N/A,FALSE,"단축2";#N/A,#N/A,FALSE,"단축3";#N/A,#N/A,FALSE,"장축";#N/A,#N/A,FALSE,"4WD"}</definedName>
    <definedName name="ㅎ로" hidden="1">{#N/A,#N/A,FALSE,"단축1";#N/A,#N/A,FALSE,"단축2";#N/A,#N/A,FALSE,"단축3";#N/A,#N/A,FALSE,"장축";#N/A,#N/A,FALSE,"4WD"}</definedName>
    <definedName name="ㅎ로ㅎ로" localSheetId="6" hidden="1">{#N/A,#N/A,FALSE,"삼진정공";#N/A,#N/A,FALSE,"영신금속";#N/A,#N/A,FALSE,"태양금속";#N/A,#N/A,FALSE,"진합정공";#N/A,#N/A,FALSE,"코리아";#N/A,#N/A,FALSE,"풍강금속";#N/A,#N/A,FALSE,"선일기계"}</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ㄽ" localSheetId="6" hidden="1">{#N/A,#N/A,FALSE,"UNIT";#N/A,#N/A,FALSE,"UNIT";#N/A,#N/A,FALSE,"계정"}</definedName>
    <definedName name="ㅎㄽ" localSheetId="2" hidden="1">{#N/A,#N/A,FALSE,"UNIT";#N/A,#N/A,FALSE,"UNIT";#N/A,#N/A,FALSE,"계정"}</definedName>
    <definedName name="ㅎㄽ" hidden="1">{#N/A,#N/A,FALSE,"UNIT";#N/A,#N/A,FALSE,"UNIT";#N/A,#N/A,FALSE,"계정"}</definedName>
    <definedName name="ㅎㅀ" localSheetId="2" hidden="1">{#N/A,#N/A,FALSE,"단축1";#N/A,#N/A,FALSE,"단축2";#N/A,#N/A,FALSE,"단축3";#N/A,#N/A,FALSE,"장축";#N/A,#N/A,FALSE,"4WD"}</definedName>
    <definedName name="ㅎㅀ" hidden="1">{#N/A,#N/A,FALSE,"단축1";#N/A,#N/A,FALSE,"단축2";#N/A,#N/A,FALSE,"단축3";#N/A,#N/A,FALSE,"장축";#N/A,#N/A,FALSE,"4WD"}</definedName>
    <definedName name="ㅎㅀㄹ" localSheetId="2">BlankMacro1</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 localSheetId="2">BlankMacro1</definedName>
    <definedName name="ㅎ바ㅏㅇ">BlankMacro1</definedName>
    <definedName name="ㅎ바ㅑㅂ">#N/A</definedName>
    <definedName name="ㅎ뱌" localSheetId="2">BlankMacro1</definedName>
    <definedName name="ㅎ뱌">BlankMacro1</definedName>
    <definedName name="ㅎㅇㄴㄻㅇㄴㄹ" localSheetId="6" hidden="1">{"'수정손익계산서'!$AT$97:$AY$174"}</definedName>
    <definedName name="ㅎㅇㄴㄻㅇㄴㄹ" localSheetId="2" hidden="1">{"'수정손익계산서'!$AT$97:$AY$174"}</definedName>
    <definedName name="ㅎㅇㄴㄻㅇㄴㄹ" hidden="1">{"'수정손익계산서'!$AT$97:$AY$174"}</definedName>
    <definedName name="ㅎㅇㄴㄻㅇㄴㄹ_1" localSheetId="6" hidden="1">{"'수정손익계산서'!$AT$97:$AY$174"}</definedName>
    <definedName name="ㅎㅇㄴㄻㅇㄴㄹ_1" localSheetId="2" hidden="1">{"'수정손익계산서'!$AT$97:$AY$174"}</definedName>
    <definedName name="ㅎㅇㄴㄻㅇㄴㄹ_1" hidden="1">{"'수정손익계산서'!$AT$97:$AY$174"}</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localSheetId="2" hidden="1">{#N/A,#N/A,FALSE,"Performance Flash Report"}</definedName>
    <definedName name="ㅎㅇㅀㅇㅀㅇㅀ" hidden="1">{#N/A,#N/A,FALSE,"Performance Flash Report"}</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 localSheetId="2">BlankMacro1</definedName>
    <definedName name="ㅎㅊㅇ">BlankMacro1</definedName>
    <definedName name="ㅎㅎ" localSheetId="6"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6" hidden="1">{#N/A,#N/A,TRUE,"Summary";#N/A,#N/A,TRUE,"IS";#N/A,#N/A,TRUE,"Adj";#N/A,#N/A,TRUE,"BS";#N/A,#N/A,TRUE,"CF";#N/A,#N/A,TRUE,"Debt";#N/A,#N/A,TRUE,"IRR"}</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6"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6" hidden="1">{#N/A,#N/A,FALSE,"이정표"}</definedName>
    <definedName name="ㅎ햐궇" localSheetId="2" hidden="1">{#N/A,#N/A,FALSE,"이정표"}</definedName>
    <definedName name="ㅎ햐궇" hidden="1">{#N/A,#N/A,FALSE,"이정표"}</definedName>
    <definedName name="ㅎ헝" localSheetId="2">BlankMacro1</definedName>
    <definedName name="ㅎ헝">BlankMacro1</definedName>
    <definedName name="하" localSheetId="6"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 localSheetId="2">BlankMacro1</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localSheetId="2" hidden="1">{#N/A,#N/A,FALSE,"골재소요량";#N/A,#N/A,FALSE,"골재소요량"}</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localSheetId="2" hidden="1">{#N/A,#N/A,FALSE,"단축1";#N/A,#N/A,FALSE,"단축2";#N/A,#N/A,FALSE,"단축3";#N/A,#N/A,FALSE,"장축";#N/A,#N/A,FALSE,"4WD"}</definedName>
    <definedName name="하실적" hidden="1">{#N/A,#N/A,FALSE,"단축1";#N/A,#N/A,FALSE,"단축2";#N/A,#N/A,FALSE,"단축3";#N/A,#N/A,FALSE,"장축";#N/A,#N/A,FALSE,"4WD"}</definedName>
    <definedName name="하아" localSheetId="2">BlankMacro1</definedName>
    <definedName name="하아">BlankMacro1</definedName>
    <definedName name="하아ㅏ">#N/A</definedName>
    <definedName name="하위직심사기준" localSheetId="6" hidden="1">{#N/A,#N/A,FALSE,"생산성";#N/A,#N/A,FALSE,"인력1";#N/A,#N/A,FALSE,"인력2";#N/A,#N/A,FALSE,"인력3";#N/A,#N/A,FALSE,"인건1";#N/A,#N/A,FALSE,"인건2";#N/A,#N/A,FALSE,"인건3";#N/A,#N/A,FALSE,"인원증감";#N/A,#N/A,FALSE,"인건증감";#N/A,#N/A,FALSE,"표지등"}</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 localSheetId="2">BlankMacro1</definedName>
    <definedName name="하처">BlankMacro1</definedName>
    <definedName name="하하" localSheetId="6"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6" hidden="1">{#N/A,#N/A,FALSE,"BS";#N/A,#N/A,FALSE,"PL";#N/A,#N/A,FALSE,"A";#N/A,#N/A,FALSE,"B";#N/A,#N/A,FALSE,"B1";#N/A,#N/A,FALSE,"C";#N/A,#N/A,FALSE,"C1";#N/A,#N/A,FALSE,"C2";#N/A,#N/A,FALSE,"D";#N/A,#N/A,FALSE,"E";#N/A,#N/A,FALSE,"F";#N/A,#N/A,FALSE,"AA";#N/A,#N/A,FALSE,"BB";#N/A,#N/A,FALSE,"CC";#N/A,#N/A,FALSE,"DD";#N/A,#N/A,FALSE,"EE";#N/A,#N/A,FALSE,"FF";#N/A,#N/A,FALSE,"PL10";#N/A,#N/A,FALSE,"PL20";#N/A,#N/A,FALSE,"PL30"}</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6"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6" hidden="1">{#N/A,#N/A,TRUE,"Y생산";#N/A,#N/A,TRUE,"Y판매";#N/A,#N/A,TRUE,"Y총물량";#N/A,#N/A,TRUE,"Y능력";#N/A,#N/A,TRUE,"YKD"}</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 localSheetId="2">BlankMacro1</definedName>
    <definedName name="하ㅓㅂ">BlankMacro1</definedName>
    <definedName name="학교" hidden="1">#REF!</definedName>
    <definedName name="학생">#REF!</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2" hidden="1">{#N/A,#N/A,TRUE,"Y생산";#N/A,#N/A,TRUE,"Y판매";#N/A,#N/A,TRUE,"Y총물량";#N/A,#N/A,TRUE,"Y능력";#N/A,#N/A,TRUE,"YKD"}</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6" hidden="1">{#N/A,#N/A,TRUE,"매출진척-1";#N/A,#N/A,TRUE,"매출진척-2";#N/A,#N/A,TRUE,"제품실적";#N/A,#N/A,TRUE,"RAC";#N/A,#N/A,TRUE,"PAC ";#N/A,#N/A,TRUE,"재고현황";#N/A,#N/A,TRUE,"공지사항"}</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6" hidden="1">{#N/A,#N/A,FALSE,"범우구미";#N/A,#N/A,FALSE,"세한케미칼";#N/A,#N/A,FALSE,"세명화학";#N/A,#N/A,FALSE,"신영케미칼";#N/A,#N/A,FALSE,"일석상사"}</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6" hidden="1">{#N/A,#N/A,FALSE,"을지 (4)";#N/A,#N/A,FALSE,"을지 (5)";#N/A,#N/A,FALSE,"을지 (6)"}</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6" hidden="1">{#N/A,#N/A,FALSE,"BS";#N/A,#N/A,FALSE,"PL";#N/A,#N/A,FALSE,"처분";#N/A,#N/A,FALSE,"현금";#N/A,#N/A,FALSE,"매출";#N/A,#N/A,FALSE,"원가";#N/A,#N/A,FALSE,"경영"}</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6"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6"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6"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 localSheetId="2">BlankMacro1</definedName>
    <definedName name="할험">BlankMacro1</definedName>
    <definedName name="함석">#REF!</definedName>
    <definedName name="합" localSheetId="2">BlankMacro1</definedName>
    <definedName name="합">BlankMacro1</definedName>
    <definedName name="합계">#REF!</definedName>
    <definedName name="합뎌" localSheetId="2">BlankMacro1</definedName>
    <definedName name="합뎌">BlankMacro1</definedName>
    <definedName name="합리화4월" localSheetId="6" hidden="1">{#N/A,#N/A,FALSE,"단축1";#N/A,#N/A,FALSE,"단축2";#N/A,#N/A,FALSE,"단축3";#N/A,#N/A,FALSE,"장축";#N/A,#N/A,FALSE,"4WD"}</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 localSheetId="2">BlankMacro1</definedName>
    <definedName name="항">BlankMacro1</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 localSheetId="2">BlankMacro1</definedName>
    <definedName name="핯">BlankMacro1</definedName>
    <definedName name="해당년">#REF!</definedName>
    <definedName name="해당월">#REF!</definedName>
    <definedName name="해당화">#REF!</definedName>
    <definedName name="해외">#N/A</definedName>
    <definedName name="해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 localSheetId="2">BlankMacro1</definedName>
    <definedName name="해ㅑㄷㄱ">BlankMacro1</definedName>
    <definedName name="핻ㄱ" localSheetId="2">BlankMacro1</definedName>
    <definedName name="핻ㄱ">BlankMacro1</definedName>
    <definedName name="행삭제">#REF!</definedName>
    <definedName name="햐" localSheetId="6"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 localSheetId="2">BlankMacro1</definedName>
    <definedName name="햑">BlankMacro1</definedName>
    <definedName name="햡">#N/A</definedName>
    <definedName name="향수" localSheetId="6" hidden="1">{"'Jibu9811 (3)'!$B$1:$J$433"}</definedName>
    <definedName name="향수" localSheetId="2" hidden="1">{"'Jibu9811 (3)'!$B$1:$J$433"}</definedName>
    <definedName name="향수" hidden="1">{"'Jibu9811 (3)'!$B$1:$J$433"}</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향후방향" localSheetId="6"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 localSheetId="2">BlankMacro1</definedName>
    <definedName name="허">BlankMacro1</definedName>
    <definedName name="허허" localSheetId="2" hidden="1">{#N/A,#N/A,TRUE,"Y생산";#N/A,#N/A,TRUE,"Y판매";#N/A,#N/A,TRUE,"Y총물량";#N/A,#N/A,TRUE,"Y능력";#N/A,#N/A,TRUE,"YKD"}</definedName>
    <definedName name="허허" hidden="1">{#N/A,#N/A,TRUE,"Y생산";#N/A,#N/A,TRUE,"Y판매";#N/A,#N/A,TRUE,"Y총물량";#N/A,#N/A,TRUE,"Y능력";#N/A,#N/A,TRUE,"YKD"}</definedName>
    <definedName name="허ㅏㅏㅇ라" localSheetId="2">BlankMacro1</definedName>
    <definedName name="허ㅏㅏㅇ라">BlankMacro1</definedName>
    <definedName name="허ㅑㄷ" localSheetId="2">BlankMacro1</definedName>
    <definedName name="허ㅑㄷ">BlankMacro1</definedName>
    <definedName name="허ㅑㄷㄱ" localSheetId="2">BlankMacro1</definedName>
    <definedName name="허ㅑㄷㄱ">BlankMacro1</definedName>
    <definedName name="허ㅑㅂ" localSheetId="2">BlankMacro1</definedName>
    <definedName name="허ㅑㅂ">BlankMacro1</definedName>
    <definedName name="허ㅑㅑ다허" localSheetId="2">BlankMacro1</definedName>
    <definedName name="허ㅑㅑ다허">BlankMacro1</definedName>
    <definedName name="허ㅑㅣㅣ" localSheetId="2">BlankMacro1</definedName>
    <definedName name="허ㅑㅣㅣ">BlankMacro1</definedName>
    <definedName name="허ㅓ" localSheetId="6" hidden="1">{#N/A,#N/A,FALSE,"단축1";#N/A,#N/A,FALSE,"단축2";#N/A,#N/A,FALSE,"단축3";#N/A,#N/A,FALSE,"장축";#N/A,#N/A,FALSE,"4WD"}</definedName>
    <definedName name="허ㅓ" localSheetId="2">BlankMacro1</definedName>
    <definedName name="허ㅓ" hidden="1">{#N/A,#N/A,FALSE,"단축1";#N/A,#N/A,FALSE,"단축2";#N/A,#N/A,FALSE,"단축3";#N/A,#N/A,FALSE,"장축";#N/A,#N/A,FALSE,"4WD"}</definedName>
    <definedName name="허ㅓㄷ" localSheetId="2">BlankMacro1</definedName>
    <definedName name="허ㅓㄷ">BlankMacro1</definedName>
    <definedName name="허ㅓㅇ" localSheetId="2">BlankMacro1</definedName>
    <definedName name="허ㅓㅇ">BlankMacro1</definedName>
    <definedName name="허ㅓ아" localSheetId="2">BlankMacro1</definedName>
    <definedName name="허ㅓ아">BlankMacro1</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 localSheetId="2">BlankMacro1</definedName>
    <definedName name="헙">BlankMacro1</definedName>
    <definedName name="헙댜ㅐ">#N/A</definedName>
    <definedName name="헙뱌ㅐ" localSheetId="6" hidden="1">{#N/A,#N/A,FALSE,"기안지";#N/A,#N/A,FALSE,"통신지"}</definedName>
    <definedName name="헙뱌ㅐ" localSheetId="2" hidden="1">{#N/A,#N/A,FALSE,"기안지";#N/A,#N/A,FALSE,"통신지"}</definedName>
    <definedName name="헙뱌ㅐ" hidden="1">{#N/A,#N/A,FALSE,"기안지";#N/A,#N/A,FALSE,"통신지"}</definedName>
    <definedName name="헤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6"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2" hidden="1">{#N/A,#N/A,FALSE,"단축1";#N/A,#N/A,FALSE,"단축2";#N/A,#N/A,FALSE,"단축3";#N/A,#N/A,FALSE,"장축";#N/A,#N/A,FALSE,"4WD"}</definedName>
    <definedName name="현" hidden="1">{#N/A,#N/A,FALSE,"단축1";#N/A,#N/A,FALSE,"단축2";#N/A,#N/A,FALSE,"단축3";#N/A,#N/A,FALSE,"장축";#N/A,#N/A,FALSE,"4WD"}</definedName>
    <definedName name="현금"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6"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6" hidden="1">{#N/A,#N/A,FALSE,"1.CRITERIA";#N/A,#N/A,FALSE,"2.IS";#N/A,#N/A,FALSE,"3.BS";#N/A,#N/A,FALSE,"4.PER PL";#N/A,#N/A,FALSE,"5.INVESTMENT";#N/A,#N/A,FALSE,"6.공문";#N/A,#N/A,FALSE,"7.netinvest"}</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localSheetId="2"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6"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localSheetId="2"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6" hidden="1">{#N/A,#N/A,FALSE,"정공"}</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6" hidden="1">{#N/A,#N/A,FALSE,"UNIT";#N/A,#N/A,FALSE,"UNIT";#N/A,#N/A,FALSE,"계정"}</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6"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 localSheetId="2">BlankMacro1</definedName>
    <definedName name="현충탑">BlankMacro1</definedName>
    <definedName name="현황" localSheetId="2">{"A","내복";"B","주사";"C","외용";"D","기타"}</definedName>
    <definedName name="현황">{"A","내복";"B","주사";"C","외용";"D","기타"}</definedName>
    <definedName name="현황2" localSheetId="2" hidden="1">{#N/A,#N/A,FALSE,"단축1";#N/A,#N/A,FALSE,"단축2";#N/A,#N/A,FALSE,"단축3";#N/A,#N/A,FALSE,"장축";#N/A,#N/A,FALSE,"4WD"}</definedName>
    <definedName name="현황2" hidden="1">{#N/A,#N/A,FALSE,"단축1";#N/A,#N/A,FALSE,"단축2";#N/A,#N/A,FALSE,"단축3";#N/A,#N/A,FALSE,"장축";#N/A,#N/A,FALSE,"4WD"}</definedName>
    <definedName name="현황종합"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localSheetId="2" hidden="1">{#N/A,#N/A,FALSE,"단축1";#N/A,#N/A,FALSE,"단축2";#N/A,#N/A,FALSE,"단축3";#N/A,#N/A,FALSE,"장축";#N/A,#N/A,FALSE,"4WD"}</definedName>
    <definedName name="현황표2" hidden="1">{#N/A,#N/A,FALSE,"단축1";#N/A,#N/A,FALSE,"단축2";#N/A,#N/A,FALSE,"단축3";#N/A,#N/A,FALSE,"장축";#N/A,#N/A,FALSE,"4WD"}</definedName>
    <definedName name="혈액원1">#REF!</definedName>
    <definedName name="협조사항" localSheetId="2" hidden="1">{#N/A,#N/A,FALSE,"단축1";#N/A,#N/A,FALSE,"단축2";#N/A,#N/A,FALSE,"단축3";#N/A,#N/A,FALSE,"장축";#N/A,#N/A,FALSE,"4WD"}</definedName>
    <definedName name="협조사항" hidden="1">{#N/A,#N/A,FALSE,"단축1";#N/A,#N/A,FALSE,"단축2";#N/A,#N/A,FALSE,"단축3";#N/A,#N/A,FALSE,"장축";#N/A,#N/A,FALSE,"4WD"}</definedName>
    <definedName name="협조전" localSheetId="6" hidden="1">{#N/A,#N/A,FALSE,"정공"}</definedName>
    <definedName name="협조전" localSheetId="2" hidden="1">{#N/A,#N/A,FALSE,"정공"}</definedName>
    <definedName name="협조전" hidden="1">{#N/A,#N/A,FALSE,"정공"}</definedName>
    <definedName name="형틀">#REF!</definedName>
    <definedName name="형틀목공">#REF!</definedName>
    <definedName name="호" localSheetId="6" hidden="1">{#N/A,#N/A,FALSE,"UNIT";#N/A,#N/A,FALSE,"UNIT";#N/A,#N/A,FALSE,"계정"}</definedName>
    <definedName name="호" localSheetId="2" hidden="1">{#N/A,#N/A,FALSE,"UNIT";#N/A,#N/A,FALSE,"UNIT";#N/A,#N/A,FALSE,"계정"}</definedName>
    <definedName name="호" hidden="1">{#N/A,#N/A,FALSE,"UNIT";#N/A,#N/A,FALSE,"UNIT";#N/A,#N/A,FALSE,"계정"}</definedName>
    <definedName name="호박">#REF!</definedName>
    <definedName name="호아ㅐ" localSheetId="2">BlankMacro1</definedName>
    <definedName name="호아ㅐ">BlankMacro1</definedName>
    <definedName name="호허" localSheetId="2">BlankMacro1</definedName>
    <definedName name="호허">BlankMacro1</definedName>
    <definedName name="호호" localSheetId="2" hidden="1">{#N/A,#N/A,TRUE,"경전'96(1)";#N/A,#N/A,TRUE,"경전'96 (2)"}</definedName>
    <definedName name="호호" hidden="1">{#N/A,#N/A,TRUE,"경전'96(1)";#N/A,#N/A,TRUE,"경전'96 (2)"}</definedName>
    <definedName name="호호호" localSheetId="2">BlankMacro1</definedName>
    <definedName name="호호호">BlankMacro1</definedName>
    <definedName name="호ㅓ" hidden="1">#REF!</definedName>
    <definedName name="호ㅓ마ㅣ">#REF!</definedName>
    <definedName name="호ㅓㅂ" localSheetId="2">BlankMacro1</definedName>
    <definedName name="호ㅓㅂ">BlankMacro1</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6" hidden="1">{#N/A,#N/A,FALSE,"삼진정공";#N/A,#N/A,FALSE,"영신금속";#N/A,#N/A,FALSE,"태양금속";#N/A,#N/A,FALSE,"진합정공";#N/A,#N/A,FALSE,"코리아";#N/A,#N/A,FALSE,"풍강금속";#N/A,#N/A,FALSE,"선일기계"}</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localSheetId="2" hidden="1">{#N/A,#N/A,FALSE,"단축1";#N/A,#N/A,FALSE,"단축2";#N/A,#N/A,FALSE,"단축3";#N/A,#N/A,FALSE,"장축";#N/A,#N/A,FALSE,"4WD"}</definedName>
    <definedName name="호ㅗ" hidden="1">{#N/A,#N/A,FALSE,"단축1";#N/A,#N/A,FALSE,"단축2";#N/A,#N/A,FALSE,"단축3";#N/A,#N/A,FALSE,"장축";#N/A,#N/A,FALSE,"4WD"}</definedName>
    <definedName name="혼ㅇ로" hidden="1">#REF!</definedName>
    <definedName name="홇" localSheetId="2" hidden="1">{#N/A,#N/A,FALSE,"Sheet6"}</definedName>
    <definedName name="홇" hidden="1">{#N/A,#N/A,FALSE,"Sheet6"}</definedName>
    <definedName name="홈">#REF!</definedName>
    <definedName name="홉호" localSheetId="2">BlankMacro1</definedName>
    <definedName name="홉호">BlankMacro1</definedName>
    <definedName name="홋ㄱ" localSheetId="2" hidden="1">{#N/A,#N/A,FALSE,"Sheet6"}</definedName>
    <definedName name="홋ㄱ" hidden="1">{#N/A,#N/A,FALSE,"Sheet6"}</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localSheetId="2" hidden="1">{#N/A,#N/A,FALSE,"기안지";#N/A,#N/A,FALSE,"통신지"}</definedName>
    <definedName name="화" hidden="1">{#N/A,#N/A,FALSE,"기안지";#N/A,#N/A,FALSE,"통신지"}</definedName>
    <definedName name="확" localSheetId="6"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6" hidden="1">{#N/A,#N/A,FALSE,"UNIT";#N/A,#N/A,FALSE,"UNIT";#N/A,#N/A,FALSE,"계정"}</definedName>
    <definedName name="확대3" localSheetId="2" hidden="1">{#N/A,#N/A,FALSE,"UNIT";#N/A,#N/A,FALSE,"UNIT";#N/A,#N/A,FALSE,"계정"}</definedName>
    <definedName name="확대3" hidden="1">{#N/A,#N/A,FALSE,"UNIT";#N/A,#N/A,FALSE,"UNIT";#N/A,#N/A,FALSE,"계정"}</definedName>
    <definedName name="확인">#REF!</definedName>
    <definedName name="환경" localSheetId="6" hidden="1">{#N/A,#N/A,FALSE,"UNIT";#N/A,#N/A,FALSE,"UNIT";#N/A,#N/A,FALSE,"계정"}</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6" hidden="1">{"'Jibu9811 (3)'!$B$1:$J$433"}</definedName>
    <definedName name="홧" localSheetId="2" hidden="1">{"'Jibu9811 (3)'!$B$1:$J$433"}</definedName>
    <definedName name="홧" hidden="1">{"'Jibu9811 (3)'!$B$1:$J$433"}</definedName>
    <definedName name="황" hidden="1">#REF!</definedName>
    <definedName name="황달" localSheetId="2"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2" hidden="1">{#N/A,#N/A,FALSE,"단축1";#N/A,#N/A,FALSE,"단축2";#N/A,#N/A,FALSE,"단축3";#N/A,#N/A,FALSE,"장축";#N/A,#N/A,FALSE,"4WD"}</definedName>
    <definedName name="황당" hidden="1">{#N/A,#N/A,FALSE,"단축1";#N/A,#N/A,FALSE,"단축2";#N/A,#N/A,FALSE,"단축3";#N/A,#N/A,FALSE,"장축";#N/A,#N/A,FALSE,"4WD"}</definedName>
    <definedName name="황당1" localSheetId="2" hidden="1">{#N/A,#N/A,FALSE,"단축1";#N/A,#N/A,FALSE,"단축2";#N/A,#N/A,FALSE,"단축3";#N/A,#N/A,FALSE,"장축";#N/A,#N/A,FALSE,"4WD"}</definedName>
    <definedName name="황당1" hidden="1">{#N/A,#N/A,FALSE,"단축1";#N/A,#N/A,FALSE,"단축2";#N/A,#N/A,FALSE,"단축3";#N/A,#N/A,FALSE,"장축";#N/A,#N/A,FALSE,"4WD"}</definedName>
    <definedName name="황당3" localSheetId="2" hidden="1">{#N/A,#N/A,FALSE,"단축1";#N/A,#N/A,FALSE,"단축2";#N/A,#N/A,FALSE,"단축3";#N/A,#N/A,FALSE,"장축";#N/A,#N/A,FALSE,"4WD"}</definedName>
    <definedName name="황당3" hidden="1">{#N/A,#N/A,FALSE,"단축1";#N/A,#N/A,FALSE,"단축2";#N/A,#N/A,FALSE,"단축3";#N/A,#N/A,FALSE,"장축";#N/A,#N/A,FALSE,"4WD"}</definedName>
    <definedName name="황당4" localSheetId="2" hidden="1">{#N/A,#N/A,FALSE,"단축1";#N/A,#N/A,FALSE,"단축2";#N/A,#N/A,FALSE,"단축3";#N/A,#N/A,FALSE,"장축";#N/A,#N/A,FALSE,"4WD"}</definedName>
    <definedName name="황당4" hidden="1">{#N/A,#N/A,FALSE,"단축1";#N/A,#N/A,FALSE,"단축2";#N/A,#N/A,FALSE,"단축3";#N/A,#N/A,FALSE,"장축";#N/A,#N/A,FALSE,"4WD"}</definedName>
    <definedName name="황당9" localSheetId="2"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황덕영" localSheetId="2">BlankMacro1</definedName>
    <definedName name="황덕영">BlankMacro1</definedName>
    <definedName name="황병" hidden="1">#REF!</definedName>
    <definedName name="황병용" localSheetId="2" hidden="1">{#N/A,#N/A,FALSE,"UNIT";#N/A,#N/A,FALSE,"UNIT";#N/A,#N/A,FALSE,"계정"}</definedName>
    <definedName name="황병용" hidden="1">{#N/A,#N/A,FALSE,"UNIT";#N/A,#N/A,FALSE,"UNIT";#N/A,#N/A,FALSE,"계정"}</definedName>
    <definedName name="황정수" localSheetId="6" hidden="1">{"'Jibu9811 (3)'!$B$1:$J$433"}</definedName>
    <definedName name="황정수" localSheetId="2" hidden="1">{"'Jibu9811 (3)'!$B$1:$J$433"}</definedName>
    <definedName name="황정수" hidden="1">{"'Jibu9811 (3)'!$B$1:$J$433"}</definedName>
    <definedName name="황정수1" localSheetId="6" hidden="1">{"'Jibu9811 (3)'!$B$1:$J$433"}</definedName>
    <definedName name="황정수1" localSheetId="2" hidden="1">{"'Jibu9811 (3)'!$B$1:$J$433"}</definedName>
    <definedName name="황정수1" hidden="1">{"'Jibu9811 (3)'!$B$1:$J$433"}</definedName>
    <definedName name="황정수2" localSheetId="6" hidden="1">{"'Jibu9811 (3)'!$B$1:$J$433"}</definedName>
    <definedName name="황정수2" localSheetId="2" hidden="1">{"'Jibu9811 (3)'!$B$1:$J$433"}</definedName>
    <definedName name="황정수2" hidden="1">{"'Jibu9811 (3)'!$B$1:$J$433"}</definedName>
    <definedName name="황정수3" localSheetId="6" hidden="1">{"'Jibu9811 (3)'!$B$1:$J$433"}</definedName>
    <definedName name="황정수3" localSheetId="2" hidden="1">{"'Jibu9811 (3)'!$B$1:$J$433"}</definedName>
    <definedName name="황정수3" hidden="1">{"'Jibu9811 (3)'!$B$1:$J$433"}</definedName>
    <definedName name="황정수4" localSheetId="6" hidden="1">{"'Jibu9811 (3)'!$B$1:$J$433"}</definedName>
    <definedName name="황정수4" localSheetId="2" hidden="1">{"'Jibu9811 (3)'!$B$1:$J$433"}</definedName>
    <definedName name="황정수4" hidden="1">{"'Jibu9811 (3)'!$B$1:$J$433"}</definedName>
    <definedName name="황정수5" localSheetId="6" hidden="1">{"'Jibu9811 (3)'!$B$1:$J$433"}</definedName>
    <definedName name="황정수5" localSheetId="2" hidden="1">{"'Jibu9811 (3)'!$B$1:$J$433"}</definedName>
    <definedName name="황정수5" hidden="1">{"'Jibu9811 (3)'!$B$1:$J$433"}</definedName>
    <definedName name="황정수6" localSheetId="6" hidden="1">{"'Jibu9811 (3)'!$B$1:$J$433"}</definedName>
    <definedName name="황정수6" localSheetId="2" hidden="1">{"'Jibu9811 (3)'!$B$1:$J$433"}</definedName>
    <definedName name="황정수6" hidden="1">{"'Jibu9811 (3)'!$B$1:$J$433"}</definedName>
    <definedName name="황정수7" localSheetId="6" hidden="1">{"'Jibu9811 (3)'!$B$1:$J$433"}</definedName>
    <definedName name="황정수7" localSheetId="2" hidden="1">{"'Jibu9811 (3)'!$B$1:$J$433"}</definedName>
    <definedName name="황정수7" hidden="1">{"'Jibu9811 (3)'!$B$1:$J$433"}</definedName>
    <definedName name="황정수8" localSheetId="6" hidden="1">{"'Jibu9811 (3)'!$B$1:$J$433"}</definedName>
    <definedName name="황정수8" localSheetId="2" hidden="1">{"'Jibu9811 (3)'!$B$1:$J$433"}</definedName>
    <definedName name="황정수8" hidden="1">{"'Jibu9811 (3)'!$B$1:$J$433"}</definedName>
    <definedName name="회" localSheetId="2" hidden="1">{#N/A,#N/A,TRUE,"경전'96(1)";#N/A,#N/A,TRUE,"경전'96 (2)"}</definedName>
    <definedName name="회" hidden="1">{#N/A,#N/A,TRUE,"경전'96(1)";#N/A,#N/A,TRUE,"경전'96 (2)"}</definedName>
    <definedName name="회계년도">#REF!</definedName>
    <definedName name="회계와세무의가액검토" localSheetId="6" hidden="1">{#N/A,#N/A,FALSE,"9612"}</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localSheetId="2"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hidden="1">{#N/A,#N/A,FALSE,"단축1";#N/A,#N/A,FALSE,"단축2";#N/A,#N/A,FALSE,"단축3";#N/A,#N/A,FALSE,"장축";#N/A,#N/A,FALSE,"4WD"}</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6"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 localSheetId="2">Dlog_Show</definedName>
    <definedName name="효구">Dlog_Show</definedName>
    <definedName name="효자" localSheetId="2">Dlog_Show</definedName>
    <definedName name="효자">Dlog_Show</definedName>
    <definedName name="효자건설" localSheetId="2">Dlog_Show</definedName>
    <definedName name="효자건설">Dlog_Show</definedName>
    <definedName name="횩ㄷ" localSheetId="6" hidden="1">{"'Jibu9811 (3)'!$B$1:$J$433"}</definedName>
    <definedName name="횩ㄷ" localSheetId="2" hidden="1">{"'Jibu9811 (3)'!$B$1:$J$433"}</definedName>
    <definedName name="횩ㄷ" hidden="1">{"'Jibu9811 (3)'!$B$1:$J$433"}</definedName>
    <definedName name="후" localSheetId="6"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6" hidden="1">{"'미착금액'!$A$4:$G$14"}</definedName>
    <definedName name="후후후" localSheetId="2" hidden="1">{"'미착금액'!$A$4:$G$14"}</definedName>
    <definedName name="후후후" hidden="1">{"'미착금액'!$A$4:$G$14"}</definedName>
    <definedName name="휴" localSheetId="6" hidden="1">{#N/A,#N/A,FALSE,"1.CRITERIA";#N/A,#N/A,FALSE,"2.IS";#N/A,#N/A,FALSE,"3.BS";#N/A,#N/A,FALSE,"4.PER PL";#N/A,#N/A,FALSE,"5.INVESTMENT";#N/A,#N/A,FALSE,"6.공문";#N/A,#N/A,FALSE,"7.netinvest"}</definedName>
    <definedName name="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{#N/A,#N/A,FALSE,"1.CRITERIA";#N/A,#N/A,FALSE,"2.IS";#N/A,#N/A,FALSE,"3.BS";#N/A,#N/A,FALSE,"4.PER PL";#N/A,#N/A,FALSE,"5.INVESTMENT";#N/A,#N/A,FALSE,"6.공문";#N/A,#N/A,FALSE,"7.netinvest"}</definedName>
    <definedName name="휴게">#REF!</definedName>
    <definedName name="휴일">#REF!</definedName>
    <definedName name="흄관" localSheetId="2" hidden="1">{#N/A,#N/A,FALSE,"기안지";#N/A,#N/A,FALSE,"통신지"}</definedName>
    <definedName name="흄관" hidden="1">{#N/A,#N/A,FALSE,"기안지";#N/A,#N/A,FALSE,"통신지"}</definedName>
    <definedName name="흐" localSheetId="6"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6"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localSheetId="2" hidden="1">{#N/A,#N/A,FALSE,"단축1";#N/A,#N/A,FALSE,"단축2";#N/A,#N/A,FALSE,"단축3";#N/A,#N/A,FALSE,"장축";#N/A,#N/A,FALSE,"4WD"}</definedName>
    <definedName name="흠" hidden="1">{#N/A,#N/A,FALSE,"단축1";#N/A,#N/A,FALSE,"단축2";#N/A,#N/A,FALSE,"단축3";#N/A,#N/A,FALSE,"장축";#N/A,#N/A,FALSE,"4WD"}</definedName>
    <definedName name="흡2" localSheetId="2" hidden="1">{#N/A,#N/A,FALSE,"단축1";#N/A,#N/A,FALSE,"단축2";#N/A,#N/A,FALSE,"단축3";#N/A,#N/A,FALSE,"장축";#N/A,#N/A,FALSE,"4WD"}</definedName>
    <definedName name="흡2" hidden="1">{#N/A,#N/A,FALSE,"단축1";#N/A,#N/A,FALSE,"단축2";#N/A,#N/A,FALSE,"단축3";#N/A,#N/A,FALSE,"장축";#N/A,#N/A,FALSE,"4WD"}</definedName>
    <definedName name="흡기" localSheetId="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6" hidden="1">{#N/A,#N/A,FALSE,"포장2"}</definedName>
    <definedName name="히패가ㅗ" localSheetId="2" hidden="1">{#N/A,#N/A,FALSE,"포장2"}</definedName>
    <definedName name="히패가ㅗ" hidden="1">{#N/A,#N/A,FALSE,"포장2"}</definedName>
    <definedName name="히히" localSheetId="2" hidden="1">{#N/A,#N/A,TRUE,"경전'96(1)";#N/A,#N/A,TRUE,"경전'96 (2)"}</definedName>
    <definedName name="히히" hidden="1">{#N/A,#N/A,TRUE,"경전'96(1)";#N/A,#N/A,TRUE,"경전'96 (2)"}</definedName>
    <definedName name="ㅏ" localSheetId="6"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6" hidden="1">{#N/A,#N/A,FALSE,"기안지";#N/A,#N/A,FALSE,"통신지"}</definedName>
    <definedName name="ㅏㄹ얒ㅈ" localSheetId="2" hidden="1">{#N/A,#N/A,FALSE,"기안지";#N/A,#N/A,FALSE,"통신지"}</definedName>
    <definedName name="ㅏㄹ얒ㅈ" hidden="1">{#N/A,#N/A,FALSE,"기안지";#N/A,#N/A,FALSE,"통신지"}</definedName>
    <definedName name="ㅏ멀" localSheetId="6"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 localSheetId="2">BlankMacro1</definedName>
    <definedName name="ㅏ아ㅏㅇ">BlankMacro1</definedName>
    <definedName name="ㅏ아ㅗ" localSheetId="2">BlankMacro1</definedName>
    <definedName name="ㅏ아ㅗ">BlankMacro1</definedName>
    <definedName name="ㅏ차ㅏㅇ">#REF!</definedName>
    <definedName name="ㅏ팝덤ㅈ" localSheetId="2">BlankMacro1</definedName>
    <definedName name="ㅏ팝덤ㅈ">BlankMacro1</definedName>
    <definedName name="ㅏ호" localSheetId="2">BlankMacro1</definedName>
    <definedName name="ㅏ호">BlankMacro1</definedName>
    <definedName name="ㅏ호ㅓㅏㅎ"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6" hidden="1">{#N/A,#N/A,FALSE,"불량현황";#N/A,#N/A,FALSE,"표면처리업체별";#N/A,#N/A,FALSE,"사양별";#N/A,#N/A,FALSE,"제작업체별";#N/A,#N/A,FALSE,"업체주소";#N/A,#N/A,FALSE,"장착부위";#N/A,#N/A,FALSE,"V-100표면현황 (2)"}</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 localSheetId="2">BlankMacro1</definedName>
    <definedName name="ㅏㅏㅏㅓㅁ">BlankMacro1</definedName>
    <definedName name="ㅏㅐㅏㅔㅐㅣ" localSheetId="6" hidden="1">{#N/A,#N/A,FALSE,"UNIT";#N/A,#N/A,FALSE,"UNIT";#N/A,#N/A,FALSE,"계정"}</definedName>
    <definedName name="ㅏㅐㅏㅔㅐㅣ" localSheetId="2" hidden="1">{#N/A,#N/A,FALSE,"UNIT";#N/A,#N/A,FALSE,"UNIT";#N/A,#N/A,FALSE,"계정"}</definedName>
    <definedName name="ㅏㅐㅏㅔㅐㅣ" hidden="1">{#N/A,#N/A,FALSE,"UNIT";#N/A,#N/A,FALSE,"UNIT";#N/A,#N/A,FALSE,"계정"}</definedName>
    <definedName name="ㅏㅑㅊ" localSheetId="6" hidden="1">{#N/A,#N/A,FALSE,"기안지";#N/A,#N/A,FALSE,"통신지"}</definedName>
    <definedName name="ㅏㅑㅊ" localSheetId="2" hidden="1">{#N/A,#N/A,FALSE,"기안지";#N/A,#N/A,FALSE,"통신지"}</definedName>
    <definedName name="ㅏㅑㅊ" hidden="1">{#N/A,#N/A,FALSE,"기안지";#N/A,#N/A,FALSE,"통신지"}</definedName>
    <definedName name="ㅏㅓ" localSheetId="6" hidden="1">{#N/A,#N/A,FALSE,"단축1";#N/A,#N/A,FALSE,"단축2";#N/A,#N/A,FALSE,"단축3";#N/A,#N/A,FALSE,"장축";#N/A,#N/A,FALSE,"4WD"}</definedName>
    <definedName name="ㅏㅓ" localSheetId="2">BlankMacro1</definedName>
    <definedName name="ㅏㅓ" hidden="1">{#N/A,#N/A,FALSE,"단축1";#N/A,#N/A,FALSE,"단축2";#N/A,#N/A,FALSE,"단축3";#N/A,#N/A,FALSE,"장축";#N/A,#N/A,FALSE,"4WD"}</definedName>
    <definedName name="ㅏㅓㅗ" localSheetId="2">BlankMacro1</definedName>
    <definedName name="ㅏㅓㅗ">BlankMacro1</definedName>
    <definedName name="ㅏㅕ" localSheetId="6" hidden="1">{"'Jibu9811 (3)'!$B$1:$J$433"}</definedName>
    <definedName name="ㅏㅕ" localSheetId="2" hidden="1">{"'Jibu9811 (3)'!$B$1:$J$433"}</definedName>
    <definedName name="ㅏㅕ" hidden="1">{"'Jibu9811 (3)'!$B$1:$J$433"}</definedName>
    <definedName name="ㅏㅕㅛㅛㅕ" localSheetId="6" hidden="1">{"'Jibu9811 (3)'!$B$1:$J$433"}</definedName>
    <definedName name="ㅏㅕㅛㅛㅕ" localSheetId="2" hidden="1">{"'Jibu9811 (3)'!$B$1:$J$433"}</definedName>
    <definedName name="ㅏㅕㅛㅛㅕ" hidden="1">{"'Jibu9811 (3)'!$B$1:$J$433"}</definedName>
    <definedName name="ㅏㅗ" hidden="1">#REF!</definedName>
    <definedName name="ㅏㅛ" localSheetId="2">BlankMacro1</definedName>
    <definedName name="ㅏㅛ">BlankMacro1</definedName>
    <definedName name="ㅏㅛㅕㅏㅛㅕ" localSheetId="6" hidden="1">{"'Jibu9811 (3)'!$B$1:$J$433"}</definedName>
    <definedName name="ㅏㅛㅕㅏㅛㅕ" localSheetId="2" hidden="1">{"'Jibu9811 (3)'!$B$1:$J$433"}</definedName>
    <definedName name="ㅏㅛㅕㅏㅛㅕ" hidden="1">{"'Jibu9811 (3)'!$B$1:$J$433"}</definedName>
    <definedName name="ㅏㅣ" localSheetId="2" hidden="1">{#N/A,#N/A,FALSE,"96 3월물량표";#N/A,#N/A,FALSE,"96 4월물량표";#N/A,#N/A,FALSE,"96 5월물량표"}</definedName>
    <definedName name="ㅏㅣ" hidden="1">{#N/A,#N/A,FALSE,"96 3월물량표";#N/A,#N/A,FALSE,"96 4월물량표";#N/A,#N/A,FALSE,"96 5월물량표"}</definedName>
    <definedName name="ㅏㅣㅏ"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localSheetId="2" hidden="1">{#N/A,#N/A,FALSE,"이태원철근"}</definedName>
    <definedName name="ㅐ" hidden="1">{#N/A,#N/A,FALSE,"이태원철근"}</definedName>
    <definedName name="ㅐ15">#N/A</definedName>
    <definedName name="ㅐ랙" localSheetId="2">BlankMacro1</definedName>
    <definedName name="ㅐ랙">BlankMacro1</definedName>
    <definedName name="ㅐㅐ" localSheetId="6" hidden="1">{#N/A,#N/A,FALSE,"을지 (4)";#N/A,#N/A,FALSE,"을지 (5)";#N/A,#N/A,FALSE,"을지 (6)"}</definedName>
    <definedName name="ㅐㅐ" localSheetId="2" hidden="1">{#N/A,#N/A,FALSE,"을지 (4)";#N/A,#N/A,FALSE,"을지 (5)";#N/A,#N/A,FALSE,"을지 (6)"}</definedName>
    <definedName name="ㅐㅐ" hidden="1">{#N/A,#N/A,FALSE,"을지 (4)";#N/A,#N/A,FALSE,"을지 (5)";#N/A,#N/A,FALSE,"을지 (6)"}</definedName>
    <definedName name="ㅐㅐㅐ" localSheetId="2" hidden="1">{#N/A,#N/A,FALSE,"지침";#N/A,#N/A,FALSE,"환경분석";#N/A,#N/A,FALSE,"Sheet16"}</definedName>
    <definedName name="ㅐㅐㅐ" hidden="1">{#N/A,#N/A,FALSE,"지침";#N/A,#N/A,FALSE,"환경분석";#N/A,#N/A,FALSE,"Sheet16"}</definedName>
    <definedName name="ㅐㅓㅐㅔㅓ" localSheetId="2" hidden="1">{#N/A,#N/A,FALSE,"단축1";#N/A,#N/A,FALSE,"단축2";#N/A,#N/A,FALSE,"단축3";#N/A,#N/A,FALSE,"장축";#N/A,#N/A,FALSE,"4WD"}</definedName>
    <definedName name="ㅐㅓㅐㅔㅓ" hidden="1">{#N/A,#N/A,FALSE,"단축1";#N/A,#N/A,FALSE,"단축2";#N/A,#N/A,FALSE,"단축3";#N/A,#N/A,FALSE,"장축";#N/A,#N/A,FALSE,"4WD"}</definedName>
    <definedName name="ㅐㅔㅔ" hidden="1">#REF!</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6" hidden="1">{#N/A,#N/A,FALSE,"Aging Summary";#N/A,#N/A,FALSE,"Ratio Analysis";#N/A,#N/A,FALSE,"Test 120 Day Accts";#N/A,#N/A,FALSE,"Tickmarks"}</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6" hidden="1">{#N/A,#N/A,FALSE,"기안지";#N/A,#N/A,FALSE,"통신지"}</definedName>
    <definedName name="ㅑ갹" localSheetId="2" hidden="1">{#N/A,#N/A,FALSE,"기안지";#N/A,#N/A,FALSE,"통신지"}</definedName>
    <definedName name="ㅑ갹" hidden="1">{#N/A,#N/A,FALSE,"기안지";#N/A,#N/A,FALSE,"통신지"}</definedName>
    <definedName name="ㅑ다ㅏㅇ" localSheetId="2">BlankMacro1</definedName>
    <definedName name="ㅑ다ㅏㅇ">BlankMacro1</definedName>
    <definedName name="ㅑㅂ" localSheetId="2">BlankMacro1</definedName>
    <definedName name="ㅑㅂ">BlankMacro1</definedName>
    <definedName name="ㅑㅐ댇" localSheetId="6" hidden="1">{#N/A,#N/A,FALSE,"기안지";#N/A,#N/A,FALSE,"통신지"}</definedName>
    <definedName name="ㅑㅐ댇" localSheetId="2" hidden="1">{#N/A,#N/A,FALSE,"기안지";#N/A,#N/A,FALSE,"통신지"}</definedName>
    <definedName name="ㅑㅐ댇" hidden="1">{#N/A,#N/A,FALSE,"기안지";#N/A,#N/A,FALSE,"통신지"}</definedName>
    <definedName name="ㅑㅐㅔㅕㅑㅐ" localSheetId="2" hidden="1">{#N/A,#N/A,FALSE,"단축1";#N/A,#N/A,FALSE,"단축2";#N/A,#N/A,FALSE,"단축3";#N/A,#N/A,FALSE,"장축";#N/A,#N/A,FALSE,"4WD"}</definedName>
    <definedName name="ㅑㅐㅔㅕㅑㅐ" hidden="1">{#N/A,#N/A,FALSE,"단축1";#N/A,#N/A,FALSE,"단축2";#N/A,#N/A,FALSE,"단축3";#N/A,#N/A,FALSE,"장축";#N/A,#N/A,FALSE,"4WD"}</definedName>
    <definedName name="ㅑㅑㅑ" localSheetId="6"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6" hidden="1">{#N/A,#N/A,FALSE,"삼진정공";#N/A,#N/A,FALSE,"영신금속";#N/A,#N/A,FALSE,"태양금속";#N/A,#N/A,FALSE,"진합정공";#N/A,#N/A,FALSE,"코리아";#N/A,#N/A,FALSE,"풍강금속";#N/A,#N/A,FALSE,"선일기계"}</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localSheetId="2" hidden="1">{#N/A,#N/A,FALSE,"Sheet6"}</definedName>
    <definedName name="ㅑㅑㅑㅑㅑㅑㅑ" hidden="1">{#N/A,#N/A,FALSE,"Sheet6"}</definedName>
    <definedName name="ㅓ" localSheetId="6" hidden="1">{#N/A,#N/A,TRUE,"Y생산";#N/A,#N/A,TRUE,"Y판매";#N/A,#N/A,TRUE,"Y총물량";#N/A,#N/A,TRUE,"Y능력";#N/A,#N/A,TRUE,"YKD"}</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 localSheetId="2">BlankMacro1</definedName>
    <definedName name="ㅓㄷ">BlankMacro1</definedName>
    <definedName name="ㅓㄷㄱㄷ" localSheetId="2">BlankMacro1</definedName>
    <definedName name="ㅓㄷㄱㄷ">BlankMacro1</definedName>
    <definedName name="ㅓ랴">#N/A</definedName>
    <definedName name="ㅓㅅㄱㅇㄴ쇼ㅓ">#N/A</definedName>
    <definedName name="ㅓㅇ섯">#N/A</definedName>
    <definedName name="ㅓㅇ쇼ㅓㄴ">#N/A</definedName>
    <definedName name="ㅓ앙" localSheetId="2">BlankMacro1</definedName>
    <definedName name="ㅓ앙">BlankMacro1</definedName>
    <definedName name="ㅓ요선ㅇ">#N/A</definedName>
    <definedName name="ㅓ파ㅏ" localSheetId="6" hidden="1">{#N/A,#N/A,FALSE,"기안지";#N/A,#N/A,FALSE,"통신지"}</definedName>
    <definedName name="ㅓ파ㅏ" localSheetId="2" hidden="1">{#N/A,#N/A,FALSE,"기안지";#N/A,#N/A,FALSE,"통신지"}</definedName>
    <definedName name="ㅓ파ㅏ" hidden="1">{#N/A,#N/A,FALSE,"기안지";#N/A,#N/A,FALSE,"통신지"}</definedName>
    <definedName name="ㅓㅎ" localSheetId="2" hidden="1">{#N/A,#N/A,FALSE,"Sheet1"}</definedName>
    <definedName name="ㅓㅎ" hidden="1">{#N/A,#N/A,FALSE,"Sheet1"}</definedName>
    <definedName name="ㅓㅎㄹ">#REF!</definedName>
    <definedName name="ㅓ하">#N/A</definedName>
    <definedName name="ㅓ햐" localSheetId="2">BlankMacro1</definedName>
    <definedName name="ㅓ햐">BlankMacro1</definedName>
    <definedName name="ㅓㅏㄱ" localSheetId="2">BlankMacro1</definedName>
    <definedName name="ㅓㅏㄱ">BlankMacro1</definedName>
    <definedName name="ㅓㅏ리앙" localSheetId="6" hidden="1">{#N/A,#N/A,FALSE,"UNIT";#N/A,#N/A,FALSE,"UNIT";#N/A,#N/A,FALSE,"계정"}</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 localSheetId="2">BlankMacro1</definedName>
    <definedName name="ㅓㅏㅑㅇ">BlankMacro1</definedName>
    <definedName name="ㅓㅏㅣㅕㅑㅔ" localSheetId="2" hidden="1">{#N/A,#N/A,FALSE,"단축1";#N/A,#N/A,FALSE,"단축2";#N/A,#N/A,FALSE,"단축3";#N/A,#N/A,FALSE,"장축";#N/A,#N/A,FALSE,"4WD"}</definedName>
    <definedName name="ㅓㅏㅣㅕㅑㅔ" hidden="1">{#N/A,#N/A,FALSE,"단축1";#N/A,#N/A,FALSE,"단축2";#N/A,#N/A,FALSE,"단축3";#N/A,#N/A,FALSE,"장축";#N/A,#N/A,FALSE,"4WD"}</definedName>
    <definedName name="ㅓㅓ" localSheetId="6" hidden="1">{#N/A,#N/A,FALSE,"CCTV"}</definedName>
    <definedName name="ㅓㅓ" localSheetId="2" hidden="1">{#N/A,#N/A,FALSE,"CCTV"}</definedName>
    <definedName name="ㅓㅓ" hidden="1">{#N/A,#N/A,FALSE,"CCTV"}</definedName>
    <definedName name="ㅓㅓ로" localSheetId="2" hidden="1">{#N/A,#N/A,FALSE,"단축1";#N/A,#N/A,FALSE,"단축2";#N/A,#N/A,FALSE,"단축3";#N/A,#N/A,FALSE,"장축";#N/A,#N/A,FALSE,"4WD"}</definedName>
    <definedName name="ㅓㅓ로" hidden="1">{#N/A,#N/A,FALSE,"단축1";#N/A,#N/A,FALSE,"단축2";#N/A,#N/A,FALSE,"단축3";#N/A,#N/A,FALSE,"장축";#N/A,#N/A,FALSE,"4WD"}</definedName>
    <definedName name="ㅓㅓㅏㅊㄹ" localSheetId="2">BlankMacro1</definedName>
    <definedName name="ㅓㅓㅏㅊㄹ">BlankMacro1</definedName>
    <definedName name="ㅓㅓㅓ" localSheetId="6" hidden="1">{#N/A,#N/A,FALSE,"97년 투자계획 세부내역 "}</definedName>
    <definedName name="ㅓㅓㅓ" localSheetId="2">BlankMacro1</definedName>
    <definedName name="ㅓㅓㅓ" hidden="1">{#N/A,#N/A,FALSE,"97년 투자계획 세부내역 "}</definedName>
    <definedName name="ㅓㅕㅏ" localSheetId="2" hidden="1">{#N/A,#N/A,FALSE,"Sheet6"}</definedName>
    <definedName name="ㅓㅕㅏ" hidden="1">{#N/A,#N/A,FALSE,"Sheet6"}</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 localSheetId="2">BlankMacro1</definedName>
    <definedName name="ㅓㅘㄹ">BlankMacro1</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6"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 hidden="1">{#N/A,#N/A,FALSE,"단축1";#N/A,#N/A,FALSE,"단축2";#N/A,#N/A,FALSE,"단축3";#N/A,#N/A,FALSE,"장축";#N/A,#N/A,FALSE,"4WD"}</definedName>
    <definedName name="ㅔㅔㅔ" hidden="1">{#N/A,#N/A,FALSE,"단축1";#N/A,#N/A,FALSE,"단축2";#N/A,#N/A,FALSE,"단축3";#N/A,#N/A,FALSE,"장축";#N/A,#N/A,FALSE,"4WD"}</definedName>
    <definedName name="ㅕ" localSheetId="6"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 localSheetId="2">BlankMacro1</definedName>
    <definedName name="ㅕㅅㅎ">BlankMacro1</definedName>
    <definedName name="ㅕㅏ쇼" localSheetId="2" hidden="1">{#N/A,#N/A,FALSE,"Sheet6"}</definedName>
    <definedName name="ㅕㅏ쇼" hidden="1">{#N/A,#N/A,FALSE,"Sheet6"}</definedName>
    <definedName name="ㅕㅏㅛㅏㅕ" localSheetId="6" hidden="1">{"'Jibu9811 (3)'!$B$1:$J$433"}</definedName>
    <definedName name="ㅕㅏㅛㅏㅕ" localSheetId="2" hidden="1">{"'Jibu9811 (3)'!$B$1:$J$433"}</definedName>
    <definedName name="ㅕㅏㅛㅏㅕ" hidden="1">{"'Jibu9811 (3)'!$B$1:$J$433"}</definedName>
    <definedName name="ㅕㅏㅛㅕㅏ" localSheetId="2" hidden="1">{#N/A,#N/A,FALSE,"Sheet6"}</definedName>
    <definedName name="ㅕㅏㅛㅕㅏ" hidden="1">{#N/A,#N/A,FALSE,"Sheet6"}</definedName>
    <definedName name="ㅕㅑㅐ" localSheetId="2" hidden="1">{#N/A,#N/A,FALSE,"Sheet6"}</definedName>
    <definedName name="ㅕㅑㅐ" hidden="1">{#N/A,#N/A,FALSE,"Sheet6"}</definedName>
    <definedName name="ㅕㅕ" localSheetId="2" hidden="1">{#N/A,#N/A,FALSE,"단축1";#N/A,#N/A,FALSE,"단축2";#N/A,#N/A,FALSE,"단축3";#N/A,#N/A,FALSE,"장축";#N/A,#N/A,FALSE,"4WD"}</definedName>
    <definedName name="ㅕㅕ" hidden="1">{#N/A,#N/A,FALSE,"단축1";#N/A,#N/A,FALSE,"단축2";#N/A,#N/A,FALSE,"단축3";#N/A,#N/A,FALSE,"장축";#N/A,#N/A,FALSE,"4WD"}</definedName>
    <definedName name="ㅕㅕㅕ" localSheetId="6" hidden="1">{#N/A,#N/A,FALSE,"을지 (4)";#N/A,#N/A,FALSE,"을지 (5)";#N/A,#N/A,FALSE,"을지 (6)"}</definedName>
    <definedName name="ㅕㅕㅕ" localSheetId="2" hidden="1">{#N/A,#N/A,FALSE,"을지 (4)";#N/A,#N/A,FALSE,"을지 (5)";#N/A,#N/A,FALSE,"을지 (6)"}</definedName>
    <definedName name="ㅕㅕㅕ" hidden="1">{#N/A,#N/A,FALSE,"을지 (4)";#N/A,#N/A,FALSE,"을지 (5)";#N/A,#N/A,FALSE,"을지 (6)"}</definedName>
    <definedName name="ㅕㅕㅕㅕㅕㅕㅕㅕㅕㅕㅕㅕㅕ" localSheetId="2" hidden="1">{"'FAX번호'!$A$2:$F$21"}</definedName>
    <definedName name="ㅕㅕㅕㅕㅕㅕㅕㅕㅕㅕㅕㅕㅕ" hidden="1">{"'FAX번호'!$A$2:$F$21"}</definedName>
    <definedName name="ㅕㅕㅕㅕㅕㅕㅕㅕㅕㅕㅕㅕㅕㅕㅕㅕㅕㅕㅕㅕㅕㅕㅕㅕㅕㅕㅕㅕ" localSheetId="2" hidden="1">{"'FAX번호'!$A$2:$F$21"}</definedName>
    <definedName name="ㅕㅕㅕㅕㅕㅕㅕㅕㅕㅕㅕㅕㅕㅕㅕㅕㅕㅕㅕㅕㅕㅕㅕㅕㅕㅕㅕㅕ" hidden="1">{"'FAX번호'!$A$2:$F$21"}</definedName>
    <definedName name="ㅕㅛ" localSheetId="2" hidden="1">{#N/A,#N/A,FALSE,"Sheet1"}</definedName>
    <definedName name="ㅕㅛ" hidden="1">{#N/A,#N/A,FALSE,"Sheet1"}</definedName>
    <definedName name="ㅗ"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6" hidden="1">{"'Registration'!$A$1:$B$94"}</definedName>
    <definedName name="ㅗㅁㅎㅇㅀ" localSheetId="2" hidden="1">{"'Registration'!$A$1:$B$94"}</definedName>
    <definedName name="ㅗㅁㅎㅇㅀ" hidden="1">{"'Registration'!$A$1:$B$94"}</definedName>
    <definedName name="ㅗㅅㄱ" localSheetId="6" hidden="1">{"'Jibu9811 (3)'!$B$1:$J$433"}</definedName>
    <definedName name="ㅗㅅㄱ" localSheetId="2" hidden="1">{"'Jibu9811 (3)'!$B$1:$J$433"}</definedName>
    <definedName name="ㅗㅅㄱ" hidden="1">{"'Jibu9811 (3)'!$B$1:$J$433"}</definedName>
    <definedName name="ㅗㅅㄱ노ㅠㅍ">#N/A</definedName>
    <definedName name="ㅗㅅㄱ논">#N/A</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 localSheetId="2">BlankMacro1</definedName>
    <definedName name="ㅗㅈㅊㅍ">BlankMacro1</definedName>
    <definedName name="ㅗㅎ" hidden="1">#REF!</definedName>
    <definedName name="ㅗㅎㄹㅇ노노" hidden="1">#REF!</definedName>
    <definedName name="ㅗㅎㄹㅊㅌ" localSheetId="2">BlankMacro1</definedName>
    <definedName name="ㅗㅎㄹㅊㅌ">BlankMacro1</definedName>
    <definedName name="ㅗㅎ롷롷ㄹ" hidden="1">#REF!</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6" hidden="1">{"'Jibu9811 (3)'!$B$1:$J$433"}</definedName>
    <definedName name="ㅗ혀ㅑㄷ" localSheetId="2" hidden="1">{"'Jibu9811 (3)'!$B$1:$J$433"}</definedName>
    <definedName name="ㅗ혀ㅑㄷ" hidden="1">{"'Jibu9811 (3)'!$B$1:$J$433"}</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localSheetId="2" hidden="1">{#N/A,#N/A,FALSE,"단축1";#N/A,#N/A,FALSE,"단축2";#N/A,#N/A,FALSE,"단축3";#N/A,#N/A,FALSE,"장축";#N/A,#N/A,FALSE,"4WD"}</definedName>
    <definedName name="ㅗㅓㅏㅣ" hidden="1">{#N/A,#N/A,FALSE,"단축1";#N/A,#N/A,FALSE,"단축2";#N/A,#N/A,FALSE,"단축3";#N/A,#N/A,FALSE,"장축";#N/A,#N/A,FALSE,"4WD"}</definedName>
    <definedName name="ㅗㅓㅕㅑㅕ" localSheetId="2" hidden="1">{#N/A,#N/A,FALSE,"Sheet6"}</definedName>
    <definedName name="ㅗㅓㅕㅑㅕ" hidden="1">{#N/A,#N/A,FALSE,"Sheet6"}</definedName>
    <definedName name="ㅗㅓㅗㅎ" localSheetId="6" hidden="1">{#N/A,#N/A,FALSE,"삼진정공";#N/A,#N/A,FALSE,"영신금속";#N/A,#N/A,FALSE,"태양금속";#N/A,#N/A,FALSE,"진합정공";#N/A,#N/A,FALSE,"코리아";#N/A,#N/A,FALSE,"풍강금속";#N/A,#N/A,FALSE,"선일기계"}</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localSheetId="2" hidden="1">{#N/A,#N/A,FALSE,"Sheet6"}</definedName>
    <definedName name="ㅗㅓㅛㅎ" hidden="1">{#N/A,#N/A,FALSE,"Sheet6"}</definedName>
    <definedName name="ㅗㅕ">#REF!</definedName>
    <definedName name="ㅗㅗ" localSheetId="6" hidden="1">{#N/A,#N/A,FALSE,"초도품";#N/A,#N/A,FALSE,"초도품 (2)";#N/A,#N/A,FALSE,"초도품 (3)";#N/A,#N/A,FALSE,"초도품 (4)";#N/A,#N/A,FALSE,"초도품 (5)";#N/A,#N/A,FALSE,"초도품 (6)"}</definedName>
    <definedName name="ㅗㅗ" localSheetId="2">BlankMacro1</definedName>
    <definedName name="ㅗㅗ" hidden="1">{#N/A,#N/A,FALSE,"초도품";#N/A,#N/A,FALSE,"초도품 (2)";#N/A,#N/A,FALSE,"초도품 (3)";#N/A,#N/A,FALSE,"초도품 (4)";#N/A,#N/A,FALSE,"초도품 (5)";#N/A,#N/A,FALSE,"초도품 (6)"}</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 hidden="1">{#N/A,#N/A,FALSE,"단축1";#N/A,#N/A,FALSE,"단축2";#N/A,#N/A,FALSE,"단축3";#N/A,#N/A,FALSE,"장축";#N/A,#N/A,FALSE,"4WD"}</definedName>
    <definedName name="ㅗㅗㅗ" hidden="1">{#N/A,#N/A,FALSE,"단축1";#N/A,#N/A,FALSE,"단축2";#N/A,#N/A,FALSE,"단축3";#N/A,#N/A,FALSE,"장축";#N/A,#N/A,FALSE,"4WD"}</definedName>
    <definedName name="ㅗㅗㅗㅋㄶ" localSheetId="2" hidden="1">{#N/A,#N/A,TRUE,"경전'96(1)";#N/A,#N/A,TRUE,"경전'96 (2)"}</definedName>
    <definedName name="ㅗㅗㅗㅋㄶ" hidden="1">{#N/A,#N/A,TRUE,"경전'96(1)";#N/A,#N/A,TRUE,"경전'96 (2)"}</definedName>
    <definedName name="ㅗㅗㅗㅗ" hidden="1">#REF!</definedName>
    <definedName name="ㅗㅗㅗㅗㅇ" localSheetId="2">BlankMacro1</definedName>
    <definedName name="ㅗㅗㅗㅗㅇ">BlankMacro1</definedName>
    <definedName name="ㅗㅗㅗㅗㅗ" localSheetId="2" hidden="1">{#N/A,#N/A,FALSE,"단축1";#N/A,#N/A,FALSE,"단축2";#N/A,#N/A,FALSE,"단축3";#N/A,#N/A,FALSE,"장축";#N/A,#N/A,FALSE,"4WD"}</definedName>
    <definedName name="ㅗㅗㅗㅗㅗ" hidden="1">{#N/A,#N/A,FALSE,"단축1";#N/A,#N/A,FALSE,"단축2";#N/A,#N/A,FALSE,"단축3";#N/A,#N/A,FALSE,"장축";#N/A,#N/A,FALSE,"4WD"}</definedName>
    <definedName name="ㅗㅗㅗㅗㅗㅗ" localSheetId="2">BlankMacro1</definedName>
    <definedName name="ㅗㅗㅗㅗㅗㅗ">BlankMacro1</definedName>
    <definedName name="ㅗㅛ">#REF!</definedName>
    <definedName name="ㅘ아ㅑ" localSheetId="2">BlankMacro1</definedName>
    <definedName name="ㅘ아ㅑ">BlankMacro1</definedName>
    <definedName name="ㅙㄱ래" localSheetId="2">BlankMacro1</definedName>
    <definedName name="ㅙㄱ래">BlankMacro1</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6"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localSheetId="2" hidden="1">{#N/A,#N/A,TRUE,"경전'96(1)";#N/A,#N/A,TRUE,"경전'96 (2)"}</definedName>
    <definedName name="ㅛ래" hidden="1">{#N/A,#N/A,TRUE,"경전'96(1)";#N/A,#N/A,TRUE,"경전'96 (2)"}</definedName>
    <definedName name="ㅛㅅㄱㄷㅈ" localSheetId="2" hidden="1">{#N/A,#N/A,FALSE,"단축1";#N/A,#N/A,FALSE,"단축2";#N/A,#N/A,FALSE,"단축3";#N/A,#N/A,FALSE,"장축";#N/A,#N/A,FALSE,"4WD"}</definedName>
    <definedName name="ㅛㅅㄱㄷㅈ" hidden="1">{#N/A,#N/A,FALSE,"단축1";#N/A,#N/A,FALSE,"단축2";#N/A,#N/A,FALSE,"단축3";#N/A,#N/A,FALSE,"장축";#N/A,#N/A,FALSE,"4WD"}</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localSheetId="2" hidden="1">{#N/A,#N/A,FALSE,"Sheet6"}</definedName>
    <definedName name="ㅛ셔쇼ㅕ" hidden="1">{#N/A,#N/A,FALSE,"Sheet6"}</definedName>
    <definedName name="ㅛㅇㅅ겅ㅅ">#N/A</definedName>
    <definedName name="ㅛㅓ">#N/A</definedName>
    <definedName name="ㅛㅓㄴ">#N/A</definedName>
    <definedName name="ㅛㅓ쇼" localSheetId="2" hidden="1">{#N/A,#N/A,FALSE,"Sheet6"}</definedName>
    <definedName name="ㅛㅓ쇼" hidden="1">{#N/A,#N/A,FALSE,"Sheet6"}</definedName>
    <definedName name="ㅛㅕ" localSheetId="6" hidden="1">{#N/A,#N/A,FALSE,"1.CRITERIA";#N/A,#N/A,FALSE,"2.IS";#N/A,#N/A,FALSE,"3.BS";#N/A,#N/A,FALSE,"4.PER PL";#N/A,#N/A,FALSE,"5.INVESTMENT";#N/A,#N/A,FALSE,"6.공문";#N/A,#N/A,FALSE,"7.netinvest"}</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localSheetId="2" hidden="1">{#N/A,#N/A,FALSE,"단축1";#N/A,#N/A,FALSE,"단축2";#N/A,#N/A,FALSE,"단축3";#N/A,#N/A,FALSE,"장축";#N/A,#N/A,FALSE,"4WD"}</definedName>
    <definedName name="ㅛㅛㅕㅗㅓ" hidden="1">{#N/A,#N/A,FALSE,"단축1";#N/A,#N/A,FALSE,"단축2";#N/A,#N/A,FALSE,"단축3";#N/A,#N/A,FALSE,"장축";#N/A,#N/A,FALSE,"4WD"}</definedName>
    <definedName name="ㅛㅛㅛ" localSheetId="6"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6" hidden="1">{#N/A,#N/A,FALSE,"1.CRITERIA";#N/A,#N/A,FALSE,"2.IS";#N/A,#N/A,FALSE,"3.BS";#N/A,#N/A,FALSE,"4.PER PL";#N/A,#N/A,FALSE,"5.INVESTMENT";#N/A,#N/A,FALSE,"6.공문";#N/A,#N/A,FALSE,"7.netinvest"}</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6" hidden="1">{#N/A,#N/A,FALSE,"단축1";#N/A,#N/A,FALSE,"단축2";#N/A,#N/A,FALSE,"단축3";#N/A,#N/A,FALSE,"장축";#N/A,#N/A,FALSE,"4WD"}</definedName>
    <definedName name="ㅜ" localSheetId="2" hidden="1">{#N/A,#N/A,FALSE,"단축1";#N/A,#N/A,FALSE,"단축2";#N/A,#N/A,FALSE,"단축3";#N/A,#N/A,FALSE,"장축";#N/A,#N/A,FALSE,"4WD"}</definedName>
    <definedName name="ㅜ" hidden="1">{#N/A,#N/A,FALSE,"단축1";#N/A,#N/A,FALSE,"단축2";#N/A,#N/A,FALSE,"단축3";#N/A,#N/A,FALSE,"장축";#N/A,#N/A,FALSE,"4WD"}</definedName>
    <definedName name="ㅜㄱ" localSheetId="2">BlankMacro1</definedName>
    <definedName name="ㅜㄱ">BlankMacro1</definedName>
    <definedName name="ㅜㄷㅈ" localSheetId="2" hidden="1">{#N/A,#N/A,FALSE,"단축1";#N/A,#N/A,FALSE,"단축2";#N/A,#N/A,FALSE,"단축3";#N/A,#N/A,FALSE,"장축";#N/A,#N/A,FALSE,"4WD"}</definedName>
    <definedName name="ㅜㄷㅈ" hidden="1">{#N/A,#N/A,FALSE,"단축1";#N/A,#N/A,FALSE,"단축2";#N/A,#N/A,FALSE,"단축3";#N/A,#N/A,FALSE,"장축";#N/A,#N/A,FALSE,"4WD"}</definedName>
    <definedName name="ㅜ챶" localSheetId="6" hidden="1">{#N/A,#N/A,FALSE,"기안지";#N/A,#N/A,FALSE,"통신지"}</definedName>
    <definedName name="ㅜ챶" localSheetId="2" hidden="1">{#N/A,#N/A,FALSE,"기안지";#N/A,#N/A,FALSE,"통신지"}</definedName>
    <definedName name="ㅜ챶" hidden="1">{#N/A,#N/A,FALSE,"기안지";#N/A,#N/A,FALSE,"통신지"}</definedName>
    <definedName name="ㅜㅋㄱ" localSheetId="2" hidden="1">{#N/A,#N/A,TRUE,"경전'96(1)";#N/A,#N/A,TRUE,"경전'96 (2)"}</definedName>
    <definedName name="ㅜㅋㄱ" hidden="1">{#N/A,#N/A,TRUE,"경전'96(1)";#N/A,#N/A,TRUE,"경전'96 (2)"}</definedName>
    <definedName name="ㅜㅍ챠ㅑㄷㅇ" localSheetId="6" hidden="1">{#N/A,#N/A,FALSE,"기안지";#N/A,#N/A,FALSE,"통신지"}</definedName>
    <definedName name="ㅜㅍ챠ㅑㄷㅇ" localSheetId="2" hidden="1">{#N/A,#N/A,FALSE,"기안지";#N/A,#N/A,FALSE,"통신지"}</definedName>
    <definedName name="ㅜㅍ챠ㅑㄷㅇ" hidden="1">{#N/A,#N/A,FALSE,"기안지";#N/A,#N/A,FALSE,"통신지"}</definedName>
    <definedName name="ㅜ퍋" localSheetId="2">BlankMacro1</definedName>
    <definedName name="ㅜ퍋">BlankMacro1</definedName>
    <definedName name="ㅜ퍼야" localSheetId="6" hidden="1">{#N/A,#N/A,FALSE,"부대1"}</definedName>
    <definedName name="ㅜ퍼야" localSheetId="2" hidden="1">{#N/A,#N/A,FALSE,"부대1"}</definedName>
    <definedName name="ㅜ퍼야" hidden="1">{#N/A,#N/A,FALSE,"부대1"}</definedName>
    <definedName name="ㅜ퍼ㅑㄷ" localSheetId="2">BlankMacro1</definedName>
    <definedName name="ㅜ퍼ㅑㄷ">BlankMacro1</definedName>
    <definedName name="ㅜ펃" localSheetId="2">BlankMacro1</definedName>
    <definedName name="ㅜ펃">BlankMacro1</definedName>
    <definedName name="ㅜ펃ㅇ" localSheetId="2">BlankMacro1</definedName>
    <definedName name="ㅜ펃ㅇ">BlankMacro1</definedName>
    <definedName name="ㅜ펴ㅓㅑㅕㄷ" localSheetId="2">BlankMacro1</definedName>
    <definedName name="ㅜ펴ㅓㅑㅕㄷ">BlankMacro1</definedName>
    <definedName name="ㅜㅗㅛ" localSheetId="2" hidden="1">{#N/A,#N/A,FALSE,"Sheet1"}</definedName>
    <definedName name="ㅜㅗㅛ" hidden="1">{#N/A,#N/A,FALSE,"Sheet1"}</definedName>
    <definedName name="ㅜㅛㅜㅛㅛㅜ" localSheetId="2" hidden="1">{#N/A,#N/A,FALSE,"단축1";#N/A,#N/A,FALSE,"단축2";#N/A,#N/A,FALSE,"단축3";#N/A,#N/A,FALSE,"장축";#N/A,#N/A,FALSE,"4WD"}</definedName>
    <definedName name="ㅜㅛㅜㅛㅛㅜ" hidden="1">{#N/A,#N/A,FALSE,"단축1";#N/A,#N/A,FALSE,"단축2";#N/A,#N/A,FALSE,"단축3";#N/A,#N/A,FALSE,"장축";#N/A,#N/A,FALSE,"4WD"}</definedName>
    <definedName name="ㅜㅜ" localSheetId="2">BlankMacro1</definedName>
    <definedName name="ㅜㅜ">BlankMacro1</definedName>
    <definedName name="ㅜㅜㅏㅓ" localSheetId="2">BlankMacro1</definedName>
    <definedName name="ㅜㅜㅏㅓ">BlankMacro1</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 localSheetId="2" hidden="1">{#N/A,#N/A,FALSE,"단축1";#N/A,#N/A,FALSE,"단축2";#N/A,#N/A,FALSE,"단축3";#N/A,#N/A,FALSE,"장축";#N/A,#N/A,FALSE,"4WD"}</definedName>
    <definedName name="ㅜㅜㅜ" hidden="1">{#N/A,#N/A,FALSE,"단축1";#N/A,#N/A,FALSE,"단축2";#N/A,#N/A,FALSE,"단축3";#N/A,#N/A,FALSE,"장축";#N/A,#N/A,FALSE,"4WD"}</definedName>
    <definedName name="ㅜㅜㅜㅜ" localSheetId="6" hidden="1">{#N/A,#N/A,FALSE,"초중조사서식 "}</definedName>
    <definedName name="ㅜㅜㅜㅜ" localSheetId="2" hidden="1">{#N/A,#N/A,FALSE,"초중조사서식 "}</definedName>
    <definedName name="ㅜㅜㅜㅜ" hidden="1">{#N/A,#N/A,FALSE,"초중조사서식 "}</definedName>
    <definedName name="ㅜㅜㅜㅜㅜㅜㅜㅜㅜ" localSheetId="2" hidden="1">{#N/A,#N/A,FALSE,"Sheet1"}</definedName>
    <definedName name="ㅜㅜㅜㅜㅜㅜㅜㅜㅜ" hidden="1">{#N/A,#N/A,FALSE,"Sheet1"}</definedName>
    <definedName name="ㅜㅠㅑㅑㄷ" localSheetId="6" hidden="1">{#N/A,#N/A,FALSE,"기안지";#N/A,#N/A,FALSE,"통신지"}</definedName>
    <definedName name="ㅜㅠㅑㅑㄷ" localSheetId="2" hidden="1">{#N/A,#N/A,FALSE,"기안지";#N/A,#N/A,FALSE,"통신지"}</definedName>
    <definedName name="ㅜㅠㅑㅑㄷ" hidden="1">{#N/A,#N/A,FALSE,"기안지";#N/A,#N/A,FALSE,"통신지"}</definedName>
    <definedName name="ㅜㅠㅠㅠ">#REF!</definedName>
    <definedName name="ㅠ" localSheetId="6" hidden="1">{#N/A,#N/A,FALSE,"단축1";#N/A,#N/A,FALSE,"단축2";#N/A,#N/A,FALSE,"단축3";#N/A,#N/A,FALSE,"장축";#N/A,#N/A,FALSE,"4WD"}</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 localSheetId="2">BlankMacro1</definedName>
    <definedName name="ㅠㄷ">BlankMacro1</definedName>
    <definedName name="ㅠㄷㅁ">#N/A</definedName>
    <definedName name="ㅠㅅ귷">#N/A</definedName>
    <definedName name="ㅠㅇㅎㄹ" hidden="1">#REF!</definedName>
    <definedName name="ㅠㅈ죶" localSheetId="2">BlankMacro1</definedName>
    <definedName name="ㅠㅈ죶">BlankMacro1</definedName>
    <definedName name="ㅠ츄ㅓ" localSheetId="2">BlankMacro1</definedName>
    <definedName name="ㅠ츄ㅓ">BlankMacro1</definedName>
    <definedName name="ㅠㅑㅜ" hidden="1">#REF!</definedName>
    <definedName name="ㅠㅛㄱ" localSheetId="2">BlankMacro1</definedName>
    <definedName name="ㅠㅛㄱ">BlankMacro1</definedName>
    <definedName name="ㅠㅜㅛ" localSheetId="2" hidden="1">{#N/A,#N/A,FALSE,"Sheet6"}</definedName>
    <definedName name="ㅠㅜㅛ" hidden="1">{#N/A,#N/A,FALSE,"Sheet6"}</definedName>
    <definedName name="ㅠㅠ">#REF!</definedName>
    <definedName name="ㅠㅠㅠ" localSheetId="2" hidden="1">{#N/A,#N/A,FALSE,"지침";#N/A,#N/A,FALSE,"환경분석";#N/A,#N/A,FALSE,"Sheet16"}</definedName>
    <definedName name="ㅠㅠㅠ" hidden="1">{#N/A,#N/A,FALSE,"지침";#N/A,#N/A,FALSE,"환경분석";#N/A,#N/A,FALSE,"Sheet16"}</definedName>
    <definedName name="ㅠㅠㅠㅠㅠㅠ">#N/A</definedName>
    <definedName name="ㅡ" localSheetId="6" hidden="1">{#N/A,#N/A,FALSE,"Aging Summary";#N/A,#N/A,FALSE,"Ratio Analysis";#N/A,#N/A,FALSE,"Test 120 Day Accts";#N/A,#N/A,FALSE,"Tickmarks"}</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6" hidden="1">{#N/A,#N/A,FALSE,"속도"}</definedName>
    <definedName name="ㅡ퍼갸" localSheetId="2" hidden="1">{#N/A,#N/A,FALSE,"속도"}</definedName>
    <definedName name="ㅡ퍼갸" hidden="1">{#N/A,#N/A,FALSE,"속도"}</definedName>
    <definedName name="ㅡㅜㅡ" localSheetId="6" hidden="1">{#N/A,#N/A,FALSE,"LANOS표면현황";#N/A,#N/A,FALSE,"표면처리업체별";#N/A,#N/A,FALSE,"사양별";#N/A,#N/A,FALSE,"제작업체별";#N/A,#N/A,FALSE,"장착부위";#N/A,#N/A,FALSE,"업체주소";#N/A,#N/A,FALSE,"불량현황"}</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localSheetId="2" hidden="1">{#N/A,#N/A,FALSE,"지침";#N/A,#N/A,FALSE,"환경분석";#N/A,#N/A,FALSE,"Sheet16"}</definedName>
    <definedName name="ㅡㅡㅡ" hidden="1">{#N/A,#N/A,FALSE,"지침";#N/A,#N/A,FALSE,"환경분석";#N/A,#N/A,FALSE,"Sheet16"}</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6" hidden="1">{#N/A,#N/A,FALSE,"LANOS표면현황";#N/A,#N/A,FALSE,"표면처리업체별";#N/A,#N/A,FALSE,"사양별";#N/A,#N/A,FALSE,"제작업체별";#N/A,#N/A,FALSE,"장착부위";#N/A,#N/A,FALSE,"업체주소";#N/A,#N/A,FALSE,"불량현황"}</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 localSheetId="2">BlankMacro1</definedName>
    <definedName name="ㅣ잉">BlankMacro1</definedName>
    <definedName name="ㅣ칭" localSheetId="2">BlankMacro1</definedName>
    <definedName name="ㅣ칭">BlankMacro1</definedName>
    <definedName name="ㅣ호ㅗ" localSheetId="2">BlankMacro1</definedName>
    <definedName name="ㅣ호ㅗ">BlankMacro1</definedName>
    <definedName name="ㅣㅏ" localSheetId="6" hidden="1">{#N/A,#N/A,FALSE,"단축1";#N/A,#N/A,FALSE,"단축2";#N/A,#N/A,FALSE,"단축3";#N/A,#N/A,FALSE,"장축";#N/A,#N/A,FALSE,"4WD"}</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6" hidden="1">{#N/A,#N/A,FALSE,"97년 투자계획 세부내역 "}</definedName>
    <definedName name="ㅣㅏㅏ" localSheetId="2" hidden="1">{#N/A,#N/A,FALSE,"97년 투자계획 세부내역 "}</definedName>
    <definedName name="ㅣㅏㅏ" hidden="1">{#N/A,#N/A,FALSE,"97년 투자계획 세부내역 "}</definedName>
    <definedName name="ㅣㅏㅐㄷ" localSheetId="2">BlankMacro1</definedName>
    <definedName name="ㅣㅏㅐㄷ">BlankMacro1</definedName>
    <definedName name="ㅣㅗ" localSheetId="2">BlankMacro1</definedName>
    <definedName name="ㅣㅗ">BlankMacro1</definedName>
    <definedName name="ㅣㅣ" localSheetId="6" hidden="1">{#N/A,#N/A,FALSE,"을지 (4)";#N/A,#N/A,FALSE,"을지 (5)";#N/A,#N/A,FALSE,"을지 (6)"}</definedName>
    <definedName name="ㅣㅣ" localSheetId="2" hidden="1">{#N/A,#N/A,FALSE,"을지 (4)";#N/A,#N/A,FALSE,"을지 (5)";#N/A,#N/A,FALSE,"을지 (6)"}</definedName>
    <definedName name="ㅣㅣ" hidden="1">{#N/A,#N/A,FALSE,"을지 (4)";#N/A,#N/A,FALSE,"을지 (5)";#N/A,#N/A,FALSE,"을지 (6)"}</definedName>
    <definedName name="ㅣㅣㅣ" localSheetId="6" hidden="1">{#N/A,#N/A,FALSE,"삼진정공";#N/A,#N/A,FALSE,"영신금속";#N/A,#N/A,FALSE,"태양금속";#N/A,#N/A,FALSE,"진합정공";#N/A,#N/A,FALSE,"코리아";#N/A,#N/A,FALSE,"풍강금속";#N/A,#N/A,FALSE,"선일기계"}</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6" hidden="1">{"'변동비고정비분류(5단계)'!$A$1:$O$48"}</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localSheetId="2" hidden="1">{#N/A,#N/A,FALSE,"Sheet1"}</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5" i="25" l="1"/>
  <c r="G179" i="25"/>
  <c r="Q178" i="25"/>
  <c r="P178" i="25"/>
  <c r="O178" i="25"/>
  <c r="N178" i="25"/>
  <c r="M178" i="25"/>
  <c r="L178" i="25"/>
  <c r="K178" i="25"/>
  <c r="J178" i="25"/>
  <c r="I178" i="25"/>
  <c r="H178" i="25"/>
  <c r="G178" i="25"/>
  <c r="F178" i="25"/>
  <c r="E178" i="25"/>
  <c r="D178" i="25"/>
  <c r="Q185" i="25"/>
  <c r="Q184" i="25" s="1"/>
  <c r="P185" i="25"/>
  <c r="P184" i="25" s="1"/>
  <c r="O185" i="25"/>
  <c r="O184" i="25" s="1"/>
  <c r="N185" i="25"/>
  <c r="M185" i="25"/>
  <c r="L185" i="25"/>
  <c r="K185" i="25"/>
  <c r="J185" i="25"/>
  <c r="I185" i="25"/>
  <c r="H185" i="25"/>
  <c r="F185" i="25"/>
  <c r="E185" i="25"/>
  <c r="D185" i="25"/>
  <c r="D184" i="25" s="1"/>
  <c r="N184" i="25"/>
  <c r="M184" i="25"/>
  <c r="L184" i="25"/>
  <c r="K184" i="25"/>
  <c r="J184" i="25"/>
  <c r="H184" i="25"/>
  <c r="G184" i="25"/>
  <c r="F184" i="25"/>
  <c r="E184" i="25"/>
  <c r="Q181" i="25"/>
  <c r="P181" i="25"/>
  <c r="O181" i="25"/>
  <c r="N181" i="25"/>
  <c r="M181" i="25"/>
  <c r="L181" i="25"/>
  <c r="K181" i="25"/>
  <c r="J181" i="25"/>
  <c r="I181" i="25"/>
  <c r="H181" i="25"/>
  <c r="G181" i="25"/>
  <c r="F181" i="25"/>
  <c r="E181" i="25"/>
  <c r="D181" i="25"/>
  <c r="K310" i="14"/>
  <c r="K308" i="14"/>
  <c r="K313" i="14"/>
  <c r="G30" i="25"/>
  <c r="D15" i="25" l="1"/>
  <c r="D8" i="25" s="1"/>
  <c r="D12" i="25"/>
  <c r="D9" i="25"/>
  <c r="R304" i="14" l="1"/>
  <c r="H16" i="25" l="1"/>
  <c r="L315" i="14"/>
  <c r="H19" i="25"/>
  <c r="H18" i="25"/>
  <c r="H17" i="25"/>
  <c r="H13" i="25"/>
  <c r="H14" i="25"/>
  <c r="H10" i="25"/>
  <c r="H11" i="25"/>
  <c r="G19" i="25"/>
  <c r="G18" i="25"/>
  <c r="G16" i="25"/>
  <c r="G17" i="25"/>
  <c r="G13" i="25"/>
  <c r="G14" i="25"/>
  <c r="G10" i="25"/>
  <c r="G11" i="25"/>
  <c r="F19" i="25"/>
  <c r="F18" i="25"/>
  <c r="F16" i="25"/>
  <c r="F17" i="25"/>
  <c r="F13" i="25"/>
  <c r="F14" i="25"/>
  <c r="F10" i="25"/>
  <c r="F11" i="25"/>
  <c r="AB19" i="25"/>
  <c r="AB18" i="25"/>
  <c r="AB16" i="25"/>
  <c r="AB17" i="25"/>
  <c r="AB13" i="25"/>
  <c r="AB14" i="25"/>
  <c r="AB10" i="25"/>
  <c r="AB11" i="25"/>
  <c r="AA19" i="25"/>
  <c r="E19" i="25" s="1"/>
  <c r="AA18" i="25"/>
  <c r="E18" i="25" s="1"/>
  <c r="AA16" i="25"/>
  <c r="E16" i="25" s="1"/>
  <c r="AA17" i="25"/>
  <c r="E17" i="25" s="1"/>
  <c r="AA13" i="25"/>
  <c r="E13" i="25" s="1"/>
  <c r="AA14" i="25"/>
  <c r="E14" i="25" s="1"/>
  <c r="AA10" i="25"/>
  <c r="E10" i="25" s="1"/>
  <c r="AA11" i="25"/>
  <c r="E11" i="25" s="1"/>
  <c r="Z19" i="25"/>
  <c r="Z18" i="25"/>
  <c r="Z16" i="25"/>
  <c r="Z17" i="25"/>
  <c r="Z13" i="25"/>
  <c r="Z14" i="25"/>
  <c r="Z10" i="25"/>
  <c r="Z11" i="25"/>
  <c r="D8" i="14"/>
  <c r="D9" i="14"/>
  <c r="D10" i="14"/>
  <c r="D11" i="14" s="1"/>
  <c r="D12" i="14" s="1"/>
  <c r="D13" i="14" s="1"/>
  <c r="D14" i="14" s="1"/>
  <c r="D15" i="14" s="1"/>
  <c r="D16" i="14" s="1"/>
  <c r="D19" i="14"/>
  <c r="D20" i="14"/>
  <c r="D21" i="14" s="1"/>
  <c r="D22" i="14" s="1"/>
  <c r="D23" i="14" s="1"/>
  <c r="D24" i="14" s="1"/>
  <c r="D25" i="14" s="1"/>
  <c r="D26" i="14" s="1"/>
  <c r="D27" i="14" s="1"/>
  <c r="D30" i="14"/>
  <c r="D31" i="14" s="1"/>
  <c r="D32" i="14" s="1"/>
  <c r="D33" i="14" s="1"/>
  <c r="D34" i="14" s="1"/>
  <c r="D35" i="14" s="1"/>
  <c r="D36" i="14" s="1"/>
  <c r="D37" i="14" s="1"/>
  <c r="D38" i="14" s="1"/>
  <c r="D42" i="14"/>
  <c r="D43" i="14" s="1"/>
  <c r="D44" i="14" s="1"/>
  <c r="D45" i="14" s="1"/>
  <c r="D46" i="14" s="1"/>
  <c r="D47" i="14" s="1"/>
  <c r="D48" i="14" s="1"/>
  <c r="D49" i="14" s="1"/>
  <c r="D50" i="14" s="1"/>
  <c r="D53" i="14"/>
  <c r="D54" i="14" s="1"/>
  <c r="D55" i="14" s="1"/>
  <c r="D56" i="14" s="1"/>
  <c r="D57" i="14" s="1"/>
  <c r="D58" i="14" s="1"/>
  <c r="D59" i="14" s="1"/>
  <c r="D60" i="14" s="1"/>
  <c r="D61" i="14" s="1"/>
  <c r="D64" i="14"/>
  <c r="D65" i="14" s="1"/>
  <c r="D66" i="14" s="1"/>
  <c r="D67" i="14" s="1"/>
  <c r="D68" i="14" s="1"/>
  <c r="D69" i="14" s="1"/>
  <c r="D70" i="14" s="1"/>
  <c r="D71" i="14" s="1"/>
  <c r="D72" i="14" s="1"/>
  <c r="D77" i="14"/>
  <c r="D78" i="14" s="1"/>
  <c r="D79" i="14" s="1"/>
  <c r="D80" i="14" s="1"/>
  <c r="D81" i="14" s="1"/>
  <c r="D82" i="14" s="1"/>
  <c r="D83" i="14" s="1"/>
  <c r="D84" i="14" s="1"/>
  <c r="D85" i="14" s="1"/>
  <c r="D89" i="14"/>
  <c r="D90" i="14"/>
  <c r="D91" i="14" s="1"/>
  <c r="D92" i="14" s="1"/>
  <c r="D93" i="14" s="1"/>
  <c r="D94" i="14" s="1"/>
  <c r="D95" i="14" s="1"/>
  <c r="D96" i="14" s="1"/>
  <c r="D97" i="14" s="1"/>
  <c r="D101" i="14"/>
  <c r="D102" i="14"/>
  <c r="D103" i="14" s="1"/>
  <c r="D104" i="14" s="1"/>
  <c r="D105" i="14" s="1"/>
  <c r="D106" i="14" s="1"/>
  <c r="D107" i="14" s="1"/>
  <c r="D108" i="14" s="1"/>
  <c r="D109" i="14" s="1"/>
  <c r="D113" i="14"/>
  <c r="D114" i="14" s="1"/>
  <c r="D115" i="14" s="1"/>
  <c r="D116" i="14" s="1"/>
  <c r="D117" i="14" s="1"/>
  <c r="D118" i="14" s="1"/>
  <c r="D119" i="14" s="1"/>
  <c r="D120" i="14" s="1"/>
  <c r="D121" i="14" s="1"/>
  <c r="D124" i="14"/>
  <c r="D125" i="14"/>
  <c r="D126" i="14" s="1"/>
  <c r="D127" i="14" s="1"/>
  <c r="D128" i="14" s="1"/>
  <c r="D129" i="14" s="1"/>
  <c r="D130" i="14" s="1"/>
  <c r="D131" i="14" s="1"/>
  <c r="D132" i="14" s="1"/>
  <c r="D135" i="14"/>
  <c r="D136" i="14" s="1"/>
  <c r="D137" i="14" s="1"/>
  <c r="D138" i="14" s="1"/>
  <c r="D139" i="14" s="1"/>
  <c r="D140" i="14" s="1"/>
  <c r="D141" i="14" s="1"/>
  <c r="D142" i="14" s="1"/>
  <c r="D143" i="14" s="1"/>
  <c r="D375" i="14"/>
  <c r="D376" i="14" s="1"/>
  <c r="D377" i="14" s="1"/>
  <c r="D378" i="14" s="1"/>
  <c r="D379" i="14" s="1"/>
  <c r="D380" i="14" s="1"/>
  <c r="D381" i="14" s="1"/>
  <c r="D382" i="14" s="1"/>
  <c r="D383" i="14" s="1"/>
  <c r="D364" i="14"/>
  <c r="D365" i="14" s="1"/>
  <c r="D366" i="14" s="1"/>
  <c r="D367" i="14" s="1"/>
  <c r="D368" i="14" s="1"/>
  <c r="D369" i="14" s="1"/>
  <c r="D370" i="14" s="1"/>
  <c r="D371" i="14" s="1"/>
  <c r="D372" i="14" s="1"/>
  <c r="D353" i="14"/>
  <c r="D354" i="14" s="1"/>
  <c r="D355" i="14" s="1"/>
  <c r="D356" i="14" s="1"/>
  <c r="D357" i="14" s="1"/>
  <c r="D358" i="14" s="1"/>
  <c r="D359" i="14" s="1"/>
  <c r="D360" i="14" s="1"/>
  <c r="D361" i="14" s="1"/>
  <c r="D341" i="14"/>
  <c r="D342" i="14" s="1"/>
  <c r="D343" i="14" s="1"/>
  <c r="D344" i="14" s="1"/>
  <c r="D345" i="14" s="1"/>
  <c r="D346" i="14" s="1"/>
  <c r="D347" i="14" s="1"/>
  <c r="D348" i="14" s="1"/>
  <c r="D349" i="14" s="1"/>
  <c r="D330" i="14"/>
  <c r="D331" i="14" s="1"/>
  <c r="D332" i="14" s="1"/>
  <c r="D333" i="14" s="1"/>
  <c r="D334" i="14" s="1"/>
  <c r="D335" i="14" s="1"/>
  <c r="D336" i="14" s="1"/>
  <c r="D337" i="14" s="1"/>
  <c r="D338" i="14" s="1"/>
  <c r="D319" i="14"/>
  <c r="D320" i="14" s="1"/>
  <c r="D321" i="14" s="1"/>
  <c r="D322" i="14" s="1"/>
  <c r="D323" i="14" s="1"/>
  <c r="D324" i="14" s="1"/>
  <c r="D325" i="14" s="1"/>
  <c r="D326" i="14" s="1"/>
  <c r="D327" i="14" s="1"/>
  <c r="D307" i="14"/>
  <c r="D308" i="14" s="1"/>
  <c r="D309" i="14" s="1"/>
  <c r="D310" i="14" s="1"/>
  <c r="D311" i="14" s="1"/>
  <c r="D312" i="14" s="1"/>
  <c r="D313" i="14" s="1"/>
  <c r="D314" i="14" s="1"/>
  <c r="D315" i="14" s="1"/>
  <c r="D296" i="14"/>
  <c r="D297" i="14" s="1"/>
  <c r="D298" i="14" s="1"/>
  <c r="D299" i="14" s="1"/>
  <c r="D300" i="14" s="1"/>
  <c r="D301" i="14" s="1"/>
  <c r="D302" i="14" s="1"/>
  <c r="D303" i="14" s="1"/>
  <c r="D304" i="14" s="1"/>
  <c r="D285" i="14"/>
  <c r="D387" i="14"/>
  <c r="D388" i="14" s="1"/>
  <c r="D389" i="14" s="1"/>
  <c r="D390" i="14" s="1"/>
  <c r="D391" i="14" s="1"/>
  <c r="D392" i="14" s="1"/>
  <c r="D393" i="14" s="1"/>
  <c r="D394" i="14" s="1"/>
  <c r="D395" i="14" s="1"/>
  <c r="D398" i="14"/>
  <c r="D399" i="14" s="1"/>
  <c r="D400" i="14" s="1"/>
  <c r="D401" i="14" s="1"/>
  <c r="D402" i="14" s="1"/>
  <c r="D403" i="14" s="1"/>
  <c r="D404" i="14" s="1"/>
  <c r="D405" i="14" s="1"/>
  <c r="D406" i="14" s="1"/>
  <c r="D409" i="14"/>
  <c r="D410" i="14" s="1"/>
  <c r="D411" i="14" s="1"/>
  <c r="D412" i="14" s="1"/>
  <c r="D413" i="14" s="1"/>
  <c r="D414" i="14" s="1"/>
  <c r="D415" i="14" s="1"/>
  <c r="D416" i="14" s="1"/>
  <c r="D417"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J11" i="25" l="1"/>
  <c r="N11" i="25"/>
  <c r="R11" i="25"/>
  <c r="S11" i="25"/>
  <c r="T11" i="25"/>
  <c r="O11" i="25"/>
  <c r="D286" i="14"/>
  <c r="P11" i="25"/>
  <c r="L11" i="25"/>
  <c r="K11" i="25"/>
  <c r="L165" i="25" s="1"/>
  <c r="AB15" i="25"/>
  <c r="AA15" i="25"/>
  <c r="E15" i="25" s="1"/>
  <c r="Z15" i="25"/>
  <c r="AB12" i="25"/>
  <c r="AA12" i="25"/>
  <c r="E12" i="25" s="1"/>
  <c r="Z12" i="25"/>
  <c r="AB9" i="25"/>
  <c r="Z9" i="25"/>
  <c r="AA9" i="25"/>
  <c r="E9" i="25" s="1"/>
  <c r="R10" i="25"/>
  <c r="N13" i="25"/>
  <c r="R14" i="25"/>
  <c r="J10" i="25"/>
  <c r="N10" i="25"/>
  <c r="R13" i="25"/>
  <c r="J14" i="25"/>
  <c r="N14" i="25"/>
  <c r="J13" i="25"/>
  <c r="K167" i="25" s="1"/>
  <c r="D164" i="14"/>
  <c r="N17" i="25" s="1"/>
  <c r="M418" i="14"/>
  <c r="J418" i="14"/>
  <c r="I418" i="14"/>
  <c r="N417" i="14"/>
  <c r="L417" i="14"/>
  <c r="N416" i="14"/>
  <c r="N415" i="14"/>
  <c r="L415" i="14"/>
  <c r="N414" i="14"/>
  <c r="L414" i="14"/>
  <c r="N413" i="14"/>
  <c r="L413" i="14"/>
  <c r="N412" i="14"/>
  <c r="L412" i="14"/>
  <c r="N411" i="14"/>
  <c r="L411" i="14"/>
  <c r="K418" i="14"/>
  <c r="N409" i="14"/>
  <c r="N408" i="14"/>
  <c r="L408" i="14"/>
  <c r="M407" i="14"/>
  <c r="K407" i="14"/>
  <c r="J407" i="14"/>
  <c r="I407" i="14"/>
  <c r="N406" i="14"/>
  <c r="L406" i="14"/>
  <c r="N405" i="14"/>
  <c r="N404" i="14"/>
  <c r="L404" i="14"/>
  <c r="N403" i="14"/>
  <c r="L403" i="14"/>
  <c r="N402" i="14"/>
  <c r="L402" i="14"/>
  <c r="N401" i="14"/>
  <c r="L401" i="14"/>
  <c r="N400" i="14"/>
  <c r="L400" i="14"/>
  <c r="N399" i="14"/>
  <c r="N398" i="14"/>
  <c r="N397" i="14"/>
  <c r="L397" i="14"/>
  <c r="M396" i="14"/>
  <c r="K396" i="14"/>
  <c r="J396" i="14"/>
  <c r="I396" i="14"/>
  <c r="N395" i="14"/>
  <c r="L395" i="14"/>
  <c r="N394" i="14"/>
  <c r="N393" i="14"/>
  <c r="L393" i="14"/>
  <c r="N392" i="14"/>
  <c r="L392" i="14"/>
  <c r="N391" i="14"/>
  <c r="L391" i="14"/>
  <c r="N390" i="14"/>
  <c r="L390" i="14"/>
  <c r="N389" i="14"/>
  <c r="L389" i="14"/>
  <c r="N388" i="14"/>
  <c r="N387" i="14"/>
  <c r="N386" i="14"/>
  <c r="L386" i="14"/>
  <c r="M384" i="14"/>
  <c r="K384" i="14"/>
  <c r="J384" i="14"/>
  <c r="I384" i="14"/>
  <c r="N383" i="14"/>
  <c r="L383" i="14"/>
  <c r="N382" i="14"/>
  <c r="N381" i="14"/>
  <c r="L381" i="14"/>
  <c r="N380" i="14"/>
  <c r="L380" i="14"/>
  <c r="N379" i="14"/>
  <c r="L379" i="14"/>
  <c r="N378" i="14"/>
  <c r="L378" i="14"/>
  <c r="N377" i="14"/>
  <c r="L377" i="14"/>
  <c r="N376" i="14"/>
  <c r="N375" i="14"/>
  <c r="N374" i="14"/>
  <c r="L374" i="14"/>
  <c r="M373" i="14"/>
  <c r="K373" i="14"/>
  <c r="J373" i="14"/>
  <c r="I373" i="14"/>
  <c r="N372" i="14"/>
  <c r="L372" i="14"/>
  <c r="N371" i="14"/>
  <c r="N370" i="14"/>
  <c r="L370" i="14"/>
  <c r="N369" i="14"/>
  <c r="L369" i="14"/>
  <c r="N368" i="14"/>
  <c r="L368" i="14"/>
  <c r="N367" i="14"/>
  <c r="L367" i="14"/>
  <c r="N366" i="14"/>
  <c r="L366" i="14"/>
  <c r="N365" i="14"/>
  <c r="N364" i="14"/>
  <c r="N363" i="14"/>
  <c r="L363" i="14"/>
  <c r="M362" i="14"/>
  <c r="K362" i="14"/>
  <c r="J362" i="14"/>
  <c r="I362" i="14"/>
  <c r="N361" i="14"/>
  <c r="L361" i="14"/>
  <c r="N360" i="14"/>
  <c r="N359" i="14"/>
  <c r="L359" i="14"/>
  <c r="N358" i="14"/>
  <c r="L358" i="14"/>
  <c r="N357" i="14"/>
  <c r="L357" i="14"/>
  <c r="N356" i="14"/>
  <c r="L356" i="14"/>
  <c r="N355" i="14"/>
  <c r="L355" i="14"/>
  <c r="N354" i="14"/>
  <c r="N353" i="14"/>
  <c r="N352" i="14"/>
  <c r="L352" i="14"/>
  <c r="M350" i="14"/>
  <c r="K350" i="14"/>
  <c r="J350" i="14"/>
  <c r="I350" i="14"/>
  <c r="N349" i="14"/>
  <c r="L349" i="14"/>
  <c r="N348" i="14"/>
  <c r="N347" i="14"/>
  <c r="L347" i="14"/>
  <c r="N346" i="14"/>
  <c r="L346" i="14"/>
  <c r="N345" i="14"/>
  <c r="L345" i="14"/>
  <c r="N344" i="14"/>
  <c r="L344" i="14"/>
  <c r="N343" i="14"/>
  <c r="L343" i="14"/>
  <c r="N342" i="14"/>
  <c r="N341" i="14"/>
  <c r="N340" i="14"/>
  <c r="L340" i="14"/>
  <c r="M339" i="14"/>
  <c r="K339" i="14"/>
  <c r="J339" i="14"/>
  <c r="I339" i="14"/>
  <c r="N338" i="14"/>
  <c r="L338" i="14"/>
  <c r="N337" i="14"/>
  <c r="N336" i="14"/>
  <c r="L336" i="14"/>
  <c r="N335" i="14"/>
  <c r="L335" i="14"/>
  <c r="N334" i="14"/>
  <c r="L334" i="14"/>
  <c r="N333" i="14"/>
  <c r="L333" i="14"/>
  <c r="N332" i="14"/>
  <c r="L332" i="14"/>
  <c r="N331" i="14"/>
  <c r="N330" i="14"/>
  <c r="N329" i="14"/>
  <c r="L329" i="14"/>
  <c r="M328" i="14"/>
  <c r="K328" i="14"/>
  <c r="J328" i="14"/>
  <c r="I328" i="14"/>
  <c r="N327" i="14"/>
  <c r="L327" i="14"/>
  <c r="N326" i="14"/>
  <c r="N325" i="14"/>
  <c r="L325" i="14"/>
  <c r="N324" i="14"/>
  <c r="L324" i="14"/>
  <c r="N323" i="14"/>
  <c r="L323" i="14"/>
  <c r="N322" i="14"/>
  <c r="L322" i="14"/>
  <c r="N321" i="14"/>
  <c r="L321" i="14"/>
  <c r="N320" i="14"/>
  <c r="N319" i="14"/>
  <c r="N318" i="14"/>
  <c r="L318" i="14"/>
  <c r="M316" i="14"/>
  <c r="K316" i="14"/>
  <c r="I316" i="14"/>
  <c r="N315" i="14"/>
  <c r="N314" i="14"/>
  <c r="N313" i="14"/>
  <c r="L313" i="14"/>
  <c r="N312" i="14"/>
  <c r="L312" i="14"/>
  <c r="N311" i="14"/>
  <c r="L311" i="14"/>
  <c r="N310" i="14"/>
  <c r="L310" i="14"/>
  <c r="N309" i="14"/>
  <c r="L309" i="14"/>
  <c r="N308" i="14"/>
  <c r="N307" i="14"/>
  <c r="N306" i="14"/>
  <c r="J316" i="14"/>
  <c r="M305" i="14"/>
  <c r="K305" i="14"/>
  <c r="J305" i="14"/>
  <c r="I305" i="14"/>
  <c r="N304" i="14"/>
  <c r="L304" i="14"/>
  <c r="N303" i="14"/>
  <c r="N302" i="14"/>
  <c r="L302" i="14"/>
  <c r="N301" i="14"/>
  <c r="L301" i="14"/>
  <c r="N300" i="14"/>
  <c r="L300" i="14"/>
  <c r="N299" i="14"/>
  <c r="L299" i="14"/>
  <c r="N298" i="14"/>
  <c r="L298" i="14"/>
  <c r="N297" i="14"/>
  <c r="N296" i="14"/>
  <c r="N295" i="14"/>
  <c r="L295" i="14"/>
  <c r="M294" i="14"/>
  <c r="K294" i="14"/>
  <c r="I294" i="14"/>
  <c r="N293" i="14"/>
  <c r="L293" i="14"/>
  <c r="N292" i="14"/>
  <c r="N291" i="14"/>
  <c r="L291" i="14"/>
  <c r="N290" i="14"/>
  <c r="L290" i="14"/>
  <c r="N289" i="14"/>
  <c r="L289" i="14"/>
  <c r="N288" i="14"/>
  <c r="L288" i="14"/>
  <c r="N287" i="14"/>
  <c r="L287" i="14"/>
  <c r="N286" i="14"/>
  <c r="J294" i="14"/>
  <c r="N285" i="14"/>
  <c r="N284" i="14"/>
  <c r="L284" i="14"/>
  <c r="K164" i="25" l="1"/>
  <c r="K165" i="25"/>
  <c r="K168" i="25"/>
  <c r="N165" i="25"/>
  <c r="L373" i="14"/>
  <c r="D287" i="14"/>
  <c r="T10" i="25"/>
  <c r="T9" i="25" s="1"/>
  <c r="K10" i="25"/>
  <c r="P10" i="25"/>
  <c r="L10" i="25"/>
  <c r="L9" i="25" s="1"/>
  <c r="O10" i="25"/>
  <c r="O9" i="25" s="1"/>
  <c r="S10" i="25"/>
  <c r="S9" i="25" s="1"/>
  <c r="L305" i="14"/>
  <c r="N12" i="25"/>
  <c r="J12" i="25"/>
  <c r="R9" i="25"/>
  <c r="R12" i="25"/>
  <c r="N9" i="25"/>
  <c r="J9" i="25"/>
  <c r="J17" i="25"/>
  <c r="K171" i="25" s="1"/>
  <c r="R17" i="25"/>
  <c r="Z8" i="25"/>
  <c r="M385" i="14"/>
  <c r="M419" i="14"/>
  <c r="L339" i="14"/>
  <c r="L350" i="14"/>
  <c r="D165" i="14"/>
  <c r="I351" i="14"/>
  <c r="N396" i="14"/>
  <c r="N350" i="14"/>
  <c r="N339" i="14"/>
  <c r="K351" i="14"/>
  <c r="L418" i="14"/>
  <c r="J419" i="14"/>
  <c r="L407" i="14"/>
  <c r="L384" i="14"/>
  <c r="J351" i="14"/>
  <c r="N407" i="14"/>
  <c r="I419" i="14"/>
  <c r="K419" i="14"/>
  <c r="L396" i="14"/>
  <c r="N384" i="14"/>
  <c r="N373" i="14"/>
  <c r="I385" i="14"/>
  <c r="J385" i="14"/>
  <c r="K385" i="14"/>
  <c r="N362" i="14"/>
  <c r="M351" i="14"/>
  <c r="N328" i="14"/>
  <c r="N316" i="14"/>
  <c r="N305" i="14"/>
  <c r="M317" i="14"/>
  <c r="N294" i="14"/>
  <c r="K317" i="14"/>
  <c r="J317" i="14"/>
  <c r="L316" i="14"/>
  <c r="L294" i="14"/>
  <c r="I317" i="14"/>
  <c r="L328" i="14"/>
  <c r="N410" i="14"/>
  <c r="N418" i="14" s="1"/>
  <c r="L306" i="14"/>
  <c r="L362" i="14"/>
  <c r="K9" i="25" l="1"/>
  <c r="L164" i="25"/>
  <c r="P9" i="25"/>
  <c r="N164" i="25"/>
  <c r="P14" i="25"/>
  <c r="O14" i="25"/>
  <c r="L14" i="25"/>
  <c r="S14" i="25"/>
  <c r="K14" i="25"/>
  <c r="L168" i="25" s="1"/>
  <c r="T14" i="25"/>
  <c r="D288" i="14"/>
  <c r="N385" i="14"/>
  <c r="L351" i="14"/>
  <c r="J16" i="25"/>
  <c r="K170" i="25" s="1"/>
  <c r="N16" i="25"/>
  <c r="R16" i="25"/>
  <c r="L419" i="14"/>
  <c r="D166" i="14"/>
  <c r="M420" i="14"/>
  <c r="N419" i="14"/>
  <c r="N351" i="14"/>
  <c r="N317" i="14"/>
  <c r="K420" i="14"/>
  <c r="J420" i="14"/>
  <c r="L385" i="14"/>
  <c r="I420" i="14"/>
  <c r="L317" i="14"/>
  <c r="N274" i="14"/>
  <c r="N168" i="25" l="1"/>
  <c r="L13" i="25"/>
  <c r="T13" i="25"/>
  <c r="P13" i="25"/>
  <c r="S13" i="25"/>
  <c r="K13" i="25"/>
  <c r="L167" i="25" s="1"/>
  <c r="O13" i="25"/>
  <c r="O12" i="25" s="1"/>
  <c r="D289" i="14"/>
  <c r="J18" i="25"/>
  <c r="K172" i="25" s="1"/>
  <c r="R18" i="25"/>
  <c r="N18" i="25"/>
  <c r="D167" i="14"/>
  <c r="N420" i="14"/>
  <c r="L420" i="14"/>
  <c r="P12" i="25" l="1"/>
  <c r="N167" i="25"/>
  <c r="S12" i="25"/>
  <c r="T12" i="25"/>
  <c r="L12" i="25"/>
  <c r="K12" i="25"/>
  <c r="D290" i="14"/>
  <c r="N19" i="25"/>
  <c r="N15" i="25" s="1"/>
  <c r="J19" i="25"/>
  <c r="R19" i="25"/>
  <c r="R15" i="25" s="1"/>
  <c r="L267" i="14"/>
  <c r="J15" i="25" l="1"/>
  <c r="K173" i="25"/>
  <c r="I184" i="25"/>
  <c r="S17" i="25"/>
  <c r="L17" i="25"/>
  <c r="O17" i="25"/>
  <c r="P17" i="25"/>
  <c r="K17" i="25"/>
  <c r="L171" i="25" s="1"/>
  <c r="T17" i="25"/>
  <c r="D291" i="14"/>
  <c r="N171" i="25" l="1"/>
  <c r="K16" i="25"/>
  <c r="L170" i="25" s="1"/>
  <c r="S16" i="25"/>
  <c r="L16" i="25"/>
  <c r="T16" i="25"/>
  <c r="P16" i="25"/>
  <c r="O16" i="25"/>
  <c r="D292" i="14"/>
  <c r="Q245" i="14"/>
  <c r="R245" i="14" s="1"/>
  <c r="Q244" i="14"/>
  <c r="R244" i="14" s="1"/>
  <c r="Q243" i="14"/>
  <c r="R243" i="14" s="1"/>
  <c r="Q242" i="14"/>
  <c r="R242" i="14" s="1"/>
  <c r="Q241" i="14"/>
  <c r="R241" i="14" s="1"/>
  <c r="Q240" i="14"/>
  <c r="R240" i="14" s="1"/>
  <c r="Q239" i="14"/>
  <c r="R239" i="14" s="1"/>
  <c r="N170" i="25" l="1"/>
  <c r="S18" i="25"/>
  <c r="P18" i="25"/>
  <c r="L18" i="25"/>
  <c r="O18" i="25"/>
  <c r="T18" i="25"/>
  <c r="K18" i="25"/>
  <c r="L172" i="25" s="1"/>
  <c r="D293" i="14"/>
  <c r="G36" i="25" s="1"/>
  <c r="G31" i="25"/>
  <c r="E33" i="25"/>
  <c r="I33" i="25"/>
  <c r="I31" i="25"/>
  <c r="V201" i="14"/>
  <c r="V200" i="14"/>
  <c r="V199" i="14"/>
  <c r="V198" i="14"/>
  <c r="V197" i="14"/>
  <c r="V196" i="14"/>
  <c r="V195" i="14"/>
  <c r="V194" i="14"/>
  <c r="N172" i="25" l="1"/>
  <c r="E35" i="25"/>
  <c r="T19" i="25"/>
  <c r="T15" i="25" s="1"/>
  <c r="E34" i="25"/>
  <c r="L19" i="25"/>
  <c r="L15" i="25" s="1"/>
  <c r="S19" i="25"/>
  <c r="S15" i="25" s="1"/>
  <c r="K19" i="25"/>
  <c r="G28" i="25"/>
  <c r="P19" i="25"/>
  <c r="O19" i="25"/>
  <c r="O15" i="25" s="1"/>
  <c r="I35" i="25"/>
  <c r="E31" i="25"/>
  <c r="I30" i="25"/>
  <c r="I28" i="25"/>
  <c r="G34" i="25"/>
  <c r="G33" i="25"/>
  <c r="E30" i="25"/>
  <c r="I36" i="25"/>
  <c r="E28" i="25"/>
  <c r="E36" i="25"/>
  <c r="I34" i="25"/>
  <c r="G35" i="25"/>
  <c r="G50" i="25"/>
  <c r="G49" i="25"/>
  <c r="G48" i="25"/>
  <c r="G47" i="25"/>
  <c r="G46" i="25"/>
  <c r="G44" i="25"/>
  <c r="G43" i="25"/>
  <c r="G41" i="25"/>
  <c r="K236" i="14"/>
  <c r="K15" i="25" l="1"/>
  <c r="L173" i="25"/>
  <c r="P15" i="25"/>
  <c r="N173" i="25"/>
  <c r="I32" i="25"/>
  <c r="E32" i="25"/>
  <c r="G32" i="25"/>
  <c r="E29" i="25"/>
  <c r="I29" i="25"/>
  <c r="D188" i="25" l="1"/>
  <c r="D187" i="25"/>
  <c r="D186" i="25"/>
  <c r="D182" i="25"/>
  <c r="D183" i="25"/>
  <c r="D179" i="25"/>
  <c r="D180" i="25"/>
  <c r="K33" i="25"/>
  <c r="K36" i="25"/>
  <c r="K35" i="25"/>
  <c r="K34" i="25"/>
  <c r="K31" i="25"/>
  <c r="K30" i="25"/>
  <c r="I56" i="25" l="1"/>
  <c r="I57" i="25"/>
  <c r="I58" i="25"/>
  <c r="I59" i="25"/>
  <c r="I60" i="25"/>
  <c r="I61" i="25"/>
  <c r="I62" i="25"/>
  <c r="I63" i="25"/>
  <c r="I64" i="25"/>
  <c r="I65" i="25"/>
  <c r="I66" i="25"/>
  <c r="G29" i="25"/>
  <c r="L56" i="25" l="1"/>
  <c r="L57" i="25"/>
  <c r="L58" i="25"/>
  <c r="L59" i="25"/>
  <c r="L60" i="25"/>
  <c r="L61" i="25"/>
  <c r="L62" i="25"/>
  <c r="L63" i="25"/>
  <c r="L64" i="25"/>
  <c r="L65" i="25"/>
  <c r="L66" i="25"/>
  <c r="P195" i="14" l="1"/>
  <c r="G186" i="25" l="1"/>
  <c r="G187" i="25"/>
  <c r="G188" i="25"/>
  <c r="G183" i="25"/>
  <c r="G182" i="25"/>
  <c r="G180" i="25"/>
  <c r="E179" i="25"/>
  <c r="E180" i="25"/>
  <c r="G173" i="25"/>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E186" i="25"/>
  <c r="E187" i="25"/>
  <c r="E182" i="25"/>
  <c r="E188" i="25"/>
  <c r="E183"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D152" i="25"/>
  <c r="D155" i="25"/>
  <c r="D157" i="25"/>
  <c r="E150" i="25"/>
  <c r="D158" i="25"/>
  <c r="D150" i="25"/>
  <c r="U11" i="25"/>
  <c r="D156" i="25"/>
  <c r="E149" i="25"/>
  <c r="D149" i="25"/>
  <c r="E156" i="25"/>
  <c r="D153" i="25"/>
  <c r="E153" i="25"/>
  <c r="E152" i="25"/>
  <c r="E155" i="25"/>
  <c r="X19" i="25"/>
  <c r="G158" i="25"/>
  <c r="H158" i="25" s="1"/>
  <c r="W18" i="25"/>
  <c r="E157" i="25"/>
  <c r="W11" i="25"/>
  <c r="W14" i="25"/>
  <c r="W19" i="25"/>
  <c r="E158" i="25"/>
  <c r="X16" i="25"/>
  <c r="X14" i="25"/>
  <c r="X13" i="25"/>
  <c r="W17" i="25"/>
  <c r="X10" i="25"/>
  <c r="X11" i="25"/>
  <c r="U18" i="25"/>
  <c r="U19" i="25"/>
  <c r="U13" i="25"/>
  <c r="U14" i="25"/>
  <c r="W10" i="25"/>
  <c r="U10" i="25"/>
  <c r="X18" i="25"/>
  <c r="X17" i="25"/>
  <c r="W16" i="25"/>
  <c r="U17" i="25"/>
  <c r="W12" i="25" l="1"/>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N195" i="25" l="1"/>
  <c r="N199" i="25"/>
  <c r="N186" i="25"/>
  <c r="N156" i="25"/>
  <c r="O156" i="25" s="1"/>
  <c r="N155" i="25"/>
  <c r="O155" i="25" s="1"/>
  <c r="N158" i="25"/>
  <c r="O158" i="25" s="1"/>
  <c r="N188" i="25"/>
  <c r="N202" i="25"/>
  <c r="N203" i="25"/>
  <c r="O203" i="25" s="1"/>
  <c r="N157" i="25"/>
  <c r="O157" i="25" s="1"/>
  <c r="N187" i="25"/>
  <c r="N204" i="25"/>
  <c r="N153" i="25"/>
  <c r="O153" i="25" s="1"/>
  <c r="N183" i="25"/>
  <c r="N182" i="25"/>
  <c r="N152" i="25"/>
  <c r="O152" i="25" s="1"/>
  <c r="N179" i="25"/>
  <c r="N149" i="25"/>
  <c r="O149" i="25" s="1"/>
  <c r="N180" i="25"/>
  <c r="N150" i="25"/>
  <c r="O150" i="25" s="1"/>
  <c r="L188" i="25"/>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L202" i="14" l="1"/>
  <c r="O170" i="25"/>
  <c r="N169" i="25"/>
  <c r="N163" i="25"/>
  <c r="N166" i="25"/>
  <c r="O195" i="25"/>
  <c r="O202" i="25"/>
  <c r="N201" i="25"/>
  <c r="O199" i="25"/>
  <c r="O198" i="25" s="1"/>
  <c r="N198" i="25"/>
  <c r="AC19" i="25"/>
  <c r="O204" i="25"/>
  <c r="Q188" i="25"/>
  <c r="O188" i="25"/>
  <c r="O171" i="25"/>
  <c r="O173" i="25"/>
  <c r="O186" i="25"/>
  <c r="Q173" i="25"/>
  <c r="O172" i="25"/>
  <c r="O187" i="25"/>
  <c r="O167" i="25"/>
  <c r="O182" i="25"/>
  <c r="O168" i="25"/>
  <c r="O183" i="25"/>
  <c r="O164" i="25"/>
  <c r="O179" i="25"/>
  <c r="O165" i="25"/>
  <c r="O180"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AB8"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F56" i="50"/>
  <c r="F55" i="50"/>
  <c r="F54" i="50"/>
  <c r="F53" i="50"/>
  <c r="F52" i="50"/>
  <c r="F51" i="50"/>
  <c r="F50" i="50"/>
  <c r="F49" i="50"/>
  <c r="F48" i="50"/>
  <c r="U25" i="50"/>
  <c r="S25" i="50"/>
  <c r="X25" i="50" s="1"/>
  <c r="U24" i="50"/>
  <c r="S24" i="50"/>
  <c r="X24" i="50" s="1"/>
  <c r="U23" i="50"/>
  <c r="S23" i="50"/>
  <c r="X23" i="50" s="1"/>
  <c r="U22" i="50"/>
  <c r="S22" i="50"/>
  <c r="X22" i="50" s="1"/>
  <c r="U21" i="50"/>
  <c r="S21" i="50"/>
  <c r="X21" i="50" s="1"/>
  <c r="U20" i="50"/>
  <c r="S20" i="50"/>
  <c r="X20" i="50" s="1"/>
  <c r="U19" i="50"/>
  <c r="S19" i="50"/>
  <c r="X19" i="50" s="1"/>
  <c r="U18" i="50"/>
  <c r="S18" i="50"/>
  <c r="X18" i="50" s="1"/>
  <c r="U17" i="50"/>
  <c r="S17" i="50"/>
  <c r="X17" i="50" s="1"/>
  <c r="X16" i="50"/>
  <c r="U15" i="50"/>
  <c r="S15" i="50"/>
  <c r="X15" i="50" s="1"/>
  <c r="U14" i="50"/>
  <c r="S14" i="50"/>
  <c r="X14" i="50" s="1"/>
  <c r="U13" i="50"/>
  <c r="S13" i="50"/>
  <c r="X13" i="50" s="1"/>
  <c r="X12" i="50"/>
  <c r="U11" i="50"/>
  <c r="S11" i="50"/>
  <c r="X11" i="50" s="1"/>
  <c r="U10" i="50"/>
  <c r="S10" i="50"/>
  <c r="X10" i="50" s="1"/>
  <c r="U9" i="50"/>
  <c r="S9" i="50"/>
  <c r="X9" i="50" s="1"/>
  <c r="U8" i="50"/>
  <c r="S8" i="50"/>
  <c r="X8" i="50" s="1"/>
  <c r="U7" i="50"/>
  <c r="S7" i="50"/>
  <c r="X7" i="50" s="1"/>
  <c r="U6" i="50"/>
  <c r="S6" i="50"/>
  <c r="X6" i="50" s="1"/>
  <c r="U5" i="50"/>
  <c r="S5" i="50"/>
  <c r="X5" i="50" s="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V16" i="25"/>
  <c r="V18" i="25"/>
  <c r="V19" i="25"/>
  <c r="V13" i="25"/>
  <c r="V17" i="25"/>
  <c r="V10" i="25"/>
  <c r="V11" i="25"/>
  <c r="H180" i="25"/>
  <c r="H182" i="25"/>
  <c r="H179" i="25"/>
  <c r="H183" i="25"/>
  <c r="H188" i="25"/>
  <c r="H187" i="25"/>
  <c r="H186" i="25"/>
  <c r="G196" i="25"/>
  <c r="H196" i="25" s="1"/>
  <c r="H172" i="25"/>
  <c r="H168" i="25"/>
  <c r="H164" i="25"/>
  <c r="H163" i="25" s="1"/>
  <c r="H171" i="25"/>
  <c r="H167" i="25"/>
  <c r="G37" i="25"/>
  <c r="H166" i="25" l="1"/>
  <c r="H169" i="25"/>
  <c r="V15" i="25"/>
  <c r="V9" i="25"/>
  <c r="F9" i="25" s="1"/>
  <c r="V12" i="25"/>
  <c r="F12" i="25" s="1"/>
  <c r="K180" i="25"/>
  <c r="P180" i="25" s="1"/>
  <c r="K150" i="25"/>
  <c r="P165" i="25"/>
  <c r="K179" i="25"/>
  <c r="P179" i="25" s="1"/>
  <c r="K149" i="25"/>
  <c r="P171" i="25"/>
  <c r="K186" i="25"/>
  <c r="P186" i="25" s="1"/>
  <c r="K156" i="25"/>
  <c r="K152" i="25"/>
  <c r="K182" i="25"/>
  <c r="P182" i="25" s="1"/>
  <c r="P173" i="25"/>
  <c r="K158" i="25"/>
  <c r="K188" i="25"/>
  <c r="P188" i="25" s="1"/>
  <c r="K157" i="25"/>
  <c r="K187" i="25"/>
  <c r="P187" i="25" s="1"/>
  <c r="P172" i="25"/>
  <c r="P168" i="25"/>
  <c r="K153" i="25"/>
  <c r="K183" i="25"/>
  <c r="P183" i="25" s="1"/>
  <c r="K203" i="25"/>
  <c r="P203" i="25" s="1"/>
  <c r="K197" i="25"/>
  <c r="P197" i="25" s="1"/>
  <c r="K199" i="25"/>
  <c r="K205" i="25"/>
  <c r="P205" i="25" s="1"/>
  <c r="K204" i="25"/>
  <c r="P204" i="25" s="1"/>
  <c r="K200" i="25"/>
  <c r="P200" i="25" s="1"/>
  <c r="D196" i="25"/>
  <c r="K196" i="25"/>
  <c r="G42" i="25"/>
  <c r="K42" i="25" s="1"/>
  <c r="H12" i="25"/>
  <c r="N151" i="14"/>
  <c r="N150" i="14"/>
  <c r="P167" i="25" l="1"/>
  <c r="P166" i="25" s="1"/>
  <c r="K166" i="25"/>
  <c r="P164" i="25"/>
  <c r="P163" i="25" s="1"/>
  <c r="K163" i="25"/>
  <c r="P199" i="25"/>
  <c r="P198" i="25" s="1"/>
  <c r="K198" i="25"/>
  <c r="P196" i="25"/>
  <c r="P195" i="25" s="1"/>
  <c r="K195" i="25"/>
  <c r="I41" i="25"/>
  <c r="K41" i="25" s="1"/>
  <c r="H9" i="25"/>
  <c r="J175" i="14"/>
  <c r="AC17" i="25" s="1"/>
  <c r="J177" i="14"/>
  <c r="AC18" i="25" s="1"/>
  <c r="J176" i="14"/>
  <c r="J173" i="14"/>
  <c r="J172" i="14"/>
  <c r="J171" i="14"/>
  <c r="I51" i="25" l="1"/>
  <c r="L187" i="25"/>
  <c r="Q187" i="25" s="1"/>
  <c r="L157" i="25"/>
  <c r="Q172" i="25"/>
  <c r="L204" i="25"/>
  <c r="Q204" i="25" s="1"/>
  <c r="L186" i="25"/>
  <c r="Q186" i="25" s="1"/>
  <c r="Q171" i="25"/>
  <c r="L156" i="25"/>
  <c r="L203" i="25"/>
  <c r="Q203" i="25" s="1"/>
  <c r="P177" i="14"/>
  <c r="P171" i="14"/>
  <c r="P172" i="14"/>
  <c r="P173" i="14"/>
  <c r="P176" i="14"/>
  <c r="P175" i="14"/>
  <c r="J149" i="14"/>
  <c r="AC10" i="25" s="1"/>
  <c r="J150" i="14"/>
  <c r="J151" i="14"/>
  <c r="AC13" i="25" s="1"/>
  <c r="J154" i="14"/>
  <c r="AC16" i="25" s="1"/>
  <c r="AC14" i="25" l="1"/>
  <c r="AC12" i="25" s="1"/>
  <c r="L155" i="25"/>
  <c r="L202" i="25"/>
  <c r="L182" i="25"/>
  <c r="Q182" i="25" s="1"/>
  <c r="L152" i="25"/>
  <c r="L199" i="25"/>
  <c r="L183" i="25"/>
  <c r="Q183" i="25" s="1"/>
  <c r="L153" i="25"/>
  <c r="Q168" i="25"/>
  <c r="L200" i="25"/>
  <c r="Q200" i="25" s="1"/>
  <c r="L149" i="25"/>
  <c r="L179" i="25"/>
  <c r="Q179" i="25" s="1"/>
  <c r="L196" i="25"/>
  <c r="S150" i="14"/>
  <c r="S154" i="14"/>
  <c r="S151" i="14"/>
  <c r="S149" i="14"/>
  <c r="Y17" i="25"/>
  <c r="I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AC15" i="25"/>
  <c r="AC11" i="25"/>
  <c r="AC9" i="25" s="1"/>
  <c r="M180" i="14"/>
  <c r="M283" i="14" s="1"/>
  <c r="I180" i="14"/>
  <c r="I283" i="14" s="1"/>
  <c r="T168" i="14"/>
  <c r="Q165" i="25"/>
  <c r="L150" i="25"/>
  <c r="L180" i="25"/>
  <c r="Q180" i="25" s="1"/>
  <c r="L197" i="25"/>
  <c r="Q197" i="25" s="1"/>
  <c r="Y13" i="25"/>
  <c r="Y16" i="25"/>
  <c r="Y10" i="25"/>
  <c r="L174" i="14"/>
  <c r="P174" i="14"/>
  <c r="J179" i="14"/>
  <c r="L179" i="14" s="1"/>
  <c r="J168" i="14"/>
  <c r="N168" i="14"/>
  <c r="N179" i="14"/>
  <c r="L169" i="14"/>
  <c r="L169" i="25" l="1"/>
  <c r="Q169" i="25"/>
  <c r="L163" i="25"/>
  <c r="Q163" i="25"/>
  <c r="Q201" i="25"/>
  <c r="L201" i="25"/>
  <c r="L195" i="25"/>
  <c r="Q195" i="25"/>
  <c r="I16" i="25"/>
  <c r="I13" i="25"/>
  <c r="I10" i="25"/>
  <c r="AA8" i="25"/>
  <c r="L168" i="14"/>
  <c r="Y11" i="25"/>
  <c r="I11" i="25" s="1"/>
  <c r="Y14" i="25"/>
  <c r="I14" i="25" s="1"/>
  <c r="AC8" i="25" l="1"/>
  <c r="E8" i="25"/>
  <c r="Y12" i="25"/>
  <c r="I12" i="25" s="1"/>
  <c r="Y9" i="25"/>
  <c r="I9" i="25" s="1"/>
  <c r="G12" i="25"/>
  <c r="G9" i="25"/>
  <c r="F84" i="25"/>
  <c r="F85" i="25"/>
  <c r="F86" i="25"/>
  <c r="F87" i="25"/>
  <c r="F83" i="25"/>
  <c r="F81" i="25"/>
  <c r="F80" i="25"/>
  <c r="F78" i="25"/>
  <c r="Y102" i="48" l="1"/>
  <c r="X102" i="48"/>
  <c r="W102" i="48"/>
  <c r="V102" i="48"/>
  <c r="U102" i="48"/>
  <c r="T102" i="48"/>
  <c r="S102" i="48"/>
  <c r="R102" i="48"/>
  <c r="Q102" i="48"/>
  <c r="P102" i="48"/>
  <c r="O102" i="48"/>
  <c r="N102" i="48"/>
  <c r="BQ21" i="47"/>
  <c r="BQ19" i="47"/>
  <c r="BQ18" i="47"/>
  <c r="BQ17" i="47"/>
  <c r="BQ15" i="47"/>
  <c r="BQ14" i="47"/>
  <c r="BQ12" i="47"/>
  <c r="BQ10" i="47"/>
  <c r="O120" i="48"/>
  <c r="J123" i="14" l="1"/>
  <c r="J124" i="14"/>
  <c r="J125" i="14"/>
  <c r="K144" i="48" l="1"/>
  <c r="I144" i="48"/>
  <c r="H144" i="48"/>
  <c r="G144" i="48"/>
  <c r="J144" i="48" s="1"/>
  <c r="L143" i="48"/>
  <c r="J143" i="48"/>
  <c r="L142" i="48"/>
  <c r="L141" i="48"/>
  <c r="J141" i="48"/>
  <c r="L140" i="48"/>
  <c r="J140" i="48"/>
  <c r="L139" i="48"/>
  <c r="J139" i="48"/>
  <c r="L138" i="48"/>
  <c r="J138" i="48"/>
  <c r="L137" i="48"/>
  <c r="J137" i="48"/>
  <c r="L136" i="48"/>
  <c r="L135" i="48"/>
  <c r="L134" i="48"/>
  <c r="J134" i="48"/>
  <c r="K133" i="48"/>
  <c r="I133" i="48"/>
  <c r="H133" i="48"/>
  <c r="G133" i="48"/>
  <c r="J133" i="48" s="1"/>
  <c r="L132" i="48"/>
  <c r="J132" i="48"/>
  <c r="L131" i="48"/>
  <c r="L130" i="48"/>
  <c r="J130" i="48"/>
  <c r="L129" i="48"/>
  <c r="J129" i="48"/>
  <c r="L128" i="48"/>
  <c r="J128" i="48"/>
  <c r="L127" i="48"/>
  <c r="J127" i="48"/>
  <c r="L126" i="48"/>
  <c r="J126" i="48"/>
  <c r="L125" i="48"/>
  <c r="L124" i="48"/>
  <c r="L123" i="48"/>
  <c r="J123" i="48"/>
  <c r="K122" i="48"/>
  <c r="J122" i="48"/>
  <c r="I122" i="48"/>
  <c r="H122" i="48"/>
  <c r="G122" i="48"/>
  <c r="L121" i="48"/>
  <c r="J121" i="48"/>
  <c r="L120" i="48"/>
  <c r="J120" i="48"/>
  <c r="L119" i="48"/>
  <c r="J119" i="48"/>
  <c r="L118" i="48"/>
  <c r="J118" i="48"/>
  <c r="L117" i="48"/>
  <c r="J117" i="48"/>
  <c r="L116" i="48"/>
  <c r="J116" i="48"/>
  <c r="L115" i="48"/>
  <c r="J115" i="48"/>
  <c r="L114" i="48"/>
  <c r="L113" i="48"/>
  <c r="J113" i="48"/>
  <c r="L112" i="48"/>
  <c r="J112" i="48"/>
  <c r="K110" i="48"/>
  <c r="K111" i="48" s="1"/>
  <c r="I110" i="48"/>
  <c r="H110" i="48"/>
  <c r="H111" i="48" s="1"/>
  <c r="G110" i="48"/>
  <c r="J110" i="48" s="1"/>
  <c r="L109" i="48"/>
  <c r="J109" i="48"/>
  <c r="L108" i="48"/>
  <c r="L107" i="48"/>
  <c r="J107" i="48"/>
  <c r="L106" i="48"/>
  <c r="J106" i="48"/>
  <c r="L105" i="48"/>
  <c r="J105" i="48"/>
  <c r="L104" i="48"/>
  <c r="J104" i="48"/>
  <c r="L103" i="48"/>
  <c r="J103" i="48"/>
  <c r="L102" i="48"/>
  <c r="L101" i="48"/>
  <c r="L100" i="48"/>
  <c r="J100" i="48"/>
  <c r="K98" i="48"/>
  <c r="I98" i="48"/>
  <c r="H98" i="48"/>
  <c r="G98" i="48"/>
  <c r="J98" i="48" s="1"/>
  <c r="L97" i="48"/>
  <c r="J97" i="48"/>
  <c r="L96" i="48"/>
  <c r="L95" i="48"/>
  <c r="J95" i="48"/>
  <c r="L94" i="48"/>
  <c r="J94" i="48"/>
  <c r="L93" i="48"/>
  <c r="J93" i="48"/>
  <c r="L92" i="48"/>
  <c r="J92" i="48"/>
  <c r="L91" i="48"/>
  <c r="J91" i="48"/>
  <c r="L90" i="48"/>
  <c r="L89" i="48"/>
  <c r="L88" i="48"/>
  <c r="J88" i="48"/>
  <c r="K86" i="48"/>
  <c r="I86" i="48"/>
  <c r="H86" i="48"/>
  <c r="G86" i="48"/>
  <c r="J86" i="48" s="1"/>
  <c r="L85" i="48"/>
  <c r="J85" i="48"/>
  <c r="L84" i="48"/>
  <c r="L83" i="48"/>
  <c r="J83" i="48"/>
  <c r="L82" i="48"/>
  <c r="J82" i="48"/>
  <c r="L81" i="48"/>
  <c r="L80" i="48"/>
  <c r="J80" i="48"/>
  <c r="L79" i="48"/>
  <c r="J79" i="48"/>
  <c r="L78" i="48"/>
  <c r="L77" i="48"/>
  <c r="L76" i="48"/>
  <c r="J76" i="48"/>
  <c r="G74" i="48"/>
  <c r="K73" i="48"/>
  <c r="K74" i="48" s="1"/>
  <c r="J73" i="48"/>
  <c r="I73" i="48"/>
  <c r="H73" i="48"/>
  <c r="G73" i="48"/>
  <c r="L72" i="48"/>
  <c r="J72" i="48"/>
  <c r="L71" i="48"/>
  <c r="L70" i="48"/>
  <c r="J70" i="48"/>
  <c r="L69" i="48"/>
  <c r="J69" i="48"/>
  <c r="L68" i="48"/>
  <c r="J68" i="48"/>
  <c r="L67" i="48"/>
  <c r="J67" i="48"/>
  <c r="L66" i="48"/>
  <c r="J66" i="48"/>
  <c r="L65" i="48"/>
  <c r="L64" i="48"/>
  <c r="L63" i="48"/>
  <c r="J63" i="48"/>
  <c r="K62" i="48"/>
  <c r="J62" i="48"/>
  <c r="I62" i="48"/>
  <c r="H62" i="48"/>
  <c r="H74" i="48" s="1"/>
  <c r="G62" i="48"/>
  <c r="L61" i="48"/>
  <c r="J61" i="48"/>
  <c r="L60" i="48"/>
  <c r="J60" i="48"/>
  <c r="L59" i="48"/>
  <c r="J59" i="48"/>
  <c r="L58" i="48"/>
  <c r="J58" i="48"/>
  <c r="L57" i="48"/>
  <c r="J57" i="48"/>
  <c r="L56" i="48"/>
  <c r="J56" i="48"/>
  <c r="L55" i="48"/>
  <c r="J55" i="48"/>
  <c r="L54" i="48"/>
  <c r="L53" i="48"/>
  <c r="J53" i="48"/>
  <c r="L52" i="48"/>
  <c r="J52" i="48"/>
  <c r="K51" i="48"/>
  <c r="J51" i="48"/>
  <c r="I51" i="48"/>
  <c r="H51" i="48"/>
  <c r="G51" i="48"/>
  <c r="L50" i="48"/>
  <c r="J50" i="48"/>
  <c r="L49" i="48"/>
  <c r="L48" i="48"/>
  <c r="J48" i="48"/>
  <c r="L47" i="48"/>
  <c r="J47" i="48"/>
  <c r="L46" i="48"/>
  <c r="J46" i="48"/>
  <c r="L45" i="48"/>
  <c r="J45" i="48"/>
  <c r="L44" i="48"/>
  <c r="J44" i="48"/>
  <c r="L43" i="48"/>
  <c r="L42" i="48"/>
  <c r="L41" i="48"/>
  <c r="L51" i="48" s="1"/>
  <c r="J41" i="48"/>
  <c r="K39" i="48"/>
  <c r="I39" i="48"/>
  <c r="H39" i="48"/>
  <c r="G39" i="48"/>
  <c r="L38" i="48"/>
  <c r="J38" i="48"/>
  <c r="L37" i="48"/>
  <c r="J37" i="48"/>
  <c r="L36" i="48"/>
  <c r="J36" i="48"/>
  <c r="L35" i="48"/>
  <c r="J35" i="48"/>
  <c r="L34" i="48"/>
  <c r="L33" i="48"/>
  <c r="J33" i="48"/>
  <c r="L32" i="48"/>
  <c r="J32" i="48"/>
  <c r="L31" i="48"/>
  <c r="L30" i="48"/>
  <c r="J30" i="48"/>
  <c r="L29" i="48"/>
  <c r="J29" i="48"/>
  <c r="K28" i="48"/>
  <c r="I28" i="48"/>
  <c r="G28" i="48"/>
  <c r="G40" i="48" s="1"/>
  <c r="G75" i="48" s="1"/>
  <c r="G87" i="48" s="1"/>
  <c r="L27" i="48"/>
  <c r="L26" i="48"/>
  <c r="H26" i="48"/>
  <c r="J26" i="48" s="1"/>
  <c r="L25" i="48"/>
  <c r="H25" i="48"/>
  <c r="J25" i="48" s="1"/>
  <c r="L24" i="48"/>
  <c r="H24" i="48"/>
  <c r="J24" i="48" s="1"/>
  <c r="L23" i="48"/>
  <c r="H23" i="48"/>
  <c r="J23" i="48" s="1"/>
  <c r="L22" i="48"/>
  <c r="H22" i="48"/>
  <c r="L21" i="48"/>
  <c r="H21" i="48"/>
  <c r="J21" i="48" s="1"/>
  <c r="L20" i="48"/>
  <c r="H20" i="48"/>
  <c r="L19" i="48"/>
  <c r="H19" i="48"/>
  <c r="L18" i="48"/>
  <c r="L28" i="48" s="1"/>
  <c r="H18" i="48"/>
  <c r="J18" i="48" s="1"/>
  <c r="I17" i="48"/>
  <c r="G17" i="48"/>
  <c r="L16" i="48"/>
  <c r="L15" i="48"/>
  <c r="H15" i="48"/>
  <c r="L14" i="48"/>
  <c r="H14" i="48"/>
  <c r="L13" i="48"/>
  <c r="H13" i="48"/>
  <c r="J13" i="48" s="1"/>
  <c r="L12" i="48"/>
  <c r="H12" i="48"/>
  <c r="K11" i="48"/>
  <c r="L11" i="48" s="1"/>
  <c r="H11" i="48"/>
  <c r="J11" i="48" s="1"/>
  <c r="L10" i="48"/>
  <c r="H10" i="48"/>
  <c r="J10" i="48" s="1"/>
  <c r="L9" i="48"/>
  <c r="H9" i="48"/>
  <c r="L8" i="48"/>
  <c r="H8" i="48"/>
  <c r="L7" i="48"/>
  <c r="H7" i="48"/>
  <c r="Q48" i="47"/>
  <c r="P48" i="47"/>
  <c r="O48" i="47"/>
  <c r="N48" i="47"/>
  <c r="M48" i="47"/>
  <c r="L48" i="47"/>
  <c r="Q45" i="47"/>
  <c r="P45" i="47"/>
  <c r="O45" i="47"/>
  <c r="N45" i="47"/>
  <c r="M45" i="47"/>
  <c r="L45" i="47"/>
  <c r="E38" i="47"/>
  <c r="G38" i="47" s="1"/>
  <c r="G37" i="47"/>
  <c r="G36" i="47"/>
  <c r="BS35" i="47"/>
  <c r="BT35" i="47" s="1"/>
  <c r="G35" i="47"/>
  <c r="BT34" i="47"/>
  <c r="BS34" i="47"/>
  <c r="G34" i="47"/>
  <c r="BT33" i="47"/>
  <c r="BS33" i="47"/>
  <c r="G33" i="47"/>
  <c r="BL25" i="47"/>
  <c r="BM25" i="47" s="1"/>
  <c r="BN25" i="47" s="1"/>
  <c r="AU25" i="47"/>
  <c r="AE25" i="47"/>
  <c r="AA25" i="47"/>
  <c r="Z25" i="47"/>
  <c r="X25" i="47"/>
  <c r="V25" i="47"/>
  <c r="R25" i="47"/>
  <c r="N25" i="47"/>
  <c r="I25" i="47"/>
  <c r="BN24" i="47"/>
  <c r="BM24" i="47"/>
  <c r="BL24" i="47"/>
  <c r="AU24" i="47"/>
  <c r="AE24" i="47"/>
  <c r="Z24" i="47"/>
  <c r="AA24" i="47" s="1"/>
  <c r="AA22" i="47" s="1"/>
  <c r="X24" i="47"/>
  <c r="V24" i="47"/>
  <c r="V22" i="47" s="1"/>
  <c r="R24" i="47"/>
  <c r="N24" i="47"/>
  <c r="I24" i="47"/>
  <c r="BL23" i="47"/>
  <c r="BL22" i="47" s="1"/>
  <c r="AU23" i="47"/>
  <c r="AE23" i="47"/>
  <c r="AE22" i="47" s="1"/>
  <c r="AA23" i="47"/>
  <c r="Z23" i="47"/>
  <c r="X23" i="47"/>
  <c r="V23" i="47"/>
  <c r="R23" i="47"/>
  <c r="R22" i="47" s="1"/>
  <c r="N23" i="47"/>
  <c r="N22" i="47" s="1"/>
  <c r="I23" i="47"/>
  <c r="BK22" i="47"/>
  <c r="AU22" i="47"/>
  <c r="AD22" i="47"/>
  <c r="AB22" i="47"/>
  <c r="Z22" i="47"/>
  <c r="X22" i="47"/>
  <c r="W22" i="47"/>
  <c r="U22" i="47"/>
  <c r="S22" i="47"/>
  <c r="Q22" i="47"/>
  <c r="O22" i="47"/>
  <c r="M22" i="47"/>
  <c r="K22" i="47"/>
  <c r="J22" i="47"/>
  <c r="I22" i="47"/>
  <c r="H22" i="47"/>
  <c r="G22" i="47"/>
  <c r="F22" i="47"/>
  <c r="E22" i="47"/>
  <c r="D22" i="47"/>
  <c r="BK21" i="47"/>
  <c r="BE21" i="47"/>
  <c r="BD21" i="47"/>
  <c r="BB21" i="47"/>
  <c r="BC21" i="47" s="1"/>
  <c r="AX21" i="47"/>
  <c r="AY21" i="47" s="1"/>
  <c r="AT21" i="47"/>
  <c r="AU21" i="47" s="1"/>
  <c r="AO21" i="47"/>
  <c r="AN21" i="47"/>
  <c r="AL21" i="47"/>
  <c r="AM21" i="47" s="1"/>
  <c r="AH21" i="47"/>
  <c r="AI21" i="47" s="1"/>
  <c r="AE21" i="47"/>
  <c r="AD21" i="47"/>
  <c r="Y21" i="47"/>
  <c r="V21" i="47"/>
  <c r="U21" i="47"/>
  <c r="S21" i="47"/>
  <c r="Q21" i="47"/>
  <c r="R21" i="47" s="1"/>
  <c r="O21" i="47"/>
  <c r="N21" i="47"/>
  <c r="M21" i="47"/>
  <c r="K21" i="47"/>
  <c r="X21" i="47" s="1"/>
  <c r="J21" i="47"/>
  <c r="W21" i="47" s="1"/>
  <c r="H21" i="47"/>
  <c r="G21" i="47"/>
  <c r="I21" i="47" s="1"/>
  <c r="F21" i="47"/>
  <c r="BK20" i="47"/>
  <c r="BE20" i="47"/>
  <c r="BD20" i="47"/>
  <c r="BB20" i="47"/>
  <c r="BC20" i="47" s="1"/>
  <c r="AX20" i="47"/>
  <c r="AT20" i="47"/>
  <c r="AO20" i="47"/>
  <c r="AN20" i="47"/>
  <c r="AL20" i="47"/>
  <c r="AH20" i="47"/>
  <c r="AI20" i="47" s="1"/>
  <c r="AD20" i="47"/>
  <c r="AE20" i="47" s="1"/>
  <c r="Y20" i="47"/>
  <c r="X20" i="47"/>
  <c r="U20" i="47"/>
  <c r="V20" i="47" s="1"/>
  <c r="S20" i="47"/>
  <c r="Q20" i="47"/>
  <c r="R20" i="47" s="1"/>
  <c r="O20" i="47"/>
  <c r="M20" i="47"/>
  <c r="K20" i="47"/>
  <c r="J20" i="47"/>
  <c r="W20" i="47" s="1"/>
  <c r="H20" i="47"/>
  <c r="G20" i="47"/>
  <c r="F20" i="47"/>
  <c r="BK19" i="47"/>
  <c r="BE19" i="47"/>
  <c r="BD19" i="47"/>
  <c r="BB19" i="47"/>
  <c r="AY19" i="47"/>
  <c r="AX19" i="47"/>
  <c r="AT19" i="47"/>
  <c r="AU19" i="47" s="1"/>
  <c r="AO19" i="47"/>
  <c r="AN19" i="47"/>
  <c r="AL19" i="47"/>
  <c r="AM19" i="47" s="1"/>
  <c r="AH19" i="47"/>
  <c r="AI19" i="47" s="1"/>
  <c r="AE19" i="47"/>
  <c r="AD19" i="47"/>
  <c r="Y19" i="47"/>
  <c r="U19" i="47"/>
  <c r="V19" i="47" s="1"/>
  <c r="S19" i="47"/>
  <c r="Q19" i="47"/>
  <c r="Z19" i="47" s="1"/>
  <c r="AA19" i="47" s="1"/>
  <c r="O19" i="47"/>
  <c r="X19" i="47" s="1"/>
  <c r="N19" i="47"/>
  <c r="M19" i="47"/>
  <c r="K19" i="47"/>
  <c r="J19" i="47"/>
  <c r="W19" i="47" s="1"/>
  <c r="H19" i="47"/>
  <c r="G19" i="47"/>
  <c r="I19" i="47" s="1"/>
  <c r="F19" i="47"/>
  <c r="BK18" i="47"/>
  <c r="BE18" i="47"/>
  <c r="BD18" i="47"/>
  <c r="BC18" i="47"/>
  <c r="BB18" i="47"/>
  <c r="AX18" i="47"/>
  <c r="AY18" i="47" s="1"/>
  <c r="AT18" i="47"/>
  <c r="AO18" i="47"/>
  <c r="AO16" i="47" s="1"/>
  <c r="AN18" i="47"/>
  <c r="AN16" i="47" s="1"/>
  <c r="AL18" i="47"/>
  <c r="AM18" i="47" s="1"/>
  <c r="AI18" i="47"/>
  <c r="AH18" i="47"/>
  <c r="AD18" i="47"/>
  <c r="Y18" i="47"/>
  <c r="V18" i="47"/>
  <c r="U18" i="47"/>
  <c r="S18" i="47"/>
  <c r="S16" i="47" s="1"/>
  <c r="R18" i="47"/>
  <c r="Q18" i="47"/>
  <c r="O18" i="47"/>
  <c r="M18" i="47"/>
  <c r="Z18" i="47" s="1"/>
  <c r="AA18" i="47" s="1"/>
  <c r="K18" i="47"/>
  <c r="X18" i="47" s="1"/>
  <c r="J18" i="47"/>
  <c r="W18" i="47" s="1"/>
  <c r="H18" i="47"/>
  <c r="H16" i="47" s="1"/>
  <c r="I16" i="47" s="1"/>
  <c r="G18" i="47"/>
  <c r="I18" i="47" s="1"/>
  <c r="F18" i="47"/>
  <c r="BK17" i="47"/>
  <c r="BE17" i="47"/>
  <c r="BE16" i="47" s="1"/>
  <c r="BD17" i="47"/>
  <c r="BD16" i="47" s="1"/>
  <c r="BB17" i="47"/>
  <c r="BC17" i="47" s="1"/>
  <c r="AX17" i="47"/>
  <c r="AY17" i="47" s="1"/>
  <c r="AT17" i="47"/>
  <c r="AO17" i="47"/>
  <c r="AN17" i="47"/>
  <c r="AL17" i="47"/>
  <c r="AP17" i="47" s="1"/>
  <c r="AH17" i="47"/>
  <c r="AE17" i="47"/>
  <c r="AD17" i="47"/>
  <c r="Y17" i="47"/>
  <c r="Y16" i="47" s="1"/>
  <c r="V17" i="47"/>
  <c r="U17" i="47"/>
  <c r="S17" i="47"/>
  <c r="Q17" i="47"/>
  <c r="R17" i="47" s="1"/>
  <c r="O17" i="47"/>
  <c r="N17" i="47"/>
  <c r="M17" i="47"/>
  <c r="K17" i="47"/>
  <c r="K16" i="47" s="1"/>
  <c r="J17" i="47"/>
  <c r="H17" i="47"/>
  <c r="G17" i="47"/>
  <c r="I17" i="47" s="1"/>
  <c r="F17" i="47"/>
  <c r="BK16" i="47"/>
  <c r="BA16" i="47"/>
  <c r="AZ16" i="47"/>
  <c r="AW16" i="47"/>
  <c r="AV16" i="47"/>
  <c r="AS16" i="47"/>
  <c r="AR16" i="47"/>
  <c r="AK16" i="47"/>
  <c r="AJ16" i="47"/>
  <c r="AG16" i="47"/>
  <c r="AF16" i="47"/>
  <c r="AC16" i="47"/>
  <c r="AB16" i="47"/>
  <c r="T16" i="47"/>
  <c r="P16" i="47"/>
  <c r="O16" i="47"/>
  <c r="L16" i="47"/>
  <c r="E16" i="47"/>
  <c r="D16" i="47"/>
  <c r="BK15" i="47"/>
  <c r="BE15" i="47"/>
  <c r="BD15" i="47"/>
  <c r="BB15" i="47"/>
  <c r="BC15" i="47" s="1"/>
  <c r="AY15" i="47"/>
  <c r="AX15" i="47"/>
  <c r="AX13" i="47" s="1"/>
  <c r="AY13" i="47" s="1"/>
  <c r="AU15" i="47"/>
  <c r="AT15" i="47"/>
  <c r="AO15" i="47"/>
  <c r="AN15" i="47"/>
  <c r="AL15" i="47"/>
  <c r="AH15" i="47"/>
  <c r="AI15" i="47" s="1"/>
  <c r="AD15" i="47"/>
  <c r="AD13" i="47" s="1"/>
  <c r="AE13" i="47" s="1"/>
  <c r="Y15" i="47"/>
  <c r="U15" i="47"/>
  <c r="V15" i="47" s="1"/>
  <c r="S15" i="47"/>
  <c r="R15" i="47"/>
  <c r="Q15" i="47"/>
  <c r="O15" i="47"/>
  <c r="X15" i="47" s="1"/>
  <c r="N15" i="47"/>
  <c r="M15" i="47"/>
  <c r="M13" i="47" s="1"/>
  <c r="N13" i="47" s="1"/>
  <c r="K15" i="47"/>
  <c r="J15" i="47"/>
  <c r="W15" i="47" s="1"/>
  <c r="H15" i="47"/>
  <c r="G15" i="47"/>
  <c r="F15" i="47"/>
  <c r="BK14" i="47"/>
  <c r="BE14" i="47"/>
  <c r="BD14" i="47"/>
  <c r="BC14" i="47"/>
  <c r="BB14" i="47"/>
  <c r="BB13" i="47" s="1"/>
  <c r="BC13" i="47" s="1"/>
  <c r="AX14" i="47"/>
  <c r="AY14" i="47" s="1"/>
  <c r="AT14" i="47"/>
  <c r="AT13" i="47" s="1"/>
  <c r="AU13" i="47" s="1"/>
  <c r="AO14" i="47"/>
  <c r="AN14" i="47"/>
  <c r="AL14" i="47"/>
  <c r="AM14" i="47" s="1"/>
  <c r="AH14" i="47"/>
  <c r="AI14" i="47" s="1"/>
  <c r="AE14" i="47"/>
  <c r="AD14" i="47"/>
  <c r="Y14" i="47"/>
  <c r="U14" i="47"/>
  <c r="V14" i="47" s="1"/>
  <c r="S14" i="47"/>
  <c r="R14" i="47"/>
  <c r="Q14" i="47"/>
  <c r="Z14" i="47" s="1"/>
  <c r="O14" i="47"/>
  <c r="M14" i="47"/>
  <c r="N14" i="47" s="1"/>
  <c r="K14" i="47"/>
  <c r="X14" i="47" s="1"/>
  <c r="X13" i="47" s="1"/>
  <c r="J14" i="47"/>
  <c r="W14" i="47" s="1"/>
  <c r="W13" i="47" s="1"/>
  <c r="H14" i="47"/>
  <c r="H13" i="47" s="1"/>
  <c r="G14" i="47"/>
  <c r="F14" i="47"/>
  <c r="BK13" i="47"/>
  <c r="BE13" i="47"/>
  <c r="BD13" i="47"/>
  <c r="BA13" i="47"/>
  <c r="AZ13" i="47"/>
  <c r="AW13" i="47"/>
  <c r="AW8" i="47" s="1"/>
  <c r="AV13" i="47"/>
  <c r="AS13" i="47"/>
  <c r="AR13" i="47"/>
  <c r="AO13" i="47"/>
  <c r="AN13" i="47"/>
  <c r="AK13" i="47"/>
  <c r="AJ13" i="47"/>
  <c r="AG13" i="47"/>
  <c r="AG8" i="47" s="1"/>
  <c r="AF13" i="47"/>
  <c r="AC13" i="47"/>
  <c r="AB13" i="47"/>
  <c r="Y13" i="47"/>
  <c r="T13" i="47"/>
  <c r="S13" i="47"/>
  <c r="Q13" i="47"/>
  <c r="R13" i="47" s="1"/>
  <c r="P13" i="47"/>
  <c r="L13" i="47"/>
  <c r="K13" i="47"/>
  <c r="E13" i="47"/>
  <c r="D13" i="47"/>
  <c r="BK12" i="47"/>
  <c r="BE12" i="47"/>
  <c r="BD12" i="47"/>
  <c r="BB12" i="47"/>
  <c r="BC12" i="47" s="1"/>
  <c r="AX12" i="47"/>
  <c r="AY12" i="47" s="1"/>
  <c r="AT12" i="47"/>
  <c r="BF12" i="47" s="1"/>
  <c r="AO12" i="47"/>
  <c r="AN12" i="47"/>
  <c r="AL12" i="47"/>
  <c r="AM12" i="47" s="1"/>
  <c r="AH12" i="47"/>
  <c r="AI12" i="47" s="1"/>
  <c r="AD12" i="47"/>
  <c r="AE12" i="47" s="1"/>
  <c r="Y12" i="47"/>
  <c r="X12" i="47"/>
  <c r="V12" i="47"/>
  <c r="U12" i="47"/>
  <c r="S12" i="47"/>
  <c r="Q12" i="47"/>
  <c r="R12" i="47" s="1"/>
  <c r="O12" i="47"/>
  <c r="M12" i="47"/>
  <c r="Z12" i="47" s="1"/>
  <c r="AA12" i="47" s="1"/>
  <c r="K12" i="47"/>
  <c r="K9" i="47" s="1"/>
  <c r="K8" i="47" s="1"/>
  <c r="H12" i="47"/>
  <c r="G12" i="47"/>
  <c r="I12" i="47" s="1"/>
  <c r="F12" i="47"/>
  <c r="BK11" i="47"/>
  <c r="BE11" i="47"/>
  <c r="BD11" i="47"/>
  <c r="BB11" i="47"/>
  <c r="BC11" i="47" s="1"/>
  <c r="AX11" i="47"/>
  <c r="AT11" i="47"/>
  <c r="BF11" i="47" s="1"/>
  <c r="AO11" i="47"/>
  <c r="AO9" i="47" s="1"/>
  <c r="AO8" i="47" s="1"/>
  <c r="AN11" i="47"/>
  <c r="AL11" i="47"/>
  <c r="AI11" i="47"/>
  <c r="AH11" i="47"/>
  <c r="AD11" i="47"/>
  <c r="AE11" i="47" s="1"/>
  <c r="Y11" i="47"/>
  <c r="X11" i="47"/>
  <c r="V11" i="47"/>
  <c r="U11" i="47"/>
  <c r="S11" i="47"/>
  <c r="Q11" i="47"/>
  <c r="R11" i="47" s="1"/>
  <c r="O11" i="47"/>
  <c r="N11" i="47"/>
  <c r="M11" i="47"/>
  <c r="M9" i="47" s="1"/>
  <c r="K11" i="47"/>
  <c r="J11" i="47"/>
  <c r="H11" i="47"/>
  <c r="G11" i="47"/>
  <c r="F11" i="47"/>
  <c r="BK10" i="47"/>
  <c r="BK9" i="47" s="1"/>
  <c r="BK8" i="47" s="1"/>
  <c r="BE10" i="47"/>
  <c r="BE9" i="47" s="1"/>
  <c r="BE8" i="47" s="1"/>
  <c r="BD10" i="47"/>
  <c r="BB10" i="47"/>
  <c r="BB9" i="47" s="1"/>
  <c r="AY10" i="47"/>
  <c r="AX10" i="47"/>
  <c r="AT10" i="47"/>
  <c r="AU10" i="47" s="1"/>
  <c r="AO10" i="47"/>
  <c r="AN10" i="47"/>
  <c r="AL10" i="47"/>
  <c r="AM10" i="47" s="1"/>
  <c r="AH10" i="47"/>
  <c r="AI10" i="47" s="1"/>
  <c r="AD10" i="47"/>
  <c r="AD9" i="47" s="1"/>
  <c r="Y10" i="47"/>
  <c r="Y9" i="47" s="1"/>
  <c r="Y8" i="47" s="1"/>
  <c r="U10" i="47"/>
  <c r="U9" i="47" s="1"/>
  <c r="S10" i="47"/>
  <c r="S9" i="47" s="1"/>
  <c r="Q10" i="47"/>
  <c r="Z10" i="47" s="1"/>
  <c r="O10" i="47"/>
  <c r="X10" i="47" s="1"/>
  <c r="X9" i="47" s="1"/>
  <c r="N10" i="47"/>
  <c r="M10" i="47"/>
  <c r="K10" i="47"/>
  <c r="J10" i="47"/>
  <c r="W10" i="47" s="1"/>
  <c r="W9" i="47" s="1"/>
  <c r="H10" i="47"/>
  <c r="G10" i="47"/>
  <c r="F10" i="47"/>
  <c r="BD9" i="47"/>
  <c r="BD8" i="47" s="1"/>
  <c r="BA9" i="47"/>
  <c r="AZ9" i="47"/>
  <c r="AZ8" i="47" s="1"/>
  <c r="AW9" i="47"/>
  <c r="AV9" i="47"/>
  <c r="AV8" i="47" s="1"/>
  <c r="AS9" i="47"/>
  <c r="AR9" i="47"/>
  <c r="AR8" i="47" s="1"/>
  <c r="AN9" i="47"/>
  <c r="AK9" i="47"/>
  <c r="AJ9" i="47"/>
  <c r="AJ8" i="47" s="1"/>
  <c r="AH9" i="47"/>
  <c r="AI9" i="47" s="1"/>
  <c r="AG9" i="47"/>
  <c r="AF9" i="47"/>
  <c r="AF8" i="47" s="1"/>
  <c r="AC9" i="47"/>
  <c r="AB9" i="47"/>
  <c r="AB8" i="47" s="1"/>
  <c r="T9" i="47"/>
  <c r="T8" i="47" s="1"/>
  <c r="P9" i="47"/>
  <c r="P8" i="47" s="1"/>
  <c r="O9" i="47"/>
  <c r="L9" i="47"/>
  <c r="L8" i="47" s="1"/>
  <c r="H9" i="47"/>
  <c r="E9" i="47"/>
  <c r="D9" i="47"/>
  <c r="D8" i="47" s="1"/>
  <c r="BA8" i="47"/>
  <c r="AS8" i="47"/>
  <c r="AK8" i="47"/>
  <c r="AC8" i="47"/>
  <c r="E8" i="47"/>
  <c r="L86" i="48" l="1"/>
  <c r="U16" i="47"/>
  <c r="V16" i="47" s="1"/>
  <c r="L73" i="48"/>
  <c r="I74" i="48"/>
  <c r="Z20" i="47"/>
  <c r="AA20" i="47" s="1"/>
  <c r="L62" i="48"/>
  <c r="N20" i="47"/>
  <c r="L39" i="48"/>
  <c r="I40" i="48"/>
  <c r="L17" i="48"/>
  <c r="AT16" i="47"/>
  <c r="AU16" i="47" s="1"/>
  <c r="AH16" i="47"/>
  <c r="AI16" i="47" s="1"/>
  <c r="L98" i="48"/>
  <c r="F121" i="25"/>
  <c r="AL16" i="47"/>
  <c r="AM16" i="47" s="1"/>
  <c r="AP19" i="47"/>
  <c r="I111" i="48"/>
  <c r="L111" i="48" s="1"/>
  <c r="BF17" i="47"/>
  <c r="BB16" i="47"/>
  <c r="BC16" i="47" s="1"/>
  <c r="BF20" i="47"/>
  <c r="L144" i="48"/>
  <c r="AX9" i="47"/>
  <c r="AX16" i="47"/>
  <c r="AY16" i="47" s="1"/>
  <c r="BF15" i="47"/>
  <c r="L133" i="48"/>
  <c r="BF18" i="47"/>
  <c r="BG18" i="47" s="1"/>
  <c r="AU12" i="47"/>
  <c r="AU18" i="47"/>
  <c r="AU11" i="47"/>
  <c r="AT9" i="47"/>
  <c r="L122" i="48"/>
  <c r="AU20" i="47"/>
  <c r="F123" i="25"/>
  <c r="L110" i="48"/>
  <c r="AL9" i="47"/>
  <c r="AL13" i="47"/>
  <c r="AM13" i="47" s="1"/>
  <c r="AP14" i="47"/>
  <c r="AQ14" i="47" s="1"/>
  <c r="AM15" i="47"/>
  <c r="AM17" i="47"/>
  <c r="AP18" i="47"/>
  <c r="AP21" i="47"/>
  <c r="G9" i="47"/>
  <c r="I9" i="47" s="1"/>
  <c r="J9" i="47"/>
  <c r="F9" i="47"/>
  <c r="F13" i="47"/>
  <c r="W11" i="47"/>
  <c r="H28" i="48"/>
  <c r="J28" i="48" s="1"/>
  <c r="H17" i="48"/>
  <c r="J17" i="48" s="1"/>
  <c r="J16" i="47"/>
  <c r="G13" i="47"/>
  <c r="I11" i="47"/>
  <c r="I20" i="47"/>
  <c r="I15" i="47"/>
  <c r="V9" i="47"/>
  <c r="AE9" i="47"/>
  <c r="BC9" i="47"/>
  <c r="BB8" i="47"/>
  <c r="BC8" i="47" s="1"/>
  <c r="AM9" i="47"/>
  <c r="AN8" i="47"/>
  <c r="N9" i="47"/>
  <c r="BG11" i="47"/>
  <c r="AQ17" i="47"/>
  <c r="J74" i="48"/>
  <c r="I75" i="48"/>
  <c r="I87" i="48" s="1"/>
  <c r="I99" i="48" s="1"/>
  <c r="L74" i="48"/>
  <c r="AA10" i="47"/>
  <c r="AX8" i="47"/>
  <c r="AY8" i="47" s="1"/>
  <c r="AY9" i="47"/>
  <c r="BG12" i="47"/>
  <c r="AA14" i="47"/>
  <c r="L40" i="48"/>
  <c r="L75" i="48" s="1"/>
  <c r="G99" i="48"/>
  <c r="H8" i="47"/>
  <c r="S8" i="47"/>
  <c r="BG15" i="47"/>
  <c r="BF21" i="47"/>
  <c r="Q9" i="47"/>
  <c r="R10" i="47"/>
  <c r="BC10" i="47"/>
  <c r="AM11" i="47"/>
  <c r="AY11" i="47"/>
  <c r="N12" i="47"/>
  <c r="J13" i="47"/>
  <c r="AH13" i="47"/>
  <c r="I14" i="47"/>
  <c r="Z15" i="47"/>
  <c r="AA15" i="47" s="1"/>
  <c r="M16" i="47"/>
  <c r="N16" i="47" s="1"/>
  <c r="W17" i="47"/>
  <c r="W16" i="47" s="1"/>
  <c r="W8" i="47" s="1"/>
  <c r="AI17" i="47"/>
  <c r="AU17" i="47"/>
  <c r="BG17" i="47"/>
  <c r="AE18" i="47"/>
  <c r="R19" i="47"/>
  <c r="BC19" i="47"/>
  <c r="AM20" i="47"/>
  <c r="AY20" i="47"/>
  <c r="J7" i="48"/>
  <c r="I10" i="47"/>
  <c r="Z11" i="47"/>
  <c r="AA11" i="47" s="1"/>
  <c r="AD16" i="47"/>
  <c r="AE16" i="47" s="1"/>
  <c r="X17" i="47"/>
  <c r="X16" i="47" s="1"/>
  <c r="X8" i="47" s="1"/>
  <c r="J39" i="48"/>
  <c r="BF14" i="47"/>
  <c r="AP15" i="47"/>
  <c r="BM23" i="47"/>
  <c r="AP10" i="47"/>
  <c r="BF10" i="47"/>
  <c r="AP11" i="47"/>
  <c r="AP12" i="47"/>
  <c r="U13" i="47"/>
  <c r="V13" i="47" s="1"/>
  <c r="AU14" i="47"/>
  <c r="AE15" i="47"/>
  <c r="Z17" i="47"/>
  <c r="N18" i="47"/>
  <c r="BF19" i="47"/>
  <c r="AP20" i="47"/>
  <c r="Z21" i="47"/>
  <c r="AA21" i="47" s="1"/>
  <c r="K17" i="48"/>
  <c r="K40" i="48" s="1"/>
  <c r="K75" i="48" s="1"/>
  <c r="K87" i="48" s="1"/>
  <c r="K99" i="48" s="1"/>
  <c r="AE10" i="47"/>
  <c r="V10" i="47"/>
  <c r="Q16" i="47"/>
  <c r="R16" i="47" s="1"/>
  <c r="O13" i="47"/>
  <c r="O8" i="47" s="1"/>
  <c r="G8" i="47" l="1"/>
  <c r="I8" i="47" s="1"/>
  <c r="F8" i="47"/>
  <c r="AT8" i="47"/>
  <c r="AU8" i="47" s="1"/>
  <c r="BM20" i="47"/>
  <c r="BQ20" i="47" s="1"/>
  <c r="BG20" i="47"/>
  <c r="AL8" i="47"/>
  <c r="AM8" i="47" s="1"/>
  <c r="F114" i="25"/>
  <c r="F118" i="25"/>
  <c r="AQ19" i="47"/>
  <c r="AU9" i="47"/>
  <c r="AQ18" i="47"/>
  <c r="F122" i="25"/>
  <c r="AQ12" i="47"/>
  <c r="F116" i="25"/>
  <c r="BM18" i="47"/>
  <c r="AQ20" i="47"/>
  <c r="F124" i="25"/>
  <c r="AQ11" i="47"/>
  <c r="F115" i="25"/>
  <c r="AQ15" i="47"/>
  <c r="F119" i="25"/>
  <c r="AP16" i="47"/>
  <c r="AQ16" i="47" s="1"/>
  <c r="AQ21" i="47"/>
  <c r="F125" i="25"/>
  <c r="H40" i="48"/>
  <c r="J8" i="47"/>
  <c r="I13" i="47"/>
  <c r="Z13" i="47"/>
  <c r="AA13" i="47" s="1"/>
  <c r="Q8" i="47"/>
  <c r="R8" i="47" s="1"/>
  <c r="R9" i="47"/>
  <c r="AP13" i="47"/>
  <c r="AQ13" i="47" s="1"/>
  <c r="BM19" i="47"/>
  <c r="BG19" i="47"/>
  <c r="AQ10" i="47"/>
  <c r="AP9" i="47"/>
  <c r="BM11" i="47"/>
  <c r="BN11" i="47" s="1"/>
  <c r="Z16" i="47"/>
  <c r="AA16" i="47" s="1"/>
  <c r="AA17" i="47"/>
  <c r="U8" i="47"/>
  <c r="V8" i="47" s="1"/>
  <c r="L99" i="48"/>
  <c r="AD8" i="47"/>
  <c r="AE8" i="47" s="1"/>
  <c r="BM21" i="47"/>
  <c r="BN21" i="47" s="1"/>
  <c r="BG21" i="47"/>
  <c r="BM15" i="47"/>
  <c r="M8" i="47"/>
  <c r="N8" i="47" s="1"/>
  <c r="BM10" i="47"/>
  <c r="BG10" i="47"/>
  <c r="BF9" i="47"/>
  <c r="AH8" i="47"/>
  <c r="AI8" i="47" s="1"/>
  <c r="AI13" i="47"/>
  <c r="BM12" i="47"/>
  <c r="BM22" i="47"/>
  <c r="BN23" i="47"/>
  <c r="BN22" i="47" s="1"/>
  <c r="BM17" i="47"/>
  <c r="BM14" i="47"/>
  <c r="BG14" i="47"/>
  <c r="BF13" i="47"/>
  <c r="BG13" i="47" s="1"/>
  <c r="BF16" i="47"/>
  <c r="BG16" i="47" s="1"/>
  <c r="Z9" i="47"/>
  <c r="O109" i="14"/>
  <c r="O107" i="14"/>
  <c r="O106" i="14"/>
  <c r="O105" i="14"/>
  <c r="O104" i="14"/>
  <c r="O103" i="14"/>
  <c r="O102" i="14"/>
  <c r="O101" i="14"/>
  <c r="O100" i="14"/>
  <c r="BN12" i="47" l="1"/>
  <c r="BN20" i="47"/>
  <c r="BN18" i="47"/>
  <c r="BN19" i="47"/>
  <c r="BN15" i="47"/>
  <c r="H75" i="48"/>
  <c r="J40" i="48"/>
  <c r="BF8" i="47"/>
  <c r="BG8" i="47" s="1"/>
  <c r="BG9" i="47"/>
  <c r="BN14" i="47"/>
  <c r="BM13" i="47"/>
  <c r="BN13" i="47" s="1"/>
  <c r="BN17" i="47"/>
  <c r="BM16" i="47"/>
  <c r="BN16" i="47" s="1"/>
  <c r="BM9" i="47"/>
  <c r="BN10" i="47"/>
  <c r="Z8" i="47"/>
  <c r="AA8" i="47" s="1"/>
  <c r="AA9" i="47"/>
  <c r="AP8" i="47"/>
  <c r="AQ8" i="47" s="1"/>
  <c r="AQ9" i="47"/>
  <c r="H87" i="48" l="1"/>
  <c r="J75" i="48"/>
  <c r="BN9" i="47"/>
  <c r="BM8" i="47"/>
  <c r="H99" i="48" l="1"/>
  <c r="J99" i="48" s="1"/>
  <c r="J87" i="48"/>
  <c r="BN8" i="47"/>
  <c r="E39" i="47"/>
  <c r="G39" i="47" s="1"/>
  <c r="F132" i="25" l="1"/>
  <c r="F133" i="25"/>
  <c r="F134" i="25"/>
  <c r="F136" i="25"/>
  <c r="F137" i="25"/>
  <c r="F139" i="25"/>
  <c r="F140" i="25"/>
  <c r="F141" i="25"/>
  <c r="F142" i="25"/>
  <c r="F143" i="25"/>
  <c r="M132" i="25"/>
  <c r="M133" i="25"/>
  <c r="M134" i="25"/>
  <c r="M136" i="25"/>
  <c r="M137" i="25"/>
  <c r="M139" i="25"/>
  <c r="M140" i="25"/>
  <c r="M141" i="25"/>
  <c r="M142" i="25"/>
  <c r="M143" i="25"/>
  <c r="Q77" i="24"/>
  <c r="P77" i="24"/>
  <c r="O77" i="24"/>
  <c r="N77" i="24"/>
  <c r="M77" i="24"/>
  <c r="L77" i="24"/>
  <c r="K77" i="24"/>
  <c r="J77" i="24"/>
  <c r="I77" i="24"/>
  <c r="H77" i="24"/>
  <c r="G77" i="24"/>
  <c r="Q76" i="24"/>
  <c r="P76" i="24"/>
  <c r="O76" i="24"/>
  <c r="N76" i="24"/>
  <c r="M76" i="24"/>
  <c r="L76" i="24"/>
  <c r="K76" i="24"/>
  <c r="J76" i="24"/>
  <c r="I76" i="24"/>
  <c r="H76" i="24"/>
  <c r="G76" i="24"/>
  <c r="Q75" i="24"/>
  <c r="P75" i="24"/>
  <c r="O75" i="24"/>
  <c r="N75" i="24"/>
  <c r="M75" i="24"/>
  <c r="L75" i="24"/>
  <c r="K75" i="24"/>
  <c r="J75" i="24"/>
  <c r="I75" i="24"/>
  <c r="H75" i="24"/>
  <c r="G75" i="24"/>
  <c r="Q74" i="24"/>
  <c r="P74" i="24"/>
  <c r="O74" i="24"/>
  <c r="N74" i="24"/>
  <c r="M74" i="24"/>
  <c r="L74" i="24"/>
  <c r="K74" i="24"/>
  <c r="J74" i="24"/>
  <c r="I74" i="24"/>
  <c r="H74" i="24"/>
  <c r="G74" i="24"/>
  <c r="Q73" i="24"/>
  <c r="P73" i="24"/>
  <c r="O73" i="24"/>
  <c r="N73" i="24"/>
  <c r="M73" i="24"/>
  <c r="L73" i="24"/>
  <c r="K73" i="24"/>
  <c r="J73" i="24"/>
  <c r="I73" i="24"/>
  <c r="H73" i="24"/>
  <c r="G73" i="24"/>
  <c r="Q71" i="24"/>
  <c r="P71" i="24"/>
  <c r="O71" i="24"/>
  <c r="N71" i="24"/>
  <c r="M71" i="24"/>
  <c r="L71" i="24"/>
  <c r="K71" i="24"/>
  <c r="J71" i="24"/>
  <c r="I71" i="24"/>
  <c r="H71" i="24"/>
  <c r="G71" i="24"/>
  <c r="Q70" i="24"/>
  <c r="P70" i="24"/>
  <c r="O70" i="24"/>
  <c r="N70" i="24"/>
  <c r="M70" i="24"/>
  <c r="L70" i="24"/>
  <c r="K70" i="24"/>
  <c r="J70" i="24"/>
  <c r="I70" i="24"/>
  <c r="H70" i="24"/>
  <c r="G70" i="24"/>
  <c r="Q68" i="24"/>
  <c r="P68" i="24"/>
  <c r="O68" i="24"/>
  <c r="N68" i="24"/>
  <c r="M68" i="24"/>
  <c r="L68" i="24"/>
  <c r="K68" i="24"/>
  <c r="J68" i="24"/>
  <c r="I68" i="24"/>
  <c r="H68" i="24"/>
  <c r="G68" i="24"/>
  <c r="Q67" i="24"/>
  <c r="P67" i="24"/>
  <c r="O67" i="24"/>
  <c r="N67" i="24"/>
  <c r="M67" i="24"/>
  <c r="L67" i="24"/>
  <c r="K67" i="24"/>
  <c r="J67" i="24"/>
  <c r="I67" i="24"/>
  <c r="H67" i="24"/>
  <c r="G67" i="24"/>
  <c r="Q66" i="24"/>
  <c r="P66" i="24"/>
  <c r="O66" i="24"/>
  <c r="N66" i="24"/>
  <c r="M66" i="24"/>
  <c r="L66" i="24"/>
  <c r="K66" i="24"/>
  <c r="J66" i="24"/>
  <c r="I66" i="24"/>
  <c r="H66" i="24"/>
  <c r="G66" i="24"/>
  <c r="F77" i="24"/>
  <c r="F76" i="24"/>
  <c r="F75" i="24"/>
  <c r="F74" i="24"/>
  <c r="F73" i="24"/>
  <c r="F71" i="24"/>
  <c r="F70" i="24"/>
  <c r="F68" i="24"/>
  <c r="F67" i="24"/>
  <c r="F66" i="24"/>
  <c r="I186" i="25" l="1"/>
  <c r="J182" i="25"/>
  <c r="J188" i="25"/>
  <c r="J187" i="25"/>
  <c r="I180" i="25"/>
  <c r="J180" i="25"/>
  <c r="I183" i="25"/>
  <c r="I188" i="25"/>
  <c r="I187" i="25"/>
  <c r="I179" i="25"/>
  <c r="J179" i="25"/>
  <c r="F138" i="25"/>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86" i="25"/>
  <c r="J149" i="25"/>
  <c r="J183" i="25"/>
  <c r="E177"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G177" i="25"/>
  <c r="E162" i="25"/>
  <c r="J162" i="25" s="1"/>
  <c r="T12" i="14"/>
  <c r="J177" i="25" l="1"/>
  <c r="H177" i="25"/>
  <c r="P92" i="14"/>
  <c r="K83"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K29" i="25" l="1"/>
  <c r="D116" i="25" l="1"/>
  <c r="F117" i="25" l="1"/>
  <c r="F113" i="25" l="1"/>
  <c r="F120" i="25"/>
  <c r="F112" i="25" l="1"/>
  <c r="D143" i="25" l="1"/>
  <c r="D142" i="25"/>
  <c r="D140" i="25"/>
  <c r="D139" i="25"/>
  <c r="D136" i="25"/>
  <c r="D134" i="25"/>
  <c r="D133" i="25"/>
  <c r="D132" i="25"/>
  <c r="E143" i="25"/>
  <c r="D131" i="25" l="1"/>
  <c r="J31" i="14"/>
  <c r="J30" i="14"/>
  <c r="J29" i="14"/>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Q82" i="23"/>
  <c r="P82" i="23"/>
  <c r="O82" i="23"/>
  <c r="N82" i="23"/>
  <c r="M82" i="23"/>
  <c r="L82" i="23"/>
  <c r="K82" i="23"/>
  <c r="J82" i="23"/>
  <c r="I82" i="23"/>
  <c r="H82" i="23"/>
  <c r="G82" i="23"/>
  <c r="Q81" i="23"/>
  <c r="P81" i="23"/>
  <c r="O81" i="23"/>
  <c r="N81" i="23"/>
  <c r="M81" i="23"/>
  <c r="L81" i="23"/>
  <c r="K81" i="23"/>
  <c r="J81" i="23"/>
  <c r="I81" i="23"/>
  <c r="H81" i="23"/>
  <c r="G81" i="23"/>
  <c r="Q80" i="23"/>
  <c r="P80" i="23"/>
  <c r="O80" i="23"/>
  <c r="N80" i="23"/>
  <c r="D141" i="25" s="1"/>
  <c r="D138" i="25" s="1"/>
  <c r="M80" i="23"/>
  <c r="L80" i="23"/>
  <c r="K80" i="23"/>
  <c r="J80" i="23"/>
  <c r="I80" i="23"/>
  <c r="H80" i="23"/>
  <c r="H77" i="23" s="1"/>
  <c r="G80" i="23"/>
  <c r="Q79" i="23"/>
  <c r="P79" i="23"/>
  <c r="O79" i="23"/>
  <c r="N79" i="23"/>
  <c r="M79" i="23"/>
  <c r="L79" i="23"/>
  <c r="K79" i="23"/>
  <c r="J79" i="23"/>
  <c r="I79" i="23"/>
  <c r="H79" i="23"/>
  <c r="G79" i="23"/>
  <c r="Q78" i="23"/>
  <c r="P78" i="23"/>
  <c r="O78" i="23"/>
  <c r="N78" i="23"/>
  <c r="M78" i="23"/>
  <c r="L78" i="23"/>
  <c r="K78" i="23"/>
  <c r="J78" i="23"/>
  <c r="I78" i="23"/>
  <c r="H78" i="23"/>
  <c r="G78" i="23"/>
  <c r="F82" i="23"/>
  <c r="R82" i="23" s="1"/>
  <c r="F81" i="23"/>
  <c r="F80" i="23"/>
  <c r="F79" i="23"/>
  <c r="F78" i="23"/>
  <c r="Q76" i="23"/>
  <c r="P76" i="23"/>
  <c r="O76" i="23"/>
  <c r="N76" i="23"/>
  <c r="D137" i="25" s="1"/>
  <c r="D135" i="25" s="1"/>
  <c r="M76" i="23"/>
  <c r="L76" i="23"/>
  <c r="K76" i="23"/>
  <c r="J76" i="23"/>
  <c r="J74" i="23" s="1"/>
  <c r="I76" i="23"/>
  <c r="I74" i="23" s="1"/>
  <c r="H76" i="23"/>
  <c r="H74" i="23" s="1"/>
  <c r="G76" i="23"/>
  <c r="R76" i="23" s="1"/>
  <c r="Q75" i="23"/>
  <c r="P75" i="23"/>
  <c r="O75" i="23"/>
  <c r="N75" i="23"/>
  <c r="M75" i="23"/>
  <c r="M74" i="23" s="1"/>
  <c r="L75" i="23"/>
  <c r="K75" i="23"/>
  <c r="J75" i="23"/>
  <c r="I75" i="23"/>
  <c r="H75" i="23"/>
  <c r="G75" i="23"/>
  <c r="F76" i="23"/>
  <c r="F75" i="23"/>
  <c r="Q73" i="23"/>
  <c r="P73" i="23"/>
  <c r="O73" i="23"/>
  <c r="N73" i="23"/>
  <c r="M73" i="23"/>
  <c r="L73" i="23"/>
  <c r="K73" i="23"/>
  <c r="J73" i="23"/>
  <c r="I73" i="23"/>
  <c r="H73" i="23"/>
  <c r="G73" i="23"/>
  <c r="Q72" i="23"/>
  <c r="P72" i="23"/>
  <c r="O72" i="23"/>
  <c r="N72" i="23"/>
  <c r="M72" i="23"/>
  <c r="L72" i="23"/>
  <c r="K72" i="23"/>
  <c r="J72" i="23"/>
  <c r="I72" i="23"/>
  <c r="H72" i="23"/>
  <c r="G72" i="23"/>
  <c r="Q71" i="23"/>
  <c r="P71" i="23"/>
  <c r="O71" i="23"/>
  <c r="N71" i="23"/>
  <c r="M71" i="23"/>
  <c r="L71" i="23"/>
  <c r="K71" i="23"/>
  <c r="J71" i="23"/>
  <c r="I71" i="23"/>
  <c r="H71" i="23"/>
  <c r="G71" i="23"/>
  <c r="F73" i="23"/>
  <c r="F72" i="23"/>
  <c r="F71" i="23"/>
  <c r="Q77" i="23"/>
  <c r="O77" i="23"/>
  <c r="L77" i="23"/>
  <c r="I77" i="23"/>
  <c r="G77" i="23"/>
  <c r="Q74" i="23"/>
  <c r="P74" i="23"/>
  <c r="K74" i="23"/>
  <c r="Q70" i="23"/>
  <c r="P70" i="23"/>
  <c r="O70" i="23"/>
  <c r="N70" i="23"/>
  <c r="M70" i="23"/>
  <c r="L70" i="23"/>
  <c r="K70" i="23"/>
  <c r="J70" i="23"/>
  <c r="I70" i="23"/>
  <c r="H70" i="23"/>
  <c r="G70" i="23"/>
  <c r="K131" i="25" l="1"/>
  <c r="P143" i="25"/>
  <c r="H141" i="25"/>
  <c r="H137" i="25"/>
  <c r="G74" i="23"/>
  <c r="O74" i="23"/>
  <c r="O69" i="23" s="1"/>
  <c r="O67" i="23" s="1"/>
  <c r="L74" i="23"/>
  <c r="D130" i="25"/>
  <c r="N74" i="23"/>
  <c r="I69" i="23"/>
  <c r="I67" i="23" s="1"/>
  <c r="G69" i="23"/>
  <c r="G67" i="23" s="1"/>
  <c r="N77" i="23"/>
  <c r="N69" i="23" s="1"/>
  <c r="N67" i="23" s="1"/>
  <c r="K77" i="23"/>
  <c r="K69" i="23" s="1"/>
  <c r="K67" i="23" s="1"/>
  <c r="P77" i="23"/>
  <c r="M77" i="23"/>
  <c r="M69" i="23" s="1"/>
  <c r="M67" i="23" s="1"/>
  <c r="J77" i="23"/>
  <c r="Q69" i="23"/>
  <c r="Q67" i="23" s="1"/>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P69" i="23"/>
  <c r="P67" i="23" s="1"/>
  <c r="R78" i="23"/>
  <c r="H69" i="23"/>
  <c r="H67" i="23" s="1"/>
  <c r="R79" i="23"/>
  <c r="L69" i="23"/>
  <c r="L67" i="23" s="1"/>
  <c r="R80" i="23"/>
  <c r="R81" i="23"/>
  <c r="F77" i="23"/>
  <c r="R77" i="23" s="1"/>
  <c r="R75" i="23"/>
  <c r="F74" i="23"/>
  <c r="J69" i="23"/>
  <c r="J67" i="23" s="1"/>
  <c r="R72" i="23"/>
  <c r="R73" i="23"/>
  <c r="F70" i="23"/>
  <c r="R70" i="23" s="1"/>
  <c r="R71" i="23"/>
  <c r="I182" i="25" l="1"/>
  <c r="K137" i="25"/>
  <c r="D102" i="25"/>
  <c r="R74" i="23"/>
  <c r="I152" i="25"/>
  <c r="I155" i="25"/>
  <c r="K141" i="25"/>
  <c r="D106" i="25"/>
  <c r="O131" i="25"/>
  <c r="Q131" i="25"/>
  <c r="H138" i="25"/>
  <c r="J138" i="25"/>
  <c r="Q138" i="25"/>
  <c r="G130" i="25"/>
  <c r="J130" i="25" s="1"/>
  <c r="N130" i="25"/>
  <c r="Q135" i="25"/>
  <c r="J96" i="25"/>
  <c r="G95" i="25"/>
  <c r="J100" i="25"/>
  <c r="H96" i="25"/>
  <c r="J103" i="25"/>
  <c r="M117" i="25"/>
  <c r="F95" i="25"/>
  <c r="M113" i="25"/>
  <c r="M120" i="25"/>
  <c r="F69" i="23"/>
  <c r="D177" i="25" l="1"/>
  <c r="I177" i="25" s="1"/>
  <c r="H102" i="25"/>
  <c r="D100" i="25"/>
  <c r="H100" i="25" s="1"/>
  <c r="K135" i="25"/>
  <c r="O135" i="25" s="1"/>
  <c r="O137" i="25"/>
  <c r="R69" i="23"/>
  <c r="F67" i="23"/>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L11" i="22" l="1"/>
  <c r="L12" i="22"/>
  <c r="L10" i="22"/>
  <c r="L14" i="22"/>
  <c r="L15" i="22"/>
  <c r="L17" i="22"/>
  <c r="L18" i="22"/>
  <c r="L19" i="22"/>
  <c r="L20" i="22"/>
  <c r="K21" i="22"/>
  <c r="L21" i="22"/>
  <c r="O10" i="22"/>
  <c r="P10" i="22"/>
  <c r="O11" i="22"/>
  <c r="P11" i="22"/>
  <c r="O12" i="22"/>
  <c r="P12" i="22"/>
  <c r="O14" i="22"/>
  <c r="P14" i="22"/>
  <c r="O15" i="22"/>
  <c r="P15" i="22"/>
  <c r="O17" i="22"/>
  <c r="P17" i="22"/>
  <c r="O18" i="22"/>
  <c r="P18" i="22"/>
  <c r="O19" i="22"/>
  <c r="P19" i="22"/>
  <c r="O20" i="22"/>
  <c r="P20" i="22"/>
  <c r="O21" i="22"/>
  <c r="P21" i="22"/>
  <c r="Y10" i="22"/>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K28" i="25" l="1"/>
  <c r="G148" i="25"/>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E205"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L16" i="22"/>
  <c r="G198" i="25" l="1"/>
  <c r="H198" i="25" s="1"/>
  <c r="V8" i="25"/>
  <c r="F15" i="25"/>
  <c r="K154" i="25" s="1"/>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I34" i="22"/>
  <c r="I30" i="22"/>
  <c r="G33" i="22"/>
  <c r="G47" i="22" s="1"/>
  <c r="G32" i="22"/>
  <c r="G31" i="22"/>
  <c r="G25" i="22"/>
  <c r="G28" i="22"/>
  <c r="G27" i="22"/>
  <c r="D194" i="25" l="1"/>
  <c r="F8" i="25"/>
  <c r="K147" i="25" s="1"/>
  <c r="I195" i="25"/>
  <c r="I198" i="25"/>
  <c r="K162" i="25"/>
  <c r="H117" i="25"/>
  <c r="K17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60" i="22"/>
  <c r="O65" i="22"/>
  <c r="P65" i="22"/>
  <c r="O66" i="22"/>
  <c r="O67" i="22"/>
  <c r="O68" i="22"/>
  <c r="O69" i="22"/>
  <c r="P69" i="22"/>
  <c r="O62" i="22"/>
  <c r="O63" i="22"/>
  <c r="O59" i="22"/>
  <c r="O60" i="22"/>
  <c r="O58" i="22"/>
  <c r="N60" i="22"/>
  <c r="G34" i="22"/>
  <c r="P194" i="25" l="1"/>
  <c r="O194" i="25"/>
  <c r="N177" i="25"/>
  <c r="L82" i="25"/>
  <c r="H88" i="25"/>
  <c r="J79" i="25"/>
  <c r="L79" i="25" s="1"/>
  <c r="O113" i="25"/>
  <c r="N112" i="25"/>
  <c r="Q112" i="25" s="1"/>
  <c r="O117" i="25"/>
  <c r="O120" i="25"/>
  <c r="Q120" i="25"/>
  <c r="S60" i="22"/>
  <c r="O177" i="25" l="1"/>
  <c r="P177" i="25"/>
  <c r="J88" i="25"/>
  <c r="L88" i="25" s="1"/>
  <c r="O112" i="25"/>
  <c r="R60" i="22"/>
  <c r="Q60" i="22"/>
  <c r="I60" i="22"/>
  <c r="J60" i="22"/>
  <c r="D60" i="22"/>
  <c r="N21" i="14" l="1"/>
  <c r="N18" i="14"/>
  <c r="N19" i="14"/>
  <c r="N20" i="14"/>
  <c r="N22" i="14"/>
  <c r="N23" i="14"/>
  <c r="N24" i="14"/>
  <c r="N25" i="14"/>
  <c r="N26" i="14"/>
  <c r="N27" i="14"/>
  <c r="M11" i="14"/>
  <c r="P59" i="22" l="1"/>
  <c r="N21" i="22"/>
  <c r="N69" i="22" s="1"/>
  <c r="N20" i="22"/>
  <c r="N68" i="22" s="1"/>
  <c r="N19" i="22"/>
  <c r="N67" i="22" s="1"/>
  <c r="N18" i="22"/>
  <c r="N66" i="22" s="1"/>
  <c r="N17" i="22"/>
  <c r="N65" i="22" s="1"/>
  <c r="N15" i="22"/>
  <c r="N63" i="22" s="1"/>
  <c r="N14" i="22"/>
  <c r="N62" i="22" s="1"/>
  <c r="N11" i="22"/>
  <c r="N59" i="22" s="1"/>
  <c r="N10" i="22"/>
  <c r="N58" i="22" s="1"/>
  <c r="K69" i="22"/>
  <c r="K68" i="22"/>
  <c r="K67" i="22"/>
  <c r="K66" i="22"/>
  <c r="K65" i="22"/>
  <c r="K63" i="22"/>
  <c r="K62" i="22"/>
  <c r="K60" i="22"/>
  <c r="K59" i="22"/>
  <c r="K58" i="22"/>
  <c r="J21" i="22"/>
  <c r="I69" i="22" s="1"/>
  <c r="J20" i="22"/>
  <c r="I68" i="22" s="1"/>
  <c r="J19" i="22"/>
  <c r="I67" i="22" s="1"/>
  <c r="J18" i="22"/>
  <c r="I66" i="22" s="1"/>
  <c r="J17" i="22"/>
  <c r="I65" i="22" s="1"/>
  <c r="J15" i="22"/>
  <c r="I63" i="22" s="1"/>
  <c r="J14" i="22"/>
  <c r="I62" i="22" s="1"/>
  <c r="J11" i="22"/>
  <c r="I59" i="22" s="1"/>
  <c r="J10" i="22"/>
  <c r="I58" i="22" s="1"/>
  <c r="I61" i="22" l="1"/>
  <c r="P67" i="22"/>
  <c r="I32" i="22"/>
  <c r="K32" i="22" s="1"/>
  <c r="I28" i="22"/>
  <c r="K28" i="22" s="1"/>
  <c r="P62" i="22"/>
  <c r="I25" i="22"/>
  <c r="P58" i="22"/>
  <c r="P66" i="22"/>
  <c r="I31" i="22"/>
  <c r="K31" i="22" s="1"/>
  <c r="I27" i="22"/>
  <c r="K27" i="22" s="1"/>
  <c r="P63" i="22"/>
  <c r="K57" i="22"/>
  <c r="L58" i="22"/>
  <c r="L68" i="22"/>
  <c r="L59" i="22"/>
  <c r="L69" i="22"/>
  <c r="L67" i="22"/>
  <c r="M60" i="22"/>
  <c r="L60" i="22"/>
  <c r="L62" i="22"/>
  <c r="K61" i="22"/>
  <c r="L63" i="22"/>
  <c r="I64" i="22"/>
  <c r="K64" i="22"/>
  <c r="L65" i="22"/>
  <c r="E34" i="22"/>
  <c r="J69" i="22"/>
  <c r="M69" i="22" s="1"/>
  <c r="L66" i="22"/>
  <c r="K34" i="22"/>
  <c r="I57" i="22"/>
  <c r="H21" i="22"/>
  <c r="H20" i="22"/>
  <c r="H19" i="22"/>
  <c r="H18" i="22"/>
  <c r="H17" i="22"/>
  <c r="AF17" i="22" s="1"/>
  <c r="H15" i="22"/>
  <c r="G41" i="22" s="1"/>
  <c r="H14" i="22"/>
  <c r="G42" i="22" s="1"/>
  <c r="H12" i="22"/>
  <c r="H11" i="22"/>
  <c r="F59" i="22" s="1"/>
  <c r="H10" i="22"/>
  <c r="G21" i="22"/>
  <c r="F21" i="22"/>
  <c r="D69" i="22" s="1"/>
  <c r="F20" i="22"/>
  <c r="D68" i="22" s="1"/>
  <c r="F19" i="22"/>
  <c r="D67" i="22" s="1"/>
  <c r="F18" i="22"/>
  <c r="D66" i="22" s="1"/>
  <c r="F17" i="22"/>
  <c r="D65" i="22" s="1"/>
  <c r="F15" i="22"/>
  <c r="D63" i="22" s="1"/>
  <c r="F14" i="22"/>
  <c r="D62" i="22" s="1"/>
  <c r="F11" i="22"/>
  <c r="D59" i="22" s="1"/>
  <c r="F10" i="22"/>
  <c r="D58" i="22" s="1"/>
  <c r="N139" i="14"/>
  <c r="N137" i="14"/>
  <c r="J142" i="14"/>
  <c r="J141" i="14"/>
  <c r="J140" i="14"/>
  <c r="J139" i="14"/>
  <c r="J138" i="14"/>
  <c r="J137" i="14"/>
  <c r="J136" i="14"/>
  <c r="J135" i="14"/>
  <c r="J134" i="14"/>
  <c r="N143" i="14"/>
  <c r="N142" i="14"/>
  <c r="N141" i="14"/>
  <c r="N140" i="14"/>
  <c r="N138" i="14"/>
  <c r="N136" i="14"/>
  <c r="N135" i="14"/>
  <c r="N134" i="14"/>
  <c r="N132" i="14"/>
  <c r="N131" i="14"/>
  <c r="N130" i="14"/>
  <c r="N129" i="14"/>
  <c r="N128" i="14"/>
  <c r="N127" i="14"/>
  <c r="N126" i="14"/>
  <c r="N125" i="14"/>
  <c r="N124" i="14"/>
  <c r="N123" i="14"/>
  <c r="K133" i="14"/>
  <c r="R11" i="14" s="1"/>
  <c r="J131" i="14"/>
  <c r="J130" i="14"/>
  <c r="J129" i="14"/>
  <c r="J128" i="14"/>
  <c r="J127" i="14"/>
  <c r="J126" i="14"/>
  <c r="N113" i="14"/>
  <c r="N114" i="14"/>
  <c r="N115" i="14"/>
  <c r="N116" i="14"/>
  <c r="N117" i="14"/>
  <c r="N118" i="14"/>
  <c r="N119" i="14"/>
  <c r="N120" i="14"/>
  <c r="N121" i="14"/>
  <c r="J120" i="14"/>
  <c r="J119" i="14"/>
  <c r="J118" i="14"/>
  <c r="J117" i="14"/>
  <c r="J116" i="14"/>
  <c r="J115" i="14"/>
  <c r="J114" i="14"/>
  <c r="J113" i="14"/>
  <c r="J112" i="14"/>
  <c r="N102" i="14"/>
  <c r="J108" i="14"/>
  <c r="E142" i="25" s="1"/>
  <c r="J107" i="14"/>
  <c r="E141" i="25" s="1"/>
  <c r="J106" i="14"/>
  <c r="E140" i="25" s="1"/>
  <c r="J105" i="14"/>
  <c r="E139" i="25" s="1"/>
  <c r="J104" i="14"/>
  <c r="E137" i="25" s="1"/>
  <c r="J103" i="14"/>
  <c r="E136" i="25" s="1"/>
  <c r="J102" i="14"/>
  <c r="J101" i="14"/>
  <c r="J100" i="14"/>
  <c r="E132" i="25" s="1"/>
  <c r="N90" i="14"/>
  <c r="J96" i="14"/>
  <c r="J95" i="14"/>
  <c r="J94" i="14"/>
  <c r="J93" i="14"/>
  <c r="J92" i="14"/>
  <c r="J91" i="14"/>
  <c r="J90" i="14"/>
  <c r="J89" i="14"/>
  <c r="J88" i="14"/>
  <c r="N54" i="14"/>
  <c r="N65" i="14"/>
  <c r="N78" i="14"/>
  <c r="J84" i="14"/>
  <c r="J83" i="14"/>
  <c r="J82" i="14"/>
  <c r="J81" i="14"/>
  <c r="J80" i="14"/>
  <c r="J79" i="14"/>
  <c r="J78" i="14"/>
  <c r="J77" i="14"/>
  <c r="J76" i="14"/>
  <c r="J71" i="14"/>
  <c r="J70" i="14"/>
  <c r="J69" i="14"/>
  <c r="J68" i="14"/>
  <c r="J67" i="14"/>
  <c r="J66" i="14"/>
  <c r="J65" i="14"/>
  <c r="J64" i="14"/>
  <c r="J63" i="14"/>
  <c r="J60" i="14"/>
  <c r="J59" i="14"/>
  <c r="J58" i="14"/>
  <c r="J57" i="14"/>
  <c r="J56" i="14"/>
  <c r="J55" i="14"/>
  <c r="J54" i="14"/>
  <c r="J53" i="14"/>
  <c r="J52" i="14"/>
  <c r="N49" i="14"/>
  <c r="N48" i="14"/>
  <c r="N47" i="14"/>
  <c r="N46" i="14"/>
  <c r="N50" i="14"/>
  <c r="N43" i="14"/>
  <c r="N42" i="14"/>
  <c r="J49" i="14"/>
  <c r="J48" i="14"/>
  <c r="J47" i="14"/>
  <c r="J46" i="14"/>
  <c r="J45" i="14"/>
  <c r="J44" i="14"/>
  <c r="J43" i="14"/>
  <c r="J42" i="14"/>
  <c r="J41" i="14"/>
  <c r="N38" i="14"/>
  <c r="N36" i="14"/>
  <c r="N35" i="14"/>
  <c r="N34" i="14"/>
  <c r="G30" i="22" s="1"/>
  <c r="K30" i="22" s="1"/>
  <c r="N33" i="14"/>
  <c r="N32" i="14"/>
  <c r="N31" i="14"/>
  <c r="N30" i="14"/>
  <c r="N29" i="14"/>
  <c r="N8" i="14"/>
  <c r="N9" i="14"/>
  <c r="N10" i="14"/>
  <c r="N11" i="14"/>
  <c r="N12" i="14"/>
  <c r="N13" i="14"/>
  <c r="N14" i="14"/>
  <c r="N15" i="14"/>
  <c r="N16" i="14"/>
  <c r="J26" i="14"/>
  <c r="K20" i="22" s="1"/>
  <c r="J68" i="22" s="1"/>
  <c r="M68" i="22" s="1"/>
  <c r="J25" i="14"/>
  <c r="K19" i="22" s="1"/>
  <c r="E32" i="22" s="1"/>
  <c r="J24" i="14"/>
  <c r="K18" i="22" s="1"/>
  <c r="E31" i="22" s="1"/>
  <c r="J23" i="14"/>
  <c r="K17" i="22" s="1"/>
  <c r="E30" i="22" s="1"/>
  <c r="J22" i="14"/>
  <c r="K15" i="22" s="1"/>
  <c r="E27" i="22" s="1"/>
  <c r="J21" i="14"/>
  <c r="K14" i="22" s="1"/>
  <c r="E28" i="22" s="1"/>
  <c r="J20" i="14"/>
  <c r="J19" i="14"/>
  <c r="K11" i="22" s="1"/>
  <c r="J59" i="22" s="1"/>
  <c r="M59" i="22" s="1"/>
  <c r="J18" i="14"/>
  <c r="K10" i="22" s="1"/>
  <c r="J58" i="22" s="1"/>
  <c r="M144" i="14"/>
  <c r="I144" i="14"/>
  <c r="M133" i="14"/>
  <c r="I133" i="14"/>
  <c r="M122" i="14"/>
  <c r="I122" i="14"/>
  <c r="M110" i="14"/>
  <c r="I110" i="14"/>
  <c r="M98" i="14"/>
  <c r="I98" i="14"/>
  <c r="M86" i="14"/>
  <c r="I86" i="14"/>
  <c r="I73" i="14"/>
  <c r="Q73" i="14" s="1"/>
  <c r="I62" i="14"/>
  <c r="Q62" i="14" s="1"/>
  <c r="I51" i="14"/>
  <c r="Q51" i="14" s="1"/>
  <c r="L50" i="14"/>
  <c r="M39" i="14"/>
  <c r="J39" i="14"/>
  <c r="I39" i="14"/>
  <c r="M28" i="14"/>
  <c r="I28" i="14"/>
  <c r="Q28" i="14" s="1"/>
  <c r="L143" i="14"/>
  <c r="L132" i="14"/>
  <c r="L121" i="14"/>
  <c r="N109" i="14"/>
  <c r="L109" i="14"/>
  <c r="N97" i="14"/>
  <c r="L97" i="14"/>
  <c r="N85" i="14"/>
  <c r="L85" i="14"/>
  <c r="N72" i="14"/>
  <c r="L72" i="14"/>
  <c r="N61" i="14"/>
  <c r="L61" i="14"/>
  <c r="J15" i="14"/>
  <c r="J14" i="14"/>
  <c r="J13" i="14"/>
  <c r="J12" i="14"/>
  <c r="J11" i="14"/>
  <c r="J10" i="14"/>
  <c r="J9" i="14"/>
  <c r="J8" i="14"/>
  <c r="J7" i="14"/>
  <c r="Q57" i="24"/>
  <c r="P57" i="24"/>
  <c r="O57" i="24"/>
  <c r="N57" i="24"/>
  <c r="M57" i="24"/>
  <c r="L57" i="24"/>
  <c r="K57" i="24"/>
  <c r="J57" i="24"/>
  <c r="I57" i="24"/>
  <c r="H57" i="24"/>
  <c r="G57" i="24"/>
  <c r="F57" i="24"/>
  <c r="AH56" i="24"/>
  <c r="AG56" i="24"/>
  <c r="AF56" i="24"/>
  <c r="AE56" i="24"/>
  <c r="T56" i="24"/>
  <c r="U56" i="24" s="1"/>
  <c r="V56" i="24" s="1"/>
  <c r="W56" i="24" s="1"/>
  <c r="X56" i="24" s="1"/>
  <c r="Y56" i="24" s="1"/>
  <c r="Z56" i="24" s="1"/>
  <c r="AA56" i="24" s="1"/>
  <c r="AB56" i="24" s="1"/>
  <c r="AC56" i="24" s="1"/>
  <c r="R56" i="24"/>
  <c r="AH55" i="24"/>
  <c r="AG55" i="24"/>
  <c r="AF55" i="24"/>
  <c r="AE55" i="24"/>
  <c r="T55" i="24"/>
  <c r="U55" i="24" s="1"/>
  <c r="V55" i="24" s="1"/>
  <c r="W55" i="24" s="1"/>
  <c r="X55" i="24" s="1"/>
  <c r="Y55" i="24" s="1"/>
  <c r="Z55" i="24" s="1"/>
  <c r="AA55" i="24" s="1"/>
  <c r="AB55" i="24" s="1"/>
  <c r="AC55" i="24" s="1"/>
  <c r="R55" i="24"/>
  <c r="AH53" i="24"/>
  <c r="AG53" i="24"/>
  <c r="AF53" i="24"/>
  <c r="AE53" i="24"/>
  <c r="T53" i="24"/>
  <c r="U53" i="24" s="1"/>
  <c r="V53" i="24" s="1"/>
  <c r="W53" i="24" s="1"/>
  <c r="X53" i="24" s="1"/>
  <c r="Y53" i="24" s="1"/>
  <c r="Z53" i="24" s="1"/>
  <c r="AA53" i="24" s="1"/>
  <c r="AB53" i="24" s="1"/>
  <c r="AC53" i="24" s="1"/>
  <c r="R53" i="24"/>
  <c r="AH52" i="24"/>
  <c r="AG52" i="24"/>
  <c r="AF52" i="24"/>
  <c r="AE52" i="24"/>
  <c r="T52" i="24"/>
  <c r="U52" i="24" s="1"/>
  <c r="V52" i="24" s="1"/>
  <c r="W52" i="24" s="1"/>
  <c r="X52" i="24" s="1"/>
  <c r="Y52" i="24" s="1"/>
  <c r="Z52" i="24" s="1"/>
  <c r="AA52" i="24" s="1"/>
  <c r="AB52" i="24" s="1"/>
  <c r="AC52" i="24" s="1"/>
  <c r="R52" i="24"/>
  <c r="AH51" i="24"/>
  <c r="AG51" i="24"/>
  <c r="AF51" i="24"/>
  <c r="AE51" i="24"/>
  <c r="T51" i="24"/>
  <c r="U51" i="24" s="1"/>
  <c r="V51" i="24" s="1"/>
  <c r="W51" i="24" s="1"/>
  <c r="X51" i="24" s="1"/>
  <c r="Y51" i="24" s="1"/>
  <c r="Z51" i="24" s="1"/>
  <c r="AA51" i="24" s="1"/>
  <c r="AB51" i="24" s="1"/>
  <c r="AC51" i="24" s="1"/>
  <c r="R51" i="24"/>
  <c r="AH50" i="24"/>
  <c r="AG50" i="24"/>
  <c r="AF50" i="24"/>
  <c r="AE50" i="24"/>
  <c r="T50" i="24"/>
  <c r="U50" i="24" s="1"/>
  <c r="V50" i="24" s="1"/>
  <c r="W50" i="24" s="1"/>
  <c r="X50" i="24" s="1"/>
  <c r="Y50" i="24" s="1"/>
  <c r="Z50" i="24" s="1"/>
  <c r="AA50" i="24" s="1"/>
  <c r="AB50" i="24" s="1"/>
  <c r="AC50" i="24" s="1"/>
  <c r="R50" i="24"/>
  <c r="AH49" i="24"/>
  <c r="AG49" i="24"/>
  <c r="AF49" i="24"/>
  <c r="AE49" i="24"/>
  <c r="T49" i="24"/>
  <c r="U49" i="24" s="1"/>
  <c r="V49" i="24" s="1"/>
  <c r="W49" i="24" s="1"/>
  <c r="X49" i="24" s="1"/>
  <c r="Y49" i="24" s="1"/>
  <c r="Z49" i="24" s="1"/>
  <c r="AA49" i="24" s="1"/>
  <c r="AB49" i="24" s="1"/>
  <c r="AC49" i="24" s="1"/>
  <c r="R49" i="24"/>
  <c r="AH48" i="24"/>
  <c r="AG48" i="24"/>
  <c r="AF48" i="24"/>
  <c r="AE48" i="24"/>
  <c r="T48" i="24"/>
  <c r="U48" i="24" s="1"/>
  <c r="V48" i="24" s="1"/>
  <c r="W48" i="24" s="1"/>
  <c r="X48" i="24" s="1"/>
  <c r="Y48" i="24" s="1"/>
  <c r="Z48" i="24" s="1"/>
  <c r="AA48" i="24" s="1"/>
  <c r="AB48" i="24" s="1"/>
  <c r="AC48" i="24" s="1"/>
  <c r="R48" i="24"/>
  <c r="AH47" i="24"/>
  <c r="AG47" i="24"/>
  <c r="AF47" i="24"/>
  <c r="AE47" i="24"/>
  <c r="T47" i="24"/>
  <c r="U47" i="24" s="1"/>
  <c r="V47" i="24" s="1"/>
  <c r="W47" i="24" s="1"/>
  <c r="X47" i="24" s="1"/>
  <c r="Y47" i="24" s="1"/>
  <c r="Z47" i="24" s="1"/>
  <c r="AA47" i="24" s="1"/>
  <c r="AB47" i="24" s="1"/>
  <c r="AC47" i="24" s="1"/>
  <c r="R47" i="24"/>
  <c r="AH46" i="24"/>
  <c r="AG46" i="24"/>
  <c r="AF46" i="24"/>
  <c r="AE46" i="24"/>
  <c r="T46" i="24"/>
  <c r="U46" i="24" s="1"/>
  <c r="V46" i="24" s="1"/>
  <c r="W46" i="24" s="1"/>
  <c r="X46" i="24" s="1"/>
  <c r="Y46" i="24" s="1"/>
  <c r="Z46" i="24" s="1"/>
  <c r="AA46" i="24" s="1"/>
  <c r="AB46" i="24" s="1"/>
  <c r="AC46" i="24" s="1"/>
  <c r="R46" i="24"/>
  <c r="AH45" i="24"/>
  <c r="AG45" i="24"/>
  <c r="AF45" i="24"/>
  <c r="AE45" i="24"/>
  <c r="T45" i="24"/>
  <c r="U45" i="24" s="1"/>
  <c r="V45" i="24" s="1"/>
  <c r="W45" i="24" s="1"/>
  <c r="X45" i="24" s="1"/>
  <c r="Y45" i="24" s="1"/>
  <c r="Z45" i="24" s="1"/>
  <c r="AA45" i="24" s="1"/>
  <c r="AB45" i="24" s="1"/>
  <c r="AC45" i="24" s="1"/>
  <c r="R45" i="24"/>
  <c r="AH44" i="24"/>
  <c r="AG44" i="24"/>
  <c r="AF44" i="24"/>
  <c r="AE44" i="24"/>
  <c r="T44" i="24"/>
  <c r="U44" i="24" s="1"/>
  <c r="V44" i="24" s="1"/>
  <c r="W44" i="24" s="1"/>
  <c r="X44" i="24" s="1"/>
  <c r="Y44" i="24" s="1"/>
  <c r="Z44" i="24" s="1"/>
  <c r="AA44" i="24" s="1"/>
  <c r="AB44" i="24" s="1"/>
  <c r="AC44" i="24" s="1"/>
  <c r="R44" i="24"/>
  <c r="AH43" i="24"/>
  <c r="AG43" i="24"/>
  <c r="AF43" i="24"/>
  <c r="AE43" i="24"/>
  <c r="T43" i="24"/>
  <c r="U43" i="24" s="1"/>
  <c r="V43" i="24" s="1"/>
  <c r="W43" i="24" s="1"/>
  <c r="X43" i="24" s="1"/>
  <c r="Y43" i="24" s="1"/>
  <c r="Z43" i="24" s="1"/>
  <c r="AA43" i="24" s="1"/>
  <c r="AB43" i="24" s="1"/>
  <c r="AC43" i="24" s="1"/>
  <c r="R43" i="24"/>
  <c r="AH42" i="24"/>
  <c r="AG42" i="24"/>
  <c r="AF42" i="24"/>
  <c r="AE42" i="24"/>
  <c r="T42" i="24"/>
  <c r="U42" i="24" s="1"/>
  <c r="V42" i="24" s="1"/>
  <c r="W42" i="24" s="1"/>
  <c r="X42" i="24" s="1"/>
  <c r="Y42" i="24" s="1"/>
  <c r="Z42" i="24" s="1"/>
  <c r="AA42" i="24" s="1"/>
  <c r="AB42" i="24" s="1"/>
  <c r="AC42" i="24" s="1"/>
  <c r="R42" i="24"/>
  <c r="AH41" i="24"/>
  <c r="AG41" i="24"/>
  <c r="AF41" i="24"/>
  <c r="AE41" i="24"/>
  <c r="T41" i="24"/>
  <c r="U41" i="24" s="1"/>
  <c r="V41" i="24" s="1"/>
  <c r="W41" i="24" s="1"/>
  <c r="X41" i="24" s="1"/>
  <c r="Y41" i="24" s="1"/>
  <c r="Z41" i="24" s="1"/>
  <c r="AA41" i="24" s="1"/>
  <c r="AB41" i="24" s="1"/>
  <c r="AC41" i="24" s="1"/>
  <c r="R41" i="24"/>
  <c r="AH40" i="24"/>
  <c r="AG40" i="24"/>
  <c r="AF40" i="24"/>
  <c r="AE40" i="24"/>
  <c r="T40" i="24"/>
  <c r="U40" i="24" s="1"/>
  <c r="V40" i="24" s="1"/>
  <c r="W40" i="24" s="1"/>
  <c r="X40" i="24" s="1"/>
  <c r="Y40" i="24" s="1"/>
  <c r="Z40" i="24" s="1"/>
  <c r="AA40" i="24" s="1"/>
  <c r="AB40" i="24" s="1"/>
  <c r="AC40" i="24" s="1"/>
  <c r="R40" i="24"/>
  <c r="AH39" i="24"/>
  <c r="AG39" i="24"/>
  <c r="AF39" i="24"/>
  <c r="AE39" i="24"/>
  <c r="T39" i="24"/>
  <c r="U39" i="24" s="1"/>
  <c r="V39" i="24" s="1"/>
  <c r="W39" i="24" s="1"/>
  <c r="X39" i="24" s="1"/>
  <c r="Y39" i="24" s="1"/>
  <c r="Z39" i="24" s="1"/>
  <c r="AA39" i="24" s="1"/>
  <c r="AB39" i="24" s="1"/>
  <c r="AC39" i="24" s="1"/>
  <c r="R39" i="24"/>
  <c r="AH38" i="24"/>
  <c r="AG38" i="24"/>
  <c r="AF38" i="24"/>
  <c r="AE38" i="24"/>
  <c r="T38" i="24"/>
  <c r="U38" i="24" s="1"/>
  <c r="V38" i="24" s="1"/>
  <c r="W38" i="24" s="1"/>
  <c r="X38" i="24" s="1"/>
  <c r="Y38" i="24" s="1"/>
  <c r="Z38" i="24" s="1"/>
  <c r="AA38" i="24" s="1"/>
  <c r="AB38" i="24" s="1"/>
  <c r="AC38" i="24" s="1"/>
  <c r="R38" i="24"/>
  <c r="AH37" i="24"/>
  <c r="AG37" i="24"/>
  <c r="AF37" i="24"/>
  <c r="AE37" i="24"/>
  <c r="T37" i="24"/>
  <c r="U37" i="24" s="1"/>
  <c r="V37" i="24" s="1"/>
  <c r="W37" i="24" s="1"/>
  <c r="X37" i="24" s="1"/>
  <c r="Y37" i="24" s="1"/>
  <c r="Z37" i="24" s="1"/>
  <c r="AA37" i="24" s="1"/>
  <c r="AB37" i="24" s="1"/>
  <c r="AC37" i="24" s="1"/>
  <c r="R37" i="24"/>
  <c r="AH36" i="24"/>
  <c r="AG36" i="24"/>
  <c r="AF36" i="24"/>
  <c r="AE36" i="24"/>
  <c r="T36" i="24"/>
  <c r="U36" i="24" s="1"/>
  <c r="V36" i="24" s="1"/>
  <c r="W36" i="24" s="1"/>
  <c r="X36" i="24" s="1"/>
  <c r="Y36" i="24" s="1"/>
  <c r="Z36" i="24" s="1"/>
  <c r="AA36" i="24" s="1"/>
  <c r="AB36" i="24" s="1"/>
  <c r="AC36" i="24" s="1"/>
  <c r="R36" i="24"/>
  <c r="AH35" i="24"/>
  <c r="AG35" i="24"/>
  <c r="AF35" i="24"/>
  <c r="AE35" i="24"/>
  <c r="T35" i="24"/>
  <c r="U35" i="24" s="1"/>
  <c r="V35" i="24" s="1"/>
  <c r="W35" i="24" s="1"/>
  <c r="X35" i="24" s="1"/>
  <c r="Y35" i="24" s="1"/>
  <c r="Z35" i="24" s="1"/>
  <c r="AA35" i="24" s="1"/>
  <c r="AB35" i="24" s="1"/>
  <c r="AC35" i="24" s="1"/>
  <c r="R35" i="24"/>
  <c r="AH34" i="24"/>
  <c r="AG34" i="24"/>
  <c r="AF34" i="24"/>
  <c r="AE34" i="24"/>
  <c r="T34" i="24"/>
  <c r="U34" i="24" s="1"/>
  <c r="V34" i="24" s="1"/>
  <c r="W34" i="24" s="1"/>
  <c r="X34" i="24" s="1"/>
  <c r="Y34" i="24" s="1"/>
  <c r="Z34" i="24" s="1"/>
  <c r="AA34" i="24" s="1"/>
  <c r="AB34" i="24" s="1"/>
  <c r="AC34" i="24" s="1"/>
  <c r="R34" i="24"/>
  <c r="AH33" i="24"/>
  <c r="AG33" i="24"/>
  <c r="AF33" i="24"/>
  <c r="AE33" i="24"/>
  <c r="T33" i="24"/>
  <c r="U33" i="24" s="1"/>
  <c r="V33" i="24" s="1"/>
  <c r="W33" i="24" s="1"/>
  <c r="X33" i="24" s="1"/>
  <c r="Y33" i="24" s="1"/>
  <c r="Z33" i="24" s="1"/>
  <c r="AA33" i="24" s="1"/>
  <c r="AB33" i="24" s="1"/>
  <c r="AC33" i="24" s="1"/>
  <c r="R33" i="24"/>
  <c r="AH32" i="24"/>
  <c r="AG32" i="24"/>
  <c r="AF32" i="24"/>
  <c r="AE32" i="24"/>
  <c r="T32" i="24"/>
  <c r="U32" i="24" s="1"/>
  <c r="V32" i="24" s="1"/>
  <c r="W32" i="24" s="1"/>
  <c r="X32" i="24" s="1"/>
  <c r="Y32" i="24" s="1"/>
  <c r="Z32" i="24" s="1"/>
  <c r="AA32" i="24" s="1"/>
  <c r="AB32" i="24" s="1"/>
  <c r="AC32" i="24" s="1"/>
  <c r="R32" i="24"/>
  <c r="AH31" i="24"/>
  <c r="AG31" i="24"/>
  <c r="AF31" i="24"/>
  <c r="AE31" i="24"/>
  <c r="T31" i="24"/>
  <c r="U31" i="24" s="1"/>
  <c r="V31" i="24" s="1"/>
  <c r="W31" i="24" s="1"/>
  <c r="X31" i="24" s="1"/>
  <c r="Y31" i="24" s="1"/>
  <c r="Z31" i="24" s="1"/>
  <c r="AA31" i="24" s="1"/>
  <c r="AB31" i="24" s="1"/>
  <c r="AC31" i="24" s="1"/>
  <c r="R31" i="24"/>
  <c r="AH30" i="24"/>
  <c r="AG30" i="24"/>
  <c r="AF30" i="24"/>
  <c r="AE30" i="24"/>
  <c r="T30" i="24"/>
  <c r="U30" i="24" s="1"/>
  <c r="V30" i="24" s="1"/>
  <c r="W30" i="24" s="1"/>
  <c r="X30" i="24" s="1"/>
  <c r="Y30" i="24" s="1"/>
  <c r="Z30" i="24" s="1"/>
  <c r="AA30" i="24" s="1"/>
  <c r="AB30" i="24" s="1"/>
  <c r="AC30" i="24" s="1"/>
  <c r="R30" i="24"/>
  <c r="AH29" i="24"/>
  <c r="AG29" i="24"/>
  <c r="AF29" i="24"/>
  <c r="AE29" i="24"/>
  <c r="T29" i="24"/>
  <c r="U29" i="24" s="1"/>
  <c r="V29" i="24" s="1"/>
  <c r="W29" i="24" s="1"/>
  <c r="X29" i="24" s="1"/>
  <c r="Y29" i="24" s="1"/>
  <c r="Z29" i="24" s="1"/>
  <c r="AA29" i="24" s="1"/>
  <c r="AB29" i="24" s="1"/>
  <c r="AC29" i="24" s="1"/>
  <c r="R29" i="24"/>
  <c r="AH28" i="24"/>
  <c r="AG28" i="24"/>
  <c r="AF28" i="24"/>
  <c r="AE28" i="24"/>
  <c r="T28" i="24"/>
  <c r="U28" i="24" s="1"/>
  <c r="V28" i="24" s="1"/>
  <c r="W28" i="24" s="1"/>
  <c r="X28" i="24" s="1"/>
  <c r="Y28" i="24" s="1"/>
  <c r="Z28" i="24" s="1"/>
  <c r="AA28" i="24" s="1"/>
  <c r="AB28" i="24" s="1"/>
  <c r="AC28" i="24" s="1"/>
  <c r="R28" i="24"/>
  <c r="AH27" i="24"/>
  <c r="AG27" i="24"/>
  <c r="AF27" i="24"/>
  <c r="AE27" i="24"/>
  <c r="T27" i="24"/>
  <c r="U27" i="24" s="1"/>
  <c r="V27" i="24" s="1"/>
  <c r="W27" i="24" s="1"/>
  <c r="X27" i="24" s="1"/>
  <c r="Y27" i="24" s="1"/>
  <c r="Z27" i="24" s="1"/>
  <c r="AA27" i="24" s="1"/>
  <c r="AB27" i="24" s="1"/>
  <c r="AC27" i="24" s="1"/>
  <c r="R27" i="24"/>
  <c r="AH26" i="24"/>
  <c r="AG26" i="24"/>
  <c r="AF26" i="24"/>
  <c r="AE26" i="24"/>
  <c r="T26" i="24"/>
  <c r="U26" i="24" s="1"/>
  <c r="V26" i="24" s="1"/>
  <c r="W26" i="24" s="1"/>
  <c r="X26" i="24" s="1"/>
  <c r="Y26" i="24" s="1"/>
  <c r="Z26" i="24" s="1"/>
  <c r="AA26" i="24" s="1"/>
  <c r="AB26" i="24" s="1"/>
  <c r="AC26" i="24" s="1"/>
  <c r="R26" i="24"/>
  <c r="AH25" i="24"/>
  <c r="AG25" i="24"/>
  <c r="AF25" i="24"/>
  <c r="AE25" i="24"/>
  <c r="T25" i="24"/>
  <c r="U25" i="24" s="1"/>
  <c r="V25" i="24" s="1"/>
  <c r="W25" i="24" s="1"/>
  <c r="X25" i="24" s="1"/>
  <c r="Y25" i="24" s="1"/>
  <c r="Z25" i="24" s="1"/>
  <c r="AA25" i="24" s="1"/>
  <c r="AB25" i="24" s="1"/>
  <c r="AC25" i="24" s="1"/>
  <c r="R25" i="24"/>
  <c r="AH24" i="24"/>
  <c r="AG24" i="24"/>
  <c r="AF24" i="24"/>
  <c r="AE24" i="24"/>
  <c r="T24" i="24"/>
  <c r="U24" i="24" s="1"/>
  <c r="V24" i="24" s="1"/>
  <c r="W24" i="24" s="1"/>
  <c r="X24" i="24" s="1"/>
  <c r="Y24" i="24" s="1"/>
  <c r="Z24" i="24" s="1"/>
  <c r="AA24" i="24" s="1"/>
  <c r="AB24" i="24" s="1"/>
  <c r="AC24" i="24" s="1"/>
  <c r="R24" i="24"/>
  <c r="AH23" i="24"/>
  <c r="AG23" i="24"/>
  <c r="AF23" i="24"/>
  <c r="AE23" i="24"/>
  <c r="T23" i="24"/>
  <c r="U23" i="24" s="1"/>
  <c r="V23" i="24" s="1"/>
  <c r="W23" i="24" s="1"/>
  <c r="X23" i="24" s="1"/>
  <c r="Y23" i="24" s="1"/>
  <c r="Z23" i="24" s="1"/>
  <c r="AA23" i="24" s="1"/>
  <c r="AB23" i="24" s="1"/>
  <c r="AC23" i="24" s="1"/>
  <c r="R23" i="24"/>
  <c r="AH22" i="24"/>
  <c r="AG22" i="24"/>
  <c r="AF22" i="24"/>
  <c r="AE22" i="24"/>
  <c r="T22" i="24"/>
  <c r="U22" i="24" s="1"/>
  <c r="V22" i="24" s="1"/>
  <c r="W22" i="24" s="1"/>
  <c r="X22" i="24" s="1"/>
  <c r="Y22" i="24" s="1"/>
  <c r="Z22" i="24" s="1"/>
  <c r="AA22" i="24" s="1"/>
  <c r="AB22" i="24" s="1"/>
  <c r="AC22" i="24" s="1"/>
  <c r="R22" i="24"/>
  <c r="AH21" i="24"/>
  <c r="AG21" i="24"/>
  <c r="AF21" i="24"/>
  <c r="AE21" i="24"/>
  <c r="T21" i="24"/>
  <c r="U21" i="24" s="1"/>
  <c r="V21" i="24" s="1"/>
  <c r="W21" i="24" s="1"/>
  <c r="X21" i="24" s="1"/>
  <c r="Y21" i="24" s="1"/>
  <c r="Z21" i="24" s="1"/>
  <c r="AA21" i="24" s="1"/>
  <c r="AB21" i="24" s="1"/>
  <c r="AC21" i="24" s="1"/>
  <c r="R21" i="24"/>
  <c r="AH20" i="24"/>
  <c r="AG20" i="24"/>
  <c r="AF20" i="24"/>
  <c r="AE20" i="24"/>
  <c r="T20" i="24"/>
  <c r="U20" i="24" s="1"/>
  <c r="V20" i="24" s="1"/>
  <c r="W20" i="24" s="1"/>
  <c r="X20" i="24" s="1"/>
  <c r="Y20" i="24" s="1"/>
  <c r="Z20" i="24" s="1"/>
  <c r="AA20" i="24" s="1"/>
  <c r="AB20" i="24" s="1"/>
  <c r="AC20" i="24" s="1"/>
  <c r="R20" i="24"/>
  <c r="AH19" i="24"/>
  <c r="AG19" i="24"/>
  <c r="AF19" i="24"/>
  <c r="AE19" i="24"/>
  <c r="T19" i="24"/>
  <c r="U19" i="24" s="1"/>
  <c r="V19" i="24" s="1"/>
  <c r="W19" i="24" s="1"/>
  <c r="X19" i="24" s="1"/>
  <c r="Y19" i="24" s="1"/>
  <c r="Z19" i="24" s="1"/>
  <c r="AA19" i="24" s="1"/>
  <c r="AB19" i="24" s="1"/>
  <c r="AC19" i="24" s="1"/>
  <c r="R19" i="24"/>
  <c r="AH18" i="24"/>
  <c r="AG18" i="24"/>
  <c r="AF18" i="24"/>
  <c r="AE18" i="24"/>
  <c r="T18" i="24"/>
  <c r="U18" i="24" s="1"/>
  <c r="V18" i="24" s="1"/>
  <c r="W18" i="24" s="1"/>
  <c r="X18" i="24" s="1"/>
  <c r="Y18" i="24" s="1"/>
  <c r="Z18" i="24" s="1"/>
  <c r="AA18" i="24" s="1"/>
  <c r="AB18" i="24" s="1"/>
  <c r="AC18" i="24" s="1"/>
  <c r="R18" i="24"/>
  <c r="AH17" i="24"/>
  <c r="AG17" i="24"/>
  <c r="AF17" i="24"/>
  <c r="AE17" i="24"/>
  <c r="T17" i="24"/>
  <c r="U17" i="24" s="1"/>
  <c r="V17" i="24" s="1"/>
  <c r="W17" i="24" s="1"/>
  <c r="X17" i="24" s="1"/>
  <c r="Y17" i="24" s="1"/>
  <c r="Z17" i="24" s="1"/>
  <c r="AA17" i="24" s="1"/>
  <c r="AB17" i="24" s="1"/>
  <c r="AC17" i="24" s="1"/>
  <c r="R17" i="24"/>
  <c r="AH16" i="24"/>
  <c r="AG16" i="24"/>
  <c r="AF16" i="24"/>
  <c r="AE16" i="24"/>
  <c r="T16" i="24"/>
  <c r="U16" i="24" s="1"/>
  <c r="V16" i="24" s="1"/>
  <c r="W16" i="24" s="1"/>
  <c r="X16" i="24" s="1"/>
  <c r="Y16" i="24" s="1"/>
  <c r="Z16" i="24" s="1"/>
  <c r="AA16" i="24" s="1"/>
  <c r="AB16" i="24" s="1"/>
  <c r="AC16" i="24" s="1"/>
  <c r="R16" i="24"/>
  <c r="AH15" i="24"/>
  <c r="AG15" i="24"/>
  <c r="AF15" i="24"/>
  <c r="AE15" i="24"/>
  <c r="T15" i="24"/>
  <c r="U15" i="24" s="1"/>
  <c r="V15" i="24" s="1"/>
  <c r="W15" i="24" s="1"/>
  <c r="X15" i="24" s="1"/>
  <c r="Y15" i="24" s="1"/>
  <c r="Z15" i="24" s="1"/>
  <c r="AA15" i="24" s="1"/>
  <c r="AB15" i="24" s="1"/>
  <c r="AC15" i="24" s="1"/>
  <c r="R15" i="24"/>
  <c r="AH14" i="24"/>
  <c r="AG14" i="24"/>
  <c r="AF14" i="24"/>
  <c r="AE14" i="24"/>
  <c r="T14" i="24"/>
  <c r="U14" i="24" s="1"/>
  <c r="V14" i="24" s="1"/>
  <c r="W14" i="24" s="1"/>
  <c r="X14" i="24" s="1"/>
  <c r="Y14" i="24" s="1"/>
  <c r="Z14" i="24" s="1"/>
  <c r="AA14" i="24" s="1"/>
  <c r="AB14" i="24" s="1"/>
  <c r="AC14" i="24" s="1"/>
  <c r="R14" i="24"/>
  <c r="AH13" i="24"/>
  <c r="AG13" i="24"/>
  <c r="AF13" i="24"/>
  <c r="AE13" i="24"/>
  <c r="T13" i="24"/>
  <c r="U13" i="24" s="1"/>
  <c r="V13" i="24" s="1"/>
  <c r="W13" i="24" s="1"/>
  <c r="X13" i="24" s="1"/>
  <c r="Y13" i="24" s="1"/>
  <c r="Z13" i="24" s="1"/>
  <c r="AA13" i="24" s="1"/>
  <c r="AB13" i="24" s="1"/>
  <c r="AC13" i="24" s="1"/>
  <c r="R13" i="24"/>
  <c r="AH12" i="24"/>
  <c r="AG12" i="24"/>
  <c r="AF12" i="24"/>
  <c r="AE12" i="24"/>
  <c r="T12" i="24"/>
  <c r="U12" i="24" s="1"/>
  <c r="V12" i="24" s="1"/>
  <c r="W12" i="24" s="1"/>
  <c r="X12" i="24" s="1"/>
  <c r="Y12" i="24" s="1"/>
  <c r="Z12" i="24" s="1"/>
  <c r="AA12" i="24" s="1"/>
  <c r="AB12" i="24" s="1"/>
  <c r="AC12" i="24" s="1"/>
  <c r="R12" i="24"/>
  <c r="AH11" i="24"/>
  <c r="AG11" i="24"/>
  <c r="AF11" i="24"/>
  <c r="AE11" i="24"/>
  <c r="T11" i="24"/>
  <c r="U11" i="24" s="1"/>
  <c r="V11" i="24" s="1"/>
  <c r="W11" i="24" s="1"/>
  <c r="X11" i="24" s="1"/>
  <c r="Y11" i="24" s="1"/>
  <c r="Z11" i="24" s="1"/>
  <c r="AA11" i="24" s="1"/>
  <c r="AB11" i="24" s="1"/>
  <c r="AC11" i="24" s="1"/>
  <c r="R11" i="24"/>
  <c r="AH10" i="24"/>
  <c r="AG10" i="24"/>
  <c r="AF10" i="24"/>
  <c r="AE10" i="24"/>
  <c r="T10" i="24"/>
  <c r="U10" i="24" s="1"/>
  <c r="V10" i="24" s="1"/>
  <c r="W10" i="24" s="1"/>
  <c r="X10" i="24" s="1"/>
  <c r="Y10" i="24" s="1"/>
  <c r="Z10" i="24" s="1"/>
  <c r="AA10" i="24" s="1"/>
  <c r="AB10" i="24" s="1"/>
  <c r="AC10" i="24" s="1"/>
  <c r="R10" i="24"/>
  <c r="AH9" i="24"/>
  <c r="AG9" i="24"/>
  <c r="AF9" i="24"/>
  <c r="AE9" i="24"/>
  <c r="T9" i="24"/>
  <c r="U9" i="24" s="1"/>
  <c r="V9" i="24" s="1"/>
  <c r="W9" i="24" s="1"/>
  <c r="X9" i="24" s="1"/>
  <c r="Y9" i="24" s="1"/>
  <c r="Z9" i="24" s="1"/>
  <c r="AA9" i="24" s="1"/>
  <c r="AB9" i="24" s="1"/>
  <c r="AC9" i="24" s="1"/>
  <c r="R9" i="24"/>
  <c r="AH8" i="24"/>
  <c r="AG8" i="24"/>
  <c r="AF8" i="24"/>
  <c r="AE8" i="24"/>
  <c r="T8" i="24"/>
  <c r="U8" i="24" s="1"/>
  <c r="V8" i="24" s="1"/>
  <c r="W8" i="24" s="1"/>
  <c r="X8" i="24" s="1"/>
  <c r="Y8" i="24" s="1"/>
  <c r="Z8" i="24" s="1"/>
  <c r="AA8" i="24" s="1"/>
  <c r="AB8" i="24" s="1"/>
  <c r="AC8" i="24" s="1"/>
  <c r="R8" i="24"/>
  <c r="AH7" i="24"/>
  <c r="AG7" i="24"/>
  <c r="AF7" i="24"/>
  <c r="AE7" i="24"/>
  <c r="T7" i="24"/>
  <c r="U7" i="24" s="1"/>
  <c r="V7" i="24" s="1"/>
  <c r="W7" i="24" s="1"/>
  <c r="X7" i="24" s="1"/>
  <c r="Y7" i="24" s="1"/>
  <c r="Z7" i="24" s="1"/>
  <c r="AA7" i="24" s="1"/>
  <c r="AB7" i="24" s="1"/>
  <c r="AC7" i="24" s="1"/>
  <c r="R7" i="24"/>
  <c r="AH6" i="24"/>
  <c r="AG6" i="24"/>
  <c r="AF6" i="24"/>
  <c r="AE6" i="24"/>
  <c r="T6" i="24"/>
  <c r="U6" i="24" s="1"/>
  <c r="R6" i="24"/>
  <c r="AH5" i="24"/>
  <c r="AG5" i="24"/>
  <c r="AF5" i="24"/>
  <c r="AE5" i="24"/>
  <c r="T5" i="24"/>
  <c r="U5" i="24" s="1"/>
  <c r="V5" i="24" s="1"/>
  <c r="R5" i="24"/>
  <c r="Q62" i="23"/>
  <c r="P62" i="23"/>
  <c r="O62" i="23"/>
  <c r="N62" i="23"/>
  <c r="M62" i="23"/>
  <c r="L62" i="23"/>
  <c r="K62" i="23"/>
  <c r="J62" i="23"/>
  <c r="I62" i="23"/>
  <c r="H62" i="23"/>
  <c r="G62" i="23"/>
  <c r="F62" i="23"/>
  <c r="AH61" i="23"/>
  <c r="AG61" i="23"/>
  <c r="AF61" i="23"/>
  <c r="AE61" i="23"/>
  <c r="T61" i="23"/>
  <c r="U61" i="23" s="1"/>
  <c r="V61" i="23" s="1"/>
  <c r="W61" i="23" s="1"/>
  <c r="X61" i="23" s="1"/>
  <c r="Y61" i="23" s="1"/>
  <c r="Z61" i="23" s="1"/>
  <c r="AA61" i="23" s="1"/>
  <c r="AB61" i="23" s="1"/>
  <c r="AC61" i="23" s="1"/>
  <c r="R61" i="23"/>
  <c r="AH60" i="23"/>
  <c r="AG60" i="23"/>
  <c r="AF60" i="23"/>
  <c r="AE60" i="23"/>
  <c r="T60" i="23"/>
  <c r="U60" i="23" s="1"/>
  <c r="V60" i="23" s="1"/>
  <c r="W60" i="23" s="1"/>
  <c r="X60" i="23" s="1"/>
  <c r="Y60" i="23" s="1"/>
  <c r="Z60" i="23" s="1"/>
  <c r="AA60" i="23" s="1"/>
  <c r="AB60" i="23" s="1"/>
  <c r="AC60" i="23" s="1"/>
  <c r="R60" i="23"/>
  <c r="AH59" i="23"/>
  <c r="AG59" i="23"/>
  <c r="AF59" i="23"/>
  <c r="AE59" i="23"/>
  <c r="T59" i="23"/>
  <c r="U59" i="23" s="1"/>
  <c r="V59" i="23" s="1"/>
  <c r="W59" i="23" s="1"/>
  <c r="X59" i="23" s="1"/>
  <c r="Y59" i="23" s="1"/>
  <c r="Z59" i="23" s="1"/>
  <c r="AA59" i="23" s="1"/>
  <c r="AB59" i="23" s="1"/>
  <c r="AC59" i="23" s="1"/>
  <c r="R59" i="23"/>
  <c r="AH58" i="23"/>
  <c r="AG58" i="23"/>
  <c r="AF58" i="23"/>
  <c r="AE58" i="23"/>
  <c r="T58" i="23"/>
  <c r="U58" i="23" s="1"/>
  <c r="V58" i="23" s="1"/>
  <c r="W58" i="23" s="1"/>
  <c r="X58" i="23" s="1"/>
  <c r="Y58" i="23" s="1"/>
  <c r="Z58" i="23" s="1"/>
  <c r="AA58" i="23" s="1"/>
  <c r="AB58" i="23" s="1"/>
  <c r="AC58" i="23" s="1"/>
  <c r="R58" i="23"/>
  <c r="AH57" i="23"/>
  <c r="AG57" i="23"/>
  <c r="AF57" i="23"/>
  <c r="AE57" i="23"/>
  <c r="T57" i="23"/>
  <c r="U57" i="23" s="1"/>
  <c r="V57" i="23" s="1"/>
  <c r="W57" i="23" s="1"/>
  <c r="X57" i="23" s="1"/>
  <c r="Y57" i="23" s="1"/>
  <c r="Z57" i="23" s="1"/>
  <c r="AA57" i="23" s="1"/>
  <c r="AB57" i="23" s="1"/>
  <c r="AC57" i="23" s="1"/>
  <c r="R57" i="23"/>
  <c r="AH56" i="23"/>
  <c r="AG56" i="23"/>
  <c r="AF56" i="23"/>
  <c r="AE56" i="23"/>
  <c r="T56" i="23"/>
  <c r="U56" i="23" s="1"/>
  <c r="V56" i="23" s="1"/>
  <c r="W56" i="23" s="1"/>
  <c r="X56" i="23" s="1"/>
  <c r="Y56" i="23" s="1"/>
  <c r="Z56" i="23" s="1"/>
  <c r="AA56" i="23" s="1"/>
  <c r="AB56" i="23" s="1"/>
  <c r="AC56" i="23" s="1"/>
  <c r="R56" i="23"/>
  <c r="AH55" i="23"/>
  <c r="AG55" i="23"/>
  <c r="AF55" i="23"/>
  <c r="AE55" i="23"/>
  <c r="T55" i="23"/>
  <c r="U55" i="23" s="1"/>
  <c r="V55" i="23" s="1"/>
  <c r="W55" i="23" s="1"/>
  <c r="X55" i="23" s="1"/>
  <c r="Y55" i="23" s="1"/>
  <c r="Z55" i="23" s="1"/>
  <c r="AA55" i="23" s="1"/>
  <c r="AB55" i="23" s="1"/>
  <c r="AC55" i="23" s="1"/>
  <c r="R55" i="23"/>
  <c r="AH54" i="23"/>
  <c r="AG54" i="23"/>
  <c r="AF54" i="23"/>
  <c r="AE54" i="23"/>
  <c r="T54" i="23"/>
  <c r="U54" i="23" s="1"/>
  <c r="V54" i="23" s="1"/>
  <c r="W54" i="23" s="1"/>
  <c r="X54" i="23" s="1"/>
  <c r="Y54" i="23" s="1"/>
  <c r="Z54" i="23" s="1"/>
  <c r="AA54" i="23" s="1"/>
  <c r="AB54" i="23" s="1"/>
  <c r="AC54" i="23" s="1"/>
  <c r="R54" i="23"/>
  <c r="AH53" i="23"/>
  <c r="AG53" i="23"/>
  <c r="AF53" i="23"/>
  <c r="AE53" i="23"/>
  <c r="T53" i="23"/>
  <c r="U53" i="23" s="1"/>
  <c r="V53" i="23" s="1"/>
  <c r="W53" i="23" s="1"/>
  <c r="X53" i="23" s="1"/>
  <c r="Y53" i="23" s="1"/>
  <c r="Z53" i="23" s="1"/>
  <c r="AA53" i="23" s="1"/>
  <c r="AB53" i="23" s="1"/>
  <c r="AC53" i="23" s="1"/>
  <c r="R53" i="23"/>
  <c r="AH52" i="23"/>
  <c r="AG52" i="23"/>
  <c r="AF52" i="23"/>
  <c r="AE52" i="23"/>
  <c r="T52" i="23"/>
  <c r="U52" i="23" s="1"/>
  <c r="V52" i="23" s="1"/>
  <c r="W52" i="23" s="1"/>
  <c r="X52" i="23" s="1"/>
  <c r="Y52" i="23" s="1"/>
  <c r="Z52" i="23" s="1"/>
  <c r="AA52" i="23" s="1"/>
  <c r="AB52" i="23" s="1"/>
  <c r="AC52" i="23" s="1"/>
  <c r="R52" i="23"/>
  <c r="AH51" i="23"/>
  <c r="AG51" i="23"/>
  <c r="AF51" i="23"/>
  <c r="AE51" i="23"/>
  <c r="T51" i="23"/>
  <c r="U51" i="23" s="1"/>
  <c r="V51" i="23" s="1"/>
  <c r="W51" i="23" s="1"/>
  <c r="X51" i="23" s="1"/>
  <c r="Y51" i="23" s="1"/>
  <c r="Z51" i="23" s="1"/>
  <c r="AA51" i="23" s="1"/>
  <c r="AB51" i="23" s="1"/>
  <c r="AC51" i="23" s="1"/>
  <c r="R51" i="23"/>
  <c r="AH50" i="23"/>
  <c r="AG50" i="23"/>
  <c r="AF50" i="23"/>
  <c r="AE50" i="23"/>
  <c r="T50" i="23"/>
  <c r="U50" i="23" s="1"/>
  <c r="V50" i="23" s="1"/>
  <c r="W50" i="23" s="1"/>
  <c r="X50" i="23" s="1"/>
  <c r="Y50" i="23" s="1"/>
  <c r="Z50" i="23" s="1"/>
  <c r="AA50" i="23" s="1"/>
  <c r="AB50" i="23" s="1"/>
  <c r="AC50" i="23" s="1"/>
  <c r="R50" i="23"/>
  <c r="AH49" i="23"/>
  <c r="AG49" i="23"/>
  <c r="AF49" i="23"/>
  <c r="AE49" i="23"/>
  <c r="T49" i="23"/>
  <c r="U49" i="23" s="1"/>
  <c r="V49" i="23" s="1"/>
  <c r="W49" i="23" s="1"/>
  <c r="X49" i="23" s="1"/>
  <c r="Y49" i="23" s="1"/>
  <c r="Z49" i="23" s="1"/>
  <c r="AA49" i="23" s="1"/>
  <c r="AB49" i="23" s="1"/>
  <c r="AC49" i="23" s="1"/>
  <c r="R49" i="23"/>
  <c r="AH48" i="23"/>
  <c r="AG48" i="23"/>
  <c r="AF48" i="23"/>
  <c r="AE48" i="23"/>
  <c r="T48" i="23"/>
  <c r="U48" i="23" s="1"/>
  <c r="V48" i="23" s="1"/>
  <c r="W48" i="23" s="1"/>
  <c r="X48" i="23" s="1"/>
  <c r="Y48" i="23" s="1"/>
  <c r="Z48" i="23" s="1"/>
  <c r="AA48" i="23" s="1"/>
  <c r="AB48" i="23" s="1"/>
  <c r="AC48" i="23" s="1"/>
  <c r="R48" i="23"/>
  <c r="AH47" i="23"/>
  <c r="AG47" i="23"/>
  <c r="AF47" i="23"/>
  <c r="AE47" i="23"/>
  <c r="T47" i="23"/>
  <c r="U47" i="23" s="1"/>
  <c r="V47" i="23" s="1"/>
  <c r="W47" i="23" s="1"/>
  <c r="X47" i="23" s="1"/>
  <c r="Y47" i="23" s="1"/>
  <c r="Z47" i="23" s="1"/>
  <c r="AA47" i="23" s="1"/>
  <c r="AB47" i="23" s="1"/>
  <c r="AC47" i="23" s="1"/>
  <c r="R47" i="23"/>
  <c r="AH46" i="23"/>
  <c r="AG46" i="23"/>
  <c r="AF46" i="23"/>
  <c r="AE46" i="23"/>
  <c r="T46" i="23"/>
  <c r="U46" i="23" s="1"/>
  <c r="V46" i="23" s="1"/>
  <c r="W46" i="23" s="1"/>
  <c r="X46" i="23" s="1"/>
  <c r="Y46" i="23" s="1"/>
  <c r="Z46" i="23" s="1"/>
  <c r="AA46" i="23" s="1"/>
  <c r="AB46" i="23" s="1"/>
  <c r="AC46" i="23" s="1"/>
  <c r="R46" i="23"/>
  <c r="AH45" i="23"/>
  <c r="AG45" i="23"/>
  <c r="AF45" i="23"/>
  <c r="AE45" i="23"/>
  <c r="T45" i="23"/>
  <c r="U45" i="23" s="1"/>
  <c r="V45" i="23" s="1"/>
  <c r="W45" i="23" s="1"/>
  <c r="X45" i="23" s="1"/>
  <c r="Y45" i="23" s="1"/>
  <c r="Z45" i="23" s="1"/>
  <c r="AA45" i="23" s="1"/>
  <c r="AB45" i="23" s="1"/>
  <c r="AC45" i="23" s="1"/>
  <c r="R45" i="23"/>
  <c r="AH44" i="23"/>
  <c r="AG44" i="23"/>
  <c r="AF44" i="23"/>
  <c r="AE44" i="23"/>
  <c r="T44" i="23"/>
  <c r="U44" i="23" s="1"/>
  <c r="V44" i="23" s="1"/>
  <c r="W44" i="23" s="1"/>
  <c r="X44" i="23" s="1"/>
  <c r="Y44" i="23" s="1"/>
  <c r="Z44" i="23" s="1"/>
  <c r="AA44" i="23" s="1"/>
  <c r="AB44" i="23" s="1"/>
  <c r="AC44" i="23" s="1"/>
  <c r="R44" i="23"/>
  <c r="AH43" i="23"/>
  <c r="AG43" i="23"/>
  <c r="AF43" i="23"/>
  <c r="AE43" i="23"/>
  <c r="T43" i="23"/>
  <c r="U43" i="23" s="1"/>
  <c r="V43" i="23" s="1"/>
  <c r="W43" i="23" s="1"/>
  <c r="X43" i="23" s="1"/>
  <c r="Y43" i="23" s="1"/>
  <c r="Z43" i="23" s="1"/>
  <c r="AA43" i="23" s="1"/>
  <c r="AB43" i="23" s="1"/>
  <c r="AC43" i="23" s="1"/>
  <c r="R43" i="23"/>
  <c r="AH42" i="23"/>
  <c r="AG42" i="23"/>
  <c r="AF42" i="23"/>
  <c r="AE42" i="23"/>
  <c r="T42" i="23"/>
  <c r="U42" i="23" s="1"/>
  <c r="V42" i="23" s="1"/>
  <c r="W42" i="23" s="1"/>
  <c r="X42" i="23" s="1"/>
  <c r="Y42" i="23" s="1"/>
  <c r="Z42" i="23" s="1"/>
  <c r="AA42" i="23" s="1"/>
  <c r="AB42" i="23" s="1"/>
  <c r="AC42" i="23" s="1"/>
  <c r="R42" i="23"/>
  <c r="AH41" i="23"/>
  <c r="AG41" i="23"/>
  <c r="AF41" i="23"/>
  <c r="AE41" i="23"/>
  <c r="T41" i="23"/>
  <c r="U41" i="23" s="1"/>
  <c r="V41" i="23" s="1"/>
  <c r="W41" i="23" s="1"/>
  <c r="X41" i="23" s="1"/>
  <c r="Y41" i="23" s="1"/>
  <c r="Z41" i="23" s="1"/>
  <c r="AA41" i="23" s="1"/>
  <c r="AB41" i="23" s="1"/>
  <c r="AC41" i="23" s="1"/>
  <c r="R41" i="23"/>
  <c r="AH40" i="23"/>
  <c r="AG40" i="23"/>
  <c r="AF40" i="23"/>
  <c r="AE40" i="23"/>
  <c r="T40" i="23"/>
  <c r="U40" i="23" s="1"/>
  <c r="V40" i="23" s="1"/>
  <c r="W40" i="23" s="1"/>
  <c r="X40" i="23" s="1"/>
  <c r="Y40" i="23" s="1"/>
  <c r="Z40" i="23" s="1"/>
  <c r="AA40" i="23" s="1"/>
  <c r="AB40" i="23" s="1"/>
  <c r="AC40" i="23" s="1"/>
  <c r="R40" i="23"/>
  <c r="AH39" i="23"/>
  <c r="AG39" i="23"/>
  <c r="AF39" i="23"/>
  <c r="AE39" i="23"/>
  <c r="T39" i="23"/>
  <c r="U39" i="23" s="1"/>
  <c r="V39" i="23" s="1"/>
  <c r="W39" i="23" s="1"/>
  <c r="X39" i="23" s="1"/>
  <c r="Y39" i="23" s="1"/>
  <c r="Z39" i="23" s="1"/>
  <c r="AA39" i="23" s="1"/>
  <c r="AB39" i="23" s="1"/>
  <c r="AC39" i="23" s="1"/>
  <c r="R39" i="23"/>
  <c r="AH38" i="23"/>
  <c r="AG38" i="23"/>
  <c r="AF38" i="23"/>
  <c r="AE38" i="23"/>
  <c r="T38" i="23"/>
  <c r="U38" i="23" s="1"/>
  <c r="V38" i="23" s="1"/>
  <c r="W38" i="23" s="1"/>
  <c r="X38" i="23" s="1"/>
  <c r="Y38" i="23" s="1"/>
  <c r="Z38" i="23" s="1"/>
  <c r="AA38" i="23" s="1"/>
  <c r="AB38" i="23" s="1"/>
  <c r="AC38" i="23" s="1"/>
  <c r="R38" i="23"/>
  <c r="AH37" i="23"/>
  <c r="AG37" i="23"/>
  <c r="AF37" i="23"/>
  <c r="AE37" i="23"/>
  <c r="T37" i="23"/>
  <c r="U37" i="23" s="1"/>
  <c r="V37" i="23" s="1"/>
  <c r="W37" i="23" s="1"/>
  <c r="X37" i="23" s="1"/>
  <c r="Y37" i="23" s="1"/>
  <c r="Z37" i="23" s="1"/>
  <c r="AA37" i="23" s="1"/>
  <c r="AB37" i="23" s="1"/>
  <c r="AC37" i="23" s="1"/>
  <c r="R37" i="23"/>
  <c r="AH36" i="23"/>
  <c r="AG36" i="23"/>
  <c r="AF36" i="23"/>
  <c r="AE36" i="23"/>
  <c r="T36" i="23"/>
  <c r="U36" i="23" s="1"/>
  <c r="V36" i="23" s="1"/>
  <c r="W36" i="23" s="1"/>
  <c r="X36" i="23" s="1"/>
  <c r="Y36" i="23" s="1"/>
  <c r="Z36" i="23" s="1"/>
  <c r="AA36" i="23" s="1"/>
  <c r="AB36" i="23" s="1"/>
  <c r="AC36" i="23" s="1"/>
  <c r="R36" i="23"/>
  <c r="AH35" i="23"/>
  <c r="AG35" i="23"/>
  <c r="AF35" i="23"/>
  <c r="AE35" i="23"/>
  <c r="T35" i="23"/>
  <c r="U35" i="23" s="1"/>
  <c r="V35" i="23" s="1"/>
  <c r="W35" i="23" s="1"/>
  <c r="X35" i="23" s="1"/>
  <c r="Y35" i="23" s="1"/>
  <c r="Z35" i="23" s="1"/>
  <c r="AA35" i="23" s="1"/>
  <c r="AB35" i="23" s="1"/>
  <c r="AC35" i="23" s="1"/>
  <c r="R35" i="23"/>
  <c r="AH34" i="23"/>
  <c r="AG34" i="23"/>
  <c r="AF34" i="23"/>
  <c r="AE34" i="23"/>
  <c r="T34" i="23"/>
  <c r="U34" i="23" s="1"/>
  <c r="V34" i="23" s="1"/>
  <c r="W34" i="23" s="1"/>
  <c r="X34" i="23" s="1"/>
  <c r="Y34" i="23" s="1"/>
  <c r="Z34" i="23" s="1"/>
  <c r="AA34" i="23" s="1"/>
  <c r="AB34" i="23" s="1"/>
  <c r="AC34" i="23" s="1"/>
  <c r="R34" i="23"/>
  <c r="AH33" i="23"/>
  <c r="AG33" i="23"/>
  <c r="AF33" i="23"/>
  <c r="AE33" i="23"/>
  <c r="T33" i="23"/>
  <c r="U33" i="23" s="1"/>
  <c r="V33" i="23" s="1"/>
  <c r="W33" i="23" s="1"/>
  <c r="X33" i="23" s="1"/>
  <c r="Y33" i="23" s="1"/>
  <c r="Z33" i="23" s="1"/>
  <c r="AA33" i="23" s="1"/>
  <c r="AB33" i="23" s="1"/>
  <c r="AC33" i="23" s="1"/>
  <c r="R33" i="23"/>
  <c r="AH32" i="23"/>
  <c r="AG32" i="23"/>
  <c r="AF32" i="23"/>
  <c r="AE32" i="23"/>
  <c r="T32" i="23"/>
  <c r="U32" i="23" s="1"/>
  <c r="V32" i="23" s="1"/>
  <c r="W32" i="23" s="1"/>
  <c r="X32" i="23" s="1"/>
  <c r="Y32" i="23" s="1"/>
  <c r="Z32" i="23" s="1"/>
  <c r="AA32" i="23" s="1"/>
  <c r="AB32" i="23" s="1"/>
  <c r="AC32" i="23" s="1"/>
  <c r="R32" i="23"/>
  <c r="AH31" i="23"/>
  <c r="AG31" i="23"/>
  <c r="AF31" i="23"/>
  <c r="AE31" i="23"/>
  <c r="T31" i="23"/>
  <c r="U31" i="23" s="1"/>
  <c r="V31" i="23" s="1"/>
  <c r="W31" i="23" s="1"/>
  <c r="X31" i="23" s="1"/>
  <c r="Y31" i="23" s="1"/>
  <c r="Z31" i="23" s="1"/>
  <c r="AA31" i="23" s="1"/>
  <c r="AB31" i="23" s="1"/>
  <c r="AC31" i="23" s="1"/>
  <c r="R31" i="23"/>
  <c r="AH30" i="23"/>
  <c r="AG30" i="23"/>
  <c r="AF30" i="23"/>
  <c r="AE30" i="23"/>
  <c r="T30" i="23"/>
  <c r="U30" i="23" s="1"/>
  <c r="V30" i="23" s="1"/>
  <c r="W30" i="23" s="1"/>
  <c r="X30" i="23" s="1"/>
  <c r="Y30" i="23" s="1"/>
  <c r="Z30" i="23" s="1"/>
  <c r="AA30" i="23" s="1"/>
  <c r="AB30" i="23" s="1"/>
  <c r="AC30" i="23" s="1"/>
  <c r="R30" i="23"/>
  <c r="AH29" i="23"/>
  <c r="AG29" i="23"/>
  <c r="AF29" i="23"/>
  <c r="AE29" i="23"/>
  <c r="T29" i="23"/>
  <c r="U29" i="23" s="1"/>
  <c r="V29" i="23" s="1"/>
  <c r="W29" i="23" s="1"/>
  <c r="X29" i="23" s="1"/>
  <c r="Y29" i="23" s="1"/>
  <c r="Z29" i="23" s="1"/>
  <c r="AA29" i="23" s="1"/>
  <c r="AB29" i="23" s="1"/>
  <c r="AC29" i="23" s="1"/>
  <c r="R29" i="23"/>
  <c r="AH28" i="23"/>
  <c r="AG28" i="23"/>
  <c r="AF28" i="23"/>
  <c r="AE28" i="23"/>
  <c r="T28" i="23"/>
  <c r="U28" i="23" s="1"/>
  <c r="V28" i="23" s="1"/>
  <c r="W28" i="23" s="1"/>
  <c r="X28" i="23" s="1"/>
  <c r="Y28" i="23" s="1"/>
  <c r="Z28" i="23" s="1"/>
  <c r="AA28" i="23" s="1"/>
  <c r="AB28" i="23" s="1"/>
  <c r="AC28" i="23" s="1"/>
  <c r="R28" i="23"/>
  <c r="AH27" i="23"/>
  <c r="AG27" i="23"/>
  <c r="AF27" i="23"/>
  <c r="AE27" i="23"/>
  <c r="T27" i="23"/>
  <c r="U27" i="23" s="1"/>
  <c r="V27" i="23" s="1"/>
  <c r="W27" i="23" s="1"/>
  <c r="X27" i="23" s="1"/>
  <c r="Y27" i="23" s="1"/>
  <c r="Z27" i="23" s="1"/>
  <c r="AA27" i="23" s="1"/>
  <c r="AB27" i="23" s="1"/>
  <c r="AC27" i="23" s="1"/>
  <c r="R27" i="23"/>
  <c r="AH26" i="23"/>
  <c r="AG26" i="23"/>
  <c r="AF26" i="23"/>
  <c r="AE26" i="23"/>
  <c r="T26" i="23"/>
  <c r="U26" i="23" s="1"/>
  <c r="V26" i="23" s="1"/>
  <c r="W26" i="23" s="1"/>
  <c r="X26" i="23" s="1"/>
  <c r="Y26" i="23" s="1"/>
  <c r="Z26" i="23" s="1"/>
  <c r="AA26" i="23" s="1"/>
  <c r="AB26" i="23" s="1"/>
  <c r="AC26" i="23" s="1"/>
  <c r="R26" i="23"/>
  <c r="AH25" i="23"/>
  <c r="AG25" i="23"/>
  <c r="AF25" i="23"/>
  <c r="AE25" i="23"/>
  <c r="T25" i="23"/>
  <c r="U25" i="23" s="1"/>
  <c r="V25" i="23" s="1"/>
  <c r="W25" i="23" s="1"/>
  <c r="X25" i="23" s="1"/>
  <c r="Y25" i="23" s="1"/>
  <c r="Z25" i="23" s="1"/>
  <c r="AA25" i="23" s="1"/>
  <c r="AB25" i="23" s="1"/>
  <c r="AC25" i="23" s="1"/>
  <c r="R25" i="23"/>
  <c r="AH24" i="23"/>
  <c r="AG24" i="23"/>
  <c r="AF24" i="23"/>
  <c r="AE24" i="23"/>
  <c r="T24" i="23"/>
  <c r="U24" i="23" s="1"/>
  <c r="V24" i="23" s="1"/>
  <c r="W24" i="23" s="1"/>
  <c r="X24" i="23" s="1"/>
  <c r="Y24" i="23" s="1"/>
  <c r="Z24" i="23" s="1"/>
  <c r="AA24" i="23" s="1"/>
  <c r="AB24" i="23" s="1"/>
  <c r="AC24" i="23" s="1"/>
  <c r="R24" i="23"/>
  <c r="AH23" i="23"/>
  <c r="AG23" i="23"/>
  <c r="AF23" i="23"/>
  <c r="AE23" i="23"/>
  <c r="T23" i="23"/>
  <c r="U23" i="23" s="1"/>
  <c r="V23" i="23" s="1"/>
  <c r="W23" i="23" s="1"/>
  <c r="X23" i="23" s="1"/>
  <c r="Y23" i="23" s="1"/>
  <c r="Z23" i="23" s="1"/>
  <c r="AA23" i="23" s="1"/>
  <c r="AB23" i="23" s="1"/>
  <c r="AC23" i="23" s="1"/>
  <c r="R23" i="23"/>
  <c r="AH22" i="23"/>
  <c r="AG22" i="23"/>
  <c r="AF22" i="23"/>
  <c r="AE22" i="23"/>
  <c r="T22" i="23"/>
  <c r="U22" i="23" s="1"/>
  <c r="V22" i="23" s="1"/>
  <c r="W22" i="23" s="1"/>
  <c r="X22" i="23" s="1"/>
  <c r="Y22" i="23" s="1"/>
  <c r="Z22" i="23" s="1"/>
  <c r="AA22" i="23" s="1"/>
  <c r="AB22" i="23" s="1"/>
  <c r="AC22" i="23" s="1"/>
  <c r="R22" i="23"/>
  <c r="AH21" i="23"/>
  <c r="AG21" i="23"/>
  <c r="AF21" i="23"/>
  <c r="AE21" i="23"/>
  <c r="T21" i="23"/>
  <c r="U21" i="23" s="1"/>
  <c r="V21" i="23" s="1"/>
  <c r="W21" i="23" s="1"/>
  <c r="X21" i="23" s="1"/>
  <c r="Y21" i="23" s="1"/>
  <c r="Z21" i="23" s="1"/>
  <c r="AA21" i="23" s="1"/>
  <c r="AB21" i="23" s="1"/>
  <c r="AC21" i="23" s="1"/>
  <c r="R21" i="23"/>
  <c r="AH20" i="23"/>
  <c r="AG20" i="23"/>
  <c r="AF20" i="23"/>
  <c r="AE20" i="23"/>
  <c r="T20" i="23"/>
  <c r="U20" i="23" s="1"/>
  <c r="V20" i="23" s="1"/>
  <c r="W20" i="23" s="1"/>
  <c r="X20" i="23" s="1"/>
  <c r="Y20" i="23" s="1"/>
  <c r="Z20" i="23" s="1"/>
  <c r="AA20" i="23" s="1"/>
  <c r="AB20" i="23" s="1"/>
  <c r="AC20" i="23" s="1"/>
  <c r="R20" i="23"/>
  <c r="AH19" i="23"/>
  <c r="AG19" i="23"/>
  <c r="AF19" i="23"/>
  <c r="AE19" i="23"/>
  <c r="T19" i="23"/>
  <c r="U19" i="23" s="1"/>
  <c r="V19" i="23" s="1"/>
  <c r="W19" i="23" s="1"/>
  <c r="X19" i="23" s="1"/>
  <c r="Y19" i="23" s="1"/>
  <c r="Z19" i="23" s="1"/>
  <c r="AA19" i="23" s="1"/>
  <c r="AB19" i="23" s="1"/>
  <c r="AC19" i="23" s="1"/>
  <c r="R19" i="23"/>
  <c r="AH18" i="23"/>
  <c r="AG18" i="23"/>
  <c r="AF18" i="23"/>
  <c r="AE18" i="23"/>
  <c r="T18" i="23"/>
  <c r="U18" i="23" s="1"/>
  <c r="V18" i="23" s="1"/>
  <c r="W18" i="23" s="1"/>
  <c r="X18" i="23" s="1"/>
  <c r="Y18" i="23" s="1"/>
  <c r="Z18" i="23" s="1"/>
  <c r="AA18" i="23" s="1"/>
  <c r="AB18" i="23" s="1"/>
  <c r="AC18" i="23" s="1"/>
  <c r="R18" i="23"/>
  <c r="AH17" i="23"/>
  <c r="AG17" i="23"/>
  <c r="AF17" i="23"/>
  <c r="AE17" i="23"/>
  <c r="T17" i="23"/>
  <c r="U17" i="23" s="1"/>
  <c r="V17" i="23" s="1"/>
  <c r="W17" i="23" s="1"/>
  <c r="X17" i="23" s="1"/>
  <c r="Y17" i="23" s="1"/>
  <c r="Z17" i="23" s="1"/>
  <c r="AA17" i="23" s="1"/>
  <c r="AB17" i="23" s="1"/>
  <c r="AC17" i="23" s="1"/>
  <c r="R17" i="23"/>
  <c r="AH16" i="23"/>
  <c r="AG16" i="23"/>
  <c r="AF16" i="23"/>
  <c r="AE16" i="23"/>
  <c r="T16" i="23"/>
  <c r="U16" i="23" s="1"/>
  <c r="V16" i="23" s="1"/>
  <c r="W16" i="23" s="1"/>
  <c r="X16" i="23" s="1"/>
  <c r="Y16" i="23" s="1"/>
  <c r="Z16" i="23" s="1"/>
  <c r="AA16" i="23" s="1"/>
  <c r="AB16" i="23" s="1"/>
  <c r="AC16" i="23" s="1"/>
  <c r="R16" i="23"/>
  <c r="AH15" i="23"/>
  <c r="AG15" i="23"/>
  <c r="AF15" i="23"/>
  <c r="AE15" i="23"/>
  <c r="T15" i="23"/>
  <c r="U15" i="23" s="1"/>
  <c r="V15" i="23" s="1"/>
  <c r="W15" i="23" s="1"/>
  <c r="X15" i="23" s="1"/>
  <c r="Y15" i="23" s="1"/>
  <c r="Z15" i="23" s="1"/>
  <c r="AA15" i="23" s="1"/>
  <c r="AB15" i="23" s="1"/>
  <c r="AC15" i="23" s="1"/>
  <c r="R15" i="23"/>
  <c r="AH14" i="23"/>
  <c r="AG14" i="23"/>
  <c r="AF14" i="23"/>
  <c r="AE14" i="23"/>
  <c r="T14" i="23"/>
  <c r="U14" i="23" s="1"/>
  <c r="V14" i="23" s="1"/>
  <c r="W14" i="23" s="1"/>
  <c r="X14" i="23" s="1"/>
  <c r="Y14" i="23" s="1"/>
  <c r="Z14" i="23" s="1"/>
  <c r="AA14" i="23" s="1"/>
  <c r="AB14" i="23" s="1"/>
  <c r="AC14" i="23" s="1"/>
  <c r="R14" i="23"/>
  <c r="AH13" i="23"/>
  <c r="AG13" i="23"/>
  <c r="AF13" i="23"/>
  <c r="AE13" i="23"/>
  <c r="T13" i="23"/>
  <c r="U13" i="23" s="1"/>
  <c r="V13" i="23" s="1"/>
  <c r="W13" i="23" s="1"/>
  <c r="X13" i="23" s="1"/>
  <c r="Y13" i="23" s="1"/>
  <c r="Z13" i="23" s="1"/>
  <c r="AA13" i="23" s="1"/>
  <c r="AB13" i="23" s="1"/>
  <c r="AC13" i="23" s="1"/>
  <c r="R13" i="23"/>
  <c r="AH12" i="23"/>
  <c r="AG12" i="23"/>
  <c r="AF12" i="23"/>
  <c r="AE12" i="23"/>
  <c r="T12" i="23"/>
  <c r="U12" i="23" s="1"/>
  <c r="V12" i="23" s="1"/>
  <c r="W12" i="23" s="1"/>
  <c r="X12" i="23" s="1"/>
  <c r="Y12" i="23" s="1"/>
  <c r="Z12" i="23" s="1"/>
  <c r="AA12" i="23" s="1"/>
  <c r="AB12" i="23" s="1"/>
  <c r="AC12" i="23" s="1"/>
  <c r="R12" i="23"/>
  <c r="AH11" i="23"/>
  <c r="AG11" i="23"/>
  <c r="AF11" i="23"/>
  <c r="AE11" i="23"/>
  <c r="T11" i="23"/>
  <c r="U11" i="23" s="1"/>
  <c r="V11" i="23" s="1"/>
  <c r="W11" i="23" s="1"/>
  <c r="X11" i="23" s="1"/>
  <c r="Y11" i="23" s="1"/>
  <c r="Z11" i="23" s="1"/>
  <c r="AA11" i="23" s="1"/>
  <c r="AB11" i="23" s="1"/>
  <c r="AC11" i="23" s="1"/>
  <c r="R11" i="23"/>
  <c r="AH10" i="23"/>
  <c r="AG10" i="23"/>
  <c r="AF10" i="23"/>
  <c r="AE10" i="23"/>
  <c r="T10" i="23"/>
  <c r="U10" i="23" s="1"/>
  <c r="V10" i="23" s="1"/>
  <c r="W10" i="23" s="1"/>
  <c r="X10" i="23" s="1"/>
  <c r="Y10" i="23" s="1"/>
  <c r="Z10" i="23" s="1"/>
  <c r="AA10" i="23" s="1"/>
  <c r="AB10" i="23" s="1"/>
  <c r="AC10" i="23" s="1"/>
  <c r="R10" i="23"/>
  <c r="AH9" i="23"/>
  <c r="AG9" i="23"/>
  <c r="AF9" i="23"/>
  <c r="AE9" i="23"/>
  <c r="T9" i="23"/>
  <c r="U9" i="23" s="1"/>
  <c r="V9" i="23" s="1"/>
  <c r="W9" i="23" s="1"/>
  <c r="X9" i="23" s="1"/>
  <c r="Y9" i="23" s="1"/>
  <c r="Z9" i="23" s="1"/>
  <c r="AA9" i="23" s="1"/>
  <c r="AB9" i="23" s="1"/>
  <c r="AC9" i="23" s="1"/>
  <c r="R9" i="23"/>
  <c r="AH8" i="23"/>
  <c r="AG8" i="23"/>
  <c r="AF8" i="23"/>
  <c r="AE8" i="23"/>
  <c r="T8" i="23"/>
  <c r="U8" i="23" s="1"/>
  <c r="V8" i="23" s="1"/>
  <c r="W8" i="23" s="1"/>
  <c r="X8" i="23" s="1"/>
  <c r="Y8" i="23" s="1"/>
  <c r="Z8" i="23" s="1"/>
  <c r="AA8" i="23" s="1"/>
  <c r="AB8" i="23" s="1"/>
  <c r="AC8" i="23" s="1"/>
  <c r="R8" i="23"/>
  <c r="AH7" i="23"/>
  <c r="AG7" i="23"/>
  <c r="AF7" i="23"/>
  <c r="AE7" i="23"/>
  <c r="T7" i="23"/>
  <c r="U7" i="23" s="1"/>
  <c r="V7" i="23" s="1"/>
  <c r="W7" i="23" s="1"/>
  <c r="X7" i="23" s="1"/>
  <c r="Y7" i="23" s="1"/>
  <c r="Z7" i="23" s="1"/>
  <c r="AA7" i="23" s="1"/>
  <c r="AB7" i="23" s="1"/>
  <c r="AC7" i="23" s="1"/>
  <c r="R7" i="23"/>
  <c r="AH6" i="23"/>
  <c r="AG6" i="23"/>
  <c r="AF6" i="23"/>
  <c r="AE6" i="23"/>
  <c r="T6" i="23"/>
  <c r="U6" i="23" s="1"/>
  <c r="V6" i="23" s="1"/>
  <c r="W6" i="23" s="1"/>
  <c r="X6" i="23" s="1"/>
  <c r="Y6" i="23" s="1"/>
  <c r="Z6" i="23" s="1"/>
  <c r="AA6" i="23" s="1"/>
  <c r="AB6" i="23" s="1"/>
  <c r="AC6" i="23" s="1"/>
  <c r="R6" i="23"/>
  <c r="AH5" i="23"/>
  <c r="AG5" i="23"/>
  <c r="AF5" i="23"/>
  <c r="AE5" i="23"/>
  <c r="T5" i="23"/>
  <c r="U5" i="23" s="1"/>
  <c r="R5" i="23"/>
  <c r="I111" i="14" l="1"/>
  <c r="Q39" i="14"/>
  <c r="R20" i="25"/>
  <c r="E133" i="25"/>
  <c r="I133" i="25" s="1"/>
  <c r="E134" i="25"/>
  <c r="I134" i="25" s="1"/>
  <c r="R67" i="23"/>
  <c r="M145" i="14"/>
  <c r="I145" i="14"/>
  <c r="I146" i="14" s="1"/>
  <c r="I140" i="25"/>
  <c r="I141" i="25"/>
  <c r="I132" i="25"/>
  <c r="I142" i="25"/>
  <c r="I137" i="25"/>
  <c r="G14" i="22"/>
  <c r="E62" i="22" s="1"/>
  <c r="L11" i="14"/>
  <c r="G11" i="22"/>
  <c r="E59" i="22" s="1"/>
  <c r="H59" i="22" s="1"/>
  <c r="G17" i="22"/>
  <c r="E65" i="22" s="1"/>
  <c r="L13" i="14"/>
  <c r="G10" i="22"/>
  <c r="E58" i="22" s="1"/>
  <c r="G19" i="22"/>
  <c r="E67" i="22" s="1"/>
  <c r="G20" i="22"/>
  <c r="E68" i="22" s="1"/>
  <c r="G12" i="22"/>
  <c r="E60" i="22" s="1"/>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N133" i="14"/>
  <c r="M10" i="25"/>
  <c r="M17" i="25"/>
  <c r="M16" i="25"/>
  <c r="M18" i="25"/>
  <c r="M13" i="25"/>
  <c r="F58" i="22"/>
  <c r="G58" i="22" s="1"/>
  <c r="G39" i="22"/>
  <c r="E33" i="22"/>
  <c r="J62" i="22"/>
  <c r="M62" i="22" s="1"/>
  <c r="J65" i="22"/>
  <c r="M65" i="22" s="1"/>
  <c r="J63" i="22"/>
  <c r="M63" i="22" s="1"/>
  <c r="J57" i="22"/>
  <c r="M57" i="22" s="1"/>
  <c r="M14" i="25"/>
  <c r="L151" i="25"/>
  <c r="Q14" i="25"/>
  <c r="M58" i="22"/>
  <c r="E202" i="25"/>
  <c r="J66" i="22"/>
  <c r="M66" i="22" s="1"/>
  <c r="G15" i="22"/>
  <c r="E63" i="22" s="1"/>
  <c r="J67" i="22"/>
  <c r="M67" i="22" s="1"/>
  <c r="E196" i="25"/>
  <c r="G18" i="22"/>
  <c r="E66" i="22" s="1"/>
  <c r="Q11" i="25"/>
  <c r="N41" i="14"/>
  <c r="N44" i="14"/>
  <c r="N45" i="14"/>
  <c r="R59" i="22"/>
  <c r="Q59" i="22"/>
  <c r="AF12" i="22"/>
  <c r="F60" i="22"/>
  <c r="Q58" i="22"/>
  <c r="AF14" i="22"/>
  <c r="L61" i="22"/>
  <c r="K26" i="22"/>
  <c r="L64" i="22"/>
  <c r="N57" i="22"/>
  <c r="E26" i="22"/>
  <c r="K56" i="22"/>
  <c r="N64" i="22"/>
  <c r="P57" i="22"/>
  <c r="I56" i="22"/>
  <c r="L57" i="22"/>
  <c r="AF19" i="22"/>
  <c r="D61" i="22"/>
  <c r="N61" i="22"/>
  <c r="AF10" i="22"/>
  <c r="AF18" i="22"/>
  <c r="AF11" i="22"/>
  <c r="F65" i="22"/>
  <c r="F66" i="22"/>
  <c r="G66" i="22" s="1"/>
  <c r="E69" i="22"/>
  <c r="F67" i="22"/>
  <c r="F68" i="22"/>
  <c r="G68" i="22" s="1"/>
  <c r="G59" i="22"/>
  <c r="F69" i="22"/>
  <c r="F62" i="22"/>
  <c r="M62" i="14"/>
  <c r="M73" i="14"/>
  <c r="AF15" i="22"/>
  <c r="F63" i="22"/>
  <c r="M51" i="14"/>
  <c r="D57" i="22"/>
  <c r="AF20" i="22"/>
  <c r="D64" i="22"/>
  <c r="AF21" i="22"/>
  <c r="K144" i="14"/>
  <c r="S11" i="14" s="1"/>
  <c r="J144" i="14"/>
  <c r="L144" i="14" s="1"/>
  <c r="J133" i="14"/>
  <c r="L133" i="14" s="1"/>
  <c r="K122" i="14"/>
  <c r="J122" i="14"/>
  <c r="K110" i="14"/>
  <c r="J110" i="14"/>
  <c r="L110" i="14" s="1"/>
  <c r="K98" i="14"/>
  <c r="J98" i="14"/>
  <c r="L98" i="14" s="1"/>
  <c r="K86" i="14"/>
  <c r="J86" i="14"/>
  <c r="L86" i="14" s="1"/>
  <c r="K73" i="14"/>
  <c r="J73" i="14"/>
  <c r="L73" i="14" s="1"/>
  <c r="K62" i="14"/>
  <c r="J62" i="14"/>
  <c r="L62" i="14" s="1"/>
  <c r="K51" i="14"/>
  <c r="J51" i="14"/>
  <c r="L51" i="14" s="1"/>
  <c r="J28" i="14"/>
  <c r="L28" i="14" s="1"/>
  <c r="L39" i="14"/>
  <c r="AF57" i="24"/>
  <c r="AF58" i="24" s="1"/>
  <c r="AE57" i="24"/>
  <c r="AE58" i="24" s="1"/>
  <c r="AG57" i="24"/>
  <c r="AG58" i="24" s="1"/>
  <c r="R57" i="24"/>
  <c r="AH57" i="24"/>
  <c r="AH58" i="24" s="1"/>
  <c r="T57" i="24"/>
  <c r="T58" i="24" s="1"/>
  <c r="U57" i="24"/>
  <c r="U58" i="24" s="1"/>
  <c r="V6" i="24"/>
  <c r="W6" i="24" s="1"/>
  <c r="X6" i="24" s="1"/>
  <c r="Y6" i="24" s="1"/>
  <c r="Z6" i="24" s="1"/>
  <c r="AA6" i="24" s="1"/>
  <c r="AB6" i="24" s="1"/>
  <c r="AC6" i="24" s="1"/>
  <c r="W5" i="24"/>
  <c r="AF62" i="23"/>
  <c r="AF63" i="23" s="1"/>
  <c r="AH62" i="23"/>
  <c r="AH63" i="23" s="1"/>
  <c r="T62" i="23"/>
  <c r="T63" i="23" s="1"/>
  <c r="U62" i="23"/>
  <c r="U63" i="23" s="1"/>
  <c r="AG62" i="23"/>
  <c r="AG63" i="23" s="1"/>
  <c r="R62" i="23"/>
  <c r="AE62" i="23"/>
  <c r="AE63" i="23" s="1"/>
  <c r="V5" i="23"/>
  <c r="J202" i="25" l="1"/>
  <c r="J196" i="25"/>
  <c r="M15" i="25"/>
  <c r="Q9" i="25"/>
  <c r="Q15" i="25"/>
  <c r="M12" i="25"/>
  <c r="M9" i="25"/>
  <c r="Q12" i="25"/>
  <c r="W8" i="25"/>
  <c r="G8" i="25" s="1"/>
  <c r="G15" i="25"/>
  <c r="L154" i="25" s="1"/>
  <c r="L148" i="25"/>
  <c r="E148" i="25"/>
  <c r="J148" i="25" s="1"/>
  <c r="E154" i="25"/>
  <c r="E151" i="25"/>
  <c r="J151" i="25" s="1"/>
  <c r="E47" i="25"/>
  <c r="E203" i="25"/>
  <c r="J203" i="25" s="1"/>
  <c r="E114" i="25"/>
  <c r="I114" i="25" s="1"/>
  <c r="E197" i="25"/>
  <c r="E195" i="25" s="1"/>
  <c r="E200" i="25"/>
  <c r="E49" i="25"/>
  <c r="E204" i="25"/>
  <c r="J204" i="25" s="1"/>
  <c r="E46" i="25"/>
  <c r="E199"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L122" i="14"/>
  <c r="J145" i="14"/>
  <c r="L145" i="14" s="1"/>
  <c r="S98" i="25"/>
  <c r="W98" i="25" s="1"/>
  <c r="E138" i="25"/>
  <c r="I138" i="25" s="1"/>
  <c r="I139" i="25"/>
  <c r="E135" i="25"/>
  <c r="I135" i="25" s="1"/>
  <c r="I136" i="25"/>
  <c r="S97" i="25"/>
  <c r="W97" i="25" s="1"/>
  <c r="S102" i="25"/>
  <c r="W102" i="25" s="1"/>
  <c r="S104" i="25"/>
  <c r="W104" i="25" s="1"/>
  <c r="S106" i="25"/>
  <c r="W106" i="25" s="1"/>
  <c r="S101" i="25"/>
  <c r="S99" i="25"/>
  <c r="W99" i="25" s="1"/>
  <c r="K145" i="14"/>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H58" i="22"/>
  <c r="F57" i="22"/>
  <c r="G57" i="22" s="1"/>
  <c r="J61" i="22"/>
  <c r="M61" i="22" s="1"/>
  <c r="L103" i="25"/>
  <c r="J64" i="22"/>
  <c r="M64" i="22" s="1"/>
  <c r="Y18" i="25"/>
  <c r="O8" i="25"/>
  <c r="K8" i="25"/>
  <c r="L96" i="25"/>
  <c r="P96" i="25" s="1"/>
  <c r="L100" i="25"/>
  <c r="P100" i="25" s="1"/>
  <c r="E41" i="25"/>
  <c r="Q57" i="22"/>
  <c r="L56" i="22"/>
  <c r="R63" i="22"/>
  <c r="Q63" i="22"/>
  <c r="G60" i="22"/>
  <c r="H60" i="22"/>
  <c r="R69" i="22"/>
  <c r="Q69" i="22"/>
  <c r="Q66" i="22"/>
  <c r="R65" i="22"/>
  <c r="Q65" i="22"/>
  <c r="N56" i="22"/>
  <c r="O61" i="22"/>
  <c r="H69" i="22"/>
  <c r="H68" i="22"/>
  <c r="E57" i="22"/>
  <c r="G69" i="22"/>
  <c r="H66" i="22"/>
  <c r="O64" i="22"/>
  <c r="G62" i="22"/>
  <c r="G67" i="22"/>
  <c r="H67" i="22"/>
  <c r="F64" i="22"/>
  <c r="G64" i="22" s="1"/>
  <c r="H62" i="22"/>
  <c r="D56" i="22"/>
  <c r="E64" i="22"/>
  <c r="I26" i="22"/>
  <c r="E61" i="22"/>
  <c r="H65" i="22"/>
  <c r="G65" i="22"/>
  <c r="H63" i="22"/>
  <c r="F61" i="22"/>
  <c r="G63" i="22"/>
  <c r="V57" i="24"/>
  <c r="V58" i="24" s="1"/>
  <c r="W57" i="24"/>
  <c r="W58" i="24" s="1"/>
  <c r="X5" i="24"/>
  <c r="V62" i="23"/>
  <c r="V63" i="23" s="1"/>
  <c r="W5" i="23"/>
  <c r="E201" i="25" l="1"/>
  <c r="J199" i="25"/>
  <c r="E198" i="25"/>
  <c r="I18" i="25"/>
  <c r="E147" i="25"/>
  <c r="L147" i="25"/>
  <c r="L114" i="25"/>
  <c r="P114" i="25" s="1"/>
  <c r="J197" i="25"/>
  <c r="J198"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H57" i="22"/>
  <c r="J56" i="22"/>
  <c r="M56" i="22" s="1"/>
  <c r="E42" i="25"/>
  <c r="E45" i="25"/>
  <c r="H64" i="22"/>
  <c r="M8" i="25"/>
  <c r="Q8" i="25"/>
  <c r="L95" i="25"/>
  <c r="F56" i="22"/>
  <c r="G56" i="22" s="1"/>
  <c r="P61" i="22"/>
  <c r="R61" i="22" s="1"/>
  <c r="R62" i="22"/>
  <c r="Q62" i="22"/>
  <c r="O57" i="22"/>
  <c r="O56" i="22" s="1"/>
  <c r="R58" i="22"/>
  <c r="Q67" i="22"/>
  <c r="R67" i="22"/>
  <c r="R66" i="22"/>
  <c r="E56" i="22"/>
  <c r="H61" i="22"/>
  <c r="G61" i="22"/>
  <c r="X57" i="24"/>
  <c r="X58" i="24" s="1"/>
  <c r="Y5" i="24"/>
  <c r="W62" i="23"/>
  <c r="W63" i="23" s="1"/>
  <c r="X5" i="23"/>
  <c r="E194" i="25" l="1"/>
  <c r="J195" i="25"/>
  <c r="L177" i="25"/>
  <c r="Q177" i="25" s="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H56" i="22"/>
  <c r="R57" i="22"/>
  <c r="Q61" i="22"/>
  <c r="Y57" i="24"/>
  <c r="Y58" i="24" s="1"/>
  <c r="Z5" i="24"/>
  <c r="Y5" i="23"/>
  <c r="X62" i="23"/>
  <c r="X63" i="23" s="1"/>
  <c r="L112" i="25" l="1"/>
  <c r="P112" i="25" s="1"/>
  <c r="Z57" i="24"/>
  <c r="Z58" i="24" s="1"/>
  <c r="AA5" i="24"/>
  <c r="Y62" i="23"/>
  <c r="Y63" i="23" s="1"/>
  <c r="Z5" i="23"/>
  <c r="Q10" i="22"/>
  <c r="Q11" i="22"/>
  <c r="Q12" i="22"/>
  <c r="Q14" i="22"/>
  <c r="Q15" i="22"/>
  <c r="Q17" i="22"/>
  <c r="Q18" i="22"/>
  <c r="Q19" i="22"/>
  <c r="Q21" i="22"/>
  <c r="M10" i="22"/>
  <c r="M11" i="22"/>
  <c r="M12" i="22"/>
  <c r="M14" i="22"/>
  <c r="M15" i="22"/>
  <c r="M17" i="22"/>
  <c r="M18" i="22"/>
  <c r="M19" i="22"/>
  <c r="M20" i="22"/>
  <c r="M21" i="22"/>
  <c r="I10" i="22"/>
  <c r="I11" i="22"/>
  <c r="I12" i="22"/>
  <c r="I14" i="22"/>
  <c r="I15" i="22"/>
  <c r="I17" i="22"/>
  <c r="I18" i="22"/>
  <c r="I19" i="22"/>
  <c r="I20" i="22"/>
  <c r="I21" i="22"/>
  <c r="X18" i="22"/>
  <c r="Y18" i="22" s="1"/>
  <c r="Z18" i="22" s="1"/>
  <c r="X19" i="22"/>
  <c r="Y19" i="22" s="1"/>
  <c r="Z19" i="22" s="1"/>
  <c r="X20" i="22"/>
  <c r="Y20" i="22" s="1"/>
  <c r="Z20" i="22" s="1"/>
  <c r="X21" i="22"/>
  <c r="Y21" i="22" s="1"/>
  <c r="Z21" i="22" s="1"/>
  <c r="X17" i="22"/>
  <c r="Y17" i="22" s="1"/>
  <c r="Z17" i="22" s="1"/>
  <c r="X15" i="22"/>
  <c r="Y15" i="22" s="1"/>
  <c r="Z15" i="22" s="1"/>
  <c r="X14" i="22"/>
  <c r="Y14" i="22" s="1"/>
  <c r="Z14" i="22" s="1"/>
  <c r="X11" i="22"/>
  <c r="Y11" i="22" s="1"/>
  <c r="Z11" i="22" s="1"/>
  <c r="X12" i="22"/>
  <c r="Y12" i="22" s="1"/>
  <c r="Z12" i="22" s="1"/>
  <c r="X10" i="22"/>
  <c r="AA57" i="24" l="1"/>
  <c r="AA58" i="24" s="1"/>
  <c r="AB5" i="24"/>
  <c r="X9" i="22"/>
  <c r="Z62" i="23"/>
  <c r="Z63" i="23" s="1"/>
  <c r="AA5" i="23"/>
  <c r="T12" i="22"/>
  <c r="S18" i="22"/>
  <c r="S19" i="22"/>
  <c r="S20" i="22"/>
  <c r="S21" i="22"/>
  <c r="S17" i="22"/>
  <c r="S15" i="22"/>
  <c r="S14" i="22"/>
  <c r="S11" i="22"/>
  <c r="S12" i="22"/>
  <c r="S10" i="22"/>
  <c r="O16" i="22"/>
  <c r="O13" i="22"/>
  <c r="O9" i="22"/>
  <c r="K16" i="22"/>
  <c r="K13" i="22"/>
  <c r="K9" i="22"/>
  <c r="E25" i="22" s="1"/>
  <c r="H9" i="22"/>
  <c r="G16" i="22"/>
  <c r="G13" i="22"/>
  <c r="G9" i="22"/>
  <c r="W9" i="22"/>
  <c r="N9" i="22"/>
  <c r="J9" i="22"/>
  <c r="F9" i="22"/>
  <c r="E9" i="22"/>
  <c r="D9" i="22"/>
  <c r="T58" i="22" l="1"/>
  <c r="T60" i="22"/>
  <c r="U60" i="22"/>
  <c r="V60" i="22" s="1"/>
  <c r="T59" i="22"/>
  <c r="T66" i="22"/>
  <c r="E45" i="22"/>
  <c r="T68" i="22"/>
  <c r="E47" i="22"/>
  <c r="T67" i="22"/>
  <c r="E46" i="22"/>
  <c r="T62" i="22"/>
  <c r="E42" i="22"/>
  <c r="T63" i="22"/>
  <c r="E41" i="22"/>
  <c r="T65" i="22"/>
  <c r="E44" i="22"/>
  <c r="T69" i="22"/>
  <c r="E48" i="22"/>
  <c r="AF9" i="22"/>
  <c r="K8" i="22"/>
  <c r="AB57" i="24"/>
  <c r="AB58" i="24" s="1"/>
  <c r="AC5" i="24"/>
  <c r="AC57" i="24" s="1"/>
  <c r="AC58" i="24" s="1"/>
  <c r="S13" i="22"/>
  <c r="AA62" i="23"/>
  <c r="AA63" i="23" s="1"/>
  <c r="AB5" i="23"/>
  <c r="E29" i="22"/>
  <c r="O8" i="22"/>
  <c r="G8" i="22"/>
  <c r="Z10" i="22"/>
  <c r="Y9" i="22"/>
  <c r="S9" i="22"/>
  <c r="E39" i="22" s="1"/>
  <c r="S16" i="22"/>
  <c r="U12" i="22"/>
  <c r="I9" i="22"/>
  <c r="X60" i="22" l="1"/>
  <c r="T61" i="22"/>
  <c r="T57" i="22"/>
  <c r="T64" i="22"/>
  <c r="E43" i="22"/>
  <c r="E40" i="22"/>
  <c r="E35" i="22"/>
  <c r="AC5" i="23"/>
  <c r="AC62" i="23" s="1"/>
  <c r="AC63" i="23" s="1"/>
  <c r="AB62" i="23"/>
  <c r="AB63" i="23" s="1"/>
  <c r="S8" i="22"/>
  <c r="T56" i="22" l="1"/>
  <c r="E49" i="22"/>
  <c r="Y16" i="22"/>
  <c r="Y13" i="22"/>
  <c r="F13" i="22"/>
  <c r="H13" i="22"/>
  <c r="F16" i="22"/>
  <c r="H16" i="22"/>
  <c r="L9" i="22"/>
  <c r="J13" i="22"/>
  <c r="L13" i="22"/>
  <c r="M13" i="22" s="1"/>
  <c r="M16" i="22"/>
  <c r="J16" i="22"/>
  <c r="L38" i="14"/>
  <c r="M17" i="14"/>
  <c r="M146" i="14" s="1"/>
  <c r="I17" i="14"/>
  <c r="Q17" i="14" s="1"/>
  <c r="M9" i="22" l="1"/>
  <c r="K25" i="22"/>
  <c r="I16" i="22"/>
  <c r="AF16" i="22"/>
  <c r="I13" i="22"/>
  <c r="AF13" i="22"/>
  <c r="H8" i="22"/>
  <c r="F8" i="22"/>
  <c r="L8" i="22"/>
  <c r="M8" i="22" s="1"/>
  <c r="J8" i="22"/>
  <c r="J17" i="14"/>
  <c r="J146" i="14" s="1"/>
  <c r="L146" i="14" s="1"/>
  <c r="I8" i="22" l="1"/>
  <c r="AF8" i="22"/>
  <c r="AE5" i="22" l="1"/>
  <c r="AP15" i="22" l="1"/>
  <c r="D16" i="22" l="1"/>
  <c r="E13" i="22"/>
  <c r="D13" i="22"/>
  <c r="D8" i="22" l="1"/>
  <c r="AP10" i="22"/>
  <c r="AP14" i="22"/>
  <c r="AP20" i="22"/>
  <c r="AP19" i="22"/>
  <c r="AP18" i="22"/>
  <c r="T21" i="22"/>
  <c r="R21" i="22"/>
  <c r="S69" i="22" l="1"/>
  <c r="I48" i="22"/>
  <c r="G48" i="22"/>
  <c r="U69" i="22"/>
  <c r="U21" i="22"/>
  <c r="AH21" i="22"/>
  <c r="AP21" i="22"/>
  <c r="AG21" i="22"/>
  <c r="V69" i="22" l="1"/>
  <c r="K48" i="22"/>
  <c r="X69" i="22"/>
  <c r="E16" i="22"/>
  <c r="E8" i="22" s="1"/>
  <c r="AE21" i="22"/>
  <c r="AI21" i="22"/>
  <c r="N112" i="14" l="1"/>
  <c r="N122" i="14" l="1"/>
  <c r="F20" i="18"/>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N108" i="14"/>
  <c r="N107" i="14"/>
  <c r="N106" i="14"/>
  <c r="N105" i="14"/>
  <c r="N104" i="14"/>
  <c r="N103" i="14"/>
  <c r="N101" i="14"/>
  <c r="Y10" i="18" l="1"/>
  <c r="N100" i="14"/>
  <c r="N110" i="14" s="1"/>
  <c r="R29" i="18" l="1"/>
  <c r="Z10" i="18"/>
  <c r="S29" i="18" l="1"/>
  <c r="P13" i="22" l="1"/>
  <c r="Q13" i="22" s="1"/>
  <c r="P9" i="22"/>
  <c r="Q9" i="22" s="1"/>
  <c r="P17" i="18"/>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96" i="14"/>
  <c r="N95" i="14"/>
  <c r="N94" i="14"/>
  <c r="N93" i="14"/>
  <c r="N92" i="14"/>
  <c r="N91" i="14"/>
  <c r="N89" i="14"/>
  <c r="N88" i="14"/>
  <c r="N98" i="14" l="1"/>
  <c r="N10" i="18"/>
  <c r="L12" i="18"/>
  <c r="L9" i="18"/>
  <c r="M12" i="18"/>
  <c r="N16" i="18"/>
  <c r="N11" i="18"/>
  <c r="N13" i="18"/>
  <c r="N19" i="18"/>
  <c r="M9" i="18"/>
  <c r="N17" i="18"/>
  <c r="N18" i="18"/>
  <c r="Y39" i="18"/>
  <c r="Z39" i="18"/>
  <c r="N14" i="18"/>
  <c r="L15" i="18"/>
  <c r="M15" i="18"/>
  <c r="N12" i="18" l="1"/>
  <c r="N9" i="18"/>
  <c r="L8" i="18"/>
  <c r="N15" i="18"/>
  <c r="M8" i="18"/>
  <c r="N8" i="18" l="1"/>
  <c r="N79" i="14" l="1"/>
  <c r="N80" i="14"/>
  <c r="N81" i="14"/>
  <c r="N82" i="14"/>
  <c r="N83" i="14"/>
  <c r="N84" i="14"/>
  <c r="N76" i="14"/>
  <c r="T19" i="22" l="1"/>
  <c r="T17" i="22"/>
  <c r="J16" i="18"/>
  <c r="J18" i="18"/>
  <c r="J19" i="18"/>
  <c r="I44" i="22" l="1"/>
  <c r="G44" i="22"/>
  <c r="G46" i="22"/>
  <c r="I46" i="22"/>
  <c r="U65" i="22"/>
  <c r="X65" i="22" s="1"/>
  <c r="U67" i="22"/>
  <c r="X67" i="22" s="1"/>
  <c r="U17" i="22"/>
  <c r="U19" i="22"/>
  <c r="AH17" i="22"/>
  <c r="AH19" i="22"/>
  <c r="I18" i="18"/>
  <c r="K18" i="18" s="1"/>
  <c r="I19" i="18"/>
  <c r="K19" i="18" s="1"/>
  <c r="I11" i="18"/>
  <c r="T14" i="22"/>
  <c r="T10" i="22"/>
  <c r="I13" i="18"/>
  <c r="T15" i="22"/>
  <c r="I10" i="18"/>
  <c r="I14" i="18"/>
  <c r="I16" i="18"/>
  <c r="I17" i="18"/>
  <c r="J10" i="18"/>
  <c r="S19" i="18"/>
  <c r="J14" i="18"/>
  <c r="S18" i="18"/>
  <c r="J13" i="18"/>
  <c r="S16" i="18"/>
  <c r="K44" i="22" l="1"/>
  <c r="I41" i="22"/>
  <c r="K41" i="22" s="1"/>
  <c r="I39" i="22"/>
  <c r="G40" i="22"/>
  <c r="I42" i="22"/>
  <c r="K46" i="22"/>
  <c r="U63" i="22"/>
  <c r="U62" i="22"/>
  <c r="X62" i="22" s="1"/>
  <c r="U10" i="22"/>
  <c r="U58" i="22"/>
  <c r="U14" i="22"/>
  <c r="U15" i="22"/>
  <c r="I12" i="18"/>
  <c r="I9" i="18"/>
  <c r="AE19" i="22"/>
  <c r="AE20" i="22"/>
  <c r="I15" i="18"/>
  <c r="K16" i="18"/>
  <c r="T13" i="22"/>
  <c r="U13" i="22" s="1"/>
  <c r="O38" i="18"/>
  <c r="O37" i="18"/>
  <c r="O35" i="18"/>
  <c r="V19" i="18"/>
  <c r="AC19" i="18"/>
  <c r="K10" i="18"/>
  <c r="S10" i="18"/>
  <c r="O29" i="18" s="1"/>
  <c r="K14" i="18"/>
  <c r="S14" i="18"/>
  <c r="O33" i="18" s="1"/>
  <c r="V18" i="18"/>
  <c r="AC18" i="18"/>
  <c r="V16" i="18"/>
  <c r="AC16" i="18"/>
  <c r="K13" i="18"/>
  <c r="J12" i="18"/>
  <c r="S13" i="18"/>
  <c r="O32" i="18" s="1"/>
  <c r="U61" i="22" l="1"/>
  <c r="X61" i="22" s="1"/>
  <c r="X63" i="22"/>
  <c r="I40" i="22"/>
  <c r="K42" i="22"/>
  <c r="X58" i="22"/>
  <c r="G26" i="22"/>
  <c r="K12" i="18"/>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K40" i="22" l="1"/>
  <c r="Y37" i="18"/>
  <c r="Z37" i="18"/>
  <c r="V35" i="18"/>
  <c r="Z32" i="18"/>
  <c r="Y32" i="18"/>
  <c r="X31" i="18"/>
  <c r="Z33" i="18"/>
  <c r="Y33" i="18"/>
  <c r="V32" i="18"/>
  <c r="U31" i="18"/>
  <c r="V31" i="18" s="1"/>
  <c r="Y35" i="18"/>
  <c r="Z35" i="18"/>
  <c r="Z29" i="18"/>
  <c r="Y29" i="18"/>
  <c r="Y38" i="18"/>
  <c r="Z38" i="18"/>
  <c r="V29" i="18"/>
  <c r="Z31" i="18" l="1"/>
  <c r="Y31" i="18"/>
  <c r="J111" i="14"/>
  <c r="F19" i="18" l="1"/>
  <c r="H19" i="18" s="1"/>
  <c r="AH10" i="22" l="1"/>
  <c r="F14" i="18"/>
  <c r="F16" i="18"/>
  <c r="H16" i="18" s="1"/>
  <c r="G11" i="18"/>
  <c r="F11" i="18"/>
  <c r="F17" i="18"/>
  <c r="H17" i="18" s="1"/>
  <c r="F13" i="18"/>
  <c r="F10" i="18"/>
  <c r="F18" i="18"/>
  <c r="H18" i="18" s="1"/>
  <c r="G10" i="18"/>
  <c r="H11" i="18" l="1"/>
  <c r="F12" i="18"/>
  <c r="F9" i="18"/>
  <c r="F15" i="18"/>
  <c r="H10" i="18"/>
  <c r="AC10" i="18"/>
  <c r="G9" i="18"/>
  <c r="V10" i="18"/>
  <c r="H15" i="18"/>
  <c r="N71" i="14"/>
  <c r="N70" i="14"/>
  <c r="N69" i="14"/>
  <c r="N68" i="14"/>
  <c r="N64" i="14"/>
  <c r="N63" i="14"/>
  <c r="N60" i="14"/>
  <c r="N59" i="14"/>
  <c r="N58" i="14"/>
  <c r="N57" i="14"/>
  <c r="N56" i="14"/>
  <c r="N55" i="14"/>
  <c r="N53" i="14"/>
  <c r="N52" i="14"/>
  <c r="N62" i="14" l="1"/>
  <c r="N51" i="14"/>
  <c r="H9" i="18"/>
  <c r="AE10" i="22"/>
  <c r="F8" i="18"/>
  <c r="T18" i="22"/>
  <c r="J17" i="18"/>
  <c r="I45" i="22" l="1"/>
  <c r="G45" i="22"/>
  <c r="U66" i="22"/>
  <c r="X66" i="22" s="1"/>
  <c r="U18" i="22"/>
  <c r="AH18" i="22"/>
  <c r="K17" i="18"/>
  <c r="S17" i="18"/>
  <c r="J15" i="18"/>
  <c r="K15" i="18" s="1"/>
  <c r="K45" i="22" l="1"/>
  <c r="G29" i="22"/>
  <c r="AE18" i="22"/>
  <c r="O36" i="18"/>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L141" i="14"/>
  <c r="L140" i="14"/>
  <c r="L139" i="14"/>
  <c r="L138" i="14"/>
  <c r="L137" i="14"/>
  <c r="L134" i="14"/>
  <c r="L95" i="14"/>
  <c r="L94" i="14"/>
  <c r="L92" i="14"/>
  <c r="L91" i="14"/>
  <c r="L88" i="14"/>
  <c r="L83" i="14"/>
  <c r="L82" i="14"/>
  <c r="L80" i="14"/>
  <c r="M111" i="14" s="1"/>
  <c r="L79" i="14"/>
  <c r="L76" i="14"/>
  <c r="L70" i="14"/>
  <c r="L69" i="14"/>
  <c r="L68" i="14"/>
  <c r="L67" i="14"/>
  <c r="L66" i="14"/>
  <c r="L58" i="14"/>
  <c r="L57" i="14"/>
  <c r="L56" i="14"/>
  <c r="L55" i="14"/>
  <c r="L53" i="14"/>
  <c r="L48" i="14"/>
  <c r="L44" i="14"/>
  <c r="L41" i="14"/>
  <c r="L37" i="14"/>
  <c r="L36" i="14"/>
  <c r="AC17" i="13"/>
  <c r="L35" i="14"/>
  <c r="AC16" i="13"/>
  <c r="L33" i="14"/>
  <c r="L32" i="14"/>
  <c r="L30" i="14"/>
  <c r="L29" i="14"/>
  <c r="L26" i="14"/>
  <c r="L25" i="14"/>
  <c r="L24" i="14"/>
  <c r="L23" i="14"/>
  <c r="L21" i="14"/>
  <c r="L18" i="14"/>
  <c r="J40" i="14"/>
  <c r="L10" i="14"/>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R19" i="22" l="1"/>
  <c r="L130" i="14"/>
  <c r="L123" i="14"/>
  <c r="L126" i="14"/>
  <c r="L128" i="14"/>
  <c r="L129" i="14"/>
  <c r="O18" i="18"/>
  <c r="L117" i="14"/>
  <c r="L118" i="14"/>
  <c r="L119" i="14"/>
  <c r="L120" i="14"/>
  <c r="L113" i="14"/>
  <c r="L115" i="14"/>
  <c r="L116" i="14"/>
  <c r="L104" i="14"/>
  <c r="L105" i="14"/>
  <c r="L106" i="14"/>
  <c r="L103" i="14"/>
  <c r="L100" i="14"/>
  <c r="L52" i="14"/>
  <c r="L45" i="14"/>
  <c r="M40" i="14"/>
  <c r="L17" i="14"/>
  <c r="I40" i="14"/>
  <c r="W11" i="13"/>
  <c r="L47" i="14"/>
  <c r="L127" i="14"/>
  <c r="Z11" i="13"/>
  <c r="L93" i="14"/>
  <c r="L63" i="14"/>
  <c r="L112" i="14"/>
  <c r="L59" i="14"/>
  <c r="L60" i="14"/>
  <c r="AC12" i="13"/>
  <c r="AC11" i="13" s="1"/>
  <c r="L46" i="14"/>
  <c r="AC15" i="13"/>
  <c r="L107" i="14"/>
  <c r="T13" i="13"/>
  <c r="N144" i="14"/>
  <c r="N145" i="14" s="1"/>
  <c r="T10" i="13"/>
  <c r="AC8" i="13"/>
  <c r="Q40" i="14" l="1"/>
  <c r="R21" i="25"/>
  <c r="S67" i="22"/>
  <c r="V67" i="22" s="1"/>
  <c r="M74" i="14"/>
  <c r="I74" i="14"/>
  <c r="I75" i="14" s="1"/>
  <c r="AP17" i="22"/>
  <c r="AG19" i="22"/>
  <c r="R10" i="22"/>
  <c r="R17" i="22"/>
  <c r="N16" i="22"/>
  <c r="R20" i="22"/>
  <c r="N13" i="22"/>
  <c r="R14" i="22"/>
  <c r="R15" i="22"/>
  <c r="R11" i="22"/>
  <c r="R18" i="22"/>
  <c r="AI19" i="22"/>
  <c r="O17" i="18"/>
  <c r="O16" i="18"/>
  <c r="O19" i="18"/>
  <c r="Q18" i="18"/>
  <c r="R18" i="18"/>
  <c r="O11" i="18"/>
  <c r="O10" i="18"/>
  <c r="O14" i="18"/>
  <c r="O13" i="18"/>
  <c r="N77" i="14"/>
  <c r="N86" i="14" s="1"/>
  <c r="K111" i="14"/>
  <c r="J74" i="14"/>
  <c r="T15" i="13"/>
  <c r="T12" i="13"/>
  <c r="T11" i="13" s="1"/>
  <c r="M75" i="14" l="1"/>
  <c r="M87" i="14" s="1"/>
  <c r="M99" i="14" s="1"/>
  <c r="S65" i="22"/>
  <c r="V65" i="22" s="1"/>
  <c r="S59" i="22"/>
  <c r="S63" i="22"/>
  <c r="V63" i="22" s="1"/>
  <c r="S62" i="22"/>
  <c r="S58" i="22"/>
  <c r="V58" i="22" s="1"/>
  <c r="S66" i="22"/>
  <c r="V66" i="22" s="1"/>
  <c r="S68" i="22"/>
  <c r="R9" i="22"/>
  <c r="AG9" i="22" s="1"/>
  <c r="AP11" i="22"/>
  <c r="AG11" i="22"/>
  <c r="AG20" i="22"/>
  <c r="AP16" i="22"/>
  <c r="AG15" i="22"/>
  <c r="AG17" i="22"/>
  <c r="AG18" i="22"/>
  <c r="AG14" i="22"/>
  <c r="AG10" i="22"/>
  <c r="AI18" i="22"/>
  <c r="R16" i="22"/>
  <c r="AI17" i="22"/>
  <c r="R13" i="22"/>
  <c r="AI10" i="22"/>
  <c r="N8" i="22"/>
  <c r="T11" i="22"/>
  <c r="Q19" i="18"/>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N111" i="14"/>
  <c r="J75" i="14"/>
  <c r="J87" i="14" s="1"/>
  <c r="J99" i="14" s="1"/>
  <c r="I87" i="14"/>
  <c r="I99" i="14" s="1"/>
  <c r="S61" i="22" l="1"/>
  <c r="V61" i="22" s="1"/>
  <c r="S64" i="22"/>
  <c r="S57" i="22"/>
  <c r="V62" i="22"/>
  <c r="U11" i="22"/>
  <c r="AI11" i="22" s="1"/>
  <c r="U59" i="22"/>
  <c r="AP9" i="22"/>
  <c r="AE17" i="22"/>
  <c r="AG13" i="22"/>
  <c r="AG16" i="22"/>
  <c r="AH11" i="22"/>
  <c r="W13" i="22"/>
  <c r="R8" i="22"/>
  <c r="W16" i="22"/>
  <c r="Y11" i="18"/>
  <c r="T9" i="22"/>
  <c r="X16" i="22"/>
  <c r="Z16" i="22" s="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99" i="14"/>
  <c r="L87" i="14"/>
  <c r="L25" i="2"/>
  <c r="L24" i="2"/>
  <c r="N17" i="13"/>
  <c r="N16" i="13"/>
  <c r="N15" i="13"/>
  <c r="N13" i="13"/>
  <c r="N10" i="13"/>
  <c r="N9" i="13"/>
  <c r="K17" i="13"/>
  <c r="K16" i="13"/>
  <c r="K15" i="13"/>
  <c r="K13" i="13"/>
  <c r="K10" i="13"/>
  <c r="K9" i="13"/>
  <c r="L30" i="2"/>
  <c r="L29" i="2"/>
  <c r="L28" i="2"/>
  <c r="L27" i="2"/>
  <c r="L26" i="2"/>
  <c r="S56" i="22" l="1"/>
  <c r="K39" i="22"/>
  <c r="X59" i="22"/>
  <c r="V59" i="22"/>
  <c r="U57" i="22"/>
  <c r="N14" i="13"/>
  <c r="U9" i="22"/>
  <c r="AI9" i="22" s="1"/>
  <c r="AE16" i="22"/>
  <c r="AH9" i="22"/>
  <c r="AE11" i="22"/>
  <c r="AG8" i="22"/>
  <c r="W8" i="22"/>
  <c r="Z9" i="22"/>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X57" i="22" l="1"/>
  <c r="V57" i="22"/>
  <c r="G35" i="22"/>
  <c r="AE9" i="22"/>
  <c r="Z9" i="18"/>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N67" i="14"/>
  <c r="G14" i="18" l="1"/>
  <c r="N66" i="14"/>
  <c r="N73" i="14" s="1"/>
  <c r="AH15" i="22" l="1"/>
  <c r="AI15" i="22"/>
  <c r="H14" i="18"/>
  <c r="AC14" i="18"/>
  <c r="V14" i="18"/>
  <c r="W14" i="18" l="1"/>
  <c r="AD14" i="18"/>
  <c r="G13" i="18"/>
  <c r="AH14" i="22" l="1"/>
  <c r="G12" i="18"/>
  <c r="G8" i="18" s="1"/>
  <c r="H13" i="18"/>
  <c r="H12" i="18" s="1"/>
  <c r="H8" i="18" s="1"/>
  <c r="AC13" i="18"/>
  <c r="V13" i="18"/>
  <c r="AE14" i="22" l="1"/>
  <c r="AH13" i="22"/>
  <c r="AI14" i="22"/>
  <c r="W13" i="18"/>
  <c r="V12" i="18"/>
  <c r="AD13" i="18"/>
  <c r="AC12" i="18"/>
  <c r="AI13" i="22" l="1"/>
  <c r="W12" i="18"/>
  <c r="V8" i="18"/>
  <c r="W8" i="18" s="1"/>
  <c r="AD12" i="18"/>
  <c r="AC8" i="18"/>
  <c r="AD8" i="18" s="1"/>
  <c r="AP13" i="22" l="1"/>
  <c r="X13" i="22" l="1"/>
  <c r="Z13" i="22" s="1"/>
  <c r="AE15" i="22"/>
  <c r="X22" i="22"/>
  <c r="X8" i="22" l="1"/>
  <c r="Y8" i="22" s="1"/>
  <c r="Z8" i="22" s="1"/>
  <c r="AE13" i="22"/>
  <c r="AE8" i="22" l="1"/>
  <c r="Z18" i="13" l="1"/>
  <c r="Z17" i="13"/>
  <c r="AA17" i="13" s="1"/>
  <c r="W17" i="13"/>
  <c r="AA18" i="13" l="1"/>
  <c r="T17" i="13"/>
  <c r="U17" i="13" s="1"/>
  <c r="X17" i="13"/>
  <c r="Z16" i="13" l="1"/>
  <c r="Z14" i="13" l="1"/>
  <c r="AA14" i="13" s="1"/>
  <c r="AA16" i="13"/>
  <c r="W16" i="13" l="1"/>
  <c r="T16" i="13" l="1"/>
  <c r="W14" i="13"/>
  <c r="X14" i="13" s="1"/>
  <c r="X16" i="13"/>
  <c r="U16" i="13" l="1"/>
  <c r="K17" i="14" l="1"/>
  <c r="N7" i="14"/>
  <c r="N17" i="14" s="1"/>
  <c r="L7" i="14"/>
  <c r="W9" i="13"/>
  <c r="K28" i="14" l="1"/>
  <c r="Z9" i="13"/>
  <c r="T9" i="13" s="1"/>
  <c r="N28" i="14"/>
  <c r="N74" i="14"/>
  <c r="W8" i="13"/>
  <c r="X9" i="13"/>
  <c r="Z8" i="13" l="1"/>
  <c r="AA9" i="13"/>
  <c r="W7" i="13"/>
  <c r="X7" i="13" s="1"/>
  <c r="X8" i="13"/>
  <c r="T8" i="13"/>
  <c r="U9" i="13"/>
  <c r="Z7" i="13" l="1"/>
  <c r="AA7" i="13" s="1"/>
  <c r="AA8" i="13"/>
  <c r="U8" i="13"/>
  <c r="K74" i="14"/>
  <c r="L74" i="14" l="1"/>
  <c r="G43" i="22"/>
  <c r="G49" i="22" s="1"/>
  <c r="AC18" i="13" l="1"/>
  <c r="T18" i="13" s="1"/>
  <c r="K39" i="14"/>
  <c r="K146" i="14" s="1"/>
  <c r="N37" i="14"/>
  <c r="N39" i="14" s="1"/>
  <c r="N40" i="14" l="1"/>
  <c r="N75" i="14" s="1"/>
  <c r="N146" i="14"/>
  <c r="K40" i="14"/>
  <c r="L40" i="14" s="1"/>
  <c r="P22" i="22"/>
  <c r="I33" i="22"/>
  <c r="P68" i="22"/>
  <c r="U18" i="13"/>
  <c r="T14" i="13"/>
  <c r="T20" i="22"/>
  <c r="AD18" i="13"/>
  <c r="P16" i="22"/>
  <c r="Q20" i="22"/>
  <c r="AC14" i="13"/>
  <c r="K75" i="14" l="1"/>
  <c r="I47" i="22"/>
  <c r="K33" i="22"/>
  <c r="K29" i="22" s="1"/>
  <c r="I29" i="22"/>
  <c r="I35" i="22" s="1"/>
  <c r="K35" i="22" s="1"/>
  <c r="P64" i="22"/>
  <c r="R68" i="22"/>
  <c r="Q68" i="22"/>
  <c r="T16" i="22"/>
  <c r="AH20" i="22"/>
  <c r="U68" i="22"/>
  <c r="U20" i="22"/>
  <c r="AI20" i="22" s="1"/>
  <c r="U14" i="13"/>
  <c r="T7" i="13"/>
  <c r="U7" i="13" s="1"/>
  <c r="AD14" i="13"/>
  <c r="AC7" i="13"/>
  <c r="AD7" i="13" s="1"/>
  <c r="P8" i="22"/>
  <c r="Q8" i="22" s="1"/>
  <c r="Q16" i="22"/>
  <c r="L75" i="14" l="1"/>
  <c r="K87" i="14"/>
  <c r="K99" i="14" s="1"/>
  <c r="N99" i="14" s="1"/>
  <c r="K47" i="22"/>
  <c r="I43" i="22"/>
  <c r="Q64" i="22"/>
  <c r="P56" i="22"/>
  <c r="R64" i="22"/>
  <c r="U64" i="22"/>
  <c r="X68" i="22"/>
  <c r="V68" i="22"/>
  <c r="U16" i="22"/>
  <c r="AI16" i="22" s="1"/>
  <c r="AH16" i="22"/>
  <c r="T8" i="22"/>
  <c r="I49" i="22" l="1"/>
  <c r="K49" i="22" s="1"/>
  <c r="K43" i="22"/>
  <c r="Q56" i="22"/>
  <c r="R56" i="22"/>
  <c r="U8" i="22"/>
  <c r="AI8" i="22" s="1"/>
  <c r="AH8" i="22"/>
  <c r="V64" i="22"/>
  <c r="X64" i="22"/>
  <c r="U56" i="22"/>
  <c r="X56" i="22" l="1"/>
  <c r="V56" i="22"/>
  <c r="L151" i="14"/>
  <c r="J157" i="14"/>
  <c r="J180" i="14" s="1"/>
  <c r="J283" i="14" s="1"/>
  <c r="L157" i="14" l="1"/>
  <c r="S157" i="14"/>
  <c r="L283" i="14"/>
  <c r="K32" i="25"/>
  <c r="N156" i="14"/>
  <c r="N157" i="14" s="1"/>
  <c r="N180" i="14" s="1"/>
  <c r="N283" i="14" s="1"/>
  <c r="L156" i="14"/>
  <c r="K157" i="14"/>
  <c r="K180" i="14" s="1"/>
  <c r="K283" i="14" s="1"/>
  <c r="L180" i="14" l="1"/>
  <c r="O180" i="14"/>
  <c r="T157" i="14"/>
  <c r="U108" i="25"/>
  <c r="W108" i="25" s="1"/>
  <c r="I37" i="25"/>
  <c r="K37" i="25" s="1"/>
  <c r="N108" i="25"/>
  <c r="M108" i="25"/>
  <c r="G45" i="25" l="1"/>
  <c r="K45" i="25" s="1"/>
  <c r="V108" i="25"/>
  <c r="G205" i="25"/>
  <c r="Y19" i="25"/>
  <c r="G125" i="25"/>
  <c r="M103" i="25"/>
  <c r="M95" i="25" s="1"/>
  <c r="T108" i="25"/>
  <c r="X108" i="25" s="1"/>
  <c r="I158" i="25"/>
  <c r="J158" i="25"/>
  <c r="P108" i="25"/>
  <c r="N103" i="25"/>
  <c r="O108" i="25"/>
  <c r="Q108" i="25"/>
  <c r="G201" i="25" l="1"/>
  <c r="H201" i="25" s="1"/>
  <c r="H205" i="25"/>
  <c r="I19" i="25"/>
  <c r="Y15" i="25"/>
  <c r="I15" i="25" s="1"/>
  <c r="X8" i="25"/>
  <c r="Y8" i="25" s="1"/>
  <c r="I8" i="25" s="1"/>
  <c r="H15" i="25"/>
  <c r="N154" i="25" s="1"/>
  <c r="G51" i="25"/>
  <c r="K51" i="25" s="1"/>
  <c r="N162" i="25"/>
  <c r="N95" i="25"/>
  <c r="P103" i="25"/>
  <c r="Q103" i="25"/>
  <c r="O103" i="25"/>
  <c r="I154" i="25"/>
  <c r="J154" i="25"/>
  <c r="Q158" i="25"/>
  <c r="P158" i="25"/>
  <c r="I125" i="25"/>
  <c r="N125" i="25"/>
  <c r="G120" i="25"/>
  <c r="H125" i="25"/>
  <c r="J125" i="25"/>
  <c r="I205" i="25"/>
  <c r="J205" i="25"/>
  <c r="H8" i="25" l="1"/>
  <c r="N147" i="25" s="1"/>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92" authorId="0" shapeId="0" xr:uid="{F7F78CA7-27D7-427B-8FE4-3C321FFE0242}">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현실화</t>
        </r>
        <r>
          <rPr>
            <sz val="9"/>
            <color indexed="81"/>
            <rFont val="Tahoma"/>
            <family val="2"/>
          </rPr>
          <t xml:space="preserve"> </t>
        </r>
        <r>
          <rPr>
            <sz val="9"/>
            <color indexed="81"/>
            <rFont val="돋움"/>
            <family val="3"/>
            <charset val="129"/>
          </rPr>
          <t>매출</t>
        </r>
        <r>
          <rPr>
            <sz val="9"/>
            <color indexed="81"/>
            <rFont val="Tahoma"/>
            <family val="2"/>
          </rPr>
          <t xml:space="preserve"> 1,313</t>
        </r>
        <r>
          <rPr>
            <sz val="9"/>
            <color indexed="81"/>
            <rFont val="돋움"/>
            <family val="3"/>
            <charset val="129"/>
          </rPr>
          <t>억</t>
        </r>
        <r>
          <rPr>
            <sz val="9"/>
            <color indexed="81"/>
            <rFont val="Tahoma"/>
            <family val="2"/>
          </rPr>
          <t xml:space="preserve"> </t>
        </r>
        <r>
          <rPr>
            <sz val="9"/>
            <color indexed="81"/>
            <rFont val="돋움"/>
            <family val="3"/>
            <charset val="129"/>
          </rPr>
          <t>동기화</t>
        </r>
        <r>
          <rPr>
            <sz val="9"/>
            <color indexed="81"/>
            <rFont val="Tahoma"/>
            <family val="2"/>
          </rPr>
          <t xml:space="preserve"> </t>
        </r>
        <r>
          <rPr>
            <sz val="9"/>
            <color indexed="81"/>
            <rFont val="돋움"/>
            <family val="3"/>
            <charset val="129"/>
          </rPr>
          <t>위해</t>
        </r>
        <r>
          <rPr>
            <sz val="9"/>
            <color indexed="81"/>
            <rFont val="Tahoma"/>
            <family val="2"/>
          </rPr>
          <t xml:space="preserve"> 8~12</t>
        </r>
        <r>
          <rPr>
            <sz val="9"/>
            <color indexed="81"/>
            <rFont val="돋움"/>
            <family val="3"/>
            <charset val="129"/>
          </rPr>
          <t>월</t>
        </r>
        <r>
          <rPr>
            <sz val="9"/>
            <color indexed="81"/>
            <rFont val="Tahoma"/>
            <family val="2"/>
          </rPr>
          <t xml:space="preserve"> </t>
        </r>
        <r>
          <rPr>
            <sz val="9"/>
            <color indexed="81"/>
            <rFont val="돋움"/>
            <family val="3"/>
            <charset val="129"/>
          </rPr>
          <t>재무기획</t>
        </r>
        <r>
          <rPr>
            <sz val="9"/>
            <color indexed="81"/>
            <rFont val="Tahoma"/>
            <family val="2"/>
          </rPr>
          <t xml:space="preserve"> </t>
        </r>
        <r>
          <rPr>
            <sz val="9"/>
            <color indexed="81"/>
            <rFont val="돋움"/>
            <family val="3"/>
            <charset val="129"/>
          </rPr>
          <t>버전으로</t>
        </r>
        <r>
          <rPr>
            <sz val="9"/>
            <color indexed="81"/>
            <rFont val="Tahoma"/>
            <family val="2"/>
          </rPr>
          <t xml:space="preserve"> </t>
        </r>
        <r>
          <rPr>
            <sz val="9"/>
            <color indexed="81"/>
            <rFont val="돋움"/>
            <family val="3"/>
            <charset val="129"/>
          </rPr>
          <t>반영함</t>
        </r>
        <r>
          <rPr>
            <sz val="9"/>
            <color indexed="81"/>
            <rFont val="Tahoma"/>
            <family val="2"/>
          </rPr>
          <t>.</t>
        </r>
      </text>
    </comment>
  </commentList>
</comments>
</file>

<file path=xl/sharedStrings.xml><?xml version="1.0" encoding="utf-8"?>
<sst xmlns="http://schemas.openxmlformats.org/spreadsheetml/2006/main" count="6623" uniqueCount="737">
  <si>
    <t xml:space="preserve">26년 CMO 매출 예상실적 </t>
    <phoneticPr fontId="2" type="noConversion"/>
  </si>
  <si>
    <t>■ 1분기 매출</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</si>
  <si>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</si>
  <si>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</si>
  <si>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</si>
  <si>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</si>
  <si>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</si>
  <si>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</si>
  <si>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</si>
  <si>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</si>
  <si>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1분기 누계</t>
    <phoneticPr fontId="2" type="noConversion"/>
  </si>
  <si>
    <t>1분기 소계</t>
    <phoneticPr fontId="2" type="noConversion"/>
  </si>
  <si>
    <t>26년 예상 실적</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</si>
  <si>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</si>
  <si>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</si>
  <si>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</si>
  <si>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</si>
  <si>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</si>
  <si>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</si>
  <si>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</si>
  <si>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</si>
  <si>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</si>
  <si>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</si>
  <si>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</si>
  <si>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</si>
  <si>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</si>
  <si>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</si>
  <si>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</si>
  <si>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</si>
  <si>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</si>
  <si>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</si>
  <si>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</si>
  <si>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</si>
  <si>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</si>
  <si>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</si>
  <si>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</si>
  <si>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</si>
  <si>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</si>
  <si>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1) 2월 매출 특이사항</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</si>
  <si>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</si>
  <si>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</si>
  <si>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</si>
  <si>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</si>
  <si>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</si>
  <si>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</si>
  <si>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</si>
  <si>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</si>
  <si>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</si>
  <si>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</si>
  <si>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</si>
  <si>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</si>
  <si>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</si>
  <si>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</si>
  <si>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</si>
  <si>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</si>
  <si>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</si>
  <si>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</si>
  <si>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</si>
  <si>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</si>
  <si>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</si>
  <si>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</si>
  <si>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</si>
  <si>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</si>
  <si>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</si>
  <si>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</si>
  <si>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</si>
  <si>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</si>
  <si>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</si>
  <si>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</si>
  <si>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</si>
  <si>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</si>
  <si>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</si>
  <si>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</si>
  <si>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</si>
  <si>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</si>
  <si>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</si>
  <si>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</si>
  <si>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</si>
  <si>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</si>
  <si>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</si>
  <si>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</si>
  <si>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</si>
  <si>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</si>
  <si>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</si>
  <si>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</si>
  <si>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</si>
  <si>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</si>
  <si>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</si>
  <si>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</si>
  <si>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</si>
  <si>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</si>
  <si>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</si>
  <si>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</si>
  <si>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</si>
  <si>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</si>
  <si>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</si>
  <si>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</si>
  <si>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</si>
  <si>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</si>
  <si>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</si>
  <si>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</si>
  <si>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</si>
  <si>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</si>
  <si>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</si>
  <si>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</si>
  <si>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</si>
  <si>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</si>
  <si>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</si>
  <si>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</si>
  <si>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</si>
  <si>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</si>
  <si>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</si>
  <si>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</si>
  <si>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</si>
  <si>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</si>
  <si>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</si>
  <si>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</si>
  <si>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</si>
  <si>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</si>
  <si>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</si>
  <si>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</si>
  <si>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</si>
  <si>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</si>
  <si>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</si>
  <si>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</si>
  <si>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</si>
  <si>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</si>
  <si>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</si>
  <si>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</si>
  <si>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</si>
  <si>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</si>
  <si>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</si>
  <si>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</si>
  <si>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</si>
  <si>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</si>
  <si>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</si>
  <si>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</si>
  <si>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</si>
  <si>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</si>
  <si>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</si>
  <si>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</si>
  <si>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</si>
  <si>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</si>
  <si>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</si>
  <si>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</si>
  <si>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</si>
  <si>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</si>
  <si>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</si>
  <si>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</si>
  <si>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</si>
  <si>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</si>
  <si>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</si>
  <si>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</si>
  <si>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</si>
  <si>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</si>
  <si>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</si>
  <si>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</si>
  <si>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</si>
  <si>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</si>
  <si>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</si>
  <si>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</si>
  <si>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</si>
  <si>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</si>
  <si>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</si>
  <si>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</si>
  <si>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</si>
  <si>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</si>
  <si>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</si>
  <si>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</si>
  <si>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</si>
  <si>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</si>
  <si>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</si>
  <si>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</si>
  <si>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</si>
  <si>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</si>
  <si>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</si>
  <si>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</si>
  <si>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</si>
  <si>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</si>
  <si>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</si>
  <si>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</si>
  <si>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</si>
  <si>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</si>
  <si>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</si>
  <si>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</si>
  <si>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</si>
  <si>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</si>
  <si>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</si>
  <si>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</si>
  <si>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</si>
  <si>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</si>
  <si>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</si>
  <si>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</si>
  <si>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</si>
  <si>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</si>
  <si>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</si>
  <si>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</si>
  <si>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</si>
  <si>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</si>
  <si>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</si>
  <si>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</si>
  <si>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</si>
  <si>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</si>
  <si>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</si>
  <si>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</si>
  <si>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</si>
  <si>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</si>
  <si>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</si>
  <si>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</si>
  <si>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</si>
  <si>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</si>
  <si>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</si>
  <si>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</si>
  <si>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</si>
  <si>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</si>
  <si>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</si>
  <si>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</si>
  <si>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</si>
  <si>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</si>
  <si>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</si>
  <si>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</si>
  <si>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</si>
  <si>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</si>
  <si>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</si>
  <si>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</si>
  <si>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</si>
  <si>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</si>
  <si>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</si>
  <si>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</si>
  <si>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</si>
  <si>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</si>
  <si>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</si>
  <si>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</si>
  <si>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</si>
  <si>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</si>
  <si>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</si>
  <si>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</si>
  <si>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</si>
  <si>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</si>
  <si>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</si>
  <si>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</si>
  <si>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</si>
  <si>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</si>
  <si>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</si>
  <si>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</si>
  <si>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</si>
  <si>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</si>
  <si>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</si>
  <si>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</si>
  <si>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</si>
  <si>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</si>
  <si>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</si>
  <si>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</si>
  <si>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</si>
  <si>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</si>
  <si>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</si>
  <si>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*PFS 포장 개발 일정 반영, 다품종 소량생산 진행, SAP 이슈로 공정 연기</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</si>
  <si>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</si>
  <si>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</si>
  <si>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</si>
  <si>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</si>
  <si>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</si>
  <si>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</si>
  <si>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</si>
  <si>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</si>
  <si>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</si>
  <si>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</si>
  <si>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</si>
  <si>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CT-P42 충전 PV 프로토콜 계약 체결 전으로 연기(-3억),  CT-P42 Residual NO2 재시험 샘플 제작(+0.32억)</t>
  </si>
  <si>
    <t>3월 예상실적</t>
    <phoneticPr fontId="2" type="noConversion"/>
  </si>
  <si>
    <t>1분기 예상실적</t>
    <phoneticPr fontId="2" type="noConversion"/>
  </si>
  <si>
    <t>4월 예상실적</t>
    <phoneticPr fontId="2" type="noConversion"/>
  </si>
  <si>
    <t>5월 예상실적</t>
    <phoneticPr fontId="2" type="noConversion"/>
  </si>
  <si>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</si>
  <si>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</si>
  <si>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</si>
  <si>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</si>
  <si>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</si>
  <si>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</si>
  <si>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</si>
  <si>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</si>
  <si>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내재화 단가 차이</t>
    <phoneticPr fontId="2" type="noConversion"/>
  </si>
  <si>
    <t>Hasten 단가</t>
    <phoneticPr fontId="86" type="noConversion"/>
  </si>
  <si>
    <t>APAC 단가</t>
    <phoneticPr fontId="86" type="noConversion"/>
  </si>
  <si>
    <t>Territory</t>
  </si>
  <si>
    <t>Commercial Name</t>
  </si>
  <si>
    <t>SKU code</t>
  </si>
  <si>
    <t>Product name</t>
  </si>
  <si>
    <t>Size</t>
    <phoneticPr fontId="2" type="noConversion"/>
  </si>
  <si>
    <t>Unit</t>
    <phoneticPr fontId="2" type="noConversion"/>
  </si>
  <si>
    <t>Binding Forecast Period</t>
  </si>
  <si>
    <t>Order Lead Time</t>
  </si>
  <si>
    <t>Minimum Order Quantity</t>
  </si>
  <si>
    <t>UOM</t>
  </si>
  <si>
    <t>Permitted Delivery Deviation</t>
  </si>
  <si>
    <t>Bulk Facility</t>
  </si>
  <si>
    <t>Final Packaging Facility</t>
  </si>
  <si>
    <t>Product Supplied As</t>
  </si>
  <si>
    <t>Point-of-Delivery</t>
    <phoneticPr fontId="2" type="noConversion"/>
  </si>
  <si>
    <t>Product Price(2024)</t>
    <phoneticPr fontId="2" type="noConversion"/>
  </si>
  <si>
    <t>Product Price (2025)
달러기준</t>
    <phoneticPr fontId="2" type="noConversion"/>
  </si>
  <si>
    <t>Product Price (2025)
환율 1250원</t>
    <phoneticPr fontId="2" type="noConversion"/>
  </si>
  <si>
    <t>Product Price (2025)
환율 1300원</t>
    <phoneticPr fontId="2" type="noConversion"/>
  </si>
  <si>
    <t>Product Price (2025)
환율 1400</t>
    <phoneticPr fontId="2" type="noConversion"/>
  </si>
  <si>
    <t>Product Price (2024)</t>
    <phoneticPr fontId="2" type="noConversion"/>
  </si>
  <si>
    <t>Product Price (2025)</t>
    <phoneticPr fontId="2" type="noConversion"/>
  </si>
  <si>
    <t>GAP</t>
    <phoneticPr fontId="2" type="noConversion"/>
  </si>
  <si>
    <t>TH</t>
    <phoneticPr fontId="2" type="noConversion"/>
  </si>
  <si>
    <t>Edarbi</t>
  </si>
  <si>
    <t>30233TH</t>
  </si>
  <si>
    <t>Edarbi 40mg.2X14T IMP TH</t>
  </si>
  <si>
    <t>tablet</t>
  </si>
  <si>
    <t>4 months</t>
    <phoneticPr fontId="2" type="noConversion"/>
  </si>
  <si>
    <t>3 months</t>
  </si>
  <si>
    <t>order by Product Family</t>
    <phoneticPr fontId="2" type="noConversion"/>
  </si>
  <si>
    <t>Pack</t>
    <phoneticPr fontId="2" type="noConversion"/>
  </si>
  <si>
    <t>Celltrion Pharm</t>
    <phoneticPr fontId="2" type="noConversion"/>
  </si>
  <si>
    <t>Finished Goods</t>
    <phoneticPr fontId="2" type="noConversion"/>
  </si>
  <si>
    <t>Korea - Cheongju - Ochang</t>
    <phoneticPr fontId="2" type="noConversion"/>
  </si>
  <si>
    <t>30234TH</t>
  </si>
  <si>
    <t>Edarbi 80mg.2X14T IMP TH</t>
  </si>
  <si>
    <t>order by Product Family</t>
  </si>
  <si>
    <t>Korea - Cheongju - Ochang</t>
  </si>
  <si>
    <t>Edarbyclor</t>
  </si>
  <si>
    <t>30235TH</t>
  </si>
  <si>
    <t>EDARBYCLOR 40MG12.5MG TAB 28PC THA</t>
  </si>
  <si>
    <t>Nesina</t>
  </si>
  <si>
    <t>30264TH</t>
  </si>
  <si>
    <t>Nesina Tablets 25mg AA-14T×2 TH</t>
  </si>
  <si>
    <t>NesinaAct/Oseni</t>
  </si>
  <si>
    <t>30268TH</t>
  </si>
  <si>
    <t xml:space="preserve">Oseni 25mg/15mg AA-7T×4 TH </t>
  </si>
  <si>
    <t>30269TH</t>
  </si>
  <si>
    <t xml:space="preserve">Oseni 25mg/30mg AA-7T×4 TH </t>
  </si>
  <si>
    <t>Zafatek</t>
    <phoneticPr fontId="2" type="noConversion"/>
  </si>
  <si>
    <t>30432TH</t>
  </si>
  <si>
    <t>Zafatek 100mg 20T</t>
    <phoneticPr fontId="2" type="noConversion"/>
  </si>
  <si>
    <t>4 months</t>
  </si>
  <si>
    <t>TW</t>
    <phoneticPr fontId="2" type="noConversion"/>
  </si>
  <si>
    <t>30233TW</t>
  </si>
  <si>
    <t>EDARBI 40MG TAB 28PC TWN</t>
  </si>
  <si>
    <t>30264TW</t>
  </si>
  <si>
    <t>Nesina Tablets 25mg AA-14T×2 TW</t>
  </si>
  <si>
    <t>30269TW</t>
  </si>
  <si>
    <t xml:space="preserve">Oseni 25mg/30mg AA-7T×4 TW </t>
  </si>
  <si>
    <t>HK</t>
    <phoneticPr fontId="2" type="noConversion"/>
  </si>
  <si>
    <t>30234HK</t>
  </si>
  <si>
    <t xml:space="preserve">EDARBI 80MG 28T </t>
  </si>
  <si>
    <t>30233HK</t>
  </si>
  <si>
    <t xml:space="preserve">EDARBI 40MG 28T </t>
  </si>
  <si>
    <t>30235HK</t>
  </si>
  <si>
    <t>EDARBYCLOR 40MG/12.5MG TAB 28PC HKG</t>
  </si>
  <si>
    <t>30263HK</t>
  </si>
  <si>
    <t>Nesina Tablets 12.5mg AA-14T×2 HK</t>
  </si>
  <si>
    <t>30264HK</t>
  </si>
  <si>
    <t>Nesina Tablets 25mg AA-14T×2 HK</t>
  </si>
  <si>
    <t>30268HK</t>
  </si>
  <si>
    <t xml:space="preserve">Oseni 25mg/15mg AA-7T×4 HK </t>
  </si>
  <si>
    <t>30269HK</t>
  </si>
  <si>
    <t xml:space="preserve">Oseni 25mg/30mg AA-7T×4 HK </t>
  </si>
  <si>
    <t>NesinaMet</t>
  </si>
  <si>
    <t>30229HK</t>
  </si>
  <si>
    <t xml:space="preserve">NesinaMet 12.5mg/1000mg AA-7T×4 HK </t>
  </si>
  <si>
    <t>30227HK</t>
  </si>
  <si>
    <t xml:space="preserve">NesinaMet 12.5mg/500mg AA-7T×4 HK </t>
  </si>
  <si>
    <t>사업계획 반영 단가</t>
    <phoneticPr fontId="86" type="noConversion"/>
  </si>
  <si>
    <t>■ 1분기 단가차이 영향</t>
    <phoneticPr fontId="2" type="noConversion"/>
  </si>
  <si>
    <t>Product Family</t>
    <phoneticPr fontId="2" type="noConversion"/>
  </si>
  <si>
    <t>Batch Size (T)</t>
    <phoneticPr fontId="2" type="noConversion"/>
  </si>
  <si>
    <t>Minimum order Quatity (Pack)</t>
    <phoneticPr fontId="2" type="noConversion"/>
  </si>
  <si>
    <t>batch / Pack size</t>
    <phoneticPr fontId="2" type="noConversion"/>
  </si>
  <si>
    <t>Min</t>
    <phoneticPr fontId="2" type="noConversion"/>
  </si>
  <si>
    <t>Max</t>
    <phoneticPr fontId="2" type="noConversion"/>
  </si>
  <si>
    <t>Remarks</t>
    <phoneticPr fontId="2" type="noConversion"/>
  </si>
  <si>
    <t>Production Frequency for KR
 (approximated)</t>
    <phoneticPr fontId="2" type="noConversion"/>
  </si>
  <si>
    <t>Initial Production Shedule for KR</t>
    <phoneticPr fontId="2" type="noConversion"/>
  </si>
  <si>
    <t>N/A
(TH+TW+HK)</t>
    <phoneticPr fontId="2" type="noConversion"/>
  </si>
  <si>
    <t>Edarbi 40mg</t>
    <phoneticPr fontId="2" type="noConversion"/>
  </si>
  <si>
    <t>Edarbi 80mg</t>
    <phoneticPr fontId="2" type="noConversion"/>
  </si>
  <si>
    <t xml:space="preserve">Co-planning Product </t>
    <phoneticPr fontId="2" type="noConversion"/>
  </si>
  <si>
    <t>Once / 3 Month</t>
    <phoneticPr fontId="2" type="noConversion"/>
  </si>
  <si>
    <t>on going</t>
    <phoneticPr fontId="2" type="noConversion"/>
  </si>
  <si>
    <t>Edarbyclor 40/12.5mg</t>
    <phoneticPr fontId="2" type="noConversion"/>
  </si>
  <si>
    <t>Nesina 12.5mg</t>
    <phoneticPr fontId="2" type="noConversion"/>
  </si>
  <si>
    <t>Once / 2~3 Month</t>
    <phoneticPr fontId="2" type="noConversion"/>
  </si>
  <si>
    <t>Apr-25</t>
    <phoneticPr fontId="2" type="noConversion"/>
  </si>
  <si>
    <t>Nesina 25mg</t>
    <phoneticPr fontId="2" type="noConversion"/>
  </si>
  <si>
    <t>NesinaAct/Oseni 25/15mg</t>
    <phoneticPr fontId="2" type="noConversion"/>
  </si>
  <si>
    <t>NesinaAct/Oseni 25/30mg</t>
    <phoneticPr fontId="2" type="noConversion"/>
  </si>
  <si>
    <t>NesinaMet 12.5/500mg</t>
    <phoneticPr fontId="2" type="noConversion"/>
  </si>
  <si>
    <t>Oct-25</t>
  </si>
  <si>
    <t>NesinaMet 12.5/1000mg</t>
    <phoneticPr fontId="2" type="noConversion"/>
  </si>
  <si>
    <t>Sep-25</t>
    <phoneticPr fontId="2" type="noConversion"/>
  </si>
  <si>
    <t>■ 주간 매출보고 자료 _ PO 기준</t>
    <phoneticPr fontId="2" type="noConversion"/>
  </si>
  <si>
    <t>기준일자 : 2024-10-25</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</si>
  <si>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</si>
  <si>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</si>
  <si>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</si>
  <si>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</si>
  <si>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</si>
  <si>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</si>
  <si>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</si>
  <si>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</si>
  <si>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</si>
  <si>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</si>
  <si>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</si>
  <si>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</si>
  <si>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</si>
  <si>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</si>
  <si>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</si>
  <si>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</si>
  <si>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</si>
  <si>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</si>
  <si>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</si>
  <si>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</si>
  <si>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</si>
  <si>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</si>
  <si>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</si>
  <si>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</si>
  <si>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</si>
  <si>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</si>
  <si>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</si>
  <si>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</si>
  <si>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</si>
  <si>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</si>
  <si>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</si>
  <si>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</si>
  <si>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</si>
  <si>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</si>
  <si>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</si>
  <si>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</si>
  <si>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</si>
  <si>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</si>
  <si>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</si>
  <si>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</si>
  <si>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</si>
  <si>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</si>
  <si>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</si>
  <si>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</si>
  <si>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</si>
  <si>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</si>
  <si>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</si>
  <si>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</si>
  <si>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</si>
  <si>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</si>
  <si>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</si>
  <si>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</si>
  <si>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</si>
  <si>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</si>
  <si>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</si>
  <si>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</si>
  <si>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</si>
  <si>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</si>
  <si>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</si>
  <si>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</si>
  <si>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</si>
  <si>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</si>
  <si>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</si>
  <si>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</si>
  <si>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</si>
  <si>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</si>
  <si>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</si>
  <si>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</si>
  <si>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</si>
  <si>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</si>
  <si>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</si>
  <si>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</si>
  <si>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</si>
  <si>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</si>
  <si>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</si>
  <si>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</si>
  <si>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</si>
  <si>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</si>
  <si>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</si>
  <si>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</si>
  <si>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</si>
  <si>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</si>
  <si>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</si>
  <si>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</si>
  <si>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</si>
  <si>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</si>
  <si>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</si>
  <si>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</si>
  <si>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</si>
  <si>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</si>
  <si>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</si>
  <si>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</si>
  <si>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</si>
  <si>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</si>
  <si>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</si>
  <si>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</si>
  <si>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QA위임용역</t>
    <phoneticPr fontId="2" type="noConversion"/>
  </si>
  <si>
    <t>환불부채</t>
  </si>
  <si>
    <t>반품부채</t>
  </si>
  <si>
    <t>□ 2023년 매출 실적</t>
    <phoneticPr fontId="2" type="noConversion"/>
  </si>
  <si>
    <t>사업계획_구분1</t>
  </si>
  <si>
    <t>경영정보통합</t>
    <phoneticPr fontId="2" type="noConversion"/>
  </si>
  <si>
    <t>2023년 실적 합계</t>
    <phoneticPr fontId="2" type="noConversion"/>
  </si>
  <si>
    <t>스텔라라 등</t>
  </si>
  <si>
    <t>APAC</t>
  </si>
  <si>
    <t>약물감시용역</t>
  </si>
  <si>
    <t>약물감시용역</t>
    <phoneticPr fontId="2" type="noConversion"/>
  </si>
  <si>
    <t>QA위임용역</t>
  </si>
  <si>
    <t>IIT용역</t>
  </si>
  <si>
    <t>API판매</t>
  </si>
  <si>
    <t>API판매</t>
    <phoneticPr fontId="2" type="noConversion"/>
  </si>
  <si>
    <t>상품매출할인</t>
  </si>
  <si>
    <t>제품매출할인</t>
  </si>
  <si>
    <t xml:space="preserve"> CMO 합계</t>
  </si>
  <si>
    <t xml:space="preserve"> 케미컬 상업</t>
  </si>
  <si>
    <t>G07</t>
  </si>
  <si>
    <t>내재화</t>
  </si>
  <si>
    <t xml:space="preserve"> 바이오 상업</t>
  </si>
  <si>
    <t>L&amp;P</t>
  </si>
  <si>
    <t>PFS</t>
  </si>
  <si>
    <t xml:space="preserve"> 개발 용역</t>
  </si>
  <si>
    <t>GCP</t>
  </si>
  <si>
    <t>LCM</t>
  </si>
  <si>
    <t>기타(QA위임등)*</t>
  </si>
  <si>
    <t xml:space="preserve">24년 CMO 매출 예상실적 </t>
    <phoneticPr fontId="2" type="noConversion"/>
  </si>
  <si>
    <t>2024.03.27</t>
    <phoneticPr fontId="2" type="noConversion"/>
  </si>
  <si>
    <t xml:space="preserve">■ 1분기 매출 </t>
    <phoneticPr fontId="2" type="noConversion"/>
  </si>
  <si>
    <t>23년
실적</t>
    <phoneticPr fontId="2" type="noConversion"/>
  </si>
  <si>
    <t>24녀
목표</t>
    <phoneticPr fontId="2" type="noConversion"/>
  </si>
  <si>
    <t>연간 합계</t>
    <phoneticPr fontId="2" type="noConversion"/>
  </si>
  <si>
    <t>예상
실적</t>
    <phoneticPr fontId="2" type="noConversion"/>
  </si>
  <si>
    <t>23년
실적</t>
  </si>
  <si>
    <t>기타(QA위임)</t>
    <phoneticPr fontId="2" type="noConversion"/>
  </si>
  <si>
    <t>1) 3월 매출 특이사항</t>
    <phoneticPr fontId="2" type="noConversion"/>
  </si>
  <si>
    <t>현재 보고</t>
    <phoneticPr fontId="2" type="noConversion"/>
  </si>
  <si>
    <t>전주대비 차이</t>
    <phoneticPr fontId="2" type="noConversion"/>
  </si>
  <si>
    <t>- 재포장용역 반영 (1,400만원)</t>
    <phoneticPr fontId="2" type="noConversion"/>
  </si>
  <si>
    <t>- 포장 물량 반영에 따른 매출 증가</t>
    <phoneticPr fontId="2" type="noConversion"/>
  </si>
  <si>
    <t>- 실질 물량 반영</t>
    <phoneticPr fontId="2" type="noConversion"/>
  </si>
  <si>
    <t>- APAC 마일스톤 4월 이월 요청</t>
    <phoneticPr fontId="2" type="noConversion"/>
  </si>
  <si>
    <t>1) 1분기 매출 특이사항</t>
    <phoneticPr fontId="2" type="noConversion"/>
  </si>
  <si>
    <t>변경</t>
    <phoneticPr fontId="2" type="noConversion"/>
  </si>
  <si>
    <t>변경사유</t>
    <phoneticPr fontId="2" type="noConversion"/>
  </si>
  <si>
    <t>예상</t>
  </si>
  <si>
    <t>2024.08.07</t>
    <phoneticPr fontId="2" type="noConversion"/>
  </si>
  <si>
    <t>■ 연간매출 추정</t>
    <phoneticPr fontId="2" type="noConversion"/>
  </si>
  <si>
    <t>24년
목표</t>
    <phoneticPr fontId="2" type="noConversion"/>
  </si>
  <si>
    <t>2분기 소계</t>
    <phoneticPr fontId="2" type="noConversion"/>
  </si>
  <si>
    <t>3분기 소계</t>
    <phoneticPr fontId="2" type="noConversion"/>
  </si>
  <si>
    <t>4분기 소계</t>
    <phoneticPr fontId="2" type="noConversion"/>
  </si>
  <si>
    <t>현실화
(8/7)</t>
    <phoneticPr fontId="2" type="noConversion"/>
  </si>
  <si>
    <r>
      <t xml:space="preserve">※ 연간 롤링 계획 특이사항 : 8/7 현실화 대비 </t>
    </r>
    <r>
      <rPr>
        <b/>
        <sz val="25"/>
        <color rgb="FFFF0000"/>
        <rFont val="맑은 고딕"/>
        <family val="3"/>
        <charset val="129"/>
      </rPr>
      <t>19억원 감소</t>
    </r>
    <r>
      <rPr>
        <b/>
        <sz val="25"/>
        <color theme="1"/>
        <rFont val="맑은 고딕"/>
        <family val="3"/>
        <charset val="129"/>
      </rPr>
      <t xml:space="preserve"> (1,313억원 → 1,294억원)</t>
    </r>
    <phoneticPr fontId="2" type="noConversion"/>
  </si>
  <si>
    <t>※ 롤링 이력</t>
    <phoneticPr fontId="2" type="noConversion"/>
  </si>
  <si>
    <t>(단위 : 억원)</t>
    <phoneticPr fontId="2" type="noConversion"/>
  </si>
  <si>
    <t>*바이오 포장 FCST 비교</t>
    <phoneticPr fontId="2" type="noConversion"/>
  </si>
  <si>
    <t>(단위 : 만개)</t>
    <phoneticPr fontId="2" type="noConversion"/>
  </si>
  <si>
    <t>금액</t>
    <phoneticPr fontId="2" type="noConversion"/>
  </si>
  <si>
    <t>증감</t>
    <phoneticPr fontId="2" type="noConversion"/>
  </si>
  <si>
    <t>비고</t>
    <phoneticPr fontId="2" type="noConversion"/>
  </si>
  <si>
    <t>8/7 기준</t>
    <phoneticPr fontId="2" type="noConversion"/>
  </si>
  <si>
    <t>9/4기준</t>
    <phoneticPr fontId="2" type="noConversion"/>
  </si>
  <si>
    <t>2024.04.09</t>
    <phoneticPr fontId="2" type="noConversion"/>
  </si>
  <si>
    <t>- 바이오상업 : 시린지 수급 개선 및 조립/포장 물량 증가에 따른 매출 증가</t>
    <phoneticPr fontId="2" type="noConversion"/>
  </si>
  <si>
    <t>충전</t>
    <phoneticPr fontId="2" type="noConversion"/>
  </si>
  <si>
    <t>2024.05.14</t>
    <phoneticPr fontId="2" type="noConversion"/>
  </si>
  <si>
    <t>- 케미컬상업 : FCST 변경에 따른 감소 (-7억)
- 바이오상업 : PFS 이물검사 기간 단축 (+2억)
- 개발용역 : M07 중단 선수금 일괄 매출 인식 (+7억), PFS 안정성 등 (+1억)</t>
    <phoneticPr fontId="2" type="noConversion"/>
  </si>
  <si>
    <t>조립</t>
    <phoneticPr fontId="2" type="noConversion"/>
  </si>
  <si>
    <t>2024.05.20</t>
    <phoneticPr fontId="2" type="noConversion"/>
  </si>
  <si>
    <r>
      <t xml:space="preserve">- 바이오상업 : 5월 FCST 물량 축소에 따른 감소 (PFS -44억, L&amp;P 17억)
   1) PFS포장 : 419만개 </t>
    </r>
    <r>
      <rPr>
        <sz val="17"/>
        <color theme="1"/>
        <rFont val="맑은 고딕"/>
        <family val="3"/>
        <charset val="129"/>
      </rPr>
      <t>→ 215만개(-204만개) 
   2) L&amp;P포장 : 379만개 → 329만개(-50만개)</t>
    </r>
    <phoneticPr fontId="2" type="noConversion"/>
  </si>
  <si>
    <t>포장</t>
    <phoneticPr fontId="2" type="noConversion"/>
  </si>
  <si>
    <t>2024.06.14</t>
    <phoneticPr fontId="2" type="noConversion"/>
  </si>
  <si>
    <r>
      <t xml:space="preserve">- 케미컬상업 : 내재화 FCST 변경 (+33억, 121배치 </t>
    </r>
    <r>
      <rPr>
        <sz val="17"/>
        <color theme="1"/>
        <rFont val="맑은 고딕"/>
        <family val="3"/>
        <charset val="129"/>
      </rPr>
      <t>→ 151배치)
- 바이오상업 : 출하 승인 단축 및 제품 믹스업에 따른 변경 (+6억)</t>
    </r>
    <phoneticPr fontId="2" type="noConversion"/>
  </si>
  <si>
    <t>LP</t>
    <phoneticPr fontId="2" type="noConversion"/>
  </si>
  <si>
    <t>2024.07.04</t>
    <phoneticPr fontId="2" type="noConversion"/>
  </si>
  <si>
    <t>- 바이오상업 : 6월 FCST 포장 물량 증가에 따른 증가 (PFS +11억)
   1) PFS포장 : 215만개 → 255만개(+40만개)</t>
    <phoneticPr fontId="2" type="noConversion"/>
  </si>
  <si>
    <r>
      <t xml:space="preserve">- 케미컬상업 : G07 10배치 수주 가능성 낮아 매출 제외(-6억원, 내재화 FCST 선적 기준 현실화 적용 (-17억원, '24.12월 </t>
    </r>
    <r>
      <rPr>
        <sz val="17"/>
        <color theme="1"/>
        <rFont val="맑은 고딕"/>
        <family val="3"/>
        <charset val="129"/>
      </rPr>
      <t>→ '25.1월)</t>
    </r>
    <r>
      <rPr>
        <sz val="17"/>
        <color theme="1"/>
        <rFont val="맑은 고딕"/>
        <family val="3"/>
        <charset val="129"/>
        <scheme val="minor"/>
      </rPr>
      <t xml:space="preserve">
- 바이오상업 : PFS/VIAL 수율 증가 및 생산계획 조정에 따른 증가 (+6억원)</t>
    </r>
    <phoneticPr fontId="2" type="noConversion"/>
  </si>
  <si>
    <t>2024.09.04</t>
    <phoneticPr fontId="2" type="noConversion"/>
  </si>
  <si>
    <r>
      <t>- 케미컬상업 : G07 10배치 수주 가능성 낮아 매출 제외(-6억원)
- 바이오상업 : 8월 포장 FCST 반영 롤링 (-18억원) 
  1) PFS : 충전/조립 출하 승인 단축(+26억), 8월 포장FCST 감소(-33억, 241만개</t>
    </r>
    <r>
      <rPr>
        <sz val="17"/>
        <color theme="1"/>
        <rFont val="맑은 고딕"/>
        <family val="3"/>
        <charset val="129"/>
      </rPr>
      <t>→</t>
    </r>
    <r>
      <rPr>
        <sz val="17"/>
        <color theme="1"/>
        <rFont val="맑은 고딕"/>
        <family val="3"/>
        <charset val="129"/>
        <scheme val="minor"/>
      </rPr>
      <t>190만개) 
  2) L&amp;P포장 : 8월 포장FCST 감소 (-11억, 346만</t>
    </r>
    <r>
      <rPr>
        <sz val="17"/>
        <color theme="1"/>
        <rFont val="맑은 고딕"/>
        <family val="3"/>
        <charset val="129"/>
      </rPr>
      <t>→326</t>
    </r>
    <r>
      <rPr>
        <sz val="17"/>
        <color theme="1"/>
        <rFont val="맑은 고딕"/>
        <family val="3"/>
        <charset val="129"/>
        <scheme val="minor"/>
      </rPr>
      <t>만) 
- 개발용역 : 연간 매출 조정
                - PFS PKV추가(+3억), L06 안정성 3M(0.5억), 3분기 공급망내재화 금액(+0.9억)</t>
    </r>
    <phoneticPr fontId="2" type="noConversion"/>
  </si>
  <si>
    <t>*Make-up Item (10억원)
1) PFS 수율 상승 : 9~12월, 약 6억 예상
2) CT-P17 10mg PV 12월 수행 시 Protocol 4억</t>
    <phoneticPr fontId="2" type="noConversion"/>
  </si>
  <si>
    <t>7월FCST</t>
    <phoneticPr fontId="2" type="noConversion"/>
  </si>
  <si>
    <t>8월FCST</t>
    <phoneticPr fontId="2" type="noConversion"/>
  </si>
  <si>
    <t>*PFS바인딩 : 1~2개월(100%), 3개월(70%), 이후 Non</t>
    <phoneticPr fontId="2" type="noConversion"/>
  </si>
  <si>
    <t>*L&amp;P바인딩 : 1개월(100%), 2개월(70%), 3개월(50%), 이후 Non</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</si>
  <si>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</si>
  <si>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</si>
  <si>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</si>
  <si>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</si>
  <si>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</si>
  <si>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</si>
  <si>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</si>
  <si>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</si>
  <si>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</si>
  <si>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</si>
  <si>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</si>
  <si>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</si>
  <si>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</si>
  <si>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</si>
  <si>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</si>
  <si>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</si>
  <si>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</si>
  <si>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</si>
  <si>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</si>
  <si>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</si>
  <si>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</si>
  <si>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</si>
  <si>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</si>
  <si>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</si>
  <si>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</si>
  <si>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</si>
  <si>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</si>
  <si>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</si>
  <si>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</si>
  <si>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</si>
  <si>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</si>
  <si>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</si>
  <si>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</si>
  <si>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</si>
  <si>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</si>
  <si>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</si>
  <si>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</si>
  <si>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</si>
  <si>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</si>
  <si>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</si>
  <si>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</si>
  <si>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</si>
  <si>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</si>
  <si>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</si>
  <si>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</si>
  <si>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</si>
  <si>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</si>
  <si>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</si>
  <si>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</si>
  <si>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</si>
  <si>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</si>
  <si>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</si>
  <si>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</si>
  <si>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</si>
  <si>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</si>
  <si>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</si>
  <si>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</si>
  <si>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</si>
  <si>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</si>
  <si>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</si>
  <si>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</si>
  <si>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</si>
  <si>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</si>
  <si>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</si>
  <si>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</si>
  <si>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</si>
  <si>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</si>
  <si>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</si>
  <si>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</si>
  <si>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</si>
  <si>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</si>
  <si>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</si>
  <si>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</si>
  <si>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</si>
  <si>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</si>
  <si>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</si>
  <si>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</si>
  <si>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</si>
  <si>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</si>
  <si>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</si>
  <si>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</si>
  <si>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</si>
  <si>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</si>
  <si>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</si>
  <si>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</si>
  <si>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</si>
  <si>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</si>
  <si>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</si>
  <si>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</si>
  <si>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</si>
  <si>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</si>
  <si>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</si>
  <si>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</si>
  <si>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</si>
  <si>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</si>
  <si>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</si>
  <si>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</si>
  <si>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</si>
  <si>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</si>
  <si>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</si>
  <si>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</si>
  <si>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</si>
  <si>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</si>
  <si>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</si>
  <si>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</si>
  <si>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</si>
  <si>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</si>
  <si>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</si>
  <si>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</si>
  <si>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</si>
  <si>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</si>
  <si>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</si>
  <si>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</si>
  <si>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</si>
  <si>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</si>
  <si>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</si>
  <si>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</si>
  <si>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</si>
  <si>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</si>
  <si>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</si>
  <si>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</si>
  <si>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</si>
  <si>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</si>
  <si>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</si>
  <si>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</si>
  <si>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</si>
  <si>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</si>
  <si>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</si>
  <si>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</si>
  <si>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</si>
  <si>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</si>
  <si>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</si>
  <si>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</si>
  <si>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</si>
  <si>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</si>
  <si>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</si>
  <si>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</si>
  <si>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</si>
  <si>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</si>
  <si>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</si>
  <si>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</si>
  <si>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</si>
  <si>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</si>
  <si>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</si>
  <si>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</si>
  <si>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</si>
  <si>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</si>
  <si>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</si>
  <si>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</si>
  <si>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</si>
  <si>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</si>
  <si>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</si>
  <si>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</si>
  <si>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r>
      <t>* 전주 대비</t>
    </r>
    <r>
      <rPr>
        <sz val="14"/>
        <color rgb="FFFF0000"/>
        <rFont val="Pretendard"/>
        <family val="3"/>
        <charset val="129"/>
      </rPr>
      <t xml:space="preserve"> -1억</t>
    </r>
    <r>
      <rPr>
        <sz val="14"/>
        <color theme="1"/>
        <rFont val="Pretendard"/>
        <family val="3"/>
        <charset val="129"/>
      </rPr>
      <t xml:space="preserve"> (사업계획 대비 </t>
    </r>
    <r>
      <rPr>
        <sz val="14"/>
        <color rgb="FF0000FF"/>
        <rFont val="Pretendard"/>
        <family val="3"/>
        <charset val="129"/>
      </rPr>
      <t>+11.4억)</t>
    </r>
    <r>
      <rPr>
        <sz val="14"/>
        <color theme="1"/>
        <rFont val="Pretendard"/>
        <family val="3"/>
        <charset val="129"/>
      </rPr>
      <t xml:space="preserve">
 1. 스테키마 미국향 US 변경허가 지연에 따른 매출 이월(-1억원) </t>
    </r>
    <phoneticPr fontId="2" type="noConversion"/>
  </si>
  <si>
    <r>
      <t>*전주 대비</t>
    </r>
    <r>
      <rPr>
        <sz val="14"/>
        <color rgb="FFFF0000"/>
        <rFont val="Pretendard"/>
        <family val="3"/>
        <charset val="129"/>
      </rPr>
      <t xml:space="preserve"> -2.5억</t>
    </r>
    <r>
      <rPr>
        <sz val="14"/>
        <color theme="1"/>
        <rFont val="Pretendard"/>
        <family val="3"/>
        <charset val="129"/>
      </rPr>
      <t xml:space="preserve"> (사업계획 대비 -2.5억원)
 1. 네시나 25mg 대만향 Hasten</t>
    </r>
    <r>
      <rPr>
        <sz val="14"/>
        <color theme="1"/>
        <rFont val="맑은 고딕"/>
        <family val="3"/>
        <charset val="129"/>
      </rPr>
      <t>社</t>
    </r>
    <r>
      <rPr>
        <sz val="14"/>
        <color theme="1"/>
        <rFont val="Pretendard"/>
        <family val="3"/>
        <charset val="129"/>
      </rPr>
      <t xml:space="preserve"> 측 선적일정 지연</t>
    </r>
    <phoneticPr fontId="2" type="noConversion"/>
  </si>
  <si>
    <r>
      <t xml:space="preserve">*사업계획 대비 </t>
    </r>
    <r>
      <rPr>
        <sz val="14"/>
        <color rgb="FF0000FF"/>
        <rFont val="Pretendard"/>
        <family val="3"/>
        <charset val="129"/>
      </rPr>
      <t>+0.2억</t>
    </r>
    <r>
      <rPr>
        <sz val="14"/>
        <color theme="1" tint="0.249977111117893"/>
        <rFont val="Pretendard"/>
        <family val="3"/>
        <charset val="129"/>
      </rPr>
      <t xml:space="preserve"> : 고객사 요청물량 변경</t>
    </r>
    <phoneticPr fontId="2" type="noConversion"/>
  </si>
  <si>
    <r>
      <t xml:space="preserve">*사업계획 대비 </t>
    </r>
    <r>
      <rPr>
        <sz val="14"/>
        <color rgb="FFFF0000"/>
        <rFont val="Pretendard"/>
        <family val="3"/>
        <charset val="129"/>
      </rPr>
      <t>-0.63억</t>
    </r>
    <r>
      <rPr>
        <sz val="14"/>
        <color theme="1" tint="0.249977111117893"/>
        <rFont val="Pretendard"/>
        <family val="3"/>
        <charset val="129"/>
      </rPr>
      <t xml:space="preserve"> : CT-P42 멸균 PV 레포트 일정조정
                                             (Interim Report 완료 → Residual NO2 시험 완류 후 최종화(3월 예상))</t>
    </r>
    <phoneticPr fontId="2" type="noConversion"/>
  </si>
  <si>
    <r>
      <t xml:space="preserve">전주 대비 </t>
    </r>
    <r>
      <rPr>
        <b/>
        <sz val="13.5"/>
        <color rgb="FFFF0000"/>
        <rFont val="Pretendard"/>
        <family val="3"/>
        <charset val="129"/>
      </rPr>
      <t>-3.6억원</t>
    </r>
    <r>
      <rPr>
        <b/>
        <sz val="13.5"/>
        <color theme="1" tint="0.249977111117893"/>
        <rFont val="Pretendard"/>
        <family val="3"/>
        <charset val="129"/>
      </rPr>
      <t>, 사업계획 대비</t>
    </r>
    <r>
      <rPr>
        <b/>
        <sz val="13.5"/>
        <color rgb="FF0000FF"/>
        <rFont val="Pretendard"/>
        <family val="3"/>
        <charset val="129"/>
      </rPr>
      <t xml:space="preserve"> +8.6억원</t>
    </r>
    <phoneticPr fontId="2" type="noConversion"/>
  </si>
  <si>
    <t>2026.02.26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</si>
</sst>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_ ;[Red]\-0\ "/>
    <numFmt numFmtId="188" formatCode="#,##0.0_);[Red]\(#,##0.0\)"/>
    <numFmt numFmtId="189" formatCode="mm&quot;월&quot;\ dd&quot;일&quot;"/>
    <numFmt numFmtId="190" formatCode="0_);[Red]\(0\)"/>
    <numFmt numFmtId="191" formatCode="_-* #,##0.0000000000_-;\-* #,##0.0000000000_-;_-* &quot;-&quot;??????????_-;_-@_-"/>
    <numFmt numFmtId="192" formatCode="_-* #,##0_-;\-* #,##0_-;_-* &quot;-&quot;??_-;_-@_-"/>
  </numFmts>
  <fonts count="14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sz val="11"/>
      <color theme="0"/>
      <name val="맑은 고딕"/>
      <family val="2"/>
      <charset val="129"/>
      <scheme val="minor"/>
    </font>
    <font>
      <b/>
      <sz val="11"/>
      <color rgb="FFFF0000"/>
      <name val="맑은 고딕"/>
      <family val="3"/>
      <charset val="129"/>
      <scheme val="minor"/>
    </font>
    <font>
      <sz val="11"/>
      <color rgb="FF0000FF"/>
      <name val="맑은 고딕"/>
      <family val="2"/>
      <charset val="129"/>
      <scheme val="minor"/>
    </font>
    <font>
      <b/>
      <sz val="11"/>
      <color rgb="FF0000FF"/>
      <name val="맑은 고딕"/>
      <family val="3"/>
      <charset val="129"/>
      <scheme val="minor"/>
    </font>
    <font>
      <sz val="11"/>
      <name val="맑은 고딕"/>
      <family val="2"/>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1"/>
      <color rgb="FFFF0000"/>
      <name val="맑은 고딕"/>
      <family val="2"/>
      <charset val="129"/>
      <scheme val="minor"/>
    </font>
    <font>
      <b/>
      <sz val="11"/>
      <color theme="0"/>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sz val="11"/>
      <color rgb="FFFF0000"/>
      <name val="맑은 고딕"/>
      <family val="3"/>
      <charset val="129"/>
      <scheme val="minor"/>
    </font>
    <font>
      <sz val="11"/>
      <color theme="0"/>
      <name val="맑은 고딕"/>
      <family val="3"/>
      <charset val="129"/>
      <scheme val="minor"/>
    </font>
    <font>
      <b/>
      <sz val="15"/>
      <color theme="1"/>
      <name val="맑은 고딕"/>
      <family val="3"/>
      <charset val="129"/>
      <scheme val="minor"/>
    </font>
    <font>
      <b/>
      <sz val="15"/>
      <color rgb="FF0000FF"/>
      <name val="맑은 고딕"/>
      <family val="3"/>
      <charset val="129"/>
      <scheme val="minor"/>
    </font>
    <font>
      <sz val="15"/>
      <color theme="1"/>
      <name val="맑은 고딕"/>
      <family val="3"/>
      <charset val="129"/>
      <scheme val="minor"/>
    </font>
    <font>
      <sz val="15"/>
      <name val="맑은 고딕"/>
      <family val="3"/>
      <charset val="129"/>
      <scheme val="minor"/>
    </font>
    <font>
      <b/>
      <sz val="11"/>
      <name val="맑은 고딕"/>
      <family val="3"/>
      <charset val="129"/>
      <scheme val="minor"/>
    </font>
    <font>
      <sz val="18"/>
      <name val="Arial"/>
      <family val="2"/>
    </font>
    <font>
      <b/>
      <sz val="11"/>
      <color rgb="FFFFFFFF"/>
      <name val="맑은 고딕"/>
      <family val="3"/>
      <charset val="129"/>
    </font>
    <font>
      <b/>
      <sz val="12"/>
      <color rgb="FF404040"/>
      <name val="맑은 고딕"/>
      <family val="3"/>
      <charset val="129"/>
    </font>
    <font>
      <sz val="12"/>
      <color rgb="FF404040"/>
      <name val="맑은 고딕"/>
      <family val="3"/>
      <charset val="129"/>
    </font>
    <font>
      <sz val="15"/>
      <color rgb="FFFF0000"/>
      <name val="맑은 고딕"/>
      <family val="3"/>
      <charset val="129"/>
      <scheme val="minor"/>
    </font>
    <font>
      <b/>
      <sz val="15"/>
      <color theme="0"/>
      <name val="맑은 고딕"/>
      <family val="3"/>
      <charset val="129"/>
      <scheme val="minor"/>
    </font>
    <font>
      <b/>
      <sz val="15"/>
      <name val="맑은 고딕"/>
      <family val="3"/>
      <charset val="129"/>
      <scheme val="minor"/>
    </font>
    <font>
      <sz val="11"/>
      <name val="맑은 고딕"/>
      <family val="3"/>
      <charset val="129"/>
      <scheme val="minor"/>
    </font>
    <font>
      <b/>
      <sz val="25"/>
      <color theme="1"/>
      <name val="맑은 고딕"/>
      <family val="3"/>
      <charset val="129"/>
      <scheme val="minor"/>
    </font>
    <font>
      <b/>
      <sz val="25"/>
      <color theme="1"/>
      <name val="맑은 고딕"/>
      <family val="3"/>
      <charset val="129"/>
    </font>
    <font>
      <b/>
      <sz val="25"/>
      <color theme="0"/>
      <name val="맑은 고딕"/>
      <family val="3"/>
      <charset val="129"/>
      <scheme val="minor"/>
    </font>
    <font>
      <b/>
      <sz val="30"/>
      <color theme="1"/>
      <name val="맑은 고딕"/>
      <family val="3"/>
      <charset val="129"/>
    </font>
    <font>
      <sz val="25"/>
      <color theme="1"/>
      <name val="맑은 고딕"/>
      <family val="3"/>
      <charset val="129"/>
    </font>
    <font>
      <b/>
      <sz val="30"/>
      <color theme="1"/>
      <name val="맑은 고딕"/>
      <family val="3"/>
      <charset val="129"/>
      <scheme val="minor"/>
    </font>
    <font>
      <sz val="25"/>
      <color theme="1"/>
      <name val="맑은 고딕"/>
      <family val="3"/>
      <charset val="129"/>
      <scheme val="minor"/>
    </font>
    <font>
      <sz val="25"/>
      <color theme="0"/>
      <name val="맑은 고딕"/>
      <family val="3"/>
      <charset val="129"/>
      <scheme val="minor"/>
    </font>
    <font>
      <sz val="25"/>
      <color rgb="FFFF0000"/>
      <name val="맑은 고딕"/>
      <family val="3"/>
      <charset val="129"/>
      <scheme val="minor"/>
    </font>
    <font>
      <sz val="22"/>
      <color theme="1"/>
      <name val="맑은 고딕"/>
      <family val="3"/>
      <charset val="129"/>
      <scheme val="minor"/>
    </font>
    <font>
      <sz val="22"/>
      <color rgb="FF404040"/>
      <name val="맑은 고딕"/>
      <family val="3"/>
      <charset val="129"/>
    </font>
    <font>
      <sz val="14"/>
      <color theme="1"/>
      <name val="맑은 고딕"/>
      <family val="2"/>
      <charset val="129"/>
      <scheme val="minor"/>
    </font>
    <font>
      <sz val="22"/>
      <color theme="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8"/>
      <color theme="1"/>
      <name val="맑은 고딕"/>
      <family val="3"/>
      <charset val="129"/>
      <scheme val="minor"/>
    </font>
    <font>
      <sz val="17"/>
      <color theme="1"/>
      <name val="맑은 고딕"/>
      <family val="3"/>
      <charset val="129"/>
      <scheme val="minor"/>
    </font>
    <font>
      <sz val="17"/>
      <color theme="1"/>
      <name val="맑은 고딕"/>
      <family val="3"/>
      <charset val="129"/>
    </font>
    <font>
      <b/>
      <sz val="25"/>
      <color rgb="FFFF0000"/>
      <name val="맑은 고딕"/>
      <family val="3"/>
      <charset val="129"/>
    </font>
    <font>
      <b/>
      <sz val="15"/>
      <color rgb="FFFF0000"/>
      <name val="맑은 고딕"/>
      <family val="3"/>
      <charset val="129"/>
      <scheme val="minor"/>
    </font>
    <font>
      <b/>
      <sz val="17"/>
      <color theme="1"/>
      <name val="맑은 고딕"/>
      <family val="3"/>
      <charset val="129"/>
      <scheme val="minor"/>
    </font>
    <font>
      <sz val="8"/>
      <color rgb="FF404040"/>
      <name val="맑은 고딕"/>
      <family val="3"/>
      <charset val="129"/>
    </font>
    <font>
      <sz val="14"/>
      <color rgb="FF404040"/>
      <name val="맑은 고딕"/>
      <family val="3"/>
      <charset val="129"/>
    </font>
    <font>
      <sz val="8"/>
      <color theme="1"/>
      <name val="맑은 고딕"/>
      <family val="3"/>
      <charset val="129"/>
      <scheme val="minor"/>
    </font>
    <font>
      <b/>
      <sz val="8"/>
      <color theme="1"/>
      <name val="맑은 고딕"/>
      <family val="3"/>
      <charset val="129"/>
      <scheme val="minor"/>
    </font>
    <font>
      <b/>
      <sz val="11"/>
      <name val="Arial"/>
      <family val="2"/>
    </font>
    <font>
      <b/>
      <sz val="10"/>
      <color theme="1"/>
      <name val="맑은 고딕"/>
      <family val="2"/>
      <scheme val="minor"/>
    </font>
    <font>
      <b/>
      <sz val="11"/>
      <color theme="1"/>
      <name val="Arial"/>
      <family val="2"/>
    </font>
    <font>
      <sz val="11"/>
      <color theme="1"/>
      <name val="Arial"/>
      <family val="2"/>
    </font>
    <font>
      <sz val="8"/>
      <name val="맑은 고딕"/>
      <family val="3"/>
      <charset val="129"/>
      <scheme val="minor"/>
    </font>
    <font>
      <sz val="10"/>
      <color theme="1"/>
      <name val="맑은 고딕"/>
      <family val="2"/>
      <scheme val="minor"/>
    </font>
    <font>
      <sz val="10"/>
      <color rgb="FFFF0000"/>
      <name val="맑은 고딕"/>
      <family val="2"/>
      <scheme val="minor"/>
    </font>
    <font>
      <b/>
      <u/>
      <sz val="10"/>
      <color theme="1"/>
      <name val="맑은 고딕"/>
      <family val="2"/>
      <scheme val="minor"/>
    </font>
    <font>
      <b/>
      <sz val="14"/>
      <name val="Arial"/>
      <family val="2"/>
    </font>
    <font>
      <b/>
      <sz val="14"/>
      <color theme="1"/>
      <name val="맑은 고딕"/>
      <family val="2"/>
      <scheme val="minor"/>
    </font>
    <font>
      <b/>
      <sz val="14"/>
      <name val="맑은 고딕"/>
      <family val="2"/>
      <scheme val="minor"/>
    </font>
    <font>
      <b/>
      <sz val="14"/>
      <color theme="1"/>
      <name val="Arial"/>
      <family val="2"/>
    </font>
    <font>
      <sz val="14"/>
      <color theme="1"/>
      <name val="Arial"/>
      <family val="2"/>
    </font>
    <font>
      <b/>
      <sz val="22"/>
      <color theme="1"/>
      <name val="맑은 고딕"/>
      <family val="3"/>
      <charset val="129"/>
      <scheme val="minor"/>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0000FF"/>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sz val="14"/>
      <color theme="1"/>
      <name val="맑은 고딕"/>
      <family val="3"/>
      <charset val="129"/>
    </font>
    <font>
      <b/>
      <sz val="13.5"/>
      <color theme="1" tint="0.249977111117893"/>
      <name val="Pretendard"/>
      <family val="3"/>
      <charset val="129"/>
    </font>
    <font>
      <b/>
      <sz val="13.5"/>
      <color rgb="FFFF0000"/>
      <name val="Pretendard"/>
      <family val="3"/>
      <charset val="129"/>
    </font>
  </fonts>
  <fills count="2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4.992828150273141E-2"/>
        <bgColor indexed="64"/>
      </patternFill>
    </fill>
    <fill>
      <patternFill patternType="solid">
        <fgColor theme="0" tint="-4.9836725974303414E-2"/>
        <bgColor indexed="64"/>
      </patternFill>
    </fill>
    <fill>
      <patternFill patternType="solid">
        <fgColor theme="2" tint="-9.9978637043366805E-2"/>
        <bgColor indexed="64"/>
      </patternFill>
    </fill>
    <fill>
      <patternFill patternType="solid">
        <fgColor theme="8" tint="0.59999389629810485"/>
        <bgColor indexed="64"/>
      </patternFill>
    </fill>
  </fills>
  <borders count="5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thin">
        <color theme="0" tint="-0.499984740745262"/>
      </bottom>
      <diagonal/>
    </border>
    <border>
      <left/>
      <right style="hair">
        <color theme="0" tint="-0.499984740745262"/>
      </right>
      <top style="hair">
        <color theme="0" tint="-0.34998626667073579"/>
      </top>
      <bottom style="hair">
        <color theme="0" tint="-0.34998626667073579"/>
      </bottom>
      <diagonal/>
    </border>
    <border>
      <left/>
      <right style="hair">
        <color theme="0" tint="-0.499984740745262"/>
      </right>
      <top/>
      <bottom style="hair">
        <color theme="0" tint="-0.34998626667073579"/>
      </bottom>
      <diagonal/>
    </border>
    <border>
      <left style="medium">
        <color theme="0" tint="-0.34998626667073579"/>
      </left>
      <right/>
      <top style="medium">
        <color theme="0" tint="-0.34998626667073579"/>
      </top>
      <bottom style="thin">
        <color theme="0" tint="-0.499984740745262"/>
      </bottom>
      <diagonal/>
    </border>
    <border>
      <left/>
      <right/>
      <top style="medium">
        <color theme="0" tint="-0.34998626667073579"/>
      </top>
      <bottom style="thin">
        <color theme="0" tint="-0.499984740745262"/>
      </bottom>
      <diagonal/>
    </border>
    <border>
      <left style="medium">
        <color theme="0" tint="-0.34998626667073579"/>
      </left>
      <right style="thin">
        <color theme="0" tint="-0.499984740745262"/>
      </right>
      <top style="thin">
        <color theme="0" tint="-0.499984740745262"/>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style="hair">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diagonal/>
    </border>
    <border>
      <left style="medium">
        <color theme="0" tint="-0.34998626667073579"/>
      </left>
      <right style="hair">
        <color theme="0" tint="-0.499984740745262"/>
      </right>
      <top style="hair">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499984740745262"/>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thin">
        <color theme="0" tint="-0.499984740745262"/>
      </left>
      <right style="medium">
        <color theme="0" tint="-0.34998626667073579"/>
      </right>
      <top style="thin">
        <color theme="0" tint="-0.499984740745262"/>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right style="medium">
        <color theme="0" tint="-0.34998626667073579"/>
      </right>
      <top style="thin">
        <color theme="0" tint="-0.34998626667073579"/>
      </top>
      <bottom style="hair">
        <color theme="0" tint="-0.34998626667073579"/>
      </bottom>
      <diagonal/>
    </border>
    <border>
      <left/>
      <right style="medium">
        <color theme="0" tint="-0.34998626667073579"/>
      </right>
      <top style="hair">
        <color theme="0" tint="-0.34998626667073579"/>
      </top>
      <bottom style="thin">
        <color theme="0" tint="-0.499984740745262"/>
      </bottom>
      <diagonal/>
    </border>
    <border>
      <left/>
      <right style="medium">
        <color theme="0" tint="-0.34998626667073579"/>
      </right>
      <top style="thin">
        <color theme="0" tint="-0.499984740745262"/>
      </top>
      <bottom/>
      <diagonal/>
    </border>
    <border>
      <left/>
      <right style="medium">
        <color theme="0" tint="-0.34998626667073579"/>
      </right>
      <top style="hair">
        <color theme="0" tint="-0.34998626667073579"/>
      </top>
      <bottom style="hair">
        <color theme="0" tint="-0.34998626667073579"/>
      </bottom>
      <diagonal/>
    </border>
    <border>
      <left/>
      <right style="medium">
        <color theme="0" tint="-0.34998626667073579"/>
      </right>
      <top/>
      <bottom style="hair">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hair">
        <color theme="0" tint="-0.34998626667073579"/>
      </right>
      <top style="thin">
        <color theme="0" tint="-0.34998626667073579"/>
      </top>
      <bottom/>
      <diagonal/>
    </border>
    <border>
      <left style="hair">
        <color theme="0" tint="-0.34998626667073579"/>
      </left>
      <right style="thin">
        <color theme="0" tint="-0.34998626667073579"/>
      </right>
      <top style="thin">
        <color theme="0" tint="-0.34998626667073579"/>
      </top>
      <bottom/>
      <diagonal/>
    </border>
    <border>
      <left style="thin">
        <color theme="0" tint="-0.34998626667073579"/>
      </left>
      <right style="hair">
        <color theme="0" tint="-0.34998626667073579"/>
      </right>
      <top/>
      <bottom style="medium">
        <color theme="0" tint="-0.34998626667073579"/>
      </bottom>
      <diagonal/>
    </border>
    <border>
      <left style="hair">
        <color theme="0" tint="-0.34998626667073579"/>
      </left>
      <right style="thin">
        <color theme="0" tint="-0.34998626667073579"/>
      </right>
      <top/>
      <bottom style="medium">
        <color theme="0" tint="-0.34998626667073579"/>
      </bottom>
      <diagonal/>
    </border>
    <border>
      <left style="thin">
        <color theme="0" tint="-0.34998626667073579"/>
      </left>
      <right style="hair">
        <color theme="0" tint="-0.34998626667073579"/>
      </right>
      <top/>
      <bottom style="thin">
        <color theme="0" tint="-0.499984740745262"/>
      </bottom>
      <diagonal/>
    </border>
    <border>
      <left/>
      <right style="thin">
        <color theme="0" tint="-0.34998626667073579"/>
      </right>
      <top/>
      <bottom style="thin">
        <color theme="0" tint="-0.499984740745262"/>
      </bottom>
      <diagonal/>
    </border>
    <border>
      <left style="thin">
        <color theme="0" tint="-0.34998626667073579"/>
      </left>
      <right style="hair">
        <color theme="0" tint="-0.34998626667073579"/>
      </right>
      <top/>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thin">
        <color theme="0" tint="-0.499984740745262"/>
      </bottom>
      <diagonal/>
    </border>
    <border>
      <left/>
      <right style="thin">
        <color theme="0" tint="-0.34998626667073579"/>
      </right>
      <top style="hair">
        <color theme="0" tint="-0.34998626667073579"/>
      </top>
      <bottom style="thin">
        <color theme="0" tint="-0.499984740745262"/>
      </bottom>
      <diagonal/>
    </border>
    <border>
      <left style="thin">
        <color theme="0" tint="-0.34998626667073579"/>
      </left>
      <right style="hair">
        <color theme="0" tint="-0.34998626667073579"/>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right style="thin">
        <color theme="0" tint="-0.34998626667073579"/>
      </right>
      <top style="hair">
        <color theme="0" tint="-0.34998626667073579"/>
      </top>
      <bottom style="hair">
        <color theme="0" tint="-0.34998626667073579"/>
      </bottom>
      <diagonal/>
    </border>
    <border>
      <left style="thin">
        <color theme="0" tint="-0.34998626667073579"/>
      </left>
      <right style="hair">
        <color theme="0" tint="-0.34998626667073579"/>
      </right>
      <top/>
      <bottom style="hair">
        <color theme="0" tint="-0.34998626667073579"/>
      </bottom>
      <diagonal/>
    </border>
    <border>
      <left/>
      <right style="thin">
        <color theme="0" tint="-0.34998626667073579"/>
      </right>
      <top/>
      <bottom style="hair">
        <color theme="0" tint="-0.34998626667073579"/>
      </bottom>
      <diagonal/>
    </border>
    <border>
      <left/>
      <right style="thin">
        <color theme="0" tint="-0.34998626667073579"/>
      </right>
      <top/>
      <bottom style="medium">
        <color theme="0" tint="-0.34998626667073579"/>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thin">
        <color auto="1"/>
      </left>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thin">
        <color theme="0" tint="-0.499984740745262"/>
      </left>
      <right style="thin">
        <color theme="0" tint="-0.34998626667073579"/>
      </right>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style="thin">
        <color auto="1"/>
      </left>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diagonal/>
    </border>
    <border>
      <left style="medium">
        <color theme="0" tint="-0.34998626667073579"/>
      </left>
      <right/>
      <top style="thin">
        <color theme="0" tint="-0.34998626667073579"/>
      </top>
      <bottom style="hair">
        <color theme="0" tint="-0.34998626667073579"/>
      </bottom>
      <diagonal/>
    </border>
    <border>
      <left style="medium">
        <color theme="0" tint="-0.34998626667073579"/>
      </left>
      <right/>
      <top style="hair">
        <color theme="0" tint="-0.34998626667073579"/>
      </top>
      <bottom style="thin">
        <color theme="0" tint="-0.499984740745262"/>
      </bottom>
      <diagonal/>
    </border>
    <border>
      <left style="medium">
        <color theme="0" tint="-0.34998626667073579"/>
      </left>
      <right/>
      <top style="thin">
        <color theme="0" tint="-0.499984740745262"/>
      </top>
      <bottom/>
      <diagonal/>
    </border>
    <border>
      <left style="medium">
        <color theme="0" tint="-0.34998626667073579"/>
      </left>
      <right/>
      <top style="hair">
        <color theme="0" tint="-0.34998626667073579"/>
      </top>
      <bottom style="hair">
        <color theme="0" tint="-0.34998626667073579"/>
      </bottom>
      <diagonal/>
    </border>
    <border>
      <left style="medium">
        <color theme="0" tint="-0.34998626667073579"/>
      </left>
      <right/>
      <top/>
      <bottom style="hair">
        <color theme="0" tint="-0.34998626667073579"/>
      </bottom>
      <diagonal/>
    </border>
    <border>
      <left style="medium">
        <color theme="0" tint="-0.34998626667073579"/>
      </left>
      <right style="hair">
        <color theme="0" tint="-0.499984740745262"/>
      </right>
      <top style="thin">
        <color theme="0" tint="-0.34998626667073579"/>
      </top>
      <bottom style="thin">
        <color theme="0" tint="-0.34998626667073579"/>
      </bottom>
      <diagonal/>
    </border>
    <border>
      <left/>
      <right style="hair">
        <color theme="0" tint="-0.499984740745262"/>
      </right>
      <top style="thin">
        <color theme="0" tint="-0.34998626667073579"/>
      </top>
      <bottom style="thin">
        <color theme="0" tint="-0.34998626667073579"/>
      </bottom>
      <diagonal/>
    </border>
    <border>
      <left style="hair">
        <color theme="0" tint="-0.499984740745262"/>
      </left>
      <right style="hair">
        <color theme="0" tint="-0.499984740745262"/>
      </right>
      <top style="thin">
        <color theme="0" tint="-0.34998626667073579"/>
      </top>
      <bottom style="thin">
        <color theme="0" tint="-0.34998626667073579"/>
      </bottom>
      <diagonal/>
    </border>
    <border>
      <left style="hair">
        <color theme="0" tint="-0.499984740745262"/>
      </left>
      <right style="medium">
        <color theme="0" tint="-0.499984740745262"/>
      </right>
      <top style="thin">
        <color theme="0" tint="-0.34998626667073579"/>
      </top>
      <bottom style="thin">
        <color theme="0" tint="-0.34998626667073579"/>
      </bottom>
      <diagonal/>
    </border>
    <border>
      <left style="medium">
        <color theme="0" tint="-0.499984740745262"/>
      </left>
      <right style="hair">
        <color theme="0" tint="-0.499984740745262"/>
      </right>
      <top style="thin">
        <color theme="0" tint="-0.34998626667073579"/>
      </top>
      <bottom style="thin">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theme="1"/>
      </right>
      <top style="thin">
        <color indexed="64"/>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rgb="FFD9D9D9"/>
      </right>
      <top style="medium">
        <color rgb="FFD9D9D9"/>
      </top>
      <bottom style="medium">
        <color rgb="FFD9D9D9"/>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rgb="FFD9D9D9"/>
      </left>
      <right/>
      <top/>
      <bottom style="medium">
        <color rgb="FFD9D9D9"/>
      </bottom>
      <diagonal/>
    </border>
    <border>
      <left/>
      <right style="medium">
        <color theme="0" tint="-0.499984740745262"/>
      </right>
      <top style="thin">
        <color theme="0" tint="-0.499984740745262"/>
      </top>
      <bottom style="thin">
        <color theme="0" tint="-0.499984740745262"/>
      </bottom>
      <diagonal/>
    </border>
    <border>
      <left style="thin">
        <color auto="1"/>
      </left>
      <right style="medium">
        <color theme="0" tint="-0.499984740745262"/>
      </right>
      <top style="thin">
        <color theme="0" tint="-0.499984740745262"/>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medium">
        <color theme="0" tint="-0.499984740745262"/>
      </left>
      <right style="hair">
        <color theme="0" tint="-0.499984740745262"/>
      </right>
      <top style="medium">
        <color theme="0" tint="-0.34998626667073579"/>
      </top>
      <bottom style="thin">
        <color theme="0" tint="-0.34998626667073579"/>
      </bottom>
      <diagonal/>
    </border>
    <border>
      <left/>
      <right style="hair">
        <color theme="0" tint="-0.499984740745262"/>
      </right>
      <top style="medium">
        <color theme="0" tint="-0.34998626667073579"/>
      </top>
      <bottom style="thin">
        <color theme="0" tint="-0.34998626667073579"/>
      </bottom>
      <diagonal/>
    </border>
    <border>
      <left style="hair">
        <color theme="0" tint="-0.499984740745262"/>
      </left>
      <right style="medium">
        <color theme="0" tint="-0.499984740745262"/>
      </right>
      <top style="medium">
        <color theme="0" tint="-0.34998626667073579"/>
      </top>
      <bottom style="thin">
        <color theme="0" tint="-0.34998626667073579"/>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right style="hair">
        <color theme="0" tint="-0.499984740745262"/>
      </right>
      <top/>
      <bottom style="thin">
        <color theme="0" tint="-0.34998626667073579"/>
      </bottom>
      <diagonal/>
    </border>
    <border>
      <left style="medium">
        <color theme="0" tint="-0.499984740745262"/>
      </left>
      <right/>
      <top style="medium">
        <color theme="0" tint="-0.34998626667073579"/>
      </top>
      <bottom style="hair">
        <color auto="1"/>
      </bottom>
      <diagonal/>
    </border>
    <border>
      <left/>
      <right style="thin">
        <color theme="0" tint="-0.499984740745262"/>
      </right>
      <top style="thin">
        <color theme="0" tint="-0.499984740745262"/>
      </top>
      <bottom/>
      <diagonal/>
    </border>
    <border>
      <left style="medium">
        <color theme="0" tint="-0.499984740745262"/>
      </left>
      <right/>
      <top style="hair">
        <color auto="1"/>
      </top>
      <bottom style="medium">
        <color theme="0" tint="-0.34998626667073579"/>
      </bottom>
      <diagonal/>
    </border>
    <border>
      <left/>
      <right style="hair">
        <color theme="0" tint="-0.499984740745262"/>
      </right>
      <top/>
      <bottom style="medium">
        <color theme="0" tint="-0.499984740745262"/>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hair">
        <color rgb="FF305496"/>
      </left>
      <right style="hair">
        <color rgb="FF305496"/>
      </right>
      <top/>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hair">
        <color indexed="64"/>
      </right>
      <top style="thin">
        <color auto="1"/>
      </top>
      <bottom style="thin">
        <color auto="1"/>
      </bottom>
      <diagonal/>
    </border>
    <border>
      <left style="thin">
        <color theme="0" tint="-0.14981536301767021"/>
      </left>
      <right style="thin">
        <color theme="0" tint="-0.14981536301767021"/>
      </right>
      <top style="thin">
        <color auto="1"/>
      </top>
      <bottom style="thin">
        <color auto="1"/>
      </bottom>
      <diagonal/>
    </border>
    <border>
      <left style="thin">
        <color theme="0" tint="-0.14981536301767021"/>
      </left>
      <right/>
      <top style="thin">
        <color auto="1"/>
      </top>
      <bottom style="thin">
        <color auto="1"/>
      </bottom>
      <diagonal/>
    </border>
    <border>
      <left style="medium">
        <color auto="1"/>
      </left>
      <right style="medium">
        <color auto="1"/>
      </right>
      <top style="medium">
        <color auto="1"/>
      </top>
      <bottom style="thin">
        <color auto="1"/>
      </bottom>
      <diagonal/>
    </border>
    <border>
      <left/>
      <right/>
      <top style="thin">
        <color auto="1"/>
      </top>
      <bottom style="hair">
        <color auto="1"/>
      </bottom>
      <diagonal/>
    </border>
    <border>
      <left style="medium">
        <color auto="1"/>
      </left>
      <right style="medium">
        <color auto="1"/>
      </right>
      <top style="thin">
        <color auto="1"/>
      </top>
      <bottom style="hair">
        <color auto="1"/>
      </bottom>
      <diagonal/>
    </border>
    <border>
      <left style="medium">
        <color indexed="64"/>
      </left>
      <right style="medium">
        <color indexed="64"/>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thin">
        <color auto="1"/>
      </bottom>
      <diagonal/>
    </border>
    <border>
      <left/>
      <right style="hair">
        <color indexed="64"/>
      </right>
      <top/>
      <bottom style="thin">
        <color indexed="64"/>
      </bottom>
      <diagonal/>
    </border>
    <border>
      <left style="hair">
        <color auto="1"/>
      </left>
      <right/>
      <top style="hair">
        <color auto="1"/>
      </top>
      <bottom style="thin">
        <color auto="1"/>
      </bottom>
      <diagonal/>
    </border>
    <border>
      <left style="medium">
        <color auto="1"/>
      </left>
      <right style="medium">
        <color auto="1"/>
      </right>
      <top style="hair">
        <color auto="1"/>
      </top>
      <bottom style="medium">
        <color auto="1"/>
      </bottom>
      <diagonal/>
    </border>
    <border>
      <left/>
      <right/>
      <top style="hair">
        <color auto="1"/>
      </top>
      <bottom style="thin">
        <color auto="1"/>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71">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cellStyleXfs>
  <cellXfs count="1926">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0" fontId="13" fillId="0" borderId="0" xfId="0" applyFont="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41" fontId="0" fillId="0" borderId="16" xfId="1" applyFont="1" applyFill="1" applyBorder="1">
      <alignment vertical="center"/>
    </xf>
    <xf numFmtId="41" fontId="3" fillId="3" borderId="19" xfId="1" applyFont="1" applyFill="1" applyBorder="1">
      <alignment vertical="center"/>
    </xf>
    <xf numFmtId="9" fontId="3" fillId="3" borderId="20" xfId="2" applyFont="1" applyFill="1" applyBorder="1">
      <alignment vertical="center"/>
    </xf>
    <xf numFmtId="41" fontId="3" fillId="3" borderId="27" xfId="1" applyFont="1" applyFill="1" applyBorder="1">
      <alignment vertical="center"/>
    </xf>
    <xf numFmtId="178" fontId="3" fillId="3" borderId="20" xfId="1" applyNumberFormat="1" applyFont="1" applyFill="1" applyBorder="1">
      <alignment vertical="center"/>
    </xf>
    <xf numFmtId="0" fontId="0" fillId="0" borderId="64" xfId="0" applyBorder="1">
      <alignment vertical="center"/>
    </xf>
    <xf numFmtId="0" fontId="0" fillId="0" borderId="73" xfId="0" applyBorder="1">
      <alignment vertical="center"/>
    </xf>
    <xf numFmtId="41" fontId="0" fillId="7" borderId="5" xfId="1" applyFont="1" applyFill="1" applyBorder="1">
      <alignment vertical="center"/>
    </xf>
    <xf numFmtId="3" fontId="0" fillId="3" borderId="20" xfId="0" applyNumberFormat="1" applyFill="1" applyBorder="1">
      <alignment vertical="center"/>
    </xf>
    <xf numFmtId="41" fontId="3" fillId="3" borderId="27" xfId="0" applyNumberFormat="1" applyFont="1" applyFill="1" applyBorder="1">
      <alignment vertical="center"/>
    </xf>
    <xf numFmtId="0" fontId="20" fillId="0" borderId="0" xfId="0" applyFont="1">
      <alignment vertical="center"/>
    </xf>
    <xf numFmtId="41" fontId="21" fillId="0" borderId="0" xfId="0" applyNumberFormat="1" applyFont="1">
      <alignment vertical="center"/>
    </xf>
    <xf numFmtId="0" fontId="21" fillId="0" borderId="0" xfId="0" applyFont="1">
      <alignment vertical="center"/>
    </xf>
    <xf numFmtId="41" fontId="3" fillId="3" borderId="100" xfId="1" applyFont="1" applyFill="1" applyBorder="1">
      <alignment vertical="center"/>
    </xf>
    <xf numFmtId="41" fontId="3" fillId="3" borderId="89" xfId="1" applyFont="1" applyFill="1" applyBorder="1">
      <alignment vertical="center"/>
    </xf>
    <xf numFmtId="0" fontId="22" fillId="0" borderId="0" xfId="0" applyFont="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5" fillId="0" borderId="0" xfId="0" applyFont="1">
      <alignment vertical="center"/>
    </xf>
    <xf numFmtId="0" fontId="26" fillId="0" borderId="0" xfId="0" applyFont="1">
      <alignment vertical="center"/>
    </xf>
    <xf numFmtId="0" fontId="12" fillId="0" borderId="0" xfId="0" applyFont="1" applyAlignment="1">
      <alignment horizontal="right"/>
    </xf>
    <xf numFmtId="0" fontId="27"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41" fontId="0" fillId="0" borderId="48" xfId="1" applyFont="1" applyFill="1" applyBorder="1">
      <alignment vertical="center"/>
    </xf>
    <xf numFmtId="9" fontId="0" fillId="0" borderId="31" xfId="2" applyFont="1" applyFill="1" applyBorder="1">
      <alignment vertical="center"/>
    </xf>
    <xf numFmtId="3" fontId="0" fillId="3" borderId="26" xfId="0" applyNumberFormat="1" applyFill="1" applyBorder="1">
      <alignment vertical="center"/>
    </xf>
    <xf numFmtId="178" fontId="3" fillId="3" borderId="26" xfId="1" applyNumberFormat="1" applyFont="1" applyFill="1" applyBorder="1">
      <alignment vertical="center"/>
    </xf>
    <xf numFmtId="0" fontId="30" fillId="5" borderId="220" xfId="0" applyFont="1" applyFill="1" applyBorder="1">
      <alignment vertical="center"/>
    </xf>
    <xf numFmtId="0" fontId="30" fillId="5" borderId="221" xfId="0" applyFont="1" applyFill="1" applyBorder="1">
      <alignment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5" borderId="277" xfId="0" applyFont="1" applyFill="1" applyBorder="1" applyAlignment="1">
      <alignment horizontal="center" vertical="center"/>
    </xf>
    <xf numFmtId="0" fontId="30" fillId="3" borderId="220" xfId="0" applyFont="1" applyFill="1" applyBorder="1">
      <alignment vertical="center"/>
    </xf>
    <xf numFmtId="0" fontId="30" fillId="3" borderId="221" xfId="0" applyFont="1" applyFill="1" applyBorder="1">
      <alignment vertical="center"/>
    </xf>
    <xf numFmtId="0" fontId="30" fillId="0" borderId="0" xfId="0" applyFont="1">
      <alignment vertical="center"/>
    </xf>
    <xf numFmtId="0" fontId="30" fillId="5" borderId="219" xfId="0" applyFont="1" applyFill="1" applyBorder="1" applyAlignment="1">
      <alignment horizontal="left" vertical="center" wrapText="1"/>
    </xf>
    <xf numFmtId="0" fontId="30" fillId="5" borderId="220" xfId="0" applyFont="1" applyFill="1" applyBorder="1" applyAlignment="1">
      <alignment horizontal="left" vertical="center"/>
    </xf>
    <xf numFmtId="0" fontId="30" fillId="5" borderId="221" xfId="0" applyFont="1" applyFill="1" applyBorder="1" applyAlignment="1">
      <alignment horizontal="left" vertical="center"/>
    </xf>
    <xf numFmtId="0" fontId="25" fillId="3" borderId="219" xfId="0" applyFont="1" applyFill="1" applyBorder="1">
      <alignment vertical="center"/>
    </xf>
    <xf numFmtId="0" fontId="25" fillId="3" borderId="220" xfId="0" applyFont="1" applyFill="1" applyBorder="1">
      <alignment vertical="center"/>
    </xf>
    <xf numFmtId="179" fontId="25" fillId="3" borderId="145" xfId="0" applyNumberFormat="1" applyFont="1" applyFill="1" applyBorder="1">
      <alignment vertical="center"/>
    </xf>
    <xf numFmtId="179" fontId="25" fillId="3" borderId="146" xfId="0" applyNumberFormat="1" applyFont="1" applyFill="1" applyBorder="1">
      <alignment vertical="center"/>
    </xf>
    <xf numFmtId="179" fontId="25" fillId="3" borderId="147" xfId="0" applyNumberFormat="1" applyFont="1" applyFill="1" applyBorder="1">
      <alignment vertical="center"/>
    </xf>
    <xf numFmtId="179" fontId="25" fillId="3" borderId="148" xfId="0" applyNumberFormat="1" applyFont="1" applyFill="1" applyBorder="1">
      <alignment vertical="center"/>
    </xf>
    <xf numFmtId="179" fontId="32" fillId="4" borderId="143" xfId="0" applyNumberFormat="1" applyFont="1" applyFill="1" applyBorder="1">
      <alignment vertical="center"/>
    </xf>
    <xf numFmtId="179" fontId="25" fillId="3" borderId="241" xfId="0" applyNumberFormat="1" applyFont="1" applyFill="1" applyBorder="1">
      <alignment vertical="center"/>
    </xf>
    <xf numFmtId="179" fontId="25" fillId="3" borderId="149" xfId="0" applyNumberFormat="1" applyFont="1" applyFill="1" applyBorder="1">
      <alignment vertical="center"/>
    </xf>
    <xf numFmtId="179" fontId="32" fillId="4" borderId="151" xfId="0" applyNumberFormat="1" applyFont="1" applyFill="1" applyBorder="1">
      <alignment vertical="center"/>
    </xf>
    <xf numFmtId="179" fontId="25" fillId="3" borderId="150" xfId="0" applyNumberFormat="1" applyFont="1" applyFill="1" applyBorder="1">
      <alignment vertical="center"/>
    </xf>
    <xf numFmtId="179" fontId="25" fillId="3" borderId="143" xfId="0" applyNumberFormat="1" applyFont="1" applyFill="1" applyBorder="1">
      <alignment vertical="center"/>
    </xf>
    <xf numFmtId="179" fontId="33" fillId="4" borderId="144" xfId="0" applyNumberFormat="1" applyFont="1" applyFill="1" applyBorder="1">
      <alignment vertical="center"/>
    </xf>
    <xf numFmtId="179" fontId="32" fillId="4" borderId="242" xfId="0" applyNumberFormat="1" applyFont="1" applyFill="1" applyBorder="1">
      <alignment vertical="center"/>
    </xf>
    <xf numFmtId="179" fontId="32" fillId="4" borderId="144" xfId="0" applyNumberFormat="1" applyFont="1" applyFill="1" applyBorder="1">
      <alignment vertical="center"/>
    </xf>
    <xf numFmtId="179" fontId="25" fillId="3" borderId="152" xfId="0" applyNumberFormat="1" applyFont="1" applyFill="1" applyBorder="1">
      <alignment vertical="center"/>
    </xf>
    <xf numFmtId="179" fontId="30" fillId="8" borderId="115" xfId="0" applyNumberFormat="1" applyFont="1" applyFill="1" applyBorder="1">
      <alignment vertical="center"/>
    </xf>
    <xf numFmtId="179" fontId="30" fillId="8" borderId="116" xfId="0" applyNumberFormat="1" applyFont="1" applyFill="1" applyBorder="1">
      <alignment vertical="center"/>
    </xf>
    <xf numFmtId="179" fontId="30" fillId="8" borderId="113" xfId="0" applyNumberFormat="1" applyFont="1" applyFill="1" applyBorder="1">
      <alignment vertical="center"/>
    </xf>
    <xf numFmtId="179" fontId="30" fillId="8" borderId="154" xfId="0" applyNumberFormat="1" applyFont="1" applyFill="1" applyBorder="1">
      <alignment vertical="center"/>
    </xf>
    <xf numFmtId="179" fontId="30" fillId="8" borderId="0" xfId="0" applyNumberFormat="1" applyFont="1" applyFill="1">
      <alignment vertical="center"/>
    </xf>
    <xf numFmtId="179" fontId="30" fillId="8" borderId="243" xfId="0" applyNumberFormat="1" applyFont="1" applyFill="1" applyBorder="1">
      <alignment vertical="center"/>
    </xf>
    <xf numFmtId="179" fontId="30" fillId="8" borderId="155" xfId="0" applyNumberFormat="1" applyFont="1" applyFill="1" applyBorder="1">
      <alignment vertical="center"/>
    </xf>
    <xf numFmtId="179" fontId="30" fillId="8" borderId="157" xfId="0" applyNumberFormat="1" applyFont="1" applyFill="1" applyBorder="1">
      <alignment vertical="center"/>
    </xf>
    <xf numFmtId="179" fontId="30" fillId="8" borderId="156" xfId="0" applyNumberFormat="1" applyFont="1" applyFill="1" applyBorder="1">
      <alignment vertical="center"/>
    </xf>
    <xf numFmtId="179" fontId="34" fillId="8" borderId="114" xfId="0" applyNumberFormat="1" applyFont="1" applyFill="1" applyBorder="1">
      <alignment vertical="center"/>
    </xf>
    <xf numFmtId="179" fontId="30" fillId="8" borderId="238" xfId="0" applyNumberFormat="1" applyFont="1" applyFill="1" applyBorder="1">
      <alignment vertical="center"/>
    </xf>
    <xf numFmtId="0" fontId="30" fillId="8" borderId="0" xfId="0" applyFont="1" applyFill="1">
      <alignment vertical="center"/>
    </xf>
    <xf numFmtId="179" fontId="30" fillId="8" borderId="158" xfId="0" applyNumberFormat="1" applyFont="1" applyFill="1" applyBorder="1">
      <alignment vertical="center"/>
    </xf>
    <xf numFmtId="179" fontId="30" fillId="8" borderId="114" xfId="0" applyNumberFormat="1" applyFont="1" applyFill="1" applyBorder="1">
      <alignment vertical="center"/>
    </xf>
    <xf numFmtId="179" fontId="30" fillId="0" borderId="160" xfId="0" applyNumberFormat="1" applyFont="1" applyBorder="1">
      <alignment vertical="center"/>
    </xf>
    <xf numFmtId="179" fontId="30" fillId="0" borderId="161" xfId="0" applyNumberFormat="1" applyFont="1" applyBorder="1">
      <alignment vertical="center"/>
    </xf>
    <xf numFmtId="179" fontId="30" fillId="0" borderId="162" xfId="0" applyNumberFormat="1" applyFont="1" applyBorder="1">
      <alignment vertical="center"/>
    </xf>
    <xf numFmtId="179" fontId="30" fillId="0" borderId="163" xfId="0" applyNumberFormat="1" applyFont="1" applyBorder="1">
      <alignment vertical="center"/>
    </xf>
    <xf numFmtId="179" fontId="34" fillId="0" borderId="165" xfId="0" applyNumberFormat="1" applyFont="1" applyBorder="1">
      <alignment vertical="center"/>
    </xf>
    <xf numFmtId="179" fontId="34" fillId="0" borderId="244" xfId="0" applyNumberFormat="1" applyFont="1" applyBorder="1">
      <alignment vertical="center"/>
    </xf>
    <xf numFmtId="179" fontId="34" fillId="0" borderId="101" xfId="0" applyNumberFormat="1" applyFont="1" applyBorder="1">
      <alignment vertical="center"/>
    </xf>
    <xf numFmtId="179" fontId="34" fillId="0" borderId="167" xfId="0" applyNumberFormat="1" applyFont="1" applyBorder="1">
      <alignment vertical="center"/>
    </xf>
    <xf numFmtId="179" fontId="34" fillId="0" borderId="166" xfId="0" applyNumberFormat="1" applyFont="1" applyBorder="1">
      <alignment vertical="center"/>
    </xf>
    <xf numFmtId="41" fontId="34" fillId="0" borderId="101" xfId="1" applyFont="1" applyBorder="1">
      <alignment vertical="center"/>
    </xf>
    <xf numFmtId="41" fontId="30" fillId="0" borderId="165" xfId="0" applyNumberFormat="1" applyFont="1" applyBorder="1">
      <alignment vertical="center"/>
    </xf>
    <xf numFmtId="41" fontId="30" fillId="0" borderId="101" xfId="0" applyNumberFormat="1" applyFont="1" applyBorder="1">
      <alignment vertical="center"/>
    </xf>
    <xf numFmtId="179" fontId="34" fillId="0" borderId="164" xfId="0" applyNumberFormat="1" applyFont="1" applyBorder="1">
      <alignment vertical="center"/>
    </xf>
    <xf numFmtId="179" fontId="34" fillId="0" borderId="245" xfId="0" applyNumberFormat="1" applyFont="1" applyBorder="1">
      <alignment vertical="center"/>
    </xf>
    <xf numFmtId="41" fontId="30" fillId="0" borderId="168" xfId="0" applyNumberFormat="1" applyFont="1" applyBorder="1">
      <alignment vertical="center"/>
    </xf>
    <xf numFmtId="179" fontId="30" fillId="0" borderId="164" xfId="0" applyNumberFormat="1" applyFont="1" applyBorder="1">
      <alignment vertical="center"/>
    </xf>
    <xf numFmtId="41" fontId="30" fillId="0" borderId="170" xfId="0" applyNumberFormat="1" applyFont="1" applyBorder="1">
      <alignment vertical="center"/>
    </xf>
    <xf numFmtId="179" fontId="30" fillId="0" borderId="171" xfId="0" applyNumberFormat="1" applyFont="1" applyBorder="1">
      <alignment vertical="center"/>
    </xf>
    <xf numFmtId="179" fontId="30" fillId="0" borderId="172" xfId="0" applyNumberFormat="1" applyFont="1" applyBorder="1">
      <alignment vertical="center"/>
    </xf>
    <xf numFmtId="179" fontId="30" fillId="0" borderId="173" xfId="0" applyNumberFormat="1" applyFont="1" applyBorder="1">
      <alignment vertical="center"/>
    </xf>
    <xf numFmtId="181" fontId="31" fillId="0" borderId="175" xfId="0" applyNumberFormat="1" applyFont="1" applyBorder="1">
      <alignment vertical="center"/>
    </xf>
    <xf numFmtId="41" fontId="34" fillId="0" borderId="246" xfId="1" applyFont="1" applyBorder="1">
      <alignment vertical="center"/>
    </xf>
    <xf numFmtId="41" fontId="34" fillId="0" borderId="102" xfId="1" applyFont="1" applyBorder="1">
      <alignment vertical="center"/>
    </xf>
    <xf numFmtId="41" fontId="34" fillId="0" borderId="177" xfId="1" applyFont="1" applyBorder="1">
      <alignment vertical="center"/>
    </xf>
    <xf numFmtId="41" fontId="34" fillId="0" borderId="176" xfId="1" applyFont="1" applyBorder="1">
      <alignment vertical="center"/>
    </xf>
    <xf numFmtId="41" fontId="30" fillId="0" borderId="175" xfId="0" applyNumberFormat="1" applyFont="1" applyBorder="1">
      <alignment vertical="center"/>
    </xf>
    <xf numFmtId="41" fontId="30" fillId="0" borderId="102" xfId="0" applyNumberFormat="1" applyFont="1" applyBorder="1">
      <alignment vertical="center"/>
    </xf>
    <xf numFmtId="41" fontId="34" fillId="0" borderId="174" xfId="1" applyFont="1" applyBorder="1">
      <alignment vertical="center"/>
    </xf>
    <xf numFmtId="181" fontId="31" fillId="0" borderId="247" xfId="0" applyNumberFormat="1" applyFont="1" applyBorder="1">
      <alignment vertical="center"/>
    </xf>
    <xf numFmtId="41" fontId="30" fillId="0" borderId="178" xfId="0" applyNumberFormat="1" applyFont="1" applyBorder="1">
      <alignment vertical="center"/>
    </xf>
    <xf numFmtId="179" fontId="30" fillId="0" borderId="174" xfId="0" applyNumberFormat="1" applyFont="1" applyBorder="1">
      <alignment vertical="center"/>
    </xf>
    <xf numFmtId="179" fontId="30" fillId="8" borderId="179" xfId="0" applyNumberFormat="1" applyFont="1" applyFill="1" applyBorder="1">
      <alignment vertical="center"/>
    </xf>
    <xf numFmtId="179" fontId="30" fillId="8" borderId="180" xfId="0" applyNumberFormat="1" applyFont="1" applyFill="1" applyBorder="1">
      <alignment vertical="center"/>
    </xf>
    <xf numFmtId="179" fontId="30" fillId="8" borderId="181" xfId="0" applyNumberFormat="1" applyFont="1" applyFill="1" applyBorder="1">
      <alignment vertical="center"/>
    </xf>
    <xf numFmtId="179" fontId="30" fillId="8" borderId="117" xfId="0" applyNumberFormat="1" applyFont="1" applyFill="1" applyBorder="1">
      <alignment vertical="center"/>
    </xf>
    <xf numFmtId="179" fontId="30" fillId="8" borderId="182" xfId="0" applyNumberFormat="1" applyFont="1" applyFill="1" applyBorder="1">
      <alignment vertical="center"/>
    </xf>
    <xf numFmtId="179" fontId="30" fillId="8" borderId="123" xfId="0" applyNumberFormat="1" applyFont="1" applyFill="1" applyBorder="1">
      <alignment vertical="center"/>
    </xf>
    <xf numFmtId="179" fontId="34" fillId="8" borderId="153" xfId="0" applyNumberFormat="1" applyFont="1" applyFill="1" applyBorder="1">
      <alignment vertical="center"/>
    </xf>
    <xf numFmtId="179" fontId="30" fillId="8" borderId="248" xfId="0" applyNumberFormat="1" applyFont="1" applyFill="1" applyBorder="1">
      <alignment vertical="center"/>
    </xf>
    <xf numFmtId="179" fontId="30" fillId="8" borderId="183" xfId="0" applyNumberFormat="1" applyFont="1" applyFill="1" applyBorder="1">
      <alignment vertical="center"/>
    </xf>
    <xf numFmtId="179" fontId="30" fillId="8" borderId="153" xfId="0" applyNumberFormat="1" applyFont="1" applyFill="1" applyBorder="1">
      <alignment vertical="center"/>
    </xf>
    <xf numFmtId="41" fontId="30" fillId="0" borderId="160" xfId="0" applyNumberFormat="1" applyFont="1" applyBorder="1">
      <alignment vertical="center"/>
    </xf>
    <xf numFmtId="181" fontId="34" fillId="0" borderId="165" xfId="0" applyNumberFormat="1" applyFont="1" applyBorder="1">
      <alignment vertical="center"/>
    </xf>
    <xf numFmtId="181" fontId="34" fillId="0" borderId="244" xfId="0" applyNumberFormat="1" applyFont="1" applyBorder="1">
      <alignment vertical="center"/>
    </xf>
    <xf numFmtId="181" fontId="34" fillId="0" borderId="101" xfId="0" applyNumberFormat="1" applyFont="1" applyBorder="1">
      <alignment vertical="center"/>
    </xf>
    <xf numFmtId="181" fontId="34" fillId="0" borderId="167" xfId="0" applyNumberFormat="1" applyFont="1" applyBorder="1">
      <alignment vertical="center"/>
    </xf>
    <xf numFmtId="181" fontId="34" fillId="0" borderId="166" xfId="0" applyNumberFormat="1" applyFont="1" applyBorder="1">
      <alignment vertical="center"/>
    </xf>
    <xf numFmtId="181" fontId="34" fillId="0" borderId="164" xfId="0" applyNumberFormat="1" applyFont="1" applyBorder="1">
      <alignment vertical="center"/>
    </xf>
    <xf numFmtId="181" fontId="34" fillId="0" borderId="245" xfId="0" applyNumberFormat="1" applyFont="1" applyBorder="1">
      <alignment vertical="center"/>
    </xf>
    <xf numFmtId="181" fontId="30" fillId="0" borderId="164" xfId="0" applyNumberFormat="1" applyFont="1" applyBorder="1">
      <alignment vertical="center"/>
    </xf>
    <xf numFmtId="41" fontId="30" fillId="0" borderId="115" xfId="1" applyFont="1" applyBorder="1">
      <alignment vertical="center"/>
    </xf>
    <xf numFmtId="179" fontId="30" fillId="0" borderId="116" xfId="0" applyNumberFormat="1" applyFont="1" applyBorder="1">
      <alignment vertical="center"/>
    </xf>
    <xf numFmtId="41" fontId="30" fillId="0" borderId="113" xfId="1" applyFont="1" applyBorder="1">
      <alignment vertical="center"/>
    </xf>
    <xf numFmtId="179" fontId="34" fillId="0" borderId="0" xfId="0" applyNumberFormat="1" applyFont="1">
      <alignment vertical="center"/>
    </xf>
    <xf numFmtId="179" fontId="34" fillId="0" borderId="243" xfId="0" applyNumberFormat="1" applyFont="1" applyBorder="1">
      <alignment vertical="center"/>
    </xf>
    <xf numFmtId="179" fontId="34" fillId="0" borderId="155" xfId="0" applyNumberFormat="1" applyFont="1" applyBorder="1">
      <alignment vertical="center"/>
    </xf>
    <xf numFmtId="179" fontId="34" fillId="0" borderId="157" xfId="0" applyNumberFormat="1" applyFont="1" applyBorder="1">
      <alignment vertical="center"/>
    </xf>
    <xf numFmtId="179" fontId="34" fillId="0" borderId="156" xfId="0" applyNumberFormat="1" applyFont="1" applyBorder="1">
      <alignment vertical="center"/>
    </xf>
    <xf numFmtId="41" fontId="30" fillId="0" borderId="155" xfId="1" applyFont="1" applyBorder="1">
      <alignment vertical="center"/>
    </xf>
    <xf numFmtId="181" fontId="34" fillId="0" borderId="114" xfId="1" applyNumberFormat="1" applyFont="1" applyBorder="1">
      <alignment vertical="center"/>
    </xf>
    <xf numFmtId="179" fontId="34" fillId="0" borderId="238" xfId="0" applyNumberFormat="1" applyFont="1" applyBorder="1">
      <alignment vertical="center"/>
    </xf>
    <xf numFmtId="179" fontId="30" fillId="0" borderId="114" xfId="0" applyNumberFormat="1" applyFont="1" applyBorder="1">
      <alignment vertical="center"/>
    </xf>
    <xf numFmtId="179" fontId="30" fillId="8" borderId="249" xfId="0" applyNumberFormat="1" applyFont="1" applyFill="1" applyBorder="1">
      <alignment vertical="center"/>
    </xf>
    <xf numFmtId="179" fontId="30" fillId="8" borderId="124" xfId="0" applyNumberFormat="1" applyFont="1" applyFill="1" applyBorder="1">
      <alignment vertical="center"/>
    </xf>
    <xf numFmtId="179" fontId="30" fillId="8" borderId="185" xfId="0" applyNumberFormat="1" applyFont="1" applyFill="1" applyBorder="1">
      <alignment vertical="center"/>
    </xf>
    <xf numFmtId="41" fontId="30" fillId="0" borderId="188" xfId="0" applyNumberFormat="1" applyFont="1" applyBorder="1">
      <alignment vertical="center"/>
    </xf>
    <xf numFmtId="179" fontId="30" fillId="0" borderId="189" xfId="0" applyNumberFormat="1" applyFont="1" applyBorder="1">
      <alignment vertical="center"/>
    </xf>
    <xf numFmtId="179" fontId="30" fillId="0" borderId="190" xfId="0" applyNumberFormat="1" applyFont="1" applyBorder="1">
      <alignment vertical="center"/>
    </xf>
    <xf numFmtId="179" fontId="30" fillId="0" borderId="191" xfId="0" applyNumberFormat="1" applyFont="1" applyBorder="1">
      <alignment vertical="center"/>
    </xf>
    <xf numFmtId="181" fontId="34" fillId="0" borderId="193" xfId="0" applyNumberFormat="1" applyFont="1" applyBorder="1">
      <alignment vertical="center"/>
    </xf>
    <xf numFmtId="181" fontId="34" fillId="0" borderId="250" xfId="0" applyNumberFormat="1" applyFont="1" applyBorder="1">
      <alignment vertical="center"/>
    </xf>
    <xf numFmtId="181" fontId="34" fillId="0" borderId="194" xfId="0" applyNumberFormat="1" applyFont="1" applyBorder="1">
      <alignment vertical="center"/>
    </xf>
    <xf numFmtId="181" fontId="34" fillId="0" borderId="196" xfId="0" applyNumberFormat="1" applyFont="1" applyBorder="1">
      <alignment vertical="center"/>
    </xf>
    <xf numFmtId="181" fontId="34" fillId="0" borderId="195" xfId="0" applyNumberFormat="1" applyFont="1" applyBorder="1">
      <alignment vertical="center"/>
    </xf>
    <xf numFmtId="41" fontId="30" fillId="0" borderId="193" xfId="0" applyNumberFormat="1" applyFont="1" applyBorder="1">
      <alignment vertical="center"/>
    </xf>
    <xf numFmtId="41" fontId="30" fillId="0" borderId="194" xfId="0" applyNumberFormat="1" applyFont="1" applyBorder="1">
      <alignment vertical="center"/>
    </xf>
    <xf numFmtId="181" fontId="34" fillId="0" borderId="192" xfId="0" applyNumberFormat="1" applyFont="1" applyBorder="1">
      <alignment vertical="center"/>
    </xf>
    <xf numFmtId="181" fontId="34" fillId="0" borderId="251" xfId="0" applyNumberFormat="1" applyFont="1" applyBorder="1">
      <alignment vertical="center"/>
    </xf>
    <xf numFmtId="41" fontId="30" fillId="0" borderId="197" xfId="0" applyNumberFormat="1" applyFont="1" applyBorder="1">
      <alignment vertical="center"/>
    </xf>
    <xf numFmtId="181" fontId="30" fillId="0" borderId="192" xfId="0" applyNumberFormat="1" applyFont="1" applyBorder="1">
      <alignment vertical="center"/>
    </xf>
    <xf numFmtId="179" fontId="34" fillId="0" borderId="193" xfId="0" applyNumberFormat="1" applyFont="1" applyBorder="1">
      <alignment vertical="center"/>
    </xf>
    <xf numFmtId="179" fontId="34" fillId="0" borderId="250" xfId="0" applyNumberFormat="1" applyFont="1" applyBorder="1">
      <alignment vertical="center"/>
    </xf>
    <xf numFmtId="179" fontId="34" fillId="0" borderId="194" xfId="0" applyNumberFormat="1" applyFont="1" applyBorder="1">
      <alignment vertical="center"/>
    </xf>
    <xf numFmtId="179" fontId="34" fillId="0" borderId="196" xfId="0" applyNumberFormat="1" applyFont="1" applyBorder="1">
      <alignment vertical="center"/>
    </xf>
    <xf numFmtId="179" fontId="34" fillId="0" borderId="195" xfId="0" applyNumberFormat="1" applyFont="1" applyBorder="1">
      <alignment vertical="center"/>
    </xf>
    <xf numFmtId="181" fontId="30" fillId="0" borderId="196" xfId="0" applyNumberFormat="1" applyFont="1" applyBorder="1">
      <alignment vertical="center"/>
    </xf>
    <xf numFmtId="179" fontId="34" fillId="0" borderId="251" xfId="0" applyNumberFormat="1" applyFont="1" applyBorder="1">
      <alignment vertical="center"/>
    </xf>
    <xf numFmtId="179" fontId="30" fillId="0" borderId="192" xfId="0" applyNumberFormat="1" applyFont="1" applyBorder="1">
      <alignment vertical="center"/>
    </xf>
    <xf numFmtId="41" fontId="30" fillId="0" borderId="199" xfId="0" applyNumberFormat="1" applyFont="1" applyBorder="1">
      <alignment vertical="center"/>
    </xf>
    <xf numFmtId="179" fontId="30" fillId="0" borderId="200" xfId="0" applyNumberFormat="1" applyFont="1" applyBorder="1">
      <alignment vertical="center"/>
    </xf>
    <xf numFmtId="179" fontId="30" fillId="0" borderId="201" xfId="0" applyNumberFormat="1" applyFont="1" applyBorder="1">
      <alignment vertical="center"/>
    </xf>
    <xf numFmtId="179" fontId="30" fillId="0" borderId="202" xfId="0" applyNumberFormat="1" applyFont="1" applyBorder="1">
      <alignment vertical="center"/>
    </xf>
    <xf numFmtId="179" fontId="34" fillId="0" borderId="204" xfId="0" applyNumberFormat="1" applyFont="1" applyBorder="1">
      <alignment vertical="center"/>
    </xf>
    <xf numFmtId="41" fontId="34" fillId="0" borderId="252" xfId="1" applyFont="1" applyBorder="1">
      <alignment vertical="center"/>
    </xf>
    <xf numFmtId="41" fontId="34" fillId="0" borderId="205" xfId="1" applyFont="1" applyBorder="1">
      <alignment vertical="center"/>
    </xf>
    <xf numFmtId="41" fontId="34" fillId="0" borderId="207" xfId="1" applyFont="1" applyBorder="1">
      <alignment vertical="center"/>
    </xf>
    <xf numFmtId="41" fontId="34" fillId="0" borderId="206" xfId="1" applyFont="1" applyBorder="1">
      <alignment vertical="center"/>
    </xf>
    <xf numFmtId="41" fontId="34" fillId="0" borderId="194" xfId="1" applyFont="1" applyBorder="1">
      <alignment vertical="center"/>
    </xf>
    <xf numFmtId="41" fontId="30" fillId="0" borderId="204" xfId="0" applyNumberFormat="1" applyFont="1" applyBorder="1">
      <alignment vertical="center"/>
    </xf>
    <xf numFmtId="41" fontId="30" fillId="0" borderId="205" xfId="0" applyNumberFormat="1" applyFont="1" applyBorder="1">
      <alignment vertical="center"/>
    </xf>
    <xf numFmtId="41" fontId="34" fillId="0" borderId="203" xfId="0" applyNumberFormat="1" applyFont="1" applyBorder="1">
      <alignment vertical="center"/>
    </xf>
    <xf numFmtId="179" fontId="34" fillId="0" borderId="253" xfId="0" applyNumberFormat="1" applyFont="1" applyBorder="1">
      <alignment vertical="center"/>
    </xf>
    <xf numFmtId="41" fontId="30" fillId="0" borderId="208" xfId="0" applyNumberFormat="1" applyFont="1" applyBorder="1">
      <alignment vertical="center"/>
    </xf>
    <xf numFmtId="179" fontId="30" fillId="0" borderId="203" xfId="0" applyNumberFormat="1" applyFont="1" applyBorder="1">
      <alignment vertical="center"/>
    </xf>
    <xf numFmtId="41" fontId="30" fillId="0" borderId="212" xfId="0" applyNumberFormat="1" applyFont="1" applyBorder="1">
      <alignment vertical="center"/>
    </xf>
    <xf numFmtId="41" fontId="30" fillId="0" borderId="213" xfId="1" applyFont="1" applyBorder="1">
      <alignment vertical="center"/>
    </xf>
    <xf numFmtId="41" fontId="30" fillId="0" borderId="126" xfId="1" applyFont="1" applyBorder="1">
      <alignment vertical="center"/>
    </xf>
    <xf numFmtId="179" fontId="30" fillId="0" borderId="214" xfId="0" applyNumberFormat="1" applyFont="1" applyBorder="1">
      <alignment vertical="center"/>
    </xf>
    <xf numFmtId="179" fontId="34" fillId="0" borderId="127" xfId="0" applyNumberFormat="1" applyFont="1" applyBorder="1">
      <alignment vertical="center"/>
    </xf>
    <xf numFmtId="41" fontId="34" fillId="0" borderId="254" xfId="1" applyFont="1" applyBorder="1">
      <alignment vertical="center"/>
    </xf>
    <xf numFmtId="41" fontId="34" fillId="0" borderId="255" xfId="1" applyFont="1" applyBorder="1">
      <alignment vertical="center"/>
    </xf>
    <xf numFmtId="41" fontId="34" fillId="0" borderId="256" xfId="1" applyFont="1" applyBorder="1">
      <alignment vertical="center"/>
    </xf>
    <xf numFmtId="41" fontId="34" fillId="0" borderId="257" xfId="1" applyFont="1" applyBorder="1">
      <alignment vertical="center"/>
    </xf>
    <xf numFmtId="41" fontId="30" fillId="0" borderId="258" xfId="0" applyNumberFormat="1" applyFont="1" applyBorder="1">
      <alignment vertical="center"/>
    </xf>
    <xf numFmtId="41" fontId="34" fillId="0" borderId="259" xfId="1" applyFont="1" applyBorder="1">
      <alignment vertical="center"/>
    </xf>
    <xf numFmtId="41" fontId="30" fillId="0" borderId="260" xfId="1" applyFont="1" applyBorder="1">
      <alignment vertical="center"/>
    </xf>
    <xf numFmtId="179" fontId="30" fillId="0" borderId="261" xfId="0" applyNumberFormat="1" applyFont="1" applyBorder="1">
      <alignment vertical="center"/>
    </xf>
    <xf numFmtId="179" fontId="34" fillId="0" borderId="262" xfId="0" applyNumberFormat="1" applyFont="1" applyBorder="1">
      <alignment vertical="center"/>
    </xf>
    <xf numFmtId="41" fontId="30" fillId="0" borderId="127" xfId="0" applyNumberFormat="1" applyFont="1" applyBorder="1">
      <alignment vertical="center"/>
    </xf>
    <xf numFmtId="41" fontId="30" fillId="0" borderId="215" xfId="0" applyNumberFormat="1" applyFont="1" applyBorder="1">
      <alignment vertical="center"/>
    </xf>
    <xf numFmtId="41" fontId="34" fillId="0" borderId="128" xfId="0" applyNumberFormat="1" applyFont="1" applyBorder="1">
      <alignment vertical="center"/>
    </xf>
    <xf numFmtId="41" fontId="30" fillId="0" borderId="225" xfId="0" applyNumberFormat="1" applyFont="1" applyBorder="1">
      <alignment vertical="center"/>
    </xf>
    <xf numFmtId="179" fontId="30" fillId="0" borderId="128" xfId="0" applyNumberFormat="1" applyFont="1" applyBorder="1">
      <alignment vertical="center"/>
    </xf>
    <xf numFmtId="179" fontId="25" fillId="3" borderId="270" xfId="0" applyNumberFormat="1" applyFont="1" applyFill="1" applyBorder="1">
      <alignment vertical="center"/>
    </xf>
    <xf numFmtId="181" fontId="32" fillId="4" borderId="144" xfId="0" applyNumberFormat="1" applyFont="1" applyFill="1" applyBorder="1">
      <alignment vertical="center"/>
    </xf>
    <xf numFmtId="181" fontId="32" fillId="4" borderId="143" xfId="0" applyNumberFormat="1" applyFont="1" applyFill="1" applyBorder="1">
      <alignment vertical="center"/>
    </xf>
    <xf numFmtId="9" fontId="32" fillId="3" borderId="151" xfId="2" applyFont="1" applyFill="1" applyBorder="1">
      <alignment vertical="center"/>
    </xf>
    <xf numFmtId="179" fontId="30" fillId="8" borderId="142" xfId="0" applyNumberFormat="1" applyFont="1" applyFill="1" applyBorder="1">
      <alignment vertical="center"/>
    </xf>
    <xf numFmtId="181" fontId="34" fillId="8" borderId="114" xfId="0" applyNumberFormat="1" applyFont="1" applyFill="1" applyBorder="1">
      <alignment vertical="center"/>
    </xf>
    <xf numFmtId="179" fontId="34" fillId="8" borderId="0" xfId="0" applyNumberFormat="1" applyFont="1" applyFill="1">
      <alignment vertical="center"/>
    </xf>
    <xf numFmtId="9" fontId="35" fillId="8" borderId="157" xfId="2" applyFont="1" applyFill="1" applyBorder="1">
      <alignment vertical="center"/>
    </xf>
    <xf numFmtId="9" fontId="31" fillId="0" borderId="167" xfId="2" applyFont="1" applyBorder="1">
      <alignment vertical="center"/>
    </xf>
    <xf numFmtId="181" fontId="34" fillId="0" borderId="174" xfId="0" applyNumberFormat="1" applyFont="1" applyBorder="1">
      <alignment vertical="center"/>
    </xf>
    <xf numFmtId="181" fontId="34" fillId="0" borderId="175" xfId="0" applyNumberFormat="1" applyFont="1" applyBorder="1">
      <alignment vertical="center"/>
    </xf>
    <xf numFmtId="9" fontId="31" fillId="0" borderId="177" xfId="2" applyFont="1" applyBorder="1">
      <alignment vertical="center"/>
    </xf>
    <xf numFmtId="179" fontId="34" fillId="8" borderId="182" xfId="0" applyNumberFormat="1" applyFont="1" applyFill="1" applyBorder="1">
      <alignment vertical="center"/>
    </xf>
    <xf numFmtId="9" fontId="35" fillId="8" borderId="124" xfId="2" applyFont="1" applyFill="1" applyBorder="1">
      <alignment vertical="center"/>
    </xf>
    <xf numFmtId="9" fontId="35" fillId="0" borderId="167" xfId="2" applyFont="1" applyBorder="1">
      <alignment vertical="center"/>
    </xf>
    <xf numFmtId="41" fontId="30" fillId="0" borderId="0" xfId="1" applyFont="1" applyBorder="1">
      <alignment vertical="center"/>
    </xf>
    <xf numFmtId="41" fontId="34" fillId="0" borderId="114" xfId="1" applyFont="1" applyBorder="1">
      <alignment vertical="center"/>
    </xf>
    <xf numFmtId="41" fontId="34" fillId="0" borderId="0" xfId="1" applyFont="1" applyBorder="1">
      <alignment vertical="center"/>
    </xf>
    <xf numFmtId="9" fontId="35" fillId="0" borderId="157" xfId="2" applyFont="1" applyBorder="1">
      <alignment vertical="center"/>
    </xf>
    <xf numFmtId="179" fontId="30" fillId="8" borderId="118" xfId="0" applyNumberFormat="1" applyFont="1" applyFill="1" applyBorder="1">
      <alignment vertical="center"/>
    </xf>
    <xf numFmtId="181" fontId="34" fillId="8" borderId="153" xfId="0" applyNumberFormat="1" applyFont="1" applyFill="1" applyBorder="1">
      <alignment vertical="center"/>
    </xf>
    <xf numFmtId="9" fontId="31" fillId="8" borderId="124" xfId="2" applyFont="1" applyFill="1" applyBorder="1">
      <alignment vertical="center"/>
    </xf>
    <xf numFmtId="9" fontId="31" fillId="0" borderId="196" xfId="2" applyFont="1" applyBorder="1">
      <alignment vertical="center"/>
    </xf>
    <xf numFmtId="41" fontId="34" fillId="0" borderId="192" xfId="0" applyNumberFormat="1" applyFont="1" applyBorder="1">
      <alignment vertical="center"/>
    </xf>
    <xf numFmtId="181" fontId="34" fillId="0" borderId="203" xfId="0" applyNumberFormat="1" applyFont="1" applyBorder="1">
      <alignment vertical="center"/>
    </xf>
    <xf numFmtId="183" fontId="34" fillId="0" borderId="203" xfId="0" applyNumberFormat="1" applyFont="1" applyBorder="1">
      <alignment vertical="center"/>
    </xf>
    <xf numFmtId="41" fontId="34" fillId="0" borderId="204" xfId="0" applyNumberFormat="1" applyFont="1" applyBorder="1">
      <alignment vertical="center"/>
    </xf>
    <xf numFmtId="9" fontId="35" fillId="0" borderId="207" xfId="2" applyFont="1" applyBorder="1">
      <alignment vertical="center"/>
    </xf>
    <xf numFmtId="181" fontId="34" fillId="0" borderId="128" xfId="0" applyNumberFormat="1" applyFont="1" applyBorder="1">
      <alignment vertical="center"/>
    </xf>
    <xf numFmtId="183" fontId="34" fillId="0" borderId="128" xfId="0" applyNumberFormat="1" applyFont="1" applyBorder="1">
      <alignment vertical="center"/>
    </xf>
    <xf numFmtId="181" fontId="34" fillId="0" borderId="127" xfId="0" applyNumberFormat="1" applyFont="1" applyBorder="1">
      <alignment vertical="center"/>
    </xf>
    <xf numFmtId="9" fontId="34" fillId="0" borderId="268" xfId="2" applyFont="1" applyBorder="1">
      <alignment vertical="center"/>
    </xf>
    <xf numFmtId="0" fontId="30" fillId="0" borderId="169" xfId="0" applyFont="1" applyBorder="1">
      <alignment vertical="center"/>
    </xf>
    <xf numFmtId="0" fontId="30" fillId="0" borderId="159" xfId="0" applyFont="1" applyBorder="1">
      <alignment vertical="center"/>
    </xf>
    <xf numFmtId="0" fontId="30" fillId="0" borderId="187" xfId="0" applyFont="1" applyBorder="1">
      <alignment vertical="center"/>
    </xf>
    <xf numFmtId="0" fontId="30" fillId="0" borderId="211" xfId="0" applyFont="1" applyBorder="1">
      <alignment vertical="center"/>
    </xf>
    <xf numFmtId="181" fontId="36" fillId="4" borderId="144" xfId="0" applyNumberFormat="1" applyFont="1" applyFill="1" applyBorder="1">
      <alignment vertical="center"/>
    </xf>
    <xf numFmtId="0" fontId="34" fillId="0" borderId="159" xfId="0" applyFont="1" applyBorder="1">
      <alignment vertical="center"/>
    </xf>
    <xf numFmtId="0" fontId="34" fillId="0" borderId="184" xfId="0" applyFont="1" applyBorder="1">
      <alignment vertical="center"/>
    </xf>
    <xf numFmtId="0" fontId="34" fillId="0" borderId="198" xfId="0" applyFont="1" applyBorder="1">
      <alignment vertical="center"/>
    </xf>
    <xf numFmtId="0" fontId="37" fillId="0" borderId="0" xfId="0" applyFont="1">
      <alignment vertical="center"/>
    </xf>
    <xf numFmtId="0" fontId="24" fillId="5" borderId="239" xfId="0" applyFont="1" applyFill="1" applyBorder="1" applyAlignment="1">
      <alignment horizontal="center" vertical="center" wrapText="1"/>
    </xf>
    <xf numFmtId="0" fontId="24" fillId="5" borderId="136" xfId="0" applyFont="1" applyFill="1" applyBorder="1" applyAlignment="1">
      <alignment horizontal="center" vertical="center" wrapText="1"/>
    </xf>
    <xf numFmtId="0" fontId="24" fillId="5" borderId="137" xfId="0" applyFont="1" applyFill="1" applyBorder="1" applyAlignment="1">
      <alignment horizontal="center" vertical="center" wrapText="1"/>
    </xf>
    <xf numFmtId="0" fontId="24" fillId="5" borderId="135"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38" fillId="0" borderId="159" xfId="0" applyFont="1" applyBorder="1">
      <alignment vertical="center"/>
    </xf>
    <xf numFmtId="0" fontId="37" fillId="0" borderId="169" xfId="0" applyFont="1" applyBorder="1">
      <alignment vertical="center"/>
    </xf>
    <xf numFmtId="0" fontId="37" fillId="0" borderId="159" xfId="0" applyFont="1" applyBorder="1">
      <alignment vertical="center"/>
    </xf>
    <xf numFmtId="0" fontId="38" fillId="0" borderId="184" xfId="0" applyFont="1" applyBorder="1">
      <alignment vertical="center"/>
    </xf>
    <xf numFmtId="0" fontId="37" fillId="0" borderId="187" xfId="0" applyFont="1" applyBorder="1">
      <alignment vertical="center"/>
    </xf>
    <xf numFmtId="0" fontId="38" fillId="0" borderId="198" xfId="0" applyFont="1" applyBorder="1">
      <alignment vertical="center"/>
    </xf>
    <xf numFmtId="0" fontId="23" fillId="0" borderId="0" xfId="0" applyFont="1" applyAlignment="1">
      <alignment horizontal="center" vertical="center"/>
    </xf>
    <xf numFmtId="179" fontId="30" fillId="0" borderId="101" xfId="0" applyNumberFormat="1" applyFont="1" applyBorder="1">
      <alignment vertical="center"/>
    </xf>
    <xf numFmtId="179" fontId="30" fillId="0" borderId="194" xfId="0" applyNumberFormat="1" applyFont="1" applyBorder="1">
      <alignment vertical="center"/>
    </xf>
    <xf numFmtId="179" fontId="30" fillId="0" borderId="205" xfId="0" applyNumberFormat="1" applyFont="1" applyBorder="1">
      <alignment vertical="center"/>
    </xf>
    <xf numFmtId="179" fontId="30" fillId="0" borderId="255" xfId="1" applyNumberFormat="1" applyFont="1" applyBorder="1">
      <alignment vertical="center"/>
    </xf>
    <xf numFmtId="179" fontId="34" fillId="0" borderId="205" xfId="1" applyNumberFormat="1" applyFont="1" applyBorder="1">
      <alignment vertical="center"/>
    </xf>
    <xf numFmtId="179" fontId="34" fillId="0" borderId="255" xfId="1" applyNumberFormat="1" applyFont="1" applyBorder="1">
      <alignment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30" fillId="0" borderId="220" xfId="0" applyFont="1" applyBorder="1">
      <alignment vertical="center"/>
    </xf>
    <xf numFmtId="0" fontId="30" fillId="0" borderId="221" xfId="0" applyFont="1" applyBorder="1">
      <alignment vertical="center"/>
    </xf>
    <xf numFmtId="0" fontId="25" fillId="11" borderId="219" xfId="0" applyFont="1" applyFill="1" applyBorder="1" applyAlignment="1">
      <alignment horizontal="left" vertical="center"/>
    </xf>
    <xf numFmtId="0" fontId="25" fillId="11" borderId="220" xfId="0" applyFont="1" applyFill="1" applyBorder="1" applyAlignment="1">
      <alignment horizontal="left" vertical="center"/>
    </xf>
    <xf numFmtId="0" fontId="25" fillId="11" borderId="220" xfId="0" applyFont="1" applyFill="1" applyBorder="1">
      <alignment vertical="center"/>
    </xf>
    <xf numFmtId="0" fontId="25" fillId="11" borderId="221" xfId="0" applyFont="1" applyFill="1" applyBorder="1">
      <alignment vertical="center"/>
    </xf>
    <xf numFmtId="0" fontId="30" fillId="0" borderId="0" xfId="0" applyFont="1" applyAlignment="1">
      <alignment horizontal="right"/>
    </xf>
    <xf numFmtId="0" fontId="25" fillId="0" borderId="142" xfId="0" applyFont="1" applyBorder="1">
      <alignment vertical="center"/>
    </xf>
    <xf numFmtId="0" fontId="30" fillId="0" borderId="142" xfId="0" applyFont="1" applyBorder="1">
      <alignment vertical="center"/>
    </xf>
    <xf numFmtId="0" fontId="0" fillId="0" borderId="282" xfId="0" applyBorder="1">
      <alignment vertical="center"/>
    </xf>
    <xf numFmtId="0" fontId="28" fillId="0" borderId="282" xfId="0" applyFont="1" applyBorder="1">
      <alignment vertical="center"/>
    </xf>
    <xf numFmtId="0" fontId="22" fillId="0" borderId="282" xfId="0" applyFont="1" applyBorder="1">
      <alignment vertical="center"/>
    </xf>
    <xf numFmtId="0" fontId="21" fillId="0" borderId="282" xfId="0" applyFont="1" applyBorder="1">
      <alignment vertical="center"/>
    </xf>
    <xf numFmtId="0" fontId="0" fillId="0" borderId="282" xfId="0" applyBorder="1" applyAlignment="1">
      <alignment horizontal="center" vertical="center"/>
    </xf>
    <xf numFmtId="41" fontId="0" fillId="0" borderId="5" xfId="45" applyFont="1" applyFill="1" applyBorder="1">
      <alignment vertical="center"/>
    </xf>
    <xf numFmtId="0" fontId="19" fillId="0" borderId="0" xfId="0" applyFont="1">
      <alignment vertical="center"/>
    </xf>
    <xf numFmtId="0" fontId="0" fillId="0" borderId="0" xfId="0" applyAlignment="1">
      <alignment horizontal="right" vertical="center"/>
    </xf>
    <xf numFmtId="0" fontId="18" fillId="0" borderId="0" xfId="0" applyFont="1">
      <alignment vertical="center"/>
    </xf>
    <xf numFmtId="43" fontId="18" fillId="0" borderId="0" xfId="0" applyNumberFormat="1" applyFont="1">
      <alignment vertical="center"/>
    </xf>
    <xf numFmtId="185" fontId="18" fillId="0" borderId="0" xfId="0" applyNumberFormat="1" applyFont="1">
      <alignment vertical="center"/>
    </xf>
    <xf numFmtId="179" fontId="0" fillId="0" borderId="0" xfId="0" applyNumberFormat="1">
      <alignment vertical="center"/>
    </xf>
    <xf numFmtId="41" fontId="0" fillId="0" borderId="17" xfId="1" applyFont="1" applyBorder="1">
      <alignment vertical="center"/>
    </xf>
    <xf numFmtId="186" fontId="0" fillId="0" borderId="0" xfId="0" applyNumberFormat="1">
      <alignment vertical="center"/>
    </xf>
    <xf numFmtId="0" fontId="30" fillId="0" borderId="220" xfId="0" applyFont="1" applyBorder="1" applyAlignment="1">
      <alignment vertical="top" wrapText="1"/>
    </xf>
    <xf numFmtId="180" fontId="0" fillId="0" borderId="0" xfId="0" applyNumberFormat="1">
      <alignment vertical="center"/>
    </xf>
    <xf numFmtId="0" fontId="28" fillId="0" borderId="0" xfId="0" applyFont="1">
      <alignment vertical="center"/>
    </xf>
    <xf numFmtId="0" fontId="40" fillId="0" borderId="0" xfId="0" applyFont="1">
      <alignment vertical="center"/>
    </xf>
    <xf numFmtId="0" fontId="30" fillId="0" borderId="221" xfId="0" applyFont="1" applyBorder="1" applyAlignment="1">
      <alignment vertical="top" wrapText="1"/>
    </xf>
    <xf numFmtId="0" fontId="25" fillId="2" borderId="220" xfId="0" applyFont="1" applyFill="1" applyBorder="1">
      <alignment vertical="center"/>
    </xf>
    <xf numFmtId="0" fontId="25" fillId="2" borderId="221" xfId="0" applyFont="1" applyFill="1" applyBorder="1">
      <alignment vertical="center"/>
    </xf>
    <xf numFmtId="0" fontId="30" fillId="0" borderId="0" xfId="0" applyFont="1" applyAlignment="1">
      <alignment vertical="top" wrapText="1"/>
    </xf>
    <xf numFmtId="0" fontId="41" fillId="0" borderId="0" xfId="0" applyFont="1">
      <alignment vertical="center"/>
    </xf>
    <xf numFmtId="179" fontId="18" fillId="0" borderId="0" xfId="0" applyNumberFormat="1" applyFont="1">
      <alignment vertical="center"/>
    </xf>
    <xf numFmtId="41" fontId="0" fillId="0" borderId="0" xfId="1" applyFont="1" applyFill="1">
      <alignment vertical="center"/>
    </xf>
    <xf numFmtId="179" fontId="42" fillId="3" borderId="145" xfId="0" applyNumberFormat="1" applyFont="1" applyFill="1" applyBorder="1">
      <alignment vertical="center"/>
    </xf>
    <xf numFmtId="179" fontId="42" fillId="3" borderId="146" xfId="0" applyNumberFormat="1" applyFont="1" applyFill="1" applyBorder="1">
      <alignment vertical="center"/>
    </xf>
    <xf numFmtId="179" fontId="42" fillId="3" borderId="149" xfId="0" applyNumberFormat="1" applyFont="1" applyFill="1" applyBorder="1">
      <alignment vertical="center"/>
    </xf>
    <xf numFmtId="179" fontId="43" fillId="4" borderId="151" xfId="0" applyNumberFormat="1" applyFont="1" applyFill="1" applyBorder="1">
      <alignment vertical="center"/>
    </xf>
    <xf numFmtId="179" fontId="42" fillId="3" borderId="150" xfId="0" applyNumberFormat="1" applyFont="1" applyFill="1" applyBorder="1">
      <alignment vertical="center"/>
    </xf>
    <xf numFmtId="179" fontId="42" fillId="3" borderId="143" xfId="0" applyNumberFormat="1" applyFont="1" applyFill="1" applyBorder="1">
      <alignment vertical="center"/>
    </xf>
    <xf numFmtId="179" fontId="44" fillId="8" borderId="115" xfId="0" applyNumberFormat="1" applyFont="1" applyFill="1" applyBorder="1">
      <alignment vertical="center"/>
    </xf>
    <xf numFmtId="179" fontId="44" fillId="8" borderId="116" xfId="0" applyNumberFormat="1" applyFont="1" applyFill="1" applyBorder="1">
      <alignment vertical="center"/>
    </xf>
    <xf numFmtId="179" fontId="44" fillId="8" borderId="155" xfId="0" applyNumberFormat="1" applyFont="1" applyFill="1" applyBorder="1">
      <alignment vertical="center"/>
    </xf>
    <xf numFmtId="179" fontId="44" fillId="8" borderId="157" xfId="0" applyNumberFormat="1" applyFont="1" applyFill="1" applyBorder="1">
      <alignment vertical="center"/>
    </xf>
    <xf numFmtId="179" fontId="44" fillId="8" borderId="156" xfId="0" applyNumberFormat="1" applyFont="1" applyFill="1" applyBorder="1">
      <alignment vertical="center"/>
    </xf>
    <xf numFmtId="179" fontId="44" fillId="0" borderId="160" xfId="0" applyNumberFormat="1" applyFont="1" applyBorder="1">
      <alignment vertical="center"/>
    </xf>
    <xf numFmtId="179" fontId="44" fillId="0" borderId="161" xfId="0" applyNumberFormat="1" applyFont="1" applyBorder="1">
      <alignment vertical="center"/>
    </xf>
    <xf numFmtId="179" fontId="45" fillId="0" borderId="101" xfId="0" applyNumberFormat="1" applyFont="1" applyBorder="1">
      <alignment vertical="center"/>
    </xf>
    <xf numFmtId="179" fontId="45" fillId="0" borderId="167" xfId="0" applyNumberFormat="1" applyFont="1" applyBorder="1">
      <alignment vertical="center"/>
    </xf>
    <xf numFmtId="179" fontId="45" fillId="0" borderId="166" xfId="0" applyNumberFormat="1" applyFont="1" applyBorder="1">
      <alignment vertical="center"/>
    </xf>
    <xf numFmtId="41" fontId="45" fillId="0" borderId="101" xfId="1" applyFont="1" applyBorder="1">
      <alignment vertical="center"/>
    </xf>
    <xf numFmtId="41" fontId="44" fillId="0" borderId="165" xfId="0" applyNumberFormat="1" applyFont="1" applyBorder="1">
      <alignment vertical="center"/>
    </xf>
    <xf numFmtId="41" fontId="44" fillId="0" borderId="101" xfId="0" applyNumberFormat="1" applyFont="1" applyBorder="1">
      <alignment vertical="center"/>
    </xf>
    <xf numFmtId="41" fontId="44" fillId="0" borderId="170" xfId="0" applyNumberFormat="1" applyFont="1" applyBorder="1">
      <alignment vertical="center"/>
    </xf>
    <xf numFmtId="179" fontId="44" fillId="0" borderId="171" xfId="0" applyNumberFormat="1" applyFont="1" applyBorder="1">
      <alignment vertical="center"/>
    </xf>
    <xf numFmtId="41" fontId="45" fillId="0" borderId="102" xfId="1" applyFont="1" applyBorder="1">
      <alignment vertical="center"/>
    </xf>
    <xf numFmtId="41" fontId="45" fillId="0" borderId="177" xfId="1" applyFont="1" applyBorder="1">
      <alignment vertical="center"/>
    </xf>
    <xf numFmtId="41" fontId="45" fillId="0" borderId="176" xfId="1" applyFont="1" applyBorder="1">
      <alignment vertical="center"/>
    </xf>
    <xf numFmtId="41" fontId="44" fillId="0" borderId="175" xfId="0" applyNumberFormat="1" applyFont="1" applyBorder="1">
      <alignment vertical="center"/>
    </xf>
    <xf numFmtId="41" fontId="44" fillId="0" borderId="102" xfId="0" applyNumberFormat="1" applyFont="1" applyBorder="1">
      <alignment vertical="center"/>
    </xf>
    <xf numFmtId="179" fontId="44" fillId="8" borderId="179" xfId="0" applyNumberFormat="1" applyFont="1" applyFill="1" applyBorder="1">
      <alignment vertical="center"/>
    </xf>
    <xf numFmtId="179" fontId="44" fillId="8" borderId="180" xfId="0" applyNumberFormat="1" applyFont="1" applyFill="1" applyBorder="1">
      <alignment vertical="center"/>
    </xf>
    <xf numFmtId="179" fontId="44" fillId="8" borderId="182" xfId="0" applyNumberFormat="1" applyFont="1" applyFill="1" applyBorder="1">
      <alignment vertical="center"/>
    </xf>
    <xf numFmtId="179" fontId="44" fillId="8" borderId="123" xfId="0" applyNumberFormat="1" applyFont="1" applyFill="1" applyBorder="1">
      <alignment vertical="center"/>
    </xf>
    <xf numFmtId="41" fontId="44" fillId="0" borderId="160" xfId="0" applyNumberFormat="1" applyFont="1" applyBorder="1">
      <alignment vertical="center"/>
    </xf>
    <xf numFmtId="181" fontId="45" fillId="0" borderId="167" xfId="0" applyNumberFormat="1" applyFont="1" applyBorder="1">
      <alignment vertical="center"/>
    </xf>
    <xf numFmtId="181" fontId="45" fillId="0" borderId="166" xfId="0" applyNumberFormat="1" applyFont="1" applyBorder="1">
      <alignment vertical="center"/>
    </xf>
    <xf numFmtId="41" fontId="44" fillId="0" borderId="115" xfId="1" applyFont="1" applyBorder="1">
      <alignment vertical="center"/>
    </xf>
    <xf numFmtId="179" fontId="44" fillId="0" borderId="116" xfId="0" applyNumberFormat="1" applyFont="1" applyBorder="1">
      <alignment vertical="center"/>
    </xf>
    <xf numFmtId="179" fontId="45" fillId="0" borderId="155" xfId="0" applyNumberFormat="1" applyFont="1" applyBorder="1">
      <alignment vertical="center"/>
    </xf>
    <xf numFmtId="179" fontId="45" fillId="0" borderId="157" xfId="0" applyNumberFormat="1" applyFont="1" applyBorder="1">
      <alignment vertical="center"/>
    </xf>
    <xf numFmtId="179" fontId="45" fillId="0" borderId="156" xfId="0" applyNumberFormat="1" applyFont="1" applyBorder="1">
      <alignment vertical="center"/>
    </xf>
    <xf numFmtId="41" fontId="44" fillId="0" borderId="155" xfId="1" applyFont="1" applyBorder="1">
      <alignment vertical="center"/>
    </xf>
    <xf numFmtId="179" fontId="44" fillId="8" borderId="124" xfId="0" applyNumberFormat="1" applyFont="1" applyFill="1" applyBorder="1">
      <alignment vertical="center"/>
    </xf>
    <xf numFmtId="179" fontId="44" fillId="8" borderId="185" xfId="0" applyNumberFormat="1" applyFont="1" applyFill="1" applyBorder="1">
      <alignment vertical="center"/>
    </xf>
    <xf numFmtId="41" fontId="44" fillId="0" borderId="101" xfId="1" applyFont="1" applyBorder="1">
      <alignment vertical="center"/>
    </xf>
    <xf numFmtId="41" fontId="44" fillId="0" borderId="188" xfId="0" applyNumberFormat="1" applyFont="1" applyBorder="1">
      <alignment vertical="center"/>
    </xf>
    <xf numFmtId="179" fontId="44" fillId="0" borderId="189" xfId="0" applyNumberFormat="1" applyFont="1" applyBorder="1">
      <alignment vertical="center"/>
    </xf>
    <xf numFmtId="181" fontId="45" fillId="0" borderId="196" xfId="0" applyNumberFormat="1" applyFont="1" applyBorder="1">
      <alignment vertical="center"/>
    </xf>
    <xf numFmtId="181" fontId="45" fillId="0" borderId="195" xfId="0" applyNumberFormat="1" applyFont="1" applyBorder="1">
      <alignment vertical="center"/>
    </xf>
    <xf numFmtId="41" fontId="44" fillId="0" borderId="193" xfId="0" applyNumberFormat="1" applyFont="1" applyBorder="1">
      <alignment vertical="center"/>
    </xf>
    <xf numFmtId="41" fontId="44" fillId="0" borderId="194" xfId="0" applyNumberFormat="1" applyFont="1" applyBorder="1">
      <alignment vertical="center"/>
    </xf>
    <xf numFmtId="179" fontId="45" fillId="0" borderId="196" xfId="0" applyNumberFormat="1" applyFont="1" applyBorder="1">
      <alignment vertical="center"/>
    </xf>
    <xf numFmtId="179" fontId="45" fillId="0" borderId="195" xfId="0" applyNumberFormat="1" applyFont="1" applyBorder="1">
      <alignment vertical="center"/>
    </xf>
    <xf numFmtId="181" fontId="44" fillId="0" borderId="196" xfId="0" applyNumberFormat="1" applyFont="1" applyBorder="1">
      <alignment vertical="center"/>
    </xf>
    <xf numFmtId="41" fontId="44" fillId="0" borderId="199" xfId="0" applyNumberFormat="1" applyFont="1" applyBorder="1">
      <alignment vertical="center"/>
    </xf>
    <xf numFmtId="179" fontId="44" fillId="0" borderId="200" xfId="0" applyNumberFormat="1" applyFont="1" applyBorder="1">
      <alignment vertical="center"/>
    </xf>
    <xf numFmtId="41" fontId="45" fillId="0" borderId="207" xfId="1" applyFont="1" applyBorder="1">
      <alignment vertical="center"/>
    </xf>
    <xf numFmtId="41" fontId="45" fillId="0" borderId="206" xfId="1" applyFont="1" applyBorder="1">
      <alignment vertical="center"/>
    </xf>
    <xf numFmtId="41" fontId="44" fillId="0" borderId="204" xfId="0" applyNumberFormat="1" applyFont="1" applyBorder="1">
      <alignment vertical="center"/>
    </xf>
    <xf numFmtId="41" fontId="44" fillId="0" borderId="205" xfId="0" applyNumberFormat="1" applyFont="1" applyBorder="1">
      <alignment vertical="center"/>
    </xf>
    <xf numFmtId="0" fontId="42" fillId="5" borderId="277" xfId="0" applyFont="1" applyFill="1" applyBorder="1" applyAlignment="1">
      <alignment horizontal="center" vertical="center"/>
    </xf>
    <xf numFmtId="41" fontId="28" fillId="0" borderId="0" xfId="0" applyNumberFormat="1" applyFont="1">
      <alignment vertical="center"/>
    </xf>
    <xf numFmtId="43" fontId="28" fillId="0" borderId="0" xfId="0" applyNumberFormat="1" applyFont="1">
      <alignment vertical="center"/>
    </xf>
    <xf numFmtId="0" fontId="3" fillId="8" borderId="142" xfId="0" applyFont="1" applyFill="1" applyBorder="1" applyAlignment="1">
      <alignment horizontal="center" vertical="center"/>
    </xf>
    <xf numFmtId="0" fontId="0" fillId="0" borderId="271" xfId="0" applyBorder="1">
      <alignment vertical="center"/>
    </xf>
    <xf numFmtId="179" fontId="44" fillId="8" borderId="0" xfId="0" applyNumberFormat="1" applyFont="1" applyFill="1">
      <alignment vertical="center"/>
    </xf>
    <xf numFmtId="0" fontId="24" fillId="5" borderId="283" xfId="0" applyFont="1" applyFill="1" applyBorder="1" applyAlignment="1">
      <alignment horizontal="center" vertical="center" wrapText="1"/>
    </xf>
    <xf numFmtId="179" fontId="42" fillId="3" borderId="284" xfId="0" applyNumberFormat="1" applyFont="1" applyFill="1" applyBorder="1">
      <alignment vertical="center"/>
    </xf>
    <xf numFmtId="179" fontId="44" fillId="8" borderId="285" xfId="0" applyNumberFormat="1" applyFont="1" applyFill="1" applyBorder="1">
      <alignment vertical="center"/>
    </xf>
    <xf numFmtId="179" fontId="45" fillId="0" borderId="286" xfId="0" applyNumberFormat="1" applyFont="1" applyBorder="1">
      <alignment vertical="center"/>
    </xf>
    <xf numFmtId="41" fontId="45" fillId="0" borderId="287" xfId="1" applyFont="1" applyBorder="1">
      <alignment vertical="center"/>
    </xf>
    <xf numFmtId="181" fontId="45" fillId="0" borderId="286" xfId="0" applyNumberFormat="1" applyFont="1" applyBorder="1">
      <alignment vertical="center"/>
    </xf>
    <xf numFmtId="179" fontId="45" fillId="0" borderId="285" xfId="0" applyNumberFormat="1" applyFont="1" applyBorder="1">
      <alignment vertical="center"/>
    </xf>
    <xf numFmtId="179" fontId="44" fillId="8" borderId="122" xfId="0" applyNumberFormat="1" applyFont="1" applyFill="1" applyBorder="1">
      <alignment vertical="center"/>
    </xf>
    <xf numFmtId="181" fontId="45" fillId="0" borderId="288" xfId="0" applyNumberFormat="1" applyFont="1" applyBorder="1">
      <alignment vertical="center"/>
    </xf>
    <xf numFmtId="179" fontId="45" fillId="0" borderId="288" xfId="0" applyNumberFormat="1" applyFont="1" applyBorder="1">
      <alignment vertical="center"/>
    </xf>
    <xf numFmtId="41" fontId="45" fillId="0" borderId="289" xfId="1" applyFont="1" applyBorder="1">
      <alignment vertical="center"/>
    </xf>
    <xf numFmtId="41" fontId="44" fillId="0" borderId="0" xfId="0" applyNumberFormat="1" applyFont="1">
      <alignment vertical="center"/>
    </xf>
    <xf numFmtId="0" fontId="24" fillId="5" borderId="293" xfId="0" applyFont="1" applyFill="1" applyBorder="1" applyAlignment="1">
      <alignment horizontal="center" vertical="center" wrapText="1"/>
    </xf>
    <xf numFmtId="179" fontId="42" fillId="3" borderId="294" xfId="0" applyNumberFormat="1" applyFont="1" applyFill="1" applyBorder="1">
      <alignment vertical="center"/>
    </xf>
    <xf numFmtId="179" fontId="44" fillId="8" borderId="295" xfId="0" applyNumberFormat="1" applyFont="1" applyFill="1" applyBorder="1">
      <alignment vertical="center"/>
    </xf>
    <xf numFmtId="179" fontId="45" fillId="0" borderId="296" xfId="0" applyNumberFormat="1" applyFont="1" applyBorder="1">
      <alignment vertical="center"/>
    </xf>
    <xf numFmtId="41" fontId="45" fillId="0" borderId="297" xfId="1" applyFont="1" applyBorder="1">
      <alignment vertical="center"/>
    </xf>
    <xf numFmtId="181" fontId="45" fillId="0" borderId="296" xfId="0" applyNumberFormat="1" applyFont="1" applyBorder="1">
      <alignment vertical="center"/>
    </xf>
    <xf numFmtId="179" fontId="45" fillId="0" borderId="295" xfId="0" applyNumberFormat="1" applyFont="1" applyBorder="1">
      <alignment vertical="center"/>
    </xf>
    <xf numFmtId="179" fontId="44" fillId="8" borderId="298" xfId="0" applyNumberFormat="1" applyFont="1" applyFill="1" applyBorder="1">
      <alignment vertical="center"/>
    </xf>
    <xf numFmtId="181" fontId="45" fillId="0" borderId="299" xfId="0" applyNumberFormat="1" applyFont="1" applyBorder="1">
      <alignment vertical="center"/>
    </xf>
    <xf numFmtId="179" fontId="45" fillId="0" borderId="299" xfId="0" applyNumberFormat="1" applyFont="1" applyBorder="1">
      <alignment vertical="center"/>
    </xf>
    <xf numFmtId="41" fontId="45" fillId="0" borderId="300" xfId="1" applyFont="1" applyBorder="1">
      <alignment vertical="center"/>
    </xf>
    <xf numFmtId="41" fontId="45" fillId="0" borderId="301" xfId="1" applyFont="1" applyBorder="1">
      <alignment vertical="center"/>
    </xf>
    <xf numFmtId="41" fontId="45" fillId="0" borderId="138" xfId="1" applyFont="1" applyBorder="1">
      <alignment vertical="center"/>
    </xf>
    <xf numFmtId="41" fontId="45" fillId="0" borderId="140" xfId="1" applyFont="1" applyBorder="1">
      <alignment vertical="center"/>
    </xf>
    <xf numFmtId="41" fontId="45" fillId="0" borderId="302" xfId="1" applyFont="1" applyBorder="1">
      <alignment vertical="center"/>
    </xf>
    <xf numFmtId="0" fontId="24" fillId="5" borderId="306" xfId="0" applyFont="1" applyFill="1" applyBorder="1" applyAlignment="1">
      <alignment horizontal="center" vertical="center" wrapText="1"/>
    </xf>
    <xf numFmtId="179" fontId="45" fillId="8" borderId="308" xfId="0" applyNumberFormat="1" applyFont="1" applyFill="1" applyBorder="1">
      <alignment vertical="center"/>
    </xf>
    <xf numFmtId="179" fontId="45" fillId="0" borderId="309" xfId="0" applyNumberFormat="1" applyFont="1" applyBorder="1">
      <alignment vertical="center"/>
    </xf>
    <xf numFmtId="41" fontId="45" fillId="0" borderId="310" xfId="1" applyFont="1" applyBorder="1">
      <alignment vertical="center"/>
    </xf>
    <xf numFmtId="179" fontId="45" fillId="8" borderId="311" xfId="0" applyNumberFormat="1" applyFont="1" applyFill="1" applyBorder="1">
      <alignment vertical="center"/>
    </xf>
    <xf numFmtId="181" fontId="45" fillId="0" borderId="309" xfId="0" applyNumberFormat="1" applyFont="1" applyBorder="1">
      <alignment vertical="center"/>
    </xf>
    <xf numFmtId="181" fontId="45" fillId="0" borderId="308" xfId="1" applyNumberFormat="1" applyFont="1" applyBorder="1">
      <alignment vertical="center"/>
    </xf>
    <xf numFmtId="41" fontId="44" fillId="0" borderId="134" xfId="0" applyNumberFormat="1" applyFont="1" applyBorder="1">
      <alignment vertical="center"/>
    </xf>
    <xf numFmtId="179" fontId="42" fillId="3" borderId="319" xfId="0" applyNumberFormat="1" applyFont="1" applyFill="1" applyBorder="1">
      <alignment vertical="center"/>
    </xf>
    <xf numFmtId="179" fontId="42" fillId="3" borderId="320" xfId="0" applyNumberFormat="1" applyFont="1" applyFill="1" applyBorder="1">
      <alignment vertical="center"/>
    </xf>
    <xf numFmtId="179" fontId="44" fillId="8" borderId="321" xfId="0" applyNumberFormat="1" applyFont="1" applyFill="1" applyBorder="1">
      <alignment vertical="center"/>
    </xf>
    <xf numFmtId="179" fontId="44" fillId="8" borderId="278" xfId="0" applyNumberFormat="1" applyFont="1" applyFill="1" applyBorder="1">
      <alignment vertical="center"/>
    </xf>
    <xf numFmtId="41" fontId="44" fillId="0" borderId="322" xfId="0" applyNumberFormat="1" applyFont="1" applyBorder="1">
      <alignment vertical="center"/>
    </xf>
    <xf numFmtId="41" fontId="44" fillId="0" borderId="323" xfId="0" applyNumberFormat="1" applyFont="1" applyBorder="1">
      <alignment vertical="center"/>
    </xf>
    <xf numFmtId="41" fontId="44" fillId="0" borderId="324" xfId="0" applyNumberFormat="1" applyFont="1" applyBorder="1">
      <alignment vertical="center"/>
    </xf>
    <xf numFmtId="41" fontId="44" fillId="0" borderId="325" xfId="0" applyNumberFormat="1" applyFont="1" applyBorder="1">
      <alignment vertical="center"/>
    </xf>
    <xf numFmtId="179" fontId="44" fillId="8" borderId="326" xfId="0" applyNumberFormat="1" applyFont="1" applyFill="1" applyBorder="1">
      <alignment vertical="center"/>
    </xf>
    <xf numFmtId="179" fontId="44" fillId="8" borderId="327" xfId="0" applyNumberFormat="1" applyFont="1" applyFill="1" applyBorder="1">
      <alignment vertical="center"/>
    </xf>
    <xf numFmtId="41" fontId="44" fillId="0" borderId="278" xfId="0" applyNumberFormat="1" applyFont="1" applyBorder="1">
      <alignment vertical="center"/>
    </xf>
    <xf numFmtId="41" fontId="44" fillId="0" borderId="328" xfId="0" applyNumberFormat="1" applyFont="1" applyBorder="1">
      <alignment vertical="center"/>
    </xf>
    <xf numFmtId="41" fontId="44" fillId="0" borderId="329" xfId="0" applyNumberFormat="1" applyFont="1" applyBorder="1">
      <alignment vertical="center"/>
    </xf>
    <xf numFmtId="41" fontId="44" fillId="0" borderId="330" xfId="0" applyNumberFormat="1" applyFont="1" applyBorder="1">
      <alignment vertical="center"/>
    </xf>
    <xf numFmtId="41" fontId="44" fillId="0" borderId="331" xfId="0" applyNumberFormat="1" applyFont="1" applyBorder="1">
      <alignment vertical="center"/>
    </xf>
    <xf numFmtId="41" fontId="44" fillId="0" borderId="317" xfId="0" applyNumberFormat="1" applyFont="1" applyBorder="1">
      <alignment vertical="center"/>
    </xf>
    <xf numFmtId="41" fontId="44" fillId="0" borderId="332" xfId="0" applyNumberFormat="1" applyFont="1" applyBorder="1">
      <alignment vertical="center"/>
    </xf>
    <xf numFmtId="0" fontId="24" fillId="5" borderId="333" xfId="0" applyFont="1" applyFill="1" applyBorder="1" applyAlignment="1">
      <alignment horizontal="center" vertical="center" wrapText="1"/>
    </xf>
    <xf numFmtId="41" fontId="44" fillId="0" borderId="155" xfId="0" applyNumberFormat="1" applyFont="1" applyBorder="1">
      <alignment vertical="center"/>
    </xf>
    <xf numFmtId="41" fontId="44" fillId="0" borderId="139" xfId="0" applyNumberFormat="1" applyFont="1" applyBorder="1">
      <alignment vertical="center"/>
    </xf>
    <xf numFmtId="0" fontId="0" fillId="3" borderId="339" xfId="0" applyFill="1" applyBorder="1">
      <alignment vertical="center"/>
    </xf>
    <xf numFmtId="0" fontId="0" fillId="3" borderId="341" xfId="0" applyFill="1" applyBorder="1">
      <alignment vertical="center"/>
    </xf>
    <xf numFmtId="0" fontId="0" fillId="0" borderId="343" xfId="0" applyBorder="1">
      <alignment vertical="center"/>
    </xf>
    <xf numFmtId="41" fontId="44" fillId="0" borderId="344" xfId="0" applyNumberFormat="1" applyFont="1" applyBorder="1">
      <alignment vertical="center"/>
    </xf>
    <xf numFmtId="41" fontId="44" fillId="0" borderId="345" xfId="1" applyFont="1" applyBorder="1">
      <alignment vertical="center"/>
    </xf>
    <xf numFmtId="179" fontId="42" fillId="3" borderId="303" xfId="0" applyNumberFormat="1" applyFont="1" applyFill="1" applyBorder="1">
      <alignment vertical="center"/>
    </xf>
    <xf numFmtId="179" fontId="43" fillId="4" borderId="307" xfId="0" applyNumberFormat="1" applyFont="1" applyFill="1" applyBorder="1">
      <alignment vertical="center"/>
    </xf>
    <xf numFmtId="179" fontId="44" fillId="8" borderId="339" xfId="0" applyNumberFormat="1" applyFont="1" applyFill="1" applyBorder="1">
      <alignment vertical="center"/>
    </xf>
    <xf numFmtId="179" fontId="44" fillId="0" borderId="349" xfId="0" applyNumberFormat="1" applyFont="1" applyBorder="1">
      <alignment vertical="center"/>
    </xf>
    <xf numFmtId="179" fontId="44" fillId="0" borderId="350" xfId="0" applyNumberFormat="1" applyFont="1" applyBorder="1">
      <alignment vertical="center"/>
    </xf>
    <xf numFmtId="179" fontId="44" fillId="8" borderId="351" xfId="0" applyNumberFormat="1" applyFont="1" applyFill="1" applyBorder="1">
      <alignment vertical="center"/>
    </xf>
    <xf numFmtId="179" fontId="44" fillId="0" borderId="352" xfId="0" applyNumberFormat="1" applyFont="1" applyBorder="1">
      <alignment vertical="center"/>
    </xf>
    <xf numFmtId="179" fontId="44" fillId="0" borderId="353" xfId="0" applyNumberFormat="1" applyFont="1" applyBorder="1">
      <alignment vertical="center"/>
    </xf>
    <xf numFmtId="41" fontId="44" fillId="0" borderId="341" xfId="1" applyFont="1" applyBorder="1">
      <alignment vertical="center"/>
    </xf>
    <xf numFmtId="41" fontId="44" fillId="0" borderId="115" xfId="0" applyNumberFormat="1" applyFont="1" applyBorder="1">
      <alignment vertical="center"/>
    </xf>
    <xf numFmtId="41" fontId="45" fillId="0" borderId="295" xfId="1" applyFont="1" applyBorder="1">
      <alignment vertical="center"/>
    </xf>
    <xf numFmtId="41" fontId="45" fillId="0" borderId="285" xfId="1" applyFont="1" applyBorder="1">
      <alignment vertical="center"/>
    </xf>
    <xf numFmtId="41" fontId="45" fillId="0" borderId="155" xfId="1" applyFont="1" applyBorder="1">
      <alignment vertical="center"/>
    </xf>
    <xf numFmtId="41" fontId="45" fillId="0" borderId="157" xfId="1" applyFont="1" applyBorder="1">
      <alignment vertical="center"/>
    </xf>
    <xf numFmtId="41" fontId="45" fillId="0" borderId="156" xfId="1" applyFont="1" applyBorder="1">
      <alignment vertical="center"/>
    </xf>
    <xf numFmtId="41" fontId="45" fillId="0" borderId="308" xfId="1" applyFont="1" applyBorder="1">
      <alignment vertical="center"/>
    </xf>
    <xf numFmtId="179" fontId="44" fillId="0" borderId="339" xfId="0" applyNumberFormat="1" applyFont="1" applyBorder="1">
      <alignment vertical="center"/>
    </xf>
    <xf numFmtId="41" fontId="44" fillId="0" borderId="321" xfId="0" applyNumberFormat="1" applyFont="1" applyBorder="1">
      <alignment vertical="center"/>
    </xf>
    <xf numFmtId="0" fontId="37" fillId="0" borderId="121" xfId="0" applyFont="1" applyBorder="1">
      <alignment vertical="center"/>
    </xf>
    <xf numFmtId="179" fontId="44" fillId="8" borderId="354" xfId="0" applyNumberFormat="1" applyFont="1" applyFill="1" applyBorder="1">
      <alignment vertical="center"/>
    </xf>
    <xf numFmtId="179" fontId="44" fillId="8" borderId="355" xfId="0" applyNumberFormat="1" applyFont="1" applyFill="1" applyBorder="1">
      <alignment vertical="center"/>
    </xf>
    <xf numFmtId="179" fontId="44" fillId="8" borderId="356" xfId="0" applyNumberFormat="1" applyFont="1" applyFill="1" applyBorder="1">
      <alignment vertical="center"/>
    </xf>
    <xf numFmtId="179" fontId="44" fillId="8" borderId="357" xfId="0" applyNumberFormat="1" applyFont="1" applyFill="1" applyBorder="1">
      <alignment vertical="center"/>
    </xf>
    <xf numFmtId="179" fontId="44" fillId="8" borderId="358" xfId="0" applyNumberFormat="1" applyFont="1" applyFill="1" applyBorder="1">
      <alignment vertical="center"/>
    </xf>
    <xf numFmtId="179" fontId="44" fillId="8" borderId="220" xfId="0" applyNumberFormat="1" applyFont="1" applyFill="1" applyBorder="1">
      <alignment vertical="center"/>
    </xf>
    <xf numFmtId="41" fontId="45" fillId="0" borderId="286" xfId="0" applyNumberFormat="1" applyFont="1" applyBorder="1">
      <alignment vertical="center"/>
    </xf>
    <xf numFmtId="41" fontId="45" fillId="0" borderId="285" xfId="0" applyNumberFormat="1" applyFont="1" applyBorder="1">
      <alignment vertical="center"/>
    </xf>
    <xf numFmtId="41" fontId="45" fillId="0" borderId="286" xfId="1" applyFont="1" applyBorder="1">
      <alignment vertical="center"/>
    </xf>
    <xf numFmtId="41" fontId="45" fillId="0" borderId="288" xfId="1" applyFont="1" applyBorder="1">
      <alignment vertical="center"/>
    </xf>
    <xf numFmtId="41" fontId="43" fillId="4" borderId="307" xfId="1" applyFont="1" applyFill="1" applyBorder="1">
      <alignment vertical="center"/>
    </xf>
    <xf numFmtId="41" fontId="44" fillId="8" borderId="308" xfId="1" applyFont="1" applyFill="1" applyBorder="1">
      <alignment vertical="center"/>
    </xf>
    <xf numFmtId="41" fontId="44" fillId="0" borderId="309" xfId="1" applyFont="1" applyBorder="1">
      <alignment vertical="center"/>
    </xf>
    <xf numFmtId="41" fontId="44" fillId="0" borderId="310" xfId="1" applyFont="1" applyBorder="1">
      <alignment vertical="center"/>
    </xf>
    <xf numFmtId="41" fontId="44" fillId="0" borderId="308" xfId="1" applyFont="1" applyBorder="1">
      <alignment vertical="center"/>
    </xf>
    <xf numFmtId="41" fontId="44" fillId="8" borderId="311" xfId="1" applyFont="1" applyFill="1" applyBorder="1">
      <alignment vertical="center"/>
    </xf>
    <xf numFmtId="41" fontId="44" fillId="0" borderId="312" xfId="1" applyFont="1" applyBorder="1">
      <alignment vertical="center"/>
    </xf>
    <xf numFmtId="41" fontId="44" fillId="0" borderId="313" xfId="1" applyFont="1" applyBorder="1">
      <alignment vertical="center"/>
    </xf>
    <xf numFmtId="41" fontId="44" fillId="0" borderId="314" xfId="1" applyFont="1" applyBorder="1">
      <alignment vertical="center"/>
    </xf>
    <xf numFmtId="180" fontId="42" fillId="0" borderId="221" xfId="1" applyNumberFormat="1" applyFont="1" applyFill="1" applyBorder="1" applyAlignment="1">
      <alignment vertical="center"/>
    </xf>
    <xf numFmtId="180" fontId="42" fillId="5" borderId="221" xfId="1" applyNumberFormat="1" applyFont="1" applyFill="1" applyBorder="1" applyAlignment="1">
      <alignment vertical="center"/>
    </xf>
    <xf numFmtId="180" fontId="42" fillId="0" borderId="220" xfId="1" applyNumberFormat="1" applyFont="1" applyFill="1" applyBorder="1" applyAlignment="1">
      <alignment vertical="center"/>
    </xf>
    <xf numFmtId="180" fontId="42" fillId="5" borderId="220" xfId="1" applyNumberFormat="1" applyFont="1" applyFill="1" applyBorder="1" applyAlignment="1">
      <alignment vertical="center"/>
    </xf>
    <xf numFmtId="0" fontId="30" fillId="5" borderId="0" xfId="0" applyFont="1" applyFill="1">
      <alignment vertical="center"/>
    </xf>
    <xf numFmtId="180" fontId="42" fillId="3" borderId="220" xfId="1" applyNumberFormat="1" applyFont="1" applyFill="1" applyBorder="1" applyAlignment="1">
      <alignment vertical="center"/>
    </xf>
    <xf numFmtId="180" fontId="42" fillId="3" borderId="221" xfId="1" applyNumberFormat="1" applyFont="1" applyFill="1" applyBorder="1" applyAlignment="1">
      <alignment vertical="center"/>
    </xf>
    <xf numFmtId="41" fontId="45" fillId="0" borderId="196" xfId="1" applyFont="1" applyBorder="1">
      <alignment vertical="center"/>
    </xf>
    <xf numFmtId="180" fontId="44" fillId="0" borderId="220" xfId="1" applyNumberFormat="1" applyFont="1" applyFill="1" applyBorder="1" applyAlignment="1">
      <alignment vertical="center"/>
    </xf>
    <xf numFmtId="41" fontId="45" fillId="0" borderId="166" xfId="1" applyFont="1" applyBorder="1">
      <alignment vertical="center"/>
    </xf>
    <xf numFmtId="41" fontId="45" fillId="0" borderId="195" xfId="1" applyFont="1" applyBorder="1">
      <alignment vertical="center"/>
    </xf>
    <xf numFmtId="41" fontId="45" fillId="0" borderId="167" xfId="1" applyFont="1" applyBorder="1">
      <alignment vertical="center"/>
    </xf>
    <xf numFmtId="0" fontId="3" fillId="2" borderId="34" xfId="0" applyFont="1" applyFill="1" applyBorder="1" applyAlignment="1">
      <alignment horizontal="center" vertical="center"/>
    </xf>
    <xf numFmtId="0" fontId="29" fillId="9" borderId="5" xfId="0" applyFont="1" applyFill="1" applyBorder="1" applyAlignment="1">
      <alignment horizontal="center" vertical="center"/>
    </xf>
    <xf numFmtId="0" fontId="29" fillId="9" borderId="48" xfId="0" applyFont="1" applyFill="1" applyBorder="1" applyAlignment="1">
      <alignment horizontal="center" vertical="center"/>
    </xf>
    <xf numFmtId="0" fontId="29" fillId="9" borderId="359" xfId="0" applyFont="1" applyFill="1" applyBorder="1" applyAlignment="1">
      <alignment horizontal="center" vertical="center"/>
    </xf>
    <xf numFmtId="0" fontId="29" fillId="9" borderId="275" xfId="0" applyFont="1" applyFill="1" applyBorder="1" applyAlignment="1">
      <alignment horizontal="center" vertical="center"/>
    </xf>
    <xf numFmtId="0" fontId="29" fillId="9" borderId="73" xfId="0" applyFont="1" applyFill="1" applyBorder="1" applyAlignment="1">
      <alignment horizontal="center" vertical="center"/>
    </xf>
    <xf numFmtId="0" fontId="29" fillId="9" borderId="276" xfId="0" applyFont="1" applyFill="1" applyBorder="1" applyAlignment="1">
      <alignment horizontal="center" vertical="center"/>
    </xf>
    <xf numFmtId="0" fontId="29" fillId="9" borderId="274" xfId="0" applyFont="1" applyFill="1" applyBorder="1" applyAlignment="1">
      <alignment horizontal="center"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10" borderId="36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10" borderId="103" xfId="0" applyNumberFormat="1" applyFont="1" applyFill="1" applyBorder="1">
      <alignment vertical="center"/>
    </xf>
    <xf numFmtId="184" fontId="6" fillId="12"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10" borderId="16" xfId="0" applyNumberFormat="1" applyFont="1" applyFill="1" applyBorder="1">
      <alignment vertical="center"/>
    </xf>
    <xf numFmtId="0" fontId="46" fillId="8" borderId="48" xfId="0" applyFont="1" applyFill="1" applyBorder="1" applyAlignment="1">
      <alignment horizontal="centerContinuous" vertical="center"/>
    </xf>
    <xf numFmtId="0" fontId="46" fillId="8" borderId="359" xfId="0" applyFont="1" applyFill="1" applyBorder="1" applyAlignment="1">
      <alignment horizontal="centerContinuous" vertical="center"/>
    </xf>
    <xf numFmtId="0" fontId="46" fillId="8" borderId="5" xfId="0" applyFont="1" applyFill="1" applyBorder="1" applyAlignment="1">
      <alignment horizontal="centerContinuous" vertical="center"/>
    </xf>
    <xf numFmtId="182" fontId="46" fillId="8" borderId="48" xfId="0" applyNumberFormat="1" applyFont="1" applyFill="1" applyBorder="1">
      <alignment vertical="center"/>
    </xf>
    <xf numFmtId="182" fontId="46" fillId="8" borderId="275" xfId="0" applyNumberFormat="1" applyFont="1" applyFill="1" applyBorder="1">
      <alignment vertical="center"/>
    </xf>
    <xf numFmtId="182" fontId="46" fillId="8" borderId="359" xfId="0" applyNumberFormat="1" applyFont="1" applyFill="1" applyBorder="1">
      <alignment vertical="center"/>
    </xf>
    <xf numFmtId="182" fontId="46" fillId="8" borderId="73" xfId="0" applyNumberFormat="1" applyFont="1" applyFill="1" applyBorder="1">
      <alignment vertical="center"/>
    </xf>
    <xf numFmtId="182" fontId="46" fillId="8" borderId="5" xfId="0" applyNumberFormat="1" applyFont="1" applyFill="1" applyBorder="1">
      <alignment vertical="center"/>
    </xf>
    <xf numFmtId="182" fontId="46"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5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61" xfId="0" applyNumberFormat="1" applyFont="1" applyBorder="1">
      <alignment vertical="center"/>
    </xf>
    <xf numFmtId="0" fontId="0" fillId="0" borderId="360" xfId="0" applyBorder="1">
      <alignment vertical="center"/>
    </xf>
    <xf numFmtId="41" fontId="0" fillId="0" borderId="360" xfId="1" applyFont="1" applyFill="1" applyBorder="1">
      <alignment vertical="center"/>
    </xf>
    <xf numFmtId="9" fontId="0" fillId="0" borderId="362" xfId="2" applyFont="1" applyFill="1" applyBorder="1">
      <alignment vertical="center"/>
    </xf>
    <xf numFmtId="41" fontId="0" fillId="0" borderId="364" xfId="1" applyFont="1" applyFill="1" applyBorder="1">
      <alignment vertical="center"/>
    </xf>
    <xf numFmtId="9" fontId="0" fillId="0" borderId="365" xfId="2" applyFont="1" applyFill="1" applyBorder="1">
      <alignment vertical="center"/>
    </xf>
    <xf numFmtId="41" fontId="0" fillId="0" borderId="362" xfId="1" applyFont="1" applyBorder="1">
      <alignment vertical="center"/>
    </xf>
    <xf numFmtId="41" fontId="0" fillId="0" borderId="9" xfId="1" applyFont="1" applyBorder="1">
      <alignment vertical="center"/>
    </xf>
    <xf numFmtId="41" fontId="0" fillId="0" borderId="24" xfId="1" applyFont="1" applyBorder="1">
      <alignment vertical="center"/>
    </xf>
    <xf numFmtId="41" fontId="0" fillId="0" borderId="37" xfId="1" applyFont="1" applyBorder="1">
      <alignment vertical="center"/>
    </xf>
    <xf numFmtId="41" fontId="0" fillId="0" borderId="116" xfId="1" applyFont="1" applyBorder="1">
      <alignment vertical="center"/>
    </xf>
    <xf numFmtId="41" fontId="0" fillId="0" borderId="363" xfId="1" applyFont="1" applyBorder="1">
      <alignment vertical="center"/>
    </xf>
    <xf numFmtId="179" fontId="45" fillId="0" borderId="309" xfId="1" applyNumberFormat="1" applyFont="1" applyBorder="1">
      <alignment vertical="center"/>
    </xf>
    <xf numFmtId="179" fontId="45" fillId="0" borderId="312" xfId="0" applyNumberFormat="1" applyFont="1" applyBorder="1">
      <alignment vertical="center"/>
    </xf>
    <xf numFmtId="179" fontId="45" fillId="0" borderId="313" xfId="0" applyNumberFormat="1" applyFont="1" applyBorder="1">
      <alignment vertical="center"/>
    </xf>
    <xf numFmtId="179" fontId="45" fillId="0" borderId="314" xfId="1" applyNumberFormat="1" applyFont="1" applyBorder="1">
      <alignment vertical="center"/>
    </xf>
    <xf numFmtId="0" fontId="48" fillId="13" borderId="372" xfId="0" applyFont="1" applyFill="1" applyBorder="1" applyAlignment="1">
      <alignment horizontal="center" vertical="center" wrapText="1" readingOrder="1"/>
    </xf>
    <xf numFmtId="0" fontId="48" fillId="13" borderId="371" xfId="0" applyFont="1" applyFill="1" applyBorder="1" applyAlignment="1">
      <alignment horizontal="center" vertical="center" wrapText="1" readingOrder="1"/>
    </xf>
    <xf numFmtId="0" fontId="50" fillId="0" borderId="371" xfId="0" applyFont="1" applyBorder="1" applyAlignment="1">
      <alignment horizontal="left" vertical="center" wrapText="1" readingOrder="1"/>
    </xf>
    <xf numFmtId="41" fontId="50" fillId="0" borderId="371" xfId="1" applyFont="1" applyBorder="1" applyAlignment="1">
      <alignment horizontal="right" vertical="center" wrapText="1" readingOrder="1"/>
    </xf>
    <xf numFmtId="41" fontId="49" fillId="14" borderId="371" xfId="1" applyFont="1" applyFill="1" applyBorder="1" applyAlignment="1">
      <alignment horizontal="right" vertical="center" wrapText="1" readingOrder="1"/>
    </xf>
    <xf numFmtId="179" fontId="49" fillId="14" borderId="371" xfId="1" applyNumberFormat="1" applyFont="1" applyFill="1" applyBorder="1" applyAlignment="1">
      <alignment horizontal="right" vertical="center" wrapText="1" readingOrder="1"/>
    </xf>
    <xf numFmtId="179" fontId="50" fillId="0" borderId="371" xfId="1" applyNumberFormat="1" applyFont="1" applyBorder="1" applyAlignment="1">
      <alignment horizontal="right" vertical="center" wrapText="1" readingOrder="1"/>
    </xf>
    <xf numFmtId="179" fontId="0" fillId="0" borderId="31" xfId="0" applyNumberFormat="1" applyBorder="1">
      <alignment vertical="center"/>
    </xf>
    <xf numFmtId="179" fontId="0" fillId="0" borderId="31" xfId="1" applyNumberFormat="1" applyFont="1" applyBorder="1">
      <alignment vertical="center"/>
    </xf>
    <xf numFmtId="180" fontId="44" fillId="0" borderId="220" xfId="1" quotePrefix="1" applyNumberFormat="1" applyFont="1" applyFill="1" applyBorder="1" applyAlignment="1">
      <alignment vertical="center"/>
    </xf>
    <xf numFmtId="179" fontId="0" fillId="0" borderId="31" xfId="1" applyNumberFormat="1" applyFont="1" applyFill="1" applyBorder="1">
      <alignment vertical="center"/>
    </xf>
    <xf numFmtId="179" fontId="3" fillId="2" borderId="20" xfId="1" applyNumberFormat="1" applyFont="1" applyFill="1" applyBorder="1">
      <alignment vertical="center"/>
    </xf>
    <xf numFmtId="185" fontId="44" fillId="8" borderId="123" xfId="0" applyNumberFormat="1" applyFont="1" applyFill="1" applyBorder="1">
      <alignment vertical="center"/>
    </xf>
    <xf numFmtId="179" fontId="45" fillId="0" borderId="194" xfId="0" applyNumberFormat="1" applyFont="1" applyBorder="1">
      <alignment vertical="center"/>
    </xf>
    <xf numFmtId="179" fontId="45" fillId="0" borderId="205" xfId="1" applyNumberFormat="1" applyFont="1" applyBorder="1">
      <alignment vertical="center"/>
    </xf>
    <xf numFmtId="179" fontId="45" fillId="0" borderId="139" xfId="1" applyNumberFormat="1" applyFont="1" applyBorder="1">
      <alignment vertical="center"/>
    </xf>
    <xf numFmtId="179" fontId="45" fillId="0" borderId="101" xfId="1" applyNumberFormat="1" applyFont="1" applyBorder="1">
      <alignment vertical="center"/>
    </xf>
    <xf numFmtId="179" fontId="45" fillId="0" borderId="194" xfId="1" applyNumberFormat="1" applyFont="1" applyBorder="1">
      <alignment vertical="center"/>
    </xf>
    <xf numFmtId="41" fontId="0" fillId="0" borderId="0" xfId="1" applyFont="1" applyFill="1" applyBorder="1">
      <alignment vertical="center"/>
    </xf>
    <xf numFmtId="41" fontId="0" fillId="0" borderId="4" xfId="1" applyFont="1" applyFill="1" applyBorder="1">
      <alignment vertical="center"/>
    </xf>
    <xf numFmtId="41" fontId="0" fillId="0" borderId="10" xfId="1" applyFont="1" applyFill="1" applyBorder="1">
      <alignment vertical="center"/>
    </xf>
    <xf numFmtId="179" fontId="51" fillId="8" borderId="124" xfId="0" applyNumberFormat="1" applyFont="1" applyFill="1" applyBorder="1">
      <alignment vertical="center"/>
    </xf>
    <xf numFmtId="181" fontId="51" fillId="0" borderId="167" xfId="0" applyNumberFormat="1" applyFont="1" applyBorder="1">
      <alignment vertical="center"/>
    </xf>
    <xf numFmtId="181" fontId="51" fillId="0" borderId="196" xfId="0" applyNumberFormat="1" applyFont="1" applyBorder="1">
      <alignment vertical="center"/>
    </xf>
    <xf numFmtId="181" fontId="51" fillId="0" borderId="207" xfId="1" applyNumberFormat="1" applyFont="1" applyBorder="1">
      <alignment vertical="center"/>
    </xf>
    <xf numFmtId="179" fontId="45" fillId="0" borderId="196" xfId="1" applyNumberFormat="1" applyFont="1" applyBorder="1">
      <alignment vertical="center"/>
    </xf>
    <xf numFmtId="179" fontId="45" fillId="0" borderId="207" xfId="1" applyNumberFormat="1" applyFont="1" applyBorder="1">
      <alignment vertical="center"/>
    </xf>
    <xf numFmtId="179" fontId="45" fillId="0" borderId="138" xfId="1" applyNumberFormat="1" applyFont="1" applyBorder="1">
      <alignment vertical="center"/>
    </xf>
    <xf numFmtId="179" fontId="44" fillId="0" borderId="101" xfId="1" applyNumberFormat="1" applyFont="1" applyBorder="1">
      <alignment vertical="center"/>
    </xf>
    <xf numFmtId="179" fontId="44" fillId="0" borderId="194" xfId="1" applyNumberFormat="1" applyFont="1" applyBorder="1">
      <alignment vertical="center"/>
    </xf>
    <xf numFmtId="179" fontId="44" fillId="0" borderId="205" xfId="1" applyNumberFormat="1" applyFont="1" applyBorder="1">
      <alignment vertical="center"/>
    </xf>
    <xf numFmtId="179" fontId="44" fillId="0" borderId="139" xfId="1" applyNumberFormat="1" applyFont="1" applyBorder="1">
      <alignment vertical="center"/>
    </xf>
    <xf numFmtId="41" fontId="30" fillId="8" borderId="179" xfId="1" applyFont="1" applyFill="1" applyBorder="1">
      <alignment vertical="center"/>
    </xf>
    <xf numFmtId="41" fontId="30" fillId="8" borderId="377" xfId="1" applyFont="1" applyFill="1" applyBorder="1">
      <alignment vertical="center"/>
    </xf>
    <xf numFmtId="41" fontId="30" fillId="0" borderId="160" xfId="1" applyFont="1" applyBorder="1">
      <alignment vertical="center"/>
    </xf>
    <xf numFmtId="41" fontId="30" fillId="0" borderId="379" xfId="1" applyFont="1" applyBorder="1">
      <alignment vertical="center"/>
    </xf>
    <xf numFmtId="41" fontId="44" fillId="8" borderId="381" xfId="1" applyFont="1" applyFill="1" applyBorder="1">
      <alignment vertical="center"/>
    </xf>
    <xf numFmtId="179" fontId="44" fillId="8" borderId="382" xfId="0" applyNumberFormat="1" applyFont="1" applyFill="1" applyBorder="1">
      <alignment vertical="center"/>
    </xf>
    <xf numFmtId="41" fontId="44" fillId="8" borderId="383" xfId="1" applyFont="1" applyFill="1" applyBorder="1">
      <alignment vertical="center"/>
    </xf>
    <xf numFmtId="41" fontId="30" fillId="0" borderId="188" xfId="1" applyFont="1" applyBorder="1">
      <alignment vertical="center"/>
    </xf>
    <xf numFmtId="41" fontId="30" fillId="0" borderId="384" xfId="1" applyFont="1" applyBorder="1">
      <alignment vertical="center"/>
    </xf>
    <xf numFmtId="0" fontId="30" fillId="0" borderId="385" xfId="0" applyFont="1" applyBorder="1">
      <alignment vertical="center"/>
    </xf>
    <xf numFmtId="41" fontId="30" fillId="0" borderId="386" xfId="1" applyFont="1" applyBorder="1">
      <alignment vertical="center"/>
    </xf>
    <xf numFmtId="41" fontId="30" fillId="0" borderId="387" xfId="1" applyFont="1" applyBorder="1">
      <alignment vertical="center"/>
    </xf>
    <xf numFmtId="41" fontId="45" fillId="0" borderId="388" xfId="1" applyFont="1" applyBorder="1">
      <alignment vertical="center"/>
    </xf>
    <xf numFmtId="179" fontId="45" fillId="0" borderId="389" xfId="0" applyNumberFormat="1" applyFont="1" applyBorder="1">
      <alignment vertical="center"/>
    </xf>
    <xf numFmtId="179" fontId="45" fillId="0" borderId="390" xfId="0" applyNumberFormat="1" applyFont="1" applyBorder="1">
      <alignment vertical="center"/>
    </xf>
    <xf numFmtId="41" fontId="45" fillId="0" borderId="391" xfId="1" applyFont="1" applyBorder="1">
      <alignment vertical="center"/>
    </xf>
    <xf numFmtId="41" fontId="45" fillId="0" borderId="392" xfId="1" applyFont="1" applyBorder="1">
      <alignment vertical="center"/>
    </xf>
    <xf numFmtId="181" fontId="45" fillId="0" borderId="393" xfId="0" applyNumberFormat="1" applyFont="1" applyBorder="1">
      <alignment vertical="center"/>
    </xf>
    <xf numFmtId="41" fontId="45" fillId="0" borderId="394" xfId="1" applyFont="1" applyBorder="1">
      <alignment vertical="center"/>
    </xf>
    <xf numFmtId="41" fontId="45" fillId="0" borderId="395" xfId="1" applyFont="1" applyBorder="1">
      <alignment vertical="center"/>
    </xf>
    <xf numFmtId="41" fontId="45" fillId="0" borderId="396" xfId="1" applyFont="1" applyBorder="1">
      <alignment vertical="center"/>
    </xf>
    <xf numFmtId="41" fontId="45" fillId="0" borderId="397" xfId="1" applyFont="1" applyBorder="1">
      <alignment vertical="center"/>
    </xf>
    <xf numFmtId="179" fontId="45" fillId="0" borderId="398" xfId="0" applyNumberFormat="1" applyFont="1" applyBorder="1">
      <alignment vertical="center"/>
    </xf>
    <xf numFmtId="41" fontId="45" fillId="0" borderId="399" xfId="1" applyFont="1" applyBorder="1">
      <alignment vertical="center"/>
    </xf>
    <xf numFmtId="0" fontId="42" fillId="0" borderId="0" xfId="0" applyFont="1">
      <alignment vertical="center"/>
    </xf>
    <xf numFmtId="179" fontId="42" fillId="0" borderId="0" xfId="0" applyNumberFormat="1" applyFont="1">
      <alignment vertical="center"/>
    </xf>
    <xf numFmtId="0" fontId="52" fillId="0" borderId="0" xfId="0" applyFont="1">
      <alignment vertical="center"/>
    </xf>
    <xf numFmtId="179" fontId="44" fillId="8" borderId="400" xfId="0" applyNumberFormat="1" applyFont="1" applyFill="1" applyBorder="1">
      <alignment vertical="center"/>
    </xf>
    <xf numFmtId="0" fontId="38" fillId="0" borderId="0" xfId="0" applyFont="1">
      <alignment vertical="center"/>
    </xf>
    <xf numFmtId="41" fontId="53" fillId="3" borderId="294" xfId="1" applyFont="1" applyFill="1" applyBorder="1">
      <alignment vertical="center"/>
    </xf>
    <xf numFmtId="41" fontId="53" fillId="3" borderId="284" xfId="1" applyFont="1" applyFill="1" applyBorder="1">
      <alignment vertical="center"/>
    </xf>
    <xf numFmtId="41" fontId="53" fillId="3" borderId="149" xfId="1" applyFont="1" applyFill="1" applyBorder="1">
      <alignment vertical="center"/>
    </xf>
    <xf numFmtId="41" fontId="53" fillId="4" borderId="151" xfId="1" applyFont="1" applyFill="1" applyBorder="1">
      <alignment vertical="center"/>
    </xf>
    <xf numFmtId="179" fontId="53" fillId="4" borderId="151" xfId="1" applyNumberFormat="1" applyFont="1" applyFill="1" applyBorder="1">
      <alignment vertical="center"/>
    </xf>
    <xf numFmtId="41" fontId="53" fillId="3" borderId="143" xfId="1" applyFont="1" applyFill="1" applyBorder="1">
      <alignment vertical="center"/>
    </xf>
    <xf numFmtId="187" fontId="53" fillId="4" borderId="151" xfId="1" applyNumberFormat="1" applyFont="1" applyFill="1" applyBorder="1">
      <alignment vertical="center"/>
    </xf>
    <xf numFmtId="0" fontId="34" fillId="0" borderId="0" xfId="0" applyFont="1">
      <alignment vertical="center"/>
    </xf>
    <xf numFmtId="41" fontId="45" fillId="8" borderId="295" xfId="1" applyFont="1" applyFill="1" applyBorder="1">
      <alignment vertical="center"/>
    </xf>
    <xf numFmtId="41" fontId="45" fillId="8" borderId="285" xfId="1" applyFont="1" applyFill="1" applyBorder="1">
      <alignment vertical="center"/>
    </xf>
    <xf numFmtId="41" fontId="45" fillId="8" borderId="155" xfId="1" applyFont="1" applyFill="1" applyBorder="1">
      <alignment vertical="center"/>
    </xf>
    <xf numFmtId="179" fontId="45" fillId="8" borderId="157" xfId="1" applyNumberFormat="1" applyFont="1" applyFill="1" applyBorder="1">
      <alignment vertical="center"/>
    </xf>
    <xf numFmtId="41" fontId="45" fillId="8" borderId="0" xfId="1" applyFont="1" applyFill="1">
      <alignment vertical="center"/>
    </xf>
    <xf numFmtId="187" fontId="45" fillId="8" borderId="157" xfId="1" applyNumberFormat="1" applyFont="1" applyFill="1" applyBorder="1">
      <alignment vertical="center"/>
    </xf>
    <xf numFmtId="41" fontId="45" fillId="0" borderId="296" xfId="1" applyFont="1" applyBorder="1">
      <alignment vertical="center"/>
    </xf>
    <xf numFmtId="179" fontId="45" fillId="0" borderId="167" xfId="1" applyNumberFormat="1" applyFont="1" applyBorder="1">
      <alignment vertical="center"/>
    </xf>
    <xf numFmtId="41" fontId="45" fillId="0" borderId="165" xfId="1" applyFont="1" applyBorder="1">
      <alignment vertical="center"/>
    </xf>
    <xf numFmtId="179" fontId="44" fillId="0" borderId="309" xfId="1" applyNumberFormat="1" applyFont="1" applyBorder="1">
      <alignment vertical="center"/>
    </xf>
    <xf numFmtId="41" fontId="45" fillId="0" borderId="175" xfId="1" applyFont="1" applyBorder="1">
      <alignment vertical="center"/>
    </xf>
    <xf numFmtId="179" fontId="45" fillId="0" borderId="157" xfId="1" applyNumberFormat="1" applyFont="1" applyBorder="1">
      <alignment vertical="center"/>
    </xf>
    <xf numFmtId="41" fontId="45" fillId="0" borderId="0" xfId="1" applyFont="1">
      <alignment vertical="center"/>
    </xf>
    <xf numFmtId="187" fontId="45" fillId="0" borderId="157" xfId="1" applyNumberFormat="1" applyFont="1" applyBorder="1">
      <alignment vertical="center"/>
    </xf>
    <xf numFmtId="179" fontId="44" fillId="0" borderId="308" xfId="1" applyNumberFormat="1" applyFont="1" applyBorder="1">
      <alignment vertical="center"/>
    </xf>
    <xf numFmtId="41" fontId="45" fillId="8" borderId="354" xfId="1" applyFont="1" applyFill="1" applyBorder="1">
      <alignment vertical="center"/>
    </xf>
    <xf numFmtId="41" fontId="45" fillId="8" borderId="355" xfId="1" applyFont="1" applyFill="1" applyBorder="1">
      <alignment vertical="center"/>
    </xf>
    <xf numFmtId="41" fontId="45" fillId="8" borderId="356" xfId="1" applyFont="1" applyFill="1" applyBorder="1">
      <alignment vertical="center"/>
    </xf>
    <xf numFmtId="41" fontId="45" fillId="8" borderId="357" xfId="1" applyFont="1" applyFill="1" applyBorder="1">
      <alignment vertical="center"/>
    </xf>
    <xf numFmtId="179" fontId="45" fillId="8" borderId="357" xfId="1" applyNumberFormat="1" applyFont="1" applyFill="1" applyBorder="1">
      <alignment vertical="center"/>
    </xf>
    <xf numFmtId="41" fontId="45" fillId="8" borderId="220" xfId="1" applyFont="1" applyFill="1" applyBorder="1">
      <alignment vertical="center"/>
    </xf>
    <xf numFmtId="187" fontId="45" fillId="8" borderId="357" xfId="1" applyNumberFormat="1" applyFont="1" applyFill="1" applyBorder="1">
      <alignment vertical="center"/>
    </xf>
    <xf numFmtId="41" fontId="45" fillId="8" borderId="298" xfId="1" applyFont="1" applyFill="1" applyBorder="1">
      <alignment vertical="center"/>
    </xf>
    <xf numFmtId="41" fontId="45" fillId="8" borderId="122" xfId="1" applyFont="1" applyFill="1" applyBorder="1">
      <alignment vertical="center"/>
    </xf>
    <xf numFmtId="41" fontId="45" fillId="8" borderId="123" xfId="1" applyFont="1" applyFill="1" applyBorder="1">
      <alignment vertical="center"/>
    </xf>
    <xf numFmtId="41" fontId="45" fillId="8" borderId="124" xfId="1" applyFont="1" applyFill="1" applyBorder="1">
      <alignment vertical="center"/>
    </xf>
    <xf numFmtId="179" fontId="45" fillId="8" borderId="124" xfId="1" applyNumberFormat="1" applyFont="1" applyFill="1" applyBorder="1">
      <alignment vertical="center"/>
    </xf>
    <xf numFmtId="41" fontId="45" fillId="8" borderId="182" xfId="1" applyFont="1" applyFill="1" applyBorder="1">
      <alignment vertical="center"/>
    </xf>
    <xf numFmtId="41" fontId="45" fillId="0" borderId="299" xfId="1" applyFont="1" applyBorder="1">
      <alignment vertical="center"/>
    </xf>
    <xf numFmtId="41" fontId="45" fillId="0" borderId="194" xfId="1" applyFont="1" applyBorder="1">
      <alignment vertical="center"/>
    </xf>
    <xf numFmtId="41" fontId="45" fillId="0" borderId="193" xfId="1" applyFont="1" applyBorder="1">
      <alignment vertical="center"/>
    </xf>
    <xf numFmtId="179" fontId="45" fillId="0" borderId="289" xfId="1" applyNumberFormat="1" applyFont="1" applyBorder="1">
      <alignment vertical="center"/>
    </xf>
    <xf numFmtId="41" fontId="45" fillId="0" borderId="205" xfId="1" applyFont="1" applyBorder="1">
      <alignment vertical="center"/>
    </xf>
    <xf numFmtId="41" fontId="45" fillId="0" borderId="204" xfId="1" applyFont="1" applyBorder="1">
      <alignment vertical="center"/>
    </xf>
    <xf numFmtId="41" fontId="45" fillId="0" borderId="267" xfId="1" applyFont="1" applyBorder="1">
      <alignment vertical="center"/>
    </xf>
    <xf numFmtId="41" fontId="45" fillId="0" borderId="268" xfId="1" applyFont="1" applyBorder="1">
      <alignment vertical="center"/>
    </xf>
    <xf numFmtId="41" fontId="45" fillId="0" borderId="139" xfId="1" applyFont="1" applyBorder="1">
      <alignment vertical="center"/>
    </xf>
    <xf numFmtId="41" fontId="45" fillId="0" borderId="134" xfId="1" applyFont="1" applyBorder="1">
      <alignment vertical="center"/>
    </xf>
    <xf numFmtId="41" fontId="44" fillId="8" borderId="405" xfId="1" applyFont="1" applyFill="1" applyBorder="1">
      <alignment vertical="center"/>
    </xf>
    <xf numFmtId="41" fontId="44" fillId="8" borderId="406" xfId="1" applyFont="1" applyFill="1" applyBorder="1">
      <alignment vertical="center"/>
    </xf>
    <xf numFmtId="0" fontId="54" fillId="0" borderId="0" xfId="0" applyFont="1">
      <alignment vertical="center"/>
    </xf>
    <xf numFmtId="0" fontId="53" fillId="0" borderId="0" xfId="0" applyFont="1">
      <alignment vertical="center"/>
    </xf>
    <xf numFmtId="41" fontId="0" fillId="0" borderId="365" xfId="0" applyNumberFormat="1" applyBorder="1">
      <alignment vertical="center"/>
    </xf>
    <xf numFmtId="187" fontId="43" fillId="4" borderId="307" xfId="1" applyNumberFormat="1" applyFont="1" applyFill="1" applyBorder="1">
      <alignment vertical="center"/>
    </xf>
    <xf numFmtId="187" fontId="44" fillId="8" borderId="311" xfId="1" applyNumberFormat="1" applyFont="1" applyFill="1" applyBorder="1">
      <alignment vertical="center"/>
    </xf>
    <xf numFmtId="187" fontId="44" fillId="0" borderId="308" xfId="1" applyNumberFormat="1" applyFont="1" applyBorder="1">
      <alignment vertical="center"/>
    </xf>
    <xf numFmtId="0" fontId="55" fillId="0" borderId="0" xfId="0" applyFont="1">
      <alignment vertical="center"/>
    </xf>
    <xf numFmtId="0" fontId="56" fillId="0" borderId="0" xfId="0" applyFont="1">
      <alignment vertical="center"/>
    </xf>
    <xf numFmtId="179" fontId="55" fillId="0" borderId="0" xfId="0" applyNumberFormat="1" applyFont="1">
      <alignment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9" fontId="60" fillId="0" borderId="0" xfId="0" applyNumberFormat="1" applyFont="1">
      <alignment vertical="center"/>
    </xf>
    <xf numFmtId="0" fontId="61" fillId="0" borderId="0" xfId="0" applyFont="1">
      <alignment vertical="center"/>
    </xf>
    <xf numFmtId="179" fontId="61" fillId="0" borderId="0" xfId="0" applyNumberFormat="1" applyFont="1" applyAlignment="1">
      <alignment horizontal="center" vertical="center"/>
    </xf>
    <xf numFmtId="179" fontId="61" fillId="0" borderId="0" xfId="0" applyNumberFormat="1" applyFont="1">
      <alignment vertical="center"/>
    </xf>
    <xf numFmtId="0" fontId="62" fillId="0" borderId="0" xfId="0" applyFont="1">
      <alignment vertical="center"/>
    </xf>
    <xf numFmtId="0" fontId="14" fillId="0" borderId="0" xfId="0" applyFont="1">
      <alignment vertical="center"/>
    </xf>
    <xf numFmtId="185" fontId="62" fillId="0" borderId="0" xfId="0" applyNumberFormat="1" applyFont="1">
      <alignment vertical="center"/>
    </xf>
    <xf numFmtId="43" fontId="62" fillId="0" borderId="0" xfId="0" applyNumberFormat="1" applyFont="1">
      <alignment vertical="center"/>
    </xf>
    <xf numFmtId="43" fontId="63" fillId="0" borderId="0" xfId="0" applyNumberFormat="1" applyFont="1">
      <alignment vertical="center"/>
    </xf>
    <xf numFmtId="0" fontId="64" fillId="0" borderId="0" xfId="0" applyFont="1">
      <alignment vertical="center"/>
    </xf>
    <xf numFmtId="0" fontId="65" fillId="0" borderId="0" xfId="0" applyFont="1" applyAlignment="1">
      <alignment vertical="center" wrapText="1" readingOrder="1"/>
    </xf>
    <xf numFmtId="0" fontId="67" fillId="0" borderId="0" xfId="0" applyFont="1">
      <alignment vertical="center"/>
    </xf>
    <xf numFmtId="0" fontId="66" fillId="0" borderId="0" xfId="0" applyFont="1" applyAlignment="1"/>
    <xf numFmtId="41" fontId="44" fillId="0" borderId="350" xfId="1" applyFont="1" applyBorder="1">
      <alignment vertical="center"/>
    </xf>
    <xf numFmtId="41" fontId="45" fillId="8" borderId="157" xfId="1" applyFont="1" applyFill="1" applyBorder="1">
      <alignment vertical="center"/>
    </xf>
    <xf numFmtId="0" fontId="12" fillId="0" borderId="343" xfId="0" applyFont="1" applyBorder="1">
      <alignment vertical="center"/>
    </xf>
    <xf numFmtId="0" fontId="6" fillId="0" borderId="0" xfId="0" applyFont="1">
      <alignment vertical="center"/>
    </xf>
    <xf numFmtId="41" fontId="3" fillId="0" borderId="0" xfId="1" applyFont="1">
      <alignment vertical="center"/>
    </xf>
    <xf numFmtId="179" fontId="45" fillId="0" borderId="286" xfId="1" applyNumberFormat="1" applyFont="1" applyBorder="1">
      <alignment vertical="center"/>
    </xf>
    <xf numFmtId="179" fontId="45" fillId="0" borderId="288" xfId="1" applyNumberFormat="1" applyFont="1" applyBorder="1">
      <alignment vertical="center"/>
    </xf>
    <xf numFmtId="179" fontId="45" fillId="0" borderId="404" xfId="1" applyNumberFormat="1" applyFont="1" applyBorder="1">
      <alignment vertical="center"/>
    </xf>
    <xf numFmtId="179" fontId="72" fillId="0" borderId="0" xfId="0" applyNumberFormat="1" applyFont="1" applyAlignment="1">
      <alignment horizontal="right" vertical="center"/>
    </xf>
    <xf numFmtId="0" fontId="73" fillId="5" borderId="409" xfId="0" applyFont="1" applyFill="1" applyBorder="1">
      <alignment vertical="center"/>
    </xf>
    <xf numFmtId="0" fontId="73" fillId="0" borderId="412" xfId="0" applyFont="1" applyBorder="1" applyAlignment="1">
      <alignment horizontal="center" vertical="center"/>
    </xf>
    <xf numFmtId="0" fontId="73" fillId="0" borderId="412" xfId="0" applyFont="1" applyBorder="1">
      <alignment vertical="center"/>
    </xf>
    <xf numFmtId="0" fontId="73" fillId="0" borderId="415" xfId="0" applyFont="1" applyBorder="1">
      <alignment vertical="center"/>
    </xf>
    <xf numFmtId="41" fontId="44" fillId="8" borderId="356" xfId="1" applyFont="1" applyFill="1" applyBorder="1">
      <alignment vertical="center"/>
    </xf>
    <xf numFmtId="41" fontId="44" fillId="8" borderId="123" xfId="1" applyFont="1" applyFill="1" applyBorder="1">
      <alignment vertical="center"/>
    </xf>
    <xf numFmtId="179" fontId="44" fillId="8" borderId="308" xfId="1" applyNumberFormat="1" applyFont="1" applyFill="1" applyBorder="1">
      <alignment vertical="center"/>
    </xf>
    <xf numFmtId="41" fontId="28" fillId="0" borderId="0" xfId="1" applyFont="1">
      <alignment vertical="center"/>
    </xf>
    <xf numFmtId="41" fontId="40" fillId="0" borderId="0" xfId="1" applyFont="1">
      <alignment vertical="center"/>
    </xf>
    <xf numFmtId="179" fontId="44" fillId="8" borderId="311" xfId="1" applyNumberFormat="1" applyFont="1" applyFill="1" applyBorder="1">
      <alignment vertical="center"/>
    </xf>
    <xf numFmtId="179" fontId="45" fillId="0" borderId="215" xfId="1" applyNumberFormat="1" applyFont="1" applyBorder="1">
      <alignment vertical="center"/>
    </xf>
    <xf numFmtId="0" fontId="0" fillId="4" borderId="0" xfId="0" applyFill="1">
      <alignment vertical="center"/>
    </xf>
    <xf numFmtId="182" fontId="0" fillId="4" borderId="0" xfId="0" applyNumberFormat="1" applyFill="1">
      <alignment vertical="center"/>
    </xf>
    <xf numFmtId="0" fontId="76" fillId="0" borderId="0" xfId="0" applyFont="1">
      <alignment vertical="center"/>
    </xf>
    <xf numFmtId="179" fontId="10" fillId="0" borderId="0" xfId="0" applyNumberFormat="1" applyFont="1">
      <alignment vertical="center"/>
    </xf>
    <xf numFmtId="12" fontId="14" fillId="0" borderId="0" xfId="1" applyNumberFormat="1" applyFont="1">
      <alignment vertical="center"/>
    </xf>
    <xf numFmtId="0" fontId="14" fillId="0" borderId="0" xfId="0" applyFont="1" applyAlignment="1">
      <alignment horizontal="center" vertical="center"/>
    </xf>
    <xf numFmtId="41" fontId="16" fillId="0" borderId="0" xfId="1" applyFont="1">
      <alignment vertical="center"/>
    </xf>
    <xf numFmtId="178" fontId="16" fillId="0" borderId="0" xfId="0" applyNumberFormat="1" applyFont="1">
      <alignment vertical="center"/>
    </xf>
    <xf numFmtId="180" fontId="16" fillId="0" borderId="0" xfId="1" applyNumberFormat="1" applyFont="1">
      <alignment vertical="center"/>
    </xf>
    <xf numFmtId="0" fontId="16" fillId="0" borderId="0" xfId="0" applyFont="1">
      <alignment vertical="center"/>
    </xf>
    <xf numFmtId="189" fontId="14" fillId="0" borderId="0" xfId="0" applyNumberFormat="1" applyFont="1" applyAlignment="1">
      <alignment horizontal="center" vertical="center"/>
    </xf>
    <xf numFmtId="41" fontId="14" fillId="0" borderId="0" xfId="1" applyFont="1">
      <alignment vertical="center"/>
    </xf>
    <xf numFmtId="0" fontId="30" fillId="5" borderId="431" xfId="0" applyFont="1" applyFill="1" applyBorder="1" applyAlignment="1">
      <alignment horizontal="center" vertical="center"/>
    </xf>
    <xf numFmtId="0" fontId="30" fillId="5" borderId="432" xfId="0" applyFont="1" applyFill="1" applyBorder="1" applyAlignment="1">
      <alignment horizontal="center" vertical="center"/>
    </xf>
    <xf numFmtId="0" fontId="78" fillId="0" borderId="0" xfId="0" applyFont="1" applyAlignment="1">
      <alignment horizontal="center" vertical="top" wrapText="1" readingOrder="1"/>
    </xf>
    <xf numFmtId="0" fontId="79" fillId="0" borderId="409" xfId="0" applyFont="1" applyBorder="1" applyAlignment="1">
      <alignment horizontal="center" vertical="top" wrapText="1" readingOrder="1"/>
    </xf>
    <xf numFmtId="0" fontId="79" fillId="17" borderId="409" xfId="0" applyFont="1" applyFill="1" applyBorder="1" applyAlignment="1">
      <alignment horizontal="center" vertical="top" wrapText="1" readingOrder="1"/>
    </xf>
    <xf numFmtId="0" fontId="79" fillId="17" borderId="408" xfId="0" applyFont="1" applyFill="1" applyBorder="1" applyAlignment="1">
      <alignment horizontal="center" vertical="top" wrapText="1" readingOrder="1"/>
    </xf>
    <xf numFmtId="0" fontId="80" fillId="0" borderId="0" xfId="0" applyFont="1" applyAlignment="1">
      <alignment horizontal="center" vertical="center"/>
    </xf>
    <xf numFmtId="0" fontId="30" fillId="0" borderId="434" xfId="0" applyFont="1" applyBorder="1" applyAlignment="1">
      <alignment horizontal="center" vertical="center"/>
    </xf>
    <xf numFmtId="0" fontId="79" fillId="0" borderId="434" xfId="0" applyFont="1" applyBorder="1" applyAlignment="1">
      <alignment horizontal="center" vertical="top" wrapText="1" readingOrder="1"/>
    </xf>
    <xf numFmtId="0" fontId="30" fillId="17" borderId="434" xfId="0" applyFont="1" applyFill="1" applyBorder="1" applyAlignment="1">
      <alignment horizontal="center" vertical="center"/>
    </xf>
    <xf numFmtId="0" fontId="30" fillId="17" borderId="435" xfId="0" applyFont="1" applyFill="1" applyBorder="1" applyAlignment="1">
      <alignment horizontal="center" vertical="center"/>
    </xf>
    <xf numFmtId="190" fontId="30" fillId="0" borderId="437" xfId="0" applyNumberFormat="1" applyFont="1" applyBorder="1" applyAlignment="1">
      <alignment horizontal="center" vertical="center"/>
    </xf>
    <xf numFmtId="190" fontId="30" fillId="0" borderId="438" xfId="0" applyNumberFormat="1" applyFont="1" applyBorder="1" applyAlignment="1">
      <alignment horizontal="center" vertical="center"/>
    </xf>
    <xf numFmtId="0" fontId="30" fillId="0" borderId="440" xfId="0" applyFont="1" applyBorder="1" applyAlignment="1">
      <alignment horizontal="center" vertical="center"/>
    </xf>
    <xf numFmtId="0" fontId="79" fillId="0" borderId="440" xfId="0" applyFont="1" applyBorder="1" applyAlignment="1">
      <alignment horizontal="center" vertical="top" wrapText="1" readingOrder="1"/>
    </xf>
    <xf numFmtId="0" fontId="79" fillId="17" borderId="440" xfId="0" applyFont="1" applyFill="1" applyBorder="1" applyAlignment="1">
      <alignment horizontal="center" vertical="top" wrapText="1" readingOrder="1"/>
    </xf>
    <xf numFmtId="0" fontId="79" fillId="17" borderId="441" xfId="0" applyFont="1" applyFill="1" applyBorder="1" applyAlignment="1">
      <alignment horizontal="center" vertical="top" wrapText="1" readingOrder="1"/>
    </xf>
    <xf numFmtId="0" fontId="6" fillId="0" borderId="0" xfId="0" applyFont="1" applyAlignment="1">
      <alignment horizontal="left" vertical="center"/>
    </xf>
    <xf numFmtId="179" fontId="81" fillId="0" borderId="0" xfId="0" applyNumberFormat="1" applyFont="1" applyAlignment="1">
      <alignment horizontal="center" vertical="center"/>
    </xf>
    <xf numFmtId="182" fontId="66" fillId="0" borderId="442" xfId="0" applyNumberFormat="1" applyFont="1" applyBorder="1">
      <alignment vertical="center"/>
    </xf>
    <xf numFmtId="191" fontId="0" fillId="0" borderId="0" xfId="0" applyNumberFormat="1">
      <alignment vertical="center"/>
    </xf>
    <xf numFmtId="0" fontId="3" fillId="0" borderId="360" xfId="0" applyFont="1" applyBorder="1" applyAlignment="1">
      <alignment horizontal="center" vertical="center"/>
    </xf>
    <xf numFmtId="41" fontId="0" fillId="3" borderId="360" xfId="1" applyFont="1" applyFill="1" applyBorder="1">
      <alignment vertical="center"/>
    </xf>
    <xf numFmtId="0" fontId="1" fillId="0" borderId="0" xfId="68" applyAlignment="1"/>
    <xf numFmtId="0" fontId="87" fillId="0" borderId="0" xfId="68" applyFont="1" applyAlignment="1">
      <alignment horizontal="center" vertical="center"/>
    </xf>
    <xf numFmtId="0" fontId="88" fillId="0" borderId="0" xfId="68" applyFont="1" applyAlignment="1">
      <alignment horizontal="left" vertical="center" indent="1"/>
    </xf>
    <xf numFmtId="0" fontId="83" fillId="0" borderId="0" xfId="68" applyFont="1" applyAlignment="1">
      <alignment horizontal="left" vertical="center" indent="1"/>
    </xf>
    <xf numFmtId="0" fontId="89" fillId="0" borderId="0" xfId="68" applyFont="1" applyAlignment="1">
      <alignment horizontal="center" vertical="center"/>
    </xf>
    <xf numFmtId="4" fontId="83" fillId="0" borderId="0" xfId="68" applyNumberFormat="1" applyFont="1" applyAlignment="1">
      <alignment horizontal="right" vertical="center" indent="1"/>
    </xf>
    <xf numFmtId="0" fontId="1" fillId="0" borderId="0" xfId="68" applyAlignment="1">
      <alignment horizontal="center" vertical="center"/>
    </xf>
    <xf numFmtId="0" fontId="1" fillId="0" borderId="0" xfId="68">
      <alignment vertical="center"/>
    </xf>
    <xf numFmtId="0" fontId="84" fillId="0" borderId="0" xfId="69" applyFont="1" applyAlignment="1">
      <alignment horizontal="center"/>
    </xf>
    <xf numFmtId="0" fontId="1" fillId="0" borderId="0" xfId="68" applyAlignment="1">
      <alignment horizontal="left" vertical="center"/>
    </xf>
    <xf numFmtId="0" fontId="82" fillId="5" borderId="5" xfId="18" applyFont="1" applyFill="1" applyBorder="1" applyAlignment="1">
      <alignment horizontal="center" vertical="center"/>
    </xf>
    <xf numFmtId="0" fontId="1" fillId="12" borderId="5" xfId="68" applyFill="1" applyBorder="1" applyAlignment="1">
      <alignment horizontal="center" vertical="center"/>
    </xf>
    <xf numFmtId="0" fontId="1" fillId="20" borderId="5" xfId="68" applyFill="1" applyBorder="1" applyAlignment="1">
      <alignment horizontal="left" vertical="center"/>
    </xf>
    <xf numFmtId="0" fontId="85" fillId="12" borderId="5" xfId="68" applyFont="1" applyFill="1" applyBorder="1" applyAlignment="1">
      <alignment horizontal="center" vertical="center"/>
    </xf>
    <xf numFmtId="0" fontId="1" fillId="20" borderId="5" xfId="68" applyFill="1" applyBorder="1" applyAlignment="1">
      <alignment horizontal="center" vertical="center"/>
    </xf>
    <xf numFmtId="0" fontId="85" fillId="20" borderId="5" xfId="68" applyFont="1" applyFill="1" applyBorder="1" applyAlignment="1">
      <alignment horizontal="center" vertical="center"/>
    </xf>
    <xf numFmtId="181" fontId="1" fillId="0" borderId="5" xfId="68" applyNumberFormat="1" applyBorder="1" applyAlignment="1">
      <alignment horizontal="right" vertical="center"/>
    </xf>
    <xf numFmtId="181" fontId="3" fillId="0" borderId="5" xfId="68" applyNumberFormat="1" applyFont="1" applyBorder="1">
      <alignment vertical="center"/>
    </xf>
    <xf numFmtId="181" fontId="1" fillId="0" borderId="5" xfId="68" applyNumberFormat="1" applyBorder="1">
      <alignment vertical="center"/>
    </xf>
    <xf numFmtId="181" fontId="1" fillId="4" borderId="5" xfId="68" quotePrefix="1" applyNumberFormat="1" applyFill="1" applyBorder="1" applyAlignment="1">
      <alignment horizontal="center" vertical="center"/>
    </xf>
    <xf numFmtId="181" fontId="1" fillId="0" borderId="5" xfId="68" applyNumberFormat="1" applyBorder="1" applyAlignment="1">
      <alignment horizontal="center" vertical="center"/>
    </xf>
    <xf numFmtId="0" fontId="90" fillId="5" borderId="448" xfId="18" applyFont="1" applyFill="1" applyBorder="1" applyAlignment="1">
      <alignment horizontal="center" vertical="center"/>
    </xf>
    <xf numFmtId="0" fontId="90" fillId="5" borderId="275" xfId="18" applyFont="1" applyFill="1" applyBorder="1" applyAlignment="1">
      <alignment horizontal="center" vertical="center"/>
    </xf>
    <xf numFmtId="0" fontId="90" fillId="5" borderId="275" xfId="34" applyNumberFormat="1" applyFont="1" applyFill="1" applyBorder="1" applyAlignment="1">
      <alignment horizontal="center" vertical="center" wrapText="1"/>
    </xf>
    <xf numFmtId="0" fontId="25" fillId="5" borderId="275" xfId="68" applyFont="1" applyFill="1" applyBorder="1" applyAlignment="1">
      <alignment horizontal="center" vertical="center"/>
    </xf>
    <xf numFmtId="0" fontId="91" fillId="18" borderId="359" xfId="68" applyFont="1" applyFill="1" applyBorder="1" applyAlignment="1">
      <alignment horizontal="left" vertical="center" wrapText="1" indent="1"/>
    </xf>
    <xf numFmtId="0" fontId="91" fillId="19" borderId="359" xfId="68" applyFont="1" applyFill="1" applyBorder="1" applyAlignment="1">
      <alignment horizontal="left" vertical="center" indent="1"/>
    </xf>
    <xf numFmtId="0" fontId="91" fillId="19" borderId="359" xfId="68" applyFont="1" applyFill="1" applyBorder="1" applyAlignment="1">
      <alignment horizontal="left" vertical="center" wrapText="1" indent="1"/>
    </xf>
    <xf numFmtId="4" fontId="91" fillId="19" borderId="449" xfId="68" applyNumberFormat="1" applyFont="1" applyFill="1" applyBorder="1" applyAlignment="1">
      <alignment horizontal="right" vertical="center" indent="1"/>
    </xf>
    <xf numFmtId="0" fontId="91" fillId="19" borderId="449" xfId="68" applyFont="1" applyFill="1" applyBorder="1" applyAlignment="1">
      <alignment horizontal="center" vertical="center" wrapText="1"/>
    </xf>
    <xf numFmtId="0" fontId="92" fillId="19" borderId="449" xfId="68" applyFont="1" applyFill="1" applyBorder="1" applyAlignment="1">
      <alignment horizontal="center" vertical="center" wrapText="1"/>
    </xf>
    <xf numFmtId="0" fontId="33" fillId="19" borderId="450" xfId="68" applyFont="1" applyFill="1" applyBorder="1" applyAlignment="1">
      <alignment horizontal="center" vertical="center" wrapText="1"/>
    </xf>
    <xf numFmtId="0" fontId="33" fillId="19" borderId="451" xfId="68" applyFont="1" applyFill="1" applyBorder="1" applyAlignment="1">
      <alignment horizontal="center" vertical="center" wrapText="1"/>
    </xf>
    <xf numFmtId="0" fontId="33" fillId="19" borderId="359" xfId="68" applyFont="1" applyFill="1" applyBorder="1" applyAlignment="1">
      <alignment horizontal="center" vertical="center" wrapText="1"/>
    </xf>
    <xf numFmtId="0" fontId="92" fillId="19" borderId="450" xfId="68" applyFont="1" applyFill="1" applyBorder="1" applyAlignment="1">
      <alignment horizontal="center" vertical="center" wrapText="1"/>
    </xf>
    <xf numFmtId="0" fontId="93" fillId="0" borderId="361" xfId="69" applyFont="1" applyBorder="1" applyAlignment="1">
      <alignment horizontal="center"/>
    </xf>
    <xf numFmtId="0" fontId="93" fillId="0" borderId="452" xfId="69" applyFont="1" applyBorder="1" applyAlignment="1">
      <alignment horizontal="left"/>
    </xf>
    <xf numFmtId="0" fontId="93" fillId="0" borderId="452" xfId="69" applyFont="1" applyBorder="1" applyAlignment="1">
      <alignment horizontal="center"/>
    </xf>
    <xf numFmtId="0" fontId="66" fillId="0" borderId="452" xfId="68" applyFont="1" applyBorder="1">
      <alignment vertical="center"/>
    </xf>
    <xf numFmtId="0" fontId="66" fillId="0" borderId="453" xfId="68" applyFont="1" applyBorder="1">
      <alignment vertical="center"/>
    </xf>
    <xf numFmtId="0" fontId="66" fillId="0" borderId="0" xfId="68" applyFont="1">
      <alignment vertical="center"/>
    </xf>
    <xf numFmtId="0" fontId="66" fillId="0" borderId="454" xfId="68" applyFont="1" applyBorder="1">
      <alignment vertical="center"/>
    </xf>
    <xf numFmtId="187" fontId="66" fillId="0" borderId="454" xfId="68" applyNumberFormat="1" applyFont="1" applyBorder="1" applyAlignment="1">
      <alignment horizontal="right" vertical="center"/>
    </xf>
    <xf numFmtId="0" fontId="93" fillId="0" borderId="455" xfId="69" applyFont="1" applyBorder="1" applyAlignment="1">
      <alignment horizontal="center"/>
    </xf>
    <xf numFmtId="0" fontId="94" fillId="0" borderId="456" xfId="68" applyFont="1" applyBorder="1" applyAlignment="1">
      <alignment horizontal="center" vertical="center"/>
    </xf>
    <xf numFmtId="0" fontId="94" fillId="0" borderId="456" xfId="68" applyFont="1" applyBorder="1" applyAlignment="1">
      <alignment horizontal="left" vertical="center"/>
    </xf>
    <xf numFmtId="0" fontId="66" fillId="0" borderId="456" xfId="68" applyFont="1" applyBorder="1" applyAlignment="1">
      <alignment horizontal="center" vertical="center"/>
    </xf>
    <xf numFmtId="9" fontId="66" fillId="0" borderId="456" xfId="68" applyNumberFormat="1" applyFont="1" applyBorder="1" applyAlignment="1">
      <alignment horizontal="center" vertical="center"/>
    </xf>
    <xf numFmtId="0" fontId="66" fillId="0" borderId="457" xfId="68" applyFont="1" applyBorder="1" applyAlignment="1">
      <alignment horizontal="center" vertical="center"/>
    </xf>
    <xf numFmtId="41" fontId="66" fillId="0" borderId="457" xfId="34" applyFont="1" applyBorder="1" applyAlignment="1">
      <alignment horizontal="center" vertical="center"/>
    </xf>
    <xf numFmtId="180" fontId="66" fillId="0" borderId="457" xfId="34" applyNumberFormat="1" applyFont="1" applyBorder="1" applyAlignment="1">
      <alignment horizontal="center" vertical="center"/>
    </xf>
    <xf numFmtId="41" fontId="66" fillId="0" borderId="458" xfId="34" applyFont="1" applyBorder="1" applyAlignment="1">
      <alignment horizontal="center" vertical="center"/>
    </xf>
    <xf numFmtId="41" fontId="66" fillId="0" borderId="459" xfId="34" applyFont="1" applyBorder="1" applyAlignment="1">
      <alignment horizontal="center" vertical="center"/>
    </xf>
    <xf numFmtId="179" fontId="66" fillId="0" borderId="458" xfId="34" applyNumberFormat="1" applyFont="1" applyBorder="1" applyAlignment="1">
      <alignment horizontal="right" vertical="center"/>
    </xf>
    <xf numFmtId="0" fontId="94" fillId="0" borderId="460" xfId="68" applyFont="1" applyBorder="1" applyAlignment="1">
      <alignment horizontal="center" vertical="center"/>
    </xf>
    <xf numFmtId="0" fontId="94" fillId="0" borderId="460" xfId="68" applyFont="1" applyBorder="1" applyAlignment="1">
      <alignment horizontal="left" vertical="center"/>
    </xf>
    <xf numFmtId="0" fontId="66" fillId="0" borderId="460" xfId="68" applyFont="1" applyBorder="1" applyAlignment="1">
      <alignment horizontal="center" vertical="center"/>
    </xf>
    <xf numFmtId="0" fontId="94" fillId="0" borderId="461" xfId="68" applyFont="1" applyBorder="1" applyAlignment="1">
      <alignment horizontal="center" vertical="center"/>
    </xf>
    <xf numFmtId="0" fontId="94" fillId="0" borderId="461" xfId="68" applyFont="1" applyBorder="1" applyAlignment="1">
      <alignment horizontal="left" vertical="center"/>
    </xf>
    <xf numFmtId="0" fontId="66" fillId="0" borderId="461" xfId="68" applyFont="1" applyBorder="1" applyAlignment="1">
      <alignment horizontal="center" vertical="center"/>
    </xf>
    <xf numFmtId="41" fontId="66" fillId="0" borderId="456" xfId="34" applyFont="1" applyBorder="1" applyAlignment="1">
      <alignment horizontal="center" vertical="center"/>
    </xf>
    <xf numFmtId="41" fontId="66" fillId="20" borderId="457" xfId="34" applyFont="1" applyFill="1" applyBorder="1" applyAlignment="1">
      <alignment horizontal="center" vertical="center"/>
    </xf>
    <xf numFmtId="41" fontId="66" fillId="20" borderId="458" xfId="34" applyFont="1" applyFill="1" applyBorder="1" applyAlignment="1">
      <alignment horizontal="center" vertical="center"/>
    </xf>
    <xf numFmtId="179" fontId="66" fillId="0" borderId="458" xfId="34" applyNumberFormat="1" applyFont="1" applyFill="1" applyBorder="1" applyAlignment="1">
      <alignment horizontal="right" vertical="center"/>
    </xf>
    <xf numFmtId="0" fontId="66" fillId="0" borderId="452" xfId="68" applyFont="1" applyBorder="1" applyAlignment="1">
      <alignment horizontal="center" vertical="center"/>
    </xf>
    <xf numFmtId="41" fontId="66" fillId="0" borderId="452" xfId="34" applyFont="1" applyBorder="1" applyAlignment="1">
      <alignment horizontal="center" vertical="center"/>
    </xf>
    <xf numFmtId="180" fontId="66" fillId="0" borderId="452" xfId="34" applyNumberFormat="1" applyFont="1" applyBorder="1" applyAlignment="1">
      <alignment horizontal="center" vertical="center"/>
    </xf>
    <xf numFmtId="41" fontId="66" fillId="0" borderId="453" xfId="34" applyFont="1" applyBorder="1" applyAlignment="1">
      <alignment horizontal="center" vertical="center"/>
    </xf>
    <xf numFmtId="179" fontId="66" fillId="0" borderId="453" xfId="34" applyNumberFormat="1" applyFont="1" applyBorder="1" applyAlignment="1">
      <alignment horizontal="right" vertical="center"/>
    </xf>
    <xf numFmtId="41" fontId="66" fillId="4" borderId="458" xfId="34" applyFont="1" applyFill="1" applyBorder="1" applyAlignment="1">
      <alignment horizontal="center" vertical="center"/>
    </xf>
    <xf numFmtId="41" fontId="66" fillId="0" borderId="458" xfId="34" applyFont="1" applyFill="1" applyBorder="1" applyAlignment="1">
      <alignment horizontal="center" vertical="center"/>
    </xf>
    <xf numFmtId="41" fontId="66" fillId="0" borderId="459" xfId="34" applyFont="1" applyFill="1" applyBorder="1" applyAlignment="1">
      <alignment horizontal="center" vertical="center"/>
    </xf>
    <xf numFmtId="41" fontId="66" fillId="0" borderId="457" xfId="34" applyFont="1" applyFill="1" applyBorder="1" applyAlignment="1">
      <alignment horizontal="center" vertical="center"/>
    </xf>
    <xf numFmtId="0" fontId="93" fillId="0" borderId="462" xfId="69" applyFont="1" applyBorder="1" applyAlignment="1">
      <alignment horizontal="center"/>
    </xf>
    <xf numFmtId="9" fontId="66" fillId="0" borderId="461" xfId="68" applyNumberFormat="1" applyFont="1" applyBorder="1" applyAlignment="1">
      <alignment horizontal="center" vertical="center"/>
    </xf>
    <xf numFmtId="41" fontId="66" fillId="0" borderId="461" xfId="34" applyFont="1" applyBorder="1" applyAlignment="1">
      <alignment horizontal="center" vertical="center"/>
    </xf>
    <xf numFmtId="180" fontId="66" fillId="0" borderId="463" xfId="34" applyNumberFormat="1" applyFont="1" applyBorder="1" applyAlignment="1">
      <alignment horizontal="center" vertical="center"/>
    </xf>
    <xf numFmtId="41" fontId="66" fillId="0" borderId="464" xfId="34" applyFont="1" applyFill="1" applyBorder="1" applyAlignment="1">
      <alignment horizontal="center" vertical="center"/>
    </xf>
    <xf numFmtId="41" fontId="66" fillId="0" borderId="465" xfId="34" applyFont="1" applyFill="1" applyBorder="1" applyAlignment="1">
      <alignment horizontal="center" vertical="center"/>
    </xf>
    <xf numFmtId="41" fontId="66" fillId="0" borderId="463" xfId="34" applyFont="1" applyFill="1" applyBorder="1" applyAlignment="1">
      <alignment horizontal="center" vertical="center"/>
    </xf>
    <xf numFmtId="179" fontId="66" fillId="0" borderId="464" xfId="34" applyNumberFormat="1" applyFont="1" applyFill="1" applyBorder="1" applyAlignment="1">
      <alignment horizontal="right" vertical="center"/>
    </xf>
    <xf numFmtId="0" fontId="66" fillId="0" borderId="0" xfId="68" applyFont="1" applyAlignment="1">
      <alignment horizontal="center" vertical="center"/>
    </xf>
    <xf numFmtId="0" fontId="66" fillId="0" borderId="0" xfId="68" applyFont="1" applyAlignment="1">
      <alignment horizontal="left" vertical="center"/>
    </xf>
    <xf numFmtId="0" fontId="95" fillId="0" borderId="0" xfId="68" applyFont="1" applyAlignment="1">
      <alignment horizontal="left" vertical="center"/>
    </xf>
    <xf numFmtId="0" fontId="97" fillId="0" borderId="0" xfId="0" applyFont="1">
      <alignment vertical="center"/>
    </xf>
    <xf numFmtId="0" fontId="98" fillId="0" borderId="0" xfId="0" applyFont="1" applyAlignment="1">
      <alignment horizontal="center" vertical="center"/>
    </xf>
    <xf numFmtId="0" fontId="99" fillId="0" borderId="0" xfId="0" applyFont="1" applyAlignment="1">
      <alignment horizontal="right" vertical="center"/>
    </xf>
    <xf numFmtId="0" fontId="100" fillId="0" borderId="0" xfId="0" applyFont="1">
      <alignment vertical="center"/>
    </xf>
    <xf numFmtId="0" fontId="101" fillId="0" borderId="0" xfId="0" applyFont="1">
      <alignment vertical="center"/>
    </xf>
    <xf numFmtId="179" fontId="101" fillId="0" borderId="0" xfId="0" applyNumberFormat="1" applyFont="1">
      <alignment vertical="center"/>
    </xf>
    <xf numFmtId="0" fontId="97" fillId="0" borderId="0" xfId="0" applyFont="1" applyAlignment="1">
      <alignment horizontal="right" vertical="center"/>
    </xf>
    <xf numFmtId="0" fontId="102" fillId="5" borderId="301" xfId="0" applyFont="1" applyFill="1" applyBorder="1" applyAlignment="1">
      <alignment horizontal="center" vertical="center" wrapText="1"/>
    </xf>
    <xf numFmtId="0" fontId="102" fillId="5" borderId="138" xfId="0" applyFont="1" applyFill="1" applyBorder="1" applyAlignment="1">
      <alignment horizontal="center" vertical="center" wrapText="1"/>
    </xf>
    <xf numFmtId="0" fontId="102" fillId="5" borderId="139" xfId="0" applyFont="1" applyFill="1" applyBorder="1" applyAlignment="1">
      <alignment horizontal="center" vertical="center" wrapText="1"/>
    </xf>
    <xf numFmtId="0" fontId="102" fillId="5" borderId="140" xfId="0" applyFont="1" applyFill="1" applyBorder="1" applyAlignment="1">
      <alignment horizontal="center" vertical="center" wrapText="1"/>
    </xf>
    <xf numFmtId="0" fontId="102" fillId="5" borderId="293" xfId="0" applyFont="1" applyFill="1" applyBorder="1" applyAlignment="1">
      <alignment horizontal="center" vertical="center" wrapText="1"/>
    </xf>
    <xf numFmtId="0" fontId="102" fillId="5" borderId="283" xfId="0" applyFont="1" applyFill="1" applyBorder="1" applyAlignment="1">
      <alignment horizontal="center" vertical="center" wrapText="1"/>
    </xf>
    <xf numFmtId="0" fontId="102" fillId="5" borderId="136" xfId="0" applyFont="1" applyFill="1" applyBorder="1" applyAlignment="1">
      <alignment horizontal="center" vertical="center" wrapText="1"/>
    </xf>
    <xf numFmtId="0" fontId="102" fillId="5" borderId="137" xfId="0" applyFont="1" applyFill="1" applyBorder="1" applyAlignment="1">
      <alignment horizontal="center" vertical="center" wrapText="1"/>
    </xf>
    <xf numFmtId="0" fontId="102" fillId="5" borderId="333" xfId="0" applyFont="1" applyFill="1" applyBorder="1" applyAlignment="1">
      <alignment horizontal="center" vertical="center" wrapText="1"/>
    </xf>
    <xf numFmtId="0" fontId="102" fillId="5" borderId="306" xfId="0" applyFont="1" applyFill="1" applyBorder="1" applyAlignment="1">
      <alignment horizontal="center" vertical="center" wrapText="1"/>
    </xf>
    <xf numFmtId="0" fontId="97" fillId="3" borderId="339" xfId="0" applyFont="1" applyFill="1" applyBorder="1">
      <alignment vertical="center"/>
    </xf>
    <xf numFmtId="179" fontId="103" fillId="3" borderId="146" xfId="0" applyNumberFormat="1" applyFont="1" applyFill="1" applyBorder="1" applyAlignment="1">
      <alignment horizontal="right" vertical="center"/>
    </xf>
    <xf numFmtId="179" fontId="103" fillId="3" borderId="146" xfId="0" applyNumberFormat="1" applyFont="1" applyFill="1" applyBorder="1">
      <alignment vertical="center"/>
    </xf>
    <xf numFmtId="179" fontId="103" fillId="3" borderId="294" xfId="0" applyNumberFormat="1" applyFont="1" applyFill="1" applyBorder="1">
      <alignment vertical="center"/>
    </xf>
    <xf numFmtId="179" fontId="103" fillId="3" borderId="284" xfId="0" applyNumberFormat="1" applyFont="1" applyFill="1" applyBorder="1">
      <alignment vertical="center"/>
    </xf>
    <xf numFmtId="185" fontId="104" fillId="4" borderId="151" xfId="0" applyNumberFormat="1" applyFont="1" applyFill="1" applyBorder="1">
      <alignment vertical="center"/>
    </xf>
    <xf numFmtId="179" fontId="103" fillId="3" borderId="149" xfId="0" applyNumberFormat="1" applyFont="1" applyFill="1" applyBorder="1">
      <alignment vertical="center"/>
    </xf>
    <xf numFmtId="179" fontId="103" fillId="3" borderId="143" xfId="0" applyNumberFormat="1" applyFont="1" applyFill="1" applyBorder="1">
      <alignment vertical="center"/>
    </xf>
    <xf numFmtId="185" fontId="104" fillId="4" borderId="307" xfId="0" applyNumberFormat="1" applyFont="1" applyFill="1" applyBorder="1">
      <alignment vertical="center"/>
    </xf>
    <xf numFmtId="41" fontId="97" fillId="0" borderId="0" xfId="1" applyFont="1">
      <alignment vertical="center"/>
    </xf>
    <xf numFmtId="179" fontId="105" fillId="8" borderId="116" xfId="0" applyNumberFormat="1" applyFont="1" applyFill="1" applyBorder="1" applyAlignment="1">
      <alignment horizontal="right" vertical="center"/>
    </xf>
    <xf numFmtId="179" fontId="105" fillId="8" borderId="116" xfId="0" applyNumberFormat="1" applyFont="1" applyFill="1" applyBorder="1">
      <alignment vertical="center"/>
    </xf>
    <xf numFmtId="179" fontId="105" fillId="8" borderId="155" xfId="0" applyNumberFormat="1" applyFont="1" applyFill="1" applyBorder="1">
      <alignment vertical="center"/>
    </xf>
    <xf numFmtId="179" fontId="105" fillId="8" borderId="157" xfId="0" applyNumberFormat="1" applyFont="1" applyFill="1" applyBorder="1">
      <alignment vertical="center"/>
    </xf>
    <xf numFmtId="179" fontId="105" fillId="8" borderId="295" xfId="0" applyNumberFormat="1" applyFont="1" applyFill="1" applyBorder="1">
      <alignment vertical="center"/>
    </xf>
    <xf numFmtId="179" fontId="105" fillId="8" borderId="285" xfId="0" applyNumberFormat="1" applyFont="1" applyFill="1" applyBorder="1">
      <alignment vertical="center"/>
    </xf>
    <xf numFmtId="179" fontId="105" fillId="8" borderId="0" xfId="0" applyNumberFormat="1" applyFont="1" applyFill="1">
      <alignment vertical="center"/>
    </xf>
    <xf numFmtId="185" fontId="106" fillId="8" borderId="308" xfId="0" applyNumberFormat="1" applyFont="1" applyFill="1" applyBorder="1">
      <alignment vertical="center"/>
    </xf>
    <xf numFmtId="0" fontId="107" fillId="8" borderId="142" xfId="0" applyFont="1" applyFill="1" applyBorder="1" applyAlignment="1">
      <alignment horizontal="center" vertical="center"/>
    </xf>
    <xf numFmtId="0" fontId="108" fillId="0" borderId="121" xfId="0" applyFont="1" applyBorder="1">
      <alignment vertical="center"/>
    </xf>
    <xf numFmtId="41" fontId="105" fillId="0" borderId="115" xfId="0" applyNumberFormat="1" applyFont="1" applyBorder="1" applyAlignment="1">
      <alignment horizontal="right" vertical="center"/>
    </xf>
    <xf numFmtId="179" fontId="105" fillId="0" borderId="116" xfId="0" applyNumberFormat="1" applyFont="1" applyBorder="1">
      <alignment vertical="center"/>
    </xf>
    <xf numFmtId="179" fontId="106" fillId="0" borderId="392" xfId="0" applyNumberFormat="1" applyFont="1" applyBorder="1">
      <alignment vertical="center"/>
    </xf>
    <xf numFmtId="179" fontId="106" fillId="0" borderId="447" xfId="0" applyNumberFormat="1" applyFont="1" applyBorder="1">
      <alignment vertical="center"/>
    </xf>
    <xf numFmtId="179" fontId="106" fillId="0" borderId="396" xfId="1" applyNumberFormat="1" applyFont="1" applyBorder="1">
      <alignment vertical="center"/>
    </xf>
    <xf numFmtId="179" fontId="105" fillId="0" borderId="395" xfId="1" applyNumberFormat="1" applyFont="1" applyBorder="1">
      <alignment vertical="center"/>
    </xf>
    <xf numFmtId="179" fontId="105" fillId="0" borderId="499" xfId="1" applyNumberFormat="1" applyFont="1" applyBorder="1">
      <alignment vertical="center"/>
    </xf>
    <xf numFmtId="185" fontId="106" fillId="0" borderId="396" xfId="1" applyNumberFormat="1" applyFont="1" applyBorder="1">
      <alignment vertical="center"/>
    </xf>
    <xf numFmtId="179" fontId="105" fillId="0" borderId="395" xfId="0" applyNumberFormat="1" applyFont="1" applyBorder="1">
      <alignment vertical="center"/>
    </xf>
    <xf numFmtId="179" fontId="105" fillId="0" borderId="499" xfId="0" applyNumberFormat="1" applyFont="1" applyBorder="1">
      <alignment vertical="center"/>
    </xf>
    <xf numFmtId="179" fontId="105" fillId="0" borderId="447" xfId="0" applyNumberFormat="1" applyFont="1" applyBorder="1">
      <alignment vertical="center"/>
    </xf>
    <xf numFmtId="0" fontId="107" fillId="8" borderId="142" xfId="0" applyFont="1" applyFill="1" applyBorder="1">
      <alignment vertical="center"/>
    </xf>
    <xf numFmtId="0" fontId="109" fillId="0" borderId="159" xfId="0" applyFont="1" applyBorder="1">
      <alignment vertical="center"/>
    </xf>
    <xf numFmtId="179" fontId="105" fillId="0" borderId="160" xfId="0" applyNumberFormat="1" applyFont="1" applyBorder="1" applyAlignment="1">
      <alignment horizontal="right" vertical="center"/>
    </xf>
    <xf numFmtId="179" fontId="105" fillId="0" borderId="161" xfId="0" applyNumberFormat="1" applyFont="1" applyBorder="1">
      <alignment vertical="center"/>
    </xf>
    <xf numFmtId="179" fontId="106" fillId="0" borderId="394" xfId="0" applyNumberFormat="1" applyFont="1" applyBorder="1">
      <alignment vertical="center"/>
    </xf>
    <xf numFmtId="179" fontId="105" fillId="0" borderId="392" xfId="0" applyNumberFormat="1" applyFont="1" applyBorder="1">
      <alignment vertical="center"/>
    </xf>
    <xf numFmtId="185" fontId="106" fillId="0" borderId="394" xfId="0" applyNumberFormat="1" applyFont="1" applyBorder="1">
      <alignment vertical="center"/>
    </xf>
    <xf numFmtId="179" fontId="105" fillId="8" borderId="180" xfId="0" applyNumberFormat="1" applyFont="1" applyFill="1" applyBorder="1" applyAlignment="1">
      <alignment horizontal="right" vertical="center"/>
    </xf>
    <xf numFmtId="179" fontId="105" fillId="8" borderId="180" xfId="0" applyNumberFormat="1" applyFont="1" applyFill="1" applyBorder="1">
      <alignment vertical="center"/>
    </xf>
    <xf numFmtId="179" fontId="105" fillId="8" borderId="395" xfId="0" applyNumberFormat="1" applyFont="1" applyFill="1" applyBorder="1">
      <alignment vertical="center"/>
    </xf>
    <xf numFmtId="179" fontId="105" fillId="8" borderId="499" xfId="0" applyNumberFormat="1" applyFont="1" applyFill="1" applyBorder="1">
      <alignment vertical="center"/>
    </xf>
    <xf numFmtId="179" fontId="105" fillId="8" borderId="396" xfId="0" applyNumberFormat="1" applyFont="1" applyFill="1" applyBorder="1">
      <alignment vertical="center"/>
    </xf>
    <xf numFmtId="185" fontId="106" fillId="8" borderId="396" xfId="0" applyNumberFormat="1" applyFont="1" applyFill="1" applyBorder="1">
      <alignment vertical="center"/>
    </xf>
    <xf numFmtId="0" fontId="109" fillId="0" borderId="184" xfId="0" applyFont="1" applyBorder="1">
      <alignment vertical="center"/>
    </xf>
    <xf numFmtId="41" fontId="105" fillId="0" borderId="115" xfId="1" applyFont="1" applyBorder="1" applyAlignment="1">
      <alignment horizontal="right" vertical="center"/>
    </xf>
    <xf numFmtId="0" fontId="108" fillId="0" borderId="159" xfId="0" applyFont="1" applyBorder="1">
      <alignment vertical="center"/>
    </xf>
    <xf numFmtId="41" fontId="105" fillId="0" borderId="160" xfId="0" applyNumberFormat="1" applyFont="1" applyBorder="1" applyAlignment="1">
      <alignment horizontal="right" vertical="center"/>
    </xf>
    <xf numFmtId="185" fontId="105" fillId="8" borderId="395" xfId="0" applyNumberFormat="1" applyFont="1" applyFill="1" applyBorder="1">
      <alignment vertical="center"/>
    </xf>
    <xf numFmtId="185" fontId="105" fillId="8" borderId="499" xfId="0" applyNumberFormat="1" applyFont="1" applyFill="1" applyBorder="1">
      <alignment vertical="center"/>
    </xf>
    <xf numFmtId="0" fontId="107" fillId="8" borderId="186" xfId="0" applyFont="1" applyFill="1" applyBorder="1">
      <alignment vertical="center"/>
    </xf>
    <xf numFmtId="0" fontId="108" fillId="0" borderId="187" xfId="0" applyFont="1" applyBorder="1">
      <alignment vertical="center"/>
    </xf>
    <xf numFmtId="41" fontId="105" fillId="0" borderId="188" xfId="0" applyNumberFormat="1" applyFont="1" applyBorder="1" applyAlignment="1">
      <alignment horizontal="right" vertical="center"/>
    </xf>
    <xf numFmtId="179" fontId="105" fillId="0" borderId="189" xfId="0" applyNumberFormat="1" applyFont="1" applyBorder="1">
      <alignment vertical="center"/>
    </xf>
    <xf numFmtId="179" fontId="106" fillId="0" borderId="395" xfId="1" applyNumberFormat="1" applyFont="1" applyBorder="1">
      <alignment vertical="center"/>
    </xf>
    <xf numFmtId="179" fontId="106" fillId="0" borderId="499" xfId="1" applyNumberFormat="1" applyFont="1" applyBorder="1">
      <alignment vertical="center"/>
    </xf>
    <xf numFmtId="179" fontId="106" fillId="0" borderId="395" xfId="0" applyNumberFormat="1" applyFont="1" applyBorder="1">
      <alignment vertical="center"/>
    </xf>
    <xf numFmtId="179" fontId="106" fillId="0" borderId="499" xfId="0" applyNumberFormat="1" applyFont="1" applyBorder="1">
      <alignment vertical="center"/>
    </xf>
    <xf numFmtId="185" fontId="106" fillId="0" borderId="396" xfId="0" applyNumberFormat="1" applyFont="1" applyBorder="1">
      <alignment vertical="center"/>
    </xf>
    <xf numFmtId="0" fontId="109" fillId="0" borderId="198" xfId="0" applyFont="1" applyBorder="1">
      <alignment vertical="center"/>
    </xf>
    <xf numFmtId="41" fontId="105" fillId="0" borderId="199" xfId="0" applyNumberFormat="1" applyFont="1" applyBorder="1" applyAlignment="1">
      <alignment horizontal="right" vertical="center"/>
    </xf>
    <xf numFmtId="179" fontId="105" fillId="0" borderId="200" xfId="0" applyNumberFormat="1" applyFont="1" applyBorder="1">
      <alignment vertical="center"/>
    </xf>
    <xf numFmtId="0" fontId="107" fillId="8" borderId="444" xfId="0" applyFont="1" applyFill="1" applyBorder="1">
      <alignment vertical="center"/>
    </xf>
    <xf numFmtId="0" fontId="110" fillId="0" borderId="445" xfId="0" applyFont="1" applyBorder="1">
      <alignment vertical="center"/>
    </xf>
    <xf numFmtId="41" fontId="105" fillId="0" borderId="446" xfId="0" applyNumberFormat="1" applyFont="1" applyBorder="1" applyAlignment="1">
      <alignment horizontal="right" vertical="center"/>
    </xf>
    <xf numFmtId="179" fontId="105" fillId="0" borderId="37" xfId="1" applyNumberFormat="1" applyFont="1" applyBorder="1">
      <alignment vertical="center"/>
    </xf>
    <xf numFmtId="179" fontId="106" fillId="0" borderId="500" xfId="1" applyNumberFormat="1" applyFont="1" applyBorder="1">
      <alignment vertical="center"/>
    </xf>
    <xf numFmtId="179" fontId="106" fillId="0" borderId="501" xfId="1" applyNumberFormat="1" applyFont="1" applyBorder="1">
      <alignment vertical="center"/>
    </xf>
    <xf numFmtId="179" fontId="106" fillId="0" borderId="502" xfId="1" applyNumberFormat="1" applyFont="1" applyBorder="1">
      <alignment vertical="center"/>
    </xf>
    <xf numFmtId="179" fontId="106" fillId="0" borderId="500" xfId="0" applyNumberFormat="1" applyFont="1" applyBorder="1">
      <alignment vertical="center"/>
    </xf>
    <xf numFmtId="179" fontId="106" fillId="0" borderId="501" xfId="0" applyNumberFormat="1" applyFont="1" applyBorder="1">
      <alignment vertical="center"/>
    </xf>
    <xf numFmtId="179" fontId="105" fillId="0" borderId="500" xfId="0" applyNumberFormat="1" applyFont="1" applyBorder="1">
      <alignment vertical="center"/>
    </xf>
    <xf numFmtId="179" fontId="105" fillId="0" borderId="501" xfId="0" applyNumberFormat="1" applyFont="1" applyBorder="1">
      <alignment vertical="center"/>
    </xf>
    <xf numFmtId="179" fontId="105" fillId="0" borderId="501" xfId="1" applyNumberFormat="1" applyFont="1" applyBorder="1">
      <alignment vertical="center"/>
    </xf>
    <xf numFmtId="185" fontId="106" fillId="0" borderId="502" xfId="1" applyNumberFormat="1" applyFont="1" applyBorder="1">
      <alignment vertical="center"/>
    </xf>
    <xf numFmtId="41" fontId="112" fillId="8" borderId="115" xfId="1" applyFont="1" applyFill="1" applyBorder="1">
      <alignment vertical="center"/>
    </xf>
    <xf numFmtId="41" fontId="112" fillId="8" borderId="443" xfId="1" applyFont="1" applyFill="1" applyBorder="1">
      <alignment vertical="center"/>
    </xf>
    <xf numFmtId="41" fontId="105" fillId="8" borderId="405" xfId="1" applyFont="1" applyFill="1" applyBorder="1">
      <alignment vertical="center"/>
    </xf>
    <xf numFmtId="179" fontId="105" fillId="8" borderId="400" xfId="0" applyNumberFormat="1" applyFont="1" applyFill="1" applyBorder="1">
      <alignment vertical="center"/>
    </xf>
    <xf numFmtId="41" fontId="105" fillId="8" borderId="406" xfId="1" applyFont="1" applyFill="1" applyBorder="1">
      <alignment vertical="center"/>
    </xf>
    <xf numFmtId="41" fontId="106" fillId="8" borderId="406" xfId="1" applyFont="1" applyFill="1" applyBorder="1">
      <alignment vertical="center"/>
    </xf>
    <xf numFmtId="179" fontId="106" fillId="0" borderId="300" xfId="1" applyNumberFormat="1" applyFont="1" applyBorder="1">
      <alignment vertical="center"/>
    </xf>
    <xf numFmtId="179" fontId="97" fillId="0" borderId="0" xfId="0" applyNumberFormat="1" applyFont="1">
      <alignment vertical="center"/>
    </xf>
    <xf numFmtId="0" fontId="112" fillId="0" borderId="159" xfId="0" applyFont="1" applyBorder="1">
      <alignment vertical="center"/>
    </xf>
    <xf numFmtId="41" fontId="112" fillId="0" borderId="160" xfId="1" applyFont="1" applyBorder="1">
      <alignment vertical="center"/>
    </xf>
    <xf numFmtId="41" fontId="112" fillId="0" borderId="379" xfId="1" applyFont="1" applyBorder="1">
      <alignment vertical="center"/>
    </xf>
    <xf numFmtId="41" fontId="106" fillId="0" borderId="166" xfId="1" applyFont="1" applyBorder="1">
      <alignment vertical="center"/>
    </xf>
    <xf numFmtId="181" fontId="106" fillId="0" borderId="286" xfId="0" applyNumberFormat="1" applyFont="1" applyBorder="1">
      <alignment vertical="center"/>
    </xf>
    <xf numFmtId="41" fontId="106" fillId="0" borderId="167" xfId="1" applyFont="1" applyBorder="1">
      <alignment vertical="center"/>
    </xf>
    <xf numFmtId="179" fontId="106" fillId="0" borderId="296" xfId="1" applyNumberFormat="1" applyFont="1" applyBorder="1">
      <alignment vertical="center"/>
    </xf>
    <xf numFmtId="0" fontId="112" fillId="0" borderId="187" xfId="0" applyFont="1" applyBorder="1">
      <alignment vertical="center"/>
    </xf>
    <xf numFmtId="41" fontId="112" fillId="0" borderId="188" xfId="1" applyFont="1" applyBorder="1">
      <alignment vertical="center"/>
    </xf>
    <xf numFmtId="41" fontId="112" fillId="0" borderId="384" xfId="1" applyFont="1" applyBorder="1">
      <alignment vertical="center"/>
    </xf>
    <xf numFmtId="41" fontId="106" fillId="0" borderId="195" xfId="1" applyFont="1" applyBorder="1">
      <alignment vertical="center"/>
    </xf>
    <xf numFmtId="179" fontId="106" fillId="0" borderId="288" xfId="0" applyNumberFormat="1" applyFont="1" applyBorder="1">
      <alignment vertical="center"/>
    </xf>
    <xf numFmtId="179" fontId="106" fillId="0" borderId="194" xfId="0" applyNumberFormat="1" applyFont="1" applyBorder="1">
      <alignment vertical="center"/>
    </xf>
    <xf numFmtId="41" fontId="106" fillId="0" borderId="196" xfId="1" applyFont="1" applyBorder="1">
      <alignment vertical="center"/>
    </xf>
    <xf numFmtId="0" fontId="97" fillId="3" borderId="341" xfId="0" applyFont="1" applyFill="1" applyBorder="1">
      <alignment vertical="center"/>
    </xf>
    <xf numFmtId="0" fontId="112" fillId="0" borderId="385" xfId="0" applyFont="1" applyBorder="1">
      <alignment vertical="center"/>
    </xf>
    <xf numFmtId="41" fontId="112" fillId="0" borderId="386" xfId="1" applyFont="1" applyBorder="1">
      <alignment vertical="center"/>
    </xf>
    <xf numFmtId="41" fontId="112" fillId="0" borderId="387" xfId="1" applyFont="1" applyBorder="1">
      <alignment vertical="center"/>
    </xf>
    <xf numFmtId="41" fontId="106" fillId="0" borderId="388" xfId="1" applyFont="1" applyBorder="1">
      <alignment vertical="center"/>
    </xf>
    <xf numFmtId="179" fontId="106" fillId="0" borderId="389" xfId="0" applyNumberFormat="1" applyFont="1" applyBorder="1">
      <alignment vertical="center"/>
    </xf>
    <xf numFmtId="179" fontId="106" fillId="0" borderId="390" xfId="0" applyNumberFormat="1" applyFont="1" applyBorder="1">
      <alignment vertical="center"/>
    </xf>
    <xf numFmtId="41" fontId="106" fillId="0" borderId="391" xfId="1" applyFont="1" applyBorder="1">
      <alignment vertical="center"/>
    </xf>
    <xf numFmtId="0" fontId="103" fillId="0" borderId="0" xfId="0" applyFont="1">
      <alignment vertical="center"/>
    </xf>
    <xf numFmtId="179" fontId="103" fillId="0" borderId="0" xfId="0" applyNumberFormat="1" applyFont="1">
      <alignment vertical="center"/>
    </xf>
    <xf numFmtId="179" fontId="113" fillId="0" borderId="0" xfId="0" applyNumberFormat="1" applyFont="1">
      <alignment vertical="center"/>
    </xf>
    <xf numFmtId="0" fontId="114" fillId="0" borderId="0" xfId="0" applyFont="1">
      <alignment vertical="center"/>
    </xf>
    <xf numFmtId="0" fontId="108" fillId="0" borderId="0" xfId="0" applyFont="1">
      <alignment vertical="center"/>
    </xf>
    <xf numFmtId="185" fontId="103" fillId="0" borderId="0" xfId="0" applyNumberFormat="1" applyFont="1">
      <alignment vertical="center"/>
    </xf>
    <xf numFmtId="0" fontId="115" fillId="0" borderId="0" xfId="0" applyFont="1">
      <alignment vertical="center"/>
    </xf>
    <xf numFmtId="0" fontId="103" fillId="5" borderId="509" xfId="0" applyFont="1" applyFill="1" applyBorder="1" applyAlignment="1">
      <alignment horizontal="center" vertical="center"/>
    </xf>
    <xf numFmtId="0" fontId="103" fillId="5" borderId="507" xfId="0" applyFont="1" applyFill="1" applyBorder="1" applyAlignment="1">
      <alignment horizontal="center" vertical="center"/>
    </xf>
    <xf numFmtId="0" fontId="97" fillId="0" borderId="0" xfId="0" applyFont="1" applyAlignment="1">
      <alignment vertical="center" wrapText="1"/>
    </xf>
    <xf numFmtId="0" fontId="103" fillId="0" borderId="0" xfId="0" applyFont="1" applyAlignment="1">
      <alignment horizontal="center" vertical="center"/>
    </xf>
    <xf numFmtId="180" fontId="103" fillId="0" borderId="0" xfId="1" applyNumberFormat="1" applyFont="1" applyFill="1" applyBorder="1" applyAlignment="1">
      <alignment horizontal="center" vertical="center"/>
    </xf>
    <xf numFmtId="188" fontId="103" fillId="0" borderId="0" xfId="1" applyNumberFormat="1" applyFont="1" applyFill="1" applyBorder="1" applyAlignment="1">
      <alignment horizontal="right" vertical="center"/>
    </xf>
    <xf numFmtId="180" fontId="121" fillId="0" borderId="0" xfId="1" applyNumberFormat="1" applyFont="1" applyFill="1" applyBorder="1" applyAlignment="1">
      <alignment horizontal="left" vertical="top" wrapText="1"/>
    </xf>
    <xf numFmtId="43" fontId="97" fillId="0" borderId="0" xfId="0" applyNumberFormat="1" applyFont="1">
      <alignment vertical="center"/>
    </xf>
    <xf numFmtId="0" fontId="103" fillId="5" borderId="277" xfId="0" applyFont="1" applyFill="1" applyBorder="1" applyAlignment="1">
      <alignment horizontal="center" vertical="center"/>
    </xf>
    <xf numFmtId="0" fontId="123" fillId="0" borderId="0" xfId="0" applyFont="1">
      <alignment vertical="center"/>
    </xf>
    <xf numFmtId="180" fontId="103" fillId="0" borderId="0" xfId="1" applyNumberFormat="1" applyFont="1" applyFill="1" applyBorder="1" applyAlignment="1">
      <alignment horizontal="right" vertical="center"/>
    </xf>
    <xf numFmtId="180" fontId="103" fillId="0" borderId="0" xfId="1" applyNumberFormat="1" applyFont="1" applyFill="1" applyBorder="1" applyAlignment="1">
      <alignment vertical="top" wrapText="1"/>
    </xf>
    <xf numFmtId="0" fontId="103" fillId="2" borderId="470" xfId="0" applyFont="1" applyFill="1" applyBorder="1" applyAlignment="1">
      <alignment horizontal="center" vertical="center" wrapText="1"/>
    </xf>
    <xf numFmtId="0" fontId="103" fillId="2" borderId="474" xfId="0" applyFont="1" applyFill="1" applyBorder="1" applyAlignment="1">
      <alignment horizontal="center" vertical="center" wrapText="1"/>
    </xf>
    <xf numFmtId="0" fontId="103" fillId="2" borderId="477" xfId="0" applyFont="1" applyFill="1" applyBorder="1" applyAlignment="1">
      <alignment horizontal="center" vertical="center" wrapText="1"/>
    </xf>
    <xf numFmtId="0" fontId="103" fillId="2" borderId="475" xfId="0" applyFont="1" applyFill="1" applyBorder="1" applyAlignment="1">
      <alignment horizontal="center" vertical="center" wrapText="1"/>
    </xf>
    <xf numFmtId="180" fontId="105" fillId="0" borderId="471" xfId="1" applyNumberFormat="1" applyFont="1" applyFill="1" applyBorder="1" applyAlignment="1">
      <alignment vertical="center"/>
    </xf>
    <xf numFmtId="185" fontId="113" fillId="0" borderId="473" xfId="1" applyNumberFormat="1" applyFont="1" applyBorder="1" applyAlignment="1">
      <alignment vertical="center"/>
    </xf>
    <xf numFmtId="180" fontId="103" fillId="5" borderId="219" xfId="1" applyNumberFormat="1" applyFont="1" applyFill="1" applyBorder="1" applyAlignment="1">
      <alignment vertical="center"/>
    </xf>
    <xf numFmtId="185" fontId="113" fillId="5" borderId="473" xfId="1" applyNumberFormat="1" applyFont="1" applyFill="1" applyBorder="1" applyAlignment="1">
      <alignment vertical="center"/>
    </xf>
    <xf numFmtId="185" fontId="113" fillId="5" borderId="468" xfId="1" applyNumberFormat="1" applyFont="1" applyFill="1" applyBorder="1" applyAlignment="1">
      <alignment vertical="center"/>
    </xf>
    <xf numFmtId="180" fontId="105" fillId="0" borderId="219" xfId="1" applyNumberFormat="1" applyFont="1" applyFill="1" applyBorder="1" applyAlignment="1">
      <alignment vertical="center"/>
    </xf>
    <xf numFmtId="185" fontId="113" fillId="0" borderId="468" xfId="1" applyNumberFormat="1" applyFont="1" applyBorder="1" applyAlignment="1">
      <alignment vertical="center"/>
    </xf>
    <xf numFmtId="180" fontId="103" fillId="3" borderId="219" xfId="1" applyNumberFormat="1" applyFont="1" applyFill="1" applyBorder="1" applyAlignment="1">
      <alignment vertical="center"/>
    </xf>
    <xf numFmtId="185" fontId="113" fillId="3" borderId="473" xfId="1" applyNumberFormat="1" applyFont="1" applyFill="1" applyBorder="1" applyAlignment="1">
      <alignment vertical="center"/>
    </xf>
    <xf numFmtId="185" fontId="113" fillId="3" borderId="469" xfId="1" applyNumberFormat="1" applyFont="1" applyFill="1" applyBorder="1" applyAlignment="1">
      <alignment vertical="center"/>
    </xf>
    <xf numFmtId="0" fontId="97" fillId="0" borderId="0" xfId="0" applyFont="1" applyAlignment="1">
      <alignment horizontal="center" vertical="center"/>
    </xf>
    <xf numFmtId="0" fontId="125" fillId="0" borderId="0" xfId="0" applyFont="1" applyAlignment="1">
      <alignment horizontal="right" vertical="center"/>
    </xf>
    <xf numFmtId="0" fontId="105" fillId="0" borderId="0" xfId="0" applyFont="1" applyAlignment="1">
      <alignment horizontal="center" vertical="center"/>
    </xf>
    <xf numFmtId="0" fontId="105" fillId="0" borderId="0" xfId="0" applyFont="1" applyAlignment="1">
      <alignment horizontal="left" vertical="center"/>
    </xf>
    <xf numFmtId="41" fontId="97" fillId="0" borderId="0" xfId="0" applyNumberFormat="1" applyFont="1">
      <alignment vertical="center"/>
    </xf>
    <xf numFmtId="0" fontId="126" fillId="13" borderId="419" xfId="0" applyFont="1" applyFill="1" applyBorder="1" applyAlignment="1">
      <alignment horizontal="center" vertical="center" wrapText="1" readingOrder="1"/>
    </xf>
    <xf numFmtId="0" fontId="126" fillId="13" borderId="371" xfId="0" applyFont="1" applyFill="1" applyBorder="1" applyAlignment="1">
      <alignment horizontal="center" vertical="center" wrapText="1" readingOrder="1"/>
    </xf>
    <xf numFmtId="0" fontId="126" fillId="13" borderId="420" xfId="0" applyFont="1" applyFill="1" applyBorder="1" applyAlignment="1">
      <alignment horizontal="center" vertical="center" wrapText="1" readingOrder="1"/>
    </xf>
    <xf numFmtId="41" fontId="127" fillId="14" borderId="419" xfId="1" applyFont="1" applyFill="1" applyBorder="1" applyAlignment="1">
      <alignment horizontal="right" vertical="center" wrapText="1" readingOrder="1"/>
    </xf>
    <xf numFmtId="41" fontId="127" fillId="14" borderId="371" xfId="1" applyFont="1" applyFill="1" applyBorder="1" applyAlignment="1">
      <alignment horizontal="right" vertical="center" wrapText="1" readingOrder="1"/>
    </xf>
    <xf numFmtId="179" fontId="127" fillId="14" borderId="371" xfId="1" applyNumberFormat="1" applyFont="1" applyFill="1" applyBorder="1" applyAlignment="1">
      <alignment horizontal="right" vertical="center" wrapText="1" readingOrder="1"/>
    </xf>
    <xf numFmtId="41" fontId="127" fillId="14" borderId="420" xfId="1" applyFont="1" applyFill="1" applyBorder="1" applyAlignment="1">
      <alignment horizontal="right" vertical="center" wrapText="1" readingOrder="1"/>
    </xf>
    <xf numFmtId="0" fontId="129" fillId="0" borderId="372" xfId="0" applyFont="1" applyBorder="1" applyAlignment="1">
      <alignment horizontal="left" vertical="center" wrapText="1" readingOrder="1"/>
    </xf>
    <xf numFmtId="41" fontId="129" fillId="0" borderId="419" xfId="1" applyFont="1" applyBorder="1" applyAlignment="1">
      <alignment horizontal="right" vertical="center" wrapText="1" readingOrder="1"/>
    </xf>
    <xf numFmtId="41" fontId="129" fillId="0" borderId="371" xfId="1" applyFont="1" applyBorder="1" applyAlignment="1">
      <alignment horizontal="right" vertical="center" wrapText="1" readingOrder="1"/>
    </xf>
    <xf numFmtId="179" fontId="129" fillId="0" borderId="371" xfId="1" applyNumberFormat="1" applyFont="1" applyBorder="1" applyAlignment="1">
      <alignment horizontal="right" vertical="center" wrapText="1" readingOrder="1"/>
    </xf>
    <xf numFmtId="41" fontId="129" fillId="0" borderId="420" xfId="1" applyFont="1" applyBorder="1" applyAlignment="1">
      <alignment horizontal="right" vertical="center" wrapText="1" readingOrder="1"/>
    </xf>
    <xf numFmtId="180" fontId="127" fillId="14" borderId="371" xfId="1" applyNumberFormat="1" applyFont="1" applyFill="1" applyBorder="1" applyAlignment="1">
      <alignment horizontal="right" vertical="center" wrapText="1" readingOrder="1"/>
    </xf>
    <xf numFmtId="180" fontId="129" fillId="0" borderId="371" xfId="1" applyNumberFormat="1" applyFont="1" applyBorder="1" applyAlignment="1">
      <alignment horizontal="right" vertical="center" wrapText="1" readingOrder="1"/>
    </xf>
    <xf numFmtId="41" fontId="129" fillId="0" borderId="421" xfId="1" applyFont="1" applyBorder="1" applyAlignment="1">
      <alignment horizontal="right" vertical="center" wrapText="1" readingOrder="1"/>
    </xf>
    <xf numFmtId="41" fontId="129" fillId="0" borderId="422" xfId="1" applyFont="1" applyBorder="1" applyAlignment="1">
      <alignment horizontal="right" vertical="center" wrapText="1" readingOrder="1"/>
    </xf>
    <xf numFmtId="179" fontId="129" fillId="0" borderId="422" xfId="1" applyNumberFormat="1" applyFont="1" applyBorder="1" applyAlignment="1">
      <alignment horizontal="right" vertical="center" wrapText="1" readingOrder="1"/>
    </xf>
    <xf numFmtId="41" fontId="129" fillId="0" borderId="423" xfId="1" applyFont="1" applyBorder="1" applyAlignment="1">
      <alignment horizontal="right" vertical="center" wrapText="1" readingOrder="1"/>
    </xf>
    <xf numFmtId="180" fontId="97" fillId="0" borderId="0" xfId="0" applyNumberFormat="1" applyFont="1">
      <alignment vertical="center"/>
    </xf>
    <xf numFmtId="0" fontId="126" fillId="0" borderId="0" xfId="0" applyFont="1" applyAlignment="1">
      <alignment horizontal="center" vertical="center" wrapText="1" readingOrder="1"/>
    </xf>
    <xf numFmtId="41" fontId="127" fillId="0" borderId="0" xfId="1" applyFont="1" applyFill="1" applyBorder="1" applyAlignment="1">
      <alignment horizontal="right" vertical="center" wrapText="1" readingOrder="1"/>
    </xf>
    <xf numFmtId="179" fontId="127" fillId="0" borderId="0" xfId="1" applyNumberFormat="1" applyFont="1" applyFill="1" applyBorder="1" applyAlignment="1">
      <alignment horizontal="right" vertical="center" wrapText="1" readingOrder="1"/>
    </xf>
    <xf numFmtId="41" fontId="129" fillId="0" borderId="0" xfId="1" applyFont="1" applyFill="1" applyBorder="1" applyAlignment="1">
      <alignment horizontal="right" vertical="center" wrapText="1" readingOrder="1"/>
    </xf>
    <xf numFmtId="179" fontId="129" fillId="0" borderId="0" xfId="1" applyNumberFormat="1" applyFont="1" applyFill="1" applyBorder="1" applyAlignment="1">
      <alignment horizontal="right" vertical="center" wrapText="1" readingOrder="1"/>
    </xf>
    <xf numFmtId="185" fontId="127" fillId="14" borderId="371" xfId="1" applyNumberFormat="1" applyFont="1" applyFill="1" applyBorder="1" applyAlignment="1">
      <alignment horizontal="right" vertical="center" wrapText="1" readingOrder="1"/>
    </xf>
    <xf numFmtId="179" fontId="127" fillId="14" borderId="420" xfId="1" applyNumberFormat="1" applyFont="1" applyFill="1" applyBorder="1" applyAlignment="1">
      <alignment horizontal="right" vertical="center" wrapText="1" readingOrder="1"/>
    </xf>
    <xf numFmtId="185" fontId="129" fillId="0" borderId="371" xfId="1" applyNumberFormat="1" applyFont="1" applyBorder="1" applyAlignment="1">
      <alignment horizontal="right" vertical="center" wrapText="1" readingOrder="1"/>
    </xf>
    <xf numFmtId="185" fontId="129" fillId="0" borderId="420" xfId="1" applyNumberFormat="1" applyFont="1" applyBorder="1" applyAlignment="1">
      <alignment horizontal="right" vertical="center" wrapText="1" readingOrder="1"/>
    </xf>
    <xf numFmtId="180" fontId="129" fillId="0" borderId="422" xfId="1" applyNumberFormat="1" applyFont="1" applyBorder="1" applyAlignment="1">
      <alignment horizontal="right" vertical="center" wrapText="1" readingOrder="1"/>
    </xf>
    <xf numFmtId="185" fontId="129" fillId="0" borderId="422" xfId="1" applyNumberFormat="1" applyFont="1" applyBorder="1" applyAlignment="1">
      <alignment horizontal="right" vertical="center" wrapText="1" readingOrder="1"/>
    </xf>
    <xf numFmtId="185" fontId="129" fillId="0" borderId="423" xfId="1" applyNumberFormat="1" applyFont="1" applyBorder="1" applyAlignment="1">
      <alignment horizontal="right" vertical="center" wrapText="1" readingOrder="1"/>
    </xf>
    <xf numFmtId="0" fontId="126" fillId="13" borderId="470" xfId="0" applyFont="1" applyFill="1" applyBorder="1" applyAlignment="1">
      <alignment horizontal="center" vertical="center" wrapText="1" readingOrder="1"/>
    </xf>
    <xf numFmtId="0" fontId="126" fillId="13" borderId="494" xfId="0" applyFont="1" applyFill="1" applyBorder="1" applyAlignment="1">
      <alignment horizontal="center" vertical="center" wrapText="1" readingOrder="1"/>
    </xf>
    <xf numFmtId="0" fontId="126" fillId="13" borderId="475" xfId="0" applyFont="1" applyFill="1" applyBorder="1" applyAlignment="1">
      <alignment horizontal="center" vertical="center" wrapText="1" readingOrder="1"/>
    </xf>
    <xf numFmtId="0" fontId="128" fillId="0" borderId="470" xfId="0" applyFont="1" applyBorder="1" applyAlignment="1">
      <alignment vertical="center" wrapText="1"/>
    </xf>
    <xf numFmtId="0" fontId="129" fillId="0" borderId="470" xfId="0" applyFont="1" applyBorder="1" applyAlignment="1">
      <alignment horizontal="left" vertical="center" wrapText="1" readingOrder="1"/>
    </xf>
    <xf numFmtId="0" fontId="126" fillId="0" borderId="0" xfId="0" applyFont="1" applyAlignment="1">
      <alignment vertical="center" wrapText="1" readingOrder="1"/>
    </xf>
    <xf numFmtId="190" fontId="127" fillId="0" borderId="0" xfId="1" applyNumberFormat="1" applyFont="1" applyFill="1" applyBorder="1" applyAlignment="1">
      <alignment horizontal="right" vertical="center" wrapText="1" readingOrder="1"/>
    </xf>
    <xf numFmtId="190" fontId="107" fillId="0" borderId="0" xfId="0" applyNumberFormat="1" applyFont="1">
      <alignment vertical="center"/>
    </xf>
    <xf numFmtId="1" fontId="107" fillId="0" borderId="0" xfId="0" applyNumberFormat="1" applyFont="1">
      <alignment vertical="center"/>
    </xf>
    <xf numFmtId="179" fontId="107" fillId="0" borderId="0" xfId="0" applyNumberFormat="1" applyFont="1">
      <alignment vertical="center"/>
    </xf>
    <xf numFmtId="1" fontId="97" fillId="0" borderId="0" xfId="0" applyNumberFormat="1" applyFont="1">
      <alignment vertical="center"/>
    </xf>
    <xf numFmtId="0" fontId="130" fillId="0" borderId="0" xfId="0" applyFont="1" applyAlignment="1">
      <alignment horizontal="left" vertical="center"/>
    </xf>
    <xf numFmtId="0" fontId="123" fillId="0" borderId="0" xfId="0" applyFont="1" applyAlignment="1">
      <alignment horizontal="center" vertical="center"/>
    </xf>
    <xf numFmtId="0" fontId="97" fillId="0" borderId="22" xfId="0" applyFont="1" applyBorder="1">
      <alignment vertical="center"/>
    </xf>
    <xf numFmtId="0" fontId="107" fillId="5" borderId="18" xfId="0" applyFont="1" applyFill="1" applyBorder="1" applyAlignment="1">
      <alignment horizontal="center" vertical="center"/>
    </xf>
    <xf numFmtId="0" fontId="107" fillId="5" borderId="19" xfId="0" applyFont="1" applyFill="1" applyBorder="1" applyAlignment="1">
      <alignment horizontal="center" vertical="center"/>
    </xf>
    <xf numFmtId="41" fontId="107" fillId="5" borderId="19" xfId="1" applyFont="1" applyFill="1" applyBorder="1" applyAlignment="1">
      <alignment horizontal="center" vertical="center"/>
    </xf>
    <xf numFmtId="0" fontId="107" fillId="5" borderId="20" xfId="0" applyFont="1" applyFill="1" applyBorder="1" applyAlignment="1">
      <alignment horizontal="center" vertical="center"/>
    </xf>
    <xf numFmtId="41" fontId="107" fillId="5" borderId="18" xfId="1" applyFont="1" applyFill="1" applyBorder="1" applyAlignment="1">
      <alignment horizontal="center" vertical="center"/>
    </xf>
    <xf numFmtId="0" fontId="107" fillId="2" borderId="11" xfId="0" applyFont="1" applyFill="1" applyBorder="1" applyAlignment="1">
      <alignment horizontal="center" vertical="center"/>
    </xf>
    <xf numFmtId="0" fontId="97" fillId="0" borderId="64" xfId="0" applyFont="1" applyBorder="1">
      <alignment vertical="center"/>
    </xf>
    <xf numFmtId="0" fontId="97" fillId="0" borderId="2" xfId="0" applyFont="1" applyBorder="1">
      <alignment vertical="center"/>
    </xf>
    <xf numFmtId="41" fontId="97" fillId="0" borderId="2" xfId="1" applyFont="1" applyFill="1" applyBorder="1">
      <alignment vertical="center"/>
    </xf>
    <xf numFmtId="9" fontId="97" fillId="0" borderId="3" xfId="2" applyFont="1" applyFill="1" applyBorder="1">
      <alignment vertical="center"/>
    </xf>
    <xf numFmtId="41" fontId="97" fillId="0" borderId="30" xfId="1" applyFont="1" applyBorder="1">
      <alignment vertical="center"/>
    </xf>
    <xf numFmtId="0" fontId="107" fillId="2" borderId="23" xfId="0" applyFont="1" applyFill="1" applyBorder="1" applyAlignment="1">
      <alignment horizontal="center" vertical="center"/>
    </xf>
    <xf numFmtId="0" fontId="97" fillId="0" borderId="73" xfId="0" applyFont="1" applyBorder="1">
      <alignment vertical="center"/>
    </xf>
    <xf numFmtId="0" fontId="97" fillId="0" borderId="5" xfId="0" applyFont="1" applyBorder="1">
      <alignment vertical="center"/>
    </xf>
    <xf numFmtId="41" fontId="97" fillId="0" borderId="5" xfId="1" applyFont="1" applyFill="1" applyBorder="1">
      <alignment vertical="center"/>
    </xf>
    <xf numFmtId="9" fontId="97" fillId="0" borderId="6" xfId="2" applyFont="1" applyFill="1" applyBorder="1">
      <alignment vertical="center"/>
    </xf>
    <xf numFmtId="41" fontId="97" fillId="0" borderId="31" xfId="0" applyNumberFormat="1" applyFont="1" applyBorder="1">
      <alignment vertical="center"/>
    </xf>
    <xf numFmtId="41" fontId="97" fillId="0" borderId="31" xfId="1" applyFont="1" applyBorder="1">
      <alignment vertical="center"/>
    </xf>
    <xf numFmtId="41" fontId="131" fillId="0" borderId="0" xfId="1" applyFont="1">
      <alignment vertical="center"/>
    </xf>
    <xf numFmtId="179" fontId="97" fillId="0" borderId="31" xfId="0" applyNumberFormat="1" applyFont="1" applyBorder="1">
      <alignment vertical="center"/>
    </xf>
    <xf numFmtId="41" fontId="131" fillId="0" borderId="0" xfId="0" applyNumberFormat="1" applyFont="1" applyAlignment="1">
      <alignment horizontal="center" vertical="center"/>
    </xf>
    <xf numFmtId="0" fontId="131" fillId="0" borderId="0" xfId="0" applyFont="1" applyAlignment="1">
      <alignment horizontal="center" vertical="center"/>
    </xf>
    <xf numFmtId="41" fontId="131" fillId="0" borderId="0" xfId="1" applyFont="1" applyAlignment="1">
      <alignment horizontal="center" vertical="center"/>
    </xf>
    <xf numFmtId="0" fontId="97" fillId="0" borderId="271" xfId="0" applyFont="1" applyBorder="1">
      <alignment vertical="center"/>
    </xf>
    <xf numFmtId="0" fontId="97" fillId="0" borderId="360" xfId="0" applyFont="1" applyBorder="1">
      <alignment vertical="center"/>
    </xf>
    <xf numFmtId="41" fontId="97" fillId="0" borderId="360" xfId="1" applyFont="1" applyFill="1" applyBorder="1">
      <alignment vertical="center"/>
    </xf>
    <xf numFmtId="9" fontId="97" fillId="0" borderId="362" xfId="2" applyFont="1" applyFill="1" applyBorder="1">
      <alignment vertical="center"/>
    </xf>
    <xf numFmtId="41" fontId="97" fillId="0" borderId="365" xfId="0" applyNumberFormat="1" applyFont="1" applyBorder="1">
      <alignment vertical="center"/>
    </xf>
    <xf numFmtId="0" fontId="97" fillId="0" borderId="8" xfId="0" applyFont="1" applyBorder="1">
      <alignment vertical="center"/>
    </xf>
    <xf numFmtId="41" fontId="97" fillId="0" borderId="8" xfId="1" applyFont="1" applyFill="1" applyBorder="1">
      <alignment vertical="center"/>
    </xf>
    <xf numFmtId="9" fontId="97" fillId="0" borderId="9" xfId="2" applyFont="1" applyFill="1" applyBorder="1">
      <alignment vertical="center"/>
    </xf>
    <xf numFmtId="41" fontId="97" fillId="0" borderId="32" xfId="0" applyNumberFormat="1" applyFont="1" applyBorder="1">
      <alignment vertical="center"/>
    </xf>
    <xf numFmtId="0" fontId="107" fillId="2" borderId="29" xfId="0" applyFont="1" applyFill="1" applyBorder="1" applyAlignment="1">
      <alignment horizontal="center" vertical="center"/>
    </xf>
    <xf numFmtId="41" fontId="107" fillId="2" borderId="19" xfId="1" applyFont="1" applyFill="1" applyBorder="1">
      <alignment vertical="center"/>
    </xf>
    <xf numFmtId="9" fontId="107" fillId="2" borderId="20" xfId="2" applyFont="1" applyFill="1" applyBorder="1">
      <alignment vertical="center"/>
    </xf>
    <xf numFmtId="41" fontId="107" fillId="2" borderId="89" xfId="1" applyFont="1" applyFill="1" applyBorder="1">
      <alignment vertical="center"/>
    </xf>
    <xf numFmtId="41" fontId="107" fillId="2" borderId="20" xfId="1" applyFont="1" applyFill="1" applyBorder="1">
      <alignment vertical="center"/>
    </xf>
    <xf numFmtId="179" fontId="97" fillId="0" borderId="31" xfId="1" applyNumberFormat="1" applyFont="1" applyBorder="1">
      <alignment vertical="center"/>
    </xf>
    <xf numFmtId="182" fontId="97" fillId="0" borderId="0" xfId="0" applyNumberFormat="1" applyFont="1">
      <alignment vertical="center"/>
    </xf>
    <xf numFmtId="41" fontId="97" fillId="7" borderId="5" xfId="1" applyFont="1" applyFill="1" applyBorder="1">
      <alignment vertical="center"/>
    </xf>
    <xf numFmtId="41" fontId="97" fillId="0" borderId="4" xfId="1" applyFont="1" applyFill="1" applyBorder="1">
      <alignment vertical="center"/>
    </xf>
    <xf numFmtId="179" fontId="97" fillId="0" borderId="31" xfId="1" applyNumberFormat="1" applyFont="1" applyFill="1" applyBorder="1">
      <alignment vertical="center"/>
    </xf>
    <xf numFmtId="0" fontId="107" fillId="2" borderId="34" xfId="0" applyFont="1" applyFill="1" applyBorder="1" applyAlignment="1">
      <alignment horizontal="center" vertical="center"/>
    </xf>
    <xf numFmtId="41" fontId="97" fillId="0" borderId="10" xfId="1" applyFont="1" applyFill="1" applyBorder="1">
      <alignment vertical="center"/>
    </xf>
    <xf numFmtId="179" fontId="107" fillId="2" borderId="20" xfId="1" applyNumberFormat="1" applyFont="1" applyFill="1" applyBorder="1">
      <alignment vertical="center"/>
    </xf>
    <xf numFmtId="41" fontId="107" fillId="3" borderId="19" xfId="1" applyFont="1" applyFill="1" applyBorder="1">
      <alignment vertical="center"/>
    </xf>
    <xf numFmtId="9" fontId="107" fillId="3" borderId="20" xfId="2" applyFont="1" applyFill="1" applyBorder="1">
      <alignment vertical="center"/>
    </xf>
    <xf numFmtId="41" fontId="107" fillId="3" borderId="27" xfId="1" applyFont="1" applyFill="1" applyBorder="1">
      <alignment vertical="center"/>
    </xf>
    <xf numFmtId="178" fontId="107" fillId="3" borderId="20" xfId="1" applyNumberFormat="1" applyFont="1" applyFill="1" applyBorder="1">
      <alignment vertical="center"/>
    </xf>
    <xf numFmtId="0" fontId="107" fillId="2" borderId="14" xfId="0" applyFont="1" applyFill="1" applyBorder="1" applyAlignment="1">
      <alignment horizontal="center" vertical="center"/>
    </xf>
    <xf numFmtId="41" fontId="97" fillId="0" borderId="17" xfId="1" applyFont="1" applyBorder="1">
      <alignment vertical="center"/>
    </xf>
    <xf numFmtId="41" fontId="97" fillId="0" borderId="362" xfId="1" applyFont="1" applyBorder="1">
      <alignment vertical="center"/>
    </xf>
    <xf numFmtId="41" fontId="97" fillId="0" borderId="9" xfId="1" applyFont="1" applyBorder="1">
      <alignment vertical="center"/>
    </xf>
    <xf numFmtId="0" fontId="132" fillId="0" borderId="0" xfId="0" applyFont="1">
      <alignment vertical="center"/>
    </xf>
    <xf numFmtId="182" fontId="97" fillId="0" borderId="263" xfId="0" applyNumberFormat="1" applyFont="1" applyBorder="1">
      <alignment vertical="center"/>
    </xf>
    <xf numFmtId="0" fontId="133" fillId="0" borderId="0" xfId="0" applyFont="1">
      <alignment vertical="center"/>
    </xf>
    <xf numFmtId="41" fontId="107" fillId="3" borderId="27" xfId="0" applyNumberFormat="1" applyFont="1" applyFill="1" applyBorder="1">
      <alignment vertical="center"/>
    </xf>
    <xf numFmtId="3" fontId="97" fillId="3" borderId="20" xfId="0" applyNumberFormat="1" applyFont="1" applyFill="1" applyBorder="1">
      <alignment vertical="center"/>
    </xf>
    <xf numFmtId="0" fontId="134" fillId="0" borderId="0" xfId="0" applyFont="1">
      <alignment vertical="center"/>
    </xf>
    <xf numFmtId="0" fontId="135" fillId="0" borderId="0" xfId="0" applyFont="1" applyAlignment="1">
      <alignment horizontal="center" vertical="center"/>
    </xf>
    <xf numFmtId="0" fontId="135" fillId="15" borderId="0" xfId="0" applyFont="1" applyFill="1" applyAlignment="1">
      <alignment horizontal="center" vertical="center"/>
    </xf>
    <xf numFmtId="41" fontId="135" fillId="0" borderId="0" xfId="1" applyFont="1" applyFill="1" applyAlignment="1">
      <alignment horizontal="center" vertical="center"/>
    </xf>
    <xf numFmtId="41" fontId="135" fillId="15" borderId="0" xfId="1" applyFont="1" applyFill="1" applyAlignment="1">
      <alignment horizontal="center" vertical="center"/>
    </xf>
    <xf numFmtId="9" fontId="133" fillId="0" borderId="0" xfId="0" applyNumberFormat="1" applyFont="1">
      <alignment vertical="center"/>
    </xf>
    <xf numFmtId="41" fontId="97" fillId="0" borderId="24" xfId="1" applyFont="1" applyBorder="1">
      <alignment vertical="center"/>
    </xf>
    <xf numFmtId="41" fontId="107" fillId="3" borderId="100" xfId="1" applyFont="1" applyFill="1" applyBorder="1">
      <alignment vertical="center"/>
    </xf>
    <xf numFmtId="3" fontId="97" fillId="3" borderId="26" xfId="0" applyNumberFormat="1" applyFont="1" applyFill="1" applyBorder="1">
      <alignment vertical="center"/>
    </xf>
    <xf numFmtId="0" fontId="133" fillId="0" borderId="282" xfId="0" applyFont="1" applyBorder="1" applyAlignment="1">
      <alignment horizontal="center" vertical="center"/>
    </xf>
    <xf numFmtId="41" fontId="97" fillId="0" borderId="48" xfId="1" applyFont="1" applyFill="1" applyBorder="1">
      <alignment vertical="center"/>
    </xf>
    <xf numFmtId="9" fontId="97" fillId="0" borderId="31" xfId="2" applyFont="1" applyFill="1" applyBorder="1">
      <alignment vertical="center"/>
    </xf>
    <xf numFmtId="41" fontId="97" fillId="0" borderId="1" xfId="1" applyFont="1" applyFill="1" applyBorder="1">
      <alignment vertical="center"/>
    </xf>
    <xf numFmtId="41" fontId="97" fillId="0" borderId="3" xfId="1" applyFont="1" applyBorder="1">
      <alignment vertical="center"/>
    </xf>
    <xf numFmtId="41" fontId="132" fillId="0" borderId="0" xfId="0" applyNumberFormat="1" applyFont="1">
      <alignment vertical="center"/>
    </xf>
    <xf numFmtId="41" fontId="97" fillId="0" borderId="5" xfId="45" applyFont="1" applyFill="1" applyBorder="1">
      <alignment vertical="center"/>
    </xf>
    <xf numFmtId="41" fontId="97" fillId="0" borderId="4" xfId="45" applyFont="1" applyFill="1" applyBorder="1">
      <alignment vertical="center"/>
    </xf>
    <xf numFmtId="41" fontId="97" fillId="0" borderId="364" xfId="1" applyFont="1" applyFill="1" applyBorder="1">
      <alignment vertical="center"/>
    </xf>
    <xf numFmtId="9" fontId="97" fillId="0" borderId="365" xfId="2" applyFont="1" applyFill="1" applyBorder="1">
      <alignment vertical="center"/>
    </xf>
    <xf numFmtId="41" fontId="97" fillId="0" borderId="14" xfId="1" applyFont="1" applyFill="1" applyBorder="1">
      <alignment vertical="center"/>
    </xf>
    <xf numFmtId="0" fontId="132" fillId="0" borderId="282" xfId="0" applyFont="1" applyBorder="1">
      <alignment vertical="center"/>
    </xf>
    <xf numFmtId="41" fontId="107" fillId="3" borderId="89" xfId="1" applyFont="1" applyFill="1" applyBorder="1">
      <alignment vertical="center"/>
    </xf>
    <xf numFmtId="178" fontId="107" fillId="3" borderId="26" xfId="1" applyNumberFormat="1" applyFont="1" applyFill="1" applyBorder="1">
      <alignment vertical="center"/>
    </xf>
    <xf numFmtId="0" fontId="125" fillId="0" borderId="282" xfId="0" applyFont="1" applyBorder="1">
      <alignment vertical="center"/>
    </xf>
    <xf numFmtId="41" fontId="97" fillId="0" borderId="0" xfId="0" quotePrefix="1" applyNumberFormat="1" applyFont="1" applyAlignment="1">
      <alignment vertical="center" wrapText="1"/>
    </xf>
    <xf numFmtId="41" fontId="97" fillId="0" borderId="0" xfId="1" applyFont="1" applyFill="1">
      <alignment vertical="center"/>
    </xf>
    <xf numFmtId="0" fontId="97" fillId="0" borderId="16" xfId="0" applyFont="1" applyBorder="1">
      <alignment vertical="center"/>
    </xf>
    <xf numFmtId="41" fontId="97" fillId="0" borderId="16" xfId="1" applyFont="1" applyFill="1" applyBorder="1">
      <alignment vertical="center"/>
    </xf>
    <xf numFmtId="9" fontId="97" fillId="0" borderId="17" xfId="2" applyFont="1" applyFill="1" applyBorder="1">
      <alignment vertical="center"/>
    </xf>
    <xf numFmtId="41" fontId="132" fillId="0" borderId="5" xfId="1" applyFont="1" applyFill="1" applyBorder="1">
      <alignment vertical="center"/>
    </xf>
    <xf numFmtId="41" fontId="134" fillId="0" borderId="0" xfId="0" applyNumberFormat="1" applyFont="1">
      <alignment vertical="center"/>
    </xf>
    <xf numFmtId="0" fontId="107" fillId="2" borderId="15" xfId="0" applyFont="1" applyFill="1" applyBorder="1" applyAlignment="1">
      <alignment horizontal="center" vertical="center"/>
    </xf>
    <xf numFmtId="0" fontId="136" fillId="0" borderId="0" xfId="0" applyFont="1">
      <alignment vertical="center"/>
    </xf>
    <xf numFmtId="41" fontId="107" fillId="3" borderId="20" xfId="1" applyFont="1" applyFill="1" applyBorder="1">
      <alignment vertical="center"/>
    </xf>
    <xf numFmtId="41" fontId="107" fillId="16" borderId="19" xfId="1" applyFont="1" applyFill="1" applyBorder="1">
      <alignment vertical="center"/>
    </xf>
    <xf numFmtId="9" fontId="107" fillId="16" borderId="20" xfId="2" applyFont="1" applyFill="1" applyBorder="1">
      <alignment vertical="center"/>
    </xf>
    <xf numFmtId="41" fontId="107" fillId="16" borderId="18" xfId="1" applyFont="1" applyFill="1" applyBorder="1">
      <alignment vertical="center"/>
    </xf>
    <xf numFmtId="41" fontId="107" fillId="16" borderId="20" xfId="1" applyFont="1" applyFill="1" applyBorder="1">
      <alignment vertical="center"/>
    </xf>
    <xf numFmtId="41" fontId="97" fillId="4" borderId="5" xfId="1" applyFont="1" applyFill="1" applyBorder="1">
      <alignment vertical="center"/>
    </xf>
    <xf numFmtId="41" fontId="97" fillId="0" borderId="5" xfId="1" applyFont="1" applyBorder="1">
      <alignment vertical="center"/>
    </xf>
    <xf numFmtId="41" fontId="107" fillId="0" borderId="0" xfId="0" applyNumberFormat="1" applyFont="1">
      <alignment vertical="center"/>
    </xf>
    <xf numFmtId="3" fontId="97" fillId="4" borderId="0" xfId="0" applyNumberFormat="1" applyFont="1" applyFill="1">
      <alignment vertical="center"/>
    </xf>
    <xf numFmtId="41" fontId="97" fillId="4" borderId="360" xfId="1" applyFont="1" applyFill="1" applyBorder="1">
      <alignment vertical="center"/>
    </xf>
    <xf numFmtId="41" fontId="97" fillId="4" borderId="8" xfId="1" applyFont="1" applyFill="1" applyBorder="1">
      <alignment vertical="center"/>
    </xf>
    <xf numFmtId="41" fontId="97" fillId="0" borderId="0" xfId="0" quotePrefix="1" applyNumberFormat="1" applyFont="1">
      <alignment vertical="center"/>
    </xf>
    <xf numFmtId="41" fontId="97" fillId="4" borderId="0" xfId="0" applyNumberFormat="1" applyFont="1" applyFill="1">
      <alignment vertical="center"/>
    </xf>
    <xf numFmtId="41" fontId="97" fillId="0" borderId="360" xfId="1" applyFont="1" applyBorder="1">
      <alignment vertical="center"/>
    </xf>
    <xf numFmtId="186" fontId="97" fillId="0" borderId="0" xfId="0" applyNumberFormat="1" applyFont="1">
      <alignment vertical="center"/>
    </xf>
    <xf numFmtId="41" fontId="97" fillId="12" borderId="0" xfId="0" applyNumberFormat="1" applyFont="1" applyFill="1" applyAlignment="1">
      <alignment horizontal="center" vertical="center"/>
    </xf>
    <xf numFmtId="0" fontId="97" fillId="0" borderId="16" xfId="0" applyFont="1" applyBorder="1" applyAlignment="1">
      <alignment horizontal="center" vertical="center"/>
    </xf>
    <xf numFmtId="0" fontId="97" fillId="0" borderId="5" xfId="0" applyFont="1" applyBorder="1" applyAlignment="1">
      <alignment horizontal="center" vertical="center"/>
    </xf>
    <xf numFmtId="0" fontId="97" fillId="0" borderId="73" xfId="0" applyFont="1" applyBorder="1" applyAlignment="1">
      <alignment horizontal="center" vertical="center"/>
    </xf>
    <xf numFmtId="0" fontId="97" fillId="0" borderId="360" xfId="0" applyFont="1" applyBorder="1" applyAlignment="1">
      <alignment horizontal="center" vertical="center"/>
    </xf>
    <xf numFmtId="0" fontId="97" fillId="0" borderId="8" xfId="0" applyFont="1" applyBorder="1" applyAlignment="1">
      <alignment horizontal="center" vertical="center"/>
    </xf>
    <xf numFmtId="43" fontId="97" fillId="0" borderId="5" xfId="0" applyNumberFormat="1" applyFont="1" applyBorder="1">
      <alignment vertical="center"/>
    </xf>
    <xf numFmtId="41" fontId="97" fillId="0" borderId="5" xfId="0" applyNumberFormat="1" applyFont="1" applyBorder="1">
      <alignment vertical="center"/>
    </xf>
    <xf numFmtId="0" fontId="97" fillId="0" borderId="0" xfId="0" quotePrefix="1" applyFont="1">
      <alignment vertical="center"/>
    </xf>
    <xf numFmtId="192" fontId="97" fillId="0" borderId="0" xfId="0" applyNumberFormat="1" applyFont="1">
      <alignment vertical="center"/>
    </xf>
    <xf numFmtId="41" fontId="107" fillId="6" borderId="34" xfId="0" quotePrefix="1" applyNumberFormat="1" applyFont="1" applyFill="1" applyBorder="1" applyAlignment="1">
      <alignment vertical="center" wrapText="1"/>
    </xf>
    <xf numFmtId="41" fontId="107" fillId="6" borderId="0" xfId="0" quotePrefix="1" applyNumberFormat="1" applyFont="1" applyFill="1" applyAlignment="1">
      <alignment vertical="center" wrapText="1"/>
    </xf>
    <xf numFmtId="41" fontId="110" fillId="0" borderId="103" xfId="70" applyFont="1" applyBorder="1">
      <alignment vertical="center"/>
    </xf>
    <xf numFmtId="41" fontId="110" fillId="0" borderId="496" xfId="0" applyNumberFormat="1" applyFont="1" applyBorder="1" applyAlignment="1">
      <alignment vertical="center" wrapText="1"/>
    </xf>
    <xf numFmtId="41" fontId="97" fillId="0" borderId="0" xfId="0" applyNumberFormat="1" applyFont="1" applyAlignment="1">
      <alignment vertical="center" wrapText="1"/>
    </xf>
    <xf numFmtId="41" fontId="107" fillId="8" borderId="0" xfId="0" applyNumberFormat="1" applyFont="1" applyFill="1">
      <alignment vertical="center"/>
    </xf>
    <xf numFmtId="41" fontId="97" fillId="4" borderId="16" xfId="1" applyFont="1" applyFill="1" applyBorder="1">
      <alignment vertical="center"/>
    </xf>
    <xf numFmtId="41" fontId="97" fillId="21" borderId="5" xfId="1" applyFont="1" applyFill="1" applyBorder="1">
      <alignment vertical="center"/>
    </xf>
    <xf numFmtId="41" fontId="138" fillId="0" borderId="0" xfId="0" quotePrefix="1" applyNumberFormat="1" applyFont="1">
      <alignment vertical="center"/>
    </xf>
    <xf numFmtId="41" fontId="97" fillId="6" borderId="5" xfId="1" applyFont="1" applyFill="1" applyBorder="1">
      <alignment vertical="center"/>
    </xf>
    <xf numFmtId="0" fontId="97" fillId="0" borderId="5" xfId="0" applyFont="1" applyBorder="1" applyAlignment="1">
      <alignment horizontal="right" vertical="center"/>
    </xf>
    <xf numFmtId="181" fontId="97" fillId="0" borderId="5" xfId="0" applyNumberFormat="1" applyFont="1" applyBorder="1" applyAlignment="1">
      <alignment vertical="center" wrapText="1"/>
    </xf>
    <xf numFmtId="181" fontId="97" fillId="0" borderId="5" xfId="0" applyNumberFormat="1" applyFont="1" applyBorder="1">
      <alignment vertical="center"/>
    </xf>
    <xf numFmtId="179" fontId="139" fillId="14" borderId="470" xfId="1" applyNumberFormat="1" applyFont="1" applyFill="1" applyBorder="1" applyAlignment="1">
      <alignment horizontal="right" vertical="center" wrapText="1" readingOrder="1"/>
    </xf>
    <xf numFmtId="179" fontId="139" fillId="14" borderId="494" xfId="1" applyNumberFormat="1" applyFont="1" applyFill="1" applyBorder="1" applyAlignment="1">
      <alignment horizontal="right" vertical="center" wrapText="1" readingOrder="1"/>
    </xf>
    <xf numFmtId="179" fontId="139" fillId="14" borderId="475" xfId="1" applyNumberFormat="1" applyFont="1" applyFill="1" applyBorder="1" applyAlignment="1">
      <alignment horizontal="right" vertical="center" wrapText="1" readingOrder="1"/>
    </xf>
    <xf numFmtId="185" fontId="139" fillId="14" borderId="470" xfId="1" applyNumberFormat="1" applyFont="1" applyFill="1" applyBorder="1" applyAlignment="1">
      <alignment horizontal="right" vertical="center" wrapText="1" readingOrder="1"/>
    </xf>
    <xf numFmtId="179" fontId="140" fillId="0" borderId="470" xfId="1" applyNumberFormat="1" applyFont="1" applyBorder="1" applyAlignment="1">
      <alignment horizontal="right" vertical="center" wrapText="1" readingOrder="1"/>
    </xf>
    <xf numFmtId="179" fontId="140" fillId="0" borderId="475" xfId="1" applyNumberFormat="1" applyFont="1" applyBorder="1" applyAlignment="1">
      <alignment horizontal="right" vertical="center" wrapText="1" readingOrder="1"/>
    </xf>
    <xf numFmtId="185" fontId="139" fillId="14" borderId="494" xfId="1" applyNumberFormat="1" applyFont="1" applyFill="1" applyBorder="1" applyAlignment="1">
      <alignment horizontal="right" vertical="center" wrapText="1" readingOrder="1"/>
    </xf>
    <xf numFmtId="179" fontId="140" fillId="0" borderId="494" xfId="1" applyNumberFormat="1" applyFont="1" applyBorder="1" applyAlignment="1">
      <alignment horizontal="right" vertical="center" wrapText="1" readingOrder="1"/>
    </xf>
    <xf numFmtId="0" fontId="97" fillId="21" borderId="0" xfId="0" applyFont="1" applyFill="1">
      <alignment vertical="center"/>
    </xf>
    <xf numFmtId="0" fontId="96" fillId="2" borderId="0" xfId="0" applyFont="1" applyFill="1" applyAlignment="1">
      <alignment horizontal="center" vertical="center"/>
    </xf>
    <xf numFmtId="41" fontId="103" fillId="0" borderId="426" xfId="1" applyFont="1" applyBorder="1" applyAlignment="1">
      <alignment horizontal="center" vertical="center"/>
    </xf>
    <xf numFmtId="41" fontId="103" fillId="0" borderId="427" xfId="1" applyFont="1" applyBorder="1" applyAlignment="1">
      <alignment horizontal="center" vertical="center"/>
    </xf>
    <xf numFmtId="0" fontId="102" fillId="5" borderId="334" xfId="0" applyFont="1" applyFill="1" applyBorder="1" applyAlignment="1">
      <alignment horizontal="center" vertical="center"/>
    </xf>
    <xf numFmtId="0" fontId="102" fillId="5" borderId="335" xfId="0" applyFont="1" applyFill="1" applyBorder="1" applyAlignment="1">
      <alignment horizontal="center" vertical="center"/>
    </xf>
    <xf numFmtId="0" fontId="102" fillId="5" borderId="497" xfId="0" applyFont="1" applyFill="1" applyBorder="1" applyAlignment="1">
      <alignment horizontal="center" vertical="center"/>
    </xf>
    <xf numFmtId="0" fontId="102" fillId="5" borderId="303" xfId="0" applyFont="1" applyFill="1" applyBorder="1" applyAlignment="1">
      <alignment horizontal="center" vertical="center"/>
    </xf>
    <xf numFmtId="0" fontId="102" fillId="5" borderId="143" xfId="0" applyFont="1" applyFill="1" applyBorder="1" applyAlignment="1">
      <alignment horizontal="center" vertical="center"/>
    </xf>
    <xf numFmtId="0" fontId="102" fillId="5" borderId="498" xfId="0" applyFont="1" applyFill="1" applyBorder="1" applyAlignment="1">
      <alignment horizontal="center" vertical="center"/>
    </xf>
    <xf numFmtId="0" fontId="126" fillId="13" borderId="475" xfId="0" applyFont="1" applyFill="1" applyBorder="1" applyAlignment="1">
      <alignment horizontal="center" vertical="center" wrapText="1" readingOrder="1"/>
    </xf>
    <xf numFmtId="0" fontId="126" fillId="13" borderId="470" xfId="0" applyFont="1" applyFill="1" applyBorder="1" applyAlignment="1">
      <alignment horizontal="center" vertical="center" wrapText="1" readingOrder="1"/>
    </xf>
    <xf numFmtId="0" fontId="126" fillId="0" borderId="0" xfId="0" applyFont="1" applyAlignment="1">
      <alignment horizontal="center" vertical="center" wrapText="1" readingOrder="1"/>
    </xf>
    <xf numFmtId="180" fontId="105" fillId="0" borderId="219" xfId="1" applyNumberFormat="1" applyFont="1" applyFill="1" applyBorder="1" applyAlignment="1">
      <alignment horizontal="center" vertical="center"/>
    </xf>
    <xf numFmtId="180" fontId="105" fillId="0" borderId="221" xfId="1" applyNumberFormat="1" applyFont="1" applyFill="1" applyBorder="1" applyAlignment="1">
      <alignment horizontal="center" vertical="center"/>
    </xf>
    <xf numFmtId="0" fontId="103" fillId="2" borderId="221" xfId="0" applyFont="1" applyFill="1" applyBorder="1" applyAlignment="1">
      <alignment horizontal="center" vertical="center"/>
    </xf>
    <xf numFmtId="0" fontId="103" fillId="2" borderId="218" xfId="0" applyFont="1" applyFill="1" applyBorder="1" applyAlignment="1">
      <alignment horizontal="center" vertical="center"/>
    </xf>
    <xf numFmtId="0" fontId="105" fillId="0" borderId="220" xfId="0" applyFont="1" applyBorder="1" applyAlignment="1">
      <alignment horizontal="left" vertical="center"/>
    </xf>
    <xf numFmtId="0" fontId="105" fillId="0" borderId="221" xfId="0" applyFont="1" applyBorder="1" applyAlignment="1">
      <alignment horizontal="left" vertical="center"/>
    </xf>
    <xf numFmtId="0" fontId="105" fillId="5" borderId="220" xfId="0" applyFont="1" applyFill="1" applyBorder="1" applyAlignment="1">
      <alignment horizontal="left" vertical="center"/>
    </xf>
    <xf numFmtId="0" fontId="105" fillId="5" borderId="221" xfId="0" applyFont="1" applyFill="1" applyBorder="1" applyAlignment="1">
      <alignment horizontal="left" vertical="center"/>
    </xf>
    <xf numFmtId="0" fontId="126" fillId="13" borderId="416" xfId="0" applyFont="1" applyFill="1" applyBorder="1" applyAlignment="1">
      <alignment horizontal="center" vertical="center" wrapText="1" readingOrder="1"/>
    </xf>
    <xf numFmtId="0" fontId="126" fillId="13" borderId="417" xfId="0" applyFont="1" applyFill="1" applyBorder="1" applyAlignment="1">
      <alignment horizontal="center" vertical="center" wrapText="1" readingOrder="1"/>
    </xf>
    <xf numFmtId="0" fontId="126" fillId="13" borderId="418" xfId="0" applyFont="1" applyFill="1" applyBorder="1" applyAlignment="1">
      <alignment horizontal="center" vertical="center" wrapText="1" readingOrder="1"/>
    </xf>
    <xf numFmtId="41" fontId="103" fillId="3" borderId="428" xfId="1" applyFont="1" applyFill="1" applyBorder="1" applyAlignment="1">
      <alignment horizontal="right" vertical="center"/>
    </xf>
    <xf numFmtId="41" fontId="103" fillId="3" borderId="429" xfId="1" applyFont="1" applyFill="1" applyBorder="1" applyAlignment="1">
      <alignment horizontal="right" vertical="center"/>
    </xf>
    <xf numFmtId="180" fontId="103" fillId="5" borderId="219" xfId="1" applyNumberFormat="1" applyFont="1" applyFill="1" applyBorder="1" applyAlignment="1">
      <alignment horizontal="center" vertical="center"/>
    </xf>
    <xf numFmtId="180" fontId="103" fillId="5" borderId="220" xfId="1" applyNumberFormat="1" applyFont="1" applyFill="1" applyBorder="1" applyAlignment="1">
      <alignment horizontal="center" vertical="center"/>
    </xf>
    <xf numFmtId="41" fontId="103" fillId="5" borderId="426" xfId="1" applyFont="1" applyFill="1" applyBorder="1" applyAlignment="1">
      <alignment horizontal="center" vertical="center"/>
    </xf>
    <xf numFmtId="41" fontId="103" fillId="5" borderId="427" xfId="1" applyFont="1" applyFill="1" applyBorder="1" applyAlignment="1">
      <alignment horizontal="center" vertical="center"/>
    </xf>
    <xf numFmtId="41" fontId="103" fillId="0" borderId="426" xfId="1" applyFont="1" applyBorder="1" applyAlignment="1">
      <alignment horizontal="right" vertical="center"/>
    </xf>
    <xf numFmtId="41" fontId="103" fillId="0" borderId="427" xfId="1" applyFont="1" applyBorder="1" applyAlignment="1">
      <alignment horizontal="right" vertical="center"/>
    </xf>
    <xf numFmtId="0" fontId="105" fillId="3" borderId="220" xfId="0" applyFont="1" applyFill="1" applyBorder="1" applyAlignment="1">
      <alignment horizontal="left" vertical="center"/>
    </xf>
    <xf numFmtId="0" fontId="105" fillId="3" borderId="221" xfId="0" applyFont="1" applyFill="1" applyBorder="1" applyAlignment="1">
      <alignment horizontal="left" vertical="center"/>
    </xf>
    <xf numFmtId="0" fontId="127" fillId="14" borderId="470" xfId="0" applyFont="1" applyFill="1" applyBorder="1" applyAlignment="1">
      <alignment horizontal="left" vertical="center" wrapText="1" readingOrder="1"/>
    </xf>
    <xf numFmtId="0" fontId="105" fillId="0" borderId="219" xfId="0" applyFont="1" applyBorder="1" applyAlignment="1">
      <alignment horizontal="center" vertical="center"/>
    </xf>
    <xf numFmtId="0" fontId="105" fillId="0" borderId="221" xfId="0" applyFont="1" applyBorder="1" applyAlignment="1">
      <alignment horizontal="center" vertical="center"/>
    </xf>
    <xf numFmtId="180" fontId="103" fillId="3" borderId="219" xfId="1" applyNumberFormat="1" applyFont="1" applyFill="1" applyBorder="1" applyAlignment="1">
      <alignment horizontal="center" vertical="center"/>
    </xf>
    <xf numFmtId="180" fontId="103" fillId="3" borderId="220" xfId="1" applyNumberFormat="1" applyFont="1" applyFill="1" applyBorder="1" applyAlignment="1">
      <alignment horizontal="center" vertical="center"/>
    </xf>
    <xf numFmtId="0" fontId="128" fillId="0" borderId="368" xfId="0" applyFont="1" applyBorder="1" applyAlignment="1">
      <alignment vertical="center" wrapText="1"/>
    </xf>
    <xf numFmtId="0" fontId="128" fillId="0" borderId="370" xfId="0" applyFont="1" applyBorder="1" applyAlignment="1">
      <alignment vertical="center" wrapText="1"/>
    </xf>
    <xf numFmtId="0" fontId="127" fillId="14" borderId="373" xfId="0" applyFont="1" applyFill="1" applyBorder="1" applyAlignment="1">
      <alignment horizontal="left" vertical="center" wrapText="1" readingOrder="1"/>
    </xf>
    <xf numFmtId="0" fontId="128" fillId="0" borderId="367" xfId="0" applyFont="1" applyBorder="1" applyAlignment="1">
      <alignment horizontal="center" vertical="center" wrapText="1"/>
    </xf>
    <xf numFmtId="0" fontId="128" fillId="0" borderId="0" xfId="0" applyFont="1" applyAlignment="1">
      <alignment horizontal="center" vertical="center" wrapText="1"/>
    </xf>
    <xf numFmtId="0" fontId="128" fillId="0" borderId="369" xfId="0" applyFont="1" applyBorder="1" applyAlignment="1">
      <alignment horizontal="center" vertical="center" wrapText="1"/>
    </xf>
    <xf numFmtId="0" fontId="126" fillId="13" borderId="367" xfId="0" applyFont="1" applyFill="1" applyBorder="1" applyAlignment="1">
      <alignment horizontal="center" vertical="center" wrapText="1" readingOrder="1"/>
    </xf>
    <xf numFmtId="0" fontId="126" fillId="13" borderId="369" xfId="0" applyFont="1" applyFill="1" applyBorder="1" applyAlignment="1">
      <alignment horizontal="center" vertical="center" wrapText="1" readingOrder="1"/>
    </xf>
    <xf numFmtId="180" fontId="105" fillId="0" borderId="220" xfId="1" applyNumberFormat="1" applyFont="1" applyFill="1" applyBorder="1" applyAlignment="1">
      <alignment horizontal="center" vertical="center"/>
    </xf>
    <xf numFmtId="0" fontId="126" fillId="13" borderId="494" xfId="0" applyFont="1" applyFill="1" applyBorder="1" applyAlignment="1">
      <alignment horizontal="center" vertical="center" wrapText="1" readingOrder="1"/>
    </xf>
    <xf numFmtId="0" fontId="128" fillId="0" borderId="374" xfId="0" applyFont="1" applyBorder="1" applyAlignment="1">
      <alignment vertical="center" wrapText="1"/>
    </xf>
    <xf numFmtId="180" fontId="103" fillId="3" borderId="221" xfId="1" applyNumberFormat="1" applyFont="1" applyFill="1" applyBorder="1" applyAlignment="1">
      <alignment horizontal="center" vertical="center"/>
    </xf>
    <xf numFmtId="0" fontId="103" fillId="3" borderId="219" xfId="0" applyFont="1" applyFill="1" applyBorder="1" applyAlignment="1">
      <alignment horizontal="center" vertical="center"/>
    </xf>
    <xf numFmtId="0" fontId="103" fillId="3" borderId="220" xfId="0" applyFont="1" applyFill="1" applyBorder="1" applyAlignment="1">
      <alignment horizontal="center" vertical="center"/>
    </xf>
    <xf numFmtId="0" fontId="103" fillId="3" borderId="221" xfId="0" applyFont="1" applyFill="1" applyBorder="1" applyAlignment="1">
      <alignment horizontal="center" vertical="center"/>
    </xf>
    <xf numFmtId="0" fontId="103" fillId="2" borderId="424" xfId="0" applyFont="1" applyFill="1" applyBorder="1" applyAlignment="1">
      <alignment horizontal="center" vertical="center" wrapText="1"/>
    </xf>
    <xf numFmtId="0" fontId="103" fillId="2" borderId="425" xfId="0" applyFont="1" applyFill="1" applyBorder="1" applyAlignment="1">
      <alignment horizontal="center" vertical="center"/>
    </xf>
    <xf numFmtId="41" fontId="103" fillId="5" borderId="426" xfId="1" applyFont="1" applyFill="1" applyBorder="1" applyAlignment="1">
      <alignment horizontal="right" vertical="center"/>
    </xf>
    <xf numFmtId="41" fontId="103" fillId="5" borderId="427" xfId="1" applyFont="1" applyFill="1" applyBorder="1" applyAlignment="1">
      <alignment horizontal="right" vertical="center"/>
    </xf>
    <xf numFmtId="179" fontId="103" fillId="0" borderId="426" xfId="1" applyNumberFormat="1" applyFont="1" applyBorder="1" applyAlignment="1">
      <alignment horizontal="right" vertical="center"/>
    </xf>
    <xf numFmtId="179" fontId="103" fillId="0" borderId="427" xfId="1" applyNumberFormat="1" applyFont="1" applyBorder="1" applyAlignment="1">
      <alignment horizontal="right" vertical="center"/>
    </xf>
    <xf numFmtId="0" fontId="112" fillId="0" borderId="219" xfId="0" quotePrefix="1" applyFont="1" applyBorder="1" applyAlignment="1">
      <alignment horizontal="left" vertical="center"/>
    </xf>
    <xf numFmtId="0" fontId="112" fillId="0" borderId="220" xfId="0" applyFont="1" applyBorder="1" applyAlignment="1">
      <alignment horizontal="left" vertical="center"/>
    </xf>
    <xf numFmtId="0" fontId="112" fillId="0" borderId="493" xfId="0" applyFont="1" applyBorder="1" applyAlignment="1">
      <alignment horizontal="left" vertical="center"/>
    </xf>
    <xf numFmtId="0" fontId="105" fillId="0" borderId="487" xfId="1" quotePrefix="1" applyNumberFormat="1" applyFont="1" applyBorder="1" applyAlignment="1">
      <alignment horizontal="left" vertical="center"/>
    </xf>
    <xf numFmtId="0" fontId="105" fillId="0" borderId="220" xfId="1" quotePrefix="1" applyNumberFormat="1" applyFont="1" applyBorder="1" applyAlignment="1">
      <alignment horizontal="left" vertical="center"/>
    </xf>
    <xf numFmtId="0" fontId="105" fillId="0" borderId="493" xfId="1" quotePrefix="1" applyNumberFormat="1" applyFont="1" applyBorder="1" applyAlignment="1">
      <alignment horizontal="left" vertical="center"/>
    </xf>
    <xf numFmtId="0" fontId="103" fillId="5" borderId="487" xfId="1" applyNumberFormat="1" applyFont="1" applyFill="1" applyBorder="1" applyAlignment="1">
      <alignment horizontal="left" vertical="center"/>
    </xf>
    <xf numFmtId="0" fontId="103" fillId="5" borderId="220" xfId="1" applyNumberFormat="1" applyFont="1" applyFill="1" applyBorder="1" applyAlignment="1">
      <alignment horizontal="left" vertical="center"/>
    </xf>
    <xf numFmtId="0" fontId="103" fillId="5" borderId="493" xfId="1" applyNumberFormat="1" applyFont="1" applyFill="1" applyBorder="1" applyAlignment="1">
      <alignment horizontal="left" vertical="center"/>
    </xf>
    <xf numFmtId="0" fontId="112" fillId="0" borderId="487" xfId="0" quotePrefix="1" applyFont="1" applyBorder="1" applyAlignment="1">
      <alignment horizontal="left" vertical="center"/>
    </xf>
    <xf numFmtId="0" fontId="105" fillId="0" borderId="487" xfId="0" applyFont="1" applyBorder="1" applyAlignment="1">
      <alignment horizontal="left" vertical="center"/>
    </xf>
    <xf numFmtId="0" fontId="105" fillId="0" borderId="487" xfId="1" quotePrefix="1" applyNumberFormat="1" applyFont="1" applyFill="1" applyBorder="1" applyAlignment="1">
      <alignment horizontal="left" vertical="center"/>
    </xf>
    <xf numFmtId="0" fontId="105" fillId="0" borderId="220" xfId="1" applyNumberFormat="1" applyFont="1" applyFill="1" applyBorder="1" applyAlignment="1">
      <alignment horizontal="left" vertical="center"/>
    </xf>
    <xf numFmtId="0" fontId="105" fillId="0" borderId="493" xfId="1" applyNumberFormat="1" applyFont="1" applyFill="1" applyBorder="1" applyAlignment="1">
      <alignment horizontal="left" vertical="center"/>
    </xf>
    <xf numFmtId="185" fontId="113" fillId="3" borderId="428" xfId="1" applyNumberFormat="1" applyFont="1" applyFill="1" applyBorder="1" applyAlignment="1">
      <alignment horizontal="right" vertical="center"/>
    </xf>
    <xf numFmtId="185" fontId="113" fillId="3" borderId="429" xfId="1" applyNumberFormat="1" applyFont="1" applyFill="1" applyBorder="1" applyAlignment="1">
      <alignment horizontal="right" vertical="center"/>
    </xf>
    <xf numFmtId="0" fontId="105" fillId="0" borderId="487" xfId="1" quotePrefix="1" applyNumberFormat="1" applyFont="1" applyBorder="1" applyAlignment="1">
      <alignment horizontal="left" vertical="center" wrapText="1"/>
    </xf>
    <xf numFmtId="180" fontId="120" fillId="3" borderId="220" xfId="1" applyNumberFormat="1" applyFont="1" applyFill="1" applyBorder="1" applyAlignment="1">
      <alignment horizontal="left" vertical="top" wrapText="1"/>
    </xf>
    <xf numFmtId="180" fontId="120" fillId="3" borderId="493" xfId="1" applyNumberFormat="1" applyFont="1" applyFill="1" applyBorder="1" applyAlignment="1">
      <alignment horizontal="left" vertical="top" wrapText="1"/>
    </xf>
    <xf numFmtId="0" fontId="103" fillId="2" borderId="219" xfId="0" applyFont="1" applyFill="1" applyBorder="1" applyAlignment="1">
      <alignment horizontal="center" vertical="center" wrapText="1"/>
    </xf>
    <xf numFmtId="0" fontId="103" fillId="2" borderId="220" xfId="0" applyFont="1" applyFill="1" applyBorder="1" applyAlignment="1">
      <alignment horizontal="center" vertical="center"/>
    </xf>
    <xf numFmtId="180" fontId="103" fillId="0" borderId="219" xfId="0" applyNumberFormat="1" applyFont="1" applyBorder="1" applyAlignment="1">
      <alignment horizontal="center" vertical="center"/>
    </xf>
    <xf numFmtId="180" fontId="103" fillId="0" borderId="220" xfId="0" applyNumberFormat="1" applyFont="1" applyBorder="1" applyAlignment="1">
      <alignment horizontal="center" vertical="center"/>
    </xf>
    <xf numFmtId="0" fontId="105" fillId="0" borderId="220" xfId="0" quotePrefix="1" applyFont="1" applyBorder="1" applyAlignment="1">
      <alignment horizontal="left" vertical="center" wrapText="1"/>
    </xf>
    <xf numFmtId="0" fontId="105" fillId="0" borderId="220" xfId="0" quotePrefix="1" applyFont="1" applyBorder="1" applyAlignment="1">
      <alignment horizontal="left" vertical="center"/>
    </xf>
    <xf numFmtId="180" fontId="113" fillId="5" borderId="503" xfId="1" quotePrefix="1" applyNumberFormat="1" applyFont="1" applyFill="1" applyBorder="1" applyAlignment="1">
      <alignment horizontal="center" vertical="center"/>
    </xf>
    <xf numFmtId="180" fontId="113" fillId="5" borderId="503" xfId="1" applyNumberFormat="1" applyFont="1" applyFill="1" applyBorder="1" applyAlignment="1">
      <alignment horizontal="center" vertical="center"/>
    </xf>
    <xf numFmtId="0" fontId="102" fillId="3" borderId="143" xfId="0" applyFont="1" applyFill="1" applyBorder="1" applyAlignment="1">
      <alignment horizontal="left" vertical="center"/>
    </xf>
    <xf numFmtId="0" fontId="102" fillId="3" borderId="144" xfId="0" applyFont="1" applyFill="1" applyBorder="1" applyAlignment="1">
      <alignment horizontal="left" vertical="center"/>
    </xf>
    <xf numFmtId="0" fontId="102" fillId="8" borderId="118" xfId="0" applyFont="1" applyFill="1" applyBorder="1" applyAlignment="1">
      <alignment horizontal="left" vertical="center"/>
    </xf>
    <xf numFmtId="0" fontId="102" fillId="8" borderId="153" xfId="0" applyFont="1" applyFill="1" applyBorder="1" applyAlignment="1">
      <alignment horizontal="left" vertical="center"/>
    </xf>
    <xf numFmtId="0" fontId="102" fillId="5" borderId="336" xfId="0" applyFont="1" applyFill="1" applyBorder="1" applyAlignment="1">
      <alignment horizontal="center" vertical="center"/>
    </xf>
    <xf numFmtId="0" fontId="102" fillId="5" borderId="339" xfId="0" applyFont="1" applyFill="1" applyBorder="1" applyAlignment="1">
      <alignment horizontal="center" vertical="center"/>
    </xf>
    <xf numFmtId="0" fontId="102" fillId="5" borderId="0" xfId="0" applyFont="1" applyFill="1" applyAlignment="1">
      <alignment horizontal="center" vertical="center"/>
    </xf>
    <xf numFmtId="0" fontId="102" fillId="5" borderId="114" xfId="0" applyFont="1" applyFill="1" applyBorder="1" applyAlignment="1">
      <alignment horizontal="center" vertical="center"/>
    </xf>
    <xf numFmtId="0" fontId="102" fillId="5" borderId="340" xfId="0" applyFont="1" applyFill="1" applyBorder="1" applyAlignment="1">
      <alignment horizontal="center" vertical="center"/>
    </xf>
    <xf numFmtId="0" fontId="102" fillId="5" borderId="127" xfId="0" applyFont="1" applyFill="1" applyBorder="1" applyAlignment="1">
      <alignment horizontal="center" vertical="center"/>
    </xf>
    <xf numFmtId="0" fontId="102" fillId="5" borderId="128" xfId="0" applyFont="1" applyFill="1" applyBorder="1" applyAlignment="1">
      <alignment horizontal="center" vertical="center"/>
    </xf>
    <xf numFmtId="0" fontId="102" fillId="5" borderId="337" xfId="0" applyFont="1" applyFill="1" applyBorder="1" applyAlignment="1">
      <alignment horizontal="center" vertical="center" wrapText="1"/>
    </xf>
    <xf numFmtId="0" fontId="102" fillId="5" borderId="115" xfId="0" applyFont="1" applyFill="1" applyBorder="1" applyAlignment="1">
      <alignment horizontal="center" vertical="center" wrapText="1"/>
    </xf>
    <xf numFmtId="0" fontId="102" fillId="5" borderId="129" xfId="0" applyFont="1" applyFill="1" applyBorder="1" applyAlignment="1">
      <alignment horizontal="center" vertical="center" wrapText="1"/>
    </xf>
    <xf numFmtId="0" fontId="102" fillId="5" borderId="478" xfId="0" applyFont="1" applyFill="1" applyBorder="1" applyAlignment="1">
      <alignment horizontal="center" vertical="center" wrapText="1"/>
    </xf>
    <xf numFmtId="0" fontId="102" fillId="5" borderId="113" xfId="0" applyFont="1" applyFill="1" applyBorder="1" applyAlignment="1">
      <alignment horizontal="center" vertical="center" wrapText="1"/>
    </xf>
    <xf numFmtId="0" fontId="102" fillId="5" borderId="344" xfId="0" applyFont="1" applyFill="1" applyBorder="1" applyAlignment="1">
      <alignment horizontal="center" vertical="center" wrapText="1"/>
    </xf>
    <xf numFmtId="0" fontId="102" fillId="5" borderId="281" xfId="0" applyFont="1" applyFill="1" applyBorder="1" applyAlignment="1">
      <alignment horizontal="center" vertical="center" wrapText="1"/>
    </xf>
    <xf numFmtId="0" fontId="102" fillId="5" borderId="117" xfId="0" applyFont="1" applyFill="1" applyBorder="1" applyAlignment="1">
      <alignment horizontal="center" vertical="center" wrapText="1"/>
    </xf>
    <xf numFmtId="0" fontId="102" fillId="5" borderId="121" xfId="0" applyFont="1" applyFill="1" applyBorder="1" applyAlignment="1">
      <alignment horizontal="center" vertical="center" wrapText="1"/>
    </xf>
    <xf numFmtId="0" fontId="103" fillId="5" borderId="508" xfId="0" applyFont="1" applyFill="1" applyBorder="1" applyAlignment="1">
      <alignment horizontal="center" vertical="center"/>
    </xf>
    <xf numFmtId="0" fontId="103" fillId="5" borderId="503" xfId="0" applyFont="1" applyFill="1" applyBorder="1" applyAlignment="1">
      <alignment horizontal="center" vertical="center"/>
    </xf>
    <xf numFmtId="0" fontId="103" fillId="2" borderId="493" xfId="0" applyFont="1" applyFill="1" applyBorder="1" applyAlignment="1">
      <alignment horizontal="center" vertical="center"/>
    </xf>
    <xf numFmtId="0" fontId="112" fillId="0" borderId="219" xfId="1" quotePrefix="1" applyNumberFormat="1" applyFont="1" applyBorder="1" applyAlignment="1">
      <alignment horizontal="left" vertical="center" wrapText="1"/>
    </xf>
    <xf numFmtId="0" fontId="112" fillId="0" borderId="220" xfId="1" applyNumberFormat="1" applyFont="1" applyBorder="1" applyAlignment="1">
      <alignment horizontal="left" vertical="center"/>
    </xf>
    <xf numFmtId="0" fontId="112" fillId="0" borderId="493" xfId="1" applyNumberFormat="1" applyFont="1" applyBorder="1" applyAlignment="1">
      <alignment horizontal="left" vertical="center"/>
    </xf>
    <xf numFmtId="185" fontId="113" fillId="0" borderId="426" xfId="1" applyNumberFormat="1" applyFont="1" applyBorder="1" applyAlignment="1">
      <alignment vertical="center"/>
    </xf>
    <xf numFmtId="185" fontId="113" fillId="0" borderId="427" xfId="1" applyNumberFormat="1" applyFont="1" applyBorder="1" applyAlignment="1">
      <alignment vertical="center"/>
    </xf>
    <xf numFmtId="0" fontId="105" fillId="0" borderId="503" xfId="0" applyFont="1" applyBorder="1" applyAlignment="1">
      <alignment horizontal="center" vertical="center"/>
    </xf>
    <xf numFmtId="180" fontId="106" fillId="0" borderId="503" xfId="1" applyNumberFormat="1" applyFont="1" applyFill="1" applyBorder="1" applyAlignment="1">
      <alignment horizontal="center" vertical="center"/>
    </xf>
    <xf numFmtId="185" fontId="103" fillId="0" borderId="503" xfId="1" applyNumberFormat="1" applyFont="1" applyBorder="1" applyAlignment="1">
      <alignment vertical="center"/>
    </xf>
    <xf numFmtId="0" fontId="102" fillId="5" borderId="119" xfId="0" applyFont="1" applyFill="1" applyBorder="1" applyAlignment="1">
      <alignment horizontal="center" vertical="center" wrapText="1"/>
    </xf>
    <xf numFmtId="0" fontId="103" fillId="2" borderId="503" xfId="0" applyFont="1" applyFill="1" applyBorder="1" applyAlignment="1">
      <alignment horizontal="center" vertical="center" wrapText="1"/>
    </xf>
    <xf numFmtId="0" fontId="103" fillId="2" borderId="503" xfId="0" applyFont="1" applyFill="1" applyBorder="1" applyAlignment="1">
      <alignment horizontal="center" vertical="center"/>
    </xf>
    <xf numFmtId="0" fontId="111" fillId="8" borderId="113" xfId="0" applyFont="1" applyFill="1" applyBorder="1" applyAlignment="1">
      <alignment horizontal="left" vertical="center"/>
    </xf>
    <xf numFmtId="0" fontId="111" fillId="8" borderId="114" xfId="0" applyFont="1" applyFill="1" applyBorder="1" applyAlignment="1">
      <alignment horizontal="left" vertical="center"/>
    </xf>
    <xf numFmtId="0" fontId="111" fillId="8" borderId="378" xfId="0" applyFont="1" applyFill="1" applyBorder="1" applyAlignment="1">
      <alignment horizontal="center" vertical="center"/>
    </xf>
    <xf numFmtId="0" fontId="111" fillId="8" borderId="380" xfId="0" applyFont="1" applyFill="1" applyBorder="1" applyAlignment="1">
      <alignment horizontal="center" vertical="center"/>
    </xf>
    <xf numFmtId="180" fontId="103" fillId="5" borderId="503" xfId="1" quotePrefix="1" applyNumberFormat="1" applyFont="1" applyFill="1" applyBorder="1" applyAlignment="1">
      <alignment horizontal="center" vertical="center"/>
    </xf>
    <xf numFmtId="0" fontId="116" fillId="2" borderId="503" xfId="0" applyFont="1" applyFill="1" applyBorder="1" applyAlignment="1">
      <alignment horizontal="center" vertical="center" wrapText="1"/>
    </xf>
    <xf numFmtId="0" fontId="116" fillId="2" borderId="503" xfId="0" applyFont="1" applyFill="1" applyBorder="1" applyAlignment="1">
      <alignment horizontal="center" vertical="center"/>
    </xf>
    <xf numFmtId="180" fontId="113" fillId="0" borderId="503" xfId="1" applyNumberFormat="1" applyFont="1" applyFill="1" applyBorder="1" applyAlignment="1">
      <alignment horizontal="center" vertical="center"/>
    </xf>
    <xf numFmtId="0" fontId="102" fillId="5" borderId="479" xfId="0" applyFont="1" applyFill="1" applyBorder="1" applyAlignment="1">
      <alignment horizontal="center" vertical="center"/>
    </xf>
    <xf numFmtId="0" fontId="102" fillId="5" borderId="480" xfId="0" applyFont="1" applyFill="1" applyBorder="1" applyAlignment="1">
      <alignment horizontal="center" vertical="center"/>
    </xf>
    <xf numFmtId="0" fontId="102" fillId="5" borderId="481" xfId="0" applyFont="1" applyFill="1" applyBorder="1" applyAlignment="1">
      <alignment horizontal="center" vertical="center"/>
    </xf>
    <xf numFmtId="0" fontId="102" fillId="5" borderId="482" xfId="0" applyFont="1" applyFill="1" applyBorder="1" applyAlignment="1">
      <alignment horizontal="center" vertical="center"/>
    </xf>
    <xf numFmtId="0" fontId="102" fillId="5" borderId="483" xfId="0" applyFont="1" applyFill="1" applyBorder="1" applyAlignment="1">
      <alignment horizontal="center" vertical="center"/>
    </xf>
    <xf numFmtId="0" fontId="102" fillId="5" borderId="484" xfId="0" applyFont="1" applyFill="1" applyBorder="1" applyAlignment="1">
      <alignment horizontal="center" vertical="center"/>
    </xf>
    <xf numFmtId="185" fontId="103" fillId="5" borderId="503" xfId="1" applyNumberFormat="1" applyFont="1" applyFill="1" applyBorder="1" applyAlignment="1">
      <alignment vertical="center"/>
    </xf>
    <xf numFmtId="0" fontId="112" fillId="0" borderId="503" xfId="1" quotePrefix="1" applyNumberFormat="1" applyFont="1" applyBorder="1" applyAlignment="1">
      <alignment horizontal="left" vertical="center" wrapText="1"/>
    </xf>
    <xf numFmtId="0" fontId="105" fillId="5" borderId="503" xfId="1" applyNumberFormat="1" applyFont="1" applyFill="1" applyBorder="1" applyAlignment="1">
      <alignment horizontal="left" vertical="center"/>
    </xf>
    <xf numFmtId="0" fontId="102" fillId="5" borderId="485" xfId="0" applyFont="1" applyFill="1" applyBorder="1" applyAlignment="1">
      <alignment horizontal="center" vertical="center"/>
    </xf>
    <xf numFmtId="0" fontId="102" fillId="5" borderId="291" xfId="0" applyFont="1" applyFill="1" applyBorder="1" applyAlignment="1">
      <alignment horizontal="center" vertical="center"/>
    </xf>
    <xf numFmtId="0" fontId="102" fillId="5" borderId="304" xfId="0" applyFont="1" applyFill="1" applyBorder="1" applyAlignment="1">
      <alignment horizontal="center" vertical="center"/>
    </xf>
    <xf numFmtId="0" fontId="103" fillId="0" borderId="471" xfId="0" applyFont="1" applyBorder="1" applyAlignment="1">
      <alignment horizontal="center" vertical="center"/>
    </xf>
    <xf numFmtId="0" fontId="103" fillId="0" borderId="467" xfId="0" applyFont="1" applyBorder="1" applyAlignment="1">
      <alignment horizontal="center" vertical="center"/>
    </xf>
    <xf numFmtId="0" fontId="103" fillId="0" borderId="472" xfId="0" applyFont="1" applyBorder="1" applyAlignment="1">
      <alignment horizontal="center" vertical="center"/>
    </xf>
    <xf numFmtId="0" fontId="103" fillId="0" borderId="219" xfId="0" applyFont="1" applyBorder="1" applyAlignment="1">
      <alignment horizontal="center" vertical="center"/>
    </xf>
    <xf numFmtId="0" fontId="103" fillId="0" borderId="220" xfId="0" applyFont="1" applyBorder="1" applyAlignment="1">
      <alignment horizontal="center" vertical="center"/>
    </xf>
    <xf numFmtId="0" fontId="103" fillId="0" borderId="221" xfId="0" applyFont="1" applyBorder="1" applyAlignment="1">
      <alignment horizontal="center" vertical="center"/>
    </xf>
    <xf numFmtId="180" fontId="103" fillId="0" borderId="219" xfId="1" applyNumberFormat="1" applyFont="1" applyFill="1" applyBorder="1" applyAlignment="1">
      <alignment horizontal="center" vertical="center"/>
    </xf>
    <xf numFmtId="180" fontId="103" fillId="0" borderId="221" xfId="1" applyNumberFormat="1" applyFont="1" applyFill="1" applyBorder="1" applyAlignment="1">
      <alignment horizontal="center" vertical="center"/>
    </xf>
    <xf numFmtId="180" fontId="103" fillId="5" borderId="221" xfId="1" applyNumberFormat="1" applyFont="1" applyFill="1" applyBorder="1" applyAlignment="1">
      <alignment horizontal="center" vertical="center"/>
    </xf>
    <xf numFmtId="0" fontId="103" fillId="0" borderId="503" xfId="0" applyFont="1" applyBorder="1" applyAlignment="1">
      <alignment horizontal="center" vertical="center"/>
    </xf>
    <xf numFmtId="0" fontId="103" fillId="5" borderId="226" xfId="0" applyFont="1" applyFill="1" applyBorder="1" applyAlignment="1">
      <alignment horizontal="center" vertical="center"/>
    </xf>
    <xf numFmtId="0" fontId="103" fillId="5" borderId="218" xfId="0" applyFont="1" applyFill="1" applyBorder="1" applyAlignment="1">
      <alignment horizontal="center" vertical="center"/>
    </xf>
    <xf numFmtId="185" fontId="103" fillId="3" borderId="503" xfId="1" applyNumberFormat="1" applyFont="1" applyFill="1" applyBorder="1" applyAlignment="1">
      <alignment horizontal="right" vertical="center"/>
    </xf>
    <xf numFmtId="180" fontId="105" fillId="0" borderId="466" xfId="1" applyNumberFormat="1" applyFont="1" applyFill="1" applyBorder="1" applyAlignment="1">
      <alignment horizontal="center" vertical="center"/>
    </xf>
    <xf numFmtId="180" fontId="103" fillId="3" borderId="503" xfId="1" applyNumberFormat="1" applyFont="1" applyFill="1" applyBorder="1" applyAlignment="1">
      <alignment horizontal="center" vertical="center"/>
    </xf>
    <xf numFmtId="180" fontId="103" fillId="5" borderId="466" xfId="1" applyNumberFormat="1" applyFont="1" applyFill="1" applyBorder="1" applyAlignment="1">
      <alignment horizontal="center" vertical="center"/>
    </xf>
    <xf numFmtId="0" fontId="103" fillId="2" borderId="470" xfId="0" applyFont="1" applyFill="1" applyBorder="1" applyAlignment="1">
      <alignment horizontal="center" vertical="center"/>
    </xf>
    <xf numFmtId="0" fontId="103" fillId="2" borderId="475" xfId="0" applyFont="1" applyFill="1" applyBorder="1" applyAlignment="1">
      <alignment horizontal="center" vertical="center"/>
    </xf>
    <xf numFmtId="180" fontId="103" fillId="5" borderId="426" xfId="1" applyNumberFormat="1" applyFont="1" applyFill="1" applyBorder="1" applyAlignment="1">
      <alignment horizontal="left" vertical="center"/>
    </xf>
    <xf numFmtId="180" fontId="103" fillId="5" borderId="220" xfId="1" applyNumberFormat="1" applyFont="1" applyFill="1" applyBorder="1" applyAlignment="1">
      <alignment horizontal="left" vertical="center"/>
    </xf>
    <xf numFmtId="180" fontId="103" fillId="5" borderId="493" xfId="1" applyNumberFormat="1" applyFont="1" applyFill="1" applyBorder="1" applyAlignment="1">
      <alignment horizontal="left" vertical="center"/>
    </xf>
    <xf numFmtId="180" fontId="105" fillId="0" borderId="220" xfId="1" applyNumberFormat="1" applyFont="1" applyFill="1" applyBorder="1" applyAlignment="1">
      <alignment horizontal="left" vertical="center"/>
    </xf>
    <xf numFmtId="180" fontId="105" fillId="0" borderId="493" xfId="1" applyNumberFormat="1" applyFont="1" applyFill="1" applyBorder="1" applyAlignment="1">
      <alignment horizontal="left" vertical="center"/>
    </xf>
    <xf numFmtId="185" fontId="113" fillId="5" borderId="426" xfId="1" applyNumberFormat="1" applyFont="1" applyFill="1" applyBorder="1" applyAlignment="1">
      <alignment horizontal="right" vertical="center"/>
    </xf>
    <xf numFmtId="185" fontId="113" fillId="5" borderId="427" xfId="1" applyNumberFormat="1" applyFont="1" applyFill="1" applyBorder="1" applyAlignment="1">
      <alignment horizontal="right" vertical="center"/>
    </xf>
    <xf numFmtId="180" fontId="105" fillId="0" borderId="486" xfId="1" applyNumberFormat="1" applyFont="1" applyFill="1" applyBorder="1" applyAlignment="1">
      <alignment horizontal="center" vertical="center"/>
    </xf>
    <xf numFmtId="180" fontId="105" fillId="0" borderId="427" xfId="1" applyNumberFormat="1" applyFont="1" applyFill="1" applyBorder="1" applyAlignment="1">
      <alignment horizontal="center" vertical="center"/>
    </xf>
    <xf numFmtId="0" fontId="103" fillId="2" borderId="219" xfId="0" applyFont="1" applyFill="1" applyBorder="1" applyAlignment="1">
      <alignment horizontal="center" vertical="center"/>
    </xf>
    <xf numFmtId="0" fontId="105" fillId="0" borderId="490" xfId="1" quotePrefix="1" applyNumberFormat="1" applyFont="1" applyBorder="1" applyAlignment="1">
      <alignment horizontal="left" vertical="center" wrapText="1"/>
    </xf>
    <xf numFmtId="0" fontId="105" fillId="0" borderId="491" xfId="1" applyNumberFormat="1" applyFont="1" applyBorder="1" applyAlignment="1">
      <alignment horizontal="left" vertical="center"/>
    </xf>
    <xf numFmtId="0" fontId="105" fillId="0" borderId="492" xfId="1" applyNumberFormat="1" applyFont="1" applyBorder="1" applyAlignment="1">
      <alignment horizontal="left" vertical="center"/>
    </xf>
    <xf numFmtId="0" fontId="118" fillId="0" borderId="219" xfId="1" quotePrefix="1" applyNumberFormat="1" applyFont="1" applyBorder="1" applyAlignment="1">
      <alignment horizontal="left" vertical="center" wrapText="1"/>
    </xf>
    <xf numFmtId="0" fontId="118" fillId="0" borderId="220" xfId="1" applyNumberFormat="1" applyFont="1" applyBorder="1" applyAlignment="1">
      <alignment horizontal="left" vertical="center"/>
    </xf>
    <xf numFmtId="0" fontId="118" fillId="0" borderId="493" xfId="1" applyNumberFormat="1" applyFont="1" applyBorder="1" applyAlignment="1">
      <alignment horizontal="left" vertical="center"/>
    </xf>
    <xf numFmtId="185" fontId="113" fillId="0" borderId="495" xfId="1" applyNumberFormat="1" applyFont="1" applyBorder="1" applyAlignment="1">
      <alignment vertical="center"/>
    </xf>
    <xf numFmtId="0" fontId="103" fillId="2" borderId="476" xfId="0" applyFont="1" applyFill="1" applyBorder="1" applyAlignment="1">
      <alignment horizontal="center" vertical="center"/>
    </xf>
    <xf numFmtId="0" fontId="112" fillId="0" borderId="220" xfId="0" quotePrefix="1" applyFont="1" applyBorder="1" applyAlignment="1">
      <alignment horizontal="left" vertical="center"/>
    </xf>
    <xf numFmtId="0" fontId="112" fillId="0" borderId="493" xfId="0" quotePrefix="1" applyFont="1" applyBorder="1" applyAlignment="1">
      <alignment horizontal="left" vertical="center"/>
    </xf>
    <xf numFmtId="180" fontId="103" fillId="0" borderId="488" xfId="1" applyNumberFormat="1" applyFont="1" applyFill="1" applyBorder="1" applyAlignment="1">
      <alignment horizontal="center" vertical="center"/>
    </xf>
    <xf numFmtId="180" fontId="103" fillId="0" borderId="489" xfId="1" applyNumberFormat="1" applyFont="1" applyFill="1" applyBorder="1" applyAlignment="1">
      <alignment horizontal="center" vertical="center"/>
    </xf>
    <xf numFmtId="180" fontId="124" fillId="3" borderId="487" xfId="1" applyNumberFormat="1" applyFont="1" applyFill="1" applyBorder="1" applyAlignment="1">
      <alignment horizontal="left" vertical="top" wrapText="1"/>
    </xf>
    <xf numFmtId="180" fontId="124" fillId="3" borderId="220" xfId="1" applyNumberFormat="1" applyFont="1" applyFill="1" applyBorder="1" applyAlignment="1">
      <alignment horizontal="left" vertical="top" wrapText="1"/>
    </xf>
    <xf numFmtId="180" fontId="124" fillId="3" borderId="493" xfId="1" applyNumberFormat="1" applyFont="1" applyFill="1" applyBorder="1" applyAlignment="1">
      <alignment horizontal="left" vertical="top" wrapText="1"/>
    </xf>
    <xf numFmtId="0" fontId="122" fillId="0" borderId="219" xfId="1" quotePrefix="1" applyNumberFormat="1" applyFont="1" applyBorder="1" applyAlignment="1">
      <alignment horizontal="left" vertical="center" wrapText="1"/>
    </xf>
    <xf numFmtId="0" fontId="122" fillId="0" borderId="220" xfId="1" quotePrefix="1" applyNumberFormat="1" applyFont="1" applyBorder="1" applyAlignment="1">
      <alignment horizontal="left" vertical="center" wrapText="1"/>
    </xf>
    <xf numFmtId="0" fontId="122" fillId="0" borderId="493" xfId="1" quotePrefix="1" applyNumberFormat="1" applyFont="1" applyBorder="1" applyAlignment="1">
      <alignment horizontal="left" vertical="center" wrapText="1"/>
    </xf>
    <xf numFmtId="180" fontId="103" fillId="5" borderId="427" xfId="1" applyNumberFormat="1" applyFont="1" applyFill="1" applyBorder="1" applyAlignment="1">
      <alignment horizontal="center" vertical="center"/>
    </xf>
    <xf numFmtId="180" fontId="103" fillId="5" borderId="503" xfId="1" applyNumberFormat="1" applyFont="1" applyFill="1" applyBorder="1" applyAlignment="1">
      <alignment horizontal="center" vertical="center"/>
    </xf>
    <xf numFmtId="0" fontId="112" fillId="0" borderId="426" xfId="0" applyFont="1" applyBorder="1" applyAlignment="1">
      <alignment horizontal="left" vertical="center"/>
    </xf>
    <xf numFmtId="0" fontId="119" fillId="0" borderId="503" xfId="0" quotePrefix="1" applyFont="1" applyBorder="1" applyAlignment="1">
      <alignment horizontal="left" vertical="center"/>
    </xf>
    <xf numFmtId="0" fontId="119" fillId="5" borderId="504" xfId="1" applyNumberFormat="1" applyFont="1" applyFill="1" applyBorder="1" applyAlignment="1">
      <alignment horizontal="center" vertical="center"/>
    </xf>
    <xf numFmtId="0" fontId="119" fillId="5" borderId="505" xfId="1" applyNumberFormat="1" applyFont="1" applyFill="1" applyBorder="1" applyAlignment="1">
      <alignment horizontal="center" vertical="center"/>
    </xf>
    <xf numFmtId="0" fontId="119" fillId="5" borderId="506" xfId="1" applyNumberFormat="1" applyFont="1" applyFill="1" applyBorder="1" applyAlignment="1">
      <alignment horizontal="center" vertical="center"/>
    </xf>
    <xf numFmtId="0" fontId="119" fillId="0" borderId="503" xfId="1" quotePrefix="1" applyNumberFormat="1" applyFont="1" applyBorder="1" applyAlignment="1">
      <alignment horizontal="left" vertical="center" wrapText="1"/>
    </xf>
    <xf numFmtId="0" fontId="97" fillId="0" borderId="231" xfId="0" applyFont="1" applyBorder="1" applyAlignment="1">
      <alignment horizontal="center" vertical="center"/>
    </xf>
    <xf numFmtId="180" fontId="103" fillId="3" borderId="427" xfId="1" applyNumberFormat="1" applyFont="1" applyFill="1" applyBorder="1" applyAlignment="1">
      <alignment horizontal="center" vertical="center"/>
    </xf>
    <xf numFmtId="0" fontId="103" fillId="3" borderId="503" xfId="0" applyFont="1" applyFill="1" applyBorder="1" applyAlignment="1">
      <alignment horizontal="center" vertical="center"/>
    </xf>
    <xf numFmtId="180" fontId="113" fillId="3" borderId="503" xfId="1" applyNumberFormat="1" applyFont="1" applyFill="1" applyBorder="1" applyAlignment="1">
      <alignment horizontal="center" vertical="center"/>
    </xf>
    <xf numFmtId="0" fontId="97" fillId="0" borderId="5" xfId="0" applyFont="1" applyBorder="1" applyAlignment="1">
      <alignment horizontal="center" vertical="center"/>
    </xf>
    <xf numFmtId="0" fontId="107" fillId="2" borderId="27" xfId="0" applyFont="1" applyFill="1" applyBorder="1" applyAlignment="1">
      <alignment horizontal="center" vertical="center"/>
    </xf>
    <xf numFmtId="0" fontId="107" fillId="2" borderId="28" xfId="0" applyFont="1" applyFill="1" applyBorder="1" applyAlignment="1">
      <alignment horizontal="center" vertical="center"/>
    </xf>
    <xf numFmtId="0" fontId="107" fillId="2" borderId="29" xfId="0" applyFont="1" applyFill="1" applyBorder="1" applyAlignment="1">
      <alignment horizontal="center" vertical="center"/>
    </xf>
    <xf numFmtId="0" fontId="107" fillId="2" borderId="22" xfId="0" applyFont="1" applyFill="1" applyBorder="1" applyAlignment="1">
      <alignment horizontal="center" vertical="center"/>
    </xf>
    <xf numFmtId="0" fontId="107" fillId="2" borderId="104" xfId="0" applyFont="1" applyFill="1" applyBorder="1" applyAlignment="1">
      <alignment horizontal="center" vertical="center"/>
    </xf>
    <xf numFmtId="43" fontId="97" fillId="0" borderId="360" xfId="0" applyNumberFormat="1" applyFont="1" applyBorder="1" applyAlignment="1">
      <alignment horizontal="center" vertical="center"/>
    </xf>
    <xf numFmtId="43" fontId="97" fillId="0" borderId="103" xfId="0" applyNumberFormat="1" applyFont="1" applyBorder="1" applyAlignment="1">
      <alignment horizontal="center" vertical="center"/>
    </xf>
    <xf numFmtId="43" fontId="97" fillId="0" borderId="16" xfId="0" applyNumberFormat="1" applyFont="1" applyBorder="1" applyAlignment="1">
      <alignment horizontal="center" vertical="center"/>
    </xf>
    <xf numFmtId="0" fontId="97" fillId="0" borderId="360" xfId="0" applyFont="1" applyBorder="1" applyAlignment="1">
      <alignment horizontal="center" vertical="center"/>
    </xf>
    <xf numFmtId="0" fontId="97" fillId="0" borderId="103" xfId="0" applyFont="1" applyBorder="1" applyAlignment="1">
      <alignment horizontal="center" vertical="center"/>
    </xf>
    <xf numFmtId="0" fontId="97" fillId="0" borderId="16" xfId="0" applyFont="1" applyBorder="1" applyAlignment="1">
      <alignment horizontal="center" vertical="center"/>
    </xf>
    <xf numFmtId="0" fontId="107" fillId="16" borderId="29" xfId="0" applyFont="1" applyFill="1" applyBorder="1" applyAlignment="1">
      <alignment horizontal="center" vertical="center"/>
    </xf>
    <xf numFmtId="0" fontId="107" fillId="16" borderId="22" xfId="0" applyFont="1" applyFill="1" applyBorder="1" applyAlignment="1">
      <alignment horizontal="center" vertical="center"/>
    </xf>
    <xf numFmtId="0" fontId="107" fillId="16" borderId="104" xfId="0" applyFont="1" applyFill="1" applyBorder="1" applyAlignment="1">
      <alignment horizontal="center" vertical="center"/>
    </xf>
    <xf numFmtId="0" fontId="107" fillId="3" borderId="29" xfId="0" applyFont="1" applyFill="1" applyBorder="1" applyAlignment="1">
      <alignment horizontal="center" vertical="center"/>
    </xf>
    <xf numFmtId="0" fontId="107" fillId="3" borderId="22" xfId="0" applyFont="1" applyFill="1" applyBorder="1" applyAlignment="1">
      <alignment horizontal="center" vertical="center"/>
    </xf>
    <xf numFmtId="0" fontId="107" fillId="3" borderId="104" xfId="0" applyFont="1" applyFill="1" applyBorder="1" applyAlignment="1">
      <alignment horizontal="center" vertical="center"/>
    </xf>
    <xf numFmtId="0" fontId="107" fillId="3" borderId="89" xfId="0" applyFont="1" applyFill="1" applyBorder="1" applyAlignment="1">
      <alignment horizontal="center" vertical="center"/>
    </xf>
    <xf numFmtId="0" fontId="107" fillId="3" borderId="27" xfId="0" applyFont="1" applyFill="1" applyBorder="1" applyAlignment="1">
      <alignment horizontal="center" vertical="center"/>
    </xf>
    <xf numFmtId="0" fontId="107" fillId="3" borderId="28" xfId="0" applyFont="1" applyFill="1" applyBorder="1" applyAlignment="1">
      <alignment horizontal="center" vertical="center"/>
    </xf>
    <xf numFmtId="0" fontId="33" fillId="8" borderId="99" xfId="68" applyFont="1" applyFill="1" applyBorder="1" applyAlignment="1">
      <alignment horizontal="center" vertical="center"/>
    </xf>
    <xf numFmtId="0" fontId="33" fillId="8" borderId="0" xfId="68" applyFont="1" applyFill="1" applyAlignment="1">
      <alignment horizontal="center" vertical="center"/>
    </xf>
    <xf numFmtId="0" fontId="25" fillId="16" borderId="0" xfId="68" applyFont="1" applyFill="1" applyAlignment="1">
      <alignment horizontal="center" vertical="center"/>
    </xf>
    <xf numFmtId="0" fontId="1" fillId="20" borderId="48" xfId="68" applyFill="1" applyBorder="1" applyAlignment="1">
      <alignment horizontal="center" vertical="center" wrapText="1"/>
    </xf>
    <xf numFmtId="0" fontId="1" fillId="20" borderId="73" xfId="68" applyFill="1" applyBorder="1" applyAlignment="1">
      <alignment horizontal="center" vertical="center" wrapText="1"/>
    </xf>
    <xf numFmtId="0" fontId="1" fillId="0" borderId="360" xfId="68" applyBorder="1" applyAlignment="1">
      <alignment horizontal="center" vertical="center" wrapText="1"/>
    </xf>
    <xf numFmtId="0" fontId="1" fillId="0" borderId="103" xfId="68" applyBorder="1" applyAlignment="1">
      <alignment horizontal="center" vertical="center"/>
    </xf>
    <xf numFmtId="0" fontId="1" fillId="0" borderId="16" xfId="68" applyBorder="1" applyAlignment="1">
      <alignment horizontal="center" vertical="center"/>
    </xf>
    <xf numFmtId="181" fontId="1" fillId="0" borderId="48" xfId="68" applyNumberFormat="1" applyBorder="1" applyAlignment="1">
      <alignment horizontal="center" vertical="center"/>
    </xf>
    <xf numFmtId="181" fontId="1" fillId="0" borderId="73" xfId="68" applyNumberFormat="1" applyBorder="1" applyAlignment="1">
      <alignment horizontal="center" vertical="center"/>
    </xf>
    <xf numFmtId="181" fontId="1" fillId="4" borderId="48" xfId="68" quotePrefix="1" applyNumberFormat="1" applyFill="1" applyBorder="1" applyAlignment="1">
      <alignment horizontal="center" vertical="center"/>
    </xf>
    <xf numFmtId="181" fontId="1" fillId="4" borderId="73" xfId="68" quotePrefix="1" applyNumberFormat="1" applyFill="1" applyBorder="1" applyAlignment="1">
      <alignment horizontal="center" vertical="center"/>
    </xf>
    <xf numFmtId="0" fontId="3" fillId="2" borderId="29"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0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5"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04" xfId="0" applyFont="1" applyFill="1" applyBorder="1" applyAlignment="1">
      <alignment horizontal="center" vertical="center"/>
    </xf>
    <xf numFmtId="0" fontId="0" fillId="0" borderId="22" xfId="0" applyBorder="1" applyAlignment="1">
      <alignment horizontal="right" vertical="center"/>
    </xf>
    <xf numFmtId="0" fontId="24" fillId="8" borderId="118" xfId="0" applyFont="1" applyFill="1" applyBorder="1" applyAlignment="1">
      <alignment horizontal="left" vertical="center"/>
    </xf>
    <xf numFmtId="0" fontId="24" fillId="8" borderId="153" xfId="0" applyFont="1" applyFill="1" applyBorder="1" applyAlignment="1">
      <alignment horizontal="left" vertical="center"/>
    </xf>
    <xf numFmtId="0" fontId="3" fillId="8" borderId="186" xfId="0" applyFont="1" applyFill="1" applyBorder="1" applyAlignment="1">
      <alignment horizontal="center" vertical="center"/>
    </xf>
    <xf numFmtId="0" fontId="3" fillId="8" borderId="342" xfId="0" applyFont="1" applyFill="1" applyBorder="1" applyAlignment="1">
      <alignment horizontal="center" vertical="center"/>
    </xf>
    <xf numFmtId="0" fontId="24" fillId="3" borderId="143" xfId="0" applyFont="1" applyFill="1" applyBorder="1" applyAlignment="1">
      <alignment horizontal="left" vertical="center"/>
    </xf>
    <xf numFmtId="0" fontId="24" fillId="3" borderId="144" xfId="0" applyFont="1" applyFill="1" applyBorder="1" applyAlignment="1">
      <alignment horizontal="left" vertical="center"/>
    </xf>
    <xf numFmtId="0" fontId="3" fillId="8" borderId="142" xfId="0" applyFont="1" applyFill="1" applyBorder="1" applyAlignment="1">
      <alignment horizontal="center" vertical="center"/>
    </xf>
    <xf numFmtId="0" fontId="42" fillId="3" borderId="219" xfId="0" applyFont="1" applyFill="1" applyBorder="1" applyAlignment="1">
      <alignment horizontal="center" vertical="center"/>
    </xf>
    <xf numFmtId="0" fontId="42" fillId="3" borderId="220" xfId="0" applyFont="1" applyFill="1" applyBorder="1" applyAlignment="1">
      <alignment horizontal="center" vertical="center"/>
    </xf>
    <xf numFmtId="0" fontId="42" fillId="3" borderId="221" xfId="0" applyFont="1" applyFill="1" applyBorder="1" applyAlignment="1">
      <alignment horizontal="center" vertical="center"/>
    </xf>
    <xf numFmtId="180" fontId="42" fillId="3" borderId="219" xfId="1" applyNumberFormat="1" applyFont="1" applyFill="1" applyBorder="1" applyAlignment="1">
      <alignment horizontal="center" vertical="center"/>
    </xf>
    <xf numFmtId="180" fontId="42" fillId="3" borderId="221" xfId="1" applyNumberFormat="1" applyFont="1" applyFill="1" applyBorder="1" applyAlignment="1">
      <alignment horizontal="center" vertical="center"/>
    </xf>
    <xf numFmtId="41" fontId="42" fillId="3" borderId="219" xfId="1" applyFont="1" applyFill="1" applyBorder="1" applyAlignment="1">
      <alignment horizontal="center" vertical="center"/>
    </xf>
    <xf numFmtId="41" fontId="42" fillId="3" borderId="221" xfId="1" applyFont="1" applyFill="1" applyBorder="1" applyAlignment="1">
      <alignment horizontal="center" vertical="center"/>
    </xf>
    <xf numFmtId="0" fontId="44" fillId="0" borderId="219" xfId="0" applyFont="1" applyBorder="1" applyAlignment="1">
      <alignment horizontal="center" vertical="center"/>
    </xf>
    <xf numFmtId="0" fontId="44" fillId="0" borderId="221" xfId="0" applyFont="1" applyBorder="1" applyAlignment="1">
      <alignment horizontal="center" vertical="center"/>
    </xf>
    <xf numFmtId="180" fontId="44" fillId="0" borderId="219" xfId="1" applyNumberFormat="1" applyFont="1" applyFill="1" applyBorder="1" applyAlignment="1">
      <alignment horizontal="center" vertical="center"/>
    </xf>
    <xf numFmtId="180" fontId="44" fillId="0" borderId="221" xfId="1" applyNumberFormat="1" applyFont="1" applyFill="1" applyBorder="1" applyAlignment="1">
      <alignment horizontal="center" vertical="center"/>
    </xf>
    <xf numFmtId="41" fontId="44" fillId="0" borderId="219" xfId="1" applyFont="1" applyFill="1" applyBorder="1" applyAlignment="1">
      <alignment horizontal="center" vertical="center"/>
    </xf>
    <xf numFmtId="41" fontId="44" fillId="0" borderId="221" xfId="1" applyFont="1" applyFill="1" applyBorder="1" applyAlignment="1">
      <alignment horizontal="center" vertical="center"/>
    </xf>
    <xf numFmtId="41" fontId="44" fillId="0" borderId="219" xfId="1" applyFont="1" applyFill="1" applyBorder="1" applyAlignment="1">
      <alignment horizontal="right" vertical="center"/>
    </xf>
    <xf numFmtId="41" fontId="44" fillId="0" borderId="221" xfId="1" applyFont="1" applyFill="1" applyBorder="1" applyAlignment="1">
      <alignment horizontal="right" vertical="center"/>
    </xf>
    <xf numFmtId="185" fontId="44" fillId="0" borderId="219" xfId="1" applyNumberFormat="1" applyFont="1" applyFill="1" applyBorder="1" applyAlignment="1">
      <alignment horizontal="right" vertical="center"/>
    </xf>
    <xf numFmtId="185" fontId="44" fillId="0" borderId="221" xfId="1" applyNumberFormat="1" applyFont="1" applyFill="1" applyBorder="1" applyAlignment="1">
      <alignment horizontal="right" vertical="center"/>
    </xf>
    <xf numFmtId="0" fontId="42" fillId="2" borderId="219" xfId="0" applyFont="1" applyFill="1" applyBorder="1" applyAlignment="1">
      <alignment horizontal="center" vertical="center"/>
    </xf>
    <xf numFmtId="0" fontId="42" fillId="2" borderId="220" xfId="0" applyFont="1" applyFill="1" applyBorder="1" applyAlignment="1">
      <alignment horizontal="center" vertical="center"/>
    </xf>
    <xf numFmtId="0" fontId="42" fillId="2" borderId="221" xfId="0" applyFont="1" applyFill="1" applyBorder="1" applyAlignment="1">
      <alignment horizontal="center" vertical="center"/>
    </xf>
    <xf numFmtId="185" fontId="42" fillId="5" borderId="219" xfId="1" applyNumberFormat="1" applyFont="1" applyFill="1" applyBorder="1" applyAlignment="1">
      <alignment horizontal="right" vertical="center"/>
    </xf>
    <xf numFmtId="185" fontId="42" fillId="5" borderId="221" xfId="1" applyNumberFormat="1" applyFont="1" applyFill="1" applyBorder="1" applyAlignment="1">
      <alignment horizontal="right" vertical="center"/>
    </xf>
    <xf numFmtId="180" fontId="44" fillId="0" borderId="219" xfId="1" applyNumberFormat="1" applyFont="1" applyFill="1" applyBorder="1" applyAlignment="1">
      <alignment horizontal="right" vertical="center"/>
    </xf>
    <xf numFmtId="180" fontId="44" fillId="0" borderId="221" xfId="1" applyNumberFormat="1" applyFont="1" applyFill="1" applyBorder="1" applyAlignment="1">
      <alignment horizontal="right" vertical="center"/>
    </xf>
    <xf numFmtId="0" fontId="48" fillId="13" borderId="367" xfId="0" applyFont="1" applyFill="1" applyBorder="1" applyAlignment="1">
      <alignment horizontal="center" vertical="center" wrapText="1" readingOrder="1"/>
    </xf>
    <xf numFmtId="0" fontId="48" fillId="13" borderId="368" xfId="0" applyFont="1" applyFill="1" applyBorder="1" applyAlignment="1">
      <alignment horizontal="center" vertical="center" wrapText="1" readingOrder="1"/>
    </xf>
    <xf numFmtId="0" fontId="48" fillId="13" borderId="369" xfId="0" applyFont="1" applyFill="1" applyBorder="1" applyAlignment="1">
      <alignment horizontal="center" vertical="center" wrapText="1" readingOrder="1"/>
    </xf>
    <xf numFmtId="0" fontId="48" fillId="13" borderId="370" xfId="0" applyFont="1" applyFill="1" applyBorder="1" applyAlignment="1">
      <alignment horizontal="center" vertical="center" wrapText="1" readingOrder="1"/>
    </xf>
    <xf numFmtId="0" fontId="48" fillId="13" borderId="372" xfId="0" applyFont="1" applyFill="1" applyBorder="1" applyAlignment="1">
      <alignment horizontal="center" vertical="center" wrapText="1" readingOrder="1"/>
    </xf>
    <xf numFmtId="0" fontId="48" fillId="13" borderId="373" xfId="0" applyFont="1" applyFill="1" applyBorder="1" applyAlignment="1">
      <alignment horizontal="center" vertical="center" wrapText="1" readingOrder="1"/>
    </xf>
    <xf numFmtId="0" fontId="48" fillId="13" borderId="366" xfId="0" applyFont="1" applyFill="1" applyBorder="1" applyAlignment="1">
      <alignment horizontal="center" vertical="center" wrapText="1" readingOrder="1"/>
    </xf>
    <xf numFmtId="0" fontId="49" fillId="14" borderId="373" xfId="0" applyFont="1" applyFill="1" applyBorder="1" applyAlignment="1">
      <alignment horizontal="left" vertical="center" wrapText="1" readingOrder="1"/>
    </xf>
    <xf numFmtId="0" fontId="49" fillId="14" borderId="366" xfId="0" applyFont="1" applyFill="1" applyBorder="1" applyAlignment="1">
      <alignment horizontal="left" vertical="center" wrapText="1" readingOrder="1"/>
    </xf>
    <xf numFmtId="0" fontId="42" fillId="0" borderId="219" xfId="0" applyFont="1" applyBorder="1" applyAlignment="1">
      <alignment horizontal="center" vertical="center"/>
    </xf>
    <xf numFmtId="0" fontId="42" fillId="0" borderId="220" xfId="0" applyFont="1" applyBorder="1" applyAlignment="1">
      <alignment horizontal="center" vertical="center"/>
    </xf>
    <xf numFmtId="0" fontId="42" fillId="0" borderId="221" xfId="0" applyFont="1" applyBorder="1" applyAlignment="1">
      <alignment horizontal="center" vertical="center"/>
    </xf>
    <xf numFmtId="180" fontId="42" fillId="0" borderId="219" xfId="1" applyNumberFormat="1" applyFont="1" applyFill="1" applyBorder="1" applyAlignment="1">
      <alignment horizontal="center" vertical="center"/>
    </xf>
    <xf numFmtId="180" fontId="42" fillId="0" borderId="221" xfId="1" applyNumberFormat="1" applyFont="1" applyFill="1" applyBorder="1" applyAlignment="1">
      <alignment horizontal="center" vertical="center"/>
    </xf>
    <xf numFmtId="186" fontId="42" fillId="0" borderId="219" xfId="0" applyNumberFormat="1" applyFont="1" applyBorder="1" applyAlignment="1">
      <alignment horizontal="center" vertical="center"/>
    </xf>
    <xf numFmtId="186" fontId="42" fillId="0" borderId="221" xfId="0" applyNumberFormat="1" applyFont="1" applyBorder="1" applyAlignment="1">
      <alignment horizontal="center" vertical="center"/>
    </xf>
    <xf numFmtId="185" fontId="42" fillId="0" borderId="219" xfId="1" applyNumberFormat="1" applyFont="1" applyFill="1" applyBorder="1" applyAlignment="1">
      <alignment horizontal="right" vertical="center"/>
    </xf>
    <xf numFmtId="185" fontId="42" fillId="0" borderId="221" xfId="1" applyNumberFormat="1" applyFont="1" applyFill="1" applyBorder="1" applyAlignment="1">
      <alignment horizontal="right" vertical="center"/>
    </xf>
    <xf numFmtId="0" fontId="42" fillId="5" borderId="226" xfId="0" applyFont="1" applyFill="1" applyBorder="1" applyAlignment="1">
      <alignment horizontal="center" vertical="center"/>
    </xf>
    <xf numFmtId="0" fontId="42" fillId="5" borderId="218" xfId="0" applyFont="1" applyFill="1" applyBorder="1" applyAlignment="1">
      <alignment horizontal="center" vertical="center"/>
    </xf>
    <xf numFmtId="180" fontId="42" fillId="5" borderId="219" xfId="1" applyNumberFormat="1" applyFont="1" applyFill="1" applyBorder="1" applyAlignment="1">
      <alignment horizontal="center" vertical="center"/>
    </xf>
    <xf numFmtId="180" fontId="42" fillId="5" borderId="221" xfId="1" applyNumberFormat="1" applyFont="1" applyFill="1" applyBorder="1" applyAlignment="1">
      <alignment horizontal="center" vertical="center"/>
    </xf>
    <xf numFmtId="0" fontId="24" fillId="5" borderId="290" xfId="0" applyFont="1" applyFill="1" applyBorder="1" applyAlignment="1">
      <alignment horizontal="center" vertical="center"/>
    </xf>
    <xf numFmtId="0" fontId="24" fillId="5" borderId="291" xfId="0" applyFont="1" applyFill="1" applyBorder="1" applyAlignment="1">
      <alignment horizontal="center" vertical="center"/>
    </xf>
    <xf numFmtId="0" fontId="24" fillId="5" borderId="304" xfId="0" applyFont="1" applyFill="1" applyBorder="1" applyAlignment="1">
      <alignment horizontal="center" vertical="center"/>
    </xf>
    <xf numFmtId="180" fontId="42" fillId="5" borderId="219" xfId="1" quotePrefix="1" applyNumberFormat="1" applyFont="1" applyFill="1" applyBorder="1" applyAlignment="1">
      <alignment horizontal="center" vertical="center"/>
    </xf>
    <xf numFmtId="0" fontId="39" fillId="2" borderId="0" xfId="0" applyFont="1" applyFill="1" applyAlignment="1">
      <alignment horizontal="center" vertical="center"/>
    </xf>
    <xf numFmtId="0" fontId="24" fillId="5" borderId="334" xfId="0" applyFont="1" applyFill="1" applyBorder="1" applyAlignment="1">
      <alignment horizontal="center" vertical="center"/>
    </xf>
    <xf numFmtId="0" fontId="24" fillId="5" borderId="335" xfId="0" applyFont="1" applyFill="1" applyBorder="1" applyAlignment="1">
      <alignment horizontal="center" vertical="center"/>
    </xf>
    <xf numFmtId="0" fontId="24" fillId="5" borderId="336" xfId="0" applyFont="1" applyFill="1" applyBorder="1" applyAlignment="1">
      <alignment horizontal="center" vertical="center"/>
    </xf>
    <xf numFmtId="0" fontId="24" fillId="5" borderId="339" xfId="0" applyFont="1" applyFill="1" applyBorder="1" applyAlignment="1">
      <alignment horizontal="center" vertical="center"/>
    </xf>
    <xf numFmtId="0" fontId="24" fillId="5" borderId="0" xfId="0" applyFont="1" applyFill="1" applyAlignment="1">
      <alignment horizontal="center" vertical="center"/>
    </xf>
    <xf numFmtId="0" fontId="24" fillId="5" borderId="114" xfId="0" applyFont="1" applyFill="1" applyBorder="1" applyAlignment="1">
      <alignment horizontal="center" vertical="center"/>
    </xf>
    <xf numFmtId="0" fontId="24" fillId="5" borderId="340" xfId="0" applyFont="1" applyFill="1" applyBorder="1" applyAlignment="1">
      <alignment horizontal="center" vertical="center"/>
    </xf>
    <xf numFmtId="0" fontId="24" fillId="5" borderId="127" xfId="0" applyFont="1" applyFill="1" applyBorder="1" applyAlignment="1">
      <alignment horizontal="center" vertical="center"/>
    </xf>
    <xf numFmtId="0" fontId="24" fillId="5" borderId="128" xfId="0" applyFont="1" applyFill="1" applyBorder="1" applyAlignment="1">
      <alignment horizontal="center" vertical="center"/>
    </xf>
    <xf numFmtId="0" fontId="24" fillId="5" borderId="337" xfId="0" applyFont="1" applyFill="1" applyBorder="1" applyAlignment="1">
      <alignment horizontal="center" vertical="center" wrapText="1"/>
    </xf>
    <xf numFmtId="0" fontId="24" fillId="5" borderId="115" xfId="0" applyFont="1" applyFill="1" applyBorder="1" applyAlignment="1">
      <alignment horizontal="center" vertical="center" wrapText="1"/>
    </xf>
    <xf numFmtId="0" fontId="24" fillId="5" borderId="129" xfId="0" applyFont="1" applyFill="1" applyBorder="1" applyAlignment="1">
      <alignment horizontal="center" vertical="center" wrapText="1"/>
    </xf>
    <xf numFmtId="0" fontId="24" fillId="5" borderId="338" xfId="0" applyFont="1" applyFill="1" applyBorder="1" applyAlignment="1">
      <alignment horizontal="center" vertical="center" wrapText="1"/>
    </xf>
    <xf numFmtId="0" fontId="24" fillId="5" borderId="116" xfId="0" applyFont="1" applyFill="1" applyBorder="1" applyAlignment="1">
      <alignment horizontal="center" vertical="center" wrapText="1"/>
    </xf>
    <xf numFmtId="0" fontId="24" fillId="5" borderId="130" xfId="0" applyFont="1" applyFill="1" applyBorder="1" applyAlignment="1">
      <alignment horizontal="center" vertical="center" wrapText="1"/>
    </xf>
    <xf numFmtId="0" fontId="24" fillId="5" borderId="346" xfId="0" applyFont="1" applyFill="1" applyBorder="1" applyAlignment="1">
      <alignment horizontal="center" vertical="center" wrapText="1"/>
    </xf>
    <xf numFmtId="0" fontId="24" fillId="5" borderId="335" xfId="0" applyFont="1" applyFill="1" applyBorder="1" applyAlignment="1">
      <alignment horizontal="center" vertical="center" wrapText="1"/>
    </xf>
    <xf numFmtId="0" fontId="24" fillId="5" borderId="347" xfId="0" applyFont="1" applyFill="1" applyBorder="1" applyAlignment="1">
      <alignment horizontal="center" vertical="center" wrapText="1"/>
    </xf>
    <xf numFmtId="0" fontId="24" fillId="5" borderId="339" xfId="0" applyFont="1" applyFill="1" applyBorder="1" applyAlignment="1">
      <alignment horizontal="center" vertical="center" wrapText="1"/>
    </xf>
    <xf numFmtId="0" fontId="24" fillId="5" borderId="341" xfId="0" applyFont="1" applyFill="1" applyBorder="1" applyAlignment="1">
      <alignment horizontal="center" vertical="center" wrapText="1"/>
    </xf>
    <xf numFmtId="0" fontId="24" fillId="5" borderId="315" xfId="0" applyFont="1" applyFill="1" applyBorder="1" applyAlignment="1">
      <alignment horizontal="center" vertical="center" wrapText="1"/>
    </xf>
    <xf numFmtId="0" fontId="24" fillId="5" borderId="317" xfId="0" applyFont="1" applyFill="1" applyBorder="1" applyAlignment="1">
      <alignment horizontal="center" vertical="center" wrapText="1"/>
    </xf>
    <xf numFmtId="0" fontId="24" fillId="5" borderId="348" xfId="0" applyFont="1" applyFill="1" applyBorder="1" applyAlignment="1">
      <alignment horizontal="center" vertical="center" wrapText="1"/>
    </xf>
    <xf numFmtId="0" fontId="24" fillId="5" borderId="314" xfId="0" applyFont="1" applyFill="1" applyBorder="1" applyAlignment="1">
      <alignment horizontal="center" vertical="center" wrapText="1"/>
    </xf>
    <xf numFmtId="0" fontId="24" fillId="5" borderId="292" xfId="0" applyFont="1" applyFill="1" applyBorder="1" applyAlignment="1">
      <alignment horizontal="center" vertical="center" wrapText="1"/>
    </xf>
    <xf numFmtId="0" fontId="24" fillId="5" borderId="281" xfId="0" applyFont="1" applyFill="1" applyBorder="1" applyAlignment="1">
      <alignment horizontal="center" vertical="center" wrapText="1"/>
    </xf>
    <xf numFmtId="0" fontId="24" fillId="5" borderId="120" xfId="0" applyFont="1" applyFill="1" applyBorder="1" applyAlignment="1">
      <alignment horizontal="center" vertical="center" wrapText="1"/>
    </xf>
    <xf numFmtId="0" fontId="24" fillId="5" borderId="119" xfId="0" applyFont="1" applyFill="1" applyBorder="1" applyAlignment="1">
      <alignment horizontal="center" vertical="center" wrapText="1"/>
    </xf>
    <xf numFmtId="0" fontId="24" fillId="5" borderId="121" xfId="0" applyFont="1" applyFill="1" applyBorder="1" applyAlignment="1">
      <alignment horizontal="center" vertical="center" wrapText="1"/>
    </xf>
    <xf numFmtId="0" fontId="24" fillId="5" borderId="316" xfId="0" applyFont="1" applyFill="1" applyBorder="1" applyAlignment="1">
      <alignment horizontal="center" vertical="center" wrapText="1"/>
    </xf>
    <xf numFmtId="0" fontId="24" fillId="5" borderId="318" xfId="0" applyFont="1" applyFill="1" applyBorder="1" applyAlignment="1">
      <alignment horizontal="center" vertical="center" wrapText="1"/>
    </xf>
    <xf numFmtId="0" fontId="24" fillId="5" borderId="305" xfId="0" applyFont="1" applyFill="1" applyBorder="1" applyAlignment="1">
      <alignment horizontal="center" vertical="center" wrapText="1"/>
    </xf>
    <xf numFmtId="186" fontId="44" fillId="0" borderId="219" xfId="0" applyNumberFormat="1" applyFont="1" applyBorder="1" applyAlignment="1">
      <alignment horizontal="center" vertical="center"/>
    </xf>
    <xf numFmtId="186" fontId="44" fillId="0" borderId="221" xfId="0" applyNumberFormat="1" applyFont="1" applyBorder="1" applyAlignment="1">
      <alignment horizontal="center" vertical="center"/>
    </xf>
    <xf numFmtId="0" fontId="48" fillId="13" borderId="375" xfId="0" applyFont="1" applyFill="1" applyBorder="1" applyAlignment="1">
      <alignment horizontal="center" vertical="center" wrapText="1" readingOrder="1"/>
    </xf>
    <xf numFmtId="179" fontId="49" fillId="14" borderId="372" xfId="1" applyNumberFormat="1" applyFont="1" applyFill="1" applyBorder="1" applyAlignment="1">
      <alignment horizontal="right" vertical="center" wrapText="1" readingOrder="1"/>
    </xf>
    <xf numFmtId="179" fontId="49" fillId="14" borderId="366" xfId="1" applyNumberFormat="1" applyFont="1" applyFill="1" applyBorder="1" applyAlignment="1">
      <alignment horizontal="right" vertical="center" wrapText="1" readingOrder="1"/>
    </xf>
    <xf numFmtId="185" fontId="42" fillId="3" borderId="219" xfId="1" applyNumberFormat="1" applyFont="1" applyFill="1" applyBorder="1" applyAlignment="1">
      <alignment horizontal="right" vertical="center"/>
    </xf>
    <xf numFmtId="185" fontId="42" fillId="3" borderId="221" xfId="1" applyNumberFormat="1" applyFont="1" applyFill="1" applyBorder="1" applyAlignment="1">
      <alignment horizontal="right" vertical="center"/>
    </xf>
    <xf numFmtId="180" fontId="44" fillId="0" borderId="219" xfId="1" quotePrefix="1" applyNumberFormat="1" applyFont="1" applyFill="1" applyBorder="1" applyAlignment="1">
      <alignment horizontal="left" vertical="center" wrapText="1"/>
    </xf>
    <xf numFmtId="180" fontId="44" fillId="0" borderId="220" xfId="1" quotePrefix="1" applyNumberFormat="1" applyFont="1" applyFill="1" applyBorder="1" applyAlignment="1">
      <alignment horizontal="left" vertical="center" wrapText="1"/>
    </xf>
    <xf numFmtId="180" fontId="44" fillId="0" borderId="221" xfId="1" quotePrefix="1" applyNumberFormat="1" applyFont="1" applyFill="1" applyBorder="1" applyAlignment="1">
      <alignment horizontal="left" vertical="center" wrapText="1"/>
    </xf>
    <xf numFmtId="179" fontId="50" fillId="0" borderId="372" xfId="1" applyNumberFormat="1" applyFont="1" applyBorder="1" applyAlignment="1">
      <alignment horizontal="right" vertical="center" wrapText="1" readingOrder="1"/>
    </xf>
    <xf numFmtId="179" fontId="50" fillId="0" borderId="366" xfId="1" applyNumberFormat="1" applyFont="1" applyBorder="1" applyAlignment="1">
      <alignment horizontal="right" vertical="center" wrapText="1" readingOrder="1"/>
    </xf>
    <xf numFmtId="0" fontId="47" fillId="0" borderId="367" xfId="0" applyFont="1" applyBorder="1" applyAlignment="1">
      <alignment horizontal="center" vertical="center" wrapText="1"/>
    </xf>
    <xf numFmtId="0" fontId="47" fillId="0" borderId="0" xfId="0" applyFont="1" applyAlignment="1">
      <alignment horizontal="center" vertical="center" wrapText="1"/>
    </xf>
    <xf numFmtId="0" fontId="47" fillId="0" borderId="369" xfId="0" applyFont="1" applyBorder="1" applyAlignment="1">
      <alignment horizontal="center" vertical="center" wrapText="1"/>
    </xf>
    <xf numFmtId="0" fontId="47" fillId="0" borderId="368" xfId="0" applyFont="1" applyBorder="1" applyAlignment="1">
      <alignment vertical="center" wrapText="1"/>
    </xf>
    <xf numFmtId="0" fontId="47" fillId="0" borderId="370" xfId="0" applyFont="1" applyBorder="1" applyAlignment="1">
      <alignment vertical="center" wrapText="1"/>
    </xf>
    <xf numFmtId="0" fontId="47" fillId="0" borderId="374" xfId="0" applyFont="1" applyBorder="1" applyAlignment="1">
      <alignment vertical="center" wrapText="1"/>
    </xf>
    <xf numFmtId="0" fontId="55" fillId="0" borderId="0" xfId="0" applyFont="1" applyAlignment="1">
      <alignment horizontal="center" vertical="center"/>
    </xf>
    <xf numFmtId="0" fontId="79" fillId="0" borderId="407" xfId="0" applyFont="1" applyBorder="1" applyAlignment="1">
      <alignment horizontal="center" vertical="top" wrapText="1" readingOrder="1"/>
    </xf>
    <xf numFmtId="0" fontId="79" fillId="0" borderId="433" xfId="0" applyFont="1" applyBorder="1" applyAlignment="1">
      <alignment horizontal="center" vertical="top" wrapText="1" readingOrder="1"/>
    </xf>
    <xf numFmtId="0" fontId="30" fillId="0" borderId="436" xfId="0" applyFont="1" applyBorder="1" applyAlignment="1">
      <alignment horizontal="center" vertical="center"/>
    </xf>
    <xf numFmtId="0" fontId="30" fillId="0" borderId="437" xfId="0" applyFont="1" applyBorder="1" applyAlignment="1">
      <alignment horizontal="center" vertical="center"/>
    </xf>
    <xf numFmtId="0" fontId="30" fillId="0" borderId="439" xfId="0" applyFont="1" applyBorder="1" applyAlignment="1">
      <alignment horizontal="center" vertical="center"/>
    </xf>
    <xf numFmtId="0" fontId="30" fillId="0" borderId="433" xfId="0" applyFont="1" applyBorder="1" applyAlignment="1">
      <alignment horizontal="center" vertical="center"/>
    </xf>
    <xf numFmtId="0" fontId="30" fillId="5" borderId="430" xfId="0" applyFont="1" applyFill="1" applyBorder="1" applyAlignment="1">
      <alignment horizontal="center" vertical="center"/>
    </xf>
    <xf numFmtId="0" fontId="30" fillId="5" borderId="431" xfId="0" applyFont="1" applyFill="1" applyBorder="1" applyAlignment="1">
      <alignment horizontal="center" vertical="center"/>
    </xf>
    <xf numFmtId="0" fontId="73" fillId="0" borderId="413" xfId="0" applyFont="1" applyBorder="1" applyAlignment="1">
      <alignment horizontal="center" vertical="center"/>
    </xf>
    <xf numFmtId="0" fontId="73" fillId="0" borderId="415" xfId="0" applyFont="1" applyBorder="1" applyAlignment="1">
      <alignment horizontal="center" vertical="center"/>
    </xf>
    <xf numFmtId="41" fontId="73" fillId="0" borderId="415" xfId="1" applyFont="1" applyBorder="1" applyAlignment="1">
      <alignment horizontal="center" vertical="center"/>
    </xf>
    <xf numFmtId="178" fontId="73" fillId="0" borderId="415" xfId="1" applyNumberFormat="1" applyFont="1" applyBorder="1" applyAlignment="1">
      <alignment horizontal="right" vertical="center"/>
    </xf>
    <xf numFmtId="0" fontId="73" fillId="0" borderId="415" xfId="0" quotePrefix="1" applyFont="1" applyBorder="1" applyAlignment="1">
      <alignment horizontal="left" vertical="center" wrapText="1"/>
    </xf>
    <xf numFmtId="0" fontId="73" fillId="0" borderId="414" xfId="0" quotePrefix="1" applyFont="1" applyBorder="1" applyAlignment="1">
      <alignment horizontal="left" vertical="center" wrapText="1"/>
    </xf>
    <xf numFmtId="0" fontId="77" fillId="0" borderId="0" xfId="0" applyFont="1" applyAlignment="1">
      <alignment vertical="center" wrapText="1"/>
    </xf>
    <xf numFmtId="0" fontId="73" fillId="0" borderId="410" xfId="0" applyFont="1" applyBorder="1" applyAlignment="1">
      <alignment horizontal="center" vertical="center"/>
    </xf>
    <xf numFmtId="0" fontId="73" fillId="0" borderId="412" xfId="0" applyFont="1" applyBorder="1" applyAlignment="1">
      <alignment horizontal="center" vertical="center"/>
    </xf>
    <xf numFmtId="41" fontId="73" fillId="0" borderId="412" xfId="1" applyFont="1" applyBorder="1" applyAlignment="1">
      <alignment horizontal="center" vertical="center"/>
    </xf>
    <xf numFmtId="178" fontId="73" fillId="0" borderId="412" xfId="1" applyNumberFormat="1" applyFont="1" applyBorder="1" applyAlignment="1">
      <alignment horizontal="right" vertical="center"/>
    </xf>
    <xf numFmtId="0" fontId="73" fillId="0" borderId="412" xfId="0" quotePrefix="1" applyFont="1" applyBorder="1" applyAlignment="1">
      <alignment horizontal="left" vertical="center" wrapText="1"/>
    </xf>
    <xf numFmtId="0" fontId="73" fillId="0" borderId="411" xfId="0" quotePrefix="1" applyFont="1" applyBorder="1" applyAlignment="1">
      <alignment horizontal="left" vertical="center" wrapText="1"/>
    </xf>
    <xf numFmtId="0" fontId="73" fillId="0" borderId="412" xfId="0" quotePrefix="1" applyFont="1" applyBorder="1" applyAlignment="1">
      <alignment horizontal="left" vertical="center"/>
    </xf>
    <xf numFmtId="0" fontId="73" fillId="0" borderId="411" xfId="0" quotePrefix="1" applyFont="1" applyBorder="1" applyAlignment="1">
      <alignment horizontal="left" vertical="center"/>
    </xf>
    <xf numFmtId="0" fontId="73" fillId="5" borderId="407" xfId="0" applyFont="1" applyFill="1" applyBorder="1" applyAlignment="1">
      <alignment horizontal="center" vertical="center"/>
    </xf>
    <xf numFmtId="0" fontId="73" fillId="5" borderId="409" xfId="0" applyFont="1" applyFill="1" applyBorder="1" applyAlignment="1">
      <alignment horizontal="center" vertical="center"/>
    </xf>
    <xf numFmtId="0" fontId="73" fillId="5" borderId="408" xfId="0" applyFont="1" applyFill="1" applyBorder="1" applyAlignment="1">
      <alignment horizontal="center" vertical="center"/>
    </xf>
    <xf numFmtId="0" fontId="73" fillId="0" borderId="412" xfId="0" applyFont="1" applyBorder="1" applyAlignment="1">
      <alignment horizontal="left" vertical="center"/>
    </xf>
    <xf numFmtId="0" fontId="73" fillId="0" borderId="411" xfId="0" applyFont="1" applyBorder="1" applyAlignment="1">
      <alignment horizontal="left" vertical="center"/>
    </xf>
    <xf numFmtId="0" fontId="25" fillId="8" borderId="105" xfId="0" applyFont="1" applyFill="1" applyBorder="1" applyAlignment="1">
      <alignment horizontal="left" vertical="center"/>
    </xf>
    <xf numFmtId="0" fontId="25" fillId="8" borderId="107" xfId="0" applyFont="1" applyFill="1" applyBorder="1" applyAlignment="1">
      <alignment horizontal="left" vertical="center"/>
    </xf>
    <xf numFmtId="0" fontId="25" fillId="8" borderId="378" xfId="0" applyFont="1" applyFill="1" applyBorder="1" applyAlignment="1">
      <alignment horizontal="center" vertical="center"/>
    </xf>
    <xf numFmtId="0" fontId="25" fillId="8" borderId="380" xfId="0" applyFont="1" applyFill="1" applyBorder="1" applyAlignment="1">
      <alignment horizontal="center" vertical="center"/>
    </xf>
    <xf numFmtId="0" fontId="24" fillId="5" borderId="113" xfId="0" applyFont="1" applyFill="1" applyBorder="1" applyAlignment="1">
      <alignment horizontal="center" vertical="center" wrapText="1"/>
    </xf>
    <xf numFmtId="0" fontId="24" fillId="5" borderId="0" xfId="0" applyFont="1" applyFill="1" applyAlignment="1">
      <alignment horizontal="center" vertical="center" wrapText="1"/>
    </xf>
    <xf numFmtId="0" fontId="24" fillId="5" borderId="147" xfId="0" applyFont="1" applyFill="1" applyBorder="1" applyAlignment="1">
      <alignment horizontal="center" vertical="center" wrapText="1"/>
    </xf>
    <xf numFmtId="0" fontId="24" fillId="5" borderId="143" xfId="0" applyFont="1" applyFill="1" applyBorder="1" applyAlignment="1">
      <alignment horizontal="center" vertical="center" wrapText="1"/>
    </xf>
    <xf numFmtId="0" fontId="24" fillId="5" borderId="144" xfId="0" applyFont="1" applyFill="1" applyBorder="1" applyAlignment="1">
      <alignment horizontal="center" vertical="center" wrapText="1"/>
    </xf>
    <xf numFmtId="0" fontId="24" fillId="5" borderId="402" xfId="0" applyFont="1" applyFill="1" applyBorder="1" applyAlignment="1">
      <alignment horizontal="center" vertical="center" wrapText="1"/>
    </xf>
    <xf numFmtId="0" fontId="24" fillId="5" borderId="117" xfId="0" applyFont="1" applyFill="1" applyBorder="1" applyAlignment="1">
      <alignment horizontal="center" vertical="center" wrapText="1"/>
    </xf>
    <xf numFmtId="0" fontId="24" fillId="5" borderId="401" xfId="0" applyFont="1" applyFill="1" applyBorder="1" applyAlignment="1">
      <alignment horizontal="center" vertical="center" wrapText="1"/>
    </xf>
    <xf numFmtId="0" fontId="24" fillId="5" borderId="403" xfId="0" applyFont="1" applyFill="1" applyBorder="1" applyAlignment="1">
      <alignment horizontal="center" vertical="center" wrapText="1"/>
    </xf>
    <xf numFmtId="0" fontId="24" fillId="5" borderId="105" xfId="0" applyFont="1" applyFill="1" applyBorder="1" applyAlignment="1">
      <alignment horizontal="center" vertical="center"/>
    </xf>
    <xf numFmtId="0" fontId="24" fillId="5" borderId="106" xfId="0" applyFont="1" applyFill="1" applyBorder="1" applyAlignment="1">
      <alignment horizontal="center" vertical="center"/>
    </xf>
    <xf numFmtId="0" fontId="24" fillId="5" borderId="107" xfId="0" applyFont="1" applyFill="1" applyBorder="1" applyAlignment="1">
      <alignment horizontal="center" vertical="center"/>
    </xf>
    <xf numFmtId="0" fontId="24" fillId="5" borderId="147" xfId="0" applyFont="1" applyFill="1" applyBorder="1" applyAlignment="1">
      <alignment horizontal="center" vertical="center"/>
    </xf>
    <xf numFmtId="0" fontId="24" fillId="5" borderId="143" xfId="0" applyFont="1" applyFill="1" applyBorder="1" applyAlignment="1">
      <alignment horizontal="center" vertical="center"/>
    </xf>
    <xf numFmtId="0" fontId="24" fillId="5" borderId="144" xfId="0" applyFont="1" applyFill="1" applyBorder="1" applyAlignment="1">
      <alignment horizontal="center" vertical="center"/>
    </xf>
    <xf numFmtId="0" fontId="24" fillId="5" borderId="110" xfId="0" applyFont="1" applyFill="1" applyBorder="1" applyAlignment="1">
      <alignment horizontal="center" vertical="center" wrapText="1"/>
    </xf>
    <xf numFmtId="0" fontId="24" fillId="5" borderId="112" xfId="0" applyFont="1" applyFill="1" applyBorder="1" applyAlignment="1">
      <alignment horizontal="center" vertical="center" wrapText="1"/>
    </xf>
    <xf numFmtId="0" fontId="24" fillId="5" borderId="111" xfId="0" applyFont="1" applyFill="1" applyBorder="1" applyAlignment="1">
      <alignment horizontal="center" vertical="center" wrapText="1"/>
    </xf>
    <xf numFmtId="0" fontId="24" fillId="5" borderId="280" xfId="0" applyFont="1" applyFill="1" applyBorder="1" applyAlignment="1">
      <alignment horizontal="center" vertical="center" wrapText="1"/>
    </xf>
    <xf numFmtId="0" fontId="24" fillId="5" borderId="376" xfId="0" applyFont="1" applyFill="1" applyBorder="1" applyAlignment="1">
      <alignment horizontal="center" vertical="center" wrapText="1"/>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5" fillId="8" borderId="118" xfId="0" applyFont="1" applyFill="1" applyBorder="1" applyAlignment="1">
      <alignment horizontal="left" vertical="center"/>
    </xf>
    <xf numFmtId="0" fontId="25"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5" fillId="8" borderId="142" xfId="0" applyFont="1" applyFill="1" applyBorder="1" applyAlignment="1">
      <alignment horizontal="center" vertical="center"/>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5" fillId="8" borderId="186" xfId="0" applyFont="1" applyFill="1" applyBorder="1" applyAlignment="1">
      <alignment horizontal="center" vertical="center"/>
    </xf>
    <xf numFmtId="0" fontId="25"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25" fillId="3" borderId="219" xfId="0" applyFont="1" applyFill="1" applyBorder="1" applyAlignment="1">
      <alignment horizontal="left" vertical="center"/>
    </xf>
    <xf numFmtId="0" fontId="25" fillId="3" borderId="220" xfId="0" applyFont="1" applyFill="1" applyBorder="1" applyAlignment="1">
      <alignment horizontal="left" vertical="center"/>
    </xf>
    <xf numFmtId="0" fontId="25" fillId="5" borderId="226" xfId="0" applyFont="1" applyFill="1" applyBorder="1" applyAlignment="1">
      <alignment horizontal="center" vertical="center"/>
    </xf>
    <xf numFmtId="0" fontId="25" fillId="5" borderId="218" xfId="0" applyFont="1" applyFill="1" applyBorder="1" applyAlignment="1">
      <alignment horizontal="center" vertical="center"/>
    </xf>
    <xf numFmtId="0" fontId="30" fillId="0" borderId="219" xfId="0" quotePrefix="1" applyFont="1" applyBorder="1" applyAlignment="1">
      <alignment horizontal="center" vertical="center"/>
    </xf>
    <xf numFmtId="0" fontId="30" fillId="0" borderId="221" xfId="0" applyFont="1" applyBorder="1" applyAlignment="1">
      <alignment horizontal="center" vertical="center"/>
    </xf>
    <xf numFmtId="0" fontId="30" fillId="0" borderId="219" xfId="0" applyFont="1" applyBorder="1" applyAlignment="1">
      <alignment horizontal="left" vertical="center" wrapText="1"/>
    </xf>
    <xf numFmtId="0" fontId="30" fillId="0" borderId="220" xfId="0" applyFont="1" applyBorder="1" applyAlignment="1">
      <alignment horizontal="left" vertical="center" wrapText="1"/>
    </xf>
    <xf numFmtId="0" fontId="30" fillId="0" borderId="221" xfId="0" applyFont="1" applyBorder="1" applyAlignment="1">
      <alignment horizontal="left" vertical="center" wrapText="1"/>
    </xf>
    <xf numFmtId="0" fontId="30" fillId="0" borderId="218" xfId="0" applyFont="1" applyBorder="1" applyAlignment="1">
      <alignment horizontal="center" vertical="center"/>
    </xf>
    <xf numFmtId="0" fontId="25" fillId="5" borderId="219" xfId="0" quotePrefix="1" applyFont="1" applyFill="1" applyBorder="1" applyAlignment="1">
      <alignment horizontal="center" vertical="center"/>
    </xf>
    <xf numFmtId="0" fontId="25" fillId="5" borderId="221" xfId="0" applyFont="1" applyFill="1" applyBorder="1" applyAlignment="1">
      <alignment horizontal="center" vertical="center"/>
    </xf>
    <xf numFmtId="0" fontId="25" fillId="5" borderId="219" xfId="0" applyFont="1" applyFill="1" applyBorder="1" applyAlignment="1">
      <alignment horizontal="left" vertical="center"/>
    </xf>
    <xf numFmtId="0" fontId="25" fillId="5" borderId="220" xfId="0" applyFont="1" applyFill="1" applyBorder="1" applyAlignment="1">
      <alignment horizontal="left" vertical="center"/>
    </xf>
    <xf numFmtId="0" fontId="25" fillId="5" borderId="110" xfId="0" applyFont="1" applyFill="1" applyBorder="1" applyAlignment="1">
      <alignment horizontal="center" vertical="center"/>
    </xf>
    <xf numFmtId="0" fontId="25" fillId="5" borderId="112" xfId="0" applyFont="1" applyFill="1" applyBorder="1" applyAlignment="1">
      <alignment horizontal="center" vertical="center"/>
    </xf>
    <xf numFmtId="0" fontId="25" fillId="5" borderId="111" xfId="0" applyFont="1" applyFill="1" applyBorder="1" applyAlignment="1">
      <alignment horizontal="center" vertical="center"/>
    </xf>
    <xf numFmtId="0" fontId="25" fillId="3" borderId="147" xfId="0" applyFont="1" applyFill="1" applyBorder="1" applyAlignment="1">
      <alignment horizontal="center" vertical="center"/>
    </xf>
    <xf numFmtId="0" fontId="25" fillId="3" borderId="143" xfId="0" applyFont="1" applyFill="1" applyBorder="1" applyAlignment="1">
      <alignment horizontal="center" vertical="center"/>
    </xf>
    <xf numFmtId="0" fontId="25" fillId="3" borderId="144" xfId="0" applyFont="1" applyFill="1" applyBorder="1" applyAlignment="1">
      <alignment horizontal="center" vertical="center"/>
    </xf>
    <xf numFmtId="180" fontId="25" fillId="3" borderId="120" xfId="45" applyNumberFormat="1" applyFont="1" applyFill="1" applyBorder="1" applyAlignment="1">
      <alignment horizontal="center" vertical="center"/>
    </xf>
    <xf numFmtId="0" fontId="25" fillId="2" borderId="120" xfId="0" applyFont="1" applyFill="1" applyBorder="1" applyAlignment="1">
      <alignment horizontal="center" vertical="center"/>
    </xf>
    <xf numFmtId="0" fontId="25" fillId="2" borderId="279" xfId="0" applyFont="1" applyFill="1" applyBorder="1" applyAlignment="1">
      <alignment horizontal="center" vertical="center"/>
    </xf>
    <xf numFmtId="0" fontId="25" fillId="2" borderId="280" xfId="0" applyFont="1" applyFill="1" applyBorder="1" applyAlignment="1">
      <alignment horizontal="center" vertical="center"/>
    </xf>
    <xf numFmtId="0" fontId="25" fillId="2" borderId="281" xfId="0" applyFont="1" applyFill="1" applyBorder="1" applyAlignment="1">
      <alignment horizontal="center" vertical="center"/>
    </xf>
    <xf numFmtId="0" fontId="25" fillId="3" borderId="279" xfId="0" applyFont="1" applyFill="1" applyBorder="1" applyAlignment="1">
      <alignment horizontal="center" vertical="center"/>
    </xf>
    <xf numFmtId="0" fontId="25" fillId="3" borderId="280" xfId="0" applyFont="1" applyFill="1" applyBorder="1" applyAlignment="1">
      <alignment horizontal="center" vertical="center"/>
    </xf>
    <xf numFmtId="0" fontId="25" fillId="3" borderId="281" xfId="0" applyFont="1" applyFill="1" applyBorder="1" applyAlignment="1">
      <alignment horizontal="center" vertical="center"/>
    </xf>
    <xf numFmtId="0" fontId="25" fillId="2" borderId="218" xfId="0" applyFont="1" applyFill="1" applyBorder="1" applyAlignment="1">
      <alignment horizontal="center" vertical="center"/>
    </xf>
    <xf numFmtId="0" fontId="25" fillId="2" borderId="219" xfId="0" applyFont="1" applyFill="1" applyBorder="1" applyAlignment="1">
      <alignment horizontal="center" vertical="center"/>
    </xf>
    <xf numFmtId="0" fontId="25" fillId="2" borderId="221" xfId="0" applyFont="1" applyFill="1" applyBorder="1" applyAlignment="1">
      <alignment horizontal="center" vertical="center"/>
    </xf>
    <xf numFmtId="0" fontId="25" fillId="2" borderId="229" xfId="0" applyFont="1" applyFill="1" applyBorder="1" applyAlignment="1">
      <alignment horizontal="center" vertical="center"/>
    </xf>
    <xf numFmtId="0" fontId="25" fillId="2" borderId="231" xfId="0" applyFont="1" applyFill="1" applyBorder="1" applyAlignment="1">
      <alignment horizontal="center" vertical="center"/>
    </xf>
    <xf numFmtId="0" fontId="25" fillId="2" borderId="230" xfId="0" applyFont="1" applyFill="1" applyBorder="1" applyAlignment="1">
      <alignment horizontal="center" vertical="center"/>
    </xf>
    <xf numFmtId="0" fontId="30" fillId="0" borderId="279" xfId="0" applyFont="1" applyBorder="1" applyAlignment="1">
      <alignment horizontal="left" vertical="center" wrapText="1"/>
    </xf>
    <xf numFmtId="0" fontId="30" fillId="0" borderId="280" xfId="0" applyFont="1" applyBorder="1" applyAlignment="1">
      <alignment horizontal="left" vertical="center" wrapText="1"/>
    </xf>
    <xf numFmtId="0" fontId="30" fillId="0" borderId="281" xfId="0" applyFont="1" applyBorder="1" applyAlignment="1">
      <alignment horizontal="left" vertical="center" wrapText="1"/>
    </xf>
    <xf numFmtId="0" fontId="30" fillId="0" borderId="120" xfId="0" applyFont="1" applyBorder="1" applyAlignment="1">
      <alignment horizontal="center" vertical="center"/>
    </xf>
    <xf numFmtId="180" fontId="30" fillId="0" borderId="120" xfId="45" applyNumberFormat="1" applyFont="1" applyBorder="1" applyAlignment="1">
      <alignment horizontal="center"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3" borderId="120" xfId="0" applyFont="1" applyFill="1" applyBorder="1" applyAlignment="1">
      <alignment horizontal="center"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25" fillId="3" borderId="219" xfId="0" applyFont="1" applyFill="1" applyBorder="1" applyAlignment="1">
      <alignment horizontal="center" vertical="center"/>
    </xf>
    <xf numFmtId="0" fontId="25" fillId="3" borderId="220" xfId="0" applyFont="1" applyFill="1" applyBorder="1" applyAlignment="1">
      <alignment horizontal="center" vertical="center"/>
    </xf>
    <xf numFmtId="0" fontId="25" fillId="3" borderId="221" xfId="0" applyFont="1" applyFill="1" applyBorder="1" applyAlignment="1">
      <alignment horizontal="center" vertical="center"/>
    </xf>
    <xf numFmtId="0" fontId="25" fillId="3" borderId="219" xfId="0" quotePrefix="1" applyFont="1" applyFill="1" applyBorder="1" applyAlignment="1">
      <alignment horizontal="center" vertical="center"/>
    </xf>
    <xf numFmtId="0" fontId="24" fillId="5" borderId="113" xfId="0" applyFont="1" applyFill="1" applyBorder="1" applyAlignment="1">
      <alignment horizontal="center" vertical="center"/>
    </xf>
    <xf numFmtId="0" fontId="24" fillId="5" borderId="126" xfId="0" applyFont="1" applyFill="1" applyBorder="1" applyAlignment="1">
      <alignment horizontal="center" vertical="center"/>
    </xf>
    <xf numFmtId="0" fontId="24" fillId="5" borderId="108" xfId="0" applyFont="1" applyFill="1" applyBorder="1" applyAlignment="1">
      <alignment horizontal="center" vertical="center" wrapText="1"/>
    </xf>
    <xf numFmtId="0" fontId="24" fillId="5" borderId="109" xfId="0" applyFont="1" applyFill="1" applyBorder="1" applyAlignment="1">
      <alignment horizontal="center" vertical="center" wrapText="1"/>
    </xf>
    <xf numFmtId="0" fontId="24" fillId="5" borderId="106" xfId="0" applyFont="1" applyFill="1" applyBorder="1" applyAlignment="1">
      <alignment horizontal="center" vertical="center" wrapText="1"/>
    </xf>
    <xf numFmtId="0" fontId="24" fillId="8" borderId="232" xfId="0" applyFont="1" applyFill="1" applyBorder="1" applyAlignment="1">
      <alignment horizontal="center" vertical="center"/>
    </xf>
    <xf numFmtId="0" fontId="24" fillId="8" borderId="233" xfId="0" applyFont="1" applyFill="1" applyBorder="1" applyAlignment="1">
      <alignment horizontal="center" vertical="center"/>
    </xf>
    <xf numFmtId="0" fontId="24" fillId="8" borderId="234" xfId="0" applyFont="1" applyFill="1" applyBorder="1" applyAlignment="1">
      <alignment horizontal="center" vertical="center"/>
    </xf>
    <xf numFmtId="0" fontId="24" fillId="5" borderId="112" xfId="0" applyFont="1" applyFill="1" applyBorder="1" applyAlignment="1">
      <alignment horizontal="center" vertical="center"/>
    </xf>
    <xf numFmtId="0" fontId="24" fillId="5" borderId="111" xfId="0" applyFont="1" applyFill="1" applyBorder="1" applyAlignment="1">
      <alignment horizontal="center" vertical="center"/>
    </xf>
    <xf numFmtId="0" fontId="24" fillId="5" borderId="222" xfId="0" applyFont="1" applyFill="1" applyBorder="1" applyAlignment="1">
      <alignment horizontal="center" vertical="center" wrapText="1"/>
    </xf>
    <xf numFmtId="0" fontId="24" fillId="5" borderId="223" xfId="0" applyFont="1" applyFill="1" applyBorder="1" applyAlignment="1">
      <alignment horizontal="center" vertical="center" wrapText="1"/>
    </xf>
    <xf numFmtId="0" fontId="24" fillId="5" borderId="224" xfId="0" applyFont="1" applyFill="1" applyBorder="1" applyAlignment="1">
      <alignment horizontal="center" vertical="center" wrapText="1"/>
    </xf>
    <xf numFmtId="0" fontId="24" fillId="5" borderId="131" xfId="0" applyFont="1" applyFill="1" applyBorder="1" applyAlignment="1">
      <alignment horizontal="center" vertical="center" wrapText="1"/>
    </xf>
    <xf numFmtId="0" fontId="24" fillId="5" borderId="125" xfId="0" applyFont="1" applyFill="1" applyBorder="1" applyAlignment="1">
      <alignment horizontal="center" vertical="center" wrapText="1"/>
    </xf>
    <xf numFmtId="0" fontId="24" fillId="5" borderId="141" xfId="0" applyFont="1" applyFill="1" applyBorder="1" applyAlignment="1">
      <alignment horizontal="center" vertical="center" wrapText="1"/>
    </xf>
    <xf numFmtId="0" fontId="24" fillId="5" borderId="114" xfId="0" applyFont="1" applyFill="1" applyBorder="1" applyAlignment="1">
      <alignment horizontal="center" vertical="center" wrapText="1"/>
    </xf>
    <xf numFmtId="0" fontId="24" fillId="5" borderId="133" xfId="0" applyFont="1" applyFill="1" applyBorder="1" applyAlignment="1">
      <alignment horizontal="center" vertical="center" wrapText="1"/>
    </xf>
    <xf numFmtId="0" fontId="24" fillId="5" borderId="235" xfId="0" applyFont="1" applyFill="1" applyBorder="1" applyAlignment="1">
      <alignment horizontal="center" vertical="center"/>
    </xf>
    <xf numFmtId="0" fontId="24" fillId="5" borderId="233" xfId="0" applyFont="1" applyFill="1" applyBorder="1" applyAlignment="1">
      <alignment horizontal="center" vertical="center"/>
    </xf>
    <xf numFmtId="0" fontId="24" fillId="5" borderId="236" xfId="0" applyFont="1" applyFill="1" applyBorder="1" applyAlignment="1">
      <alignment horizontal="center" vertical="center"/>
    </xf>
    <xf numFmtId="0" fontId="24" fillId="5" borderId="123"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24"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24" fillId="5" borderId="132" xfId="0" applyFont="1" applyFill="1" applyBorder="1" applyAlignment="1">
      <alignment horizontal="center" vertical="center" wrapText="1"/>
    </xf>
    <xf numFmtId="0" fontId="24" fillId="5" borderId="238" xfId="0" applyFont="1" applyFill="1" applyBorder="1" applyAlignment="1">
      <alignment horizontal="center" vertical="center" wrapText="1"/>
    </xf>
    <xf numFmtId="0" fontId="24" fillId="5" borderId="240" xfId="0" applyFont="1" applyFill="1" applyBorder="1" applyAlignment="1">
      <alignment horizontal="center" vertical="center" wrapText="1"/>
    </xf>
    <xf numFmtId="0" fontId="24" fillId="8" borderId="119" xfId="0" applyFont="1" applyFill="1" applyBorder="1" applyAlignment="1">
      <alignment horizontal="center" vertical="center" wrapText="1"/>
    </xf>
    <xf numFmtId="0" fontId="24" fillId="8" borderId="120" xfId="0" applyFont="1" applyFill="1" applyBorder="1" applyAlignment="1">
      <alignment horizontal="center" vertical="center" wrapText="1"/>
    </xf>
    <xf numFmtId="0" fontId="24" fillId="8" borderId="121" xfId="0" applyFont="1" applyFill="1" applyBorder="1" applyAlignment="1">
      <alignment horizontal="center" vertical="center" wrapText="1"/>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5" fillId="5" borderId="105" xfId="0" applyFont="1" applyFill="1" applyBorder="1" applyAlignment="1">
      <alignment horizontal="center" vertical="center"/>
    </xf>
    <xf numFmtId="0" fontId="25" fillId="5" borderId="106" xfId="0" applyFont="1" applyFill="1" applyBorder="1" applyAlignment="1">
      <alignment horizontal="center" vertical="center"/>
    </xf>
    <xf numFmtId="0" fontId="25" fillId="5" borderId="107" xfId="0" applyFont="1" applyFill="1" applyBorder="1" applyAlignment="1">
      <alignment horizontal="center" vertical="center"/>
    </xf>
    <xf numFmtId="0" fontId="25" fillId="5" borderId="113" xfId="0" applyFont="1" applyFill="1" applyBorder="1" applyAlignment="1">
      <alignment horizontal="center" vertical="center"/>
    </xf>
    <xf numFmtId="0" fontId="25" fillId="5" borderId="0" xfId="0" applyFont="1" applyFill="1" applyAlignment="1">
      <alignment horizontal="center" vertical="center"/>
    </xf>
    <xf numFmtId="0" fontId="25" fillId="5" borderId="114" xfId="0" applyFont="1" applyFill="1" applyBorder="1" applyAlignment="1">
      <alignment horizontal="center" vertical="center"/>
    </xf>
    <xf numFmtId="0" fontId="25" fillId="5" borderId="126" xfId="0" applyFont="1" applyFill="1" applyBorder="1" applyAlignment="1">
      <alignment horizontal="center" vertical="center"/>
    </xf>
    <xf numFmtId="0" fontId="25" fillId="5" borderId="127" xfId="0" applyFont="1" applyFill="1" applyBorder="1" applyAlignment="1">
      <alignment horizontal="center" vertical="center"/>
    </xf>
    <xf numFmtId="0" fontId="25" fillId="5" borderId="128" xfId="0" applyFont="1" applyFill="1" applyBorder="1" applyAlignment="1">
      <alignment horizontal="center" vertical="center"/>
    </xf>
    <xf numFmtId="0" fontId="30" fillId="0" borderId="219" xfId="0" applyFont="1" applyBorder="1" applyAlignment="1">
      <alignment horizontal="center" vertical="center"/>
    </xf>
    <xf numFmtId="0" fontId="30" fillId="0" borderId="221" xfId="0" quotePrefix="1" applyFont="1" applyBorder="1" applyAlignment="1">
      <alignment horizontal="center" vertical="center"/>
    </xf>
    <xf numFmtId="0" fontId="25" fillId="5" borderId="277" xfId="0" applyFont="1" applyFill="1" applyBorder="1" applyAlignment="1">
      <alignment horizontal="center" vertical="center"/>
    </xf>
    <xf numFmtId="0" fontId="25" fillId="5" borderId="278" xfId="0" applyFont="1" applyFill="1" applyBorder="1" applyAlignment="1">
      <alignment horizontal="center" vertical="center"/>
    </xf>
    <xf numFmtId="0" fontId="30" fillId="0" borderId="219" xfId="0" applyFont="1" applyBorder="1" applyAlignment="1">
      <alignment horizontal="left" vertical="top" wrapText="1"/>
    </xf>
    <xf numFmtId="0" fontId="30" fillId="0" borderId="220" xfId="0" applyFont="1" applyBorder="1" applyAlignment="1">
      <alignment horizontal="left" vertical="top"/>
    </xf>
    <xf numFmtId="0" fontId="30" fillId="0" borderId="221" xfId="0" applyFont="1" applyBorder="1" applyAlignment="1">
      <alignment horizontal="left" vertical="top"/>
    </xf>
    <xf numFmtId="0" fontId="25" fillId="5" borderId="221" xfId="0" quotePrefix="1" applyFont="1" applyFill="1" applyBorder="1" applyAlignment="1">
      <alignment horizontal="center" vertical="center"/>
    </xf>
    <xf numFmtId="0" fontId="25" fillId="11" borderId="219" xfId="0" quotePrefix="1" applyFont="1" applyFill="1" applyBorder="1" applyAlignment="1">
      <alignment horizontal="center" vertical="center"/>
    </xf>
    <xf numFmtId="0" fontId="25" fillId="11" borderId="221" xfId="0" quotePrefix="1" applyFont="1" applyFill="1" applyBorder="1" applyAlignment="1">
      <alignment horizontal="center" vertical="center"/>
    </xf>
    <xf numFmtId="0" fontId="24" fillId="5" borderId="122"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8" borderId="237" xfId="0" applyFont="1" applyFill="1" applyBorder="1" applyAlignment="1">
      <alignment horizontal="center" vertical="center" wrapText="1"/>
    </xf>
    <xf numFmtId="0" fontId="24" fillId="5" borderId="134" xfId="0" applyFont="1" applyFill="1" applyBorder="1" applyAlignment="1">
      <alignment horizontal="center" vertical="center" wrapText="1"/>
    </xf>
    <xf numFmtId="0" fontId="3" fillId="8" borderId="210" xfId="0" applyFont="1" applyFill="1" applyBorder="1" applyAlignment="1">
      <alignment horizontal="center" vertical="center"/>
    </xf>
    <xf numFmtId="0" fontId="25" fillId="3" borderId="216" xfId="0" applyFont="1" applyFill="1" applyBorder="1" applyAlignment="1">
      <alignment horizontal="center" vertical="center"/>
    </xf>
    <xf numFmtId="0" fontId="25" fillId="3" borderId="217" xfId="0" applyFont="1" applyFill="1" applyBorder="1" applyAlignment="1">
      <alignment horizontal="center" vertical="center"/>
    </xf>
    <xf numFmtId="0" fontId="25" fillId="3" borderId="106" xfId="0" applyFont="1" applyFill="1" applyBorder="1" applyAlignment="1">
      <alignment horizontal="center" vertical="center"/>
    </xf>
    <xf numFmtId="0" fontId="25" fillId="3" borderId="107" xfId="0" applyFont="1" applyFill="1" applyBorder="1" applyAlignment="1">
      <alignment horizontal="center" vertical="center"/>
    </xf>
    <xf numFmtId="0" fontId="25" fillId="3" borderId="105" xfId="0" applyFont="1" applyFill="1" applyBorder="1" applyAlignment="1">
      <alignment horizontal="center" vertical="center"/>
    </xf>
    <xf numFmtId="0" fontId="25" fillId="5" borderId="264" xfId="0" applyFont="1" applyFill="1" applyBorder="1" applyAlignment="1">
      <alignment horizontal="center" vertical="center"/>
    </xf>
    <xf numFmtId="0" fontId="25" fillId="3" borderId="265" xfId="0" applyFont="1" applyFill="1" applyBorder="1" applyAlignment="1">
      <alignment horizontal="center" vertical="center"/>
    </xf>
    <xf numFmtId="0" fontId="30" fillId="0" borderId="219" xfId="0" quotePrefix="1" applyFont="1" applyBorder="1" applyAlignment="1">
      <alignment horizontal="left" vertical="center"/>
    </xf>
    <xf numFmtId="0" fontId="30" fillId="0" borderId="220" xfId="0" quotePrefix="1" applyFont="1" applyBorder="1" applyAlignment="1">
      <alignment horizontal="left" vertical="center"/>
    </xf>
    <xf numFmtId="0" fontId="30" fillId="0" borderId="221" xfId="0" quotePrefix="1" applyFont="1" applyBorder="1" applyAlignment="1">
      <alignment horizontal="left" vertical="center"/>
    </xf>
    <xf numFmtId="0" fontId="30" fillId="0" borderId="219" xfId="0" quotePrefix="1" applyFont="1" applyBorder="1" applyAlignment="1">
      <alignment horizontal="left" vertical="center" wrapText="1"/>
    </xf>
    <xf numFmtId="0" fontId="30" fillId="0" borderId="220" xfId="0" applyFont="1" applyBorder="1" applyAlignment="1">
      <alignment horizontal="center" vertical="center"/>
    </xf>
    <xf numFmtId="0" fontId="25" fillId="2" borderId="220" xfId="0" applyFont="1" applyFill="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6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65"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2" borderId="35" xfId="0" applyFont="1" applyFill="1" applyBorder="1" applyAlignment="1">
      <alignment horizontal="center" vertical="center"/>
    </xf>
    <xf numFmtId="0" fontId="3" fillId="2" borderId="365"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362" xfId="0" applyFont="1" applyFill="1" applyBorder="1" applyAlignment="1">
      <alignment horizontal="center" vertical="center"/>
    </xf>
    <xf numFmtId="0" fontId="17" fillId="8" borderId="5" xfId="0" applyFont="1" applyFill="1" applyBorder="1" applyAlignment="1">
      <alignment horizontal="center" vertical="center" wrapText="1"/>
    </xf>
    <xf numFmtId="0" fontId="17" fillId="8" borderId="5" xfId="0" applyFont="1" applyFill="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360" xfId="0" applyFont="1" applyFill="1" applyBorder="1" applyAlignment="1">
      <alignment horizontal="center" vertical="center"/>
    </xf>
    <xf numFmtId="0" fontId="3" fillId="2" borderId="90" xfId="0" applyFont="1" applyFill="1" applyBorder="1" applyAlignment="1">
      <alignment horizontal="center" vertical="center"/>
    </xf>
    <xf numFmtId="49" fontId="142" fillId="3" borderId="503" xfId="1" applyNumberFormat="1" applyFont="1" applyFill="1" applyBorder="1" applyAlignment="1">
      <alignment horizontal="left" vertical="top" wrapText="1"/>
    </xf>
  </cellXfs>
  <cellStyles count="71">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1" xfId="3" xr:uid="{00000000-0005-0000-0000-000006000000}"/>
    <cellStyle name="쉼표 [0] 11 2" xfId="44" xr:uid="{6430F737-6890-4205-93E8-5BBEFD3CBA7A}"/>
    <cellStyle name="쉼표 [0] 12" xfId="40" xr:uid="{00000000-0005-0000-0000-000007000000}"/>
    <cellStyle name="쉼표 [0] 12 2" xfId="65" xr:uid="{8A343959-84CD-4BA2-95C7-EF7A7706BBCC}"/>
    <cellStyle name="쉼표 [0] 13" xfId="41" xr:uid="{869FB8A9-AE35-4DB8-918F-B6FF75176D4C}"/>
    <cellStyle name="쉼표 [0] 13 2" xfId="66" xr:uid="{CF3A17A5-1443-4D6B-92C2-57BC92360CC3}"/>
    <cellStyle name="쉼표 [0] 14" xfId="43" xr:uid="{70280B63-7D3B-44E2-AFA4-01B6A344C36A}"/>
    <cellStyle name="쉼표 [0] 15" xfId="70" xr:uid="{123B93A4-F9E7-474D-B94D-1E546D697451}"/>
    <cellStyle name="쉼표 [0] 2" xfId="11" xr:uid="{00000000-0005-0000-0000-000008000000}"/>
    <cellStyle name="쉼표 [0] 2 15" xfId="42" xr:uid="{ACE3A937-7C57-4D05-B0DA-9F758B4E1AAB}"/>
    <cellStyle name="쉼표 [0] 2 15 2" xfId="67" xr:uid="{B6FDD70E-BD83-4126-9029-D100F62B4B0A}"/>
    <cellStyle name="쉼표 [0] 2 2" xfId="24" xr:uid="{00000000-0005-0000-0000-000009000000}"/>
    <cellStyle name="쉼표 [0] 2 2 2" xfId="54" xr:uid="{DF87829F-AA11-4DC5-9EE6-2D77B2CDE026}"/>
    <cellStyle name="쉼표 [0] 2 3" xfId="13" xr:uid="{00000000-0005-0000-0000-00000A000000}"/>
    <cellStyle name="쉼표 [0] 2 3 2" xfId="26" xr:uid="{00000000-0005-0000-0000-00000B000000}"/>
    <cellStyle name="쉼표 [0] 2 3 2 2" xfId="56" xr:uid="{785201BB-0B5C-4CD8-894B-A8E179F330DE}"/>
    <cellStyle name="쉼표 [0] 2 3 3" xfId="50" xr:uid="{BBEB3442-14E3-4310-973A-34C3E4E52927}"/>
    <cellStyle name="쉼표 [0] 2 4" xfId="36" xr:uid="{00000000-0005-0000-0000-00000C000000}"/>
    <cellStyle name="쉼표 [0] 2 4 2" xfId="62" xr:uid="{AB3792A9-8B41-4D1D-ADF8-3FDE615C597F}"/>
    <cellStyle name="쉼표 [0] 2 5" xfId="48" xr:uid="{B82474B8-8CC0-4F63-AFFB-EF807C14AA50}"/>
    <cellStyle name="쉼표 [0] 3" xfId="21" xr:uid="{00000000-0005-0000-0000-00000D000000}"/>
    <cellStyle name="쉼표 [0] 3 2" xfId="27" xr:uid="{00000000-0005-0000-0000-00000E000000}"/>
    <cellStyle name="쉼표 [0] 3 2 2" xfId="57" xr:uid="{6BA62508-951C-4202-B5FF-53B5279DF8EE}"/>
    <cellStyle name="쉼표 [0] 3 3" xfId="51" xr:uid="{68CCA096-454E-49A1-8B5A-876D731AE3F8}"/>
    <cellStyle name="쉼표 [0] 3 5" xfId="34" xr:uid="{00000000-0005-0000-0000-00000F000000}"/>
    <cellStyle name="쉼표 [0] 3 5 2" xfId="60" xr:uid="{40229E62-E35C-4804-A01B-997C32E434E6}"/>
    <cellStyle name="쉼표 [0] 4" xfId="12" xr:uid="{00000000-0005-0000-0000-000010000000}"/>
    <cellStyle name="쉼표 [0] 4 2" xfId="25" xr:uid="{00000000-0005-0000-0000-000011000000}"/>
    <cellStyle name="쉼표 [0] 4 2 2" xfId="55" xr:uid="{F558C5CF-680D-4C81-9B10-C1ED8A381ACD}"/>
    <cellStyle name="쉼표 [0] 4 3" xfId="49" xr:uid="{B95021B6-C751-41D0-9A67-7EF11B326E0B}"/>
    <cellStyle name="쉼표 [0] 5" xfId="7" xr:uid="{00000000-0005-0000-0000-000012000000}"/>
    <cellStyle name="쉼표 [0] 5 2" xfId="23" xr:uid="{00000000-0005-0000-0000-000013000000}"/>
    <cellStyle name="쉼표 [0] 5 2 2" xfId="53" xr:uid="{CA68BD95-ECB5-44FA-8F25-ECA56F873660}"/>
    <cellStyle name="쉼표 [0] 5 3" xfId="47" xr:uid="{62C95CB1-C18C-4323-A354-2B99F854A262}"/>
    <cellStyle name="쉼표 [0] 6" xfId="22" xr:uid="{00000000-0005-0000-0000-000014000000}"/>
    <cellStyle name="쉼표 [0] 6 2" xfId="52" xr:uid="{EF56D885-BF1D-4389-94C6-65CC39908588}"/>
    <cellStyle name="쉼표 [0] 7" xfId="33" xr:uid="{00000000-0005-0000-0000-000015000000}"/>
    <cellStyle name="쉼표 [0] 7 2" xfId="30" xr:uid="{00000000-0005-0000-0000-000016000000}"/>
    <cellStyle name="쉼표 [0] 7 2 2" xfId="58" xr:uid="{71BE0423-21F3-4B43-A43E-1C93FB152463}"/>
    <cellStyle name="쉼표 [0] 7 3" xfId="59" xr:uid="{E9750A01-030F-48F1-B13E-549E06F4377F}"/>
    <cellStyle name="쉼표 [0] 8" xfId="5" xr:uid="{00000000-0005-0000-0000-000017000000}"/>
    <cellStyle name="쉼표 [0] 8 2" xfId="46" xr:uid="{B18693CB-0198-4CD0-9ABA-764C1A5C0654}"/>
    <cellStyle name="쉼표 [0] 9" xfId="38" xr:uid="{00000000-0005-0000-0000-000018000000}"/>
    <cellStyle name="쉼표 [0] 9 2" xfId="63" xr:uid="{38D57509-2894-4117-9987-C49D1249C58F}"/>
    <cellStyle name="쉼표 2" xfId="35" xr:uid="{00000000-0005-0000-0000-000019000000}"/>
    <cellStyle name="쉼표 2 2" xfId="61" xr:uid="{0DA94C6B-4677-43E6-8B3E-5816CC7F661B}"/>
    <cellStyle name="쉼표 3" xfId="39" xr:uid="{00000000-0005-0000-0000-00001A000000}"/>
    <cellStyle name="쉼표 3 2" xfId="64" xr:uid="{EA62A71B-7CBF-4054-BE29-6561196E5BC3}"/>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27</xdr:row>
      <xdr:rowOff>81641</xdr:rowOff>
    </xdr:from>
    <xdr:to>
      <xdr:col>24</xdr:col>
      <xdr:colOff>20254</xdr:colOff>
      <xdr:row>42</xdr:row>
      <xdr:rowOff>13606</xdr:rowOff>
    </xdr:to>
    <xdr:pic>
      <xdr:nvPicPr>
        <xdr:cNvPr id="2" name="그림 1">
          <a:extLst>
            <a:ext uri="{FF2B5EF4-FFF2-40B4-BE49-F238E27FC236}">
              <a16:creationId xmlns:a16="http://schemas.microsoft.com/office/drawing/2014/main" id="{64C0320B-17BE-D00B-0196-816C4A2E3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536" y="11103427"/>
          <a:ext cx="22172682" cy="3605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162173</xdr:colOff>
      <xdr:row>42</xdr:row>
      <xdr:rowOff>105217</xdr:rowOff>
    </xdr:from>
    <xdr:to>
      <xdr:col>17</xdr:col>
      <xdr:colOff>380400</xdr:colOff>
      <xdr:row>43</xdr:row>
      <xdr:rowOff>101408</xdr:rowOff>
    </xdr:to>
    <xdr:sp macro="" textlink="">
      <xdr:nvSpPr>
        <xdr:cNvPr id="2" name="이등변 삼각형 1">
          <a:extLst>
            <a:ext uri="{FF2B5EF4-FFF2-40B4-BE49-F238E27FC236}">
              <a16:creationId xmlns:a16="http://schemas.microsoft.com/office/drawing/2014/main" id="{10E95761-6FCF-429B-BBC0-6B738BE6B2E4}"/>
            </a:ext>
          </a:extLst>
        </xdr:cNvPr>
        <xdr:cNvSpPr/>
      </xdr:nvSpPr>
      <xdr:spPr>
        <a:xfrm rot="5400000">
          <a:off x="11303141" y="21646429"/>
          <a:ext cx="262891" cy="218227"/>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42</xdr:row>
      <xdr:rowOff>69272</xdr:rowOff>
    </xdr:from>
    <xdr:to>
      <xdr:col>23</xdr:col>
      <xdr:colOff>294409</xdr:colOff>
      <xdr:row>43</xdr:row>
      <xdr:rowOff>225137</xdr:rowOff>
    </xdr:to>
    <xdr:sp macro="" textlink="">
      <xdr:nvSpPr>
        <xdr:cNvPr id="3" name="TextBox 2">
          <a:extLst>
            <a:ext uri="{FF2B5EF4-FFF2-40B4-BE49-F238E27FC236}">
              <a16:creationId xmlns:a16="http://schemas.microsoft.com/office/drawing/2014/main" id="{6EFECB56-717F-49A7-8990-8F265313D604}"/>
            </a:ext>
          </a:extLst>
        </xdr:cNvPr>
        <xdr:cNvSpPr txBox="1"/>
      </xdr:nvSpPr>
      <xdr:spPr>
        <a:xfrm>
          <a:off x="11717482" y="21588152"/>
          <a:ext cx="3512127" cy="422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4Q</a:t>
          </a:r>
          <a:r>
            <a:rPr lang="en-US" altLang="ko-KR" sz="1400" b="1" baseline="0"/>
            <a:t> Non-binding </a:t>
          </a:r>
          <a:r>
            <a:rPr lang="ko-KR" altLang="en-US" sz="1400" b="1" baseline="0"/>
            <a:t>구간에서 약 </a:t>
          </a:r>
          <a:r>
            <a:rPr lang="en-US" altLang="ko-KR" sz="1400" b="1" baseline="0"/>
            <a:t>40</a:t>
          </a:r>
          <a:r>
            <a:rPr lang="ko-KR" altLang="en-US" sz="1400" b="1" baseline="0"/>
            <a:t>만개 감소</a:t>
          </a:r>
          <a:endParaRPr lang="ko-KR" altLang="en-US" sz="1400" b="1"/>
        </a:p>
      </xdr:txBody>
    </xdr:sp>
    <xdr:clientData/>
  </xdr:twoCellAnchor>
  <xdr:twoCellAnchor>
    <xdr:from>
      <xdr:col>17</xdr:col>
      <xdr:colOff>164078</xdr:colOff>
      <xdr:row>45</xdr:row>
      <xdr:rowOff>137949</xdr:rowOff>
    </xdr:from>
    <xdr:to>
      <xdr:col>17</xdr:col>
      <xdr:colOff>380400</xdr:colOff>
      <xdr:row>46</xdr:row>
      <xdr:rowOff>132234</xdr:rowOff>
    </xdr:to>
    <xdr:sp macro="" textlink="">
      <xdr:nvSpPr>
        <xdr:cNvPr id="4" name="이등변 삼각형 3">
          <a:extLst>
            <a:ext uri="{FF2B5EF4-FFF2-40B4-BE49-F238E27FC236}">
              <a16:creationId xmlns:a16="http://schemas.microsoft.com/office/drawing/2014/main" id="{881E32AD-241F-4DA2-B72B-7A72AA4ACE94}"/>
            </a:ext>
          </a:extLst>
        </xdr:cNvPr>
        <xdr:cNvSpPr/>
      </xdr:nvSpPr>
      <xdr:spPr>
        <a:xfrm rot="5400000">
          <a:off x="11305046" y="22479261"/>
          <a:ext cx="260985" cy="216322"/>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45</xdr:row>
      <xdr:rowOff>98194</xdr:rowOff>
    </xdr:from>
    <xdr:to>
      <xdr:col>25</xdr:col>
      <xdr:colOff>259773</xdr:colOff>
      <xdr:row>47</xdr:row>
      <xdr:rowOff>1</xdr:rowOff>
    </xdr:to>
    <xdr:sp macro="" textlink="">
      <xdr:nvSpPr>
        <xdr:cNvPr id="5" name="TextBox 4">
          <a:extLst>
            <a:ext uri="{FF2B5EF4-FFF2-40B4-BE49-F238E27FC236}">
              <a16:creationId xmlns:a16="http://schemas.microsoft.com/office/drawing/2014/main" id="{B7703138-5C88-4972-A337-9BB7F3AF7D6A}"/>
            </a:ext>
          </a:extLst>
        </xdr:cNvPr>
        <xdr:cNvSpPr txBox="1"/>
      </xdr:nvSpPr>
      <xdr:spPr>
        <a:xfrm>
          <a:off x="11717482" y="22417174"/>
          <a:ext cx="4986251" cy="435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8</a:t>
          </a:r>
          <a:r>
            <a:rPr lang="ko-KR" altLang="en-US" sz="1400" b="1"/>
            <a:t>월</a:t>
          </a:r>
          <a:r>
            <a:rPr lang="ko-KR" altLang="en-US" sz="1400" b="1" baseline="0"/>
            <a:t> </a:t>
          </a:r>
          <a:r>
            <a:rPr lang="en-US" altLang="ko-KR" sz="1400" b="1" baseline="0"/>
            <a:t>70% Binding </a:t>
          </a:r>
          <a:r>
            <a:rPr lang="ko-KR" altLang="en-US" sz="1400" b="1" baseline="0"/>
            <a:t>구간 미준수 </a:t>
          </a:r>
          <a:r>
            <a:rPr lang="en-US" altLang="ko-KR" sz="1400" b="1" baseline="0"/>
            <a:t>(</a:t>
          </a:r>
          <a:r>
            <a:rPr lang="ko-KR" altLang="en-US" sz="1400" b="1" baseline="0"/>
            <a:t>해외</a:t>
          </a:r>
          <a:r>
            <a:rPr lang="en-US" altLang="ko-KR" sz="1400" b="1" baseline="0"/>
            <a:t>CMO DP</a:t>
          </a:r>
          <a:r>
            <a:rPr lang="ko-KR" altLang="en-US" sz="1400" b="1" baseline="0"/>
            <a:t>공급 이슈</a:t>
          </a:r>
          <a:r>
            <a:rPr lang="en-US" altLang="ko-KR" sz="1400" b="1" baseline="0"/>
            <a:t>)</a:t>
          </a:r>
          <a:endParaRPr lang="ko-KR" altLang="en-US" sz="1400" b="1"/>
        </a:p>
      </xdr:txBody>
    </xdr:sp>
    <xdr:clientData/>
  </xdr:twoCellAnchor>
  <xdr:twoCellAnchor editAs="oneCell">
    <xdr:from>
      <xdr:col>23</xdr:col>
      <xdr:colOff>17318</xdr:colOff>
      <xdr:row>29</xdr:row>
      <xdr:rowOff>34636</xdr:rowOff>
    </xdr:from>
    <xdr:to>
      <xdr:col>40</xdr:col>
      <xdr:colOff>438669</xdr:colOff>
      <xdr:row>33</xdr:row>
      <xdr:rowOff>859674</xdr:rowOff>
    </xdr:to>
    <xdr:pic>
      <xdr:nvPicPr>
        <xdr:cNvPr id="6" name="그림 5">
          <a:extLst>
            <a:ext uri="{FF2B5EF4-FFF2-40B4-BE49-F238E27FC236}">
              <a16:creationId xmlns:a16="http://schemas.microsoft.com/office/drawing/2014/main" id="{7359EF1B-482F-461D-A91F-8190DB1CB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2518" y="10283536"/>
          <a:ext cx="13129606" cy="282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566"/>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 Id="rId1"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2024년 계획_변경적용"/>
      <sheetName val="2024년 계획"/>
      <sheetName val="2023년 실적"/>
      <sheetName val="1분기 실적"/>
      <sheetName val="현실화매출"/>
      <sheetName val="2024년 추정 매출(보고 완료)"/>
      <sheetName val="2024년 차이 조정"/>
      <sheetName val="연간 에상 (사장님보고)"/>
      <sheetName val="1분기 상세"/>
      <sheetName val="내재화"/>
      <sheetName val="셀트리온제약"/>
      <sheetName val="Sheet1"/>
    </sheetNames>
    <sheetDataSet>
      <sheetData sheetId="0"/>
      <sheetData sheetId="1"/>
      <sheetData sheetId="2">
        <row r="44">
          <cell r="F44">
            <v>0</v>
          </cell>
          <cell r="G44">
            <v>0</v>
          </cell>
        </row>
        <row r="45">
          <cell r="F45">
            <v>736312500</v>
          </cell>
          <cell r="G45">
            <v>3253527000</v>
          </cell>
        </row>
        <row r="46">
          <cell r="F46">
            <v>959310827.99423397</v>
          </cell>
          <cell r="G46">
            <v>959310827.9942342</v>
          </cell>
        </row>
        <row r="47">
          <cell r="F47">
            <v>4405740000</v>
          </cell>
          <cell r="G47">
            <v>478662462.07895321</v>
          </cell>
        </row>
        <row r="48">
          <cell r="F48">
            <v>0</v>
          </cell>
          <cell r="G48">
            <v>0</v>
          </cell>
        </row>
        <row r="50">
          <cell r="F50">
            <v>0</v>
          </cell>
          <cell r="G50">
            <v>40000000</v>
          </cell>
        </row>
        <row r="51">
          <cell r="F51">
            <v>0</v>
          </cell>
          <cell r="G51">
            <v>162000000</v>
          </cell>
        </row>
        <row r="52">
          <cell r="F52">
            <v>0</v>
          </cell>
          <cell r="G52">
            <v>93750000</v>
          </cell>
        </row>
        <row r="53">
          <cell r="F53">
            <v>490500000</v>
          </cell>
          <cell r="G53">
            <v>766500000</v>
          </cell>
        </row>
      </sheetData>
      <sheetData sheetId="3" refreshError="1"/>
      <sheetData sheetId="4">
        <row r="44">
          <cell r="I44">
            <v>0</v>
          </cell>
        </row>
        <row r="45">
          <cell r="I45">
            <v>4514293080</v>
          </cell>
        </row>
        <row r="46">
          <cell r="I46">
            <v>799032650</v>
          </cell>
        </row>
        <row r="47">
          <cell r="I47">
            <v>1198782200</v>
          </cell>
        </row>
        <row r="50">
          <cell r="I50">
            <v>62800000</v>
          </cell>
        </row>
        <row r="51">
          <cell r="I51">
            <v>718469429</v>
          </cell>
        </row>
        <row r="52">
          <cell r="I52">
            <v>595000000</v>
          </cell>
        </row>
        <row r="53">
          <cell r="I53">
            <v>54875000</v>
          </cell>
        </row>
        <row r="54">
          <cell r="I54">
            <v>15026000</v>
          </cell>
        </row>
        <row r="55">
          <cell r="I55">
            <v>0</v>
          </cell>
        </row>
        <row r="56">
          <cell r="I56">
            <v>46400065</v>
          </cell>
        </row>
      </sheetData>
      <sheetData sheetId="5">
        <row r="10">
          <cell r="R10">
            <v>163.696674</v>
          </cell>
          <cell r="S10">
            <v>67.524839999999998</v>
          </cell>
        </row>
        <row r="11">
          <cell r="R11">
            <v>1.5659540000000001</v>
          </cell>
          <cell r="S11">
            <v>0</v>
          </cell>
        </row>
        <row r="12">
          <cell r="R12">
            <v>0</v>
          </cell>
          <cell r="S12">
            <v>0</v>
          </cell>
        </row>
        <row r="14">
          <cell r="R14">
            <v>20.213306299999999</v>
          </cell>
          <cell r="S14">
            <v>28.779324839827026</v>
          </cell>
        </row>
        <row r="15">
          <cell r="R15">
            <v>19.618242000000002</v>
          </cell>
          <cell r="S15">
            <v>96.188923862368597</v>
          </cell>
        </row>
        <row r="17">
          <cell r="R17">
            <v>1.47</v>
          </cell>
          <cell r="S17">
            <v>0.4</v>
          </cell>
        </row>
        <row r="18">
          <cell r="R18">
            <v>0.38500000000000001</v>
          </cell>
          <cell r="S18">
            <v>29.237500000000001</v>
          </cell>
        </row>
        <row r="19">
          <cell r="R19">
            <v>3.2970828700000001</v>
          </cell>
          <cell r="S19">
            <v>6.68</v>
          </cell>
        </row>
        <row r="20">
          <cell r="R20">
            <v>18.712499999999999</v>
          </cell>
          <cell r="S20">
            <v>4.5562500000000004</v>
          </cell>
        </row>
        <row r="21">
          <cell r="R21">
            <v>1.4301612099999998</v>
          </cell>
          <cell r="S2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tabSelected="1" view="pageBreakPreview" zoomScale="55" zoomScaleNormal="55" zoomScaleSheetLayoutView="55" workbookViewId="0">
      <pane xSplit="5" ySplit="7" topLeftCell="F8" activePane="bottomRight" state="frozen"/>
      <selection pane="topRight" activeCell="F1" sqref="F1"/>
      <selection pane="bottomLeft" activeCell="A8" sqref="A8"/>
      <selection pane="bottomRight" activeCell="S9" sqref="S9"/>
    </sheetView>
  </sheetViews>
  <sheetFormatPr defaultColWidth="8.59765625" defaultRowHeight="13.8"/>
  <cols>
    <col min="1" max="1" width="1.09765625" style="985" customWidth="1"/>
    <col min="2" max="2" width="3.09765625" style="985" customWidth="1"/>
    <col min="3" max="3" width="14.09765625" style="985" customWidth="1"/>
    <col min="4" max="9" width="9.59765625" style="985" customWidth="1"/>
    <col min="10" max="10" width="12.59765625" style="985" customWidth="1"/>
    <col min="11" max="22" width="9.59765625" style="985" customWidth="1"/>
    <col min="23" max="23" width="11.09765625" style="985" customWidth="1"/>
    <col min="24" max="24" width="10.59765625" style="985" customWidth="1"/>
    <col min="25" max="25" width="11.09765625" style="985" customWidth="1"/>
    <col min="26" max="26" width="13.296875" style="985" bestFit="1" customWidth="1"/>
    <col min="27" max="27" width="12.296875" style="985" customWidth="1"/>
    <col min="28" max="28" width="12.09765625" style="985" customWidth="1"/>
    <col min="29" max="29" width="10.59765625" style="985" customWidth="1"/>
    <col min="30" max="30" width="9.09765625" style="985" customWidth="1"/>
    <col min="31" max="31" width="17.09765625" style="985" customWidth="1"/>
    <col min="32" max="32" width="8.59765625" style="985"/>
    <col min="33" max="33" width="13.09765625" style="985" customWidth="1"/>
    <col min="34" max="37" width="8.59765625" style="985"/>
    <col min="38" max="38" width="48.59765625" style="985" customWidth="1"/>
    <col min="39" max="16384" width="8.59765625" style="985"/>
  </cols>
  <sheetData>
    <row r="1" spans="1:31" ht="37.35" customHeight="1">
      <c r="A1" s="1328" t="s">
        <v>0</v>
      </c>
      <c r="B1" s="1328"/>
      <c r="C1" s="1328"/>
      <c r="D1" s="1328"/>
      <c r="E1" s="1328"/>
      <c r="F1" s="1328"/>
      <c r="G1" s="1328"/>
      <c r="H1" s="1328"/>
      <c r="I1" s="1328"/>
      <c r="J1" s="1328"/>
      <c r="K1" s="1328"/>
      <c r="L1" s="1328"/>
      <c r="M1" s="1328"/>
      <c r="N1" s="1328"/>
      <c r="O1" s="1328"/>
      <c r="P1" s="1328"/>
      <c r="Q1" s="1328"/>
      <c r="R1" s="1328"/>
      <c r="S1" s="1328"/>
      <c r="T1" s="1328"/>
      <c r="U1" s="1328"/>
      <c r="V1" s="1328"/>
      <c r="W1" s="1328"/>
      <c r="X1" s="1328"/>
      <c r="Y1" s="1328"/>
      <c r="Z1" s="1328"/>
      <c r="AA1" s="1328"/>
      <c r="AB1" s="1328"/>
      <c r="AC1" s="1328"/>
    </row>
    <row r="2" spans="1:31" ht="33" customHeight="1">
      <c r="A2" s="986"/>
      <c r="B2" s="986"/>
      <c r="C2" s="986"/>
      <c r="D2" s="986"/>
      <c r="E2" s="986"/>
      <c r="F2" s="986"/>
      <c r="G2" s="986"/>
      <c r="H2" s="986"/>
      <c r="I2" s="986"/>
      <c r="J2" s="986"/>
      <c r="K2" s="986"/>
      <c r="L2" s="986"/>
      <c r="M2" s="986"/>
      <c r="N2" s="986"/>
      <c r="O2" s="986"/>
      <c r="P2" s="986"/>
      <c r="Q2" s="986"/>
      <c r="R2" s="986"/>
      <c r="S2" s="986"/>
      <c r="T2" s="986"/>
      <c r="W2" s="987"/>
      <c r="Y2" s="987" t="s">
        <v>736</v>
      </c>
      <c r="AB2" s="987"/>
    </row>
    <row r="3" spans="1:31" ht="27" customHeight="1">
      <c r="A3" s="988" t="s">
        <v>1</v>
      </c>
    </row>
    <row r="4" spans="1:31" ht="14.4" thickBot="1">
      <c r="F4" s="989" t="s">
        <v>2</v>
      </c>
      <c r="J4" s="989" t="s">
        <v>3</v>
      </c>
      <c r="K4" s="989"/>
      <c r="L4" s="989"/>
      <c r="M4" s="989"/>
      <c r="N4" s="989" t="s">
        <v>4</v>
      </c>
      <c r="O4" s="989"/>
      <c r="P4" s="990"/>
      <c r="Q4" s="989"/>
      <c r="R4" s="989" t="s">
        <v>5</v>
      </c>
      <c r="Y4" s="991" t="s">
        <v>6</v>
      </c>
      <c r="AB4" s="991"/>
    </row>
    <row r="5" spans="1:31" ht="25.35" customHeight="1">
      <c r="A5" s="1331" t="s">
        <v>7</v>
      </c>
      <c r="B5" s="1332"/>
      <c r="C5" s="1418"/>
      <c r="D5" s="1425" t="s">
        <v>8</v>
      </c>
      <c r="E5" s="1428" t="s">
        <v>9</v>
      </c>
      <c r="F5" s="1456" t="s">
        <v>10</v>
      </c>
      <c r="G5" s="1457"/>
      <c r="H5" s="1457"/>
      <c r="I5" s="1458"/>
      <c r="J5" s="1465" t="s">
        <v>2</v>
      </c>
      <c r="K5" s="1466"/>
      <c r="L5" s="1466"/>
      <c r="M5" s="1466"/>
      <c r="N5" s="1466"/>
      <c r="O5" s="1466"/>
      <c r="P5" s="1466"/>
      <c r="Q5" s="1466"/>
      <c r="R5" s="1466"/>
      <c r="S5" s="1466"/>
      <c r="T5" s="1466"/>
      <c r="U5" s="1467"/>
      <c r="V5" s="1331" t="s">
        <v>11</v>
      </c>
      <c r="W5" s="1332"/>
      <c r="X5" s="1332"/>
      <c r="Y5" s="1332"/>
      <c r="Z5" s="1331" t="s">
        <v>12</v>
      </c>
      <c r="AA5" s="1332"/>
      <c r="AB5" s="1332"/>
      <c r="AC5" s="1333"/>
    </row>
    <row r="6" spans="1:31" ht="25.35" customHeight="1" thickBot="1">
      <c r="A6" s="1419"/>
      <c r="B6" s="1420"/>
      <c r="C6" s="1421"/>
      <c r="D6" s="1426"/>
      <c r="E6" s="1429"/>
      <c r="F6" s="1459"/>
      <c r="G6" s="1460"/>
      <c r="H6" s="1460"/>
      <c r="I6" s="1461"/>
      <c r="J6" s="1431" t="s">
        <v>3</v>
      </c>
      <c r="K6" s="1431"/>
      <c r="L6" s="1432"/>
      <c r="M6" s="1433"/>
      <c r="N6" s="1445" t="s">
        <v>4</v>
      </c>
      <c r="O6" s="1431"/>
      <c r="P6" s="1432"/>
      <c r="Q6" s="1433"/>
      <c r="R6" s="1445" t="s">
        <v>5</v>
      </c>
      <c r="S6" s="1431"/>
      <c r="T6" s="1432"/>
      <c r="U6" s="1433"/>
      <c r="V6" s="1334"/>
      <c r="W6" s="1335"/>
      <c r="X6" s="1335"/>
      <c r="Y6" s="1335"/>
      <c r="Z6" s="1334"/>
      <c r="AA6" s="1335"/>
      <c r="AB6" s="1335"/>
      <c r="AC6" s="1336"/>
    </row>
    <row r="7" spans="1:31" ht="46.5" customHeight="1" thickBot="1">
      <c r="A7" s="1422"/>
      <c r="B7" s="1423"/>
      <c r="C7" s="1424"/>
      <c r="D7" s="1427"/>
      <c r="E7" s="1430"/>
      <c r="F7" s="992" t="s">
        <v>13</v>
      </c>
      <c r="G7" s="993" t="s">
        <v>14</v>
      </c>
      <c r="H7" s="994" t="s">
        <v>15</v>
      </c>
      <c r="I7" s="995" t="s">
        <v>16</v>
      </c>
      <c r="J7" s="996" t="s">
        <v>8</v>
      </c>
      <c r="K7" s="997" t="s">
        <v>14</v>
      </c>
      <c r="L7" s="998" t="s">
        <v>15</v>
      </c>
      <c r="M7" s="999" t="s">
        <v>16</v>
      </c>
      <c r="N7" s="996" t="s">
        <v>13</v>
      </c>
      <c r="O7" s="997" t="s">
        <v>14</v>
      </c>
      <c r="P7" s="998" t="s">
        <v>15</v>
      </c>
      <c r="Q7" s="999" t="s">
        <v>16</v>
      </c>
      <c r="R7" s="996" t="s">
        <v>13</v>
      </c>
      <c r="S7" s="997" t="s">
        <v>14</v>
      </c>
      <c r="T7" s="998" t="s">
        <v>15</v>
      </c>
      <c r="U7" s="999" t="s">
        <v>16</v>
      </c>
      <c r="V7" s="1000" t="s">
        <v>13</v>
      </c>
      <c r="W7" s="998" t="s">
        <v>14</v>
      </c>
      <c r="X7" s="998" t="s">
        <v>15</v>
      </c>
      <c r="Y7" s="1001" t="s">
        <v>17</v>
      </c>
      <c r="Z7" s="1000" t="s">
        <v>13</v>
      </c>
      <c r="AA7" s="998" t="s">
        <v>14</v>
      </c>
      <c r="AB7" s="998" t="s">
        <v>15</v>
      </c>
      <c r="AC7" s="1001" t="s">
        <v>17</v>
      </c>
    </row>
    <row r="8" spans="1:31" ht="30" customHeight="1">
      <c r="A8" s="1002"/>
      <c r="B8" s="1414" t="s">
        <v>18</v>
      </c>
      <c r="C8" s="1415"/>
      <c r="D8" s="1003">
        <f>SUM(D15,D12,D9)</f>
        <v>1392.7058101244002</v>
      </c>
      <c r="E8" s="1004">
        <f>AA8</f>
        <v>1559.0706285199999</v>
      </c>
      <c r="F8" s="1005">
        <f>V8</f>
        <v>275.49898216999998</v>
      </c>
      <c r="G8" s="1006">
        <f t="shared" ref="G8:G15" si="0">W8</f>
        <v>313.38771303999999</v>
      </c>
      <c r="H8" s="1006">
        <f t="shared" ref="H8:H15" si="1">X8</f>
        <v>313.40174770786666</v>
      </c>
      <c r="I8" s="1007">
        <f t="shared" ref="I8:I19" si="2">Y8</f>
        <v>1.4034667866667405E-2</v>
      </c>
      <c r="J8" s="1005">
        <f>J9+J12+J15</f>
        <v>112.83448178999998</v>
      </c>
      <c r="K8" s="1006">
        <f>K9+K12+K15</f>
        <v>100.91694583333333</v>
      </c>
      <c r="L8" s="1008">
        <f>L9+L12+L15</f>
        <v>101.87285373</v>
      </c>
      <c r="M8" s="1007">
        <f t="shared" ref="M8:M19" si="3">L8-K8</f>
        <v>0.9559078966666732</v>
      </c>
      <c r="N8" s="1005">
        <f>N9+N12+N15</f>
        <v>67.616612720000006</v>
      </c>
      <c r="O8" s="1006">
        <f>O9+O12+O15</f>
        <v>107.72450337333332</v>
      </c>
      <c r="P8" s="1008">
        <f>P9+P12+P15</f>
        <v>116.32540432453332</v>
      </c>
      <c r="Q8" s="1007">
        <f t="shared" ref="Q8:Q19" si="4">P8-O8</f>
        <v>8.6009009512000034</v>
      </c>
      <c r="R8" s="1005">
        <f>R9+R12+R15</f>
        <v>95.047887659999986</v>
      </c>
      <c r="S8" s="1006">
        <f>S9+S12+S15</f>
        <v>104.74626383333334</v>
      </c>
      <c r="T8" s="1008">
        <f>T9+T12+T15</f>
        <v>95.203489653333335</v>
      </c>
      <c r="U8" s="1007">
        <f t="shared" ref="U8:U19" si="5">T8-S8</f>
        <v>-9.5427741800000092</v>
      </c>
      <c r="V8" s="1009">
        <f>V9+V12+V15</f>
        <v>275.49898216999998</v>
      </c>
      <c r="W8" s="1008">
        <f>W9+W12+W15</f>
        <v>313.38771303999999</v>
      </c>
      <c r="X8" s="1008">
        <f>X9+X12+X15</f>
        <v>313.40174770786666</v>
      </c>
      <c r="Y8" s="1010">
        <f t="shared" ref="Y8:Y19" si="6">X8-W8</f>
        <v>1.4034667866667405E-2</v>
      </c>
      <c r="Z8" s="1008">
        <f>Z9+Z12+Z15</f>
        <v>1393.0160799844</v>
      </c>
      <c r="AA8" s="1008">
        <f>AA9+AA12+AA15</f>
        <v>1559.0706285199999</v>
      </c>
      <c r="AB8" s="1008">
        <f>AB9+AB12+AB15</f>
        <v>1559.0846631878665</v>
      </c>
      <c r="AC8" s="1010">
        <f t="shared" ref="AC8:AC19" si="7">AB8-AA8</f>
        <v>1.4034667866553718E-2</v>
      </c>
      <c r="AD8" s="1011"/>
      <c r="AE8" s="985" t="s">
        <v>19</v>
      </c>
    </row>
    <row r="9" spans="1:31" ht="30" customHeight="1">
      <c r="A9" s="1002"/>
      <c r="B9" s="1416" t="s">
        <v>20</v>
      </c>
      <c r="C9" s="1417"/>
      <c r="D9" s="1012">
        <f>SUM(D10:D11)</f>
        <v>152.99418834440002</v>
      </c>
      <c r="E9" s="1013">
        <f t="shared" ref="E9:E19" si="8">AA9</f>
        <v>170.99973764000001</v>
      </c>
      <c r="F9" s="1014">
        <f t="shared" ref="F9:F15" si="9">V9</f>
        <v>17.979459309999999</v>
      </c>
      <c r="G9" s="1014">
        <f t="shared" si="0"/>
        <v>25.134453140000002</v>
      </c>
      <c r="H9" s="1014">
        <f t="shared" si="1"/>
        <v>24.999197227866667</v>
      </c>
      <c r="I9" s="1015">
        <f t="shared" si="2"/>
        <v>-0.13525591213333554</v>
      </c>
      <c r="J9" s="1016">
        <f t="shared" ref="J9:AC9" si="10">SUM(J10:J11)</f>
        <v>3.0051883799999999</v>
      </c>
      <c r="K9" s="1017">
        <f t="shared" si="10"/>
        <v>3.2706278333333332</v>
      </c>
      <c r="L9" s="1014">
        <f t="shared" si="10"/>
        <v>3.18512365</v>
      </c>
      <c r="M9" s="1015">
        <f t="shared" si="10"/>
        <v>-8.5504183333333261E-2</v>
      </c>
      <c r="N9" s="1016">
        <f t="shared" si="10"/>
        <v>12.60945478</v>
      </c>
      <c r="O9" s="1017">
        <f t="shared" si="10"/>
        <v>12.254068973333336</v>
      </c>
      <c r="P9" s="1014">
        <f t="shared" si="10"/>
        <v>9.8442169245333346</v>
      </c>
      <c r="Q9" s="1015">
        <f t="shared" si="10"/>
        <v>-2.4098520488000013</v>
      </c>
      <c r="R9" s="1016">
        <f t="shared" si="10"/>
        <v>2.3648161499999998</v>
      </c>
      <c r="S9" s="1017">
        <f t="shared" si="10"/>
        <v>9.6097563333333333</v>
      </c>
      <c r="T9" s="1014">
        <f t="shared" si="10"/>
        <v>11.969856653333332</v>
      </c>
      <c r="U9" s="1015">
        <f t="shared" si="10"/>
        <v>2.360100319999999</v>
      </c>
      <c r="V9" s="1018">
        <f t="shared" si="10"/>
        <v>17.979459309999999</v>
      </c>
      <c r="W9" s="1014">
        <f t="shared" si="10"/>
        <v>25.134453140000002</v>
      </c>
      <c r="X9" s="1014">
        <f t="shared" si="10"/>
        <v>24.999197227866667</v>
      </c>
      <c r="Y9" s="1019">
        <f t="shared" si="10"/>
        <v>-0.13525591213333554</v>
      </c>
      <c r="Z9" s="1018">
        <f t="shared" si="10"/>
        <v>152.99418834440002</v>
      </c>
      <c r="AA9" s="1014">
        <f t="shared" si="10"/>
        <v>170.99973764000001</v>
      </c>
      <c r="AB9" s="1014">
        <f t="shared" si="10"/>
        <v>170.86448172786666</v>
      </c>
      <c r="AC9" s="1019">
        <f t="shared" si="10"/>
        <v>-0.13525591213335342</v>
      </c>
      <c r="AD9" s="1011"/>
      <c r="AE9" s="985" t="s">
        <v>21</v>
      </c>
    </row>
    <row r="10" spans="1:31" ht="30" customHeight="1">
      <c r="A10" s="1002"/>
      <c r="B10" s="1020"/>
      <c r="C10" s="1021" t="s">
        <v>22</v>
      </c>
      <c r="D10" s="1022">
        <v>152.99418834440002</v>
      </c>
      <c r="E10" s="1023">
        <f t="shared" si="8"/>
        <v>168.95435764000001</v>
      </c>
      <c r="F10" s="1024">
        <f>SUMIFS('상세 자료 작성'!$I:$I,'상세 자료 작성'!$C:$C,'요약(보고)'!$C10,'상세 자료 작성'!$A:$A,'요약(보고)'!$AE$9,'상세 자료 작성'!$B:$B,'요약(보고)'!$F$4)/10^8</f>
        <v>17.979459309999999</v>
      </c>
      <c r="G10" s="1025">
        <f>SUMIFS('상세 자료 작성'!$J:$J,'상세 자료 작성'!$C:$C,'요약(보고)'!$C10,'상세 자료 작성'!$A:$A,$AE$11,'상세 자료 작성'!$B:$B,'요약(보고)'!$F$4)/10^8</f>
        <v>24.623108139999999</v>
      </c>
      <c r="H10" s="1025">
        <f>SUMIFS('상세 자료 작성'!$K:$K,'상세 자료 작성'!$C:$C,'요약(보고)'!$C10,'상세 자료 작성'!$A:$A,$AE$11,'상세 자료 작성'!$B:$B,'요약(보고)'!$F$4)/10^8</f>
        <v>24.658300561199997</v>
      </c>
      <c r="I10" s="1026">
        <f>Y10</f>
        <v>3.5192421199997881E-2</v>
      </c>
      <c r="J10" s="1024">
        <f>SUMIFS('상세 자료 작성'!$I:$I,'상세 자료 작성'!$C:$C,'요약(보고)'!$C10,'상세 자료 작성'!$A:$A,'요약(보고)'!$AE$9,'상세 자료 작성'!$D:$D,$J$4)/10^8</f>
        <v>3.0051883799999999</v>
      </c>
      <c r="K10" s="1025">
        <f>SUMIFS('상세 자료 작성'!$J:$J,'상세 자료 작성'!$C:$C,'요약(보고)'!$C10,'상세 자료 작성'!$A:$A,$AE$11,'상세 자료 작성'!$D:$D,'요약(보고)'!$J$4)/10^8</f>
        <v>3.1001794999999999</v>
      </c>
      <c r="L10" s="1025">
        <f>SUMIFS('상세 자료 작성'!$K:$K,'상세 자료 작성'!$C:$C,'요약(보고)'!$C10,'상세 자료 작성'!$A:$A,$AE$11,'상세 자료 작성'!$D:$D,$J$4)/10^8</f>
        <v>3.18512365</v>
      </c>
      <c r="M10" s="1026">
        <f>L10-K10</f>
        <v>8.4944150000000107E-2</v>
      </c>
      <c r="N10" s="1024">
        <f>SUMIFS('상세 자료 작성'!$I:$I,'상세 자료 작성'!$C:$C,'요약(보고)'!$C10,'상세 자료 작성'!$A:$A,'요약(보고)'!$AE$9,'상세 자료 작성'!$D:$D,$N$4)/10^8</f>
        <v>12.60945478</v>
      </c>
      <c r="O10" s="1025">
        <f>SUMIFS('상세 자료 작성'!$J:$J,'상세 자료 작성'!$C:$C,'요약(보고)'!$C10,'상세 자료 작성'!$A:$A,$AE$11,'상세 자료 작성'!$D:$D,$N$4)/10^8</f>
        <v>12.083620640000003</v>
      </c>
      <c r="P10" s="1025">
        <f>SUMIFS('상세 자료 작성'!$K:$K,'상세 자료 작성'!$C:$C,'요약(보고)'!$C10,'상세 자료 작성'!$A:$A,$AE$11,'상세 자료 작성'!$D:$D,$N$4)/10^8</f>
        <v>9.6737685912000018</v>
      </c>
      <c r="Q10" s="1026">
        <f>P10-O10</f>
        <v>-2.4098520488000013</v>
      </c>
      <c r="R10" s="1024">
        <f>SUMIFS('상세 자료 작성'!$I:$I,'상세 자료 작성'!$C:$C,'요약(보고)'!$C10,'상세 자료 작성'!$A:$A,'요약(보고)'!$AE$9,'상세 자료 작성'!$D:$D,$R$4)/10^8</f>
        <v>2.3648161499999998</v>
      </c>
      <c r="S10" s="1025">
        <f>SUMIFS('상세 자료 작성'!$J:$J,'상세 자료 작성'!$C:$C,'요약(보고)'!$C10,'상세 자료 작성'!$A:$A,$AE$11,'상세 자료 작성'!$D:$D,$R$4)/10^8</f>
        <v>9.4393080000000005</v>
      </c>
      <c r="T10" s="1025">
        <f>SUMIFS('상세 자료 작성'!$K:$K,'상세 자료 작성'!$C:$C,'요약(보고)'!$C10,'상세 자료 작성'!$A:$A,$AE$11,'상세 자료 작성'!$D:$D,$R$4)/10^8</f>
        <v>11.79940832</v>
      </c>
      <c r="U10" s="1026">
        <f>T10-S10</f>
        <v>2.360100319999999</v>
      </c>
      <c r="V10" s="1027">
        <f>R10+J10+N10</f>
        <v>17.979459309999999</v>
      </c>
      <c r="W10" s="1028">
        <f>S10+K10+O10</f>
        <v>24.623108140000003</v>
      </c>
      <c r="X10" s="1028">
        <f>T10+L10+P10</f>
        <v>24.658300561200001</v>
      </c>
      <c r="Y10" s="1029">
        <f>X10-W10</f>
        <v>3.5192421199997881E-2</v>
      </c>
      <c r="Z10" s="1030">
        <f>SUMIFS('상세 자료 작성'!$I:$I,'상세 자료 작성'!$C:$C,'요약(보고)'!$C10,'상세 자료 작성'!$A:$A,'요약(보고)'!$AE$9)/10^8</f>
        <v>152.99418834440002</v>
      </c>
      <c r="AA10" s="1031">
        <f>SUMIFS('상세 자료 작성'!$J:$J,'상세 자료 작성'!$C:$C,'요약(보고)'!$C10,'상세 자료 작성'!$A:$A,'요약(보고)'!$AE$11)/10^8</f>
        <v>168.95435764000001</v>
      </c>
      <c r="AB10" s="1032">
        <f>SUMIFS('상세 자료 작성'!$K:$K,'상세 자료 작성'!$C:$C,'요약(보고)'!$C10,'상세 자료 작성'!$A:$A,'요약(보고)'!$AE$11)/10^8</f>
        <v>168.98955006119999</v>
      </c>
      <c r="AC10" s="1029">
        <f>AB10-AA10</f>
        <v>3.5192421199980117E-2</v>
      </c>
      <c r="AD10" s="1011"/>
    </row>
    <row r="11" spans="1:31" ht="30" customHeight="1">
      <c r="A11" s="1002"/>
      <c r="B11" s="1033"/>
      <c r="C11" s="1034" t="s">
        <v>23</v>
      </c>
      <c r="D11" s="1035">
        <v>0</v>
      </c>
      <c r="E11" s="1036">
        <f t="shared" si="8"/>
        <v>2.0453800000000011</v>
      </c>
      <c r="F11" s="1024">
        <f>SUMIFS('상세 자료 작성'!$I:$I,'상세 자료 작성'!$C:$C,'요약(보고)'!$C11,'상세 자료 작성'!$A:$A,'요약(보고)'!$AE$9,'상세 자료 작성'!$B:$B,'요약(보고)'!$F$4)/10^8</f>
        <v>0</v>
      </c>
      <c r="G11" s="1025">
        <f>SUMIFS('상세 자료 작성'!$J:$J,'상세 자료 작성'!$C:$C,'요약(보고)'!$C11,'상세 자료 작성'!$A:$A,$AE$11,'상세 자료 작성'!$B:$B,'요약(보고)'!$F$4)/10^8</f>
        <v>0.51134500000000005</v>
      </c>
      <c r="H11" s="1025">
        <f>SUMIFS('상세 자료 작성'!$K:$K,'상세 자료 작성'!$C:$C,'요약(보고)'!$C11,'상세 자료 작성'!$A:$A,$AE$11,'상세 자료 작성'!$B:$B,'요약(보고)'!$F$4)/10^8</f>
        <v>0.34089666666666674</v>
      </c>
      <c r="I11" s="1037">
        <f t="shared" si="2"/>
        <v>-0.17044833333333342</v>
      </c>
      <c r="J11" s="1024">
        <f>SUMIFS('상세 자료 작성'!$I:$I,'상세 자료 작성'!$C:$C,'요약(보고)'!$C11,'상세 자료 작성'!$A:$A,'요약(보고)'!$AE$9,'상세 자료 작성'!$D:$D,$J$4)/10^8</f>
        <v>0</v>
      </c>
      <c r="K11" s="1025">
        <f>SUMIFS('상세 자료 작성'!$J:$J,'상세 자료 작성'!$C:$C,'요약(보고)'!$C11,'상세 자료 작성'!$A:$A,$AE$11,'상세 자료 작성'!$D:$D,'요약(보고)'!$J$4)/10^8</f>
        <v>0.17044833333333337</v>
      </c>
      <c r="L11" s="1025">
        <f>SUMIFS('상세 자료 작성'!$K:$K,'상세 자료 작성'!$C:$C,'요약(보고)'!$C11,'상세 자료 작성'!$A:$A,$AE$11,'상세 자료 작성'!$D:$D,$J$4)/10^8</f>
        <v>0</v>
      </c>
      <c r="M11" s="1037">
        <f>L11-K11</f>
        <v>-0.17044833333333337</v>
      </c>
      <c r="N11" s="1024">
        <f>SUMIFS('상세 자료 작성'!$I:$I,'상세 자료 작성'!$C:$C,'요약(보고)'!$C11,'상세 자료 작성'!$A:$A,'요약(보고)'!$AE$9,'상세 자료 작성'!$D:$D,$N$4)/10^8</f>
        <v>0</v>
      </c>
      <c r="O11" s="1025">
        <f>SUMIFS('상세 자료 작성'!$J:$J,'상세 자료 작성'!$C:$C,'요약(보고)'!$C11,'상세 자료 작성'!$A:$A,$AE$11,'상세 자료 작성'!$D:$D,$N$4)/10^8</f>
        <v>0.17044833333333337</v>
      </c>
      <c r="P11" s="1025">
        <f>SUMIFS('상세 자료 작성'!$K:$K,'상세 자료 작성'!$C:$C,'요약(보고)'!$C11,'상세 자료 작성'!$A:$A,$AE$11,'상세 자료 작성'!$D:$D,$N$4)/10^8</f>
        <v>0.17044833333333337</v>
      </c>
      <c r="Q11" s="1037">
        <f t="shared" si="4"/>
        <v>0</v>
      </c>
      <c r="R11" s="1024">
        <f>SUMIFS('상세 자료 작성'!$I:$I,'상세 자료 작성'!$C:$C,'요약(보고)'!$C11,'상세 자료 작성'!$A:$A,'요약(보고)'!$AE$9,'상세 자료 작성'!$D:$D,$R$4)/10^8</f>
        <v>0</v>
      </c>
      <c r="S11" s="1025">
        <f>SUMIFS('상세 자료 작성'!$J:$J,'상세 자료 작성'!$C:$C,'요약(보고)'!$C11,'상세 자료 작성'!$A:$A,$AE$11,'상세 자료 작성'!$D:$D,$R$4)/10^8</f>
        <v>0.17044833333333337</v>
      </c>
      <c r="T11" s="1025">
        <f>SUMIFS('상세 자료 작성'!$K:$K,'상세 자료 작성'!$C:$C,'요약(보고)'!$C11,'상세 자료 작성'!$A:$A,$AE$11,'상세 자료 작성'!$D:$D,$R$4)/10^8</f>
        <v>0.17044833333333337</v>
      </c>
      <c r="U11" s="1037">
        <f t="shared" si="5"/>
        <v>0</v>
      </c>
      <c r="V11" s="1038">
        <f>R11+J11+N11</f>
        <v>0</v>
      </c>
      <c r="W11" s="1032">
        <f t="shared" ref="W11" si="11">S11+K11+O11</f>
        <v>0.51134500000000016</v>
      </c>
      <c r="X11" s="1032">
        <f t="shared" ref="X11" si="12">T11+L11+P11</f>
        <v>0.34089666666666674</v>
      </c>
      <c r="Y11" s="1039">
        <f t="shared" si="6"/>
        <v>-0.17044833333333342</v>
      </c>
      <c r="Z11" s="1038">
        <f>SUMIFS('상세 자료 작성'!$I:$I,'상세 자료 작성'!$C:$C,'요약(보고)'!$C11,'상세 자료 작성'!$A:$A,'요약(보고)'!$AE$9)/10^8</f>
        <v>0</v>
      </c>
      <c r="AA11" s="1032">
        <f>SUMIFS('상세 자료 작성'!$J:$J,'상세 자료 작성'!$C:$C,'요약(보고)'!$C11,'상세 자료 작성'!$A:$A,'요약(보고)'!$AE$11)/10^8</f>
        <v>2.0453800000000011</v>
      </c>
      <c r="AB11" s="1032">
        <f>SUMIFS('상세 자료 작성'!$K:$K,'상세 자료 작성'!$C:$C,'요약(보고)'!$C11,'상세 자료 작성'!$A:$A,'요약(보고)'!$AE$11)/10^8</f>
        <v>1.8749316666666676</v>
      </c>
      <c r="AC11" s="1039">
        <f t="shared" si="7"/>
        <v>-0.17044833333333353</v>
      </c>
      <c r="AD11" s="1011"/>
      <c r="AE11" s="985" t="s">
        <v>24</v>
      </c>
    </row>
    <row r="12" spans="1:31" ht="30" customHeight="1">
      <c r="A12" s="1002"/>
      <c r="B12" s="1416" t="s">
        <v>25</v>
      </c>
      <c r="C12" s="1417"/>
      <c r="D12" s="1040">
        <f>SUM(D13:D14)</f>
        <v>1088.9226571000002</v>
      </c>
      <c r="E12" s="1041">
        <f t="shared" si="8"/>
        <v>1191.12564088</v>
      </c>
      <c r="F12" s="1042">
        <f t="shared" si="9"/>
        <v>203.63670439999996</v>
      </c>
      <c r="G12" s="1043">
        <f t="shared" si="0"/>
        <v>246.45125989999997</v>
      </c>
      <c r="H12" s="1043">
        <f t="shared" si="1"/>
        <v>248.86353199999999</v>
      </c>
      <c r="I12" s="1044">
        <f t="shared" si="2"/>
        <v>2.412272100000024</v>
      </c>
      <c r="J12" s="1042">
        <f>SUM(J13:J14)</f>
        <v>76.029622799999999</v>
      </c>
      <c r="K12" s="1043">
        <f t="shared" ref="K12:AC12" si="13">SUM(K13:K14)</f>
        <v>71.643068</v>
      </c>
      <c r="L12" s="1043">
        <f t="shared" si="13"/>
        <v>71.637461600000009</v>
      </c>
      <c r="M12" s="1044">
        <f t="shared" si="13"/>
        <v>-5.6063999999973468E-3</v>
      </c>
      <c r="N12" s="1042">
        <f t="shared" si="13"/>
        <v>54.348993800000002</v>
      </c>
      <c r="O12" s="1043">
        <f t="shared" si="13"/>
        <v>90.822934399999994</v>
      </c>
      <c r="P12" s="1043">
        <f t="shared" si="13"/>
        <v>102.4636874</v>
      </c>
      <c r="Q12" s="1044">
        <f t="shared" si="13"/>
        <v>11.640752999999997</v>
      </c>
      <c r="R12" s="1042">
        <f t="shared" si="13"/>
        <v>73.258087799999998</v>
      </c>
      <c r="S12" s="1043">
        <f t="shared" si="13"/>
        <v>83.985257500000003</v>
      </c>
      <c r="T12" s="1043">
        <f t="shared" si="13"/>
        <v>74.762383</v>
      </c>
      <c r="U12" s="1044">
        <f t="shared" si="13"/>
        <v>-9.2228745000000032</v>
      </c>
      <c r="V12" s="1042">
        <f t="shared" si="13"/>
        <v>203.63670439999996</v>
      </c>
      <c r="W12" s="1043">
        <f t="shared" si="13"/>
        <v>246.45125989999997</v>
      </c>
      <c r="X12" s="1043">
        <f t="shared" si="13"/>
        <v>248.86353199999999</v>
      </c>
      <c r="Y12" s="1045">
        <f t="shared" si="13"/>
        <v>2.412272100000024</v>
      </c>
      <c r="Z12" s="1042">
        <f t="shared" si="13"/>
        <v>1089.9126570999999</v>
      </c>
      <c r="AA12" s="1043">
        <f t="shared" si="13"/>
        <v>1191.12564088</v>
      </c>
      <c r="AB12" s="1043">
        <f t="shared" si="13"/>
        <v>1193.5379129799999</v>
      </c>
      <c r="AC12" s="1045">
        <f t="shared" si="13"/>
        <v>2.4122720999999672</v>
      </c>
      <c r="AD12" s="1011"/>
    </row>
    <row r="13" spans="1:31" ht="30" customHeight="1">
      <c r="A13" s="1002"/>
      <c r="B13" s="1033"/>
      <c r="C13" s="1046" t="s">
        <v>26</v>
      </c>
      <c r="D13" s="1047">
        <v>1041.781864</v>
      </c>
      <c r="E13" s="1023">
        <f t="shared" si="8"/>
        <v>1143.4514922799999</v>
      </c>
      <c r="F13" s="1024">
        <f>SUMIFS('상세 자료 작성'!$I:$I,'상세 자료 작성'!$C:$C,'요약(보고)'!$C13,'상세 자료 작성'!$A:$A,'요약(보고)'!$AE$9,'상세 자료 작성'!$B:$B,'요약(보고)'!$F$4)/10^8</f>
        <v>189.048058</v>
      </c>
      <c r="G13" s="1025">
        <f>SUMIFS('상세 자료 작성'!$J:$J,'상세 자료 작성'!$C:$C,'요약(보고)'!$C13,'상세 자료 작성'!$A:$A,$AE$11,'상세 자료 작성'!$B:$B,'요약(보고)'!$F$4)/10^8</f>
        <v>238.3992585</v>
      </c>
      <c r="H13" s="1025">
        <f>SUMIFS('상세 자료 작성'!$K:$K,'상세 자료 작성'!$C:$C,'요약(보고)'!$C13,'상세 자료 작성'!$A:$A,$AE$11,'상세 자료 작성'!$B:$B,'요약(보고)'!$F$4)/10^8</f>
        <v>240.7224028</v>
      </c>
      <c r="I13" s="1026">
        <f>Y13</f>
        <v>2.323144300000024</v>
      </c>
      <c r="J13" s="1024">
        <f>SUMIFS('상세 자료 작성'!$I:$I,'상세 자료 작성'!$C:$C,'요약(보고)'!$C13,'상세 자료 작성'!$A:$A,'요약(보고)'!$AE$9,'상세 자료 작성'!$D:$D,$J$4)/10^8</f>
        <v>69.842788999999996</v>
      </c>
      <c r="K13" s="1025">
        <f>SUMIFS('상세 자료 작성'!$J:$J,'상세 자료 작성'!$C:$C,'요약(보고)'!$C13,'상세 자료 작성'!$A:$A,$AE$11,'상세 자료 작성'!$D:$D,'요약(보고)'!$J$4)/10^8</f>
        <v>68.990503000000004</v>
      </c>
      <c r="L13" s="1025">
        <f>SUMIFS('상세 자료 작성'!$K:$K,'상세 자료 작성'!$C:$C,'요약(보고)'!$C13,'상세 자료 작성'!$A:$A,$AE$11,'상세 자료 작성'!$D:$D,$J$4)/10^8</f>
        <v>69.064124000000007</v>
      </c>
      <c r="M13" s="1026">
        <f>L13-K13</f>
        <v>7.3621000000002823E-2</v>
      </c>
      <c r="N13" s="1024">
        <f>SUMIFS('상세 자료 작성'!$I:$I,'상세 자료 작성'!$C:$C,'요약(보고)'!$C13,'상세 자료 작성'!$A:$A,'요약(보고)'!$AE$9,'상세 자료 작성'!$D:$D,$N$4)/10^8</f>
        <v>49.969541</v>
      </c>
      <c r="O13" s="1025">
        <f>SUMIFS('상세 자료 작성'!$J:$J,'상세 자료 작성'!$C:$C,'요약(보고)'!$C13,'상세 자료 작성'!$A:$A,$AE$11,'상세 자료 작성'!$D:$D,$N$4)/10^8</f>
        <v>88.077117999999999</v>
      </c>
      <c r="P13" s="1025">
        <f>SUMIFS('상세 자료 작성'!$K:$K,'상세 자료 작성'!$C:$C,'요약(보고)'!$C13,'상세 자료 작성'!$A:$A,$AE$11,'상세 자료 작성'!$D:$D,$N$4)/10^8</f>
        <v>99.549515799999995</v>
      </c>
      <c r="Q13" s="1026">
        <f>P13-O13</f>
        <v>11.472397799999996</v>
      </c>
      <c r="R13" s="1024">
        <f>SUMIFS('상세 자료 작성'!$I:$I,'상세 자료 작성'!$C:$C,'요약(보고)'!$C13,'상세 자료 작성'!$A:$A,'요약(보고)'!$AE$9,'상세 자료 작성'!$D:$D,$R$4)/10^8</f>
        <v>69.235727999999995</v>
      </c>
      <c r="S13" s="1025">
        <f>SUMIFS('상세 자료 작성'!$J:$J,'상세 자료 작성'!$C:$C,'요약(보고)'!$C13,'상세 자료 작성'!$A:$A,$AE$11,'상세 자료 작성'!$D:$D,$R$4)/10^8</f>
        <v>81.331637499999999</v>
      </c>
      <c r="T13" s="1025">
        <f>SUMIFS('상세 자료 작성'!$K:$K,'상세 자료 작성'!$C:$C,'요약(보고)'!$C13,'상세 자료 작성'!$A:$A,$AE$11,'상세 자료 작성'!$D:$D,$R$4)/10^8</f>
        <v>72.108762999999996</v>
      </c>
      <c r="U13" s="1026">
        <f>T13-S13</f>
        <v>-9.2228745000000032</v>
      </c>
      <c r="V13" s="1027">
        <f>R13+J13+N13</f>
        <v>189.04805799999997</v>
      </c>
      <c r="W13" s="1028">
        <f>S13+K13+O13</f>
        <v>238.39925849999997</v>
      </c>
      <c r="X13" s="1028">
        <f>T13+L13+P13</f>
        <v>240.7224028</v>
      </c>
      <c r="Y13" s="1029">
        <f>X13-W13</f>
        <v>2.323144300000024</v>
      </c>
      <c r="Z13" s="1030">
        <f>SUMIFS('상세 자료 작성'!$I:$I,'상세 자료 작성'!$C:$C,'요약(보고)'!$C13,'상세 자료 작성'!$A:$A,'요약(보고)'!$AE$9)/10^8</f>
        <v>1041.781864</v>
      </c>
      <c r="AA13" s="1031">
        <f>SUMIFS('상세 자료 작성'!$J:$J,'상세 자료 작성'!$C:$C,'요약(보고)'!$C13,'상세 자료 작성'!$A:$A,'요약(보고)'!$AE$11)/10^8</f>
        <v>1143.4514922799999</v>
      </c>
      <c r="AB13" s="1032">
        <f>SUMIFS('상세 자료 작성'!$K:$K,'상세 자료 작성'!$C:$C,'요약(보고)'!$C13,'상세 자료 작성'!$A:$A,'요약(보고)'!$AE$11)/10^8</f>
        <v>1145.7746365799999</v>
      </c>
      <c r="AC13" s="1029">
        <f>AB13-AA13</f>
        <v>2.3231442999999672</v>
      </c>
      <c r="AD13" s="1011"/>
    </row>
    <row r="14" spans="1:31" ht="30" customHeight="1">
      <c r="A14" s="1002"/>
      <c r="B14" s="1033"/>
      <c r="C14" s="1048" t="s">
        <v>27</v>
      </c>
      <c r="D14" s="1049">
        <v>47.140793100000003</v>
      </c>
      <c r="E14" s="1036">
        <f t="shared" si="8"/>
        <v>47.674148600000002</v>
      </c>
      <c r="F14" s="1024">
        <f>SUMIFS('상세 자료 작성'!$I:$I,'상세 자료 작성'!$C:$C,'요약(보고)'!$C14,'상세 자료 작성'!$A:$A,'요약(보고)'!$AE$9,'상세 자료 작성'!$B:$B,'요약(보고)'!$F$4)/10^8</f>
        <v>14.5886464</v>
      </c>
      <c r="G14" s="1025">
        <f>SUMIFS('상세 자료 작성'!$J:$J,'상세 자료 작성'!$C:$C,'요약(보고)'!$C14,'상세 자료 작성'!$A:$A,$AE$11,'상세 자료 작성'!$B:$B,'요약(보고)'!$F$4)/10^8</f>
        <v>8.0520014</v>
      </c>
      <c r="H14" s="1025">
        <f>SUMIFS('상세 자료 작성'!$K:$K,'상세 자료 작성'!$C:$C,'요약(보고)'!$C14,'상세 자료 작성'!$A:$A,$AE$11,'상세 자료 작성'!$B:$B,'요약(보고)'!$F$4)/10^8</f>
        <v>8.1411292</v>
      </c>
      <c r="I14" s="1026">
        <f t="shared" si="2"/>
        <v>8.9127799999999979E-2</v>
      </c>
      <c r="J14" s="1024">
        <f>SUMIFS('상세 자료 작성'!$I:$I,'상세 자료 작성'!$C:$C,'요약(보고)'!$C14,'상세 자료 작성'!$A:$A,'요약(보고)'!$AE$9,'상세 자료 작성'!$D:$D,$J$4)/10^8</f>
        <v>6.1868337999999996</v>
      </c>
      <c r="K14" s="1025">
        <f>SUMIFS('상세 자료 작성'!$J:$J,'상세 자료 작성'!$C:$C,'요약(보고)'!$C14,'상세 자료 작성'!$A:$A,$AE$11,'상세 자료 작성'!$D:$D,'요약(보고)'!$J$4)/10^8</f>
        <v>2.6525650000000001</v>
      </c>
      <c r="L14" s="1025">
        <f>SUMIFS('상세 자료 작성'!$K:$K,'상세 자료 작성'!$C:$C,'요약(보고)'!$C14,'상세 자료 작성'!$A:$A,$AE$11,'상세 자료 작성'!$D:$D,$J$4)/10^8</f>
        <v>2.5733375999999999</v>
      </c>
      <c r="M14" s="1026">
        <f t="shared" si="3"/>
        <v>-7.922740000000017E-2</v>
      </c>
      <c r="N14" s="1024">
        <f>SUMIFS('상세 자료 작성'!$I:$I,'상세 자료 작성'!$C:$C,'요약(보고)'!$C14,'상세 자료 작성'!$A:$A,'요약(보고)'!$AE$9,'상세 자료 작성'!$D:$D,$N$4)/10^8</f>
        <v>4.3794528000000001</v>
      </c>
      <c r="O14" s="1025">
        <f>SUMIFS('상세 자료 작성'!$J:$J,'상세 자료 작성'!$C:$C,'요약(보고)'!$C14,'상세 자료 작성'!$A:$A,$AE$11,'상세 자료 작성'!$D:$D,$N$4)/10^8</f>
        <v>2.7458163999999998</v>
      </c>
      <c r="P14" s="1025">
        <f>SUMIFS('상세 자료 작성'!$K:$K,'상세 자료 작성'!$C:$C,'요약(보고)'!$C14,'상세 자료 작성'!$A:$A,$AE$11,'상세 자료 작성'!$D:$D,$N$4)/10^8</f>
        <v>2.9141716</v>
      </c>
      <c r="Q14" s="1026">
        <f t="shared" si="4"/>
        <v>0.16835520000000015</v>
      </c>
      <c r="R14" s="1024">
        <f>SUMIFS('상세 자료 작성'!$I:$I,'상세 자료 작성'!$C:$C,'요약(보고)'!$C14,'상세 자료 작성'!$A:$A,'요약(보고)'!$AE$9,'상세 자료 작성'!$D:$D,$R$4)/10^8</f>
        <v>4.0223598000000003</v>
      </c>
      <c r="S14" s="1025">
        <f>SUMIFS('상세 자료 작성'!$J:$J,'상세 자료 작성'!$C:$C,'요약(보고)'!$C14,'상세 자료 작성'!$A:$A,$AE$11,'상세 자료 작성'!$D:$D,$R$4)/10^8</f>
        <v>2.6536200000000001</v>
      </c>
      <c r="T14" s="1025">
        <f>SUMIFS('상세 자료 작성'!$K:$K,'상세 자료 작성'!$C:$C,'요약(보고)'!$C14,'상세 자료 작성'!$A:$A,$AE$11,'상세 자료 작성'!$D:$D,$R$4)/10^8</f>
        <v>2.6536200000000001</v>
      </c>
      <c r="U14" s="1026">
        <f t="shared" si="5"/>
        <v>0</v>
      </c>
      <c r="V14" s="1027">
        <f t="shared" ref="V14" si="14">R14+J14+N14</f>
        <v>14.588646399999998</v>
      </c>
      <c r="W14" s="1028">
        <f t="shared" ref="W14" si="15">S14+K14+O14</f>
        <v>8.0520014</v>
      </c>
      <c r="X14" s="1028">
        <f t="shared" ref="X14" si="16">T14+L14+P14</f>
        <v>8.1411292</v>
      </c>
      <c r="Y14" s="1029">
        <f t="shared" si="6"/>
        <v>8.9127799999999979E-2</v>
      </c>
      <c r="Z14" s="1030">
        <f>SUMIFS('상세 자료 작성'!$I:$I,'상세 자료 작성'!$C:$C,'요약(보고)'!$C14,'상세 자료 작성'!$A:$A,'요약(보고)'!$AE$9)/10^8</f>
        <v>48.130793099999998</v>
      </c>
      <c r="AA14" s="1031">
        <f>SUMIFS('상세 자료 작성'!$J:$J,'상세 자료 작성'!$C:$C,'요약(보고)'!$C14,'상세 자료 작성'!$A:$A,'요약(보고)'!$AE$11)/10^8</f>
        <v>47.674148600000002</v>
      </c>
      <c r="AB14" s="1032">
        <f>SUMIFS('상세 자료 작성'!$K:$K,'상세 자료 작성'!$C:$C,'요약(보고)'!$C14,'상세 자료 작성'!$A:$A,'요약(보고)'!$AE$11)/10^8</f>
        <v>47.763276400000002</v>
      </c>
      <c r="AC14" s="1029">
        <f t="shared" si="7"/>
        <v>8.9127799999999979E-2</v>
      </c>
      <c r="AD14" s="1011"/>
    </row>
    <row r="15" spans="1:31" ht="30" customHeight="1">
      <c r="A15" s="1002"/>
      <c r="B15" s="1416" t="s">
        <v>28</v>
      </c>
      <c r="C15" s="1417"/>
      <c r="D15" s="1040">
        <f>SUM(D16:D19)</f>
        <v>150.78896467999999</v>
      </c>
      <c r="E15" s="1041">
        <f t="shared" si="8"/>
        <v>196.94524999999999</v>
      </c>
      <c r="F15" s="1050">
        <f t="shared" si="9"/>
        <v>53.882818460000003</v>
      </c>
      <c r="G15" s="1051">
        <f t="shared" si="0"/>
        <v>41.802</v>
      </c>
      <c r="H15" s="1043">
        <f t="shared" si="1"/>
        <v>39.539018480000003</v>
      </c>
      <c r="I15" s="1044">
        <f t="shared" si="2"/>
        <v>-2.2629815199999976</v>
      </c>
      <c r="J15" s="1042">
        <f t="shared" ref="J15:AC15" si="17">SUM(J16:J19)</f>
        <v>33.79967061</v>
      </c>
      <c r="K15" s="1043">
        <f t="shared" si="17"/>
        <v>26.003250000000001</v>
      </c>
      <c r="L15" s="1051">
        <f t="shared" si="17"/>
        <v>27.05026848</v>
      </c>
      <c r="M15" s="1044">
        <f t="shared" si="17"/>
        <v>1.0470184799999975</v>
      </c>
      <c r="N15" s="1042">
        <f t="shared" si="17"/>
        <v>0.65816414000000001</v>
      </c>
      <c r="O15" s="1043">
        <f t="shared" si="17"/>
        <v>4.6475</v>
      </c>
      <c r="P15" s="1043">
        <f t="shared" si="17"/>
        <v>4.0175000000000001</v>
      </c>
      <c r="Q15" s="1044">
        <f t="shared" si="17"/>
        <v>-0.62999999999999989</v>
      </c>
      <c r="R15" s="1042">
        <f t="shared" si="17"/>
        <v>19.424983709999996</v>
      </c>
      <c r="S15" s="1043">
        <f t="shared" si="17"/>
        <v>11.151249999999999</v>
      </c>
      <c r="T15" s="1043">
        <f t="shared" si="17"/>
        <v>8.4712499999999995</v>
      </c>
      <c r="U15" s="1044">
        <f t="shared" si="17"/>
        <v>-2.6799999999999997</v>
      </c>
      <c r="V15" s="1042">
        <f t="shared" si="17"/>
        <v>53.882818460000003</v>
      </c>
      <c r="W15" s="1043">
        <f t="shared" si="17"/>
        <v>41.802</v>
      </c>
      <c r="X15" s="1043">
        <f t="shared" si="17"/>
        <v>39.539018480000003</v>
      </c>
      <c r="Y15" s="1045">
        <f t="shared" si="17"/>
        <v>-2.2629815199999976</v>
      </c>
      <c r="Z15" s="1042">
        <f t="shared" si="17"/>
        <v>150.10923453999999</v>
      </c>
      <c r="AA15" s="1043">
        <f t="shared" si="17"/>
        <v>196.94524999999999</v>
      </c>
      <c r="AB15" s="1043">
        <f t="shared" si="17"/>
        <v>194.68226847999998</v>
      </c>
      <c r="AC15" s="1045">
        <f t="shared" si="17"/>
        <v>-2.2629815200000047</v>
      </c>
      <c r="AD15" s="1011"/>
    </row>
    <row r="16" spans="1:31" ht="30" customHeight="1">
      <c r="A16" s="1002"/>
      <c r="B16" s="1052"/>
      <c r="C16" s="1053" t="s">
        <v>29</v>
      </c>
      <c r="D16" s="1054">
        <v>116.21934745</v>
      </c>
      <c r="E16" s="1055">
        <f t="shared" si="8"/>
        <v>179.7765</v>
      </c>
      <c r="F16" s="1056">
        <f>SUMIFS('상세 자료 작성'!$I:$I,'상세 자료 작성'!$C:$C,'요약(보고)'!$C16,'상세 자료 작성'!$A:$A,'요약(보고)'!$AE$9,'상세 자료 작성'!$B:$B,'요약(보고)'!$F$4)/10^8</f>
        <v>42.274860109999999</v>
      </c>
      <c r="G16" s="1057">
        <f>SUMIFS('상세 자료 작성'!$J:$J,'상세 자료 작성'!$C:$C,'요약(보고)'!$C16,'상세 자료 작성'!$A:$A,$AE$11,'상세 자료 작성'!$B:$B,'요약(보고)'!$F$4)/10^8</f>
        <v>35.326999999999998</v>
      </c>
      <c r="H16" s="1057">
        <f>SUMIFS('상세 자료 작성'!$K:$K,'상세 자료 작성'!$C:$C,'요약(보고)'!$C16,'상세 자료 작성'!$A:$A,$AE$11,'상세 자료 작성'!$B:$B,'요약(보고)'!$F$4)/10^8</f>
        <v>32.328658040000001</v>
      </c>
      <c r="I16" s="1026">
        <f>Y16</f>
        <v>-2.9983419599999976</v>
      </c>
      <c r="J16" s="1058">
        <f>SUMIFS('상세 자료 작성'!$I:$I,'상세 자료 작성'!$C:$C,'요약(보고)'!$C16,'상세 자료 작성'!$A:$A,'요약(보고)'!$AE$9,'상세 자료 작성'!$D:$D,$J$4)/10^8</f>
        <v>29.878953370000001</v>
      </c>
      <c r="K16" s="1059">
        <f>SUMIFS('상세 자료 작성'!$J:$J,'상세 자료 작성'!$C:$C,'요약(보고)'!$C16,'상세 자료 작성'!$A:$A,$AE$11,'상세 자료 작성'!$D:$D,'요약(보고)'!$J$4)/10^8</f>
        <v>24.597000000000001</v>
      </c>
      <c r="L16" s="1059">
        <f>SUMIFS('상세 자료 작성'!$K:$K,'상세 자료 작성'!$C:$C,'요약(보고)'!$C16,'상세 자료 작성'!$A:$A,$AE$11,'상세 자료 작성'!$D:$D,$J$4)/10^8</f>
        <v>24.908658039999999</v>
      </c>
      <c r="M16" s="1026">
        <f>L16-K16</f>
        <v>0.31165803999999753</v>
      </c>
      <c r="N16" s="1056">
        <f>SUMIFS('상세 자료 작성'!$I:$I,'상세 자료 작성'!$C:$C,'요약(보고)'!$C16,'상세 자료 작성'!$A:$A,'요약(보고)'!$AE$9,'상세 자료 작성'!$D:$D,$N$4)/10^8</f>
        <v>0.26295337000000002</v>
      </c>
      <c r="O16" s="1059">
        <f>SUMIFS('상세 자료 작성'!$J:$J,'상세 자료 작성'!$C:$C,'요약(보고)'!$C16,'상세 자료 작성'!$A:$A,$AE$11,'상세 자료 작성'!$D:$D,$N$4)/10^8</f>
        <v>3.71</v>
      </c>
      <c r="P16" s="1059">
        <f>SUMIFS('상세 자료 작성'!$K:$K,'상세 자료 작성'!$C:$C,'요약(보고)'!$C16,'상세 자료 작성'!$A:$A,$AE$11,'상세 자료 작성'!$D:$D,$N$4)/10^8</f>
        <v>3.08</v>
      </c>
      <c r="Q16" s="1026">
        <f>P16-O16</f>
        <v>-0.62999999999999989</v>
      </c>
      <c r="R16" s="1058">
        <f>SUMIFS('상세 자료 작성'!$I:$I,'상세 자료 작성'!$C:$C,'요약(보고)'!$C16,'상세 자료 작성'!$A:$A,'요약(보고)'!$AE$9,'상세 자료 작성'!$D:$D,$R$4)/10^8</f>
        <v>12.132953369999999</v>
      </c>
      <c r="S16" s="1059">
        <f>SUMIFS('상세 자료 작성'!$J:$J,'상세 자료 작성'!$C:$C,'요약(보고)'!$C16,'상세 자료 작성'!$A:$A,$AE$11,'상세 자료 작성'!$D:$D,$R$4)/10^8</f>
        <v>7.02</v>
      </c>
      <c r="T16" s="1059">
        <f>SUMIFS('상세 자료 작성'!$K:$K,'상세 자료 작성'!$C:$C,'요약(보고)'!$C16,'상세 자료 작성'!$A:$A,$AE$11,'상세 자료 작성'!$D:$D,$R$4)/10^8</f>
        <v>4.34</v>
      </c>
      <c r="U16" s="1026">
        <f>T16-S16</f>
        <v>-2.6799999999999997</v>
      </c>
      <c r="V16" s="1030">
        <f>R16+J16+N16</f>
        <v>42.274860109999999</v>
      </c>
      <c r="W16" s="1031">
        <f>S16+K16+O16</f>
        <v>35.326999999999998</v>
      </c>
      <c r="X16" s="1028">
        <f>T16+L16+P16</f>
        <v>32.328658040000001</v>
      </c>
      <c r="Y16" s="1060">
        <f>X16-W16</f>
        <v>-2.9983419599999976</v>
      </c>
      <c r="Z16" s="1030">
        <f>SUMIFS('상세 자료 작성'!$I:$I,'상세 자료 작성'!$C:$C,'요약(보고)'!$C16,'상세 자료 작성'!$A:$A,'요약(보고)'!$AE$9)/10^8</f>
        <v>116.73361731</v>
      </c>
      <c r="AA16" s="1031">
        <f>SUMIFS('상세 자료 작성'!$J:$J,'상세 자료 작성'!$C:$C,'요약(보고)'!$C16,'상세 자료 작성'!$A:$A,'요약(보고)'!$AE$11)/10^8</f>
        <v>179.7765</v>
      </c>
      <c r="AB16" s="1028">
        <f>SUMIFS('상세 자료 작성'!$K:$K,'상세 자료 작성'!$C:$C,'요약(보고)'!$C16,'상세 자료 작성'!$A:$A,'요약(보고)'!$AE$11)/10^8</f>
        <v>176.77815803999999</v>
      </c>
      <c r="AC16" s="1060">
        <f>AB16-AA16</f>
        <v>-2.9983419600000047</v>
      </c>
      <c r="AD16" s="1011"/>
    </row>
    <row r="17" spans="1:30" ht="30" customHeight="1">
      <c r="A17" s="1002"/>
      <c r="B17" s="1052"/>
      <c r="C17" s="1053" t="s">
        <v>30</v>
      </c>
      <c r="D17" s="1054">
        <v>14.123749999999999</v>
      </c>
      <c r="E17" s="1055">
        <f t="shared" si="8"/>
        <v>9.1999999999999993</v>
      </c>
      <c r="F17" s="1056">
        <f>SUMIFS('상세 자료 작성'!$I:$I,'상세 자료 작성'!$C:$C,'요약(보고)'!$C17,'상세 자료 작성'!$A:$A,'요약(보고)'!$AE$9,'상세 자료 작성'!$B:$B,'요약(보고)'!$F$4)/10^8</f>
        <v>3.66</v>
      </c>
      <c r="G17" s="1057">
        <f>SUMIFS('상세 자료 작성'!$J:$J,'상세 자료 작성'!$C:$C,'요약(보고)'!$C17,'상세 자료 작성'!$A:$A,$AE$11,'상세 자료 작성'!$B:$B,'요약(보고)'!$F$4)/10^8</f>
        <v>1.7875000000000001</v>
      </c>
      <c r="H17" s="1057">
        <f>SUMIFS('상세 자료 작성'!$K:$K,'상세 자료 작성'!$C:$C,'요약(보고)'!$C17,'상세 자료 작성'!$A:$A,$AE$11,'상세 자료 작성'!$B:$B,'요약(보고)'!$F$4)/10^8</f>
        <v>1.7875000000000001</v>
      </c>
      <c r="I17" s="1026">
        <f t="shared" si="2"/>
        <v>0</v>
      </c>
      <c r="J17" s="1058">
        <f>SUMIFS('상세 자료 작성'!$I:$I,'상세 자료 작성'!$C:$C,'요약(보고)'!$C17,'상세 자료 작성'!$A:$A,'요약(보고)'!$AE$9,'상세 자료 작성'!$D:$D,$J$4)/10^8</f>
        <v>0</v>
      </c>
      <c r="K17" s="1059">
        <f>SUMIFS('상세 자료 작성'!$J:$J,'상세 자료 작성'!$C:$C,'요약(보고)'!$C17,'상세 자료 작성'!$A:$A,$AE$11,'상세 자료 작성'!$D:$D,'요약(보고)'!$J$4)/10^8</f>
        <v>0</v>
      </c>
      <c r="L17" s="1059">
        <f>SUMIFS('상세 자료 작성'!$K:$K,'상세 자료 작성'!$C:$C,'요약(보고)'!$C17,'상세 자료 작성'!$A:$A,$AE$11,'상세 자료 작성'!$D:$D,$J$4)/10^8</f>
        <v>0</v>
      </c>
      <c r="M17" s="1026">
        <f t="shared" si="3"/>
        <v>0</v>
      </c>
      <c r="N17" s="1056">
        <f>SUMIFS('상세 자료 작성'!$I:$I,'상세 자료 작성'!$C:$C,'요약(보고)'!$C17,'상세 자료 작성'!$A:$A,'요약(보고)'!$AE$9,'상세 자료 작성'!$D:$D,$N$4)/10^8</f>
        <v>0</v>
      </c>
      <c r="O17" s="1059">
        <f>SUMIFS('상세 자료 작성'!$J:$J,'상세 자료 작성'!$C:$C,'요약(보고)'!$C17,'상세 자료 작성'!$A:$A,$AE$11,'상세 자료 작성'!$D:$D,$N$4)/10^8</f>
        <v>0.46875</v>
      </c>
      <c r="P17" s="1059">
        <f>SUMIFS('상세 자료 작성'!$K:$K,'상세 자료 작성'!$C:$C,'요약(보고)'!$C17,'상세 자료 작성'!$A:$A,$AE$11,'상세 자료 작성'!$D:$D,$N$4)/10^8</f>
        <v>0.46875</v>
      </c>
      <c r="Q17" s="1026">
        <f t="shared" si="4"/>
        <v>0</v>
      </c>
      <c r="R17" s="1058">
        <f>SUMIFS('상세 자료 작성'!$I:$I,'상세 자료 작성'!$C:$C,'요약(보고)'!$C17,'상세 자료 작성'!$A:$A,'요약(보고)'!$AE$9,'상세 자료 작성'!$D:$D,$R$4)/10^8</f>
        <v>3.66</v>
      </c>
      <c r="S17" s="1059">
        <f>SUMIFS('상세 자료 작성'!$J:$J,'상세 자료 작성'!$C:$C,'요약(보고)'!$C17,'상세 자료 작성'!$A:$A,$AE$11,'상세 자료 작성'!$D:$D,$R$4)/10^8</f>
        <v>1.3187500000000001</v>
      </c>
      <c r="T17" s="1059">
        <f>SUMIFS('상세 자료 작성'!$K:$K,'상세 자료 작성'!$C:$C,'요약(보고)'!$C17,'상세 자료 작성'!$A:$A,$AE$11,'상세 자료 작성'!$D:$D,$R$4)/10^8</f>
        <v>1.3187500000000001</v>
      </c>
      <c r="U17" s="1026">
        <f t="shared" si="5"/>
        <v>0</v>
      </c>
      <c r="V17" s="1030">
        <f t="shared" ref="V17:V19" si="18">R17+J17+N17</f>
        <v>3.66</v>
      </c>
      <c r="W17" s="1031">
        <f t="shared" ref="W17:W19" si="19">S17+K17+O17</f>
        <v>1.7875000000000001</v>
      </c>
      <c r="X17" s="1028">
        <f t="shared" ref="X17:X19" si="20">T17+L17+P17</f>
        <v>1.7875000000000001</v>
      </c>
      <c r="Y17" s="1060">
        <f t="shared" si="6"/>
        <v>0</v>
      </c>
      <c r="Z17" s="1030">
        <f>SUMIFS('상세 자료 작성'!$I:$I,'상세 자료 작성'!$C:$C,'요약(보고)'!$C17,'상세 자료 작성'!$A:$A,'요약(보고)'!$AE$9)/10^8</f>
        <v>14.123749999999999</v>
      </c>
      <c r="AA17" s="1031">
        <f>SUMIFS('상세 자료 작성'!$J:$J,'상세 자료 작성'!$C:$C,'요약(보고)'!$C17,'상세 자료 작성'!$A:$A,'요약(보고)'!$AE$11)/10^8</f>
        <v>9.1999999999999993</v>
      </c>
      <c r="AB17" s="1028">
        <f>SUMIFS('상세 자료 작성'!$K:$K,'상세 자료 작성'!$C:$C,'요약(보고)'!$C17,'상세 자료 작성'!$A:$A,'요약(보고)'!$AE$11)/10^8</f>
        <v>9.1999999999999993</v>
      </c>
      <c r="AC17" s="1060">
        <f t="shared" si="7"/>
        <v>0</v>
      </c>
      <c r="AD17" s="1011"/>
    </row>
    <row r="18" spans="1:30" ht="30" customHeight="1">
      <c r="A18" s="1002"/>
      <c r="B18" s="1052"/>
      <c r="C18" s="1061" t="s">
        <v>31</v>
      </c>
      <c r="D18" s="1062">
        <v>13.01566674</v>
      </c>
      <c r="E18" s="1063">
        <f t="shared" si="8"/>
        <v>7.96875</v>
      </c>
      <c r="F18" s="1056">
        <f>SUMIFS('상세 자료 작성'!$I:$I,'상세 자료 작성'!$C:$C,'요약(보고)'!$C18,'상세 자료 작성'!$A:$A,'요약(보고)'!$AE$9,'상세 자료 작성'!$B:$B,'요약(보고)'!$F$4)/10^8</f>
        <v>5.2999166799999999</v>
      </c>
      <c r="G18" s="1057">
        <f>SUMIFS('상세 자료 작성'!$J:$J,'상세 자료 작성'!$C:$C,'요약(보고)'!$C18,'상세 자료 작성'!$A:$A,$AE$11,'상세 자료 작성'!$B:$B,'요약(보고)'!$F$4)/10^8</f>
        <v>4.6875</v>
      </c>
      <c r="H18" s="1057">
        <f>SUMIFS('상세 자료 작성'!$K:$K,'상세 자료 작성'!$C:$C,'요약(보고)'!$C18,'상세 자료 작성'!$A:$A,$AE$11,'상세 자료 작성'!$B:$B,'요약(보고)'!$F$4)/10^8</f>
        <v>5.0495833399999999</v>
      </c>
      <c r="I18" s="1026">
        <f t="shared" si="2"/>
        <v>0.36208333999999986</v>
      </c>
      <c r="J18" s="1058">
        <f>SUMIFS('상세 자료 작성'!$I:$I,'상세 자료 작성'!$C:$C,'요약(보고)'!$C18,'상세 자료 작성'!$A:$A,'요약(보고)'!$AE$9,'상세 자료 작성'!$D:$D,$J$4)/10^8</f>
        <v>2.7467916699999999</v>
      </c>
      <c r="K18" s="1059">
        <f>SUMIFS('상세 자료 작성'!$J:$J,'상세 자료 작성'!$C:$C,'요약(보고)'!$C18,'상세 자료 작성'!$A:$A,$AE$11,'상세 자료 작성'!$D:$D,'요약(보고)'!$J$4)/10^8</f>
        <v>1.40625</v>
      </c>
      <c r="L18" s="1059">
        <f>SUMIFS('상세 자료 작성'!$K:$K,'상세 자료 작성'!$C:$C,'요약(보고)'!$C18,'상세 자료 작성'!$A:$A,$AE$11,'상세 자료 작성'!$D:$D,$J$4)/10^8</f>
        <v>1.7683333400000001</v>
      </c>
      <c r="M18" s="1026">
        <f t="shared" si="3"/>
        <v>0.36208334000000009</v>
      </c>
      <c r="N18" s="1056">
        <f>SUMIFS('상세 자료 작성'!$I:$I,'상세 자료 작성'!$C:$C,'요약(보고)'!$C18,'상세 자료 작성'!$A:$A,'요약(보고)'!$AE$9,'상세 자료 작성'!$D:$D,$N$4)/10^8</f>
        <v>0.31604167</v>
      </c>
      <c r="O18" s="1059">
        <f>SUMIFS('상세 자료 작성'!$J:$J,'상세 자료 작성'!$C:$C,'요약(보고)'!$C18,'상세 자료 작성'!$A:$A,$AE$11,'상세 자료 작성'!$D:$D,$N$4)/10^8</f>
        <v>0.46875</v>
      </c>
      <c r="P18" s="1059">
        <f>SUMIFS('상세 자료 작성'!$K:$K,'상세 자료 작성'!$C:$C,'요약(보고)'!$C18,'상세 자료 작성'!$A:$A,$AE$11,'상세 자료 작성'!$D:$D,$N$4)/10^8</f>
        <v>0.46875</v>
      </c>
      <c r="Q18" s="1026">
        <f t="shared" si="4"/>
        <v>0</v>
      </c>
      <c r="R18" s="1058">
        <f>SUMIFS('상세 자료 작성'!$I:$I,'상세 자료 작성'!$C:$C,'요약(보고)'!$C18,'상세 자료 작성'!$A:$A,'요약(보고)'!$AE$9,'상세 자료 작성'!$D:$D,$R$4)/10^8</f>
        <v>2.2370833399999999</v>
      </c>
      <c r="S18" s="1059">
        <f>SUMIFS('상세 자료 작성'!$J:$J,'상세 자료 작성'!$C:$C,'요약(보고)'!$C18,'상세 자료 작성'!$A:$A,$AE$11,'상세 자료 작성'!$D:$D,$R$4)/10^8</f>
        <v>2.8125</v>
      </c>
      <c r="T18" s="1059">
        <f>SUMIFS('상세 자료 작성'!$K:$K,'상세 자료 작성'!$C:$C,'요약(보고)'!$C18,'상세 자료 작성'!$A:$A,$AE$11,'상세 자료 작성'!$D:$D,$R$4)/10^8</f>
        <v>2.8125</v>
      </c>
      <c r="U18" s="1026">
        <f t="shared" si="5"/>
        <v>0</v>
      </c>
      <c r="V18" s="1030">
        <f t="shared" si="18"/>
        <v>5.2999166799999999</v>
      </c>
      <c r="W18" s="1031">
        <f t="shared" si="19"/>
        <v>4.6875</v>
      </c>
      <c r="X18" s="1028">
        <f t="shared" si="20"/>
        <v>5.0495833399999999</v>
      </c>
      <c r="Y18" s="1060">
        <f t="shared" si="6"/>
        <v>0.36208333999999986</v>
      </c>
      <c r="Z18" s="1030">
        <f>SUMIFS('상세 자료 작성'!$I:$I,'상세 자료 작성'!$C:$C,'요약(보고)'!$C18,'상세 자료 작성'!$A:$A,'요약(보고)'!$AE$9)/10^8</f>
        <v>12.81166674</v>
      </c>
      <c r="AA18" s="1031">
        <f>SUMIFS('상세 자료 작성'!$J:$J,'상세 자료 작성'!$C:$C,'요약(보고)'!$C18,'상세 자료 작성'!$A:$A,'요약(보고)'!$AE$11)/10^8</f>
        <v>7.96875</v>
      </c>
      <c r="AB18" s="1028">
        <f>SUMIFS('상세 자료 작성'!$K:$K,'상세 자료 작성'!$C:$C,'요약(보고)'!$C18,'상세 자료 작성'!$A:$A,'요약(보고)'!$AE$11)/10^8</f>
        <v>8.3308333399999999</v>
      </c>
      <c r="AC18" s="1060">
        <f t="shared" si="7"/>
        <v>0.36208333999999986</v>
      </c>
      <c r="AD18" s="1011"/>
    </row>
    <row r="19" spans="1:30" ht="30" customHeight="1">
      <c r="A19" s="1002"/>
      <c r="B19" s="1064"/>
      <c r="C19" s="1065" t="s">
        <v>32</v>
      </c>
      <c r="D19" s="1066">
        <v>7.4302004899999998</v>
      </c>
      <c r="E19" s="1067">
        <f t="shared" si="8"/>
        <v>0</v>
      </c>
      <c r="F19" s="1068">
        <f>SUMIFS('상세 자료 작성'!$I:$I,'상세 자료 작성'!$C:$C,'요약(보고)'!$C19,'상세 자료 작성'!$A:$A,'요약(보고)'!$AE$9,'상세 자료 작성'!$B:$B,'요약(보고)'!$F$4)/10^8</f>
        <v>2.64804167</v>
      </c>
      <c r="G19" s="1069">
        <f>SUMIFS('상세 자료 작성'!$J:$J,'상세 자료 작성'!$C:$C,'요약(보고)'!$C19,'상세 자료 작성'!$A:$A,$AE$11,'상세 자료 작성'!$B:$B,'요약(보고)'!$F$4)/10^8</f>
        <v>0</v>
      </c>
      <c r="H19" s="1069">
        <f>SUMIFS('상세 자료 작성'!$K:$K,'상세 자료 작성'!$C:$C,'요약(보고)'!$C19,'상세 자료 작성'!$A:$A,$AE$11,'상세 자료 작성'!$B:$B,'요약(보고)'!$F$4)/10^8</f>
        <v>0.37327709999999997</v>
      </c>
      <c r="I19" s="1070">
        <f t="shared" si="2"/>
        <v>0.37327709999999997</v>
      </c>
      <c r="J19" s="1071">
        <f>SUMIFS('상세 자료 작성'!$I:$I,'상세 자료 작성'!$C:$C,'요약(보고)'!$C19,'상세 자료 작성'!$A:$A,'요약(보고)'!$AE$9,'상세 자료 작성'!$D:$D,$J$4)/10^8</f>
        <v>1.17392557</v>
      </c>
      <c r="K19" s="1072">
        <f>SUMIFS('상세 자료 작성'!$J:$J,'상세 자료 작성'!$C:$C,'요약(보고)'!$C19,'상세 자료 작성'!$A:$A,$AE$11,'상세 자료 작성'!$D:$D,'요약(보고)'!$J$4)/10^8</f>
        <v>0</v>
      </c>
      <c r="L19" s="1072">
        <f>SUMIFS('상세 자료 작성'!$K:$K,'상세 자료 작성'!$C:$C,'요약(보고)'!$C19,'상세 자료 작성'!$A:$A,$AE$11,'상세 자료 작성'!$D:$D,$J$4)/10^8</f>
        <v>0.37327709999999997</v>
      </c>
      <c r="M19" s="1070">
        <f t="shared" si="3"/>
        <v>0.37327709999999997</v>
      </c>
      <c r="N19" s="1068">
        <f>SUMIFS('상세 자료 작성'!$I:$I,'상세 자료 작성'!$C:$C,'요약(보고)'!$C19,'상세 자료 작성'!$A:$A,'요약(보고)'!$AE$9,'상세 자료 작성'!$D:$D,$N$4)/10^8</f>
        <v>7.9169100000000006E-2</v>
      </c>
      <c r="O19" s="1072">
        <f>SUMIFS('상세 자료 작성'!$J:$J,'상세 자료 작성'!$C:$C,'요약(보고)'!$C19,'상세 자료 작성'!$A:$A,$AE$11,'상세 자료 작성'!$D:$D,$N$4)/10^8</f>
        <v>0</v>
      </c>
      <c r="P19" s="1072">
        <f>SUMIFS('상세 자료 작성'!$K:$K,'상세 자료 작성'!$C:$C,'요약(보고)'!$C19,'상세 자료 작성'!$A:$A,$AE$11,'상세 자료 작성'!$D:$D,$N$4)/10^8</f>
        <v>0</v>
      </c>
      <c r="Q19" s="1070">
        <f t="shared" si="4"/>
        <v>0</v>
      </c>
      <c r="R19" s="1071">
        <f>SUMIFS('상세 자료 작성'!$I:$I,'상세 자료 작성'!$C:$C,'요약(보고)'!$C19,'상세 자료 작성'!$A:$A,'요약(보고)'!$AE$9,'상세 자료 작성'!$D:$D,$R$4)/10^8</f>
        <v>1.3949469999999999</v>
      </c>
      <c r="S19" s="1072">
        <f>SUMIFS('상세 자료 작성'!$J:$J,'상세 자료 작성'!$C:$C,'요약(보고)'!$C19,'상세 자료 작성'!$A:$A,$AE$11,'상세 자료 작성'!$D:$D,$R$4)/10^8</f>
        <v>0</v>
      </c>
      <c r="T19" s="1072">
        <f>SUMIFS('상세 자료 작성'!$K:$K,'상세 자료 작성'!$C:$C,'요약(보고)'!$C19,'상세 자료 작성'!$A:$A,$AE$11,'상세 자료 작성'!$D:$D,$R$4)/10^8</f>
        <v>0</v>
      </c>
      <c r="U19" s="1070">
        <f t="shared" si="5"/>
        <v>0</v>
      </c>
      <c r="V19" s="1073">
        <f t="shared" si="18"/>
        <v>2.64804167</v>
      </c>
      <c r="W19" s="1074">
        <f t="shared" si="19"/>
        <v>0</v>
      </c>
      <c r="X19" s="1075">
        <f t="shared" si="20"/>
        <v>0.37327709999999997</v>
      </c>
      <c r="Y19" s="1076">
        <f t="shared" si="6"/>
        <v>0.37327709999999997</v>
      </c>
      <c r="Z19" s="1073">
        <f>SUMIFS('상세 자료 작성'!$I:$I,'상세 자료 작성'!$C:$C,'요약(보고)'!$C19,'상세 자료 작성'!$A:$A,'요약(보고)'!$AE$9)/10^8</f>
        <v>6.4402004899999996</v>
      </c>
      <c r="AA19" s="1074">
        <f>SUMIFS('상세 자료 작성'!$J:$J,'상세 자료 작성'!$C:$C,'요약(보고)'!$C19,'상세 자료 작성'!$A:$A,'요약(보고)'!$AE$11)/10^8</f>
        <v>0</v>
      </c>
      <c r="AB19" s="1075">
        <f>SUMIFS('상세 자료 작성'!$K:$K,'상세 자료 작성'!$C:$C,'요약(보고)'!$C19,'상세 자료 작성'!$A:$A,'요약(보고)'!$AE$11)/10^8</f>
        <v>0.37327709999999997</v>
      </c>
      <c r="AC19" s="1076">
        <f t="shared" si="7"/>
        <v>0.37327709999999997</v>
      </c>
      <c r="AD19" s="1011"/>
    </row>
    <row r="20" spans="1:30" ht="30.6" hidden="1" customHeight="1" thickBot="1">
      <c r="A20" s="1002"/>
      <c r="B20" s="1448" t="s">
        <v>33</v>
      </c>
      <c r="C20" s="1449"/>
      <c r="D20" s="1077">
        <f t="shared" ref="D20:Y20" si="21">SUM(D21:D23)</f>
        <v>0</v>
      </c>
      <c r="E20" s="1078">
        <f t="shared" si="21"/>
        <v>3392.2517261648945</v>
      </c>
      <c r="F20" s="1079">
        <f t="shared" si="21"/>
        <v>0</v>
      </c>
      <c r="G20" s="1080">
        <f t="shared" si="21"/>
        <v>672.24236946487065</v>
      </c>
      <c r="H20" s="1080">
        <f t="shared" si="21"/>
        <v>672.24236946487065</v>
      </c>
      <c r="I20" s="1081">
        <f t="shared" si="21"/>
        <v>0</v>
      </c>
      <c r="J20" s="1079">
        <f t="shared" si="21"/>
        <v>0</v>
      </c>
      <c r="K20" s="1080">
        <f t="shared" si="21"/>
        <v>236.81199082718717</v>
      </c>
      <c r="L20" s="1080">
        <f t="shared" si="21"/>
        <v>236.81199082718717</v>
      </c>
      <c r="M20" s="1082">
        <f t="shared" si="21"/>
        <v>0</v>
      </c>
      <c r="N20" s="1079">
        <f t="shared" si="21"/>
        <v>0</v>
      </c>
      <c r="O20" s="1080">
        <f t="shared" si="21"/>
        <v>280.61593471850972</v>
      </c>
      <c r="P20" s="1080">
        <f t="shared" si="21"/>
        <v>280.61593471850972</v>
      </c>
      <c r="Q20" s="1081">
        <f t="shared" si="21"/>
        <v>0</v>
      </c>
      <c r="R20" s="1083">
        <f>'상세 자료 작성'!I39</f>
        <v>9532347466</v>
      </c>
      <c r="S20" s="1080">
        <f t="shared" si="21"/>
        <v>364.64056625545982</v>
      </c>
      <c r="T20" s="1080">
        <f t="shared" si="21"/>
        <v>364.64056625545982</v>
      </c>
      <c r="U20" s="1081">
        <f t="shared" si="21"/>
        <v>0</v>
      </c>
      <c r="V20" s="1079">
        <f t="shared" si="21"/>
        <v>0</v>
      </c>
      <c r="W20" s="1080">
        <f t="shared" si="21"/>
        <v>882.0684918011566</v>
      </c>
      <c r="X20" s="1080">
        <f t="shared" si="21"/>
        <v>882.0684918011566</v>
      </c>
      <c r="Y20" s="1081">
        <f t="shared" si="21"/>
        <v>0</v>
      </c>
      <c r="AD20" s="1084"/>
    </row>
    <row r="21" spans="1:30" ht="30.6" hidden="1" customHeight="1">
      <c r="A21" s="1002"/>
      <c r="B21" s="1450"/>
      <c r="C21" s="1085" t="s">
        <v>34</v>
      </c>
      <c r="D21" s="1086">
        <v>0</v>
      </c>
      <c r="E21" s="1087">
        <v>1869.8804545454552</v>
      </c>
      <c r="F21" s="1088">
        <v>0</v>
      </c>
      <c r="G21" s="1089">
        <v>404.56184402770964</v>
      </c>
      <c r="H21" s="1089">
        <v>404.56184402770964</v>
      </c>
      <c r="I21" s="1090">
        <f>H21-G21</f>
        <v>0</v>
      </c>
      <c r="J21" s="1088">
        <v>0</v>
      </c>
      <c r="K21" s="1089">
        <v>157.15481434621429</v>
      </c>
      <c r="L21" s="1089">
        <v>157.15481434621429</v>
      </c>
      <c r="M21" s="1090">
        <f>L21-K21</f>
        <v>0</v>
      </c>
      <c r="N21" s="1088">
        <v>0</v>
      </c>
      <c r="O21" s="1089">
        <v>170.53756206571185</v>
      </c>
      <c r="P21" s="1089">
        <v>170.53756206571185</v>
      </c>
      <c r="Q21" s="1090">
        <f>P21-O21</f>
        <v>0</v>
      </c>
      <c r="R21" s="1091">
        <f>'상세 자료 작성'!I40</f>
        <v>26963794201</v>
      </c>
      <c r="S21" s="1089">
        <v>194.32656691555093</v>
      </c>
      <c r="T21" s="1089">
        <v>194.32656691555093</v>
      </c>
      <c r="U21" s="1090">
        <f>T21-S21</f>
        <v>0</v>
      </c>
      <c r="V21" s="1088">
        <v>0</v>
      </c>
      <c r="W21" s="1089">
        <f>K21+O21+S21</f>
        <v>522.01894332747702</v>
      </c>
      <c r="X21" s="1089">
        <f>L21+P21+T21</f>
        <v>522.01894332747702</v>
      </c>
      <c r="Y21" s="1090">
        <f>X21-W21</f>
        <v>0</v>
      </c>
      <c r="AD21" s="1084"/>
    </row>
    <row r="22" spans="1:30" ht="30.6" hidden="1" customHeight="1">
      <c r="A22" s="1002"/>
      <c r="B22" s="1450"/>
      <c r="C22" s="1092" t="s">
        <v>35</v>
      </c>
      <c r="D22" s="1093">
        <v>0</v>
      </c>
      <c r="E22" s="1094">
        <v>1000</v>
      </c>
      <c r="F22" s="1095">
        <v>0</v>
      </c>
      <c r="G22" s="1096">
        <v>214.70497488195741</v>
      </c>
      <c r="H22" s="1097">
        <v>214.70497488195741</v>
      </c>
      <c r="I22" s="1098">
        <f t="shared" ref="I22:I23" si="22">H22-G22</f>
        <v>0</v>
      </c>
      <c r="J22" s="1095">
        <v>0</v>
      </c>
      <c r="K22" s="1096">
        <v>57.938841686318121</v>
      </c>
      <c r="L22" s="1097">
        <v>57.938841686318121</v>
      </c>
      <c r="M22" s="1098">
        <f t="shared" ref="M22:M23" si="23">L22-K22</f>
        <v>0</v>
      </c>
      <c r="N22" s="1095">
        <v>0</v>
      </c>
      <c r="O22" s="1096">
        <v>86.90826252947717</v>
      </c>
      <c r="P22" s="1097">
        <v>86.90826252947717</v>
      </c>
      <c r="Q22" s="1098">
        <f t="shared" ref="Q22:Q23" si="24">P22-O22</f>
        <v>0</v>
      </c>
      <c r="R22" s="1091">
        <f>'상세 자료 작성'!I41</f>
        <v>1151454672</v>
      </c>
      <c r="S22" s="1096">
        <v>144.97405608963564</v>
      </c>
      <c r="T22" s="1097">
        <v>144.97405608963564</v>
      </c>
      <c r="U22" s="1098">
        <f t="shared" ref="U22:U23" si="25">T22-S22</f>
        <v>0</v>
      </c>
      <c r="V22" s="1095">
        <v>0</v>
      </c>
      <c r="W22" s="1089">
        <f>K22+O22+S22</f>
        <v>289.82116030543091</v>
      </c>
      <c r="X22" s="1089">
        <f>L22+P22+T22</f>
        <v>289.82116030543091</v>
      </c>
      <c r="Y22" s="1098">
        <f t="shared" ref="Y22:Y23" si="26">X22-W22</f>
        <v>0</v>
      </c>
      <c r="AD22" s="1084"/>
    </row>
    <row r="23" spans="1:30" ht="30.6" hidden="1" customHeight="1">
      <c r="A23" s="1099"/>
      <c r="B23" s="1451"/>
      <c r="C23" s="1100" t="s">
        <v>36</v>
      </c>
      <c r="D23" s="1101">
        <v>0</v>
      </c>
      <c r="E23" s="1102">
        <v>522.37127161943931</v>
      </c>
      <c r="F23" s="1103">
        <v>0</v>
      </c>
      <c r="G23" s="1104">
        <v>52.975550555203561</v>
      </c>
      <c r="H23" s="1105">
        <v>52.975550555203561</v>
      </c>
      <c r="I23" s="1106">
        <f t="shared" si="22"/>
        <v>0</v>
      </c>
      <c r="J23" s="1103">
        <v>0</v>
      </c>
      <c r="K23" s="1104">
        <v>21.718334794654751</v>
      </c>
      <c r="L23" s="1105">
        <v>21.718334794654751</v>
      </c>
      <c r="M23" s="1106">
        <f t="shared" si="23"/>
        <v>0</v>
      </c>
      <c r="N23" s="1103">
        <v>0</v>
      </c>
      <c r="O23" s="1104">
        <v>23.170110123320697</v>
      </c>
      <c r="P23" s="1105">
        <v>23.170110123320697</v>
      </c>
      <c r="Q23" s="1106">
        <f t="shared" si="24"/>
        <v>0</v>
      </c>
      <c r="R23" s="1091">
        <f>'상세 자료 작성'!I42</f>
        <v>0</v>
      </c>
      <c r="S23" s="1104">
        <v>25.339943250273222</v>
      </c>
      <c r="T23" s="1105">
        <v>25.339943250273222</v>
      </c>
      <c r="U23" s="1106">
        <f t="shared" si="25"/>
        <v>0</v>
      </c>
      <c r="V23" s="1103">
        <v>0</v>
      </c>
      <c r="W23" s="1104">
        <f t="shared" ref="W23:X23" si="27">K23+O23+S23</f>
        <v>70.228388168248671</v>
      </c>
      <c r="X23" s="1105">
        <f t="shared" si="27"/>
        <v>70.228388168248671</v>
      </c>
      <c r="Y23" s="1106">
        <f t="shared" si="26"/>
        <v>0</v>
      </c>
      <c r="AD23" s="1084"/>
    </row>
    <row r="24" spans="1:30" s="1107" customFormat="1" ht="30.6" customHeight="1">
      <c r="B24" s="985" t="s">
        <v>37</v>
      </c>
      <c r="G24" s="1108"/>
      <c r="H24" s="1108"/>
      <c r="I24" s="1108"/>
      <c r="K24" s="1108"/>
      <c r="L24" s="1108"/>
      <c r="M24" s="1109"/>
      <c r="O24" s="1108"/>
      <c r="P24" s="1108"/>
      <c r="Q24" s="1108"/>
      <c r="R24" s="1110"/>
      <c r="S24" s="1108"/>
      <c r="T24" s="1108"/>
      <c r="U24" s="1108"/>
      <c r="V24" s="1110"/>
      <c r="W24" s="1108"/>
      <c r="X24" s="1108"/>
      <c r="Y24" s="1108"/>
    </row>
    <row r="25" spans="1:30" s="1107" customFormat="1" ht="9.75" customHeight="1">
      <c r="B25" s="1111"/>
      <c r="G25" s="1108"/>
      <c r="H25" s="1108"/>
      <c r="I25" s="1108"/>
      <c r="K25" s="1108"/>
      <c r="L25" s="1108"/>
      <c r="M25" s="1112"/>
      <c r="O25" s="1108"/>
      <c r="P25" s="1108"/>
      <c r="Q25" s="1108"/>
      <c r="R25" s="1110"/>
      <c r="S25" s="1108"/>
      <c r="T25" s="1108"/>
      <c r="U25" s="1108"/>
      <c r="V25" s="1110"/>
      <c r="W25" s="1108"/>
      <c r="X25" s="1108"/>
      <c r="Y25" s="1108"/>
    </row>
    <row r="26" spans="1:30" ht="24" customHeight="1">
      <c r="B26" s="1113" t="s">
        <v>38</v>
      </c>
      <c r="F26" s="989" t="s">
        <v>4</v>
      </c>
      <c r="W26" s="991" t="s">
        <v>39</v>
      </c>
      <c r="Z26" s="991"/>
    </row>
    <row r="27" spans="1:30" ht="52.35" customHeight="1">
      <c r="B27" s="1447" t="s">
        <v>7</v>
      </c>
      <c r="C27" s="1447"/>
      <c r="D27" s="1447"/>
      <c r="E27" s="1447" t="s">
        <v>40</v>
      </c>
      <c r="F27" s="1447"/>
      <c r="G27" s="1446" t="s">
        <v>41</v>
      </c>
      <c r="H27" s="1447"/>
      <c r="I27" s="1446" t="s">
        <v>42</v>
      </c>
      <c r="J27" s="1447"/>
      <c r="K27" s="1453" t="s">
        <v>43</v>
      </c>
      <c r="L27" s="1454"/>
      <c r="M27" s="1447" t="s">
        <v>44</v>
      </c>
      <c r="N27" s="1447"/>
      <c r="O27" s="1447"/>
      <c r="P27" s="1447"/>
      <c r="Q27" s="1447"/>
      <c r="R27" s="1447"/>
      <c r="S27" s="1447"/>
      <c r="T27" s="1447"/>
      <c r="U27" s="1447"/>
      <c r="V27" s="1447"/>
      <c r="W27" s="1447"/>
      <c r="X27" s="1447"/>
      <c r="Y27" s="1447"/>
    </row>
    <row r="28" spans="1:30" ht="46.35" customHeight="1">
      <c r="B28" s="1477" t="s">
        <v>45</v>
      </c>
      <c r="C28" s="1477"/>
      <c r="D28" s="1477"/>
      <c r="E28" s="1455">
        <f>(SUMIFS('상세 자료 작성'!$J:$J,'상세 자료 작성'!$A:$A,'요약(보고)'!$AE$11,'상세 자료 작성'!$D:$D,'요약(보고)'!$F$26,'상세 자료 작성'!$C:$C,'요약(보고)'!#REF!)+SUMIFS('상세 자료 작성'!$J:$J,'상세 자료 작성'!$A:$A,'요약(보고)'!$AE$11,'상세 자료 작성'!$D:$D,'요약(보고)'!$F$26,'상세 자료 작성'!$C:$C,'요약(보고)'!$C$10)+SUMIFS('상세 자료 작성'!$J:$J,'상세 자료 작성'!$A:$A,'요약(보고)'!$AE$11,'상세 자료 작성'!$D:$D,'요약(보고)'!$F$26,'상세 자료 작성'!$C:$C,'요약(보고)'!$C$11))/10^8</f>
        <v>12.254068973333334</v>
      </c>
      <c r="F28" s="1455"/>
      <c r="G28" s="1455">
        <f>(SUMIFS('상세 자료 작성'!$M:$M,'상세 자료 작성'!$A:$A,'요약(보고)'!$AE$11,'상세 자료 작성'!$D:$D,'요약(보고)'!$F$26,'상세 자료 작성'!$C:$C,'요약(보고)'!#REF!)+SUMIFS('상세 자료 작성'!$M:$M,'상세 자료 작성'!$A:$A,'요약(보고)'!$AE$11,'상세 자료 작성'!$D:$D,'요약(보고)'!$F$26,'상세 자료 작성'!$C:$C,'요약(보고)'!C10)+SUMIFS('상세 자료 작성'!$M:$M,'상세 자료 작성'!$A:$A,'요약(보고)'!$AE$11,'상세 자료 작성'!$D:$D,'요약(보고)'!$F$26,'상세 자료 작성'!$C:$C,'요약(보고)'!C11))/10^8</f>
        <v>12.382508899733333</v>
      </c>
      <c r="H28" s="1455"/>
      <c r="I28" s="1455">
        <f>(SUMIFS('상세 자료 작성'!$K:$K,'상세 자료 작성'!$A:$A,'요약(보고)'!$AE$11,'상세 자료 작성'!$D:$D,'요약(보고)'!$F$26,'상세 자료 작성'!$C:$C,'요약(보고)'!#REF!)+SUMIFS('상세 자료 작성'!$K:$K,'상세 자료 작성'!$A:$A,'요약(보고)'!$AE$11,'상세 자료 작성'!$D:$D,'요약(보고)'!$F$26,'상세 자료 작성'!$C:$C,'요약(보고)'!$C$10)+SUMIFS('상세 자료 작성'!$K:$K,'상세 자료 작성'!$A:$A,'요약(보고)'!$AE$11,'상세 자료 작성'!$D:$D,'요약(보고)'!$F$26,'상세 자료 작성'!$C:$C,'요약(보고)'!$C$11))/10^8</f>
        <v>9.8442169245333346</v>
      </c>
      <c r="J28" s="1455"/>
      <c r="K28" s="1444">
        <f>I28-G28</f>
        <v>-2.5382919751999982</v>
      </c>
      <c r="L28" s="1444"/>
      <c r="M28" s="1463" t="s">
        <v>732</v>
      </c>
      <c r="N28" s="1463"/>
      <c r="O28" s="1463"/>
      <c r="P28" s="1463"/>
      <c r="Q28" s="1463"/>
      <c r="R28" s="1463"/>
      <c r="S28" s="1463"/>
      <c r="T28" s="1463"/>
      <c r="U28" s="1463"/>
      <c r="V28" s="1463"/>
      <c r="W28" s="1463"/>
      <c r="X28" s="1463"/>
      <c r="Y28" s="1463"/>
    </row>
    <row r="29" spans="1:30" ht="19.2">
      <c r="B29" s="1434" t="s">
        <v>46</v>
      </c>
      <c r="C29" s="1435"/>
      <c r="D29" s="1435"/>
      <c r="E29" s="1452">
        <f>SUM(E30:F31)</f>
        <v>90.822934399999994</v>
      </c>
      <c r="F29" s="1452"/>
      <c r="G29" s="1412">
        <f>SUM(G30:H31)</f>
        <v>103.5096939</v>
      </c>
      <c r="H29" s="1413"/>
      <c r="I29" s="1452">
        <f>SUM(I30:J31)</f>
        <v>102.4636874</v>
      </c>
      <c r="J29" s="1452"/>
      <c r="K29" s="1462">
        <f t="shared" ref="K29:K37" si="28">I29-G29</f>
        <v>-1.0460065000000043</v>
      </c>
      <c r="L29" s="1462"/>
      <c r="M29" s="1464"/>
      <c r="N29" s="1464"/>
      <c r="O29" s="1464"/>
      <c r="P29" s="1464"/>
      <c r="Q29" s="1464"/>
      <c r="R29" s="1464"/>
      <c r="S29" s="1464"/>
      <c r="T29" s="1464"/>
      <c r="U29" s="1464"/>
      <c r="V29" s="1464"/>
      <c r="W29" s="1464"/>
      <c r="X29" s="1464"/>
      <c r="Y29" s="1464"/>
    </row>
    <row r="30" spans="1:30" ht="73.349999999999994" customHeight="1">
      <c r="B30" s="1114"/>
      <c r="C30" s="1442" t="s">
        <v>26</v>
      </c>
      <c r="D30" s="1442"/>
      <c r="E30" s="1443">
        <f>SUMIFS('상세 자료 작성'!$J:$J,'상세 자료 작성'!$A:$A,'요약(보고)'!$AE$11,'상세 자료 작성'!$D:$D,'요약(보고)'!$F$26,'상세 자료 작성'!$C:$C,'요약(보고)'!$C$13)/10^8</f>
        <v>88.077117999999999</v>
      </c>
      <c r="F30" s="1443"/>
      <c r="G30" s="1443">
        <f>SUMIFS('상세 자료 작성'!$M:$M,'상세 자료 작성'!$A:$A,'요약(보고)'!$AE$11,'상세 자료 작성'!$D:$D,'요약(보고)'!$F$26,'상세 자료 작성'!$C:$C,'요약(보고)'!$C$13)/10^8</f>
        <v>100.50396550000001</v>
      </c>
      <c r="H30" s="1443"/>
      <c r="I30" s="1443">
        <f>SUMIFS('상세 자료 작성'!$K:$K,'상세 자료 작성'!$A:$A,'요약(보고)'!$AE$11,'상세 자료 작성'!$D:$D,'요약(보고)'!$F$26,'상세 자료 작성'!$C:$C,'요약(보고)'!$C$13)/10^8</f>
        <v>99.549515799999995</v>
      </c>
      <c r="J30" s="1443"/>
      <c r="K30" s="1444">
        <f t="shared" si="28"/>
        <v>-0.95444970000001206</v>
      </c>
      <c r="L30" s="1444"/>
      <c r="M30" s="1463" t="s">
        <v>731</v>
      </c>
      <c r="N30" s="1463"/>
      <c r="O30" s="1463"/>
      <c r="P30" s="1463"/>
      <c r="Q30" s="1463"/>
      <c r="R30" s="1463"/>
      <c r="S30" s="1463"/>
      <c r="T30" s="1463"/>
      <c r="U30" s="1463"/>
      <c r="V30" s="1463"/>
      <c r="W30" s="1463"/>
      <c r="X30" s="1463"/>
      <c r="Y30" s="1463"/>
    </row>
    <row r="31" spans="1:30" ht="24" customHeight="1">
      <c r="B31" s="1115"/>
      <c r="C31" s="1442" t="s">
        <v>27</v>
      </c>
      <c r="D31" s="1442"/>
      <c r="E31" s="1443">
        <f>SUMIFS('상세 자료 작성'!$J:$J,'상세 자료 작성'!$A:$A,'요약(보고)'!$AE$11,'상세 자료 작성'!$D:$D,'요약(보고)'!$F$26,'상세 자료 작성'!$C:$C,'요약(보고)'!$C$14)/10^8</f>
        <v>2.7458163999999998</v>
      </c>
      <c r="F31" s="1443"/>
      <c r="G31" s="1443">
        <f>SUMIFS('상세 자료 작성'!$M:$M,'상세 자료 작성'!$A:$A,'요약(보고)'!$AE$11,'상세 자료 작성'!$D:$D,'요약(보고)'!$F$26,'상세 자료 작성'!$C:$C,'요약(보고)'!$C$14)/10^8</f>
        <v>3.0057284000000002</v>
      </c>
      <c r="H31" s="1443"/>
      <c r="I31" s="1443">
        <f>SUMIFS('상세 자료 작성'!$K:$K,'상세 자료 작성'!$A:$A,'요약(보고)'!$AE$11,'상세 자료 작성'!$D:$D,'요약(보고)'!$F$26,'상세 자료 작성'!$C:$C,$C$14)/10^8</f>
        <v>2.9141716</v>
      </c>
      <c r="J31" s="1443"/>
      <c r="K31" s="1444">
        <f t="shared" si="28"/>
        <v>-9.1556800000000216E-2</v>
      </c>
      <c r="L31" s="1444"/>
      <c r="M31" s="1521" t="s">
        <v>733</v>
      </c>
      <c r="N31" s="1521"/>
      <c r="O31" s="1521"/>
      <c r="P31" s="1521"/>
      <c r="Q31" s="1521"/>
      <c r="R31" s="1521"/>
      <c r="S31" s="1521"/>
      <c r="T31" s="1521"/>
      <c r="U31" s="1521"/>
      <c r="V31" s="1521"/>
      <c r="W31" s="1521"/>
      <c r="X31" s="1521"/>
      <c r="Y31" s="1521"/>
    </row>
    <row r="32" spans="1:30" ht="19.2">
      <c r="B32" s="1434" t="s">
        <v>47</v>
      </c>
      <c r="C32" s="1435"/>
      <c r="D32" s="1435"/>
      <c r="E32" s="1515">
        <f>SUM(E33:F36)</f>
        <v>4.6475</v>
      </c>
      <c r="F32" s="1515"/>
      <c r="G32" s="1515">
        <f>SUM(G33:H36)</f>
        <v>4.0175000000000001</v>
      </c>
      <c r="H32" s="1515"/>
      <c r="I32" s="1515">
        <f>SUM(I33:J36)</f>
        <v>4.0175000000000001</v>
      </c>
      <c r="J32" s="1515"/>
      <c r="K32" s="1462">
        <f t="shared" si="28"/>
        <v>0</v>
      </c>
      <c r="L32" s="1462"/>
      <c r="M32" s="1518"/>
      <c r="N32" s="1519"/>
      <c r="O32" s="1519"/>
      <c r="P32" s="1519"/>
      <c r="Q32" s="1519"/>
      <c r="R32" s="1519"/>
      <c r="S32" s="1519"/>
      <c r="T32" s="1519"/>
      <c r="U32" s="1519"/>
      <c r="V32" s="1519"/>
      <c r="W32" s="1519"/>
      <c r="X32" s="1519"/>
      <c r="Y32" s="1520"/>
    </row>
    <row r="33" spans="2:27" ht="49.35" customHeight="1">
      <c r="B33" s="1114"/>
      <c r="C33" s="1442" t="s">
        <v>29</v>
      </c>
      <c r="D33" s="1442"/>
      <c r="E33" s="1443">
        <f>SUMIFS('상세 자료 작성'!$J:$J,'상세 자료 작성'!$A:$A,'요약(보고)'!$AE$11,'상세 자료 작성'!$D:$D,'요약(보고)'!$F$26,'상세 자료 작성'!$C:$C,$C16)/10^8</f>
        <v>3.71</v>
      </c>
      <c r="F33" s="1443"/>
      <c r="G33" s="1443">
        <f>SUMIFS('상세 자료 작성'!$M:$M,'상세 자료 작성'!$A:$A,'요약(보고)'!$AE$11,'상세 자료 작성'!$D:$D,'요약(보고)'!$F$26,'상세 자료 작성'!$C:$C,$C16)/10^8</f>
        <v>3.08</v>
      </c>
      <c r="H33" s="1443"/>
      <c r="I33" s="1443">
        <f>SUMIFS('상세 자료 작성'!$K:$K,'상세 자료 작성'!$A:$A,'요약(보고)'!$AE$11,'상세 자료 작성'!$D:$D,'요약(보고)'!$F$26,'상세 자료 작성'!$C:$C,$C16)/10^8</f>
        <v>3.08</v>
      </c>
      <c r="J33" s="1443"/>
      <c r="K33" s="1444">
        <f>I33-G33</f>
        <v>0</v>
      </c>
      <c r="L33" s="1444"/>
      <c r="M33" s="1521" t="s">
        <v>734</v>
      </c>
      <c r="N33" s="1521"/>
      <c r="O33" s="1521"/>
      <c r="P33" s="1521"/>
      <c r="Q33" s="1521"/>
      <c r="R33" s="1521"/>
      <c r="S33" s="1521"/>
      <c r="T33" s="1521"/>
      <c r="U33" s="1521"/>
      <c r="V33" s="1521"/>
      <c r="W33" s="1521"/>
      <c r="X33" s="1521"/>
      <c r="Y33" s="1521"/>
    </row>
    <row r="34" spans="2:27" ht="19.2">
      <c r="B34" s="1114"/>
      <c r="C34" s="1442" t="s">
        <v>30</v>
      </c>
      <c r="D34" s="1442"/>
      <c r="E34" s="1443">
        <f>SUMIFS('상세 자료 작성'!$J:$J,'상세 자료 작성'!$A:$A,'요약(보고)'!$AE$11,'상세 자료 작성'!$D:$D,'요약(보고)'!$F$26,'상세 자료 작성'!$C:$C,$C17)/10^8</f>
        <v>0.46875</v>
      </c>
      <c r="F34" s="1443"/>
      <c r="G34" s="1443">
        <f>SUMIFS('상세 자료 작성'!$M:$M,'상세 자료 작성'!$A:$A,'요약(보고)'!$AE$11,'상세 자료 작성'!$D:$D,'요약(보고)'!$F$26,'상세 자료 작성'!$C:$C,$C17)/10^8</f>
        <v>0.46875</v>
      </c>
      <c r="H34" s="1443"/>
      <c r="I34" s="1443">
        <f>SUMIFS('상세 자료 작성'!$K:$K,'상세 자료 작성'!$A:$A,'요약(보고)'!$AE$11,'상세 자료 작성'!$D:$D,'요약(보고)'!$F$26,'상세 자료 작성'!$C:$C,$C17)/10^8</f>
        <v>0.46875</v>
      </c>
      <c r="J34" s="1443"/>
      <c r="K34" s="1444">
        <f t="shared" si="28"/>
        <v>0</v>
      </c>
      <c r="L34" s="1444"/>
      <c r="M34" s="1517"/>
      <c r="N34" s="1517"/>
      <c r="O34" s="1517"/>
      <c r="P34" s="1517"/>
      <c r="Q34" s="1517"/>
      <c r="R34" s="1517"/>
      <c r="S34" s="1517"/>
      <c r="T34" s="1517"/>
      <c r="U34" s="1517"/>
      <c r="V34" s="1517"/>
      <c r="W34" s="1517"/>
      <c r="X34" s="1517"/>
      <c r="Y34" s="1517"/>
    </row>
    <row r="35" spans="2:27" ht="19.2">
      <c r="B35" s="1114"/>
      <c r="C35" s="1442" t="s">
        <v>31</v>
      </c>
      <c r="D35" s="1442"/>
      <c r="E35" s="1443">
        <f>SUMIFS('상세 자료 작성'!$J:$J,'상세 자료 작성'!$A:$A,'요약(보고)'!$AE$11,'상세 자료 작성'!$D:$D,'요약(보고)'!$F$26,'상세 자료 작성'!$C:$C,$C18)/10^8</f>
        <v>0.46875</v>
      </c>
      <c r="F35" s="1443"/>
      <c r="G35" s="1443">
        <f>SUMIFS('상세 자료 작성'!$M:$M,'상세 자료 작성'!$A:$A,'요약(보고)'!$AE$11,'상세 자료 작성'!$D:$D,'요약(보고)'!$F$26,'상세 자료 작성'!$C:$C,$C18)/10^8</f>
        <v>0.46875</v>
      </c>
      <c r="H35" s="1443"/>
      <c r="I35" s="1443">
        <f>SUMIFS('상세 자료 작성'!$K:$K,'상세 자료 작성'!$A:$A,'요약(보고)'!$AE$11,'상세 자료 작성'!$D:$D,'요약(보고)'!$F$26,'상세 자료 작성'!$C:$C,$C18)/10^8</f>
        <v>0.46875</v>
      </c>
      <c r="J35" s="1443"/>
      <c r="K35" s="1444">
        <f t="shared" si="28"/>
        <v>0</v>
      </c>
      <c r="L35" s="1444"/>
      <c r="M35" s="1517"/>
      <c r="N35" s="1517"/>
      <c r="O35" s="1517"/>
      <c r="P35" s="1517"/>
      <c r="Q35" s="1517"/>
      <c r="R35" s="1517"/>
      <c r="S35" s="1517"/>
      <c r="T35" s="1517"/>
      <c r="U35" s="1517"/>
      <c r="V35" s="1517"/>
      <c r="W35" s="1517"/>
      <c r="X35" s="1517"/>
      <c r="Y35" s="1517"/>
    </row>
    <row r="36" spans="2:27" ht="26.85" customHeight="1">
      <c r="B36" s="1115"/>
      <c r="C36" s="1442" t="s">
        <v>32</v>
      </c>
      <c r="D36" s="1442"/>
      <c r="E36" s="1443">
        <f>SUMIFS('상세 자료 작성'!$J:$J,'상세 자료 작성'!$A:$A,'요약(보고)'!$AE$11,'상세 자료 작성'!$D:$D,'요약(보고)'!$F$26,'상세 자료 작성'!$C:$C,$C19)/10^8</f>
        <v>0</v>
      </c>
      <c r="F36" s="1443"/>
      <c r="G36" s="1443">
        <f>SUMIFS('상세 자료 작성'!$M:$M,'상세 자료 작성'!$A:$A,'요약(보고)'!$AE$11,'상세 자료 작성'!$D:$D,'요약(보고)'!$F$26,'상세 자료 작성'!$C:$C,$C19)/10^8</f>
        <v>0</v>
      </c>
      <c r="H36" s="1443"/>
      <c r="I36" s="1443">
        <f>SUMIFS('상세 자료 작성'!$K:$K,'상세 자료 작성'!$A:$A,'요약(보고)'!$AE$11,'상세 자료 작성'!$D:$D,'요약(보고)'!$F$26,'상세 자료 작성'!$C:$C,$C19)/10^8</f>
        <v>0</v>
      </c>
      <c r="J36" s="1443"/>
      <c r="K36" s="1444">
        <f t="shared" si="28"/>
        <v>0</v>
      </c>
      <c r="L36" s="1444"/>
      <c r="M36" s="1517"/>
      <c r="N36" s="1517"/>
      <c r="O36" s="1517"/>
      <c r="P36" s="1517"/>
      <c r="Q36" s="1517"/>
      <c r="R36" s="1517"/>
      <c r="S36" s="1517"/>
      <c r="T36" s="1517"/>
      <c r="U36" s="1517"/>
      <c r="V36" s="1517"/>
      <c r="W36" s="1517"/>
      <c r="X36" s="1517"/>
      <c r="Y36" s="1517"/>
    </row>
    <row r="37" spans="2:27" ht="24.6" customHeight="1">
      <c r="B37" s="1524" t="s">
        <v>48</v>
      </c>
      <c r="C37" s="1524"/>
      <c r="D37" s="1524"/>
      <c r="E37" s="1482">
        <f>E28+E29+E32</f>
        <v>107.72450337333332</v>
      </c>
      <c r="F37" s="1482"/>
      <c r="G37" s="1525">
        <f>SUM(G28,G29,G32)</f>
        <v>119.90970279973334</v>
      </c>
      <c r="H37" s="1525"/>
      <c r="I37" s="1482">
        <f>I28+I29+I32</f>
        <v>116.32540432453332</v>
      </c>
      <c r="J37" s="1482"/>
      <c r="K37" s="1480">
        <f t="shared" si="28"/>
        <v>-3.5842984752000149</v>
      </c>
      <c r="L37" s="1480"/>
      <c r="M37" s="1925" t="s">
        <v>735</v>
      </c>
      <c r="N37" s="1925"/>
      <c r="O37" s="1925"/>
      <c r="P37" s="1925"/>
      <c r="Q37" s="1925"/>
      <c r="R37" s="1925"/>
      <c r="S37" s="1925"/>
      <c r="T37" s="1925"/>
      <c r="U37" s="1925"/>
      <c r="V37" s="1925"/>
      <c r="W37" s="1925"/>
      <c r="X37" s="1925"/>
      <c r="Y37" s="1925"/>
      <c r="AA37" s="1116"/>
    </row>
    <row r="38" spans="2:27" ht="27.6" customHeight="1">
      <c r="B38" s="1117"/>
      <c r="C38" s="1117"/>
      <c r="D38" s="1117"/>
      <c r="E38" s="1118"/>
      <c r="F38" s="1118"/>
      <c r="G38" s="1118"/>
      <c r="H38" s="1118"/>
      <c r="I38" s="1118"/>
      <c r="J38" s="1118"/>
      <c r="K38" s="1118"/>
      <c r="M38" s="1119"/>
      <c r="N38" s="1119"/>
      <c r="O38" s="1120"/>
      <c r="P38" s="1120"/>
      <c r="R38" s="1120"/>
      <c r="S38" s="1120"/>
      <c r="T38" s="1120"/>
      <c r="U38" s="1120"/>
      <c r="V38" s="1120"/>
      <c r="W38" s="1120"/>
      <c r="X38" s="1120"/>
      <c r="Y38" s="1120"/>
    </row>
    <row r="39" spans="2:27" ht="23.4" hidden="1" thickBot="1">
      <c r="B39" s="1113" t="s">
        <v>49</v>
      </c>
      <c r="L39" s="1118"/>
      <c r="Y39" s="988"/>
    </row>
    <row r="40" spans="2:27" ht="50.1" hidden="1" customHeight="1">
      <c r="B40" s="1495" t="s">
        <v>7</v>
      </c>
      <c r="C40" s="1407"/>
      <c r="D40" s="1342"/>
      <c r="E40" s="1495" t="s">
        <v>40</v>
      </c>
      <c r="F40" s="1342"/>
      <c r="G40" s="1406" t="s">
        <v>41</v>
      </c>
      <c r="H40" s="1342"/>
      <c r="I40" s="1406" t="s">
        <v>42</v>
      </c>
      <c r="J40" s="1342"/>
      <c r="K40" s="1381" t="s">
        <v>43</v>
      </c>
      <c r="L40" s="1382"/>
      <c r="M40" s="1407" t="s">
        <v>44</v>
      </c>
      <c r="N40" s="1407"/>
      <c r="O40" s="1407"/>
      <c r="P40" s="1407"/>
      <c r="Q40" s="1407"/>
      <c r="R40" s="1407"/>
      <c r="S40" s="1407"/>
      <c r="T40" s="1407"/>
      <c r="U40" s="1407"/>
      <c r="V40" s="1407"/>
      <c r="W40" s="1436"/>
    </row>
    <row r="41" spans="2:27" ht="21.6" hidden="1" customHeight="1">
      <c r="B41" s="1471" t="s">
        <v>45</v>
      </c>
      <c r="C41" s="1472"/>
      <c r="D41" s="1473"/>
      <c r="E41" s="1474">
        <f>W9</f>
        <v>25.134453140000002</v>
      </c>
      <c r="F41" s="1475"/>
      <c r="G41" s="1340">
        <f>SUM('상세 자료 작성'!M215:M217,'상세 자료 작성'!M226:M228,'상세 자료 작성'!M237:M239)/10^8</f>
        <v>44.626385945599992</v>
      </c>
      <c r="H41" s="1481"/>
      <c r="I41" s="1340">
        <f>X9</f>
        <v>24.999197227866667</v>
      </c>
      <c r="J41" s="1481"/>
      <c r="K41" s="1440">
        <f>I41-G41</f>
        <v>-19.627188717733326</v>
      </c>
      <c r="L41" s="1441"/>
      <c r="M41" s="1437" t="s">
        <v>50</v>
      </c>
      <c r="N41" s="1438"/>
      <c r="O41" s="1438"/>
      <c r="P41" s="1438"/>
      <c r="Q41" s="1438"/>
      <c r="R41" s="1438"/>
      <c r="S41" s="1438"/>
      <c r="T41" s="1438"/>
      <c r="U41" s="1438"/>
      <c r="V41" s="1438"/>
      <c r="W41" s="1439"/>
      <c r="X41" s="1121"/>
      <c r="Y41" s="1121"/>
    </row>
    <row r="42" spans="2:27" ht="21.6" hidden="1" customHeight="1">
      <c r="B42" s="1478" t="s">
        <v>46</v>
      </c>
      <c r="C42" s="1479"/>
      <c r="D42" s="1479"/>
      <c r="E42" s="1353">
        <f>SUM(E43:F44)</f>
        <v>246.45125989999997</v>
      </c>
      <c r="F42" s="1476"/>
      <c r="G42" s="1353">
        <f>SUM(G43:H44)</f>
        <v>286.83866290000003</v>
      </c>
      <c r="H42" s="1483"/>
      <c r="I42" s="1354">
        <f>SUM(I43:J44)</f>
        <v>248.86353199999999</v>
      </c>
      <c r="J42" s="1514"/>
      <c r="K42" s="1491">
        <f t="shared" ref="K42:K51" si="29">I42-G42</f>
        <v>-37.975130900000039</v>
      </c>
      <c r="L42" s="1492"/>
      <c r="M42" s="1487"/>
      <c r="N42" s="1487"/>
      <c r="O42" s="1487"/>
      <c r="P42" s="1487"/>
      <c r="Q42" s="1487"/>
      <c r="R42" s="1487"/>
      <c r="S42" s="1487"/>
      <c r="T42" s="1487"/>
      <c r="U42" s="1487"/>
      <c r="V42" s="1487"/>
      <c r="W42" s="1488"/>
    </row>
    <row r="43" spans="2:27" ht="21.6" hidden="1" customHeight="1">
      <c r="B43" s="1122"/>
      <c r="C43" s="1362" t="s">
        <v>26</v>
      </c>
      <c r="D43" s="1363"/>
      <c r="E43" s="1340">
        <f>W13</f>
        <v>238.39925849999997</v>
      </c>
      <c r="F43" s="1341"/>
      <c r="G43" s="1340">
        <f>SUM('상세 자료 작성'!M219,'상세 자료 작성'!M230,'상세 자료 작성'!M241)/10^8</f>
        <v>280.24166100000002</v>
      </c>
      <c r="H43" s="1481"/>
      <c r="I43" s="1340">
        <f>X13</f>
        <v>240.7224028</v>
      </c>
      <c r="J43" s="1481"/>
      <c r="K43" s="1440">
        <f t="shared" si="29"/>
        <v>-39.519258200000024</v>
      </c>
      <c r="L43" s="1441"/>
      <c r="M43" s="1516" t="s">
        <v>50</v>
      </c>
      <c r="N43" s="1388"/>
      <c r="O43" s="1388"/>
      <c r="P43" s="1388"/>
      <c r="Q43" s="1388"/>
      <c r="R43" s="1388"/>
      <c r="S43" s="1388"/>
      <c r="T43" s="1388"/>
      <c r="U43" s="1388"/>
      <c r="V43" s="1388"/>
      <c r="W43" s="1389"/>
    </row>
    <row r="44" spans="2:27" ht="21.6" hidden="1" customHeight="1">
      <c r="B44" s="1122"/>
      <c r="C44" s="1362" t="s">
        <v>27</v>
      </c>
      <c r="D44" s="1363"/>
      <c r="E44" s="1340">
        <f>W14</f>
        <v>8.0520014</v>
      </c>
      <c r="F44" s="1341"/>
      <c r="G44" s="1340">
        <f>SUM('상세 자료 작성'!M218,'상세 자료 작성'!M229,'상세 자료 작성'!M240)/10^8</f>
        <v>6.5970019000000004</v>
      </c>
      <c r="H44" s="1481"/>
      <c r="I44" s="1340">
        <f>X14</f>
        <v>8.1411292</v>
      </c>
      <c r="J44" s="1481"/>
      <c r="K44" s="1440">
        <f t="shared" si="29"/>
        <v>1.5441272999999995</v>
      </c>
      <c r="L44" s="1441"/>
      <c r="M44" s="1499"/>
      <c r="N44" s="1500"/>
      <c r="O44" s="1500"/>
      <c r="P44" s="1500"/>
      <c r="Q44" s="1500"/>
      <c r="R44" s="1500"/>
      <c r="S44" s="1500"/>
      <c r="T44" s="1500"/>
      <c r="U44" s="1500"/>
      <c r="V44" s="1500"/>
      <c r="W44" s="1501"/>
    </row>
    <row r="45" spans="2:27" ht="21.6" hidden="1" customHeight="1">
      <c r="B45" s="1478" t="s">
        <v>47</v>
      </c>
      <c r="C45" s="1479"/>
      <c r="D45" s="1479"/>
      <c r="E45" s="1353" t="e">
        <f>SUM(E46:F50)</f>
        <v>#REF!</v>
      </c>
      <c r="F45" s="1476"/>
      <c r="G45" s="1353">
        <f>SUM(G46:H50)</f>
        <v>50.647834120000006</v>
      </c>
      <c r="H45" s="1483"/>
      <c r="I45" s="1354" t="e">
        <f>SUM(I46:J50)</f>
        <v>#REF!</v>
      </c>
      <c r="J45" s="1514"/>
      <c r="K45" s="1491" t="e">
        <f t="shared" si="29"/>
        <v>#REF!</v>
      </c>
      <c r="L45" s="1492"/>
      <c r="M45" s="1486"/>
      <c r="N45" s="1487"/>
      <c r="O45" s="1487"/>
      <c r="P45" s="1487"/>
      <c r="Q45" s="1487"/>
      <c r="R45" s="1487"/>
      <c r="S45" s="1487"/>
      <c r="T45" s="1487"/>
      <c r="U45" s="1487"/>
      <c r="V45" s="1487"/>
      <c r="W45" s="1488"/>
    </row>
    <row r="46" spans="2:27" ht="21.6" hidden="1" customHeight="1">
      <c r="B46" s="1122"/>
      <c r="C46" s="1362" t="s">
        <v>51</v>
      </c>
      <c r="D46" s="1363"/>
      <c r="E46" s="1340" t="e">
        <f>#REF!</f>
        <v>#REF!</v>
      </c>
      <c r="F46" s="1341"/>
      <c r="G46" s="1340">
        <f>SUM('상세 자료 작성'!M220,'상세 자료 작성'!M231,'상세 자료 작성'!M242)/10^8</f>
        <v>0</v>
      </c>
      <c r="H46" s="1481"/>
      <c r="I46" s="1340" t="e">
        <f>#REF!</f>
        <v>#REF!</v>
      </c>
      <c r="J46" s="1481"/>
      <c r="K46" s="1440" t="e">
        <f t="shared" si="29"/>
        <v>#REF!</v>
      </c>
      <c r="L46" s="1441"/>
      <c r="M46" s="1489"/>
      <c r="N46" s="1489"/>
      <c r="O46" s="1489"/>
      <c r="P46" s="1489"/>
      <c r="Q46" s="1489"/>
      <c r="R46" s="1489"/>
      <c r="S46" s="1489"/>
      <c r="T46" s="1489"/>
      <c r="U46" s="1489"/>
      <c r="V46" s="1489"/>
      <c r="W46" s="1490"/>
    </row>
    <row r="47" spans="2:27" ht="21.6" hidden="1" customHeight="1">
      <c r="B47" s="1122"/>
      <c r="C47" s="1362" t="s">
        <v>30</v>
      </c>
      <c r="D47" s="1363"/>
      <c r="E47" s="1340">
        <f>W17</f>
        <v>1.7875000000000001</v>
      </c>
      <c r="F47" s="1341"/>
      <c r="G47" s="1340">
        <f>SUM('상세 자료 작성'!M221,'상세 자료 작성'!M232,'상세 자료 작성'!M243)/10^8</f>
        <v>7.9050000000000002</v>
      </c>
      <c r="H47" s="1481"/>
      <c r="I47" s="1493">
        <f>X17</f>
        <v>1.7875000000000001</v>
      </c>
      <c r="J47" s="1494"/>
      <c r="K47" s="1440">
        <f t="shared" si="29"/>
        <v>-6.1174999999999997</v>
      </c>
      <c r="L47" s="1441"/>
      <c r="M47" s="1511"/>
      <c r="N47" s="1512"/>
      <c r="O47" s="1512"/>
      <c r="P47" s="1512"/>
      <c r="Q47" s="1512"/>
      <c r="R47" s="1512"/>
      <c r="S47" s="1512"/>
      <c r="T47" s="1512"/>
      <c r="U47" s="1512"/>
      <c r="V47" s="1512"/>
      <c r="W47" s="1513"/>
    </row>
    <row r="48" spans="2:27" ht="21.6" hidden="1" customHeight="1">
      <c r="B48" s="1122"/>
      <c r="C48" s="1362" t="s">
        <v>29</v>
      </c>
      <c r="D48" s="1363"/>
      <c r="E48" s="1340">
        <f>W16</f>
        <v>35.326999999999998</v>
      </c>
      <c r="F48" s="1341"/>
      <c r="G48" s="1340">
        <f>SUM('상세 자료 작성'!M222,'상세 자료 작성'!M233,'상세 자료 작성'!M244)/10^8</f>
        <v>39.266790100000001</v>
      </c>
      <c r="H48" s="1481"/>
      <c r="I48" s="1493">
        <f>X16</f>
        <v>32.328658040000001</v>
      </c>
      <c r="J48" s="1494"/>
      <c r="K48" s="1440">
        <f t="shared" si="29"/>
        <v>-6.9381320600000009</v>
      </c>
      <c r="L48" s="1502"/>
      <c r="M48" s="1437"/>
      <c r="N48" s="1438"/>
      <c r="O48" s="1438"/>
      <c r="P48" s="1438"/>
      <c r="Q48" s="1438"/>
      <c r="R48" s="1438"/>
      <c r="S48" s="1438"/>
      <c r="T48" s="1438"/>
      <c r="U48" s="1438"/>
      <c r="V48" s="1438"/>
      <c r="W48" s="1439"/>
    </row>
    <row r="49" spans="2:25" ht="21.6" hidden="1" customHeight="1">
      <c r="B49" s="1122"/>
      <c r="C49" s="1362" t="s">
        <v>22</v>
      </c>
      <c r="D49" s="1363"/>
      <c r="E49" s="1340">
        <f>W18</f>
        <v>4.6875</v>
      </c>
      <c r="F49" s="1341"/>
      <c r="G49" s="1340">
        <f>SUM('상세 자료 작성'!M223,'상세 자료 작성'!M234,'상세 자료 작성'!M245)/10^8</f>
        <v>2.45975002</v>
      </c>
      <c r="H49" s="1481"/>
      <c r="I49" s="1493">
        <f>X18</f>
        <v>5.0495833399999999</v>
      </c>
      <c r="J49" s="1494"/>
      <c r="K49" s="1440">
        <f t="shared" si="29"/>
        <v>2.5898333199999999</v>
      </c>
      <c r="L49" s="1441"/>
      <c r="M49" s="1387"/>
      <c r="N49" s="1504"/>
      <c r="O49" s="1504"/>
      <c r="P49" s="1504"/>
      <c r="Q49" s="1504"/>
      <c r="R49" s="1504"/>
      <c r="S49" s="1504"/>
      <c r="T49" s="1504"/>
      <c r="U49" s="1504"/>
      <c r="V49" s="1504"/>
      <c r="W49" s="1505"/>
      <c r="Y49" s="1123"/>
    </row>
    <row r="50" spans="2:25" ht="21.6" hidden="1" customHeight="1">
      <c r="B50" s="1122"/>
      <c r="C50" s="1362" t="s">
        <v>52</v>
      </c>
      <c r="D50" s="1363"/>
      <c r="E50" s="1340">
        <f>W19</f>
        <v>0</v>
      </c>
      <c r="F50" s="1341"/>
      <c r="G50" s="1340">
        <f>SUM('상세 자료 작성'!M224,'상세 자료 작성'!M235,'상세 자료 작성'!M246)/10^8</f>
        <v>1.016294</v>
      </c>
      <c r="H50" s="1481"/>
      <c r="I50" s="1493">
        <f>X19</f>
        <v>0.37327709999999997</v>
      </c>
      <c r="J50" s="1494"/>
      <c r="K50" s="1440">
        <f t="shared" si="29"/>
        <v>-0.64301690000000011</v>
      </c>
      <c r="L50" s="1441"/>
      <c r="M50" s="1387"/>
      <c r="N50" s="1388"/>
      <c r="O50" s="1388"/>
      <c r="P50" s="1388"/>
      <c r="Q50" s="1388"/>
      <c r="R50" s="1388"/>
      <c r="S50" s="1388"/>
      <c r="T50" s="1388"/>
      <c r="U50" s="1388"/>
      <c r="V50" s="1388"/>
      <c r="W50" s="1389"/>
    </row>
    <row r="51" spans="2:25" ht="21.6" hidden="1" customHeight="1" thickBot="1">
      <c r="B51" s="1378" t="s">
        <v>48</v>
      </c>
      <c r="C51" s="1379"/>
      <c r="D51" s="1380"/>
      <c r="E51" s="1364" t="e">
        <f>E41+E42+E45</f>
        <v>#REF!</v>
      </c>
      <c r="F51" s="1377"/>
      <c r="G51" s="1364">
        <f>G41+G42+G45</f>
        <v>382.11288296560002</v>
      </c>
      <c r="H51" s="1377"/>
      <c r="I51" s="1364" t="e">
        <f>I41+I42+I45</f>
        <v>#REF!</v>
      </c>
      <c r="J51" s="1523"/>
      <c r="K51" s="1401" t="e">
        <f t="shared" si="29"/>
        <v>#REF!</v>
      </c>
      <c r="L51" s="1402"/>
      <c r="M51" s="1404" t="s">
        <v>53</v>
      </c>
      <c r="N51" s="1404"/>
      <c r="O51" s="1404"/>
      <c r="P51" s="1404"/>
      <c r="Q51" s="1404"/>
      <c r="R51" s="1404"/>
      <c r="S51" s="1404"/>
      <c r="T51" s="1404"/>
      <c r="U51" s="1404"/>
      <c r="V51" s="1404"/>
      <c r="W51" s="1405"/>
    </row>
    <row r="52" spans="2:25" ht="12" customHeight="1">
      <c r="B52" s="1522"/>
      <c r="C52" s="1522"/>
      <c r="D52" s="1522"/>
      <c r="E52" s="1118"/>
      <c r="F52" s="1118"/>
      <c r="G52" s="1118"/>
      <c r="H52" s="1118"/>
      <c r="I52" s="1118"/>
      <c r="J52" s="1118"/>
      <c r="K52" s="1118"/>
      <c r="L52" s="1118"/>
      <c r="M52" s="1124"/>
      <c r="N52" s="1124"/>
      <c r="O52" s="1125"/>
      <c r="P52" s="1125"/>
      <c r="Q52" s="1125"/>
      <c r="R52" s="1125"/>
      <c r="S52" s="1125"/>
      <c r="T52" s="1125"/>
      <c r="U52" s="1125"/>
      <c r="V52" s="1125"/>
      <c r="W52" s="1125"/>
      <c r="X52" s="1125"/>
      <c r="Y52" s="1125"/>
    </row>
    <row r="53" spans="2:25" ht="25.35" hidden="1" customHeight="1">
      <c r="B53" s="1113" t="s">
        <v>54</v>
      </c>
      <c r="X53" s="1125"/>
      <c r="Y53" s="1125"/>
    </row>
    <row r="54" spans="2:25" ht="25.35" hidden="1" customHeight="1" thickBot="1">
      <c r="B54" s="1484" t="s">
        <v>7</v>
      </c>
      <c r="C54" s="1484"/>
      <c r="D54" s="1484"/>
      <c r="E54" s="1484" t="s">
        <v>55</v>
      </c>
      <c r="F54" s="1484"/>
      <c r="G54" s="1484" t="s">
        <v>56</v>
      </c>
      <c r="H54" s="1484"/>
      <c r="I54" s="1503"/>
      <c r="J54" s="1484" t="s">
        <v>57</v>
      </c>
      <c r="K54" s="1484"/>
      <c r="L54" s="1503"/>
      <c r="M54" s="1484" t="s">
        <v>44</v>
      </c>
      <c r="N54" s="1484"/>
      <c r="O54" s="1484"/>
      <c r="P54" s="1484"/>
      <c r="Q54" s="1484"/>
      <c r="R54" s="1484"/>
      <c r="S54" s="1484"/>
      <c r="T54" s="1484"/>
      <c r="U54" s="1484"/>
      <c r="V54" s="1484"/>
      <c r="W54" s="1484"/>
      <c r="X54" s="1125"/>
      <c r="Y54" s="1125"/>
    </row>
    <row r="55" spans="2:25" ht="24" hidden="1" customHeight="1">
      <c r="B55" s="1484"/>
      <c r="C55" s="1484"/>
      <c r="D55" s="1484"/>
      <c r="E55" s="1484"/>
      <c r="F55" s="1484"/>
      <c r="G55" s="1126" t="s">
        <v>58</v>
      </c>
      <c r="H55" s="1127" t="s">
        <v>59</v>
      </c>
      <c r="I55" s="1128" t="s">
        <v>60</v>
      </c>
      <c r="J55" s="1129" t="s">
        <v>58</v>
      </c>
      <c r="K55" s="1127" t="s">
        <v>59</v>
      </c>
      <c r="L55" s="1128" t="s">
        <v>60</v>
      </c>
      <c r="M55" s="1485"/>
      <c r="N55" s="1484"/>
      <c r="O55" s="1484"/>
      <c r="P55" s="1484"/>
      <c r="Q55" s="1484"/>
      <c r="R55" s="1484"/>
      <c r="S55" s="1484"/>
      <c r="T55" s="1484"/>
      <c r="U55" s="1484"/>
      <c r="V55" s="1484"/>
      <c r="W55" s="1484"/>
    </row>
    <row r="56" spans="2:25" ht="72" hidden="1" customHeight="1">
      <c r="B56" s="1468" t="s">
        <v>45</v>
      </c>
      <c r="C56" s="1469"/>
      <c r="D56" s="1470"/>
      <c r="E56" s="1506">
        <v>27.901129285714283</v>
      </c>
      <c r="F56" s="1507"/>
      <c r="G56" s="1130">
        <v>14.48897541</v>
      </c>
      <c r="H56" s="1130">
        <v>17.33273599</v>
      </c>
      <c r="I56" s="1131">
        <f>H56-G56</f>
        <v>2.8437605799999996</v>
      </c>
      <c r="J56" s="1130">
        <v>29.215681419999999</v>
      </c>
      <c r="K56" s="1130">
        <v>32.004119600000003</v>
      </c>
      <c r="L56" s="1131">
        <f t="shared" ref="L56:L66" si="30">K56-J56</f>
        <v>2.7884381800000035</v>
      </c>
      <c r="M56" s="1496" t="s">
        <v>61</v>
      </c>
      <c r="N56" s="1497"/>
      <c r="O56" s="1497"/>
      <c r="P56" s="1497"/>
      <c r="Q56" s="1497"/>
      <c r="R56" s="1497"/>
      <c r="S56" s="1497"/>
      <c r="T56" s="1497"/>
      <c r="U56" s="1497"/>
      <c r="V56" s="1497"/>
      <c r="W56" s="1498"/>
    </row>
    <row r="57" spans="2:25" ht="19.2" hidden="1">
      <c r="B57" s="1478" t="s">
        <v>46</v>
      </c>
      <c r="C57" s="1479"/>
      <c r="D57" s="1479"/>
      <c r="E57" s="1353">
        <v>303.01408400000003</v>
      </c>
      <c r="F57" s="1476"/>
      <c r="G57" s="1132">
        <v>78.430538099999993</v>
      </c>
      <c r="H57" s="1132">
        <v>70.990869099999998</v>
      </c>
      <c r="I57" s="1133">
        <f t="shared" ref="I57:I66" si="31">H57-G57</f>
        <v>-7.439668999999995</v>
      </c>
      <c r="J57" s="1132">
        <v>260.9325857</v>
      </c>
      <c r="K57" s="1132">
        <v>262.6940907</v>
      </c>
      <c r="L57" s="1134">
        <f t="shared" si="30"/>
        <v>1.7615049999999997</v>
      </c>
      <c r="M57" s="1393"/>
      <c r="N57" s="1394"/>
      <c r="O57" s="1394"/>
      <c r="P57" s="1394"/>
      <c r="Q57" s="1394"/>
      <c r="R57" s="1394"/>
      <c r="S57" s="1394"/>
      <c r="T57" s="1394"/>
      <c r="U57" s="1394"/>
      <c r="V57" s="1394"/>
      <c r="W57" s="1395"/>
    </row>
    <row r="58" spans="2:25" ht="72" hidden="1" customHeight="1">
      <c r="B58" s="1122"/>
      <c r="C58" s="1362" t="s">
        <v>26</v>
      </c>
      <c r="D58" s="1363"/>
      <c r="E58" s="1340">
        <v>292.36850900000002</v>
      </c>
      <c r="F58" s="1341"/>
      <c r="G58" s="1135">
        <v>74.575491499999998</v>
      </c>
      <c r="H58" s="1135">
        <v>67.135822500000003</v>
      </c>
      <c r="I58" s="1131">
        <f t="shared" si="31"/>
        <v>-7.439668999999995</v>
      </c>
      <c r="J58" s="1135">
        <v>244.3935635</v>
      </c>
      <c r="K58" s="1135">
        <v>245.16506849999999</v>
      </c>
      <c r="L58" s="1136">
        <f t="shared" si="30"/>
        <v>0.77150499999999056</v>
      </c>
      <c r="M58" s="1403" t="s">
        <v>62</v>
      </c>
      <c r="N58" s="1391"/>
      <c r="O58" s="1391"/>
      <c r="P58" s="1391"/>
      <c r="Q58" s="1391"/>
      <c r="R58" s="1391"/>
      <c r="S58" s="1391"/>
      <c r="T58" s="1391"/>
      <c r="U58" s="1391"/>
      <c r="V58" s="1391"/>
      <c r="W58" s="1392"/>
    </row>
    <row r="59" spans="2:25" ht="19.2" hidden="1">
      <c r="B59" s="1122"/>
      <c r="C59" s="1362" t="s">
        <v>27</v>
      </c>
      <c r="D59" s="1363"/>
      <c r="E59" s="1340">
        <v>10.645575000000001</v>
      </c>
      <c r="F59" s="1341"/>
      <c r="G59" s="1135">
        <v>3.8550466000000001</v>
      </c>
      <c r="H59" s="1135">
        <v>3.8550466000000001</v>
      </c>
      <c r="I59" s="1131">
        <f t="shared" si="31"/>
        <v>0</v>
      </c>
      <c r="J59" s="1135">
        <v>16.539022200000002</v>
      </c>
      <c r="K59" s="1135">
        <v>17.5290222</v>
      </c>
      <c r="L59" s="1136">
        <f t="shared" si="30"/>
        <v>0.98999999999999844</v>
      </c>
      <c r="M59" s="1390" t="s">
        <v>63</v>
      </c>
      <c r="N59" s="1391"/>
      <c r="O59" s="1391"/>
      <c r="P59" s="1391"/>
      <c r="Q59" s="1391"/>
      <c r="R59" s="1391"/>
      <c r="S59" s="1391"/>
      <c r="T59" s="1391"/>
      <c r="U59" s="1391"/>
      <c r="V59" s="1391"/>
      <c r="W59" s="1392"/>
    </row>
    <row r="60" spans="2:25" ht="19.2" hidden="1">
      <c r="B60" s="1478" t="s">
        <v>47</v>
      </c>
      <c r="C60" s="1479"/>
      <c r="D60" s="1479"/>
      <c r="E60" s="1353">
        <v>0</v>
      </c>
      <c r="F60" s="1476"/>
      <c r="G60" s="1132">
        <v>13.467252030000001</v>
      </c>
      <c r="H60" s="1132">
        <v>20.337252029999998</v>
      </c>
      <c r="I60" s="1133">
        <f t="shared" si="31"/>
        <v>6.8699999999999974</v>
      </c>
      <c r="J60" s="1132">
        <v>41.133106089999998</v>
      </c>
      <c r="K60" s="1132">
        <v>40.966090770000001</v>
      </c>
      <c r="L60" s="1134">
        <f t="shared" si="30"/>
        <v>-0.1670153199999973</v>
      </c>
      <c r="M60" s="1393"/>
      <c r="N60" s="1394"/>
      <c r="O60" s="1394"/>
      <c r="P60" s="1394"/>
      <c r="Q60" s="1394"/>
      <c r="R60" s="1394"/>
      <c r="S60" s="1394"/>
      <c r="T60" s="1394"/>
      <c r="U60" s="1394"/>
      <c r="V60" s="1394"/>
      <c r="W60" s="1395"/>
    </row>
    <row r="61" spans="2:25" ht="19.2" hidden="1">
      <c r="B61" s="1122"/>
      <c r="C61" s="1362" t="s">
        <v>51</v>
      </c>
      <c r="D61" s="1363"/>
      <c r="E61" s="1340">
        <v>0</v>
      </c>
      <c r="F61" s="1341"/>
      <c r="G61" s="1135">
        <v>0</v>
      </c>
      <c r="H61" s="1135">
        <v>0</v>
      </c>
      <c r="I61" s="1131">
        <f t="shared" si="31"/>
        <v>0</v>
      </c>
      <c r="J61" s="1135">
        <v>0</v>
      </c>
      <c r="K61" s="1135">
        <v>0</v>
      </c>
      <c r="L61" s="1136">
        <f t="shared" si="30"/>
        <v>0</v>
      </c>
      <c r="M61" s="1390"/>
      <c r="N61" s="1391"/>
      <c r="O61" s="1391"/>
      <c r="P61" s="1391"/>
      <c r="Q61" s="1391"/>
      <c r="R61" s="1391"/>
      <c r="S61" s="1391"/>
      <c r="T61" s="1391"/>
      <c r="U61" s="1391"/>
      <c r="V61" s="1391"/>
      <c r="W61" s="1392"/>
    </row>
    <row r="62" spans="2:25" ht="19.2" hidden="1">
      <c r="B62" s="1122"/>
      <c r="C62" s="1362" t="s">
        <v>30</v>
      </c>
      <c r="D62" s="1363"/>
      <c r="E62" s="1340">
        <v>0</v>
      </c>
      <c r="F62" s="1341"/>
      <c r="G62" s="1135">
        <v>1.29</v>
      </c>
      <c r="H62" s="1135">
        <v>0</v>
      </c>
      <c r="I62" s="1131">
        <f t="shared" si="31"/>
        <v>-1.29</v>
      </c>
      <c r="J62" s="1135">
        <v>5.49</v>
      </c>
      <c r="K62" s="1135">
        <v>5.49</v>
      </c>
      <c r="L62" s="1136">
        <f t="shared" si="30"/>
        <v>0</v>
      </c>
      <c r="M62" s="1397" t="s">
        <v>64</v>
      </c>
      <c r="N62" s="1344"/>
      <c r="O62" s="1344"/>
      <c r="P62" s="1344"/>
      <c r="Q62" s="1344"/>
      <c r="R62" s="1344"/>
      <c r="S62" s="1344"/>
      <c r="T62" s="1344"/>
      <c r="U62" s="1344"/>
      <c r="V62" s="1344"/>
      <c r="W62" s="1344"/>
    </row>
    <row r="63" spans="2:25" ht="19.2" hidden="1">
      <c r="B63" s="1122"/>
      <c r="C63" s="1362" t="s">
        <v>29</v>
      </c>
      <c r="D63" s="1363"/>
      <c r="E63" s="1340">
        <v>0</v>
      </c>
      <c r="F63" s="1341"/>
      <c r="G63" s="1135">
        <v>11.861210359999999</v>
      </c>
      <c r="H63" s="1135">
        <v>18.731210359999999</v>
      </c>
      <c r="I63" s="1131">
        <f t="shared" si="31"/>
        <v>6.8699999999999992</v>
      </c>
      <c r="J63" s="1135">
        <v>32.10323108</v>
      </c>
      <c r="K63" s="1135">
        <v>31.890174089999999</v>
      </c>
      <c r="L63" s="1136">
        <f t="shared" si="30"/>
        <v>-0.21305699000000189</v>
      </c>
      <c r="M63" s="1396" t="s">
        <v>65</v>
      </c>
      <c r="N63" s="1388"/>
      <c r="O63" s="1388"/>
      <c r="P63" s="1388"/>
      <c r="Q63" s="1388"/>
      <c r="R63" s="1388"/>
      <c r="S63" s="1388"/>
      <c r="T63" s="1388"/>
      <c r="U63" s="1388"/>
      <c r="V63" s="1388"/>
      <c r="W63" s="1389"/>
    </row>
    <row r="64" spans="2:25" ht="19.2" hidden="1">
      <c r="B64" s="1122"/>
      <c r="C64" s="1362" t="s">
        <v>22</v>
      </c>
      <c r="D64" s="1363"/>
      <c r="E64" s="1340">
        <v>0</v>
      </c>
      <c r="F64" s="1341"/>
      <c r="G64" s="1135">
        <v>0.31604167</v>
      </c>
      <c r="H64" s="1135">
        <v>0.31604167</v>
      </c>
      <c r="I64" s="1131">
        <f t="shared" si="31"/>
        <v>0</v>
      </c>
      <c r="J64" s="1135">
        <v>3.29187501</v>
      </c>
      <c r="K64" s="1135">
        <v>3.3859166799999998</v>
      </c>
      <c r="L64" s="1136">
        <f t="shared" si="30"/>
        <v>9.4041669999999744E-2</v>
      </c>
      <c r="M64" s="1390" t="s">
        <v>66</v>
      </c>
      <c r="N64" s="1391"/>
      <c r="O64" s="1391"/>
      <c r="P64" s="1391"/>
      <c r="Q64" s="1391"/>
      <c r="R64" s="1391"/>
      <c r="S64" s="1391"/>
      <c r="T64" s="1391"/>
      <c r="U64" s="1391"/>
      <c r="V64" s="1391"/>
      <c r="W64" s="1392"/>
    </row>
    <row r="65" spans="2:25" ht="19.2" hidden="1">
      <c r="B65" s="1122"/>
      <c r="C65" s="1362" t="s">
        <v>52</v>
      </c>
      <c r="D65" s="1363"/>
      <c r="E65" s="1340">
        <v>0</v>
      </c>
      <c r="F65" s="1341"/>
      <c r="G65" s="1135">
        <v>0</v>
      </c>
      <c r="H65" s="1135">
        <v>0</v>
      </c>
      <c r="I65" s="1131">
        <f t="shared" si="31"/>
        <v>0</v>
      </c>
      <c r="J65" s="1135">
        <v>0.248</v>
      </c>
      <c r="K65" s="1135">
        <v>0.2</v>
      </c>
      <c r="L65" s="1136">
        <f t="shared" si="30"/>
        <v>-4.7999999999999987E-2</v>
      </c>
      <c r="M65" s="1398"/>
      <c r="N65" s="1399"/>
      <c r="O65" s="1399"/>
      <c r="P65" s="1399"/>
      <c r="Q65" s="1399"/>
      <c r="R65" s="1399"/>
      <c r="S65" s="1399"/>
      <c r="T65" s="1399"/>
      <c r="U65" s="1399"/>
      <c r="V65" s="1399"/>
      <c r="W65" s="1400"/>
    </row>
    <row r="66" spans="2:25" ht="43.35" hidden="1" customHeight="1" thickBot="1">
      <c r="B66" s="1378" t="s">
        <v>48</v>
      </c>
      <c r="C66" s="1379"/>
      <c r="D66" s="1380"/>
      <c r="E66" s="1364">
        <v>330.91521328571429</v>
      </c>
      <c r="F66" s="1377"/>
      <c r="G66" s="1137">
        <v>106.38676553999998</v>
      </c>
      <c r="H66" s="1137">
        <v>107.37085712</v>
      </c>
      <c r="I66" s="1138">
        <f t="shared" si="31"/>
        <v>0.98409158000001185</v>
      </c>
      <c r="J66" s="1137">
        <v>331.28137321000003</v>
      </c>
      <c r="K66" s="1137">
        <v>335.66430107000002</v>
      </c>
      <c r="L66" s="1139">
        <f t="shared" si="30"/>
        <v>4.3829278599999952</v>
      </c>
      <c r="M66" s="1508"/>
      <c r="N66" s="1509"/>
      <c r="O66" s="1509"/>
      <c r="P66" s="1509"/>
      <c r="Q66" s="1509"/>
      <c r="R66" s="1509"/>
      <c r="S66" s="1509"/>
      <c r="T66" s="1509"/>
      <c r="U66" s="1509"/>
      <c r="V66" s="1509"/>
      <c r="W66" s="1510"/>
    </row>
    <row r="67" spans="2:25" ht="11.1" hidden="1" customHeight="1">
      <c r="B67" s="1140"/>
      <c r="C67" s="1140"/>
      <c r="D67" s="1140"/>
      <c r="E67" s="1118"/>
      <c r="F67" s="1118"/>
      <c r="G67" s="1118"/>
      <c r="H67" s="1118"/>
      <c r="I67" s="1118"/>
      <c r="J67" s="1118"/>
      <c r="K67" s="1118"/>
      <c r="L67" s="1118"/>
      <c r="M67" s="1124"/>
      <c r="N67" s="1124"/>
      <c r="O67" s="1125"/>
      <c r="P67" s="1125"/>
      <c r="Q67" s="1125"/>
      <c r="R67" s="1125"/>
      <c r="S67" s="1125"/>
      <c r="T67" s="1125"/>
      <c r="U67" s="1125"/>
      <c r="V67" s="1125"/>
      <c r="W67" s="1125"/>
      <c r="X67" s="1125"/>
      <c r="Y67" s="1125"/>
    </row>
    <row r="68" spans="2:25" ht="25.35" customHeight="1">
      <c r="B68" s="1113" t="s">
        <v>67</v>
      </c>
      <c r="W68" s="1141"/>
      <c r="X68" s="1125"/>
    </row>
    <row r="69" spans="2:25" ht="233.1" customHeight="1">
      <c r="B69" s="1113"/>
      <c r="C69" s="1140"/>
      <c r="D69" s="1140"/>
      <c r="E69" s="1118"/>
      <c r="F69" s="1118"/>
      <c r="G69" s="1118"/>
      <c r="H69" s="1118"/>
      <c r="I69" s="1118"/>
      <c r="J69" s="1118"/>
      <c r="K69" s="1118"/>
      <c r="L69" s="1118"/>
      <c r="M69" s="1124"/>
      <c r="N69" s="1124"/>
      <c r="O69" s="1125"/>
      <c r="P69" s="1125"/>
      <c r="Q69" s="1125"/>
      <c r="R69" s="1125"/>
      <c r="S69" s="1125"/>
      <c r="T69" s="1125"/>
      <c r="U69" s="1125"/>
      <c r="V69" s="1125"/>
      <c r="W69" s="1125"/>
      <c r="X69" s="1125"/>
      <c r="Y69" s="1125"/>
    </row>
    <row r="70" spans="2:25" ht="23.1" customHeight="1">
      <c r="B70" s="1113"/>
      <c r="C70" s="1140"/>
      <c r="D70" s="1140"/>
      <c r="E70" s="1118"/>
      <c r="F70" s="1118"/>
      <c r="G70" s="1118"/>
      <c r="H70" s="1118"/>
      <c r="I70" s="1118"/>
      <c r="J70" s="1118"/>
      <c r="K70" s="1118"/>
      <c r="L70" s="1118"/>
      <c r="M70" s="1124"/>
      <c r="N70" s="1124"/>
      <c r="O70" s="1125"/>
      <c r="P70" s="1125"/>
      <c r="Q70" s="1125"/>
      <c r="R70" s="1125"/>
      <c r="S70" s="1125"/>
      <c r="T70" s="1125"/>
      <c r="U70" s="1125"/>
      <c r="V70" s="1125"/>
      <c r="W70" s="1125"/>
      <c r="X70" s="1125"/>
      <c r="Y70" s="1125"/>
    </row>
    <row r="71" spans="2:25" ht="23.1" customHeight="1">
      <c r="B71" s="1140"/>
      <c r="C71" s="1140"/>
      <c r="D71" s="1140"/>
      <c r="E71" s="1118"/>
      <c r="F71" s="1118"/>
      <c r="G71" s="1118"/>
      <c r="H71" s="1118"/>
      <c r="I71" s="1118"/>
      <c r="J71" s="1118"/>
      <c r="K71" s="1118"/>
      <c r="L71" s="1118"/>
      <c r="M71" s="1124"/>
      <c r="N71" s="1124"/>
      <c r="O71" s="1125"/>
      <c r="P71" s="1125"/>
      <c r="Q71" s="1125"/>
      <c r="R71" s="1125"/>
      <c r="S71" s="1125"/>
      <c r="T71" s="1125"/>
      <c r="U71" s="1125"/>
      <c r="V71" s="1125"/>
      <c r="W71" s="1125"/>
      <c r="X71" s="1125"/>
      <c r="Y71" s="1125"/>
    </row>
    <row r="72" spans="2:25" ht="23.1" customHeight="1">
      <c r="B72" s="1140"/>
      <c r="C72" s="1140"/>
      <c r="D72" s="1140"/>
      <c r="E72" s="1118"/>
      <c r="F72" s="1118"/>
      <c r="G72" s="1118"/>
      <c r="H72" s="1118"/>
      <c r="I72" s="1118"/>
      <c r="J72" s="1118"/>
      <c r="K72" s="1118"/>
      <c r="L72" s="1118"/>
      <c r="M72" s="1124"/>
      <c r="N72" s="1124"/>
      <c r="O72" s="1125"/>
      <c r="P72" s="1125"/>
      <c r="Q72" s="1125"/>
      <c r="R72" s="1125"/>
      <c r="S72" s="1125"/>
      <c r="T72" s="1125"/>
      <c r="U72" s="1125"/>
      <c r="V72" s="1125"/>
      <c r="W72" s="1125"/>
      <c r="X72" s="1125"/>
      <c r="Y72" s="1125"/>
    </row>
    <row r="73" spans="2:25" ht="23.1" customHeight="1">
      <c r="B73" s="1140"/>
      <c r="C73" s="1140"/>
      <c r="D73" s="1140"/>
      <c r="E73" s="1118"/>
      <c r="F73" s="1118"/>
      <c r="G73" s="1118"/>
      <c r="H73" s="1118"/>
      <c r="I73" s="1118"/>
      <c r="J73" s="1118"/>
      <c r="K73" s="1118"/>
      <c r="L73" s="1118"/>
      <c r="M73" s="1124"/>
      <c r="N73" s="1124"/>
      <c r="O73" s="1125"/>
      <c r="P73" s="1125"/>
      <c r="Q73" s="1125"/>
      <c r="R73" s="1125"/>
      <c r="S73" s="1125"/>
      <c r="T73" s="1125"/>
      <c r="U73" s="1125"/>
      <c r="V73" s="1125"/>
      <c r="W73" s="1125"/>
      <c r="X73" s="1125"/>
      <c r="Y73" s="1125"/>
    </row>
    <row r="74" spans="2:25" ht="23.1" customHeight="1">
      <c r="B74" s="1140"/>
      <c r="C74" s="1140"/>
      <c r="D74" s="1140"/>
      <c r="E74" s="1118"/>
      <c r="F74" s="1118"/>
      <c r="G74" s="1118"/>
      <c r="H74" s="1118"/>
      <c r="I74" s="1118"/>
      <c r="J74" s="1118"/>
      <c r="K74" s="1118"/>
      <c r="L74" s="1118"/>
      <c r="M74" s="1124"/>
      <c r="N74" s="1124"/>
      <c r="O74" s="1125"/>
      <c r="P74" s="1125"/>
      <c r="Q74" s="1125"/>
      <c r="R74" s="1125"/>
      <c r="S74" s="1125"/>
      <c r="T74" s="1125"/>
      <c r="U74" s="1125"/>
      <c r="V74" s="1125"/>
      <c r="W74" s="1125"/>
      <c r="X74" s="1125"/>
      <c r="Y74" s="1125"/>
    </row>
    <row r="75" spans="2:25" ht="30.6" customHeight="1">
      <c r="B75" s="1140"/>
      <c r="C75" s="1123"/>
      <c r="D75" s="1140"/>
      <c r="E75" s="1118"/>
      <c r="F75" s="1118"/>
      <c r="G75" s="1118"/>
      <c r="H75" s="1118"/>
      <c r="I75" s="1118"/>
      <c r="J75" s="1118"/>
      <c r="K75" s="1118"/>
      <c r="L75" s="1118"/>
      <c r="M75" s="1124"/>
      <c r="N75" s="1124"/>
      <c r="O75" s="1125"/>
      <c r="P75" s="1125"/>
      <c r="Q75" s="1125"/>
      <c r="R75" s="1125"/>
      <c r="S75" s="1125"/>
      <c r="T75" s="1125"/>
      <c r="U75" s="1125"/>
      <c r="V75" s="1125"/>
      <c r="W75" s="1125"/>
      <c r="X75" s="1125"/>
    </row>
    <row r="76" spans="2:25" ht="21.6" hidden="1" thickBot="1">
      <c r="B76" s="1113" t="s">
        <v>68</v>
      </c>
      <c r="L76" s="1121"/>
      <c r="N76" s="1121"/>
    </row>
    <row r="77" spans="2:25" ht="49.5" hidden="1" customHeight="1">
      <c r="C77" s="1495" t="s">
        <v>7</v>
      </c>
      <c r="D77" s="1407"/>
      <c r="E77" s="1342"/>
      <c r="F77" s="1406" t="s">
        <v>69</v>
      </c>
      <c r="G77" s="1342"/>
      <c r="H77" s="1406" t="s">
        <v>70</v>
      </c>
      <c r="I77" s="1342"/>
      <c r="J77" s="1406" t="s">
        <v>71</v>
      </c>
      <c r="K77" s="1407"/>
      <c r="L77" s="1381" t="s">
        <v>72</v>
      </c>
      <c r="M77" s="1382"/>
      <c r="N77" s="1342" t="s">
        <v>44</v>
      </c>
      <c r="O77" s="1343"/>
      <c r="P77" s="1343"/>
      <c r="Q77" s="1343"/>
      <c r="R77" s="1343"/>
      <c r="S77" s="1343"/>
      <c r="T77" s="1343"/>
      <c r="U77" s="1343"/>
      <c r="V77" s="1343"/>
      <c r="W77" s="1343"/>
      <c r="X77" s="1142"/>
      <c r="Y77" s="1142"/>
    </row>
    <row r="78" spans="2:25" ht="19.2" hidden="1">
      <c r="C78" s="1471" t="s">
        <v>45</v>
      </c>
      <c r="D78" s="1472"/>
      <c r="E78" s="1473"/>
      <c r="F78" s="1474">
        <f>'요약(보고) 241025현실화'!BM9</f>
        <v>199.22285639540237</v>
      </c>
      <c r="G78" s="1475"/>
      <c r="H78" s="1474" t="e">
        <f>#REF!</f>
        <v>#REF!</v>
      </c>
      <c r="I78" s="1475"/>
      <c r="J78" s="1408" t="e">
        <f>H78</f>
        <v>#REF!</v>
      </c>
      <c r="K78" s="1409"/>
      <c r="L78" s="1357" t="e">
        <f>J78-H78</f>
        <v>#REF!</v>
      </c>
      <c r="M78" s="1358"/>
      <c r="N78" s="1344"/>
      <c r="O78" s="1344"/>
      <c r="P78" s="1344"/>
      <c r="Q78" s="1344"/>
      <c r="R78" s="1344"/>
      <c r="S78" s="1344"/>
      <c r="T78" s="1344"/>
      <c r="U78" s="1344"/>
      <c r="V78" s="1344"/>
      <c r="W78" s="1345"/>
      <c r="X78" s="1143"/>
      <c r="Y78" s="1143"/>
    </row>
    <row r="79" spans="2:25" ht="19.2" hidden="1">
      <c r="C79" s="1478" t="s">
        <v>46</v>
      </c>
      <c r="D79" s="1479"/>
      <c r="E79" s="1479"/>
      <c r="F79" s="1353">
        <f>SUM(F80:G81)</f>
        <v>990.00240480000002</v>
      </c>
      <c r="G79" s="1476"/>
      <c r="H79" s="1353" t="e">
        <f>SUM(H80:I81)</f>
        <v>#REF!</v>
      </c>
      <c r="I79" s="1476"/>
      <c r="J79" s="1353" t="e">
        <f>SUM(J80:K81)</f>
        <v>#REF!</v>
      </c>
      <c r="K79" s="1354"/>
      <c r="L79" s="1383" t="e">
        <f t="shared" ref="L79:L88" si="32">J79-H79</f>
        <v>#REF!</v>
      </c>
      <c r="M79" s="1384"/>
      <c r="N79" s="1346"/>
      <c r="O79" s="1346"/>
      <c r="P79" s="1346"/>
      <c r="Q79" s="1346"/>
      <c r="R79" s="1346"/>
      <c r="S79" s="1346"/>
      <c r="T79" s="1346"/>
      <c r="U79" s="1346"/>
      <c r="V79" s="1346"/>
      <c r="W79" s="1347"/>
      <c r="X79" s="1143"/>
      <c r="Y79" s="1143"/>
    </row>
    <row r="80" spans="2:25" ht="72.599999999999994" hidden="1" customHeight="1">
      <c r="C80" s="1122"/>
      <c r="D80" s="1362" t="s">
        <v>26</v>
      </c>
      <c r="E80" s="1363"/>
      <c r="F80" s="1340">
        <f>'요약(보고) 241025현실화'!BM15</f>
        <v>918.82665700000007</v>
      </c>
      <c r="G80" s="1341"/>
      <c r="H80" s="1340" t="e">
        <f>#REF!</f>
        <v>#REF!</v>
      </c>
      <c r="I80" s="1341"/>
      <c r="J80" s="1340" t="e">
        <f>H80+3</f>
        <v>#REF!</v>
      </c>
      <c r="K80" s="1374"/>
      <c r="L80" s="1385" t="e">
        <f t="shared" si="32"/>
        <v>#REF!</v>
      </c>
      <c r="M80" s="1386"/>
      <c r="N80" s="1410" t="s">
        <v>73</v>
      </c>
      <c r="O80" s="1344"/>
      <c r="P80" s="1344"/>
      <c r="Q80" s="1344"/>
      <c r="R80" s="1344"/>
      <c r="S80" s="1344"/>
      <c r="T80" s="1344"/>
      <c r="U80" s="1344"/>
      <c r="V80" s="1344"/>
      <c r="W80" s="1345"/>
      <c r="X80" s="1143"/>
      <c r="Y80" s="1143"/>
    </row>
    <row r="81" spans="1:25" ht="19.2" hidden="1">
      <c r="C81" s="1122"/>
      <c r="D81" s="1362" t="s">
        <v>27</v>
      </c>
      <c r="E81" s="1363"/>
      <c r="F81" s="1340">
        <f>'요약(보고) 241025현실화'!BM14</f>
        <v>71.175747799999996</v>
      </c>
      <c r="G81" s="1341"/>
      <c r="H81" s="1340" t="e">
        <f>#REF!</f>
        <v>#REF!</v>
      </c>
      <c r="I81" s="1341"/>
      <c r="J81" s="1340" t="e">
        <f>H81-3</f>
        <v>#REF!</v>
      </c>
      <c r="K81" s="1374"/>
      <c r="L81" s="1385" t="e">
        <f t="shared" si="32"/>
        <v>#REF!</v>
      </c>
      <c r="M81" s="1386"/>
      <c r="N81" s="1344" t="s">
        <v>74</v>
      </c>
      <c r="O81" s="1344"/>
      <c r="P81" s="1344"/>
      <c r="Q81" s="1344"/>
      <c r="R81" s="1344"/>
      <c r="S81" s="1344"/>
      <c r="T81" s="1344"/>
      <c r="U81" s="1344"/>
      <c r="V81" s="1344"/>
      <c r="W81" s="1345"/>
      <c r="X81" s="1143"/>
      <c r="Y81" s="1143"/>
    </row>
    <row r="82" spans="1:25" ht="19.2" hidden="1">
      <c r="C82" s="1478" t="s">
        <v>47</v>
      </c>
      <c r="D82" s="1479"/>
      <c r="E82" s="1479"/>
      <c r="F82" s="1353">
        <f>SUM(F83:G87)</f>
        <v>105.21829700999999</v>
      </c>
      <c r="G82" s="1476"/>
      <c r="H82" s="1353" t="e">
        <f>SUM(H83:I87)</f>
        <v>#REF!</v>
      </c>
      <c r="I82" s="1476"/>
      <c r="J82" s="1353" t="e">
        <f>SUM(J83:K87)</f>
        <v>#REF!</v>
      </c>
      <c r="K82" s="1354"/>
      <c r="L82" s="1355" t="e">
        <f t="shared" si="32"/>
        <v>#REF!</v>
      </c>
      <c r="M82" s="1356"/>
      <c r="N82" s="1346"/>
      <c r="O82" s="1346"/>
      <c r="P82" s="1346"/>
      <c r="Q82" s="1346"/>
      <c r="R82" s="1346"/>
      <c r="S82" s="1346"/>
      <c r="T82" s="1346"/>
      <c r="U82" s="1346"/>
      <c r="V82" s="1346"/>
      <c r="W82" s="1347"/>
      <c r="X82" s="1143"/>
      <c r="Y82" s="1143"/>
    </row>
    <row r="83" spans="1:25" ht="19.2" hidden="1">
      <c r="C83" s="1122"/>
      <c r="D83" s="1362" t="s">
        <v>51</v>
      </c>
      <c r="E83" s="1363"/>
      <c r="F83" s="1340">
        <f>'요약(보고) 241025현실화'!BM17</f>
        <v>3.98</v>
      </c>
      <c r="G83" s="1341"/>
      <c r="H83" s="1340" t="e">
        <f>#REF!</f>
        <v>#REF!</v>
      </c>
      <c r="I83" s="1341"/>
      <c r="J83" s="1340" t="e">
        <f>H83</f>
        <v>#REF!</v>
      </c>
      <c r="K83" s="1374"/>
      <c r="L83" s="1329" t="e">
        <f t="shared" si="32"/>
        <v>#REF!</v>
      </c>
      <c r="M83" s="1330"/>
      <c r="N83" s="1344"/>
      <c r="O83" s="1344"/>
      <c r="P83" s="1344"/>
      <c r="Q83" s="1344"/>
      <c r="R83" s="1344"/>
      <c r="S83" s="1344"/>
      <c r="T83" s="1344"/>
      <c r="U83" s="1344"/>
      <c r="V83" s="1344"/>
      <c r="W83" s="1345"/>
      <c r="X83" s="1143"/>
      <c r="Y83" s="1143"/>
    </row>
    <row r="84" spans="1:25" ht="19.2" hidden="1">
      <c r="C84" s="1122"/>
      <c r="D84" s="1362" t="s">
        <v>30</v>
      </c>
      <c r="E84" s="1363"/>
      <c r="F84" s="1340">
        <f>'요약(보고) 241025현실화'!BM18</f>
        <v>32.450000000000003</v>
      </c>
      <c r="G84" s="1341"/>
      <c r="H84" s="1340" t="e">
        <f>#REF!</f>
        <v>#REF!</v>
      </c>
      <c r="I84" s="1341"/>
      <c r="J84" s="1340" t="e">
        <f>H84</f>
        <v>#REF!</v>
      </c>
      <c r="K84" s="1374"/>
      <c r="L84" s="1357" t="e">
        <f t="shared" si="32"/>
        <v>#REF!</v>
      </c>
      <c r="M84" s="1358"/>
      <c r="N84" s="1411"/>
      <c r="O84" s="1344"/>
      <c r="P84" s="1344"/>
      <c r="Q84" s="1344"/>
      <c r="R84" s="1344"/>
      <c r="S84" s="1344"/>
      <c r="T84" s="1344"/>
      <c r="U84" s="1344"/>
      <c r="V84" s="1344"/>
      <c r="W84" s="1345"/>
      <c r="X84" s="1143"/>
      <c r="Y84" s="1143"/>
    </row>
    <row r="85" spans="1:25" ht="19.2" hidden="1">
      <c r="C85" s="1122"/>
      <c r="D85" s="1362" t="s">
        <v>29</v>
      </c>
      <c r="E85" s="1363"/>
      <c r="F85" s="1340">
        <f>'요약(보고) 241025현실화'!BM19</f>
        <v>33.285296959999997</v>
      </c>
      <c r="G85" s="1341"/>
      <c r="H85" s="1340" t="e">
        <f>#REF!</f>
        <v>#REF!</v>
      </c>
      <c r="I85" s="1341"/>
      <c r="J85" s="1340" t="e">
        <f>H85</f>
        <v>#REF!</v>
      </c>
      <c r="K85" s="1374"/>
      <c r="L85" s="1329" t="e">
        <f t="shared" si="32"/>
        <v>#REF!</v>
      </c>
      <c r="M85" s="1330"/>
      <c r="N85" s="1344"/>
      <c r="O85" s="1344"/>
      <c r="P85" s="1344"/>
      <c r="Q85" s="1344"/>
      <c r="R85" s="1344"/>
      <c r="S85" s="1344"/>
      <c r="T85" s="1344"/>
      <c r="U85" s="1344"/>
      <c r="V85" s="1344"/>
      <c r="W85" s="1345"/>
      <c r="X85" s="1143"/>
      <c r="Y85" s="1143"/>
    </row>
    <row r="86" spans="1:25" ht="19.2" hidden="1">
      <c r="C86" s="1122"/>
      <c r="D86" s="1362" t="s">
        <v>22</v>
      </c>
      <c r="E86" s="1363"/>
      <c r="F86" s="1340">
        <f>'요약(보고) 241025현실화'!BM20</f>
        <v>31.709833360000001</v>
      </c>
      <c r="G86" s="1341"/>
      <c r="H86" s="1340" t="e">
        <f>#REF!</f>
        <v>#REF!</v>
      </c>
      <c r="I86" s="1341"/>
      <c r="J86" s="1340" t="e">
        <f>H86</f>
        <v>#REF!</v>
      </c>
      <c r="K86" s="1374"/>
      <c r="L86" s="1357" t="e">
        <f t="shared" si="32"/>
        <v>#REF!</v>
      </c>
      <c r="M86" s="1358"/>
      <c r="N86" s="1344"/>
      <c r="O86" s="1344"/>
      <c r="P86" s="1344"/>
      <c r="Q86" s="1344"/>
      <c r="R86" s="1344"/>
      <c r="S86" s="1344"/>
      <c r="T86" s="1344"/>
      <c r="U86" s="1344"/>
      <c r="V86" s="1344"/>
      <c r="W86" s="1345"/>
      <c r="X86" s="1143"/>
      <c r="Y86" s="1143"/>
    </row>
    <row r="87" spans="1:25" ht="19.2" hidden="1">
      <c r="C87" s="1122"/>
      <c r="D87" s="1362" t="s">
        <v>52</v>
      </c>
      <c r="E87" s="1363"/>
      <c r="F87" s="1340">
        <f>'요약(보고) 241025현실화'!BM21</f>
        <v>3.7931666899999996</v>
      </c>
      <c r="G87" s="1341"/>
      <c r="H87" s="1340" t="e">
        <f>#REF!</f>
        <v>#REF!</v>
      </c>
      <c r="I87" s="1341"/>
      <c r="J87" s="1340" t="e">
        <f>H87</f>
        <v>#REF!</v>
      </c>
      <c r="K87" s="1374"/>
      <c r="L87" s="1357" t="e">
        <f t="shared" si="32"/>
        <v>#REF!</v>
      </c>
      <c r="M87" s="1358"/>
      <c r="N87" s="1344"/>
      <c r="O87" s="1344"/>
      <c r="P87" s="1344"/>
      <c r="Q87" s="1344"/>
      <c r="R87" s="1344"/>
      <c r="S87" s="1344"/>
      <c r="T87" s="1344"/>
      <c r="U87" s="1344"/>
      <c r="V87" s="1344"/>
      <c r="W87" s="1345"/>
      <c r="X87" s="1143"/>
      <c r="Y87" s="1143"/>
    </row>
    <row r="88" spans="1:25" ht="19.8" hidden="1" thickBot="1">
      <c r="C88" s="1378" t="s">
        <v>48</v>
      </c>
      <c r="D88" s="1379"/>
      <c r="E88" s="1380"/>
      <c r="F88" s="1364">
        <f>F78+F79+F82</f>
        <v>1294.4435582054025</v>
      </c>
      <c r="G88" s="1377"/>
      <c r="H88" s="1364" t="e">
        <f>H79+H78+H82</f>
        <v>#REF!</v>
      </c>
      <c r="I88" s="1377"/>
      <c r="J88" s="1364" t="e">
        <f>J78+J79+J82</f>
        <v>#REF!</v>
      </c>
      <c r="K88" s="1365"/>
      <c r="L88" s="1351" t="e">
        <f t="shared" si="32"/>
        <v>#REF!</v>
      </c>
      <c r="M88" s="1352"/>
      <c r="N88" s="1359"/>
      <c r="O88" s="1359"/>
      <c r="P88" s="1359"/>
      <c r="Q88" s="1359"/>
      <c r="R88" s="1359"/>
      <c r="S88" s="1359"/>
      <c r="T88" s="1359"/>
      <c r="U88" s="1359"/>
      <c r="V88" s="1359"/>
      <c r="W88" s="1360"/>
      <c r="X88" s="1143"/>
      <c r="Y88" s="1143"/>
    </row>
    <row r="89" spans="1:25" hidden="1">
      <c r="L89" s="1121"/>
      <c r="N89" s="1121"/>
    </row>
    <row r="90" spans="1:25">
      <c r="L90" s="1121"/>
      <c r="N90" s="1121"/>
    </row>
    <row r="91" spans="1:25" ht="22.8">
      <c r="A91" s="988" t="s">
        <v>75</v>
      </c>
      <c r="L91" s="1121"/>
      <c r="N91" s="1121"/>
    </row>
    <row r="92" spans="1:25">
      <c r="D92" s="1144"/>
      <c r="E92" s="1144"/>
      <c r="F92" s="1144"/>
      <c r="G92" s="1144"/>
      <c r="H92" s="1144"/>
      <c r="I92" s="1144"/>
      <c r="J92" s="1144"/>
      <c r="K92" s="1144"/>
      <c r="L92" s="1144"/>
      <c r="M92" s="1144"/>
    </row>
    <row r="93" spans="1:25" ht="25.35" hidden="1" customHeight="1">
      <c r="B93" s="1372" t="s">
        <v>76</v>
      </c>
      <c r="C93" s="1372"/>
      <c r="D93" s="1348" t="s">
        <v>77</v>
      </c>
      <c r="E93" s="1349"/>
      <c r="F93" s="1349"/>
      <c r="G93" s="1349"/>
      <c r="H93" s="1349"/>
      <c r="I93" s="1349"/>
      <c r="J93" s="1350"/>
      <c r="K93" s="1348" t="s">
        <v>78</v>
      </c>
      <c r="L93" s="1349"/>
      <c r="M93" s="1349"/>
      <c r="N93" s="1349"/>
      <c r="O93" s="1349"/>
      <c r="P93" s="1349"/>
      <c r="Q93" s="1350"/>
      <c r="R93" s="1348" t="s">
        <v>79</v>
      </c>
      <c r="S93" s="1349"/>
      <c r="T93" s="1349"/>
      <c r="U93" s="1349"/>
      <c r="V93" s="1349"/>
      <c r="W93" s="1349"/>
      <c r="X93" s="1350"/>
    </row>
    <row r="94" spans="1:25" ht="39" hidden="1" customHeight="1" thickBot="1">
      <c r="B94" s="1373"/>
      <c r="C94" s="1373"/>
      <c r="D94" s="1145" t="s">
        <v>80</v>
      </c>
      <c r="E94" s="1146" t="s">
        <v>81</v>
      </c>
      <c r="F94" s="1146" t="s">
        <v>82</v>
      </c>
      <c r="G94" s="1146" t="s">
        <v>15</v>
      </c>
      <c r="H94" s="1146" t="s">
        <v>83</v>
      </c>
      <c r="I94" s="1146" t="s">
        <v>84</v>
      </c>
      <c r="J94" s="1147" t="s">
        <v>85</v>
      </c>
      <c r="K94" s="1145" t="s">
        <v>80</v>
      </c>
      <c r="L94" s="1146" t="s">
        <v>81</v>
      </c>
      <c r="M94" s="1146" t="s">
        <v>82</v>
      </c>
      <c r="N94" s="1146" t="s">
        <v>15</v>
      </c>
      <c r="O94" s="1146" t="s">
        <v>83</v>
      </c>
      <c r="P94" s="1146" t="s">
        <v>84</v>
      </c>
      <c r="Q94" s="1147" t="s">
        <v>85</v>
      </c>
      <c r="R94" s="1145" t="s">
        <v>80</v>
      </c>
      <c r="S94" s="1146" t="s">
        <v>81</v>
      </c>
      <c r="T94" s="1146" t="s">
        <v>82</v>
      </c>
      <c r="U94" s="1146" t="s">
        <v>15</v>
      </c>
      <c r="V94" s="1146" t="s">
        <v>83</v>
      </c>
      <c r="W94" s="1146" t="s">
        <v>84</v>
      </c>
      <c r="X94" s="1147" t="s">
        <v>85</v>
      </c>
    </row>
    <row r="95" spans="1:25" ht="25.35" hidden="1" customHeight="1" thickBot="1">
      <c r="B95" s="1368" t="s">
        <v>86</v>
      </c>
      <c r="C95" s="1368"/>
      <c r="D95" s="1148" t="e">
        <f>D96+D100+D103</f>
        <v>#REF!</v>
      </c>
      <c r="E95" s="1149" t="e">
        <f>E96+E100+E103</f>
        <v>#REF!</v>
      </c>
      <c r="F95" s="1149" t="e">
        <f>F96+F100+F103</f>
        <v>#REF!</v>
      </c>
      <c r="G95" s="1149" t="e">
        <f>G96+G100+G103</f>
        <v>#REF!</v>
      </c>
      <c r="H95" s="1150" t="e">
        <f t="shared" ref="H95:H108" si="33">G95-D95</f>
        <v>#REF!</v>
      </c>
      <c r="I95" s="1150" t="e">
        <f t="shared" ref="I95:I108" si="34">G95-E95</f>
        <v>#REF!</v>
      </c>
      <c r="J95" s="1151" t="e">
        <f t="shared" ref="J95:J108" si="35">G95-F95</f>
        <v>#REF!</v>
      </c>
      <c r="K95" s="1148" t="e">
        <f>K96+K100+K103</f>
        <v>#REF!</v>
      </c>
      <c r="L95" s="1149" t="e">
        <f>L96+L100+L103</f>
        <v>#REF!</v>
      </c>
      <c r="M95" s="1149" t="e">
        <f>M96+M100+M103</f>
        <v>#REF!</v>
      </c>
      <c r="N95" s="1149" t="e">
        <f>N96+N100+N103</f>
        <v>#REF!</v>
      </c>
      <c r="O95" s="1150" t="e">
        <f t="shared" ref="O95:O104" si="36">N95-K95</f>
        <v>#REF!</v>
      </c>
      <c r="P95" s="1150" t="e">
        <f t="shared" ref="P95:P108" si="37">N95-L95</f>
        <v>#REF!</v>
      </c>
      <c r="Q95" s="1151" t="e">
        <f t="shared" ref="Q95:Q108" si="38">N95-M95</f>
        <v>#REF!</v>
      </c>
      <c r="R95" s="1148" t="e">
        <f>R96+R100+R103</f>
        <v>#REF!</v>
      </c>
      <c r="S95" s="1149" t="e">
        <f>S96+S100+S103</f>
        <v>#REF!</v>
      </c>
      <c r="T95" s="1149" t="e">
        <f>T96+T100+T103</f>
        <v>#REF!</v>
      </c>
      <c r="U95" s="1149" t="e">
        <f>U96+U100+U103</f>
        <v>#REF!</v>
      </c>
      <c r="V95" s="1150" t="e">
        <f t="shared" ref="V95:V108" si="39">U95-R95</f>
        <v>#REF!</v>
      </c>
      <c r="W95" s="1150" t="e">
        <f t="shared" ref="W95:W108" si="40">U95-S95</f>
        <v>#REF!</v>
      </c>
      <c r="X95" s="1151" t="e">
        <f t="shared" ref="X95:X108" si="41">U95-T95</f>
        <v>#REF!</v>
      </c>
    </row>
    <row r="96" spans="1:25" ht="25.35" hidden="1" customHeight="1" thickBot="1">
      <c r="B96" s="1368" t="s">
        <v>87</v>
      </c>
      <c r="C96" s="1368"/>
      <c r="D96" s="1148" t="e">
        <f>SUM(D97:D99)</f>
        <v>#REF!</v>
      </c>
      <c r="E96" s="1149" t="e">
        <f t="shared" ref="E96:F96" si="42">SUM(E97:E99)</f>
        <v>#REF!</v>
      </c>
      <c r="F96" s="1149" t="e">
        <f t="shared" si="42"/>
        <v>#REF!</v>
      </c>
      <c r="G96" s="1149" t="e">
        <f>SUM(G97:G99)</f>
        <v>#REF!</v>
      </c>
      <c r="H96" s="1150" t="e">
        <f t="shared" si="33"/>
        <v>#REF!</v>
      </c>
      <c r="I96" s="1150" t="e">
        <f t="shared" si="34"/>
        <v>#REF!</v>
      </c>
      <c r="J96" s="1151" t="e">
        <f t="shared" si="35"/>
        <v>#REF!</v>
      </c>
      <c r="K96" s="1148" t="e">
        <f>SUM(K97:K99)</f>
        <v>#REF!</v>
      </c>
      <c r="L96" s="1149" t="e">
        <f t="shared" ref="L96" si="43">SUM(L97:L99)</f>
        <v>#REF!</v>
      </c>
      <c r="M96" s="1149" t="e">
        <f t="shared" ref="M96" si="44">SUM(M97:M99)</f>
        <v>#REF!</v>
      </c>
      <c r="N96" s="1149" t="e">
        <f>SUM(N97:N99)</f>
        <v>#REF!</v>
      </c>
      <c r="O96" s="1150" t="e">
        <f t="shared" si="36"/>
        <v>#REF!</v>
      </c>
      <c r="P96" s="1150" t="e">
        <f t="shared" si="37"/>
        <v>#REF!</v>
      </c>
      <c r="Q96" s="1151" t="e">
        <f t="shared" si="38"/>
        <v>#REF!</v>
      </c>
      <c r="R96" s="1148" t="e">
        <f>SUM(R97:R99)</f>
        <v>#REF!</v>
      </c>
      <c r="S96" s="1149" t="e">
        <f t="shared" ref="S96:T96" si="45">SUM(S97:S99)</f>
        <v>#REF!</v>
      </c>
      <c r="T96" s="1149" t="e">
        <f t="shared" si="45"/>
        <v>#REF!</v>
      </c>
      <c r="U96" s="1149" t="e">
        <f>SUM(U97:U99)</f>
        <v>#REF!</v>
      </c>
      <c r="V96" s="1150" t="e">
        <f t="shared" si="39"/>
        <v>#REF!</v>
      </c>
      <c r="W96" s="1150" t="e">
        <f t="shared" si="40"/>
        <v>#REF!</v>
      </c>
      <c r="X96" s="1151" t="e">
        <f t="shared" si="41"/>
        <v>#REF!</v>
      </c>
    </row>
    <row r="97" spans="2:24" ht="25.35" hidden="1" customHeight="1" thickBot="1">
      <c r="B97" s="1369"/>
      <c r="C97" s="1152" t="s">
        <v>88</v>
      </c>
      <c r="D97" s="1153" t="e">
        <f>#REF!</f>
        <v>#REF!</v>
      </c>
      <c r="E97" s="1154" t="e">
        <f>#REF!</f>
        <v>#REF!</v>
      </c>
      <c r="F97" s="1154" t="e">
        <f>#REF!</f>
        <v>#REF!</v>
      </c>
      <c r="G97" s="1154" t="e">
        <f>#REF!</f>
        <v>#REF!</v>
      </c>
      <c r="H97" s="1155" t="e">
        <f t="shared" si="33"/>
        <v>#REF!</v>
      </c>
      <c r="I97" s="1155" t="e">
        <f t="shared" si="34"/>
        <v>#REF!</v>
      </c>
      <c r="J97" s="1156" t="e">
        <f t="shared" si="35"/>
        <v>#REF!</v>
      </c>
      <c r="K97" s="1153">
        <f>F11</f>
        <v>0</v>
      </c>
      <c r="L97" s="1154">
        <f>G11</f>
        <v>0.51134500000000005</v>
      </c>
      <c r="M97" s="1154">
        <f>H11</f>
        <v>0.34089666666666674</v>
      </c>
      <c r="N97" s="1154">
        <f>H11</f>
        <v>0.34089666666666674</v>
      </c>
      <c r="O97" s="1155">
        <f t="shared" si="36"/>
        <v>0.34089666666666674</v>
      </c>
      <c r="P97" s="1155">
        <f t="shared" si="37"/>
        <v>-0.17044833333333331</v>
      </c>
      <c r="Q97" s="1156">
        <f t="shared" si="38"/>
        <v>0</v>
      </c>
      <c r="R97" s="1153" t="e">
        <f>#REF!+F11</f>
        <v>#REF!</v>
      </c>
      <c r="S97" s="1154" t="e">
        <f>#REF!+G11</f>
        <v>#REF!</v>
      </c>
      <c r="T97" s="1154" t="e">
        <f>F97+M97</f>
        <v>#REF!</v>
      </c>
      <c r="U97" s="1154" t="e">
        <f>#REF!+H11</f>
        <v>#REF!</v>
      </c>
      <c r="V97" s="1155" t="e">
        <f t="shared" si="39"/>
        <v>#REF!</v>
      </c>
      <c r="W97" s="1155" t="e">
        <f t="shared" si="40"/>
        <v>#REF!</v>
      </c>
      <c r="X97" s="1156" t="e">
        <f t="shared" si="41"/>
        <v>#REF!</v>
      </c>
    </row>
    <row r="98" spans="2:24" ht="25.35" hidden="1" customHeight="1" thickBot="1">
      <c r="B98" s="1370"/>
      <c r="C98" s="1152" t="s">
        <v>89</v>
      </c>
      <c r="D98" s="1153" t="e">
        <f>#REF!</f>
        <v>#REF!</v>
      </c>
      <c r="E98" s="1154" t="e">
        <f>#REF!</f>
        <v>#REF!</v>
      </c>
      <c r="F98" s="1154" t="e">
        <f>#REF!</f>
        <v>#REF!</v>
      </c>
      <c r="G98" s="1154" t="e">
        <f>#REF!</f>
        <v>#REF!</v>
      </c>
      <c r="H98" s="1155" t="e">
        <f t="shared" si="33"/>
        <v>#REF!</v>
      </c>
      <c r="I98" s="1154" t="e">
        <f t="shared" si="34"/>
        <v>#REF!</v>
      </c>
      <c r="J98" s="1156" t="e">
        <f t="shared" si="35"/>
        <v>#REF!</v>
      </c>
      <c r="K98" s="1153" t="e">
        <f>#REF!</f>
        <v>#REF!</v>
      </c>
      <c r="L98" s="1154" t="e">
        <f>#REF!</f>
        <v>#REF!</v>
      </c>
      <c r="M98" s="1154" t="e">
        <f>#REF!</f>
        <v>#REF!</v>
      </c>
      <c r="N98" s="1154" t="e">
        <f>#REF!</f>
        <v>#REF!</v>
      </c>
      <c r="O98" s="1155" t="e">
        <f t="shared" si="36"/>
        <v>#REF!</v>
      </c>
      <c r="P98" s="1154" t="e">
        <f t="shared" si="37"/>
        <v>#REF!</v>
      </c>
      <c r="Q98" s="1156" t="e">
        <f t="shared" si="38"/>
        <v>#REF!</v>
      </c>
      <c r="R98" s="1153" t="e">
        <f>#REF!+#REF!</f>
        <v>#REF!</v>
      </c>
      <c r="S98" s="1154" t="e">
        <f>#REF!+#REF!</f>
        <v>#REF!</v>
      </c>
      <c r="T98" s="1154" t="e">
        <f>F98+M98</f>
        <v>#REF!</v>
      </c>
      <c r="U98" s="1154" t="e">
        <f>#REF!+#REF!</f>
        <v>#REF!</v>
      </c>
      <c r="V98" s="1155" t="e">
        <f t="shared" si="39"/>
        <v>#REF!</v>
      </c>
      <c r="W98" s="1154" t="e">
        <f t="shared" si="40"/>
        <v>#REF!</v>
      </c>
      <c r="X98" s="1156" t="e">
        <f t="shared" si="41"/>
        <v>#REF!</v>
      </c>
    </row>
    <row r="99" spans="2:24" ht="25.35" hidden="1" customHeight="1" thickBot="1">
      <c r="B99" s="1371"/>
      <c r="C99" s="1152" t="s">
        <v>22</v>
      </c>
      <c r="D99" s="1153" t="e">
        <f>#REF!</f>
        <v>#REF!</v>
      </c>
      <c r="E99" s="1154" t="e">
        <f>#REF!</f>
        <v>#REF!</v>
      </c>
      <c r="F99" s="1154" t="e">
        <f>#REF!</f>
        <v>#REF!</v>
      </c>
      <c r="G99" s="1154" t="e">
        <f>#REF!</f>
        <v>#REF!</v>
      </c>
      <c r="H99" s="1155" t="e">
        <f t="shared" si="33"/>
        <v>#REF!</v>
      </c>
      <c r="I99" s="1154" t="e">
        <f t="shared" si="34"/>
        <v>#REF!</v>
      </c>
      <c r="J99" s="1156" t="e">
        <f t="shared" si="35"/>
        <v>#REF!</v>
      </c>
      <c r="K99" s="1153">
        <f>F10</f>
        <v>17.979459309999999</v>
      </c>
      <c r="L99" s="1154">
        <f>G10</f>
        <v>24.623108139999999</v>
      </c>
      <c r="M99" s="1154">
        <f>H10</f>
        <v>24.658300561199997</v>
      </c>
      <c r="N99" s="1154">
        <f>H10</f>
        <v>24.658300561199997</v>
      </c>
      <c r="O99" s="1155">
        <f t="shared" si="36"/>
        <v>6.6788412511999979</v>
      </c>
      <c r="P99" s="1154">
        <f t="shared" si="37"/>
        <v>3.5192421199997881E-2</v>
      </c>
      <c r="Q99" s="1156">
        <f t="shared" si="38"/>
        <v>0</v>
      </c>
      <c r="R99" s="1153" t="e">
        <f>#REF!+F10</f>
        <v>#REF!</v>
      </c>
      <c r="S99" s="1154" t="e">
        <f>#REF!+G10</f>
        <v>#REF!</v>
      </c>
      <c r="T99" s="1154" t="e">
        <f>F99+M99</f>
        <v>#REF!</v>
      </c>
      <c r="U99" s="1154" t="e">
        <f>#REF!+H10</f>
        <v>#REF!</v>
      </c>
      <c r="V99" s="1155" t="e">
        <f t="shared" si="39"/>
        <v>#REF!</v>
      </c>
      <c r="W99" s="1154" t="e">
        <f t="shared" si="40"/>
        <v>#REF!</v>
      </c>
      <c r="X99" s="1156" t="e">
        <f t="shared" si="41"/>
        <v>#REF!</v>
      </c>
    </row>
    <row r="100" spans="2:24" ht="25.35" hidden="1" customHeight="1" thickBot="1">
      <c r="B100" s="1368" t="s">
        <v>90</v>
      </c>
      <c r="C100" s="1368"/>
      <c r="D100" s="1148" t="e">
        <f>SUM(D101:D102)</f>
        <v>#REF!</v>
      </c>
      <c r="E100" s="1149" t="e">
        <f>SUM(E101:E102)</f>
        <v>#REF!</v>
      </c>
      <c r="F100" s="1149" t="e">
        <f>SUM(F101:F102)</f>
        <v>#REF!</v>
      </c>
      <c r="G100" s="1149" t="e">
        <f>SUM(G101:G102)</f>
        <v>#REF!</v>
      </c>
      <c r="H100" s="1150" t="e">
        <f t="shared" si="33"/>
        <v>#REF!</v>
      </c>
      <c r="I100" s="1150" t="e">
        <f t="shared" si="34"/>
        <v>#REF!</v>
      </c>
      <c r="J100" s="1151" t="e">
        <f t="shared" si="35"/>
        <v>#REF!</v>
      </c>
      <c r="K100" s="1148">
        <f>SUM(K101:K102)</f>
        <v>203.63670439999999</v>
      </c>
      <c r="L100" s="1149">
        <f>SUM(L101:L102)</f>
        <v>246.4512599</v>
      </c>
      <c r="M100" s="1149">
        <f>SUM(M101:M102)</f>
        <v>248.86353199999999</v>
      </c>
      <c r="N100" s="1149">
        <f>SUM(N101:N102)</f>
        <v>248.86353199999999</v>
      </c>
      <c r="O100" s="1150">
        <f t="shared" si="36"/>
        <v>45.226827600000007</v>
      </c>
      <c r="P100" s="1150">
        <f t="shared" si="37"/>
        <v>2.4122720999999956</v>
      </c>
      <c r="Q100" s="1151">
        <f t="shared" si="38"/>
        <v>0</v>
      </c>
      <c r="R100" s="1148" t="e">
        <f>SUM(R101:R102)</f>
        <v>#REF!</v>
      </c>
      <c r="S100" s="1149" t="e">
        <f>SUM(S101:S102)</f>
        <v>#REF!</v>
      </c>
      <c r="T100" s="1149" t="e">
        <f>SUM(T101:T102)</f>
        <v>#REF!</v>
      </c>
      <c r="U100" s="1149" t="e">
        <f>SUM(U101:U102)</f>
        <v>#REF!</v>
      </c>
      <c r="V100" s="1150" t="e">
        <f t="shared" si="39"/>
        <v>#REF!</v>
      </c>
      <c r="W100" s="1150" t="e">
        <f t="shared" si="40"/>
        <v>#REF!</v>
      </c>
      <c r="X100" s="1151" t="e">
        <f t="shared" si="41"/>
        <v>#REF!</v>
      </c>
    </row>
    <row r="101" spans="2:24" ht="25.35" hidden="1" customHeight="1" thickBot="1">
      <c r="B101" s="1366"/>
      <c r="C101" s="1152" t="s">
        <v>91</v>
      </c>
      <c r="D101" s="1153" t="e">
        <f>#REF!</f>
        <v>#REF!</v>
      </c>
      <c r="E101" s="1154" t="e">
        <f>#REF!</f>
        <v>#REF!</v>
      </c>
      <c r="F101" s="1154" t="e">
        <f>#REF!</f>
        <v>#REF!</v>
      </c>
      <c r="G101" s="1154" t="e">
        <f>#REF!</f>
        <v>#REF!</v>
      </c>
      <c r="H101" s="1155" t="e">
        <f t="shared" si="33"/>
        <v>#REF!</v>
      </c>
      <c r="I101" s="1155" t="e">
        <f t="shared" si="34"/>
        <v>#REF!</v>
      </c>
      <c r="J101" s="1156" t="e">
        <f t="shared" si="35"/>
        <v>#REF!</v>
      </c>
      <c r="K101" s="1153">
        <f>F14</f>
        <v>14.5886464</v>
      </c>
      <c r="L101" s="1154">
        <f>G14</f>
        <v>8.0520014</v>
      </c>
      <c r="M101" s="1154">
        <f>H14</f>
        <v>8.1411292</v>
      </c>
      <c r="N101" s="1154">
        <f>H14</f>
        <v>8.1411292</v>
      </c>
      <c r="O101" s="1155">
        <f t="shared" si="36"/>
        <v>-6.4475172000000001</v>
      </c>
      <c r="P101" s="1155">
        <f t="shared" si="37"/>
        <v>8.9127799999999979E-2</v>
      </c>
      <c r="Q101" s="1156">
        <f t="shared" si="38"/>
        <v>0</v>
      </c>
      <c r="R101" s="1153" t="e">
        <f>#REF!+F14</f>
        <v>#REF!</v>
      </c>
      <c r="S101" s="1154" t="e">
        <f>#REF!+G14</f>
        <v>#REF!</v>
      </c>
      <c r="T101" s="1154" t="e">
        <f>F101+M101</f>
        <v>#REF!</v>
      </c>
      <c r="U101" s="1154" t="e">
        <f>#REF!+H14</f>
        <v>#REF!</v>
      </c>
      <c r="V101" s="1155" t="e">
        <f t="shared" si="39"/>
        <v>#REF!</v>
      </c>
      <c r="W101" s="1155" t="e">
        <f t="shared" si="40"/>
        <v>#REF!</v>
      </c>
      <c r="X101" s="1156" t="e">
        <f t="shared" si="41"/>
        <v>#REF!</v>
      </c>
    </row>
    <row r="102" spans="2:24" ht="25.35" hidden="1" customHeight="1" thickBot="1">
      <c r="B102" s="1367"/>
      <c r="C102" s="1152" t="s">
        <v>92</v>
      </c>
      <c r="D102" s="1153" t="e">
        <f>#REF!</f>
        <v>#REF!</v>
      </c>
      <c r="E102" s="1154" t="e">
        <f>#REF!</f>
        <v>#REF!</v>
      </c>
      <c r="F102" s="1154" t="e">
        <f>#REF!</f>
        <v>#REF!</v>
      </c>
      <c r="G102" s="1154" t="e">
        <f>#REF!</f>
        <v>#REF!</v>
      </c>
      <c r="H102" s="1155" t="e">
        <f t="shared" si="33"/>
        <v>#REF!</v>
      </c>
      <c r="I102" s="1154" t="e">
        <f t="shared" si="34"/>
        <v>#REF!</v>
      </c>
      <c r="J102" s="1156" t="e">
        <f t="shared" si="35"/>
        <v>#REF!</v>
      </c>
      <c r="K102" s="1153">
        <f>F13</f>
        <v>189.048058</v>
      </c>
      <c r="L102" s="1154">
        <f>G13</f>
        <v>238.3992585</v>
      </c>
      <c r="M102" s="1154">
        <f>H13</f>
        <v>240.7224028</v>
      </c>
      <c r="N102" s="1154">
        <f>H13</f>
        <v>240.7224028</v>
      </c>
      <c r="O102" s="1155">
        <f t="shared" si="36"/>
        <v>51.6743448</v>
      </c>
      <c r="P102" s="1154">
        <f t="shared" si="37"/>
        <v>2.3231442999999956</v>
      </c>
      <c r="Q102" s="1156">
        <f t="shared" si="38"/>
        <v>0</v>
      </c>
      <c r="R102" s="1153" t="e">
        <f>#REF!+F13</f>
        <v>#REF!</v>
      </c>
      <c r="S102" s="1154" t="e">
        <f>#REF!+G13</f>
        <v>#REF!</v>
      </c>
      <c r="T102" s="1154" t="e">
        <f>F102+M102</f>
        <v>#REF!</v>
      </c>
      <c r="U102" s="1154" t="e">
        <f>#REF!+H13</f>
        <v>#REF!</v>
      </c>
      <c r="V102" s="1155" t="e">
        <f t="shared" si="39"/>
        <v>#REF!</v>
      </c>
      <c r="W102" s="1154" t="e">
        <f t="shared" si="40"/>
        <v>#REF!</v>
      </c>
      <c r="X102" s="1156" t="e">
        <f t="shared" si="41"/>
        <v>#REF!</v>
      </c>
    </row>
    <row r="103" spans="2:24" ht="25.35" hidden="1" customHeight="1" thickBot="1">
      <c r="B103" s="1368" t="s">
        <v>93</v>
      </c>
      <c r="C103" s="1368"/>
      <c r="D103" s="1148" t="e">
        <f>SUM(D104:D108)</f>
        <v>#REF!</v>
      </c>
      <c r="E103" s="1157" t="e">
        <f>SUM(E104:E108)</f>
        <v>#REF!</v>
      </c>
      <c r="F103" s="1149" t="e">
        <f>SUM(F104:F108)</f>
        <v>#REF!</v>
      </c>
      <c r="G103" s="1157" t="e">
        <f>SUM(G104:G108)</f>
        <v>#REF!</v>
      </c>
      <c r="H103" s="1150" t="e">
        <f t="shared" si="33"/>
        <v>#REF!</v>
      </c>
      <c r="I103" s="1150" t="e">
        <f t="shared" si="34"/>
        <v>#REF!</v>
      </c>
      <c r="J103" s="1151" t="e">
        <f t="shared" si="35"/>
        <v>#REF!</v>
      </c>
      <c r="K103" s="1148" t="e">
        <f>SUM(K104:K108)</f>
        <v>#REF!</v>
      </c>
      <c r="L103" s="1149" t="e">
        <f>SUM(L104:L108)</f>
        <v>#REF!</v>
      </c>
      <c r="M103" s="1149" t="e">
        <f>SUM(M104:M108)</f>
        <v>#REF!</v>
      </c>
      <c r="N103" s="1149" t="e">
        <f>SUM(N104:N108)</f>
        <v>#REF!</v>
      </c>
      <c r="O103" s="1150" t="e">
        <f t="shared" si="36"/>
        <v>#REF!</v>
      </c>
      <c r="P103" s="1150" t="e">
        <f t="shared" si="37"/>
        <v>#REF!</v>
      </c>
      <c r="Q103" s="1151" t="e">
        <f t="shared" si="38"/>
        <v>#REF!</v>
      </c>
      <c r="R103" s="1148" t="e">
        <f>SUM(R104:R108)</f>
        <v>#REF!</v>
      </c>
      <c r="S103" s="1149" t="e">
        <f>SUM(S104:S108)</f>
        <v>#REF!</v>
      </c>
      <c r="T103" s="1149" t="e">
        <f>SUM(T104:T108)</f>
        <v>#REF!</v>
      </c>
      <c r="U103" s="1149" t="e">
        <f>SUM(U104:U108)</f>
        <v>#REF!</v>
      </c>
      <c r="V103" s="1150" t="e">
        <f t="shared" si="39"/>
        <v>#REF!</v>
      </c>
      <c r="W103" s="1150" t="e">
        <f t="shared" si="40"/>
        <v>#REF!</v>
      </c>
      <c r="X103" s="1151" t="e">
        <f t="shared" si="41"/>
        <v>#REF!</v>
      </c>
    </row>
    <row r="104" spans="2:24" ht="25.35" hidden="1" customHeight="1" thickBot="1">
      <c r="B104" s="1366"/>
      <c r="C104" s="1152" t="s">
        <v>94</v>
      </c>
      <c r="D104" s="1153" t="e">
        <f>#REF!</f>
        <v>#REF!</v>
      </c>
      <c r="E104" s="1154" t="e">
        <f>#REF!</f>
        <v>#REF!</v>
      </c>
      <c r="F104" s="1154" t="e">
        <f>#REF!</f>
        <v>#REF!</v>
      </c>
      <c r="G104" s="1154" t="e">
        <f>#REF!</f>
        <v>#REF!</v>
      </c>
      <c r="H104" s="1155" t="e">
        <f t="shared" si="33"/>
        <v>#REF!</v>
      </c>
      <c r="I104" s="1155" t="e">
        <f t="shared" si="34"/>
        <v>#REF!</v>
      </c>
      <c r="J104" s="1156" t="e">
        <f t="shared" si="35"/>
        <v>#REF!</v>
      </c>
      <c r="K104" s="1153" t="e">
        <f>#REF!</f>
        <v>#REF!</v>
      </c>
      <c r="L104" s="1154" t="e">
        <f>#REF!</f>
        <v>#REF!</v>
      </c>
      <c r="M104" s="1154" t="e">
        <f>#REF!</f>
        <v>#REF!</v>
      </c>
      <c r="N104" s="1154" t="e">
        <f>#REF!</f>
        <v>#REF!</v>
      </c>
      <c r="O104" s="1155" t="e">
        <f t="shared" si="36"/>
        <v>#REF!</v>
      </c>
      <c r="P104" s="1155" t="e">
        <f t="shared" si="37"/>
        <v>#REF!</v>
      </c>
      <c r="Q104" s="1156" t="e">
        <f t="shared" si="38"/>
        <v>#REF!</v>
      </c>
      <c r="R104" s="1153" t="e">
        <f>#REF!+#REF!</f>
        <v>#REF!</v>
      </c>
      <c r="S104" s="1154" t="e">
        <f>#REF!+#REF!</f>
        <v>#REF!</v>
      </c>
      <c r="T104" s="1154" t="e">
        <f>F104+M104</f>
        <v>#REF!</v>
      </c>
      <c r="U104" s="1154" t="e">
        <f>#REF!+#REF!</f>
        <v>#REF!</v>
      </c>
      <c r="V104" s="1155" t="e">
        <f t="shared" si="39"/>
        <v>#REF!</v>
      </c>
      <c r="W104" s="1155" t="e">
        <f t="shared" si="40"/>
        <v>#REF!</v>
      </c>
      <c r="X104" s="1156" t="e">
        <f t="shared" si="41"/>
        <v>#REF!</v>
      </c>
    </row>
    <row r="105" spans="2:24" ht="25.35" hidden="1" customHeight="1" thickBot="1">
      <c r="B105" s="1376"/>
      <c r="C105" s="1152" t="s">
        <v>95</v>
      </c>
      <c r="D105" s="1153" t="e">
        <f>#REF!</f>
        <v>#REF!</v>
      </c>
      <c r="E105" s="1154" t="e">
        <f>#REF!</f>
        <v>#REF!</v>
      </c>
      <c r="F105" s="1154" t="e">
        <f>#REF!</f>
        <v>#REF!</v>
      </c>
      <c r="G105" s="1154" t="e">
        <f>#REF!</f>
        <v>#REF!</v>
      </c>
      <c r="H105" s="1155" t="e">
        <f t="shared" si="33"/>
        <v>#REF!</v>
      </c>
      <c r="I105" s="1155" t="e">
        <f t="shared" si="34"/>
        <v>#REF!</v>
      </c>
      <c r="J105" s="1156" t="e">
        <f t="shared" si="35"/>
        <v>#REF!</v>
      </c>
      <c r="K105" s="1153">
        <f>F17</f>
        <v>3.66</v>
      </c>
      <c r="L105" s="1154">
        <f>G17</f>
        <v>1.7875000000000001</v>
      </c>
      <c r="M105" s="1154">
        <f>H17</f>
        <v>1.7875000000000001</v>
      </c>
      <c r="N105" s="1154">
        <f>H17</f>
        <v>1.7875000000000001</v>
      </c>
      <c r="O105" s="1155">
        <f t="shared" ref="O105:O108" si="46">N105-K105</f>
        <v>-1.8725000000000001</v>
      </c>
      <c r="P105" s="1155">
        <f t="shared" si="37"/>
        <v>0</v>
      </c>
      <c r="Q105" s="1156">
        <f t="shared" si="38"/>
        <v>0</v>
      </c>
      <c r="R105" s="1153" t="e">
        <f>#REF!+F17</f>
        <v>#REF!</v>
      </c>
      <c r="S105" s="1154" t="e">
        <f>#REF!+G17</f>
        <v>#REF!</v>
      </c>
      <c r="T105" s="1154" t="e">
        <f>F105+M105</f>
        <v>#REF!</v>
      </c>
      <c r="U105" s="1154" t="e">
        <f>#REF!+H17</f>
        <v>#REF!</v>
      </c>
      <c r="V105" s="1155" t="e">
        <f t="shared" si="39"/>
        <v>#REF!</v>
      </c>
      <c r="W105" s="1155" t="e">
        <f t="shared" si="40"/>
        <v>#REF!</v>
      </c>
      <c r="X105" s="1156" t="e">
        <f t="shared" si="41"/>
        <v>#REF!</v>
      </c>
    </row>
    <row r="106" spans="2:24" ht="25.35" hidden="1" customHeight="1" thickBot="1">
      <c r="B106" s="1376"/>
      <c r="C106" s="1152" t="s">
        <v>96</v>
      </c>
      <c r="D106" s="1153" t="e">
        <f>#REF!</f>
        <v>#REF!</v>
      </c>
      <c r="E106" s="1154" t="e">
        <f>#REF!</f>
        <v>#REF!</v>
      </c>
      <c r="F106" s="1154" t="e">
        <f>#REF!</f>
        <v>#REF!</v>
      </c>
      <c r="G106" s="1154" t="e">
        <f>#REF!</f>
        <v>#REF!</v>
      </c>
      <c r="H106" s="1155" t="e">
        <f t="shared" si="33"/>
        <v>#REF!</v>
      </c>
      <c r="I106" s="1155" t="e">
        <f t="shared" si="34"/>
        <v>#REF!</v>
      </c>
      <c r="J106" s="1156" t="e">
        <f t="shared" si="35"/>
        <v>#REF!</v>
      </c>
      <c r="K106" s="1153">
        <f>F16</f>
        <v>42.274860109999999</v>
      </c>
      <c r="L106" s="1154">
        <f>G16</f>
        <v>35.326999999999998</v>
      </c>
      <c r="M106" s="1154">
        <f>H16</f>
        <v>32.328658040000001</v>
      </c>
      <c r="N106" s="1158">
        <f>H16</f>
        <v>32.328658040000001</v>
      </c>
      <c r="O106" s="1155">
        <f t="shared" si="46"/>
        <v>-9.9462020699999982</v>
      </c>
      <c r="P106" s="1155">
        <f t="shared" si="37"/>
        <v>-2.9983419599999976</v>
      </c>
      <c r="Q106" s="1156">
        <f t="shared" si="38"/>
        <v>0</v>
      </c>
      <c r="R106" s="1153" t="e">
        <f>#REF!+F16</f>
        <v>#REF!</v>
      </c>
      <c r="S106" s="1154" t="e">
        <f>#REF!+G16</f>
        <v>#REF!</v>
      </c>
      <c r="T106" s="1154" t="e">
        <f>F106+M106</f>
        <v>#REF!</v>
      </c>
      <c r="U106" s="1154" t="e">
        <f>#REF!+H16</f>
        <v>#REF!</v>
      </c>
      <c r="V106" s="1155" t="e">
        <f t="shared" si="39"/>
        <v>#REF!</v>
      </c>
      <c r="W106" s="1154" t="e">
        <f t="shared" si="40"/>
        <v>#REF!</v>
      </c>
      <c r="X106" s="1156" t="e">
        <f t="shared" si="41"/>
        <v>#REF!</v>
      </c>
    </row>
    <row r="107" spans="2:24" ht="25.35" hidden="1" customHeight="1" thickBot="1">
      <c r="B107" s="1376"/>
      <c r="C107" s="1152" t="s">
        <v>97</v>
      </c>
      <c r="D107" s="1153" t="e">
        <f>#REF!</f>
        <v>#REF!</v>
      </c>
      <c r="E107" s="1154" t="e">
        <f>#REF!</f>
        <v>#REF!</v>
      </c>
      <c r="F107" s="1154" t="e">
        <f>#REF!</f>
        <v>#REF!</v>
      </c>
      <c r="G107" s="1154" t="e">
        <f>#REF!</f>
        <v>#REF!</v>
      </c>
      <c r="H107" s="1155" t="e">
        <f t="shared" si="33"/>
        <v>#REF!</v>
      </c>
      <c r="I107" s="1154" t="e">
        <f t="shared" si="34"/>
        <v>#REF!</v>
      </c>
      <c r="J107" s="1156" t="e">
        <f t="shared" si="35"/>
        <v>#REF!</v>
      </c>
      <c r="K107" s="1153">
        <f t="shared" ref="K107:M108" si="47">F18</f>
        <v>5.2999166799999999</v>
      </c>
      <c r="L107" s="1154">
        <f t="shared" si="47"/>
        <v>4.6875</v>
      </c>
      <c r="M107" s="1154">
        <f t="shared" si="47"/>
        <v>5.0495833399999999</v>
      </c>
      <c r="N107" s="1154">
        <f>H18</f>
        <v>5.0495833399999999</v>
      </c>
      <c r="O107" s="1155">
        <f t="shared" si="46"/>
        <v>-0.25033334000000007</v>
      </c>
      <c r="P107" s="1154">
        <f t="shared" si="37"/>
        <v>0.36208333999999986</v>
      </c>
      <c r="Q107" s="1156">
        <f t="shared" si="38"/>
        <v>0</v>
      </c>
      <c r="R107" s="1153" t="e">
        <f>#REF!+F18</f>
        <v>#REF!</v>
      </c>
      <c r="S107" s="1154" t="e">
        <f>#REF!+G18</f>
        <v>#REF!</v>
      </c>
      <c r="T107" s="1154" t="e">
        <f>F107+M107</f>
        <v>#REF!</v>
      </c>
      <c r="U107" s="1154" t="e">
        <f>#REF!+H18</f>
        <v>#REF!</v>
      </c>
      <c r="V107" s="1155" t="e">
        <f t="shared" si="39"/>
        <v>#REF!</v>
      </c>
      <c r="W107" s="1154" t="e">
        <f t="shared" si="40"/>
        <v>#REF!</v>
      </c>
      <c r="X107" s="1156" t="e">
        <f t="shared" si="41"/>
        <v>#REF!</v>
      </c>
    </row>
    <row r="108" spans="2:24" ht="25.35" hidden="1" customHeight="1" thickBot="1">
      <c r="B108" s="1367"/>
      <c r="C108" s="1152" t="s">
        <v>98</v>
      </c>
      <c r="D108" s="1159" t="e">
        <f>#REF!</f>
        <v>#REF!</v>
      </c>
      <c r="E108" s="1160" t="e">
        <f>#REF!</f>
        <v>#REF!</v>
      </c>
      <c r="F108" s="1160" t="e">
        <f>#REF!</f>
        <v>#REF!</v>
      </c>
      <c r="G108" s="1160" t="e">
        <f>#REF!</f>
        <v>#REF!</v>
      </c>
      <c r="H108" s="1161" t="e">
        <f t="shared" si="33"/>
        <v>#REF!</v>
      </c>
      <c r="I108" s="1160" t="e">
        <f t="shared" si="34"/>
        <v>#REF!</v>
      </c>
      <c r="J108" s="1162" t="e">
        <f t="shared" si="35"/>
        <v>#REF!</v>
      </c>
      <c r="K108" s="1159">
        <f t="shared" si="47"/>
        <v>2.64804167</v>
      </c>
      <c r="L108" s="1160">
        <f t="shared" si="47"/>
        <v>0</v>
      </c>
      <c r="M108" s="1160">
        <f t="shared" si="47"/>
        <v>0.37327709999999997</v>
      </c>
      <c r="N108" s="1160">
        <f>H19</f>
        <v>0.37327709999999997</v>
      </c>
      <c r="O108" s="1161">
        <f t="shared" si="46"/>
        <v>-2.2747645699999999</v>
      </c>
      <c r="P108" s="1160">
        <f t="shared" si="37"/>
        <v>0.37327709999999997</v>
      </c>
      <c r="Q108" s="1162">
        <f t="shared" si="38"/>
        <v>0</v>
      </c>
      <c r="R108" s="1159" t="e">
        <f>#REF!+F19</f>
        <v>#REF!</v>
      </c>
      <c r="S108" s="1160" t="e">
        <f>#REF!+G19</f>
        <v>#REF!</v>
      </c>
      <c r="T108" s="1160" t="e">
        <f>F108+M108</f>
        <v>#REF!</v>
      </c>
      <c r="U108" s="1160" t="e">
        <f>#REF!+H19</f>
        <v>#REF!</v>
      </c>
      <c r="V108" s="1161" t="e">
        <f t="shared" si="39"/>
        <v>#REF!</v>
      </c>
      <c r="W108" s="1160" t="e">
        <f t="shared" si="40"/>
        <v>#REF!</v>
      </c>
      <c r="X108" s="1162" t="e">
        <f t="shared" si="41"/>
        <v>#REF!</v>
      </c>
    </row>
    <row r="109" spans="2:24" hidden="1">
      <c r="E109" s="1163"/>
    </row>
    <row r="110" spans="2:24" ht="25.35" hidden="1" customHeight="1" thickBot="1">
      <c r="B110" s="1372" t="s">
        <v>76</v>
      </c>
      <c r="C110" s="1372"/>
      <c r="D110" s="1348" t="s">
        <v>99</v>
      </c>
      <c r="E110" s="1349"/>
      <c r="F110" s="1349"/>
      <c r="G110" s="1349"/>
      <c r="H110" s="1349"/>
      <c r="I110" s="1349"/>
      <c r="J110" s="1350"/>
      <c r="K110" s="1348" t="s">
        <v>100</v>
      </c>
      <c r="L110" s="1349"/>
      <c r="M110" s="1349"/>
      <c r="N110" s="1349"/>
      <c r="O110" s="1349"/>
      <c r="P110" s="1349"/>
      <c r="Q110" s="1350"/>
      <c r="R110" s="1339"/>
      <c r="S110" s="1339"/>
      <c r="T110" s="1339"/>
      <c r="U110" s="1339"/>
      <c r="V110" s="1339"/>
      <c r="W110" s="1339"/>
      <c r="X110" s="1339"/>
    </row>
    <row r="111" spans="2:24" ht="39" hidden="1" customHeight="1" thickBot="1">
      <c r="B111" s="1373"/>
      <c r="C111" s="1373"/>
      <c r="D111" s="1145" t="s">
        <v>80</v>
      </c>
      <c r="E111" s="1146" t="s">
        <v>81</v>
      </c>
      <c r="F111" s="1146" t="s">
        <v>82</v>
      </c>
      <c r="G111" s="1146" t="s">
        <v>15</v>
      </c>
      <c r="H111" s="1146" t="s">
        <v>83</v>
      </c>
      <c r="I111" s="1146" t="s">
        <v>84</v>
      </c>
      <c r="J111" s="1147" t="s">
        <v>85</v>
      </c>
      <c r="K111" s="1145" t="s">
        <v>80</v>
      </c>
      <c r="L111" s="1146" t="s">
        <v>81</v>
      </c>
      <c r="M111" s="1146" t="s">
        <v>82</v>
      </c>
      <c r="N111" s="1146" t="s">
        <v>15</v>
      </c>
      <c r="O111" s="1146" t="s">
        <v>83</v>
      </c>
      <c r="P111" s="1146" t="s">
        <v>84</v>
      </c>
      <c r="Q111" s="1147" t="s">
        <v>85</v>
      </c>
      <c r="R111" s="1164"/>
      <c r="S111" s="1164"/>
      <c r="T111" s="1164"/>
      <c r="U111" s="1164"/>
      <c r="V111" s="1164"/>
      <c r="W111" s="1164"/>
      <c r="X111" s="1164"/>
    </row>
    <row r="112" spans="2:24" ht="25.35" hidden="1" customHeight="1" thickBot="1">
      <c r="B112" s="1368" t="s">
        <v>86</v>
      </c>
      <c r="C112" s="1368"/>
      <c r="D112" s="1148" t="e">
        <f>D113+D117+D120</f>
        <v>#REF!</v>
      </c>
      <c r="E112" s="1149" t="e">
        <f>E113+E117+E120</f>
        <v>#REF!</v>
      </c>
      <c r="F112" s="1149">
        <f>F113+F117+F120</f>
        <v>410.31470523999997</v>
      </c>
      <c r="G112" s="1149" t="e">
        <f>G113+G117+G120</f>
        <v>#REF!</v>
      </c>
      <c r="H112" s="1150" t="e">
        <f t="shared" ref="H112:H125" si="48">G112-D112</f>
        <v>#REF!</v>
      </c>
      <c r="I112" s="1150" t="e">
        <f t="shared" ref="I112:I125" si="49">G112-E112</f>
        <v>#REF!</v>
      </c>
      <c r="J112" s="1151" t="e">
        <f t="shared" ref="J112:J125" si="50">G112-F112</f>
        <v>#REF!</v>
      </c>
      <c r="K112" s="1148" t="e">
        <f>K113+K117+K120</f>
        <v>#REF!</v>
      </c>
      <c r="L112" s="1149" t="e">
        <f>L113+L117+L120</f>
        <v>#REF!</v>
      </c>
      <c r="M112" s="1149" t="e">
        <f>M113+M117+M120</f>
        <v>#REF!</v>
      </c>
      <c r="N112" s="1149" t="e">
        <f>N113+N117+N120</f>
        <v>#REF!</v>
      </c>
      <c r="O112" s="1150" t="e">
        <f t="shared" ref="O112:O125" si="51">N112-K112</f>
        <v>#REF!</v>
      </c>
      <c r="P112" s="1150" t="e">
        <f t="shared" ref="P112:P125" si="52">N112-L112</f>
        <v>#REF!</v>
      </c>
      <c r="Q112" s="1151" t="e">
        <f t="shared" ref="Q112:Q125" si="53">N112-M112</f>
        <v>#REF!</v>
      </c>
      <c r="R112" s="1165"/>
      <c r="S112" s="1165"/>
      <c r="T112" s="1165"/>
      <c r="U112" s="1165"/>
      <c r="V112" s="1166"/>
      <c r="W112" s="1166"/>
      <c r="X112" s="1166"/>
    </row>
    <row r="113" spans="2:24" ht="25.35" hidden="1" customHeight="1" thickBot="1">
      <c r="B113" s="1368" t="s">
        <v>87</v>
      </c>
      <c r="C113" s="1368"/>
      <c r="D113" s="1148" t="e">
        <f>SUM(D114:D116)</f>
        <v>#REF!</v>
      </c>
      <c r="E113" s="1149" t="e">
        <f t="shared" ref="E113:F113" si="54">SUM(E114:E116)</f>
        <v>#REF!</v>
      </c>
      <c r="F113" s="1149">
        <f t="shared" si="54"/>
        <v>29.270582529999999</v>
      </c>
      <c r="G113" s="1149" t="e">
        <f>SUM(G114:G116)</f>
        <v>#REF!</v>
      </c>
      <c r="H113" s="1150" t="e">
        <f t="shared" si="48"/>
        <v>#REF!</v>
      </c>
      <c r="I113" s="1150" t="e">
        <f t="shared" si="49"/>
        <v>#REF!</v>
      </c>
      <c r="J113" s="1151" t="e">
        <f t="shared" si="50"/>
        <v>#REF!</v>
      </c>
      <c r="K113" s="1148" t="e">
        <f>SUM(K114:K116)</f>
        <v>#REF!</v>
      </c>
      <c r="L113" s="1149" t="e">
        <f t="shared" ref="L113:M113" si="55">SUM(L114:L116)</f>
        <v>#REF!</v>
      </c>
      <c r="M113" s="1149" t="e">
        <f t="shared" si="55"/>
        <v>#REF!</v>
      </c>
      <c r="N113" s="1149" t="e">
        <f>SUM(N114:N116)</f>
        <v>#REF!</v>
      </c>
      <c r="O113" s="1150" t="e">
        <f t="shared" si="51"/>
        <v>#REF!</v>
      </c>
      <c r="P113" s="1150" t="e">
        <f t="shared" si="52"/>
        <v>#REF!</v>
      </c>
      <c r="Q113" s="1151" t="e">
        <f t="shared" si="53"/>
        <v>#REF!</v>
      </c>
      <c r="R113" s="1165"/>
      <c r="S113" s="1165"/>
      <c r="T113" s="1165"/>
      <c r="U113" s="1165"/>
      <c r="V113" s="1166"/>
      <c r="W113" s="1166"/>
      <c r="X113" s="1166"/>
    </row>
    <row r="114" spans="2:24" ht="25.35" hidden="1" customHeight="1" thickBot="1">
      <c r="B114" s="1369"/>
      <c r="C114" s="1152" t="s">
        <v>88</v>
      </c>
      <c r="D114" s="1153">
        <f>V11</f>
        <v>0</v>
      </c>
      <c r="E114" s="1154">
        <f>W11</f>
        <v>0.51134500000000016</v>
      </c>
      <c r="F114" s="1154">
        <f>'요약(보고) 241025현실화'!AP10</f>
        <v>6.0365555999999998</v>
      </c>
      <c r="G114" s="1154">
        <f>X11</f>
        <v>0.34089666666666674</v>
      </c>
      <c r="H114" s="1155">
        <f t="shared" si="48"/>
        <v>0.34089666666666674</v>
      </c>
      <c r="I114" s="1155">
        <f t="shared" si="49"/>
        <v>-0.17044833333333342</v>
      </c>
      <c r="J114" s="1156">
        <f t="shared" si="50"/>
        <v>-5.6956589333333332</v>
      </c>
      <c r="K114" s="1153" t="e">
        <f t="shared" ref="K114:N116" si="56">D97+D114</f>
        <v>#REF!</v>
      </c>
      <c r="L114" s="1154" t="e">
        <f t="shared" si="56"/>
        <v>#REF!</v>
      </c>
      <c r="M114" s="1154" t="e">
        <f t="shared" si="56"/>
        <v>#REF!</v>
      </c>
      <c r="N114" s="1154" t="e">
        <f t="shared" si="56"/>
        <v>#REF!</v>
      </c>
      <c r="O114" s="1155" t="e">
        <f t="shared" si="51"/>
        <v>#REF!</v>
      </c>
      <c r="P114" s="1155" t="e">
        <f t="shared" si="52"/>
        <v>#REF!</v>
      </c>
      <c r="Q114" s="1156" t="e">
        <f t="shared" si="53"/>
        <v>#REF!</v>
      </c>
      <c r="R114" s="1167"/>
      <c r="S114" s="1167"/>
      <c r="T114" s="1167"/>
      <c r="U114" s="1167"/>
      <c r="V114" s="1168"/>
      <c r="W114" s="1168"/>
      <c r="X114" s="1168"/>
    </row>
    <row r="115" spans="2:24" ht="25.35" hidden="1" customHeight="1" thickBot="1">
      <c r="B115" s="1370"/>
      <c r="C115" s="1152" t="s">
        <v>89</v>
      </c>
      <c r="D115" s="1153" t="e">
        <f>#REF!</f>
        <v>#REF!</v>
      </c>
      <c r="E115" s="1154" t="e">
        <f>#REF!</f>
        <v>#REF!</v>
      </c>
      <c r="F115" s="1154">
        <f>'요약(보고) 241025현실화'!AP11</f>
        <v>0</v>
      </c>
      <c r="G115" s="1154" t="e">
        <f>#REF!</f>
        <v>#REF!</v>
      </c>
      <c r="H115" s="1155" t="e">
        <f t="shared" si="48"/>
        <v>#REF!</v>
      </c>
      <c r="I115" s="1154" t="e">
        <f t="shared" si="49"/>
        <v>#REF!</v>
      </c>
      <c r="J115" s="1156" t="e">
        <f t="shared" si="50"/>
        <v>#REF!</v>
      </c>
      <c r="K115" s="1153" t="e">
        <f t="shared" si="56"/>
        <v>#REF!</v>
      </c>
      <c r="L115" s="1154" t="e">
        <f t="shared" si="56"/>
        <v>#REF!</v>
      </c>
      <c r="M115" s="1154" t="e">
        <f t="shared" si="56"/>
        <v>#REF!</v>
      </c>
      <c r="N115" s="1154" t="e">
        <f t="shared" si="56"/>
        <v>#REF!</v>
      </c>
      <c r="O115" s="1155" t="e">
        <f t="shared" si="51"/>
        <v>#REF!</v>
      </c>
      <c r="P115" s="1155" t="e">
        <f t="shared" si="52"/>
        <v>#REF!</v>
      </c>
      <c r="Q115" s="1156" t="e">
        <f t="shared" si="53"/>
        <v>#REF!</v>
      </c>
      <c r="R115" s="1167"/>
      <c r="S115" s="1167"/>
      <c r="T115" s="1167"/>
      <c r="U115" s="1167"/>
      <c r="V115" s="1168"/>
      <c r="W115" s="1167"/>
      <c r="X115" s="1167"/>
    </row>
    <row r="116" spans="2:24" ht="25.35" hidden="1" customHeight="1" thickBot="1">
      <c r="B116" s="1371"/>
      <c r="C116" s="1152" t="s">
        <v>22</v>
      </c>
      <c r="D116" s="1153">
        <f>V10</f>
        <v>17.979459309999999</v>
      </c>
      <c r="E116" s="1154">
        <f>W10</f>
        <v>24.623108140000003</v>
      </c>
      <c r="F116" s="1154">
        <f>'요약(보고) 241025현실화'!AP12</f>
        <v>23.234026929999999</v>
      </c>
      <c r="G116" s="1154">
        <f>X10</f>
        <v>24.658300561200001</v>
      </c>
      <c r="H116" s="1155">
        <f t="shared" si="48"/>
        <v>6.6788412512000015</v>
      </c>
      <c r="I116" s="1154">
        <f t="shared" si="49"/>
        <v>3.5192421199997881E-2</v>
      </c>
      <c r="J116" s="1156">
        <f t="shared" si="50"/>
        <v>1.4242736312000019</v>
      </c>
      <c r="K116" s="1153" t="e">
        <f t="shared" si="56"/>
        <v>#REF!</v>
      </c>
      <c r="L116" s="1154" t="e">
        <f t="shared" si="56"/>
        <v>#REF!</v>
      </c>
      <c r="M116" s="1154" t="e">
        <f t="shared" si="56"/>
        <v>#REF!</v>
      </c>
      <c r="N116" s="1154" t="e">
        <f t="shared" si="56"/>
        <v>#REF!</v>
      </c>
      <c r="O116" s="1155" t="e">
        <f t="shared" si="51"/>
        <v>#REF!</v>
      </c>
      <c r="P116" s="1155" t="e">
        <f t="shared" si="52"/>
        <v>#REF!</v>
      </c>
      <c r="Q116" s="1156" t="e">
        <f t="shared" si="53"/>
        <v>#REF!</v>
      </c>
      <c r="R116" s="1167"/>
      <c r="S116" s="1167"/>
      <c r="T116" s="1167"/>
      <c r="U116" s="1167"/>
      <c r="V116" s="1168"/>
      <c r="W116" s="1167"/>
      <c r="X116" s="1168"/>
    </row>
    <row r="117" spans="2:24" ht="25.35" hidden="1" customHeight="1" thickBot="1">
      <c r="B117" s="1368" t="s">
        <v>90</v>
      </c>
      <c r="C117" s="1368"/>
      <c r="D117" s="1148">
        <f>SUM(D118:D119)</f>
        <v>203.63670439999996</v>
      </c>
      <c r="E117" s="1149">
        <f>SUM(E118:E119)</f>
        <v>246.45125989999997</v>
      </c>
      <c r="F117" s="1149">
        <f>SUM(F118:F119)</f>
        <v>355.10838279999996</v>
      </c>
      <c r="G117" s="1149">
        <f>SUM(G118:G119)</f>
        <v>248.86353199999999</v>
      </c>
      <c r="H117" s="1150">
        <f t="shared" si="48"/>
        <v>45.226827600000036</v>
      </c>
      <c r="I117" s="1150">
        <f t="shared" si="49"/>
        <v>2.412272100000024</v>
      </c>
      <c r="J117" s="1151">
        <f t="shared" si="50"/>
        <v>-106.24485079999997</v>
      </c>
      <c r="K117" s="1148" t="e">
        <f>SUM(K118:K119)</f>
        <v>#REF!</v>
      </c>
      <c r="L117" s="1149" t="e">
        <f>SUM(L118:L119)</f>
        <v>#REF!</v>
      </c>
      <c r="M117" s="1149" t="e">
        <f>SUM(M118:M119)</f>
        <v>#REF!</v>
      </c>
      <c r="N117" s="1149" t="e">
        <f>SUM(N118:N119)</f>
        <v>#REF!</v>
      </c>
      <c r="O117" s="1150" t="e">
        <f t="shared" si="51"/>
        <v>#REF!</v>
      </c>
      <c r="P117" s="1150" t="e">
        <f t="shared" si="52"/>
        <v>#REF!</v>
      </c>
      <c r="Q117" s="1151" t="e">
        <f t="shared" si="53"/>
        <v>#REF!</v>
      </c>
      <c r="R117" s="1165"/>
      <c r="S117" s="1165"/>
      <c r="T117" s="1165"/>
      <c r="U117" s="1165"/>
      <c r="V117" s="1166"/>
      <c r="W117" s="1166"/>
      <c r="X117" s="1166"/>
    </row>
    <row r="118" spans="2:24" ht="25.35" hidden="1" customHeight="1" thickBot="1">
      <c r="B118" s="1366"/>
      <c r="C118" s="1152" t="s">
        <v>91</v>
      </c>
      <c r="D118" s="1153">
        <f>V14</f>
        <v>14.588646399999998</v>
      </c>
      <c r="E118" s="1154">
        <f>W14</f>
        <v>8.0520014</v>
      </c>
      <c r="F118" s="1154">
        <f>'요약(보고) 241025현실화'!AP14</f>
        <v>7.1683458</v>
      </c>
      <c r="G118" s="1154">
        <f>X14</f>
        <v>8.1411292</v>
      </c>
      <c r="H118" s="1155">
        <f t="shared" si="48"/>
        <v>-6.4475171999999983</v>
      </c>
      <c r="I118" s="1155">
        <f t="shared" si="49"/>
        <v>8.9127799999999979E-2</v>
      </c>
      <c r="J118" s="1156">
        <f t="shared" si="50"/>
        <v>0.97278339999999996</v>
      </c>
      <c r="K118" s="1153" t="e">
        <f t="shared" ref="K118:N119" si="57">D101+D118</f>
        <v>#REF!</v>
      </c>
      <c r="L118" s="1154" t="e">
        <f t="shared" si="57"/>
        <v>#REF!</v>
      </c>
      <c r="M118" s="1154" t="e">
        <f t="shared" si="57"/>
        <v>#REF!</v>
      </c>
      <c r="N118" s="1154" t="e">
        <f t="shared" si="57"/>
        <v>#REF!</v>
      </c>
      <c r="O118" s="1155" t="e">
        <f t="shared" si="51"/>
        <v>#REF!</v>
      </c>
      <c r="P118" s="1155" t="e">
        <f t="shared" si="52"/>
        <v>#REF!</v>
      </c>
      <c r="Q118" s="1156" t="e">
        <f t="shared" si="53"/>
        <v>#REF!</v>
      </c>
      <c r="R118" s="1167"/>
      <c r="S118" s="1167"/>
      <c r="T118" s="1167"/>
      <c r="U118" s="1167"/>
      <c r="V118" s="1168"/>
      <c r="W118" s="1168"/>
      <c r="X118" s="1168"/>
    </row>
    <row r="119" spans="2:24" ht="25.35" hidden="1" customHeight="1" thickBot="1">
      <c r="B119" s="1367"/>
      <c r="C119" s="1152" t="s">
        <v>92</v>
      </c>
      <c r="D119" s="1153">
        <f>V13</f>
        <v>189.04805799999997</v>
      </c>
      <c r="E119" s="1154">
        <f>W13</f>
        <v>238.39925849999997</v>
      </c>
      <c r="F119" s="1154">
        <f>'요약(보고) 241025현실화'!AP15</f>
        <v>347.94003699999996</v>
      </c>
      <c r="G119" s="1154">
        <f>X13</f>
        <v>240.7224028</v>
      </c>
      <c r="H119" s="1155">
        <f t="shared" si="48"/>
        <v>51.674344800000028</v>
      </c>
      <c r="I119" s="1154">
        <f t="shared" si="49"/>
        <v>2.323144300000024</v>
      </c>
      <c r="J119" s="1156">
        <f t="shared" si="50"/>
        <v>-107.21763419999996</v>
      </c>
      <c r="K119" s="1153" t="e">
        <f t="shared" si="57"/>
        <v>#REF!</v>
      </c>
      <c r="L119" s="1154" t="e">
        <f t="shared" si="57"/>
        <v>#REF!</v>
      </c>
      <c r="M119" s="1154" t="e">
        <f t="shared" si="57"/>
        <v>#REF!</v>
      </c>
      <c r="N119" s="1154" t="e">
        <f t="shared" si="57"/>
        <v>#REF!</v>
      </c>
      <c r="O119" s="1155" t="e">
        <f t="shared" si="51"/>
        <v>#REF!</v>
      </c>
      <c r="P119" s="1155" t="e">
        <f t="shared" si="52"/>
        <v>#REF!</v>
      </c>
      <c r="Q119" s="1156" t="e">
        <f t="shared" si="53"/>
        <v>#REF!</v>
      </c>
      <c r="R119" s="1167"/>
      <c r="S119" s="1167"/>
      <c r="T119" s="1167"/>
      <c r="U119" s="1167"/>
      <c r="V119" s="1168"/>
      <c r="W119" s="1167"/>
      <c r="X119" s="1168"/>
    </row>
    <row r="120" spans="2:24" ht="25.35" hidden="1" customHeight="1" thickBot="1">
      <c r="B120" s="1368" t="s">
        <v>93</v>
      </c>
      <c r="C120" s="1368"/>
      <c r="D120" s="1148" t="e">
        <f>SUM(D121:D125)</f>
        <v>#REF!</v>
      </c>
      <c r="E120" s="1149" t="e">
        <f>SUM(E121:E125)</f>
        <v>#REF!</v>
      </c>
      <c r="F120" s="1149">
        <f>SUM(F121:F125)</f>
        <v>25.935739909999999</v>
      </c>
      <c r="G120" s="1149" t="e">
        <f>SUM(G121:G125)</f>
        <v>#REF!</v>
      </c>
      <c r="H120" s="1150" t="e">
        <f t="shared" si="48"/>
        <v>#REF!</v>
      </c>
      <c r="I120" s="1150" t="e">
        <f t="shared" si="49"/>
        <v>#REF!</v>
      </c>
      <c r="J120" s="1151" t="e">
        <f t="shared" si="50"/>
        <v>#REF!</v>
      </c>
      <c r="K120" s="1148" t="e">
        <f>SUM(K121:K125)</f>
        <v>#REF!</v>
      </c>
      <c r="L120" s="1157" t="e">
        <f>SUM(L121:L125)</f>
        <v>#REF!</v>
      </c>
      <c r="M120" s="1149" t="e">
        <f>SUM(M121:M125)</f>
        <v>#REF!</v>
      </c>
      <c r="N120" s="1157" t="e">
        <f>SUM(N121:N125)</f>
        <v>#REF!</v>
      </c>
      <c r="O120" s="1169" t="e">
        <f t="shared" si="51"/>
        <v>#REF!</v>
      </c>
      <c r="P120" s="1169" t="e">
        <f t="shared" si="52"/>
        <v>#REF!</v>
      </c>
      <c r="Q120" s="1170" t="e">
        <f t="shared" si="53"/>
        <v>#REF!</v>
      </c>
      <c r="R120" s="1165"/>
      <c r="S120" s="1165"/>
      <c r="T120" s="1165"/>
      <c r="U120" s="1165"/>
      <c r="V120" s="1166"/>
      <c r="W120" s="1166"/>
      <c r="X120" s="1166"/>
    </row>
    <row r="121" spans="2:24" ht="25.35" hidden="1" customHeight="1" thickBot="1">
      <c r="B121" s="1366"/>
      <c r="C121" s="1152" t="s">
        <v>94</v>
      </c>
      <c r="D121" s="1153" t="e">
        <f>#REF!</f>
        <v>#REF!</v>
      </c>
      <c r="E121" s="1154" t="e">
        <f>#REF!</f>
        <v>#REF!</v>
      </c>
      <c r="F121" s="1154">
        <f>'요약(보고) 241025현실화'!AP17</f>
        <v>0.3</v>
      </c>
      <c r="G121" s="1154" t="e">
        <f>#REF!</f>
        <v>#REF!</v>
      </c>
      <c r="H121" s="1155" t="e">
        <f t="shared" si="48"/>
        <v>#REF!</v>
      </c>
      <c r="I121" s="1155" t="e">
        <f t="shared" si="49"/>
        <v>#REF!</v>
      </c>
      <c r="J121" s="1156" t="e">
        <f t="shared" si="50"/>
        <v>#REF!</v>
      </c>
      <c r="K121" s="1153" t="e">
        <f t="shared" ref="K121:N125" si="58">D104+D121</f>
        <v>#REF!</v>
      </c>
      <c r="L121" s="1158" t="e">
        <f t="shared" si="58"/>
        <v>#REF!</v>
      </c>
      <c r="M121" s="1154" t="e">
        <f t="shared" si="58"/>
        <v>#REF!</v>
      </c>
      <c r="N121" s="1158" t="e">
        <f t="shared" si="58"/>
        <v>#REF!</v>
      </c>
      <c r="O121" s="1171" t="e">
        <f t="shared" si="51"/>
        <v>#REF!</v>
      </c>
      <c r="P121" s="1171" t="e">
        <f t="shared" si="52"/>
        <v>#REF!</v>
      </c>
      <c r="Q121" s="1172" t="e">
        <f t="shared" si="53"/>
        <v>#REF!</v>
      </c>
      <c r="R121" s="1167"/>
      <c r="S121" s="1167"/>
      <c r="T121" s="1167"/>
      <c r="U121" s="1167"/>
      <c r="V121" s="1168"/>
      <c r="W121" s="1168"/>
      <c r="X121" s="1167"/>
    </row>
    <row r="122" spans="2:24" ht="25.35" hidden="1" customHeight="1" thickBot="1">
      <c r="B122" s="1376"/>
      <c r="C122" s="1152" t="s">
        <v>95</v>
      </c>
      <c r="D122" s="1153">
        <f>V17</f>
        <v>3.66</v>
      </c>
      <c r="E122" s="1154">
        <f>W17</f>
        <v>1.7875000000000001</v>
      </c>
      <c r="F122" s="1154">
        <f>'요약(보고) 241025현실화'!AP18</f>
        <v>3.7387499999999996</v>
      </c>
      <c r="G122" s="1154">
        <f>X17</f>
        <v>1.7875000000000001</v>
      </c>
      <c r="H122" s="1155">
        <f t="shared" si="48"/>
        <v>-1.8725000000000001</v>
      </c>
      <c r="I122" s="1155">
        <f t="shared" si="49"/>
        <v>0</v>
      </c>
      <c r="J122" s="1156">
        <f t="shared" si="50"/>
        <v>-1.9512499999999995</v>
      </c>
      <c r="K122" s="1153" t="e">
        <f t="shared" si="58"/>
        <v>#REF!</v>
      </c>
      <c r="L122" s="1158" t="e">
        <f t="shared" si="58"/>
        <v>#REF!</v>
      </c>
      <c r="M122" s="1154" t="e">
        <f t="shared" si="58"/>
        <v>#REF!</v>
      </c>
      <c r="N122" s="1158" t="e">
        <f t="shared" si="58"/>
        <v>#REF!</v>
      </c>
      <c r="O122" s="1171" t="e">
        <f t="shared" si="51"/>
        <v>#REF!</v>
      </c>
      <c r="P122" s="1171" t="e">
        <f t="shared" si="52"/>
        <v>#REF!</v>
      </c>
      <c r="Q122" s="1172" t="e">
        <f t="shared" si="53"/>
        <v>#REF!</v>
      </c>
      <c r="R122" s="1167"/>
      <c r="S122" s="1167"/>
      <c r="T122" s="1167"/>
      <c r="U122" s="1167"/>
      <c r="V122" s="1168"/>
      <c r="W122" s="1168"/>
      <c r="X122" s="1167"/>
    </row>
    <row r="123" spans="2:24" ht="25.35" hidden="1" customHeight="1" thickBot="1">
      <c r="B123" s="1376"/>
      <c r="C123" s="1152" t="s">
        <v>96</v>
      </c>
      <c r="D123" s="1153">
        <f>V16</f>
        <v>42.274860109999999</v>
      </c>
      <c r="E123" s="1154">
        <f>W16</f>
        <v>35.326999999999998</v>
      </c>
      <c r="F123" s="1154">
        <f>'요약(보고) 241025현실화'!AP19</f>
        <v>8.9667329000000002</v>
      </c>
      <c r="G123" s="1154">
        <f>X16</f>
        <v>32.328658040000001</v>
      </c>
      <c r="H123" s="1155">
        <f t="shared" si="48"/>
        <v>-9.9462020699999982</v>
      </c>
      <c r="I123" s="1155">
        <f t="shared" si="49"/>
        <v>-2.9983419599999976</v>
      </c>
      <c r="J123" s="1156">
        <f t="shared" si="50"/>
        <v>23.36192514</v>
      </c>
      <c r="K123" s="1153" t="e">
        <f t="shared" si="58"/>
        <v>#REF!</v>
      </c>
      <c r="L123" s="1158" t="e">
        <f t="shared" si="58"/>
        <v>#REF!</v>
      </c>
      <c r="M123" s="1154" t="e">
        <f t="shared" si="58"/>
        <v>#REF!</v>
      </c>
      <c r="N123" s="1158" t="e">
        <f t="shared" si="58"/>
        <v>#REF!</v>
      </c>
      <c r="O123" s="1171" t="e">
        <f t="shared" si="51"/>
        <v>#REF!</v>
      </c>
      <c r="P123" s="1171" t="e">
        <f t="shared" si="52"/>
        <v>#REF!</v>
      </c>
      <c r="Q123" s="1172" t="e">
        <f t="shared" si="53"/>
        <v>#REF!</v>
      </c>
      <c r="R123" s="1167"/>
      <c r="S123" s="1167"/>
      <c r="T123" s="1167"/>
      <c r="U123" s="1167"/>
      <c r="V123" s="1168"/>
      <c r="W123" s="1167"/>
      <c r="X123" s="1167"/>
    </row>
    <row r="124" spans="2:24" ht="25.35" hidden="1" customHeight="1" thickBot="1">
      <c r="B124" s="1376"/>
      <c r="C124" s="1152" t="s">
        <v>97</v>
      </c>
      <c r="D124" s="1153">
        <f>V18</f>
        <v>5.2999166799999999</v>
      </c>
      <c r="E124" s="1154">
        <f>W18</f>
        <v>4.6875</v>
      </c>
      <c r="F124" s="1154">
        <f>'요약(보고) 241025현실화'!AP20</f>
        <v>11.42062501</v>
      </c>
      <c r="G124" s="1154">
        <f>X18</f>
        <v>5.0495833399999999</v>
      </c>
      <c r="H124" s="1155">
        <f t="shared" si="48"/>
        <v>-0.25033334000000007</v>
      </c>
      <c r="I124" s="1155">
        <f t="shared" si="49"/>
        <v>0.36208333999999986</v>
      </c>
      <c r="J124" s="1156">
        <f t="shared" si="50"/>
        <v>-6.3710416700000003</v>
      </c>
      <c r="K124" s="1153" t="e">
        <f t="shared" si="58"/>
        <v>#REF!</v>
      </c>
      <c r="L124" s="1158" t="e">
        <f t="shared" si="58"/>
        <v>#REF!</v>
      </c>
      <c r="M124" s="1154" t="e">
        <f t="shared" si="58"/>
        <v>#REF!</v>
      </c>
      <c r="N124" s="1158" t="e">
        <f t="shared" si="58"/>
        <v>#REF!</v>
      </c>
      <c r="O124" s="1171" t="e">
        <f t="shared" si="51"/>
        <v>#REF!</v>
      </c>
      <c r="P124" s="1171" t="e">
        <f t="shared" si="52"/>
        <v>#REF!</v>
      </c>
      <c r="Q124" s="1172" t="e">
        <f t="shared" si="53"/>
        <v>#REF!</v>
      </c>
      <c r="R124" s="1167"/>
      <c r="S124" s="1167"/>
      <c r="T124" s="1167"/>
      <c r="U124" s="1167"/>
      <c r="V124" s="1168"/>
      <c r="W124" s="1167"/>
      <c r="X124" s="1168"/>
    </row>
    <row r="125" spans="2:24" ht="25.35" hidden="1" customHeight="1" thickBot="1">
      <c r="B125" s="1367"/>
      <c r="C125" s="1152" t="s">
        <v>98</v>
      </c>
      <c r="D125" s="1159">
        <f>V19</f>
        <v>2.64804167</v>
      </c>
      <c r="E125" s="1160">
        <f>W19</f>
        <v>0</v>
      </c>
      <c r="F125" s="1160">
        <f>'요약(보고) 241025현실화'!AP21</f>
        <v>1.5096319999999999</v>
      </c>
      <c r="G125" s="1160">
        <f>X19</f>
        <v>0.37327709999999997</v>
      </c>
      <c r="H125" s="1161">
        <f t="shared" si="48"/>
        <v>-2.2747645699999999</v>
      </c>
      <c r="I125" s="1161">
        <f t="shared" si="49"/>
        <v>0.37327709999999997</v>
      </c>
      <c r="J125" s="1162">
        <f t="shared" si="50"/>
        <v>-1.1363548999999999</v>
      </c>
      <c r="K125" s="1159" t="e">
        <f t="shared" si="58"/>
        <v>#REF!</v>
      </c>
      <c r="L125" s="1173" t="e">
        <f t="shared" si="58"/>
        <v>#REF!</v>
      </c>
      <c r="M125" s="1160" t="e">
        <f t="shared" si="58"/>
        <v>#REF!</v>
      </c>
      <c r="N125" s="1173" t="e">
        <f t="shared" si="58"/>
        <v>#REF!</v>
      </c>
      <c r="O125" s="1174" t="e">
        <f t="shared" si="51"/>
        <v>#REF!</v>
      </c>
      <c r="P125" s="1174" t="e">
        <f t="shared" si="52"/>
        <v>#REF!</v>
      </c>
      <c r="Q125" s="1175" t="e">
        <f t="shared" si="53"/>
        <v>#REF!</v>
      </c>
      <c r="R125" s="1167"/>
      <c r="S125" s="1167"/>
      <c r="T125" s="1167"/>
      <c r="U125" s="1167"/>
      <c r="V125" s="1168"/>
      <c r="W125" s="1167"/>
      <c r="X125" s="1168"/>
    </row>
    <row r="127" spans="2:24" hidden="1"/>
    <row r="128" spans="2:24" ht="25.35" hidden="1" customHeight="1" thickBot="1">
      <c r="B128" s="1372" t="s">
        <v>76</v>
      </c>
      <c r="C128" s="1372"/>
      <c r="D128" s="1348" t="s">
        <v>101</v>
      </c>
      <c r="E128" s="1349"/>
      <c r="F128" s="1349"/>
      <c r="G128" s="1349"/>
      <c r="H128" s="1349"/>
      <c r="I128" s="1349"/>
      <c r="J128" s="1350"/>
      <c r="K128" s="1348" t="s">
        <v>102</v>
      </c>
      <c r="L128" s="1349"/>
      <c r="M128" s="1349"/>
      <c r="N128" s="1349"/>
      <c r="O128" s="1349"/>
      <c r="P128" s="1349"/>
      <c r="Q128" s="1350"/>
      <c r="R128" s="1339" t="s">
        <v>103</v>
      </c>
      <c r="S128" s="1339"/>
      <c r="T128" s="1339"/>
      <c r="U128" s="1339"/>
      <c r="V128" s="1339"/>
      <c r="W128" s="1339"/>
      <c r="X128" s="1339"/>
    </row>
    <row r="129" spans="2:24" ht="39" hidden="1" customHeight="1" thickBot="1">
      <c r="B129" s="1373"/>
      <c r="C129" s="1373"/>
      <c r="D129" s="1145" t="s">
        <v>80</v>
      </c>
      <c r="E129" s="1146" t="s">
        <v>81</v>
      </c>
      <c r="F129" s="1146" t="s">
        <v>104</v>
      </c>
      <c r="G129" s="1146" t="s">
        <v>15</v>
      </c>
      <c r="H129" s="1146" t="s">
        <v>83</v>
      </c>
      <c r="I129" s="1146" t="s">
        <v>84</v>
      </c>
      <c r="J129" s="1147" t="s">
        <v>85</v>
      </c>
      <c r="K129" s="1145" t="s">
        <v>80</v>
      </c>
      <c r="L129" s="1146" t="s">
        <v>81</v>
      </c>
      <c r="M129" s="1146" t="s">
        <v>104</v>
      </c>
      <c r="N129" s="1146" t="s">
        <v>15</v>
      </c>
      <c r="O129" s="1146" t="s">
        <v>83</v>
      </c>
      <c r="P129" s="1146" t="s">
        <v>84</v>
      </c>
      <c r="Q129" s="1147" t="s">
        <v>85</v>
      </c>
      <c r="R129" s="1164"/>
      <c r="S129" s="1164"/>
      <c r="T129" s="1164"/>
      <c r="U129" s="1164"/>
      <c r="V129" s="1164"/>
      <c r="W129" s="1164"/>
      <c r="X129" s="1164"/>
    </row>
    <row r="130" spans="2:24" ht="25.35" hidden="1" customHeight="1" thickBot="1">
      <c r="B130" s="1368" t="s">
        <v>86</v>
      </c>
      <c r="C130" s="1368"/>
      <c r="D130" s="1148" t="e">
        <f>D131+D135+D138</f>
        <v>#REF!</v>
      </c>
      <c r="E130" s="1149" t="e">
        <f>E131+E135+E138</f>
        <v>#REF!</v>
      </c>
      <c r="F130" s="1149" t="e">
        <f>F131+F135+F138</f>
        <v>#REF!</v>
      </c>
      <c r="G130" s="1149" t="e">
        <f>G131+G135+G138</f>
        <v>#REF!</v>
      </c>
      <c r="H130" s="1150" t="e">
        <f t="shared" ref="H130:H143" si="59">G130-D130</f>
        <v>#REF!</v>
      </c>
      <c r="I130" s="1150" t="e">
        <f t="shared" ref="I130:I143" si="60">G130-E130</f>
        <v>#REF!</v>
      </c>
      <c r="J130" s="1151" t="e">
        <f t="shared" ref="J130:J143" si="61">G130-F130</f>
        <v>#REF!</v>
      </c>
      <c r="K130" s="1148" t="e">
        <f>K131+K135+K138</f>
        <v>#REF!</v>
      </c>
      <c r="L130" s="1149" t="e">
        <f>L131+L135+L138</f>
        <v>#REF!</v>
      </c>
      <c r="M130" s="1149" t="e">
        <f>M131+M135+M138</f>
        <v>#REF!</v>
      </c>
      <c r="N130" s="1149" t="e">
        <f>N131+N135+N138</f>
        <v>#REF!</v>
      </c>
      <c r="O130" s="1150" t="e">
        <f t="shared" ref="O130:O143" si="62">N130-K130</f>
        <v>#REF!</v>
      </c>
      <c r="P130" s="1150" t="e">
        <f t="shared" ref="P130:P143" si="63">N130-L130</f>
        <v>#REF!</v>
      </c>
      <c r="Q130" s="1151" t="e">
        <f t="shared" ref="Q130:Q143" si="64">N130-M130</f>
        <v>#REF!</v>
      </c>
      <c r="R130" s="1165"/>
      <c r="S130" s="1165"/>
      <c r="T130" s="1165"/>
      <c r="U130" s="1165"/>
      <c r="V130" s="1166"/>
      <c r="W130" s="1166"/>
      <c r="X130" s="1165"/>
    </row>
    <row r="131" spans="2:24" ht="25.35" hidden="1" customHeight="1" thickBot="1">
      <c r="B131" s="1368" t="s">
        <v>87</v>
      </c>
      <c r="C131" s="1368"/>
      <c r="D131" s="1148" t="e">
        <f>SUM(D132:D134)</f>
        <v>#REF!</v>
      </c>
      <c r="E131" s="1149" t="e">
        <f t="shared" ref="E131:F131" si="65">SUM(E132:E134)</f>
        <v>#REF!</v>
      </c>
      <c r="F131" s="1149" t="e">
        <f t="shared" si="65"/>
        <v>#REF!</v>
      </c>
      <c r="G131" s="1149" t="e">
        <f>SUM(G132:G134)</f>
        <v>#REF!</v>
      </c>
      <c r="H131" s="1150" t="e">
        <f t="shared" si="59"/>
        <v>#REF!</v>
      </c>
      <c r="I131" s="1150" t="e">
        <f t="shared" si="60"/>
        <v>#REF!</v>
      </c>
      <c r="J131" s="1151" t="e">
        <f t="shared" si="61"/>
        <v>#REF!</v>
      </c>
      <c r="K131" s="1148" t="e">
        <f>SUM(K132:K134)</f>
        <v>#REF!</v>
      </c>
      <c r="L131" s="1149" t="e">
        <f t="shared" ref="L131:M131" si="66">SUM(L132:L134)</f>
        <v>#REF!</v>
      </c>
      <c r="M131" s="1149" t="e">
        <f t="shared" si="66"/>
        <v>#REF!</v>
      </c>
      <c r="N131" s="1149" t="e">
        <f>SUM(N132:N134)</f>
        <v>#REF!</v>
      </c>
      <c r="O131" s="1150" t="e">
        <f t="shared" si="62"/>
        <v>#REF!</v>
      </c>
      <c r="P131" s="1150" t="e">
        <f t="shared" si="63"/>
        <v>#REF!</v>
      </c>
      <c r="Q131" s="1151" t="e">
        <f t="shared" si="64"/>
        <v>#REF!</v>
      </c>
      <c r="R131" s="1165"/>
      <c r="S131" s="1165"/>
      <c r="T131" s="1165"/>
      <c r="U131" s="1165"/>
      <c r="V131" s="1166"/>
      <c r="W131" s="1166"/>
      <c r="X131" s="1165"/>
    </row>
    <row r="132" spans="2:24" ht="25.35" hidden="1" customHeight="1" thickBot="1">
      <c r="B132" s="1369"/>
      <c r="C132" s="1152" t="s">
        <v>88</v>
      </c>
      <c r="D132" s="1153">
        <f>N11</f>
        <v>0</v>
      </c>
      <c r="E132" s="1154">
        <f>O11</f>
        <v>0.17044833333333337</v>
      </c>
      <c r="F132" s="1154" t="e">
        <f>#REF!</f>
        <v>#REF!</v>
      </c>
      <c r="G132" s="1154">
        <f>P11</f>
        <v>0.17044833333333337</v>
      </c>
      <c r="H132" s="1155">
        <f t="shared" si="59"/>
        <v>0.17044833333333337</v>
      </c>
      <c r="I132" s="1155">
        <f t="shared" si="60"/>
        <v>0</v>
      </c>
      <c r="J132" s="1156" t="e">
        <f t="shared" si="61"/>
        <v>#REF!</v>
      </c>
      <c r="K132" s="1153" t="e">
        <f>SUM(#REF!,F11,J11,N11)</f>
        <v>#REF!</v>
      </c>
      <c r="L132" s="1154" t="e">
        <f>SUM(#REF!,G11,K11,O11)</f>
        <v>#REF!</v>
      </c>
      <c r="M132" s="1154" t="e">
        <f>SUM(#REF!,#REF!,#REF!)</f>
        <v>#REF!</v>
      </c>
      <c r="N132" s="1154" t="e">
        <f>SUM(#REF!,H11,L11,P11)</f>
        <v>#REF!</v>
      </c>
      <c r="O132" s="1155" t="e">
        <f t="shared" si="62"/>
        <v>#REF!</v>
      </c>
      <c r="P132" s="1155" t="e">
        <f t="shared" si="63"/>
        <v>#REF!</v>
      </c>
      <c r="Q132" s="1156" t="e">
        <f t="shared" si="64"/>
        <v>#REF!</v>
      </c>
      <c r="R132" s="1167"/>
      <c r="S132" s="1167"/>
      <c r="T132" s="1167"/>
      <c r="U132" s="1167"/>
      <c r="V132" s="1168"/>
      <c r="W132" s="1168"/>
      <c r="X132" s="1167"/>
    </row>
    <row r="133" spans="2:24" ht="25.35" hidden="1" customHeight="1" thickBot="1">
      <c r="B133" s="1370"/>
      <c r="C133" s="1152" t="s">
        <v>89</v>
      </c>
      <c r="D133" s="1153" t="e">
        <f>#REF!</f>
        <v>#REF!</v>
      </c>
      <c r="E133" s="1154" t="e">
        <f>#REF!</f>
        <v>#REF!</v>
      </c>
      <c r="F133" s="1154" t="e">
        <f>#REF!</f>
        <v>#REF!</v>
      </c>
      <c r="G133" s="1154" t="e">
        <f>#REF!</f>
        <v>#REF!</v>
      </c>
      <c r="H133" s="1155" t="e">
        <f t="shared" si="59"/>
        <v>#REF!</v>
      </c>
      <c r="I133" s="1154" t="e">
        <f t="shared" si="60"/>
        <v>#REF!</v>
      </c>
      <c r="J133" s="1156" t="e">
        <f t="shared" si="61"/>
        <v>#REF!</v>
      </c>
      <c r="K133" s="1153" t="e">
        <f>SUM(#REF!,#REF!,#REF!,#REF!)</f>
        <v>#REF!</v>
      </c>
      <c r="L133" s="1154" t="e">
        <f>SUM(#REF!,#REF!,#REF!,#REF!)</f>
        <v>#REF!</v>
      </c>
      <c r="M133" s="1154" t="e">
        <f>SUM(#REF!,#REF!,#REF!)</f>
        <v>#REF!</v>
      </c>
      <c r="N133" s="1154" t="e">
        <f>SUM(#REF!,#REF!,#REF!,#REF!)</f>
        <v>#REF!</v>
      </c>
      <c r="O133" s="1155" t="e">
        <f t="shared" si="62"/>
        <v>#REF!</v>
      </c>
      <c r="P133" s="1154" t="e">
        <f t="shared" si="63"/>
        <v>#REF!</v>
      </c>
      <c r="Q133" s="1156" t="e">
        <f t="shared" si="64"/>
        <v>#REF!</v>
      </c>
      <c r="R133" s="1167"/>
      <c r="S133" s="1167"/>
      <c r="T133" s="1167"/>
      <c r="U133" s="1167"/>
      <c r="V133" s="1168"/>
      <c r="W133" s="1167"/>
      <c r="X133" s="1167"/>
    </row>
    <row r="134" spans="2:24" ht="25.35" hidden="1" customHeight="1" thickBot="1">
      <c r="B134" s="1371"/>
      <c r="C134" s="1152" t="s">
        <v>22</v>
      </c>
      <c r="D134" s="1153">
        <f>N10</f>
        <v>12.60945478</v>
      </c>
      <c r="E134" s="1154">
        <f>O10</f>
        <v>12.083620640000003</v>
      </c>
      <c r="F134" s="1154" t="e">
        <f>#REF!</f>
        <v>#REF!</v>
      </c>
      <c r="G134" s="1154">
        <f>P10</f>
        <v>9.6737685912000018</v>
      </c>
      <c r="H134" s="1155">
        <f t="shared" si="59"/>
        <v>-2.9356861887999983</v>
      </c>
      <c r="I134" s="1154">
        <f t="shared" si="60"/>
        <v>-2.4098520488000013</v>
      </c>
      <c r="J134" s="1156" t="e">
        <f t="shared" si="61"/>
        <v>#REF!</v>
      </c>
      <c r="K134" s="1153" t="e">
        <f>SUM(#REF!,F10,J10,N10)</f>
        <v>#REF!</v>
      </c>
      <c r="L134" s="1154" t="e">
        <f>SUM(#REF!,G10,K10,O10)</f>
        <v>#REF!</v>
      </c>
      <c r="M134" s="1154" t="e">
        <f>SUM(#REF!,#REF!,#REF!)</f>
        <v>#REF!</v>
      </c>
      <c r="N134" s="1154" t="e">
        <f>SUM(#REF!,H10,L10,P10)</f>
        <v>#REF!</v>
      </c>
      <c r="O134" s="1155" t="e">
        <f t="shared" si="62"/>
        <v>#REF!</v>
      </c>
      <c r="P134" s="1154" t="e">
        <f t="shared" si="63"/>
        <v>#REF!</v>
      </c>
      <c r="Q134" s="1156" t="e">
        <f t="shared" si="64"/>
        <v>#REF!</v>
      </c>
      <c r="R134" s="1167"/>
      <c r="S134" s="1167"/>
      <c r="T134" s="1167"/>
      <c r="U134" s="1167"/>
      <c r="V134" s="1168"/>
      <c r="W134" s="1167"/>
      <c r="X134" s="1167"/>
    </row>
    <row r="135" spans="2:24" ht="25.35" hidden="1" customHeight="1" thickBot="1">
      <c r="B135" s="1368" t="s">
        <v>90</v>
      </c>
      <c r="C135" s="1368"/>
      <c r="D135" s="1148">
        <f>SUM(D136:D137)</f>
        <v>54.348993800000002</v>
      </c>
      <c r="E135" s="1149">
        <f>SUM(E136:E137)</f>
        <v>90.822934399999994</v>
      </c>
      <c r="F135" s="1149" t="e">
        <f>SUM(F136:F137)</f>
        <v>#REF!</v>
      </c>
      <c r="G135" s="1149">
        <f>SUM(G136:G137)</f>
        <v>102.4636874</v>
      </c>
      <c r="H135" s="1150">
        <f t="shared" si="59"/>
        <v>48.114693599999995</v>
      </c>
      <c r="I135" s="1150">
        <f t="shared" si="60"/>
        <v>11.640753000000004</v>
      </c>
      <c r="J135" s="1151" t="e">
        <f t="shared" si="61"/>
        <v>#REF!</v>
      </c>
      <c r="K135" s="1148" t="e">
        <f>SUM(K136:K137)</f>
        <v>#REF!</v>
      </c>
      <c r="L135" s="1149" t="e">
        <f>SUM(L136:L137)</f>
        <v>#REF!</v>
      </c>
      <c r="M135" s="1149" t="e">
        <f>SUM(M136:M137)</f>
        <v>#REF!</v>
      </c>
      <c r="N135" s="1149" t="e">
        <f>SUM(N136:N137)</f>
        <v>#REF!</v>
      </c>
      <c r="O135" s="1150" t="e">
        <f t="shared" si="62"/>
        <v>#REF!</v>
      </c>
      <c r="P135" s="1150" t="e">
        <f t="shared" si="63"/>
        <v>#REF!</v>
      </c>
      <c r="Q135" s="1151" t="e">
        <f t="shared" si="64"/>
        <v>#REF!</v>
      </c>
      <c r="R135" s="1165"/>
      <c r="S135" s="1165"/>
      <c r="T135" s="1165"/>
      <c r="U135" s="1165"/>
      <c r="V135" s="1166"/>
      <c r="W135" s="1166"/>
      <c r="X135" s="1165"/>
    </row>
    <row r="136" spans="2:24" ht="25.35" hidden="1" customHeight="1" thickBot="1">
      <c r="B136" s="1366"/>
      <c r="C136" s="1152" t="s">
        <v>91</v>
      </c>
      <c r="D136" s="1153">
        <f>N14</f>
        <v>4.3794528000000001</v>
      </c>
      <c r="E136" s="1154">
        <f>O14</f>
        <v>2.7458163999999998</v>
      </c>
      <c r="F136" s="1154" t="e">
        <f>#REF!</f>
        <v>#REF!</v>
      </c>
      <c r="G136" s="1154">
        <f>P14</f>
        <v>2.9141716</v>
      </c>
      <c r="H136" s="1155">
        <f t="shared" si="59"/>
        <v>-1.4652812000000002</v>
      </c>
      <c r="I136" s="1155">
        <f t="shared" si="60"/>
        <v>0.16835520000000015</v>
      </c>
      <c r="J136" s="1156" t="e">
        <f t="shared" si="61"/>
        <v>#REF!</v>
      </c>
      <c r="K136" s="1153" t="e">
        <f>SUM(#REF!,F14,J14,N14)</f>
        <v>#REF!</v>
      </c>
      <c r="L136" s="1154" t="e">
        <f>SUM(#REF!,G14,K14,O14)</f>
        <v>#REF!</v>
      </c>
      <c r="M136" s="1154" t="e">
        <f>SUM(#REF!,#REF!,#REF!)</f>
        <v>#REF!</v>
      </c>
      <c r="N136" s="1154" t="e">
        <f>SUM(#REF!,H14,L14,P14)</f>
        <v>#REF!</v>
      </c>
      <c r="O136" s="1155" t="e">
        <f t="shared" si="62"/>
        <v>#REF!</v>
      </c>
      <c r="P136" s="1155" t="e">
        <f t="shared" si="63"/>
        <v>#REF!</v>
      </c>
      <c r="Q136" s="1156" t="e">
        <f t="shared" si="64"/>
        <v>#REF!</v>
      </c>
      <c r="R136" s="1167"/>
      <c r="S136" s="1167"/>
      <c r="T136" s="1167"/>
      <c r="U136" s="1167"/>
      <c r="V136" s="1168"/>
      <c r="W136" s="1168"/>
      <c r="X136" s="1167"/>
    </row>
    <row r="137" spans="2:24" ht="25.35" hidden="1" customHeight="1" thickBot="1">
      <c r="B137" s="1367"/>
      <c r="C137" s="1152" t="s">
        <v>92</v>
      </c>
      <c r="D137" s="1153">
        <f>N13</f>
        <v>49.969541</v>
      </c>
      <c r="E137" s="1154">
        <f>O13</f>
        <v>88.077117999999999</v>
      </c>
      <c r="F137" s="1154" t="e">
        <f>#REF!</f>
        <v>#REF!</v>
      </c>
      <c r="G137" s="1154">
        <f>P13</f>
        <v>99.549515799999995</v>
      </c>
      <c r="H137" s="1155">
        <f t="shared" si="59"/>
        <v>49.579974799999995</v>
      </c>
      <c r="I137" s="1154">
        <f t="shared" si="60"/>
        <v>11.472397799999996</v>
      </c>
      <c r="J137" s="1156" t="e">
        <f t="shared" si="61"/>
        <v>#REF!</v>
      </c>
      <c r="K137" s="1153" t="e">
        <f>SUM(#REF!,F13,J13,N13)</f>
        <v>#REF!</v>
      </c>
      <c r="L137" s="1154" t="e">
        <f>SUM(#REF!,G13,K13,O13)</f>
        <v>#REF!</v>
      </c>
      <c r="M137" s="1154" t="e">
        <f>SUM(#REF!,#REF!,#REF!)</f>
        <v>#REF!</v>
      </c>
      <c r="N137" s="1154" t="e">
        <f>SUM(#REF!,H13,L13,P13)</f>
        <v>#REF!</v>
      </c>
      <c r="O137" s="1155" t="e">
        <f t="shared" si="62"/>
        <v>#REF!</v>
      </c>
      <c r="P137" s="1154" t="e">
        <f t="shared" si="63"/>
        <v>#REF!</v>
      </c>
      <c r="Q137" s="1156" t="e">
        <f t="shared" si="64"/>
        <v>#REF!</v>
      </c>
      <c r="R137" s="1167"/>
      <c r="S137" s="1167"/>
      <c r="T137" s="1167"/>
      <c r="U137" s="1167"/>
      <c r="V137" s="1168"/>
      <c r="W137" s="1167"/>
      <c r="X137" s="1167"/>
    </row>
    <row r="138" spans="2:24" ht="25.35" hidden="1" customHeight="1" thickBot="1">
      <c r="B138" s="1368" t="s">
        <v>93</v>
      </c>
      <c r="C138" s="1368"/>
      <c r="D138" s="1148" t="e">
        <f>SUM(D139:D143)</f>
        <v>#REF!</v>
      </c>
      <c r="E138" s="1157" t="e">
        <f>SUM(E139:E143)</f>
        <v>#REF!</v>
      </c>
      <c r="F138" s="1149" t="e">
        <f>SUM(F139:F143)</f>
        <v>#REF!</v>
      </c>
      <c r="G138" s="1149" t="e">
        <f>SUM(G139:G143)</f>
        <v>#REF!</v>
      </c>
      <c r="H138" s="1150" t="e">
        <f t="shared" si="59"/>
        <v>#REF!</v>
      </c>
      <c r="I138" s="1150" t="e">
        <f t="shared" si="60"/>
        <v>#REF!</v>
      </c>
      <c r="J138" s="1151" t="e">
        <f t="shared" si="61"/>
        <v>#REF!</v>
      </c>
      <c r="K138" s="1148" t="e">
        <f>SUM(K139:K143)</f>
        <v>#REF!</v>
      </c>
      <c r="L138" s="1149" t="e">
        <f>SUM(L139:L143)</f>
        <v>#REF!</v>
      </c>
      <c r="M138" s="1149" t="e">
        <f>SUM(M139:M143)</f>
        <v>#REF!</v>
      </c>
      <c r="N138" s="1149" t="e">
        <f>SUM(N139:N143)</f>
        <v>#REF!</v>
      </c>
      <c r="O138" s="1150" t="e">
        <f t="shared" si="62"/>
        <v>#REF!</v>
      </c>
      <c r="P138" s="1150" t="e">
        <f t="shared" si="63"/>
        <v>#REF!</v>
      </c>
      <c r="Q138" s="1151" t="e">
        <f t="shared" si="64"/>
        <v>#REF!</v>
      </c>
      <c r="R138" s="1165"/>
      <c r="S138" s="1165"/>
      <c r="T138" s="1165"/>
      <c r="U138" s="1165"/>
      <c r="V138" s="1166"/>
      <c r="W138" s="1166"/>
      <c r="X138" s="1165"/>
    </row>
    <row r="139" spans="2:24" ht="25.35" hidden="1" customHeight="1" thickBot="1">
      <c r="B139" s="1366"/>
      <c r="C139" s="1152" t="s">
        <v>94</v>
      </c>
      <c r="D139" s="1153" t="e">
        <f>#REF!</f>
        <v>#REF!</v>
      </c>
      <c r="E139" s="1158" t="e">
        <f>#REF!</f>
        <v>#REF!</v>
      </c>
      <c r="F139" s="1154" t="e">
        <f>#REF!</f>
        <v>#REF!</v>
      </c>
      <c r="G139" s="1154" t="e">
        <f>#REF!</f>
        <v>#REF!</v>
      </c>
      <c r="H139" s="1155" t="e">
        <f t="shared" si="59"/>
        <v>#REF!</v>
      </c>
      <c r="I139" s="1155" t="e">
        <f t="shared" si="60"/>
        <v>#REF!</v>
      </c>
      <c r="J139" s="1156" t="e">
        <f t="shared" si="61"/>
        <v>#REF!</v>
      </c>
      <c r="K139" s="1153" t="e">
        <f>SUM(#REF!,#REF!,#REF!,#REF!)</f>
        <v>#REF!</v>
      </c>
      <c r="L139" s="1154" t="e">
        <f>SUM(#REF!,#REF!,#REF!,#REF!)</f>
        <v>#REF!</v>
      </c>
      <c r="M139" s="1154" t="e">
        <f>SUM(#REF!,#REF!,#REF!)</f>
        <v>#REF!</v>
      </c>
      <c r="N139" s="1154" t="e">
        <f>SUM(#REF!,#REF!,#REF!,#REF!)</f>
        <v>#REF!</v>
      </c>
      <c r="O139" s="1155" t="e">
        <f t="shared" si="62"/>
        <v>#REF!</v>
      </c>
      <c r="P139" s="1155" t="e">
        <f t="shared" si="63"/>
        <v>#REF!</v>
      </c>
      <c r="Q139" s="1156" t="e">
        <f t="shared" si="64"/>
        <v>#REF!</v>
      </c>
      <c r="R139" s="1167"/>
      <c r="S139" s="1167"/>
      <c r="T139" s="1167"/>
      <c r="U139" s="1167"/>
      <c r="V139" s="1168"/>
      <c r="W139" s="1168"/>
      <c r="X139" s="1167"/>
    </row>
    <row r="140" spans="2:24" ht="25.35" hidden="1" customHeight="1" thickBot="1">
      <c r="B140" s="1376"/>
      <c r="C140" s="1152" t="s">
        <v>95</v>
      </c>
      <c r="D140" s="1153">
        <f>N17</f>
        <v>0</v>
      </c>
      <c r="E140" s="1158">
        <f>O17</f>
        <v>0.46875</v>
      </c>
      <c r="F140" s="1154" t="e">
        <f>#REF!</f>
        <v>#REF!</v>
      </c>
      <c r="G140" s="1154">
        <f>P17</f>
        <v>0.46875</v>
      </c>
      <c r="H140" s="1155">
        <f t="shared" si="59"/>
        <v>0.46875</v>
      </c>
      <c r="I140" s="1155">
        <f t="shared" si="60"/>
        <v>0</v>
      </c>
      <c r="J140" s="1156" t="e">
        <f t="shared" si="61"/>
        <v>#REF!</v>
      </c>
      <c r="K140" s="1153" t="e">
        <f>SUM(#REF!,F17,J17,N17)</f>
        <v>#REF!</v>
      </c>
      <c r="L140" s="1154" t="e">
        <f>SUM(#REF!,G17,K17,O17)</f>
        <v>#REF!</v>
      </c>
      <c r="M140" s="1154" t="e">
        <f>SUM(#REF!,#REF!,#REF!)</f>
        <v>#REF!</v>
      </c>
      <c r="N140" s="1154" t="e">
        <f>SUM(#REF!,H17,L17,P17)</f>
        <v>#REF!</v>
      </c>
      <c r="O140" s="1155" t="e">
        <f t="shared" si="62"/>
        <v>#REF!</v>
      </c>
      <c r="P140" s="1155" t="e">
        <f t="shared" si="63"/>
        <v>#REF!</v>
      </c>
      <c r="Q140" s="1156" t="e">
        <f t="shared" si="64"/>
        <v>#REF!</v>
      </c>
      <c r="R140" s="1167"/>
      <c r="S140" s="1167"/>
      <c r="T140" s="1167"/>
      <c r="U140" s="1167"/>
      <c r="V140" s="1168"/>
      <c r="W140" s="1168"/>
      <c r="X140" s="1167"/>
    </row>
    <row r="141" spans="2:24" ht="25.35" hidden="1" customHeight="1" thickBot="1">
      <c r="B141" s="1376"/>
      <c r="C141" s="1152" t="s">
        <v>96</v>
      </c>
      <c r="D141" s="1153">
        <f>N16</f>
        <v>0.26295337000000002</v>
      </c>
      <c r="E141" s="1158">
        <f>O16</f>
        <v>3.71</v>
      </c>
      <c r="F141" s="1154" t="e">
        <f>#REF!</f>
        <v>#REF!</v>
      </c>
      <c r="G141" s="1154">
        <f>P16</f>
        <v>3.08</v>
      </c>
      <c r="H141" s="1155">
        <f t="shared" si="59"/>
        <v>2.8170466300000001</v>
      </c>
      <c r="I141" s="1155">
        <f t="shared" si="60"/>
        <v>-0.62999999999999989</v>
      </c>
      <c r="J141" s="1156" t="e">
        <f t="shared" si="61"/>
        <v>#REF!</v>
      </c>
      <c r="K141" s="1153" t="e">
        <f>SUM(#REF!,F16,J16,N16)</f>
        <v>#REF!</v>
      </c>
      <c r="L141" s="1154" t="e">
        <f>SUM(#REF!,G16,K16,O16)</f>
        <v>#REF!</v>
      </c>
      <c r="M141" s="1154" t="e">
        <f>SUM(#REF!,#REF!,#REF!)</f>
        <v>#REF!</v>
      </c>
      <c r="N141" s="1154" t="e">
        <f>SUM(#REF!,H16,L16,P16)</f>
        <v>#REF!</v>
      </c>
      <c r="O141" s="1155" t="e">
        <f t="shared" si="62"/>
        <v>#REF!</v>
      </c>
      <c r="P141" s="1155" t="e">
        <f t="shared" si="63"/>
        <v>#REF!</v>
      </c>
      <c r="Q141" s="1156" t="e">
        <f t="shared" si="64"/>
        <v>#REF!</v>
      </c>
      <c r="R141" s="1167"/>
      <c r="S141" s="1167"/>
      <c r="T141" s="1167"/>
      <c r="U141" s="1167"/>
      <c r="V141" s="1168"/>
      <c r="W141" s="1167"/>
      <c r="X141" s="1167"/>
    </row>
    <row r="142" spans="2:24" ht="25.35" hidden="1" customHeight="1" thickBot="1">
      <c r="B142" s="1376"/>
      <c r="C142" s="1152" t="s">
        <v>97</v>
      </c>
      <c r="D142" s="1153">
        <f>N18</f>
        <v>0.31604167</v>
      </c>
      <c r="E142" s="1158">
        <f>O18</f>
        <v>0.46875</v>
      </c>
      <c r="F142" s="1154" t="e">
        <f>#REF!</f>
        <v>#REF!</v>
      </c>
      <c r="G142" s="1154">
        <f>P18</f>
        <v>0.46875</v>
      </c>
      <c r="H142" s="1155">
        <f t="shared" si="59"/>
        <v>0.15270833</v>
      </c>
      <c r="I142" s="1154">
        <f t="shared" si="60"/>
        <v>0</v>
      </c>
      <c r="J142" s="1156" t="e">
        <f t="shared" si="61"/>
        <v>#REF!</v>
      </c>
      <c r="K142" s="1153" t="e">
        <f>SUM(#REF!,F18,J18,N18)</f>
        <v>#REF!</v>
      </c>
      <c r="L142" s="1154" t="e">
        <f>SUM(#REF!,G18,K18,O18)</f>
        <v>#REF!</v>
      </c>
      <c r="M142" s="1154" t="e">
        <f>SUM(#REF!,#REF!,#REF!)</f>
        <v>#REF!</v>
      </c>
      <c r="N142" s="1154" t="e">
        <f>SUM(#REF!,H18,L18,P18)</f>
        <v>#REF!</v>
      </c>
      <c r="O142" s="1155" t="e">
        <f t="shared" si="62"/>
        <v>#REF!</v>
      </c>
      <c r="P142" s="1154" t="e">
        <f t="shared" si="63"/>
        <v>#REF!</v>
      </c>
      <c r="Q142" s="1156" t="e">
        <f t="shared" si="64"/>
        <v>#REF!</v>
      </c>
      <c r="R142" s="1167"/>
      <c r="S142" s="1167"/>
      <c r="T142" s="1167"/>
      <c r="U142" s="1167"/>
      <c r="V142" s="1168"/>
      <c r="W142" s="1167"/>
      <c r="X142" s="1167"/>
    </row>
    <row r="143" spans="2:24" ht="25.35" hidden="1" customHeight="1" thickBot="1">
      <c r="B143" s="1367"/>
      <c r="C143" s="1152" t="s">
        <v>98</v>
      </c>
      <c r="D143" s="1159">
        <f>N19</f>
        <v>7.9169100000000006E-2</v>
      </c>
      <c r="E143" s="1173">
        <f>O19</f>
        <v>0</v>
      </c>
      <c r="F143" s="1160" t="e">
        <f>#REF!</f>
        <v>#REF!</v>
      </c>
      <c r="G143" s="1160">
        <f>P19</f>
        <v>0</v>
      </c>
      <c r="H143" s="1161">
        <f t="shared" si="59"/>
        <v>-7.9169100000000006E-2</v>
      </c>
      <c r="I143" s="1160">
        <f t="shared" si="60"/>
        <v>0</v>
      </c>
      <c r="J143" s="1162" t="e">
        <f t="shared" si="61"/>
        <v>#REF!</v>
      </c>
      <c r="K143" s="1159" t="e">
        <f>SUM(#REF!,F19,J19,N19)</f>
        <v>#REF!</v>
      </c>
      <c r="L143" s="1160" t="e">
        <f>SUM(#REF!,G19,K19,O19)</f>
        <v>#REF!</v>
      </c>
      <c r="M143" s="1160" t="e">
        <f>SUM(#REF!,#REF!,#REF!)</f>
        <v>#REF!</v>
      </c>
      <c r="N143" s="1160" t="e">
        <f>SUM(#REF!,H19,L19,P19)</f>
        <v>#REF!</v>
      </c>
      <c r="O143" s="1161" t="e">
        <f t="shared" si="62"/>
        <v>#REF!</v>
      </c>
      <c r="P143" s="1160" t="e">
        <f t="shared" si="63"/>
        <v>#REF!</v>
      </c>
      <c r="Q143" s="1162" t="e">
        <f t="shared" si="64"/>
        <v>#REF!</v>
      </c>
      <c r="R143" s="1167"/>
      <c r="S143" s="1167"/>
      <c r="T143" s="1167"/>
      <c r="U143" s="1167"/>
      <c r="V143" s="1168"/>
      <c r="W143" s="1167"/>
      <c r="X143" s="1167"/>
    </row>
    <row r="144" spans="2:24" hidden="1"/>
    <row r="145" spans="2:24" ht="25.35" customHeight="1">
      <c r="B145" s="1338" t="s">
        <v>76</v>
      </c>
      <c r="C145" s="1338"/>
      <c r="D145" s="1338" t="s">
        <v>3</v>
      </c>
      <c r="E145" s="1338"/>
      <c r="F145" s="1338"/>
      <c r="G145" s="1338"/>
      <c r="H145" s="1338"/>
      <c r="I145" s="1338"/>
      <c r="J145" s="1375"/>
      <c r="K145" s="1337" t="s">
        <v>105</v>
      </c>
      <c r="L145" s="1338"/>
      <c r="M145" s="1338"/>
      <c r="N145" s="1338"/>
      <c r="O145" s="1338"/>
      <c r="P145" s="1338"/>
      <c r="Q145" s="1338"/>
      <c r="R145" s="1339" t="s">
        <v>103</v>
      </c>
      <c r="S145" s="1339"/>
      <c r="T145" s="1339"/>
      <c r="U145" s="1339"/>
      <c r="V145" s="1339"/>
      <c r="W145" s="1339"/>
      <c r="X145" s="1339"/>
    </row>
    <row r="146" spans="2:24" ht="39" customHeight="1">
      <c r="B146" s="1338"/>
      <c r="C146" s="1338"/>
      <c r="D146" s="1176" t="s">
        <v>80</v>
      </c>
      <c r="E146" s="1176" t="s">
        <v>81</v>
      </c>
      <c r="F146" s="1176" t="s">
        <v>58</v>
      </c>
      <c r="G146" s="1176" t="s">
        <v>59</v>
      </c>
      <c r="H146" s="1176" t="s">
        <v>16</v>
      </c>
      <c r="I146" s="1176" t="s">
        <v>83</v>
      </c>
      <c r="J146" s="1177" t="s">
        <v>84</v>
      </c>
      <c r="K146" s="1178" t="s">
        <v>80</v>
      </c>
      <c r="L146" s="1176" t="s">
        <v>81</v>
      </c>
      <c r="M146" s="1176" t="s">
        <v>58</v>
      </c>
      <c r="N146" s="1176" t="s">
        <v>59</v>
      </c>
      <c r="O146" s="1176" t="s">
        <v>16</v>
      </c>
      <c r="P146" s="1176" t="s">
        <v>83</v>
      </c>
      <c r="Q146" s="1176" t="s">
        <v>84</v>
      </c>
      <c r="R146" s="1164"/>
      <c r="S146" s="1164"/>
      <c r="T146" s="1164"/>
      <c r="U146" s="1164"/>
      <c r="V146" s="1164"/>
      <c r="W146" s="1164"/>
      <c r="X146" s="1164"/>
    </row>
    <row r="147" spans="2:24" ht="25.35" customHeight="1">
      <c r="B147" s="1361" t="s">
        <v>86</v>
      </c>
      <c r="C147" s="1361"/>
      <c r="D147" s="1319">
        <f t="shared" ref="D147:D158" si="67">J8</f>
        <v>112.83448178999998</v>
      </c>
      <c r="E147" s="1319">
        <f t="shared" ref="E147:E158" si="68">K8</f>
        <v>100.91694583333333</v>
      </c>
      <c r="F147" s="1319">
        <v>100.91694583333333</v>
      </c>
      <c r="G147" s="1319">
        <f t="shared" ref="G147:G158" si="69">L8</f>
        <v>101.87285373</v>
      </c>
      <c r="H147" s="1319">
        <f t="shared" ref="H147:H158" si="70">G147-F147</f>
        <v>0.9559078966666732</v>
      </c>
      <c r="I147" s="1319">
        <f t="shared" ref="I147:I158" si="71">G147-D147</f>
        <v>-10.961628059999981</v>
      </c>
      <c r="J147" s="1320">
        <f t="shared" ref="J147:J158" si="72">G147-E147</f>
        <v>0.9559078966666732</v>
      </c>
      <c r="K147" s="1321">
        <f t="shared" ref="K147:K158" si="73">F8+J8</f>
        <v>388.33346395999996</v>
      </c>
      <c r="L147" s="1319">
        <f t="shared" ref="L147:L158" si="74">G8+K8</f>
        <v>414.30465887333332</v>
      </c>
      <c r="M147" s="1319">
        <v>429.41119359973328</v>
      </c>
      <c r="N147" s="1319">
        <f t="shared" ref="N147:N158" si="75">H8+L8</f>
        <v>415.27460143786664</v>
      </c>
      <c r="O147" s="1319">
        <f t="shared" ref="O147:O158" si="76">N147-M147</f>
        <v>-14.136592161866645</v>
      </c>
      <c r="P147" s="1319">
        <f t="shared" ref="P147:P158" si="77">N147-K147</f>
        <v>26.941137477866675</v>
      </c>
      <c r="Q147" s="1322">
        <f t="shared" ref="Q147:Q158" si="78">N147-L147</f>
        <v>0.96994256453331218</v>
      </c>
      <c r="R147" s="1165"/>
      <c r="S147" s="1165"/>
      <c r="T147" s="1165"/>
      <c r="U147" s="1165"/>
      <c r="V147" s="1166"/>
      <c r="W147" s="1166"/>
      <c r="X147" s="1165"/>
    </row>
    <row r="148" spans="2:24" ht="25.35" customHeight="1">
      <c r="B148" s="1361" t="s">
        <v>87</v>
      </c>
      <c r="C148" s="1361"/>
      <c r="D148" s="1319">
        <f t="shared" si="67"/>
        <v>3.0051883799999999</v>
      </c>
      <c r="E148" s="1319">
        <f t="shared" si="68"/>
        <v>3.2706278333333332</v>
      </c>
      <c r="F148" s="1319">
        <v>3.2706278333333332</v>
      </c>
      <c r="G148" s="1319">
        <f t="shared" si="69"/>
        <v>3.18512365</v>
      </c>
      <c r="H148" s="1319">
        <f t="shared" si="70"/>
        <v>-8.5504183333333206E-2</v>
      </c>
      <c r="I148" s="1319">
        <f t="shared" si="71"/>
        <v>0.17993527000000009</v>
      </c>
      <c r="J148" s="1320">
        <f t="shared" si="72"/>
        <v>-8.5504183333333206E-2</v>
      </c>
      <c r="K148" s="1321">
        <f t="shared" si="73"/>
        <v>20.984647689999999</v>
      </c>
      <c r="L148" s="1319">
        <f t="shared" si="74"/>
        <v>28.405080973333334</v>
      </c>
      <c r="M148" s="1319">
        <v>28.533520899733332</v>
      </c>
      <c r="N148" s="1319">
        <f t="shared" si="75"/>
        <v>28.184320877866668</v>
      </c>
      <c r="O148" s="1319">
        <f t="shared" si="76"/>
        <v>-0.34920002186666466</v>
      </c>
      <c r="P148" s="1319">
        <f t="shared" si="77"/>
        <v>7.1996731878666687</v>
      </c>
      <c r="Q148" s="1319">
        <f t="shared" si="78"/>
        <v>-0.22076009546666597</v>
      </c>
      <c r="R148" s="1165"/>
      <c r="S148" s="1165"/>
      <c r="T148" s="1165"/>
      <c r="U148" s="1165"/>
      <c r="V148" s="1166"/>
      <c r="W148" s="1166"/>
      <c r="X148" s="1165"/>
    </row>
    <row r="149" spans="2:24" ht="25.35" customHeight="1">
      <c r="B149" s="1179"/>
      <c r="C149" s="1180" t="s">
        <v>22</v>
      </c>
      <c r="D149" s="1323">
        <f t="shared" si="67"/>
        <v>3.0051883799999999</v>
      </c>
      <c r="E149" s="1323">
        <f t="shared" si="68"/>
        <v>3.1001794999999999</v>
      </c>
      <c r="F149" s="1323">
        <v>3.1001794999999999</v>
      </c>
      <c r="G149" s="1323">
        <f t="shared" si="69"/>
        <v>3.18512365</v>
      </c>
      <c r="H149" s="1323">
        <f>G149-F149</f>
        <v>8.4944150000000107E-2</v>
      </c>
      <c r="I149" s="1323">
        <f>G149-D149</f>
        <v>0.17993527000000009</v>
      </c>
      <c r="J149" s="1326">
        <f>G149-E149</f>
        <v>8.4944150000000107E-2</v>
      </c>
      <c r="K149" s="1324">
        <f t="shared" si="73"/>
        <v>20.984647689999999</v>
      </c>
      <c r="L149" s="1323">
        <f t="shared" si="74"/>
        <v>27.723287639999999</v>
      </c>
      <c r="M149" s="1323">
        <v>27.851727566400005</v>
      </c>
      <c r="N149" s="1323">
        <f t="shared" si="75"/>
        <v>27.843424211199999</v>
      </c>
      <c r="O149" s="1323">
        <f>N149-M149</f>
        <v>-8.303355200006024E-3</v>
      </c>
      <c r="P149" s="1323">
        <f>N149-K149</f>
        <v>6.8587765211999994</v>
      </c>
      <c r="Q149" s="1323">
        <f>N149-L149</f>
        <v>0.12013657119999976</v>
      </c>
      <c r="R149" s="1167"/>
      <c r="S149" s="1167"/>
      <c r="T149" s="1167"/>
      <c r="U149" s="1167"/>
      <c r="V149" s="1168"/>
      <c r="W149" s="1167"/>
      <c r="X149" s="1167"/>
    </row>
    <row r="150" spans="2:24" ht="25.35" customHeight="1">
      <c r="B150" s="1179"/>
      <c r="C150" s="1180" t="s">
        <v>106</v>
      </c>
      <c r="D150" s="1323">
        <f t="shared" si="67"/>
        <v>0</v>
      </c>
      <c r="E150" s="1323">
        <f t="shared" si="68"/>
        <v>0.17044833333333337</v>
      </c>
      <c r="F150" s="1323">
        <v>0.17044833333333337</v>
      </c>
      <c r="G150" s="1323">
        <f t="shared" si="69"/>
        <v>0</v>
      </c>
      <c r="H150" s="1323">
        <f t="shared" si="70"/>
        <v>-0.17044833333333337</v>
      </c>
      <c r="I150" s="1323">
        <f t="shared" si="71"/>
        <v>0</v>
      </c>
      <c r="J150" s="1326">
        <f t="shared" si="72"/>
        <v>-0.17044833333333337</v>
      </c>
      <c r="K150" s="1324">
        <f t="shared" si="73"/>
        <v>0</v>
      </c>
      <c r="L150" s="1323">
        <f t="shared" si="74"/>
        <v>0.68179333333333347</v>
      </c>
      <c r="M150" s="1323">
        <v>0.68179333333333347</v>
      </c>
      <c r="N150" s="1323">
        <f t="shared" si="75"/>
        <v>0.34089666666666674</v>
      </c>
      <c r="O150" s="1323">
        <f t="shared" si="76"/>
        <v>-0.34089666666666674</v>
      </c>
      <c r="P150" s="1323">
        <f t="shared" si="77"/>
        <v>0.34089666666666674</v>
      </c>
      <c r="Q150" s="1323">
        <f t="shared" si="78"/>
        <v>-0.34089666666666674</v>
      </c>
      <c r="R150" s="1167"/>
      <c r="S150" s="1167"/>
      <c r="T150" s="1167"/>
      <c r="U150" s="1167"/>
      <c r="V150" s="1168"/>
      <c r="W150" s="1168"/>
      <c r="X150" s="1167"/>
    </row>
    <row r="151" spans="2:24" ht="25.35" customHeight="1">
      <c r="B151" s="1361" t="s">
        <v>90</v>
      </c>
      <c r="C151" s="1361"/>
      <c r="D151" s="1319">
        <f t="shared" si="67"/>
        <v>76.029622799999999</v>
      </c>
      <c r="E151" s="1319">
        <f t="shared" si="68"/>
        <v>71.643068</v>
      </c>
      <c r="F151" s="1319">
        <v>71.643068</v>
      </c>
      <c r="G151" s="1319">
        <f t="shared" si="69"/>
        <v>71.637461600000009</v>
      </c>
      <c r="H151" s="1319">
        <f t="shared" si="70"/>
        <v>-5.6063999999906855E-3</v>
      </c>
      <c r="I151" s="1319">
        <f t="shared" si="71"/>
        <v>-4.3921611999999897</v>
      </c>
      <c r="J151" s="1320">
        <f t="shared" si="72"/>
        <v>-5.6063999999906855E-3</v>
      </c>
      <c r="K151" s="1321">
        <f t="shared" si="73"/>
        <v>279.66632719999996</v>
      </c>
      <c r="L151" s="1319">
        <f t="shared" si="74"/>
        <v>318.09432789999994</v>
      </c>
      <c r="M151" s="1319">
        <v>333.41667139999993</v>
      </c>
      <c r="N151" s="1319">
        <f t="shared" si="75"/>
        <v>320.50099360000002</v>
      </c>
      <c r="O151" s="1319">
        <f t="shared" si="76"/>
        <v>-12.915677799999912</v>
      </c>
      <c r="P151" s="1319">
        <f t="shared" si="77"/>
        <v>40.83466640000006</v>
      </c>
      <c r="Q151" s="1319">
        <f t="shared" si="78"/>
        <v>2.406665700000076</v>
      </c>
      <c r="R151" s="1165"/>
      <c r="S151" s="1165"/>
      <c r="T151" s="1165"/>
      <c r="U151" s="1165"/>
      <c r="V151" s="1166"/>
      <c r="W151" s="1166"/>
      <c r="X151" s="1165"/>
    </row>
    <row r="152" spans="2:24" ht="25.35" customHeight="1">
      <c r="B152" s="1179"/>
      <c r="C152" s="1180" t="s">
        <v>92</v>
      </c>
      <c r="D152" s="1323">
        <f t="shared" si="67"/>
        <v>69.842788999999996</v>
      </c>
      <c r="E152" s="1323">
        <f t="shared" si="68"/>
        <v>68.990503000000004</v>
      </c>
      <c r="F152" s="1323">
        <v>68.990503000000004</v>
      </c>
      <c r="G152" s="1323">
        <f t="shared" si="69"/>
        <v>69.064124000000007</v>
      </c>
      <c r="H152" s="1323">
        <f>G152-F152</f>
        <v>7.3621000000002823E-2</v>
      </c>
      <c r="I152" s="1323">
        <f>G152-D152</f>
        <v>-0.7786649999999895</v>
      </c>
      <c r="J152" s="1326">
        <f>G152-E152</f>
        <v>7.3621000000002823E-2</v>
      </c>
      <c r="K152" s="1324">
        <f t="shared" si="73"/>
        <v>258.89084700000001</v>
      </c>
      <c r="L152" s="1323">
        <f t="shared" si="74"/>
        <v>307.38976150000002</v>
      </c>
      <c r="M152" s="1323">
        <v>322.45219300000002</v>
      </c>
      <c r="N152" s="1323">
        <f t="shared" si="75"/>
        <v>309.78652679999999</v>
      </c>
      <c r="O152" s="1323">
        <f>N152-M152</f>
        <v>-12.665666200000032</v>
      </c>
      <c r="P152" s="1323">
        <f>N152-K152</f>
        <v>50.895679799999982</v>
      </c>
      <c r="Q152" s="1323">
        <f>N152-L152</f>
        <v>2.39676529999997</v>
      </c>
      <c r="R152" s="1167"/>
      <c r="S152" s="1167"/>
      <c r="T152" s="1167"/>
      <c r="U152" s="1167"/>
      <c r="V152" s="1168"/>
      <c r="W152" s="1167"/>
      <c r="X152" s="1167"/>
    </row>
    <row r="153" spans="2:24" ht="25.35" customHeight="1">
      <c r="B153" s="1179"/>
      <c r="C153" s="1180" t="s">
        <v>91</v>
      </c>
      <c r="D153" s="1323">
        <f t="shared" si="67"/>
        <v>6.1868337999999996</v>
      </c>
      <c r="E153" s="1323">
        <f t="shared" si="68"/>
        <v>2.6525650000000001</v>
      </c>
      <c r="F153" s="1323">
        <v>2.6525650000000001</v>
      </c>
      <c r="G153" s="1323">
        <f t="shared" si="69"/>
        <v>2.5733375999999999</v>
      </c>
      <c r="H153" s="1323">
        <f t="shared" si="70"/>
        <v>-7.922740000000017E-2</v>
      </c>
      <c r="I153" s="1323">
        <f t="shared" si="71"/>
        <v>-3.6134961999999997</v>
      </c>
      <c r="J153" s="1326">
        <f t="shared" si="72"/>
        <v>-7.922740000000017E-2</v>
      </c>
      <c r="K153" s="1324">
        <f t="shared" si="73"/>
        <v>20.775480200000001</v>
      </c>
      <c r="L153" s="1323">
        <f t="shared" si="74"/>
        <v>10.704566400000001</v>
      </c>
      <c r="M153" s="1323">
        <v>10.964478400000001</v>
      </c>
      <c r="N153" s="1323">
        <f t="shared" si="75"/>
        <v>10.7144668</v>
      </c>
      <c r="O153" s="1323">
        <f t="shared" si="76"/>
        <v>-0.25001160000000056</v>
      </c>
      <c r="P153" s="1323">
        <f t="shared" si="77"/>
        <v>-10.0610134</v>
      </c>
      <c r="Q153" s="1323">
        <f t="shared" si="78"/>
        <v>9.9003999999993653E-3</v>
      </c>
      <c r="R153" s="1167"/>
      <c r="S153" s="1167"/>
      <c r="T153" s="1167"/>
      <c r="U153" s="1167"/>
      <c r="V153" s="1168"/>
      <c r="W153" s="1168"/>
      <c r="X153" s="1167"/>
    </row>
    <row r="154" spans="2:24" ht="25.35" customHeight="1">
      <c r="B154" s="1361" t="s">
        <v>93</v>
      </c>
      <c r="C154" s="1361"/>
      <c r="D154" s="1319">
        <f t="shared" si="67"/>
        <v>33.79967061</v>
      </c>
      <c r="E154" s="1319">
        <f t="shared" si="68"/>
        <v>26.003250000000001</v>
      </c>
      <c r="F154" s="1319">
        <v>26.003250000000001</v>
      </c>
      <c r="G154" s="1319">
        <f t="shared" si="69"/>
        <v>27.05026848</v>
      </c>
      <c r="H154" s="1319">
        <f t="shared" si="70"/>
        <v>1.0470184799999984</v>
      </c>
      <c r="I154" s="1319">
        <f t="shared" si="71"/>
        <v>-6.74940213</v>
      </c>
      <c r="J154" s="1320">
        <f t="shared" si="72"/>
        <v>1.0470184799999984</v>
      </c>
      <c r="K154" s="1321">
        <f t="shared" si="73"/>
        <v>87.682489070000003</v>
      </c>
      <c r="L154" s="1319">
        <f t="shared" si="74"/>
        <v>67.805250000000001</v>
      </c>
      <c r="M154" s="1319">
        <v>67.461001300000007</v>
      </c>
      <c r="N154" s="1319">
        <f t="shared" si="75"/>
        <v>66.58928696000001</v>
      </c>
      <c r="O154" s="1319">
        <f t="shared" si="76"/>
        <v>-0.87171433999999692</v>
      </c>
      <c r="P154" s="1319">
        <f t="shared" si="77"/>
        <v>-21.093202109999993</v>
      </c>
      <c r="Q154" s="1319">
        <f t="shared" si="78"/>
        <v>-1.2159630399999912</v>
      </c>
      <c r="R154" s="1165"/>
      <c r="S154" s="1165"/>
      <c r="T154" s="1165"/>
      <c r="U154" s="1165"/>
      <c r="V154" s="1166"/>
      <c r="W154" s="1166"/>
      <c r="X154" s="1165"/>
    </row>
    <row r="155" spans="2:24" ht="25.35" customHeight="1">
      <c r="B155" s="1179"/>
      <c r="C155" s="1180" t="s">
        <v>96</v>
      </c>
      <c r="D155" s="1323">
        <f t="shared" si="67"/>
        <v>29.878953370000001</v>
      </c>
      <c r="E155" s="1323">
        <f t="shared" si="68"/>
        <v>24.597000000000001</v>
      </c>
      <c r="F155" s="1323">
        <v>24.597000000000001</v>
      </c>
      <c r="G155" s="1323">
        <f t="shared" si="69"/>
        <v>24.908658039999999</v>
      </c>
      <c r="H155" s="1323">
        <f>G155-F155</f>
        <v>0.31165803999999753</v>
      </c>
      <c r="I155" s="1323">
        <f>G155-D155</f>
        <v>-4.9702953300000026</v>
      </c>
      <c r="J155" s="1326">
        <f>G155-E155</f>
        <v>0.31165803999999753</v>
      </c>
      <c r="K155" s="1324">
        <f t="shared" si="73"/>
        <v>72.153813479999997</v>
      </c>
      <c r="L155" s="1323">
        <f t="shared" si="74"/>
        <v>59.923999999999999</v>
      </c>
      <c r="M155" s="1323">
        <v>59.579751299999998</v>
      </c>
      <c r="N155" s="1323">
        <f t="shared" si="75"/>
        <v>57.237316079999999</v>
      </c>
      <c r="O155" s="1323">
        <f>N155-M155</f>
        <v>-2.3424352199999987</v>
      </c>
      <c r="P155" s="1323">
        <f>N155-K155</f>
        <v>-14.916497399999997</v>
      </c>
      <c r="Q155" s="1323">
        <f>N155-L155</f>
        <v>-2.6866839200000001</v>
      </c>
      <c r="R155" s="1167"/>
      <c r="S155" s="1167"/>
      <c r="T155" s="1167"/>
      <c r="U155" s="1167"/>
      <c r="V155" s="1168"/>
      <c r="W155" s="1167"/>
      <c r="X155" s="1167"/>
    </row>
    <row r="156" spans="2:24" ht="25.35" customHeight="1">
      <c r="B156" s="1179"/>
      <c r="C156" s="1180" t="s">
        <v>95</v>
      </c>
      <c r="D156" s="1323">
        <f t="shared" si="67"/>
        <v>0</v>
      </c>
      <c r="E156" s="1323">
        <f t="shared" si="68"/>
        <v>0</v>
      </c>
      <c r="F156" s="1323">
        <v>0</v>
      </c>
      <c r="G156" s="1323">
        <f t="shared" si="69"/>
        <v>0</v>
      </c>
      <c r="H156" s="1323">
        <f t="shared" si="70"/>
        <v>0</v>
      </c>
      <c r="I156" s="1323">
        <f t="shared" si="71"/>
        <v>0</v>
      </c>
      <c r="J156" s="1326">
        <f t="shared" si="72"/>
        <v>0</v>
      </c>
      <c r="K156" s="1324">
        <f t="shared" si="73"/>
        <v>3.66</v>
      </c>
      <c r="L156" s="1323">
        <f t="shared" si="74"/>
        <v>1.7875000000000001</v>
      </c>
      <c r="M156" s="1323">
        <v>1.7875000000000001</v>
      </c>
      <c r="N156" s="1323">
        <f t="shared" si="75"/>
        <v>1.7875000000000001</v>
      </c>
      <c r="O156" s="1323">
        <f t="shared" si="76"/>
        <v>0</v>
      </c>
      <c r="P156" s="1323">
        <f t="shared" si="77"/>
        <v>-1.8725000000000001</v>
      </c>
      <c r="Q156" s="1323">
        <f t="shared" si="78"/>
        <v>0</v>
      </c>
      <c r="R156" s="1167"/>
      <c r="S156" s="1167"/>
      <c r="T156" s="1167"/>
      <c r="U156" s="1167"/>
      <c r="V156" s="1168"/>
      <c r="W156" s="1168"/>
      <c r="X156" s="1167"/>
    </row>
    <row r="157" spans="2:24" ht="25.35" customHeight="1">
      <c r="B157" s="1179"/>
      <c r="C157" s="1180" t="s">
        <v>97</v>
      </c>
      <c r="D157" s="1323">
        <f t="shared" si="67"/>
        <v>2.7467916699999999</v>
      </c>
      <c r="E157" s="1323">
        <f t="shared" si="68"/>
        <v>1.40625</v>
      </c>
      <c r="F157" s="1323">
        <v>1.40625</v>
      </c>
      <c r="G157" s="1323">
        <f t="shared" si="69"/>
        <v>1.7683333400000001</v>
      </c>
      <c r="H157" s="1323">
        <f t="shared" si="70"/>
        <v>0.36208334000000009</v>
      </c>
      <c r="I157" s="1323">
        <f t="shared" si="71"/>
        <v>-0.97845832999999982</v>
      </c>
      <c r="J157" s="1326">
        <f t="shared" si="72"/>
        <v>0.36208334000000009</v>
      </c>
      <c r="K157" s="1324">
        <f t="shared" si="73"/>
        <v>8.0467083499999994</v>
      </c>
      <c r="L157" s="1323">
        <f t="shared" si="74"/>
        <v>6.09375</v>
      </c>
      <c r="M157" s="1323">
        <v>6.09375</v>
      </c>
      <c r="N157" s="1323">
        <f t="shared" si="75"/>
        <v>6.8179166799999997</v>
      </c>
      <c r="O157" s="1323">
        <f t="shared" si="76"/>
        <v>0.72416667999999973</v>
      </c>
      <c r="P157" s="1323">
        <f t="shared" si="77"/>
        <v>-1.2287916699999997</v>
      </c>
      <c r="Q157" s="1323">
        <f t="shared" si="78"/>
        <v>0.72416667999999973</v>
      </c>
      <c r="R157" s="1167"/>
      <c r="S157" s="1167"/>
      <c r="T157" s="1167"/>
      <c r="U157" s="1167"/>
      <c r="V157" s="1168"/>
      <c r="W157" s="1167"/>
      <c r="X157" s="1167"/>
    </row>
    <row r="158" spans="2:24" ht="25.35" customHeight="1">
      <c r="B158" s="1179"/>
      <c r="C158" s="1180" t="s">
        <v>32</v>
      </c>
      <c r="D158" s="1323">
        <f t="shared" si="67"/>
        <v>1.17392557</v>
      </c>
      <c r="E158" s="1323">
        <f t="shared" si="68"/>
        <v>0</v>
      </c>
      <c r="F158" s="1323">
        <v>0</v>
      </c>
      <c r="G158" s="1323">
        <f t="shared" si="69"/>
        <v>0.37327709999999997</v>
      </c>
      <c r="H158" s="1323">
        <f t="shared" si="70"/>
        <v>0.37327709999999997</v>
      </c>
      <c r="I158" s="1323">
        <f t="shared" si="71"/>
        <v>-0.80064847000000006</v>
      </c>
      <c r="J158" s="1326">
        <f t="shared" si="72"/>
        <v>0.37327709999999997</v>
      </c>
      <c r="K158" s="1324">
        <f t="shared" si="73"/>
        <v>3.8219672400000002</v>
      </c>
      <c r="L158" s="1323">
        <f t="shared" si="74"/>
        <v>0</v>
      </c>
      <c r="M158" s="1323">
        <v>0</v>
      </c>
      <c r="N158" s="1323">
        <f t="shared" si="75"/>
        <v>0.74655419999999995</v>
      </c>
      <c r="O158" s="1323">
        <f t="shared" si="76"/>
        <v>0.74655419999999995</v>
      </c>
      <c r="P158" s="1323">
        <f t="shared" si="77"/>
        <v>-3.0754130400000004</v>
      </c>
      <c r="Q158" s="1323">
        <f t="shared" si="78"/>
        <v>0.74655419999999995</v>
      </c>
      <c r="R158" s="1167"/>
      <c r="S158" s="1167"/>
      <c r="T158" s="1167"/>
      <c r="U158" s="1167"/>
      <c r="V158" s="1168"/>
      <c r="W158" s="1167"/>
      <c r="X158" s="1167"/>
    </row>
    <row r="160" spans="2:24" ht="25.35" customHeight="1">
      <c r="B160" s="1338" t="s">
        <v>76</v>
      </c>
      <c r="C160" s="1338"/>
      <c r="D160" s="1338" t="s">
        <v>4</v>
      </c>
      <c r="E160" s="1338"/>
      <c r="F160" s="1338"/>
      <c r="G160" s="1338"/>
      <c r="H160" s="1338"/>
      <c r="I160" s="1338"/>
      <c r="J160" s="1375"/>
      <c r="K160" s="1337" t="s">
        <v>107</v>
      </c>
      <c r="L160" s="1338"/>
      <c r="M160" s="1338"/>
      <c r="N160" s="1338"/>
      <c r="O160" s="1338"/>
      <c r="P160" s="1338"/>
      <c r="Q160" s="1338"/>
      <c r="R160" s="1339"/>
      <c r="S160" s="1339"/>
      <c r="T160" s="1339"/>
      <c r="U160" s="1339"/>
      <c r="V160" s="1339"/>
      <c r="W160" s="1339"/>
      <c r="X160" s="1339"/>
    </row>
    <row r="161" spans="2:24" ht="39" customHeight="1">
      <c r="B161" s="1338"/>
      <c r="C161" s="1338"/>
      <c r="D161" s="1176" t="s">
        <v>80</v>
      </c>
      <c r="E161" s="1176" t="s">
        <v>81</v>
      </c>
      <c r="F161" s="1176" t="s">
        <v>58</v>
      </c>
      <c r="G161" s="1176" t="s">
        <v>59</v>
      </c>
      <c r="H161" s="1176" t="s">
        <v>16</v>
      </c>
      <c r="I161" s="1176" t="s">
        <v>83</v>
      </c>
      <c r="J161" s="1177" t="s">
        <v>84</v>
      </c>
      <c r="K161" s="1178" t="s">
        <v>80</v>
      </c>
      <c r="L161" s="1176" t="s">
        <v>81</v>
      </c>
      <c r="M161" s="1176" t="s">
        <v>58</v>
      </c>
      <c r="N161" s="1176" t="s">
        <v>59</v>
      </c>
      <c r="O161" s="1176" t="s">
        <v>16</v>
      </c>
      <c r="P161" s="1176" t="s">
        <v>108</v>
      </c>
      <c r="Q161" s="1176" t="s">
        <v>109</v>
      </c>
      <c r="R161" s="1164"/>
      <c r="S161" s="1164"/>
      <c r="T161" s="1164"/>
      <c r="U161" s="1164"/>
      <c r="V161" s="1164"/>
      <c r="W161" s="1164"/>
      <c r="X161" s="1164"/>
    </row>
    <row r="162" spans="2:24" ht="25.35" customHeight="1">
      <c r="B162" s="1361" t="s">
        <v>86</v>
      </c>
      <c r="C162" s="1361"/>
      <c r="D162" s="1319">
        <f>D163+D166+D169</f>
        <v>67.616612720000006</v>
      </c>
      <c r="E162" s="1319">
        <f>E163+E166+E169</f>
        <v>107.72450337333332</v>
      </c>
      <c r="F162" s="1319">
        <v>119.90970279973334</v>
      </c>
      <c r="G162" s="1319">
        <f>G163+G166+G169</f>
        <v>116.32540432453332</v>
      </c>
      <c r="H162" s="1319">
        <f t="shared" ref="H162:H173" si="79">G162-F162</f>
        <v>-3.5842984752000149</v>
      </c>
      <c r="I162" s="1319">
        <f t="shared" ref="I162:I173" si="80">G162-D162</f>
        <v>48.708791604533317</v>
      </c>
      <c r="J162" s="1320">
        <f t="shared" ref="J162:J173" si="81">G162-E162</f>
        <v>8.6009009512000034</v>
      </c>
      <c r="K162" s="1321">
        <f>K163+K166+K169</f>
        <v>180.45109451000002</v>
      </c>
      <c r="L162" s="1319">
        <f>L163+L166+L169</f>
        <v>208.64144920666666</v>
      </c>
      <c r="M162" s="1319">
        <v>221.78255652973334</v>
      </c>
      <c r="N162" s="1319">
        <f>N163+N166+N169</f>
        <v>218.19825805453331</v>
      </c>
      <c r="O162" s="1319">
        <f t="shared" ref="O162:O173" si="82">N162-M162</f>
        <v>-3.5842984752000291</v>
      </c>
      <c r="P162" s="1319">
        <f t="shared" ref="P162:P173" si="83">N162-K162</f>
        <v>37.747163544533294</v>
      </c>
      <c r="Q162" s="1319">
        <f t="shared" ref="Q162:Q173" si="84">N162-L162</f>
        <v>9.5568088478666482</v>
      </c>
      <c r="R162" s="1165"/>
      <c r="S162" s="1165"/>
      <c r="T162" s="1165"/>
      <c r="U162" s="1165"/>
      <c r="V162" s="1166"/>
      <c r="W162" s="1166"/>
      <c r="X162" s="1165"/>
    </row>
    <row r="163" spans="2:24" ht="25.35" customHeight="1">
      <c r="B163" s="1361" t="s">
        <v>87</v>
      </c>
      <c r="C163" s="1361"/>
      <c r="D163" s="1319">
        <f>SUM(D164:D165)</f>
        <v>12.60945478</v>
      </c>
      <c r="E163" s="1319">
        <f>SUM(E164:E165)</f>
        <v>12.254068973333336</v>
      </c>
      <c r="F163" s="1319">
        <v>12.382508899733335</v>
      </c>
      <c r="G163" s="1319">
        <f t="shared" ref="G163:L163" si="85">SUM(G164:G165)</f>
        <v>9.8442169245333346</v>
      </c>
      <c r="H163" s="1319">
        <f t="shared" si="85"/>
        <v>-2.5382919751999999</v>
      </c>
      <c r="I163" s="1319">
        <f t="shared" si="85"/>
        <v>-2.765237855466665</v>
      </c>
      <c r="J163" s="1320">
        <f t="shared" si="85"/>
        <v>-2.4098520488000013</v>
      </c>
      <c r="K163" s="1321">
        <f t="shared" si="85"/>
        <v>15.61464316</v>
      </c>
      <c r="L163" s="1319">
        <f t="shared" si="85"/>
        <v>15.52469680666667</v>
      </c>
      <c r="M163" s="1319">
        <v>15.567632549733334</v>
      </c>
      <c r="N163" s="1319">
        <f>SUM(N164:N165)</f>
        <v>13.029340574533334</v>
      </c>
      <c r="O163" s="1319">
        <f>SUM(O164:O165)</f>
        <v>-2.5382919751999999</v>
      </c>
      <c r="P163" s="1319">
        <f>SUM(P164:P165)</f>
        <v>-2.5853025854666654</v>
      </c>
      <c r="Q163" s="1322">
        <f>SUM(Q164:Q165)</f>
        <v>-2.4953562321333345</v>
      </c>
      <c r="R163" s="1165"/>
      <c r="S163" s="1165"/>
      <c r="T163" s="1165"/>
      <c r="U163" s="1165"/>
      <c r="V163" s="1166"/>
      <c r="W163" s="1166"/>
      <c r="X163" s="1165"/>
    </row>
    <row r="164" spans="2:24" ht="25.35" customHeight="1">
      <c r="B164" s="1179"/>
      <c r="C164" s="1180" t="s">
        <v>22</v>
      </c>
      <c r="D164" s="1323">
        <f>N10</f>
        <v>12.60945478</v>
      </c>
      <c r="E164" s="1323">
        <f>O10</f>
        <v>12.083620640000003</v>
      </c>
      <c r="F164" s="1323">
        <v>12.212060566400002</v>
      </c>
      <c r="G164" s="1323">
        <f>P10</f>
        <v>9.6737685912000018</v>
      </c>
      <c r="H164" s="1323">
        <f>G164-F164</f>
        <v>-2.5382919751999999</v>
      </c>
      <c r="I164" s="1319">
        <f>G164-D164</f>
        <v>-2.9356861887999983</v>
      </c>
      <c r="J164" s="1320">
        <f>G164-E164</f>
        <v>-2.4098520488000013</v>
      </c>
      <c r="K164" s="1324">
        <f>J10+N10</f>
        <v>15.61464316</v>
      </c>
      <c r="L164" s="1324">
        <f t="shared" ref="L164:L165" si="86">K10+O10</f>
        <v>15.183800140000002</v>
      </c>
      <c r="M164" s="1323">
        <v>15.397184216400001</v>
      </c>
      <c r="N164" s="1323">
        <f t="shared" ref="N164:N165" si="87">P10+L10</f>
        <v>12.858892241200001</v>
      </c>
      <c r="O164" s="1319">
        <f>N164-M164</f>
        <v>-2.5382919751999999</v>
      </c>
      <c r="P164" s="1319">
        <f>N164-K164</f>
        <v>-2.7557509187999987</v>
      </c>
      <c r="Q164" s="1322">
        <f>N164-L164</f>
        <v>-2.3249078988000011</v>
      </c>
      <c r="R164" s="1167"/>
      <c r="S164" s="1167"/>
      <c r="T164" s="1167"/>
      <c r="U164" s="1167"/>
      <c r="V164" s="1168"/>
      <c r="W164" s="1167"/>
      <c r="X164" s="1167"/>
    </row>
    <row r="165" spans="2:24" ht="25.35" customHeight="1">
      <c r="B165" s="1179"/>
      <c r="C165" s="1180" t="s">
        <v>106</v>
      </c>
      <c r="D165" s="1323">
        <f>N11</f>
        <v>0</v>
      </c>
      <c r="E165" s="1323">
        <f>O11</f>
        <v>0.17044833333333337</v>
      </c>
      <c r="F165" s="1323">
        <v>0.17044833333333337</v>
      </c>
      <c r="G165" s="1323">
        <f>P11</f>
        <v>0.17044833333333337</v>
      </c>
      <c r="H165" s="1323">
        <f t="shared" si="79"/>
        <v>0</v>
      </c>
      <c r="I165" s="1319">
        <f t="shared" si="80"/>
        <v>0.17044833333333337</v>
      </c>
      <c r="J165" s="1320">
        <f t="shared" si="81"/>
        <v>0</v>
      </c>
      <c r="K165" s="1324">
        <f>J11+N11</f>
        <v>0</v>
      </c>
      <c r="L165" s="1324">
        <f t="shared" si="86"/>
        <v>0.34089666666666674</v>
      </c>
      <c r="M165" s="1323">
        <v>0.17044833333333337</v>
      </c>
      <c r="N165" s="1323">
        <f t="shared" si="87"/>
        <v>0.17044833333333337</v>
      </c>
      <c r="O165" s="1319">
        <f t="shared" si="82"/>
        <v>0</v>
      </c>
      <c r="P165" s="1319">
        <f t="shared" si="83"/>
        <v>0.17044833333333337</v>
      </c>
      <c r="Q165" s="1319">
        <f t="shared" si="84"/>
        <v>-0.17044833333333337</v>
      </c>
      <c r="R165" s="1167"/>
      <c r="S165" s="1167"/>
      <c r="T165" s="1167"/>
      <c r="U165" s="1167"/>
      <c r="V165" s="1168"/>
      <c r="W165" s="1168"/>
      <c r="X165" s="1167"/>
    </row>
    <row r="166" spans="2:24" ht="25.35" customHeight="1">
      <c r="B166" s="1361" t="s">
        <v>90</v>
      </c>
      <c r="C166" s="1361"/>
      <c r="D166" s="1319">
        <f>SUM(D167:D168)</f>
        <v>54.348993800000002</v>
      </c>
      <c r="E166" s="1319">
        <f t="shared" ref="E166:Q166" si="88">SUM(E167:E168)</f>
        <v>90.822934399999994</v>
      </c>
      <c r="F166" s="1319">
        <v>103.5096939</v>
      </c>
      <c r="G166" s="1319">
        <f t="shared" si="88"/>
        <v>102.4636874</v>
      </c>
      <c r="H166" s="1319">
        <f t="shared" si="88"/>
        <v>-1.0460065000000123</v>
      </c>
      <c r="I166" s="1319">
        <f t="shared" si="88"/>
        <v>48.114693599999995</v>
      </c>
      <c r="J166" s="1320">
        <f t="shared" si="88"/>
        <v>11.640752999999997</v>
      </c>
      <c r="K166" s="1321">
        <f t="shared" si="88"/>
        <v>130.37861660000002</v>
      </c>
      <c r="L166" s="1319">
        <f t="shared" si="88"/>
        <v>162.46600240000001</v>
      </c>
      <c r="M166" s="1319">
        <v>175.14715550000003</v>
      </c>
      <c r="N166" s="1319">
        <f t="shared" si="88"/>
        <v>174.10114899999999</v>
      </c>
      <c r="O166" s="1319">
        <f t="shared" si="88"/>
        <v>-1.0460065000000265</v>
      </c>
      <c r="P166" s="1319">
        <f t="shared" si="88"/>
        <v>43.722532399999984</v>
      </c>
      <c r="Q166" s="1319">
        <f t="shared" si="88"/>
        <v>11.635146599999985</v>
      </c>
      <c r="R166" s="1165"/>
      <c r="S166" s="1165"/>
      <c r="T166" s="1165"/>
      <c r="U166" s="1165"/>
      <c r="V166" s="1166"/>
      <c r="W166" s="1166"/>
      <c r="X166" s="1165"/>
    </row>
    <row r="167" spans="2:24" ht="25.35" customHeight="1">
      <c r="B167" s="1179"/>
      <c r="C167" s="1180" t="s">
        <v>92</v>
      </c>
      <c r="D167" s="1323">
        <f>N13</f>
        <v>49.969541</v>
      </c>
      <c r="E167" s="1323">
        <f>O13</f>
        <v>88.077117999999999</v>
      </c>
      <c r="F167" s="1323">
        <v>100.50396550000001</v>
      </c>
      <c r="G167" s="1323">
        <f>P13</f>
        <v>99.549515799999995</v>
      </c>
      <c r="H167" s="1323">
        <f>G167-F167</f>
        <v>-0.95444970000001206</v>
      </c>
      <c r="I167" s="1319">
        <f>G167-D167</f>
        <v>49.579974799999995</v>
      </c>
      <c r="J167" s="1320">
        <f>G167-E167</f>
        <v>11.472397799999996</v>
      </c>
      <c r="K167" s="1324">
        <f t="shared" ref="K167:K168" si="89">J13+N13</f>
        <v>119.81233</v>
      </c>
      <c r="L167" s="1324">
        <f t="shared" ref="L167:L168" si="90">K13+O13</f>
        <v>157.067621</v>
      </c>
      <c r="M167" s="1323">
        <v>169.56808950000001</v>
      </c>
      <c r="N167" s="1323">
        <f>P13+L13</f>
        <v>168.61363979999999</v>
      </c>
      <c r="O167" s="1319">
        <f>N167-M167</f>
        <v>-0.95444970000002627</v>
      </c>
      <c r="P167" s="1319">
        <f>N167-K167</f>
        <v>48.801309799999984</v>
      </c>
      <c r="Q167" s="1319">
        <f>N167-L167</f>
        <v>11.546018799999985</v>
      </c>
      <c r="R167" s="1167"/>
      <c r="S167" s="1167"/>
      <c r="T167" s="1167"/>
      <c r="U167" s="1167"/>
      <c r="V167" s="1168"/>
      <c r="W167" s="1167"/>
      <c r="X167" s="1167"/>
    </row>
    <row r="168" spans="2:24" ht="25.35" customHeight="1">
      <c r="B168" s="1179"/>
      <c r="C168" s="1180" t="s">
        <v>91</v>
      </c>
      <c r="D168" s="1323">
        <f>N14</f>
        <v>4.3794528000000001</v>
      </c>
      <c r="E168" s="1323">
        <f>O14</f>
        <v>2.7458163999999998</v>
      </c>
      <c r="F168" s="1323">
        <v>3.0057284000000002</v>
      </c>
      <c r="G168" s="1323">
        <f>P14</f>
        <v>2.9141716</v>
      </c>
      <c r="H168" s="1323">
        <f t="shared" si="79"/>
        <v>-9.1556800000000216E-2</v>
      </c>
      <c r="I168" s="1319">
        <f t="shared" si="80"/>
        <v>-1.4652812000000002</v>
      </c>
      <c r="J168" s="1320">
        <f t="shared" si="81"/>
        <v>0.16835520000000015</v>
      </c>
      <c r="K168" s="1324">
        <f t="shared" si="89"/>
        <v>10.5662866</v>
      </c>
      <c r="L168" s="1324">
        <f t="shared" si="90"/>
        <v>5.3983813999999999</v>
      </c>
      <c r="M168" s="1323">
        <v>5.5790660000000001</v>
      </c>
      <c r="N168" s="1323">
        <f t="shared" ref="N168" si="91">P14+L14</f>
        <v>5.4875091999999999</v>
      </c>
      <c r="O168" s="1319">
        <f t="shared" si="82"/>
        <v>-9.1556800000000216E-2</v>
      </c>
      <c r="P168" s="1319">
        <f t="shared" si="83"/>
        <v>-5.0787773999999999</v>
      </c>
      <c r="Q168" s="1319">
        <f t="shared" si="84"/>
        <v>8.9127799999999979E-2</v>
      </c>
      <c r="R168" s="1167"/>
      <c r="S168" s="1167"/>
      <c r="T168" s="1167"/>
      <c r="U168" s="1167"/>
      <c r="V168" s="1168"/>
      <c r="W168" s="1168"/>
      <c r="X168" s="1167"/>
    </row>
    <row r="169" spans="2:24" ht="25.35" customHeight="1">
      <c r="B169" s="1361" t="s">
        <v>93</v>
      </c>
      <c r="C169" s="1361"/>
      <c r="D169" s="1319">
        <f>SUM(D170:D173)</f>
        <v>0.65816414000000001</v>
      </c>
      <c r="E169" s="1319">
        <f>SUM(E170:E173)</f>
        <v>4.6475</v>
      </c>
      <c r="F169" s="1319">
        <v>4.0175000000000001</v>
      </c>
      <c r="G169" s="1319">
        <f t="shared" ref="G169:L169" si="92">SUM(G170:G173)</f>
        <v>4.0175000000000001</v>
      </c>
      <c r="H169" s="1319">
        <f t="shared" si="92"/>
        <v>0</v>
      </c>
      <c r="I169" s="1319">
        <f t="shared" si="92"/>
        <v>3.3593358599999998</v>
      </c>
      <c r="J169" s="1320">
        <f t="shared" si="92"/>
        <v>-0.62999999999999989</v>
      </c>
      <c r="K169" s="1321">
        <f t="shared" si="92"/>
        <v>34.457834750000004</v>
      </c>
      <c r="L169" s="1319">
        <f t="shared" si="92"/>
        <v>30.650750000000002</v>
      </c>
      <c r="M169" s="1319">
        <v>31.067768479999994</v>
      </c>
      <c r="N169" s="1319">
        <f>SUM(N170:N173)</f>
        <v>31.067768479999994</v>
      </c>
      <c r="O169" s="1319">
        <f>SUM(O170:O173)</f>
        <v>0</v>
      </c>
      <c r="P169" s="1319">
        <f>SUM(P170:P173)</f>
        <v>-3.3900662700000064</v>
      </c>
      <c r="Q169" s="1319">
        <f>SUM(Q170:Q173)</f>
        <v>0.41701847999999481</v>
      </c>
      <c r="R169" s="1165"/>
      <c r="S169" s="1165"/>
      <c r="T169" s="1165"/>
      <c r="U169" s="1165"/>
      <c r="V169" s="1166"/>
      <c r="W169" s="1166"/>
      <c r="X169" s="1165"/>
    </row>
    <row r="170" spans="2:24" ht="25.35" customHeight="1">
      <c r="B170" s="1179"/>
      <c r="C170" s="1180" t="s">
        <v>96</v>
      </c>
      <c r="D170" s="1323">
        <f t="shared" ref="D170:E173" si="93">N16</f>
        <v>0.26295337000000002</v>
      </c>
      <c r="E170" s="1323">
        <f t="shared" si="93"/>
        <v>3.71</v>
      </c>
      <c r="F170" s="1323">
        <v>3.08</v>
      </c>
      <c r="G170" s="1323">
        <f>P16</f>
        <v>3.08</v>
      </c>
      <c r="H170" s="1323">
        <f>G170-F170</f>
        <v>0</v>
      </c>
      <c r="I170" s="1319">
        <f>G170-D170</f>
        <v>2.8170466300000001</v>
      </c>
      <c r="J170" s="1320">
        <f>G170-E170</f>
        <v>-0.62999999999999989</v>
      </c>
      <c r="K170" s="1324">
        <f t="shared" ref="K170:K173" si="94">J16+N16</f>
        <v>30.141906740000003</v>
      </c>
      <c r="L170" s="1324">
        <f t="shared" ref="L170:L173" si="95">K16+O16</f>
        <v>28.307000000000002</v>
      </c>
      <c r="M170" s="1323">
        <v>27.988658039999997</v>
      </c>
      <c r="N170" s="1323">
        <f t="shared" ref="N170:N173" si="96">P16+L16</f>
        <v>27.988658039999997</v>
      </c>
      <c r="O170" s="1319">
        <f>N170-M170</f>
        <v>0</v>
      </c>
      <c r="P170" s="1319">
        <f>N170-K170</f>
        <v>-2.153248700000006</v>
      </c>
      <c r="Q170" s="1319">
        <f>N170-L170</f>
        <v>-0.31834196000000503</v>
      </c>
      <c r="R170" s="1167"/>
      <c r="S170" s="1167"/>
      <c r="T170" s="1167"/>
      <c r="U170" s="1167"/>
      <c r="V170" s="1168"/>
      <c r="W170" s="1167"/>
      <c r="X170" s="1167"/>
    </row>
    <row r="171" spans="2:24" ht="25.35" customHeight="1">
      <c r="B171" s="1179"/>
      <c r="C171" s="1180" t="s">
        <v>95</v>
      </c>
      <c r="D171" s="1323">
        <f t="shared" si="93"/>
        <v>0</v>
      </c>
      <c r="E171" s="1323">
        <f t="shared" si="93"/>
        <v>0.46875</v>
      </c>
      <c r="F171" s="1323">
        <v>0.46875</v>
      </c>
      <c r="G171" s="1323">
        <f>P17</f>
        <v>0.46875</v>
      </c>
      <c r="H171" s="1323">
        <f t="shared" si="79"/>
        <v>0</v>
      </c>
      <c r="I171" s="1319">
        <f t="shared" si="80"/>
        <v>0.46875</v>
      </c>
      <c r="J171" s="1320">
        <f t="shared" si="81"/>
        <v>0</v>
      </c>
      <c r="K171" s="1324">
        <f t="shared" si="94"/>
        <v>0</v>
      </c>
      <c r="L171" s="1324">
        <f t="shared" si="95"/>
        <v>0.46875</v>
      </c>
      <c r="M171" s="1323">
        <v>0.46875</v>
      </c>
      <c r="N171" s="1323">
        <f t="shared" si="96"/>
        <v>0.46875</v>
      </c>
      <c r="O171" s="1319">
        <f t="shared" si="82"/>
        <v>0</v>
      </c>
      <c r="P171" s="1319">
        <f t="shared" si="83"/>
        <v>0.46875</v>
      </c>
      <c r="Q171" s="1319">
        <f t="shared" si="84"/>
        <v>0</v>
      </c>
      <c r="R171" s="1167"/>
      <c r="S171" s="1167"/>
      <c r="T171" s="1167"/>
      <c r="U171" s="1167"/>
      <c r="V171" s="1168"/>
      <c r="W171" s="1168"/>
      <c r="X171" s="1167"/>
    </row>
    <row r="172" spans="2:24" ht="25.35" customHeight="1">
      <c r="B172" s="1179"/>
      <c r="C172" s="1180" t="s">
        <v>97</v>
      </c>
      <c r="D172" s="1323">
        <f t="shared" si="93"/>
        <v>0.31604167</v>
      </c>
      <c r="E172" s="1323">
        <f t="shared" si="93"/>
        <v>0.46875</v>
      </c>
      <c r="F172" s="1323">
        <v>0.46875</v>
      </c>
      <c r="G172" s="1323">
        <f>P18</f>
        <v>0.46875</v>
      </c>
      <c r="H172" s="1323">
        <f t="shared" si="79"/>
        <v>0</v>
      </c>
      <c r="I172" s="1319">
        <f t="shared" si="80"/>
        <v>0.15270833</v>
      </c>
      <c r="J172" s="1320">
        <f t="shared" si="81"/>
        <v>0</v>
      </c>
      <c r="K172" s="1324">
        <f t="shared" si="94"/>
        <v>3.0628333400000001</v>
      </c>
      <c r="L172" s="1324">
        <f t="shared" si="95"/>
        <v>1.875</v>
      </c>
      <c r="M172" s="1323">
        <v>2.2370833399999999</v>
      </c>
      <c r="N172" s="1323">
        <f t="shared" si="96"/>
        <v>2.2370833399999999</v>
      </c>
      <c r="O172" s="1319">
        <f t="shared" si="82"/>
        <v>0</v>
      </c>
      <c r="P172" s="1319">
        <f t="shared" si="83"/>
        <v>-0.82575000000000021</v>
      </c>
      <c r="Q172" s="1319">
        <f t="shared" si="84"/>
        <v>0.36208333999999986</v>
      </c>
      <c r="R172" s="1167"/>
      <c r="S172" s="1167"/>
      <c r="T172" s="1167"/>
      <c r="U172" s="1167"/>
      <c r="V172" s="1168"/>
      <c r="W172" s="1167"/>
      <c r="X172" s="1167"/>
    </row>
    <row r="173" spans="2:24" ht="25.35" customHeight="1">
      <c r="B173" s="1179"/>
      <c r="C173" s="1180" t="s">
        <v>32</v>
      </c>
      <c r="D173" s="1323">
        <f t="shared" si="93"/>
        <v>7.9169100000000006E-2</v>
      </c>
      <c r="E173" s="1323">
        <f t="shared" si="93"/>
        <v>0</v>
      </c>
      <c r="F173" s="1323">
        <v>0</v>
      </c>
      <c r="G173" s="1323">
        <f>P19</f>
        <v>0</v>
      </c>
      <c r="H173" s="1323">
        <f t="shared" si="79"/>
        <v>0</v>
      </c>
      <c r="I173" s="1319">
        <f t="shared" si="80"/>
        <v>-7.9169100000000006E-2</v>
      </c>
      <c r="J173" s="1320">
        <f t="shared" si="81"/>
        <v>0</v>
      </c>
      <c r="K173" s="1324">
        <f t="shared" si="94"/>
        <v>1.2530946700000001</v>
      </c>
      <c r="L173" s="1324">
        <f t="shared" si="95"/>
        <v>0</v>
      </c>
      <c r="M173" s="1323">
        <v>0.37327709999999997</v>
      </c>
      <c r="N173" s="1323">
        <f t="shared" si="96"/>
        <v>0.37327709999999997</v>
      </c>
      <c r="O173" s="1319">
        <f t="shared" si="82"/>
        <v>0</v>
      </c>
      <c r="P173" s="1319">
        <f t="shared" si="83"/>
        <v>-0.87981757000000016</v>
      </c>
      <c r="Q173" s="1319">
        <f t="shared" si="84"/>
        <v>0.37327709999999997</v>
      </c>
      <c r="R173" s="1167"/>
      <c r="S173" s="1167"/>
      <c r="T173" s="1167"/>
      <c r="U173" s="1167"/>
      <c r="V173" s="1168"/>
      <c r="W173" s="1167"/>
      <c r="X173" s="1167"/>
    </row>
    <row r="175" spans="2:24" ht="25.35" customHeight="1">
      <c r="B175" s="1338" t="s">
        <v>76</v>
      </c>
      <c r="C175" s="1338"/>
      <c r="D175" s="1338" t="s">
        <v>5</v>
      </c>
      <c r="E175" s="1338"/>
      <c r="F175" s="1338"/>
      <c r="G175" s="1338"/>
      <c r="H175" s="1338"/>
      <c r="I175" s="1338"/>
      <c r="J175" s="1375"/>
      <c r="K175" s="1337" t="s">
        <v>110</v>
      </c>
      <c r="L175" s="1338"/>
      <c r="M175" s="1338"/>
      <c r="N175" s="1338"/>
      <c r="O175" s="1338"/>
      <c r="P175" s="1338"/>
      <c r="Q175" s="1338"/>
      <c r="R175" s="1181"/>
      <c r="U175" s="1181"/>
      <c r="V175" s="1181"/>
      <c r="W175" s="1181"/>
      <c r="X175" s="1181"/>
    </row>
    <row r="176" spans="2:24" ht="39" customHeight="1">
      <c r="B176" s="1338"/>
      <c r="C176" s="1338"/>
      <c r="D176" s="1176" t="s">
        <v>80</v>
      </c>
      <c r="E176" s="1176" t="s">
        <v>81</v>
      </c>
      <c r="F176" s="1176" t="s">
        <v>58</v>
      </c>
      <c r="G176" s="1176" t="s">
        <v>59</v>
      </c>
      <c r="H176" s="1176" t="s">
        <v>16</v>
      </c>
      <c r="I176" s="1176" t="s">
        <v>108</v>
      </c>
      <c r="J176" s="1177" t="s">
        <v>109</v>
      </c>
      <c r="K176" s="1178" t="s">
        <v>80</v>
      </c>
      <c r="L176" s="1176" t="s">
        <v>81</v>
      </c>
      <c r="M176" s="1176" t="s">
        <v>58</v>
      </c>
      <c r="N176" s="1176" t="s">
        <v>59</v>
      </c>
      <c r="O176" s="1176" t="s">
        <v>16</v>
      </c>
      <c r="P176" s="1176" t="s">
        <v>108</v>
      </c>
      <c r="Q176" s="1176" t="s">
        <v>109</v>
      </c>
      <c r="S176" s="1182"/>
      <c r="T176" s="1183"/>
      <c r="U176" s="1165"/>
      <c r="V176" s="1164"/>
      <c r="W176" s="1164"/>
      <c r="X176" s="1164"/>
    </row>
    <row r="177" spans="2:24" ht="25.35" customHeight="1">
      <c r="B177" s="1361" t="s">
        <v>86</v>
      </c>
      <c r="C177" s="1361"/>
      <c r="D177" s="1319">
        <f>D178+D181+D184</f>
        <v>95.047887659999986</v>
      </c>
      <c r="E177" s="1319">
        <f>E178+E181+E184</f>
        <v>104.74626383333334</v>
      </c>
      <c r="F177" s="1319">
        <v>14.655318333333334</v>
      </c>
      <c r="G177" s="1319">
        <f>G178+G181+G184</f>
        <v>95.203489653333335</v>
      </c>
      <c r="H177" s="1322">
        <f t="shared" ref="H177:H188" si="97">G177-F177</f>
        <v>80.548171319999994</v>
      </c>
      <c r="I177" s="1319">
        <f t="shared" ref="I177:I188" si="98">G177-D177</f>
        <v>0.15560199333334879</v>
      </c>
      <c r="J177" s="1325">
        <f t="shared" ref="J177:J188" si="99">G177-E177</f>
        <v>-9.5427741800000092</v>
      </c>
      <c r="K177" s="1321">
        <f>K178+K181+K184</f>
        <v>463.44990215999997</v>
      </c>
      <c r="L177" s="1319">
        <f>L178+L181+L184</f>
        <v>672.85504338999999</v>
      </c>
      <c r="M177" s="1319">
        <v>102.94520229333334</v>
      </c>
      <c r="N177" s="1319">
        <f>N178+N181+N184</f>
        <v>738.92433737573333</v>
      </c>
      <c r="O177" s="1319">
        <f>N177-M177</f>
        <v>635.97913508240003</v>
      </c>
      <c r="P177" s="1319">
        <f>N177-K177</f>
        <v>275.47443521573337</v>
      </c>
      <c r="Q177" s="1319">
        <f>N177-L177</f>
        <v>66.069293985733339</v>
      </c>
      <c r="R177" s="1165"/>
      <c r="S177" s="1182"/>
      <c r="T177" s="1183"/>
      <c r="U177" s="1165"/>
      <c r="V177" s="1166"/>
      <c r="W177" s="1166"/>
      <c r="X177" s="1165"/>
    </row>
    <row r="178" spans="2:24" ht="25.35" customHeight="1">
      <c r="B178" s="1361" t="s">
        <v>87</v>
      </c>
      <c r="C178" s="1361"/>
      <c r="D178" s="1319">
        <f>SUM(D179:D180)</f>
        <v>2.3648161499999998</v>
      </c>
      <c r="E178" s="1319">
        <f t="shared" ref="E178:Q178" si="100">SUM(E179:E180)</f>
        <v>9.6097563333333333</v>
      </c>
      <c r="F178" s="1319">
        <f t="shared" si="100"/>
        <v>9.6097563333333333</v>
      </c>
      <c r="G178" s="1319">
        <f t="shared" si="100"/>
        <v>11.969856653333332</v>
      </c>
      <c r="H178" s="1319">
        <f t="shared" si="100"/>
        <v>2.360100319999999</v>
      </c>
      <c r="I178" s="1319">
        <f t="shared" si="100"/>
        <v>9.605040503333333</v>
      </c>
      <c r="J178" s="1319">
        <f t="shared" si="100"/>
        <v>2.360100319999999</v>
      </c>
      <c r="K178" s="1319">
        <f t="shared" si="100"/>
        <v>35.958918619999999</v>
      </c>
      <c r="L178" s="1319">
        <f t="shared" si="100"/>
        <v>50.268906279999996</v>
      </c>
      <c r="M178" s="1319">
        <f t="shared" si="100"/>
        <v>50.354777766133338</v>
      </c>
      <c r="N178" s="1319">
        <f t="shared" si="100"/>
        <v>49.998394455733326</v>
      </c>
      <c r="O178" s="1319">
        <f t="shared" si="100"/>
        <v>-0.35638331040001248</v>
      </c>
      <c r="P178" s="1319">
        <f t="shared" si="100"/>
        <v>14.039475835733329</v>
      </c>
      <c r="Q178" s="1319">
        <f t="shared" si="100"/>
        <v>-0.27051182426667086</v>
      </c>
      <c r="R178" s="1165"/>
      <c r="S178" s="1182"/>
      <c r="T178" s="1183"/>
      <c r="U178" s="1165"/>
      <c r="V178" s="1166"/>
      <c r="W178" s="1166"/>
      <c r="X178" s="1165"/>
    </row>
    <row r="179" spans="2:24" ht="25.35" customHeight="1">
      <c r="B179" s="1179"/>
      <c r="C179" s="1180" t="s">
        <v>22</v>
      </c>
      <c r="D179" s="1323">
        <f>R10</f>
        <v>2.3648161499999998</v>
      </c>
      <c r="E179" s="1323">
        <f>S10</f>
        <v>9.4393080000000005</v>
      </c>
      <c r="F179" s="1323">
        <v>9.4393080000000005</v>
      </c>
      <c r="G179" s="1323">
        <f>T10</f>
        <v>11.79940832</v>
      </c>
      <c r="H179" s="1323">
        <f>G179-F179</f>
        <v>2.360100319999999</v>
      </c>
      <c r="I179" s="1323">
        <f>G179-D179</f>
        <v>9.4345921700000002</v>
      </c>
      <c r="J179" s="1326">
        <f>G179-E179</f>
        <v>2.360100319999999</v>
      </c>
      <c r="K179" s="1324">
        <f>J10+N10+F10+R10</f>
        <v>35.958918619999999</v>
      </c>
      <c r="L179" s="1323">
        <f>K10+O10+G10+S10</f>
        <v>49.246216279999999</v>
      </c>
      <c r="M179" s="1323">
        <v>49.672984432800007</v>
      </c>
      <c r="N179" s="1323">
        <f>L10+P10+H10+T10</f>
        <v>49.316601122399994</v>
      </c>
      <c r="O179" s="1323">
        <f>N179-M179</f>
        <v>-0.35638331040001248</v>
      </c>
      <c r="P179" s="1323">
        <f>N179-K179</f>
        <v>13.357682502399996</v>
      </c>
      <c r="Q179" s="1323">
        <f>N179-L179</f>
        <v>7.0384842399995762E-2</v>
      </c>
      <c r="R179" s="1167"/>
      <c r="S179" s="1182"/>
      <c r="T179" s="1183"/>
      <c r="U179" s="1167"/>
      <c r="V179" s="1168"/>
      <c r="W179" s="1167"/>
      <c r="X179" s="1167"/>
    </row>
    <row r="180" spans="2:24" ht="25.35" customHeight="1">
      <c r="B180" s="1179"/>
      <c r="C180" s="1180" t="s">
        <v>106</v>
      </c>
      <c r="D180" s="1323">
        <f>R11</f>
        <v>0</v>
      </c>
      <c r="E180" s="1323">
        <f>S11</f>
        <v>0.17044833333333337</v>
      </c>
      <c r="F180" s="1323">
        <v>0.17044833333333337</v>
      </c>
      <c r="G180" s="1323">
        <f>T11</f>
        <v>0.17044833333333337</v>
      </c>
      <c r="H180" s="1323">
        <f t="shared" si="97"/>
        <v>0</v>
      </c>
      <c r="I180" s="1323">
        <f t="shared" si="98"/>
        <v>0.17044833333333337</v>
      </c>
      <c r="J180" s="1326">
        <f t="shared" si="99"/>
        <v>0</v>
      </c>
      <c r="K180" s="1324">
        <f>J11+N11+F11+R11</f>
        <v>0</v>
      </c>
      <c r="L180" s="1323">
        <f>K11+O11+G11+S11</f>
        <v>1.0226900000000001</v>
      </c>
      <c r="M180" s="1323">
        <v>0.68179333333333347</v>
      </c>
      <c r="N180" s="1323">
        <f>L11+P11+H11+T11</f>
        <v>0.68179333333333347</v>
      </c>
      <c r="O180" s="1323">
        <f t="shared" ref="O178:O188" si="101">N180-M180</f>
        <v>0</v>
      </c>
      <c r="P180" s="1323">
        <f t="shared" ref="P178:P188" si="102">N180-K180</f>
        <v>0.68179333333333347</v>
      </c>
      <c r="Q180" s="1323">
        <f t="shared" ref="Q178:Q188" si="103">N180-L180</f>
        <v>-0.34089666666666663</v>
      </c>
      <c r="R180" s="1167"/>
      <c r="S180" s="1182"/>
      <c r="T180" s="1183"/>
      <c r="U180" s="1167"/>
      <c r="V180" s="1168"/>
      <c r="W180" s="1168"/>
      <c r="X180" s="1167"/>
    </row>
    <row r="181" spans="2:24" ht="25.35" customHeight="1">
      <c r="B181" s="1361" t="s">
        <v>90</v>
      </c>
      <c r="C181" s="1361"/>
      <c r="D181" s="1319">
        <f>SUM(D182:D183)</f>
        <v>73.258087799999998</v>
      </c>
      <c r="E181" s="1319">
        <f t="shared" ref="E181:Q181" si="104">SUM(E182:E183)</f>
        <v>83.985257500000003</v>
      </c>
      <c r="F181" s="1319">
        <f t="shared" si="104"/>
        <v>70.172502110000011</v>
      </c>
      <c r="G181" s="1319">
        <f t="shared" si="104"/>
        <v>74.762383</v>
      </c>
      <c r="H181" s="1319">
        <f t="shared" si="104"/>
        <v>4.5898808899999892</v>
      </c>
      <c r="I181" s="1319">
        <f t="shared" si="104"/>
        <v>1.5042952000000014</v>
      </c>
      <c r="J181" s="1319">
        <f t="shared" si="104"/>
        <v>-9.2228745000000032</v>
      </c>
      <c r="K181" s="1319">
        <f t="shared" si="104"/>
        <v>407.27340879999997</v>
      </c>
      <c r="L181" s="1319">
        <f t="shared" si="104"/>
        <v>492.90251979999999</v>
      </c>
      <c r="M181" s="1319">
        <f t="shared" si="104"/>
        <v>490.63931522000001</v>
      </c>
      <c r="N181" s="1319">
        <f t="shared" si="104"/>
        <v>497.72706399999998</v>
      </c>
      <c r="O181" s="1319">
        <f t="shared" si="104"/>
        <v>7.0877487799999841</v>
      </c>
      <c r="P181" s="1319">
        <f t="shared" si="104"/>
        <v>90.4536552</v>
      </c>
      <c r="Q181" s="1319">
        <f t="shared" si="104"/>
        <v>4.8245441999999912</v>
      </c>
      <c r="R181" s="1165"/>
      <c r="S181" s="1182"/>
      <c r="T181" s="1183"/>
      <c r="U181" s="1165"/>
      <c r="V181" s="1166"/>
      <c r="W181" s="1166"/>
      <c r="X181" s="1165"/>
    </row>
    <row r="182" spans="2:24" ht="25.35" customHeight="1">
      <c r="B182" s="1179"/>
      <c r="C182" s="1180" t="s">
        <v>92</v>
      </c>
      <c r="D182" s="1323">
        <f>R13</f>
        <v>69.235727999999995</v>
      </c>
      <c r="E182" s="1323">
        <f>S13</f>
        <v>81.331637499999999</v>
      </c>
      <c r="F182" s="1323">
        <v>67.518882110000007</v>
      </c>
      <c r="G182" s="1323">
        <f>T13</f>
        <v>72.108762999999996</v>
      </c>
      <c r="H182" s="1323">
        <f>G182-F182</f>
        <v>4.5898808899999892</v>
      </c>
      <c r="I182" s="1323">
        <f>G182-D182</f>
        <v>2.8730350000000016</v>
      </c>
      <c r="J182" s="1326">
        <f>G182-E182</f>
        <v>-9.2228745000000032</v>
      </c>
      <c r="K182" s="1324">
        <f>J13+N13+F13+R13</f>
        <v>378.09611599999999</v>
      </c>
      <c r="L182" s="1323">
        <f>K13+O13+G13+S13</f>
        <v>476.798517</v>
      </c>
      <c r="M182" s="1323">
        <v>474.17394322000001</v>
      </c>
      <c r="N182" s="1323">
        <f>L13+P13+H13+T13</f>
        <v>481.4448056</v>
      </c>
      <c r="O182" s="1323">
        <f>N182-M182</f>
        <v>7.2708623799999827</v>
      </c>
      <c r="P182" s="1323">
        <f>N182-K182</f>
        <v>103.3486896</v>
      </c>
      <c r="Q182" s="1323">
        <f>N182-L182</f>
        <v>4.6462885999999912</v>
      </c>
      <c r="R182" s="1167"/>
      <c r="S182" s="1182"/>
      <c r="T182" s="1183"/>
      <c r="U182" s="1167"/>
      <c r="V182" s="1168"/>
      <c r="W182" s="1167"/>
      <c r="X182" s="1167"/>
    </row>
    <row r="183" spans="2:24" ht="25.35" customHeight="1">
      <c r="B183" s="1179"/>
      <c r="C183" s="1180" t="s">
        <v>91</v>
      </c>
      <c r="D183" s="1323">
        <f>R14</f>
        <v>4.0223598000000003</v>
      </c>
      <c r="E183" s="1323">
        <f>S14</f>
        <v>2.6536200000000001</v>
      </c>
      <c r="F183" s="1323">
        <v>2.6536200000000001</v>
      </c>
      <c r="G183" s="1323">
        <f>T14</f>
        <v>2.6536200000000001</v>
      </c>
      <c r="H183" s="1323">
        <f t="shared" si="97"/>
        <v>0</v>
      </c>
      <c r="I183" s="1323">
        <f t="shared" si="98"/>
        <v>-1.3687398000000002</v>
      </c>
      <c r="J183" s="1326">
        <f t="shared" si="99"/>
        <v>0</v>
      </c>
      <c r="K183" s="1324">
        <f>J14+N14+F14+R14</f>
        <v>29.1772928</v>
      </c>
      <c r="L183" s="1323">
        <f>K14+O14+G14+S14</f>
        <v>16.1040028</v>
      </c>
      <c r="M183" s="1323">
        <v>16.465371999999999</v>
      </c>
      <c r="N183" s="1323">
        <f>L14+P14+H14+T14</f>
        <v>16.2822584</v>
      </c>
      <c r="O183" s="1323">
        <f t="shared" si="101"/>
        <v>-0.18311359999999866</v>
      </c>
      <c r="P183" s="1323">
        <f t="shared" si="102"/>
        <v>-12.8950344</v>
      </c>
      <c r="Q183" s="1323">
        <f t="shared" si="103"/>
        <v>0.17825559999999996</v>
      </c>
      <c r="R183" s="1167"/>
      <c r="S183" s="1182"/>
      <c r="T183" s="1183"/>
      <c r="U183" s="1167"/>
      <c r="V183" s="1168"/>
      <c r="W183" s="1168"/>
      <c r="X183" s="1167"/>
    </row>
    <row r="184" spans="2:24" ht="25.35" customHeight="1">
      <c r="B184" s="1361" t="s">
        <v>93</v>
      </c>
      <c r="C184" s="1361"/>
      <c r="D184" s="1319">
        <f>SUM(D185:D188)</f>
        <v>19.424983709999996</v>
      </c>
      <c r="E184" s="1319">
        <f t="shared" ref="E184:Q184" si="105">SUM(E185:E188)</f>
        <v>11.151249999999999</v>
      </c>
      <c r="F184" s="1319">
        <f t="shared" si="105"/>
        <v>8.4712499999999995</v>
      </c>
      <c r="G184" s="1319">
        <f t="shared" si="105"/>
        <v>8.4712499999999995</v>
      </c>
      <c r="H184" s="1319">
        <f t="shared" si="105"/>
        <v>42.274860109999999</v>
      </c>
      <c r="I184" s="1319">
        <f t="shared" si="105"/>
        <v>32.166219659999996</v>
      </c>
      <c r="J184" s="1319">
        <f t="shared" si="105"/>
        <v>32.328658040000001</v>
      </c>
      <c r="K184" s="1319">
        <f t="shared" si="105"/>
        <v>20.217574740000003</v>
      </c>
      <c r="L184" s="1319">
        <f t="shared" si="105"/>
        <v>129.68361730999999</v>
      </c>
      <c r="M184" s="1319">
        <f t="shared" si="105"/>
        <v>194.19722087999997</v>
      </c>
      <c r="N184" s="1319">
        <f t="shared" si="105"/>
        <v>191.19887891999997</v>
      </c>
      <c r="O184" s="1319">
        <f t="shared" si="105"/>
        <v>-2.9983419600000047</v>
      </c>
      <c r="P184" s="1319">
        <f t="shared" si="105"/>
        <v>-8.79519582</v>
      </c>
      <c r="Q184" s="1319">
        <f t="shared" si="105"/>
        <v>1.4707208799999996</v>
      </c>
      <c r="R184" s="1165"/>
      <c r="S184" s="1182"/>
      <c r="T184" s="1183"/>
      <c r="U184" s="1165"/>
      <c r="W184" s="1166"/>
      <c r="X184" s="1165"/>
    </row>
    <row r="185" spans="2:24" ht="25.35" customHeight="1">
      <c r="B185" s="1179"/>
      <c r="C185" s="1180" t="s">
        <v>96</v>
      </c>
      <c r="D185" s="1323">
        <f>R16</f>
        <v>12.132953369999999</v>
      </c>
      <c r="E185" s="1323">
        <f t="shared" ref="E185:Q185" si="106">S16</f>
        <v>7.02</v>
      </c>
      <c r="F185" s="1323">
        <f t="shared" si="106"/>
        <v>4.34</v>
      </c>
      <c r="G185" s="1323">
        <f>T16</f>
        <v>4.34</v>
      </c>
      <c r="H185" s="1323">
        <f t="shared" si="106"/>
        <v>42.274860109999999</v>
      </c>
      <c r="I185" s="1323">
        <f t="shared" si="106"/>
        <v>35.326999999999998</v>
      </c>
      <c r="J185" s="1323">
        <f t="shared" si="106"/>
        <v>32.328658040000001</v>
      </c>
      <c r="K185" s="1323">
        <f t="shared" si="106"/>
        <v>-2.9983419599999976</v>
      </c>
      <c r="L185" s="1323">
        <f t="shared" si="106"/>
        <v>116.73361731</v>
      </c>
      <c r="M185" s="1323">
        <f t="shared" si="106"/>
        <v>179.7765</v>
      </c>
      <c r="N185" s="1323">
        <f t="shared" si="106"/>
        <v>176.77815803999999</v>
      </c>
      <c r="O185" s="1323">
        <f t="shared" si="106"/>
        <v>-2.9983419600000047</v>
      </c>
      <c r="P185" s="1323">
        <f t="shared" si="106"/>
        <v>0</v>
      </c>
      <c r="Q185" s="1323">
        <f t="shared" si="106"/>
        <v>0</v>
      </c>
      <c r="R185" s="1167"/>
      <c r="S185" s="1182"/>
      <c r="T185" s="1183"/>
      <c r="U185" s="1167"/>
      <c r="V185" s="1168"/>
      <c r="W185" s="1167"/>
      <c r="X185" s="1167"/>
    </row>
    <row r="186" spans="2:24" ht="25.35" customHeight="1">
      <c r="B186" s="1179"/>
      <c r="C186" s="1180" t="s">
        <v>95</v>
      </c>
      <c r="D186" s="1323">
        <f>R17</f>
        <v>3.66</v>
      </c>
      <c r="E186" s="1323">
        <f>S17</f>
        <v>1.3187500000000001</v>
      </c>
      <c r="F186" s="1323">
        <v>1.3187500000000001</v>
      </c>
      <c r="G186" s="1323">
        <f>T17</f>
        <v>1.3187500000000001</v>
      </c>
      <c r="H186" s="1323">
        <f t="shared" si="97"/>
        <v>0</v>
      </c>
      <c r="I186" s="1323">
        <f t="shared" si="98"/>
        <v>-2.3412500000000001</v>
      </c>
      <c r="J186" s="1326">
        <f t="shared" si="99"/>
        <v>0</v>
      </c>
      <c r="K186" s="1324">
        <f>J17+N17+F17+R17</f>
        <v>7.32</v>
      </c>
      <c r="L186" s="1323">
        <f>K17+O17+G17+S17</f>
        <v>3.5750000000000002</v>
      </c>
      <c r="M186" s="1323">
        <v>3.5750000000000002</v>
      </c>
      <c r="N186" s="1323">
        <f>L17+P17+H17+T17</f>
        <v>3.5750000000000002</v>
      </c>
      <c r="O186" s="1323">
        <f t="shared" si="101"/>
        <v>0</v>
      </c>
      <c r="P186" s="1323">
        <f t="shared" si="102"/>
        <v>-3.7450000000000001</v>
      </c>
      <c r="Q186" s="1323">
        <f t="shared" si="103"/>
        <v>0</v>
      </c>
      <c r="R186" s="1167"/>
      <c r="S186" s="1182"/>
      <c r="T186" s="1183"/>
      <c r="U186" s="1167"/>
      <c r="V186" s="1168"/>
      <c r="W186" s="1168"/>
      <c r="X186" s="1167"/>
    </row>
    <row r="187" spans="2:24" ht="25.35" customHeight="1">
      <c r="B187" s="1179"/>
      <c r="C187" s="1180" t="s">
        <v>97</v>
      </c>
      <c r="D187" s="1323">
        <f>R18</f>
        <v>2.2370833399999999</v>
      </c>
      <c r="E187" s="1323">
        <f>S18</f>
        <v>2.8125</v>
      </c>
      <c r="F187" s="1323">
        <v>2.8125</v>
      </c>
      <c r="G187" s="1323">
        <f>T18</f>
        <v>2.8125</v>
      </c>
      <c r="H187" s="1323">
        <f t="shared" si="97"/>
        <v>0</v>
      </c>
      <c r="I187" s="1323">
        <f t="shared" si="98"/>
        <v>0.57541666000000014</v>
      </c>
      <c r="J187" s="1326">
        <f t="shared" si="99"/>
        <v>0</v>
      </c>
      <c r="K187" s="1324">
        <f>J18+N18+F18+R18</f>
        <v>10.59983336</v>
      </c>
      <c r="L187" s="1323">
        <f>K18+O18+G18+S18</f>
        <v>9.375</v>
      </c>
      <c r="M187" s="1323">
        <v>10.09916668</v>
      </c>
      <c r="N187" s="1323">
        <f>L18+P18+H18+T18</f>
        <v>10.09916668</v>
      </c>
      <c r="O187" s="1323">
        <f t="shared" si="101"/>
        <v>0</v>
      </c>
      <c r="P187" s="1323">
        <f t="shared" si="102"/>
        <v>-0.50066668000000014</v>
      </c>
      <c r="Q187" s="1323">
        <f t="shared" si="103"/>
        <v>0.72416667999999973</v>
      </c>
      <c r="R187" s="1167"/>
      <c r="S187" s="1182"/>
      <c r="T187" s="1183"/>
      <c r="U187" s="1167"/>
      <c r="V187" s="1168"/>
      <c r="W187" s="1167"/>
      <c r="X187" s="1167"/>
    </row>
    <row r="188" spans="2:24" ht="25.35" customHeight="1">
      <c r="B188" s="1179"/>
      <c r="C188" s="1180" t="s">
        <v>32</v>
      </c>
      <c r="D188" s="1323">
        <f>R19</f>
        <v>1.3949469999999999</v>
      </c>
      <c r="E188" s="1323">
        <f>S19</f>
        <v>0</v>
      </c>
      <c r="F188" s="1323">
        <v>0</v>
      </c>
      <c r="G188" s="1323">
        <f>T19</f>
        <v>0</v>
      </c>
      <c r="H188" s="1323">
        <f t="shared" si="97"/>
        <v>0</v>
      </c>
      <c r="I188" s="1323">
        <f t="shared" si="98"/>
        <v>-1.3949469999999999</v>
      </c>
      <c r="J188" s="1326">
        <f t="shared" si="99"/>
        <v>0</v>
      </c>
      <c r="K188" s="1324">
        <f>J19+N19+F19+R19</f>
        <v>5.29608334</v>
      </c>
      <c r="L188" s="1323">
        <f>K19+O19+G19+S19</f>
        <v>0</v>
      </c>
      <c r="M188" s="1323">
        <v>0.74655419999999995</v>
      </c>
      <c r="N188" s="1323">
        <f>L19+P19+H19+T19</f>
        <v>0.74655419999999995</v>
      </c>
      <c r="O188" s="1323">
        <f t="shared" si="101"/>
        <v>0</v>
      </c>
      <c r="P188" s="1323">
        <f t="shared" si="102"/>
        <v>-4.5495291399999997</v>
      </c>
      <c r="Q188" s="1323">
        <f t="shared" si="103"/>
        <v>0.74655419999999995</v>
      </c>
      <c r="R188" s="1167"/>
      <c r="S188" s="1182"/>
      <c r="T188" s="1183"/>
      <c r="U188" s="1167"/>
      <c r="V188" s="1168"/>
      <c r="W188" s="1167"/>
      <c r="X188" s="1167"/>
    </row>
    <row r="192" spans="2:24" ht="24.6" customHeight="1">
      <c r="B192" s="1338" t="s">
        <v>76</v>
      </c>
      <c r="C192" s="1338"/>
      <c r="D192" s="1338" t="s">
        <v>2</v>
      </c>
      <c r="E192" s="1338"/>
      <c r="F192" s="1338"/>
      <c r="G192" s="1338"/>
      <c r="H192" s="1338"/>
      <c r="I192" s="1338"/>
      <c r="J192" s="1375"/>
      <c r="K192" s="1337" t="s">
        <v>111</v>
      </c>
      <c r="L192" s="1338"/>
      <c r="M192" s="1338"/>
      <c r="N192" s="1338"/>
      <c r="O192" s="1338"/>
      <c r="P192" s="1338"/>
      <c r="Q192" s="1338"/>
    </row>
    <row r="193" spans="2:22" ht="38.85" customHeight="1">
      <c r="B193" s="1338"/>
      <c r="C193" s="1338"/>
      <c r="D193" s="1176" t="s">
        <v>80</v>
      </c>
      <c r="E193" s="1176" t="s">
        <v>81</v>
      </c>
      <c r="F193" s="1176" t="s">
        <v>58</v>
      </c>
      <c r="G193" s="1176" t="s">
        <v>59</v>
      </c>
      <c r="H193" s="1176" t="s">
        <v>16</v>
      </c>
      <c r="I193" s="1176" t="s">
        <v>83</v>
      </c>
      <c r="J193" s="1177" t="s">
        <v>84</v>
      </c>
      <c r="K193" s="1178" t="s">
        <v>80</v>
      </c>
      <c r="L193" s="1176" t="s">
        <v>81</v>
      </c>
      <c r="M193" s="1176" t="s">
        <v>58</v>
      </c>
      <c r="N193" s="1176" t="s">
        <v>59</v>
      </c>
      <c r="O193" s="1176" t="s">
        <v>16</v>
      </c>
      <c r="P193" s="1176" t="s">
        <v>108</v>
      </c>
      <c r="Q193" s="1176" t="s">
        <v>109</v>
      </c>
    </row>
    <row r="194" spans="2:22" ht="24.6" customHeight="1">
      <c r="B194" s="1361" t="s">
        <v>86</v>
      </c>
      <c r="C194" s="1361"/>
      <c r="D194" s="1319">
        <f>V8</f>
        <v>275.49898216999998</v>
      </c>
      <c r="E194" s="1319">
        <f>E195+E198+E201</f>
        <v>313.38771303999999</v>
      </c>
      <c r="F194" s="1319">
        <v>313.3960649730667</v>
      </c>
      <c r="G194" s="1319">
        <f>G195+G198+G201</f>
        <v>313.40174770786666</v>
      </c>
      <c r="H194" s="1319">
        <f t="shared" ref="H194:H205" si="107">G194-F194</f>
        <v>5.6827347999615085E-3</v>
      </c>
      <c r="I194" s="1319">
        <f t="shared" ref="I194:I205" si="108">G194-D194</f>
        <v>37.902765537866685</v>
      </c>
      <c r="J194" s="1320">
        <f t="shared" ref="J194:J205" si="109">G194-E194</f>
        <v>1.4034667866667405E-2</v>
      </c>
      <c r="K194" s="1321">
        <f>K195+K198+K201</f>
        <v>550.99796433999995</v>
      </c>
      <c r="L194" s="1319">
        <f>L195+L198+L201</f>
        <v>626.77542607999999</v>
      </c>
      <c r="M194" s="1319">
        <v>626.7921299461334</v>
      </c>
      <c r="N194" s="1319">
        <f>N195+N198+N201</f>
        <v>626.80349541573332</v>
      </c>
      <c r="O194" s="1319">
        <f>N194-M194</f>
        <v>1.1365469599923017E-2</v>
      </c>
      <c r="P194" s="1319">
        <f>N194-K194</f>
        <v>75.80553107573337</v>
      </c>
      <c r="Q194" s="1319">
        <f>N194-L194</f>
        <v>2.806933573333481E-2</v>
      </c>
      <c r="R194" s="1084"/>
    </row>
    <row r="195" spans="2:22" ht="24.6" customHeight="1">
      <c r="B195" s="1361" t="s">
        <v>87</v>
      </c>
      <c r="C195" s="1361"/>
      <c r="D195" s="1319">
        <f>SUM(D196:D197)</f>
        <v>17.979459309999999</v>
      </c>
      <c r="E195" s="1319">
        <f>SUM(E196:E197)</f>
        <v>25.134453140000002</v>
      </c>
      <c r="F195" s="1319">
        <v>25.177388883066669</v>
      </c>
      <c r="G195" s="1319">
        <f>SUM(G196:G197)</f>
        <v>24.999197227866667</v>
      </c>
      <c r="H195" s="1319">
        <f t="shared" si="107"/>
        <v>-0.17819165520000269</v>
      </c>
      <c r="I195" s="1319">
        <f t="shared" si="108"/>
        <v>7.0197379178666672</v>
      </c>
      <c r="J195" s="1320">
        <f t="shared" si="109"/>
        <v>-0.13525591213333499</v>
      </c>
      <c r="K195" s="1321">
        <f t="shared" ref="K195:Q195" si="110">SUM(K196:K197)</f>
        <v>35.958918619999999</v>
      </c>
      <c r="L195" s="1319">
        <f t="shared" si="110"/>
        <v>50.268906279999996</v>
      </c>
      <c r="M195" s="1319">
        <v>50.354777766133338</v>
      </c>
      <c r="N195" s="1319">
        <f t="shared" si="110"/>
        <v>49.998394455733333</v>
      </c>
      <c r="O195" s="1319">
        <f t="shared" si="110"/>
        <v>-0.35638331040000537</v>
      </c>
      <c r="P195" s="1319">
        <f t="shared" si="110"/>
        <v>14.039475835733336</v>
      </c>
      <c r="Q195" s="1319">
        <f t="shared" si="110"/>
        <v>-0.27051182426666398</v>
      </c>
      <c r="R195" s="1084"/>
      <c r="S195" s="1184"/>
      <c r="T195" s="1185"/>
      <c r="U195" s="1186"/>
      <c r="V195" s="1185"/>
    </row>
    <row r="196" spans="2:22" ht="24.6" customHeight="1">
      <c r="B196" s="1179"/>
      <c r="C196" s="1180" t="s">
        <v>22</v>
      </c>
      <c r="D196" s="1323">
        <f>V10</f>
        <v>17.979459309999999</v>
      </c>
      <c r="E196" s="1323">
        <f>W10</f>
        <v>24.623108140000003</v>
      </c>
      <c r="F196" s="1323">
        <v>24.836492216400003</v>
      </c>
      <c r="G196" s="1323">
        <f>X10</f>
        <v>24.658300561200001</v>
      </c>
      <c r="H196" s="1323">
        <f t="shared" si="107"/>
        <v>-0.17819165520000269</v>
      </c>
      <c r="I196" s="1323">
        <f>G196-D196</f>
        <v>6.6788412512000015</v>
      </c>
      <c r="J196" s="1326">
        <f>G196-E196</f>
        <v>3.5192421199997881E-2</v>
      </c>
      <c r="K196" s="1324">
        <f>F10+V10</f>
        <v>35.958918619999999</v>
      </c>
      <c r="L196" s="1323">
        <f>G10+W10</f>
        <v>49.246216279999999</v>
      </c>
      <c r="M196" s="1323">
        <v>49.672984432800007</v>
      </c>
      <c r="N196" s="1323">
        <f>H10+X10</f>
        <v>49.316601122400002</v>
      </c>
      <c r="O196" s="1323">
        <f>N196-M196</f>
        <v>-0.35638331040000537</v>
      </c>
      <c r="P196" s="1319">
        <f>N196-K196</f>
        <v>13.357682502400003</v>
      </c>
      <c r="Q196" s="1323">
        <f>N196-L196</f>
        <v>7.0384842400002867E-2</v>
      </c>
      <c r="R196" s="1084"/>
      <c r="S196" s="1186"/>
      <c r="T196" s="1084"/>
      <c r="U196" s="1186"/>
      <c r="V196" s="1084"/>
    </row>
    <row r="197" spans="2:22" ht="24.6" customHeight="1">
      <c r="B197" s="1179"/>
      <c r="C197" s="1180" t="s">
        <v>106</v>
      </c>
      <c r="D197" s="1323">
        <f>V11</f>
        <v>0</v>
      </c>
      <c r="E197" s="1323">
        <f>W11</f>
        <v>0.51134500000000016</v>
      </c>
      <c r="F197" s="1323">
        <v>0.34089666666666674</v>
      </c>
      <c r="G197" s="1323">
        <f>X11</f>
        <v>0.34089666666666674</v>
      </c>
      <c r="H197" s="1323">
        <f t="shared" si="107"/>
        <v>0</v>
      </c>
      <c r="I197" s="1323">
        <f t="shared" si="108"/>
        <v>0.34089666666666674</v>
      </c>
      <c r="J197" s="1326">
        <f t="shared" si="109"/>
        <v>-0.17044833333333342</v>
      </c>
      <c r="K197" s="1324">
        <f>F11+V11</f>
        <v>0</v>
      </c>
      <c r="L197" s="1323">
        <f>G11+W11</f>
        <v>1.0226900000000003</v>
      </c>
      <c r="M197" s="1323">
        <v>0.68179333333333347</v>
      </c>
      <c r="N197" s="1323">
        <f>H11+X11</f>
        <v>0.68179333333333347</v>
      </c>
      <c r="O197" s="1323">
        <f t="shared" ref="O197:O205" si="111">N197-M197</f>
        <v>0</v>
      </c>
      <c r="P197" s="1319">
        <f t="shared" ref="P197:P205" si="112">N197-K197</f>
        <v>0.68179333333333347</v>
      </c>
      <c r="Q197" s="1323">
        <f t="shared" ref="Q197:Q205" si="113">N197-L197</f>
        <v>-0.34089666666666685</v>
      </c>
      <c r="R197" s="1084"/>
      <c r="S197" s="1186"/>
      <c r="T197" s="1084"/>
      <c r="U197" s="1186"/>
      <c r="V197" s="1084"/>
    </row>
    <row r="198" spans="2:22" ht="24.6" customHeight="1">
      <c r="B198" s="1361" t="s">
        <v>90</v>
      </c>
      <c r="C198" s="1361"/>
      <c r="D198" s="1319">
        <f>SUM(D199:D200)</f>
        <v>203.63670439999996</v>
      </c>
      <c r="E198" s="1319">
        <f>SUM(E199:E200)</f>
        <v>246.45125989999997</v>
      </c>
      <c r="F198" s="1319">
        <v>245.31965761000004</v>
      </c>
      <c r="G198" s="1319">
        <f>SUM(G199:G200)</f>
        <v>248.86353199999999</v>
      </c>
      <c r="H198" s="1319">
        <f t="shared" si="107"/>
        <v>3.5438743899999565</v>
      </c>
      <c r="I198" s="1319">
        <f t="shared" si="108"/>
        <v>45.226827600000036</v>
      </c>
      <c r="J198" s="1320">
        <f t="shared" si="109"/>
        <v>2.412272100000024</v>
      </c>
      <c r="K198" s="1321">
        <f>SUM(K199:K200)</f>
        <v>407.27340879999991</v>
      </c>
      <c r="L198" s="1319">
        <f t="shared" ref="L198:Q198" si="114">SUM(L199:L200)</f>
        <v>492.90251979999994</v>
      </c>
      <c r="M198" s="1319">
        <v>490.63931522000007</v>
      </c>
      <c r="N198" s="1319">
        <f t="shared" si="114"/>
        <v>497.72706399999998</v>
      </c>
      <c r="O198" s="1319">
        <f t="shared" si="114"/>
        <v>7.0877487799999237</v>
      </c>
      <c r="P198" s="1319">
        <f t="shared" si="114"/>
        <v>90.453655200000057</v>
      </c>
      <c r="Q198" s="1319">
        <f t="shared" si="114"/>
        <v>4.824544200000048</v>
      </c>
      <c r="R198" s="1084"/>
      <c r="S198" s="1184"/>
      <c r="T198" s="1185"/>
      <c r="U198" s="1186"/>
      <c r="V198" s="1185"/>
    </row>
    <row r="199" spans="2:22" ht="24.6" customHeight="1">
      <c r="B199" s="1179"/>
      <c r="C199" s="1180" t="s">
        <v>92</v>
      </c>
      <c r="D199" s="1323">
        <f>V13</f>
        <v>189.04805799999997</v>
      </c>
      <c r="E199" s="1323">
        <f>W13</f>
        <v>238.39925849999997</v>
      </c>
      <c r="F199" s="1323">
        <v>237.08697161000003</v>
      </c>
      <c r="G199" s="1323">
        <f>X13</f>
        <v>240.7224028</v>
      </c>
      <c r="H199" s="1323">
        <f t="shared" si="107"/>
        <v>3.635431189999963</v>
      </c>
      <c r="I199" s="1323">
        <f>G199-D199</f>
        <v>51.674344800000028</v>
      </c>
      <c r="J199" s="1326">
        <f>G199-E199</f>
        <v>2.323144300000024</v>
      </c>
      <c r="K199" s="1324">
        <f>F13+V13</f>
        <v>378.09611599999994</v>
      </c>
      <c r="L199" s="1323">
        <f>G13+W13</f>
        <v>476.79851699999995</v>
      </c>
      <c r="M199" s="1323">
        <v>474.17394322000007</v>
      </c>
      <c r="N199" s="1323">
        <f>H13+X13</f>
        <v>481.4448056</v>
      </c>
      <c r="O199" s="1323">
        <f>N199-M199</f>
        <v>7.2708623799999259</v>
      </c>
      <c r="P199" s="1319">
        <f>N199-K199</f>
        <v>103.34868960000006</v>
      </c>
      <c r="Q199" s="1323">
        <f>N199-L199</f>
        <v>4.6462886000000481</v>
      </c>
      <c r="R199" s="1084"/>
      <c r="S199" s="1186"/>
      <c r="T199" s="1084"/>
      <c r="U199" s="1186"/>
      <c r="V199" s="1084"/>
    </row>
    <row r="200" spans="2:22" ht="24.6" customHeight="1">
      <c r="B200" s="1179"/>
      <c r="C200" s="1180" t="s">
        <v>91</v>
      </c>
      <c r="D200" s="1323">
        <f>V14</f>
        <v>14.588646399999998</v>
      </c>
      <c r="E200" s="1323">
        <f>W14</f>
        <v>8.0520014</v>
      </c>
      <c r="F200" s="1323">
        <v>8.2326860000000011</v>
      </c>
      <c r="G200" s="1323">
        <f>X14</f>
        <v>8.1411292</v>
      </c>
      <c r="H200" s="1323">
        <f t="shared" si="107"/>
        <v>-9.1556800000001104E-2</v>
      </c>
      <c r="I200" s="1323">
        <f t="shared" si="108"/>
        <v>-6.4475171999999983</v>
      </c>
      <c r="J200" s="1326">
        <f t="shared" si="109"/>
        <v>8.9127799999999979E-2</v>
      </c>
      <c r="K200" s="1324">
        <f>F14+V14</f>
        <v>29.177292799999996</v>
      </c>
      <c r="L200" s="1323">
        <f>G14+W14</f>
        <v>16.1040028</v>
      </c>
      <c r="M200" s="1323">
        <v>16.465372000000002</v>
      </c>
      <c r="N200" s="1323">
        <f>H14+X14</f>
        <v>16.2822584</v>
      </c>
      <c r="O200" s="1323">
        <f t="shared" si="111"/>
        <v>-0.18311360000000221</v>
      </c>
      <c r="P200" s="1319">
        <f t="shared" si="112"/>
        <v>-12.895034399999997</v>
      </c>
      <c r="Q200" s="1323">
        <f t="shared" si="113"/>
        <v>0.17825559999999996</v>
      </c>
      <c r="R200" s="1084"/>
      <c r="S200" s="1186"/>
      <c r="T200" s="1084"/>
      <c r="U200" s="1186"/>
      <c r="V200" s="1084"/>
    </row>
    <row r="201" spans="2:22" ht="24.6" customHeight="1">
      <c r="B201" s="1361" t="s">
        <v>93</v>
      </c>
      <c r="C201" s="1361"/>
      <c r="D201" s="1319">
        <f>SUM(D202:D205)</f>
        <v>53.882818460000003</v>
      </c>
      <c r="E201" s="1319">
        <f>SUM(E202:E205)</f>
        <v>41.802</v>
      </c>
      <c r="F201" s="1319">
        <v>42.899018480000002</v>
      </c>
      <c r="G201" s="1319">
        <f>SUM(G202:G205)</f>
        <v>39.539018480000003</v>
      </c>
      <c r="H201" s="1319">
        <f t="shared" si="107"/>
        <v>-3.3599999999999994</v>
      </c>
      <c r="I201" s="1319">
        <f t="shared" si="108"/>
        <v>-14.34379998</v>
      </c>
      <c r="J201" s="1320">
        <f t="shared" si="109"/>
        <v>-2.2629815199999967</v>
      </c>
      <c r="K201" s="1321">
        <f t="shared" ref="K201:Q201" si="115">SUM(K202:K205)</f>
        <v>107.76563692000001</v>
      </c>
      <c r="L201" s="1319">
        <f t="shared" si="115"/>
        <v>83.603999999999999</v>
      </c>
      <c r="M201" s="1319">
        <v>85.798036960000005</v>
      </c>
      <c r="N201" s="1319">
        <f t="shared" si="115"/>
        <v>79.078036960000006</v>
      </c>
      <c r="O201" s="1319">
        <f t="shared" si="115"/>
        <v>-6.7199999999999989</v>
      </c>
      <c r="P201" s="1319">
        <f t="shared" si="115"/>
        <v>-28.687599959999996</v>
      </c>
      <c r="Q201" s="1319">
        <f t="shared" si="115"/>
        <v>-4.5259630399999953</v>
      </c>
      <c r="R201" s="1084"/>
      <c r="S201" s="1184"/>
      <c r="T201" s="1185"/>
      <c r="U201" s="1186"/>
      <c r="V201" s="1185"/>
    </row>
    <row r="202" spans="2:22" ht="24.6" customHeight="1">
      <c r="B202" s="1179"/>
      <c r="C202" s="1180" t="s">
        <v>96</v>
      </c>
      <c r="D202" s="1323">
        <f t="shared" ref="D202:E204" si="116">V16</f>
        <v>42.274860109999999</v>
      </c>
      <c r="E202" s="1323">
        <f t="shared" si="116"/>
        <v>35.326999999999998</v>
      </c>
      <c r="F202" s="1323">
        <v>35.68865804</v>
      </c>
      <c r="G202" s="1323">
        <f>X16</f>
        <v>32.328658040000001</v>
      </c>
      <c r="H202" s="1323">
        <f t="shared" si="107"/>
        <v>-3.3599999999999994</v>
      </c>
      <c r="I202" s="1323">
        <f>G202-D202</f>
        <v>-9.9462020699999982</v>
      </c>
      <c r="J202" s="1326">
        <f>G202-E202</f>
        <v>-2.9983419599999976</v>
      </c>
      <c r="K202" s="1324">
        <f t="shared" ref="K202:L204" si="117">F16+V16</f>
        <v>84.549720219999998</v>
      </c>
      <c r="L202" s="1323">
        <f t="shared" si="117"/>
        <v>70.653999999999996</v>
      </c>
      <c r="M202" s="1323">
        <v>71.37731608</v>
      </c>
      <c r="N202" s="1323">
        <f>H16+X16</f>
        <v>64.657316080000001</v>
      </c>
      <c r="O202" s="1323">
        <f>N202-M202</f>
        <v>-6.7199999999999989</v>
      </c>
      <c r="P202" s="1319">
        <f>N202-K202</f>
        <v>-19.892404139999996</v>
      </c>
      <c r="Q202" s="1323">
        <f>N202-L202</f>
        <v>-5.9966839199999953</v>
      </c>
      <c r="R202" s="1084"/>
      <c r="S202" s="1186"/>
      <c r="T202" s="1084"/>
      <c r="U202" s="1186"/>
      <c r="V202" s="1084"/>
    </row>
    <row r="203" spans="2:22" ht="24.6" customHeight="1">
      <c r="B203" s="1179"/>
      <c r="C203" s="1180" t="s">
        <v>95</v>
      </c>
      <c r="D203" s="1323">
        <f t="shared" si="116"/>
        <v>3.66</v>
      </c>
      <c r="E203" s="1323">
        <f t="shared" si="116"/>
        <v>1.7875000000000001</v>
      </c>
      <c r="F203" s="1323">
        <v>1.7875000000000001</v>
      </c>
      <c r="G203" s="1323">
        <f>X17</f>
        <v>1.7875000000000001</v>
      </c>
      <c r="H203" s="1323">
        <f t="shared" si="107"/>
        <v>0</v>
      </c>
      <c r="I203" s="1323">
        <f t="shared" si="108"/>
        <v>-1.8725000000000001</v>
      </c>
      <c r="J203" s="1326">
        <f t="shared" si="109"/>
        <v>0</v>
      </c>
      <c r="K203" s="1324">
        <f t="shared" si="117"/>
        <v>7.32</v>
      </c>
      <c r="L203" s="1323">
        <f t="shared" si="117"/>
        <v>3.5750000000000002</v>
      </c>
      <c r="M203" s="1323">
        <v>3.5750000000000002</v>
      </c>
      <c r="N203" s="1323">
        <f>H17+X17</f>
        <v>3.5750000000000002</v>
      </c>
      <c r="O203" s="1323">
        <f t="shared" si="111"/>
        <v>0</v>
      </c>
      <c r="P203" s="1319">
        <f t="shared" si="112"/>
        <v>-3.7450000000000001</v>
      </c>
      <c r="Q203" s="1323">
        <f t="shared" si="113"/>
        <v>0</v>
      </c>
      <c r="R203" s="1084"/>
      <c r="S203" s="1186"/>
      <c r="T203" s="1084"/>
      <c r="U203" s="1186"/>
      <c r="V203" s="1084"/>
    </row>
    <row r="204" spans="2:22" ht="24.6" customHeight="1">
      <c r="B204" s="1179"/>
      <c r="C204" s="1180" t="s">
        <v>97</v>
      </c>
      <c r="D204" s="1323">
        <f t="shared" si="116"/>
        <v>5.2999166799999999</v>
      </c>
      <c r="E204" s="1323">
        <f t="shared" si="116"/>
        <v>4.6875</v>
      </c>
      <c r="F204" s="1323">
        <v>5.0495833399999999</v>
      </c>
      <c r="G204" s="1323">
        <f>X18</f>
        <v>5.0495833399999999</v>
      </c>
      <c r="H204" s="1323">
        <f t="shared" si="107"/>
        <v>0</v>
      </c>
      <c r="I204" s="1323">
        <f t="shared" si="108"/>
        <v>-0.25033334000000007</v>
      </c>
      <c r="J204" s="1326">
        <f t="shared" si="109"/>
        <v>0.36208333999999986</v>
      </c>
      <c r="K204" s="1324">
        <f t="shared" si="117"/>
        <v>10.59983336</v>
      </c>
      <c r="L204" s="1323">
        <f t="shared" si="117"/>
        <v>9.375</v>
      </c>
      <c r="M204" s="1323">
        <v>10.09916668</v>
      </c>
      <c r="N204" s="1323">
        <f>H18+X18</f>
        <v>10.09916668</v>
      </c>
      <c r="O204" s="1323">
        <f t="shared" si="111"/>
        <v>0</v>
      </c>
      <c r="P204" s="1319">
        <f t="shared" si="112"/>
        <v>-0.50066668000000014</v>
      </c>
      <c r="Q204" s="1323">
        <f t="shared" si="113"/>
        <v>0.72416667999999973</v>
      </c>
      <c r="R204" s="1084"/>
      <c r="S204" s="1186"/>
      <c r="T204" s="1084"/>
      <c r="U204" s="1186"/>
      <c r="V204" s="1084"/>
    </row>
    <row r="205" spans="2:22" ht="24.6" customHeight="1">
      <c r="B205" s="1179"/>
      <c r="C205" s="1180" t="s">
        <v>32</v>
      </c>
      <c r="D205" s="1323">
        <f t="shared" ref="D205:E205" si="118">V19</f>
        <v>2.64804167</v>
      </c>
      <c r="E205" s="1323">
        <f t="shared" si="118"/>
        <v>0</v>
      </c>
      <c r="F205" s="1323">
        <v>0.37327709999999997</v>
      </c>
      <c r="G205" s="1323">
        <f>X19</f>
        <v>0.37327709999999997</v>
      </c>
      <c r="H205" s="1323">
        <f t="shared" si="107"/>
        <v>0</v>
      </c>
      <c r="I205" s="1323">
        <f t="shared" si="108"/>
        <v>-2.2747645699999999</v>
      </c>
      <c r="J205" s="1326">
        <f t="shared" si="109"/>
        <v>0.37327709999999997</v>
      </c>
      <c r="K205" s="1324">
        <f t="shared" ref="K205:L205" si="119">F19+V19</f>
        <v>5.29608334</v>
      </c>
      <c r="L205" s="1323">
        <f t="shared" si="119"/>
        <v>0</v>
      </c>
      <c r="M205" s="1323">
        <v>0.74655419999999995</v>
      </c>
      <c r="N205" s="1323">
        <f t="shared" ref="N205" si="120">H19+X19</f>
        <v>0.74655419999999995</v>
      </c>
      <c r="O205" s="1323">
        <f t="shared" si="111"/>
        <v>0</v>
      </c>
      <c r="P205" s="1319">
        <f t="shared" si="112"/>
        <v>-4.5495291399999997</v>
      </c>
      <c r="Q205" s="1323">
        <f t="shared" si="113"/>
        <v>0.74655419999999995</v>
      </c>
      <c r="R205" s="1084"/>
      <c r="S205" s="1186"/>
      <c r="T205" s="1084"/>
      <c r="U205" s="1186"/>
      <c r="V205" s="1084"/>
    </row>
    <row r="206" spans="2:22" ht="24.6" customHeight="1">
      <c r="D206" s="1163"/>
      <c r="E206" s="1163"/>
      <c r="F206" s="1163"/>
      <c r="G206" s="1163"/>
      <c r="H206" s="1163"/>
      <c r="I206" s="1163"/>
      <c r="J206" s="1163"/>
      <c r="K206" s="1084"/>
      <c r="L206" s="1084"/>
      <c r="M206" s="1084"/>
      <c r="N206" s="1084"/>
      <c r="O206" s="1084"/>
      <c r="Q206" s="1084"/>
      <c r="R206" s="1084"/>
    </row>
  </sheetData>
  <mergeCells count="329">
    <mergeCell ref="G30:H30"/>
    <mergeCell ref="C33:D33"/>
    <mergeCell ref="C34:D34"/>
    <mergeCell ref="E34:F34"/>
    <mergeCell ref="E45:F45"/>
    <mergeCell ref="C48:D48"/>
    <mergeCell ref="B42:D42"/>
    <mergeCell ref="G40:H40"/>
    <mergeCell ref="G47:H47"/>
    <mergeCell ref="C36:D36"/>
    <mergeCell ref="E36:F36"/>
    <mergeCell ref="E32:F32"/>
    <mergeCell ref="E33:F33"/>
    <mergeCell ref="G34:H34"/>
    <mergeCell ref="B40:D40"/>
    <mergeCell ref="E40:F40"/>
    <mergeCell ref="B37:D37"/>
    <mergeCell ref="E37:F37"/>
    <mergeCell ref="G37:H37"/>
    <mergeCell ref="C35:D35"/>
    <mergeCell ref="C47:D47"/>
    <mergeCell ref="E47:F47"/>
    <mergeCell ref="G32:H32"/>
    <mergeCell ref="G33:H33"/>
    <mergeCell ref="C61:D61"/>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K30:L30"/>
    <mergeCell ref="I32:J32"/>
    <mergeCell ref="M42:W42"/>
    <mergeCell ref="I44:J44"/>
    <mergeCell ref="K32:L32"/>
    <mergeCell ref="K35:L35"/>
    <mergeCell ref="K36:L36"/>
    <mergeCell ref="I36:J36"/>
    <mergeCell ref="I30:J30"/>
    <mergeCell ref="M43:W43"/>
    <mergeCell ref="M36:Y36"/>
    <mergeCell ref="M37:Y37"/>
    <mergeCell ref="M32:Y32"/>
    <mergeCell ref="M30:Y30"/>
    <mergeCell ref="M31:Y31"/>
    <mergeCell ref="M33:Y33"/>
    <mergeCell ref="M34:Y34"/>
    <mergeCell ref="M35:Y35"/>
    <mergeCell ref="I43:J43"/>
    <mergeCell ref="I41:J41"/>
    <mergeCell ref="I42:J42"/>
    <mergeCell ref="K42:L42"/>
    <mergeCell ref="K43:L43"/>
    <mergeCell ref="K44:L44"/>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4:W55"/>
    <mergeCell ref="E48:F48"/>
    <mergeCell ref="G48:H48"/>
    <mergeCell ref="M45:W45"/>
    <mergeCell ref="M46:W46"/>
    <mergeCell ref="K45:L45"/>
    <mergeCell ref="K47:L47"/>
    <mergeCell ref="E49:F49"/>
    <mergeCell ref="G45:H45"/>
    <mergeCell ref="I48:J48"/>
    <mergeCell ref="I46:J46"/>
    <mergeCell ref="I47:J47"/>
    <mergeCell ref="E46:F46"/>
    <mergeCell ref="I33:J33"/>
    <mergeCell ref="K33:L33"/>
    <mergeCell ref="G36:H36"/>
    <mergeCell ref="K37:L37"/>
    <mergeCell ref="G35:H35"/>
    <mergeCell ref="G44:H44"/>
    <mergeCell ref="I35:J35"/>
    <mergeCell ref="I40:J40"/>
    <mergeCell ref="I37:J37"/>
    <mergeCell ref="G41:H41"/>
    <mergeCell ref="G42:H42"/>
    <mergeCell ref="G43:H43"/>
    <mergeCell ref="B56:D56"/>
    <mergeCell ref="B51:D51"/>
    <mergeCell ref="E51:F51"/>
    <mergeCell ref="E35:F35"/>
    <mergeCell ref="B41:D41"/>
    <mergeCell ref="E41:F41"/>
    <mergeCell ref="E43:F43"/>
    <mergeCell ref="E42:F42"/>
    <mergeCell ref="B28:D28"/>
    <mergeCell ref="C44:D44"/>
    <mergeCell ref="E44:F44"/>
    <mergeCell ref="C43:D43"/>
    <mergeCell ref="B45:D45"/>
    <mergeCell ref="C46:D46"/>
    <mergeCell ref="C30:D30"/>
    <mergeCell ref="E30:F30"/>
    <mergeCell ref="N6:Q6"/>
    <mergeCell ref="I27:J27"/>
    <mergeCell ref="B20:C20"/>
    <mergeCell ref="B21:B23"/>
    <mergeCell ref="I29:J29"/>
    <mergeCell ref="B15:C15"/>
    <mergeCell ref="K27:L27"/>
    <mergeCell ref="B27:D27"/>
    <mergeCell ref="E27:F27"/>
    <mergeCell ref="G27:H27"/>
    <mergeCell ref="G28:H28"/>
    <mergeCell ref="I28:J28"/>
    <mergeCell ref="K28:L28"/>
    <mergeCell ref="B12:C12"/>
    <mergeCell ref="E28:F28"/>
    <mergeCell ref="F5:I6"/>
    <mergeCell ref="K29:L29"/>
    <mergeCell ref="M27:Y27"/>
    <mergeCell ref="M28:Y28"/>
    <mergeCell ref="M29:Y29"/>
    <mergeCell ref="R6:U6"/>
    <mergeCell ref="V5:Y6"/>
    <mergeCell ref="J5:U5"/>
    <mergeCell ref="E29:F29"/>
    <mergeCell ref="G29:H29"/>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K31:L31"/>
    <mergeCell ref="I34:J34"/>
    <mergeCell ref="K34:L34"/>
    <mergeCell ref="B32:D32"/>
    <mergeCell ref="K50:L50"/>
    <mergeCell ref="D83:E83"/>
    <mergeCell ref="H83:I83"/>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s>
  <phoneticPr fontId="2" type="noConversion"/>
  <pageMargins left="0.25" right="0.25" top="0.75" bottom="0.75" header="0.3" footer="0.3"/>
  <pageSetup paperSize="8" scale="66"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20"/>
  <sheetViews>
    <sheetView showGridLines="0" zoomScale="85" zoomScaleNormal="85" zoomScaleSheetLayoutView="115" workbookViewId="0">
      <pane xSplit="4" ySplit="6" topLeftCell="E297" activePane="bottomRight" state="frozen"/>
      <selection pane="topRight" activeCell="C1" sqref="C1"/>
      <selection pane="bottomLeft" activeCell="A7" sqref="A7"/>
      <selection pane="bottomRight" activeCell="N306" sqref="N306"/>
    </sheetView>
  </sheetViews>
  <sheetFormatPr defaultColWidth="8.59765625" defaultRowHeight="13.8" outlineLevelRow="1"/>
  <cols>
    <col min="1" max="2" width="3" style="985" customWidth="1"/>
    <col min="3" max="3" width="10.59765625" style="985" customWidth="1"/>
    <col min="4" max="4" width="8.59765625" style="1140" customWidth="1"/>
    <col min="5" max="5" width="8.59765625" style="985"/>
    <col min="6" max="6" width="12.09765625" style="985" bestFit="1" customWidth="1"/>
    <col min="7" max="7" width="11.09765625" style="985" customWidth="1"/>
    <col min="8" max="8" width="15.59765625" style="985" bestFit="1" customWidth="1"/>
    <col min="9" max="9" width="18.59765625" style="985" bestFit="1" customWidth="1"/>
    <col min="10" max="10" width="19.09765625" style="1011" bestFit="1" customWidth="1"/>
    <col min="11" max="11" width="19.09765625" style="985" bestFit="1" customWidth="1"/>
    <col min="12" max="12" width="9.59765625" style="985" customWidth="1"/>
    <col min="13" max="13" width="18.59765625" style="985" customWidth="1"/>
    <col min="14" max="14" width="17.5" style="985" customWidth="1"/>
    <col min="15" max="15" width="16.59765625" style="985" customWidth="1"/>
    <col min="16" max="16" width="17.796875" style="985" bestFit="1" customWidth="1"/>
    <col min="17" max="17" width="18.09765625" style="985" customWidth="1"/>
    <col min="18" max="18" width="19" style="985" bestFit="1" customWidth="1"/>
    <col min="19" max="20" width="16.09765625" style="985" customWidth="1"/>
    <col min="21" max="21" width="8.59765625" style="985"/>
    <col min="22" max="22" width="19.09765625" style="985" customWidth="1"/>
    <col min="23" max="16384" width="8.59765625" style="985"/>
  </cols>
  <sheetData>
    <row r="1" spans="1:21" ht="25.2">
      <c r="D1" s="1187" t="s">
        <v>112</v>
      </c>
      <c r="K1" s="1011"/>
      <c r="O1" s="1011"/>
    </row>
    <row r="2" spans="1:21" ht="15.6" hidden="1">
      <c r="D2" s="1188" t="s">
        <v>113</v>
      </c>
      <c r="F2" s="985" t="s">
        <v>114</v>
      </c>
      <c r="G2" s="985" t="s">
        <v>115</v>
      </c>
    </row>
    <row r="3" spans="1:21" ht="15.6" hidden="1">
      <c r="D3" s="1188"/>
      <c r="F3" s="985" t="s">
        <v>116</v>
      </c>
      <c r="G3" s="985" t="s">
        <v>117</v>
      </c>
    </row>
    <row r="4" spans="1:21" ht="15.6" hidden="1">
      <c r="D4" s="1188"/>
      <c r="F4" s="985" t="s">
        <v>118</v>
      </c>
      <c r="G4" s="985" t="s">
        <v>117</v>
      </c>
    </row>
    <row r="5" spans="1:21" ht="14.4" thickBot="1">
      <c r="N5" s="1189" t="s">
        <v>119</v>
      </c>
    </row>
    <row r="6" spans="1:21" ht="14.4" thickBot="1">
      <c r="A6" s="985" t="s">
        <v>120</v>
      </c>
      <c r="B6" s="985" t="s">
        <v>121</v>
      </c>
      <c r="D6" s="1190" t="s">
        <v>122</v>
      </c>
      <c r="E6" s="1191" t="s">
        <v>123</v>
      </c>
      <c r="F6" s="1191" t="s">
        <v>124</v>
      </c>
      <c r="G6" s="1191" t="s">
        <v>125</v>
      </c>
      <c r="H6" s="1191" t="s">
        <v>126</v>
      </c>
      <c r="I6" s="1191" t="s">
        <v>127</v>
      </c>
      <c r="J6" s="1192" t="s">
        <v>128</v>
      </c>
      <c r="K6" s="1191" t="s">
        <v>129</v>
      </c>
      <c r="L6" s="1193" t="s">
        <v>130</v>
      </c>
      <c r="M6" s="1194" t="s">
        <v>131</v>
      </c>
      <c r="N6" s="1193" t="s">
        <v>60</v>
      </c>
    </row>
    <row r="7" spans="1:21" hidden="1" outlineLevel="1">
      <c r="A7" s="985" t="s">
        <v>19</v>
      </c>
      <c r="B7" s="985" t="s">
        <v>2</v>
      </c>
      <c r="C7" s="985" t="s">
        <v>132</v>
      </c>
      <c r="D7" s="1195" t="s">
        <v>3</v>
      </c>
      <c r="E7" s="1196" t="s">
        <v>133</v>
      </c>
      <c r="F7" s="1197" t="s">
        <v>134</v>
      </c>
      <c r="G7" s="1197" t="s">
        <v>135</v>
      </c>
      <c r="H7" s="1197" t="s">
        <v>136</v>
      </c>
      <c r="I7" s="1198">
        <v>302597280</v>
      </c>
      <c r="J7" s="1198">
        <f>'2024년 계획_변경적용'!F45</f>
        <v>736312500</v>
      </c>
      <c r="K7" s="1198">
        <v>302597280</v>
      </c>
      <c r="L7" s="1199">
        <f>+K7/J7</f>
        <v>0.41096311688311687</v>
      </c>
      <c r="M7" s="1198">
        <v>302597280</v>
      </c>
      <c r="N7" s="1200">
        <f>K7-M7</f>
        <v>0</v>
      </c>
      <c r="P7" s="985">
        <v>302597280</v>
      </c>
      <c r="Q7" s="1144">
        <f>P7-I7</f>
        <v>0</v>
      </c>
    </row>
    <row r="8" spans="1:21" hidden="1" outlineLevel="1">
      <c r="A8" s="985" t="s">
        <v>19</v>
      </c>
      <c r="B8" s="985" t="s">
        <v>2</v>
      </c>
      <c r="C8" s="985" t="s">
        <v>52</v>
      </c>
      <c r="D8" s="1201" t="str">
        <f t="shared" ref="D8:D16" si="0">D7</f>
        <v>1월</v>
      </c>
      <c r="E8" s="1202" t="s">
        <v>133</v>
      </c>
      <c r="F8" s="1203" t="s">
        <v>134</v>
      </c>
      <c r="G8" s="1203" t="s">
        <v>135</v>
      </c>
      <c r="H8" s="1203" t="s">
        <v>137</v>
      </c>
      <c r="I8" s="1204">
        <v>0</v>
      </c>
      <c r="J8" s="1204">
        <f>'2024년 계획_변경적용'!F44</f>
        <v>0</v>
      </c>
      <c r="K8" s="1204">
        <v>0</v>
      </c>
      <c r="L8" s="1205"/>
      <c r="M8" s="1204">
        <v>0</v>
      </c>
      <c r="N8" s="1206">
        <f t="shared" ref="N8:N16" si="1">K8-M8</f>
        <v>0</v>
      </c>
      <c r="P8" s="985">
        <v>0</v>
      </c>
      <c r="Q8" s="1144">
        <f t="shared" ref="Q8:Q71" si="2">P8-I8</f>
        <v>0</v>
      </c>
    </row>
    <row r="9" spans="1:21" hidden="1" outlineLevel="1">
      <c r="A9" s="985" t="s">
        <v>19</v>
      </c>
      <c r="B9" s="985" t="s">
        <v>2</v>
      </c>
      <c r="C9" s="985" t="s">
        <v>22</v>
      </c>
      <c r="D9" s="1201" t="str">
        <f t="shared" si="0"/>
        <v>1월</v>
      </c>
      <c r="E9" s="1202" t="s">
        <v>133</v>
      </c>
      <c r="F9" s="1203" t="s">
        <v>134</v>
      </c>
      <c r="G9" s="1203" t="s">
        <v>135</v>
      </c>
      <c r="H9" s="1203" t="s">
        <v>138</v>
      </c>
      <c r="I9" s="1204">
        <v>0</v>
      </c>
      <c r="J9" s="1204">
        <f>'2024년 계획_변경적용'!F48</f>
        <v>0</v>
      </c>
      <c r="K9" s="1204">
        <v>0</v>
      </c>
      <c r="L9" s="1205"/>
      <c r="M9" s="1204">
        <v>0</v>
      </c>
      <c r="N9" s="1206">
        <f t="shared" si="1"/>
        <v>0</v>
      </c>
      <c r="P9" s="985">
        <v>0</v>
      </c>
      <c r="Q9" s="1144">
        <f t="shared" si="2"/>
        <v>0</v>
      </c>
    </row>
    <row r="10" spans="1:21" hidden="1" outlineLevel="1">
      <c r="A10" s="985" t="s">
        <v>19</v>
      </c>
      <c r="B10" s="985" t="s">
        <v>2</v>
      </c>
      <c r="C10" s="985" t="s">
        <v>27</v>
      </c>
      <c r="D10" s="1201" t="str">
        <f t="shared" si="0"/>
        <v>1월</v>
      </c>
      <c r="E10" s="1202" t="s">
        <v>133</v>
      </c>
      <c r="F10" s="1203" t="s">
        <v>134</v>
      </c>
      <c r="G10" s="1203" t="s">
        <v>135</v>
      </c>
      <c r="H10" s="1203" t="s">
        <v>139</v>
      </c>
      <c r="I10" s="1204">
        <v>1013747020</v>
      </c>
      <c r="J10" s="1204">
        <f>'2024년 계획_변경적용'!F46</f>
        <v>959310827.99423397</v>
      </c>
      <c r="K10" s="1204">
        <v>1013747020</v>
      </c>
      <c r="L10" s="1205">
        <f t="shared" ref="L10:L13" si="3">+K10/J10</f>
        <v>1.0567451032733399</v>
      </c>
      <c r="M10" s="1204">
        <v>1013747020</v>
      </c>
      <c r="N10" s="1207">
        <f t="shared" si="1"/>
        <v>0</v>
      </c>
      <c r="P10" s="985">
        <v>1013747020</v>
      </c>
      <c r="Q10" s="1144">
        <f t="shared" si="2"/>
        <v>0</v>
      </c>
    </row>
    <row r="11" spans="1:21" hidden="1" outlineLevel="1">
      <c r="A11" s="985" t="s">
        <v>19</v>
      </c>
      <c r="B11" s="985" t="s">
        <v>2</v>
      </c>
      <c r="C11" s="985" t="s">
        <v>26</v>
      </c>
      <c r="D11" s="1201" t="str">
        <f t="shared" si="0"/>
        <v>1월</v>
      </c>
      <c r="E11" s="1202" t="s">
        <v>133</v>
      </c>
      <c r="F11" s="1203" t="s">
        <v>134</v>
      </c>
      <c r="G11" s="1203" t="s">
        <v>135</v>
      </c>
      <c r="H11" s="1203" t="s">
        <v>140</v>
      </c>
      <c r="I11" s="1204">
        <v>4869898150</v>
      </c>
      <c r="J11" s="1204">
        <f>'2024년 계획_변경적용'!F47</f>
        <v>4405740000</v>
      </c>
      <c r="K11" s="1204">
        <v>4869898150</v>
      </c>
      <c r="L11" s="1205">
        <f t="shared" si="3"/>
        <v>1.1053530507928293</v>
      </c>
      <c r="M11" s="1204">
        <f>5437734400-580000000</f>
        <v>4857734400</v>
      </c>
      <c r="N11" s="1207">
        <f t="shared" si="1"/>
        <v>12163750</v>
      </c>
      <c r="P11" s="985">
        <v>4869898150</v>
      </c>
      <c r="Q11" s="1144">
        <f t="shared" si="2"/>
        <v>0</v>
      </c>
      <c r="R11" s="1144">
        <f>R12-K133</f>
        <v>0</v>
      </c>
      <c r="S11" s="1144">
        <f>S12-K144</f>
        <v>0</v>
      </c>
    </row>
    <row r="12" spans="1:21" hidden="1" outlineLevel="1">
      <c r="A12" s="985" t="s">
        <v>19</v>
      </c>
      <c r="B12" s="985" t="s">
        <v>2</v>
      </c>
      <c r="C12" s="985" t="s">
        <v>51</v>
      </c>
      <c r="D12" s="1201" t="str">
        <f t="shared" si="0"/>
        <v>1월</v>
      </c>
      <c r="E12" s="1202" t="s">
        <v>133</v>
      </c>
      <c r="F12" s="1203" t="s">
        <v>134</v>
      </c>
      <c r="G12" s="1203" t="s">
        <v>135</v>
      </c>
      <c r="H12" s="1203" t="s">
        <v>141</v>
      </c>
      <c r="I12" s="1204">
        <v>0</v>
      </c>
      <c r="J12" s="1204">
        <f>'2024년 계획_변경적용'!F50</f>
        <v>0</v>
      </c>
      <c r="K12" s="1204">
        <v>0</v>
      </c>
      <c r="L12" s="1205"/>
      <c r="M12" s="1204">
        <v>0</v>
      </c>
      <c r="N12" s="1207">
        <f t="shared" si="1"/>
        <v>0</v>
      </c>
      <c r="P12" s="985">
        <v>0</v>
      </c>
      <c r="Q12" s="1144">
        <f t="shared" si="2"/>
        <v>0</v>
      </c>
      <c r="R12" s="1208">
        <f t="shared" ref="R12:T12" si="4">SUM(R14:R25)</f>
        <v>12361988503</v>
      </c>
      <c r="S12" s="1208">
        <f t="shared" si="4"/>
        <v>15101542896</v>
      </c>
      <c r="T12" s="1208">
        <f t="shared" si="4"/>
        <v>27463531399</v>
      </c>
    </row>
    <row r="13" spans="1:21" hidden="1" outlineLevel="1">
      <c r="A13" s="985" t="s">
        <v>19</v>
      </c>
      <c r="B13" s="985" t="s">
        <v>2</v>
      </c>
      <c r="C13" s="985" t="s">
        <v>30</v>
      </c>
      <c r="D13" s="1201" t="str">
        <f t="shared" si="0"/>
        <v>1월</v>
      </c>
      <c r="E13" s="1202" t="s">
        <v>133</v>
      </c>
      <c r="F13" s="1203" t="s">
        <v>134</v>
      </c>
      <c r="G13" s="1203" t="s">
        <v>135</v>
      </c>
      <c r="H13" s="1203" t="s">
        <v>142</v>
      </c>
      <c r="I13" s="1204">
        <v>0</v>
      </c>
      <c r="J13" s="1204">
        <f>'2024년 계획_변경적용'!F53</f>
        <v>490500000</v>
      </c>
      <c r="K13" s="1204">
        <v>0</v>
      </c>
      <c r="L13" s="1205">
        <f t="shared" si="3"/>
        <v>0</v>
      </c>
      <c r="M13" s="1204">
        <v>0</v>
      </c>
      <c r="N13" s="1209">
        <f t="shared" si="1"/>
        <v>0</v>
      </c>
      <c r="P13" s="985">
        <v>0</v>
      </c>
      <c r="Q13" s="1144">
        <f t="shared" si="2"/>
        <v>0</v>
      </c>
      <c r="R13" s="1210" t="s">
        <v>143</v>
      </c>
      <c r="S13" s="1210" t="s">
        <v>144</v>
      </c>
      <c r="T13" s="1210" t="s">
        <v>145</v>
      </c>
      <c r="U13" s="1211"/>
    </row>
    <row r="14" spans="1:21" hidden="1" outlineLevel="1">
      <c r="A14" s="985" t="s">
        <v>19</v>
      </c>
      <c r="B14" s="985" t="s">
        <v>2</v>
      </c>
      <c r="C14" s="985" t="s">
        <v>29</v>
      </c>
      <c r="D14" s="1201" t="str">
        <f t="shared" si="0"/>
        <v>1월</v>
      </c>
      <c r="E14" s="1202" t="s">
        <v>133</v>
      </c>
      <c r="F14" s="1203" t="s">
        <v>134</v>
      </c>
      <c r="G14" s="1203" t="s">
        <v>135</v>
      </c>
      <c r="H14" s="1203" t="s">
        <v>146</v>
      </c>
      <c r="I14" s="1204">
        <v>439139429</v>
      </c>
      <c r="J14" s="1204">
        <f>'2024년 계획_변경적용'!F51</f>
        <v>0</v>
      </c>
      <c r="K14" s="1204">
        <v>439139429</v>
      </c>
      <c r="L14" s="1205"/>
      <c r="M14" s="1204">
        <v>404210000</v>
      </c>
      <c r="N14" s="1206">
        <f t="shared" si="1"/>
        <v>34929429</v>
      </c>
      <c r="P14" s="985">
        <v>439139429</v>
      </c>
      <c r="Q14" s="1144">
        <f t="shared" si="2"/>
        <v>0</v>
      </c>
      <c r="R14" s="1212">
        <f>SUM(K123:K124)</f>
        <v>0</v>
      </c>
      <c r="S14" s="1212">
        <f>SUM(K134:K135)</f>
        <v>0</v>
      </c>
      <c r="T14" s="1212">
        <f t="shared" ref="T14:T23" si="5">SUM(R14:S14)</f>
        <v>0</v>
      </c>
      <c r="U14" s="1211"/>
    </row>
    <row r="15" spans="1:21" hidden="1" outlineLevel="1">
      <c r="A15" s="985" t="s">
        <v>19</v>
      </c>
      <c r="B15" s="985" t="s">
        <v>2</v>
      </c>
      <c r="C15" s="985" t="s">
        <v>31</v>
      </c>
      <c r="D15" s="1201" t="str">
        <f t="shared" si="0"/>
        <v>1월</v>
      </c>
      <c r="E15" s="1213" t="s">
        <v>133</v>
      </c>
      <c r="F15" s="1214" t="s">
        <v>134</v>
      </c>
      <c r="G15" s="1214" t="s">
        <v>135</v>
      </c>
      <c r="H15" s="1214" t="s">
        <v>147</v>
      </c>
      <c r="I15" s="1215">
        <v>67266666</v>
      </c>
      <c r="J15" s="1215">
        <f>'2024년 계획_변경적용'!F52</f>
        <v>0</v>
      </c>
      <c r="K15" s="1215">
        <v>67266666</v>
      </c>
      <c r="L15" s="1216"/>
      <c r="M15" s="1215">
        <v>42700000</v>
      </c>
      <c r="N15" s="1217">
        <f t="shared" si="1"/>
        <v>24566666</v>
      </c>
      <c r="P15" s="985">
        <v>67266666</v>
      </c>
      <c r="Q15" s="1144">
        <f t="shared" si="2"/>
        <v>0</v>
      </c>
      <c r="R15" s="1212">
        <f>K126</f>
        <v>166471840</v>
      </c>
      <c r="S15" s="1212">
        <f>K137</f>
        <v>190623740</v>
      </c>
      <c r="T15" s="1212">
        <f t="shared" si="5"/>
        <v>357095580</v>
      </c>
      <c r="U15" s="1211"/>
    </row>
    <row r="16" spans="1:21" ht="14.4" hidden="1" outlineLevel="1" thickBot="1">
      <c r="A16" s="985" t="s">
        <v>19</v>
      </c>
      <c r="B16" s="985" t="s">
        <v>2</v>
      </c>
      <c r="C16" s="985" t="s">
        <v>32</v>
      </c>
      <c r="D16" s="1201" t="str">
        <f t="shared" si="0"/>
        <v>1월</v>
      </c>
      <c r="E16" s="1218" t="s">
        <v>133</v>
      </c>
      <c r="F16" s="1218" t="s">
        <v>134</v>
      </c>
      <c r="G16" s="1218" t="s">
        <v>135</v>
      </c>
      <c r="H16" s="1218" t="s">
        <v>148</v>
      </c>
      <c r="I16" s="1219">
        <v>39867000</v>
      </c>
      <c r="J16" s="1219">
        <v>0</v>
      </c>
      <c r="K16" s="1219">
        <v>39867000</v>
      </c>
      <c r="L16" s="1220"/>
      <c r="M16" s="1219">
        <v>39867000</v>
      </c>
      <c r="N16" s="1221">
        <f t="shared" si="1"/>
        <v>0</v>
      </c>
      <c r="P16" s="985">
        <v>39867000</v>
      </c>
      <c r="Q16" s="1144">
        <f t="shared" si="2"/>
        <v>0</v>
      </c>
      <c r="R16" s="1212">
        <f>K127</f>
        <v>7377697800</v>
      </c>
      <c r="S16" s="1212">
        <f>K138</f>
        <v>8035017050</v>
      </c>
      <c r="T16" s="1212">
        <f t="shared" si="5"/>
        <v>15412714850</v>
      </c>
      <c r="U16" s="1211"/>
    </row>
    <row r="17" spans="1:21" ht="18.75" hidden="1" customHeight="1" outlineLevel="1" thickBot="1">
      <c r="D17" s="1222"/>
      <c r="E17" s="1527" t="s">
        <v>149</v>
      </c>
      <c r="F17" s="1527"/>
      <c r="G17" s="1527"/>
      <c r="H17" s="1528"/>
      <c r="I17" s="1223">
        <f>SUM(I7:I16)</f>
        <v>6732515545</v>
      </c>
      <c r="J17" s="1223">
        <f>SUM(J7:J16)</f>
        <v>6591863327.9942341</v>
      </c>
      <c r="K17" s="1223">
        <f>SUM(K7:K16)</f>
        <v>6732515545</v>
      </c>
      <c r="L17" s="1224">
        <f>I17/J17</f>
        <v>1.0213372471495952</v>
      </c>
      <c r="M17" s="1225">
        <f>SUM(M7:M16)</f>
        <v>6660855700</v>
      </c>
      <c r="N17" s="1226">
        <f>SUM(N7:N16)</f>
        <v>71659845</v>
      </c>
      <c r="P17" s="985">
        <v>6732515545</v>
      </c>
      <c r="Q17" s="1144">
        <f t="shared" si="2"/>
        <v>0</v>
      </c>
      <c r="R17" s="1212">
        <f>K125</f>
        <v>4528225660</v>
      </c>
      <c r="S17" s="1212">
        <f>K136</f>
        <v>6019051822</v>
      </c>
      <c r="T17" s="1212">
        <f t="shared" si="5"/>
        <v>10547277482</v>
      </c>
      <c r="U17" s="1211"/>
    </row>
    <row r="18" spans="1:21" hidden="1" outlineLevel="1">
      <c r="A18" s="985" t="s">
        <v>19</v>
      </c>
      <c r="B18" s="985" t="s">
        <v>2</v>
      </c>
      <c r="C18" s="985" t="s">
        <v>132</v>
      </c>
      <c r="D18" s="1195" t="s">
        <v>4</v>
      </c>
      <c r="E18" s="1202" t="s">
        <v>133</v>
      </c>
      <c r="F18" s="1203" t="s">
        <v>134</v>
      </c>
      <c r="G18" s="1203" t="s">
        <v>135</v>
      </c>
      <c r="H18" s="1203" t="s">
        <v>136</v>
      </c>
      <c r="I18" s="1204">
        <v>5372064744</v>
      </c>
      <c r="J18" s="1204">
        <f>'2024년 계획_변경적용'!G45</f>
        <v>3253527000</v>
      </c>
      <c r="K18" s="1204">
        <v>5372064744</v>
      </c>
      <c r="L18" s="1205">
        <f t="shared" ref="L18:L26" si="6">+I18/J18</f>
        <v>1.6511511181557736</v>
      </c>
      <c r="M18" s="1204">
        <v>5372064744</v>
      </c>
      <c r="N18" s="1200">
        <f>K18-M18</f>
        <v>0</v>
      </c>
      <c r="P18" s="985">
        <v>5372064744</v>
      </c>
      <c r="Q18" s="1144">
        <f t="shared" si="2"/>
        <v>0</v>
      </c>
      <c r="R18" s="1212">
        <f>K128</f>
        <v>0</v>
      </c>
      <c r="S18" s="1212">
        <f>K139</f>
        <v>134600000</v>
      </c>
      <c r="T18" s="1212">
        <f t="shared" si="5"/>
        <v>134600000</v>
      </c>
      <c r="U18" s="1211"/>
    </row>
    <row r="19" spans="1:21" hidden="1" outlineLevel="1">
      <c r="A19" s="985" t="s">
        <v>19</v>
      </c>
      <c r="B19" s="985" t="s">
        <v>2</v>
      </c>
      <c r="C19" s="985" t="s">
        <v>52</v>
      </c>
      <c r="D19" s="1201" t="str">
        <f t="shared" ref="D19:D27" si="7">D18</f>
        <v>2월</v>
      </c>
      <c r="E19" s="1202" t="s">
        <v>133</v>
      </c>
      <c r="F19" s="1203" t="s">
        <v>134</v>
      </c>
      <c r="G19" s="1203" t="s">
        <v>135</v>
      </c>
      <c r="H19" s="1203" t="s">
        <v>137</v>
      </c>
      <c r="I19" s="1204">
        <v>0</v>
      </c>
      <c r="J19" s="1204">
        <f>'2024년 계획_변경적용'!G44</f>
        <v>0</v>
      </c>
      <c r="K19" s="1204">
        <v>0</v>
      </c>
      <c r="L19" s="1205"/>
      <c r="M19" s="1204">
        <v>0</v>
      </c>
      <c r="N19" s="1207">
        <f t="shared" ref="N19:N27" si="8">K19-M19</f>
        <v>0</v>
      </c>
      <c r="P19" s="985">
        <v>0</v>
      </c>
      <c r="Q19" s="1144">
        <f t="shared" si="2"/>
        <v>0</v>
      </c>
      <c r="R19" s="1212">
        <f>K129</f>
        <v>38500000</v>
      </c>
      <c r="S19" s="1212">
        <f>K140</f>
        <v>46875000</v>
      </c>
      <c r="T19" s="1212">
        <f t="shared" si="5"/>
        <v>85375000</v>
      </c>
      <c r="U19" s="1211"/>
    </row>
    <row r="20" spans="1:21" hidden="1" outlineLevel="1">
      <c r="A20" s="985" t="s">
        <v>19</v>
      </c>
      <c r="B20" s="985" t="s">
        <v>2</v>
      </c>
      <c r="C20" s="985" t="s">
        <v>22</v>
      </c>
      <c r="D20" s="1201" t="str">
        <f t="shared" si="7"/>
        <v>2월</v>
      </c>
      <c r="E20" s="1202" t="s">
        <v>133</v>
      </c>
      <c r="F20" s="1203" t="s">
        <v>134</v>
      </c>
      <c r="G20" s="1203" t="s">
        <v>135</v>
      </c>
      <c r="H20" s="1203" t="s">
        <v>138</v>
      </c>
      <c r="I20" s="1204">
        <v>0</v>
      </c>
      <c r="J20" s="1204">
        <f>'2024년 계획_변경적용'!G48</f>
        <v>0</v>
      </c>
      <c r="K20" s="1204">
        <v>0</v>
      </c>
      <c r="L20" s="1205"/>
      <c r="M20" s="1204">
        <v>0</v>
      </c>
      <c r="N20" s="1207">
        <f t="shared" si="8"/>
        <v>0</v>
      </c>
      <c r="P20" s="985">
        <v>0</v>
      </c>
      <c r="Q20" s="1144">
        <f t="shared" si="2"/>
        <v>0</v>
      </c>
      <c r="R20" s="1212">
        <f>K130</f>
        <v>110001036</v>
      </c>
      <c r="S20" s="1212">
        <f>K141</f>
        <v>476323136</v>
      </c>
      <c r="T20" s="1212">
        <f t="shared" si="5"/>
        <v>586324172</v>
      </c>
      <c r="U20" s="1211"/>
    </row>
    <row r="21" spans="1:21" hidden="1" outlineLevel="1">
      <c r="A21" s="985" t="s">
        <v>19</v>
      </c>
      <c r="B21" s="985" t="s">
        <v>2</v>
      </c>
      <c r="C21" s="985" t="s">
        <v>27</v>
      </c>
      <c r="D21" s="1201" t="str">
        <f t="shared" si="7"/>
        <v>2월</v>
      </c>
      <c r="E21" s="1202" t="s">
        <v>133</v>
      </c>
      <c r="F21" s="1203" t="s">
        <v>134</v>
      </c>
      <c r="G21" s="1203" t="s">
        <v>135</v>
      </c>
      <c r="H21" s="1203" t="s">
        <v>139</v>
      </c>
      <c r="I21" s="1204">
        <v>684982200</v>
      </c>
      <c r="J21" s="1204">
        <f>'2024년 계획_변경적용'!G46</f>
        <v>959310827.9942342</v>
      </c>
      <c r="K21" s="1204">
        <v>684982200</v>
      </c>
      <c r="L21" s="1205">
        <f t="shared" si="6"/>
        <v>0.71403572232389834</v>
      </c>
      <c r="M21" s="1204">
        <v>684982200</v>
      </c>
      <c r="N21" s="1227">
        <f t="shared" si="8"/>
        <v>0</v>
      </c>
      <c r="P21" s="985">
        <v>684982200</v>
      </c>
      <c r="Q21" s="1144">
        <f t="shared" si="2"/>
        <v>0</v>
      </c>
      <c r="R21" s="1212">
        <f>K131</f>
        <v>125354167</v>
      </c>
      <c r="S21" s="1212">
        <f>K142</f>
        <v>31604167</v>
      </c>
      <c r="T21" s="1212">
        <f t="shared" si="5"/>
        <v>156958334</v>
      </c>
      <c r="U21" s="1211"/>
    </row>
    <row r="22" spans="1:21" hidden="1" outlineLevel="1">
      <c r="A22" s="985" t="s">
        <v>19</v>
      </c>
      <c r="B22" s="985" t="s">
        <v>2</v>
      </c>
      <c r="C22" s="985" t="s">
        <v>26</v>
      </c>
      <c r="D22" s="1201" t="str">
        <f t="shared" si="7"/>
        <v>2월</v>
      </c>
      <c r="E22" s="1202" t="s">
        <v>133</v>
      </c>
      <c r="F22" s="1203" t="s">
        <v>134</v>
      </c>
      <c r="G22" s="1203" t="s">
        <v>135</v>
      </c>
      <c r="H22" s="1203" t="s">
        <v>140</v>
      </c>
      <c r="I22" s="1204">
        <v>4437683550</v>
      </c>
      <c r="J22" s="1204">
        <f>'2024년 계획_변경적용'!G47</f>
        <v>478662462.07895321</v>
      </c>
      <c r="K22" s="1204">
        <v>4437683550</v>
      </c>
      <c r="L22" s="1205"/>
      <c r="M22" s="1204">
        <v>4437583550</v>
      </c>
      <c r="N22" s="1207">
        <f t="shared" si="8"/>
        <v>100000</v>
      </c>
      <c r="P22" s="985">
        <v>4437683550</v>
      </c>
      <c r="Q22" s="1144">
        <f t="shared" si="2"/>
        <v>0</v>
      </c>
      <c r="R22" s="1212">
        <f>K132</f>
        <v>15738000</v>
      </c>
      <c r="S22" s="1212">
        <f>K143</f>
        <v>167447981</v>
      </c>
      <c r="T22" s="1212">
        <f t="shared" si="5"/>
        <v>183185981</v>
      </c>
      <c r="U22" s="1211"/>
    </row>
    <row r="23" spans="1:21" hidden="1" outlineLevel="1">
      <c r="A23" s="985" t="s">
        <v>19</v>
      </c>
      <c r="B23" s="985" t="s">
        <v>2</v>
      </c>
      <c r="C23" s="985" t="s">
        <v>51</v>
      </c>
      <c r="D23" s="1201" t="str">
        <f t="shared" si="7"/>
        <v>2월</v>
      </c>
      <c r="E23" s="1202" t="s">
        <v>133</v>
      </c>
      <c r="F23" s="1203" t="s">
        <v>134</v>
      </c>
      <c r="G23" s="1203" t="s">
        <v>135</v>
      </c>
      <c r="H23" s="1203" t="s">
        <v>141</v>
      </c>
      <c r="I23" s="1204">
        <v>40000000</v>
      </c>
      <c r="J23" s="1204">
        <f>'2024년 계획_변경적용'!G50</f>
        <v>40000000</v>
      </c>
      <c r="K23" s="1204">
        <v>40000000</v>
      </c>
      <c r="L23" s="1205">
        <f t="shared" si="6"/>
        <v>1</v>
      </c>
      <c r="M23" s="1204">
        <v>40000000</v>
      </c>
      <c r="N23" s="1207">
        <f t="shared" si="8"/>
        <v>0</v>
      </c>
      <c r="P23" s="985">
        <v>40000000</v>
      </c>
      <c r="Q23" s="1144">
        <f t="shared" si="2"/>
        <v>0</v>
      </c>
      <c r="R23" s="1212"/>
      <c r="S23" s="1212"/>
      <c r="T23" s="1212">
        <f t="shared" si="5"/>
        <v>0</v>
      </c>
      <c r="U23" s="1211"/>
    </row>
    <row r="24" spans="1:21" hidden="1" outlineLevel="1">
      <c r="A24" s="985" t="s">
        <v>19</v>
      </c>
      <c r="B24" s="985" t="s">
        <v>2</v>
      </c>
      <c r="C24" s="985" t="s">
        <v>30</v>
      </c>
      <c r="D24" s="1201" t="str">
        <f t="shared" si="7"/>
        <v>2월</v>
      </c>
      <c r="E24" s="1202" t="s">
        <v>133</v>
      </c>
      <c r="F24" s="1203" t="s">
        <v>134</v>
      </c>
      <c r="G24" s="1203" t="s">
        <v>135</v>
      </c>
      <c r="H24" s="1203" t="s">
        <v>142</v>
      </c>
      <c r="I24" s="1204">
        <v>0</v>
      </c>
      <c r="J24" s="1204">
        <f>'2024년 계획_변경적용'!G53</f>
        <v>766500000</v>
      </c>
      <c r="K24" s="1204">
        <v>0</v>
      </c>
      <c r="L24" s="1205">
        <f t="shared" si="6"/>
        <v>0</v>
      </c>
      <c r="M24" s="1204">
        <v>0</v>
      </c>
      <c r="N24" s="1207">
        <f t="shared" si="8"/>
        <v>0</v>
      </c>
      <c r="P24" s="985">
        <v>0</v>
      </c>
      <c r="Q24" s="1144">
        <f t="shared" si="2"/>
        <v>0</v>
      </c>
      <c r="R24" s="1212"/>
      <c r="S24" s="1212"/>
      <c r="T24" s="1212"/>
      <c r="U24" s="1211"/>
    </row>
    <row r="25" spans="1:21" hidden="1" outlineLevel="1">
      <c r="A25" s="985" t="s">
        <v>19</v>
      </c>
      <c r="B25" s="985" t="s">
        <v>2</v>
      </c>
      <c r="C25" s="985" t="s">
        <v>29</v>
      </c>
      <c r="D25" s="1201" t="str">
        <f t="shared" si="7"/>
        <v>2월</v>
      </c>
      <c r="E25" s="1202" t="s">
        <v>133</v>
      </c>
      <c r="F25" s="1203" t="s">
        <v>134</v>
      </c>
      <c r="G25" s="1203" t="s">
        <v>135</v>
      </c>
      <c r="H25" s="1203" t="s">
        <v>146</v>
      </c>
      <c r="I25" s="1204">
        <v>14069429</v>
      </c>
      <c r="J25" s="1204">
        <f>'2024년 계획_변경적용'!G51</f>
        <v>162000000</v>
      </c>
      <c r="K25" s="1204">
        <v>14069429</v>
      </c>
      <c r="L25" s="1205">
        <f t="shared" si="6"/>
        <v>8.684832716049383E-2</v>
      </c>
      <c r="M25" s="1204">
        <v>0</v>
      </c>
      <c r="N25" s="1227">
        <f t="shared" si="8"/>
        <v>14069429</v>
      </c>
      <c r="P25" s="985">
        <v>14069429</v>
      </c>
      <c r="Q25" s="1144">
        <f t="shared" si="2"/>
        <v>0</v>
      </c>
      <c r="R25" s="1211"/>
      <c r="S25" s="1211"/>
      <c r="T25" s="1211"/>
      <c r="U25" s="1211"/>
    </row>
    <row r="26" spans="1:21" hidden="1" outlineLevel="1">
      <c r="A26" s="985" t="s">
        <v>19</v>
      </c>
      <c r="B26" s="985" t="s">
        <v>2</v>
      </c>
      <c r="C26" s="985" t="s">
        <v>31</v>
      </c>
      <c r="D26" s="1201" t="str">
        <f t="shared" si="7"/>
        <v>2월</v>
      </c>
      <c r="E26" s="1202" t="s">
        <v>133</v>
      </c>
      <c r="F26" s="1203" t="s">
        <v>134</v>
      </c>
      <c r="G26" s="1203" t="s">
        <v>135</v>
      </c>
      <c r="H26" s="1203" t="s">
        <v>147</v>
      </c>
      <c r="I26" s="1204">
        <v>119041667</v>
      </c>
      <c r="J26" s="1215">
        <f>'2024년 계획_변경적용'!G52</f>
        <v>93750000</v>
      </c>
      <c r="K26" s="1204">
        <v>119041667</v>
      </c>
      <c r="L26" s="1216">
        <f t="shared" si="6"/>
        <v>1.2697777813333333</v>
      </c>
      <c r="M26" s="1215">
        <v>93750000</v>
      </c>
      <c r="N26" s="1207">
        <f t="shared" si="8"/>
        <v>25291667</v>
      </c>
      <c r="P26" s="985">
        <v>119041667</v>
      </c>
      <c r="Q26" s="1144">
        <f t="shared" si="2"/>
        <v>0</v>
      </c>
      <c r="U26" s="1211"/>
    </row>
    <row r="27" spans="1:21" ht="14.4" hidden="1" outlineLevel="1" thickBot="1">
      <c r="A27" s="985" t="s">
        <v>19</v>
      </c>
      <c r="B27" s="985" t="s">
        <v>2</v>
      </c>
      <c r="C27" s="985" t="s">
        <v>32</v>
      </c>
      <c r="D27" s="1201" t="str">
        <f t="shared" si="7"/>
        <v>2월</v>
      </c>
      <c r="E27" s="1218" t="s">
        <v>133</v>
      </c>
      <c r="F27" s="1218" t="s">
        <v>134</v>
      </c>
      <c r="G27" s="1218" t="s">
        <v>135</v>
      </c>
      <c r="H27" s="1218" t="s">
        <v>148</v>
      </c>
      <c r="I27" s="1228">
        <v>31089600</v>
      </c>
      <c r="J27" s="1219">
        <v>0</v>
      </c>
      <c r="K27" s="1228">
        <v>31089600</v>
      </c>
      <c r="L27" s="1220"/>
      <c r="M27" s="1219">
        <v>0</v>
      </c>
      <c r="N27" s="1221">
        <f t="shared" si="8"/>
        <v>31089600</v>
      </c>
      <c r="P27" s="985">
        <v>31089600</v>
      </c>
      <c r="Q27" s="1144">
        <f t="shared" si="2"/>
        <v>0</v>
      </c>
    </row>
    <row r="28" spans="1:21" ht="14.4" hidden="1" outlineLevel="1" thickBot="1">
      <c r="D28" s="1222"/>
      <c r="E28" s="1527" t="s">
        <v>150</v>
      </c>
      <c r="F28" s="1527"/>
      <c r="G28" s="1527"/>
      <c r="H28" s="1528"/>
      <c r="I28" s="1223">
        <f>SUM(I18:I27)</f>
        <v>10698931190</v>
      </c>
      <c r="J28" s="1223">
        <f>SUM(J18:J27)</f>
        <v>5753750290.0731869</v>
      </c>
      <c r="K28" s="1223">
        <f>SUM(K18:K27)</f>
        <v>10698931190</v>
      </c>
      <c r="L28" s="1224">
        <f>I28/J28</f>
        <v>1.8594708930032331</v>
      </c>
      <c r="M28" s="1225">
        <f>SUM(M18:M27)</f>
        <v>10628380494</v>
      </c>
      <c r="N28" s="1226">
        <f>SUM(N18:N27)</f>
        <v>70550696</v>
      </c>
      <c r="P28" s="985">
        <v>10698931190</v>
      </c>
      <c r="Q28" s="1144">
        <f t="shared" si="2"/>
        <v>0</v>
      </c>
    </row>
    <row r="29" spans="1:21" hidden="1" outlineLevel="1">
      <c r="A29" s="985" t="s">
        <v>19</v>
      </c>
      <c r="B29" s="985" t="s">
        <v>2</v>
      </c>
      <c r="C29" s="985" t="s">
        <v>132</v>
      </c>
      <c r="D29" s="1201" t="s">
        <v>5</v>
      </c>
      <c r="E29" s="1203" t="s">
        <v>151</v>
      </c>
      <c r="F29" s="1203" t="s">
        <v>134</v>
      </c>
      <c r="G29" s="1203" t="s">
        <v>135</v>
      </c>
      <c r="H29" s="1203" t="s">
        <v>136</v>
      </c>
      <c r="I29" s="1229">
        <v>2967439150</v>
      </c>
      <c r="J29" s="1204">
        <f>'2024년 계획_변경적용'!H45</f>
        <v>2762644500</v>
      </c>
      <c r="K29" s="1204">
        <v>2967439150</v>
      </c>
      <c r="L29" s="1205">
        <f t="shared" ref="L29:L37" si="9">+I29/J29</f>
        <v>1.074129932389057</v>
      </c>
      <c r="M29" s="1230">
        <v>2953104000</v>
      </c>
      <c r="N29" s="1200">
        <f>K29-M29</f>
        <v>14335150</v>
      </c>
      <c r="P29" s="985">
        <v>2967439150</v>
      </c>
      <c r="Q29" s="1144">
        <f t="shared" si="2"/>
        <v>0</v>
      </c>
    </row>
    <row r="30" spans="1:21" hidden="1" outlineLevel="1">
      <c r="A30" s="985" t="s">
        <v>19</v>
      </c>
      <c r="B30" s="985" t="s">
        <v>2</v>
      </c>
      <c r="C30" s="985" t="s">
        <v>52</v>
      </c>
      <c r="D30" s="1201" t="str">
        <f t="shared" ref="D30:D38" si="10">D29</f>
        <v>3월</v>
      </c>
      <c r="E30" s="1203" t="s">
        <v>151</v>
      </c>
      <c r="F30" s="1203" t="s">
        <v>134</v>
      </c>
      <c r="G30" s="1203" t="s">
        <v>135</v>
      </c>
      <c r="H30" s="1203" t="s">
        <v>137</v>
      </c>
      <c r="I30" s="1229">
        <v>0</v>
      </c>
      <c r="J30" s="1204">
        <f>'2024년 계획_변경적용'!H44</f>
        <v>0</v>
      </c>
      <c r="K30" s="1204">
        <v>0</v>
      </c>
      <c r="L30" s="1205" t="e">
        <f t="shared" si="9"/>
        <v>#DIV/0!</v>
      </c>
      <c r="M30" s="1230">
        <v>0</v>
      </c>
      <c r="N30" s="1207">
        <f t="shared" ref="N30:N38" si="11">K30-M30</f>
        <v>0</v>
      </c>
      <c r="P30" s="985">
        <v>0</v>
      </c>
      <c r="Q30" s="1144">
        <f t="shared" si="2"/>
        <v>0</v>
      </c>
    </row>
    <row r="31" spans="1:21" hidden="1" outlineLevel="1">
      <c r="A31" s="985" t="s">
        <v>19</v>
      </c>
      <c r="B31" s="985" t="s">
        <v>2</v>
      </c>
      <c r="C31" s="985" t="s">
        <v>22</v>
      </c>
      <c r="D31" s="1201" t="str">
        <f t="shared" si="10"/>
        <v>3월</v>
      </c>
      <c r="E31" s="1202" t="s">
        <v>133</v>
      </c>
      <c r="F31" s="1203" t="s">
        <v>134</v>
      </c>
      <c r="G31" s="1203" t="s">
        <v>135</v>
      </c>
      <c r="H31" s="1203" t="s">
        <v>138</v>
      </c>
      <c r="I31" s="1229">
        <v>0</v>
      </c>
      <c r="J31" s="1204">
        <f>'2024년 계획_변경적용'!H48</f>
        <v>0</v>
      </c>
      <c r="K31" s="1204">
        <v>0</v>
      </c>
      <c r="L31" s="1205"/>
      <c r="M31" s="1230">
        <v>0</v>
      </c>
      <c r="N31" s="1207">
        <f t="shared" si="11"/>
        <v>0</v>
      </c>
      <c r="P31" s="985">
        <v>0</v>
      </c>
      <c r="Q31" s="1144">
        <f t="shared" si="2"/>
        <v>0</v>
      </c>
    </row>
    <row r="32" spans="1:21" hidden="1" outlineLevel="1">
      <c r="A32" s="985" t="s">
        <v>19</v>
      </c>
      <c r="B32" s="985" t="s">
        <v>2</v>
      </c>
      <c r="C32" s="985" t="s">
        <v>27</v>
      </c>
      <c r="D32" s="1201" t="str">
        <f t="shared" si="10"/>
        <v>3월</v>
      </c>
      <c r="E32" s="1203" t="s">
        <v>152</v>
      </c>
      <c r="F32" s="1203" t="s">
        <v>134</v>
      </c>
      <c r="G32" s="1203" t="s">
        <v>135</v>
      </c>
      <c r="H32" s="1203" t="s">
        <v>139</v>
      </c>
      <c r="I32" s="1204">
        <v>1047403520</v>
      </c>
      <c r="J32" s="1204">
        <v>959310827.9942342</v>
      </c>
      <c r="K32" s="1204">
        <v>1047403520</v>
      </c>
      <c r="L32" s="1205">
        <f t="shared" si="9"/>
        <v>1.0918291438343852</v>
      </c>
      <c r="M32" s="1230">
        <v>959310827.9942342</v>
      </c>
      <c r="N32" s="1207">
        <f t="shared" si="11"/>
        <v>88092692.005765796</v>
      </c>
      <c r="P32" s="985">
        <v>1047403520</v>
      </c>
      <c r="Q32" s="1144">
        <f t="shared" si="2"/>
        <v>0</v>
      </c>
    </row>
    <row r="33" spans="1:20" hidden="1" outlineLevel="1">
      <c r="A33" s="985" t="s">
        <v>19</v>
      </c>
      <c r="B33" s="985" t="s">
        <v>2</v>
      </c>
      <c r="C33" s="985" t="s">
        <v>26</v>
      </c>
      <c r="D33" s="1201" t="str">
        <f t="shared" si="10"/>
        <v>3월</v>
      </c>
      <c r="E33" s="1203" t="s">
        <v>152</v>
      </c>
      <c r="F33" s="1203" t="s">
        <v>134</v>
      </c>
      <c r="G33" s="1203" t="s">
        <v>135</v>
      </c>
      <c r="H33" s="1203" t="s">
        <v>140</v>
      </c>
      <c r="I33" s="1229">
        <v>4508694300</v>
      </c>
      <c r="J33" s="1204">
        <v>4734489924.1579056</v>
      </c>
      <c r="K33" s="1204">
        <v>4508694300</v>
      </c>
      <c r="L33" s="1205">
        <f t="shared" si="9"/>
        <v>0.95230835258392355</v>
      </c>
      <c r="M33" s="1230">
        <v>4275201700</v>
      </c>
      <c r="N33" s="1231">
        <f t="shared" si="11"/>
        <v>233492600</v>
      </c>
      <c r="P33" s="985">
        <v>4508694300</v>
      </c>
      <c r="Q33" s="1144">
        <f t="shared" si="2"/>
        <v>0</v>
      </c>
    </row>
    <row r="34" spans="1:20" hidden="1" outlineLevel="1">
      <c r="A34" s="985" t="s">
        <v>19</v>
      </c>
      <c r="B34" s="985" t="s">
        <v>2</v>
      </c>
      <c r="C34" s="985" t="s">
        <v>51</v>
      </c>
      <c r="D34" s="1201" t="str">
        <f t="shared" si="10"/>
        <v>3월</v>
      </c>
      <c r="E34" s="1203" t="s">
        <v>152</v>
      </c>
      <c r="F34" s="1203" t="s">
        <v>134</v>
      </c>
      <c r="G34" s="1203" t="s">
        <v>135</v>
      </c>
      <c r="H34" s="1203" t="s">
        <v>141</v>
      </c>
      <c r="I34" s="1204">
        <v>0</v>
      </c>
      <c r="J34" s="1204">
        <v>0</v>
      </c>
      <c r="K34" s="1204">
        <v>0</v>
      </c>
      <c r="L34" s="1205"/>
      <c r="M34" s="1230">
        <v>0</v>
      </c>
      <c r="N34" s="1207">
        <f t="shared" si="11"/>
        <v>0</v>
      </c>
      <c r="P34" s="985">
        <v>0</v>
      </c>
      <c r="Q34" s="1144">
        <f t="shared" si="2"/>
        <v>0</v>
      </c>
      <c r="R34" s="1210">
        <f t="shared" ref="R34:T42" si="12">R14/10^8</f>
        <v>0</v>
      </c>
      <c r="S34" s="1210">
        <f t="shared" si="12"/>
        <v>0</v>
      </c>
      <c r="T34" s="1210">
        <f t="shared" si="12"/>
        <v>0</v>
      </c>
    </row>
    <row r="35" spans="1:20" hidden="1" outlineLevel="1">
      <c r="A35" s="985" t="s">
        <v>19</v>
      </c>
      <c r="B35" s="985" t="s">
        <v>2</v>
      </c>
      <c r="C35" s="985" t="s">
        <v>30</v>
      </c>
      <c r="D35" s="1201" t="str">
        <f t="shared" si="10"/>
        <v>3월</v>
      </c>
      <c r="E35" s="1203" t="s">
        <v>152</v>
      </c>
      <c r="F35" s="1203" t="s">
        <v>134</v>
      </c>
      <c r="G35" s="1203" t="s">
        <v>135</v>
      </c>
      <c r="H35" s="1203" t="s">
        <v>142</v>
      </c>
      <c r="I35" s="1204">
        <v>520375000</v>
      </c>
      <c r="J35" s="1204">
        <v>1666750000</v>
      </c>
      <c r="K35" s="1204">
        <v>520375000</v>
      </c>
      <c r="L35" s="1205">
        <f t="shared" si="9"/>
        <v>0.31220938953052346</v>
      </c>
      <c r="M35" s="1230">
        <v>520375000</v>
      </c>
      <c r="N35" s="1207">
        <f t="shared" si="11"/>
        <v>0</v>
      </c>
      <c r="P35" s="985">
        <v>520375000</v>
      </c>
      <c r="Q35" s="1144">
        <f t="shared" si="2"/>
        <v>0</v>
      </c>
      <c r="R35" s="1210">
        <f t="shared" si="12"/>
        <v>1.6647183999999999</v>
      </c>
      <c r="S35" s="1210">
        <f t="shared" si="12"/>
        <v>1.9062374</v>
      </c>
      <c r="T35" s="1210">
        <f t="shared" si="12"/>
        <v>3.5709558000000001</v>
      </c>
    </row>
    <row r="36" spans="1:20" hidden="1" outlineLevel="1">
      <c r="A36" s="985" t="s">
        <v>19</v>
      </c>
      <c r="B36" s="985" t="s">
        <v>2</v>
      </c>
      <c r="C36" s="985" t="s">
        <v>29</v>
      </c>
      <c r="D36" s="1201" t="str">
        <f t="shared" si="10"/>
        <v>3월</v>
      </c>
      <c r="E36" s="1203" t="s">
        <v>152</v>
      </c>
      <c r="F36" s="1203" t="s">
        <v>134</v>
      </c>
      <c r="G36" s="1203" t="s">
        <v>135</v>
      </c>
      <c r="H36" s="1203" t="s">
        <v>146</v>
      </c>
      <c r="I36" s="1229">
        <v>421269829</v>
      </c>
      <c r="J36" s="1204">
        <v>505999999.99999994</v>
      </c>
      <c r="K36" s="1204">
        <v>421269829</v>
      </c>
      <c r="L36" s="1205">
        <f t="shared" si="9"/>
        <v>0.83254906916996052</v>
      </c>
      <c r="M36" s="1230">
        <v>422269429</v>
      </c>
      <c r="N36" s="1207">
        <f t="shared" si="11"/>
        <v>-999600</v>
      </c>
      <c r="P36" s="985">
        <v>421269829</v>
      </c>
      <c r="Q36" s="1144">
        <f t="shared" si="2"/>
        <v>0</v>
      </c>
      <c r="R36" s="1210">
        <f t="shared" si="12"/>
        <v>73.776978</v>
      </c>
      <c r="S36" s="1210">
        <f t="shared" si="12"/>
        <v>80.350170500000004</v>
      </c>
      <c r="T36" s="1210">
        <f t="shared" si="12"/>
        <v>154.1271485</v>
      </c>
    </row>
    <row r="37" spans="1:20" ht="17.25" hidden="1" customHeight="1" outlineLevel="1">
      <c r="A37" s="985" t="s">
        <v>19</v>
      </c>
      <c r="B37" s="985" t="s">
        <v>2</v>
      </c>
      <c r="C37" s="985" t="s">
        <v>31</v>
      </c>
      <c r="D37" s="1201" t="str">
        <f t="shared" si="10"/>
        <v>3월</v>
      </c>
      <c r="E37" s="1203" t="s">
        <v>152</v>
      </c>
      <c r="F37" s="1203" t="s">
        <v>134</v>
      </c>
      <c r="G37" s="1203" t="s">
        <v>135</v>
      </c>
      <c r="H37" s="1203" t="s">
        <v>147</v>
      </c>
      <c r="I37" s="1204">
        <v>25291667</v>
      </c>
      <c r="J37" s="1204">
        <v>361875000</v>
      </c>
      <c r="K37" s="1204">
        <v>25291667</v>
      </c>
      <c r="L37" s="1205">
        <f t="shared" si="9"/>
        <v>6.989061692573402E-2</v>
      </c>
      <c r="M37" s="1230">
        <v>212791667</v>
      </c>
      <c r="N37" s="1207">
        <f t="shared" si="11"/>
        <v>-187500000</v>
      </c>
      <c r="P37" s="985">
        <v>25291667</v>
      </c>
      <c r="Q37" s="1144">
        <f t="shared" si="2"/>
        <v>0</v>
      </c>
      <c r="R37" s="1210">
        <f t="shared" si="12"/>
        <v>45.282256599999997</v>
      </c>
      <c r="S37" s="1210">
        <f t="shared" si="12"/>
        <v>60.190518220000001</v>
      </c>
      <c r="T37" s="1210">
        <f t="shared" si="12"/>
        <v>105.47277482</v>
      </c>
    </row>
    <row r="38" spans="1:20" ht="17.25" hidden="1" customHeight="1" outlineLevel="1" thickBot="1">
      <c r="A38" s="985" t="s">
        <v>19</v>
      </c>
      <c r="B38" s="985" t="s">
        <v>2</v>
      </c>
      <c r="C38" s="985" t="s">
        <v>32</v>
      </c>
      <c r="D38" s="1232" t="str">
        <f t="shared" si="10"/>
        <v>3월</v>
      </c>
      <c r="E38" s="1218" t="s">
        <v>133</v>
      </c>
      <c r="F38" s="1218" t="s">
        <v>134</v>
      </c>
      <c r="G38" s="1218" t="s">
        <v>135</v>
      </c>
      <c r="H38" s="1218" t="s">
        <v>148</v>
      </c>
      <c r="I38" s="1219">
        <v>41874000</v>
      </c>
      <c r="J38" s="1219">
        <v>0</v>
      </c>
      <c r="K38" s="1219">
        <v>41874000</v>
      </c>
      <c r="L38" s="1220" t="e">
        <f t="shared" ref="L38" si="13">+K38/J38</f>
        <v>#DIV/0!</v>
      </c>
      <c r="M38" s="1233">
        <v>0</v>
      </c>
      <c r="N38" s="1221">
        <f t="shared" si="11"/>
        <v>41874000</v>
      </c>
      <c r="P38" s="985">
        <v>41874000</v>
      </c>
      <c r="Q38" s="1144">
        <f t="shared" si="2"/>
        <v>0</v>
      </c>
      <c r="R38" s="1210">
        <f t="shared" si="12"/>
        <v>0</v>
      </c>
      <c r="S38" s="1210">
        <f t="shared" si="12"/>
        <v>1.3460000000000001</v>
      </c>
      <c r="T38" s="1210">
        <f t="shared" si="12"/>
        <v>1.3460000000000001</v>
      </c>
    </row>
    <row r="39" spans="1:20" ht="14.4" hidden="1" outlineLevel="1" thickBot="1">
      <c r="D39" s="1222"/>
      <c r="E39" s="1527" t="s">
        <v>153</v>
      </c>
      <c r="F39" s="1527"/>
      <c r="G39" s="1527"/>
      <c r="H39" s="1528"/>
      <c r="I39" s="1223">
        <f>SUM(I29:I38)</f>
        <v>9532347466</v>
      </c>
      <c r="J39" s="1223">
        <f>SUM(J29:J38)</f>
        <v>10991070252.15214</v>
      </c>
      <c r="K39" s="1223">
        <f>SUM(K29:K38)</f>
        <v>9532347466</v>
      </c>
      <c r="L39" s="1224">
        <f>I39/J39</f>
        <v>0.86728109704634904</v>
      </c>
      <c r="M39" s="1225">
        <f>SUM(M29:M38)</f>
        <v>9343052623.9942341</v>
      </c>
      <c r="N39" s="1234">
        <f>SUM(N29:N38)</f>
        <v>189294842.0057658</v>
      </c>
      <c r="P39" s="985">
        <v>9532347466</v>
      </c>
      <c r="Q39" s="1144">
        <f t="shared" si="2"/>
        <v>0</v>
      </c>
      <c r="R39" s="1210">
        <f t="shared" si="12"/>
        <v>0.38500000000000001</v>
      </c>
      <c r="S39" s="1210">
        <f t="shared" si="12"/>
        <v>0.46875</v>
      </c>
      <c r="T39" s="1210">
        <f t="shared" si="12"/>
        <v>0.85375000000000001</v>
      </c>
    </row>
    <row r="40" spans="1:20" ht="18.600000000000001" customHeight="1" collapsed="1" thickBot="1">
      <c r="D40" s="1544" t="s">
        <v>154</v>
      </c>
      <c r="E40" s="1545"/>
      <c r="F40" s="1545"/>
      <c r="G40" s="1545"/>
      <c r="H40" s="1546"/>
      <c r="I40" s="1235">
        <f>I28+I17+I39</f>
        <v>26963794201</v>
      </c>
      <c r="J40" s="1235">
        <f>J39+J28+J17</f>
        <v>23336683870.219559</v>
      </c>
      <c r="K40" s="1235">
        <f>K39+K28+K17</f>
        <v>26963794201</v>
      </c>
      <c r="L40" s="1236">
        <f>K40/J40</f>
        <v>1.1554252674009555</v>
      </c>
      <c r="M40" s="1237">
        <f>M39+M28+M17</f>
        <v>26632288817.994232</v>
      </c>
      <c r="N40" s="1238">
        <f>N39+N28+N17</f>
        <v>331505383.0057658</v>
      </c>
      <c r="P40" s="985">
        <v>26963794201</v>
      </c>
      <c r="Q40" s="1144">
        <f t="shared" si="2"/>
        <v>0</v>
      </c>
      <c r="R40" s="1210">
        <f t="shared" si="12"/>
        <v>1.10001036</v>
      </c>
      <c r="S40" s="1210">
        <f t="shared" si="12"/>
        <v>4.7632313599999998</v>
      </c>
      <c r="T40" s="1210">
        <f t="shared" si="12"/>
        <v>5.8632417200000004</v>
      </c>
    </row>
    <row r="41" spans="1:20" hidden="1" outlineLevel="1">
      <c r="A41" s="985" t="s">
        <v>19</v>
      </c>
      <c r="B41" s="985" t="s">
        <v>155</v>
      </c>
      <c r="C41" s="985" t="s">
        <v>132</v>
      </c>
      <c r="D41" s="1239" t="s">
        <v>156</v>
      </c>
      <c r="E41" s="1203" t="s">
        <v>133</v>
      </c>
      <c r="F41" s="1203" t="s">
        <v>134</v>
      </c>
      <c r="G41" s="1203" t="s">
        <v>135</v>
      </c>
      <c r="H41" s="1203" t="s">
        <v>136</v>
      </c>
      <c r="I41" s="1204">
        <v>1151454672</v>
      </c>
      <c r="J41" s="1204">
        <f>'2024년 계획_변경적용'!I45</f>
        <v>1339107000</v>
      </c>
      <c r="K41" s="1204">
        <v>1151454672</v>
      </c>
      <c r="L41" s="1205">
        <f t="shared" ref="L41:L47" si="14">+I41/J41</f>
        <v>0.85986756248753837</v>
      </c>
      <c r="M41" s="1204">
        <v>1151454672</v>
      </c>
      <c r="N41" s="1200">
        <f>K41-M41</f>
        <v>0</v>
      </c>
      <c r="P41" s="985">
        <v>1151454672</v>
      </c>
      <c r="Q41" s="1144">
        <f t="shared" si="2"/>
        <v>0</v>
      </c>
      <c r="R41" s="1210">
        <f t="shared" si="12"/>
        <v>1.2535416699999999</v>
      </c>
      <c r="S41" s="1210">
        <f t="shared" si="12"/>
        <v>0.31604167</v>
      </c>
      <c r="T41" s="1210">
        <f t="shared" si="12"/>
        <v>1.5695833400000001</v>
      </c>
    </row>
    <row r="42" spans="1:20" hidden="1" outlineLevel="1">
      <c r="A42" s="985" t="s">
        <v>19</v>
      </c>
      <c r="B42" s="985" t="s">
        <v>155</v>
      </c>
      <c r="C42" s="985" t="s">
        <v>52</v>
      </c>
      <c r="D42" s="1201" t="str">
        <f t="shared" ref="D42:D50" si="15">D41</f>
        <v>4월</v>
      </c>
      <c r="E42" s="1203" t="s">
        <v>133</v>
      </c>
      <c r="F42" s="1203" t="s">
        <v>134</v>
      </c>
      <c r="G42" s="1203" t="s">
        <v>135</v>
      </c>
      <c r="H42" s="1203" t="s">
        <v>137</v>
      </c>
      <c r="I42" s="1204">
        <v>0</v>
      </c>
      <c r="J42" s="1204">
        <f>'2024년 계획_변경적용'!I44</f>
        <v>0</v>
      </c>
      <c r="K42" s="1204">
        <v>0</v>
      </c>
      <c r="L42" s="1205"/>
      <c r="M42" s="1204">
        <v>0</v>
      </c>
      <c r="N42" s="1207">
        <f t="shared" ref="N42:N50" si="16">K42-M42</f>
        <v>0</v>
      </c>
      <c r="P42" s="985">
        <v>0</v>
      </c>
      <c r="Q42" s="1144">
        <f t="shared" si="2"/>
        <v>0</v>
      </c>
      <c r="R42" s="1210">
        <f t="shared" si="12"/>
        <v>0.15737999999999999</v>
      </c>
      <c r="S42" s="1210">
        <f t="shared" si="12"/>
        <v>1.67447981</v>
      </c>
      <c r="T42" s="1210">
        <f t="shared" si="12"/>
        <v>1.8318598100000001</v>
      </c>
    </row>
    <row r="43" spans="1:20" hidden="1" outlineLevel="1">
      <c r="A43" s="985" t="s">
        <v>19</v>
      </c>
      <c r="B43" s="985" t="s">
        <v>155</v>
      </c>
      <c r="C43" s="985" t="s">
        <v>22</v>
      </c>
      <c r="D43" s="1201" t="str">
        <f t="shared" si="15"/>
        <v>4월</v>
      </c>
      <c r="E43" s="1202" t="s">
        <v>133</v>
      </c>
      <c r="F43" s="1203" t="s">
        <v>134</v>
      </c>
      <c r="G43" s="1203" t="s">
        <v>135</v>
      </c>
      <c r="H43" s="1203" t="s">
        <v>138</v>
      </c>
      <c r="I43" s="1204">
        <v>0</v>
      </c>
      <c r="J43" s="1204">
        <f>'2024년 계획_변경적용'!I48</f>
        <v>0</v>
      </c>
      <c r="K43" s="1204">
        <v>0</v>
      </c>
      <c r="L43" s="1205"/>
      <c r="M43" s="1204">
        <v>0</v>
      </c>
      <c r="N43" s="1207">
        <f t="shared" si="16"/>
        <v>0</v>
      </c>
      <c r="P43" s="985">
        <v>0</v>
      </c>
      <c r="Q43" s="1144">
        <f t="shared" si="2"/>
        <v>0</v>
      </c>
    </row>
    <row r="44" spans="1:20" hidden="1" outlineLevel="1">
      <c r="A44" s="985" t="s">
        <v>19</v>
      </c>
      <c r="B44" s="985" t="s">
        <v>155</v>
      </c>
      <c r="C44" s="985" t="s">
        <v>27</v>
      </c>
      <c r="D44" s="1201" t="str">
        <f t="shared" si="15"/>
        <v>4월</v>
      </c>
      <c r="E44" s="1203" t="s">
        <v>133</v>
      </c>
      <c r="F44" s="1203" t="s">
        <v>134</v>
      </c>
      <c r="G44" s="1203" t="s">
        <v>135</v>
      </c>
      <c r="H44" s="1203" t="s">
        <v>139</v>
      </c>
      <c r="I44" s="1204">
        <v>1304419840</v>
      </c>
      <c r="J44" s="1204">
        <f>'2024년 계획_변경적용'!I46</f>
        <v>762190827.99423397</v>
      </c>
      <c r="K44" s="1204">
        <v>1304419840</v>
      </c>
      <c r="L44" s="1205">
        <f t="shared" si="14"/>
        <v>1.7114084715932425</v>
      </c>
      <c r="M44" s="1204">
        <v>1304419840</v>
      </c>
      <c r="N44" s="1207">
        <f t="shared" si="16"/>
        <v>0</v>
      </c>
      <c r="P44" s="985">
        <v>1304419840</v>
      </c>
      <c r="Q44" s="1144">
        <f t="shared" si="2"/>
        <v>0</v>
      </c>
    </row>
    <row r="45" spans="1:20" hidden="1" outlineLevel="1">
      <c r="A45" s="985" t="s">
        <v>19</v>
      </c>
      <c r="B45" s="985" t="s">
        <v>155</v>
      </c>
      <c r="C45" s="985" t="s">
        <v>26</v>
      </c>
      <c r="D45" s="1201" t="str">
        <f t="shared" si="15"/>
        <v>4월</v>
      </c>
      <c r="E45" s="1203" t="s">
        <v>133</v>
      </c>
      <c r="F45" s="1203" t="s">
        <v>134</v>
      </c>
      <c r="G45" s="1203" t="s">
        <v>135</v>
      </c>
      <c r="H45" s="1203" t="s">
        <v>140</v>
      </c>
      <c r="I45" s="1204">
        <v>6333791850</v>
      </c>
      <c r="J45" s="1204">
        <f>'2024년 계획_변경적용'!I47</f>
        <v>4302583000</v>
      </c>
      <c r="K45" s="1204">
        <v>6333791850</v>
      </c>
      <c r="L45" s="1205">
        <f t="shared" si="14"/>
        <v>1.4720905674568043</v>
      </c>
      <c r="M45" s="1204">
        <v>6333791850</v>
      </c>
      <c r="N45" s="1207">
        <f t="shared" si="16"/>
        <v>0</v>
      </c>
      <c r="P45" s="985">
        <v>6333791850</v>
      </c>
      <c r="Q45" s="1144">
        <f t="shared" si="2"/>
        <v>0</v>
      </c>
    </row>
    <row r="46" spans="1:20" hidden="1" outlineLevel="1">
      <c r="A46" s="985" t="s">
        <v>19</v>
      </c>
      <c r="B46" s="985" t="s">
        <v>155</v>
      </c>
      <c r="C46" s="985" t="s">
        <v>51</v>
      </c>
      <c r="D46" s="1201" t="str">
        <f t="shared" si="15"/>
        <v>4월</v>
      </c>
      <c r="E46" s="1203" t="s">
        <v>133</v>
      </c>
      <c r="F46" s="1203" t="s">
        <v>134</v>
      </c>
      <c r="G46" s="1203" t="s">
        <v>135</v>
      </c>
      <c r="H46" s="1203" t="s">
        <v>141</v>
      </c>
      <c r="I46" s="1204">
        <v>60000000</v>
      </c>
      <c r="J46" s="1204">
        <f>'2024년 계획_변경적용'!I50</f>
        <v>60000000</v>
      </c>
      <c r="K46" s="1204">
        <v>60000000</v>
      </c>
      <c r="L46" s="1205">
        <f t="shared" si="14"/>
        <v>1</v>
      </c>
      <c r="M46" s="1204">
        <v>60000000</v>
      </c>
      <c r="N46" s="1207">
        <f t="shared" si="16"/>
        <v>0</v>
      </c>
      <c r="P46" s="985">
        <v>60000000</v>
      </c>
      <c r="Q46" s="1144">
        <f t="shared" si="2"/>
        <v>0</v>
      </c>
    </row>
    <row r="47" spans="1:20" hidden="1" outlineLevel="1">
      <c r="A47" s="985" t="s">
        <v>19</v>
      </c>
      <c r="B47" s="985" t="s">
        <v>155</v>
      </c>
      <c r="C47" s="985" t="s">
        <v>30</v>
      </c>
      <c r="D47" s="1201" t="str">
        <f t="shared" si="15"/>
        <v>4월</v>
      </c>
      <c r="E47" s="1203" t="s">
        <v>133</v>
      </c>
      <c r="F47" s="1203" t="s">
        <v>134</v>
      </c>
      <c r="G47" s="1203" t="s">
        <v>135</v>
      </c>
      <c r="H47" s="1203" t="s">
        <v>142</v>
      </c>
      <c r="I47" s="1204">
        <v>0</v>
      </c>
      <c r="J47" s="1204">
        <f>'2024년 계획_변경적용'!I53</f>
        <v>379000000</v>
      </c>
      <c r="K47" s="1204">
        <v>0</v>
      </c>
      <c r="L47" s="1205">
        <f t="shared" si="14"/>
        <v>0</v>
      </c>
      <c r="M47" s="1204">
        <v>0</v>
      </c>
      <c r="N47" s="1207">
        <f t="shared" si="16"/>
        <v>0</v>
      </c>
      <c r="P47" s="985">
        <v>0</v>
      </c>
      <c r="Q47" s="1144">
        <f t="shared" si="2"/>
        <v>0</v>
      </c>
    </row>
    <row r="48" spans="1:20" hidden="1" outlineLevel="1">
      <c r="A48" s="985" t="s">
        <v>19</v>
      </c>
      <c r="B48" s="985" t="s">
        <v>155</v>
      </c>
      <c r="C48" s="985" t="s">
        <v>29</v>
      </c>
      <c r="D48" s="1201" t="str">
        <f t="shared" si="15"/>
        <v>4월</v>
      </c>
      <c r="E48" s="1203" t="s">
        <v>133</v>
      </c>
      <c r="F48" s="1203" t="s">
        <v>134</v>
      </c>
      <c r="G48" s="1203" t="s">
        <v>135</v>
      </c>
      <c r="H48" s="1203" t="s">
        <v>146</v>
      </c>
      <c r="I48" s="1204">
        <v>211649429</v>
      </c>
      <c r="J48" s="1204">
        <f>'2024년 계획_변경적용'!I51</f>
        <v>142000000</v>
      </c>
      <c r="K48" s="1204">
        <v>211649429</v>
      </c>
      <c r="L48" s="1205">
        <f>+I48/J48</f>
        <v>1.4904889366197183</v>
      </c>
      <c r="M48" s="1204">
        <v>211649429</v>
      </c>
      <c r="N48" s="1207">
        <f t="shared" si="16"/>
        <v>0</v>
      </c>
      <c r="P48" s="985">
        <v>211649429</v>
      </c>
      <c r="Q48" s="1144">
        <f t="shared" si="2"/>
        <v>0</v>
      </c>
    </row>
    <row r="49" spans="1:17" hidden="1" outlineLevel="1">
      <c r="A49" s="985" t="s">
        <v>19</v>
      </c>
      <c r="B49" s="985" t="s">
        <v>155</v>
      </c>
      <c r="C49" s="985" t="s">
        <v>31</v>
      </c>
      <c r="D49" s="1201" t="str">
        <f t="shared" si="15"/>
        <v>4월</v>
      </c>
      <c r="E49" s="1203" t="s">
        <v>133</v>
      </c>
      <c r="F49" s="1203" t="s">
        <v>134</v>
      </c>
      <c r="G49" s="1203" t="s">
        <v>135</v>
      </c>
      <c r="H49" s="1203" t="s">
        <v>147</v>
      </c>
      <c r="I49" s="1204">
        <v>1000904167</v>
      </c>
      <c r="J49" s="1204">
        <f>'2024년 계획_변경적용'!I52</f>
        <v>0</v>
      </c>
      <c r="K49" s="1204">
        <v>1000904167</v>
      </c>
      <c r="L49" s="1205"/>
      <c r="M49" s="1204">
        <v>994591667</v>
      </c>
      <c r="N49" s="1207">
        <f t="shared" si="16"/>
        <v>6312500</v>
      </c>
      <c r="P49" s="985">
        <v>1000904167</v>
      </c>
      <c r="Q49" s="1144">
        <f t="shared" si="2"/>
        <v>0</v>
      </c>
    </row>
    <row r="50" spans="1:17" ht="14.4" hidden="1" outlineLevel="1" thickBot="1">
      <c r="A50" s="985" t="s">
        <v>19</v>
      </c>
      <c r="B50" s="985" t="s">
        <v>155</v>
      </c>
      <c r="C50" s="985" t="s">
        <v>32</v>
      </c>
      <c r="D50" s="1232" t="str">
        <f t="shared" si="15"/>
        <v>4월</v>
      </c>
      <c r="E50" s="1218" t="s">
        <v>133</v>
      </c>
      <c r="F50" s="1218" t="s">
        <v>134</v>
      </c>
      <c r="G50" s="1218" t="s">
        <v>135</v>
      </c>
      <c r="H50" s="1218" t="s">
        <v>148</v>
      </c>
      <c r="I50" s="1219">
        <v>48705000</v>
      </c>
      <c r="J50" s="1219">
        <v>0</v>
      </c>
      <c r="K50" s="1219">
        <v>48705000</v>
      </c>
      <c r="L50" s="1220" t="e">
        <f t="shared" ref="L50" si="17">+K50/J50</f>
        <v>#DIV/0!</v>
      </c>
      <c r="M50" s="1219">
        <v>34035000</v>
      </c>
      <c r="N50" s="1221">
        <f t="shared" si="16"/>
        <v>14670000</v>
      </c>
      <c r="P50" s="985">
        <v>48705000</v>
      </c>
      <c r="Q50" s="1144">
        <f t="shared" si="2"/>
        <v>0</v>
      </c>
    </row>
    <row r="51" spans="1:17" ht="18.75" hidden="1" customHeight="1" outlineLevel="1" thickBot="1">
      <c r="D51" s="1222"/>
      <c r="E51" s="1527" t="s">
        <v>157</v>
      </c>
      <c r="F51" s="1527"/>
      <c r="G51" s="1527"/>
      <c r="H51" s="1528"/>
      <c r="I51" s="1223">
        <f>SUM(I41:I50)</f>
        <v>10110924958</v>
      </c>
      <c r="J51" s="1223">
        <f>SUM(J41:J50)</f>
        <v>6984880827.9942341</v>
      </c>
      <c r="K51" s="1223">
        <f>SUM(K41:K50)</f>
        <v>10110924958</v>
      </c>
      <c r="L51" s="1224">
        <f>I51/J51</f>
        <v>1.4475443757718964</v>
      </c>
      <c r="M51" s="1225">
        <f>SUM(M41:M50)</f>
        <v>10089942458</v>
      </c>
      <c r="N51" s="1226">
        <f>SUM(N41:N50)</f>
        <v>20982500</v>
      </c>
      <c r="P51" s="985">
        <v>10110924958</v>
      </c>
      <c r="Q51" s="1144">
        <f t="shared" si="2"/>
        <v>0</v>
      </c>
    </row>
    <row r="52" spans="1:17" hidden="1" outlineLevel="1">
      <c r="A52" s="985" t="s">
        <v>19</v>
      </c>
      <c r="B52" s="985" t="s">
        <v>155</v>
      </c>
      <c r="C52" s="985" t="s">
        <v>132</v>
      </c>
      <c r="D52" s="1239" t="s">
        <v>158</v>
      </c>
      <c r="E52" s="1203" t="s">
        <v>133</v>
      </c>
      <c r="F52" s="1203" t="s">
        <v>134</v>
      </c>
      <c r="G52" s="1203" t="s">
        <v>135</v>
      </c>
      <c r="H52" s="1203" t="s">
        <v>136</v>
      </c>
      <c r="I52" s="1204">
        <v>0</v>
      </c>
      <c r="J52" s="1204">
        <f>'2024년 계획_변경적용'!J45</f>
        <v>984368000</v>
      </c>
      <c r="K52" s="1204">
        <v>0</v>
      </c>
      <c r="L52" s="1205">
        <f t="shared" ref="L52:L60" si="18">+I52/J52</f>
        <v>0</v>
      </c>
      <c r="M52" s="1204">
        <v>0</v>
      </c>
      <c r="N52" s="1200">
        <f>K52-M52</f>
        <v>0</v>
      </c>
      <c r="P52" s="985">
        <v>0</v>
      </c>
      <c r="Q52" s="1144">
        <f t="shared" si="2"/>
        <v>0</v>
      </c>
    </row>
    <row r="53" spans="1:17" hidden="1" outlineLevel="1">
      <c r="A53" s="985" t="s">
        <v>19</v>
      </c>
      <c r="B53" s="985" t="s">
        <v>155</v>
      </c>
      <c r="C53" s="985" t="s">
        <v>52</v>
      </c>
      <c r="D53" s="1201" t="str">
        <f t="shared" ref="D53:D61" si="19">D52</f>
        <v>5월</v>
      </c>
      <c r="E53" s="1203" t="s">
        <v>133</v>
      </c>
      <c r="F53" s="1203" t="s">
        <v>134</v>
      </c>
      <c r="G53" s="1203" t="s">
        <v>135</v>
      </c>
      <c r="H53" s="1203" t="s">
        <v>137</v>
      </c>
      <c r="I53" s="1204">
        <v>0</v>
      </c>
      <c r="J53" s="1204">
        <f>'2024년 계획_변경적용'!J44</f>
        <v>0</v>
      </c>
      <c r="K53" s="1204">
        <v>0</v>
      </c>
      <c r="L53" s="1205" t="e">
        <f t="shared" si="18"/>
        <v>#DIV/0!</v>
      </c>
      <c r="M53" s="1204">
        <v>0</v>
      </c>
      <c r="N53" s="1207">
        <f t="shared" ref="N53:N61" si="20">K53-M53</f>
        <v>0</v>
      </c>
      <c r="P53" s="985">
        <v>0</v>
      </c>
      <c r="Q53" s="1144">
        <f t="shared" si="2"/>
        <v>0</v>
      </c>
    </row>
    <row r="54" spans="1:17" hidden="1" outlineLevel="1">
      <c r="A54" s="985" t="s">
        <v>19</v>
      </c>
      <c r="B54" s="985" t="s">
        <v>155</v>
      </c>
      <c r="C54" s="985" t="s">
        <v>22</v>
      </c>
      <c r="D54" s="1201" t="str">
        <f t="shared" si="19"/>
        <v>5월</v>
      </c>
      <c r="E54" s="1202" t="s">
        <v>133</v>
      </c>
      <c r="F54" s="1203" t="s">
        <v>134</v>
      </c>
      <c r="G54" s="1203" t="s">
        <v>135</v>
      </c>
      <c r="H54" s="1203" t="s">
        <v>138</v>
      </c>
      <c r="I54" s="1204">
        <v>0</v>
      </c>
      <c r="J54" s="1204">
        <f>'2024년 계획_변경적용'!J48</f>
        <v>0</v>
      </c>
      <c r="K54" s="1204">
        <v>0</v>
      </c>
      <c r="L54" s="1205"/>
      <c r="M54" s="1204">
        <v>0</v>
      </c>
      <c r="N54" s="1240">
        <f t="shared" si="20"/>
        <v>0</v>
      </c>
      <c r="P54" s="985">
        <v>0</v>
      </c>
      <c r="Q54" s="1144">
        <f t="shared" si="2"/>
        <v>0</v>
      </c>
    </row>
    <row r="55" spans="1:17" hidden="1" outlineLevel="1">
      <c r="A55" s="985" t="s">
        <v>19</v>
      </c>
      <c r="B55" s="985" t="s">
        <v>155</v>
      </c>
      <c r="C55" s="985" t="s">
        <v>27</v>
      </c>
      <c r="D55" s="1201" t="str">
        <f t="shared" si="19"/>
        <v>5월</v>
      </c>
      <c r="E55" s="1203" t="s">
        <v>133</v>
      </c>
      <c r="F55" s="1203" t="s">
        <v>134</v>
      </c>
      <c r="G55" s="1203" t="s">
        <v>135</v>
      </c>
      <c r="H55" s="1203" t="s">
        <v>139</v>
      </c>
      <c r="I55" s="1204">
        <v>1013424600</v>
      </c>
      <c r="J55" s="1204">
        <f>'2024년 계획_변경적용'!J46</f>
        <v>1156430827.9942338</v>
      </c>
      <c r="K55" s="1204">
        <v>1013424600</v>
      </c>
      <c r="L55" s="1205">
        <f t="shared" si="18"/>
        <v>0.87633827762766381</v>
      </c>
      <c r="M55" s="1204">
        <v>1013424600</v>
      </c>
      <c r="N55" s="1207">
        <f t="shared" si="20"/>
        <v>0</v>
      </c>
      <c r="P55" s="985">
        <v>1013424600</v>
      </c>
      <c r="Q55" s="1144">
        <f t="shared" si="2"/>
        <v>0</v>
      </c>
    </row>
    <row r="56" spans="1:17" hidden="1" outlineLevel="1">
      <c r="A56" s="985" t="s">
        <v>19</v>
      </c>
      <c r="B56" s="985" t="s">
        <v>155</v>
      </c>
      <c r="C56" s="985" t="s">
        <v>26</v>
      </c>
      <c r="D56" s="1201" t="str">
        <f t="shared" si="19"/>
        <v>5월</v>
      </c>
      <c r="E56" s="1203" t="s">
        <v>133</v>
      </c>
      <c r="F56" s="1203" t="s">
        <v>134</v>
      </c>
      <c r="G56" s="1203" t="s">
        <v>135</v>
      </c>
      <c r="H56" s="1203" t="s">
        <v>140</v>
      </c>
      <c r="I56" s="1204">
        <v>4945229200</v>
      </c>
      <c r="J56" s="1204">
        <f>'2024년 계획_변경적용'!J47</f>
        <v>3604746200</v>
      </c>
      <c r="K56" s="1204">
        <v>4945229200</v>
      </c>
      <c r="L56" s="1205">
        <f t="shared" si="18"/>
        <v>1.3718661247219013</v>
      </c>
      <c r="M56" s="1204">
        <v>4945229200</v>
      </c>
      <c r="N56" s="1207">
        <f t="shared" si="20"/>
        <v>0</v>
      </c>
      <c r="P56" s="985">
        <v>4945229200</v>
      </c>
      <c r="Q56" s="1144">
        <f t="shared" si="2"/>
        <v>0</v>
      </c>
    </row>
    <row r="57" spans="1:17" hidden="1" outlineLevel="1">
      <c r="A57" s="985" t="s">
        <v>19</v>
      </c>
      <c r="B57" s="985" t="s">
        <v>155</v>
      </c>
      <c r="C57" s="985" t="s">
        <v>51</v>
      </c>
      <c r="D57" s="1201" t="str">
        <f t="shared" si="19"/>
        <v>5월</v>
      </c>
      <c r="E57" s="1203" t="s">
        <v>133</v>
      </c>
      <c r="F57" s="1203" t="s">
        <v>134</v>
      </c>
      <c r="G57" s="1203" t="s">
        <v>135</v>
      </c>
      <c r="H57" s="1203" t="s">
        <v>141</v>
      </c>
      <c r="I57" s="1204">
        <v>67000000.000000007</v>
      </c>
      <c r="J57" s="1204">
        <f>'2024년 계획_변경적용'!J50</f>
        <v>67000000</v>
      </c>
      <c r="K57" s="1204">
        <v>67000000.000000007</v>
      </c>
      <c r="L57" s="1205">
        <f t="shared" si="18"/>
        <v>1.0000000000000002</v>
      </c>
      <c r="M57" s="1204">
        <v>67000000.000000007</v>
      </c>
      <c r="N57" s="1207">
        <f t="shared" si="20"/>
        <v>0</v>
      </c>
      <c r="P57" s="985">
        <v>67000000.000000007</v>
      </c>
      <c r="Q57" s="1144">
        <f t="shared" si="2"/>
        <v>0</v>
      </c>
    </row>
    <row r="58" spans="1:17" hidden="1" outlineLevel="1">
      <c r="A58" s="985" t="s">
        <v>19</v>
      </c>
      <c r="B58" s="985" t="s">
        <v>155</v>
      </c>
      <c r="C58" s="985" t="s">
        <v>30</v>
      </c>
      <c r="D58" s="1201" t="str">
        <f t="shared" si="19"/>
        <v>5월</v>
      </c>
      <c r="E58" s="1203" t="s">
        <v>133</v>
      </c>
      <c r="F58" s="1203" t="s">
        <v>134</v>
      </c>
      <c r="G58" s="1203" t="s">
        <v>135</v>
      </c>
      <c r="H58" s="1203" t="s">
        <v>142</v>
      </c>
      <c r="I58" s="1204">
        <v>1821375000</v>
      </c>
      <c r="J58" s="1204">
        <f>'2024년 계획_변경적용'!J53</f>
        <v>183500000</v>
      </c>
      <c r="K58" s="1204">
        <v>1821375000</v>
      </c>
      <c r="L58" s="1205">
        <f t="shared" si="18"/>
        <v>9.9257493188010901</v>
      </c>
      <c r="M58" s="1204">
        <v>1821375000</v>
      </c>
      <c r="N58" s="1207">
        <f t="shared" si="20"/>
        <v>0</v>
      </c>
      <c r="P58" s="985">
        <v>1821375000</v>
      </c>
      <c r="Q58" s="1144">
        <f t="shared" si="2"/>
        <v>0</v>
      </c>
    </row>
    <row r="59" spans="1:17" hidden="1" outlineLevel="1">
      <c r="A59" s="985" t="s">
        <v>19</v>
      </c>
      <c r="B59" s="985" t="s">
        <v>155</v>
      </c>
      <c r="C59" s="985" t="s">
        <v>29</v>
      </c>
      <c r="D59" s="1201" t="str">
        <f t="shared" si="19"/>
        <v>5월</v>
      </c>
      <c r="E59" s="1203" t="s">
        <v>133</v>
      </c>
      <c r="F59" s="1203" t="s">
        <v>134</v>
      </c>
      <c r="G59" s="1203" t="s">
        <v>135</v>
      </c>
      <c r="H59" s="1203" t="s">
        <v>146</v>
      </c>
      <c r="I59" s="1204">
        <v>152579274</v>
      </c>
      <c r="J59" s="1204">
        <f>'2024년 계획_변경적용'!J51</f>
        <v>79000000</v>
      </c>
      <c r="K59" s="1204">
        <v>152579274</v>
      </c>
      <c r="L59" s="1205">
        <f t="shared" si="18"/>
        <v>1.9313832151898733</v>
      </c>
      <c r="M59" s="1204">
        <v>149869429</v>
      </c>
      <c r="N59" s="1207">
        <f t="shared" si="20"/>
        <v>2709845</v>
      </c>
      <c r="P59" s="985">
        <v>152579274</v>
      </c>
      <c r="Q59" s="1144">
        <f t="shared" si="2"/>
        <v>0</v>
      </c>
    </row>
    <row r="60" spans="1:17" hidden="1" outlineLevel="1">
      <c r="A60" s="985" t="s">
        <v>19</v>
      </c>
      <c r="B60" s="985" t="s">
        <v>155</v>
      </c>
      <c r="C60" s="985" t="s">
        <v>31</v>
      </c>
      <c r="D60" s="1201" t="str">
        <f t="shared" si="19"/>
        <v>5월</v>
      </c>
      <c r="E60" s="1203" t="s">
        <v>133</v>
      </c>
      <c r="F60" s="1203" t="s">
        <v>134</v>
      </c>
      <c r="G60" s="1203" t="s">
        <v>135</v>
      </c>
      <c r="H60" s="1203" t="s">
        <v>147</v>
      </c>
      <c r="I60" s="1204">
        <v>31604167</v>
      </c>
      <c r="J60" s="1204">
        <f>'2024년 계획_변경적용'!J52</f>
        <v>93750000</v>
      </c>
      <c r="K60" s="1204">
        <v>31604167</v>
      </c>
      <c r="L60" s="1205">
        <f t="shared" si="18"/>
        <v>0.33711111466666666</v>
      </c>
      <c r="M60" s="1204">
        <v>25291667</v>
      </c>
      <c r="N60" s="1241">
        <f t="shared" si="20"/>
        <v>6312500</v>
      </c>
      <c r="P60" s="985">
        <v>31604167</v>
      </c>
      <c r="Q60" s="1144">
        <f t="shared" si="2"/>
        <v>0</v>
      </c>
    </row>
    <row r="61" spans="1:17" ht="14.4" hidden="1" outlineLevel="1" thickBot="1">
      <c r="A61" s="985" t="s">
        <v>19</v>
      </c>
      <c r="B61" s="985" t="s">
        <v>155</v>
      </c>
      <c r="C61" s="985" t="s">
        <v>32</v>
      </c>
      <c r="D61" s="1232" t="str">
        <f t="shared" si="19"/>
        <v>5월</v>
      </c>
      <c r="E61" s="1218" t="s">
        <v>133</v>
      </c>
      <c r="F61" s="1218" t="s">
        <v>134</v>
      </c>
      <c r="G61" s="1218" t="s">
        <v>135</v>
      </c>
      <c r="H61" s="1218" t="s">
        <v>148</v>
      </c>
      <c r="I61" s="1219">
        <v>51613869</v>
      </c>
      <c r="J61" s="1219">
        <v>0</v>
      </c>
      <c r="K61" s="1219">
        <v>51613869</v>
      </c>
      <c r="L61" s="1220" t="e">
        <f t="shared" ref="L61" si="21">+K61/J61</f>
        <v>#DIV/0!</v>
      </c>
      <c r="M61" s="1219">
        <v>0</v>
      </c>
      <c r="N61" s="1242">
        <f t="shared" si="20"/>
        <v>51613869</v>
      </c>
      <c r="P61" s="985">
        <v>51613869</v>
      </c>
      <c r="Q61" s="1144">
        <f t="shared" si="2"/>
        <v>0</v>
      </c>
    </row>
    <row r="62" spans="1:17" ht="14.4" hidden="1" outlineLevel="1" thickBot="1">
      <c r="D62" s="1222"/>
      <c r="E62" s="1527" t="s">
        <v>159</v>
      </c>
      <c r="F62" s="1527"/>
      <c r="G62" s="1527"/>
      <c r="H62" s="1528"/>
      <c r="I62" s="1223">
        <f>SUM(I52:I61)</f>
        <v>8082826110</v>
      </c>
      <c r="J62" s="1223">
        <f>SUM(J52:J61)</f>
        <v>6168795027.9942341</v>
      </c>
      <c r="K62" s="1223">
        <f>SUM(K52:K61)</f>
        <v>8082826110</v>
      </c>
      <c r="L62" s="1224">
        <f>I62/J62</f>
        <v>1.3102763300320108</v>
      </c>
      <c r="M62" s="1225">
        <f>SUM(M52:M61)</f>
        <v>8022189896</v>
      </c>
      <c r="N62" s="1226">
        <f>SUM(N52:N61)</f>
        <v>60636214</v>
      </c>
      <c r="P62" s="985">
        <v>8082826110</v>
      </c>
      <c r="Q62" s="1144">
        <f t="shared" si="2"/>
        <v>0</v>
      </c>
    </row>
    <row r="63" spans="1:17" hidden="1" outlineLevel="1">
      <c r="A63" s="985" t="s">
        <v>19</v>
      </c>
      <c r="B63" s="985" t="s">
        <v>155</v>
      </c>
      <c r="C63" s="985" t="s">
        <v>132</v>
      </c>
      <c r="D63" s="1239" t="s">
        <v>160</v>
      </c>
      <c r="E63" s="1203" t="s">
        <v>133</v>
      </c>
      <c r="F63" s="1203" t="s">
        <v>134</v>
      </c>
      <c r="G63" s="1203" t="s">
        <v>135</v>
      </c>
      <c r="H63" s="1203" t="s">
        <v>136</v>
      </c>
      <c r="I63" s="1204">
        <v>0</v>
      </c>
      <c r="J63" s="1204">
        <f>'2024년 계획_변경적용'!K45</f>
        <v>2588543740.4000001</v>
      </c>
      <c r="K63" s="1204">
        <v>0</v>
      </c>
      <c r="L63" s="1205">
        <f t="shared" ref="L63:L70" si="22">+I63/J63</f>
        <v>0</v>
      </c>
      <c r="M63" s="1204">
        <v>0</v>
      </c>
      <c r="N63" s="1200">
        <f>K63-M63</f>
        <v>0</v>
      </c>
      <c r="P63" s="985">
        <v>0</v>
      </c>
      <c r="Q63" s="1144">
        <f t="shared" si="2"/>
        <v>0</v>
      </c>
    </row>
    <row r="64" spans="1:17" hidden="1" outlineLevel="1">
      <c r="A64" s="985" t="s">
        <v>19</v>
      </c>
      <c r="B64" s="985" t="s">
        <v>155</v>
      </c>
      <c r="C64" s="985" t="s">
        <v>52</v>
      </c>
      <c r="D64" s="1201" t="str">
        <f t="shared" ref="D64:D72" si="23">D63</f>
        <v>6월</v>
      </c>
      <c r="E64" s="1203" t="s">
        <v>133</v>
      </c>
      <c r="F64" s="1203" t="s">
        <v>134</v>
      </c>
      <c r="G64" s="1203" t="s">
        <v>135</v>
      </c>
      <c r="H64" s="1203" t="s">
        <v>137</v>
      </c>
      <c r="I64" s="1204">
        <v>0</v>
      </c>
      <c r="J64" s="1204">
        <f>'2024년 계획_변경적용'!K44</f>
        <v>0</v>
      </c>
      <c r="K64" s="1204">
        <v>0</v>
      </c>
      <c r="L64" s="1205"/>
      <c r="M64" s="1204">
        <v>0</v>
      </c>
      <c r="N64" s="1207">
        <f t="shared" ref="N64:N72" si="24">K64-M64</f>
        <v>0</v>
      </c>
      <c r="P64" s="985">
        <v>0</v>
      </c>
      <c r="Q64" s="1144">
        <f t="shared" si="2"/>
        <v>0</v>
      </c>
    </row>
    <row r="65" spans="1:17" hidden="1" outlineLevel="1">
      <c r="A65" s="985" t="s">
        <v>19</v>
      </c>
      <c r="B65" s="985" t="s">
        <v>155</v>
      </c>
      <c r="C65" s="985" t="s">
        <v>22</v>
      </c>
      <c r="D65" s="1201" t="str">
        <f t="shared" si="23"/>
        <v>6월</v>
      </c>
      <c r="E65" s="1202" t="s">
        <v>133</v>
      </c>
      <c r="F65" s="1203" t="s">
        <v>134</v>
      </c>
      <c r="G65" s="1203" t="s">
        <v>135</v>
      </c>
      <c r="H65" s="1203" t="s">
        <v>138</v>
      </c>
      <c r="I65" s="1204">
        <v>490916584</v>
      </c>
      <c r="J65" s="1204">
        <f>'2024년 계획_변경적용'!K48</f>
        <v>137760000</v>
      </c>
      <c r="K65" s="1204">
        <v>490916584</v>
      </c>
      <c r="L65" s="1205"/>
      <c r="M65" s="1204">
        <v>528739976.00636256</v>
      </c>
      <c r="N65" s="1240">
        <f t="shared" si="24"/>
        <v>-37823392.006362557</v>
      </c>
      <c r="P65" s="985">
        <v>490916584</v>
      </c>
      <c r="Q65" s="1144">
        <f t="shared" si="2"/>
        <v>0</v>
      </c>
    </row>
    <row r="66" spans="1:17" hidden="1" outlineLevel="1">
      <c r="A66" s="985" t="s">
        <v>19</v>
      </c>
      <c r="B66" s="985" t="s">
        <v>155</v>
      </c>
      <c r="C66" s="985" t="s">
        <v>27</v>
      </c>
      <c r="D66" s="1201" t="str">
        <f t="shared" si="23"/>
        <v>6월</v>
      </c>
      <c r="E66" s="1203" t="s">
        <v>133</v>
      </c>
      <c r="F66" s="1203" t="s">
        <v>134</v>
      </c>
      <c r="G66" s="1203" t="s">
        <v>135</v>
      </c>
      <c r="H66" s="1203" t="s">
        <v>139</v>
      </c>
      <c r="I66" s="1204">
        <v>569738700</v>
      </c>
      <c r="J66" s="1204">
        <f>'2024년 계획_변경적용'!K46</f>
        <v>959310827.9942342</v>
      </c>
      <c r="K66" s="1204">
        <v>569738700</v>
      </c>
      <c r="L66" s="1205">
        <f t="shared" si="22"/>
        <v>0.59390416888260578</v>
      </c>
      <c r="M66" s="1204">
        <v>569738700</v>
      </c>
      <c r="N66" s="1207">
        <f t="shared" si="24"/>
        <v>0</v>
      </c>
      <c r="P66" s="985">
        <v>569738700</v>
      </c>
      <c r="Q66" s="1144">
        <f t="shared" si="2"/>
        <v>0</v>
      </c>
    </row>
    <row r="67" spans="1:17" hidden="1" outlineLevel="1">
      <c r="A67" s="985" t="s">
        <v>19</v>
      </c>
      <c r="B67" s="985" t="s">
        <v>155</v>
      </c>
      <c r="C67" s="985" t="s">
        <v>26</v>
      </c>
      <c r="D67" s="1201" t="str">
        <f t="shared" si="23"/>
        <v>6월</v>
      </c>
      <c r="E67" s="1203" t="s">
        <v>133</v>
      </c>
      <c r="F67" s="1203" t="s">
        <v>134</v>
      </c>
      <c r="G67" s="1203" t="s">
        <v>135</v>
      </c>
      <c r="H67" s="1203" t="s">
        <v>140</v>
      </c>
      <c r="I67" s="1204">
        <v>7345815300</v>
      </c>
      <c r="J67" s="1204">
        <f>'2024년 계획_변경적용'!K47</f>
        <v>3590929395</v>
      </c>
      <c r="K67" s="1204">
        <v>7345815300</v>
      </c>
      <c r="L67" s="1205">
        <f t="shared" si="22"/>
        <v>2.045658516769584</v>
      </c>
      <c r="M67" s="1204">
        <v>7289754850</v>
      </c>
      <c r="N67" s="1207">
        <f t="shared" si="24"/>
        <v>56060450</v>
      </c>
      <c r="P67" s="1144">
        <v>7345815300</v>
      </c>
      <c r="Q67" s="1144">
        <f t="shared" si="2"/>
        <v>0</v>
      </c>
    </row>
    <row r="68" spans="1:17" hidden="1" outlineLevel="1">
      <c r="A68" s="985" t="s">
        <v>19</v>
      </c>
      <c r="B68" s="985" t="s">
        <v>155</v>
      </c>
      <c r="C68" s="985" t="s">
        <v>51</v>
      </c>
      <c r="D68" s="1201" t="str">
        <f t="shared" si="23"/>
        <v>6월</v>
      </c>
      <c r="E68" s="1203" t="s">
        <v>133</v>
      </c>
      <c r="F68" s="1203" t="s">
        <v>134</v>
      </c>
      <c r="G68" s="1203" t="s">
        <v>135</v>
      </c>
      <c r="H68" s="1203" t="s">
        <v>141</v>
      </c>
      <c r="I68" s="1204">
        <v>67000000</v>
      </c>
      <c r="J68" s="1204">
        <f>'2024년 계획_변경적용'!K50</f>
        <v>67000000</v>
      </c>
      <c r="K68" s="1204">
        <v>67000000</v>
      </c>
      <c r="L68" s="1205">
        <f t="shared" si="22"/>
        <v>1</v>
      </c>
      <c r="M68" s="1204">
        <v>67000000</v>
      </c>
      <c r="N68" s="1207">
        <f t="shared" si="24"/>
        <v>0</v>
      </c>
      <c r="P68" s="985">
        <v>67000000</v>
      </c>
      <c r="Q68" s="1144">
        <f t="shared" si="2"/>
        <v>0</v>
      </c>
    </row>
    <row r="69" spans="1:17" hidden="1" outlineLevel="1">
      <c r="A69" s="985" t="s">
        <v>19</v>
      </c>
      <c r="B69" s="985" t="s">
        <v>155</v>
      </c>
      <c r="C69" s="985" t="s">
        <v>30</v>
      </c>
      <c r="D69" s="1201" t="str">
        <f t="shared" si="23"/>
        <v>6월</v>
      </c>
      <c r="E69" s="1203" t="s">
        <v>133</v>
      </c>
      <c r="F69" s="1203" t="s">
        <v>134</v>
      </c>
      <c r="G69" s="1203" t="s">
        <v>135</v>
      </c>
      <c r="H69" s="1203" t="s">
        <v>142</v>
      </c>
      <c r="I69" s="1204">
        <v>350250000</v>
      </c>
      <c r="J69" s="1204">
        <f>'2024년 계획_변경적용'!K53</f>
        <v>48000000</v>
      </c>
      <c r="K69" s="1204">
        <v>350250000</v>
      </c>
      <c r="L69" s="1205">
        <f t="shared" si="22"/>
        <v>7.296875</v>
      </c>
      <c r="M69" s="1204">
        <v>350250000</v>
      </c>
      <c r="N69" s="1207">
        <f t="shared" si="24"/>
        <v>0</v>
      </c>
      <c r="P69" s="985">
        <v>350250000</v>
      </c>
      <c r="Q69" s="1144">
        <f t="shared" si="2"/>
        <v>0</v>
      </c>
    </row>
    <row r="70" spans="1:17" hidden="1" outlineLevel="1">
      <c r="A70" s="985" t="s">
        <v>19</v>
      </c>
      <c r="B70" s="985" t="s">
        <v>155</v>
      </c>
      <c r="C70" s="985" t="s">
        <v>29</v>
      </c>
      <c r="D70" s="1201" t="str">
        <f t="shared" si="23"/>
        <v>6월</v>
      </c>
      <c r="E70" s="1203" t="s">
        <v>133</v>
      </c>
      <c r="F70" s="1203" t="s">
        <v>134</v>
      </c>
      <c r="G70" s="1203" t="s">
        <v>135</v>
      </c>
      <c r="H70" s="1203" t="s">
        <v>146</v>
      </c>
      <c r="I70" s="1204">
        <v>154620726</v>
      </c>
      <c r="J70" s="1204">
        <f>'2024년 계획_변경적용'!K51</f>
        <v>0</v>
      </c>
      <c r="K70" s="1204">
        <v>154620726</v>
      </c>
      <c r="L70" s="1205" t="e">
        <f t="shared" si="22"/>
        <v>#DIV/0!</v>
      </c>
      <c r="M70" s="1204">
        <v>154620726</v>
      </c>
      <c r="N70" s="1207">
        <f t="shared" si="24"/>
        <v>0</v>
      </c>
      <c r="P70" s="985">
        <v>154620726</v>
      </c>
      <c r="Q70" s="1144">
        <f t="shared" si="2"/>
        <v>0</v>
      </c>
    </row>
    <row r="71" spans="1:17" hidden="1" outlineLevel="1">
      <c r="A71" s="985" t="s">
        <v>19</v>
      </c>
      <c r="B71" s="985" t="s">
        <v>155</v>
      </c>
      <c r="C71" s="985" t="s">
        <v>31</v>
      </c>
      <c r="D71" s="1201" t="str">
        <f t="shared" si="23"/>
        <v>6월</v>
      </c>
      <c r="E71" s="1203" t="s">
        <v>133</v>
      </c>
      <c r="F71" s="1203" t="s">
        <v>134</v>
      </c>
      <c r="G71" s="1203" t="s">
        <v>135</v>
      </c>
      <c r="H71" s="1203" t="s">
        <v>147</v>
      </c>
      <c r="I71" s="1204">
        <v>440354167</v>
      </c>
      <c r="J71" s="1204">
        <f>'2024년 계획_변경적용'!K52</f>
        <v>395625000</v>
      </c>
      <c r="K71" s="1204">
        <v>440354167</v>
      </c>
      <c r="L71" s="1205"/>
      <c r="M71" s="1204">
        <v>440354167</v>
      </c>
      <c r="N71" s="1241">
        <f t="shared" si="24"/>
        <v>0</v>
      </c>
      <c r="P71" s="985">
        <v>440354167</v>
      </c>
      <c r="Q71" s="1144">
        <f t="shared" si="2"/>
        <v>0</v>
      </c>
    </row>
    <row r="72" spans="1:17" ht="14.4" hidden="1" outlineLevel="1" thickBot="1">
      <c r="A72" s="985" t="s">
        <v>19</v>
      </c>
      <c r="B72" s="985" t="s">
        <v>155</v>
      </c>
      <c r="C72" s="985" t="s">
        <v>32</v>
      </c>
      <c r="D72" s="1232" t="str">
        <f t="shared" si="23"/>
        <v>6월</v>
      </c>
      <c r="E72" s="1218" t="s">
        <v>133</v>
      </c>
      <c r="F72" s="1218" t="s">
        <v>134</v>
      </c>
      <c r="G72" s="1218" t="s">
        <v>135</v>
      </c>
      <c r="H72" s="1218" t="s">
        <v>148</v>
      </c>
      <c r="I72" s="1219">
        <v>15204000</v>
      </c>
      <c r="J72" s="1219">
        <v>0</v>
      </c>
      <c r="K72" s="1219">
        <v>15204000</v>
      </c>
      <c r="L72" s="1220" t="e">
        <f t="shared" ref="L72" si="25">+K72/J72</f>
        <v>#DIV/0!</v>
      </c>
      <c r="M72" s="1219">
        <v>0</v>
      </c>
      <c r="N72" s="1242">
        <f t="shared" si="24"/>
        <v>15204000</v>
      </c>
      <c r="P72" s="1144">
        <v>15204000</v>
      </c>
      <c r="Q72" s="1144">
        <f t="shared" ref="Q72:Q73" si="26">P72-I72</f>
        <v>0</v>
      </c>
    </row>
    <row r="73" spans="1:17" ht="14.4" hidden="1" outlineLevel="1" thickBot="1">
      <c r="D73" s="1222"/>
      <c r="E73" s="1527" t="s">
        <v>161</v>
      </c>
      <c r="F73" s="1527"/>
      <c r="G73" s="1527"/>
      <c r="H73" s="1528"/>
      <c r="I73" s="1223">
        <f>SUM(I63:I72)</f>
        <v>9433899477</v>
      </c>
      <c r="J73" s="1223">
        <f>SUM(J63:J72)</f>
        <v>7787168963.3942337</v>
      </c>
      <c r="K73" s="1223">
        <f>SUM(K63:K72)</f>
        <v>9433899477</v>
      </c>
      <c r="L73" s="1224">
        <f>I73/J73</f>
        <v>1.2114671610885399</v>
      </c>
      <c r="M73" s="1225">
        <f>SUM(M63:M72)</f>
        <v>9400458419.0063629</v>
      </c>
      <c r="N73" s="1226">
        <f>SUM(N63:N72)</f>
        <v>33441057.993637443</v>
      </c>
      <c r="P73" s="985">
        <v>9433899477</v>
      </c>
      <c r="Q73" s="1144">
        <f t="shared" si="26"/>
        <v>0</v>
      </c>
    </row>
    <row r="74" spans="1:17" ht="14.4" collapsed="1" thickBot="1">
      <c r="D74" s="1544" t="s">
        <v>162</v>
      </c>
      <c r="E74" s="1545"/>
      <c r="F74" s="1545"/>
      <c r="G74" s="1545"/>
      <c r="H74" s="1546"/>
      <c r="I74" s="1235">
        <f>I73+I62+I51</f>
        <v>27627650545</v>
      </c>
      <c r="J74" s="1235">
        <f>J73+J62+J51</f>
        <v>20940844819.382702</v>
      </c>
      <c r="K74" s="1235">
        <f>K73+K62+K51</f>
        <v>27627650545</v>
      </c>
      <c r="L74" s="1236">
        <f>K74/J74</f>
        <v>1.3193188137007748</v>
      </c>
      <c r="M74" s="1237">
        <f>M73+M62+M51</f>
        <v>27512590773.006363</v>
      </c>
      <c r="N74" s="1238">
        <f>N73+N62+N51</f>
        <v>115059771.99363744</v>
      </c>
      <c r="P74" s="985">
        <v>27627650545</v>
      </c>
    </row>
    <row r="75" spans="1:17" ht="14.4" thickBot="1">
      <c r="D75" s="1544" t="s">
        <v>163</v>
      </c>
      <c r="E75" s="1545"/>
      <c r="F75" s="1545"/>
      <c r="G75" s="1545"/>
      <c r="H75" s="1546"/>
      <c r="I75" s="1235">
        <f>I74+I40</f>
        <v>54591444746</v>
      </c>
      <c r="J75" s="1235">
        <f>J74+J40</f>
        <v>44277528689.602264</v>
      </c>
      <c r="K75" s="1235">
        <f>K74+K40</f>
        <v>54591444746</v>
      </c>
      <c r="L75" s="1236">
        <f>K75/J75</f>
        <v>1.2329379340184305</v>
      </c>
      <c r="M75" s="1237">
        <f>M74+M40</f>
        <v>54144879591.000595</v>
      </c>
      <c r="N75" s="1238">
        <f>N40+N51+N62+N73</f>
        <v>446565154.99940324</v>
      </c>
      <c r="P75" s="985">
        <v>54591444746</v>
      </c>
    </row>
    <row r="76" spans="1:17" hidden="1" outlineLevel="1">
      <c r="A76" s="985" t="s">
        <v>19</v>
      </c>
      <c r="B76" s="985" t="s">
        <v>99</v>
      </c>
      <c r="C76" s="985" t="s">
        <v>132</v>
      </c>
      <c r="D76" s="1239" t="s">
        <v>78</v>
      </c>
      <c r="E76" s="1203" t="s">
        <v>133</v>
      </c>
      <c r="F76" s="1203" t="s">
        <v>134</v>
      </c>
      <c r="G76" s="1203" t="s">
        <v>135</v>
      </c>
      <c r="H76" s="1203" t="s">
        <v>136</v>
      </c>
      <c r="I76" s="1204">
        <v>0</v>
      </c>
      <c r="J76" s="1204">
        <f>'2024년 계획_변경적용'!L45</f>
        <v>0</v>
      </c>
      <c r="K76" s="1204">
        <v>0</v>
      </c>
      <c r="L76" s="1205" t="e">
        <f t="shared" ref="L76:L83" si="27">+I76/J76</f>
        <v>#DIV/0!</v>
      </c>
      <c r="M76" s="1204">
        <v>0</v>
      </c>
      <c r="N76" s="1240">
        <f>K76-M76</f>
        <v>0</v>
      </c>
    </row>
    <row r="77" spans="1:17" hidden="1" outlineLevel="1">
      <c r="A77" s="985" t="s">
        <v>19</v>
      </c>
      <c r="B77" s="985" t="s">
        <v>99</v>
      </c>
      <c r="C77" s="985" t="s">
        <v>52</v>
      </c>
      <c r="D77" s="1201" t="str">
        <f t="shared" ref="D77:D85" si="28">D76</f>
        <v>7월</v>
      </c>
      <c r="E77" s="1203" t="s">
        <v>133</v>
      </c>
      <c r="F77" s="1203" t="s">
        <v>134</v>
      </c>
      <c r="G77" s="1203" t="s">
        <v>135</v>
      </c>
      <c r="H77" s="1203" t="s">
        <v>137</v>
      </c>
      <c r="I77" s="1204">
        <v>0</v>
      </c>
      <c r="J77" s="1204">
        <f>'2024년 계획_변경적용'!L44</f>
        <v>0</v>
      </c>
      <c r="K77" s="1204">
        <v>0</v>
      </c>
      <c r="L77" s="1205"/>
      <c r="M77" s="1204">
        <v>0</v>
      </c>
      <c r="N77" s="1240">
        <f t="shared" ref="N77:N85" si="29">K77-M77</f>
        <v>0</v>
      </c>
    </row>
    <row r="78" spans="1:17" hidden="1" outlineLevel="1">
      <c r="A78" s="985" t="s">
        <v>19</v>
      </c>
      <c r="B78" s="985" t="s">
        <v>99</v>
      </c>
      <c r="C78" s="985" t="s">
        <v>22</v>
      </c>
      <c r="D78" s="1201" t="str">
        <f t="shared" si="28"/>
        <v>7월</v>
      </c>
      <c r="E78" s="1202" t="s">
        <v>133</v>
      </c>
      <c r="F78" s="1203" t="s">
        <v>134</v>
      </c>
      <c r="G78" s="1203" t="s">
        <v>135</v>
      </c>
      <c r="H78" s="1203" t="s">
        <v>138</v>
      </c>
      <c r="I78" s="1204"/>
      <c r="J78" s="1204">
        <f>'2024년 계획_변경적용'!L48</f>
        <v>46760000</v>
      </c>
      <c r="K78" s="1204"/>
      <c r="L78" s="1205"/>
      <c r="M78" s="1204"/>
      <c r="N78" s="1240">
        <f t="shared" si="29"/>
        <v>0</v>
      </c>
    </row>
    <row r="79" spans="1:17" hidden="1" outlineLevel="1">
      <c r="A79" s="985" t="s">
        <v>19</v>
      </c>
      <c r="B79" s="985" t="s">
        <v>99</v>
      </c>
      <c r="C79" s="985" t="s">
        <v>27</v>
      </c>
      <c r="D79" s="1201" t="str">
        <f t="shared" si="28"/>
        <v>7월</v>
      </c>
      <c r="E79" s="1203" t="s">
        <v>133</v>
      </c>
      <c r="F79" s="1203" t="s">
        <v>134</v>
      </c>
      <c r="G79" s="1203" t="s">
        <v>135</v>
      </c>
      <c r="H79" s="1203" t="s">
        <v>139</v>
      </c>
      <c r="I79" s="1204">
        <v>353775280</v>
      </c>
      <c r="J79" s="1204">
        <f>'2024년 계획_변경적용'!L46</f>
        <v>959310827.9942342</v>
      </c>
      <c r="K79" s="1204">
        <v>353775280</v>
      </c>
      <c r="L79" s="1205">
        <f t="shared" si="27"/>
        <v>0.36878065969471818</v>
      </c>
      <c r="M79" s="1204">
        <v>353775280</v>
      </c>
      <c r="N79" s="1240">
        <f t="shared" si="29"/>
        <v>0</v>
      </c>
      <c r="O79" s="1243"/>
      <c r="Q79" s="1011"/>
    </row>
    <row r="80" spans="1:17" hidden="1" outlineLevel="1">
      <c r="A80" s="985" t="s">
        <v>19</v>
      </c>
      <c r="B80" s="985" t="s">
        <v>99</v>
      </c>
      <c r="C80" s="985" t="s">
        <v>26</v>
      </c>
      <c r="D80" s="1201" t="str">
        <f t="shared" si="28"/>
        <v>7월</v>
      </c>
      <c r="E80" s="1203" t="s">
        <v>133</v>
      </c>
      <c r="F80" s="1203" t="s">
        <v>134</v>
      </c>
      <c r="G80" s="1203" t="s">
        <v>135</v>
      </c>
      <c r="H80" s="1203" t="s">
        <v>140</v>
      </c>
      <c r="I80" s="1244">
        <v>9941539250</v>
      </c>
      <c r="J80" s="1204">
        <f>'2024년 계획_변경적용'!L47</f>
        <v>6395629100</v>
      </c>
      <c r="K80" s="1244">
        <v>9941539250</v>
      </c>
      <c r="L80" s="1205">
        <f t="shared" si="27"/>
        <v>1.5544271086639467</v>
      </c>
      <c r="M80" s="1244">
        <v>9941539250</v>
      </c>
      <c r="N80" s="1240">
        <f t="shared" si="29"/>
        <v>0</v>
      </c>
      <c r="O80" s="1243"/>
      <c r="Q80" s="1011"/>
    </row>
    <row r="81" spans="1:17" ht="17.25" hidden="1" customHeight="1" outlineLevel="1">
      <c r="A81" s="985" t="s">
        <v>19</v>
      </c>
      <c r="B81" s="985" t="s">
        <v>99</v>
      </c>
      <c r="C81" s="985" t="s">
        <v>51</v>
      </c>
      <c r="D81" s="1201" t="str">
        <f t="shared" si="28"/>
        <v>7월</v>
      </c>
      <c r="E81" s="1203" t="s">
        <v>133</v>
      </c>
      <c r="F81" s="1203" t="s">
        <v>134</v>
      </c>
      <c r="G81" s="1203" t="s">
        <v>135</v>
      </c>
      <c r="H81" s="1203" t="s">
        <v>141</v>
      </c>
      <c r="I81" s="1204">
        <v>0</v>
      </c>
      <c r="J81" s="1204">
        <f>'2024년 계획_변경적용'!L50</f>
        <v>0</v>
      </c>
      <c r="K81" s="1204">
        <v>0</v>
      </c>
      <c r="L81" s="1205"/>
      <c r="M81" s="1204">
        <v>0</v>
      </c>
      <c r="N81" s="1240">
        <f t="shared" si="29"/>
        <v>0</v>
      </c>
      <c r="Q81" s="1011"/>
    </row>
    <row r="82" spans="1:17" hidden="1" outlineLevel="1">
      <c r="A82" s="985" t="s">
        <v>19</v>
      </c>
      <c r="B82" s="985" t="s">
        <v>99</v>
      </c>
      <c r="C82" s="985" t="s">
        <v>30</v>
      </c>
      <c r="D82" s="1201" t="str">
        <f t="shared" si="28"/>
        <v>7월</v>
      </c>
      <c r="E82" s="1203" t="s">
        <v>133</v>
      </c>
      <c r="F82" s="1203" t="s">
        <v>134</v>
      </c>
      <c r="G82" s="1203" t="s">
        <v>135</v>
      </c>
      <c r="H82" s="1203" t="s">
        <v>142</v>
      </c>
      <c r="I82" s="1204">
        <v>0</v>
      </c>
      <c r="J82" s="1204">
        <f>'2024년 계획_변경적용'!L53</f>
        <v>306250000</v>
      </c>
      <c r="K82" s="1204">
        <v>0</v>
      </c>
      <c r="L82" s="1205">
        <f t="shared" si="27"/>
        <v>0</v>
      </c>
      <c r="M82" s="1204">
        <v>0</v>
      </c>
      <c r="N82" s="1240">
        <f t="shared" si="29"/>
        <v>0</v>
      </c>
      <c r="P82" s="1011"/>
    </row>
    <row r="83" spans="1:17" hidden="1" outlineLevel="1">
      <c r="A83" s="985" t="s">
        <v>19</v>
      </c>
      <c r="B83" s="985" t="s">
        <v>99</v>
      </c>
      <c r="C83" s="985" t="s">
        <v>29</v>
      </c>
      <c r="D83" s="1201" t="str">
        <f t="shared" si="28"/>
        <v>7월</v>
      </c>
      <c r="E83" s="1203" t="s">
        <v>133</v>
      </c>
      <c r="F83" s="1203" t="s">
        <v>134</v>
      </c>
      <c r="G83" s="1203" t="s">
        <v>135</v>
      </c>
      <c r="H83" s="1203" t="s">
        <v>146</v>
      </c>
      <c r="I83" s="1204">
        <v>39754430</v>
      </c>
      <c r="J83" s="1204">
        <f>'2024년 계획_변경적용'!L51</f>
        <v>0</v>
      </c>
      <c r="K83" s="1204">
        <f>23669430+16085000</f>
        <v>39754430</v>
      </c>
      <c r="L83" s="1205" t="e">
        <f t="shared" si="27"/>
        <v>#DIV/0!</v>
      </c>
      <c r="M83" s="1204">
        <v>39754430</v>
      </c>
      <c r="N83" s="1240">
        <f t="shared" si="29"/>
        <v>0</v>
      </c>
    </row>
    <row r="84" spans="1:17" hidden="1" outlineLevel="1">
      <c r="A84" s="985" t="s">
        <v>19</v>
      </c>
      <c r="B84" s="985" t="s">
        <v>99</v>
      </c>
      <c r="C84" s="985" t="s">
        <v>31</v>
      </c>
      <c r="D84" s="1201" t="str">
        <f t="shared" si="28"/>
        <v>7월</v>
      </c>
      <c r="E84" s="1203" t="s">
        <v>133</v>
      </c>
      <c r="F84" s="1203" t="s">
        <v>134</v>
      </c>
      <c r="G84" s="1203" t="s">
        <v>135</v>
      </c>
      <c r="H84" s="1203" t="s">
        <v>147</v>
      </c>
      <c r="I84" s="1204">
        <v>514454167</v>
      </c>
      <c r="J84" s="1204">
        <f>'2024년 계획_변경적용'!L52</f>
        <v>0</v>
      </c>
      <c r="K84" s="1204">
        <v>514454167</v>
      </c>
      <c r="L84" s="1205"/>
      <c r="M84" s="1204">
        <v>514454167</v>
      </c>
      <c r="N84" s="1240">
        <f t="shared" si="29"/>
        <v>0</v>
      </c>
      <c r="O84" s="1245"/>
      <c r="Q84" s="1144"/>
    </row>
    <row r="85" spans="1:17" ht="14.4" hidden="1" outlineLevel="1" thickBot="1">
      <c r="A85" s="985" t="s">
        <v>19</v>
      </c>
      <c r="B85" s="985" t="s">
        <v>99</v>
      </c>
      <c r="C85" s="985" t="s">
        <v>32</v>
      </c>
      <c r="D85" s="1232" t="str">
        <f t="shared" si="28"/>
        <v>7월</v>
      </c>
      <c r="E85" s="1218" t="s">
        <v>133</v>
      </c>
      <c r="F85" s="1218" t="s">
        <v>134</v>
      </c>
      <c r="G85" s="1218" t="s">
        <v>135</v>
      </c>
      <c r="H85" s="1218" t="s">
        <v>148</v>
      </c>
      <c r="I85" s="1219">
        <v>61027000</v>
      </c>
      <c r="J85" s="1219">
        <v>0</v>
      </c>
      <c r="K85" s="1219">
        <v>61027000</v>
      </c>
      <c r="L85" s="1220" t="e">
        <f t="shared" ref="L85" si="30">+K85/J85</f>
        <v>#DIV/0!</v>
      </c>
      <c r="M85" s="1219">
        <v>61027000</v>
      </c>
      <c r="N85" s="1242">
        <f t="shared" si="29"/>
        <v>0</v>
      </c>
      <c r="O85" s="1245"/>
    </row>
    <row r="86" spans="1:17" ht="14.4" hidden="1" outlineLevel="1" thickBot="1">
      <c r="D86" s="1222"/>
      <c r="E86" s="1527" t="s">
        <v>164</v>
      </c>
      <c r="F86" s="1527"/>
      <c r="G86" s="1527"/>
      <c r="H86" s="1528"/>
      <c r="I86" s="1223">
        <f>SUM(I76:I85)</f>
        <v>10910550127</v>
      </c>
      <c r="J86" s="1223">
        <f>SUM(J76:J85)</f>
        <v>7707949927.9942341</v>
      </c>
      <c r="K86" s="1223">
        <f>SUM(K76:K85)</f>
        <v>10910550127</v>
      </c>
      <c r="L86" s="1224">
        <f>I86/J86</f>
        <v>1.4154931244914233</v>
      </c>
      <c r="M86" s="1225">
        <f>SUM(M76:M85)</f>
        <v>10910550127</v>
      </c>
      <c r="N86" s="1226">
        <f>SUM(N76:N85)</f>
        <v>0</v>
      </c>
    </row>
    <row r="87" spans="1:17" ht="14.4" hidden="1" outlineLevel="1" thickBot="1">
      <c r="D87" s="1544" t="s">
        <v>165</v>
      </c>
      <c r="E87" s="1545"/>
      <c r="F87" s="1545"/>
      <c r="G87" s="1545"/>
      <c r="H87" s="1546"/>
      <c r="I87" s="1235">
        <f>I75+I86</f>
        <v>65501994873</v>
      </c>
      <c r="J87" s="1235">
        <f>J86+J75</f>
        <v>51985478617.596497</v>
      </c>
      <c r="K87" s="1235">
        <f>K86+K75</f>
        <v>65501994873</v>
      </c>
      <c r="L87" s="1236">
        <f>I87/J87</f>
        <v>1.2600056133912041</v>
      </c>
      <c r="M87" s="1246">
        <f>M75+M86</f>
        <v>65055429718.000595</v>
      </c>
      <c r="N87" s="1247"/>
      <c r="O87" s="1248"/>
      <c r="P87" s="1144"/>
    </row>
    <row r="88" spans="1:17" hidden="1" outlineLevel="1">
      <c r="A88" s="985" t="s">
        <v>19</v>
      </c>
      <c r="B88" s="985" t="s">
        <v>99</v>
      </c>
      <c r="C88" s="985" t="s">
        <v>132</v>
      </c>
      <c r="D88" s="1239" t="s">
        <v>166</v>
      </c>
      <c r="E88" s="1203" t="s">
        <v>133</v>
      </c>
      <c r="F88" s="1203" t="s">
        <v>134</v>
      </c>
      <c r="G88" s="1203" t="s">
        <v>135</v>
      </c>
      <c r="H88" s="1203" t="s">
        <v>136</v>
      </c>
      <c r="I88" s="1204">
        <v>0</v>
      </c>
      <c r="J88" s="1204">
        <f>'2024년 계획_변경적용'!M45</f>
        <v>0</v>
      </c>
      <c r="K88" s="1204">
        <v>0</v>
      </c>
      <c r="L88" s="1205" t="e">
        <f t="shared" ref="L88:L95" si="31">+I88/J88</f>
        <v>#DIV/0!</v>
      </c>
      <c r="M88" s="1204">
        <v>0</v>
      </c>
      <c r="N88" s="1240">
        <f>K88-M88</f>
        <v>0</v>
      </c>
    </row>
    <row r="89" spans="1:17" hidden="1" outlineLevel="1">
      <c r="A89" s="985" t="s">
        <v>19</v>
      </c>
      <c r="B89" s="985" t="s">
        <v>99</v>
      </c>
      <c r="C89" s="985" t="s">
        <v>52</v>
      </c>
      <c r="D89" s="1201" t="str">
        <f t="shared" ref="D89:D97" si="32">D88</f>
        <v>8월</v>
      </c>
      <c r="E89" s="1203" t="s">
        <v>133</v>
      </c>
      <c r="F89" s="1203" t="s">
        <v>134</v>
      </c>
      <c r="G89" s="1203" t="s">
        <v>135</v>
      </c>
      <c r="H89" s="1203" t="s">
        <v>137</v>
      </c>
      <c r="I89" s="1204">
        <v>0</v>
      </c>
      <c r="J89" s="1204">
        <f>'2024년 계획_변경적용'!M44</f>
        <v>0</v>
      </c>
      <c r="K89" s="1204">
        <v>0</v>
      </c>
      <c r="L89" s="1205"/>
      <c r="M89" s="1204">
        <v>0</v>
      </c>
      <c r="N89" s="1240">
        <f t="shared" ref="N89:N97" si="33">K89-M89</f>
        <v>0</v>
      </c>
      <c r="O89" s="1245"/>
    </row>
    <row r="90" spans="1:17" hidden="1" outlineLevel="1">
      <c r="A90" s="985" t="s">
        <v>19</v>
      </c>
      <c r="B90" s="985" t="s">
        <v>99</v>
      </c>
      <c r="C90" s="985" t="s">
        <v>22</v>
      </c>
      <c r="D90" s="1201" t="str">
        <f t="shared" si="32"/>
        <v>8월</v>
      </c>
      <c r="E90" s="1202" t="s">
        <v>133</v>
      </c>
      <c r="F90" s="1203" t="s">
        <v>134</v>
      </c>
      <c r="G90" s="1203" t="s">
        <v>135</v>
      </c>
      <c r="H90" s="1203" t="s">
        <v>138</v>
      </c>
      <c r="I90" s="1204">
        <v>1058000169</v>
      </c>
      <c r="J90" s="1204">
        <f>'2024년 계획_변경적용'!M48</f>
        <v>322280000</v>
      </c>
      <c r="K90" s="1204">
        <v>1058000169</v>
      </c>
      <c r="L90" s="1205"/>
      <c r="M90" s="1204">
        <v>1058000169</v>
      </c>
      <c r="N90" s="1240">
        <f t="shared" si="33"/>
        <v>0</v>
      </c>
      <c r="O90" s="1243"/>
      <c r="P90" s="1011"/>
      <c r="Q90" s="1011"/>
    </row>
    <row r="91" spans="1:17" hidden="1" outlineLevel="1">
      <c r="A91" s="985" t="s">
        <v>19</v>
      </c>
      <c r="B91" s="985" t="s">
        <v>99</v>
      </c>
      <c r="C91" s="985" t="s">
        <v>27</v>
      </c>
      <c r="D91" s="1201" t="str">
        <f t="shared" si="32"/>
        <v>8월</v>
      </c>
      <c r="E91" s="1203" t="s">
        <v>133</v>
      </c>
      <c r="F91" s="1203" t="s">
        <v>134</v>
      </c>
      <c r="G91" s="1203" t="s">
        <v>135</v>
      </c>
      <c r="H91" s="1203" t="s">
        <v>139</v>
      </c>
      <c r="I91" s="1204">
        <v>0</v>
      </c>
      <c r="J91" s="1204">
        <f>'2024년 계획_변경적용'!M46</f>
        <v>960406827.9942342</v>
      </c>
      <c r="K91" s="1204">
        <v>0</v>
      </c>
      <c r="L91" s="1205">
        <f t="shared" si="31"/>
        <v>0</v>
      </c>
      <c r="M91" s="1204">
        <v>0</v>
      </c>
      <c r="N91" s="1240">
        <f t="shared" si="33"/>
        <v>0</v>
      </c>
      <c r="O91" s="1249"/>
      <c r="P91" s="1250" t="s">
        <v>60</v>
      </c>
    </row>
    <row r="92" spans="1:17" hidden="1" outlineLevel="1">
      <c r="A92" s="985" t="s">
        <v>19</v>
      </c>
      <c r="B92" s="985" t="s">
        <v>99</v>
      </c>
      <c r="C92" s="985" t="s">
        <v>26</v>
      </c>
      <c r="D92" s="1201" t="str">
        <f t="shared" si="32"/>
        <v>8월</v>
      </c>
      <c r="E92" s="1203" t="s">
        <v>133</v>
      </c>
      <c r="F92" s="1203" t="s">
        <v>134</v>
      </c>
      <c r="G92" s="1203" t="s">
        <v>135</v>
      </c>
      <c r="H92" s="1203" t="s">
        <v>140</v>
      </c>
      <c r="I92" s="1204">
        <v>13647383900</v>
      </c>
      <c r="J92" s="1204">
        <f>'2024년 계획_변경적용'!M47</f>
        <v>8000557900</v>
      </c>
      <c r="K92" s="1204">
        <v>13647383900</v>
      </c>
      <c r="L92" s="1205">
        <f t="shared" si="31"/>
        <v>1.7058040289915282</v>
      </c>
      <c r="M92" s="1204">
        <v>13647383900</v>
      </c>
      <c r="N92" s="1240">
        <f t="shared" si="33"/>
        <v>0</v>
      </c>
      <c r="O92" s="1251"/>
      <c r="P92" s="1252">
        <f>+O92-K92</f>
        <v>-13647383900</v>
      </c>
    </row>
    <row r="93" spans="1:17" hidden="1" outlineLevel="1">
      <c r="A93" s="985" t="s">
        <v>19</v>
      </c>
      <c r="B93" s="985" t="s">
        <v>99</v>
      </c>
      <c r="C93" s="985" t="s">
        <v>51</v>
      </c>
      <c r="D93" s="1201" t="str">
        <f t="shared" si="32"/>
        <v>8월</v>
      </c>
      <c r="E93" s="1203" t="s">
        <v>133</v>
      </c>
      <c r="F93" s="1203" t="s">
        <v>134</v>
      </c>
      <c r="G93" s="1203" t="s">
        <v>135</v>
      </c>
      <c r="H93" s="1203" t="s">
        <v>141</v>
      </c>
      <c r="I93" s="1204">
        <v>0</v>
      </c>
      <c r="J93" s="1204">
        <f>'2024년 계획_변경적용'!M50</f>
        <v>0</v>
      </c>
      <c r="K93" s="1204">
        <v>0</v>
      </c>
      <c r="L93" s="1205" t="e">
        <f t="shared" si="31"/>
        <v>#DIV/0!</v>
      </c>
      <c r="M93" s="1204">
        <v>0</v>
      </c>
      <c r="N93" s="1240">
        <f t="shared" si="33"/>
        <v>0</v>
      </c>
      <c r="O93" s="1253"/>
    </row>
    <row r="94" spans="1:17" hidden="1" outlineLevel="1">
      <c r="A94" s="985" t="s">
        <v>19</v>
      </c>
      <c r="B94" s="985" t="s">
        <v>99</v>
      </c>
      <c r="C94" s="985" t="s">
        <v>30</v>
      </c>
      <c r="D94" s="1201" t="str">
        <f t="shared" si="32"/>
        <v>8월</v>
      </c>
      <c r="E94" s="1203" t="s">
        <v>133</v>
      </c>
      <c r="F94" s="1203" t="s">
        <v>134</v>
      </c>
      <c r="G94" s="1203" t="s">
        <v>135</v>
      </c>
      <c r="H94" s="1203" t="s">
        <v>142</v>
      </c>
      <c r="I94" s="1204">
        <v>143875000</v>
      </c>
      <c r="J94" s="1204">
        <f>'2024년 계획_변경적용'!M53</f>
        <v>0</v>
      </c>
      <c r="K94" s="1204">
        <v>143875000</v>
      </c>
      <c r="L94" s="1205" t="e">
        <f t="shared" si="31"/>
        <v>#DIV/0!</v>
      </c>
      <c r="M94" s="1204">
        <v>143875000</v>
      </c>
      <c r="N94" s="1240">
        <f t="shared" si="33"/>
        <v>0</v>
      </c>
      <c r="O94" s="1245"/>
      <c r="P94" s="985" t="s">
        <v>167</v>
      </c>
    </row>
    <row r="95" spans="1:17" hidden="1" outlineLevel="1">
      <c r="A95" s="985" t="s">
        <v>19</v>
      </c>
      <c r="B95" s="985" t="s">
        <v>99</v>
      </c>
      <c r="C95" s="985" t="s">
        <v>29</v>
      </c>
      <c r="D95" s="1201" t="str">
        <f t="shared" si="32"/>
        <v>8월</v>
      </c>
      <c r="E95" s="1203" t="s">
        <v>133</v>
      </c>
      <c r="F95" s="1203" t="s">
        <v>134</v>
      </c>
      <c r="G95" s="1203" t="s">
        <v>135</v>
      </c>
      <c r="H95" s="1203" t="s">
        <v>146</v>
      </c>
      <c r="I95" s="1204">
        <v>186269430</v>
      </c>
      <c r="J95" s="1204">
        <f>'2024년 계획_변경적용'!M51</f>
        <v>0</v>
      </c>
      <c r="K95" s="1204">
        <v>186269430</v>
      </c>
      <c r="L95" s="1205" t="e">
        <f t="shared" si="31"/>
        <v>#DIV/0!</v>
      </c>
      <c r="M95" s="1204">
        <v>186269430</v>
      </c>
      <c r="N95" s="1240">
        <f t="shared" si="33"/>
        <v>0</v>
      </c>
      <c r="O95" s="1245"/>
      <c r="P95" s="985" t="s">
        <v>168</v>
      </c>
    </row>
    <row r="96" spans="1:17" hidden="1" outlineLevel="1">
      <c r="A96" s="985" t="s">
        <v>19</v>
      </c>
      <c r="B96" s="985" t="s">
        <v>99</v>
      </c>
      <c r="C96" s="985" t="s">
        <v>31</v>
      </c>
      <c r="D96" s="1201" t="str">
        <f t="shared" si="32"/>
        <v>8월</v>
      </c>
      <c r="E96" s="1214" t="s">
        <v>133</v>
      </c>
      <c r="F96" s="1214" t="s">
        <v>134</v>
      </c>
      <c r="G96" s="1214" t="s">
        <v>135</v>
      </c>
      <c r="H96" s="1214" t="s">
        <v>147</v>
      </c>
      <c r="I96" s="1215">
        <v>333479167</v>
      </c>
      <c r="J96" s="1215">
        <f>'2024년 계획_변경적용'!M52</f>
        <v>0</v>
      </c>
      <c r="K96" s="1215">
        <v>333479167</v>
      </c>
      <c r="L96" s="1216"/>
      <c r="M96" s="1215">
        <v>333479167</v>
      </c>
      <c r="N96" s="1254">
        <f t="shared" si="33"/>
        <v>0</v>
      </c>
      <c r="O96" s="1245"/>
    </row>
    <row r="97" spans="1:16" ht="14.4" hidden="1" outlineLevel="1" thickBot="1">
      <c r="A97" s="985" t="s">
        <v>19</v>
      </c>
      <c r="B97" s="985" t="s">
        <v>99</v>
      </c>
      <c r="C97" s="985" t="s">
        <v>32</v>
      </c>
      <c r="D97" s="1232" t="str">
        <f t="shared" si="32"/>
        <v>8월</v>
      </c>
      <c r="E97" s="1218" t="s">
        <v>133</v>
      </c>
      <c r="F97" s="1218" t="s">
        <v>134</v>
      </c>
      <c r="G97" s="1218" t="s">
        <v>135</v>
      </c>
      <c r="H97" s="1218" t="s">
        <v>148</v>
      </c>
      <c r="I97" s="1219">
        <v>31683200</v>
      </c>
      <c r="J97" s="1219">
        <v>0</v>
      </c>
      <c r="K97" s="1219">
        <v>31683200</v>
      </c>
      <c r="L97" s="1220" t="e">
        <f t="shared" ref="L97" si="34">+K97/J97</f>
        <v>#DIV/0!</v>
      </c>
      <c r="M97" s="1219">
        <v>31683200</v>
      </c>
      <c r="N97" s="1242">
        <f t="shared" si="33"/>
        <v>0</v>
      </c>
      <c r="O97" s="1245"/>
    </row>
    <row r="98" spans="1:16" ht="14.4" hidden="1" outlineLevel="1" thickBot="1">
      <c r="D98" s="1529" t="s">
        <v>169</v>
      </c>
      <c r="E98" s="1530"/>
      <c r="F98" s="1530"/>
      <c r="G98" s="1530"/>
      <c r="H98" s="1531"/>
      <c r="I98" s="1223">
        <f>SUM(I88:I97)</f>
        <v>15400690866</v>
      </c>
      <c r="J98" s="1223">
        <f>SUM(J88:J97)</f>
        <v>9283244727.9942341</v>
      </c>
      <c r="K98" s="1223">
        <f>SUM(K88:K97)</f>
        <v>15400690866</v>
      </c>
      <c r="L98" s="1224">
        <f>I98/J98</f>
        <v>1.6589771483195099</v>
      </c>
      <c r="M98" s="1225">
        <f>SUM(M88:M97)</f>
        <v>15400690866</v>
      </c>
      <c r="N98" s="1226">
        <f>SUM(N88:N97)</f>
        <v>0</v>
      </c>
      <c r="O98" s="1245"/>
    </row>
    <row r="99" spans="1:16" ht="14.4" hidden="1" outlineLevel="1" thickBot="1">
      <c r="D99" s="1541" t="s">
        <v>170</v>
      </c>
      <c r="E99" s="1542"/>
      <c r="F99" s="1542"/>
      <c r="G99" s="1542"/>
      <c r="H99" s="1543"/>
      <c r="I99" s="1255">
        <f>I87+I98</f>
        <v>80902685739</v>
      </c>
      <c r="J99" s="1255">
        <f>J98+J87</f>
        <v>61268723345.590729</v>
      </c>
      <c r="K99" s="1255">
        <f>K98+K87</f>
        <v>80902685739</v>
      </c>
      <c r="L99" s="1236">
        <f>I99/J99</f>
        <v>1.3204565285727021</v>
      </c>
      <c r="M99" s="1246">
        <f>M98+M87</f>
        <v>80456120584.000595</v>
      </c>
      <c r="N99" s="1256">
        <f>K99-M99</f>
        <v>446565154.99940491</v>
      </c>
      <c r="O99" s="1257"/>
    </row>
    <row r="100" spans="1:16" hidden="1" outlineLevel="1">
      <c r="A100" s="985" t="s">
        <v>19</v>
      </c>
      <c r="B100" s="985" t="s">
        <v>99</v>
      </c>
      <c r="C100" s="985" t="s">
        <v>132</v>
      </c>
      <c r="D100" s="1239" t="s">
        <v>101</v>
      </c>
      <c r="E100" s="1203" t="s">
        <v>133</v>
      </c>
      <c r="F100" s="1203" t="s">
        <v>134</v>
      </c>
      <c r="G100" s="1203" t="s">
        <v>135</v>
      </c>
      <c r="H100" s="1203" t="s">
        <v>136</v>
      </c>
      <c r="I100" s="1204">
        <v>603655560</v>
      </c>
      <c r="J100" s="1258">
        <f>'2024년 계획_변경적용'!N45</f>
        <v>0</v>
      </c>
      <c r="K100" s="1204">
        <v>603655560</v>
      </c>
      <c r="L100" s="1259" t="e">
        <f t="shared" ref="L100:L107" si="35">+I100/J100</f>
        <v>#DIV/0!</v>
      </c>
      <c r="M100" s="1260">
        <v>603655560</v>
      </c>
      <c r="N100" s="1261">
        <f>K100-M100</f>
        <v>0</v>
      </c>
      <c r="O100" s="1262">
        <f t="shared" ref="O100:O107" si="36">I100-K100</f>
        <v>0</v>
      </c>
    </row>
    <row r="101" spans="1:16" hidden="1" outlineLevel="1">
      <c r="A101" s="985" t="s">
        <v>19</v>
      </c>
      <c r="B101" s="985" t="s">
        <v>99</v>
      </c>
      <c r="C101" s="985" t="s">
        <v>52</v>
      </c>
      <c r="D101" s="1201" t="str">
        <f t="shared" ref="D101:D109" si="37">D100</f>
        <v>9월</v>
      </c>
      <c r="E101" s="1203" t="s">
        <v>133</v>
      </c>
      <c r="F101" s="1203" t="s">
        <v>134</v>
      </c>
      <c r="G101" s="1203" t="s">
        <v>135</v>
      </c>
      <c r="H101" s="1203" t="s">
        <v>137</v>
      </c>
      <c r="I101" s="1204"/>
      <c r="J101" s="1258">
        <f>'2024년 계획_변경적용'!N44</f>
        <v>0</v>
      </c>
      <c r="K101" s="1204">
        <v>0</v>
      </c>
      <c r="L101" s="1259"/>
      <c r="M101" s="1230">
        <v>0</v>
      </c>
      <c r="N101" s="1240">
        <f t="shared" ref="N101:N109" si="38">K101-M101</f>
        <v>0</v>
      </c>
      <c r="O101" s="1262">
        <f t="shared" si="36"/>
        <v>0</v>
      </c>
    </row>
    <row r="102" spans="1:16" hidden="1" outlineLevel="1">
      <c r="A102" s="985" t="s">
        <v>19</v>
      </c>
      <c r="B102" s="985" t="s">
        <v>99</v>
      </c>
      <c r="C102" s="985" t="s">
        <v>22</v>
      </c>
      <c r="D102" s="1201" t="str">
        <f t="shared" si="37"/>
        <v>9월</v>
      </c>
      <c r="E102" s="1202" t="s">
        <v>133</v>
      </c>
      <c r="F102" s="1203" t="s">
        <v>134</v>
      </c>
      <c r="G102" s="1203" t="s">
        <v>135</v>
      </c>
      <c r="H102" s="1203" t="s">
        <v>138</v>
      </c>
      <c r="I102" s="1204">
        <v>1265402524</v>
      </c>
      <c r="J102" s="1204">
        <f>'2024년 계획_변경적용'!N48</f>
        <v>1579200000</v>
      </c>
      <c r="K102" s="1204">
        <v>1265402524</v>
      </c>
      <c r="L102" s="1205"/>
      <c r="M102" s="1230">
        <v>1265402524</v>
      </c>
      <c r="N102" s="1240">
        <f t="shared" si="38"/>
        <v>0</v>
      </c>
      <c r="O102" s="1262">
        <f t="shared" si="36"/>
        <v>0</v>
      </c>
    </row>
    <row r="103" spans="1:16" hidden="1" outlineLevel="1">
      <c r="A103" s="985" t="s">
        <v>19</v>
      </c>
      <c r="B103" s="985" t="s">
        <v>99</v>
      </c>
      <c r="C103" s="985" t="s">
        <v>27</v>
      </c>
      <c r="D103" s="1201" t="str">
        <f t="shared" si="37"/>
        <v>9월</v>
      </c>
      <c r="E103" s="1203" t="s">
        <v>133</v>
      </c>
      <c r="F103" s="1203" t="s">
        <v>134</v>
      </c>
      <c r="G103" s="1203" t="s">
        <v>135</v>
      </c>
      <c r="H103" s="1203" t="s">
        <v>139</v>
      </c>
      <c r="I103" s="1204">
        <v>363059300</v>
      </c>
      <c r="J103" s="1258">
        <f>'2024년 계획_변경적용'!N46</f>
        <v>958214827.99423397</v>
      </c>
      <c r="K103" s="1204">
        <v>363059300</v>
      </c>
      <c r="L103" s="1259">
        <f t="shared" si="35"/>
        <v>0.37889133980525785</v>
      </c>
      <c r="M103" s="1230">
        <v>363059300</v>
      </c>
      <c r="N103" s="1240">
        <f t="shared" si="38"/>
        <v>0</v>
      </c>
      <c r="O103" s="1262">
        <f t="shared" si="36"/>
        <v>0</v>
      </c>
    </row>
    <row r="104" spans="1:16" hidden="1" outlineLevel="1">
      <c r="A104" s="985" t="s">
        <v>19</v>
      </c>
      <c r="B104" s="985" t="s">
        <v>99</v>
      </c>
      <c r="C104" s="985" t="s">
        <v>26</v>
      </c>
      <c r="D104" s="1201" t="str">
        <f t="shared" si="37"/>
        <v>9월</v>
      </c>
      <c r="E104" s="1203" t="s">
        <v>133</v>
      </c>
      <c r="F104" s="1203" t="s">
        <v>134</v>
      </c>
      <c r="G104" s="1203" t="s">
        <v>135</v>
      </c>
      <c r="H104" s="1203" t="s">
        <v>140</v>
      </c>
      <c r="I104" s="1263">
        <v>11205080550</v>
      </c>
      <c r="J104" s="1258">
        <f>'2024년 계획_변경적용'!N47</f>
        <v>9421993233</v>
      </c>
      <c r="K104" s="1263">
        <v>11205080550</v>
      </c>
      <c r="L104" s="1259">
        <f t="shared" si="35"/>
        <v>1.1892473569981814</v>
      </c>
      <c r="M104" s="1264">
        <v>11205080550</v>
      </c>
      <c r="N104" s="1240">
        <f t="shared" si="38"/>
        <v>0</v>
      </c>
      <c r="O104" s="1262">
        <f t="shared" si="36"/>
        <v>0</v>
      </c>
    </row>
    <row r="105" spans="1:16" hidden="1" outlineLevel="1">
      <c r="A105" s="985" t="s">
        <v>19</v>
      </c>
      <c r="B105" s="985" t="s">
        <v>99</v>
      </c>
      <c r="C105" s="985" t="s">
        <v>51</v>
      </c>
      <c r="D105" s="1201" t="str">
        <f t="shared" si="37"/>
        <v>9월</v>
      </c>
      <c r="E105" s="1203" t="s">
        <v>133</v>
      </c>
      <c r="F105" s="1203" t="s">
        <v>134</v>
      </c>
      <c r="G105" s="1203" t="s">
        <v>135</v>
      </c>
      <c r="H105" s="1203" t="s">
        <v>141</v>
      </c>
      <c r="I105" s="1204">
        <v>30000000</v>
      </c>
      <c r="J105" s="1258">
        <f>'2024년 계획_변경적용'!N50</f>
        <v>0</v>
      </c>
      <c r="K105" s="1204">
        <v>30000000</v>
      </c>
      <c r="L105" s="1259" t="e">
        <f t="shared" si="35"/>
        <v>#DIV/0!</v>
      </c>
      <c r="M105" s="1230">
        <v>30000000</v>
      </c>
      <c r="N105" s="1240">
        <f t="shared" si="38"/>
        <v>0</v>
      </c>
      <c r="O105" s="1262">
        <f t="shared" si="36"/>
        <v>0</v>
      </c>
    </row>
    <row r="106" spans="1:16" hidden="1" outlineLevel="1">
      <c r="A106" s="985" t="s">
        <v>19</v>
      </c>
      <c r="B106" s="985" t="s">
        <v>99</v>
      </c>
      <c r="C106" s="985" t="s">
        <v>30</v>
      </c>
      <c r="D106" s="1201" t="str">
        <f t="shared" si="37"/>
        <v>9월</v>
      </c>
      <c r="E106" s="1203" t="s">
        <v>133</v>
      </c>
      <c r="F106" s="1203" t="s">
        <v>134</v>
      </c>
      <c r="G106" s="1203" t="s">
        <v>135</v>
      </c>
      <c r="H106" s="1203" t="s">
        <v>142</v>
      </c>
      <c r="I106" s="1204">
        <v>230000000</v>
      </c>
      <c r="J106" s="1258">
        <f>'2024년 계획_변경적용'!N53</f>
        <v>0</v>
      </c>
      <c r="K106" s="1204">
        <v>230000000</v>
      </c>
      <c r="L106" s="1259" t="e">
        <f t="shared" si="35"/>
        <v>#DIV/0!</v>
      </c>
      <c r="M106" s="1230">
        <v>230000000</v>
      </c>
      <c r="N106" s="1240">
        <f t="shared" si="38"/>
        <v>0</v>
      </c>
      <c r="O106" s="1262">
        <f t="shared" si="36"/>
        <v>0</v>
      </c>
    </row>
    <row r="107" spans="1:16" hidden="1" outlineLevel="1">
      <c r="A107" s="985" t="s">
        <v>19</v>
      </c>
      <c r="B107" s="985" t="s">
        <v>99</v>
      </c>
      <c r="C107" s="985" t="s">
        <v>29</v>
      </c>
      <c r="D107" s="1201" t="str">
        <f t="shared" si="37"/>
        <v>9월</v>
      </c>
      <c r="E107" s="1203" t="s">
        <v>133</v>
      </c>
      <c r="F107" s="1203" t="s">
        <v>134</v>
      </c>
      <c r="G107" s="1203" t="s">
        <v>135</v>
      </c>
      <c r="H107" s="1203" t="s">
        <v>146</v>
      </c>
      <c r="I107" s="1204">
        <v>670649430</v>
      </c>
      <c r="J107" s="1258">
        <f>'2024년 계획_변경적용'!N51</f>
        <v>0</v>
      </c>
      <c r="K107" s="1204">
        <v>670649430</v>
      </c>
      <c r="L107" s="1259" t="e">
        <f t="shared" si="35"/>
        <v>#DIV/0!</v>
      </c>
      <c r="M107" s="1230">
        <v>670649430</v>
      </c>
      <c r="N107" s="1240">
        <f t="shared" si="38"/>
        <v>0</v>
      </c>
      <c r="O107" s="1262">
        <f t="shared" si="36"/>
        <v>0</v>
      </c>
    </row>
    <row r="108" spans="1:16" hidden="1" outlineLevel="1">
      <c r="A108" s="985" t="s">
        <v>19</v>
      </c>
      <c r="B108" s="985" t="s">
        <v>99</v>
      </c>
      <c r="C108" s="985" t="s">
        <v>31</v>
      </c>
      <c r="D108" s="1201" t="str">
        <f t="shared" si="37"/>
        <v>9월</v>
      </c>
      <c r="E108" s="1214" t="s">
        <v>133</v>
      </c>
      <c r="F108" s="1214" t="s">
        <v>134</v>
      </c>
      <c r="G108" s="1214" t="s">
        <v>135</v>
      </c>
      <c r="H108" s="1214" t="s">
        <v>147</v>
      </c>
      <c r="I108" s="1215">
        <v>294129167</v>
      </c>
      <c r="J108" s="1265">
        <f>'2024년 계획_변경적용'!N52</f>
        <v>0</v>
      </c>
      <c r="K108" s="1215">
        <v>294129167</v>
      </c>
      <c r="L108" s="1266"/>
      <c r="M108" s="1267">
        <v>294129167</v>
      </c>
      <c r="N108" s="1254">
        <f t="shared" si="38"/>
        <v>0</v>
      </c>
      <c r="O108" s="1262" t="s">
        <v>171</v>
      </c>
    </row>
    <row r="109" spans="1:16" ht="14.4" hidden="1" outlineLevel="1" thickBot="1">
      <c r="A109" s="985" t="s">
        <v>19</v>
      </c>
      <c r="B109" s="985" t="s">
        <v>99</v>
      </c>
      <c r="C109" s="985" t="s">
        <v>32</v>
      </c>
      <c r="D109" s="1232" t="str">
        <f t="shared" si="37"/>
        <v>9월</v>
      </c>
      <c r="E109" s="1218" t="s">
        <v>133</v>
      </c>
      <c r="F109" s="1218" t="s">
        <v>134</v>
      </c>
      <c r="G109" s="1218" t="s">
        <v>135</v>
      </c>
      <c r="H109" s="1218" t="s">
        <v>148</v>
      </c>
      <c r="I109" s="1219">
        <v>58253000</v>
      </c>
      <c r="J109" s="1219">
        <v>0</v>
      </c>
      <c r="K109" s="1219">
        <v>58253000</v>
      </c>
      <c r="L109" s="1220" t="e">
        <f t="shared" ref="L109" si="39">+K109/J109</f>
        <v>#DIV/0!</v>
      </c>
      <c r="M109" s="1233">
        <v>58253000</v>
      </c>
      <c r="N109" s="1242">
        <f t="shared" si="38"/>
        <v>0</v>
      </c>
      <c r="O109" s="1262">
        <f>I109-K109</f>
        <v>0</v>
      </c>
      <c r="P109" s="1144"/>
    </row>
    <row r="110" spans="1:16" ht="14.4" hidden="1" outlineLevel="1" thickBot="1">
      <c r="D110" s="1529" t="s">
        <v>172</v>
      </c>
      <c r="E110" s="1530"/>
      <c r="F110" s="1530"/>
      <c r="G110" s="1530"/>
      <c r="H110" s="1531"/>
      <c r="I110" s="1223">
        <f>SUM(I100:I109)</f>
        <v>14720229531</v>
      </c>
      <c r="J110" s="1223">
        <f>SUM(J100:J109)</f>
        <v>11959408060.994234</v>
      </c>
      <c r="K110" s="1223">
        <f>SUM(K100:K109)</f>
        <v>14720229531</v>
      </c>
      <c r="L110" s="1224">
        <f>I110/J110</f>
        <v>1.2308493410313694</v>
      </c>
      <c r="M110" s="1225">
        <f>SUM(M100:M109)</f>
        <v>14720229531</v>
      </c>
      <c r="N110" s="1226">
        <f>SUM(N100:N109)</f>
        <v>0</v>
      </c>
      <c r="O110" s="1268"/>
    </row>
    <row r="111" spans="1:16" ht="14.4" collapsed="1" thickBot="1">
      <c r="D111" s="1544" t="s">
        <v>173</v>
      </c>
      <c r="E111" s="1545"/>
      <c r="F111" s="1545"/>
      <c r="G111" s="1545"/>
      <c r="H111" s="1546"/>
      <c r="I111" s="1235">
        <f>I110+I98+I86</f>
        <v>41031470524</v>
      </c>
      <c r="J111" s="1235">
        <f>J110+J98+J86</f>
        <v>28950602716.982704</v>
      </c>
      <c r="K111" s="1235">
        <f>K110+K98+K86</f>
        <v>41031470524</v>
      </c>
      <c r="L111" s="1236"/>
      <c r="M111" s="1269">
        <f>M110+M98+M86</f>
        <v>41031470524</v>
      </c>
      <c r="N111" s="1270">
        <f>K111-M111</f>
        <v>0</v>
      </c>
      <c r="O111" s="1271"/>
    </row>
    <row r="112" spans="1:16" hidden="1" outlineLevel="1">
      <c r="A112" s="985" t="s">
        <v>19</v>
      </c>
      <c r="B112" s="985" t="s">
        <v>174</v>
      </c>
      <c r="C112" s="985" t="s">
        <v>132</v>
      </c>
      <c r="D112" s="1239" t="s">
        <v>175</v>
      </c>
      <c r="E112" s="1203" t="s">
        <v>133</v>
      </c>
      <c r="F112" s="1203" t="s">
        <v>134</v>
      </c>
      <c r="G112" s="1203" t="s">
        <v>135</v>
      </c>
      <c r="H112" s="1203" t="s">
        <v>136</v>
      </c>
      <c r="I112" s="1204">
        <v>892967400</v>
      </c>
      <c r="J112" s="1204">
        <f>'2024년 계획_변경적용'!O45</f>
        <v>0</v>
      </c>
      <c r="K112" s="1204">
        <v>892967400</v>
      </c>
      <c r="L112" s="1205" t="e">
        <f t="shared" ref="L112:L120" si="40">+I112/J112</f>
        <v>#DIV/0!</v>
      </c>
      <c r="M112" s="1204">
        <v>892967400</v>
      </c>
      <c r="N112" s="1240">
        <f>K112-M112</f>
        <v>0</v>
      </c>
      <c r="O112" s="1144"/>
    </row>
    <row r="113" spans="1:18" hidden="1" outlineLevel="1">
      <c r="A113" s="985" t="s">
        <v>19</v>
      </c>
      <c r="B113" s="985" t="s">
        <v>174</v>
      </c>
      <c r="C113" s="985" t="s">
        <v>52</v>
      </c>
      <c r="D113" s="1201" t="str">
        <f t="shared" ref="D113:D121" si="41">D112</f>
        <v>10월</v>
      </c>
      <c r="E113" s="1203" t="s">
        <v>133</v>
      </c>
      <c r="F113" s="1203" t="s">
        <v>134</v>
      </c>
      <c r="G113" s="1203" t="s">
        <v>135</v>
      </c>
      <c r="H113" s="1203" t="s">
        <v>137</v>
      </c>
      <c r="I113" s="1204">
        <v>0</v>
      </c>
      <c r="J113" s="1204">
        <f>'2024년 계획_변경적용'!O44</f>
        <v>0</v>
      </c>
      <c r="K113" s="1204">
        <v>0</v>
      </c>
      <c r="L113" s="1205" t="e">
        <f t="shared" si="40"/>
        <v>#DIV/0!</v>
      </c>
      <c r="M113" s="1204">
        <v>0</v>
      </c>
      <c r="N113" s="1240">
        <f t="shared" ref="N113:N121" si="42">K113-M113</f>
        <v>0</v>
      </c>
      <c r="O113" s="1144"/>
    </row>
    <row r="114" spans="1:18" hidden="1" outlineLevel="1">
      <c r="A114" s="985" t="s">
        <v>19</v>
      </c>
      <c r="B114" s="985" t="s">
        <v>174</v>
      </c>
      <c r="C114" s="985" t="s">
        <v>22</v>
      </c>
      <c r="D114" s="1201" t="str">
        <f t="shared" si="41"/>
        <v>10월</v>
      </c>
      <c r="E114" s="1202" t="s">
        <v>133</v>
      </c>
      <c r="F114" s="1203" t="s">
        <v>134</v>
      </c>
      <c r="G114" s="1203" t="s">
        <v>135</v>
      </c>
      <c r="H114" s="1203" t="s">
        <v>138</v>
      </c>
      <c r="I114" s="1204">
        <v>1228260646</v>
      </c>
      <c r="J114" s="1204">
        <f>'2024년 계획_변경적용'!O48</f>
        <v>2868404000</v>
      </c>
      <c r="K114" s="1204">
        <v>1228260646</v>
      </c>
      <c r="L114" s="1205"/>
      <c r="M114" s="1204">
        <v>1228260646</v>
      </c>
      <c r="N114" s="1240">
        <f t="shared" si="42"/>
        <v>0</v>
      </c>
      <c r="O114" s="1144"/>
    </row>
    <row r="115" spans="1:18" hidden="1" outlineLevel="1">
      <c r="A115" s="985" t="s">
        <v>19</v>
      </c>
      <c r="B115" s="985" t="s">
        <v>174</v>
      </c>
      <c r="C115" s="985" t="s">
        <v>27</v>
      </c>
      <c r="D115" s="1201" t="str">
        <f t="shared" si="41"/>
        <v>10월</v>
      </c>
      <c r="E115" s="1203" t="s">
        <v>133</v>
      </c>
      <c r="F115" s="1203" t="s">
        <v>134</v>
      </c>
      <c r="G115" s="1203" t="s">
        <v>135</v>
      </c>
      <c r="H115" s="1203" t="s">
        <v>139</v>
      </c>
      <c r="I115" s="1204">
        <v>97554120</v>
      </c>
      <c r="J115" s="1204">
        <f>'2024년 계획_변경적용'!O46</f>
        <v>959310827.9942342</v>
      </c>
      <c r="K115" s="1204">
        <v>97554120</v>
      </c>
      <c r="L115" s="1205">
        <f t="shared" si="40"/>
        <v>0.10169187832891462</v>
      </c>
      <c r="M115" s="1204">
        <v>97554120</v>
      </c>
      <c r="N115" s="1240">
        <f t="shared" si="42"/>
        <v>0</v>
      </c>
      <c r="O115" s="1144"/>
    </row>
    <row r="116" spans="1:18" hidden="1" outlineLevel="1">
      <c r="A116" s="985" t="s">
        <v>19</v>
      </c>
      <c r="B116" s="985" t="s">
        <v>174</v>
      </c>
      <c r="C116" s="985" t="s">
        <v>26</v>
      </c>
      <c r="D116" s="1201" t="str">
        <f t="shared" si="41"/>
        <v>10월</v>
      </c>
      <c r="E116" s="1203" t="s">
        <v>133</v>
      </c>
      <c r="F116" s="1203" t="s">
        <v>134</v>
      </c>
      <c r="G116" s="1203" t="s">
        <v>135</v>
      </c>
      <c r="H116" s="1203" t="s">
        <v>140</v>
      </c>
      <c r="I116" s="1204">
        <v>10008669200</v>
      </c>
      <c r="J116" s="1204">
        <f>'2024년 계획_변경적용'!O47</f>
        <v>6504544700</v>
      </c>
      <c r="K116" s="1204">
        <v>10008669200</v>
      </c>
      <c r="L116" s="1205">
        <f t="shared" si="40"/>
        <v>1.5387194125977794</v>
      </c>
      <c r="M116" s="1204">
        <v>10008669200</v>
      </c>
      <c r="N116" s="1240">
        <f t="shared" si="42"/>
        <v>0</v>
      </c>
      <c r="O116" s="1144"/>
      <c r="R116" s="1144"/>
    </row>
    <row r="117" spans="1:18" hidden="1" outlineLevel="1">
      <c r="A117" s="985" t="s">
        <v>19</v>
      </c>
      <c r="B117" s="985" t="s">
        <v>174</v>
      </c>
      <c r="C117" s="985" t="s">
        <v>51</v>
      </c>
      <c r="D117" s="1201" t="str">
        <f t="shared" si="41"/>
        <v>10월</v>
      </c>
      <c r="E117" s="1203" t="s">
        <v>133</v>
      </c>
      <c r="F117" s="1203" t="s">
        <v>134</v>
      </c>
      <c r="G117" s="1203" t="s">
        <v>135</v>
      </c>
      <c r="H117" s="1203" t="s">
        <v>141</v>
      </c>
      <c r="I117" s="1204"/>
      <c r="J117" s="1204">
        <f>'2024년 계획_변경적용'!O50</f>
        <v>0</v>
      </c>
      <c r="K117" s="1204"/>
      <c r="L117" s="1205" t="e">
        <f t="shared" si="40"/>
        <v>#DIV/0!</v>
      </c>
      <c r="M117" s="1204"/>
      <c r="N117" s="1240">
        <f t="shared" si="42"/>
        <v>0</v>
      </c>
      <c r="O117" s="1144"/>
    </row>
    <row r="118" spans="1:18" hidden="1" outlineLevel="1">
      <c r="A118" s="985" t="s">
        <v>19</v>
      </c>
      <c r="B118" s="985" t="s">
        <v>174</v>
      </c>
      <c r="C118" s="985" t="s">
        <v>30</v>
      </c>
      <c r="D118" s="1201" t="str">
        <f t="shared" si="41"/>
        <v>10월</v>
      </c>
      <c r="E118" s="1203" t="s">
        <v>133</v>
      </c>
      <c r="F118" s="1203" t="s">
        <v>134</v>
      </c>
      <c r="G118" s="1203" t="s">
        <v>135</v>
      </c>
      <c r="H118" s="1203" t="s">
        <v>142</v>
      </c>
      <c r="I118" s="1204"/>
      <c r="J118" s="1204">
        <f>'2024년 계획_변경적용'!O53</f>
        <v>0</v>
      </c>
      <c r="K118" s="1204"/>
      <c r="L118" s="1205" t="e">
        <f t="shared" si="40"/>
        <v>#DIV/0!</v>
      </c>
      <c r="M118" s="1204"/>
      <c r="N118" s="1240">
        <f t="shared" si="42"/>
        <v>0</v>
      </c>
      <c r="O118" s="1144"/>
    </row>
    <row r="119" spans="1:18" hidden="1" outlineLevel="1">
      <c r="A119" s="985" t="s">
        <v>19</v>
      </c>
      <c r="B119" s="985" t="s">
        <v>174</v>
      </c>
      <c r="C119" s="985" t="s">
        <v>29</v>
      </c>
      <c r="D119" s="1201" t="str">
        <f t="shared" si="41"/>
        <v>10월</v>
      </c>
      <c r="E119" s="1203" t="s">
        <v>133</v>
      </c>
      <c r="F119" s="1203" t="s">
        <v>134</v>
      </c>
      <c r="G119" s="1203" t="s">
        <v>135</v>
      </c>
      <c r="H119" s="1203" t="s">
        <v>146</v>
      </c>
      <c r="I119" s="1204">
        <v>428891930</v>
      </c>
      <c r="J119" s="1204">
        <f>'2024년 계획_변경적용'!O51</f>
        <v>363000000</v>
      </c>
      <c r="K119" s="1204">
        <v>428891930</v>
      </c>
      <c r="L119" s="1205">
        <f t="shared" si="40"/>
        <v>1.1815204683195593</v>
      </c>
      <c r="M119" s="1204">
        <v>428891930</v>
      </c>
      <c r="N119" s="1240">
        <f t="shared" si="42"/>
        <v>0</v>
      </c>
      <c r="O119" s="1144" t="s">
        <v>176</v>
      </c>
    </row>
    <row r="120" spans="1:18" hidden="1" outlineLevel="1">
      <c r="A120" s="985" t="s">
        <v>19</v>
      </c>
      <c r="B120" s="985" t="s">
        <v>174</v>
      </c>
      <c r="C120" s="985" t="s">
        <v>31</v>
      </c>
      <c r="D120" s="1201" t="str">
        <f t="shared" si="41"/>
        <v>10월</v>
      </c>
      <c r="E120" s="1214" t="s">
        <v>133</v>
      </c>
      <c r="F120" s="1214" t="s">
        <v>134</v>
      </c>
      <c r="G120" s="1214" t="s">
        <v>135</v>
      </c>
      <c r="H120" s="1214" t="s">
        <v>147</v>
      </c>
      <c r="I120" s="1215">
        <v>31604167</v>
      </c>
      <c r="J120" s="1215">
        <f>'2024년 계획_변경적용'!O52</f>
        <v>0</v>
      </c>
      <c r="K120" s="1215">
        <v>31604167</v>
      </c>
      <c r="L120" s="1216" t="e">
        <f t="shared" si="40"/>
        <v>#DIV/0!</v>
      </c>
      <c r="M120" s="1215">
        <v>31604167</v>
      </c>
      <c r="N120" s="1240">
        <f t="shared" si="42"/>
        <v>0</v>
      </c>
      <c r="O120" s="1144"/>
    </row>
    <row r="121" spans="1:18" ht="14.4" hidden="1" outlineLevel="1" thickBot="1">
      <c r="A121" s="985" t="s">
        <v>19</v>
      </c>
      <c r="B121" s="985" t="s">
        <v>174</v>
      </c>
      <c r="C121" s="985" t="s">
        <v>32</v>
      </c>
      <c r="D121" s="1232" t="str">
        <f t="shared" si="41"/>
        <v>10월</v>
      </c>
      <c r="E121" s="1218" t="s">
        <v>133</v>
      </c>
      <c r="F121" s="1218" t="s">
        <v>134</v>
      </c>
      <c r="G121" s="1218" t="s">
        <v>135</v>
      </c>
      <c r="H121" s="1218" t="s">
        <v>148</v>
      </c>
      <c r="I121" s="1219">
        <v>14136000</v>
      </c>
      <c r="J121" s="1219">
        <v>0</v>
      </c>
      <c r="K121" s="1219">
        <v>14136000</v>
      </c>
      <c r="L121" s="1220" t="e">
        <f t="shared" ref="L121" si="43">+K121/J121</f>
        <v>#DIV/0!</v>
      </c>
      <c r="M121" s="1219">
        <v>14136000</v>
      </c>
      <c r="N121" s="1240">
        <f t="shared" si="42"/>
        <v>0</v>
      </c>
      <c r="O121" s="985" t="s">
        <v>177</v>
      </c>
    </row>
    <row r="122" spans="1:18" ht="14.4" hidden="1" outlineLevel="1" thickBot="1">
      <c r="D122" s="1529" t="s">
        <v>178</v>
      </c>
      <c r="E122" s="1530"/>
      <c r="F122" s="1530"/>
      <c r="G122" s="1530"/>
      <c r="H122" s="1531"/>
      <c r="I122" s="1223">
        <f>SUM(I112:I121)</f>
        <v>12702083463</v>
      </c>
      <c r="J122" s="1223">
        <f>SUM(J112:J121)</f>
        <v>10695259527.994234</v>
      </c>
      <c r="K122" s="1223">
        <f>SUM(K112:K121)</f>
        <v>12702083463</v>
      </c>
      <c r="L122" s="1224">
        <f>I122/J122</f>
        <v>1.1876367683975333</v>
      </c>
      <c r="M122" s="1225">
        <f>SUM(M112:M121)</f>
        <v>12702083463</v>
      </c>
      <c r="N122" s="1226">
        <f>SUM(N112:N121)</f>
        <v>0</v>
      </c>
      <c r="O122" s="1144"/>
    </row>
    <row r="123" spans="1:18" hidden="1" outlineLevel="1">
      <c r="A123" s="985" t="s">
        <v>19</v>
      </c>
      <c r="B123" s="985" t="s">
        <v>174</v>
      </c>
      <c r="C123" s="985" t="s">
        <v>132</v>
      </c>
      <c r="D123" s="1239" t="s">
        <v>143</v>
      </c>
      <c r="E123" s="1203" t="s">
        <v>133</v>
      </c>
      <c r="F123" s="1203" t="s">
        <v>134</v>
      </c>
      <c r="G123" s="1203" t="s">
        <v>135</v>
      </c>
      <c r="H123" s="1203" t="s">
        <v>136</v>
      </c>
      <c r="I123" s="1204"/>
      <c r="J123" s="1204">
        <f>'2024년 계획_변경적용'!P45</f>
        <v>0</v>
      </c>
      <c r="K123" s="1204">
        <v>0</v>
      </c>
      <c r="L123" s="1205" t="e">
        <f t="shared" ref="L123:L130" si="44">+I123/J123</f>
        <v>#DIV/0!</v>
      </c>
      <c r="M123" s="1204">
        <v>0</v>
      </c>
      <c r="N123" s="1240">
        <f>K123-M123</f>
        <v>0</v>
      </c>
      <c r="O123" s="1144"/>
    </row>
    <row r="124" spans="1:18" hidden="1" outlineLevel="1">
      <c r="A124" s="985" t="s">
        <v>19</v>
      </c>
      <c r="B124" s="985" t="s">
        <v>174</v>
      </c>
      <c r="C124" s="985" t="s">
        <v>52</v>
      </c>
      <c r="D124" s="1201" t="str">
        <f t="shared" ref="D124:D132" si="45">D123</f>
        <v>11월</v>
      </c>
      <c r="E124" s="1203" t="s">
        <v>133</v>
      </c>
      <c r="F124" s="1203" t="s">
        <v>134</v>
      </c>
      <c r="G124" s="1203" t="s">
        <v>135</v>
      </c>
      <c r="H124" s="1203" t="s">
        <v>137</v>
      </c>
      <c r="I124" s="1204"/>
      <c r="J124" s="1204">
        <f>'2024년 계획_변경적용'!P44</f>
        <v>0</v>
      </c>
      <c r="K124" s="1204">
        <v>0</v>
      </c>
      <c r="L124" s="1205"/>
      <c r="M124" s="1204">
        <v>0</v>
      </c>
      <c r="N124" s="1240">
        <f t="shared" ref="N124:N132" si="46">K124-M124</f>
        <v>0</v>
      </c>
      <c r="O124" s="1144"/>
    </row>
    <row r="125" spans="1:18" hidden="1" outlineLevel="1">
      <c r="A125" s="985" t="s">
        <v>19</v>
      </c>
      <c r="B125" s="985" t="s">
        <v>174</v>
      </c>
      <c r="C125" s="985" t="s">
        <v>22</v>
      </c>
      <c r="D125" s="1201" t="str">
        <f t="shared" si="45"/>
        <v>11월</v>
      </c>
      <c r="E125" s="1202" t="s">
        <v>133</v>
      </c>
      <c r="F125" s="1203" t="s">
        <v>134</v>
      </c>
      <c r="G125" s="1203" t="s">
        <v>135</v>
      </c>
      <c r="H125" s="1203" t="s">
        <v>138</v>
      </c>
      <c r="I125" s="1204">
        <v>4528225660</v>
      </c>
      <c r="J125" s="1204">
        <f>'2024년 계획_변경적용'!P48</f>
        <v>2142252000</v>
      </c>
      <c r="K125" s="1204">
        <v>4528225660</v>
      </c>
      <c r="L125" s="1205"/>
      <c r="M125" s="1204">
        <v>4528225660</v>
      </c>
      <c r="N125" s="1240">
        <f t="shared" si="46"/>
        <v>0</v>
      </c>
      <c r="O125" s="1272"/>
      <c r="P125" s="1144"/>
    </row>
    <row r="126" spans="1:18" hidden="1" outlineLevel="1">
      <c r="A126" s="985" t="s">
        <v>19</v>
      </c>
      <c r="B126" s="985" t="s">
        <v>174</v>
      </c>
      <c r="C126" s="985" t="s">
        <v>27</v>
      </c>
      <c r="D126" s="1201" t="str">
        <f t="shared" si="45"/>
        <v>11월</v>
      </c>
      <c r="E126" s="1203" t="s">
        <v>133</v>
      </c>
      <c r="F126" s="1203" t="s">
        <v>134</v>
      </c>
      <c r="G126" s="1203" t="s">
        <v>135</v>
      </c>
      <c r="H126" s="1203" t="s">
        <v>139</v>
      </c>
      <c r="I126" s="1204">
        <v>166471840</v>
      </c>
      <c r="J126" s="1204">
        <f>'2024년 계획_변경적용'!P46</f>
        <v>959310827.9942342</v>
      </c>
      <c r="K126" s="1204">
        <v>166471840</v>
      </c>
      <c r="L126" s="1205">
        <f t="shared" si="44"/>
        <v>0.1735327436552197</v>
      </c>
      <c r="M126" s="1204">
        <v>166471840</v>
      </c>
      <c r="N126" s="1240">
        <f t="shared" si="46"/>
        <v>0</v>
      </c>
      <c r="O126" s="1144"/>
    </row>
    <row r="127" spans="1:18" hidden="1" outlineLevel="1">
      <c r="A127" s="985" t="s">
        <v>19</v>
      </c>
      <c r="B127" s="985" t="s">
        <v>174</v>
      </c>
      <c r="C127" s="985" t="s">
        <v>26</v>
      </c>
      <c r="D127" s="1201" t="str">
        <f t="shared" si="45"/>
        <v>11월</v>
      </c>
      <c r="E127" s="1203" t="s">
        <v>133</v>
      </c>
      <c r="F127" s="1203" t="s">
        <v>134</v>
      </c>
      <c r="G127" s="1203" t="s">
        <v>135</v>
      </c>
      <c r="H127" s="1203" t="s">
        <v>140</v>
      </c>
      <c r="I127" s="1204">
        <v>7377697800</v>
      </c>
      <c r="J127" s="1204">
        <f>'2024년 계획_변경적용'!P47</f>
        <v>4201715500</v>
      </c>
      <c r="K127" s="1204">
        <v>7377697800</v>
      </c>
      <c r="L127" s="1205">
        <f t="shared" si="44"/>
        <v>1.7558775219312208</v>
      </c>
      <c r="M127" s="1204">
        <v>7377697800</v>
      </c>
      <c r="N127" s="1240">
        <f t="shared" si="46"/>
        <v>0</v>
      </c>
      <c r="O127" s="1144" t="s">
        <v>179</v>
      </c>
    </row>
    <row r="128" spans="1:18" hidden="1" outlineLevel="1">
      <c r="A128" s="985" t="s">
        <v>19</v>
      </c>
      <c r="B128" s="985" t="s">
        <v>174</v>
      </c>
      <c r="C128" s="985" t="s">
        <v>51</v>
      </c>
      <c r="D128" s="1201" t="str">
        <f t="shared" si="45"/>
        <v>11월</v>
      </c>
      <c r="E128" s="1203" t="s">
        <v>133</v>
      </c>
      <c r="F128" s="1203" t="s">
        <v>134</v>
      </c>
      <c r="G128" s="1203" t="s">
        <v>135</v>
      </c>
      <c r="H128" s="1203" t="s">
        <v>141</v>
      </c>
      <c r="I128" s="1204"/>
      <c r="J128" s="1204">
        <f>'2024년 계획_변경적용'!P50</f>
        <v>107000000</v>
      </c>
      <c r="K128" s="1204"/>
      <c r="L128" s="1205">
        <f t="shared" si="44"/>
        <v>0</v>
      </c>
      <c r="M128" s="1204"/>
      <c r="N128" s="1240">
        <f t="shared" si="46"/>
        <v>0</v>
      </c>
      <c r="O128" s="1144"/>
    </row>
    <row r="129" spans="1:16" hidden="1" outlineLevel="1">
      <c r="A129" s="985" t="s">
        <v>19</v>
      </c>
      <c r="B129" s="985" t="s">
        <v>174</v>
      </c>
      <c r="C129" s="985" t="s">
        <v>30</v>
      </c>
      <c r="D129" s="1201" t="str">
        <f t="shared" si="45"/>
        <v>11월</v>
      </c>
      <c r="E129" s="1203" t="s">
        <v>133</v>
      </c>
      <c r="F129" s="1203" t="s">
        <v>134</v>
      </c>
      <c r="G129" s="1203" t="s">
        <v>135</v>
      </c>
      <c r="H129" s="1203" t="s">
        <v>142</v>
      </c>
      <c r="I129" s="1204">
        <v>38500000</v>
      </c>
      <c r="J129" s="1204">
        <f>'2024년 계획_변경적용'!P53</f>
        <v>720875000</v>
      </c>
      <c r="K129" s="1204">
        <v>38500000</v>
      </c>
      <c r="L129" s="1205">
        <f t="shared" si="44"/>
        <v>5.3407317496098491E-2</v>
      </c>
      <c r="M129" s="1204">
        <v>38500000</v>
      </c>
      <c r="N129" s="1240">
        <f t="shared" si="46"/>
        <v>0</v>
      </c>
      <c r="O129" s="1144"/>
    </row>
    <row r="130" spans="1:16" hidden="1" outlineLevel="1">
      <c r="A130" s="985" t="s">
        <v>19</v>
      </c>
      <c r="B130" s="985" t="s">
        <v>174</v>
      </c>
      <c r="C130" s="985" t="s">
        <v>29</v>
      </c>
      <c r="D130" s="1201" t="str">
        <f t="shared" si="45"/>
        <v>11월</v>
      </c>
      <c r="E130" s="1203" t="s">
        <v>133</v>
      </c>
      <c r="F130" s="1203" t="s">
        <v>134</v>
      </c>
      <c r="G130" s="1203" t="s">
        <v>135</v>
      </c>
      <c r="H130" s="1203" t="s">
        <v>146</v>
      </c>
      <c r="I130" s="1204">
        <v>110001036</v>
      </c>
      <c r="J130" s="1204">
        <f>'2024년 계획_변경적용'!P51</f>
        <v>724900000</v>
      </c>
      <c r="K130" s="1204">
        <v>110001036</v>
      </c>
      <c r="L130" s="1205">
        <f t="shared" si="44"/>
        <v>0.15174649744792384</v>
      </c>
      <c r="M130" s="1204">
        <v>110001036</v>
      </c>
      <c r="N130" s="1240">
        <f t="shared" si="46"/>
        <v>0</v>
      </c>
      <c r="O130" s="1144" t="s">
        <v>180</v>
      </c>
    </row>
    <row r="131" spans="1:16" hidden="1" outlineLevel="1">
      <c r="A131" s="985" t="s">
        <v>19</v>
      </c>
      <c r="B131" s="985" t="s">
        <v>174</v>
      </c>
      <c r="C131" s="985" t="s">
        <v>31</v>
      </c>
      <c r="D131" s="1201" t="str">
        <f t="shared" si="45"/>
        <v>11월</v>
      </c>
      <c r="E131" s="1214" t="s">
        <v>133</v>
      </c>
      <c r="F131" s="1214" t="s">
        <v>134</v>
      </c>
      <c r="G131" s="1214" t="s">
        <v>135</v>
      </c>
      <c r="H131" s="1214" t="s">
        <v>147</v>
      </c>
      <c r="I131" s="1215">
        <v>125354167</v>
      </c>
      <c r="J131" s="1215">
        <f>'2024년 계획_변경적용'!P52</f>
        <v>234375000</v>
      </c>
      <c r="K131" s="1215">
        <v>125354167</v>
      </c>
      <c r="L131" s="1216"/>
      <c r="M131" s="1215">
        <v>125354167</v>
      </c>
      <c r="N131" s="1240">
        <f t="shared" si="46"/>
        <v>0</v>
      </c>
      <c r="O131" s="1144"/>
      <c r="P131" s="1011">
        <v>109103480</v>
      </c>
    </row>
    <row r="132" spans="1:16" ht="14.4" hidden="1" outlineLevel="1" thickBot="1">
      <c r="A132" s="985" t="s">
        <v>19</v>
      </c>
      <c r="B132" s="985" t="s">
        <v>174</v>
      </c>
      <c r="C132" s="985" t="s">
        <v>32</v>
      </c>
      <c r="D132" s="1232" t="str">
        <f t="shared" si="45"/>
        <v>11월</v>
      </c>
      <c r="E132" s="1218" t="s">
        <v>133</v>
      </c>
      <c r="F132" s="1218" t="s">
        <v>134</v>
      </c>
      <c r="G132" s="1218" t="s">
        <v>135</v>
      </c>
      <c r="H132" s="1218" t="s">
        <v>148</v>
      </c>
      <c r="I132" s="1219">
        <v>15738000</v>
      </c>
      <c r="J132" s="1219">
        <v>0</v>
      </c>
      <c r="K132" s="1219">
        <v>15738000</v>
      </c>
      <c r="L132" s="1220" t="e">
        <f t="shared" ref="L132" si="47">+K132/J132</f>
        <v>#DIV/0!</v>
      </c>
      <c r="M132" s="1219">
        <v>15738000</v>
      </c>
      <c r="N132" s="1240">
        <f t="shared" si="46"/>
        <v>0</v>
      </c>
      <c r="O132" s="985" t="s">
        <v>177</v>
      </c>
    </row>
    <row r="133" spans="1:16" ht="14.4" hidden="1" outlineLevel="1" thickBot="1">
      <c r="D133" s="1529" t="s">
        <v>181</v>
      </c>
      <c r="E133" s="1530"/>
      <c r="F133" s="1530"/>
      <c r="G133" s="1530"/>
      <c r="H133" s="1531"/>
      <c r="I133" s="1223">
        <f>SUM(I123:I132)</f>
        <v>12361988503</v>
      </c>
      <c r="J133" s="1223">
        <f>SUM(J123:J132)</f>
        <v>9090428327.9942341</v>
      </c>
      <c r="K133" s="1223">
        <f>SUM(K123:K132)</f>
        <v>12361988503</v>
      </c>
      <c r="L133" s="1224">
        <f>I133/J133</f>
        <v>1.3598906516792946</v>
      </c>
      <c r="M133" s="1225">
        <f>SUM(M123:M132)</f>
        <v>12361988503</v>
      </c>
      <c r="N133" s="1226">
        <f>SUM(N123:N132)</f>
        <v>0</v>
      </c>
      <c r="P133" s="1273"/>
    </row>
    <row r="134" spans="1:16" hidden="1" outlineLevel="1">
      <c r="A134" s="985" t="s">
        <v>19</v>
      </c>
      <c r="B134" s="985" t="s">
        <v>174</v>
      </c>
      <c r="C134" s="985" t="s">
        <v>132</v>
      </c>
      <c r="D134" s="1195" t="s">
        <v>144</v>
      </c>
      <c r="E134" s="1274" t="s">
        <v>133</v>
      </c>
      <c r="F134" s="1274" t="s">
        <v>134</v>
      </c>
      <c r="G134" s="1274" t="s">
        <v>135</v>
      </c>
      <c r="H134" s="1274" t="s">
        <v>136</v>
      </c>
      <c r="I134" s="1275"/>
      <c r="J134" s="1275">
        <f>'2024년 계획_변경적용'!Q45</f>
        <v>0</v>
      </c>
      <c r="K134" s="1275"/>
      <c r="L134" s="1276" t="e">
        <f t="shared" ref="L134:L141" si="48">+I134/J134</f>
        <v>#DIV/0!</v>
      </c>
      <c r="M134" s="1275"/>
      <c r="N134" s="1261">
        <f>K134-M134</f>
        <v>0</v>
      </c>
      <c r="O134" s="1144"/>
    </row>
    <row r="135" spans="1:16" hidden="1" outlineLevel="1">
      <c r="A135" s="985" t="s">
        <v>19</v>
      </c>
      <c r="B135" s="985" t="s">
        <v>174</v>
      </c>
      <c r="C135" s="985" t="s">
        <v>52</v>
      </c>
      <c r="D135" s="1201" t="str">
        <f t="shared" ref="D135:D143" si="49">D134</f>
        <v>12월</v>
      </c>
      <c r="E135" s="1203" t="s">
        <v>133</v>
      </c>
      <c r="F135" s="1203" t="s">
        <v>134</v>
      </c>
      <c r="G135" s="1203" t="s">
        <v>135</v>
      </c>
      <c r="H135" s="1203" t="s">
        <v>137</v>
      </c>
      <c r="I135" s="1204"/>
      <c r="J135" s="1204">
        <f>'2024년 계획_변경적용'!Q44</f>
        <v>0</v>
      </c>
      <c r="K135" s="1204"/>
      <c r="L135" s="1205"/>
      <c r="M135" s="1204">
        <v>0</v>
      </c>
      <c r="N135" s="1240">
        <f t="shared" ref="N135:N143" si="50">K135-M135</f>
        <v>0</v>
      </c>
      <c r="O135" s="1144"/>
    </row>
    <row r="136" spans="1:16" hidden="1" outlineLevel="1">
      <c r="A136" s="985" t="s">
        <v>19</v>
      </c>
      <c r="B136" s="985" t="s">
        <v>174</v>
      </c>
      <c r="C136" s="985" t="s">
        <v>22</v>
      </c>
      <c r="D136" s="1201" t="str">
        <f t="shared" si="49"/>
        <v>12월</v>
      </c>
      <c r="E136" s="1202" t="s">
        <v>133</v>
      </c>
      <c r="F136" s="1203" t="s">
        <v>134</v>
      </c>
      <c r="G136" s="1203" t="s">
        <v>135</v>
      </c>
      <c r="H136" s="1203" t="s">
        <v>138</v>
      </c>
      <c r="I136" s="1204">
        <v>6019051822</v>
      </c>
      <c r="J136" s="1204">
        <f>'2024년 계획_변경적용'!Q48</f>
        <v>495684000</v>
      </c>
      <c r="K136" s="1204">
        <v>6019051822</v>
      </c>
      <c r="L136" s="1205"/>
      <c r="M136" s="1204"/>
      <c r="N136" s="1240">
        <f t="shared" si="50"/>
        <v>6019051822</v>
      </c>
      <c r="O136" s="1262" t="s">
        <v>182</v>
      </c>
      <c r="P136" s="1144"/>
    </row>
    <row r="137" spans="1:16" hidden="1" outlineLevel="1">
      <c r="A137" s="985" t="s">
        <v>19</v>
      </c>
      <c r="B137" s="985" t="s">
        <v>174</v>
      </c>
      <c r="C137" s="985" t="s">
        <v>27</v>
      </c>
      <c r="D137" s="1201" t="str">
        <f t="shared" si="49"/>
        <v>12월</v>
      </c>
      <c r="E137" s="1203" t="s">
        <v>133</v>
      </c>
      <c r="F137" s="1203" t="s">
        <v>134</v>
      </c>
      <c r="G137" s="1203" t="s">
        <v>135</v>
      </c>
      <c r="H137" s="1203" t="s">
        <v>139</v>
      </c>
      <c r="I137" s="1204">
        <v>190623740</v>
      </c>
      <c r="J137" s="1204">
        <f>'2024년 계획_변경적용'!Q46</f>
        <v>959310827.9942342</v>
      </c>
      <c r="K137" s="1204">
        <v>190623740</v>
      </c>
      <c r="L137" s="1205">
        <f t="shared" si="48"/>
        <v>0.19870904657520005</v>
      </c>
      <c r="M137" s="1204">
        <v>207985840</v>
      </c>
      <c r="N137" s="1240">
        <f t="shared" si="50"/>
        <v>-17362100</v>
      </c>
      <c r="O137" s="1144"/>
    </row>
    <row r="138" spans="1:16" hidden="1" outlineLevel="1">
      <c r="A138" s="985" t="s">
        <v>19</v>
      </c>
      <c r="B138" s="985" t="s">
        <v>174</v>
      </c>
      <c r="C138" s="985" t="s">
        <v>26</v>
      </c>
      <c r="D138" s="1201" t="str">
        <f t="shared" si="49"/>
        <v>12월</v>
      </c>
      <c r="E138" s="1203" t="s">
        <v>133</v>
      </c>
      <c r="F138" s="1203" t="s">
        <v>134</v>
      </c>
      <c r="G138" s="1203" t="s">
        <v>135</v>
      </c>
      <c r="H138" s="1203" t="s">
        <v>140</v>
      </c>
      <c r="I138" s="1204">
        <v>8035017050</v>
      </c>
      <c r="J138" s="1204">
        <f>'2024년 계획_변경적용'!Q47</f>
        <v>14634343765</v>
      </c>
      <c r="K138" s="1204">
        <v>8035017050</v>
      </c>
      <c r="L138" s="1205">
        <f t="shared" si="48"/>
        <v>0.54905209136994737</v>
      </c>
      <c r="M138" s="1273">
        <v>7963474100</v>
      </c>
      <c r="N138" s="1240">
        <f t="shared" si="50"/>
        <v>71542950</v>
      </c>
      <c r="O138" s="1144"/>
    </row>
    <row r="139" spans="1:16" hidden="1" outlineLevel="1">
      <c r="A139" s="985" t="s">
        <v>19</v>
      </c>
      <c r="B139" s="985" t="s">
        <v>174</v>
      </c>
      <c r="C139" s="985" t="s">
        <v>51</v>
      </c>
      <c r="D139" s="1201" t="str">
        <f t="shared" si="49"/>
        <v>12월</v>
      </c>
      <c r="E139" s="1203" t="s">
        <v>133</v>
      </c>
      <c r="F139" s="1203" t="s">
        <v>134</v>
      </c>
      <c r="G139" s="1203" t="s">
        <v>135</v>
      </c>
      <c r="H139" s="1203" t="s">
        <v>141</v>
      </c>
      <c r="I139" s="1204">
        <v>134600000</v>
      </c>
      <c r="J139" s="1204">
        <f>'2024년 계획_변경적용'!Q50</f>
        <v>67000000</v>
      </c>
      <c r="K139" s="1204">
        <v>134600000</v>
      </c>
      <c r="L139" s="1205">
        <f t="shared" si="48"/>
        <v>2.008955223880597</v>
      </c>
      <c r="M139" s="1204">
        <v>134000000</v>
      </c>
      <c r="N139" s="1240">
        <f t="shared" si="50"/>
        <v>600000</v>
      </c>
      <c r="O139" s="1144"/>
    </row>
    <row r="140" spans="1:16" hidden="1" outlineLevel="1">
      <c r="A140" s="985" t="s">
        <v>19</v>
      </c>
      <c r="B140" s="985" t="s">
        <v>174</v>
      </c>
      <c r="C140" s="985" t="s">
        <v>30</v>
      </c>
      <c r="D140" s="1201" t="str">
        <f t="shared" si="49"/>
        <v>12월</v>
      </c>
      <c r="E140" s="1203" t="s">
        <v>133</v>
      </c>
      <c r="F140" s="1203" t="s">
        <v>134</v>
      </c>
      <c r="G140" s="1203" t="s">
        <v>135</v>
      </c>
      <c r="H140" s="1203" t="s">
        <v>142</v>
      </c>
      <c r="I140" s="1204">
        <v>46875000</v>
      </c>
      <c r="J140" s="1204">
        <f>'2024년 계획_변경적용'!Q53</f>
        <v>257375000</v>
      </c>
      <c r="K140" s="1204">
        <v>46875000</v>
      </c>
      <c r="L140" s="1205">
        <f t="shared" si="48"/>
        <v>0.1821272462360369</v>
      </c>
      <c r="M140" s="1277">
        <v>46875000</v>
      </c>
      <c r="N140" s="1240">
        <f t="shared" si="50"/>
        <v>0</v>
      </c>
      <c r="O140" s="1144"/>
    </row>
    <row r="141" spans="1:16" hidden="1" outlineLevel="1">
      <c r="A141" s="985" t="s">
        <v>19</v>
      </c>
      <c r="B141" s="985" t="s">
        <v>174</v>
      </c>
      <c r="C141" s="985" t="s">
        <v>29</v>
      </c>
      <c r="D141" s="1201" t="str">
        <f t="shared" si="49"/>
        <v>12월</v>
      </c>
      <c r="E141" s="1203" t="s">
        <v>133</v>
      </c>
      <c r="F141" s="1203" t="s">
        <v>134</v>
      </c>
      <c r="G141" s="1203" t="s">
        <v>135</v>
      </c>
      <c r="H141" s="1203" t="s">
        <v>146</v>
      </c>
      <c r="I141" s="1204">
        <v>476323136</v>
      </c>
      <c r="J141" s="1204">
        <f>'2024년 계획_변경적용'!Q51</f>
        <v>437000000</v>
      </c>
      <c r="K141" s="1204">
        <v>476323136</v>
      </c>
      <c r="L141" s="1205">
        <f t="shared" si="48"/>
        <v>1.0899842929061785</v>
      </c>
      <c r="M141" s="1277">
        <v>435360000</v>
      </c>
      <c r="N141" s="1240">
        <f t="shared" si="50"/>
        <v>40963136</v>
      </c>
      <c r="O141" s="1262" t="s">
        <v>183</v>
      </c>
    </row>
    <row r="142" spans="1:16" hidden="1" outlineLevel="1">
      <c r="A142" s="985" t="s">
        <v>19</v>
      </c>
      <c r="B142" s="985" t="s">
        <v>174</v>
      </c>
      <c r="C142" s="985" t="s">
        <v>31</v>
      </c>
      <c r="D142" s="1201" t="str">
        <f t="shared" si="49"/>
        <v>12월</v>
      </c>
      <c r="E142" s="1214" t="s">
        <v>133</v>
      </c>
      <c r="F142" s="1214" t="s">
        <v>134</v>
      </c>
      <c r="G142" s="1214" t="s">
        <v>135</v>
      </c>
      <c r="H142" s="1214" t="s">
        <v>147</v>
      </c>
      <c r="I142" s="1215">
        <v>31604167</v>
      </c>
      <c r="J142" s="1215">
        <f>'2024년 계획_변경적용'!Q52</f>
        <v>234375000</v>
      </c>
      <c r="K142" s="1215">
        <v>31604167</v>
      </c>
      <c r="L142" s="1216"/>
      <c r="M142" s="1215">
        <v>31604167</v>
      </c>
      <c r="N142" s="1240">
        <f t="shared" si="50"/>
        <v>0</v>
      </c>
      <c r="O142" s="1278"/>
    </row>
    <row r="143" spans="1:16" ht="14.4" hidden="1" outlineLevel="1" thickBot="1">
      <c r="A143" s="985" t="s">
        <v>19</v>
      </c>
      <c r="B143" s="985" t="s">
        <v>174</v>
      </c>
      <c r="C143" s="985" t="s">
        <v>32</v>
      </c>
      <c r="D143" s="1279" t="str">
        <f t="shared" si="49"/>
        <v>12월</v>
      </c>
      <c r="E143" s="1218" t="s">
        <v>133</v>
      </c>
      <c r="F143" s="1218" t="s">
        <v>134</v>
      </c>
      <c r="G143" s="1218" t="s">
        <v>135</v>
      </c>
      <c r="H143" s="1218" t="s">
        <v>148</v>
      </c>
      <c r="I143" s="1219">
        <v>167447981</v>
      </c>
      <c r="J143" s="1219">
        <v>0</v>
      </c>
      <c r="K143" s="1219">
        <v>167447981</v>
      </c>
      <c r="L143" s="1220" t="e">
        <f t="shared" ref="L143" si="51">+K143/J143</f>
        <v>#DIV/0!</v>
      </c>
      <c r="M143" s="1219">
        <v>0</v>
      </c>
      <c r="N143" s="1240">
        <f t="shared" si="50"/>
        <v>167447981</v>
      </c>
    </row>
    <row r="144" spans="1:16" ht="14.4" hidden="1" outlineLevel="1" thickBot="1">
      <c r="D144" s="1529" t="s">
        <v>184</v>
      </c>
      <c r="E144" s="1530"/>
      <c r="F144" s="1530"/>
      <c r="G144" s="1530"/>
      <c r="H144" s="1531"/>
      <c r="I144" s="1223">
        <f>SUM(I134:I143)</f>
        <v>15101542896</v>
      </c>
      <c r="J144" s="1223">
        <f>SUM(J134:J143)</f>
        <v>17085088592.994234</v>
      </c>
      <c r="K144" s="1223">
        <f>SUM(K134:K143)</f>
        <v>15101542896</v>
      </c>
      <c r="L144" s="1224">
        <f>I144/J144</f>
        <v>0.88390193669773598</v>
      </c>
      <c r="M144" s="1225">
        <f>SUM(M134:M143)</f>
        <v>8819299107</v>
      </c>
      <c r="N144" s="1226">
        <f>SUM(N134:N143)</f>
        <v>6282243789</v>
      </c>
      <c r="O144" s="1280"/>
    </row>
    <row r="145" spans="1:20" ht="17.850000000000001" customHeight="1" collapsed="1" thickBot="1">
      <c r="D145" s="1541" t="s">
        <v>185</v>
      </c>
      <c r="E145" s="1542"/>
      <c r="F145" s="1542"/>
      <c r="G145" s="1542"/>
      <c r="H145" s="1543"/>
      <c r="I145" s="1235">
        <f>SUM(I135:I144)</f>
        <v>30203085792</v>
      </c>
      <c r="J145" s="1235">
        <f>SUM(J122,J133,J144)</f>
        <v>36870776448.982704</v>
      </c>
      <c r="K145" s="1235">
        <f>SUM(K122,K133,K144)</f>
        <v>40165614862</v>
      </c>
      <c r="L145" s="1236">
        <f>I145/J145</f>
        <v>0.81916055751609562</v>
      </c>
      <c r="M145" s="1269">
        <f>SUM(M122,M133,M144)</f>
        <v>33883371073</v>
      </c>
      <c r="N145" s="1281">
        <f>SUM(N122,N133,N144)</f>
        <v>6282243789</v>
      </c>
    </row>
    <row r="146" spans="1:20" ht="14.4" thickBot="1">
      <c r="D146" s="1538" t="s">
        <v>186</v>
      </c>
      <c r="E146" s="1539"/>
      <c r="F146" s="1539"/>
      <c r="G146" s="1539"/>
      <c r="H146" s="1540"/>
      <c r="I146" s="1282">
        <f>SUM(I136:I145)</f>
        <v>60406171584</v>
      </c>
      <c r="J146" s="1282">
        <f>SUM(J17,J28,J39,J51,J62,J73,J86,J98,J110,J122,J133,J144)</f>
        <v>110098907855.56766</v>
      </c>
      <c r="K146" s="1282">
        <f>SUM(K17,K28,K39,K51,K62,K73,K86,K98,K110,K122,K133,K144)</f>
        <v>135788530132</v>
      </c>
      <c r="L146" s="1283">
        <f>I146/J146</f>
        <v>0.54865368567727613</v>
      </c>
      <c r="M146" s="1284">
        <f>SUM(M17,M28,M39,M51,M62,M73,M86,M98,M110,M122,M133,M144)</f>
        <v>129059721188.0006</v>
      </c>
      <c r="N146" s="1285">
        <f>SUM(N17,N28,N39,N51,N62,N73,N86,N98,N110,N122,N133,N144)</f>
        <v>6728808943.999403</v>
      </c>
    </row>
    <row r="147" spans="1:20" hidden="1" outlineLevel="1">
      <c r="A147" s="985" t="s">
        <v>21</v>
      </c>
      <c r="B147" s="985" t="s">
        <v>2</v>
      </c>
      <c r="C147" s="985" t="s">
        <v>106</v>
      </c>
      <c r="D147" s="1195" t="s">
        <v>3</v>
      </c>
      <c r="E147" s="1274" t="s">
        <v>133</v>
      </c>
      <c r="F147" s="1274" t="s">
        <v>134</v>
      </c>
      <c r="G147" s="1274" t="s">
        <v>135</v>
      </c>
      <c r="H147" s="1274" t="s">
        <v>136</v>
      </c>
      <c r="I147" s="1275"/>
      <c r="J147" s="1275"/>
      <c r="K147" s="1275"/>
      <c r="L147" s="1276" t="e">
        <f t="shared" ref="L147" si="52">+I147/J147</f>
        <v>#DIV/0!</v>
      </c>
      <c r="M147" s="1275"/>
      <c r="N147" s="1261">
        <f>K147-M147</f>
        <v>0</v>
      </c>
      <c r="O147" s="1144"/>
    </row>
    <row r="148" spans="1:20" hidden="1" outlineLevel="1">
      <c r="A148" s="985" t="s">
        <v>21</v>
      </c>
      <c r="B148" s="985" t="s">
        <v>2</v>
      </c>
      <c r="C148" s="985" t="s">
        <v>106</v>
      </c>
      <c r="D148" s="1201" t="str">
        <f t="shared" ref="D148:D156" si="53">D147</f>
        <v>1월</v>
      </c>
      <c r="E148" s="1203" t="s">
        <v>133</v>
      </c>
      <c r="F148" s="1203" t="s">
        <v>134</v>
      </c>
      <c r="G148" s="1203" t="s">
        <v>135</v>
      </c>
      <c r="H148" s="1203" t="s">
        <v>137</v>
      </c>
      <c r="I148" s="1204"/>
      <c r="J148" s="1204"/>
      <c r="K148" s="1204"/>
      <c r="L148" s="1205"/>
      <c r="M148" s="1204"/>
      <c r="N148" s="1240">
        <f t="shared" ref="N148:N156" si="54">K148-M148</f>
        <v>0</v>
      </c>
      <c r="O148" s="1144"/>
    </row>
    <row r="149" spans="1:20" hidden="1" outlineLevel="1">
      <c r="A149" s="985" t="s">
        <v>21</v>
      </c>
      <c r="B149" s="985" t="s">
        <v>2</v>
      </c>
      <c r="C149" s="985" t="s">
        <v>22</v>
      </c>
      <c r="D149" s="1201" t="str">
        <f t="shared" si="53"/>
        <v>1월</v>
      </c>
      <c r="E149" s="1202" t="s">
        <v>133</v>
      </c>
      <c r="F149" s="1203" t="s">
        <v>134</v>
      </c>
      <c r="G149" s="1203" t="s">
        <v>135</v>
      </c>
      <c r="H149" s="1203" t="s">
        <v>138</v>
      </c>
      <c r="I149" s="1204">
        <v>300518838</v>
      </c>
      <c r="J149" s="1204">
        <f>14.1927964285714*10^8</f>
        <v>1419279642.8571401</v>
      </c>
      <c r="K149" s="1204">
        <v>300518838</v>
      </c>
      <c r="L149" s="1205"/>
      <c r="M149" s="1204">
        <v>300518838</v>
      </c>
      <c r="N149" s="1240">
        <f t="shared" si="54"/>
        <v>0</v>
      </c>
      <c r="O149" s="1144" t="s">
        <v>187</v>
      </c>
      <c r="P149" s="1144"/>
      <c r="Q149" s="1286">
        <v>300518838</v>
      </c>
      <c r="S149" s="1121">
        <f>J149/10^8</f>
        <v>14.1927964285714</v>
      </c>
      <c r="T149" s="1121">
        <f>K149/10^8</f>
        <v>3.0051883799999999</v>
      </c>
    </row>
    <row r="150" spans="1:20" hidden="1" outlineLevel="1">
      <c r="A150" s="985" t="s">
        <v>21</v>
      </c>
      <c r="B150" s="985" t="s">
        <v>2</v>
      </c>
      <c r="C150" s="985" t="s">
        <v>27</v>
      </c>
      <c r="D150" s="1201" t="str">
        <f t="shared" si="53"/>
        <v>1월</v>
      </c>
      <c r="E150" s="1203" t="s">
        <v>133</v>
      </c>
      <c r="F150" s="1203" t="s">
        <v>134</v>
      </c>
      <c r="G150" s="1203" t="s">
        <v>135</v>
      </c>
      <c r="H150" s="1203" t="s">
        <v>139</v>
      </c>
      <c r="I150" s="1204">
        <v>618683380</v>
      </c>
      <c r="J150" s="1204">
        <f>9.134775*10^8</f>
        <v>913477500</v>
      </c>
      <c r="K150" s="1204">
        <v>618683380</v>
      </c>
      <c r="L150" s="1205">
        <f t="shared" ref="L150:L154" si="55">+I150/J150</f>
        <v>0.6772836550435013</v>
      </c>
      <c r="M150" s="1204">
        <v>618683380</v>
      </c>
      <c r="N150" s="1240">
        <f t="shared" si="54"/>
        <v>0</v>
      </c>
      <c r="O150" s="1144"/>
      <c r="Q150" s="1286">
        <v>570578960</v>
      </c>
      <c r="S150" s="1121">
        <f t="shared" ref="S150:T157" si="56">J150/10^8</f>
        <v>9.1347749999999994</v>
      </c>
      <c r="T150" s="1121">
        <f t="shared" si="56"/>
        <v>6.1868337999999996</v>
      </c>
    </row>
    <row r="151" spans="1:20" hidden="1" outlineLevel="1">
      <c r="A151" s="985" t="s">
        <v>21</v>
      </c>
      <c r="B151" s="985" t="s">
        <v>2</v>
      </c>
      <c r="C151" s="985" t="s">
        <v>26</v>
      </c>
      <c r="D151" s="1201" t="str">
        <f t="shared" si="53"/>
        <v>1월</v>
      </c>
      <c r="E151" s="1203" t="s">
        <v>133</v>
      </c>
      <c r="F151" s="1203" t="s">
        <v>134</v>
      </c>
      <c r="G151" s="1203" t="s">
        <v>135</v>
      </c>
      <c r="H151" s="1203" t="s">
        <v>140</v>
      </c>
      <c r="I151" s="1204">
        <v>6984278900</v>
      </c>
      <c r="J151" s="1204">
        <f>67.310097*10^8</f>
        <v>6731009700</v>
      </c>
      <c r="K151" s="1204">
        <v>6984278900</v>
      </c>
      <c r="L151" s="1205">
        <f t="shared" si="55"/>
        <v>1.037627222554738</v>
      </c>
      <c r="M151" s="1287">
        <v>6984278900</v>
      </c>
      <c r="N151" s="1240">
        <f t="shared" si="54"/>
        <v>0</v>
      </c>
      <c r="O151" s="1288">
        <v>6808202300</v>
      </c>
      <c r="P151" s="985" t="s">
        <v>188</v>
      </c>
      <c r="Q151" s="1289">
        <v>6731009700</v>
      </c>
      <c r="S151" s="1121">
        <f t="shared" si="56"/>
        <v>67.310096999999999</v>
      </c>
      <c r="T151" s="1121">
        <f t="shared" si="56"/>
        <v>69.842788999999996</v>
      </c>
    </row>
    <row r="152" spans="1:20" hidden="1" outlineLevel="1">
      <c r="A152" s="985" t="s">
        <v>21</v>
      </c>
      <c r="B152" s="985" t="s">
        <v>2</v>
      </c>
      <c r="C152" s="985" t="s">
        <v>32</v>
      </c>
      <c r="D152" s="1201" t="str">
        <f t="shared" si="53"/>
        <v>1월</v>
      </c>
      <c r="E152" s="1203" t="s">
        <v>133</v>
      </c>
      <c r="F152" s="1203" t="s">
        <v>134</v>
      </c>
      <c r="G152" s="1203" t="s">
        <v>135</v>
      </c>
      <c r="H152" s="1203" t="s">
        <v>141</v>
      </c>
      <c r="I152" s="1204">
        <v>67000000</v>
      </c>
      <c r="J152" s="1204"/>
      <c r="K152" s="1204">
        <v>67000000</v>
      </c>
      <c r="L152" s="1205" t="e">
        <f t="shared" si="55"/>
        <v>#DIV/0!</v>
      </c>
      <c r="M152" s="1204">
        <v>67000000</v>
      </c>
      <c r="N152" s="1240">
        <f t="shared" si="54"/>
        <v>0</v>
      </c>
      <c r="O152" s="1144"/>
      <c r="Q152" s="1286">
        <v>67000000</v>
      </c>
      <c r="S152" s="1121">
        <f t="shared" si="56"/>
        <v>0</v>
      </c>
      <c r="T152" s="1121">
        <f t="shared" si="56"/>
        <v>0.67</v>
      </c>
    </row>
    <row r="153" spans="1:20" hidden="1" outlineLevel="1">
      <c r="A153" s="985" t="s">
        <v>21</v>
      </c>
      <c r="B153" s="985" t="s">
        <v>2</v>
      </c>
      <c r="C153" s="985" t="s">
        <v>30</v>
      </c>
      <c r="D153" s="1201" t="str">
        <f t="shared" si="53"/>
        <v>1월</v>
      </c>
      <c r="E153" s="1203" t="s">
        <v>133</v>
      </c>
      <c r="F153" s="1203" t="s">
        <v>134</v>
      </c>
      <c r="G153" s="1203" t="s">
        <v>135</v>
      </c>
      <c r="H153" s="1203" t="s">
        <v>142</v>
      </c>
      <c r="I153" s="1204">
        <v>0</v>
      </c>
      <c r="J153" s="1204"/>
      <c r="K153" s="1204">
        <v>0</v>
      </c>
      <c r="L153" s="1205" t="e">
        <f t="shared" si="55"/>
        <v>#DIV/0!</v>
      </c>
      <c r="M153" s="1204">
        <v>0</v>
      </c>
      <c r="N153" s="1240">
        <f t="shared" si="54"/>
        <v>0</v>
      </c>
      <c r="O153" s="1144"/>
      <c r="Q153" s="1286">
        <v>93750000</v>
      </c>
      <c r="S153" s="1121">
        <f t="shared" si="56"/>
        <v>0</v>
      </c>
      <c r="T153" s="1121">
        <f t="shared" si="56"/>
        <v>0</v>
      </c>
    </row>
    <row r="154" spans="1:20" hidden="1" outlineLevel="1">
      <c r="A154" s="985" t="s">
        <v>21</v>
      </c>
      <c r="B154" s="985" t="s">
        <v>2</v>
      </c>
      <c r="C154" s="985" t="s">
        <v>29</v>
      </c>
      <c r="D154" s="1201" t="str">
        <f t="shared" si="53"/>
        <v>1월</v>
      </c>
      <c r="E154" s="1203" t="s">
        <v>133</v>
      </c>
      <c r="F154" s="1203" t="s">
        <v>134</v>
      </c>
      <c r="G154" s="1203" t="s">
        <v>135</v>
      </c>
      <c r="H154" s="1203" t="s">
        <v>146</v>
      </c>
      <c r="I154" s="1204">
        <v>2987895337</v>
      </c>
      <c r="J154" s="1204">
        <f>18.87*10^8</f>
        <v>1887000000</v>
      </c>
      <c r="K154" s="1204">
        <v>2987895337</v>
      </c>
      <c r="L154" s="1205">
        <f t="shared" si="55"/>
        <v>1.5834103534711181</v>
      </c>
      <c r="M154" s="1204">
        <v>2987895337</v>
      </c>
      <c r="N154" s="1240">
        <f t="shared" si="54"/>
        <v>0</v>
      </c>
      <c r="O154" s="1144"/>
      <c r="Q154" s="1286">
        <v>2886321036</v>
      </c>
      <c r="S154" s="1121">
        <f t="shared" si="56"/>
        <v>18.87</v>
      </c>
      <c r="T154" s="1121">
        <f t="shared" si="56"/>
        <v>29.878953370000001</v>
      </c>
    </row>
    <row r="155" spans="1:20" hidden="1" outlineLevel="1">
      <c r="A155" s="985" t="s">
        <v>21</v>
      </c>
      <c r="B155" s="985" t="s">
        <v>2</v>
      </c>
      <c r="C155" s="985" t="s">
        <v>31</v>
      </c>
      <c r="D155" s="1201" t="str">
        <f t="shared" si="53"/>
        <v>1월</v>
      </c>
      <c r="E155" s="1214" t="s">
        <v>133</v>
      </c>
      <c r="F155" s="1214" t="s">
        <v>134</v>
      </c>
      <c r="G155" s="1214" t="s">
        <v>135</v>
      </c>
      <c r="H155" s="1214" t="s">
        <v>147</v>
      </c>
      <c r="I155" s="1215">
        <v>274679167</v>
      </c>
      <c r="J155" s="1215"/>
      <c r="K155" s="1215">
        <v>274679167</v>
      </c>
      <c r="L155" s="1216"/>
      <c r="M155" s="1215">
        <v>274679167</v>
      </c>
      <c r="N155" s="1240">
        <f t="shared" si="54"/>
        <v>0</v>
      </c>
      <c r="O155" s="1144" t="s">
        <v>189</v>
      </c>
      <c r="Q155" s="1290">
        <v>274679167</v>
      </c>
      <c r="S155" s="1121">
        <f t="shared" si="56"/>
        <v>0</v>
      </c>
      <c r="T155" s="1121">
        <f t="shared" si="56"/>
        <v>2.7467916699999999</v>
      </c>
    </row>
    <row r="156" spans="1:20" ht="14.4" hidden="1" outlineLevel="1" thickBot="1">
      <c r="A156" s="985" t="s">
        <v>21</v>
      </c>
      <c r="B156" s="985" t="s">
        <v>2</v>
      </c>
      <c r="C156" s="985" t="s">
        <v>32</v>
      </c>
      <c r="D156" s="1201" t="str">
        <f t="shared" si="53"/>
        <v>1월</v>
      </c>
      <c r="E156" s="1218" t="s">
        <v>133</v>
      </c>
      <c r="F156" s="1218" t="s">
        <v>134</v>
      </c>
      <c r="G156" s="1218" t="s">
        <v>135</v>
      </c>
      <c r="H156" s="1218" t="s">
        <v>148</v>
      </c>
      <c r="I156" s="1219">
        <v>50392557</v>
      </c>
      <c r="J156" s="1219">
        <v>0</v>
      </c>
      <c r="K156" s="1219">
        <v>50392557</v>
      </c>
      <c r="L156" s="1220" t="e">
        <f t="shared" ref="L156" si="57">+K156/J156</f>
        <v>#DIV/0!</v>
      </c>
      <c r="M156" s="1219">
        <v>50392557</v>
      </c>
      <c r="N156" s="1240">
        <f t="shared" si="54"/>
        <v>0</v>
      </c>
      <c r="O156" s="985" t="s">
        <v>190</v>
      </c>
      <c r="Q156" s="1291">
        <f>50370059.8</f>
        <v>50370059.799999997</v>
      </c>
      <c r="S156" s="1121">
        <f t="shared" si="56"/>
        <v>0</v>
      </c>
      <c r="T156" s="1121">
        <f t="shared" si="56"/>
        <v>0.50392557000000004</v>
      </c>
    </row>
    <row r="157" spans="1:20" ht="14.4" collapsed="1" thickBot="1">
      <c r="D157" s="1529" t="s">
        <v>191</v>
      </c>
      <c r="E157" s="1530"/>
      <c r="F157" s="1530"/>
      <c r="G157" s="1530"/>
      <c r="H157" s="1531"/>
      <c r="I157" s="1223">
        <f>SUM(I147:I156)</f>
        <v>11283448179</v>
      </c>
      <c r="J157" s="1223">
        <f>SUM(J147:J156)</f>
        <v>10950766842.85714</v>
      </c>
      <c r="K157" s="1223">
        <f>SUM(K147:K156)</f>
        <v>11283448179</v>
      </c>
      <c r="L157" s="1224">
        <f>I157/J157</f>
        <v>1.0303797296496966</v>
      </c>
      <c r="M157" s="1225">
        <f>SUM(M147:M156)</f>
        <v>11283448179</v>
      </c>
      <c r="N157" s="1226">
        <f>SUM(N147:N156)</f>
        <v>0</v>
      </c>
      <c r="O157" s="1280"/>
      <c r="S157" s="1121">
        <f t="shared" si="56"/>
        <v>109.50766842857139</v>
      </c>
      <c r="T157" s="1121">
        <f t="shared" si="56"/>
        <v>112.83448179</v>
      </c>
    </row>
    <row r="158" spans="1:20" hidden="1" outlineLevel="1">
      <c r="A158" s="985" t="s">
        <v>21</v>
      </c>
      <c r="B158" s="985" t="s">
        <v>2</v>
      </c>
      <c r="C158" s="985" t="s">
        <v>106</v>
      </c>
      <c r="D158" s="1195" t="s">
        <v>4</v>
      </c>
      <c r="E158" s="1274" t="s">
        <v>133</v>
      </c>
      <c r="F158" s="1274" t="s">
        <v>134</v>
      </c>
      <c r="G158" s="1274" t="s">
        <v>135</v>
      </c>
      <c r="H158" s="1274" t="s">
        <v>136</v>
      </c>
      <c r="I158" s="1275"/>
      <c r="J158" s="1275"/>
      <c r="K158" s="1275"/>
      <c r="L158" s="1276" t="e">
        <f t="shared" ref="L158" si="58">+I158/J158</f>
        <v>#DIV/0!</v>
      </c>
      <c r="M158" s="1275"/>
      <c r="N158" s="1261">
        <f>K158-M158</f>
        <v>0</v>
      </c>
      <c r="O158" s="1144"/>
    </row>
    <row r="159" spans="1:20" hidden="1" outlineLevel="1">
      <c r="A159" s="985" t="s">
        <v>21</v>
      </c>
      <c r="B159" s="985" t="s">
        <v>2</v>
      </c>
      <c r="C159" s="985" t="s">
        <v>106</v>
      </c>
      <c r="D159" s="1201" t="str">
        <f t="shared" ref="D159:D167" si="59">D158</f>
        <v>2월</v>
      </c>
      <c r="E159" s="1203" t="s">
        <v>133</v>
      </c>
      <c r="F159" s="1203" t="s">
        <v>134</v>
      </c>
      <c r="G159" s="1203" t="s">
        <v>135</v>
      </c>
      <c r="H159" s="1203" t="s">
        <v>137</v>
      </c>
      <c r="I159" s="1204"/>
      <c r="J159" s="1204"/>
      <c r="K159" s="1204"/>
      <c r="L159" s="1205"/>
      <c r="M159" s="1204"/>
      <c r="N159" s="1240">
        <f t="shared" ref="N159:N167" si="60">K159-M159</f>
        <v>0</v>
      </c>
      <c r="O159" s="1292"/>
    </row>
    <row r="160" spans="1:20" hidden="1" outlineLevel="1">
      <c r="A160" s="985" t="s">
        <v>21</v>
      </c>
      <c r="B160" s="985" t="s">
        <v>2</v>
      </c>
      <c r="C160" s="985" t="s">
        <v>22</v>
      </c>
      <c r="D160" s="1201" t="str">
        <f t="shared" si="59"/>
        <v>2월</v>
      </c>
      <c r="E160" s="1202" t="s">
        <v>133</v>
      </c>
      <c r="F160" s="1203" t="s">
        <v>134</v>
      </c>
      <c r="G160" s="1203" t="s">
        <v>135</v>
      </c>
      <c r="H160" s="1203" t="s">
        <v>138</v>
      </c>
      <c r="I160" s="1287">
        <v>1260945478</v>
      </c>
      <c r="J160" s="1204">
        <f>8.77043142857143*10^8</f>
        <v>877043142.85714293</v>
      </c>
      <c r="K160" s="1204">
        <v>1260945478</v>
      </c>
      <c r="L160" s="1205"/>
      <c r="M160" s="1204">
        <v>1260945478</v>
      </c>
      <c r="N160" s="1240">
        <f t="shared" si="60"/>
        <v>0</v>
      </c>
      <c r="O160" s="1144"/>
      <c r="P160" s="1144"/>
      <c r="Q160" s="1121"/>
      <c r="T160" s="1121">
        <f>K160/10^8</f>
        <v>12.60945478</v>
      </c>
    </row>
    <row r="161" spans="1:20" hidden="1" outlineLevel="1">
      <c r="A161" s="985" t="s">
        <v>21</v>
      </c>
      <c r="B161" s="985" t="s">
        <v>2</v>
      </c>
      <c r="C161" s="985" t="s">
        <v>27</v>
      </c>
      <c r="D161" s="1201" t="str">
        <f t="shared" si="59"/>
        <v>2월</v>
      </c>
      <c r="E161" s="1203" t="s">
        <v>133</v>
      </c>
      <c r="F161" s="1203" t="s">
        <v>134</v>
      </c>
      <c r="G161" s="1203" t="s">
        <v>135</v>
      </c>
      <c r="H161" s="1203" t="s">
        <v>139</v>
      </c>
      <c r="I161" s="1287">
        <v>437945280</v>
      </c>
      <c r="J161" s="1204">
        <f>0.99225*10^8</f>
        <v>99225000</v>
      </c>
      <c r="K161" s="1204">
        <v>437945280</v>
      </c>
      <c r="L161" s="1205">
        <f>+I161/J161</f>
        <v>4.4136586545729406</v>
      </c>
      <c r="M161" s="1204">
        <v>437945280</v>
      </c>
      <c r="N161" s="1240">
        <f t="shared" si="60"/>
        <v>0</v>
      </c>
      <c r="O161" s="1144"/>
      <c r="Q161" s="1121"/>
      <c r="T161" s="1121">
        <f t="shared" ref="T161:T168" si="61">K161/10^8</f>
        <v>4.3794528000000001</v>
      </c>
    </row>
    <row r="162" spans="1:20" hidden="1" outlineLevel="1">
      <c r="A162" s="985" t="s">
        <v>21</v>
      </c>
      <c r="B162" s="985" t="s">
        <v>2</v>
      </c>
      <c r="C162" s="985" t="s">
        <v>26</v>
      </c>
      <c r="D162" s="1201" t="str">
        <f t="shared" si="59"/>
        <v>2월</v>
      </c>
      <c r="E162" s="1203" t="s">
        <v>133</v>
      </c>
      <c r="F162" s="1203" t="s">
        <v>134</v>
      </c>
      <c r="G162" s="1203" t="s">
        <v>135</v>
      </c>
      <c r="H162" s="1203" t="s">
        <v>140</v>
      </c>
      <c r="I162" s="1287">
        <v>4996954100</v>
      </c>
      <c r="J162" s="1204">
        <f>32.736848*10^8</f>
        <v>3273684800</v>
      </c>
      <c r="K162" s="1204">
        <v>4996954100</v>
      </c>
      <c r="L162" s="1205">
        <f t="shared" ref="L162:L165" si="62">+I162/J162</f>
        <v>1.5264004952462131</v>
      </c>
      <c r="M162" s="1204">
        <v>4996954100</v>
      </c>
      <c r="N162" s="1240">
        <f t="shared" si="60"/>
        <v>0</v>
      </c>
      <c r="O162" s="1144"/>
      <c r="Q162" s="1121"/>
      <c r="T162" s="1121">
        <f t="shared" si="61"/>
        <v>49.969541</v>
      </c>
    </row>
    <row r="163" spans="1:20" hidden="1" outlineLevel="1">
      <c r="A163" s="985" t="s">
        <v>21</v>
      </c>
      <c r="B163" s="985" t="s">
        <v>2</v>
      </c>
      <c r="C163" s="985" t="s">
        <v>32</v>
      </c>
      <c r="D163" s="1201" t="str">
        <f t="shared" si="59"/>
        <v>2월</v>
      </c>
      <c r="E163" s="1203" t="s">
        <v>133</v>
      </c>
      <c r="F163" s="1203" t="s">
        <v>134</v>
      </c>
      <c r="G163" s="1203" t="s">
        <v>135</v>
      </c>
      <c r="H163" s="1203" t="s">
        <v>141</v>
      </c>
      <c r="I163" s="1204"/>
      <c r="J163" s="1204"/>
      <c r="K163" s="1204"/>
      <c r="L163" s="1205" t="e">
        <f t="shared" si="62"/>
        <v>#DIV/0!</v>
      </c>
      <c r="M163" s="1204"/>
      <c r="N163" s="1240">
        <f t="shared" si="60"/>
        <v>0</v>
      </c>
      <c r="O163" s="1144"/>
      <c r="Q163" s="1121"/>
      <c r="T163" s="1121">
        <f t="shared" si="61"/>
        <v>0</v>
      </c>
    </row>
    <row r="164" spans="1:20" hidden="1" outlineLevel="1">
      <c r="A164" s="985" t="s">
        <v>21</v>
      </c>
      <c r="B164" s="985" t="s">
        <v>2</v>
      </c>
      <c r="C164" s="985" t="s">
        <v>30</v>
      </c>
      <c r="D164" s="1201" t="str">
        <f t="shared" si="59"/>
        <v>2월</v>
      </c>
      <c r="E164" s="1203" t="s">
        <v>133</v>
      </c>
      <c r="F164" s="1203" t="s">
        <v>134</v>
      </c>
      <c r="G164" s="1203" t="s">
        <v>135</v>
      </c>
      <c r="H164" s="1203" t="s">
        <v>142</v>
      </c>
      <c r="I164" s="1204"/>
      <c r="J164" s="1204">
        <f>2.075*10^8</f>
        <v>207500000.00000003</v>
      </c>
      <c r="K164" s="1204"/>
      <c r="L164" s="1205">
        <f t="shared" si="62"/>
        <v>0</v>
      </c>
      <c r="M164" s="1204"/>
      <c r="N164" s="1240">
        <f t="shared" si="60"/>
        <v>0</v>
      </c>
      <c r="O164" s="1293" t="s">
        <v>192</v>
      </c>
      <c r="Q164" s="1121"/>
      <c r="T164" s="1121">
        <f t="shared" si="61"/>
        <v>0</v>
      </c>
    </row>
    <row r="165" spans="1:20" hidden="1" outlineLevel="1">
      <c r="A165" s="985" t="s">
        <v>21</v>
      </c>
      <c r="B165" s="985" t="s">
        <v>2</v>
      </c>
      <c r="C165" s="985" t="s">
        <v>29</v>
      </c>
      <c r="D165" s="1201" t="str">
        <f t="shared" si="59"/>
        <v>2월</v>
      </c>
      <c r="E165" s="1203" t="s">
        <v>133</v>
      </c>
      <c r="F165" s="1203" t="s">
        <v>134</v>
      </c>
      <c r="G165" s="1203" t="s">
        <v>135</v>
      </c>
      <c r="H165" s="1203" t="s">
        <v>146</v>
      </c>
      <c r="I165" s="1287">
        <v>26295337</v>
      </c>
      <c r="J165" s="1204">
        <f>10.62*10^8</f>
        <v>1061999999.9999999</v>
      </c>
      <c r="K165" s="1204">
        <v>26295337</v>
      </c>
      <c r="L165" s="1205">
        <f t="shared" si="62"/>
        <v>2.4760204331450097E-2</v>
      </c>
      <c r="M165" s="1204">
        <v>26295337</v>
      </c>
      <c r="N165" s="1240">
        <f t="shared" si="60"/>
        <v>0</v>
      </c>
      <c r="O165" s="1144"/>
      <c r="Q165" s="1121"/>
      <c r="T165" s="1121">
        <f t="shared" si="61"/>
        <v>0.26295337000000002</v>
      </c>
    </row>
    <row r="166" spans="1:20" hidden="1" outlineLevel="1">
      <c r="A166" s="985" t="s">
        <v>21</v>
      </c>
      <c r="B166" s="985" t="s">
        <v>2</v>
      </c>
      <c r="C166" s="985" t="s">
        <v>31</v>
      </c>
      <c r="D166" s="1201" t="str">
        <f t="shared" si="59"/>
        <v>2월</v>
      </c>
      <c r="E166" s="1214" t="s">
        <v>133</v>
      </c>
      <c r="F166" s="1214" t="s">
        <v>134</v>
      </c>
      <c r="G166" s="1214" t="s">
        <v>135</v>
      </c>
      <c r="H166" s="1214" t="s">
        <v>147</v>
      </c>
      <c r="I166" s="1294">
        <v>31604167</v>
      </c>
      <c r="J166" s="1215">
        <f>0.46875*10^8</f>
        <v>46875000</v>
      </c>
      <c r="K166" s="1215">
        <v>31604167</v>
      </c>
      <c r="L166" s="1216"/>
      <c r="M166" s="1215">
        <v>31604167</v>
      </c>
      <c r="N166" s="1240">
        <f>K166-M166</f>
        <v>0</v>
      </c>
      <c r="O166" s="1144"/>
      <c r="Q166" s="1121"/>
      <c r="T166" s="1121">
        <f t="shared" si="61"/>
        <v>0.31604167</v>
      </c>
    </row>
    <row r="167" spans="1:20" ht="14.4" hidden="1" outlineLevel="1" thickBot="1">
      <c r="A167" s="985" t="s">
        <v>21</v>
      </c>
      <c r="B167" s="985" t="s">
        <v>2</v>
      </c>
      <c r="C167" s="985" t="s">
        <v>32</v>
      </c>
      <c r="D167" s="1279" t="str">
        <f t="shared" si="59"/>
        <v>2월</v>
      </c>
      <c r="E167" s="1218" t="s">
        <v>133</v>
      </c>
      <c r="F167" s="1218" t="s">
        <v>134</v>
      </c>
      <c r="G167" s="1218" t="s">
        <v>135</v>
      </c>
      <c r="H167" s="1218" t="s">
        <v>148</v>
      </c>
      <c r="I167" s="1219">
        <v>7916910</v>
      </c>
      <c r="J167" s="1219"/>
      <c r="K167" s="1219">
        <v>7916910</v>
      </c>
      <c r="L167" s="1220" t="e">
        <f t="shared" ref="L167" si="63">+K167/J167</f>
        <v>#DIV/0!</v>
      </c>
      <c r="M167" s="1219">
        <v>7916910</v>
      </c>
      <c r="N167" s="1240">
        <f t="shared" si="60"/>
        <v>0</v>
      </c>
      <c r="O167" s="985" t="s">
        <v>193</v>
      </c>
      <c r="T167" s="1121">
        <f t="shared" si="61"/>
        <v>7.9169100000000006E-2</v>
      </c>
    </row>
    <row r="168" spans="1:20" ht="14.4" collapsed="1" thickBot="1">
      <c r="D168" s="1529" t="s">
        <v>194</v>
      </c>
      <c r="E168" s="1530"/>
      <c r="F168" s="1530"/>
      <c r="G168" s="1530"/>
      <c r="H168" s="1531"/>
      <c r="I168" s="1223">
        <f>SUM(I158:I167)</f>
        <v>6761661272</v>
      </c>
      <c r="J168" s="1223">
        <f>SUM(J158:J167)</f>
        <v>5566327942.8571434</v>
      </c>
      <c r="K168" s="1223">
        <f>SUM(K158:K167)</f>
        <v>6761661272</v>
      </c>
      <c r="L168" s="1224">
        <f>I168/J168</f>
        <v>1.2147436050146379</v>
      </c>
      <c r="M168" s="1225">
        <f>SUM(M158:M167)</f>
        <v>6761661272</v>
      </c>
      <c r="N168" s="1226">
        <f>SUM(N158:N167)</f>
        <v>0</v>
      </c>
      <c r="O168" s="1280"/>
      <c r="T168" s="1121">
        <f t="shared" si="61"/>
        <v>67.616612720000006</v>
      </c>
    </row>
    <row r="169" spans="1:20" hidden="1" outlineLevel="1">
      <c r="A169" s="985" t="s">
        <v>21</v>
      </c>
      <c r="B169" s="985" t="s">
        <v>2</v>
      </c>
      <c r="C169" s="985" t="s">
        <v>106</v>
      </c>
      <c r="D169" s="1195" t="s">
        <v>5</v>
      </c>
      <c r="E169" s="1274" t="s">
        <v>133</v>
      </c>
      <c r="F169" s="1274" t="s">
        <v>134</v>
      </c>
      <c r="G169" s="1274" t="s">
        <v>135</v>
      </c>
      <c r="H169" s="1274" t="s">
        <v>136</v>
      </c>
      <c r="I169" s="1275"/>
      <c r="J169" s="1275">
        <f>'2024년 계획_변경적용'!Q78</f>
        <v>0</v>
      </c>
      <c r="K169" s="1275">
        <v>0</v>
      </c>
      <c r="L169" s="1276" t="e">
        <f t="shared" ref="L169" si="64">+I169/J169</f>
        <v>#DIV/0!</v>
      </c>
      <c r="M169" s="1275">
        <v>0</v>
      </c>
      <c r="N169" s="1261">
        <f>K169-M169</f>
        <v>0</v>
      </c>
      <c r="O169" s="1144"/>
    </row>
    <row r="170" spans="1:20" hidden="1" outlineLevel="1">
      <c r="A170" s="985" t="s">
        <v>21</v>
      </c>
      <c r="B170" s="985" t="s">
        <v>2</v>
      </c>
      <c r="C170" s="985" t="s">
        <v>106</v>
      </c>
      <c r="D170" s="1201" t="str">
        <f t="shared" ref="D170:D178" si="65">D169</f>
        <v>3월</v>
      </c>
      <c r="E170" s="1203" t="s">
        <v>133</v>
      </c>
      <c r="F170" s="1203" t="s">
        <v>134</v>
      </c>
      <c r="G170" s="1203" t="s">
        <v>135</v>
      </c>
      <c r="H170" s="1203" t="s">
        <v>137</v>
      </c>
      <c r="I170" s="1204"/>
      <c r="J170" s="1204">
        <f>'2024년 계획_변경적용'!Q77</f>
        <v>0</v>
      </c>
      <c r="K170" s="1204">
        <v>0</v>
      </c>
      <c r="L170" s="1205"/>
      <c r="M170" s="1287">
        <v>0</v>
      </c>
      <c r="N170" s="1240">
        <f t="shared" ref="N170:N178" si="66">K170-M170</f>
        <v>0</v>
      </c>
      <c r="O170" s="1144"/>
    </row>
    <row r="171" spans="1:20" hidden="1" outlineLevel="1">
      <c r="A171" s="985" t="s">
        <v>21</v>
      </c>
      <c r="B171" s="985" t="s">
        <v>2</v>
      </c>
      <c r="C171" s="985" t="s">
        <v>22</v>
      </c>
      <c r="D171" s="1201" t="str">
        <f t="shared" si="65"/>
        <v>3월</v>
      </c>
      <c r="E171" s="1202" t="s">
        <v>133</v>
      </c>
      <c r="F171" s="1203" t="s">
        <v>134</v>
      </c>
      <c r="G171" s="1203" t="s">
        <v>135</v>
      </c>
      <c r="H171" s="1203" t="s">
        <v>138</v>
      </c>
      <c r="I171" s="1204">
        <v>236481614.99999997</v>
      </c>
      <c r="J171" s="1204">
        <f>9.436245*10^8</f>
        <v>943624500</v>
      </c>
      <c r="K171" s="1204">
        <v>236481614.99999997</v>
      </c>
      <c r="L171" s="1205"/>
      <c r="M171" s="1204">
        <v>236481614.99999997</v>
      </c>
      <c r="N171" s="1240">
        <f t="shared" si="66"/>
        <v>0</v>
      </c>
      <c r="O171" s="1144" t="s">
        <v>195</v>
      </c>
      <c r="P171" s="1295">
        <f>J171/10^8</f>
        <v>9.4362449999999995</v>
      </c>
      <c r="Q171" s="1163">
        <f>K171/10^8</f>
        <v>2.3648161499999998</v>
      </c>
      <c r="T171" s="1121">
        <f>K171/10^8</f>
        <v>2.3648161499999998</v>
      </c>
    </row>
    <row r="172" spans="1:20" hidden="1" outlineLevel="1">
      <c r="A172" s="985" t="s">
        <v>21</v>
      </c>
      <c r="B172" s="985" t="s">
        <v>2</v>
      </c>
      <c r="C172" s="985" t="s">
        <v>27</v>
      </c>
      <c r="D172" s="1201" t="str">
        <f t="shared" si="65"/>
        <v>3월</v>
      </c>
      <c r="E172" s="1203" t="s">
        <v>133</v>
      </c>
      <c r="F172" s="1203" t="s">
        <v>134</v>
      </c>
      <c r="G172" s="1203" t="s">
        <v>135</v>
      </c>
      <c r="H172" s="1203" t="s">
        <v>139</v>
      </c>
      <c r="I172" s="1204">
        <v>402235980</v>
      </c>
      <c r="J172" s="1204">
        <f>7.7927*10^8</f>
        <v>779270000</v>
      </c>
      <c r="K172" s="1204">
        <v>402235980</v>
      </c>
      <c r="L172" s="1205">
        <f t="shared" ref="L172:L176" si="67">+I172/J172</f>
        <v>0.51617023624674374</v>
      </c>
      <c r="M172" s="1204">
        <v>402235980</v>
      </c>
      <c r="N172" s="1240">
        <f t="shared" si="66"/>
        <v>0</v>
      </c>
      <c r="O172" s="1296" t="s">
        <v>196</v>
      </c>
      <c r="P172" s="1295">
        <f t="shared" ref="P172:P178" si="68">J172/10^8</f>
        <v>7.7927</v>
      </c>
      <c r="Q172" s="1163">
        <f t="shared" ref="Q172:Q178" si="69">K172/10^8</f>
        <v>4.0223598000000003</v>
      </c>
      <c r="T172" s="1121">
        <f t="shared" ref="T172:T179" si="70">K172/10^8</f>
        <v>4.0223598000000003</v>
      </c>
    </row>
    <row r="173" spans="1:20" hidden="1" outlineLevel="1">
      <c r="A173" s="985" t="s">
        <v>21</v>
      </c>
      <c r="B173" s="985" t="s">
        <v>2</v>
      </c>
      <c r="C173" s="985" t="s">
        <v>26</v>
      </c>
      <c r="D173" s="1201" t="str">
        <f t="shared" si="65"/>
        <v>3월</v>
      </c>
      <c r="E173" s="1203" t="s">
        <v>133</v>
      </c>
      <c r="F173" s="1203" t="s">
        <v>134</v>
      </c>
      <c r="G173" s="1203" t="s">
        <v>135</v>
      </c>
      <c r="H173" s="1203" t="s">
        <v>140</v>
      </c>
      <c r="I173" s="1204">
        <v>6923572799.999999</v>
      </c>
      <c r="J173" s="1204">
        <f>76.82012*10^8</f>
        <v>7682012000</v>
      </c>
      <c r="K173" s="1204">
        <v>6923572799.999999</v>
      </c>
      <c r="L173" s="1205">
        <f t="shared" si="67"/>
        <v>0.90127076083713475</v>
      </c>
      <c r="M173" s="1204">
        <v>6923572799.999999</v>
      </c>
      <c r="N173" s="1240">
        <f t="shared" si="66"/>
        <v>0</v>
      </c>
      <c r="O173" s="1296">
        <v>1416002000</v>
      </c>
      <c r="P173" s="1295">
        <f t="shared" si="68"/>
        <v>76.820120000000003</v>
      </c>
      <c r="Q173" s="1163">
        <f t="shared" si="69"/>
        <v>69.235727999999995</v>
      </c>
      <c r="T173" s="1121">
        <f t="shared" si="70"/>
        <v>69.235727999999995</v>
      </c>
    </row>
    <row r="174" spans="1:20" hidden="1" outlineLevel="1">
      <c r="A174" s="985" t="s">
        <v>21</v>
      </c>
      <c r="B174" s="985" t="s">
        <v>2</v>
      </c>
      <c r="C174" s="985" t="s">
        <v>32</v>
      </c>
      <c r="D174" s="1201" t="str">
        <f t="shared" si="65"/>
        <v>3월</v>
      </c>
      <c r="E174" s="1203" t="s">
        <v>133</v>
      </c>
      <c r="F174" s="1203" t="s">
        <v>134</v>
      </c>
      <c r="G174" s="1203" t="s">
        <v>135</v>
      </c>
      <c r="H174" s="1203" t="s">
        <v>141</v>
      </c>
      <c r="I174" s="1204"/>
      <c r="J174" s="1204">
        <f>'2024년 계획_변경적용'!Q83</f>
        <v>0</v>
      </c>
      <c r="K174" s="1204"/>
      <c r="L174" s="1205" t="e">
        <f t="shared" si="67"/>
        <v>#DIV/0!</v>
      </c>
      <c r="M174" s="1204"/>
      <c r="N174" s="1240">
        <f t="shared" si="66"/>
        <v>0</v>
      </c>
      <c r="O174" s="1144"/>
      <c r="P174" s="1295">
        <f t="shared" si="68"/>
        <v>0</v>
      </c>
      <c r="Q174" s="1163">
        <f t="shared" si="69"/>
        <v>0</v>
      </c>
      <c r="T174" s="1121">
        <f t="shared" si="70"/>
        <v>0</v>
      </c>
    </row>
    <row r="175" spans="1:20" hidden="1" outlineLevel="1">
      <c r="A175" s="985" t="s">
        <v>21</v>
      </c>
      <c r="B175" s="985" t="s">
        <v>2</v>
      </c>
      <c r="C175" s="985" t="s">
        <v>30</v>
      </c>
      <c r="D175" s="1201" t="str">
        <f t="shared" si="65"/>
        <v>3월</v>
      </c>
      <c r="E175" s="1203" t="s">
        <v>133</v>
      </c>
      <c r="F175" s="1203" t="s">
        <v>134</v>
      </c>
      <c r="G175" s="1203" t="s">
        <v>135</v>
      </c>
      <c r="H175" s="1203" t="s">
        <v>142</v>
      </c>
      <c r="I175" s="1204">
        <v>366000000</v>
      </c>
      <c r="J175" s="1204">
        <f>3.5025*10^8</f>
        <v>350250000</v>
      </c>
      <c r="K175" s="1204">
        <v>366000000</v>
      </c>
      <c r="L175" s="1205">
        <f t="shared" si="67"/>
        <v>1.044967880085653</v>
      </c>
      <c r="M175" s="1204">
        <v>366000000</v>
      </c>
      <c r="N175" s="1240">
        <f t="shared" si="66"/>
        <v>0</v>
      </c>
      <c r="O175" s="1144" t="s">
        <v>197</v>
      </c>
      <c r="P175" s="1295">
        <f t="shared" si="68"/>
        <v>3.5024999999999999</v>
      </c>
      <c r="Q175" s="1163">
        <f t="shared" si="69"/>
        <v>3.66</v>
      </c>
      <c r="T175" s="1121">
        <f t="shared" si="70"/>
        <v>3.66</v>
      </c>
    </row>
    <row r="176" spans="1:20" hidden="1" outlineLevel="1">
      <c r="A176" s="985" t="s">
        <v>21</v>
      </c>
      <c r="B176" s="985" t="s">
        <v>2</v>
      </c>
      <c r="C176" s="985" t="s">
        <v>29</v>
      </c>
      <c r="D176" s="1201" t="str">
        <f t="shared" si="65"/>
        <v>3월</v>
      </c>
      <c r="E176" s="1203" t="s">
        <v>133</v>
      </c>
      <c r="F176" s="1203" t="s">
        <v>134</v>
      </c>
      <c r="G176" s="1203" t="s">
        <v>135</v>
      </c>
      <c r="H176" s="1203" t="s">
        <v>146</v>
      </c>
      <c r="I176" s="1204">
        <v>1213295337</v>
      </c>
      <c r="J176" s="1204">
        <f>9.9*10^8</f>
        <v>990000000</v>
      </c>
      <c r="K176" s="1204">
        <v>1213295337</v>
      </c>
      <c r="L176" s="1205">
        <f t="shared" si="67"/>
        <v>1.2255508454545454</v>
      </c>
      <c r="M176" s="1204">
        <v>1213295337</v>
      </c>
      <c r="N176" s="1240">
        <f t="shared" si="66"/>
        <v>0</v>
      </c>
      <c r="O176" s="1144"/>
      <c r="P176" s="1295">
        <f t="shared" si="68"/>
        <v>9.9</v>
      </c>
      <c r="Q176" s="1163">
        <f t="shared" si="69"/>
        <v>12.132953369999999</v>
      </c>
      <c r="T176" s="1121">
        <f t="shared" si="70"/>
        <v>12.132953369999999</v>
      </c>
    </row>
    <row r="177" spans="1:20" hidden="1" outlineLevel="1">
      <c r="A177" s="985" t="s">
        <v>21</v>
      </c>
      <c r="B177" s="985" t="s">
        <v>2</v>
      </c>
      <c r="C177" s="985" t="s">
        <v>31</v>
      </c>
      <c r="D177" s="1201" t="str">
        <f t="shared" si="65"/>
        <v>3월</v>
      </c>
      <c r="E177" s="1214" t="s">
        <v>133</v>
      </c>
      <c r="F177" s="1214" t="s">
        <v>134</v>
      </c>
      <c r="G177" s="1214" t="s">
        <v>135</v>
      </c>
      <c r="H177" s="1214" t="s">
        <v>147</v>
      </c>
      <c r="I177" s="1215">
        <v>223708334</v>
      </c>
      <c r="J177" s="1215">
        <f>1.40625*10^8</f>
        <v>140625000</v>
      </c>
      <c r="K177" s="1215">
        <v>223708334</v>
      </c>
      <c r="L177" s="1216"/>
      <c r="M177" s="1215">
        <v>223708334</v>
      </c>
      <c r="N177" s="1240">
        <f t="shared" si="66"/>
        <v>0</v>
      </c>
      <c r="O177" s="1144"/>
      <c r="P177" s="1295">
        <f t="shared" si="68"/>
        <v>1.40625</v>
      </c>
      <c r="Q177" s="1163">
        <f t="shared" si="69"/>
        <v>2.2370833399999999</v>
      </c>
      <c r="T177" s="1121">
        <f t="shared" si="70"/>
        <v>2.2370833399999999</v>
      </c>
    </row>
    <row r="178" spans="1:20" ht="14.4" hidden="1" outlineLevel="1" thickBot="1">
      <c r="A178" s="985" t="s">
        <v>21</v>
      </c>
      <c r="B178" s="985" t="s">
        <v>2</v>
      </c>
      <c r="C178" s="985" t="s">
        <v>32</v>
      </c>
      <c r="D178" s="1279" t="str">
        <f t="shared" si="65"/>
        <v>3월</v>
      </c>
      <c r="E178" s="1218" t="s">
        <v>133</v>
      </c>
      <c r="F178" s="1218" t="s">
        <v>134</v>
      </c>
      <c r="G178" s="1218" t="s">
        <v>135</v>
      </c>
      <c r="H178" s="1218" t="s">
        <v>148</v>
      </c>
      <c r="I178" s="1219">
        <v>139494700</v>
      </c>
      <c r="J178" s="1219">
        <v>0</v>
      </c>
      <c r="K178" s="1219">
        <v>139494700</v>
      </c>
      <c r="L178" s="1220" t="e">
        <f t="shared" ref="L178" si="71">+K178/J178</f>
        <v>#DIV/0!</v>
      </c>
      <c r="M178" s="1219">
        <v>139494700</v>
      </c>
      <c r="N178" s="1240">
        <f t="shared" si="66"/>
        <v>0</v>
      </c>
      <c r="O178" s="1011"/>
      <c r="P178" s="1295">
        <f t="shared" si="68"/>
        <v>0</v>
      </c>
      <c r="Q178" s="1163">
        <f t="shared" si="69"/>
        <v>1.3949469999999999</v>
      </c>
      <c r="T178" s="1121">
        <f t="shared" si="70"/>
        <v>1.3949469999999999</v>
      </c>
    </row>
    <row r="179" spans="1:20" ht="14.4" collapsed="1" thickBot="1">
      <c r="D179" s="1529" t="s">
        <v>198</v>
      </c>
      <c r="E179" s="1530"/>
      <c r="F179" s="1530"/>
      <c r="G179" s="1530"/>
      <c r="H179" s="1531"/>
      <c r="I179" s="1223">
        <f>SUM(I169:I178)</f>
        <v>9504788766</v>
      </c>
      <c r="J179" s="1223">
        <f>SUM(J169:J178)</f>
        <v>10885781500</v>
      </c>
      <c r="K179" s="1223">
        <f>SUM(K169:K178)</f>
        <v>9504788766</v>
      </c>
      <c r="L179" s="1224">
        <f>I179/J179</f>
        <v>0.87313793373493676</v>
      </c>
      <c r="M179" s="1225">
        <f>SUM(M169:M178)</f>
        <v>9504788766</v>
      </c>
      <c r="N179" s="1226">
        <f>SUM(N169:N178)</f>
        <v>0</v>
      </c>
      <c r="O179" s="1280"/>
      <c r="P179" s="1295"/>
      <c r="T179" s="1121">
        <f t="shared" si="70"/>
        <v>95.047887660000001</v>
      </c>
    </row>
    <row r="180" spans="1:20" ht="14.4" thickBot="1">
      <c r="D180" s="1541" t="s">
        <v>199</v>
      </c>
      <c r="E180" s="1542"/>
      <c r="F180" s="1542"/>
      <c r="G180" s="1542"/>
      <c r="H180" s="1543"/>
      <c r="I180" s="1235">
        <f>SUM(I157,I168,I179)</f>
        <v>27549898217</v>
      </c>
      <c r="J180" s="1235">
        <f>SUM(J157,J168,J179)</f>
        <v>27402876285.714283</v>
      </c>
      <c r="K180" s="1235">
        <f>SUM(K157,K168,K179)</f>
        <v>27549898217</v>
      </c>
      <c r="L180" s="1236">
        <f>I180/J180</f>
        <v>1.005365200709327</v>
      </c>
      <c r="M180" s="1235">
        <f>SUM(M157,M168,M179)</f>
        <v>27549898217</v>
      </c>
      <c r="N180" s="1235">
        <f>SUM(N157,N168,N179)</f>
        <v>0</v>
      </c>
      <c r="O180" s="1144">
        <f>J180-K180</f>
        <v>-147021931.28571701</v>
      </c>
    </row>
    <row r="181" spans="1:20" hidden="1" outlineLevel="1">
      <c r="A181" s="985" t="s">
        <v>21</v>
      </c>
      <c r="B181" s="985" t="s">
        <v>155</v>
      </c>
      <c r="C181" s="985" t="s">
        <v>106</v>
      </c>
      <c r="D181" s="1195" t="s">
        <v>156</v>
      </c>
      <c r="E181" s="1297" t="s">
        <v>133</v>
      </c>
      <c r="F181" s="1274" t="s">
        <v>134</v>
      </c>
      <c r="G181" s="1297" t="s">
        <v>135</v>
      </c>
      <c r="H181" s="1274" t="s">
        <v>136</v>
      </c>
      <c r="I181" s="1275"/>
      <c r="J181" s="1275"/>
      <c r="K181" s="1275"/>
      <c r="L181" s="1276" t="e">
        <f t="shared" ref="L181" si="72">+I181/J181</f>
        <v>#DIV/0!</v>
      </c>
      <c r="M181" s="1275"/>
      <c r="N181" s="1261">
        <f>K181-M181</f>
        <v>0</v>
      </c>
      <c r="O181" s="1144"/>
    </row>
    <row r="182" spans="1:20" hidden="1" outlineLevel="1">
      <c r="A182" s="985" t="s">
        <v>21</v>
      </c>
      <c r="B182" s="985" t="s">
        <v>155</v>
      </c>
      <c r="C182" s="985" t="s">
        <v>106</v>
      </c>
      <c r="D182" s="1201" t="str">
        <f t="shared" ref="D182:D190" si="73">D181</f>
        <v>4월</v>
      </c>
      <c r="E182" s="1298" t="s">
        <v>133</v>
      </c>
      <c r="F182" s="1203" t="s">
        <v>134</v>
      </c>
      <c r="G182" s="1298" t="s">
        <v>135</v>
      </c>
      <c r="H182" s="1203" t="s">
        <v>137</v>
      </c>
      <c r="I182" s="1204"/>
      <c r="J182" s="1204"/>
      <c r="K182" s="1204"/>
      <c r="L182" s="1205"/>
      <c r="M182" s="1204"/>
      <c r="N182" s="1240">
        <f t="shared" ref="N182:N190" si="74">K182-M182</f>
        <v>0</v>
      </c>
      <c r="O182" s="1144"/>
    </row>
    <row r="183" spans="1:20" hidden="1" outlineLevel="1">
      <c r="A183" s="985" t="s">
        <v>21</v>
      </c>
      <c r="B183" s="985" t="s">
        <v>155</v>
      </c>
      <c r="C183" s="985" t="s">
        <v>22</v>
      </c>
      <c r="D183" s="1201" t="str">
        <f t="shared" si="73"/>
        <v>4월</v>
      </c>
      <c r="E183" s="1299" t="s">
        <v>133</v>
      </c>
      <c r="F183" s="1203" t="s">
        <v>134</v>
      </c>
      <c r="G183" s="1298" t="s">
        <v>135</v>
      </c>
      <c r="H183" s="1203" t="s">
        <v>138</v>
      </c>
      <c r="I183" s="1204">
        <v>604729361</v>
      </c>
      <c r="J183" s="1204">
        <v>606572571.42857146</v>
      </c>
      <c r="K183" s="1204">
        <v>604729361</v>
      </c>
      <c r="L183" s="1205"/>
      <c r="M183" s="1204">
        <v>604729361</v>
      </c>
      <c r="N183" s="1240">
        <f t="shared" si="74"/>
        <v>0</v>
      </c>
      <c r="O183" s="1144" t="s">
        <v>200</v>
      </c>
    </row>
    <row r="184" spans="1:20" hidden="1" outlineLevel="1">
      <c r="A184" s="985" t="s">
        <v>21</v>
      </c>
      <c r="B184" s="985" t="s">
        <v>155</v>
      </c>
      <c r="C184" s="985" t="s">
        <v>27</v>
      </c>
      <c r="D184" s="1201" t="str">
        <f t="shared" si="73"/>
        <v>4월</v>
      </c>
      <c r="E184" s="1298" t="s">
        <v>133</v>
      </c>
      <c r="F184" s="1203" t="s">
        <v>134</v>
      </c>
      <c r="G184" s="1298" t="s">
        <v>135</v>
      </c>
      <c r="H184" s="1203" t="s">
        <v>139</v>
      </c>
      <c r="I184" s="1204">
        <v>703284880</v>
      </c>
      <c r="J184" s="1204">
        <v>468200000.00000006</v>
      </c>
      <c r="K184" s="1204">
        <v>604284880</v>
      </c>
      <c r="L184" s="1205">
        <f t="shared" ref="L184:L188" si="75">+I184/J184</f>
        <v>1.5021035454933787</v>
      </c>
      <c r="M184" s="1204">
        <v>604284880</v>
      </c>
      <c r="N184" s="1240">
        <f t="shared" si="74"/>
        <v>0</v>
      </c>
      <c r="O184" s="1144"/>
    </row>
    <row r="185" spans="1:20" hidden="1" outlineLevel="1">
      <c r="A185" s="985" t="s">
        <v>21</v>
      </c>
      <c r="B185" s="985" t="s">
        <v>155</v>
      </c>
      <c r="C185" s="985" t="s">
        <v>26</v>
      </c>
      <c r="D185" s="1201" t="str">
        <f t="shared" si="73"/>
        <v>4월</v>
      </c>
      <c r="E185" s="1298" t="s">
        <v>133</v>
      </c>
      <c r="F185" s="1203" t="s">
        <v>134</v>
      </c>
      <c r="G185" s="1298" t="s">
        <v>135</v>
      </c>
      <c r="H185" s="1203" t="s">
        <v>140</v>
      </c>
      <c r="I185" s="1204">
        <v>8006977500</v>
      </c>
      <c r="J185" s="1204">
        <v>11989700000</v>
      </c>
      <c r="K185" s="1204">
        <v>8006977500</v>
      </c>
      <c r="L185" s="1205">
        <f>+I185/J185</f>
        <v>0.66782133831538737</v>
      </c>
      <c r="M185" s="1287">
        <v>8006977500</v>
      </c>
      <c r="N185" s="1240">
        <f t="shared" si="74"/>
        <v>0</v>
      </c>
      <c r="O185" s="1144"/>
    </row>
    <row r="186" spans="1:20" hidden="1" outlineLevel="1">
      <c r="A186" s="985" t="s">
        <v>21</v>
      </c>
      <c r="B186" s="985" t="s">
        <v>155</v>
      </c>
      <c r="C186" s="985" t="s">
        <v>32</v>
      </c>
      <c r="D186" s="1201" t="str">
        <f t="shared" si="73"/>
        <v>4월</v>
      </c>
      <c r="E186" s="1298" t="s">
        <v>133</v>
      </c>
      <c r="F186" s="1203" t="s">
        <v>134</v>
      </c>
      <c r="G186" s="1298" t="s">
        <v>135</v>
      </c>
      <c r="H186" s="1203" t="s">
        <v>141</v>
      </c>
      <c r="I186" s="1204"/>
      <c r="J186" s="1204"/>
      <c r="K186" s="1204"/>
      <c r="L186" s="1205" t="e">
        <f t="shared" si="75"/>
        <v>#DIV/0!</v>
      </c>
      <c r="M186" s="1204"/>
      <c r="N186" s="1240">
        <f t="shared" si="74"/>
        <v>0</v>
      </c>
      <c r="O186" s="1144"/>
    </row>
    <row r="187" spans="1:20" hidden="1" outlineLevel="1">
      <c r="A187" s="985" t="s">
        <v>21</v>
      </c>
      <c r="B187" s="985" t="s">
        <v>155</v>
      </c>
      <c r="C187" s="985" t="s">
        <v>30</v>
      </c>
      <c r="D187" s="1201" t="str">
        <f t="shared" si="73"/>
        <v>4월</v>
      </c>
      <c r="E187" s="1298" t="s">
        <v>133</v>
      </c>
      <c r="F187" s="1203" t="s">
        <v>134</v>
      </c>
      <c r="G187" s="1298" t="s">
        <v>135</v>
      </c>
      <c r="H187" s="1203" t="s">
        <v>142</v>
      </c>
      <c r="I187" s="1204"/>
      <c r="J187" s="1204"/>
      <c r="K187" s="1204"/>
      <c r="L187" s="1205" t="e">
        <f t="shared" si="75"/>
        <v>#DIV/0!</v>
      </c>
      <c r="M187" s="1204"/>
      <c r="N187" s="1240">
        <f t="shared" si="74"/>
        <v>0</v>
      </c>
      <c r="O187" s="1144" t="s">
        <v>201</v>
      </c>
    </row>
    <row r="188" spans="1:20" hidden="1" outlineLevel="1">
      <c r="A188" s="985" t="s">
        <v>21</v>
      </c>
      <c r="B188" s="985" t="s">
        <v>155</v>
      </c>
      <c r="C188" s="985" t="s">
        <v>29</v>
      </c>
      <c r="D188" s="1201" t="str">
        <f t="shared" si="73"/>
        <v>4월</v>
      </c>
      <c r="E188" s="1298" t="s">
        <v>133</v>
      </c>
      <c r="F188" s="1203" t="s">
        <v>134</v>
      </c>
      <c r="G188" s="1298" t="s">
        <v>135</v>
      </c>
      <c r="H188" s="1203" t="s">
        <v>146</v>
      </c>
      <c r="I188" s="1204">
        <v>44295337</v>
      </c>
      <c r="J188" s="1204"/>
      <c r="K188" s="1204">
        <v>44295337</v>
      </c>
      <c r="L188" s="1205" t="e">
        <f t="shared" si="75"/>
        <v>#DIV/0!</v>
      </c>
      <c r="M188" s="1204">
        <v>44295337</v>
      </c>
      <c r="N188" s="1240">
        <f t="shared" si="74"/>
        <v>0</v>
      </c>
      <c r="O188" s="1144" t="s">
        <v>202</v>
      </c>
    </row>
    <row r="189" spans="1:20" hidden="1" outlineLevel="1">
      <c r="A189" s="985" t="s">
        <v>21</v>
      </c>
      <c r="B189" s="985" t="s">
        <v>155</v>
      </c>
      <c r="C189" s="985" t="s">
        <v>31</v>
      </c>
      <c r="D189" s="1201" t="str">
        <f t="shared" si="73"/>
        <v>4월</v>
      </c>
      <c r="E189" s="1300" t="s">
        <v>133</v>
      </c>
      <c r="F189" s="1214" t="s">
        <v>134</v>
      </c>
      <c r="G189" s="1300" t="s">
        <v>135</v>
      </c>
      <c r="H189" s="1214" t="s">
        <v>147</v>
      </c>
      <c r="I189" s="1215">
        <v>41008334</v>
      </c>
      <c r="J189" s="1215"/>
      <c r="K189" s="1215">
        <v>41008334</v>
      </c>
      <c r="L189" s="1216"/>
      <c r="M189" s="1215">
        <v>41008334</v>
      </c>
      <c r="N189" s="1240">
        <f t="shared" si="74"/>
        <v>0</v>
      </c>
      <c r="O189" s="1144"/>
    </row>
    <row r="190" spans="1:20" ht="14.4" hidden="1" outlineLevel="1" thickBot="1">
      <c r="A190" s="985" t="s">
        <v>21</v>
      </c>
      <c r="B190" s="985" t="s">
        <v>155</v>
      </c>
      <c r="C190" s="985" t="s">
        <v>32</v>
      </c>
      <c r="D190" s="1279" t="str">
        <f t="shared" si="73"/>
        <v>4월</v>
      </c>
      <c r="E190" s="1301" t="s">
        <v>133</v>
      </c>
      <c r="F190" s="1218" t="s">
        <v>134</v>
      </c>
      <c r="G190" s="1301" t="s">
        <v>135</v>
      </c>
      <c r="H190" s="1218" t="s">
        <v>148</v>
      </c>
      <c r="I190" s="1219"/>
      <c r="J190" s="1219"/>
      <c r="K190" s="1219">
        <v>99000000</v>
      </c>
      <c r="L190" s="1220" t="e">
        <f t="shared" ref="L190" si="76">+K190/J190</f>
        <v>#DIV/0!</v>
      </c>
      <c r="M190" s="1219">
        <v>99000000</v>
      </c>
      <c r="N190" s="1240">
        <f t="shared" si="74"/>
        <v>0</v>
      </c>
      <c r="O190" s="1144"/>
    </row>
    <row r="191" spans="1:20" ht="14.4" collapsed="1" thickBot="1">
      <c r="D191" s="1529" t="s">
        <v>203</v>
      </c>
      <c r="E191" s="1530"/>
      <c r="F191" s="1530"/>
      <c r="G191" s="1530"/>
      <c r="H191" s="1531"/>
      <c r="I191" s="1223">
        <f>SUM(I181:I190)</f>
        <v>9400295412</v>
      </c>
      <c r="J191" s="1223">
        <f>SUM(J181:J190)</f>
        <v>13064472571.428572</v>
      </c>
      <c r="K191" s="1223">
        <f>SUM(K181:K190)</f>
        <v>9400295412</v>
      </c>
      <c r="L191" s="1224">
        <f>I191/J191</f>
        <v>0.71953118356710655</v>
      </c>
      <c r="M191" s="1225">
        <f>SUM(M181:M190)</f>
        <v>9400295412</v>
      </c>
      <c r="N191" s="1226">
        <f>SUM(N181:N190)</f>
        <v>0</v>
      </c>
      <c r="O191" s="1144"/>
    </row>
    <row r="192" spans="1:20" hidden="1" outlineLevel="1">
      <c r="A192" s="985" t="s">
        <v>21</v>
      </c>
      <c r="B192" s="985" t="s">
        <v>155</v>
      </c>
      <c r="C192" s="985" t="s">
        <v>106</v>
      </c>
      <c r="D192" s="1195" t="s">
        <v>158</v>
      </c>
      <c r="E192" s="1297" t="s">
        <v>133</v>
      </c>
      <c r="F192" s="1274" t="s">
        <v>134</v>
      </c>
      <c r="G192" s="1297" t="s">
        <v>135</v>
      </c>
      <c r="H192" s="1274" t="s">
        <v>136</v>
      </c>
      <c r="I192" s="1275"/>
      <c r="J192" s="1275"/>
      <c r="K192" s="1275"/>
      <c r="L192" s="1276" t="e">
        <f t="shared" ref="L192" si="77">+I192/J192</f>
        <v>#DIV/0!</v>
      </c>
      <c r="M192" s="1275"/>
      <c r="N192" s="1261">
        <f>K192-M192</f>
        <v>0</v>
      </c>
      <c r="O192" s="1144"/>
      <c r="T192" s="985" t="s">
        <v>204</v>
      </c>
    </row>
    <row r="193" spans="1:22" hidden="1" outlineLevel="1">
      <c r="A193" s="985" t="s">
        <v>21</v>
      </c>
      <c r="B193" s="985" t="s">
        <v>155</v>
      </c>
      <c r="C193" s="985" t="s">
        <v>106</v>
      </c>
      <c r="D193" s="1201" t="str">
        <f t="shared" ref="D193:D201" si="78">D192</f>
        <v>5월</v>
      </c>
      <c r="E193" s="1298" t="s">
        <v>133</v>
      </c>
      <c r="F193" s="1203" t="s">
        <v>134</v>
      </c>
      <c r="G193" s="1298" t="s">
        <v>135</v>
      </c>
      <c r="H193" s="1203" t="s">
        <v>137</v>
      </c>
      <c r="I193" s="1204"/>
      <c r="J193" s="1204"/>
      <c r="K193" s="1204"/>
      <c r="L193" s="1205"/>
      <c r="M193" s="1204"/>
      <c r="N193" s="1240">
        <f t="shared" ref="N193:N199" si="79">K193-M193</f>
        <v>0</v>
      </c>
    </row>
    <row r="194" spans="1:22" hidden="1" outlineLevel="1">
      <c r="A194" s="985" t="s">
        <v>21</v>
      </c>
      <c r="B194" s="985" t="s">
        <v>155</v>
      </c>
      <c r="C194" s="985" t="s">
        <v>22</v>
      </c>
      <c r="D194" s="1201" t="str">
        <f t="shared" si="78"/>
        <v>5월</v>
      </c>
      <c r="E194" s="1299" t="s">
        <v>133</v>
      </c>
      <c r="F194" s="1203" t="s">
        <v>134</v>
      </c>
      <c r="G194" s="1298" t="s">
        <v>135</v>
      </c>
      <c r="H194" s="1203" t="s">
        <v>138</v>
      </c>
      <c r="I194" s="1287">
        <v>1785541321</v>
      </c>
      <c r="J194" s="1204">
        <v>1552701428.5714285</v>
      </c>
      <c r="K194" s="1204">
        <v>1785541321</v>
      </c>
      <c r="L194" s="1205"/>
      <c r="M194" s="1204">
        <v>1785541321</v>
      </c>
      <c r="N194" s="1240">
        <f t="shared" si="79"/>
        <v>0</v>
      </c>
      <c r="P194" s="1144"/>
      <c r="Q194" s="1121"/>
      <c r="T194" s="1535" t="s">
        <v>205</v>
      </c>
      <c r="U194" s="1302" t="s">
        <v>22</v>
      </c>
      <c r="V194" s="1303">
        <f>K183+K194+K205</f>
        <v>3585998123</v>
      </c>
    </row>
    <row r="195" spans="1:22" hidden="1" outlineLevel="1">
      <c r="A195" s="985" t="s">
        <v>21</v>
      </c>
      <c r="B195" s="985" t="s">
        <v>155</v>
      </c>
      <c r="C195" s="985" t="s">
        <v>27</v>
      </c>
      <c r="D195" s="1201" t="str">
        <f t="shared" si="78"/>
        <v>5월</v>
      </c>
      <c r="E195" s="1298" t="s">
        <v>133</v>
      </c>
      <c r="F195" s="1203" t="s">
        <v>134</v>
      </c>
      <c r="G195" s="1298" t="s">
        <v>135</v>
      </c>
      <c r="H195" s="1203" t="s">
        <v>139</v>
      </c>
      <c r="I195" s="1287">
        <v>405380500</v>
      </c>
      <c r="J195" s="1204">
        <v>382037500</v>
      </c>
      <c r="K195" s="1204">
        <v>405380500</v>
      </c>
      <c r="L195" s="1205">
        <f>+I195/J195</f>
        <v>1.0611013316755553</v>
      </c>
      <c r="M195" s="1204">
        <v>405380500</v>
      </c>
      <c r="N195" s="1240">
        <f t="shared" si="79"/>
        <v>0</v>
      </c>
      <c r="O195" s="1304">
        <v>513484180</v>
      </c>
      <c r="P195" s="1144">
        <f>O195-K195</f>
        <v>108103680</v>
      </c>
      <c r="Q195" s="1121"/>
      <c r="T195" s="1536"/>
      <c r="U195" s="1302" t="s">
        <v>27</v>
      </c>
      <c r="V195" s="1303">
        <f t="shared" ref="V195:V201" si="80">K184+K195+K206</f>
        <v>1540590380</v>
      </c>
    </row>
    <row r="196" spans="1:22" hidden="1" outlineLevel="1">
      <c r="A196" s="985" t="s">
        <v>21</v>
      </c>
      <c r="B196" s="985" t="s">
        <v>155</v>
      </c>
      <c r="C196" s="985" t="s">
        <v>26</v>
      </c>
      <c r="D196" s="1201" t="str">
        <f t="shared" si="78"/>
        <v>5월</v>
      </c>
      <c r="E196" s="1298" t="s">
        <v>133</v>
      </c>
      <c r="F196" s="1203" t="s">
        <v>134</v>
      </c>
      <c r="G196" s="1298" t="s">
        <v>135</v>
      </c>
      <c r="H196" s="1203" t="s">
        <v>140</v>
      </c>
      <c r="I196" s="1287">
        <v>5697118800</v>
      </c>
      <c r="J196" s="1204">
        <v>6790607900.000001</v>
      </c>
      <c r="K196" s="1204">
        <v>5697118800</v>
      </c>
      <c r="L196" s="1205">
        <f t="shared" ref="L196:L199" si="81">+I196/J196</f>
        <v>0.83897036670310465</v>
      </c>
      <c r="M196" s="1204">
        <v>5697118800</v>
      </c>
      <c r="N196" s="1240">
        <f t="shared" si="79"/>
        <v>0</v>
      </c>
      <c r="Q196" s="1121"/>
      <c r="T196" s="1537"/>
      <c r="U196" s="1203" t="s">
        <v>26</v>
      </c>
      <c r="V196" s="1303">
        <f t="shared" si="80"/>
        <v>23211357200</v>
      </c>
    </row>
    <row r="197" spans="1:22" hidden="1" outlineLevel="1">
      <c r="A197" s="985" t="s">
        <v>21</v>
      </c>
      <c r="B197" s="985" t="s">
        <v>155</v>
      </c>
      <c r="C197" s="985" t="s">
        <v>32</v>
      </c>
      <c r="D197" s="1201" t="str">
        <f t="shared" si="78"/>
        <v>5월</v>
      </c>
      <c r="E197" s="1298" t="s">
        <v>133</v>
      </c>
      <c r="F197" s="1203" t="s">
        <v>134</v>
      </c>
      <c r="G197" s="1298" t="s">
        <v>135</v>
      </c>
      <c r="H197" s="1203" t="s">
        <v>141</v>
      </c>
      <c r="I197" s="1204">
        <v>0</v>
      </c>
      <c r="J197" s="1204"/>
      <c r="K197" s="1204">
        <v>0</v>
      </c>
      <c r="L197" s="1205" t="e">
        <f t="shared" si="81"/>
        <v>#DIV/0!</v>
      </c>
      <c r="M197" s="1204">
        <v>0</v>
      </c>
      <c r="N197" s="1240">
        <f t="shared" si="79"/>
        <v>0</v>
      </c>
      <c r="Q197" s="1121"/>
      <c r="T197" s="1532" t="s">
        <v>206</v>
      </c>
      <c r="U197" s="1203" t="s">
        <v>51</v>
      </c>
      <c r="V197" s="1303">
        <f t="shared" si="80"/>
        <v>0</v>
      </c>
    </row>
    <row r="198" spans="1:22" hidden="1" outlineLevel="1">
      <c r="A198" s="985" t="s">
        <v>21</v>
      </c>
      <c r="B198" s="985" t="s">
        <v>155</v>
      </c>
      <c r="C198" s="985" t="s">
        <v>30</v>
      </c>
      <c r="D198" s="1201" t="str">
        <f t="shared" si="78"/>
        <v>5월</v>
      </c>
      <c r="E198" s="1298" t="s">
        <v>133</v>
      </c>
      <c r="F198" s="1203" t="s">
        <v>134</v>
      </c>
      <c r="G198" s="1298" t="s">
        <v>135</v>
      </c>
      <c r="H198" s="1203" t="s">
        <v>142</v>
      </c>
      <c r="I198" s="1204"/>
      <c r="J198" s="1204"/>
      <c r="K198" s="1204"/>
      <c r="L198" s="1205" t="e">
        <f t="shared" si="81"/>
        <v>#DIV/0!</v>
      </c>
      <c r="M198" s="1204"/>
      <c r="N198" s="1240">
        <f t="shared" si="79"/>
        <v>0</v>
      </c>
      <c r="Q198" s="1121"/>
      <c r="T198" s="1533"/>
      <c r="U198" s="1203" t="s">
        <v>30</v>
      </c>
      <c r="V198" s="1303">
        <f t="shared" si="80"/>
        <v>209000000</v>
      </c>
    </row>
    <row r="199" spans="1:22" hidden="1" outlineLevel="1">
      <c r="A199" s="985" t="s">
        <v>21</v>
      </c>
      <c r="B199" s="985" t="s">
        <v>155</v>
      </c>
      <c r="C199" s="985" t="s">
        <v>29</v>
      </c>
      <c r="D199" s="1201" t="str">
        <f t="shared" si="78"/>
        <v>5월</v>
      </c>
      <c r="E199" s="1298" t="s">
        <v>133</v>
      </c>
      <c r="F199" s="1203" t="s">
        <v>134</v>
      </c>
      <c r="G199" s="1298" t="s">
        <v>135</v>
      </c>
      <c r="H199" s="1203" t="s">
        <v>146</v>
      </c>
      <c r="I199" s="1287">
        <v>2576695337</v>
      </c>
      <c r="J199" s="1204"/>
      <c r="K199" s="1204">
        <v>2576695337</v>
      </c>
      <c r="L199" s="1205" t="e">
        <f t="shared" si="81"/>
        <v>#DIV/0!</v>
      </c>
      <c r="M199" s="1204">
        <v>2576695337</v>
      </c>
      <c r="N199" s="1240">
        <f t="shared" si="79"/>
        <v>0</v>
      </c>
      <c r="O199" s="985" t="s">
        <v>207</v>
      </c>
      <c r="Q199" s="1305"/>
      <c r="T199" s="1533"/>
      <c r="U199" s="1203" t="s">
        <v>26</v>
      </c>
      <c r="V199" s="1303">
        <f t="shared" si="80"/>
        <v>3300286011</v>
      </c>
    </row>
    <row r="200" spans="1:22" hidden="1" outlineLevel="1">
      <c r="A200" s="985" t="s">
        <v>21</v>
      </c>
      <c r="B200" s="985" t="s">
        <v>155</v>
      </c>
      <c r="C200" s="985" t="s">
        <v>31</v>
      </c>
      <c r="D200" s="1201" t="str">
        <f t="shared" si="78"/>
        <v>5월</v>
      </c>
      <c r="E200" s="1300" t="s">
        <v>133</v>
      </c>
      <c r="F200" s="1214" t="s">
        <v>134</v>
      </c>
      <c r="G200" s="1300" t="s">
        <v>135</v>
      </c>
      <c r="H200" s="1214" t="s">
        <v>147</v>
      </c>
      <c r="I200" s="1294">
        <v>270583334</v>
      </c>
      <c r="J200" s="1215"/>
      <c r="K200" s="1215">
        <v>270583334</v>
      </c>
      <c r="L200" s="1216"/>
      <c r="M200" s="1215">
        <v>270583334</v>
      </c>
      <c r="N200" s="1240">
        <f>K200-M200</f>
        <v>0</v>
      </c>
      <c r="Q200" s="1121"/>
      <c r="T200" s="1533"/>
      <c r="U200" s="1203" t="s">
        <v>22</v>
      </c>
      <c r="V200" s="1303">
        <f t="shared" si="80"/>
        <v>347800002</v>
      </c>
    </row>
    <row r="201" spans="1:22" ht="14.4" hidden="1" outlineLevel="1" thickBot="1">
      <c r="A201" s="985" t="s">
        <v>21</v>
      </c>
      <c r="B201" s="985" t="s">
        <v>155</v>
      </c>
      <c r="C201" s="985" t="s">
        <v>32</v>
      </c>
      <c r="D201" s="1279" t="str">
        <f t="shared" si="78"/>
        <v>5월</v>
      </c>
      <c r="E201" s="1301" t="s">
        <v>133</v>
      </c>
      <c r="F201" s="1218" t="s">
        <v>134</v>
      </c>
      <c r="G201" s="1301" t="s">
        <v>135</v>
      </c>
      <c r="H201" s="1218" t="s">
        <v>148</v>
      </c>
      <c r="I201" s="1219"/>
      <c r="J201" s="1219"/>
      <c r="K201" s="1219"/>
      <c r="L201" s="1220" t="e">
        <f t="shared" ref="L201" si="82">+K201/J201</f>
        <v>#DIV/0!</v>
      </c>
      <c r="M201" s="1219"/>
      <c r="N201" s="1240">
        <f t="shared" ref="N201" si="83">K201-M201</f>
        <v>0</v>
      </c>
      <c r="T201" s="1534"/>
      <c r="U201" s="1203" t="s">
        <v>52</v>
      </c>
      <c r="V201" s="1303">
        <f t="shared" si="80"/>
        <v>196321600</v>
      </c>
    </row>
    <row r="202" spans="1:22" ht="14.4" collapsed="1" thickBot="1">
      <c r="D202" s="1529" t="s">
        <v>208</v>
      </c>
      <c r="E202" s="1530"/>
      <c r="F202" s="1530"/>
      <c r="G202" s="1530"/>
      <c r="H202" s="1531"/>
      <c r="I202" s="1223">
        <f>SUM(I192:I201)</f>
        <v>10735319292</v>
      </c>
      <c r="J202" s="1223">
        <f>SUM(J192:J201)</f>
        <v>8725346828.5714302</v>
      </c>
      <c r="K202" s="1223">
        <f>SUM(K192:K201)</f>
        <v>10735319292</v>
      </c>
      <c r="L202" s="1224">
        <f>I202/J202</f>
        <v>1.2303601797061923</v>
      </c>
      <c r="M202" s="1225">
        <f>SUM(M192:M201)</f>
        <v>10735319292</v>
      </c>
      <c r="N202" s="1226">
        <f>SUM(N192:N201)</f>
        <v>0</v>
      </c>
      <c r="T202" s="1121"/>
    </row>
    <row r="203" spans="1:22" hidden="1" outlineLevel="1">
      <c r="A203" s="985" t="s">
        <v>21</v>
      </c>
      <c r="B203" s="985" t="s">
        <v>155</v>
      </c>
      <c r="C203" s="985" t="s">
        <v>106</v>
      </c>
      <c r="D203" s="1195" t="s">
        <v>160</v>
      </c>
      <c r="E203" s="1297" t="s">
        <v>133</v>
      </c>
      <c r="F203" s="1274" t="s">
        <v>134</v>
      </c>
      <c r="G203" s="1297" t="s">
        <v>135</v>
      </c>
      <c r="H203" s="1274" t="s">
        <v>136</v>
      </c>
      <c r="I203" s="1275"/>
      <c r="J203" s="1275"/>
      <c r="K203" s="1275"/>
      <c r="L203" s="1276" t="e">
        <f t="shared" ref="L203" si="84">+I203/J203</f>
        <v>#DIV/0!</v>
      </c>
      <c r="M203" s="1275"/>
      <c r="N203" s="1261">
        <f>K203-M203</f>
        <v>0</v>
      </c>
    </row>
    <row r="204" spans="1:22" hidden="1" outlineLevel="1">
      <c r="A204" s="985" t="s">
        <v>21</v>
      </c>
      <c r="B204" s="985" t="s">
        <v>155</v>
      </c>
      <c r="C204" s="985" t="s">
        <v>106</v>
      </c>
      <c r="D204" s="1201" t="str">
        <f t="shared" ref="D204:D212" si="85">D203</f>
        <v>6월</v>
      </c>
      <c r="E204" s="1298" t="s">
        <v>133</v>
      </c>
      <c r="F204" s="1203" t="s">
        <v>134</v>
      </c>
      <c r="G204" s="1298" t="s">
        <v>135</v>
      </c>
      <c r="H204" s="1203" t="s">
        <v>137</v>
      </c>
      <c r="I204" s="1204"/>
      <c r="J204" s="1204"/>
      <c r="K204" s="1204"/>
      <c r="L204" s="1205"/>
      <c r="M204" s="1204"/>
      <c r="N204" s="1240">
        <f t="shared" ref="N204:N212" si="86">K204-M204</f>
        <v>0</v>
      </c>
    </row>
    <row r="205" spans="1:22" hidden="1" outlineLevel="1">
      <c r="A205" s="985" t="s">
        <v>21</v>
      </c>
      <c r="B205" s="985" t="s">
        <v>155</v>
      </c>
      <c r="C205" s="985" t="s">
        <v>22</v>
      </c>
      <c r="D205" s="1201" t="str">
        <f t="shared" si="85"/>
        <v>6월</v>
      </c>
      <c r="E205" s="1299" t="s">
        <v>133</v>
      </c>
      <c r="F205" s="1203" t="s">
        <v>134</v>
      </c>
      <c r="G205" s="1298" t="s">
        <v>135</v>
      </c>
      <c r="H205" s="1203" t="s">
        <v>138</v>
      </c>
      <c r="I205" s="1204">
        <v>1195727441</v>
      </c>
      <c r="J205" s="1204">
        <v>630838928.57142854</v>
      </c>
      <c r="K205" s="1204">
        <v>1195727441</v>
      </c>
      <c r="L205" s="1205"/>
      <c r="M205" s="1204">
        <v>1195727441</v>
      </c>
      <c r="N205" s="1240">
        <f t="shared" si="86"/>
        <v>0</v>
      </c>
      <c r="O205" s="985" t="s">
        <v>209</v>
      </c>
      <c r="P205" s="1295"/>
      <c r="Q205" s="1163"/>
      <c r="T205" s="1121"/>
    </row>
    <row r="206" spans="1:22" hidden="1" outlineLevel="1">
      <c r="A206" s="985" t="s">
        <v>21</v>
      </c>
      <c r="B206" s="985" t="s">
        <v>155</v>
      </c>
      <c r="C206" s="985" t="s">
        <v>27</v>
      </c>
      <c r="D206" s="1201" t="str">
        <f t="shared" si="85"/>
        <v>6월</v>
      </c>
      <c r="E206" s="1298" t="s">
        <v>133</v>
      </c>
      <c r="F206" s="1203" t="s">
        <v>134</v>
      </c>
      <c r="G206" s="1298" t="s">
        <v>135</v>
      </c>
      <c r="H206" s="1203" t="s">
        <v>139</v>
      </c>
      <c r="I206" s="1204">
        <v>530925000</v>
      </c>
      <c r="J206" s="1204">
        <v>214320000.00000003</v>
      </c>
      <c r="K206" s="1204">
        <v>530925000</v>
      </c>
      <c r="L206" s="1205">
        <f t="shared" ref="L206:L210" si="87">+I206/J206</f>
        <v>2.4772536394176927</v>
      </c>
      <c r="M206" s="1204">
        <v>530925000</v>
      </c>
      <c r="N206" s="1240">
        <f t="shared" si="86"/>
        <v>0</v>
      </c>
      <c r="O206" s="985" t="s">
        <v>210</v>
      </c>
      <c r="P206" s="1295"/>
      <c r="Q206" s="1163"/>
      <c r="T206" s="1121"/>
    </row>
    <row r="207" spans="1:22" hidden="1" outlineLevel="1">
      <c r="A207" s="985" t="s">
        <v>21</v>
      </c>
      <c r="B207" s="985" t="s">
        <v>155</v>
      </c>
      <c r="C207" s="985" t="s">
        <v>26</v>
      </c>
      <c r="D207" s="1201" t="str">
        <f t="shared" si="85"/>
        <v>6월</v>
      </c>
      <c r="E207" s="1298" t="s">
        <v>133</v>
      </c>
      <c r="F207" s="1203" t="s">
        <v>134</v>
      </c>
      <c r="G207" s="1298" t="s">
        <v>135</v>
      </c>
      <c r="H207" s="1203" t="s">
        <v>140</v>
      </c>
      <c r="I207" s="1204">
        <v>9507260900</v>
      </c>
      <c r="J207" s="1204">
        <v>10456543000</v>
      </c>
      <c r="K207" s="1204">
        <v>9507260900</v>
      </c>
      <c r="L207" s="1205">
        <f t="shared" si="87"/>
        <v>0.90921644945179303</v>
      </c>
      <c r="M207" s="1204">
        <v>9507260900</v>
      </c>
      <c r="N207" s="1240">
        <f t="shared" si="86"/>
        <v>0</v>
      </c>
      <c r="O207" s="1243" t="s">
        <v>211</v>
      </c>
      <c r="P207" s="1295"/>
      <c r="Q207" s="1163"/>
      <c r="T207" s="1121"/>
    </row>
    <row r="208" spans="1:22" hidden="1" outlineLevel="1">
      <c r="A208" s="985" t="s">
        <v>21</v>
      </c>
      <c r="B208" s="985" t="s">
        <v>155</v>
      </c>
      <c r="C208" s="985" t="s">
        <v>32</v>
      </c>
      <c r="D208" s="1201" t="str">
        <f t="shared" si="85"/>
        <v>6월</v>
      </c>
      <c r="E208" s="1298" t="s">
        <v>133</v>
      </c>
      <c r="F208" s="1203" t="s">
        <v>134</v>
      </c>
      <c r="G208" s="1298" t="s">
        <v>135</v>
      </c>
      <c r="H208" s="1203" t="s">
        <v>141</v>
      </c>
      <c r="I208" s="1204"/>
      <c r="J208" s="1204"/>
      <c r="K208" s="1204"/>
      <c r="L208" s="1205" t="e">
        <f t="shared" si="87"/>
        <v>#DIV/0!</v>
      </c>
      <c r="M208" s="1204"/>
      <c r="N208" s="1240">
        <f t="shared" si="86"/>
        <v>0</v>
      </c>
      <c r="P208" s="1295"/>
      <c r="Q208" s="1163"/>
      <c r="T208" s="1121"/>
    </row>
    <row r="209" spans="1:20" hidden="1" outlineLevel="1">
      <c r="A209" s="985" t="s">
        <v>21</v>
      </c>
      <c r="B209" s="985" t="s">
        <v>155</v>
      </c>
      <c r="C209" s="985" t="s">
        <v>30</v>
      </c>
      <c r="D209" s="1201" t="str">
        <f t="shared" si="85"/>
        <v>6월</v>
      </c>
      <c r="E209" s="1298" t="s">
        <v>133</v>
      </c>
      <c r="F209" s="1203" t="s">
        <v>134</v>
      </c>
      <c r="G209" s="1298" t="s">
        <v>135</v>
      </c>
      <c r="H209" s="1203" t="s">
        <v>142</v>
      </c>
      <c r="I209" s="1204">
        <v>209000000</v>
      </c>
      <c r="J209" s="1204"/>
      <c r="K209" s="1204">
        <v>209000000</v>
      </c>
      <c r="L209" s="1205" t="e">
        <f t="shared" si="87"/>
        <v>#DIV/0!</v>
      </c>
      <c r="M209" s="1204">
        <v>209000000</v>
      </c>
      <c r="N209" s="1240">
        <f t="shared" si="86"/>
        <v>0</v>
      </c>
      <c r="O209" s="985" t="s">
        <v>212</v>
      </c>
      <c r="P209" s="1295"/>
      <c r="Q209" s="1163"/>
      <c r="T209" s="1121"/>
    </row>
    <row r="210" spans="1:20" hidden="1" outlineLevel="1">
      <c r="A210" s="985" t="s">
        <v>21</v>
      </c>
      <c r="B210" s="985" t="s">
        <v>155</v>
      </c>
      <c r="C210" s="985" t="s">
        <v>29</v>
      </c>
      <c r="D210" s="1201" t="str">
        <f t="shared" si="85"/>
        <v>6월</v>
      </c>
      <c r="E210" s="1298" t="s">
        <v>133</v>
      </c>
      <c r="F210" s="1203" t="s">
        <v>134</v>
      </c>
      <c r="G210" s="1298" t="s">
        <v>135</v>
      </c>
      <c r="H210" s="1203" t="s">
        <v>146</v>
      </c>
      <c r="I210" s="1204">
        <v>679295337</v>
      </c>
      <c r="J210" s="1204"/>
      <c r="K210" s="1204">
        <v>679295337</v>
      </c>
      <c r="L210" s="1205" t="e">
        <f t="shared" si="87"/>
        <v>#DIV/0!</v>
      </c>
      <c r="M210" s="1204">
        <v>679295337</v>
      </c>
      <c r="N210" s="1240">
        <f t="shared" si="86"/>
        <v>0</v>
      </c>
      <c r="O210" s="1304" t="s">
        <v>213</v>
      </c>
      <c r="P210" s="1295"/>
      <c r="Q210" s="1163"/>
      <c r="T210" s="1121"/>
    </row>
    <row r="211" spans="1:20" hidden="1" outlineLevel="1">
      <c r="A211" s="985" t="s">
        <v>21</v>
      </c>
      <c r="B211" s="985" t="s">
        <v>155</v>
      </c>
      <c r="C211" s="985" t="s">
        <v>31</v>
      </c>
      <c r="D211" s="1201" t="str">
        <f t="shared" si="85"/>
        <v>6월</v>
      </c>
      <c r="E211" s="1300" t="s">
        <v>133</v>
      </c>
      <c r="F211" s="1214" t="s">
        <v>134</v>
      </c>
      <c r="G211" s="1300" t="s">
        <v>135</v>
      </c>
      <c r="H211" s="1214" t="s">
        <v>147</v>
      </c>
      <c r="I211" s="1215">
        <v>36208334</v>
      </c>
      <c r="J211" s="1215"/>
      <c r="K211" s="1215">
        <v>36208334</v>
      </c>
      <c r="L211" s="1216"/>
      <c r="M211" s="1215">
        <v>36208334</v>
      </c>
      <c r="N211" s="1240">
        <f t="shared" si="86"/>
        <v>0</v>
      </c>
      <c r="P211" s="1295"/>
      <c r="Q211" s="1163"/>
      <c r="T211" s="1121"/>
    </row>
    <row r="212" spans="1:20" ht="14.4" hidden="1" outlineLevel="1" thickBot="1">
      <c r="A212" s="985" t="s">
        <v>21</v>
      </c>
      <c r="B212" s="985" t="s">
        <v>155</v>
      </c>
      <c r="C212" s="985" t="s">
        <v>32</v>
      </c>
      <c r="D212" s="1279" t="str">
        <f t="shared" si="85"/>
        <v>6월</v>
      </c>
      <c r="E212" s="1301" t="s">
        <v>133</v>
      </c>
      <c r="F212" s="1218" t="s">
        <v>134</v>
      </c>
      <c r="G212" s="1301" t="s">
        <v>135</v>
      </c>
      <c r="H212" s="1218" t="s">
        <v>148</v>
      </c>
      <c r="I212" s="1219">
        <v>97321600</v>
      </c>
      <c r="J212" s="1219"/>
      <c r="K212" s="1219">
        <v>97321600</v>
      </c>
      <c r="L212" s="1220" t="e">
        <f t="shared" ref="L212" si="88">+K212/J212</f>
        <v>#DIV/0!</v>
      </c>
      <c r="M212" s="1219">
        <v>97321600</v>
      </c>
      <c r="N212" s="1240">
        <f t="shared" si="86"/>
        <v>0</v>
      </c>
      <c r="O212" s="985" t="s">
        <v>214</v>
      </c>
      <c r="P212" s="1295"/>
      <c r="Q212" s="1163" t="s">
        <v>215</v>
      </c>
      <c r="T212" s="1121"/>
    </row>
    <row r="213" spans="1:20" ht="14.4" collapsed="1" thickBot="1">
      <c r="D213" s="1529" t="s">
        <v>216</v>
      </c>
      <c r="E213" s="1530"/>
      <c r="F213" s="1530"/>
      <c r="G213" s="1530"/>
      <c r="H213" s="1531"/>
      <c r="I213" s="1223">
        <f>SUM(I203:I212)</f>
        <v>12255738612</v>
      </c>
      <c r="J213" s="1223">
        <f>SUM(J203:J212)</f>
        <v>11301701928.571428</v>
      </c>
      <c r="K213" s="1223">
        <f>SUM(K203:K212)</f>
        <v>12255738612</v>
      </c>
      <c r="L213" s="1224">
        <f>I213/J213</f>
        <v>1.0844153110264487</v>
      </c>
      <c r="M213" s="1225">
        <f>SUM(M203:M212)</f>
        <v>12255738612</v>
      </c>
      <c r="N213" s="1226">
        <f>SUM(N203:N212)</f>
        <v>0</v>
      </c>
      <c r="P213" s="1295"/>
      <c r="T213" s="1121"/>
    </row>
    <row r="214" spans="1:20" ht="14.4" thickBot="1">
      <c r="D214" s="1541" t="s">
        <v>217</v>
      </c>
      <c r="E214" s="1542"/>
      <c r="F214" s="1542"/>
      <c r="G214" s="1542"/>
      <c r="H214" s="1543"/>
      <c r="I214" s="1235">
        <f>SUM(I191,I202,I213)</f>
        <v>32391353316</v>
      </c>
      <c r="J214" s="1235">
        <f t="shared" ref="J214:K214" si="89">SUM(J191,J202,J213)</f>
        <v>33091521328.571426</v>
      </c>
      <c r="K214" s="1235">
        <f t="shared" si="89"/>
        <v>32391353316</v>
      </c>
      <c r="L214" s="1236">
        <f>I214/J214</f>
        <v>0.97884146801172001</v>
      </c>
      <c r="M214" s="1235">
        <f>SUM(M191,M202,M213)</f>
        <v>32391353316</v>
      </c>
      <c r="N214" s="1235">
        <f>SUM(N191,N202,N213)</f>
        <v>0</v>
      </c>
      <c r="O214" s="1144">
        <f>J214-K214</f>
        <v>700168012.57142639</v>
      </c>
    </row>
    <row r="215" spans="1:20" hidden="1" outlineLevel="1">
      <c r="A215" s="985" t="s">
        <v>21</v>
      </c>
      <c r="B215" s="985" t="s">
        <v>99</v>
      </c>
      <c r="C215" s="985" t="s">
        <v>106</v>
      </c>
      <c r="D215" s="1195" t="s">
        <v>78</v>
      </c>
      <c r="E215" s="1297" t="s">
        <v>133</v>
      </c>
      <c r="F215" s="1274" t="s">
        <v>134</v>
      </c>
      <c r="G215" s="1297" t="s">
        <v>135</v>
      </c>
      <c r="H215" s="1274" t="s">
        <v>136</v>
      </c>
      <c r="I215" s="1275"/>
      <c r="J215" s="1275"/>
      <c r="K215" s="1275"/>
      <c r="L215" s="1276" t="e">
        <f t="shared" ref="L215" si="90">+I215/J215</f>
        <v>#DIV/0!</v>
      </c>
      <c r="M215" s="1275"/>
      <c r="N215" s="1261">
        <f>K215-M215</f>
        <v>0</v>
      </c>
      <c r="O215" s="1144"/>
    </row>
    <row r="216" spans="1:20" hidden="1" outlineLevel="1">
      <c r="A216" s="985" t="s">
        <v>21</v>
      </c>
      <c r="B216" s="985" t="s">
        <v>99</v>
      </c>
      <c r="C216" s="985" t="s">
        <v>106</v>
      </c>
      <c r="D216" s="1201" t="str">
        <f t="shared" ref="D216:D224" si="91">D215</f>
        <v>7월</v>
      </c>
      <c r="E216" s="1298" t="s">
        <v>133</v>
      </c>
      <c r="F216" s="1203" t="s">
        <v>134</v>
      </c>
      <c r="G216" s="1298" t="s">
        <v>135</v>
      </c>
      <c r="H216" s="1203" t="s">
        <v>137</v>
      </c>
      <c r="I216" s="1204"/>
      <c r="J216" s="1204"/>
      <c r="K216" s="1204"/>
      <c r="L216" s="1205"/>
      <c r="M216" s="1204"/>
      <c r="N216" s="1240">
        <f t="shared" ref="N216:N224" si="92">K216-M216</f>
        <v>0</v>
      </c>
      <c r="O216" s="1144"/>
    </row>
    <row r="217" spans="1:20" hidden="1" outlineLevel="1">
      <c r="A217" s="985" t="s">
        <v>21</v>
      </c>
      <c r="B217" s="985" t="s">
        <v>99</v>
      </c>
      <c r="C217" s="985" t="s">
        <v>22</v>
      </c>
      <c r="D217" s="1201" t="str">
        <f t="shared" si="91"/>
        <v>7월</v>
      </c>
      <c r="E217" s="1299" t="s">
        <v>133</v>
      </c>
      <c r="F217" s="1203" t="s">
        <v>134</v>
      </c>
      <c r="G217" s="1298" t="s">
        <v>135</v>
      </c>
      <c r="H217" s="1203" t="s">
        <v>138</v>
      </c>
      <c r="I217" s="1204">
        <v>1099305556</v>
      </c>
      <c r="J217" s="1204">
        <v>1243154250.0000002</v>
      </c>
      <c r="K217" s="1204">
        <v>1099305556</v>
      </c>
      <c r="L217" s="1205"/>
      <c r="M217" s="1204">
        <v>1099305556</v>
      </c>
      <c r="N217" s="1240">
        <f t="shared" si="92"/>
        <v>0</v>
      </c>
      <c r="O217" s="1144" t="s">
        <v>218</v>
      </c>
      <c r="P217" s="1144"/>
      <c r="S217" s="1121"/>
      <c r="T217" s="1121"/>
    </row>
    <row r="218" spans="1:20" hidden="1" outlineLevel="1">
      <c r="A218" s="985" t="s">
        <v>21</v>
      </c>
      <c r="B218" s="985" t="s">
        <v>99</v>
      </c>
      <c r="C218" s="985" t="s">
        <v>27</v>
      </c>
      <c r="D218" s="1201" t="str">
        <f t="shared" si="91"/>
        <v>7월</v>
      </c>
      <c r="E218" s="1298" t="s">
        <v>133</v>
      </c>
      <c r="F218" s="1203" t="s">
        <v>134</v>
      </c>
      <c r="G218" s="1298" t="s">
        <v>135</v>
      </c>
      <c r="H218" s="1203" t="s">
        <v>139</v>
      </c>
      <c r="I218" s="1204">
        <v>459160000</v>
      </c>
      <c r="J218" s="1204">
        <v>470950000</v>
      </c>
      <c r="K218" s="1204">
        <v>459160000</v>
      </c>
      <c r="L218" s="1205">
        <f t="shared" ref="L218:L222" si="93">+I218/J218</f>
        <v>0.97496549527550691</v>
      </c>
      <c r="M218" s="1204">
        <v>459160000</v>
      </c>
      <c r="N218" s="1240">
        <f t="shared" si="92"/>
        <v>0</v>
      </c>
      <c r="O218" s="1144" t="s">
        <v>219</v>
      </c>
      <c r="S218" s="1121"/>
      <c r="T218" s="1121"/>
    </row>
    <row r="219" spans="1:20" ht="17.100000000000001" hidden="1" customHeight="1" outlineLevel="1">
      <c r="A219" s="985" t="s">
        <v>21</v>
      </c>
      <c r="B219" s="985" t="s">
        <v>99</v>
      </c>
      <c r="C219" s="985" t="s">
        <v>26</v>
      </c>
      <c r="D219" s="1201" t="str">
        <f t="shared" si="91"/>
        <v>7월</v>
      </c>
      <c r="E219" s="1298" t="s">
        <v>133</v>
      </c>
      <c r="F219" s="1203" t="s">
        <v>134</v>
      </c>
      <c r="G219" s="1298" t="s">
        <v>135</v>
      </c>
      <c r="H219" s="1203" t="s">
        <v>140</v>
      </c>
      <c r="I219" s="1204">
        <v>7886136900</v>
      </c>
      <c r="J219" s="1204">
        <v>6873718600.000001</v>
      </c>
      <c r="K219" s="1204">
        <v>7886136900</v>
      </c>
      <c r="L219" s="1205">
        <f t="shared" si="93"/>
        <v>1.1472882960323687</v>
      </c>
      <c r="M219" s="1287">
        <v>7886136900</v>
      </c>
      <c r="N219" s="1240">
        <f t="shared" si="92"/>
        <v>0</v>
      </c>
      <c r="O219" s="1306" t="s">
        <v>220</v>
      </c>
      <c r="P219" s="1307"/>
      <c r="Q219" s="1307"/>
      <c r="R219" s="1307"/>
      <c r="S219" s="1121"/>
      <c r="T219" s="1121"/>
    </row>
    <row r="220" spans="1:20" hidden="1" outlineLevel="1">
      <c r="A220" s="985" t="s">
        <v>21</v>
      </c>
      <c r="B220" s="985" t="s">
        <v>99</v>
      </c>
      <c r="C220" s="985" t="s">
        <v>32</v>
      </c>
      <c r="D220" s="1201" t="str">
        <f t="shared" si="91"/>
        <v>7월</v>
      </c>
      <c r="E220" s="1298" t="s">
        <v>133</v>
      </c>
      <c r="F220" s="1203" t="s">
        <v>134</v>
      </c>
      <c r="G220" s="1298" t="s">
        <v>135</v>
      </c>
      <c r="H220" s="1203" t="s">
        <v>141</v>
      </c>
      <c r="I220" s="1204"/>
      <c r="J220" s="1204">
        <v>30000000</v>
      </c>
      <c r="K220" s="1204"/>
      <c r="L220" s="1205">
        <f t="shared" si="93"/>
        <v>0</v>
      </c>
      <c r="M220" s="1204"/>
      <c r="N220" s="1240">
        <f t="shared" si="92"/>
        <v>0</v>
      </c>
      <c r="O220" s="1144" t="s">
        <v>221</v>
      </c>
      <c r="S220" s="1121"/>
      <c r="T220" s="1121"/>
    </row>
    <row r="221" spans="1:20" hidden="1" outlineLevel="1">
      <c r="A221" s="985" t="s">
        <v>21</v>
      </c>
      <c r="B221" s="985" t="s">
        <v>99</v>
      </c>
      <c r="C221" s="985" t="s">
        <v>30</v>
      </c>
      <c r="D221" s="1201" t="str">
        <f t="shared" si="91"/>
        <v>7월</v>
      </c>
      <c r="E221" s="1298" t="s">
        <v>133</v>
      </c>
      <c r="F221" s="1203" t="s">
        <v>134</v>
      </c>
      <c r="G221" s="1298" t="s">
        <v>135</v>
      </c>
      <c r="H221" s="1203" t="s">
        <v>142</v>
      </c>
      <c r="I221" s="1204">
        <v>285625000</v>
      </c>
      <c r="J221" s="1204">
        <v>372500000</v>
      </c>
      <c r="K221" s="1204">
        <v>285625000</v>
      </c>
      <c r="L221" s="1205">
        <f t="shared" si="93"/>
        <v>0.76677852348993292</v>
      </c>
      <c r="M221" s="1204">
        <v>285625000</v>
      </c>
      <c r="N221" s="1240">
        <f t="shared" si="92"/>
        <v>0</v>
      </c>
      <c r="O221" s="1144" t="s">
        <v>222</v>
      </c>
      <c r="S221" s="1121"/>
      <c r="T221" s="1121"/>
    </row>
    <row r="222" spans="1:20" hidden="1" outlineLevel="1">
      <c r="A222" s="985" t="s">
        <v>21</v>
      </c>
      <c r="B222" s="985" t="s">
        <v>99</v>
      </c>
      <c r="C222" s="985" t="s">
        <v>29</v>
      </c>
      <c r="D222" s="1201" t="str">
        <f t="shared" si="91"/>
        <v>7월</v>
      </c>
      <c r="E222" s="1298" t="s">
        <v>133</v>
      </c>
      <c r="F222" s="1203" t="s">
        <v>134</v>
      </c>
      <c r="G222" s="1298" t="s">
        <v>135</v>
      </c>
      <c r="H222" s="1203" t="s">
        <v>146</v>
      </c>
      <c r="I222" s="1204">
        <v>160295337</v>
      </c>
      <c r="J222" s="1204">
        <v>119000000</v>
      </c>
      <c r="K222" s="1204">
        <v>160295337</v>
      </c>
      <c r="L222" s="1205">
        <f t="shared" si="93"/>
        <v>1.3470196386554623</v>
      </c>
      <c r="M222" s="1204">
        <v>160295337</v>
      </c>
      <c r="N222" s="1240">
        <f t="shared" si="92"/>
        <v>0</v>
      </c>
      <c r="O222" s="1144" t="s">
        <v>223</v>
      </c>
      <c r="S222" s="1121"/>
      <c r="T222" s="1121"/>
    </row>
    <row r="223" spans="1:20" hidden="1" outlineLevel="1">
      <c r="A223" s="985" t="s">
        <v>21</v>
      </c>
      <c r="B223" s="985" t="s">
        <v>99</v>
      </c>
      <c r="C223" s="985" t="s">
        <v>31</v>
      </c>
      <c r="D223" s="1201" t="str">
        <f t="shared" si="91"/>
        <v>7월</v>
      </c>
      <c r="E223" s="1300" t="s">
        <v>133</v>
      </c>
      <c r="F223" s="1214" t="s">
        <v>134</v>
      </c>
      <c r="G223" s="1300" t="s">
        <v>135</v>
      </c>
      <c r="H223" s="1214" t="s">
        <v>147</v>
      </c>
      <c r="I223" s="1215">
        <v>79808334</v>
      </c>
      <c r="J223" s="1204">
        <v>234375000</v>
      </c>
      <c r="K223" s="1215">
        <v>79808334</v>
      </c>
      <c r="L223" s="1216"/>
      <c r="M223" s="1215">
        <v>79808334</v>
      </c>
      <c r="N223" s="1240">
        <f t="shared" si="92"/>
        <v>0</v>
      </c>
      <c r="O223" s="1144" t="s">
        <v>224</v>
      </c>
      <c r="S223" s="1121"/>
      <c r="T223" s="1121"/>
    </row>
    <row r="224" spans="1:20" ht="14.4" hidden="1" outlineLevel="1" thickBot="1">
      <c r="A224" s="985" t="s">
        <v>21</v>
      </c>
      <c r="B224" s="985" t="s">
        <v>99</v>
      </c>
      <c r="C224" s="985" t="s">
        <v>32</v>
      </c>
      <c r="D224" s="1279" t="str">
        <f t="shared" si="91"/>
        <v>7월</v>
      </c>
      <c r="E224" s="1301" t="s">
        <v>133</v>
      </c>
      <c r="F224" s="1218" t="s">
        <v>134</v>
      </c>
      <c r="G224" s="1301" t="s">
        <v>135</v>
      </c>
      <c r="H224" s="1218" t="s">
        <v>148</v>
      </c>
      <c r="I224" s="1219"/>
      <c r="J224" s="1219"/>
      <c r="K224" s="1219"/>
      <c r="L224" s="1220" t="e">
        <f t="shared" ref="L224" si="94">+K224/J224</f>
        <v>#DIV/0!</v>
      </c>
      <c r="M224" s="1219"/>
      <c r="N224" s="1240">
        <f t="shared" si="92"/>
        <v>0</v>
      </c>
      <c r="Q224" s="1144"/>
      <c r="S224" s="1121"/>
      <c r="T224" s="1121"/>
    </row>
    <row r="225" spans="1:20" ht="14.4" collapsed="1" thickBot="1">
      <c r="D225" s="1529" t="s">
        <v>225</v>
      </c>
      <c r="E225" s="1530"/>
      <c r="F225" s="1530"/>
      <c r="G225" s="1530"/>
      <c r="H225" s="1531"/>
      <c r="I225" s="1223">
        <f>SUM(I215:I224)</f>
        <v>9970331127</v>
      </c>
      <c r="J225" s="1223">
        <f>SUM(J215:J224)</f>
        <v>9343697850</v>
      </c>
      <c r="K225" s="1223">
        <f>SUM(K215:K224)</f>
        <v>9970331127</v>
      </c>
      <c r="L225" s="1224">
        <f>I225/J225</f>
        <v>1.0670648052901239</v>
      </c>
      <c r="M225" s="1225">
        <f>SUM(M215:M224)</f>
        <v>9970331127</v>
      </c>
      <c r="N225" s="1226">
        <f>SUM(N215:N224)</f>
        <v>0</v>
      </c>
      <c r="O225" s="1280"/>
      <c r="S225" s="1121"/>
      <c r="T225" s="1121"/>
    </row>
    <row r="226" spans="1:20" hidden="1" outlineLevel="1">
      <c r="A226" s="985" t="s">
        <v>21</v>
      </c>
      <c r="B226" s="985" t="s">
        <v>99</v>
      </c>
      <c r="C226" s="985" t="s">
        <v>106</v>
      </c>
      <c r="D226" s="1195" t="s">
        <v>166</v>
      </c>
      <c r="E226" s="1297" t="s">
        <v>133</v>
      </c>
      <c r="F226" s="1274" t="s">
        <v>134</v>
      </c>
      <c r="G226" s="1297" t="s">
        <v>135</v>
      </c>
      <c r="H226" s="1274" t="s">
        <v>136</v>
      </c>
      <c r="I226" s="1275"/>
      <c r="J226" s="1275"/>
      <c r="K226" s="1275"/>
      <c r="L226" s="1276" t="e">
        <f t="shared" ref="L226" si="95">+I226/J226</f>
        <v>#DIV/0!</v>
      </c>
      <c r="M226" s="1275"/>
      <c r="N226" s="1261">
        <f>K226-M226</f>
        <v>0</v>
      </c>
      <c r="O226" s="1144"/>
    </row>
    <row r="227" spans="1:20" hidden="1" outlineLevel="1">
      <c r="A227" s="985" t="s">
        <v>21</v>
      </c>
      <c r="B227" s="985" t="s">
        <v>99</v>
      </c>
      <c r="C227" s="985" t="s">
        <v>106</v>
      </c>
      <c r="D227" s="1201" t="str">
        <f t="shared" ref="D227:D235" si="96">D226</f>
        <v>8월</v>
      </c>
      <c r="E227" s="1298" t="s">
        <v>133</v>
      </c>
      <c r="F227" s="1203" t="s">
        <v>134</v>
      </c>
      <c r="G227" s="1298" t="s">
        <v>135</v>
      </c>
      <c r="H227" s="1203" t="s">
        <v>137</v>
      </c>
      <c r="I227" s="1204"/>
      <c r="J227" s="1204"/>
      <c r="K227" s="1204"/>
      <c r="L227" s="1205"/>
      <c r="M227" s="1204"/>
      <c r="N227" s="1240">
        <f t="shared" ref="N227:N233" si="97">K227-M227</f>
        <v>0</v>
      </c>
      <c r="O227" s="1292"/>
    </row>
    <row r="228" spans="1:20" hidden="1" outlineLevel="1">
      <c r="A228" s="985" t="s">
        <v>21</v>
      </c>
      <c r="B228" s="985" t="s">
        <v>99</v>
      </c>
      <c r="C228" s="985" t="s">
        <v>22</v>
      </c>
      <c r="D228" s="1201" t="str">
        <f t="shared" si="96"/>
        <v>8월</v>
      </c>
      <c r="E228" s="1299" t="s">
        <v>133</v>
      </c>
      <c r="F228" s="1203" t="s">
        <v>134</v>
      </c>
      <c r="G228" s="1298" t="s">
        <v>135</v>
      </c>
      <c r="H228" s="1203" t="s">
        <v>138</v>
      </c>
      <c r="I228" s="1287">
        <v>2799032515</v>
      </c>
      <c r="J228" s="1204">
        <v>2029392857.1428571</v>
      </c>
      <c r="K228" s="1204">
        <v>2799032515</v>
      </c>
      <c r="L228" s="1205"/>
      <c r="M228" s="1204">
        <v>2799032514.5599999</v>
      </c>
      <c r="N228" s="1240">
        <f t="shared" si="97"/>
        <v>0.44000005722045898</v>
      </c>
      <c r="O228" s="1144" t="s">
        <v>226</v>
      </c>
      <c r="P228" s="1144"/>
      <c r="T228" s="1121"/>
    </row>
    <row r="229" spans="1:20" ht="14.4" hidden="1" outlineLevel="1" thickBot="1">
      <c r="A229" s="985" t="s">
        <v>21</v>
      </c>
      <c r="B229" s="985" t="s">
        <v>99</v>
      </c>
      <c r="C229" s="985" t="s">
        <v>27</v>
      </c>
      <c r="D229" s="1201" t="str">
        <f t="shared" si="96"/>
        <v>8월</v>
      </c>
      <c r="E229" s="1298" t="s">
        <v>133</v>
      </c>
      <c r="F229" s="1203" t="s">
        <v>134</v>
      </c>
      <c r="G229" s="1298" t="s">
        <v>135</v>
      </c>
      <c r="H229" s="1203" t="s">
        <v>139</v>
      </c>
      <c r="I229" s="1287">
        <v>129330570</v>
      </c>
      <c r="J229" s="1204">
        <v>524570000</v>
      </c>
      <c r="K229" s="1204">
        <v>129330570</v>
      </c>
      <c r="L229" s="1205">
        <f>+I229/J229</f>
        <v>0.24654587566959604</v>
      </c>
      <c r="M229" s="1204">
        <v>129330570</v>
      </c>
      <c r="N229" s="1240">
        <f t="shared" si="97"/>
        <v>0</v>
      </c>
      <c r="O229" s="1308" t="s">
        <v>227</v>
      </c>
      <c r="Q229" s="1121"/>
      <c r="T229" s="1121"/>
    </row>
    <row r="230" spans="1:20" ht="24" hidden="1" customHeight="1" outlineLevel="1">
      <c r="A230" s="985" t="s">
        <v>21</v>
      </c>
      <c r="B230" s="985" t="s">
        <v>99</v>
      </c>
      <c r="C230" s="985" t="s">
        <v>26</v>
      </c>
      <c r="D230" s="1201" t="str">
        <f t="shared" si="96"/>
        <v>8월</v>
      </c>
      <c r="E230" s="1298" t="s">
        <v>133</v>
      </c>
      <c r="F230" s="1203" t="s">
        <v>134</v>
      </c>
      <c r="G230" s="1298" t="s">
        <v>135</v>
      </c>
      <c r="H230" s="1203" t="s">
        <v>140</v>
      </c>
      <c r="I230" s="1287">
        <v>9145801500</v>
      </c>
      <c r="J230" s="1204">
        <v>9114117900</v>
      </c>
      <c r="K230" s="1204">
        <v>9145801500</v>
      </c>
      <c r="L230" s="1205">
        <f t="shared" ref="L230:L233" si="98">+I230/J230</f>
        <v>1.0034763210600994</v>
      </c>
      <c r="M230" s="1204">
        <v>9141451000</v>
      </c>
      <c r="N230" s="1240">
        <f t="shared" si="97"/>
        <v>4350500</v>
      </c>
      <c r="O230" s="1309" t="s">
        <v>228</v>
      </c>
      <c r="Q230" s="1121"/>
      <c r="T230" s="1121"/>
    </row>
    <row r="231" spans="1:20" hidden="1" outlineLevel="1">
      <c r="A231" s="985" t="s">
        <v>21</v>
      </c>
      <c r="B231" s="985" t="s">
        <v>99</v>
      </c>
      <c r="C231" s="985" t="s">
        <v>32</v>
      </c>
      <c r="D231" s="1201" t="str">
        <f t="shared" si="96"/>
        <v>8월</v>
      </c>
      <c r="E231" s="1298" t="s">
        <v>133</v>
      </c>
      <c r="F231" s="1203" t="s">
        <v>134</v>
      </c>
      <c r="G231" s="1298" t="s">
        <v>135</v>
      </c>
      <c r="H231" s="1203" t="s">
        <v>141</v>
      </c>
      <c r="I231" s="1204"/>
      <c r="J231" s="1204">
        <v>0</v>
      </c>
      <c r="K231" s="1204">
        <v>0</v>
      </c>
      <c r="L231" s="1205" t="e">
        <f t="shared" si="98"/>
        <v>#DIV/0!</v>
      </c>
      <c r="M231" s="1204">
        <v>0</v>
      </c>
      <c r="N231" s="1240">
        <f t="shared" si="97"/>
        <v>0</v>
      </c>
      <c r="O231" s="1144"/>
      <c r="Q231" s="1121"/>
      <c r="T231" s="1121"/>
    </row>
    <row r="232" spans="1:20" hidden="1" outlineLevel="1">
      <c r="A232" s="985" t="s">
        <v>21</v>
      </c>
      <c r="B232" s="985" t="s">
        <v>99</v>
      </c>
      <c r="C232" s="985" t="s">
        <v>30</v>
      </c>
      <c r="D232" s="1201" t="str">
        <f t="shared" si="96"/>
        <v>8월</v>
      </c>
      <c r="E232" s="1298" t="s">
        <v>133</v>
      </c>
      <c r="F232" s="1203" t="s">
        <v>134</v>
      </c>
      <c r="G232" s="1298" t="s">
        <v>135</v>
      </c>
      <c r="H232" s="1203" t="s">
        <v>142</v>
      </c>
      <c r="I232" s="1204">
        <v>118000000</v>
      </c>
      <c r="J232" s="1204">
        <v>198000000</v>
      </c>
      <c r="K232" s="1204">
        <v>118000000</v>
      </c>
      <c r="L232" s="1205">
        <f t="shared" si="98"/>
        <v>0.59595959595959591</v>
      </c>
      <c r="M232" s="1204">
        <v>118000000</v>
      </c>
      <c r="N232" s="1240">
        <f t="shared" si="97"/>
        <v>0</v>
      </c>
      <c r="O232" s="1144" t="s">
        <v>229</v>
      </c>
      <c r="Q232" s="1121"/>
      <c r="T232" s="1121"/>
    </row>
    <row r="233" spans="1:20" hidden="1" outlineLevel="1">
      <c r="A233" s="985" t="s">
        <v>21</v>
      </c>
      <c r="B233" s="985" t="s">
        <v>99</v>
      </c>
      <c r="C233" s="985" t="s">
        <v>29</v>
      </c>
      <c r="D233" s="1201" t="str">
        <f t="shared" si="96"/>
        <v>8월</v>
      </c>
      <c r="E233" s="1298" t="s">
        <v>133</v>
      </c>
      <c r="F233" s="1203" t="s">
        <v>134</v>
      </c>
      <c r="G233" s="1298" t="s">
        <v>135</v>
      </c>
      <c r="H233" s="1203" t="s">
        <v>146</v>
      </c>
      <c r="I233" s="1287">
        <v>2043355337</v>
      </c>
      <c r="J233" s="1204">
        <v>1787000000</v>
      </c>
      <c r="K233" s="1204">
        <v>2043355337</v>
      </c>
      <c r="L233" s="1205">
        <f t="shared" si="98"/>
        <v>1.1434557006155568</v>
      </c>
      <c r="M233" s="1204">
        <v>2040661036</v>
      </c>
      <c r="N233" s="1240">
        <f t="shared" si="97"/>
        <v>2694301</v>
      </c>
      <c r="O233" s="1144"/>
      <c r="Q233" s="1121"/>
      <c r="T233" s="1121"/>
    </row>
    <row r="234" spans="1:20" hidden="1" outlineLevel="1">
      <c r="A234" s="985" t="s">
        <v>21</v>
      </c>
      <c r="B234" s="985" t="s">
        <v>99</v>
      </c>
      <c r="C234" s="985" t="s">
        <v>31</v>
      </c>
      <c r="D234" s="1201" t="str">
        <f t="shared" si="96"/>
        <v>8월</v>
      </c>
      <c r="E234" s="1300" t="s">
        <v>133</v>
      </c>
      <c r="F234" s="1214" t="s">
        <v>134</v>
      </c>
      <c r="G234" s="1300" t="s">
        <v>135</v>
      </c>
      <c r="H234" s="1214" t="s">
        <v>147</v>
      </c>
      <c r="I234" s="1294">
        <v>36208334</v>
      </c>
      <c r="J234" s="1204">
        <v>46875000</v>
      </c>
      <c r="K234" s="1215">
        <v>36208334</v>
      </c>
      <c r="L234" s="1216"/>
      <c r="M234" s="1204">
        <v>36208334</v>
      </c>
      <c r="N234" s="1240">
        <f>K234-M234</f>
        <v>0</v>
      </c>
      <c r="O234" s="1144"/>
      <c r="Q234" s="1121"/>
      <c r="T234" s="1121"/>
    </row>
    <row r="235" spans="1:20" ht="14.4" hidden="1" outlineLevel="1" thickBot="1">
      <c r="A235" s="985" t="s">
        <v>21</v>
      </c>
      <c r="B235" s="985" t="s">
        <v>99</v>
      </c>
      <c r="C235" s="985" t="s">
        <v>32</v>
      </c>
      <c r="D235" s="1279" t="str">
        <f t="shared" si="96"/>
        <v>8월</v>
      </c>
      <c r="E235" s="1301" t="s">
        <v>133</v>
      </c>
      <c r="F235" s="1218" t="s">
        <v>134</v>
      </c>
      <c r="G235" s="1301" t="s">
        <v>135</v>
      </c>
      <c r="H235" s="1218" t="s">
        <v>148</v>
      </c>
      <c r="I235" s="1219"/>
      <c r="J235" s="1219"/>
      <c r="K235" s="1219"/>
      <c r="L235" s="1220" t="e">
        <f t="shared" ref="L235" si="99">+K235/J235</f>
        <v>#DIV/0!</v>
      </c>
      <c r="M235" s="1219"/>
      <c r="N235" s="1240">
        <f t="shared" ref="N235" si="100">K235-M235</f>
        <v>0</v>
      </c>
      <c r="O235" s="1144"/>
      <c r="T235" s="1121"/>
    </row>
    <row r="236" spans="1:20" ht="14.4" collapsed="1" thickBot="1">
      <c r="D236" s="1529" t="s">
        <v>230</v>
      </c>
      <c r="E236" s="1530"/>
      <c r="F236" s="1530"/>
      <c r="G236" s="1530"/>
      <c r="H236" s="1531"/>
      <c r="I236" s="1223">
        <f>SUM(I226:I235)</f>
        <v>14271728256</v>
      </c>
      <c r="J236" s="1223">
        <f>SUM(J226:J235)</f>
        <v>13699955757.142857</v>
      </c>
      <c r="K236" s="1223">
        <f>SUM(K226:K235)</f>
        <v>14271728256</v>
      </c>
      <c r="L236" s="1224">
        <f>I236/J236</f>
        <v>1.0417353536750682</v>
      </c>
      <c r="M236" s="1225">
        <f>SUM(M226:M235)</f>
        <v>14264683454.559999</v>
      </c>
      <c r="N236" s="1226">
        <f>SUM(N226:N235)</f>
        <v>7044801.4400000572</v>
      </c>
      <c r="O236" s="1144"/>
      <c r="T236" s="1121"/>
    </row>
    <row r="237" spans="1:20" hidden="1" outlineLevel="1">
      <c r="A237" s="985" t="s">
        <v>21</v>
      </c>
      <c r="B237" s="985" t="s">
        <v>99</v>
      </c>
      <c r="C237" s="985" t="s">
        <v>106</v>
      </c>
      <c r="D237" s="1195" t="s">
        <v>101</v>
      </c>
      <c r="E237" s="1297" t="s">
        <v>133</v>
      </c>
      <c r="F237" s="1274" t="s">
        <v>134</v>
      </c>
      <c r="G237" s="1297" t="s">
        <v>135</v>
      </c>
      <c r="H237" s="1274" t="s">
        <v>136</v>
      </c>
      <c r="I237" s="1275"/>
      <c r="J237" s="1275"/>
      <c r="K237" s="1275"/>
      <c r="L237" s="1276" t="e">
        <f t="shared" ref="L237" si="101">+I237/J237</f>
        <v>#DIV/0!</v>
      </c>
      <c r="M237" s="1275"/>
      <c r="N237" s="1261">
        <f>K237-M237</f>
        <v>0</v>
      </c>
      <c r="O237" s="1144"/>
      <c r="P237" s="985" t="s">
        <v>99</v>
      </c>
      <c r="Q237" s="985" t="s">
        <v>231</v>
      </c>
      <c r="R237" s="985" t="s">
        <v>232</v>
      </c>
    </row>
    <row r="238" spans="1:20" hidden="1" outlineLevel="1">
      <c r="A238" s="985" t="s">
        <v>21</v>
      </c>
      <c r="B238" s="985" t="s">
        <v>99</v>
      </c>
      <c r="C238" s="985" t="s">
        <v>106</v>
      </c>
      <c r="D238" s="1201" t="str">
        <f t="shared" ref="D238:D246" si="102">D237</f>
        <v>9월</v>
      </c>
      <c r="E238" s="1298" t="s">
        <v>133</v>
      </c>
      <c r="F238" s="1203" t="s">
        <v>134</v>
      </c>
      <c r="G238" s="1298" t="s">
        <v>135</v>
      </c>
      <c r="H238" s="1203" t="s">
        <v>137</v>
      </c>
      <c r="I238" s="1204"/>
      <c r="J238" s="1204"/>
      <c r="K238" s="1204"/>
      <c r="L238" s="1205"/>
      <c r="M238" s="1287"/>
      <c r="N238" s="1240">
        <f t="shared" ref="N238:N246" si="103">K238-M238</f>
        <v>0</v>
      </c>
      <c r="O238" s="1144"/>
    </row>
    <row r="239" spans="1:20" hidden="1" outlineLevel="1">
      <c r="A239" s="985" t="s">
        <v>21</v>
      </c>
      <c r="B239" s="985" t="s">
        <v>99</v>
      </c>
      <c r="C239" s="985" t="s">
        <v>22</v>
      </c>
      <c r="D239" s="1201" t="str">
        <f t="shared" si="102"/>
        <v>9월</v>
      </c>
      <c r="E239" s="1299" t="s">
        <v>133</v>
      </c>
      <c r="F239" s="1203" t="s">
        <v>134</v>
      </c>
      <c r="G239" s="1298" t="s">
        <v>135</v>
      </c>
      <c r="H239" s="1203" t="s">
        <v>138</v>
      </c>
      <c r="I239" s="1204">
        <v>564300524</v>
      </c>
      <c r="J239" s="1204">
        <v>1854951428.5714285</v>
      </c>
      <c r="K239" s="1204">
        <v>564300524</v>
      </c>
      <c r="L239" s="1205"/>
      <c r="M239" s="1287">
        <v>564300524</v>
      </c>
      <c r="N239" s="1240">
        <f t="shared" si="103"/>
        <v>0</v>
      </c>
      <c r="O239" s="1144" t="s">
        <v>233</v>
      </c>
      <c r="P239" s="1295">
        <v>46.443669849999999</v>
      </c>
      <c r="Q239" s="1163">
        <f>P239*10^8</f>
        <v>4644366985</v>
      </c>
      <c r="R239" s="1121">
        <f>Q239-SUM(K217,K228)</f>
        <v>746028914</v>
      </c>
      <c r="T239" s="1121"/>
    </row>
    <row r="240" spans="1:20" hidden="1" outlineLevel="1">
      <c r="A240" s="985" t="s">
        <v>21</v>
      </c>
      <c r="B240" s="985" t="s">
        <v>99</v>
      </c>
      <c r="C240" s="985" t="s">
        <v>27</v>
      </c>
      <c r="D240" s="1201" t="str">
        <f t="shared" si="102"/>
        <v>9월</v>
      </c>
      <c r="E240" s="1298" t="s">
        <v>133</v>
      </c>
      <c r="F240" s="1203" t="s">
        <v>134</v>
      </c>
      <c r="G240" s="1298" t="s">
        <v>135</v>
      </c>
      <c r="H240" s="1203" t="s">
        <v>139</v>
      </c>
      <c r="I240" s="1204">
        <v>71209620</v>
      </c>
      <c r="J240" s="1204">
        <v>274170000</v>
      </c>
      <c r="K240" s="1204">
        <v>71209620</v>
      </c>
      <c r="L240" s="1205">
        <f t="shared" ref="L240:L244" si="104">+I240/J240</f>
        <v>0.25972797899113687</v>
      </c>
      <c r="M240" s="1287">
        <v>71209620</v>
      </c>
      <c r="N240" s="1240">
        <f t="shared" si="103"/>
        <v>0</v>
      </c>
      <c r="O240" s="1144"/>
      <c r="P240" s="1295">
        <v>7.6828614999999996</v>
      </c>
      <c r="Q240" s="1163">
        <f t="shared" ref="Q240:Q245" si="105">P240*10^8</f>
        <v>768286150</v>
      </c>
      <c r="R240" s="1121">
        <f>Q240-SUM(K218,K229)</f>
        <v>179795580</v>
      </c>
      <c r="T240" s="1121"/>
    </row>
    <row r="241" spans="1:20" ht="96.6" hidden="1" outlineLevel="1">
      <c r="A241" s="985" t="s">
        <v>21</v>
      </c>
      <c r="B241" s="985" t="s">
        <v>99</v>
      </c>
      <c r="C241" s="985" t="s">
        <v>26</v>
      </c>
      <c r="D241" s="1201" t="str">
        <f t="shared" si="102"/>
        <v>9월</v>
      </c>
      <c r="E241" s="1298" t="s">
        <v>133</v>
      </c>
      <c r="F241" s="1203" t="s">
        <v>134</v>
      </c>
      <c r="G241" s="1298" t="s">
        <v>135</v>
      </c>
      <c r="H241" s="1203" t="s">
        <v>140</v>
      </c>
      <c r="I241" s="1204">
        <v>10996578200</v>
      </c>
      <c r="J241" s="1204">
        <v>6752588200</v>
      </c>
      <c r="K241" s="1204">
        <v>10996578200</v>
      </c>
      <c r="L241" s="1205">
        <f t="shared" si="104"/>
        <v>1.6284982697449253</v>
      </c>
      <c r="M241" s="1287">
        <v>10996578200</v>
      </c>
      <c r="N241" s="1240">
        <f t="shared" si="103"/>
        <v>0</v>
      </c>
      <c r="O241" s="1310" t="s">
        <v>234</v>
      </c>
      <c r="P241" s="1295">
        <v>287.54060820000001</v>
      </c>
      <c r="Q241" s="1163">
        <f t="shared" si="105"/>
        <v>28754060820</v>
      </c>
      <c r="R241" s="1121">
        <f t="shared" ref="R241:R245" si="106">Q241-SUM(K219,K230)</f>
        <v>11722122420</v>
      </c>
      <c r="T241" s="1121"/>
    </row>
    <row r="242" spans="1:20" hidden="1" outlineLevel="1">
      <c r="A242" s="985" t="s">
        <v>21</v>
      </c>
      <c r="B242" s="985" t="s">
        <v>99</v>
      </c>
      <c r="C242" s="985" t="s">
        <v>32</v>
      </c>
      <c r="D242" s="1201" t="str">
        <f t="shared" si="102"/>
        <v>9월</v>
      </c>
      <c r="E242" s="1298" t="s">
        <v>133</v>
      </c>
      <c r="F242" s="1203" t="s">
        <v>134</v>
      </c>
      <c r="G242" s="1298" t="s">
        <v>135</v>
      </c>
      <c r="H242" s="1203" t="s">
        <v>141</v>
      </c>
      <c r="I242" s="1204"/>
      <c r="J242" s="1204">
        <v>0</v>
      </c>
      <c r="K242" s="1204"/>
      <c r="L242" s="1205" t="e">
        <f t="shared" si="104"/>
        <v>#DIV/0!</v>
      </c>
      <c r="M242" s="1287"/>
      <c r="N242" s="1240">
        <f t="shared" si="103"/>
        <v>0</v>
      </c>
      <c r="O242" s="1144"/>
      <c r="P242" s="1295"/>
      <c r="Q242" s="1163">
        <f t="shared" si="105"/>
        <v>0</v>
      </c>
      <c r="R242" s="1121">
        <f t="shared" si="106"/>
        <v>0</v>
      </c>
      <c r="T242" s="1121"/>
    </row>
    <row r="243" spans="1:20" hidden="1" outlineLevel="1">
      <c r="A243" s="985" t="s">
        <v>21</v>
      </c>
      <c r="B243" s="985" t="s">
        <v>99</v>
      </c>
      <c r="C243" s="985" t="s">
        <v>30</v>
      </c>
      <c r="D243" s="1201" t="str">
        <f t="shared" si="102"/>
        <v>9월</v>
      </c>
      <c r="E243" s="1298" t="s">
        <v>133</v>
      </c>
      <c r="F243" s="1203" t="s">
        <v>134</v>
      </c>
      <c r="G243" s="1298" t="s">
        <v>135</v>
      </c>
      <c r="H243" s="1203" t="s">
        <v>142</v>
      </c>
      <c r="I243" s="1204">
        <v>386875000</v>
      </c>
      <c r="J243" s="1204">
        <v>131875000.00000001</v>
      </c>
      <c r="K243" s="1204">
        <v>386875000</v>
      </c>
      <c r="L243" s="1205">
        <f t="shared" si="104"/>
        <v>2.9336492890995256</v>
      </c>
      <c r="M243" s="1287">
        <v>386875000</v>
      </c>
      <c r="N243" s="1240">
        <f t="shared" si="103"/>
        <v>0</v>
      </c>
      <c r="O243" s="1144" t="s">
        <v>235</v>
      </c>
      <c r="P243" s="1295">
        <v>4.9737499999999999</v>
      </c>
      <c r="Q243" s="1163">
        <f t="shared" si="105"/>
        <v>497375000</v>
      </c>
      <c r="R243" s="1121">
        <f t="shared" si="106"/>
        <v>93750000</v>
      </c>
      <c r="T243" s="1121"/>
    </row>
    <row r="244" spans="1:20" hidden="1" outlineLevel="1">
      <c r="A244" s="985" t="s">
        <v>21</v>
      </c>
      <c r="B244" s="985" t="s">
        <v>99</v>
      </c>
      <c r="C244" s="985" t="s">
        <v>29</v>
      </c>
      <c r="D244" s="1201" t="str">
        <f t="shared" si="102"/>
        <v>9월</v>
      </c>
      <c r="E244" s="1298" t="s">
        <v>133</v>
      </c>
      <c r="F244" s="1203" t="s">
        <v>134</v>
      </c>
      <c r="G244" s="1298" t="s">
        <v>135</v>
      </c>
      <c r="H244" s="1203" t="s">
        <v>146</v>
      </c>
      <c r="I244" s="1204">
        <v>1725722637</v>
      </c>
      <c r="J244" s="1204">
        <v>766000000</v>
      </c>
      <c r="K244" s="1204">
        <v>1725722637</v>
      </c>
      <c r="L244" s="1205">
        <f t="shared" si="104"/>
        <v>2.2529016148825067</v>
      </c>
      <c r="M244" s="1287">
        <v>1725722637</v>
      </c>
      <c r="N244" s="1240">
        <f t="shared" si="103"/>
        <v>0</v>
      </c>
      <c r="O244" s="1144"/>
      <c r="P244" s="1295">
        <v>24.738031079999999</v>
      </c>
      <c r="Q244" s="1163">
        <f t="shared" si="105"/>
        <v>2473803108</v>
      </c>
      <c r="R244" s="1121">
        <f t="shared" si="106"/>
        <v>270152434</v>
      </c>
      <c r="T244" s="1121"/>
    </row>
    <row r="245" spans="1:20" hidden="1" outlineLevel="1">
      <c r="A245" s="985" t="s">
        <v>21</v>
      </c>
      <c r="B245" s="985" t="s">
        <v>99</v>
      </c>
      <c r="C245" s="985" t="s">
        <v>31</v>
      </c>
      <c r="D245" s="1201" t="str">
        <f t="shared" si="102"/>
        <v>9월</v>
      </c>
      <c r="E245" s="1300" t="s">
        <v>133</v>
      </c>
      <c r="F245" s="1214" t="s">
        <v>134</v>
      </c>
      <c r="G245" s="1300" t="s">
        <v>135</v>
      </c>
      <c r="H245" s="1214" t="s">
        <v>147</v>
      </c>
      <c r="I245" s="1215">
        <v>129958334</v>
      </c>
      <c r="J245" s="1204">
        <v>0</v>
      </c>
      <c r="K245" s="1215">
        <v>129958334</v>
      </c>
      <c r="L245" s="1216"/>
      <c r="M245" s="1294">
        <v>129958334</v>
      </c>
      <c r="N245" s="1240">
        <f t="shared" si="103"/>
        <v>0</v>
      </c>
      <c r="O245" s="1144"/>
      <c r="P245" s="1295">
        <v>2.02375002</v>
      </c>
      <c r="Q245" s="1163">
        <f t="shared" si="105"/>
        <v>202375002</v>
      </c>
      <c r="R245" s="1121">
        <f t="shared" si="106"/>
        <v>86358334</v>
      </c>
      <c r="T245" s="1121"/>
    </row>
    <row r="246" spans="1:20" ht="14.4" hidden="1" outlineLevel="1" thickBot="1">
      <c r="A246" s="985" t="s">
        <v>21</v>
      </c>
      <c r="B246" s="985" t="s">
        <v>99</v>
      </c>
      <c r="C246" s="985" t="s">
        <v>32</v>
      </c>
      <c r="D246" s="1279" t="str">
        <f t="shared" si="102"/>
        <v>9월</v>
      </c>
      <c r="E246" s="1301" t="s">
        <v>133</v>
      </c>
      <c r="F246" s="1218" t="s">
        <v>134</v>
      </c>
      <c r="G246" s="1301" t="s">
        <v>135</v>
      </c>
      <c r="H246" s="1218" t="s">
        <v>148</v>
      </c>
      <c r="I246" s="1219">
        <v>101629400</v>
      </c>
      <c r="J246" s="1219"/>
      <c r="K246" s="1219">
        <v>101629400</v>
      </c>
      <c r="L246" s="1220" t="e">
        <f t="shared" ref="L246" si="107">+K246/J246</f>
        <v>#DIV/0!</v>
      </c>
      <c r="M246" s="1219">
        <v>101629400</v>
      </c>
      <c r="N246" s="1240">
        <f t="shared" si="103"/>
        <v>0</v>
      </c>
      <c r="P246" s="1295"/>
      <c r="Q246" s="1163"/>
      <c r="T246" s="1121"/>
    </row>
    <row r="247" spans="1:20" ht="14.4" collapsed="1" thickBot="1">
      <c r="D247" s="1529" t="s">
        <v>236</v>
      </c>
      <c r="E247" s="1530"/>
      <c r="F247" s="1530"/>
      <c r="G247" s="1530"/>
      <c r="H247" s="1531"/>
      <c r="I247" s="1223">
        <f>SUM(I237:I246)</f>
        <v>13976273715</v>
      </c>
      <c r="J247" s="1223">
        <f>SUM(J237:J246)</f>
        <v>9779584628.5714283</v>
      </c>
      <c r="K247" s="1223">
        <f>SUM(K237:K246)</f>
        <v>13976273715</v>
      </c>
      <c r="L247" s="1224">
        <f>I247/J247</f>
        <v>1.4291275392379943</v>
      </c>
      <c r="M247" s="1225">
        <f>SUM(M237:M246)</f>
        <v>13976273715</v>
      </c>
      <c r="N247" s="1226">
        <f>SUM(N237:N246)</f>
        <v>0</v>
      </c>
      <c r="P247" s="1295"/>
      <c r="T247" s="1121"/>
    </row>
    <row r="248" spans="1:20" ht="14.4" thickBot="1">
      <c r="D248" s="1541" t="s">
        <v>237</v>
      </c>
      <c r="E248" s="1542"/>
      <c r="F248" s="1542"/>
      <c r="G248" s="1542"/>
      <c r="H248" s="1543"/>
      <c r="I248" s="1235">
        <f>SUM(I225,I236,I247)</f>
        <v>38218333098</v>
      </c>
      <c r="J248" s="1235">
        <f t="shared" ref="J248:K248" si="108">SUM(J225,J236,J247)</f>
        <v>32823238235.714287</v>
      </c>
      <c r="K248" s="1235">
        <f t="shared" si="108"/>
        <v>38218333098</v>
      </c>
      <c r="L248" s="1236">
        <f>I248/J248</f>
        <v>1.1643681474552203</v>
      </c>
      <c r="M248" s="1235">
        <f>SUM(M225,M236,M247)</f>
        <v>38211288296.559998</v>
      </c>
      <c r="N248" s="1235">
        <f>SUM(N225,N236,N247)</f>
        <v>7044801.4400000572</v>
      </c>
      <c r="O248" s="1280"/>
    </row>
    <row r="249" spans="1:20" hidden="1" outlineLevel="1">
      <c r="A249" s="985" t="s">
        <v>21</v>
      </c>
      <c r="B249" s="985" t="s">
        <v>174</v>
      </c>
      <c r="C249" s="985" t="s">
        <v>106</v>
      </c>
      <c r="D249" s="1195" t="s">
        <v>175</v>
      </c>
      <c r="E249" s="1297" t="s">
        <v>133</v>
      </c>
      <c r="F249" s="1274" t="s">
        <v>134</v>
      </c>
      <c r="G249" s="1297" t="s">
        <v>135</v>
      </c>
      <c r="H249" s="1274" t="s">
        <v>136</v>
      </c>
      <c r="I249" s="1275"/>
      <c r="J249" s="1275"/>
      <c r="K249" s="1275"/>
      <c r="L249" s="1276" t="e">
        <f t="shared" ref="L249" si="109">+I249/J249</f>
        <v>#DIV/0!</v>
      </c>
      <c r="M249" s="1275"/>
      <c r="N249" s="1261">
        <f>K249-M249</f>
        <v>0</v>
      </c>
      <c r="O249" s="1144"/>
    </row>
    <row r="250" spans="1:20" hidden="1" outlineLevel="1">
      <c r="A250" s="985" t="s">
        <v>21</v>
      </c>
      <c r="B250" s="985" t="s">
        <v>174</v>
      </c>
      <c r="C250" s="985" t="s">
        <v>106</v>
      </c>
      <c r="D250" s="1201" t="str">
        <f t="shared" ref="D250:D258" si="110">D249</f>
        <v>10월</v>
      </c>
      <c r="E250" s="1298" t="s">
        <v>133</v>
      </c>
      <c r="F250" s="1203" t="s">
        <v>134</v>
      </c>
      <c r="G250" s="1298" t="s">
        <v>135</v>
      </c>
      <c r="H250" s="1203" t="s">
        <v>137</v>
      </c>
      <c r="I250" s="1204"/>
      <c r="J250" s="1204"/>
      <c r="K250" s="1204"/>
      <c r="L250" s="1205"/>
      <c r="M250" s="1204"/>
      <c r="N250" s="1240">
        <f t="shared" ref="N250:N258" si="111">K250-M250</f>
        <v>0</v>
      </c>
      <c r="O250" s="1144"/>
    </row>
    <row r="251" spans="1:20" hidden="1" outlineLevel="1">
      <c r="A251" s="985" t="s">
        <v>21</v>
      </c>
      <c r="B251" s="985" t="s">
        <v>174</v>
      </c>
      <c r="C251" s="985" t="s">
        <v>22</v>
      </c>
      <c r="D251" s="1201" t="str">
        <f t="shared" si="110"/>
        <v>10월</v>
      </c>
      <c r="E251" s="1299" t="s">
        <v>133</v>
      </c>
      <c r="F251" s="1203" t="s">
        <v>134</v>
      </c>
      <c r="G251" s="1298" t="s">
        <v>135</v>
      </c>
      <c r="H251" s="1203" t="s">
        <v>138</v>
      </c>
      <c r="I251" s="1204">
        <v>1367600932</v>
      </c>
      <c r="J251" s="1204">
        <v>2135396250.0000002</v>
      </c>
      <c r="K251" s="1204">
        <v>1367600932</v>
      </c>
      <c r="L251" s="1205"/>
      <c r="M251" s="1204">
        <v>1367600932</v>
      </c>
      <c r="N251" s="1240">
        <f t="shared" si="111"/>
        <v>0</v>
      </c>
      <c r="O251" s="1144" t="s">
        <v>190</v>
      </c>
      <c r="P251" s="1144"/>
      <c r="S251" s="1121"/>
      <c r="T251" s="1121"/>
    </row>
    <row r="252" spans="1:20" hidden="1" outlineLevel="1">
      <c r="A252" s="985" t="s">
        <v>21</v>
      </c>
      <c r="B252" s="985" t="s">
        <v>174</v>
      </c>
      <c r="C252" s="985" t="s">
        <v>27</v>
      </c>
      <c r="D252" s="1201" t="str">
        <f t="shared" si="110"/>
        <v>10월</v>
      </c>
      <c r="E252" s="1298" t="s">
        <v>133</v>
      </c>
      <c r="F252" s="1203" t="s">
        <v>134</v>
      </c>
      <c r="G252" s="1298" t="s">
        <v>135</v>
      </c>
      <c r="H252" s="1203" t="s">
        <v>139</v>
      </c>
      <c r="I252" s="1204">
        <v>172612880</v>
      </c>
      <c r="J252" s="1204">
        <v>552764102.56410241</v>
      </c>
      <c r="K252" s="1204">
        <v>172612880</v>
      </c>
      <c r="L252" s="1205">
        <f t="shared" ref="L252:L256" si="112">+I252/J252</f>
        <v>0.31227223186039399</v>
      </c>
      <c r="M252" s="1204">
        <v>172612880</v>
      </c>
      <c r="N252" s="1240">
        <f t="shared" si="111"/>
        <v>0</v>
      </c>
      <c r="O252" s="1144"/>
      <c r="S252" s="1121"/>
      <c r="T252" s="1121"/>
    </row>
    <row r="253" spans="1:20" hidden="1" outlineLevel="1">
      <c r="A253" s="985" t="s">
        <v>21</v>
      </c>
      <c r="B253" s="985" t="s">
        <v>174</v>
      </c>
      <c r="C253" s="985" t="s">
        <v>26</v>
      </c>
      <c r="D253" s="1201" t="str">
        <f t="shared" si="110"/>
        <v>10월</v>
      </c>
      <c r="E253" s="1298" t="s">
        <v>133</v>
      </c>
      <c r="F253" s="1203" t="s">
        <v>134</v>
      </c>
      <c r="G253" s="1298" t="s">
        <v>135</v>
      </c>
      <c r="H253" s="1203" t="s">
        <v>140</v>
      </c>
      <c r="I253" s="1204">
        <v>10198247500</v>
      </c>
      <c r="J253" s="1204">
        <v>8858448600.0000019</v>
      </c>
      <c r="K253" s="1204">
        <v>10198247500</v>
      </c>
      <c r="L253" s="1205">
        <f t="shared" si="112"/>
        <v>1.1512453207664373</v>
      </c>
      <c r="M253" s="1204">
        <v>10198247500</v>
      </c>
      <c r="N253" s="1240">
        <f t="shared" si="111"/>
        <v>0</v>
      </c>
      <c r="O253" s="1311" t="s">
        <v>238</v>
      </c>
      <c r="S253" s="1121"/>
      <c r="T253" s="1121"/>
    </row>
    <row r="254" spans="1:20" hidden="1" outlineLevel="1">
      <c r="A254" s="985" t="s">
        <v>21</v>
      </c>
      <c r="B254" s="985" t="s">
        <v>174</v>
      </c>
      <c r="C254" s="985" t="s">
        <v>32</v>
      </c>
      <c r="D254" s="1201" t="str">
        <f t="shared" si="110"/>
        <v>10월</v>
      </c>
      <c r="E254" s="1298" t="s">
        <v>133</v>
      </c>
      <c r="F254" s="1203" t="s">
        <v>134</v>
      </c>
      <c r="G254" s="1298" t="s">
        <v>135</v>
      </c>
      <c r="H254" s="1203" t="s">
        <v>141</v>
      </c>
      <c r="I254" s="1204"/>
      <c r="J254" s="1204">
        <v>0</v>
      </c>
      <c r="K254" s="1204"/>
      <c r="L254" s="1205" t="e">
        <f t="shared" si="112"/>
        <v>#DIV/0!</v>
      </c>
      <c r="M254" s="1204"/>
      <c r="N254" s="1240">
        <f t="shared" si="111"/>
        <v>0</v>
      </c>
      <c r="O254" s="1144"/>
      <c r="S254" s="1121"/>
      <c r="T254" s="1121"/>
    </row>
    <row r="255" spans="1:20" hidden="1" outlineLevel="1">
      <c r="A255" s="985" t="s">
        <v>21</v>
      </c>
      <c r="B255" s="985" t="s">
        <v>174</v>
      </c>
      <c r="C255" s="985" t="s">
        <v>30</v>
      </c>
      <c r="D255" s="1201" t="str">
        <f t="shared" si="110"/>
        <v>10월</v>
      </c>
      <c r="E255" s="1298" t="s">
        <v>133</v>
      </c>
      <c r="F255" s="1203" t="s">
        <v>134</v>
      </c>
      <c r="G255" s="1298" t="s">
        <v>135</v>
      </c>
      <c r="H255" s="1203" t="s">
        <v>142</v>
      </c>
      <c r="I255" s="1204">
        <v>46875000</v>
      </c>
      <c r="J255" s="1204">
        <v>85000000</v>
      </c>
      <c r="K255" s="1204">
        <v>46875000</v>
      </c>
      <c r="L255" s="1205">
        <f t="shared" si="112"/>
        <v>0.55147058823529416</v>
      </c>
      <c r="M255" s="1204">
        <v>46875000</v>
      </c>
      <c r="N255" s="1240">
        <f t="shared" si="111"/>
        <v>0</v>
      </c>
      <c r="O255" s="1144"/>
      <c r="S255" s="1121"/>
      <c r="T255" s="1121"/>
    </row>
    <row r="256" spans="1:20" hidden="1" outlineLevel="1">
      <c r="A256" s="985" t="s">
        <v>21</v>
      </c>
      <c r="B256" s="985" t="s">
        <v>174</v>
      </c>
      <c r="C256" s="985" t="s">
        <v>29</v>
      </c>
      <c r="D256" s="1201" t="str">
        <f t="shared" si="110"/>
        <v>10월</v>
      </c>
      <c r="E256" s="1298" t="s">
        <v>133</v>
      </c>
      <c r="F256" s="1203" t="s">
        <v>134</v>
      </c>
      <c r="G256" s="1298" t="s">
        <v>135</v>
      </c>
      <c r="H256" s="1203" t="s">
        <v>146</v>
      </c>
      <c r="I256" s="1204">
        <v>81867130</v>
      </c>
      <c r="J256" s="1204">
        <v>0</v>
      </c>
      <c r="K256" s="1204">
        <v>81867130</v>
      </c>
      <c r="L256" s="1205" t="e">
        <f t="shared" si="112"/>
        <v>#DIV/0!</v>
      </c>
      <c r="M256" s="1204">
        <v>81867130</v>
      </c>
      <c r="N256" s="1240">
        <f t="shared" si="111"/>
        <v>0</v>
      </c>
      <c r="O256" s="1144" t="s">
        <v>239</v>
      </c>
      <c r="S256" s="1121"/>
      <c r="T256" s="1121"/>
    </row>
    <row r="257" spans="1:20" hidden="1" outlineLevel="1">
      <c r="A257" s="985" t="s">
        <v>21</v>
      </c>
      <c r="B257" s="985" t="s">
        <v>174</v>
      </c>
      <c r="C257" s="985" t="s">
        <v>31</v>
      </c>
      <c r="D257" s="1201" t="str">
        <f t="shared" si="110"/>
        <v>10월</v>
      </c>
      <c r="E257" s="1300" t="s">
        <v>133</v>
      </c>
      <c r="F257" s="1214" t="s">
        <v>134</v>
      </c>
      <c r="G257" s="1300" t="s">
        <v>135</v>
      </c>
      <c r="H257" s="1214" t="s">
        <v>147</v>
      </c>
      <c r="I257" s="1215">
        <v>36208334</v>
      </c>
      <c r="J257" s="1204">
        <v>0</v>
      </c>
      <c r="K257" s="1215">
        <v>36208334</v>
      </c>
      <c r="L257" s="1216"/>
      <c r="M257" s="1204">
        <v>36208334</v>
      </c>
      <c r="N257" s="1240">
        <f t="shared" si="111"/>
        <v>0</v>
      </c>
      <c r="O257" s="1144"/>
      <c r="S257" s="1121"/>
      <c r="T257" s="1121"/>
    </row>
    <row r="258" spans="1:20" ht="14.4" hidden="1" outlineLevel="1" thickBot="1">
      <c r="A258" s="985" t="s">
        <v>21</v>
      </c>
      <c r="B258" s="985" t="s">
        <v>174</v>
      </c>
      <c r="C258" s="985" t="s">
        <v>32</v>
      </c>
      <c r="D258" s="1279" t="str">
        <f t="shared" si="110"/>
        <v>10월</v>
      </c>
      <c r="E258" s="1301" t="s">
        <v>133</v>
      </c>
      <c r="F258" s="1218" t="s">
        <v>134</v>
      </c>
      <c r="G258" s="1301" t="s">
        <v>135</v>
      </c>
      <c r="H258" s="1218" t="s">
        <v>148</v>
      </c>
      <c r="I258" s="1219">
        <v>10065044</v>
      </c>
      <c r="J258" s="1219"/>
      <c r="K258" s="1219">
        <v>10065044</v>
      </c>
      <c r="L258" s="1220" t="e">
        <f t="shared" ref="L258" si="113">+K258/J258</f>
        <v>#DIV/0!</v>
      </c>
      <c r="M258" s="1219">
        <v>10065044</v>
      </c>
      <c r="N258" s="1240">
        <f t="shared" si="111"/>
        <v>0</v>
      </c>
      <c r="S258" s="1121"/>
      <c r="T258" s="1121"/>
    </row>
    <row r="259" spans="1:20" ht="14.4" collapsed="1" thickBot="1">
      <c r="D259" s="1529" t="s">
        <v>240</v>
      </c>
      <c r="E259" s="1530"/>
      <c r="F259" s="1530"/>
      <c r="G259" s="1530"/>
      <c r="H259" s="1531"/>
      <c r="I259" s="1223">
        <f>SUM(I249:I258)</f>
        <v>11913476820</v>
      </c>
      <c r="J259" s="1223">
        <f>SUM(J249:J258)</f>
        <v>11631608952.564104</v>
      </c>
      <c r="K259" s="1223">
        <f>SUM(K249:K258)</f>
        <v>11913476820</v>
      </c>
      <c r="L259" s="1224">
        <f>I259/J259</f>
        <v>1.0242329215661743</v>
      </c>
      <c r="M259" s="1225">
        <f>SUM(M249:M258)</f>
        <v>11913476820</v>
      </c>
      <c r="N259" s="1226">
        <f>SUM(N249:N258)</f>
        <v>0</v>
      </c>
      <c r="O259" s="1280"/>
      <c r="S259" s="1121"/>
      <c r="T259" s="1121"/>
    </row>
    <row r="260" spans="1:20" hidden="1" outlineLevel="1">
      <c r="A260" s="985" t="s">
        <v>21</v>
      </c>
      <c r="B260" s="985" t="s">
        <v>174</v>
      </c>
      <c r="C260" s="985" t="s">
        <v>106</v>
      </c>
      <c r="D260" s="1195" t="s">
        <v>143</v>
      </c>
      <c r="E260" s="1297" t="s">
        <v>133</v>
      </c>
      <c r="F260" s="1274" t="s">
        <v>134</v>
      </c>
      <c r="G260" s="1297" t="s">
        <v>135</v>
      </c>
      <c r="H260" s="1274" t="s">
        <v>136</v>
      </c>
      <c r="I260" s="1275"/>
      <c r="J260" s="1275"/>
      <c r="K260" s="1312"/>
      <c r="L260" s="1276" t="e">
        <f t="shared" ref="L260" si="114">+I260/J260</f>
        <v>#DIV/0!</v>
      </c>
      <c r="M260" s="1275"/>
      <c r="N260" s="1261">
        <f>K260-M260</f>
        <v>0</v>
      </c>
      <c r="O260" s="1144"/>
    </row>
    <row r="261" spans="1:20" hidden="1" outlineLevel="1">
      <c r="A261" s="985" t="s">
        <v>21</v>
      </c>
      <c r="B261" s="985" t="s">
        <v>174</v>
      </c>
      <c r="C261" s="985" t="s">
        <v>106</v>
      </c>
      <c r="D261" s="1201" t="str">
        <f t="shared" ref="D261:D269" si="115">D260</f>
        <v>11월</v>
      </c>
      <c r="E261" s="1298" t="s">
        <v>133</v>
      </c>
      <c r="F261" s="1203" t="s">
        <v>134</v>
      </c>
      <c r="G261" s="1298" t="s">
        <v>135</v>
      </c>
      <c r="H261" s="1203" t="s">
        <v>137</v>
      </c>
      <c r="I261" s="1204"/>
      <c r="J261" s="1204"/>
      <c r="K261" s="1286"/>
      <c r="L261" s="1205"/>
      <c r="M261" s="1204"/>
      <c r="N261" s="1240">
        <f t="shared" ref="N261:N267" si="116">K261-M261</f>
        <v>0</v>
      </c>
      <c r="O261" s="1292"/>
    </row>
    <row r="262" spans="1:20" hidden="1" outlineLevel="1">
      <c r="A262" s="985" t="s">
        <v>21</v>
      </c>
      <c r="B262" s="985" t="s">
        <v>174</v>
      </c>
      <c r="C262" s="985" t="s">
        <v>22</v>
      </c>
      <c r="D262" s="1201" t="str">
        <f t="shared" si="115"/>
        <v>11월</v>
      </c>
      <c r="E262" s="1299" t="s">
        <v>133</v>
      </c>
      <c r="F262" s="1203" t="s">
        <v>134</v>
      </c>
      <c r="G262" s="1298" t="s">
        <v>135</v>
      </c>
      <c r="H262" s="1203" t="s">
        <v>138</v>
      </c>
      <c r="I262" s="1287">
        <v>1363011488.4400001</v>
      </c>
      <c r="J262" s="1204">
        <v>561580500</v>
      </c>
      <c r="K262" s="1286">
        <v>1363011488.4400001</v>
      </c>
      <c r="L262" s="1205"/>
      <c r="M262" s="1204">
        <v>1363011488.4400001</v>
      </c>
      <c r="N262" s="1240">
        <f t="shared" si="116"/>
        <v>0</v>
      </c>
      <c r="O262" s="1144" t="s">
        <v>241</v>
      </c>
      <c r="P262" s="1144"/>
      <c r="T262" s="1121"/>
    </row>
    <row r="263" spans="1:20" hidden="1" outlineLevel="1">
      <c r="A263" s="985" t="s">
        <v>21</v>
      </c>
      <c r="B263" s="985" t="s">
        <v>174</v>
      </c>
      <c r="C263" s="985" t="s">
        <v>27</v>
      </c>
      <c r="D263" s="1201" t="str">
        <f t="shared" si="115"/>
        <v>11월</v>
      </c>
      <c r="E263" s="1298" t="s">
        <v>133</v>
      </c>
      <c r="F263" s="1203" t="s">
        <v>134</v>
      </c>
      <c r="G263" s="1298" t="s">
        <v>135</v>
      </c>
      <c r="H263" s="1203" t="s">
        <v>139</v>
      </c>
      <c r="I263" s="1287">
        <v>206100820</v>
      </c>
      <c r="J263" s="1204">
        <v>254591602.56410235</v>
      </c>
      <c r="K263" s="1286">
        <v>206100820</v>
      </c>
      <c r="L263" s="1205">
        <f>+I263/J263</f>
        <v>0.80953502756677487</v>
      </c>
      <c r="M263" s="1204">
        <v>206100820</v>
      </c>
      <c r="N263" s="1240">
        <f t="shared" si="116"/>
        <v>0</v>
      </c>
      <c r="O263" s="1144" t="s">
        <v>242</v>
      </c>
      <c r="Q263" s="1121"/>
      <c r="T263" s="1121"/>
    </row>
    <row r="264" spans="1:20" hidden="1" outlineLevel="1">
      <c r="A264" s="985" t="s">
        <v>21</v>
      </c>
      <c r="B264" s="985" t="s">
        <v>174</v>
      </c>
      <c r="C264" s="985" t="s">
        <v>26</v>
      </c>
      <c r="D264" s="1201" t="str">
        <f t="shared" si="115"/>
        <v>11월</v>
      </c>
      <c r="E264" s="1298" t="s">
        <v>133</v>
      </c>
      <c r="F264" s="1203" t="s">
        <v>134</v>
      </c>
      <c r="G264" s="1298" t="s">
        <v>135</v>
      </c>
      <c r="H264" s="1203" t="s">
        <v>140</v>
      </c>
      <c r="I264" s="1287">
        <v>13721557600</v>
      </c>
      <c r="J264" s="1204">
        <v>11779757100</v>
      </c>
      <c r="K264" s="1313">
        <v>13721557600</v>
      </c>
      <c r="L264" s="1205">
        <f t="shared" ref="L264:L267" si="117">+I264/J264</f>
        <v>1.1648421511170208</v>
      </c>
      <c r="M264" s="1204">
        <v>13721557600</v>
      </c>
      <c r="N264" s="1240">
        <f t="shared" si="116"/>
        <v>0</v>
      </c>
      <c r="O264" s="1144">
        <v>503181900</v>
      </c>
      <c r="P264" s="985" t="s">
        <v>243</v>
      </c>
      <c r="Q264" s="1121"/>
      <c r="T264" s="1121"/>
    </row>
    <row r="265" spans="1:20" hidden="1" outlineLevel="1">
      <c r="A265" s="985" t="s">
        <v>21</v>
      </c>
      <c r="B265" s="985" t="s">
        <v>174</v>
      </c>
      <c r="C265" s="985" t="s">
        <v>32</v>
      </c>
      <c r="D265" s="1201" t="str">
        <f t="shared" si="115"/>
        <v>11월</v>
      </c>
      <c r="E265" s="1298" t="s">
        <v>133</v>
      </c>
      <c r="F265" s="1203" t="s">
        <v>134</v>
      </c>
      <c r="G265" s="1298" t="s">
        <v>135</v>
      </c>
      <c r="H265" s="1203" t="s">
        <v>141</v>
      </c>
      <c r="I265" s="1204"/>
      <c r="J265" s="1204">
        <v>67000000.000000007</v>
      </c>
      <c r="K265" s="1286"/>
      <c r="L265" s="1205">
        <f t="shared" si="117"/>
        <v>0</v>
      </c>
      <c r="M265" s="1204"/>
      <c r="N265" s="1240">
        <f>K265-M265</f>
        <v>0</v>
      </c>
      <c r="O265" s="1144"/>
      <c r="Q265" s="1121"/>
      <c r="T265" s="1121"/>
    </row>
    <row r="266" spans="1:20" hidden="1" outlineLevel="1">
      <c r="A266" s="985" t="s">
        <v>21</v>
      </c>
      <c r="B266" s="985" t="s">
        <v>174</v>
      </c>
      <c r="C266" s="985" t="s">
        <v>30</v>
      </c>
      <c r="D266" s="1201" t="str">
        <f t="shared" si="115"/>
        <v>11월</v>
      </c>
      <c r="E266" s="1298" t="s">
        <v>133</v>
      </c>
      <c r="F266" s="1203" t="s">
        <v>134</v>
      </c>
      <c r="G266" s="1298" t="s">
        <v>135</v>
      </c>
      <c r="H266" s="1203" t="s">
        <v>142</v>
      </c>
      <c r="I266" s="1204">
        <v>0</v>
      </c>
      <c r="J266" s="1204">
        <v>131875000.00000001</v>
      </c>
      <c r="K266" s="1286">
        <v>0</v>
      </c>
      <c r="L266" s="1205">
        <f t="shared" si="117"/>
        <v>0</v>
      </c>
      <c r="M266" s="1204">
        <v>0</v>
      </c>
      <c r="N266" s="1240">
        <f>K266-M266</f>
        <v>0</v>
      </c>
      <c r="O266" s="1144"/>
      <c r="Q266" s="1121"/>
      <c r="T266" s="1121"/>
    </row>
    <row r="267" spans="1:20" hidden="1" outlineLevel="1">
      <c r="A267" s="985" t="s">
        <v>21</v>
      </c>
      <c r="B267" s="985" t="s">
        <v>174</v>
      </c>
      <c r="C267" s="985" t="s">
        <v>29</v>
      </c>
      <c r="D267" s="1201" t="str">
        <f t="shared" si="115"/>
        <v>11월</v>
      </c>
      <c r="E267" s="1298" t="s">
        <v>133</v>
      </c>
      <c r="F267" s="1203" t="s">
        <v>134</v>
      </c>
      <c r="G267" s="1298" t="s">
        <v>135</v>
      </c>
      <c r="H267" s="1203" t="s">
        <v>146</v>
      </c>
      <c r="I267" s="1287">
        <v>28575130</v>
      </c>
      <c r="J267" s="1204">
        <v>0</v>
      </c>
      <c r="K267" s="1286">
        <v>28575130</v>
      </c>
      <c r="L267" s="1205" t="e">
        <f t="shared" si="117"/>
        <v>#DIV/0!</v>
      </c>
      <c r="M267" s="1204">
        <v>28575130</v>
      </c>
      <c r="N267" s="1240">
        <f t="shared" si="116"/>
        <v>0</v>
      </c>
      <c r="O267" s="1144"/>
      <c r="Q267" s="1121"/>
      <c r="T267" s="1121"/>
    </row>
    <row r="268" spans="1:20" hidden="1" outlineLevel="1">
      <c r="A268" s="985" t="s">
        <v>21</v>
      </c>
      <c r="B268" s="985" t="s">
        <v>174</v>
      </c>
      <c r="C268" s="985" t="s">
        <v>31</v>
      </c>
      <c r="D268" s="1201" t="str">
        <f t="shared" si="115"/>
        <v>11월</v>
      </c>
      <c r="E268" s="1300" t="s">
        <v>133</v>
      </c>
      <c r="F268" s="1214" t="s">
        <v>134</v>
      </c>
      <c r="G268" s="1300" t="s">
        <v>135</v>
      </c>
      <c r="H268" s="1214" t="s">
        <v>147</v>
      </c>
      <c r="I268" s="1294">
        <v>83083334</v>
      </c>
      <c r="J268" s="1204">
        <v>46875000</v>
      </c>
      <c r="K268" s="1290">
        <v>83083334</v>
      </c>
      <c r="L268" s="1216"/>
      <c r="M268" s="1215">
        <v>83083334</v>
      </c>
      <c r="N268" s="1240">
        <f>K268-M268</f>
        <v>0</v>
      </c>
      <c r="Q268" s="1121"/>
      <c r="T268" s="1121"/>
    </row>
    <row r="269" spans="1:20" ht="14.4" hidden="1" outlineLevel="1" thickBot="1">
      <c r="A269" s="985" t="s">
        <v>21</v>
      </c>
      <c r="B269" s="985" t="s">
        <v>174</v>
      </c>
      <c r="C269" s="985" t="s">
        <v>32</v>
      </c>
      <c r="D269" s="1279" t="str">
        <f t="shared" si="115"/>
        <v>11월</v>
      </c>
      <c r="E269" s="1301" t="s">
        <v>133</v>
      </c>
      <c r="F269" s="1218" t="s">
        <v>134</v>
      </c>
      <c r="G269" s="1301" t="s">
        <v>135</v>
      </c>
      <c r="H269" s="1218" t="s">
        <v>148</v>
      </c>
      <c r="I269" s="1219">
        <v>4000000</v>
      </c>
      <c r="J269" s="1219"/>
      <c r="K269" s="1291">
        <v>4000000</v>
      </c>
      <c r="L269" s="1220" t="e">
        <f t="shared" ref="L269" si="118">+K269/J269</f>
        <v>#DIV/0!</v>
      </c>
      <c r="M269" s="1219">
        <v>4000000</v>
      </c>
      <c r="N269" s="1240">
        <f t="shared" ref="N269" si="119">K269-M269</f>
        <v>0</v>
      </c>
      <c r="O269" s="1144"/>
      <c r="T269" s="1121"/>
    </row>
    <row r="270" spans="1:20" ht="23.4" collapsed="1" thickBot="1">
      <c r="D270" s="1529" t="s">
        <v>244</v>
      </c>
      <c r="E270" s="1530"/>
      <c r="F270" s="1530"/>
      <c r="G270" s="1530"/>
      <c r="H270" s="1531"/>
      <c r="I270" s="1223">
        <f>SUM(I260:I269)</f>
        <v>15406328372.440001</v>
      </c>
      <c r="J270" s="1223">
        <f>SUM(J260:J269)</f>
        <v>12841679202.564102</v>
      </c>
      <c r="K270" s="1223">
        <f>SUM(K260:K269)</f>
        <v>15406328372.440001</v>
      </c>
      <c r="L270" s="1224">
        <f>I270/J270</f>
        <v>1.1997129136634883</v>
      </c>
      <c r="M270" s="1225">
        <f>SUM(M260:M269)</f>
        <v>15406328372.440001</v>
      </c>
      <c r="N270" s="1226">
        <f>SUM(N260:N269)</f>
        <v>0</v>
      </c>
      <c r="O270" s="1314" t="s">
        <v>245</v>
      </c>
      <c r="T270" s="1121"/>
    </row>
    <row r="271" spans="1:20" hidden="1" outlineLevel="1">
      <c r="A271" s="985" t="s">
        <v>21</v>
      </c>
      <c r="B271" s="985" t="s">
        <v>174</v>
      </c>
      <c r="C271" s="985" t="s">
        <v>106</v>
      </c>
      <c r="D271" s="1195" t="s">
        <v>144</v>
      </c>
      <c r="E271" s="1297" t="s">
        <v>133</v>
      </c>
      <c r="F271" s="1274" t="s">
        <v>134</v>
      </c>
      <c r="G271" s="1297" t="s">
        <v>135</v>
      </c>
      <c r="H271" s="1274" t="s">
        <v>136</v>
      </c>
      <c r="I271" s="1275"/>
      <c r="J271" s="1275"/>
      <c r="K271" s="1312"/>
      <c r="L271" s="1276" t="e">
        <f t="shared" ref="L271" si="120">+I271/J271</f>
        <v>#DIV/0!</v>
      </c>
      <c r="M271" s="1275"/>
      <c r="N271" s="1261">
        <f>K271-M271</f>
        <v>0</v>
      </c>
      <c r="O271" s="1144"/>
    </row>
    <row r="272" spans="1:20" hidden="1" outlineLevel="1">
      <c r="A272" s="985" t="s">
        <v>21</v>
      </c>
      <c r="B272" s="985" t="s">
        <v>174</v>
      </c>
      <c r="C272" s="985" t="s">
        <v>106</v>
      </c>
      <c r="D272" s="1201" t="str">
        <f t="shared" ref="D272:D280" si="121">D271</f>
        <v>12월</v>
      </c>
      <c r="E272" s="1298" t="s">
        <v>133</v>
      </c>
      <c r="F272" s="1203" t="s">
        <v>134</v>
      </c>
      <c r="G272" s="1298" t="s">
        <v>135</v>
      </c>
      <c r="H272" s="1203" t="s">
        <v>137</v>
      </c>
      <c r="I272" s="1204"/>
      <c r="J272" s="1204"/>
      <c r="K272" s="1286"/>
      <c r="L272" s="1205"/>
      <c r="M272" s="1287"/>
      <c r="N272" s="1240">
        <f t="shared" ref="N272:N280" si="122">K272-M272</f>
        <v>0</v>
      </c>
      <c r="O272" s="1144"/>
    </row>
    <row r="273" spans="1:20" hidden="1" outlineLevel="1">
      <c r="A273" s="985" t="s">
        <v>21</v>
      </c>
      <c r="B273" s="985" t="s">
        <v>174</v>
      </c>
      <c r="C273" s="985" t="s">
        <v>22</v>
      </c>
      <c r="D273" s="1201" t="str">
        <f t="shared" si="121"/>
        <v>12월</v>
      </c>
      <c r="E273" s="1299" t="s">
        <v>133</v>
      </c>
      <c r="F273" s="1203" t="s">
        <v>134</v>
      </c>
      <c r="G273" s="1298" t="s">
        <v>135</v>
      </c>
      <c r="H273" s="1203" t="s">
        <v>138</v>
      </c>
      <c r="I273" s="1204">
        <v>2722223765</v>
      </c>
      <c r="J273" s="1204">
        <v>1751927357.1428573</v>
      </c>
      <c r="K273" s="1286">
        <v>2722223765</v>
      </c>
      <c r="L273" s="1205"/>
      <c r="M273" s="1287">
        <v>3034130662</v>
      </c>
      <c r="N273" s="1240">
        <f t="shared" si="122"/>
        <v>-311906897</v>
      </c>
      <c r="O273" s="1292" t="s">
        <v>246</v>
      </c>
      <c r="P273" s="1295"/>
      <c r="Q273" s="1163"/>
      <c r="S273" s="991" t="s">
        <v>116</v>
      </c>
      <c r="T273" s="1121">
        <v>868832000</v>
      </c>
    </row>
    <row r="274" spans="1:20" hidden="1" outlineLevel="1">
      <c r="A274" s="985" t="s">
        <v>21</v>
      </c>
      <c r="B274" s="985" t="s">
        <v>174</v>
      </c>
      <c r="C274" s="985" t="s">
        <v>27</v>
      </c>
      <c r="D274" s="1201" t="str">
        <f t="shared" si="121"/>
        <v>12월</v>
      </c>
      <c r="E274" s="1298" t="s">
        <v>133</v>
      </c>
      <c r="F274" s="1203" t="s">
        <v>134</v>
      </c>
      <c r="G274" s="1298" t="s">
        <v>135</v>
      </c>
      <c r="H274" s="1203" t="s">
        <v>139</v>
      </c>
      <c r="I274" s="1204">
        <v>676210400</v>
      </c>
      <c r="J274" s="1204">
        <v>361684102.56410235</v>
      </c>
      <c r="K274" s="1289">
        <v>676210400</v>
      </c>
      <c r="L274" s="1205">
        <f t="shared" ref="L274:L278" si="123">+I274/J274</f>
        <v>1.8696160411975895</v>
      </c>
      <c r="M274" s="1287">
        <v>676210400</v>
      </c>
      <c r="N274" s="1240">
        <f>K274-M274</f>
        <v>0</v>
      </c>
      <c r="O274" s="1144"/>
      <c r="P274" s="1295"/>
      <c r="Q274" s="1163"/>
      <c r="T274" s="1121"/>
    </row>
    <row r="275" spans="1:20" hidden="1" outlineLevel="1">
      <c r="A275" s="985" t="s">
        <v>21</v>
      </c>
      <c r="B275" s="985" t="s">
        <v>174</v>
      </c>
      <c r="C275" s="985" t="s">
        <v>26</v>
      </c>
      <c r="D275" s="1201" t="str">
        <f t="shared" si="121"/>
        <v>12월</v>
      </c>
      <c r="E275" s="1298" t="s">
        <v>133</v>
      </c>
      <c r="F275" s="1203" t="s">
        <v>134</v>
      </c>
      <c r="G275" s="1298" t="s">
        <v>135</v>
      </c>
      <c r="H275" s="1203" t="s">
        <v>140</v>
      </c>
      <c r="I275" s="1204">
        <v>10113701700</v>
      </c>
      <c r="J275" s="1204">
        <v>9746519150</v>
      </c>
      <c r="K275" s="1315">
        <v>10113701700</v>
      </c>
      <c r="L275" s="1205">
        <f t="shared" si="123"/>
        <v>1.0376731984361822</v>
      </c>
      <c r="M275" s="1287">
        <v>10113701700</v>
      </c>
      <c r="N275" s="1240">
        <f t="shared" si="122"/>
        <v>0</v>
      </c>
      <c r="O275" s="1288" t="s">
        <v>247</v>
      </c>
      <c r="P275" s="1295"/>
      <c r="Q275" s="1163"/>
      <c r="T275" s="1121"/>
    </row>
    <row r="276" spans="1:20" hidden="1" outlineLevel="1">
      <c r="A276" s="985" t="s">
        <v>21</v>
      </c>
      <c r="B276" s="985" t="s">
        <v>174</v>
      </c>
      <c r="C276" s="985" t="s">
        <v>32</v>
      </c>
      <c r="D276" s="1201" t="str">
        <f t="shared" si="121"/>
        <v>12월</v>
      </c>
      <c r="E276" s="1298" t="s">
        <v>133</v>
      </c>
      <c r="F276" s="1203" t="s">
        <v>134</v>
      </c>
      <c r="G276" s="1298" t="s">
        <v>135</v>
      </c>
      <c r="H276" s="1203" t="s">
        <v>141</v>
      </c>
      <c r="I276" s="1204">
        <v>0</v>
      </c>
      <c r="J276" s="1204">
        <v>67000000.000000007</v>
      </c>
      <c r="K276" s="1286">
        <v>0</v>
      </c>
      <c r="L276" s="1205">
        <f t="shared" si="123"/>
        <v>0</v>
      </c>
      <c r="M276" s="1287">
        <v>0</v>
      </c>
      <c r="N276" s="1240">
        <f t="shared" si="122"/>
        <v>0</v>
      </c>
      <c r="O276" s="1144"/>
      <c r="P276" s="1295"/>
      <c r="Q276" s="1163"/>
      <c r="T276" s="1121"/>
    </row>
    <row r="277" spans="1:20" hidden="1" outlineLevel="1">
      <c r="A277" s="985" t="s">
        <v>21</v>
      </c>
      <c r="B277" s="985" t="s">
        <v>174</v>
      </c>
      <c r="C277" s="985" t="s">
        <v>30</v>
      </c>
      <c r="D277" s="1201" t="str">
        <f t="shared" si="121"/>
        <v>12월</v>
      </c>
      <c r="E277" s="1298" t="s">
        <v>133</v>
      </c>
      <c r="F277" s="1203" t="s">
        <v>134</v>
      </c>
      <c r="G277" s="1298" t="s">
        <v>135</v>
      </c>
      <c r="H277" s="1203" t="s">
        <v>142</v>
      </c>
      <c r="I277" s="1204">
        <v>0</v>
      </c>
      <c r="J277" s="1204">
        <v>46875000</v>
      </c>
      <c r="K277" s="1286">
        <v>0</v>
      </c>
      <c r="L277" s="1205">
        <f t="shared" si="123"/>
        <v>0</v>
      </c>
      <c r="M277" s="1287">
        <v>0</v>
      </c>
      <c r="N277" s="1240">
        <f t="shared" si="122"/>
        <v>0</v>
      </c>
      <c r="O277" s="1144"/>
      <c r="P277" s="1295"/>
      <c r="Q277" s="1163"/>
      <c r="T277" s="1121"/>
    </row>
    <row r="278" spans="1:20" hidden="1" outlineLevel="1">
      <c r="A278" s="985" t="s">
        <v>21</v>
      </c>
      <c r="B278" s="985" t="s">
        <v>174</v>
      </c>
      <c r="C278" s="985" t="s">
        <v>29</v>
      </c>
      <c r="D278" s="1201" t="str">
        <f t="shared" si="121"/>
        <v>12월</v>
      </c>
      <c r="E278" s="1298" t="s">
        <v>133</v>
      </c>
      <c r="F278" s="1203" t="s">
        <v>134</v>
      </c>
      <c r="G278" s="1298" t="s">
        <v>135</v>
      </c>
      <c r="H278" s="1203" t="s">
        <v>146</v>
      </c>
      <c r="I278" s="1204">
        <v>105774138</v>
      </c>
      <c r="J278" s="1204">
        <v>1429000000</v>
      </c>
      <c r="K278" s="1286">
        <v>54347152</v>
      </c>
      <c r="L278" s="1205">
        <f t="shared" si="123"/>
        <v>7.4019690692792156E-2</v>
      </c>
      <c r="M278" s="1287">
        <v>62001036</v>
      </c>
      <c r="N278" s="1240">
        <f t="shared" si="122"/>
        <v>-7653884</v>
      </c>
      <c r="O278" s="1144" t="s">
        <v>248</v>
      </c>
      <c r="P278" s="1295"/>
      <c r="Q278" s="1163"/>
      <c r="T278" s="1121"/>
    </row>
    <row r="279" spans="1:20" hidden="1" outlineLevel="1">
      <c r="A279" s="985" t="s">
        <v>21</v>
      </c>
      <c r="B279" s="985" t="s">
        <v>174</v>
      </c>
      <c r="C279" s="985" t="s">
        <v>31</v>
      </c>
      <c r="D279" s="1201" t="str">
        <f t="shared" si="121"/>
        <v>12월</v>
      </c>
      <c r="E279" s="1300" t="s">
        <v>133</v>
      </c>
      <c r="F279" s="1214" t="s">
        <v>134</v>
      </c>
      <c r="G279" s="1300" t="s">
        <v>135</v>
      </c>
      <c r="H279" s="1214" t="s">
        <v>147</v>
      </c>
      <c r="I279" s="1215">
        <v>38108334</v>
      </c>
      <c r="J279" s="1204">
        <v>140625000</v>
      </c>
      <c r="K279" s="1290">
        <v>58508334</v>
      </c>
      <c r="L279" s="1216"/>
      <c r="M279" s="1294">
        <v>36208334</v>
      </c>
      <c r="N279" s="1240">
        <f t="shared" si="122"/>
        <v>22300000</v>
      </c>
      <c r="O279" s="1144"/>
      <c r="P279" s="1295"/>
      <c r="Q279" s="1163"/>
      <c r="T279" s="1121"/>
    </row>
    <row r="280" spans="1:20" ht="14.4" hidden="1" outlineLevel="1" thickBot="1">
      <c r="A280" s="985" t="s">
        <v>21</v>
      </c>
      <c r="B280" s="985" t="s">
        <v>174</v>
      </c>
      <c r="C280" s="985" t="s">
        <v>32</v>
      </c>
      <c r="D280" s="1279" t="str">
        <f t="shared" si="121"/>
        <v>12월</v>
      </c>
      <c r="E280" s="1301" t="s">
        <v>133</v>
      </c>
      <c r="F280" s="1218" t="s">
        <v>134</v>
      </c>
      <c r="G280" s="1301" t="s">
        <v>135</v>
      </c>
      <c r="H280" s="1218" t="s">
        <v>148</v>
      </c>
      <c r="I280" s="1219">
        <v>166199838</v>
      </c>
      <c r="J280" s="1219"/>
      <c r="K280" s="1291">
        <v>166199838</v>
      </c>
      <c r="L280" s="1220" t="e">
        <f t="shared" ref="L280" si="124">+K280/J280</f>
        <v>#DIV/0!</v>
      </c>
      <c r="M280" s="1219"/>
      <c r="N280" s="1240">
        <f t="shared" si="122"/>
        <v>166199838</v>
      </c>
      <c r="O280" s="1304" t="s">
        <v>249</v>
      </c>
      <c r="P280" s="1295"/>
      <c r="Q280" s="1163"/>
      <c r="T280" s="1121"/>
    </row>
    <row r="281" spans="1:20" ht="14.4" collapsed="1" thickBot="1">
      <c r="D281" s="1529" t="s">
        <v>250</v>
      </c>
      <c r="E281" s="1530"/>
      <c r="F281" s="1530"/>
      <c r="G281" s="1530"/>
      <c r="H281" s="1531"/>
      <c r="I281" s="1223">
        <f>SUM(I271:I280)</f>
        <v>13822218175</v>
      </c>
      <c r="J281" s="1223">
        <f>SUM(J271:J280)</f>
        <v>13543630609.706959</v>
      </c>
      <c r="K281" s="1223">
        <f>SUM(K271:K280)</f>
        <v>13791191189</v>
      </c>
      <c r="L281" s="1224">
        <f>I281/J281</f>
        <v>1.0205696369992086</v>
      </c>
      <c r="M281" s="1225">
        <f>SUM(M271:M280)</f>
        <v>13922252132</v>
      </c>
      <c r="N281" s="1226">
        <f>SUM(N271:N280)</f>
        <v>-131060943</v>
      </c>
      <c r="P281" s="1295"/>
      <c r="S281" s="991" t="s">
        <v>27</v>
      </c>
      <c r="T281" s="1121">
        <v>154498560</v>
      </c>
    </row>
    <row r="282" spans="1:20" ht="14.4" thickBot="1">
      <c r="D282" s="1541" t="s">
        <v>251</v>
      </c>
      <c r="E282" s="1542"/>
      <c r="F282" s="1542"/>
      <c r="G282" s="1542"/>
      <c r="H282" s="1543"/>
      <c r="I282" s="1235">
        <f>SUM(I259,I270,I281)</f>
        <v>41142023367.440002</v>
      </c>
      <c r="J282" s="1235">
        <f t="shared" ref="J282:K282" si="125">SUM(J259,J270,J281)</f>
        <v>38016918764.835159</v>
      </c>
      <c r="K282" s="1235">
        <f t="shared" si="125"/>
        <v>41110996381.440002</v>
      </c>
      <c r="L282" s="1236">
        <f>I282/J282</f>
        <v>1.0822029955119745</v>
      </c>
      <c r="M282" s="1235">
        <f t="shared" ref="M282:N282" si="126">SUM(M259,M270,M281)</f>
        <v>41242057324.440002</v>
      </c>
      <c r="N282" s="1235">
        <f t="shared" si="126"/>
        <v>-131060943</v>
      </c>
      <c r="O282" s="1280"/>
    </row>
    <row r="283" spans="1:20" ht="14.4" thickBot="1">
      <c r="D283" s="1538" t="s">
        <v>252</v>
      </c>
      <c r="E283" s="1539"/>
      <c r="F283" s="1539"/>
      <c r="G283" s="1539"/>
      <c r="H283" s="1540"/>
      <c r="I283" s="1282">
        <f>SUM(I180,I214,I248,I282)</f>
        <v>139301607998.44</v>
      </c>
      <c r="J283" s="1282">
        <f t="shared" ref="J283:K283" si="127">SUM(J180,J214,J248,J282)</f>
        <v>131334554614.83516</v>
      </c>
      <c r="K283" s="1282">
        <f t="shared" si="127"/>
        <v>139270581012.44</v>
      </c>
      <c r="L283" s="1283">
        <f>I283/J283</f>
        <v>1.0606622789179116</v>
      </c>
      <c r="M283" s="1284">
        <f t="shared" ref="M283:N283" si="128">SUM(M180,M214,M248,M282)</f>
        <v>139394597154</v>
      </c>
      <c r="N283" s="1285">
        <f t="shared" si="128"/>
        <v>-124016141.55999994</v>
      </c>
    </row>
    <row r="284" spans="1:20">
      <c r="A284" s="985" t="s">
        <v>24</v>
      </c>
      <c r="B284" s="985" t="s">
        <v>2</v>
      </c>
      <c r="C284" s="985" t="s">
        <v>106</v>
      </c>
      <c r="D284" s="1195" t="s">
        <v>3</v>
      </c>
      <c r="E284" s="1274" t="s">
        <v>133</v>
      </c>
      <c r="F284" s="1274" t="s">
        <v>134</v>
      </c>
      <c r="G284" s="1274" t="s">
        <v>135</v>
      </c>
      <c r="H284" s="1274" t="s">
        <v>253</v>
      </c>
      <c r="I284" s="1275">
        <v>0</v>
      </c>
      <c r="J284" s="1275">
        <v>17044833.333333336</v>
      </c>
      <c r="K284" s="1275">
        <v>0</v>
      </c>
      <c r="L284" s="1276">
        <f t="shared" ref="L284" si="129">+I284/J284</f>
        <v>0</v>
      </c>
      <c r="M284" s="1275">
        <v>0</v>
      </c>
      <c r="N284" s="1261">
        <f>K284-M284</f>
        <v>0</v>
      </c>
      <c r="S284" s="991" t="s">
        <v>34</v>
      </c>
      <c r="T284" s="985">
        <v>93750000</v>
      </c>
    </row>
    <row r="285" spans="1:20">
      <c r="A285" s="985" t="s">
        <v>24</v>
      </c>
      <c r="B285" s="985" t="s">
        <v>2</v>
      </c>
      <c r="C285" s="985" t="s">
        <v>106</v>
      </c>
      <c r="D285" s="1201" t="str">
        <f t="shared" ref="D285:D293" si="130">D284</f>
        <v>1월</v>
      </c>
      <c r="E285" s="1203" t="s">
        <v>133</v>
      </c>
      <c r="F285" s="1203" t="s">
        <v>134</v>
      </c>
      <c r="G285" s="1203" t="s">
        <v>135</v>
      </c>
      <c r="H285" s="1203" t="s">
        <v>137</v>
      </c>
      <c r="I285" s="1204">
        <v>0</v>
      </c>
      <c r="J285" s="1204">
        <v>0</v>
      </c>
      <c r="K285" s="1204">
        <v>0</v>
      </c>
      <c r="L285" s="1205"/>
      <c r="M285" s="1204">
        <v>0</v>
      </c>
      <c r="N285" s="1240">
        <f t="shared" ref="N285:N293" si="131">K285-M285</f>
        <v>0</v>
      </c>
    </row>
    <row r="286" spans="1:20">
      <c r="A286" s="985" t="s">
        <v>24</v>
      </c>
      <c r="B286" s="985" t="s">
        <v>2</v>
      </c>
      <c r="C286" s="985" t="s">
        <v>22</v>
      </c>
      <c r="D286" s="1201" t="str">
        <f t="shared" si="130"/>
        <v>1월</v>
      </c>
      <c r="E286" s="1202" t="s">
        <v>133</v>
      </c>
      <c r="F286" s="1203" t="s">
        <v>134</v>
      </c>
      <c r="G286" s="1203" t="s">
        <v>135</v>
      </c>
      <c r="H286" s="1203" t="s">
        <v>138</v>
      </c>
      <c r="I286" s="1204">
        <v>318512365</v>
      </c>
      <c r="J286" s="1204">
        <v>310017950</v>
      </c>
      <c r="K286" s="1204">
        <v>318512365</v>
      </c>
      <c r="L286" s="1205"/>
      <c r="M286" s="1204">
        <v>318512365</v>
      </c>
      <c r="N286" s="1240">
        <f t="shared" si="131"/>
        <v>0</v>
      </c>
      <c r="O286" s="1304" t="s">
        <v>254</v>
      </c>
    </row>
    <row r="287" spans="1:20">
      <c r="A287" s="985" t="s">
        <v>24</v>
      </c>
      <c r="B287" s="985" t="s">
        <v>2</v>
      </c>
      <c r="C287" s="985" t="s">
        <v>27</v>
      </c>
      <c r="D287" s="1201" t="str">
        <f t="shared" si="130"/>
        <v>1월</v>
      </c>
      <c r="E287" s="1203" t="s">
        <v>133</v>
      </c>
      <c r="F287" s="1203" t="s">
        <v>134</v>
      </c>
      <c r="G287" s="1203" t="s">
        <v>135</v>
      </c>
      <c r="H287" s="1203" t="s">
        <v>139</v>
      </c>
      <c r="I287" s="1204">
        <v>257333760</v>
      </c>
      <c r="J287" s="1204">
        <v>265256500</v>
      </c>
      <c r="K287" s="1204">
        <v>257333760</v>
      </c>
      <c r="L287" s="1205">
        <f t="shared" ref="L287:L291" si="132">+I287/J287</f>
        <v>0.97013177810911322</v>
      </c>
      <c r="M287" s="1204">
        <v>257333760</v>
      </c>
      <c r="N287" s="1240">
        <f t="shared" si="131"/>
        <v>0</v>
      </c>
      <c r="O287" s="1304" t="s">
        <v>255</v>
      </c>
    </row>
    <row r="288" spans="1:20">
      <c r="A288" s="985" t="s">
        <v>24</v>
      </c>
      <c r="B288" s="985" t="s">
        <v>2</v>
      </c>
      <c r="C288" s="985" t="s">
        <v>26</v>
      </c>
      <c r="D288" s="1201" t="str">
        <f t="shared" si="130"/>
        <v>1월</v>
      </c>
      <c r="E288" s="1203" t="s">
        <v>133</v>
      </c>
      <c r="F288" s="1203" t="s">
        <v>134</v>
      </c>
      <c r="G288" s="1203" t="s">
        <v>135</v>
      </c>
      <c r="H288" s="1203" t="s">
        <v>140</v>
      </c>
      <c r="I288" s="1204">
        <v>6906412400.000001</v>
      </c>
      <c r="J288" s="1204">
        <v>6899050300</v>
      </c>
      <c r="K288" s="1204">
        <v>6906412400.000001</v>
      </c>
      <c r="L288" s="1205">
        <f t="shared" si="132"/>
        <v>1.0010671178901247</v>
      </c>
      <c r="M288" s="1287">
        <v>6906412400.000001</v>
      </c>
      <c r="N288" s="1240">
        <f t="shared" si="131"/>
        <v>0</v>
      </c>
      <c r="O288" s="985" t="s">
        <v>256</v>
      </c>
    </row>
    <row r="289" spans="1:20">
      <c r="A289" s="985" t="s">
        <v>24</v>
      </c>
      <c r="B289" s="985" t="s">
        <v>2</v>
      </c>
      <c r="C289" s="985" t="s">
        <v>32</v>
      </c>
      <c r="D289" s="1201" t="str">
        <f t="shared" si="130"/>
        <v>1월</v>
      </c>
      <c r="E289" s="1203" t="s">
        <v>133</v>
      </c>
      <c r="F289" s="1203" t="s">
        <v>134</v>
      </c>
      <c r="G289" s="1203" t="s">
        <v>135</v>
      </c>
      <c r="H289" s="1203" t="s">
        <v>141</v>
      </c>
      <c r="I289" s="1204">
        <v>0</v>
      </c>
      <c r="J289" s="1204">
        <v>0</v>
      </c>
      <c r="K289" s="1204">
        <v>0</v>
      </c>
      <c r="L289" s="1205" t="e">
        <f t="shared" si="132"/>
        <v>#DIV/0!</v>
      </c>
      <c r="M289" s="1204">
        <v>0</v>
      </c>
      <c r="N289" s="1240">
        <f t="shared" si="131"/>
        <v>0</v>
      </c>
      <c r="S289" s="991" t="s">
        <v>35</v>
      </c>
      <c r="T289" s="985">
        <v>119960500</v>
      </c>
    </row>
    <row r="290" spans="1:20">
      <c r="A290" s="985" t="s">
        <v>24</v>
      </c>
      <c r="B290" s="985" t="s">
        <v>2</v>
      </c>
      <c r="C290" s="985" t="s">
        <v>30</v>
      </c>
      <c r="D290" s="1201" t="str">
        <f t="shared" si="130"/>
        <v>1월</v>
      </c>
      <c r="E290" s="1203" t="s">
        <v>133</v>
      </c>
      <c r="F290" s="1203" t="s">
        <v>134</v>
      </c>
      <c r="G290" s="1203" t="s">
        <v>135</v>
      </c>
      <c r="H290" s="1203" t="s">
        <v>142</v>
      </c>
      <c r="I290" s="1204"/>
      <c r="J290" s="1204"/>
      <c r="K290" s="1204"/>
      <c r="L290" s="1205" t="e">
        <f t="shared" si="132"/>
        <v>#DIV/0!</v>
      </c>
      <c r="M290" s="1204"/>
      <c r="N290" s="1240">
        <f t="shared" si="131"/>
        <v>0</v>
      </c>
    </row>
    <row r="291" spans="1:20">
      <c r="A291" s="985" t="s">
        <v>24</v>
      </c>
      <c r="B291" s="985" t="s">
        <v>2</v>
      </c>
      <c r="C291" s="985" t="s">
        <v>29</v>
      </c>
      <c r="D291" s="1201" t="str">
        <f t="shared" si="130"/>
        <v>1월</v>
      </c>
      <c r="E291" s="1203" t="s">
        <v>133</v>
      </c>
      <c r="F291" s="1203" t="s">
        <v>134</v>
      </c>
      <c r="G291" s="1203" t="s">
        <v>135</v>
      </c>
      <c r="H291" s="1203" t="s">
        <v>146</v>
      </c>
      <c r="I291" s="1204">
        <v>2490865804</v>
      </c>
      <c r="J291" s="1204">
        <v>2459700000</v>
      </c>
      <c r="K291" s="1204">
        <v>2490865804</v>
      </c>
      <c r="L291" s="1205">
        <f t="shared" si="132"/>
        <v>1.012670571207871</v>
      </c>
      <c r="M291" s="1204">
        <v>2490865804</v>
      </c>
      <c r="N291" s="1240">
        <f t="shared" si="131"/>
        <v>0</v>
      </c>
    </row>
    <row r="292" spans="1:20">
      <c r="A292" s="985" t="s">
        <v>24</v>
      </c>
      <c r="B292" s="985" t="s">
        <v>2</v>
      </c>
      <c r="C292" s="985" t="s">
        <v>31</v>
      </c>
      <c r="D292" s="1201" t="str">
        <f t="shared" si="130"/>
        <v>1월</v>
      </c>
      <c r="E292" s="1214" t="s">
        <v>133</v>
      </c>
      <c r="F292" s="1214" t="s">
        <v>134</v>
      </c>
      <c r="G292" s="1214" t="s">
        <v>135</v>
      </c>
      <c r="H292" s="1214" t="s">
        <v>147</v>
      </c>
      <c r="I292" s="1215">
        <v>176833334</v>
      </c>
      <c r="J292" s="1215">
        <v>140625000</v>
      </c>
      <c r="K292" s="1215">
        <v>176833334</v>
      </c>
      <c r="L292" s="1216"/>
      <c r="M292" s="1215">
        <v>176833334</v>
      </c>
      <c r="N292" s="1240">
        <f t="shared" si="131"/>
        <v>0</v>
      </c>
    </row>
    <row r="293" spans="1:20" ht="14.4" thickBot="1">
      <c r="A293" s="985" t="s">
        <v>24</v>
      </c>
      <c r="B293" s="985" t="s">
        <v>2</v>
      </c>
      <c r="C293" s="985" t="s">
        <v>32</v>
      </c>
      <c r="D293" s="1279" t="str">
        <f t="shared" si="130"/>
        <v>1월</v>
      </c>
      <c r="E293" s="1218" t="s">
        <v>133</v>
      </c>
      <c r="F293" s="1218" t="s">
        <v>134</v>
      </c>
      <c r="G293" s="1218" t="s">
        <v>135</v>
      </c>
      <c r="H293" s="1218" t="s">
        <v>148</v>
      </c>
      <c r="I293" s="1219">
        <v>37327710</v>
      </c>
      <c r="J293" s="1219"/>
      <c r="K293" s="1219">
        <v>37327710</v>
      </c>
      <c r="L293" s="1220" t="e">
        <f t="shared" ref="L293" si="133">+K293/J293</f>
        <v>#DIV/0!</v>
      </c>
      <c r="M293" s="1219">
        <v>37327710</v>
      </c>
      <c r="N293" s="1240">
        <f t="shared" si="131"/>
        <v>0</v>
      </c>
    </row>
    <row r="294" spans="1:20" ht="14.4" thickBot="1">
      <c r="D294" s="1529" t="s">
        <v>257</v>
      </c>
      <c r="E294" s="1530"/>
      <c r="F294" s="1530"/>
      <c r="G294" s="1530"/>
      <c r="H294" s="1531"/>
      <c r="I294" s="1223">
        <f>SUM(I284:I293)</f>
        <v>10187285373</v>
      </c>
      <c r="J294" s="1223">
        <f>SUM(J284:J293)</f>
        <v>10091694583.333332</v>
      </c>
      <c r="K294" s="1223">
        <f>SUM(K284:K293)</f>
        <v>10187285373</v>
      </c>
      <c r="L294" s="1224">
        <f>I294/J294</f>
        <v>1.0094722238051614</v>
      </c>
      <c r="M294" s="1225">
        <f>SUM(M284:M293)</f>
        <v>10187285373</v>
      </c>
      <c r="N294" s="1226">
        <f>SUM(N284:N293)</f>
        <v>0</v>
      </c>
    </row>
    <row r="295" spans="1:20">
      <c r="A295" s="985" t="s">
        <v>24</v>
      </c>
      <c r="B295" s="985" t="s">
        <v>2</v>
      </c>
      <c r="C295" s="985" t="s">
        <v>106</v>
      </c>
      <c r="D295" s="1195" t="s">
        <v>4</v>
      </c>
      <c r="E295" s="1274" t="s">
        <v>133</v>
      </c>
      <c r="F295" s="1274" t="s">
        <v>134</v>
      </c>
      <c r="G295" s="1274" t="s">
        <v>135</v>
      </c>
      <c r="H295" s="1274" t="s">
        <v>253</v>
      </c>
      <c r="I295" s="1275"/>
      <c r="J295" s="1275">
        <v>17044833.333333336</v>
      </c>
      <c r="K295" s="1312">
        <v>17044833.333333336</v>
      </c>
      <c r="L295" s="1276">
        <f t="shared" ref="L295" si="134">+I295/J295</f>
        <v>0</v>
      </c>
      <c r="M295" s="1275">
        <v>17044833.333333336</v>
      </c>
      <c r="N295" s="1261">
        <f>K295-M295</f>
        <v>0</v>
      </c>
    </row>
    <row r="296" spans="1:20">
      <c r="A296" s="985" t="s">
        <v>24</v>
      </c>
      <c r="B296" s="985" t="s">
        <v>2</v>
      </c>
      <c r="C296" s="985" t="s">
        <v>106</v>
      </c>
      <c r="D296" s="1201" t="str">
        <f t="shared" ref="D296:D304" si="135">D295</f>
        <v>2월</v>
      </c>
      <c r="E296" s="1203" t="s">
        <v>133</v>
      </c>
      <c r="F296" s="1203" t="s">
        <v>134</v>
      </c>
      <c r="G296" s="1203" t="s">
        <v>135</v>
      </c>
      <c r="H296" s="1203" t="s">
        <v>137</v>
      </c>
      <c r="I296" s="1204"/>
      <c r="J296" s="1204">
        <v>0</v>
      </c>
      <c r="K296" s="1286">
        <v>0</v>
      </c>
      <c r="L296" s="1205"/>
      <c r="M296" s="1204">
        <v>0</v>
      </c>
      <c r="N296" s="1240">
        <f t="shared" ref="N296:N302" si="136">K296-M296</f>
        <v>0</v>
      </c>
    </row>
    <row r="297" spans="1:20" ht="35.25" customHeight="1">
      <c r="A297" s="985" t="s">
        <v>24</v>
      </c>
      <c r="B297" s="985" t="s">
        <v>2</v>
      </c>
      <c r="C297" s="985" t="s">
        <v>22</v>
      </c>
      <c r="D297" s="1201" t="str">
        <f t="shared" si="135"/>
        <v>2월</v>
      </c>
      <c r="E297" s="1202" t="s">
        <v>133</v>
      </c>
      <c r="F297" s="1203" t="s">
        <v>134</v>
      </c>
      <c r="G297" s="1203" t="s">
        <v>135</v>
      </c>
      <c r="H297" s="1203" t="s">
        <v>138</v>
      </c>
      <c r="I297" s="1287"/>
      <c r="J297" s="1204">
        <v>1208362064.0000002</v>
      </c>
      <c r="K297" s="1315">
        <v>967376859.12000012</v>
      </c>
      <c r="L297" s="1205"/>
      <c r="M297" s="1204">
        <v>1221206056.6400001</v>
      </c>
      <c r="N297" s="1240">
        <f t="shared" si="136"/>
        <v>-253829197.51999998</v>
      </c>
      <c r="O297" s="1327" t="s">
        <v>258</v>
      </c>
    </row>
    <row r="298" spans="1:20">
      <c r="A298" s="985" t="s">
        <v>24</v>
      </c>
      <c r="B298" s="985" t="s">
        <v>2</v>
      </c>
      <c r="C298" s="985" t="s">
        <v>27</v>
      </c>
      <c r="D298" s="1201" t="str">
        <f t="shared" si="135"/>
        <v>2월</v>
      </c>
      <c r="E298" s="1203" t="s">
        <v>133</v>
      </c>
      <c r="F298" s="1203" t="s">
        <v>134</v>
      </c>
      <c r="G298" s="1203" t="s">
        <v>135</v>
      </c>
      <c r="H298" s="1203" t="s">
        <v>139</v>
      </c>
      <c r="I298" s="1287"/>
      <c r="J298" s="1204">
        <v>274581640</v>
      </c>
      <c r="K298" s="1315">
        <v>291417160</v>
      </c>
      <c r="L298" s="1205">
        <f>+I298/J298</f>
        <v>0</v>
      </c>
      <c r="M298" s="1204">
        <v>300572840</v>
      </c>
      <c r="N298" s="1240">
        <f t="shared" si="136"/>
        <v>-9155680</v>
      </c>
      <c r="O298" s="1327"/>
    </row>
    <row r="299" spans="1:20">
      <c r="A299" s="985" t="s">
        <v>24</v>
      </c>
      <c r="B299" s="985" t="s">
        <v>2</v>
      </c>
      <c r="C299" s="985" t="s">
        <v>26</v>
      </c>
      <c r="D299" s="1201" t="str">
        <f t="shared" si="135"/>
        <v>2월</v>
      </c>
      <c r="E299" s="1203" t="s">
        <v>133</v>
      </c>
      <c r="F299" s="1203" t="s">
        <v>134</v>
      </c>
      <c r="G299" s="1203" t="s">
        <v>135</v>
      </c>
      <c r="H299" s="1203" t="s">
        <v>140</v>
      </c>
      <c r="I299" s="1287"/>
      <c r="J299" s="1204">
        <v>8807711800</v>
      </c>
      <c r="K299" s="1315">
        <v>9954951580</v>
      </c>
      <c r="L299" s="1205">
        <f t="shared" ref="L299:L302" si="137">+I299/J299</f>
        <v>0</v>
      </c>
      <c r="M299" s="1204">
        <v>10050396550</v>
      </c>
      <c r="N299" s="1240">
        <f t="shared" si="136"/>
        <v>-95444970</v>
      </c>
      <c r="O299" s="1327" t="s">
        <v>259</v>
      </c>
    </row>
    <row r="300" spans="1:20">
      <c r="A300" s="985" t="s">
        <v>24</v>
      </c>
      <c r="B300" s="985" t="s">
        <v>2</v>
      </c>
      <c r="C300" s="985" t="s">
        <v>32</v>
      </c>
      <c r="D300" s="1201" t="str">
        <f t="shared" si="135"/>
        <v>2월</v>
      </c>
      <c r="E300" s="1203" t="s">
        <v>133</v>
      </c>
      <c r="F300" s="1203" t="s">
        <v>134</v>
      </c>
      <c r="G300" s="1203" t="s">
        <v>135</v>
      </c>
      <c r="H300" s="1203" t="s">
        <v>141</v>
      </c>
      <c r="I300" s="1204"/>
      <c r="J300" s="1204">
        <v>0</v>
      </c>
      <c r="K300" s="1286">
        <v>0</v>
      </c>
      <c r="L300" s="1205" t="e">
        <f t="shared" si="137"/>
        <v>#DIV/0!</v>
      </c>
      <c r="M300" s="1204">
        <v>0</v>
      </c>
      <c r="N300" s="1240">
        <f t="shared" si="136"/>
        <v>0</v>
      </c>
      <c r="Q300" s="1526" t="s">
        <v>260</v>
      </c>
      <c r="R300" s="1526"/>
      <c r="S300" s="1526" t="s">
        <v>261</v>
      </c>
      <c r="T300" s="1526"/>
    </row>
    <row r="301" spans="1:20">
      <c r="A301" s="985" t="s">
        <v>24</v>
      </c>
      <c r="B301" s="985" t="s">
        <v>2</v>
      </c>
      <c r="C301" s="985" t="s">
        <v>30</v>
      </c>
      <c r="D301" s="1201" t="str">
        <f t="shared" si="135"/>
        <v>2월</v>
      </c>
      <c r="E301" s="1203" t="s">
        <v>133</v>
      </c>
      <c r="F301" s="1203" t="s">
        <v>134</v>
      </c>
      <c r="G301" s="1203" t="s">
        <v>135</v>
      </c>
      <c r="H301" s="1203" t="s">
        <v>142</v>
      </c>
      <c r="I301" s="1204"/>
      <c r="J301" s="1204">
        <v>46875000</v>
      </c>
      <c r="K301" s="1286">
        <v>46875000</v>
      </c>
      <c r="L301" s="1205">
        <f t="shared" si="137"/>
        <v>0</v>
      </c>
      <c r="M301" s="1204">
        <v>46875000</v>
      </c>
      <c r="N301" s="1240">
        <f t="shared" si="136"/>
        <v>0</v>
      </c>
      <c r="Q301" s="1316" t="s">
        <v>262</v>
      </c>
      <c r="R301" s="1317">
        <v>3168944000</v>
      </c>
      <c r="S301" s="1316" t="s">
        <v>262</v>
      </c>
      <c r="T301" s="1317">
        <v>3168944000</v>
      </c>
    </row>
    <row r="302" spans="1:20">
      <c r="A302" s="985" t="s">
        <v>24</v>
      </c>
      <c r="B302" s="985" t="s">
        <v>2</v>
      </c>
      <c r="C302" s="985" t="s">
        <v>29</v>
      </c>
      <c r="D302" s="1201" t="str">
        <f t="shared" si="135"/>
        <v>2월</v>
      </c>
      <c r="E302" s="1203" t="s">
        <v>133</v>
      </c>
      <c r="F302" s="1203" t="s">
        <v>134</v>
      </c>
      <c r="G302" s="1203" t="s">
        <v>135</v>
      </c>
      <c r="H302" s="1203" t="s">
        <v>146</v>
      </c>
      <c r="I302" s="1287"/>
      <c r="J302" s="1204">
        <v>371000000</v>
      </c>
      <c r="K302" s="1286">
        <v>308000000</v>
      </c>
      <c r="L302" s="1205">
        <f t="shared" si="137"/>
        <v>0</v>
      </c>
      <c r="M302" s="1204">
        <v>308000000</v>
      </c>
      <c r="N302" s="1240">
        <f t="shared" si="136"/>
        <v>0</v>
      </c>
      <c r="O302" s="985" t="s">
        <v>263</v>
      </c>
      <c r="Q302" s="1316" t="s">
        <v>264</v>
      </c>
      <c r="R302" s="1317">
        <v>3861753800</v>
      </c>
      <c r="S302" s="1316" t="s">
        <v>264</v>
      </c>
      <c r="T302" s="1317">
        <v>3861753800</v>
      </c>
    </row>
    <row r="303" spans="1:20">
      <c r="A303" s="985" t="s">
        <v>24</v>
      </c>
      <c r="B303" s="985" t="s">
        <v>2</v>
      </c>
      <c r="C303" s="985" t="s">
        <v>31</v>
      </c>
      <c r="D303" s="1201" t="str">
        <f t="shared" si="135"/>
        <v>2월</v>
      </c>
      <c r="E303" s="1214" t="s">
        <v>133</v>
      </c>
      <c r="F303" s="1214" t="s">
        <v>134</v>
      </c>
      <c r="G303" s="1214" t="s">
        <v>135</v>
      </c>
      <c r="H303" s="1214" t="s">
        <v>147</v>
      </c>
      <c r="I303" s="1294"/>
      <c r="J303" s="1215">
        <v>46875000</v>
      </c>
      <c r="K303" s="1290">
        <v>46875000</v>
      </c>
      <c r="L303" s="1216"/>
      <c r="M303" s="1215">
        <v>46875000</v>
      </c>
      <c r="N303" s="1240">
        <f>K303-M303</f>
        <v>0</v>
      </c>
      <c r="Q303" s="1316" t="s">
        <v>265</v>
      </c>
      <c r="R303" s="1317">
        <v>3019698750</v>
      </c>
      <c r="S303" s="1316" t="s">
        <v>265</v>
      </c>
      <c r="T303" s="1318">
        <v>3283257150</v>
      </c>
    </row>
    <row r="304" spans="1:20" ht="14.4" thickBot="1">
      <c r="A304" s="985" t="s">
        <v>24</v>
      </c>
      <c r="B304" s="985" t="s">
        <v>2</v>
      </c>
      <c r="C304" s="985" t="s">
        <v>32</v>
      </c>
      <c r="D304" s="1279" t="str">
        <f t="shared" si="135"/>
        <v>2월</v>
      </c>
      <c r="E304" s="1218" t="s">
        <v>133</v>
      </c>
      <c r="F304" s="1218" t="s">
        <v>134</v>
      </c>
      <c r="G304" s="1218" t="s">
        <v>135</v>
      </c>
      <c r="H304" s="1218" t="s">
        <v>148</v>
      </c>
      <c r="I304" s="1219"/>
      <c r="J304" s="1219"/>
      <c r="K304" s="1291"/>
      <c r="L304" s="1220" t="e">
        <f t="shared" ref="L304" si="138">+K304/J304</f>
        <v>#DIV/0!</v>
      </c>
      <c r="M304" s="1219"/>
      <c r="N304" s="1240">
        <f t="shared" ref="N304" si="139">K304-M304</f>
        <v>0</v>
      </c>
      <c r="O304" s="1144"/>
      <c r="Q304" s="1298" t="s">
        <v>266</v>
      </c>
      <c r="R304" s="1287">
        <f>SUM(R301:R303)</f>
        <v>10050396550</v>
      </c>
      <c r="S304" s="1298" t="s">
        <v>266</v>
      </c>
      <c r="T304" s="1287">
        <v>10313954950</v>
      </c>
    </row>
    <row r="305" spans="1:16" ht="14.4" thickBot="1">
      <c r="D305" s="1529" t="s">
        <v>267</v>
      </c>
      <c r="E305" s="1530"/>
      <c r="F305" s="1530"/>
      <c r="G305" s="1530"/>
      <c r="H305" s="1531"/>
      <c r="I305" s="1223">
        <f>SUM(I295:I304)</f>
        <v>0</v>
      </c>
      <c r="J305" s="1223">
        <f>SUM(J295:J304)</f>
        <v>10772450337.333334</v>
      </c>
      <c r="K305" s="1223">
        <f>SUM(K295:K304)</f>
        <v>11632540432.453333</v>
      </c>
      <c r="L305" s="1224">
        <f>I305/J305</f>
        <v>0</v>
      </c>
      <c r="M305" s="1225">
        <f>SUM(M295:M304)</f>
        <v>11990970279.973333</v>
      </c>
      <c r="N305" s="1226">
        <f>SUM(N295:N304)</f>
        <v>-358429847.51999998</v>
      </c>
    </row>
    <row r="306" spans="1:16">
      <c r="A306" s="985" t="s">
        <v>24</v>
      </c>
      <c r="B306" s="985" t="s">
        <v>2</v>
      </c>
      <c r="C306" s="985" t="s">
        <v>106</v>
      </c>
      <c r="D306" s="1195" t="s">
        <v>5</v>
      </c>
      <c r="E306" s="1274" t="s">
        <v>133</v>
      </c>
      <c r="F306" s="1274" t="s">
        <v>134</v>
      </c>
      <c r="G306" s="1274" t="s">
        <v>135</v>
      </c>
      <c r="H306" s="1274" t="s">
        <v>253</v>
      </c>
      <c r="I306" s="1275"/>
      <c r="J306" s="1275">
        <v>17044833.333333336</v>
      </c>
      <c r="K306" s="1312">
        <v>17044833.333333336</v>
      </c>
      <c r="L306" s="1276">
        <f t="shared" ref="L306" si="140">+I306/J306</f>
        <v>0</v>
      </c>
      <c r="M306" s="1275">
        <v>17044833.333333336</v>
      </c>
      <c r="N306" s="1261">
        <f>K306-M306</f>
        <v>0</v>
      </c>
    </row>
    <row r="307" spans="1:16">
      <c r="A307" s="985" t="s">
        <v>24</v>
      </c>
      <c r="B307" s="985" t="s">
        <v>2</v>
      </c>
      <c r="C307" s="985" t="s">
        <v>106</v>
      </c>
      <c r="D307" s="1201" t="str">
        <f t="shared" ref="D307:D315" si="141">D306</f>
        <v>3월</v>
      </c>
      <c r="E307" s="1203" t="s">
        <v>133</v>
      </c>
      <c r="F307" s="1203" t="s">
        <v>134</v>
      </c>
      <c r="G307" s="1203" t="s">
        <v>135</v>
      </c>
      <c r="H307" s="1203" t="s">
        <v>137</v>
      </c>
      <c r="I307" s="1204"/>
      <c r="J307" s="1204">
        <v>0</v>
      </c>
      <c r="K307" s="1286">
        <v>0</v>
      </c>
      <c r="L307" s="1205"/>
      <c r="M307" s="1287">
        <v>0</v>
      </c>
      <c r="N307" s="1240">
        <f t="shared" ref="N307:N315" si="142">K307-M307</f>
        <v>0</v>
      </c>
      <c r="P307" s="985">
        <v>95590789.666667596</v>
      </c>
    </row>
    <row r="308" spans="1:16">
      <c r="A308" s="985" t="s">
        <v>24</v>
      </c>
      <c r="B308" s="985" t="s">
        <v>2</v>
      </c>
      <c r="C308" s="985" t="s">
        <v>22</v>
      </c>
      <c r="D308" s="1201" t="str">
        <f t="shared" si="141"/>
        <v>3월</v>
      </c>
      <c r="E308" s="1202" t="s">
        <v>133</v>
      </c>
      <c r="F308" s="1203" t="s">
        <v>134</v>
      </c>
      <c r="G308" s="1203" t="s">
        <v>135</v>
      </c>
      <c r="H308" s="1203" t="s">
        <v>138</v>
      </c>
      <c r="I308" s="1204"/>
      <c r="J308" s="1204">
        <v>943930800</v>
      </c>
      <c r="K308" s="1286">
        <f>1469940832-290000000</f>
        <v>1179940832</v>
      </c>
      <c r="L308" s="1205"/>
      <c r="M308" s="1204">
        <v>943930800</v>
      </c>
      <c r="N308" s="1240">
        <f t="shared" si="142"/>
        <v>236010032</v>
      </c>
    </row>
    <row r="309" spans="1:16">
      <c r="A309" s="985" t="s">
        <v>24</v>
      </c>
      <c r="B309" s="985" t="s">
        <v>2</v>
      </c>
      <c r="C309" s="985" t="s">
        <v>27</v>
      </c>
      <c r="D309" s="1201" t="str">
        <f t="shared" si="141"/>
        <v>3월</v>
      </c>
      <c r="E309" s="1203" t="s">
        <v>133</v>
      </c>
      <c r="F309" s="1203" t="s">
        <v>134</v>
      </c>
      <c r="G309" s="1203" t="s">
        <v>135</v>
      </c>
      <c r="H309" s="1203" t="s">
        <v>139</v>
      </c>
      <c r="I309" s="1204"/>
      <c r="J309" s="1204">
        <v>265362000</v>
      </c>
      <c r="K309" s="1286">
        <v>265362000</v>
      </c>
      <c r="L309" s="1205">
        <f t="shared" ref="L309:L313" si="143">+I309/J309</f>
        <v>0</v>
      </c>
      <c r="M309" s="1204">
        <v>265362000</v>
      </c>
      <c r="N309" s="1240">
        <f t="shared" si="142"/>
        <v>0</v>
      </c>
    </row>
    <row r="310" spans="1:16">
      <c r="A310" s="985" t="s">
        <v>24</v>
      </c>
      <c r="B310" s="985" t="s">
        <v>2</v>
      </c>
      <c r="C310" s="985" t="s">
        <v>26</v>
      </c>
      <c r="D310" s="1201" t="str">
        <f t="shared" si="141"/>
        <v>3월</v>
      </c>
      <c r="E310" s="1203" t="s">
        <v>133</v>
      </c>
      <c r="F310" s="1203" t="s">
        <v>134</v>
      </c>
      <c r="G310" s="1203" t="s">
        <v>135</v>
      </c>
      <c r="H310" s="1203" t="s">
        <v>140</v>
      </c>
      <c r="I310" s="1204"/>
      <c r="J310" s="1204">
        <v>8133163750</v>
      </c>
      <c r="K310" s="1286">
        <f>8625876300-1415000000</f>
        <v>7210876300</v>
      </c>
      <c r="L310" s="1205">
        <f t="shared" si="143"/>
        <v>0</v>
      </c>
      <c r="M310" s="1204">
        <v>8133163750</v>
      </c>
      <c r="N310" s="1240">
        <f t="shared" si="142"/>
        <v>-922287450</v>
      </c>
      <c r="O310" s="1144">
        <v>1242684750</v>
      </c>
    </row>
    <row r="311" spans="1:16">
      <c r="A311" s="985" t="s">
        <v>24</v>
      </c>
      <c r="B311" s="985" t="s">
        <v>2</v>
      </c>
      <c r="C311" s="985" t="s">
        <v>32</v>
      </c>
      <c r="D311" s="1201" t="str">
        <f t="shared" si="141"/>
        <v>3월</v>
      </c>
      <c r="E311" s="1203" t="s">
        <v>133</v>
      </c>
      <c r="F311" s="1203" t="s">
        <v>134</v>
      </c>
      <c r="G311" s="1203" t="s">
        <v>135</v>
      </c>
      <c r="H311" s="1203" t="s">
        <v>141</v>
      </c>
      <c r="I311" s="1204"/>
      <c r="J311" s="1204">
        <v>0</v>
      </c>
      <c r="K311" s="1286">
        <v>0</v>
      </c>
      <c r="L311" s="1205" t="e">
        <f t="shared" si="143"/>
        <v>#DIV/0!</v>
      </c>
      <c r="M311" s="1204">
        <v>0</v>
      </c>
      <c r="N311" s="1240">
        <f t="shared" si="142"/>
        <v>0</v>
      </c>
    </row>
    <row r="312" spans="1:16">
      <c r="A312" s="985" t="s">
        <v>24</v>
      </c>
      <c r="B312" s="985" t="s">
        <v>2</v>
      </c>
      <c r="C312" s="985" t="s">
        <v>30</v>
      </c>
      <c r="D312" s="1201" t="str">
        <f t="shared" si="141"/>
        <v>3월</v>
      </c>
      <c r="E312" s="1203" t="s">
        <v>133</v>
      </c>
      <c r="F312" s="1203" t="s">
        <v>134</v>
      </c>
      <c r="G312" s="1203" t="s">
        <v>135</v>
      </c>
      <c r="H312" s="1203" t="s">
        <v>142</v>
      </c>
      <c r="I312" s="1204"/>
      <c r="J312" s="1204">
        <v>131875000</v>
      </c>
      <c r="K312" s="1286">
        <v>131875000</v>
      </c>
      <c r="L312" s="1205">
        <f t="shared" si="143"/>
        <v>0</v>
      </c>
      <c r="M312" s="1204">
        <v>131875000</v>
      </c>
      <c r="N312" s="1240">
        <f t="shared" si="142"/>
        <v>0</v>
      </c>
    </row>
    <row r="313" spans="1:16">
      <c r="A313" s="985" t="s">
        <v>24</v>
      </c>
      <c r="B313" s="985" t="s">
        <v>2</v>
      </c>
      <c r="C313" s="985" t="s">
        <v>29</v>
      </c>
      <c r="D313" s="1201" t="str">
        <f t="shared" si="141"/>
        <v>3월</v>
      </c>
      <c r="E313" s="1203" t="s">
        <v>133</v>
      </c>
      <c r="F313" s="1203" t="s">
        <v>134</v>
      </c>
      <c r="G313" s="1203" t="s">
        <v>135</v>
      </c>
      <c r="H313" s="1203" t="s">
        <v>146</v>
      </c>
      <c r="I313" s="1204"/>
      <c r="J313" s="1204">
        <v>702000000</v>
      </c>
      <c r="K313" s="1286">
        <f>434000000</f>
        <v>434000000</v>
      </c>
      <c r="L313" s="1205">
        <f t="shared" si="143"/>
        <v>0</v>
      </c>
      <c r="M313" s="1204">
        <v>702000000</v>
      </c>
      <c r="N313" s="1240">
        <f t="shared" si="142"/>
        <v>-268000000</v>
      </c>
      <c r="O313" s="985" t="s">
        <v>268</v>
      </c>
    </row>
    <row r="314" spans="1:16">
      <c r="A314" s="985" t="s">
        <v>24</v>
      </c>
      <c r="B314" s="985" t="s">
        <v>2</v>
      </c>
      <c r="C314" s="985" t="s">
        <v>31</v>
      </c>
      <c r="D314" s="1201" t="str">
        <f t="shared" si="141"/>
        <v>3월</v>
      </c>
      <c r="E314" s="1214" t="s">
        <v>133</v>
      </c>
      <c r="F314" s="1214" t="s">
        <v>134</v>
      </c>
      <c r="G314" s="1214" t="s">
        <v>135</v>
      </c>
      <c r="H314" s="1214" t="s">
        <v>147</v>
      </c>
      <c r="I314" s="1215"/>
      <c r="J314" s="1215">
        <v>281250000</v>
      </c>
      <c r="K314" s="1290">
        <v>281250000</v>
      </c>
      <c r="L314" s="1216"/>
      <c r="M314" s="1215">
        <v>281250000</v>
      </c>
      <c r="N314" s="1240">
        <f t="shared" si="142"/>
        <v>0</v>
      </c>
    </row>
    <row r="315" spans="1:16" ht="14.4" thickBot="1">
      <c r="A315" s="985" t="s">
        <v>24</v>
      </c>
      <c r="B315" s="985" t="s">
        <v>2</v>
      </c>
      <c r="C315" s="985" t="s">
        <v>32</v>
      </c>
      <c r="D315" s="1279" t="str">
        <f t="shared" si="141"/>
        <v>3월</v>
      </c>
      <c r="E315" s="1218" t="s">
        <v>133</v>
      </c>
      <c r="F315" s="1218" t="s">
        <v>134</v>
      </c>
      <c r="G315" s="1218" t="s">
        <v>135</v>
      </c>
      <c r="H315" s="1218" t="s">
        <v>148</v>
      </c>
      <c r="I315" s="1219"/>
      <c r="J315" s="1219"/>
      <c r="K315" s="1291"/>
      <c r="L315" s="1220" t="e">
        <f>+K315/J315</f>
        <v>#DIV/0!</v>
      </c>
      <c r="M315" s="1219"/>
      <c r="N315" s="1240">
        <f t="shared" si="142"/>
        <v>0</v>
      </c>
    </row>
    <row r="316" spans="1:16" ht="14.4" thickBot="1">
      <c r="D316" s="1529" t="s">
        <v>269</v>
      </c>
      <c r="E316" s="1530"/>
      <c r="F316" s="1530"/>
      <c r="G316" s="1530"/>
      <c r="H316" s="1531"/>
      <c r="I316" s="1223">
        <f>SUM(I306:I315)</f>
        <v>0</v>
      </c>
      <c r="J316" s="1223">
        <f>SUM(J306:J315)</f>
        <v>10474626383.333334</v>
      </c>
      <c r="K316" s="1223">
        <f>SUM(K306:K315)</f>
        <v>9520348965.333334</v>
      </c>
      <c r="L316" s="1224">
        <f>I316/J316</f>
        <v>0</v>
      </c>
      <c r="M316" s="1225">
        <f>SUM(M306:M315)</f>
        <v>10474626383.333334</v>
      </c>
      <c r="N316" s="1226">
        <f>SUM(N306:N315)</f>
        <v>-954277418</v>
      </c>
    </row>
    <row r="317" spans="1:16" ht="14.4" thickBot="1">
      <c r="D317" s="1541" t="s">
        <v>270</v>
      </c>
      <c r="E317" s="1542"/>
      <c r="F317" s="1542"/>
      <c r="G317" s="1542"/>
      <c r="H317" s="1543"/>
      <c r="I317" s="1235">
        <f>SUM(I294,I305,I316)</f>
        <v>10187285373</v>
      </c>
      <c r="J317" s="1235">
        <f>SUM(J294,J305,J316)</f>
        <v>31338771304</v>
      </c>
      <c r="K317" s="1235">
        <f>SUM(K294,K305,K316)</f>
        <v>31340174770.786667</v>
      </c>
      <c r="L317" s="1236">
        <f>I317/J317</f>
        <v>0.32506971234381871</v>
      </c>
      <c r="M317" s="1235">
        <f>SUM(M294,M305,M316)</f>
        <v>32652882036.306671</v>
      </c>
      <c r="N317" s="1235">
        <f>SUM(N294,N305,N316)</f>
        <v>-1312707265.52</v>
      </c>
    </row>
    <row r="318" spans="1:16">
      <c r="A318" s="985" t="s">
        <v>24</v>
      </c>
      <c r="B318" s="985" t="s">
        <v>155</v>
      </c>
      <c r="C318" s="985" t="s">
        <v>106</v>
      </c>
      <c r="D318" s="1195" t="s">
        <v>156</v>
      </c>
      <c r="E318" s="1297" t="s">
        <v>133</v>
      </c>
      <c r="F318" s="1274" t="s">
        <v>134</v>
      </c>
      <c r="G318" s="1297" t="s">
        <v>135</v>
      </c>
      <c r="H318" s="1274" t="s">
        <v>253</v>
      </c>
      <c r="I318" s="1275"/>
      <c r="J318" s="1275">
        <v>17044833.333333336</v>
      </c>
      <c r="K318" s="1275">
        <v>17044833.333333336</v>
      </c>
      <c r="L318" s="1276">
        <f t="shared" ref="L318" si="144">+I318/J318</f>
        <v>0</v>
      </c>
      <c r="M318" s="1275"/>
      <c r="N318" s="1261">
        <f>K318-M318</f>
        <v>17044833.333333336</v>
      </c>
    </row>
    <row r="319" spans="1:16">
      <c r="A319" s="985" t="s">
        <v>24</v>
      </c>
      <c r="B319" s="985" t="s">
        <v>155</v>
      </c>
      <c r="C319" s="985" t="s">
        <v>106</v>
      </c>
      <c r="D319" s="1201" t="str">
        <f t="shared" ref="D319:D327" si="145">D318</f>
        <v>4월</v>
      </c>
      <c r="E319" s="1298" t="s">
        <v>133</v>
      </c>
      <c r="F319" s="1203" t="s">
        <v>134</v>
      </c>
      <c r="G319" s="1298" t="s">
        <v>135</v>
      </c>
      <c r="H319" s="1203" t="s">
        <v>137</v>
      </c>
      <c r="I319" s="1204"/>
      <c r="J319" s="1204">
        <v>0</v>
      </c>
      <c r="K319" s="1204">
        <v>0</v>
      </c>
      <c r="L319" s="1205"/>
      <c r="M319" s="1204"/>
      <c r="N319" s="1240">
        <f t="shared" ref="N319:N327" si="146">K319-M319</f>
        <v>0</v>
      </c>
    </row>
    <row r="320" spans="1:16">
      <c r="A320" s="985" t="s">
        <v>24</v>
      </c>
      <c r="B320" s="985" t="s">
        <v>155</v>
      </c>
      <c r="C320" s="985" t="s">
        <v>22</v>
      </c>
      <c r="D320" s="1201" t="str">
        <f t="shared" si="145"/>
        <v>4월</v>
      </c>
      <c r="E320" s="1299" t="s">
        <v>133</v>
      </c>
      <c r="F320" s="1203" t="s">
        <v>134</v>
      </c>
      <c r="G320" s="1298" t="s">
        <v>135</v>
      </c>
      <c r="H320" s="1203" t="s">
        <v>138</v>
      </c>
      <c r="I320" s="1204"/>
      <c r="J320" s="1204">
        <v>1216144800</v>
      </c>
      <c r="K320" s="1204">
        <v>1216144800</v>
      </c>
      <c r="L320" s="1205"/>
      <c r="M320" s="1204"/>
      <c r="N320" s="1240">
        <f t="shared" si="146"/>
        <v>1216144800</v>
      </c>
    </row>
    <row r="321" spans="1:14">
      <c r="A321" s="985" t="s">
        <v>24</v>
      </c>
      <c r="B321" s="985" t="s">
        <v>155</v>
      </c>
      <c r="C321" s="985" t="s">
        <v>27</v>
      </c>
      <c r="D321" s="1201" t="str">
        <f t="shared" si="145"/>
        <v>4월</v>
      </c>
      <c r="E321" s="1298" t="s">
        <v>133</v>
      </c>
      <c r="F321" s="1203" t="s">
        <v>134</v>
      </c>
      <c r="G321" s="1298" t="s">
        <v>135</v>
      </c>
      <c r="H321" s="1203" t="s">
        <v>139</v>
      </c>
      <c r="I321" s="1204"/>
      <c r="J321" s="1204">
        <v>419865800</v>
      </c>
      <c r="K321" s="1204">
        <v>419865800</v>
      </c>
      <c r="L321" s="1205">
        <f t="shared" ref="L321" si="147">+I321/J321</f>
        <v>0</v>
      </c>
      <c r="M321" s="1204"/>
      <c r="N321" s="1240">
        <f t="shared" si="146"/>
        <v>419865800</v>
      </c>
    </row>
    <row r="322" spans="1:14">
      <c r="A322" s="985" t="s">
        <v>24</v>
      </c>
      <c r="B322" s="985" t="s">
        <v>155</v>
      </c>
      <c r="C322" s="985" t="s">
        <v>26</v>
      </c>
      <c r="D322" s="1201" t="str">
        <f t="shared" si="145"/>
        <v>4월</v>
      </c>
      <c r="E322" s="1298" t="s">
        <v>133</v>
      </c>
      <c r="F322" s="1203" t="s">
        <v>134</v>
      </c>
      <c r="G322" s="1298" t="s">
        <v>135</v>
      </c>
      <c r="H322" s="1203" t="s">
        <v>140</v>
      </c>
      <c r="I322" s="1204"/>
      <c r="J322" s="1204">
        <v>7934950357.6000004</v>
      </c>
      <c r="K322" s="1204">
        <v>7934950357.6000004</v>
      </c>
      <c r="L322" s="1205">
        <f>+I322/J322</f>
        <v>0</v>
      </c>
      <c r="M322" s="1287"/>
      <c r="N322" s="1240">
        <f t="shared" si="146"/>
        <v>7934950357.6000004</v>
      </c>
    </row>
    <row r="323" spans="1:14">
      <c r="A323" s="985" t="s">
        <v>24</v>
      </c>
      <c r="B323" s="985" t="s">
        <v>155</v>
      </c>
      <c r="C323" s="985" t="s">
        <v>32</v>
      </c>
      <c r="D323" s="1201" t="str">
        <f t="shared" si="145"/>
        <v>4월</v>
      </c>
      <c r="E323" s="1298" t="s">
        <v>133</v>
      </c>
      <c r="F323" s="1203" t="s">
        <v>134</v>
      </c>
      <c r="G323" s="1298" t="s">
        <v>135</v>
      </c>
      <c r="H323" s="1203" t="s">
        <v>141</v>
      </c>
      <c r="I323" s="1204"/>
      <c r="J323" s="1204">
        <v>0</v>
      </c>
      <c r="K323" s="1204">
        <v>0</v>
      </c>
      <c r="L323" s="1205" t="e">
        <f t="shared" ref="L323:L325" si="148">+I323/J323</f>
        <v>#DIV/0!</v>
      </c>
      <c r="M323" s="1204"/>
      <c r="N323" s="1240">
        <f t="shared" si="146"/>
        <v>0</v>
      </c>
    </row>
    <row r="324" spans="1:14">
      <c r="A324" s="985" t="s">
        <v>24</v>
      </c>
      <c r="B324" s="985" t="s">
        <v>155</v>
      </c>
      <c r="C324" s="985" t="s">
        <v>30</v>
      </c>
      <c r="D324" s="1201" t="str">
        <f t="shared" si="145"/>
        <v>4월</v>
      </c>
      <c r="E324" s="1298" t="s">
        <v>133</v>
      </c>
      <c r="F324" s="1203" t="s">
        <v>134</v>
      </c>
      <c r="G324" s="1298" t="s">
        <v>135</v>
      </c>
      <c r="H324" s="1203" t="s">
        <v>142</v>
      </c>
      <c r="I324" s="1204"/>
      <c r="J324" s="1204">
        <v>131875000</v>
      </c>
      <c r="K324" s="1204">
        <v>131875000</v>
      </c>
      <c r="L324" s="1205">
        <f t="shared" si="148"/>
        <v>0</v>
      </c>
      <c r="M324" s="1204"/>
      <c r="N324" s="1240">
        <f t="shared" si="146"/>
        <v>131875000</v>
      </c>
    </row>
    <row r="325" spans="1:14">
      <c r="A325" s="985" t="s">
        <v>24</v>
      </c>
      <c r="B325" s="985" t="s">
        <v>155</v>
      </c>
      <c r="C325" s="985" t="s">
        <v>29</v>
      </c>
      <c r="D325" s="1201" t="str">
        <f t="shared" si="145"/>
        <v>4월</v>
      </c>
      <c r="E325" s="1298" t="s">
        <v>133</v>
      </c>
      <c r="F325" s="1203" t="s">
        <v>134</v>
      </c>
      <c r="G325" s="1298" t="s">
        <v>135</v>
      </c>
      <c r="H325" s="1203" t="s">
        <v>146</v>
      </c>
      <c r="I325" s="1204"/>
      <c r="J325" s="1204">
        <v>834000000</v>
      </c>
      <c r="K325" s="1204">
        <v>834000000</v>
      </c>
      <c r="L325" s="1205">
        <f t="shared" si="148"/>
        <v>0</v>
      </c>
      <c r="M325" s="1204"/>
      <c r="N325" s="1240">
        <f t="shared" si="146"/>
        <v>834000000</v>
      </c>
    </row>
    <row r="326" spans="1:14">
      <c r="A326" s="985" t="s">
        <v>24</v>
      </c>
      <c r="B326" s="985" t="s">
        <v>155</v>
      </c>
      <c r="C326" s="985" t="s">
        <v>31</v>
      </c>
      <c r="D326" s="1201" t="str">
        <f t="shared" si="145"/>
        <v>4월</v>
      </c>
      <c r="E326" s="1300" t="s">
        <v>133</v>
      </c>
      <c r="F326" s="1214" t="s">
        <v>134</v>
      </c>
      <c r="G326" s="1300" t="s">
        <v>135</v>
      </c>
      <c r="H326" s="1214" t="s">
        <v>147</v>
      </c>
      <c r="I326" s="1215"/>
      <c r="J326" s="1215">
        <v>140625000</v>
      </c>
      <c r="K326" s="1215">
        <v>140625000</v>
      </c>
      <c r="L326" s="1216"/>
      <c r="M326" s="1215"/>
      <c r="N326" s="1240">
        <f t="shared" si="146"/>
        <v>140625000</v>
      </c>
    </row>
    <row r="327" spans="1:14" ht="14.4" thickBot="1">
      <c r="A327" s="985" t="s">
        <v>24</v>
      </c>
      <c r="B327" s="985" t="s">
        <v>155</v>
      </c>
      <c r="C327" s="985" t="s">
        <v>32</v>
      </c>
      <c r="D327" s="1279" t="str">
        <f t="shared" si="145"/>
        <v>4월</v>
      </c>
      <c r="E327" s="1301" t="s">
        <v>133</v>
      </c>
      <c r="F327" s="1218" t="s">
        <v>134</v>
      </c>
      <c r="G327" s="1301" t="s">
        <v>135</v>
      </c>
      <c r="H327" s="1218" t="s">
        <v>148</v>
      </c>
      <c r="I327" s="1219"/>
      <c r="J327" s="1219"/>
      <c r="K327" s="1219"/>
      <c r="L327" s="1220" t="e">
        <f t="shared" ref="L327" si="149">+K327/J327</f>
        <v>#DIV/0!</v>
      </c>
      <c r="M327" s="1219"/>
      <c r="N327" s="1240">
        <f t="shared" si="146"/>
        <v>0</v>
      </c>
    </row>
    <row r="328" spans="1:14" ht="14.4" thickBot="1">
      <c r="D328" s="1529" t="s">
        <v>271</v>
      </c>
      <c r="E328" s="1530"/>
      <c r="F328" s="1530"/>
      <c r="G328" s="1530"/>
      <c r="H328" s="1531"/>
      <c r="I328" s="1223">
        <f>SUM(I318:I327)</f>
        <v>0</v>
      </c>
      <c r="J328" s="1223">
        <f>SUM(J318:J327)</f>
        <v>10694505790.933334</v>
      </c>
      <c r="K328" s="1223">
        <f>SUM(K318:K327)</f>
        <v>10694505790.933334</v>
      </c>
      <c r="L328" s="1224">
        <f>I328/J328</f>
        <v>0</v>
      </c>
      <c r="M328" s="1225">
        <f>SUM(M318:M327)</f>
        <v>0</v>
      </c>
      <c r="N328" s="1226">
        <f>SUM(N318:N327)</f>
        <v>10694505790.933334</v>
      </c>
    </row>
    <row r="329" spans="1:14">
      <c r="A329" s="985" t="s">
        <v>24</v>
      </c>
      <c r="B329" s="985" t="s">
        <v>155</v>
      </c>
      <c r="C329" s="985" t="s">
        <v>106</v>
      </c>
      <c r="D329" s="1195" t="s">
        <v>158</v>
      </c>
      <c r="E329" s="1297" t="s">
        <v>133</v>
      </c>
      <c r="F329" s="1274" t="s">
        <v>134</v>
      </c>
      <c r="G329" s="1297" t="s">
        <v>135</v>
      </c>
      <c r="H329" s="1274" t="s">
        <v>253</v>
      </c>
      <c r="I329" s="1275"/>
      <c r="J329" s="1275">
        <v>17044833.333333336</v>
      </c>
      <c r="K329" s="1275">
        <v>17044833.333333336</v>
      </c>
      <c r="L329" s="1276">
        <f t="shared" ref="L329" si="150">+I329/J329</f>
        <v>0</v>
      </c>
      <c r="M329" s="1275"/>
      <c r="N329" s="1261">
        <f>K329-M329</f>
        <v>17044833.333333336</v>
      </c>
    </row>
    <row r="330" spans="1:14">
      <c r="A330" s="985" t="s">
        <v>24</v>
      </c>
      <c r="B330" s="985" t="s">
        <v>155</v>
      </c>
      <c r="C330" s="985" t="s">
        <v>106</v>
      </c>
      <c r="D330" s="1201" t="str">
        <f t="shared" ref="D330:D338" si="151">D329</f>
        <v>5월</v>
      </c>
      <c r="E330" s="1298" t="s">
        <v>133</v>
      </c>
      <c r="F330" s="1203" t="s">
        <v>134</v>
      </c>
      <c r="G330" s="1298" t="s">
        <v>135</v>
      </c>
      <c r="H330" s="1203" t="s">
        <v>137</v>
      </c>
      <c r="I330" s="1204"/>
      <c r="J330" s="1204">
        <v>0</v>
      </c>
      <c r="K330" s="1204">
        <v>0</v>
      </c>
      <c r="L330" s="1205"/>
      <c r="M330" s="1204"/>
      <c r="N330" s="1240">
        <f t="shared" ref="N330:N336" si="152">K330-M330</f>
        <v>0</v>
      </c>
    </row>
    <row r="331" spans="1:14">
      <c r="A331" s="985" t="s">
        <v>24</v>
      </c>
      <c r="B331" s="985" t="s">
        <v>155</v>
      </c>
      <c r="C331" s="985" t="s">
        <v>22</v>
      </c>
      <c r="D331" s="1201" t="str">
        <f t="shared" si="151"/>
        <v>5월</v>
      </c>
      <c r="E331" s="1299" t="s">
        <v>133</v>
      </c>
      <c r="F331" s="1203" t="s">
        <v>134</v>
      </c>
      <c r="G331" s="1298" t="s">
        <v>135</v>
      </c>
      <c r="H331" s="1203" t="s">
        <v>138</v>
      </c>
      <c r="I331" s="1287"/>
      <c r="J331" s="1204">
        <v>1797251400</v>
      </c>
      <c r="K331" s="1204">
        <v>1797251400</v>
      </c>
      <c r="L331" s="1205"/>
      <c r="M331" s="1204"/>
      <c r="N331" s="1240">
        <f t="shared" si="152"/>
        <v>1797251400</v>
      </c>
    </row>
    <row r="332" spans="1:14">
      <c r="A332" s="985" t="s">
        <v>24</v>
      </c>
      <c r="B332" s="985" t="s">
        <v>155</v>
      </c>
      <c r="C332" s="985" t="s">
        <v>27</v>
      </c>
      <c r="D332" s="1201" t="str">
        <f t="shared" si="151"/>
        <v>5월</v>
      </c>
      <c r="E332" s="1298" t="s">
        <v>133</v>
      </c>
      <c r="F332" s="1203" t="s">
        <v>134</v>
      </c>
      <c r="G332" s="1298" t="s">
        <v>135</v>
      </c>
      <c r="H332" s="1203" t="s">
        <v>139</v>
      </c>
      <c r="I332" s="1287"/>
      <c r="J332" s="1204">
        <v>479189440</v>
      </c>
      <c r="K332" s="1204">
        <v>479189440</v>
      </c>
      <c r="L332" s="1205">
        <f>+I332/J332</f>
        <v>0</v>
      </c>
      <c r="M332" s="1204"/>
      <c r="N332" s="1240">
        <f t="shared" si="152"/>
        <v>479189440</v>
      </c>
    </row>
    <row r="333" spans="1:14">
      <c r="A333" s="985" t="s">
        <v>24</v>
      </c>
      <c r="B333" s="985" t="s">
        <v>155</v>
      </c>
      <c r="C333" s="985" t="s">
        <v>26</v>
      </c>
      <c r="D333" s="1201" t="str">
        <f t="shared" si="151"/>
        <v>5월</v>
      </c>
      <c r="E333" s="1298" t="s">
        <v>133</v>
      </c>
      <c r="F333" s="1203" t="s">
        <v>134</v>
      </c>
      <c r="G333" s="1298" t="s">
        <v>135</v>
      </c>
      <c r="H333" s="1203" t="s">
        <v>140</v>
      </c>
      <c r="I333" s="1287"/>
      <c r="J333" s="1204">
        <v>10158099550</v>
      </c>
      <c r="K333" s="1204">
        <v>10158099550</v>
      </c>
      <c r="L333" s="1205">
        <f t="shared" ref="L333:L336" si="153">+I333/J333</f>
        <v>0</v>
      </c>
      <c r="M333" s="1204"/>
      <c r="N333" s="1240">
        <f t="shared" si="152"/>
        <v>10158099550</v>
      </c>
    </row>
    <row r="334" spans="1:14">
      <c r="A334" s="985" t="s">
        <v>24</v>
      </c>
      <c r="B334" s="985" t="s">
        <v>155</v>
      </c>
      <c r="C334" s="985" t="s">
        <v>32</v>
      </c>
      <c r="D334" s="1201" t="str">
        <f t="shared" si="151"/>
        <v>5월</v>
      </c>
      <c r="E334" s="1298" t="s">
        <v>133</v>
      </c>
      <c r="F334" s="1203" t="s">
        <v>134</v>
      </c>
      <c r="G334" s="1298" t="s">
        <v>135</v>
      </c>
      <c r="H334" s="1203" t="s">
        <v>141</v>
      </c>
      <c r="I334" s="1204"/>
      <c r="J334" s="1204">
        <v>0</v>
      </c>
      <c r="K334" s="1204">
        <v>0</v>
      </c>
      <c r="L334" s="1205" t="e">
        <f t="shared" si="153"/>
        <v>#DIV/0!</v>
      </c>
      <c r="M334" s="1204"/>
      <c r="N334" s="1240">
        <f t="shared" si="152"/>
        <v>0</v>
      </c>
    </row>
    <row r="335" spans="1:14">
      <c r="A335" s="985" t="s">
        <v>24</v>
      </c>
      <c r="B335" s="985" t="s">
        <v>155</v>
      </c>
      <c r="C335" s="985" t="s">
        <v>30</v>
      </c>
      <c r="D335" s="1201" t="str">
        <f t="shared" si="151"/>
        <v>5월</v>
      </c>
      <c r="E335" s="1298" t="s">
        <v>133</v>
      </c>
      <c r="F335" s="1203" t="s">
        <v>134</v>
      </c>
      <c r="G335" s="1298" t="s">
        <v>135</v>
      </c>
      <c r="H335" s="1203" t="s">
        <v>142</v>
      </c>
      <c r="I335" s="1204"/>
      <c r="J335" s="1204">
        <v>40000000</v>
      </c>
      <c r="K335" s="1204">
        <v>40000000</v>
      </c>
      <c r="L335" s="1205">
        <f t="shared" si="153"/>
        <v>0</v>
      </c>
      <c r="M335" s="1204"/>
      <c r="N335" s="1240">
        <f t="shared" si="152"/>
        <v>40000000</v>
      </c>
    </row>
    <row r="336" spans="1:14">
      <c r="A336" s="985" t="s">
        <v>24</v>
      </c>
      <c r="B336" s="985" t="s">
        <v>155</v>
      </c>
      <c r="C336" s="985" t="s">
        <v>29</v>
      </c>
      <c r="D336" s="1201" t="str">
        <f t="shared" si="151"/>
        <v>5월</v>
      </c>
      <c r="E336" s="1298" t="s">
        <v>133</v>
      </c>
      <c r="F336" s="1203" t="s">
        <v>134</v>
      </c>
      <c r="G336" s="1298" t="s">
        <v>135</v>
      </c>
      <c r="H336" s="1203" t="s">
        <v>146</v>
      </c>
      <c r="I336" s="1287"/>
      <c r="J336" s="1204">
        <v>3617750000</v>
      </c>
      <c r="K336" s="1204">
        <v>3617750000</v>
      </c>
      <c r="L336" s="1205">
        <f t="shared" si="153"/>
        <v>0</v>
      </c>
      <c r="M336" s="1204"/>
      <c r="N336" s="1240">
        <f t="shared" si="152"/>
        <v>3617750000</v>
      </c>
    </row>
    <row r="337" spans="1:14">
      <c r="A337" s="985" t="s">
        <v>24</v>
      </c>
      <c r="B337" s="985" t="s">
        <v>155</v>
      </c>
      <c r="C337" s="985" t="s">
        <v>31</v>
      </c>
      <c r="D337" s="1201" t="str">
        <f t="shared" si="151"/>
        <v>5월</v>
      </c>
      <c r="E337" s="1300" t="s">
        <v>133</v>
      </c>
      <c r="F337" s="1214" t="s">
        <v>134</v>
      </c>
      <c r="G337" s="1300" t="s">
        <v>135</v>
      </c>
      <c r="H337" s="1214" t="s">
        <v>147</v>
      </c>
      <c r="I337" s="1294"/>
      <c r="J337" s="1215">
        <v>46875000</v>
      </c>
      <c r="K337" s="1215">
        <v>46875000</v>
      </c>
      <c r="L337" s="1216"/>
      <c r="M337" s="1215"/>
      <c r="N337" s="1240">
        <f>K337-M337</f>
        <v>46875000</v>
      </c>
    </row>
    <row r="338" spans="1:14" ht="14.4" thickBot="1">
      <c r="A338" s="985" t="s">
        <v>24</v>
      </c>
      <c r="B338" s="985" t="s">
        <v>155</v>
      </c>
      <c r="C338" s="985" t="s">
        <v>32</v>
      </c>
      <c r="D338" s="1279" t="str">
        <f t="shared" si="151"/>
        <v>5월</v>
      </c>
      <c r="E338" s="1301" t="s">
        <v>133</v>
      </c>
      <c r="F338" s="1218" t="s">
        <v>134</v>
      </c>
      <c r="G338" s="1301" t="s">
        <v>135</v>
      </c>
      <c r="H338" s="1218" t="s">
        <v>148</v>
      </c>
      <c r="I338" s="1219"/>
      <c r="J338" s="1219"/>
      <c r="K338" s="1219"/>
      <c r="L338" s="1220" t="e">
        <f t="shared" ref="L338" si="154">+K338/J338</f>
        <v>#DIV/0!</v>
      </c>
      <c r="M338" s="1219"/>
      <c r="N338" s="1240">
        <f t="shared" ref="N338" si="155">K338-M338</f>
        <v>0</v>
      </c>
    </row>
    <row r="339" spans="1:14" ht="14.4" thickBot="1">
      <c r="D339" s="1529" t="s">
        <v>272</v>
      </c>
      <c r="E339" s="1530"/>
      <c r="F339" s="1530"/>
      <c r="G339" s="1530"/>
      <c r="H339" s="1531"/>
      <c r="I339" s="1223">
        <f>SUM(I329:I338)</f>
        <v>0</v>
      </c>
      <c r="J339" s="1223">
        <f>SUM(J329:J338)</f>
        <v>16156210223.333332</v>
      </c>
      <c r="K339" s="1223">
        <f>SUM(K329:K338)</f>
        <v>16156210223.333332</v>
      </c>
      <c r="L339" s="1224">
        <f>I339/J339</f>
        <v>0</v>
      </c>
      <c r="M339" s="1225">
        <f>SUM(M329:M338)</f>
        <v>0</v>
      </c>
      <c r="N339" s="1226">
        <f>SUM(N329:N338)</f>
        <v>16156210223.333332</v>
      </c>
    </row>
    <row r="340" spans="1:14">
      <c r="A340" s="985" t="s">
        <v>24</v>
      </c>
      <c r="B340" s="985" t="s">
        <v>155</v>
      </c>
      <c r="C340" s="985" t="s">
        <v>106</v>
      </c>
      <c r="D340" s="1195" t="s">
        <v>160</v>
      </c>
      <c r="E340" s="1297" t="s">
        <v>133</v>
      </c>
      <c r="F340" s="1274" t="s">
        <v>134</v>
      </c>
      <c r="G340" s="1297" t="s">
        <v>135</v>
      </c>
      <c r="H340" s="1274" t="s">
        <v>253</v>
      </c>
      <c r="I340" s="1275"/>
      <c r="J340" s="1275">
        <v>17044833.333333336</v>
      </c>
      <c r="K340" s="1275">
        <v>17044833.333333336</v>
      </c>
      <c r="L340" s="1276">
        <f t="shared" ref="L340" si="156">+I340/J340</f>
        <v>0</v>
      </c>
      <c r="M340" s="1275"/>
      <c r="N340" s="1261">
        <f>K340-M340</f>
        <v>17044833.333333336</v>
      </c>
    </row>
    <row r="341" spans="1:14">
      <c r="A341" s="985" t="s">
        <v>24</v>
      </c>
      <c r="B341" s="985" t="s">
        <v>155</v>
      </c>
      <c r="C341" s="985" t="s">
        <v>106</v>
      </c>
      <c r="D341" s="1201" t="str">
        <f t="shared" ref="D341:D349" si="157">D340</f>
        <v>6월</v>
      </c>
      <c r="E341" s="1298" t="s">
        <v>133</v>
      </c>
      <c r="F341" s="1203" t="s">
        <v>134</v>
      </c>
      <c r="G341" s="1298" t="s">
        <v>135</v>
      </c>
      <c r="H341" s="1203" t="s">
        <v>137</v>
      </c>
      <c r="I341" s="1204"/>
      <c r="J341" s="1204">
        <v>0</v>
      </c>
      <c r="K341" s="1204">
        <v>0</v>
      </c>
      <c r="L341" s="1205"/>
      <c r="M341" s="1204"/>
      <c r="N341" s="1240">
        <f t="shared" ref="N341:N349" si="158">K341-M341</f>
        <v>0</v>
      </c>
    </row>
    <row r="342" spans="1:14">
      <c r="A342" s="985" t="s">
        <v>24</v>
      </c>
      <c r="B342" s="985" t="s">
        <v>155</v>
      </c>
      <c r="C342" s="985" t="s">
        <v>22</v>
      </c>
      <c r="D342" s="1201" t="str">
        <f t="shared" si="157"/>
        <v>6월</v>
      </c>
      <c r="E342" s="1299" t="s">
        <v>133</v>
      </c>
      <c r="F342" s="1203" t="s">
        <v>134</v>
      </c>
      <c r="G342" s="1298" t="s">
        <v>135</v>
      </c>
      <c r="H342" s="1203" t="s">
        <v>138</v>
      </c>
      <c r="I342" s="1204"/>
      <c r="J342" s="1204">
        <v>308413350</v>
      </c>
      <c r="K342" s="1204">
        <v>308413350</v>
      </c>
      <c r="L342" s="1205"/>
      <c r="M342" s="1204"/>
      <c r="N342" s="1240">
        <f t="shared" si="158"/>
        <v>308413350</v>
      </c>
    </row>
    <row r="343" spans="1:14">
      <c r="A343" s="985" t="s">
        <v>24</v>
      </c>
      <c r="B343" s="985" t="s">
        <v>155</v>
      </c>
      <c r="C343" s="985" t="s">
        <v>27</v>
      </c>
      <c r="D343" s="1201" t="str">
        <f t="shared" si="157"/>
        <v>6월</v>
      </c>
      <c r="E343" s="1298" t="s">
        <v>133</v>
      </c>
      <c r="F343" s="1203" t="s">
        <v>134</v>
      </c>
      <c r="G343" s="1298" t="s">
        <v>135</v>
      </c>
      <c r="H343" s="1203" t="s">
        <v>139</v>
      </c>
      <c r="I343" s="1204"/>
      <c r="J343" s="1204">
        <v>322014360</v>
      </c>
      <c r="K343" s="1204">
        <v>322014360</v>
      </c>
      <c r="L343" s="1205">
        <f t="shared" ref="L343:L347" si="159">+I343/J343</f>
        <v>0</v>
      </c>
      <c r="M343" s="1204"/>
      <c r="N343" s="1240">
        <f t="shared" si="158"/>
        <v>322014360</v>
      </c>
    </row>
    <row r="344" spans="1:14">
      <c r="A344" s="985" t="s">
        <v>24</v>
      </c>
      <c r="B344" s="985" t="s">
        <v>155</v>
      </c>
      <c r="C344" s="985" t="s">
        <v>26</v>
      </c>
      <c r="D344" s="1201" t="str">
        <f t="shared" si="157"/>
        <v>6월</v>
      </c>
      <c r="E344" s="1298" t="s">
        <v>133</v>
      </c>
      <c r="F344" s="1203" t="s">
        <v>134</v>
      </c>
      <c r="G344" s="1298" t="s">
        <v>135</v>
      </c>
      <c r="H344" s="1203" t="s">
        <v>140</v>
      </c>
      <c r="I344" s="1204"/>
      <c r="J344" s="1204">
        <v>8566255294.3999996</v>
      </c>
      <c r="K344" s="1204">
        <v>8566255294.3999996</v>
      </c>
      <c r="L344" s="1205">
        <f t="shared" si="159"/>
        <v>0</v>
      </c>
      <c r="M344" s="1204"/>
      <c r="N344" s="1240">
        <f t="shared" si="158"/>
        <v>8566255294.3999996</v>
      </c>
    </row>
    <row r="345" spans="1:14">
      <c r="A345" s="985" t="s">
        <v>24</v>
      </c>
      <c r="B345" s="985" t="s">
        <v>155</v>
      </c>
      <c r="C345" s="985" t="s">
        <v>32</v>
      </c>
      <c r="D345" s="1201" t="str">
        <f t="shared" si="157"/>
        <v>6월</v>
      </c>
      <c r="E345" s="1298" t="s">
        <v>133</v>
      </c>
      <c r="F345" s="1203" t="s">
        <v>134</v>
      </c>
      <c r="G345" s="1298" t="s">
        <v>135</v>
      </c>
      <c r="H345" s="1203" t="s">
        <v>141</v>
      </c>
      <c r="I345" s="1204"/>
      <c r="J345" s="1204">
        <v>0</v>
      </c>
      <c r="K345" s="1204">
        <v>0</v>
      </c>
      <c r="L345" s="1205" t="e">
        <f t="shared" si="159"/>
        <v>#DIV/0!</v>
      </c>
      <c r="M345" s="1204"/>
      <c r="N345" s="1240">
        <f t="shared" si="158"/>
        <v>0</v>
      </c>
    </row>
    <row r="346" spans="1:14">
      <c r="A346" s="985" t="s">
        <v>24</v>
      </c>
      <c r="B346" s="985" t="s">
        <v>155</v>
      </c>
      <c r="C346" s="985" t="s">
        <v>30</v>
      </c>
      <c r="D346" s="1201" t="str">
        <f t="shared" si="157"/>
        <v>6월</v>
      </c>
      <c r="E346" s="1298" t="s">
        <v>133</v>
      </c>
      <c r="F346" s="1203" t="s">
        <v>134</v>
      </c>
      <c r="G346" s="1298" t="s">
        <v>135</v>
      </c>
      <c r="H346" s="1203" t="s">
        <v>142</v>
      </c>
      <c r="I346" s="1204"/>
      <c r="J346" s="1204">
        <v>173750000</v>
      </c>
      <c r="K346" s="1204">
        <v>173750000</v>
      </c>
      <c r="L346" s="1205">
        <f t="shared" si="159"/>
        <v>0</v>
      </c>
      <c r="M346" s="1204"/>
      <c r="N346" s="1240">
        <f t="shared" si="158"/>
        <v>173750000</v>
      </c>
    </row>
    <row r="347" spans="1:14">
      <c r="A347" s="985" t="s">
        <v>24</v>
      </c>
      <c r="B347" s="985" t="s">
        <v>155</v>
      </c>
      <c r="C347" s="985" t="s">
        <v>29</v>
      </c>
      <c r="D347" s="1201" t="str">
        <f t="shared" si="157"/>
        <v>6월</v>
      </c>
      <c r="E347" s="1298" t="s">
        <v>133</v>
      </c>
      <c r="F347" s="1203" t="s">
        <v>134</v>
      </c>
      <c r="G347" s="1298" t="s">
        <v>135</v>
      </c>
      <c r="H347" s="1203" t="s">
        <v>146</v>
      </c>
      <c r="I347" s="1204"/>
      <c r="J347" s="1204">
        <v>1951600000</v>
      </c>
      <c r="K347" s="1204">
        <v>1951600000</v>
      </c>
      <c r="L347" s="1205">
        <f t="shared" si="159"/>
        <v>0</v>
      </c>
      <c r="M347" s="1204"/>
      <c r="N347" s="1240">
        <f t="shared" si="158"/>
        <v>1951600000</v>
      </c>
    </row>
    <row r="348" spans="1:14">
      <c r="A348" s="985" t="s">
        <v>24</v>
      </c>
      <c r="B348" s="985" t="s">
        <v>155</v>
      </c>
      <c r="C348" s="985" t="s">
        <v>31</v>
      </c>
      <c r="D348" s="1201" t="str">
        <f t="shared" si="157"/>
        <v>6월</v>
      </c>
      <c r="E348" s="1300" t="s">
        <v>133</v>
      </c>
      <c r="F348" s="1214" t="s">
        <v>134</v>
      </c>
      <c r="G348" s="1300" t="s">
        <v>135</v>
      </c>
      <c r="H348" s="1214" t="s">
        <v>147</v>
      </c>
      <c r="I348" s="1215"/>
      <c r="J348" s="1215">
        <v>46875000</v>
      </c>
      <c r="K348" s="1215">
        <v>46875000</v>
      </c>
      <c r="L348" s="1216"/>
      <c r="M348" s="1215"/>
      <c r="N348" s="1240">
        <f t="shared" si="158"/>
        <v>46875000</v>
      </c>
    </row>
    <row r="349" spans="1:14" ht="14.4" thickBot="1">
      <c r="A349" s="985" t="s">
        <v>24</v>
      </c>
      <c r="B349" s="985" t="s">
        <v>155</v>
      </c>
      <c r="C349" s="985" t="s">
        <v>32</v>
      </c>
      <c r="D349" s="1279" t="str">
        <f t="shared" si="157"/>
        <v>6월</v>
      </c>
      <c r="E349" s="1301" t="s">
        <v>133</v>
      </c>
      <c r="F349" s="1218" t="s">
        <v>134</v>
      </c>
      <c r="G349" s="1301" t="s">
        <v>135</v>
      </c>
      <c r="H349" s="1218" t="s">
        <v>148</v>
      </c>
      <c r="I349" s="1219"/>
      <c r="J349" s="1219"/>
      <c r="K349" s="1219"/>
      <c r="L349" s="1220" t="e">
        <f t="shared" ref="L349" si="160">+K349/J349</f>
        <v>#DIV/0!</v>
      </c>
      <c r="M349" s="1219"/>
      <c r="N349" s="1240">
        <f t="shared" si="158"/>
        <v>0</v>
      </c>
    </row>
    <row r="350" spans="1:14" ht="14.4" thickBot="1">
      <c r="D350" s="1529" t="s">
        <v>273</v>
      </c>
      <c r="E350" s="1530"/>
      <c r="F350" s="1530"/>
      <c r="G350" s="1530"/>
      <c r="H350" s="1531"/>
      <c r="I350" s="1223">
        <f>SUM(I340:I349)</f>
        <v>0</v>
      </c>
      <c r="J350" s="1223">
        <f>SUM(J340:J349)</f>
        <v>11385952837.733334</v>
      </c>
      <c r="K350" s="1223">
        <f>SUM(K340:K349)</f>
        <v>11385952837.733334</v>
      </c>
      <c r="L350" s="1224">
        <f>I350/J350</f>
        <v>0</v>
      </c>
      <c r="M350" s="1225">
        <f>SUM(M340:M349)</f>
        <v>0</v>
      </c>
      <c r="N350" s="1226">
        <f>SUM(N340:N349)</f>
        <v>11385952837.733334</v>
      </c>
    </row>
    <row r="351" spans="1:14" ht="14.4" thickBot="1">
      <c r="D351" s="1541" t="s">
        <v>274</v>
      </c>
      <c r="E351" s="1542"/>
      <c r="F351" s="1542"/>
      <c r="G351" s="1542"/>
      <c r="H351" s="1543"/>
      <c r="I351" s="1235">
        <f>SUM(I328,I339,I350)</f>
        <v>0</v>
      </c>
      <c r="J351" s="1235">
        <f t="shared" ref="J351:K351" si="161">SUM(J328,J339,J350)</f>
        <v>38236668852</v>
      </c>
      <c r="K351" s="1235">
        <f t="shared" si="161"/>
        <v>38236668852</v>
      </c>
      <c r="L351" s="1236">
        <f>I351/J351</f>
        <v>0</v>
      </c>
      <c r="M351" s="1235">
        <f>SUM(M328,M339,M350)</f>
        <v>0</v>
      </c>
      <c r="N351" s="1235">
        <f>SUM(N328,N339,N350)</f>
        <v>38236668852</v>
      </c>
    </row>
    <row r="352" spans="1:14">
      <c r="A352" s="985" t="s">
        <v>24</v>
      </c>
      <c r="B352" s="985" t="s">
        <v>99</v>
      </c>
      <c r="C352" s="985" t="s">
        <v>106</v>
      </c>
      <c r="D352" s="1195" t="s">
        <v>78</v>
      </c>
      <c r="E352" s="1297" t="s">
        <v>133</v>
      </c>
      <c r="F352" s="1274" t="s">
        <v>134</v>
      </c>
      <c r="G352" s="1297" t="s">
        <v>135</v>
      </c>
      <c r="H352" s="1274" t="s">
        <v>253</v>
      </c>
      <c r="I352" s="1275"/>
      <c r="J352" s="1275">
        <v>17044833.333333336</v>
      </c>
      <c r="K352" s="1275">
        <v>17044833.333333336</v>
      </c>
      <c r="L352" s="1276">
        <f t="shared" ref="L352" si="162">+I352/J352</f>
        <v>0</v>
      </c>
      <c r="M352" s="1275"/>
      <c r="N352" s="1261">
        <f>K352-M352</f>
        <v>17044833.333333336</v>
      </c>
    </row>
    <row r="353" spans="1:14">
      <c r="A353" s="985" t="s">
        <v>24</v>
      </c>
      <c r="B353" s="985" t="s">
        <v>99</v>
      </c>
      <c r="C353" s="985" t="s">
        <v>106</v>
      </c>
      <c r="D353" s="1201" t="str">
        <f t="shared" ref="D353:D361" si="163">D352</f>
        <v>7월</v>
      </c>
      <c r="E353" s="1298" t="s">
        <v>133</v>
      </c>
      <c r="F353" s="1203" t="s">
        <v>134</v>
      </c>
      <c r="G353" s="1298" t="s">
        <v>135</v>
      </c>
      <c r="H353" s="1203" t="s">
        <v>137</v>
      </c>
      <c r="I353" s="1204"/>
      <c r="J353" s="1204">
        <v>0</v>
      </c>
      <c r="K353" s="1204">
        <v>0</v>
      </c>
      <c r="L353" s="1205"/>
      <c r="M353" s="1204"/>
      <c r="N353" s="1240">
        <f t="shared" ref="N353:N361" si="164">K353-M353</f>
        <v>0</v>
      </c>
    </row>
    <row r="354" spans="1:14">
      <c r="A354" s="985" t="s">
        <v>24</v>
      </c>
      <c r="B354" s="985" t="s">
        <v>99</v>
      </c>
      <c r="C354" s="985" t="s">
        <v>22</v>
      </c>
      <c r="D354" s="1201" t="str">
        <f t="shared" si="163"/>
        <v>7월</v>
      </c>
      <c r="E354" s="1299" t="s">
        <v>133</v>
      </c>
      <c r="F354" s="1203" t="s">
        <v>134</v>
      </c>
      <c r="G354" s="1298" t="s">
        <v>135</v>
      </c>
      <c r="H354" s="1203" t="s">
        <v>138</v>
      </c>
      <c r="I354" s="1204"/>
      <c r="J354" s="1204">
        <v>3331490400</v>
      </c>
      <c r="K354" s="1204">
        <v>3331490400</v>
      </c>
      <c r="L354" s="1205"/>
      <c r="M354" s="1204"/>
      <c r="N354" s="1240">
        <f t="shared" si="164"/>
        <v>3331490400</v>
      </c>
    </row>
    <row r="355" spans="1:14">
      <c r="A355" s="985" t="s">
        <v>24</v>
      </c>
      <c r="B355" s="985" t="s">
        <v>99</v>
      </c>
      <c r="C355" s="985" t="s">
        <v>27</v>
      </c>
      <c r="D355" s="1201" t="str">
        <f t="shared" si="163"/>
        <v>7월</v>
      </c>
      <c r="E355" s="1298" t="s">
        <v>133</v>
      </c>
      <c r="F355" s="1203" t="s">
        <v>134</v>
      </c>
      <c r="G355" s="1298" t="s">
        <v>135</v>
      </c>
      <c r="H355" s="1203" t="s">
        <v>139</v>
      </c>
      <c r="I355" s="1204"/>
      <c r="J355" s="1204">
        <v>502854360</v>
      </c>
      <c r="K355" s="1204">
        <v>502854360</v>
      </c>
      <c r="L355" s="1205">
        <f t="shared" ref="L355:L359" si="165">+I355/J355</f>
        <v>0</v>
      </c>
      <c r="M355" s="1204"/>
      <c r="N355" s="1240">
        <f t="shared" si="164"/>
        <v>502854360</v>
      </c>
    </row>
    <row r="356" spans="1:14">
      <c r="A356" s="985" t="s">
        <v>24</v>
      </c>
      <c r="B356" s="985" t="s">
        <v>99</v>
      </c>
      <c r="C356" s="985" t="s">
        <v>26</v>
      </c>
      <c r="D356" s="1201" t="str">
        <f t="shared" si="163"/>
        <v>7월</v>
      </c>
      <c r="E356" s="1298" t="s">
        <v>133</v>
      </c>
      <c r="F356" s="1203" t="s">
        <v>134</v>
      </c>
      <c r="G356" s="1298" t="s">
        <v>135</v>
      </c>
      <c r="H356" s="1203" t="s">
        <v>140</v>
      </c>
      <c r="I356" s="1204"/>
      <c r="J356" s="1204">
        <v>10823497696</v>
      </c>
      <c r="K356" s="1204">
        <v>10823497696</v>
      </c>
      <c r="L356" s="1205">
        <f t="shared" si="165"/>
        <v>0</v>
      </c>
      <c r="M356" s="1287"/>
      <c r="N356" s="1240">
        <f t="shared" si="164"/>
        <v>10823497696</v>
      </c>
    </row>
    <row r="357" spans="1:14">
      <c r="A357" s="985" t="s">
        <v>24</v>
      </c>
      <c r="B357" s="985" t="s">
        <v>99</v>
      </c>
      <c r="C357" s="985" t="s">
        <v>32</v>
      </c>
      <c r="D357" s="1201" t="str">
        <f t="shared" si="163"/>
        <v>7월</v>
      </c>
      <c r="E357" s="1298" t="s">
        <v>133</v>
      </c>
      <c r="F357" s="1203" t="s">
        <v>134</v>
      </c>
      <c r="G357" s="1298" t="s">
        <v>135</v>
      </c>
      <c r="H357" s="1203" t="s">
        <v>141</v>
      </c>
      <c r="I357" s="1204"/>
      <c r="J357" s="1204">
        <v>0</v>
      </c>
      <c r="K357" s="1204">
        <v>0</v>
      </c>
      <c r="L357" s="1205" t="e">
        <f t="shared" si="165"/>
        <v>#DIV/0!</v>
      </c>
      <c r="M357" s="1204"/>
      <c r="N357" s="1240">
        <f t="shared" si="164"/>
        <v>0</v>
      </c>
    </row>
    <row r="358" spans="1:14">
      <c r="A358" s="985" t="s">
        <v>24</v>
      </c>
      <c r="B358" s="985" t="s">
        <v>99</v>
      </c>
      <c r="C358" s="985" t="s">
        <v>30</v>
      </c>
      <c r="D358" s="1201" t="str">
        <f t="shared" si="163"/>
        <v>7월</v>
      </c>
      <c r="E358" s="1298" t="s">
        <v>133</v>
      </c>
      <c r="F358" s="1203" t="s">
        <v>134</v>
      </c>
      <c r="G358" s="1298" t="s">
        <v>135</v>
      </c>
      <c r="H358" s="1203" t="s">
        <v>142</v>
      </c>
      <c r="I358" s="1204"/>
      <c r="J358" s="1204">
        <v>85000000</v>
      </c>
      <c r="K358" s="1204">
        <v>85000000</v>
      </c>
      <c r="L358" s="1205">
        <f t="shared" si="165"/>
        <v>0</v>
      </c>
      <c r="M358" s="1204"/>
      <c r="N358" s="1240">
        <f t="shared" si="164"/>
        <v>85000000</v>
      </c>
    </row>
    <row r="359" spans="1:14">
      <c r="A359" s="985" t="s">
        <v>24</v>
      </c>
      <c r="B359" s="985" t="s">
        <v>99</v>
      </c>
      <c r="C359" s="985" t="s">
        <v>29</v>
      </c>
      <c r="D359" s="1201" t="str">
        <f t="shared" si="163"/>
        <v>7월</v>
      </c>
      <c r="E359" s="1298" t="s">
        <v>133</v>
      </c>
      <c r="F359" s="1203" t="s">
        <v>134</v>
      </c>
      <c r="G359" s="1298" t="s">
        <v>135</v>
      </c>
      <c r="H359" s="1203" t="s">
        <v>146</v>
      </c>
      <c r="I359" s="1204"/>
      <c r="J359" s="1204">
        <v>272000000</v>
      </c>
      <c r="K359" s="1204">
        <v>272000000</v>
      </c>
      <c r="L359" s="1205">
        <f t="shared" si="165"/>
        <v>0</v>
      </c>
      <c r="M359" s="1204"/>
      <c r="N359" s="1240">
        <f t="shared" si="164"/>
        <v>272000000</v>
      </c>
    </row>
    <row r="360" spans="1:14">
      <c r="A360" s="985" t="s">
        <v>24</v>
      </c>
      <c r="B360" s="985" t="s">
        <v>99</v>
      </c>
      <c r="C360" s="985" t="s">
        <v>31</v>
      </c>
      <c r="D360" s="1201" t="str">
        <f t="shared" si="163"/>
        <v>7월</v>
      </c>
      <c r="E360" s="1300" t="s">
        <v>133</v>
      </c>
      <c r="F360" s="1214" t="s">
        <v>134</v>
      </c>
      <c r="G360" s="1300" t="s">
        <v>135</v>
      </c>
      <c r="H360" s="1214" t="s">
        <v>147</v>
      </c>
      <c r="I360" s="1215"/>
      <c r="J360" s="1204">
        <v>0</v>
      </c>
      <c r="K360" s="1204">
        <v>0</v>
      </c>
      <c r="L360" s="1216"/>
      <c r="M360" s="1215"/>
      <c r="N360" s="1240">
        <f t="shared" si="164"/>
        <v>0</v>
      </c>
    </row>
    <row r="361" spans="1:14" ht="14.4" thickBot="1">
      <c r="A361" s="985" t="s">
        <v>24</v>
      </c>
      <c r="B361" s="985" t="s">
        <v>99</v>
      </c>
      <c r="C361" s="985" t="s">
        <v>32</v>
      </c>
      <c r="D361" s="1279" t="str">
        <f t="shared" si="163"/>
        <v>7월</v>
      </c>
      <c r="E361" s="1301" t="s">
        <v>133</v>
      </c>
      <c r="F361" s="1218" t="s">
        <v>134</v>
      </c>
      <c r="G361" s="1301" t="s">
        <v>135</v>
      </c>
      <c r="H361" s="1218" t="s">
        <v>148</v>
      </c>
      <c r="I361" s="1219"/>
      <c r="J361" s="1219"/>
      <c r="K361" s="1219"/>
      <c r="L361" s="1220" t="e">
        <f t="shared" ref="L361" si="166">+K361/J361</f>
        <v>#DIV/0!</v>
      </c>
      <c r="M361" s="1219"/>
      <c r="N361" s="1240">
        <f t="shared" si="164"/>
        <v>0</v>
      </c>
    </row>
    <row r="362" spans="1:14" ht="14.4" thickBot="1">
      <c r="D362" s="1529" t="s">
        <v>275</v>
      </c>
      <c r="E362" s="1530"/>
      <c r="F362" s="1530"/>
      <c r="G362" s="1530"/>
      <c r="H362" s="1531"/>
      <c r="I362" s="1223">
        <f>SUM(I352:I361)</f>
        <v>0</v>
      </c>
      <c r="J362" s="1223">
        <f>SUM(J352:J361)</f>
        <v>15031887289.333334</v>
      </c>
      <c r="K362" s="1223">
        <f>SUM(K352:K361)</f>
        <v>15031887289.333334</v>
      </c>
      <c r="L362" s="1224">
        <f>I362/J362</f>
        <v>0</v>
      </c>
      <c r="M362" s="1225">
        <f>SUM(M352:M361)</f>
        <v>0</v>
      </c>
      <c r="N362" s="1226">
        <f>SUM(N352:N361)</f>
        <v>15031887289.333334</v>
      </c>
    </row>
    <row r="363" spans="1:14">
      <c r="A363" s="985" t="s">
        <v>24</v>
      </c>
      <c r="B363" s="985" t="s">
        <v>99</v>
      </c>
      <c r="C363" s="985" t="s">
        <v>106</v>
      </c>
      <c r="D363" s="1195" t="s">
        <v>166</v>
      </c>
      <c r="E363" s="1297" t="s">
        <v>133</v>
      </c>
      <c r="F363" s="1274" t="s">
        <v>134</v>
      </c>
      <c r="G363" s="1297" t="s">
        <v>135</v>
      </c>
      <c r="H363" s="1274" t="s">
        <v>253</v>
      </c>
      <c r="I363" s="1275"/>
      <c r="J363" s="1275">
        <v>17044833.333333336</v>
      </c>
      <c r="K363" s="1275">
        <v>17044833.333333336</v>
      </c>
      <c r="L363" s="1276">
        <f t="shared" ref="L363" si="167">+I363/J363</f>
        <v>0</v>
      </c>
      <c r="M363" s="1275"/>
      <c r="N363" s="1261">
        <f>K363-M363</f>
        <v>17044833.333333336</v>
      </c>
    </row>
    <row r="364" spans="1:14">
      <c r="A364" s="985" t="s">
        <v>24</v>
      </c>
      <c r="B364" s="985" t="s">
        <v>99</v>
      </c>
      <c r="C364" s="985" t="s">
        <v>106</v>
      </c>
      <c r="D364" s="1201" t="str">
        <f t="shared" ref="D364:D372" si="168">D363</f>
        <v>8월</v>
      </c>
      <c r="E364" s="1298" t="s">
        <v>133</v>
      </c>
      <c r="F364" s="1203" t="s">
        <v>134</v>
      </c>
      <c r="G364" s="1298" t="s">
        <v>135</v>
      </c>
      <c r="H364" s="1203" t="s">
        <v>137</v>
      </c>
      <c r="I364" s="1204"/>
      <c r="J364" s="1204">
        <v>0</v>
      </c>
      <c r="K364" s="1204">
        <v>0</v>
      </c>
      <c r="L364" s="1205"/>
      <c r="M364" s="1204"/>
      <c r="N364" s="1240">
        <f t="shared" ref="N364:N370" si="169">K364-M364</f>
        <v>0</v>
      </c>
    </row>
    <row r="365" spans="1:14">
      <c r="A365" s="985" t="s">
        <v>24</v>
      </c>
      <c r="B365" s="985" t="s">
        <v>99</v>
      </c>
      <c r="C365" s="985" t="s">
        <v>22</v>
      </c>
      <c r="D365" s="1201" t="str">
        <f t="shared" si="168"/>
        <v>8월</v>
      </c>
      <c r="E365" s="1299" t="s">
        <v>133</v>
      </c>
      <c r="F365" s="1203" t="s">
        <v>134</v>
      </c>
      <c r="G365" s="1298" t="s">
        <v>135</v>
      </c>
      <c r="H365" s="1203" t="s">
        <v>138</v>
      </c>
      <c r="I365" s="1287"/>
      <c r="J365" s="1204">
        <v>193233600</v>
      </c>
      <c r="K365" s="1204">
        <v>193233600</v>
      </c>
      <c r="L365" s="1205"/>
      <c r="M365" s="1204"/>
      <c r="N365" s="1240">
        <f t="shared" si="169"/>
        <v>193233600</v>
      </c>
    </row>
    <row r="366" spans="1:14">
      <c r="A366" s="985" t="s">
        <v>24</v>
      </c>
      <c r="B366" s="985" t="s">
        <v>99</v>
      </c>
      <c r="C366" s="985" t="s">
        <v>27</v>
      </c>
      <c r="D366" s="1201" t="str">
        <f t="shared" si="168"/>
        <v>8월</v>
      </c>
      <c r="E366" s="1298" t="s">
        <v>133</v>
      </c>
      <c r="F366" s="1203" t="s">
        <v>134</v>
      </c>
      <c r="G366" s="1298" t="s">
        <v>135</v>
      </c>
      <c r="H366" s="1203" t="s">
        <v>139</v>
      </c>
      <c r="I366" s="1287"/>
      <c r="J366" s="1204">
        <v>561278780</v>
      </c>
      <c r="K366" s="1204">
        <v>561278780</v>
      </c>
      <c r="L366" s="1205">
        <f>+I366/J366</f>
        <v>0</v>
      </c>
      <c r="M366" s="1204"/>
      <c r="N366" s="1240">
        <f t="shared" si="169"/>
        <v>561278780</v>
      </c>
    </row>
    <row r="367" spans="1:14">
      <c r="A367" s="985" t="s">
        <v>24</v>
      </c>
      <c r="B367" s="985" t="s">
        <v>99</v>
      </c>
      <c r="C367" s="985" t="s">
        <v>26</v>
      </c>
      <c r="D367" s="1201" t="str">
        <f t="shared" si="168"/>
        <v>8월</v>
      </c>
      <c r="E367" s="1298" t="s">
        <v>133</v>
      </c>
      <c r="F367" s="1203" t="s">
        <v>134</v>
      </c>
      <c r="G367" s="1298" t="s">
        <v>135</v>
      </c>
      <c r="H367" s="1203" t="s">
        <v>140</v>
      </c>
      <c r="I367" s="1287"/>
      <c r="J367" s="1204">
        <v>10823458674.4</v>
      </c>
      <c r="K367" s="1204">
        <v>10823458674.4</v>
      </c>
      <c r="L367" s="1205">
        <f t="shared" ref="L367:L370" si="170">+I367/J367</f>
        <v>0</v>
      </c>
      <c r="M367" s="1204"/>
      <c r="N367" s="1240">
        <f t="shared" si="169"/>
        <v>10823458674.4</v>
      </c>
    </row>
    <row r="368" spans="1:14">
      <c r="A368" s="985" t="s">
        <v>24</v>
      </c>
      <c r="B368" s="985" t="s">
        <v>99</v>
      </c>
      <c r="C368" s="985" t="s">
        <v>32</v>
      </c>
      <c r="D368" s="1201" t="str">
        <f t="shared" si="168"/>
        <v>8월</v>
      </c>
      <c r="E368" s="1298" t="s">
        <v>133</v>
      </c>
      <c r="F368" s="1203" t="s">
        <v>134</v>
      </c>
      <c r="G368" s="1298" t="s">
        <v>135</v>
      </c>
      <c r="H368" s="1203" t="s">
        <v>141</v>
      </c>
      <c r="I368" s="1204"/>
      <c r="J368" s="1204">
        <v>0</v>
      </c>
      <c r="K368" s="1204">
        <v>0</v>
      </c>
      <c r="L368" s="1205" t="e">
        <f t="shared" si="170"/>
        <v>#DIV/0!</v>
      </c>
      <c r="M368" s="1204"/>
      <c r="N368" s="1240">
        <f t="shared" si="169"/>
        <v>0</v>
      </c>
    </row>
    <row r="369" spans="1:14">
      <c r="A369" s="985" t="s">
        <v>24</v>
      </c>
      <c r="B369" s="985" t="s">
        <v>99</v>
      </c>
      <c r="C369" s="985" t="s">
        <v>30</v>
      </c>
      <c r="D369" s="1201" t="str">
        <f t="shared" si="168"/>
        <v>8월</v>
      </c>
      <c r="E369" s="1298" t="s">
        <v>133</v>
      </c>
      <c r="F369" s="1203" t="s">
        <v>134</v>
      </c>
      <c r="G369" s="1298" t="s">
        <v>135</v>
      </c>
      <c r="H369" s="1203" t="s">
        <v>142</v>
      </c>
      <c r="I369" s="1204"/>
      <c r="J369" s="1204">
        <v>46875000</v>
      </c>
      <c r="K369" s="1204">
        <v>46875000</v>
      </c>
      <c r="L369" s="1205">
        <f t="shared" si="170"/>
        <v>0</v>
      </c>
      <c r="M369" s="1204"/>
      <c r="N369" s="1240">
        <f t="shared" si="169"/>
        <v>46875000</v>
      </c>
    </row>
    <row r="370" spans="1:14">
      <c r="A370" s="985" t="s">
        <v>24</v>
      </c>
      <c r="B370" s="985" t="s">
        <v>99</v>
      </c>
      <c r="C370" s="985" t="s">
        <v>29</v>
      </c>
      <c r="D370" s="1201" t="str">
        <f t="shared" si="168"/>
        <v>8월</v>
      </c>
      <c r="E370" s="1298" t="s">
        <v>133</v>
      </c>
      <c r="F370" s="1203" t="s">
        <v>134</v>
      </c>
      <c r="G370" s="1298" t="s">
        <v>135</v>
      </c>
      <c r="H370" s="1203" t="s">
        <v>146</v>
      </c>
      <c r="I370" s="1287"/>
      <c r="J370" s="1204">
        <v>444000000</v>
      </c>
      <c r="K370" s="1204">
        <v>444000000</v>
      </c>
      <c r="L370" s="1205">
        <f t="shared" si="170"/>
        <v>0</v>
      </c>
      <c r="M370" s="1204"/>
      <c r="N370" s="1240">
        <f t="shared" si="169"/>
        <v>444000000</v>
      </c>
    </row>
    <row r="371" spans="1:14">
      <c r="A371" s="985" t="s">
        <v>24</v>
      </c>
      <c r="B371" s="985" t="s">
        <v>99</v>
      </c>
      <c r="C371" s="985" t="s">
        <v>31</v>
      </c>
      <c r="D371" s="1201" t="str">
        <f t="shared" si="168"/>
        <v>8월</v>
      </c>
      <c r="E371" s="1300" t="s">
        <v>133</v>
      </c>
      <c r="F371" s="1214" t="s">
        <v>134</v>
      </c>
      <c r="G371" s="1300" t="s">
        <v>135</v>
      </c>
      <c r="H371" s="1214" t="s">
        <v>147</v>
      </c>
      <c r="I371" s="1294"/>
      <c r="J371" s="1204">
        <v>0</v>
      </c>
      <c r="K371" s="1204">
        <v>0</v>
      </c>
      <c r="L371" s="1216"/>
      <c r="M371" s="1204"/>
      <c r="N371" s="1240">
        <f>K371-M371</f>
        <v>0</v>
      </c>
    </row>
    <row r="372" spans="1:14" ht="14.4" thickBot="1">
      <c r="A372" s="985" t="s">
        <v>24</v>
      </c>
      <c r="B372" s="985" t="s">
        <v>99</v>
      </c>
      <c r="C372" s="985" t="s">
        <v>32</v>
      </c>
      <c r="D372" s="1279" t="str">
        <f t="shared" si="168"/>
        <v>8월</v>
      </c>
      <c r="E372" s="1301" t="s">
        <v>133</v>
      </c>
      <c r="F372" s="1218" t="s">
        <v>134</v>
      </c>
      <c r="G372" s="1301" t="s">
        <v>135</v>
      </c>
      <c r="H372" s="1218" t="s">
        <v>148</v>
      </c>
      <c r="I372" s="1219"/>
      <c r="J372" s="1219"/>
      <c r="K372" s="1219"/>
      <c r="L372" s="1220" t="e">
        <f t="shared" ref="L372" si="171">+K372/J372</f>
        <v>#DIV/0!</v>
      </c>
      <c r="M372" s="1219"/>
      <c r="N372" s="1240">
        <f t="shared" ref="N372" si="172">K372-M372</f>
        <v>0</v>
      </c>
    </row>
    <row r="373" spans="1:14" ht="14.4" thickBot="1">
      <c r="D373" s="1529" t="s">
        <v>169</v>
      </c>
      <c r="E373" s="1530"/>
      <c r="F373" s="1530"/>
      <c r="G373" s="1530"/>
      <c r="H373" s="1531"/>
      <c r="I373" s="1223">
        <f>SUM(I363:I372)</f>
        <v>0</v>
      </c>
      <c r="J373" s="1223">
        <f>SUM(J363:J372)</f>
        <v>12085890887.733334</v>
      </c>
      <c r="K373" s="1223">
        <f>SUM(K363:K372)</f>
        <v>12085890887.733334</v>
      </c>
      <c r="L373" s="1224">
        <f>I373/J373</f>
        <v>0</v>
      </c>
      <c r="M373" s="1225">
        <f>SUM(M363:M372)</f>
        <v>0</v>
      </c>
      <c r="N373" s="1226">
        <f>SUM(N363:N372)</f>
        <v>12085890887.733334</v>
      </c>
    </row>
    <row r="374" spans="1:14">
      <c r="A374" s="985" t="s">
        <v>24</v>
      </c>
      <c r="B374" s="985" t="s">
        <v>99</v>
      </c>
      <c r="C374" s="985" t="s">
        <v>106</v>
      </c>
      <c r="D374" s="1195" t="s">
        <v>101</v>
      </c>
      <c r="E374" s="1297" t="s">
        <v>133</v>
      </c>
      <c r="F374" s="1274" t="s">
        <v>134</v>
      </c>
      <c r="G374" s="1297" t="s">
        <v>135</v>
      </c>
      <c r="H374" s="1274" t="s">
        <v>253</v>
      </c>
      <c r="I374" s="1275"/>
      <c r="J374" s="1275">
        <v>17044833.333333336</v>
      </c>
      <c r="K374" s="1275">
        <v>17044833.333333336</v>
      </c>
      <c r="L374" s="1276">
        <f t="shared" ref="L374" si="173">+I374/J374</f>
        <v>0</v>
      </c>
      <c r="M374" s="1275"/>
      <c r="N374" s="1261">
        <f>K374-M374</f>
        <v>17044833.333333336</v>
      </c>
    </row>
    <row r="375" spans="1:14">
      <c r="A375" s="985" t="s">
        <v>24</v>
      </c>
      <c r="B375" s="985" t="s">
        <v>99</v>
      </c>
      <c r="C375" s="985" t="s">
        <v>106</v>
      </c>
      <c r="D375" s="1201" t="str">
        <f t="shared" ref="D375:D383" si="174">D374</f>
        <v>9월</v>
      </c>
      <c r="E375" s="1298" t="s">
        <v>133</v>
      </c>
      <c r="F375" s="1203" t="s">
        <v>134</v>
      </c>
      <c r="G375" s="1298" t="s">
        <v>135</v>
      </c>
      <c r="H375" s="1203" t="s">
        <v>137</v>
      </c>
      <c r="I375" s="1204"/>
      <c r="J375" s="1204">
        <v>0</v>
      </c>
      <c r="K375" s="1204">
        <v>0</v>
      </c>
      <c r="L375" s="1205"/>
      <c r="M375" s="1287"/>
      <c r="N375" s="1240">
        <f t="shared" ref="N375:N383" si="175">K375-M375</f>
        <v>0</v>
      </c>
    </row>
    <row r="376" spans="1:14">
      <c r="A376" s="985" t="s">
        <v>24</v>
      </c>
      <c r="B376" s="985" t="s">
        <v>99</v>
      </c>
      <c r="C376" s="985" t="s">
        <v>22</v>
      </c>
      <c r="D376" s="1201" t="str">
        <f t="shared" si="174"/>
        <v>9월</v>
      </c>
      <c r="E376" s="1299" t="s">
        <v>133</v>
      </c>
      <c r="F376" s="1203" t="s">
        <v>134</v>
      </c>
      <c r="G376" s="1298" t="s">
        <v>135</v>
      </c>
      <c r="H376" s="1203" t="s">
        <v>138</v>
      </c>
      <c r="I376" s="1204"/>
      <c r="J376" s="1204">
        <v>1002079800</v>
      </c>
      <c r="K376" s="1204">
        <v>1002079800</v>
      </c>
      <c r="L376" s="1205"/>
      <c r="M376" s="1287"/>
      <c r="N376" s="1240">
        <f t="shared" si="175"/>
        <v>1002079800</v>
      </c>
    </row>
    <row r="377" spans="1:14">
      <c r="A377" s="985" t="s">
        <v>24</v>
      </c>
      <c r="B377" s="985" t="s">
        <v>99</v>
      </c>
      <c r="C377" s="985" t="s">
        <v>27</v>
      </c>
      <c r="D377" s="1201" t="str">
        <f t="shared" si="174"/>
        <v>9월</v>
      </c>
      <c r="E377" s="1298" t="s">
        <v>133</v>
      </c>
      <c r="F377" s="1203" t="s">
        <v>134</v>
      </c>
      <c r="G377" s="1298" t="s">
        <v>135</v>
      </c>
      <c r="H377" s="1203" t="s">
        <v>139</v>
      </c>
      <c r="I377" s="1204"/>
      <c r="J377" s="1204">
        <v>233127620</v>
      </c>
      <c r="K377" s="1204">
        <v>233127620</v>
      </c>
      <c r="L377" s="1205">
        <f t="shared" ref="L377:L381" si="176">+I377/J377</f>
        <v>0</v>
      </c>
      <c r="M377" s="1287"/>
      <c r="N377" s="1240">
        <f t="shared" si="175"/>
        <v>233127620</v>
      </c>
    </row>
    <row r="378" spans="1:14">
      <c r="A378" s="985" t="s">
        <v>24</v>
      </c>
      <c r="B378" s="985" t="s">
        <v>99</v>
      </c>
      <c r="C378" s="985" t="s">
        <v>26</v>
      </c>
      <c r="D378" s="1201" t="str">
        <f t="shared" si="174"/>
        <v>9월</v>
      </c>
      <c r="E378" s="1298" t="s">
        <v>133</v>
      </c>
      <c r="F378" s="1203" t="s">
        <v>134</v>
      </c>
      <c r="G378" s="1298" t="s">
        <v>135</v>
      </c>
      <c r="H378" s="1203" t="s">
        <v>140</v>
      </c>
      <c r="I378" s="1204"/>
      <c r="J378" s="1204">
        <v>10672234979.999998</v>
      </c>
      <c r="K378" s="1204">
        <v>10672234979.999998</v>
      </c>
      <c r="L378" s="1205">
        <f t="shared" si="176"/>
        <v>0</v>
      </c>
      <c r="M378" s="1287"/>
      <c r="N378" s="1240">
        <f t="shared" si="175"/>
        <v>10672234979.999998</v>
      </c>
    </row>
    <row r="379" spans="1:14">
      <c r="A379" s="985" t="s">
        <v>24</v>
      </c>
      <c r="B379" s="985" t="s">
        <v>99</v>
      </c>
      <c r="C379" s="985" t="s">
        <v>32</v>
      </c>
      <c r="D379" s="1201" t="str">
        <f t="shared" si="174"/>
        <v>9월</v>
      </c>
      <c r="E379" s="1298" t="s">
        <v>133</v>
      </c>
      <c r="F379" s="1203" t="s">
        <v>134</v>
      </c>
      <c r="G379" s="1298" t="s">
        <v>135</v>
      </c>
      <c r="H379" s="1203" t="s">
        <v>141</v>
      </c>
      <c r="I379" s="1204"/>
      <c r="J379" s="1204">
        <v>0</v>
      </c>
      <c r="K379" s="1204">
        <v>0</v>
      </c>
      <c r="L379" s="1205" t="e">
        <f t="shared" si="176"/>
        <v>#DIV/0!</v>
      </c>
      <c r="M379" s="1287"/>
      <c r="N379" s="1240">
        <f t="shared" si="175"/>
        <v>0</v>
      </c>
    </row>
    <row r="380" spans="1:14">
      <c r="A380" s="985" t="s">
        <v>24</v>
      </c>
      <c r="B380" s="985" t="s">
        <v>99</v>
      </c>
      <c r="C380" s="985" t="s">
        <v>30</v>
      </c>
      <c r="D380" s="1201" t="str">
        <f t="shared" si="174"/>
        <v>9월</v>
      </c>
      <c r="E380" s="1298" t="s">
        <v>133</v>
      </c>
      <c r="F380" s="1203" t="s">
        <v>134</v>
      </c>
      <c r="G380" s="1298" t="s">
        <v>135</v>
      </c>
      <c r="H380" s="1203" t="s">
        <v>142</v>
      </c>
      <c r="I380" s="1204"/>
      <c r="J380" s="1204">
        <v>46875000</v>
      </c>
      <c r="K380" s="1204">
        <v>46875000</v>
      </c>
      <c r="L380" s="1205">
        <f t="shared" si="176"/>
        <v>0</v>
      </c>
      <c r="M380" s="1287"/>
      <c r="N380" s="1240">
        <f t="shared" si="175"/>
        <v>46875000</v>
      </c>
    </row>
    <row r="381" spans="1:14">
      <c r="A381" s="985" t="s">
        <v>24</v>
      </c>
      <c r="B381" s="985" t="s">
        <v>99</v>
      </c>
      <c r="C381" s="985" t="s">
        <v>29</v>
      </c>
      <c r="D381" s="1201" t="str">
        <f t="shared" si="174"/>
        <v>9월</v>
      </c>
      <c r="E381" s="1298" t="s">
        <v>133</v>
      </c>
      <c r="F381" s="1203" t="s">
        <v>134</v>
      </c>
      <c r="G381" s="1298" t="s">
        <v>135</v>
      </c>
      <c r="H381" s="1203" t="s">
        <v>146</v>
      </c>
      <c r="I381" s="1204"/>
      <c r="J381" s="1204">
        <v>2107000000</v>
      </c>
      <c r="K381" s="1204">
        <v>2107000000</v>
      </c>
      <c r="L381" s="1205">
        <f t="shared" si="176"/>
        <v>0</v>
      </c>
      <c r="M381" s="1287"/>
      <c r="N381" s="1240">
        <f t="shared" si="175"/>
        <v>2107000000</v>
      </c>
    </row>
    <row r="382" spans="1:14">
      <c r="A382" s="985" t="s">
        <v>24</v>
      </c>
      <c r="B382" s="985" t="s">
        <v>99</v>
      </c>
      <c r="C382" s="985" t="s">
        <v>31</v>
      </c>
      <c r="D382" s="1201" t="str">
        <f t="shared" si="174"/>
        <v>9월</v>
      </c>
      <c r="E382" s="1300" t="s">
        <v>133</v>
      </c>
      <c r="F382" s="1214" t="s">
        <v>134</v>
      </c>
      <c r="G382" s="1300" t="s">
        <v>135</v>
      </c>
      <c r="H382" s="1214" t="s">
        <v>147</v>
      </c>
      <c r="I382" s="1215"/>
      <c r="J382" s="1204">
        <v>0</v>
      </c>
      <c r="K382" s="1204">
        <v>0</v>
      </c>
      <c r="L382" s="1216"/>
      <c r="M382" s="1294"/>
      <c r="N382" s="1240">
        <f t="shared" si="175"/>
        <v>0</v>
      </c>
    </row>
    <row r="383" spans="1:14" ht="14.4" thickBot="1">
      <c r="A383" s="985" t="s">
        <v>24</v>
      </c>
      <c r="B383" s="985" t="s">
        <v>99</v>
      </c>
      <c r="C383" s="985" t="s">
        <v>32</v>
      </c>
      <c r="D383" s="1279" t="str">
        <f t="shared" si="174"/>
        <v>9월</v>
      </c>
      <c r="E383" s="1301" t="s">
        <v>133</v>
      </c>
      <c r="F383" s="1218" t="s">
        <v>134</v>
      </c>
      <c r="G383" s="1301" t="s">
        <v>135</v>
      </c>
      <c r="H383" s="1218" t="s">
        <v>148</v>
      </c>
      <c r="I383" s="1219"/>
      <c r="J383" s="1219"/>
      <c r="K383" s="1219"/>
      <c r="L383" s="1220" t="e">
        <f t="shared" ref="L383" si="177">+K383/J383</f>
        <v>#DIV/0!</v>
      </c>
      <c r="M383" s="1219"/>
      <c r="N383" s="1240">
        <f t="shared" si="175"/>
        <v>0</v>
      </c>
    </row>
    <row r="384" spans="1:14" ht="14.4" thickBot="1">
      <c r="D384" s="1529" t="s">
        <v>276</v>
      </c>
      <c r="E384" s="1530"/>
      <c r="F384" s="1530"/>
      <c r="G384" s="1530"/>
      <c r="H384" s="1531"/>
      <c r="I384" s="1223">
        <f>SUM(I374:I383)</f>
        <v>0</v>
      </c>
      <c r="J384" s="1223">
        <f>SUM(J374:J383)</f>
        <v>14078362233.333332</v>
      </c>
      <c r="K384" s="1223">
        <f>SUM(K374:K383)</f>
        <v>14078362233.333332</v>
      </c>
      <c r="L384" s="1224">
        <f>I384/J384</f>
        <v>0</v>
      </c>
      <c r="M384" s="1225">
        <f>SUM(M374:M383)</f>
        <v>0</v>
      </c>
      <c r="N384" s="1226">
        <f>SUM(N374:N383)</f>
        <v>14078362233.333332</v>
      </c>
    </row>
    <row r="385" spans="1:14" ht="14.4" thickBot="1">
      <c r="D385" s="1541" t="s">
        <v>277</v>
      </c>
      <c r="E385" s="1542"/>
      <c r="F385" s="1542"/>
      <c r="G385" s="1542"/>
      <c r="H385" s="1543"/>
      <c r="I385" s="1235">
        <f>SUM(I362,I373,I384)</f>
        <v>0</v>
      </c>
      <c r="J385" s="1235">
        <f t="shared" ref="J385:K385" si="178">SUM(J362,J373,J384)</f>
        <v>41196140410.399994</v>
      </c>
      <c r="K385" s="1235">
        <f t="shared" si="178"/>
        <v>41196140410.399994</v>
      </c>
      <c r="L385" s="1236">
        <f>I385/J385</f>
        <v>0</v>
      </c>
      <c r="M385" s="1235">
        <f>SUM(M362,M373,M384)</f>
        <v>0</v>
      </c>
      <c r="N385" s="1235">
        <f>SUM(N362,N373,N384)</f>
        <v>41196140410.399994</v>
      </c>
    </row>
    <row r="386" spans="1:14">
      <c r="A386" s="985" t="s">
        <v>24</v>
      </c>
      <c r="B386" s="985" t="s">
        <v>174</v>
      </c>
      <c r="C386" s="985" t="s">
        <v>106</v>
      </c>
      <c r="D386" s="1195" t="s">
        <v>175</v>
      </c>
      <c r="E386" s="1297" t="s">
        <v>133</v>
      </c>
      <c r="F386" s="1274" t="s">
        <v>134</v>
      </c>
      <c r="G386" s="1297" t="s">
        <v>135</v>
      </c>
      <c r="H386" s="1274" t="s">
        <v>253</v>
      </c>
      <c r="I386" s="1275"/>
      <c r="J386" s="1275">
        <v>17044833.333333336</v>
      </c>
      <c r="K386" s="1275">
        <v>17044833.333333336</v>
      </c>
      <c r="L386" s="1276">
        <f t="shared" ref="L386" si="179">+I386/J386</f>
        <v>0</v>
      </c>
      <c r="M386" s="1275"/>
      <c r="N386" s="1261">
        <f>K386-M386</f>
        <v>17044833.333333336</v>
      </c>
    </row>
    <row r="387" spans="1:14">
      <c r="A387" s="985" t="s">
        <v>24</v>
      </c>
      <c r="B387" s="985" t="s">
        <v>174</v>
      </c>
      <c r="C387" s="985" t="s">
        <v>106</v>
      </c>
      <c r="D387" s="1201" t="str">
        <f t="shared" ref="D387:D395" si="180">D386</f>
        <v>10월</v>
      </c>
      <c r="E387" s="1298" t="s">
        <v>133</v>
      </c>
      <c r="F387" s="1203" t="s">
        <v>134</v>
      </c>
      <c r="G387" s="1298" t="s">
        <v>135</v>
      </c>
      <c r="H387" s="1203" t="s">
        <v>137</v>
      </c>
      <c r="I387" s="1204"/>
      <c r="J387" s="1204">
        <v>0</v>
      </c>
      <c r="K387" s="1204">
        <v>0</v>
      </c>
      <c r="L387" s="1205"/>
      <c r="M387" s="1204"/>
      <c r="N387" s="1240">
        <f t="shared" ref="N387:N395" si="181">K387-M387</f>
        <v>0</v>
      </c>
    </row>
    <row r="388" spans="1:14">
      <c r="A388" s="985" t="s">
        <v>24</v>
      </c>
      <c r="B388" s="985" t="s">
        <v>174</v>
      </c>
      <c r="C388" s="985" t="s">
        <v>22</v>
      </c>
      <c r="D388" s="1201" t="str">
        <f t="shared" si="180"/>
        <v>10월</v>
      </c>
      <c r="E388" s="1299" t="s">
        <v>133</v>
      </c>
      <c r="F388" s="1203" t="s">
        <v>134</v>
      </c>
      <c r="G388" s="1298" t="s">
        <v>135</v>
      </c>
      <c r="H388" s="1203" t="s">
        <v>138</v>
      </c>
      <c r="I388" s="1204"/>
      <c r="J388" s="1204">
        <v>1858978800</v>
      </c>
      <c r="K388" s="1204">
        <v>1858978800</v>
      </c>
      <c r="L388" s="1205"/>
      <c r="M388" s="1204"/>
      <c r="N388" s="1240">
        <f t="shared" si="181"/>
        <v>1858978800</v>
      </c>
    </row>
    <row r="389" spans="1:14">
      <c r="A389" s="985" t="s">
        <v>24</v>
      </c>
      <c r="B389" s="985" t="s">
        <v>174</v>
      </c>
      <c r="C389" s="985" t="s">
        <v>27</v>
      </c>
      <c r="D389" s="1201" t="str">
        <f t="shared" si="180"/>
        <v>10월</v>
      </c>
      <c r="E389" s="1298" t="s">
        <v>133</v>
      </c>
      <c r="F389" s="1203" t="s">
        <v>134</v>
      </c>
      <c r="G389" s="1298" t="s">
        <v>135</v>
      </c>
      <c r="H389" s="1203" t="s">
        <v>139</v>
      </c>
      <c r="I389" s="1204"/>
      <c r="J389" s="1204">
        <v>523955680</v>
      </c>
      <c r="K389" s="1204">
        <v>523955680</v>
      </c>
      <c r="L389" s="1205">
        <f t="shared" ref="L389:L393" si="182">+I389/J389</f>
        <v>0</v>
      </c>
      <c r="M389" s="1204"/>
      <c r="N389" s="1240">
        <f t="shared" si="181"/>
        <v>523955680</v>
      </c>
    </row>
    <row r="390" spans="1:14">
      <c r="A390" s="985" t="s">
        <v>24</v>
      </c>
      <c r="B390" s="985" t="s">
        <v>174</v>
      </c>
      <c r="C390" s="985" t="s">
        <v>26</v>
      </c>
      <c r="D390" s="1201" t="str">
        <f t="shared" si="180"/>
        <v>10월</v>
      </c>
      <c r="E390" s="1298" t="s">
        <v>133</v>
      </c>
      <c r="F390" s="1203" t="s">
        <v>134</v>
      </c>
      <c r="G390" s="1298" t="s">
        <v>135</v>
      </c>
      <c r="H390" s="1203" t="s">
        <v>140</v>
      </c>
      <c r="I390" s="1204"/>
      <c r="J390" s="1204">
        <v>9062783716</v>
      </c>
      <c r="K390" s="1204">
        <v>9062783716</v>
      </c>
      <c r="L390" s="1205">
        <f t="shared" si="182"/>
        <v>0</v>
      </c>
      <c r="M390" s="1204"/>
      <c r="N390" s="1240">
        <f t="shared" si="181"/>
        <v>9062783716</v>
      </c>
    </row>
    <row r="391" spans="1:14">
      <c r="A391" s="985" t="s">
        <v>24</v>
      </c>
      <c r="B391" s="985" t="s">
        <v>174</v>
      </c>
      <c r="C391" s="985" t="s">
        <v>32</v>
      </c>
      <c r="D391" s="1201" t="str">
        <f t="shared" si="180"/>
        <v>10월</v>
      </c>
      <c r="E391" s="1298" t="s">
        <v>133</v>
      </c>
      <c r="F391" s="1203" t="s">
        <v>134</v>
      </c>
      <c r="G391" s="1298" t="s">
        <v>135</v>
      </c>
      <c r="H391" s="1203" t="s">
        <v>141</v>
      </c>
      <c r="I391" s="1204"/>
      <c r="J391" s="1204">
        <v>0</v>
      </c>
      <c r="K391" s="1204">
        <v>0</v>
      </c>
      <c r="L391" s="1205" t="e">
        <f t="shared" si="182"/>
        <v>#DIV/0!</v>
      </c>
      <c r="M391" s="1204"/>
      <c r="N391" s="1240">
        <f t="shared" si="181"/>
        <v>0</v>
      </c>
    </row>
    <row r="392" spans="1:14">
      <c r="A392" s="985" t="s">
        <v>24</v>
      </c>
      <c r="B392" s="985" t="s">
        <v>174</v>
      </c>
      <c r="C392" s="985" t="s">
        <v>30</v>
      </c>
      <c r="D392" s="1201" t="str">
        <f t="shared" si="180"/>
        <v>10월</v>
      </c>
      <c r="E392" s="1298" t="s">
        <v>133</v>
      </c>
      <c r="F392" s="1203" t="s">
        <v>134</v>
      </c>
      <c r="G392" s="1298" t="s">
        <v>135</v>
      </c>
      <c r="H392" s="1203" t="s">
        <v>142</v>
      </c>
      <c r="I392" s="1204"/>
      <c r="J392" s="1204">
        <v>85000000</v>
      </c>
      <c r="K392" s="1204">
        <v>85000000</v>
      </c>
      <c r="L392" s="1205">
        <f t="shared" si="182"/>
        <v>0</v>
      </c>
      <c r="M392" s="1204"/>
      <c r="N392" s="1240">
        <f t="shared" si="181"/>
        <v>85000000</v>
      </c>
    </row>
    <row r="393" spans="1:14">
      <c r="A393" s="985" t="s">
        <v>24</v>
      </c>
      <c r="B393" s="985" t="s">
        <v>174</v>
      </c>
      <c r="C393" s="985" t="s">
        <v>29</v>
      </c>
      <c r="D393" s="1201" t="str">
        <f t="shared" si="180"/>
        <v>10월</v>
      </c>
      <c r="E393" s="1298" t="s">
        <v>133</v>
      </c>
      <c r="F393" s="1203" t="s">
        <v>134</v>
      </c>
      <c r="G393" s="1298" t="s">
        <v>135</v>
      </c>
      <c r="H393" s="1203" t="s">
        <v>146</v>
      </c>
      <c r="I393" s="1204"/>
      <c r="J393" s="1204">
        <v>300000000</v>
      </c>
      <c r="K393" s="1204">
        <v>300000000</v>
      </c>
      <c r="L393" s="1205">
        <f t="shared" si="182"/>
        <v>0</v>
      </c>
      <c r="M393" s="1204"/>
      <c r="N393" s="1240">
        <f t="shared" si="181"/>
        <v>300000000</v>
      </c>
    </row>
    <row r="394" spans="1:14">
      <c r="A394" s="985" t="s">
        <v>24</v>
      </c>
      <c r="B394" s="985" t="s">
        <v>174</v>
      </c>
      <c r="C394" s="985" t="s">
        <v>31</v>
      </c>
      <c r="D394" s="1201" t="str">
        <f t="shared" si="180"/>
        <v>10월</v>
      </c>
      <c r="E394" s="1300" t="s">
        <v>133</v>
      </c>
      <c r="F394" s="1214" t="s">
        <v>134</v>
      </c>
      <c r="G394" s="1300" t="s">
        <v>135</v>
      </c>
      <c r="H394" s="1214" t="s">
        <v>147</v>
      </c>
      <c r="I394" s="1215"/>
      <c r="J394" s="1204">
        <v>93750000</v>
      </c>
      <c r="K394" s="1204">
        <v>93750000</v>
      </c>
      <c r="L394" s="1216"/>
      <c r="M394" s="1204"/>
      <c r="N394" s="1240">
        <f t="shared" si="181"/>
        <v>93750000</v>
      </c>
    </row>
    <row r="395" spans="1:14" ht="14.4" thickBot="1">
      <c r="A395" s="985" t="s">
        <v>24</v>
      </c>
      <c r="B395" s="985" t="s">
        <v>174</v>
      </c>
      <c r="C395" s="985" t="s">
        <v>32</v>
      </c>
      <c r="D395" s="1279" t="str">
        <f t="shared" si="180"/>
        <v>10월</v>
      </c>
      <c r="E395" s="1301" t="s">
        <v>133</v>
      </c>
      <c r="F395" s="1218" t="s">
        <v>134</v>
      </c>
      <c r="G395" s="1301" t="s">
        <v>135</v>
      </c>
      <c r="H395" s="1218" t="s">
        <v>148</v>
      </c>
      <c r="I395" s="1219"/>
      <c r="J395" s="1219"/>
      <c r="K395" s="1219"/>
      <c r="L395" s="1220" t="e">
        <f t="shared" ref="L395" si="183">+K395/J395</f>
        <v>#DIV/0!</v>
      </c>
      <c r="M395" s="1219"/>
      <c r="N395" s="1240">
        <f t="shared" si="181"/>
        <v>0</v>
      </c>
    </row>
    <row r="396" spans="1:14" ht="14.4" thickBot="1">
      <c r="D396" s="1529" t="s">
        <v>278</v>
      </c>
      <c r="E396" s="1530"/>
      <c r="F396" s="1530"/>
      <c r="G396" s="1530"/>
      <c r="H396" s="1531"/>
      <c r="I396" s="1223">
        <f>SUM(I386:I395)</f>
        <v>0</v>
      </c>
      <c r="J396" s="1223">
        <f>SUM(J386:J395)</f>
        <v>11941513029.333332</v>
      </c>
      <c r="K396" s="1223">
        <f>SUM(K386:K395)</f>
        <v>11941513029.333332</v>
      </c>
      <c r="L396" s="1224">
        <f>I396/J396</f>
        <v>0</v>
      </c>
      <c r="M396" s="1225">
        <f>SUM(M386:M395)</f>
        <v>0</v>
      </c>
      <c r="N396" s="1226">
        <f>SUM(N386:N395)</f>
        <v>11941513029.333332</v>
      </c>
    </row>
    <row r="397" spans="1:14">
      <c r="A397" s="985" t="s">
        <v>24</v>
      </c>
      <c r="B397" s="985" t="s">
        <v>174</v>
      </c>
      <c r="C397" s="985" t="s">
        <v>106</v>
      </c>
      <c r="D397" s="1195" t="s">
        <v>143</v>
      </c>
      <c r="E397" s="1297" t="s">
        <v>133</v>
      </c>
      <c r="F397" s="1274" t="s">
        <v>134</v>
      </c>
      <c r="G397" s="1297" t="s">
        <v>135</v>
      </c>
      <c r="H397" s="1274" t="s">
        <v>253</v>
      </c>
      <c r="I397" s="1275"/>
      <c r="J397" s="1275">
        <v>17044833.333333336</v>
      </c>
      <c r="K397" s="1275">
        <v>17044833.333333336</v>
      </c>
      <c r="L397" s="1276">
        <f t="shared" ref="L397" si="184">+I397/J397</f>
        <v>0</v>
      </c>
      <c r="M397" s="1275"/>
      <c r="N397" s="1261">
        <f>K397-M397</f>
        <v>17044833.333333336</v>
      </c>
    </row>
    <row r="398" spans="1:14">
      <c r="A398" s="985" t="s">
        <v>24</v>
      </c>
      <c r="B398" s="985" t="s">
        <v>174</v>
      </c>
      <c r="C398" s="985" t="s">
        <v>106</v>
      </c>
      <c r="D398" s="1201" t="str">
        <f t="shared" ref="D398:D406" si="185">D397</f>
        <v>11월</v>
      </c>
      <c r="E398" s="1298" t="s">
        <v>133</v>
      </c>
      <c r="F398" s="1203" t="s">
        <v>134</v>
      </c>
      <c r="G398" s="1298" t="s">
        <v>135</v>
      </c>
      <c r="H398" s="1203" t="s">
        <v>137</v>
      </c>
      <c r="I398" s="1204"/>
      <c r="J398" s="1204">
        <v>0</v>
      </c>
      <c r="K398" s="1204">
        <v>0</v>
      </c>
      <c r="L398" s="1205"/>
      <c r="M398" s="1204"/>
      <c r="N398" s="1240">
        <f t="shared" ref="N398:N401" si="186">K398-M398</f>
        <v>0</v>
      </c>
    </row>
    <row r="399" spans="1:14">
      <c r="A399" s="985" t="s">
        <v>24</v>
      </c>
      <c r="B399" s="985" t="s">
        <v>174</v>
      </c>
      <c r="C399" s="985" t="s">
        <v>22</v>
      </c>
      <c r="D399" s="1201" t="str">
        <f t="shared" si="185"/>
        <v>11월</v>
      </c>
      <c r="E399" s="1299" t="s">
        <v>133</v>
      </c>
      <c r="F399" s="1203" t="s">
        <v>134</v>
      </c>
      <c r="G399" s="1298" t="s">
        <v>135</v>
      </c>
      <c r="H399" s="1203" t="s">
        <v>138</v>
      </c>
      <c r="I399" s="1287"/>
      <c r="J399" s="1204">
        <v>1882494000</v>
      </c>
      <c r="K399" s="1204">
        <v>1882494000</v>
      </c>
      <c r="L399" s="1205"/>
      <c r="M399" s="1204"/>
      <c r="N399" s="1240">
        <f t="shared" si="186"/>
        <v>1882494000</v>
      </c>
    </row>
    <row r="400" spans="1:14">
      <c r="A400" s="985" t="s">
        <v>24</v>
      </c>
      <c r="B400" s="985" t="s">
        <v>174</v>
      </c>
      <c r="C400" s="985" t="s">
        <v>27</v>
      </c>
      <c r="D400" s="1201" t="str">
        <f t="shared" si="185"/>
        <v>11월</v>
      </c>
      <c r="E400" s="1298" t="s">
        <v>133</v>
      </c>
      <c r="F400" s="1203" t="s">
        <v>134</v>
      </c>
      <c r="G400" s="1298" t="s">
        <v>135</v>
      </c>
      <c r="H400" s="1203" t="s">
        <v>139</v>
      </c>
      <c r="I400" s="1287"/>
      <c r="J400" s="1204">
        <v>537439360</v>
      </c>
      <c r="K400" s="1204">
        <v>537439360</v>
      </c>
      <c r="L400" s="1205">
        <f>+I400/J400</f>
        <v>0</v>
      </c>
      <c r="M400" s="1204"/>
      <c r="N400" s="1240">
        <f t="shared" si="186"/>
        <v>537439360</v>
      </c>
    </row>
    <row r="401" spans="1:14">
      <c r="A401" s="985" t="s">
        <v>24</v>
      </c>
      <c r="B401" s="985" t="s">
        <v>174</v>
      </c>
      <c r="C401" s="985" t="s">
        <v>26</v>
      </c>
      <c r="D401" s="1201" t="str">
        <f t="shared" si="185"/>
        <v>11월</v>
      </c>
      <c r="E401" s="1298" t="s">
        <v>133</v>
      </c>
      <c r="F401" s="1203" t="s">
        <v>134</v>
      </c>
      <c r="G401" s="1298" t="s">
        <v>135</v>
      </c>
      <c r="H401" s="1203" t="s">
        <v>140</v>
      </c>
      <c r="I401" s="1287"/>
      <c r="J401" s="1204">
        <v>10091420494.4</v>
      </c>
      <c r="K401" s="1204">
        <v>10091420494.4</v>
      </c>
      <c r="L401" s="1205">
        <f t="shared" ref="L401:L404" si="187">+I401/J401</f>
        <v>0</v>
      </c>
      <c r="M401" s="1204"/>
      <c r="N401" s="1240">
        <f t="shared" si="186"/>
        <v>10091420494.4</v>
      </c>
    </row>
    <row r="402" spans="1:14">
      <c r="A402" s="985" t="s">
        <v>24</v>
      </c>
      <c r="B402" s="985" t="s">
        <v>174</v>
      </c>
      <c r="C402" s="985" t="s">
        <v>32</v>
      </c>
      <c r="D402" s="1201" t="str">
        <f t="shared" si="185"/>
        <v>11월</v>
      </c>
      <c r="E402" s="1298" t="s">
        <v>133</v>
      </c>
      <c r="F402" s="1203" t="s">
        <v>134</v>
      </c>
      <c r="G402" s="1298" t="s">
        <v>135</v>
      </c>
      <c r="H402" s="1203" t="s">
        <v>141</v>
      </c>
      <c r="I402" s="1204"/>
      <c r="J402" s="1204">
        <v>0</v>
      </c>
      <c r="K402" s="1204">
        <v>0</v>
      </c>
      <c r="L402" s="1205" t="e">
        <f t="shared" si="187"/>
        <v>#DIV/0!</v>
      </c>
      <c r="M402" s="1204"/>
      <c r="N402" s="1240">
        <f>K402-M402</f>
        <v>0</v>
      </c>
    </row>
    <row r="403" spans="1:14">
      <c r="A403" s="985" t="s">
        <v>24</v>
      </c>
      <c r="B403" s="985" t="s">
        <v>174</v>
      </c>
      <c r="C403" s="985" t="s">
        <v>30</v>
      </c>
      <c r="D403" s="1201" t="str">
        <f t="shared" si="185"/>
        <v>11월</v>
      </c>
      <c r="E403" s="1298" t="s">
        <v>133</v>
      </c>
      <c r="F403" s="1203" t="s">
        <v>134</v>
      </c>
      <c r="G403" s="1298" t="s">
        <v>135</v>
      </c>
      <c r="H403" s="1203" t="s">
        <v>142</v>
      </c>
      <c r="I403" s="1204"/>
      <c r="J403" s="1204">
        <v>131875000</v>
      </c>
      <c r="K403" s="1204">
        <v>131875000</v>
      </c>
      <c r="L403" s="1205">
        <f t="shared" si="187"/>
        <v>0</v>
      </c>
      <c r="M403" s="1204"/>
      <c r="N403" s="1240">
        <f>K403-M403</f>
        <v>131875000</v>
      </c>
    </row>
    <row r="404" spans="1:14">
      <c r="A404" s="985" t="s">
        <v>24</v>
      </c>
      <c r="B404" s="985" t="s">
        <v>174</v>
      </c>
      <c r="C404" s="985" t="s">
        <v>29</v>
      </c>
      <c r="D404" s="1201" t="str">
        <f t="shared" si="185"/>
        <v>11월</v>
      </c>
      <c r="E404" s="1298" t="s">
        <v>133</v>
      </c>
      <c r="F404" s="1203" t="s">
        <v>134</v>
      </c>
      <c r="G404" s="1298" t="s">
        <v>135</v>
      </c>
      <c r="H404" s="1203" t="s">
        <v>146</v>
      </c>
      <c r="I404" s="1287"/>
      <c r="J404" s="1204">
        <v>2616600000</v>
      </c>
      <c r="K404" s="1204">
        <v>2616600000</v>
      </c>
      <c r="L404" s="1205">
        <f t="shared" si="187"/>
        <v>0</v>
      </c>
      <c r="M404" s="1204"/>
      <c r="N404" s="1240">
        <f t="shared" ref="N404" si="188">K404-M404</f>
        <v>2616600000</v>
      </c>
    </row>
    <row r="405" spans="1:14">
      <c r="A405" s="985" t="s">
        <v>24</v>
      </c>
      <c r="B405" s="985" t="s">
        <v>174</v>
      </c>
      <c r="C405" s="985" t="s">
        <v>31</v>
      </c>
      <c r="D405" s="1201" t="str">
        <f t="shared" si="185"/>
        <v>11월</v>
      </c>
      <c r="E405" s="1300" t="s">
        <v>133</v>
      </c>
      <c r="F405" s="1214" t="s">
        <v>134</v>
      </c>
      <c r="G405" s="1300" t="s">
        <v>135</v>
      </c>
      <c r="H405" s="1214" t="s">
        <v>147</v>
      </c>
      <c r="I405" s="1294"/>
      <c r="J405" s="1204">
        <v>0</v>
      </c>
      <c r="K405" s="1204">
        <v>0</v>
      </c>
      <c r="L405" s="1216"/>
      <c r="M405" s="1215"/>
      <c r="N405" s="1240">
        <f>K405-M405</f>
        <v>0</v>
      </c>
    </row>
    <row r="406" spans="1:14" ht="14.4" thickBot="1">
      <c r="A406" s="985" t="s">
        <v>24</v>
      </c>
      <c r="B406" s="985" t="s">
        <v>174</v>
      </c>
      <c r="C406" s="985" t="s">
        <v>32</v>
      </c>
      <c r="D406" s="1279" t="str">
        <f t="shared" si="185"/>
        <v>11월</v>
      </c>
      <c r="E406" s="1301" t="s">
        <v>133</v>
      </c>
      <c r="F406" s="1218" t="s">
        <v>134</v>
      </c>
      <c r="G406" s="1301" t="s">
        <v>135</v>
      </c>
      <c r="H406" s="1218" t="s">
        <v>148</v>
      </c>
      <c r="I406" s="1219"/>
      <c r="J406" s="1219"/>
      <c r="K406" s="1219"/>
      <c r="L406" s="1220" t="e">
        <f t="shared" ref="L406" si="189">+K406/J406</f>
        <v>#DIV/0!</v>
      </c>
      <c r="M406" s="1219"/>
      <c r="N406" s="1240">
        <f t="shared" ref="N406" si="190">K406-M406</f>
        <v>0</v>
      </c>
    </row>
    <row r="407" spans="1:14" ht="14.4" thickBot="1">
      <c r="D407" s="1529" t="s">
        <v>181</v>
      </c>
      <c r="E407" s="1530"/>
      <c r="F407" s="1530"/>
      <c r="G407" s="1530"/>
      <c r="H407" s="1531"/>
      <c r="I407" s="1223">
        <f>SUM(I397:I406)</f>
        <v>0</v>
      </c>
      <c r="J407" s="1223">
        <f>SUM(J397:J406)</f>
        <v>15276873687.733334</v>
      </c>
      <c r="K407" s="1223">
        <f>SUM(K397:K406)</f>
        <v>15276873687.733334</v>
      </c>
      <c r="L407" s="1224">
        <f>I407/J407</f>
        <v>0</v>
      </c>
      <c r="M407" s="1225">
        <f>SUM(M397:M406)</f>
        <v>0</v>
      </c>
      <c r="N407" s="1226">
        <f>SUM(N397:N406)</f>
        <v>15276873687.733334</v>
      </c>
    </row>
    <row r="408" spans="1:14">
      <c r="A408" s="985" t="s">
        <v>24</v>
      </c>
      <c r="B408" s="985" t="s">
        <v>174</v>
      </c>
      <c r="C408" s="985" t="s">
        <v>106</v>
      </c>
      <c r="D408" s="1195" t="s">
        <v>144</v>
      </c>
      <c r="E408" s="1297" t="s">
        <v>133</v>
      </c>
      <c r="F408" s="1274" t="s">
        <v>134</v>
      </c>
      <c r="G408" s="1297" t="s">
        <v>135</v>
      </c>
      <c r="H408" s="1274" t="s">
        <v>279</v>
      </c>
      <c r="I408" s="1275"/>
      <c r="J408" s="1275">
        <v>17044833.333333336</v>
      </c>
      <c r="K408" s="1275">
        <v>17044833.333333336</v>
      </c>
      <c r="L408" s="1276">
        <f t="shared" ref="L408" si="191">+I408/J408</f>
        <v>0</v>
      </c>
      <c r="M408" s="1275"/>
      <c r="N408" s="1261">
        <f>K408-M408</f>
        <v>17044833.333333336</v>
      </c>
    </row>
    <row r="409" spans="1:14">
      <c r="A409" s="985" t="s">
        <v>24</v>
      </c>
      <c r="B409" s="985" t="s">
        <v>174</v>
      </c>
      <c r="C409" s="985" t="s">
        <v>106</v>
      </c>
      <c r="D409" s="1201" t="str">
        <f t="shared" ref="D409:D417" si="192">D408</f>
        <v>12월</v>
      </c>
      <c r="E409" s="1298" t="s">
        <v>133</v>
      </c>
      <c r="F409" s="1203" t="s">
        <v>134</v>
      </c>
      <c r="G409" s="1298" t="s">
        <v>135</v>
      </c>
      <c r="H409" s="1203" t="s">
        <v>137</v>
      </c>
      <c r="I409" s="1204"/>
      <c r="J409" s="1204">
        <v>0</v>
      </c>
      <c r="K409" s="1204">
        <v>0</v>
      </c>
      <c r="L409" s="1205"/>
      <c r="M409" s="1287"/>
      <c r="N409" s="1240">
        <f t="shared" ref="N409:N410" si="193">K409-M409</f>
        <v>0</v>
      </c>
    </row>
    <row r="410" spans="1:14">
      <c r="A410" s="985" t="s">
        <v>24</v>
      </c>
      <c r="B410" s="985" t="s">
        <v>174</v>
      </c>
      <c r="C410" s="985" t="s">
        <v>22</v>
      </c>
      <c r="D410" s="1201" t="str">
        <f t="shared" si="192"/>
        <v>12월</v>
      </c>
      <c r="E410" s="1299" t="s">
        <v>133</v>
      </c>
      <c r="F410" s="1203" t="s">
        <v>134</v>
      </c>
      <c r="G410" s="1298" t="s">
        <v>135</v>
      </c>
      <c r="H410" s="1203" t="s">
        <v>138</v>
      </c>
      <c r="I410" s="1204"/>
      <c r="J410" s="1204">
        <v>2843038800</v>
      </c>
      <c r="K410" s="1204">
        <v>2843038800</v>
      </c>
      <c r="L410" s="1205"/>
      <c r="M410" s="1287"/>
      <c r="N410" s="1240">
        <f t="shared" si="193"/>
        <v>2843038800</v>
      </c>
    </row>
    <row r="411" spans="1:14">
      <c r="A411" s="985" t="s">
        <v>24</v>
      </c>
      <c r="B411" s="985" t="s">
        <v>174</v>
      </c>
      <c r="C411" s="985" t="s">
        <v>27</v>
      </c>
      <c r="D411" s="1201" t="str">
        <f t="shared" si="192"/>
        <v>12월</v>
      </c>
      <c r="E411" s="1298" t="s">
        <v>133</v>
      </c>
      <c r="F411" s="1203" t="s">
        <v>134</v>
      </c>
      <c r="G411" s="1298" t="s">
        <v>135</v>
      </c>
      <c r="H411" s="1203" t="s">
        <v>139</v>
      </c>
      <c r="I411" s="1204"/>
      <c r="J411" s="1204">
        <v>382489320</v>
      </c>
      <c r="K411" s="1204">
        <v>382489320</v>
      </c>
      <c r="L411" s="1205">
        <f t="shared" ref="L411:L415" si="194">+I411/J411</f>
        <v>0</v>
      </c>
      <c r="M411" s="1287"/>
      <c r="N411" s="1240">
        <f>K411-M411</f>
        <v>382489320</v>
      </c>
    </row>
    <row r="412" spans="1:14">
      <c r="A412" s="985" t="s">
        <v>24</v>
      </c>
      <c r="B412" s="985" t="s">
        <v>174</v>
      </c>
      <c r="C412" s="985" t="s">
        <v>26</v>
      </c>
      <c r="D412" s="1201" t="str">
        <f t="shared" si="192"/>
        <v>12월</v>
      </c>
      <c r="E412" s="1298" t="s">
        <v>133</v>
      </c>
      <c r="F412" s="1203" t="s">
        <v>134</v>
      </c>
      <c r="G412" s="1298" t="s">
        <v>135</v>
      </c>
      <c r="H412" s="1203" t="s">
        <v>140</v>
      </c>
      <c r="I412" s="1204"/>
      <c r="J412" s="1204">
        <v>12372522615.199999</v>
      </c>
      <c r="K412" s="1204">
        <v>12372522615.199999</v>
      </c>
      <c r="L412" s="1205">
        <f t="shared" si="194"/>
        <v>0</v>
      </c>
      <c r="M412" s="1287"/>
      <c r="N412" s="1240">
        <f t="shared" ref="N412:N417" si="195">K412-M412</f>
        <v>12372522615.199999</v>
      </c>
    </row>
    <row r="413" spans="1:14">
      <c r="A413" s="985" t="s">
        <v>24</v>
      </c>
      <c r="B413" s="985" t="s">
        <v>174</v>
      </c>
      <c r="C413" s="985" t="s">
        <v>32</v>
      </c>
      <c r="D413" s="1201" t="str">
        <f t="shared" si="192"/>
        <v>12월</v>
      </c>
      <c r="E413" s="1298" t="s">
        <v>133</v>
      </c>
      <c r="F413" s="1203" t="s">
        <v>134</v>
      </c>
      <c r="G413" s="1298" t="s">
        <v>135</v>
      </c>
      <c r="H413" s="1203" t="s">
        <v>141</v>
      </c>
      <c r="I413" s="1204"/>
      <c r="J413" s="1204">
        <v>0</v>
      </c>
      <c r="K413" s="1204">
        <v>0</v>
      </c>
      <c r="L413" s="1205" t="e">
        <f t="shared" si="194"/>
        <v>#DIV/0!</v>
      </c>
      <c r="M413" s="1287"/>
      <c r="N413" s="1240">
        <f t="shared" si="195"/>
        <v>0</v>
      </c>
    </row>
    <row r="414" spans="1:14">
      <c r="A414" s="985" t="s">
        <v>24</v>
      </c>
      <c r="B414" s="985" t="s">
        <v>174</v>
      </c>
      <c r="C414" s="985" t="s">
        <v>30</v>
      </c>
      <c r="D414" s="1201" t="str">
        <f t="shared" si="192"/>
        <v>12월</v>
      </c>
      <c r="E414" s="1298" t="s">
        <v>133</v>
      </c>
      <c r="F414" s="1203" t="s">
        <v>134</v>
      </c>
      <c r="G414" s="1298" t="s">
        <v>135</v>
      </c>
      <c r="H414" s="1203" t="s">
        <v>142</v>
      </c>
      <c r="I414" s="1204"/>
      <c r="J414" s="1204">
        <v>0</v>
      </c>
      <c r="K414" s="1204">
        <v>0</v>
      </c>
      <c r="L414" s="1205" t="e">
        <f t="shared" si="194"/>
        <v>#DIV/0!</v>
      </c>
      <c r="M414" s="1287"/>
      <c r="N414" s="1240">
        <f t="shared" si="195"/>
        <v>0</v>
      </c>
    </row>
    <row r="415" spans="1:14">
      <c r="A415" s="985" t="s">
        <v>24</v>
      </c>
      <c r="B415" s="985" t="s">
        <v>174</v>
      </c>
      <c r="C415" s="985" t="s">
        <v>29</v>
      </c>
      <c r="D415" s="1201" t="str">
        <f t="shared" si="192"/>
        <v>12월</v>
      </c>
      <c r="E415" s="1298" t="s">
        <v>133</v>
      </c>
      <c r="F415" s="1203" t="s">
        <v>134</v>
      </c>
      <c r="G415" s="1298" t="s">
        <v>135</v>
      </c>
      <c r="H415" s="1203" t="s">
        <v>146</v>
      </c>
      <c r="I415" s="1204"/>
      <c r="J415" s="1204">
        <v>2302000000</v>
      </c>
      <c r="K415" s="1204">
        <v>2302000000</v>
      </c>
      <c r="L415" s="1205">
        <f t="shared" si="194"/>
        <v>0</v>
      </c>
      <c r="M415" s="1287"/>
      <c r="N415" s="1240">
        <f t="shared" si="195"/>
        <v>2302000000</v>
      </c>
    </row>
    <row r="416" spans="1:14">
      <c r="A416" s="985" t="s">
        <v>24</v>
      </c>
      <c r="B416" s="985" t="s">
        <v>174</v>
      </c>
      <c r="C416" s="985" t="s">
        <v>31</v>
      </c>
      <c r="D416" s="1201" t="str">
        <f t="shared" si="192"/>
        <v>12월</v>
      </c>
      <c r="E416" s="1300" t="s">
        <v>133</v>
      </c>
      <c r="F416" s="1214" t="s">
        <v>134</v>
      </c>
      <c r="G416" s="1300" t="s">
        <v>135</v>
      </c>
      <c r="H416" s="1214" t="s">
        <v>147</v>
      </c>
      <c r="I416" s="1215"/>
      <c r="J416" s="1204">
        <v>0</v>
      </c>
      <c r="K416" s="1204">
        <v>0</v>
      </c>
      <c r="L416" s="1216"/>
      <c r="M416" s="1294"/>
      <c r="N416" s="1240">
        <f t="shared" si="195"/>
        <v>0</v>
      </c>
    </row>
    <row r="417" spans="1:14" ht="14.4" thickBot="1">
      <c r="A417" s="985" t="s">
        <v>24</v>
      </c>
      <c r="B417" s="985" t="s">
        <v>174</v>
      </c>
      <c r="C417" s="985" t="s">
        <v>32</v>
      </c>
      <c r="D417" s="1279" t="str">
        <f t="shared" si="192"/>
        <v>12월</v>
      </c>
      <c r="E417" s="1301" t="s">
        <v>133</v>
      </c>
      <c r="F417" s="1218" t="s">
        <v>134</v>
      </c>
      <c r="G417" s="1301" t="s">
        <v>135</v>
      </c>
      <c r="H417" s="1218" t="s">
        <v>148</v>
      </c>
      <c r="I417" s="1219"/>
      <c r="J417" s="1219"/>
      <c r="K417" s="1219"/>
      <c r="L417" s="1220" t="e">
        <f t="shared" ref="L417" si="196">+K417/J417</f>
        <v>#DIV/0!</v>
      </c>
      <c r="M417" s="1219"/>
      <c r="N417" s="1240">
        <f t="shared" si="195"/>
        <v>0</v>
      </c>
    </row>
    <row r="418" spans="1:14" ht="14.4" thickBot="1">
      <c r="D418" s="1529" t="s">
        <v>184</v>
      </c>
      <c r="E418" s="1530"/>
      <c r="F418" s="1530"/>
      <c r="G418" s="1530"/>
      <c r="H418" s="1531"/>
      <c r="I418" s="1223">
        <f>SUM(I408:I417)</f>
        <v>0</v>
      </c>
      <c r="J418" s="1223">
        <f>SUM(J408:J417)</f>
        <v>17917095568.533333</v>
      </c>
      <c r="K418" s="1223">
        <f>SUM(K408:K417)</f>
        <v>17917095568.533333</v>
      </c>
      <c r="L418" s="1224">
        <f>I418/J418</f>
        <v>0</v>
      </c>
      <c r="M418" s="1225">
        <f>SUM(M408:M417)</f>
        <v>0</v>
      </c>
      <c r="N418" s="1226">
        <f>SUM(N408:N417)</f>
        <v>17917095568.533333</v>
      </c>
    </row>
    <row r="419" spans="1:14" ht="14.4" thickBot="1">
      <c r="D419" s="1541" t="s">
        <v>185</v>
      </c>
      <c r="E419" s="1542"/>
      <c r="F419" s="1542"/>
      <c r="G419" s="1542"/>
      <c r="H419" s="1543"/>
      <c r="I419" s="1235">
        <f>SUM(I396,I407,I418)</f>
        <v>0</v>
      </c>
      <c r="J419" s="1235">
        <f t="shared" ref="J419:K419" si="197">SUM(J396,J407,J418)</f>
        <v>45135482285.599998</v>
      </c>
      <c r="K419" s="1235">
        <f t="shared" si="197"/>
        <v>45135482285.599998</v>
      </c>
      <c r="L419" s="1236">
        <f>I419/J419</f>
        <v>0</v>
      </c>
      <c r="M419" s="1235">
        <f t="shared" ref="M419:N419" si="198">SUM(M396,M407,M418)</f>
        <v>0</v>
      </c>
      <c r="N419" s="1235">
        <f t="shared" si="198"/>
        <v>45135482285.599998</v>
      </c>
    </row>
    <row r="420" spans="1:14" ht="14.4" thickBot="1">
      <c r="D420" s="1538" t="s">
        <v>280</v>
      </c>
      <c r="E420" s="1539"/>
      <c r="F420" s="1539"/>
      <c r="G420" s="1539"/>
      <c r="H420" s="1540"/>
      <c r="I420" s="1282">
        <f>SUM(I317,I351,I385,I419)</f>
        <v>10187285373</v>
      </c>
      <c r="J420" s="1282">
        <f t="shared" ref="J420:K420" si="199">SUM(J317,J351,J385,J419)</f>
        <v>155907062852</v>
      </c>
      <c r="K420" s="1282">
        <f t="shared" si="199"/>
        <v>155908466318.78665</v>
      </c>
      <c r="L420" s="1283">
        <f>I420/J420</f>
        <v>6.5342038947078504E-2</v>
      </c>
      <c r="M420" s="1284">
        <f t="shared" ref="M420:N420" si="200">SUM(M317,M351,M385,M419)</f>
        <v>32652882036.306671</v>
      </c>
      <c r="N420" s="1285">
        <f t="shared" si="200"/>
        <v>123255584282.48001</v>
      </c>
    </row>
  </sheetData>
  <mergeCells count="58">
    <mergeCell ref="D418:H418"/>
    <mergeCell ref="D419:H419"/>
    <mergeCell ref="D420:H420"/>
    <mergeCell ref="D294:H294"/>
    <mergeCell ref="D305:H305"/>
    <mergeCell ref="D316:H316"/>
    <mergeCell ref="D317:H317"/>
    <mergeCell ref="D328:H328"/>
    <mergeCell ref="D339:H339"/>
    <mergeCell ref="D350:H350"/>
    <mergeCell ref="D384:H384"/>
    <mergeCell ref="D385:H385"/>
    <mergeCell ref="D396:H396"/>
    <mergeCell ref="D407:H407"/>
    <mergeCell ref="D362:H362"/>
    <mergeCell ref="D373:H373"/>
    <mergeCell ref="D202:H202"/>
    <mergeCell ref="D351:H351"/>
    <mergeCell ref="D236:H236"/>
    <mergeCell ref="D247:H247"/>
    <mergeCell ref="D248:H248"/>
    <mergeCell ref="D282:H282"/>
    <mergeCell ref="D259:H259"/>
    <mergeCell ref="D270:H270"/>
    <mergeCell ref="D281:H281"/>
    <mergeCell ref="D283:H283"/>
    <mergeCell ref="D213:H213"/>
    <mergeCell ref="D214:H214"/>
    <mergeCell ref="D225:H225"/>
    <mergeCell ref="D144:H144"/>
    <mergeCell ref="E39:H39"/>
    <mergeCell ref="E62:H62"/>
    <mergeCell ref="D98:H98"/>
    <mergeCell ref="D40:H40"/>
    <mergeCell ref="D110:H110"/>
    <mergeCell ref="D111:H111"/>
    <mergeCell ref="E73:H73"/>
    <mergeCell ref="D74:H74"/>
    <mergeCell ref="D75:H75"/>
    <mergeCell ref="D99:H99"/>
    <mergeCell ref="E86:H86"/>
    <mergeCell ref="D87:H87"/>
    <mergeCell ref="Q300:R300"/>
    <mergeCell ref="S300:T300"/>
    <mergeCell ref="E17:H17"/>
    <mergeCell ref="E28:H28"/>
    <mergeCell ref="E51:H51"/>
    <mergeCell ref="D122:H122"/>
    <mergeCell ref="T197:T201"/>
    <mergeCell ref="T194:T196"/>
    <mergeCell ref="D157:H157"/>
    <mergeCell ref="D146:H146"/>
    <mergeCell ref="D168:H168"/>
    <mergeCell ref="D179:H179"/>
    <mergeCell ref="D180:H180"/>
    <mergeCell ref="D191:H191"/>
    <mergeCell ref="D145:H145"/>
    <mergeCell ref="D133:H133"/>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E144-07A6-4A2D-8FD1-3219CB371515}">
  <sheetPr codeName="Sheet3">
    <tabColor theme="8" tint="0.79998168889431442"/>
    <pageSetUpPr fitToPage="1"/>
  </sheetPr>
  <dimension ref="A1:X105"/>
  <sheetViews>
    <sheetView showGridLines="0" view="pageBreakPreview" zoomScale="55" zoomScaleNormal="70" zoomScaleSheetLayoutView="55" workbookViewId="0">
      <pane xSplit="7" ySplit="3" topLeftCell="X9" activePane="bottomRight" state="frozen"/>
      <selection pane="topRight" activeCell="I10" sqref="I10"/>
      <selection pane="bottomLeft" activeCell="I10" sqref="I10"/>
      <selection pane="bottomRight" activeCell="X9" sqref="X9"/>
    </sheetView>
  </sheetViews>
  <sheetFormatPr defaultColWidth="8.09765625" defaultRowHeight="17.399999999999999"/>
  <cols>
    <col min="1" max="1" width="3.09765625" style="907" customWidth="1"/>
    <col min="2" max="2" width="13.09765625" style="907" customWidth="1"/>
    <col min="3" max="3" width="24.09765625" style="908" bestFit="1" customWidth="1"/>
    <col min="4" max="4" width="17.09765625" style="908" bestFit="1" customWidth="1"/>
    <col min="5" max="5" width="40.09765625" style="908" customWidth="1"/>
    <col min="6" max="6" width="16.09765625" style="907" customWidth="1"/>
    <col min="7" max="7" width="23.09765625" style="907" customWidth="1"/>
    <col min="8" max="8" width="23.09765625" style="908" hidden="1" customWidth="1"/>
    <col min="9" max="9" width="18" style="908" hidden="1" customWidth="1"/>
    <col min="10" max="10" width="26" style="908" hidden="1" customWidth="1"/>
    <col min="11" max="11" width="8.09765625" style="908" hidden="1" customWidth="1"/>
    <col min="12" max="12" width="29.09765625" style="908" hidden="1" customWidth="1"/>
    <col min="13" max="13" width="18" style="908" hidden="1" customWidth="1"/>
    <col min="14" max="14" width="23" style="908" hidden="1" customWidth="1"/>
    <col min="15" max="15" width="20.09765625" style="908" hidden="1" customWidth="1"/>
    <col min="16" max="16" width="31.09765625" style="908" hidden="1" customWidth="1"/>
    <col min="17" max="17" width="23.09765625" style="908" hidden="1" customWidth="1"/>
    <col min="18" max="21" width="23.09765625" style="908" customWidth="1"/>
    <col min="22" max="23" width="22.59765625" style="908" customWidth="1"/>
    <col min="24" max="24" width="18.09765625" style="908" customWidth="1"/>
    <col min="25" max="16384" width="8.09765625" style="908"/>
  </cols>
  <sheetData>
    <row r="1" spans="1:24" s="901" customFormat="1" ht="42" customHeight="1">
      <c r="B1" s="984" t="s">
        <v>281</v>
      </c>
      <c r="C1" s="902"/>
      <c r="D1" s="903"/>
      <c r="E1" s="902"/>
      <c r="G1" s="904"/>
      <c r="H1" s="904"/>
      <c r="I1" s="904"/>
      <c r="J1" s="904"/>
      <c r="K1" s="904"/>
      <c r="L1" s="905"/>
      <c r="M1" s="905"/>
      <c r="O1" s="906"/>
    </row>
    <row r="2" spans="1:24" ht="33" customHeight="1" thickBot="1">
      <c r="Q2" s="1547" t="s">
        <v>282</v>
      </c>
      <c r="R2" s="1547"/>
      <c r="S2" s="1548"/>
      <c r="T2" s="1547"/>
      <c r="U2" s="1547"/>
      <c r="V2" s="1549" t="s">
        <v>283</v>
      </c>
      <c r="W2" s="1549"/>
    </row>
    <row r="3" spans="1:24" ht="78.75" customHeight="1">
      <c r="B3" s="922" t="s">
        <v>284</v>
      </c>
      <c r="C3" s="922" t="s">
        <v>285</v>
      </c>
      <c r="D3" s="923" t="s">
        <v>286</v>
      </c>
      <c r="E3" s="924" t="s">
        <v>287</v>
      </c>
      <c r="F3" s="925" t="s">
        <v>288</v>
      </c>
      <c r="G3" s="925" t="s">
        <v>289</v>
      </c>
      <c r="H3" s="926" t="s">
        <v>290</v>
      </c>
      <c r="I3" s="927" t="s">
        <v>291</v>
      </c>
      <c r="J3" s="928" t="s">
        <v>292</v>
      </c>
      <c r="K3" s="927" t="s">
        <v>293</v>
      </c>
      <c r="L3" s="928" t="s">
        <v>294</v>
      </c>
      <c r="M3" s="929" t="s">
        <v>295</v>
      </c>
      <c r="N3" s="929" t="s">
        <v>296</v>
      </c>
      <c r="O3" s="929" t="s">
        <v>297</v>
      </c>
      <c r="P3" s="930" t="s">
        <v>298</v>
      </c>
      <c r="Q3" s="931" t="s">
        <v>299</v>
      </c>
      <c r="R3" s="932" t="s">
        <v>300</v>
      </c>
      <c r="S3" s="933" t="s">
        <v>301</v>
      </c>
      <c r="T3" s="934" t="s">
        <v>302</v>
      </c>
      <c r="U3" s="932" t="s">
        <v>303</v>
      </c>
      <c r="V3" s="935" t="s">
        <v>304</v>
      </c>
      <c r="W3" s="933" t="s">
        <v>305</v>
      </c>
      <c r="X3" s="933" t="s">
        <v>306</v>
      </c>
    </row>
    <row r="4" spans="1:24" ht="30.6" customHeight="1">
      <c r="B4" s="936" t="s">
        <v>307</v>
      </c>
      <c r="C4" s="937"/>
      <c r="D4" s="937"/>
      <c r="E4" s="937"/>
      <c r="F4" s="938"/>
      <c r="G4" s="938"/>
      <c r="H4" s="939"/>
      <c r="I4" s="939"/>
      <c r="J4" s="939"/>
      <c r="K4" s="939"/>
      <c r="L4" s="939"/>
      <c r="M4" s="939"/>
      <c r="N4" s="939"/>
      <c r="O4" s="939"/>
      <c r="P4" s="939"/>
      <c r="Q4" s="939"/>
      <c r="R4" s="939"/>
      <c r="S4" s="940"/>
      <c r="T4" s="939"/>
      <c r="U4" s="941"/>
      <c r="V4" s="941"/>
      <c r="W4" s="942"/>
      <c r="X4" s="943"/>
    </row>
    <row r="5" spans="1:24" ht="30.6" customHeight="1">
      <c r="A5" s="909"/>
      <c r="B5" s="944"/>
      <c r="C5" s="945" t="s">
        <v>308</v>
      </c>
      <c r="D5" s="945" t="s">
        <v>309</v>
      </c>
      <c r="E5" s="946" t="s">
        <v>310</v>
      </c>
      <c r="F5" s="945">
        <v>28</v>
      </c>
      <c r="G5" s="945" t="s">
        <v>311</v>
      </c>
      <c r="H5" s="947" t="s">
        <v>312</v>
      </c>
      <c r="I5" s="947" t="s">
        <v>313</v>
      </c>
      <c r="J5" s="947" t="s">
        <v>314</v>
      </c>
      <c r="K5" s="947" t="s">
        <v>315</v>
      </c>
      <c r="L5" s="948">
        <v>0.1</v>
      </c>
      <c r="M5" s="947" t="s">
        <v>316</v>
      </c>
      <c r="N5" s="947" t="s">
        <v>316</v>
      </c>
      <c r="O5" s="947" t="s">
        <v>317</v>
      </c>
      <c r="P5" s="949" t="s">
        <v>318</v>
      </c>
      <c r="Q5" s="950">
        <v>7800</v>
      </c>
      <c r="R5" s="951">
        <v>3.9</v>
      </c>
      <c r="S5" s="952">
        <f>+R5*1250</f>
        <v>4875</v>
      </c>
      <c r="T5" s="953">
        <v>5070</v>
      </c>
      <c r="U5" s="950">
        <f>+R5*1400</f>
        <v>5460</v>
      </c>
      <c r="V5" s="950">
        <v>5642</v>
      </c>
      <c r="W5" s="952">
        <v>4525</v>
      </c>
      <c r="X5" s="954">
        <f>W5-S5</f>
        <v>-350</v>
      </c>
    </row>
    <row r="6" spans="1:24" ht="30.6" customHeight="1">
      <c r="A6" s="909"/>
      <c r="B6" s="944"/>
      <c r="C6" s="945" t="s">
        <v>308</v>
      </c>
      <c r="D6" s="945" t="s">
        <v>319</v>
      </c>
      <c r="E6" s="946" t="s">
        <v>320</v>
      </c>
      <c r="F6" s="945">
        <v>28</v>
      </c>
      <c r="G6" s="945" t="s">
        <v>311</v>
      </c>
      <c r="H6" s="947" t="s">
        <v>312</v>
      </c>
      <c r="I6" s="947" t="s">
        <v>313</v>
      </c>
      <c r="J6" s="947" t="s">
        <v>321</v>
      </c>
      <c r="K6" s="947" t="s">
        <v>315</v>
      </c>
      <c r="L6" s="948">
        <v>0.1</v>
      </c>
      <c r="M6" s="947" t="s">
        <v>316</v>
      </c>
      <c r="N6" s="947" t="s">
        <v>316</v>
      </c>
      <c r="O6" s="947" t="s">
        <v>317</v>
      </c>
      <c r="P6" s="949" t="s">
        <v>322</v>
      </c>
      <c r="Q6" s="950">
        <v>19500</v>
      </c>
      <c r="R6" s="951">
        <v>6.3</v>
      </c>
      <c r="S6" s="952">
        <f t="shared" ref="S6:S25" si="0">+R6*1250</f>
        <v>7875</v>
      </c>
      <c r="T6" s="953">
        <v>8190</v>
      </c>
      <c r="U6" s="950">
        <f t="shared" ref="U6:U25" si="1">+R6*1400</f>
        <v>8820</v>
      </c>
      <c r="V6" s="950">
        <v>10153</v>
      </c>
      <c r="W6" s="952">
        <v>7902</v>
      </c>
      <c r="X6" s="954">
        <f t="shared" ref="X6:X25" si="2">W6-S6</f>
        <v>27</v>
      </c>
    </row>
    <row r="7" spans="1:24" ht="30.6" customHeight="1">
      <c r="A7" s="909"/>
      <c r="B7" s="944"/>
      <c r="C7" s="945" t="s">
        <v>323</v>
      </c>
      <c r="D7" s="945" t="s">
        <v>324</v>
      </c>
      <c r="E7" s="946" t="s">
        <v>325</v>
      </c>
      <c r="F7" s="945">
        <v>28</v>
      </c>
      <c r="G7" s="945" t="s">
        <v>311</v>
      </c>
      <c r="H7" s="947" t="s">
        <v>312</v>
      </c>
      <c r="I7" s="947" t="s">
        <v>313</v>
      </c>
      <c r="J7" s="947" t="s">
        <v>321</v>
      </c>
      <c r="K7" s="947" t="s">
        <v>315</v>
      </c>
      <c r="L7" s="948">
        <v>0.1</v>
      </c>
      <c r="M7" s="947" t="s">
        <v>316</v>
      </c>
      <c r="N7" s="947" t="s">
        <v>316</v>
      </c>
      <c r="O7" s="947" t="s">
        <v>317</v>
      </c>
      <c r="P7" s="949" t="s">
        <v>322</v>
      </c>
      <c r="Q7" s="950">
        <v>11700</v>
      </c>
      <c r="R7" s="951">
        <v>4.8</v>
      </c>
      <c r="S7" s="952">
        <f t="shared" si="0"/>
        <v>6000</v>
      </c>
      <c r="T7" s="953">
        <v>6240</v>
      </c>
      <c r="U7" s="950">
        <f t="shared" si="1"/>
        <v>6720</v>
      </c>
      <c r="V7" s="950">
        <v>6575</v>
      </c>
      <c r="W7" s="952">
        <v>5449</v>
      </c>
      <c r="X7" s="954">
        <f t="shared" si="2"/>
        <v>-551</v>
      </c>
    </row>
    <row r="8" spans="1:24" ht="30.6" customHeight="1">
      <c r="A8" s="909"/>
      <c r="B8" s="944"/>
      <c r="C8" s="945" t="s">
        <v>326</v>
      </c>
      <c r="D8" s="945" t="s">
        <v>327</v>
      </c>
      <c r="E8" s="946" t="s">
        <v>328</v>
      </c>
      <c r="F8" s="945">
        <v>28</v>
      </c>
      <c r="G8" s="945" t="s">
        <v>311</v>
      </c>
      <c r="H8" s="947" t="s">
        <v>312</v>
      </c>
      <c r="I8" s="947" t="s">
        <v>313</v>
      </c>
      <c r="J8" s="947" t="s">
        <v>321</v>
      </c>
      <c r="K8" s="947" t="s">
        <v>315</v>
      </c>
      <c r="L8" s="948">
        <v>0.1</v>
      </c>
      <c r="M8" s="947" t="s">
        <v>316</v>
      </c>
      <c r="N8" s="947" t="s">
        <v>316</v>
      </c>
      <c r="O8" s="947" t="s">
        <v>317</v>
      </c>
      <c r="P8" s="949" t="s">
        <v>322</v>
      </c>
      <c r="Q8" s="950">
        <v>5070</v>
      </c>
      <c r="R8" s="951">
        <v>3.2</v>
      </c>
      <c r="S8" s="952">
        <f t="shared" si="0"/>
        <v>4000</v>
      </c>
      <c r="T8" s="953">
        <v>4160</v>
      </c>
      <c r="U8" s="950">
        <f t="shared" si="1"/>
        <v>4480</v>
      </c>
      <c r="V8" s="950">
        <v>4626</v>
      </c>
      <c r="W8" s="952">
        <v>4123</v>
      </c>
      <c r="X8" s="954">
        <f t="shared" si="2"/>
        <v>123</v>
      </c>
    </row>
    <row r="9" spans="1:24" ht="30.6" customHeight="1">
      <c r="A9" s="909"/>
      <c r="B9" s="944"/>
      <c r="C9" s="945" t="s">
        <v>329</v>
      </c>
      <c r="D9" s="945" t="s">
        <v>330</v>
      </c>
      <c r="E9" s="946" t="s">
        <v>331</v>
      </c>
      <c r="F9" s="945">
        <v>28</v>
      </c>
      <c r="G9" s="945" t="s">
        <v>311</v>
      </c>
      <c r="H9" s="947" t="s">
        <v>312</v>
      </c>
      <c r="I9" s="947" t="s">
        <v>313</v>
      </c>
      <c r="J9" s="947" t="s">
        <v>321</v>
      </c>
      <c r="K9" s="947" t="s">
        <v>315</v>
      </c>
      <c r="L9" s="948">
        <v>0.1</v>
      </c>
      <c r="M9" s="947" t="s">
        <v>316</v>
      </c>
      <c r="N9" s="947" t="s">
        <v>316</v>
      </c>
      <c r="O9" s="947" t="s">
        <v>317</v>
      </c>
      <c r="P9" s="949" t="s">
        <v>322</v>
      </c>
      <c r="Q9" s="950">
        <v>5329.9999999999991</v>
      </c>
      <c r="R9" s="951">
        <v>3.3</v>
      </c>
      <c r="S9" s="952">
        <f t="shared" si="0"/>
        <v>4125</v>
      </c>
      <c r="T9" s="953">
        <v>4290</v>
      </c>
      <c r="U9" s="950">
        <f t="shared" si="1"/>
        <v>4620</v>
      </c>
      <c r="V9" s="950">
        <v>4820</v>
      </c>
      <c r="W9" s="952">
        <v>4838</v>
      </c>
      <c r="X9" s="954">
        <f t="shared" si="2"/>
        <v>713</v>
      </c>
    </row>
    <row r="10" spans="1:24" ht="30.6" customHeight="1">
      <c r="A10" s="909"/>
      <c r="B10" s="944"/>
      <c r="C10" s="955" t="s">
        <v>329</v>
      </c>
      <c r="D10" s="955" t="s">
        <v>332</v>
      </c>
      <c r="E10" s="956" t="s">
        <v>333</v>
      </c>
      <c r="F10" s="955">
        <v>28</v>
      </c>
      <c r="G10" s="955" t="s">
        <v>311</v>
      </c>
      <c r="H10" s="957" t="s">
        <v>312</v>
      </c>
      <c r="I10" s="957" t="s">
        <v>313</v>
      </c>
      <c r="J10" s="947" t="s">
        <v>321</v>
      </c>
      <c r="K10" s="947" t="s">
        <v>315</v>
      </c>
      <c r="L10" s="948">
        <v>0.1</v>
      </c>
      <c r="M10" s="947" t="s">
        <v>316</v>
      </c>
      <c r="N10" s="947" t="s">
        <v>316</v>
      </c>
      <c r="O10" s="947" t="s">
        <v>317</v>
      </c>
      <c r="P10" s="949" t="s">
        <v>322</v>
      </c>
      <c r="Q10" s="950">
        <v>5720.0000000000009</v>
      </c>
      <c r="R10" s="951">
        <v>3.4</v>
      </c>
      <c r="S10" s="952">
        <f t="shared" si="0"/>
        <v>4250</v>
      </c>
      <c r="T10" s="953">
        <v>4420</v>
      </c>
      <c r="U10" s="950">
        <f t="shared" si="1"/>
        <v>4760</v>
      </c>
      <c r="V10" s="950">
        <v>5435</v>
      </c>
      <c r="W10" s="952">
        <v>5087</v>
      </c>
      <c r="X10" s="954">
        <f t="shared" si="2"/>
        <v>837</v>
      </c>
    </row>
    <row r="11" spans="1:24" ht="30.6" customHeight="1">
      <c r="A11" s="909"/>
      <c r="B11" s="944"/>
      <c r="C11" s="958" t="s">
        <v>334</v>
      </c>
      <c r="D11" s="958" t="s">
        <v>335</v>
      </c>
      <c r="E11" s="959" t="s">
        <v>336</v>
      </c>
      <c r="F11" s="958">
        <v>20</v>
      </c>
      <c r="G11" s="958" t="s">
        <v>311</v>
      </c>
      <c r="H11" s="960" t="s">
        <v>337</v>
      </c>
      <c r="I11" s="960" t="s">
        <v>313</v>
      </c>
      <c r="J11" s="947" t="s">
        <v>321</v>
      </c>
      <c r="K11" s="947" t="s">
        <v>315</v>
      </c>
      <c r="L11" s="948">
        <v>0.1</v>
      </c>
      <c r="M11" s="947" t="s">
        <v>316</v>
      </c>
      <c r="N11" s="947" t="s">
        <v>316</v>
      </c>
      <c r="O11" s="947" t="s">
        <v>317</v>
      </c>
      <c r="P11" s="947" t="s">
        <v>318</v>
      </c>
      <c r="Q11" s="961">
        <v>26260</v>
      </c>
      <c r="R11" s="951">
        <v>19.8</v>
      </c>
      <c r="S11" s="952">
        <f t="shared" si="0"/>
        <v>24750</v>
      </c>
      <c r="T11" s="953">
        <v>25740</v>
      </c>
      <c r="U11" s="950">
        <f t="shared" si="1"/>
        <v>27720</v>
      </c>
      <c r="V11" s="962"/>
      <c r="W11" s="963"/>
      <c r="X11" s="964">
        <f t="shared" si="2"/>
        <v>-24750</v>
      </c>
    </row>
    <row r="12" spans="1:24" ht="30.6" customHeight="1">
      <c r="B12" s="936" t="s">
        <v>338</v>
      </c>
      <c r="C12" s="937"/>
      <c r="D12" s="937"/>
      <c r="E12" s="937"/>
      <c r="F12" s="938"/>
      <c r="G12" s="938"/>
      <c r="H12" s="965"/>
      <c r="I12" s="965"/>
      <c r="J12" s="965"/>
      <c r="K12" s="965"/>
      <c r="L12" s="965"/>
      <c r="M12" s="965"/>
      <c r="N12" s="965"/>
      <c r="O12" s="965"/>
      <c r="P12" s="965"/>
      <c r="Q12" s="966"/>
      <c r="R12" s="967"/>
      <c r="S12" s="968"/>
      <c r="T12" s="966"/>
      <c r="U12" s="966"/>
      <c r="V12" s="966"/>
      <c r="W12" s="968"/>
      <c r="X12" s="969">
        <f t="shared" si="2"/>
        <v>0</v>
      </c>
    </row>
    <row r="13" spans="1:24" ht="30.6" customHeight="1">
      <c r="A13" s="909"/>
      <c r="B13" s="944"/>
      <c r="C13" s="945" t="s">
        <v>308</v>
      </c>
      <c r="D13" s="945" t="s">
        <v>339</v>
      </c>
      <c r="E13" s="946" t="s">
        <v>340</v>
      </c>
      <c r="F13" s="945">
        <v>28</v>
      </c>
      <c r="G13" s="945" t="s">
        <v>311</v>
      </c>
      <c r="H13" s="947" t="s">
        <v>337</v>
      </c>
      <c r="I13" s="947" t="s">
        <v>313</v>
      </c>
      <c r="J13" s="947" t="s">
        <v>321</v>
      </c>
      <c r="K13" s="947" t="s">
        <v>315</v>
      </c>
      <c r="L13" s="948">
        <v>0.1</v>
      </c>
      <c r="M13" s="947" t="s">
        <v>316</v>
      </c>
      <c r="N13" s="947" t="s">
        <v>316</v>
      </c>
      <c r="O13" s="947" t="s">
        <v>317</v>
      </c>
      <c r="P13" s="947" t="s">
        <v>318</v>
      </c>
      <c r="Q13" s="961">
        <v>5070</v>
      </c>
      <c r="R13" s="951">
        <v>3.8</v>
      </c>
      <c r="S13" s="952">
        <f t="shared" si="0"/>
        <v>4750</v>
      </c>
      <c r="T13" s="953">
        <v>4940</v>
      </c>
      <c r="U13" s="950">
        <f t="shared" si="1"/>
        <v>5320</v>
      </c>
      <c r="V13" s="950">
        <v>5642</v>
      </c>
      <c r="W13" s="952">
        <v>4525</v>
      </c>
      <c r="X13" s="954">
        <f t="shared" si="2"/>
        <v>-225</v>
      </c>
    </row>
    <row r="14" spans="1:24" ht="30.6" customHeight="1">
      <c r="A14" s="909"/>
      <c r="B14" s="944"/>
      <c r="C14" s="945" t="s">
        <v>326</v>
      </c>
      <c r="D14" s="945" t="s">
        <v>341</v>
      </c>
      <c r="E14" s="946" t="s">
        <v>342</v>
      </c>
      <c r="F14" s="945">
        <v>28</v>
      </c>
      <c r="G14" s="945" t="s">
        <v>311</v>
      </c>
      <c r="H14" s="947" t="s">
        <v>337</v>
      </c>
      <c r="I14" s="947" t="s">
        <v>313</v>
      </c>
      <c r="J14" s="947" t="s">
        <v>321</v>
      </c>
      <c r="K14" s="947" t="s">
        <v>315</v>
      </c>
      <c r="L14" s="948">
        <v>0.1</v>
      </c>
      <c r="M14" s="947" t="s">
        <v>316</v>
      </c>
      <c r="N14" s="947" t="s">
        <v>316</v>
      </c>
      <c r="O14" s="947" t="s">
        <v>317</v>
      </c>
      <c r="P14" s="947" t="s">
        <v>318</v>
      </c>
      <c r="Q14" s="961">
        <v>5460</v>
      </c>
      <c r="R14" s="951">
        <v>3.3</v>
      </c>
      <c r="S14" s="952">
        <f t="shared" si="0"/>
        <v>4125</v>
      </c>
      <c r="T14" s="953">
        <v>4290</v>
      </c>
      <c r="U14" s="950">
        <f t="shared" si="1"/>
        <v>4620</v>
      </c>
      <c r="V14" s="950">
        <v>4626</v>
      </c>
      <c r="W14" s="952">
        <v>4123</v>
      </c>
      <c r="X14" s="954">
        <f t="shared" si="2"/>
        <v>-2</v>
      </c>
    </row>
    <row r="15" spans="1:24" ht="30.6" customHeight="1">
      <c r="A15" s="909"/>
      <c r="B15" s="944"/>
      <c r="C15" s="958" t="s">
        <v>329</v>
      </c>
      <c r="D15" s="958" t="s">
        <v>343</v>
      </c>
      <c r="E15" s="959" t="s">
        <v>344</v>
      </c>
      <c r="F15" s="958">
        <v>28</v>
      </c>
      <c r="G15" s="958" t="s">
        <v>311</v>
      </c>
      <c r="H15" s="960" t="s">
        <v>337</v>
      </c>
      <c r="I15" s="960" t="s">
        <v>313</v>
      </c>
      <c r="J15" s="947" t="s">
        <v>321</v>
      </c>
      <c r="K15" s="947" t="s">
        <v>315</v>
      </c>
      <c r="L15" s="948">
        <v>0.1</v>
      </c>
      <c r="M15" s="947" t="s">
        <v>316</v>
      </c>
      <c r="N15" s="947" t="s">
        <v>316</v>
      </c>
      <c r="O15" s="947" t="s">
        <v>317</v>
      </c>
      <c r="P15" s="947" t="s">
        <v>318</v>
      </c>
      <c r="Q15" s="961">
        <v>5590</v>
      </c>
      <c r="R15" s="951">
        <v>3.4</v>
      </c>
      <c r="S15" s="952">
        <f t="shared" si="0"/>
        <v>4250</v>
      </c>
      <c r="T15" s="953">
        <v>4420</v>
      </c>
      <c r="U15" s="950">
        <f t="shared" si="1"/>
        <v>4760</v>
      </c>
      <c r="V15" s="950">
        <v>5435</v>
      </c>
      <c r="W15" s="952">
        <v>5087</v>
      </c>
      <c r="X15" s="954">
        <f t="shared" si="2"/>
        <v>837</v>
      </c>
    </row>
    <row r="16" spans="1:24" ht="30.6" customHeight="1">
      <c r="B16" s="936" t="s">
        <v>345</v>
      </c>
      <c r="C16" s="937"/>
      <c r="D16" s="937"/>
      <c r="E16" s="937"/>
      <c r="F16" s="938"/>
      <c r="G16" s="938"/>
      <c r="H16" s="965"/>
      <c r="I16" s="965"/>
      <c r="J16" s="965"/>
      <c r="K16" s="965"/>
      <c r="L16" s="965"/>
      <c r="M16" s="965"/>
      <c r="N16" s="965"/>
      <c r="O16" s="965"/>
      <c r="P16" s="965"/>
      <c r="Q16" s="966"/>
      <c r="R16" s="967"/>
      <c r="S16" s="968"/>
      <c r="T16" s="966"/>
      <c r="U16" s="966"/>
      <c r="V16" s="966"/>
      <c r="W16" s="968"/>
      <c r="X16" s="969">
        <f t="shared" si="2"/>
        <v>0</v>
      </c>
    </row>
    <row r="17" spans="1:24" ht="30.6" customHeight="1">
      <c r="A17" s="909"/>
      <c r="B17" s="944"/>
      <c r="C17" s="945" t="s">
        <v>308</v>
      </c>
      <c r="D17" s="945" t="s">
        <v>346</v>
      </c>
      <c r="E17" s="946" t="s">
        <v>347</v>
      </c>
      <c r="F17" s="945">
        <v>28</v>
      </c>
      <c r="G17" s="945" t="s">
        <v>311</v>
      </c>
      <c r="H17" s="947" t="s">
        <v>337</v>
      </c>
      <c r="I17" s="947" t="s">
        <v>313</v>
      </c>
      <c r="J17" s="947" t="s">
        <v>321</v>
      </c>
      <c r="K17" s="947" t="s">
        <v>315</v>
      </c>
      <c r="L17" s="948">
        <v>0.1</v>
      </c>
      <c r="M17" s="947" t="s">
        <v>316</v>
      </c>
      <c r="N17" s="947" t="s">
        <v>316</v>
      </c>
      <c r="O17" s="947" t="s">
        <v>317</v>
      </c>
      <c r="P17" s="947" t="s">
        <v>318</v>
      </c>
      <c r="Q17" s="961">
        <v>28469.999999999996</v>
      </c>
      <c r="R17" s="951">
        <v>7.1</v>
      </c>
      <c r="S17" s="952">
        <f t="shared" si="0"/>
        <v>8875</v>
      </c>
      <c r="T17" s="953">
        <v>9230</v>
      </c>
      <c r="U17" s="950">
        <f t="shared" si="1"/>
        <v>9940</v>
      </c>
      <c r="V17" s="950">
        <v>10153</v>
      </c>
      <c r="W17" s="952">
        <v>7902</v>
      </c>
      <c r="X17" s="954">
        <f t="shared" si="2"/>
        <v>-973</v>
      </c>
    </row>
    <row r="18" spans="1:24" ht="30.6" customHeight="1">
      <c r="A18" s="909"/>
      <c r="B18" s="944"/>
      <c r="C18" s="945" t="s">
        <v>308</v>
      </c>
      <c r="D18" s="945" t="s">
        <v>348</v>
      </c>
      <c r="E18" s="946" t="s">
        <v>349</v>
      </c>
      <c r="F18" s="945">
        <v>28</v>
      </c>
      <c r="G18" s="945" t="s">
        <v>311</v>
      </c>
      <c r="H18" s="947" t="s">
        <v>337</v>
      </c>
      <c r="I18" s="947" t="s">
        <v>313</v>
      </c>
      <c r="J18" s="947" t="s">
        <v>321</v>
      </c>
      <c r="K18" s="947" t="s">
        <v>315</v>
      </c>
      <c r="L18" s="948">
        <v>0.1</v>
      </c>
      <c r="M18" s="947" t="s">
        <v>316</v>
      </c>
      <c r="N18" s="947" t="s">
        <v>316</v>
      </c>
      <c r="O18" s="947" t="s">
        <v>317</v>
      </c>
      <c r="P18" s="947" t="s">
        <v>318</v>
      </c>
      <c r="Q18" s="961">
        <v>11180</v>
      </c>
      <c r="R18" s="951">
        <v>4.0999999999999996</v>
      </c>
      <c r="S18" s="952">
        <f t="shared" si="0"/>
        <v>5125</v>
      </c>
      <c r="T18" s="953">
        <v>5329.9999999999991</v>
      </c>
      <c r="U18" s="950">
        <f t="shared" si="1"/>
        <v>5739.9999999999991</v>
      </c>
      <c r="V18" s="950">
        <v>5642</v>
      </c>
      <c r="W18" s="952">
        <v>4525</v>
      </c>
      <c r="X18" s="954">
        <f t="shared" si="2"/>
        <v>-600</v>
      </c>
    </row>
    <row r="19" spans="1:24" ht="30.6" customHeight="1">
      <c r="A19" s="909"/>
      <c r="B19" s="944"/>
      <c r="C19" s="945" t="s">
        <v>323</v>
      </c>
      <c r="D19" s="945" t="s">
        <v>350</v>
      </c>
      <c r="E19" s="946" t="s">
        <v>351</v>
      </c>
      <c r="F19" s="945">
        <v>28</v>
      </c>
      <c r="G19" s="945" t="s">
        <v>311</v>
      </c>
      <c r="H19" s="947" t="s">
        <v>337</v>
      </c>
      <c r="I19" s="947" t="s">
        <v>313</v>
      </c>
      <c r="J19" s="947" t="s">
        <v>321</v>
      </c>
      <c r="K19" s="947" t="s">
        <v>315</v>
      </c>
      <c r="L19" s="948">
        <v>0.1</v>
      </c>
      <c r="M19" s="947" t="s">
        <v>316</v>
      </c>
      <c r="N19" s="947" t="s">
        <v>316</v>
      </c>
      <c r="O19" s="947" t="s">
        <v>317</v>
      </c>
      <c r="P19" s="947" t="s">
        <v>318</v>
      </c>
      <c r="Q19" s="961">
        <v>11959.999999999998</v>
      </c>
      <c r="R19" s="951">
        <v>4.9000000000000004</v>
      </c>
      <c r="S19" s="952">
        <f t="shared" si="0"/>
        <v>6125</v>
      </c>
      <c r="T19" s="953">
        <v>6370.0000000000009</v>
      </c>
      <c r="U19" s="950">
        <f t="shared" si="1"/>
        <v>6860.0000000000009</v>
      </c>
      <c r="V19" s="950">
        <v>6575</v>
      </c>
      <c r="W19" s="952">
        <v>5449</v>
      </c>
      <c r="X19" s="954">
        <f t="shared" si="2"/>
        <v>-676</v>
      </c>
    </row>
    <row r="20" spans="1:24" ht="30.6" customHeight="1">
      <c r="A20" s="909"/>
      <c r="B20" s="944"/>
      <c r="C20" s="945" t="s">
        <v>326</v>
      </c>
      <c r="D20" s="945" t="s">
        <v>352</v>
      </c>
      <c r="E20" s="946" t="s">
        <v>353</v>
      </c>
      <c r="F20" s="945">
        <v>28</v>
      </c>
      <c r="G20" s="945" t="s">
        <v>311</v>
      </c>
      <c r="H20" s="947" t="s">
        <v>337</v>
      </c>
      <c r="I20" s="947" t="s">
        <v>313</v>
      </c>
      <c r="J20" s="947" t="s">
        <v>321</v>
      </c>
      <c r="K20" s="947" t="s">
        <v>315</v>
      </c>
      <c r="L20" s="948">
        <v>0.1</v>
      </c>
      <c r="M20" s="947" t="s">
        <v>316</v>
      </c>
      <c r="N20" s="947" t="s">
        <v>316</v>
      </c>
      <c r="O20" s="947" t="s">
        <v>317</v>
      </c>
      <c r="P20" s="947" t="s">
        <v>318</v>
      </c>
      <c r="Q20" s="961">
        <v>5590</v>
      </c>
      <c r="R20" s="951">
        <v>2.2999999999999998</v>
      </c>
      <c r="S20" s="970">
        <f t="shared" si="0"/>
        <v>2875</v>
      </c>
      <c r="T20" s="953">
        <v>2989.9999999999995</v>
      </c>
      <c r="U20" s="950">
        <f t="shared" si="1"/>
        <v>3219.9999999999995</v>
      </c>
      <c r="V20" s="950">
        <v>13147</v>
      </c>
      <c r="W20" s="952">
        <v>3517</v>
      </c>
      <c r="X20" s="954">
        <f t="shared" si="2"/>
        <v>642</v>
      </c>
    </row>
    <row r="21" spans="1:24" ht="30.6" customHeight="1">
      <c r="A21" s="909"/>
      <c r="B21" s="944"/>
      <c r="C21" s="945" t="s">
        <v>326</v>
      </c>
      <c r="D21" s="945" t="s">
        <v>354</v>
      </c>
      <c r="E21" s="946" t="s">
        <v>355</v>
      </c>
      <c r="F21" s="945">
        <v>28</v>
      </c>
      <c r="G21" s="945" t="s">
        <v>311</v>
      </c>
      <c r="H21" s="947" t="s">
        <v>337</v>
      </c>
      <c r="I21" s="947" t="s">
        <v>313</v>
      </c>
      <c r="J21" s="947" t="s">
        <v>321</v>
      </c>
      <c r="K21" s="947" t="s">
        <v>315</v>
      </c>
      <c r="L21" s="948">
        <v>0.1</v>
      </c>
      <c r="M21" s="947" t="s">
        <v>316</v>
      </c>
      <c r="N21" s="947" t="s">
        <v>316</v>
      </c>
      <c r="O21" s="947" t="s">
        <v>317</v>
      </c>
      <c r="P21" s="947" t="s">
        <v>318</v>
      </c>
      <c r="Q21" s="961">
        <v>6370.0000000000009</v>
      </c>
      <c r="R21" s="951">
        <v>4.9000000000000004</v>
      </c>
      <c r="S21" s="970">
        <f t="shared" si="0"/>
        <v>6125</v>
      </c>
      <c r="T21" s="953">
        <v>6370.0000000000009</v>
      </c>
      <c r="U21" s="950">
        <f t="shared" si="1"/>
        <v>6860.0000000000009</v>
      </c>
      <c r="V21" s="950">
        <v>4626</v>
      </c>
      <c r="W21" s="952">
        <v>4123</v>
      </c>
      <c r="X21" s="954">
        <f t="shared" si="2"/>
        <v>-2002</v>
      </c>
    </row>
    <row r="22" spans="1:24" ht="30.6" customHeight="1">
      <c r="A22" s="909"/>
      <c r="B22" s="944"/>
      <c r="C22" s="945" t="s">
        <v>329</v>
      </c>
      <c r="D22" s="945" t="s">
        <v>356</v>
      </c>
      <c r="E22" s="946" t="s">
        <v>357</v>
      </c>
      <c r="F22" s="945">
        <v>28</v>
      </c>
      <c r="G22" s="945" t="s">
        <v>311</v>
      </c>
      <c r="H22" s="947" t="s">
        <v>337</v>
      </c>
      <c r="I22" s="947" t="s">
        <v>313</v>
      </c>
      <c r="J22" s="947" t="s">
        <v>321</v>
      </c>
      <c r="K22" s="947" t="s">
        <v>315</v>
      </c>
      <c r="L22" s="948">
        <v>0.1</v>
      </c>
      <c r="M22" s="947" t="s">
        <v>316</v>
      </c>
      <c r="N22" s="947" t="s">
        <v>316</v>
      </c>
      <c r="O22" s="947" t="s">
        <v>317</v>
      </c>
      <c r="P22" s="947" t="s">
        <v>318</v>
      </c>
      <c r="Q22" s="961">
        <v>5590</v>
      </c>
      <c r="R22" s="951">
        <v>3.3</v>
      </c>
      <c r="S22" s="952">
        <f t="shared" si="0"/>
        <v>4125</v>
      </c>
      <c r="T22" s="953">
        <v>4290</v>
      </c>
      <c r="U22" s="950">
        <f t="shared" si="1"/>
        <v>4620</v>
      </c>
      <c r="V22" s="950">
        <v>4820</v>
      </c>
      <c r="W22" s="952">
        <v>4838</v>
      </c>
      <c r="X22" s="954">
        <f t="shared" si="2"/>
        <v>713</v>
      </c>
    </row>
    <row r="23" spans="1:24" ht="30.6" customHeight="1">
      <c r="A23" s="909"/>
      <c r="B23" s="944"/>
      <c r="C23" s="945" t="s">
        <v>329</v>
      </c>
      <c r="D23" s="945" t="s">
        <v>358</v>
      </c>
      <c r="E23" s="946" t="s">
        <v>359</v>
      </c>
      <c r="F23" s="945">
        <v>28</v>
      </c>
      <c r="G23" s="945" t="s">
        <v>311</v>
      </c>
      <c r="H23" s="947" t="s">
        <v>337</v>
      </c>
      <c r="I23" s="947" t="s">
        <v>313</v>
      </c>
      <c r="J23" s="947" t="s">
        <v>321</v>
      </c>
      <c r="K23" s="947" t="s">
        <v>315</v>
      </c>
      <c r="L23" s="948">
        <v>0.1</v>
      </c>
      <c r="M23" s="947" t="s">
        <v>316</v>
      </c>
      <c r="N23" s="947" t="s">
        <v>316</v>
      </c>
      <c r="O23" s="947" t="s">
        <v>317</v>
      </c>
      <c r="P23" s="947" t="s">
        <v>318</v>
      </c>
      <c r="Q23" s="961">
        <v>5720.0000000000009</v>
      </c>
      <c r="R23" s="951">
        <v>3.4</v>
      </c>
      <c r="S23" s="952">
        <f t="shared" si="0"/>
        <v>4250</v>
      </c>
      <c r="T23" s="953">
        <v>4420</v>
      </c>
      <c r="U23" s="950">
        <f t="shared" si="1"/>
        <v>4760</v>
      </c>
      <c r="V23" s="950">
        <v>5435</v>
      </c>
      <c r="W23" s="952">
        <v>5087</v>
      </c>
      <c r="X23" s="954">
        <f t="shared" si="2"/>
        <v>837</v>
      </c>
    </row>
    <row r="24" spans="1:24" ht="30.6" customHeight="1">
      <c r="A24" s="909"/>
      <c r="B24" s="944"/>
      <c r="C24" s="945" t="s">
        <v>360</v>
      </c>
      <c r="D24" s="945" t="s">
        <v>361</v>
      </c>
      <c r="E24" s="946" t="s">
        <v>362</v>
      </c>
      <c r="F24" s="945">
        <v>28</v>
      </c>
      <c r="G24" s="945" t="s">
        <v>311</v>
      </c>
      <c r="H24" s="947" t="s">
        <v>337</v>
      </c>
      <c r="I24" s="947" t="s">
        <v>313</v>
      </c>
      <c r="J24" s="947" t="s">
        <v>321</v>
      </c>
      <c r="K24" s="947" t="s">
        <v>315</v>
      </c>
      <c r="L24" s="948">
        <v>0.1</v>
      </c>
      <c r="M24" s="947" t="s">
        <v>316</v>
      </c>
      <c r="N24" s="947" t="s">
        <v>316</v>
      </c>
      <c r="O24" s="947" t="s">
        <v>317</v>
      </c>
      <c r="P24" s="947" t="s">
        <v>318</v>
      </c>
      <c r="Q24" s="961">
        <v>11050</v>
      </c>
      <c r="R24" s="951">
        <v>5.6</v>
      </c>
      <c r="S24" s="971">
        <f t="shared" si="0"/>
        <v>7000</v>
      </c>
      <c r="T24" s="972">
        <v>7279.9999999999991</v>
      </c>
      <c r="U24" s="973">
        <f t="shared" si="1"/>
        <v>7839.9999999999991</v>
      </c>
      <c r="V24" s="973">
        <v>11594</v>
      </c>
      <c r="W24" s="971">
        <v>8454</v>
      </c>
      <c r="X24" s="964">
        <f t="shared" si="2"/>
        <v>1454</v>
      </c>
    </row>
    <row r="25" spans="1:24" ht="30.6" customHeight="1" thickBot="1">
      <c r="A25" s="909"/>
      <c r="B25" s="974"/>
      <c r="C25" s="958" t="s">
        <v>360</v>
      </c>
      <c r="D25" s="958" t="s">
        <v>363</v>
      </c>
      <c r="E25" s="959" t="s">
        <v>364</v>
      </c>
      <c r="F25" s="958">
        <v>28</v>
      </c>
      <c r="G25" s="958" t="s">
        <v>311</v>
      </c>
      <c r="H25" s="960" t="s">
        <v>337</v>
      </c>
      <c r="I25" s="960" t="s">
        <v>313</v>
      </c>
      <c r="J25" s="960" t="s">
        <v>321</v>
      </c>
      <c r="K25" s="960" t="s">
        <v>315</v>
      </c>
      <c r="L25" s="975">
        <v>0.1</v>
      </c>
      <c r="M25" s="960" t="s">
        <v>316</v>
      </c>
      <c r="N25" s="960" t="s">
        <v>316</v>
      </c>
      <c r="O25" s="960" t="s">
        <v>317</v>
      </c>
      <c r="P25" s="960" t="s">
        <v>318</v>
      </c>
      <c r="Q25" s="976">
        <v>11440.000000000002</v>
      </c>
      <c r="R25" s="977">
        <v>5.2</v>
      </c>
      <c r="S25" s="978">
        <f t="shared" si="0"/>
        <v>6500</v>
      </c>
      <c r="T25" s="979">
        <v>6760</v>
      </c>
      <c r="U25" s="980">
        <f t="shared" si="1"/>
        <v>7280</v>
      </c>
      <c r="V25" s="980">
        <v>7504</v>
      </c>
      <c r="W25" s="978">
        <v>7745</v>
      </c>
      <c r="X25" s="981">
        <f t="shared" si="2"/>
        <v>1245</v>
      </c>
    </row>
    <row r="26" spans="1:24" ht="18.75" customHeight="1">
      <c r="B26" s="982"/>
      <c r="C26" s="941"/>
      <c r="D26" s="941"/>
      <c r="E26" s="983"/>
      <c r="F26" s="982"/>
      <c r="G26" s="982"/>
      <c r="H26" s="941"/>
      <c r="I26" s="941"/>
      <c r="J26" s="941"/>
      <c r="K26" s="941"/>
      <c r="L26" s="941"/>
      <c r="M26" s="941"/>
      <c r="N26" s="941"/>
      <c r="O26" s="941"/>
      <c r="P26" s="941"/>
      <c r="Q26" s="941"/>
      <c r="R26" s="941"/>
      <c r="S26" s="941" t="s">
        <v>365</v>
      </c>
      <c r="T26" s="941"/>
      <c r="U26" s="941"/>
      <c r="V26" s="941"/>
      <c r="W26" s="941" t="s">
        <v>283</v>
      </c>
      <c r="X26" s="941"/>
    </row>
    <row r="27" spans="1:24" ht="33.75" customHeight="1">
      <c r="B27" s="984" t="s">
        <v>366</v>
      </c>
      <c r="C27" s="941"/>
      <c r="D27" s="941"/>
      <c r="E27" s="983"/>
      <c r="F27" s="982"/>
      <c r="G27" s="982"/>
      <c r="H27" s="941"/>
      <c r="I27" s="941"/>
      <c r="J27" s="941"/>
      <c r="K27" s="941"/>
      <c r="L27" s="941"/>
      <c r="M27" s="941"/>
      <c r="N27" s="941"/>
      <c r="O27" s="941"/>
      <c r="P27" s="941"/>
      <c r="Q27" s="941"/>
      <c r="R27" s="941"/>
      <c r="S27" s="941"/>
      <c r="T27" s="941"/>
      <c r="U27" s="941"/>
      <c r="V27" s="941"/>
      <c r="W27" s="941"/>
      <c r="X27" s="941"/>
    </row>
    <row r="28" spans="1:24" ht="18.75" customHeight="1">
      <c r="B28" s="982"/>
      <c r="C28" s="941"/>
      <c r="D28" s="941"/>
      <c r="E28" s="983"/>
      <c r="F28" s="982"/>
      <c r="G28" s="982"/>
      <c r="H28" s="941"/>
      <c r="I28" s="941"/>
      <c r="J28" s="941"/>
      <c r="K28" s="941"/>
      <c r="L28" s="941"/>
      <c r="M28" s="941"/>
      <c r="N28" s="941"/>
      <c r="O28" s="941"/>
      <c r="P28" s="941"/>
      <c r="Q28" s="941"/>
      <c r="R28" s="941"/>
      <c r="S28" s="941"/>
      <c r="T28" s="941"/>
      <c r="U28" s="941"/>
      <c r="V28" s="941"/>
      <c r="W28" s="941"/>
      <c r="X28" s="941"/>
    </row>
    <row r="29" spans="1:24" ht="18.75" customHeight="1">
      <c r="B29" s="982"/>
      <c r="C29" s="941"/>
      <c r="D29" s="941"/>
      <c r="E29" s="983"/>
      <c r="F29" s="982"/>
      <c r="G29" s="982"/>
      <c r="H29" s="941"/>
      <c r="I29" s="941"/>
      <c r="J29" s="941"/>
      <c r="K29" s="941"/>
      <c r="L29" s="941"/>
      <c r="M29" s="941"/>
      <c r="N29" s="941"/>
      <c r="O29" s="941"/>
      <c r="P29" s="941"/>
      <c r="Q29" s="941"/>
      <c r="R29" s="941"/>
      <c r="S29" s="941"/>
      <c r="T29" s="941"/>
      <c r="U29" s="941"/>
      <c r="V29" s="941"/>
      <c r="W29" s="941"/>
      <c r="X29" s="941"/>
    </row>
    <row r="30" spans="1:24" ht="18.75" customHeight="1">
      <c r="B30" s="982"/>
      <c r="C30" s="941"/>
      <c r="D30" s="941"/>
      <c r="E30" s="983"/>
      <c r="F30" s="982"/>
      <c r="G30" s="982"/>
      <c r="H30" s="941"/>
      <c r="I30" s="941"/>
      <c r="J30" s="941"/>
      <c r="K30" s="941"/>
      <c r="L30" s="941"/>
      <c r="M30" s="941"/>
      <c r="N30" s="941"/>
      <c r="O30" s="941"/>
      <c r="P30" s="941"/>
      <c r="Q30" s="941"/>
      <c r="R30" s="941"/>
      <c r="S30" s="941"/>
      <c r="T30" s="941"/>
      <c r="U30" s="941"/>
      <c r="V30" s="941"/>
      <c r="W30" s="941"/>
      <c r="X30" s="941"/>
    </row>
    <row r="31" spans="1:24" ht="18.75" customHeight="1">
      <c r="B31" s="982"/>
      <c r="C31" s="941"/>
      <c r="D31" s="941"/>
      <c r="E31" s="983"/>
      <c r="F31" s="982"/>
      <c r="G31" s="982"/>
      <c r="H31" s="941"/>
      <c r="I31" s="941"/>
      <c r="J31" s="941"/>
      <c r="K31" s="941"/>
      <c r="L31" s="941"/>
      <c r="M31" s="941"/>
      <c r="N31" s="941"/>
      <c r="O31" s="941"/>
      <c r="P31" s="941"/>
      <c r="Q31" s="941"/>
      <c r="R31" s="941"/>
      <c r="S31" s="941"/>
      <c r="T31" s="941"/>
      <c r="U31" s="941"/>
      <c r="V31" s="941"/>
      <c r="W31" s="941"/>
      <c r="X31" s="941"/>
    </row>
    <row r="32" spans="1:24" ht="18.75" customHeight="1">
      <c r="B32" s="982"/>
      <c r="C32" s="941"/>
      <c r="D32" s="941"/>
      <c r="E32" s="983"/>
      <c r="F32" s="982"/>
      <c r="G32" s="982"/>
      <c r="H32" s="941"/>
      <c r="I32" s="941"/>
      <c r="J32" s="941"/>
      <c r="K32" s="941"/>
      <c r="L32" s="941"/>
      <c r="M32" s="941"/>
      <c r="N32" s="941"/>
      <c r="O32" s="941"/>
      <c r="P32" s="941"/>
      <c r="Q32" s="941"/>
      <c r="R32" s="941"/>
      <c r="S32" s="941"/>
      <c r="T32" s="941"/>
      <c r="U32" s="941"/>
      <c r="V32" s="941"/>
      <c r="W32" s="941"/>
      <c r="X32" s="941"/>
    </row>
    <row r="33" spans="2:24" ht="18.75" customHeight="1">
      <c r="B33" s="982"/>
      <c r="C33" s="941"/>
      <c r="D33" s="941"/>
      <c r="E33" s="983"/>
      <c r="F33" s="982"/>
      <c r="G33" s="982"/>
      <c r="H33" s="941"/>
      <c r="I33" s="941"/>
      <c r="J33" s="941"/>
      <c r="K33" s="941"/>
      <c r="L33" s="941"/>
      <c r="M33" s="941"/>
      <c r="N33" s="941"/>
      <c r="O33" s="941"/>
      <c r="P33" s="941"/>
      <c r="Q33" s="941"/>
      <c r="R33" s="941"/>
      <c r="S33" s="941"/>
      <c r="T33" s="941"/>
      <c r="U33" s="941"/>
      <c r="V33" s="941"/>
      <c r="W33" s="941"/>
      <c r="X33" s="941"/>
    </row>
    <row r="34" spans="2:24" ht="18.75" customHeight="1">
      <c r="B34" s="982"/>
      <c r="C34" s="941"/>
      <c r="D34" s="941"/>
      <c r="E34" s="983"/>
      <c r="F34" s="982"/>
      <c r="G34" s="982"/>
      <c r="H34" s="941"/>
      <c r="I34" s="941"/>
      <c r="J34" s="941"/>
      <c r="K34" s="941"/>
      <c r="L34" s="941"/>
      <c r="M34" s="941"/>
      <c r="N34" s="941"/>
      <c r="O34" s="941"/>
      <c r="P34" s="941"/>
      <c r="Q34" s="941"/>
      <c r="R34" s="941"/>
      <c r="S34" s="941"/>
      <c r="T34" s="941"/>
      <c r="U34" s="941"/>
      <c r="V34" s="941"/>
      <c r="W34" s="941"/>
      <c r="X34" s="941"/>
    </row>
    <row r="35" spans="2:24" ht="18.75" customHeight="1">
      <c r="B35" s="982"/>
      <c r="C35" s="941"/>
      <c r="D35" s="941"/>
      <c r="E35" s="983"/>
      <c r="F35" s="982"/>
      <c r="G35" s="982"/>
      <c r="H35" s="941"/>
      <c r="I35" s="941"/>
      <c r="J35" s="941"/>
      <c r="K35" s="941"/>
      <c r="L35" s="941"/>
      <c r="M35" s="941"/>
      <c r="N35" s="941"/>
      <c r="O35" s="941"/>
      <c r="P35" s="941"/>
      <c r="Q35" s="941"/>
      <c r="R35" s="941"/>
      <c r="S35" s="941"/>
      <c r="T35" s="941"/>
      <c r="U35" s="941"/>
      <c r="V35" s="941"/>
      <c r="W35" s="941"/>
      <c r="X35" s="941"/>
    </row>
    <row r="36" spans="2:24" ht="18.75" customHeight="1">
      <c r="B36" s="982"/>
      <c r="C36" s="941"/>
      <c r="D36" s="941"/>
      <c r="E36" s="983"/>
      <c r="F36" s="982"/>
      <c r="G36" s="982"/>
      <c r="H36" s="941"/>
      <c r="I36" s="941"/>
      <c r="J36" s="941"/>
      <c r="K36" s="941"/>
      <c r="L36" s="941"/>
      <c r="M36" s="941"/>
      <c r="N36" s="941"/>
      <c r="O36" s="941"/>
      <c r="P36" s="941"/>
      <c r="Q36" s="941"/>
      <c r="R36" s="941"/>
      <c r="S36" s="941"/>
      <c r="T36" s="941"/>
      <c r="U36" s="941"/>
      <c r="V36" s="941"/>
      <c r="W36" s="941"/>
      <c r="X36" s="941"/>
    </row>
    <row r="37" spans="2:24" ht="18.75" customHeight="1">
      <c r="B37" s="982"/>
      <c r="C37" s="941"/>
      <c r="D37" s="941"/>
      <c r="E37" s="983"/>
      <c r="F37" s="982"/>
      <c r="G37" s="982"/>
      <c r="H37" s="941"/>
      <c r="I37" s="941"/>
      <c r="J37" s="941"/>
      <c r="K37" s="941"/>
      <c r="L37" s="941"/>
      <c r="M37" s="941"/>
      <c r="N37" s="941"/>
      <c r="O37" s="941"/>
      <c r="P37" s="941"/>
      <c r="Q37" s="941"/>
      <c r="R37" s="941"/>
      <c r="S37" s="941"/>
      <c r="T37" s="941"/>
      <c r="U37" s="941"/>
      <c r="V37" s="941"/>
      <c r="W37" s="941"/>
      <c r="X37" s="941"/>
    </row>
    <row r="38" spans="2:24" ht="18.75" customHeight="1">
      <c r="B38" s="982"/>
      <c r="C38" s="941"/>
      <c r="D38" s="941"/>
      <c r="E38" s="983"/>
      <c r="F38" s="982"/>
      <c r="G38" s="982"/>
      <c r="H38" s="941"/>
      <c r="I38" s="941"/>
      <c r="J38" s="941"/>
      <c r="K38" s="941"/>
      <c r="L38" s="941"/>
      <c r="M38" s="941"/>
      <c r="N38" s="941"/>
      <c r="O38" s="941"/>
      <c r="P38" s="941"/>
      <c r="Q38" s="941"/>
      <c r="R38" s="941"/>
      <c r="S38" s="941"/>
      <c r="T38" s="941"/>
      <c r="U38" s="941"/>
      <c r="V38" s="941"/>
      <c r="W38" s="941"/>
      <c r="X38" s="941"/>
    </row>
    <row r="39" spans="2:24" ht="18.75" customHeight="1">
      <c r="B39" s="982"/>
      <c r="C39" s="941"/>
      <c r="D39" s="941"/>
      <c r="E39" s="983"/>
      <c r="F39" s="982"/>
      <c r="G39" s="982"/>
      <c r="H39" s="941"/>
      <c r="I39" s="941"/>
      <c r="J39" s="941"/>
      <c r="K39" s="941"/>
      <c r="L39" s="941"/>
      <c r="M39" s="941"/>
      <c r="N39" s="941"/>
      <c r="O39" s="941"/>
      <c r="P39" s="941"/>
      <c r="Q39" s="941"/>
      <c r="R39" s="941"/>
      <c r="S39" s="941"/>
      <c r="T39" s="941"/>
      <c r="U39" s="941"/>
      <c r="V39" s="941"/>
      <c r="W39" s="941"/>
      <c r="X39" s="941"/>
    </row>
    <row r="40" spans="2:24" ht="18.75" customHeight="1">
      <c r="B40" s="982"/>
      <c r="C40" s="941"/>
      <c r="D40" s="941"/>
      <c r="E40" s="983"/>
      <c r="F40" s="982"/>
      <c r="G40" s="982"/>
      <c r="H40" s="941"/>
      <c r="I40" s="941"/>
      <c r="J40" s="941"/>
      <c r="K40" s="941"/>
      <c r="L40" s="941"/>
      <c r="M40" s="941"/>
      <c r="N40" s="941"/>
      <c r="O40" s="941"/>
      <c r="P40" s="941"/>
      <c r="Q40" s="941"/>
      <c r="R40" s="941"/>
      <c r="S40" s="941"/>
      <c r="T40" s="941"/>
      <c r="U40" s="941"/>
      <c r="V40" s="941"/>
      <c r="W40" s="941"/>
      <c r="X40" s="941"/>
    </row>
    <row r="41" spans="2:24" ht="18.75" customHeight="1">
      <c r="B41" s="982"/>
      <c r="C41" s="941"/>
      <c r="D41" s="941"/>
      <c r="E41" s="983"/>
      <c r="F41" s="982"/>
      <c r="G41" s="982"/>
      <c r="H41" s="941"/>
      <c r="I41" s="941"/>
      <c r="J41" s="941"/>
      <c r="K41" s="941"/>
      <c r="L41" s="941"/>
      <c r="M41" s="941"/>
      <c r="N41" s="941"/>
      <c r="O41" s="941"/>
      <c r="P41" s="941"/>
      <c r="Q41" s="941"/>
      <c r="R41" s="941"/>
      <c r="S41" s="941"/>
      <c r="T41" s="941"/>
      <c r="U41" s="941"/>
      <c r="V41" s="941"/>
      <c r="W41" s="941"/>
      <c r="X41" s="941"/>
    </row>
    <row r="42" spans="2:24" ht="18.75" customHeight="1">
      <c r="B42" s="982"/>
      <c r="C42" s="941"/>
      <c r="D42" s="941"/>
      <c r="E42" s="983"/>
      <c r="F42" s="982"/>
      <c r="G42" s="982"/>
      <c r="H42" s="941"/>
      <c r="I42" s="941"/>
      <c r="J42" s="941"/>
      <c r="K42" s="941"/>
      <c r="L42" s="941"/>
      <c r="M42" s="941"/>
      <c r="N42" s="941"/>
      <c r="O42" s="941"/>
      <c r="P42" s="941"/>
      <c r="Q42" s="941"/>
      <c r="R42" s="941"/>
      <c r="S42" s="941"/>
      <c r="T42" s="941"/>
      <c r="U42" s="941"/>
      <c r="V42" s="941"/>
      <c r="W42" s="941"/>
      <c r="X42" s="941"/>
    </row>
    <row r="43" spans="2:24" ht="18.75" customHeight="1">
      <c r="B43" s="982"/>
      <c r="C43" s="941"/>
      <c r="D43" s="941"/>
      <c r="E43" s="983"/>
      <c r="F43" s="982"/>
      <c r="G43" s="982"/>
      <c r="H43" s="941"/>
      <c r="I43" s="941"/>
      <c r="J43" s="941"/>
      <c r="K43" s="941"/>
      <c r="L43" s="941"/>
      <c r="M43" s="941"/>
      <c r="N43" s="941"/>
      <c r="O43" s="941"/>
      <c r="P43" s="941"/>
      <c r="Q43" s="941"/>
      <c r="R43" s="941"/>
      <c r="S43" s="941"/>
      <c r="T43" s="941"/>
      <c r="U43" s="941"/>
      <c r="V43" s="941"/>
      <c r="W43" s="941"/>
      <c r="X43" s="941"/>
    </row>
    <row r="44" spans="2:24" ht="18.75" customHeight="1">
      <c r="B44" s="982"/>
      <c r="C44" s="941"/>
      <c r="D44" s="941"/>
      <c r="E44" s="983"/>
      <c r="F44" s="982"/>
      <c r="G44" s="982"/>
      <c r="H44" s="941"/>
      <c r="I44" s="941"/>
      <c r="J44" s="941"/>
      <c r="K44" s="941"/>
      <c r="L44" s="941"/>
      <c r="M44" s="941"/>
      <c r="N44" s="941"/>
      <c r="O44" s="941"/>
      <c r="P44" s="941"/>
      <c r="Q44" s="941"/>
      <c r="R44" s="941"/>
      <c r="S44" s="941"/>
      <c r="T44" s="941"/>
      <c r="U44" s="941"/>
      <c r="V44" s="941"/>
      <c r="W44" s="941"/>
      <c r="X44" s="941"/>
    </row>
    <row r="45" spans="2:24" ht="18.75" customHeight="1">
      <c r="B45" s="982"/>
      <c r="C45" s="941"/>
      <c r="D45" s="941"/>
      <c r="E45" s="983"/>
      <c r="F45" s="982"/>
      <c r="G45" s="982"/>
      <c r="H45" s="941"/>
      <c r="I45" s="941"/>
      <c r="J45" s="941"/>
      <c r="K45" s="941"/>
      <c r="L45" s="941"/>
      <c r="M45" s="941"/>
      <c r="N45" s="941"/>
      <c r="O45" s="941"/>
      <c r="P45" s="941"/>
      <c r="Q45" s="941"/>
      <c r="R45" s="941"/>
      <c r="S45" s="941"/>
      <c r="T45" s="941"/>
      <c r="U45" s="941"/>
      <c r="V45" s="941"/>
      <c r="W45" s="941"/>
      <c r="X45" s="941"/>
    </row>
    <row r="46" spans="2:24" ht="18.75" customHeight="1">
      <c r="B46" s="982"/>
      <c r="C46" s="941"/>
      <c r="D46" s="941"/>
      <c r="E46" s="983"/>
      <c r="F46" s="982"/>
      <c r="G46" s="982"/>
      <c r="H46" s="941"/>
      <c r="I46" s="941"/>
      <c r="J46" s="941"/>
      <c r="K46" s="941"/>
      <c r="L46" s="941"/>
      <c r="M46" s="941"/>
      <c r="N46" s="941"/>
      <c r="O46" s="941"/>
      <c r="P46" s="941"/>
      <c r="Q46" s="941"/>
      <c r="R46" s="941"/>
      <c r="S46" s="941"/>
      <c r="T46" s="941"/>
      <c r="U46" s="941"/>
      <c r="V46" s="941"/>
      <c r="W46" s="941"/>
      <c r="X46" s="941"/>
    </row>
    <row r="47" spans="2:24" ht="37.35" customHeight="1">
      <c r="B47" s="911" t="s">
        <v>284</v>
      </c>
      <c r="C47" s="912" t="s">
        <v>367</v>
      </c>
      <c r="D47" s="913" t="s">
        <v>368</v>
      </c>
      <c r="E47" s="914" t="s">
        <v>369</v>
      </c>
      <c r="F47" s="915" t="s">
        <v>370</v>
      </c>
      <c r="G47" s="915" t="s">
        <v>371</v>
      </c>
      <c r="H47" s="915" t="s">
        <v>372</v>
      </c>
      <c r="I47" s="915" t="s">
        <v>373</v>
      </c>
      <c r="J47" s="1550" t="s">
        <v>374</v>
      </c>
      <c r="K47" s="1551"/>
      <c r="L47" s="915" t="s">
        <v>375</v>
      </c>
    </row>
    <row r="48" spans="2:24" ht="30.6" customHeight="1">
      <c r="B48" s="1552" t="s">
        <v>376</v>
      </c>
      <c r="C48" s="916" t="s">
        <v>377</v>
      </c>
      <c r="D48" s="917">
        <v>1400000</v>
      </c>
      <c r="E48" s="918">
        <v>50000</v>
      </c>
      <c r="F48" s="919">
        <f t="shared" ref="F48:F56" si="3">D48/28</f>
        <v>50000</v>
      </c>
      <c r="G48" s="919">
        <v>1200000</v>
      </c>
      <c r="H48" s="919">
        <v>2550000</v>
      </c>
      <c r="I48" s="919"/>
      <c r="J48" s="1555"/>
      <c r="K48" s="1556"/>
      <c r="L48" s="919"/>
    </row>
    <row r="49" spans="2:12" ht="30.6" customHeight="1">
      <c r="B49" s="1553"/>
      <c r="C49" s="916" t="s">
        <v>378</v>
      </c>
      <c r="D49" s="917">
        <v>700000</v>
      </c>
      <c r="E49" s="918">
        <v>25000</v>
      </c>
      <c r="F49" s="919">
        <f t="shared" si="3"/>
        <v>25000</v>
      </c>
      <c r="G49" s="919">
        <v>25000</v>
      </c>
      <c r="H49" s="919">
        <v>50000</v>
      </c>
      <c r="I49" s="920" t="s">
        <v>379</v>
      </c>
      <c r="J49" s="1557" t="s">
        <v>380</v>
      </c>
      <c r="K49" s="1558"/>
      <c r="L49" s="920" t="s">
        <v>381</v>
      </c>
    </row>
    <row r="50" spans="2:12" ht="30.6" customHeight="1">
      <c r="B50" s="1553"/>
      <c r="C50" s="916" t="s">
        <v>382</v>
      </c>
      <c r="D50" s="917">
        <v>800000</v>
      </c>
      <c r="E50" s="918">
        <v>28000</v>
      </c>
      <c r="F50" s="919">
        <f t="shared" si="3"/>
        <v>28571.428571428572</v>
      </c>
      <c r="G50" s="919">
        <v>84000</v>
      </c>
      <c r="H50" s="919">
        <v>196000</v>
      </c>
      <c r="I50" s="921"/>
      <c r="J50" s="1555"/>
      <c r="K50" s="1556"/>
      <c r="L50" s="921"/>
    </row>
    <row r="51" spans="2:12" ht="30.6" customHeight="1">
      <c r="B51" s="1553"/>
      <c r="C51" s="916" t="s">
        <v>383</v>
      </c>
      <c r="D51" s="917">
        <v>1000000</v>
      </c>
      <c r="E51" s="918">
        <v>35000</v>
      </c>
      <c r="F51" s="919">
        <f t="shared" si="3"/>
        <v>35714.285714285717</v>
      </c>
      <c r="G51" s="919">
        <v>70000</v>
      </c>
      <c r="H51" s="919">
        <v>105000</v>
      </c>
      <c r="I51" s="920" t="s">
        <v>379</v>
      </c>
      <c r="J51" s="1557" t="s">
        <v>384</v>
      </c>
      <c r="K51" s="1558"/>
      <c r="L51" s="920" t="s">
        <v>385</v>
      </c>
    </row>
    <row r="52" spans="2:12" ht="30.6" customHeight="1">
      <c r="B52" s="1553"/>
      <c r="C52" s="916" t="s">
        <v>386</v>
      </c>
      <c r="D52" s="917">
        <v>1900000</v>
      </c>
      <c r="E52" s="918">
        <v>67000</v>
      </c>
      <c r="F52" s="919">
        <f t="shared" si="3"/>
        <v>67857.142857142855</v>
      </c>
      <c r="G52" s="919">
        <v>402000</v>
      </c>
      <c r="H52" s="919">
        <v>804000</v>
      </c>
      <c r="I52" s="921"/>
      <c r="J52" s="1555"/>
      <c r="K52" s="1556"/>
      <c r="L52" s="921"/>
    </row>
    <row r="53" spans="2:12" ht="30.6" customHeight="1">
      <c r="B53" s="1553"/>
      <c r="C53" s="916" t="s">
        <v>387</v>
      </c>
      <c r="D53" s="917">
        <v>1500000</v>
      </c>
      <c r="E53" s="918">
        <v>53000</v>
      </c>
      <c r="F53" s="919">
        <f t="shared" si="3"/>
        <v>53571.428571428572</v>
      </c>
      <c r="G53" s="919">
        <v>159000</v>
      </c>
      <c r="H53" s="919">
        <v>265000</v>
      </c>
      <c r="I53" s="921"/>
      <c r="J53" s="1555"/>
      <c r="K53" s="1556"/>
      <c r="L53" s="921"/>
    </row>
    <row r="54" spans="2:12" ht="30.6" customHeight="1">
      <c r="B54" s="1553"/>
      <c r="C54" s="916" t="s">
        <v>388</v>
      </c>
      <c r="D54" s="917">
        <v>1500000</v>
      </c>
      <c r="E54" s="918">
        <v>53000</v>
      </c>
      <c r="F54" s="919">
        <f t="shared" si="3"/>
        <v>53571.428571428572</v>
      </c>
      <c r="G54" s="919">
        <v>265000</v>
      </c>
      <c r="H54" s="919">
        <v>530000</v>
      </c>
      <c r="I54" s="921"/>
      <c r="J54" s="1555"/>
      <c r="K54" s="1556"/>
      <c r="L54" s="921"/>
    </row>
    <row r="55" spans="2:12" ht="30.6" customHeight="1">
      <c r="B55" s="1553"/>
      <c r="C55" s="916" t="s">
        <v>389</v>
      </c>
      <c r="D55" s="917">
        <v>300000</v>
      </c>
      <c r="E55" s="918">
        <v>10000</v>
      </c>
      <c r="F55" s="919">
        <f t="shared" si="3"/>
        <v>10714.285714285714</v>
      </c>
      <c r="G55" s="919">
        <v>10000</v>
      </c>
      <c r="H55" s="919">
        <v>10000</v>
      </c>
      <c r="I55" s="920" t="s">
        <v>379</v>
      </c>
      <c r="J55" s="1557" t="s">
        <v>384</v>
      </c>
      <c r="K55" s="1558"/>
      <c r="L55" s="920" t="s">
        <v>390</v>
      </c>
    </row>
    <row r="56" spans="2:12" ht="30.6" customHeight="1">
      <c r="B56" s="1554"/>
      <c r="C56" s="916" t="s">
        <v>391</v>
      </c>
      <c r="D56" s="917">
        <v>300000</v>
      </c>
      <c r="E56" s="918">
        <v>10000</v>
      </c>
      <c r="F56" s="919">
        <f t="shared" si="3"/>
        <v>10714.285714285714</v>
      </c>
      <c r="G56" s="919">
        <v>10000</v>
      </c>
      <c r="H56" s="919">
        <v>10000</v>
      </c>
      <c r="I56" s="920" t="s">
        <v>379</v>
      </c>
      <c r="J56" s="1557" t="s">
        <v>384</v>
      </c>
      <c r="K56" s="1558"/>
      <c r="L56" s="920" t="s">
        <v>392</v>
      </c>
    </row>
    <row r="57" spans="2:12">
      <c r="E57" s="910"/>
    </row>
    <row r="58" spans="2:12">
      <c r="E58" s="910"/>
    </row>
    <row r="59" spans="2:12">
      <c r="E59" s="910"/>
    </row>
    <row r="60" spans="2:12">
      <c r="E60" s="910"/>
    </row>
    <row r="61" spans="2:12">
      <c r="E61" s="910"/>
    </row>
    <row r="62" spans="2:12">
      <c r="E62" s="910"/>
    </row>
    <row r="63" spans="2:12">
      <c r="E63" s="910"/>
    </row>
    <row r="64" spans="2:12">
      <c r="E64" s="910"/>
    </row>
    <row r="65" spans="3:24">
      <c r="E65" s="910"/>
    </row>
    <row r="66" spans="3:24">
      <c r="E66" s="910"/>
    </row>
    <row r="67" spans="3:24" s="907" customFormat="1">
      <c r="C67" s="908"/>
      <c r="D67" s="908"/>
      <c r="E67" s="910"/>
      <c r="H67" s="908"/>
      <c r="I67" s="908"/>
      <c r="J67" s="908"/>
      <c r="K67" s="908"/>
      <c r="L67" s="908"/>
      <c r="M67" s="908"/>
      <c r="N67" s="908"/>
      <c r="O67" s="908"/>
      <c r="P67" s="908"/>
      <c r="Q67" s="908"/>
      <c r="R67" s="908"/>
      <c r="S67" s="908"/>
      <c r="T67" s="908"/>
      <c r="U67" s="908"/>
      <c r="V67" s="908"/>
      <c r="W67" s="908"/>
      <c r="X67" s="908"/>
    </row>
    <row r="68" spans="3:24" s="907" customFormat="1">
      <c r="C68" s="908"/>
      <c r="D68" s="908"/>
      <c r="E68" s="910"/>
      <c r="H68" s="908"/>
      <c r="I68" s="908"/>
      <c r="J68" s="908"/>
      <c r="K68" s="908"/>
      <c r="L68" s="908"/>
      <c r="M68" s="908"/>
      <c r="N68" s="908"/>
      <c r="O68" s="908"/>
      <c r="P68" s="908"/>
      <c r="Q68" s="908"/>
      <c r="R68" s="908"/>
      <c r="S68" s="908"/>
      <c r="T68" s="908"/>
      <c r="U68" s="908"/>
      <c r="V68" s="908"/>
      <c r="W68" s="908"/>
      <c r="X68" s="908"/>
    </row>
    <row r="69" spans="3:24" s="907" customFormat="1">
      <c r="C69" s="908"/>
      <c r="D69" s="908"/>
      <c r="E69" s="910"/>
      <c r="H69" s="908"/>
      <c r="I69" s="908"/>
      <c r="J69" s="908"/>
      <c r="K69" s="908"/>
      <c r="L69" s="908"/>
      <c r="M69" s="908"/>
      <c r="N69" s="908"/>
      <c r="O69" s="908"/>
      <c r="P69" s="908"/>
      <c r="Q69" s="908"/>
      <c r="R69" s="908"/>
      <c r="S69" s="908"/>
      <c r="T69" s="908"/>
      <c r="U69" s="908"/>
      <c r="V69" s="908"/>
      <c r="W69" s="908"/>
      <c r="X69" s="908"/>
    </row>
    <row r="70" spans="3:24" s="907" customFormat="1">
      <c r="C70" s="908"/>
      <c r="D70" s="908"/>
      <c r="E70" s="910"/>
      <c r="H70" s="908"/>
      <c r="I70" s="908"/>
      <c r="J70" s="908"/>
      <c r="K70" s="908"/>
      <c r="L70" s="908"/>
      <c r="M70" s="908"/>
      <c r="N70" s="908"/>
      <c r="O70" s="908"/>
      <c r="P70" s="908"/>
      <c r="Q70" s="908"/>
      <c r="R70" s="908"/>
      <c r="S70" s="908"/>
      <c r="T70" s="908"/>
      <c r="U70" s="908"/>
      <c r="V70" s="908"/>
      <c r="W70" s="908"/>
      <c r="X70" s="908"/>
    </row>
    <row r="71" spans="3:24" s="907" customFormat="1">
      <c r="C71" s="908"/>
      <c r="D71" s="908"/>
      <c r="E71" s="910"/>
      <c r="H71" s="908"/>
      <c r="I71" s="908"/>
      <c r="J71" s="908"/>
      <c r="K71" s="908"/>
      <c r="L71" s="908"/>
      <c r="M71" s="908"/>
      <c r="N71" s="908"/>
      <c r="O71" s="908"/>
      <c r="P71" s="908"/>
      <c r="Q71" s="908"/>
      <c r="R71" s="908"/>
      <c r="S71" s="908"/>
      <c r="T71" s="908"/>
      <c r="U71" s="908"/>
      <c r="V71" s="908"/>
      <c r="W71" s="908"/>
      <c r="X71" s="908"/>
    </row>
    <row r="72" spans="3:24" s="907" customFormat="1">
      <c r="C72" s="908"/>
      <c r="D72" s="908"/>
      <c r="E72" s="910"/>
      <c r="H72" s="908"/>
      <c r="I72" s="908"/>
      <c r="J72" s="908"/>
      <c r="K72" s="908"/>
      <c r="L72" s="908"/>
      <c r="M72" s="908"/>
      <c r="N72" s="908"/>
      <c r="O72" s="908"/>
      <c r="P72" s="908"/>
      <c r="Q72" s="908"/>
      <c r="R72" s="908"/>
      <c r="S72" s="908"/>
      <c r="T72" s="908"/>
      <c r="U72" s="908"/>
      <c r="V72" s="908"/>
      <c r="W72" s="908"/>
      <c r="X72" s="908"/>
    </row>
    <row r="73" spans="3:24" s="907" customFormat="1">
      <c r="C73" s="908"/>
      <c r="D73" s="908"/>
      <c r="E73" s="910"/>
      <c r="H73" s="908"/>
      <c r="I73" s="908"/>
      <c r="J73" s="908"/>
      <c r="K73" s="908"/>
      <c r="L73" s="908"/>
      <c r="M73" s="908"/>
      <c r="N73" s="908"/>
      <c r="O73" s="908"/>
      <c r="P73" s="908"/>
      <c r="Q73" s="908"/>
      <c r="R73" s="908"/>
      <c r="S73" s="908"/>
      <c r="T73" s="908"/>
      <c r="U73" s="908"/>
      <c r="V73" s="908"/>
      <c r="W73" s="908"/>
      <c r="X73" s="908"/>
    </row>
    <row r="74" spans="3:24" s="907" customFormat="1">
      <c r="C74" s="908"/>
      <c r="D74" s="908"/>
      <c r="E74" s="910"/>
      <c r="H74" s="908"/>
      <c r="I74" s="908"/>
      <c r="J74" s="908"/>
      <c r="K74" s="908"/>
      <c r="L74" s="908"/>
      <c r="M74" s="908"/>
      <c r="N74" s="908"/>
      <c r="O74" s="908"/>
      <c r="P74" s="908"/>
      <c r="Q74" s="908"/>
      <c r="R74" s="908"/>
      <c r="S74" s="908"/>
      <c r="T74" s="908"/>
      <c r="U74" s="908"/>
      <c r="V74" s="908"/>
      <c r="W74" s="908"/>
      <c r="X74" s="908"/>
    </row>
    <row r="75" spans="3:24" s="907" customFormat="1">
      <c r="C75" s="908"/>
      <c r="D75" s="908"/>
      <c r="E75" s="910"/>
      <c r="H75" s="908"/>
      <c r="I75" s="908"/>
      <c r="J75" s="908"/>
      <c r="K75" s="908"/>
      <c r="L75" s="908"/>
      <c r="M75" s="908"/>
      <c r="N75" s="908"/>
      <c r="O75" s="908"/>
      <c r="P75" s="908"/>
      <c r="Q75" s="908"/>
      <c r="R75" s="908"/>
      <c r="S75" s="908"/>
      <c r="T75" s="908"/>
      <c r="U75" s="908"/>
      <c r="V75" s="908"/>
      <c r="W75" s="908"/>
      <c r="X75" s="908"/>
    </row>
    <row r="76" spans="3:24" s="907" customFormat="1">
      <c r="C76" s="908"/>
      <c r="D76" s="908"/>
      <c r="E76" s="910"/>
      <c r="H76" s="908"/>
      <c r="I76" s="908"/>
      <c r="J76" s="908"/>
      <c r="K76" s="908"/>
      <c r="L76" s="908"/>
      <c r="M76" s="908"/>
      <c r="N76" s="908"/>
      <c r="O76" s="908"/>
      <c r="P76" s="908"/>
      <c r="Q76" s="908"/>
      <c r="R76" s="908"/>
      <c r="S76" s="908"/>
      <c r="T76" s="908"/>
      <c r="U76" s="908"/>
      <c r="V76" s="908"/>
      <c r="W76" s="908"/>
      <c r="X76" s="908"/>
    </row>
    <row r="77" spans="3:24" s="907" customFormat="1">
      <c r="C77" s="908"/>
      <c r="D77" s="908"/>
      <c r="E77" s="910"/>
      <c r="H77" s="908"/>
      <c r="I77" s="908"/>
      <c r="J77" s="908"/>
      <c r="K77" s="908"/>
      <c r="L77" s="908"/>
      <c r="M77" s="908"/>
      <c r="N77" s="908"/>
      <c r="O77" s="908"/>
      <c r="P77" s="908"/>
      <c r="Q77" s="908"/>
      <c r="R77" s="908"/>
      <c r="S77" s="908"/>
      <c r="T77" s="908"/>
      <c r="U77" s="908"/>
      <c r="V77" s="908"/>
      <c r="W77" s="908"/>
      <c r="X77" s="908"/>
    </row>
    <row r="78" spans="3:24" s="907" customFormat="1">
      <c r="C78" s="908"/>
      <c r="D78" s="908"/>
      <c r="E78" s="910"/>
      <c r="H78" s="908"/>
      <c r="I78" s="908"/>
      <c r="J78" s="908"/>
      <c r="K78" s="908"/>
      <c r="L78" s="908"/>
      <c r="M78" s="908"/>
      <c r="N78" s="908"/>
      <c r="O78" s="908"/>
      <c r="P78" s="908"/>
      <c r="Q78" s="908"/>
      <c r="R78" s="908"/>
      <c r="S78" s="908"/>
      <c r="T78" s="908"/>
      <c r="U78" s="908"/>
      <c r="V78" s="908"/>
      <c r="W78" s="908"/>
      <c r="X78" s="908"/>
    </row>
    <row r="79" spans="3:24" s="907" customFormat="1">
      <c r="C79" s="908"/>
      <c r="D79" s="908"/>
      <c r="E79" s="910"/>
      <c r="H79" s="908"/>
      <c r="I79" s="908"/>
      <c r="J79" s="908"/>
      <c r="K79" s="908"/>
      <c r="L79" s="908"/>
      <c r="M79" s="908"/>
      <c r="N79" s="908"/>
      <c r="O79" s="908"/>
      <c r="P79" s="908"/>
      <c r="Q79" s="908"/>
      <c r="R79" s="908"/>
      <c r="S79" s="908"/>
      <c r="T79" s="908"/>
      <c r="U79" s="908"/>
      <c r="V79" s="908"/>
      <c r="W79" s="908"/>
      <c r="X79" s="908"/>
    </row>
    <row r="80" spans="3:24" s="907" customFormat="1">
      <c r="C80" s="908"/>
      <c r="D80" s="908"/>
      <c r="E80" s="910"/>
      <c r="H80" s="908"/>
      <c r="I80" s="908"/>
      <c r="J80" s="908"/>
      <c r="K80" s="908"/>
      <c r="L80" s="908"/>
      <c r="M80" s="908"/>
      <c r="N80" s="908"/>
      <c r="O80" s="908"/>
      <c r="P80" s="908"/>
      <c r="Q80" s="908"/>
      <c r="R80" s="908"/>
      <c r="S80" s="908"/>
      <c r="T80" s="908"/>
      <c r="U80" s="908"/>
      <c r="V80" s="908"/>
      <c r="W80" s="908"/>
      <c r="X80" s="908"/>
    </row>
    <row r="81" spans="3:24" s="907" customFormat="1">
      <c r="C81" s="908"/>
      <c r="D81" s="908"/>
      <c r="E81" s="910"/>
      <c r="H81" s="908"/>
      <c r="I81" s="908"/>
      <c r="J81" s="908"/>
      <c r="K81" s="908"/>
      <c r="L81" s="908"/>
      <c r="M81" s="908"/>
      <c r="N81" s="908"/>
      <c r="O81" s="908"/>
      <c r="P81" s="908"/>
      <c r="Q81" s="908"/>
      <c r="R81" s="908"/>
      <c r="S81" s="908"/>
      <c r="T81" s="908"/>
      <c r="U81" s="908"/>
      <c r="V81" s="908"/>
      <c r="W81" s="908"/>
      <c r="X81" s="908"/>
    </row>
    <row r="82" spans="3:24" s="907" customFormat="1">
      <c r="C82" s="908"/>
      <c r="D82" s="908"/>
      <c r="E82" s="910"/>
      <c r="H82" s="908"/>
      <c r="I82" s="908"/>
      <c r="J82" s="908"/>
      <c r="K82" s="908"/>
      <c r="L82" s="908"/>
      <c r="M82" s="908"/>
      <c r="N82" s="908"/>
      <c r="O82" s="908"/>
      <c r="P82" s="908"/>
      <c r="Q82" s="908"/>
      <c r="R82" s="908"/>
      <c r="S82" s="908"/>
      <c r="T82" s="908"/>
      <c r="U82" s="908"/>
      <c r="V82" s="908"/>
      <c r="W82" s="908"/>
      <c r="X82" s="908"/>
    </row>
    <row r="83" spans="3:24" s="907" customFormat="1">
      <c r="C83" s="908"/>
      <c r="D83" s="908"/>
      <c r="E83" s="910"/>
      <c r="H83" s="908"/>
      <c r="I83" s="908"/>
      <c r="J83" s="908"/>
      <c r="K83" s="908"/>
      <c r="L83" s="908"/>
      <c r="M83" s="908"/>
      <c r="N83" s="908"/>
      <c r="O83" s="908"/>
      <c r="P83" s="908"/>
      <c r="Q83" s="908"/>
      <c r="R83" s="908"/>
      <c r="S83" s="908"/>
      <c r="T83" s="908"/>
      <c r="U83" s="908"/>
      <c r="V83" s="908"/>
      <c r="W83" s="908"/>
      <c r="X83" s="908"/>
    </row>
    <row r="84" spans="3:24" s="907" customFormat="1">
      <c r="C84" s="908"/>
      <c r="D84" s="908"/>
      <c r="E84" s="910"/>
      <c r="H84" s="908"/>
      <c r="I84" s="908"/>
      <c r="J84" s="908"/>
      <c r="K84" s="908"/>
      <c r="L84" s="908"/>
      <c r="M84" s="908"/>
      <c r="N84" s="908"/>
      <c r="O84" s="908"/>
      <c r="P84" s="908"/>
      <c r="Q84" s="908"/>
      <c r="R84" s="908"/>
      <c r="S84" s="908"/>
      <c r="T84" s="908"/>
      <c r="U84" s="908"/>
      <c r="V84" s="908"/>
      <c r="W84" s="908"/>
      <c r="X84" s="908"/>
    </row>
    <row r="85" spans="3:24" s="907" customFormat="1">
      <c r="C85" s="908"/>
      <c r="D85" s="908"/>
      <c r="E85" s="910"/>
      <c r="H85" s="908"/>
      <c r="I85" s="908"/>
      <c r="J85" s="908"/>
      <c r="K85" s="908"/>
      <c r="L85" s="908"/>
      <c r="M85" s="908"/>
      <c r="N85" s="908"/>
      <c r="O85" s="908"/>
      <c r="P85" s="908"/>
      <c r="Q85" s="908"/>
      <c r="R85" s="908"/>
      <c r="S85" s="908"/>
      <c r="T85" s="908"/>
      <c r="U85" s="908"/>
      <c r="V85" s="908"/>
      <c r="W85" s="908"/>
      <c r="X85" s="908"/>
    </row>
    <row r="86" spans="3:24" s="907" customFormat="1">
      <c r="C86" s="908"/>
      <c r="D86" s="908"/>
      <c r="E86" s="910"/>
      <c r="H86" s="908"/>
      <c r="I86" s="908"/>
      <c r="J86" s="908"/>
      <c r="K86" s="908"/>
      <c r="L86" s="908"/>
      <c r="M86" s="908"/>
      <c r="N86" s="908"/>
      <c r="O86" s="908"/>
      <c r="P86" s="908"/>
      <c r="Q86" s="908"/>
      <c r="R86" s="908"/>
      <c r="S86" s="908"/>
      <c r="T86" s="908"/>
      <c r="U86" s="908"/>
      <c r="V86" s="908"/>
      <c r="W86" s="908"/>
      <c r="X86" s="908"/>
    </row>
    <row r="87" spans="3:24" s="907" customFormat="1">
      <c r="C87" s="908"/>
      <c r="D87" s="908"/>
      <c r="E87" s="910"/>
      <c r="H87" s="908"/>
      <c r="I87" s="908"/>
      <c r="J87" s="908"/>
      <c r="K87" s="908"/>
      <c r="L87" s="908"/>
      <c r="M87" s="908"/>
      <c r="N87" s="908"/>
      <c r="O87" s="908"/>
      <c r="P87" s="908"/>
      <c r="Q87" s="908"/>
      <c r="R87" s="908"/>
      <c r="S87" s="908"/>
      <c r="T87" s="908"/>
      <c r="U87" s="908"/>
      <c r="V87" s="908"/>
      <c r="W87" s="908"/>
      <c r="X87" s="908"/>
    </row>
    <row r="88" spans="3:24" s="907" customFormat="1">
      <c r="C88" s="908"/>
      <c r="D88" s="908"/>
      <c r="E88" s="910"/>
      <c r="H88" s="908"/>
      <c r="I88" s="908"/>
      <c r="J88" s="908"/>
      <c r="K88" s="908"/>
      <c r="L88" s="908"/>
      <c r="M88" s="908"/>
      <c r="N88" s="908"/>
      <c r="O88" s="908"/>
      <c r="P88" s="908"/>
      <c r="Q88" s="908"/>
      <c r="R88" s="908"/>
      <c r="S88" s="908"/>
      <c r="T88" s="908"/>
      <c r="U88" s="908"/>
      <c r="V88" s="908"/>
      <c r="W88" s="908"/>
      <c r="X88" s="908"/>
    </row>
    <row r="89" spans="3:24" s="907" customFormat="1">
      <c r="C89" s="908"/>
      <c r="D89" s="908"/>
      <c r="E89" s="910"/>
      <c r="H89" s="908"/>
      <c r="I89" s="908"/>
      <c r="J89" s="908"/>
      <c r="K89" s="908"/>
      <c r="L89" s="908"/>
      <c r="M89" s="908"/>
      <c r="N89" s="908"/>
      <c r="O89" s="908"/>
      <c r="P89" s="908"/>
      <c r="Q89" s="908"/>
      <c r="R89" s="908"/>
      <c r="S89" s="908"/>
      <c r="T89" s="908"/>
      <c r="U89" s="908"/>
      <c r="V89" s="908"/>
      <c r="W89" s="908"/>
      <c r="X89" s="908"/>
    </row>
    <row r="90" spans="3:24" s="907" customFormat="1">
      <c r="C90" s="908"/>
      <c r="D90" s="908"/>
      <c r="E90" s="910"/>
      <c r="H90" s="908"/>
      <c r="I90" s="908"/>
      <c r="J90" s="908"/>
      <c r="K90" s="908"/>
      <c r="L90" s="908"/>
      <c r="M90" s="908"/>
      <c r="N90" s="908"/>
      <c r="O90" s="908"/>
      <c r="P90" s="908"/>
      <c r="Q90" s="908"/>
      <c r="R90" s="908"/>
      <c r="S90" s="908"/>
      <c r="T90" s="908"/>
      <c r="U90" s="908"/>
      <c r="V90" s="908"/>
      <c r="W90" s="908"/>
      <c r="X90" s="908"/>
    </row>
    <row r="91" spans="3:24" s="907" customFormat="1">
      <c r="C91" s="908"/>
      <c r="D91" s="908"/>
      <c r="E91" s="910"/>
      <c r="H91" s="908"/>
      <c r="I91" s="908"/>
      <c r="J91" s="908"/>
      <c r="K91" s="908"/>
      <c r="L91" s="908"/>
      <c r="M91" s="908"/>
      <c r="N91" s="908"/>
      <c r="O91" s="908"/>
      <c r="P91" s="908"/>
      <c r="Q91" s="908"/>
      <c r="R91" s="908"/>
      <c r="S91" s="908"/>
      <c r="T91" s="908"/>
      <c r="U91" s="908"/>
      <c r="V91" s="908"/>
      <c r="W91" s="908"/>
      <c r="X91" s="908"/>
    </row>
    <row r="92" spans="3:24" s="907" customFormat="1">
      <c r="C92" s="908"/>
      <c r="D92" s="908"/>
      <c r="E92" s="910"/>
      <c r="H92" s="908"/>
      <c r="I92" s="908"/>
      <c r="J92" s="908"/>
      <c r="K92" s="908"/>
      <c r="L92" s="908"/>
      <c r="M92" s="908"/>
      <c r="N92" s="908"/>
      <c r="O92" s="908"/>
      <c r="P92" s="908"/>
      <c r="Q92" s="908"/>
      <c r="R92" s="908"/>
      <c r="S92" s="908"/>
      <c r="T92" s="908"/>
      <c r="U92" s="908"/>
      <c r="V92" s="908"/>
      <c r="W92" s="908"/>
      <c r="X92" s="908"/>
    </row>
    <row r="93" spans="3:24" s="907" customFormat="1">
      <c r="C93" s="908"/>
      <c r="D93" s="908"/>
      <c r="E93" s="910"/>
      <c r="H93" s="908"/>
      <c r="I93" s="908"/>
      <c r="J93" s="908"/>
      <c r="K93" s="908"/>
      <c r="L93" s="908"/>
      <c r="M93" s="908"/>
      <c r="N93" s="908"/>
      <c r="O93" s="908"/>
      <c r="P93" s="908"/>
      <c r="Q93" s="908"/>
      <c r="R93" s="908"/>
      <c r="S93" s="908"/>
      <c r="T93" s="908"/>
      <c r="U93" s="908"/>
      <c r="V93" s="908"/>
      <c r="W93" s="908"/>
      <c r="X93" s="908"/>
    </row>
    <row r="94" spans="3:24" s="907" customFormat="1">
      <c r="C94" s="908"/>
      <c r="D94" s="908"/>
      <c r="E94" s="910"/>
      <c r="H94" s="908"/>
      <c r="I94" s="908"/>
      <c r="J94" s="908"/>
      <c r="K94" s="908"/>
      <c r="L94" s="908"/>
      <c r="M94" s="908"/>
      <c r="N94" s="908"/>
      <c r="O94" s="908"/>
      <c r="P94" s="908"/>
      <c r="Q94" s="908"/>
      <c r="R94" s="908"/>
      <c r="S94" s="908"/>
      <c r="T94" s="908"/>
      <c r="U94" s="908"/>
      <c r="V94" s="908"/>
      <c r="W94" s="908"/>
      <c r="X94" s="908"/>
    </row>
    <row r="95" spans="3:24" s="907" customFormat="1">
      <c r="C95" s="908"/>
      <c r="D95" s="908"/>
      <c r="E95" s="910"/>
      <c r="H95" s="908"/>
      <c r="I95" s="908"/>
      <c r="J95" s="908"/>
      <c r="K95" s="908"/>
      <c r="L95" s="908"/>
      <c r="M95" s="908"/>
      <c r="N95" s="908"/>
      <c r="O95" s="908"/>
      <c r="P95" s="908"/>
      <c r="Q95" s="908"/>
      <c r="R95" s="908"/>
      <c r="S95" s="908"/>
      <c r="T95" s="908"/>
      <c r="U95" s="908"/>
      <c r="V95" s="908"/>
      <c r="W95" s="908"/>
      <c r="X95" s="908"/>
    </row>
    <row r="96" spans="3:24" s="907" customFormat="1">
      <c r="C96" s="908"/>
      <c r="D96" s="908"/>
      <c r="E96" s="910"/>
      <c r="H96" s="908"/>
      <c r="I96" s="908"/>
      <c r="J96" s="908"/>
      <c r="K96" s="908"/>
      <c r="L96" s="908"/>
      <c r="M96" s="908"/>
      <c r="N96" s="908"/>
      <c r="O96" s="908"/>
      <c r="P96" s="908"/>
      <c r="Q96" s="908"/>
      <c r="R96" s="908"/>
      <c r="S96" s="908"/>
      <c r="T96" s="908"/>
      <c r="U96" s="908"/>
      <c r="V96" s="908"/>
      <c r="W96" s="908"/>
      <c r="X96" s="908"/>
    </row>
    <row r="97" spans="3:24" s="907" customFormat="1">
      <c r="C97" s="908"/>
      <c r="D97" s="908"/>
      <c r="E97" s="910"/>
      <c r="H97" s="908"/>
      <c r="I97" s="908"/>
      <c r="J97" s="908"/>
      <c r="K97" s="908"/>
      <c r="L97" s="908"/>
      <c r="M97" s="908"/>
      <c r="N97" s="908"/>
      <c r="O97" s="908"/>
      <c r="P97" s="908"/>
      <c r="Q97" s="908"/>
      <c r="R97" s="908"/>
      <c r="S97" s="908"/>
      <c r="T97" s="908"/>
      <c r="U97" s="908"/>
      <c r="V97" s="908"/>
      <c r="W97" s="908"/>
      <c r="X97" s="908"/>
    </row>
    <row r="98" spans="3:24" s="907" customFormat="1">
      <c r="C98" s="908"/>
      <c r="D98" s="908"/>
      <c r="E98" s="910"/>
      <c r="H98" s="908"/>
      <c r="I98" s="908"/>
      <c r="J98" s="908"/>
      <c r="K98" s="908"/>
      <c r="L98" s="908"/>
      <c r="M98" s="908"/>
      <c r="N98" s="908"/>
      <c r="O98" s="908"/>
      <c r="P98" s="908"/>
      <c r="Q98" s="908"/>
      <c r="R98" s="908"/>
      <c r="S98" s="908"/>
      <c r="T98" s="908"/>
      <c r="U98" s="908"/>
      <c r="V98" s="908"/>
      <c r="W98" s="908"/>
      <c r="X98" s="908"/>
    </row>
    <row r="99" spans="3:24" s="907" customFormat="1">
      <c r="C99" s="908"/>
      <c r="D99" s="908"/>
      <c r="E99" s="910"/>
      <c r="H99" s="908"/>
      <c r="I99" s="908"/>
      <c r="J99" s="908"/>
      <c r="K99" s="908"/>
      <c r="L99" s="908"/>
      <c r="M99" s="908"/>
      <c r="N99" s="908"/>
      <c r="O99" s="908"/>
      <c r="P99" s="908"/>
      <c r="Q99" s="908"/>
      <c r="R99" s="908"/>
      <c r="S99" s="908"/>
      <c r="T99" s="908"/>
      <c r="U99" s="908"/>
      <c r="V99" s="908"/>
      <c r="W99" s="908"/>
      <c r="X99" s="908"/>
    </row>
    <row r="100" spans="3:24" s="907" customFormat="1">
      <c r="C100" s="908"/>
      <c r="D100" s="908"/>
      <c r="E100" s="910"/>
      <c r="H100" s="908"/>
      <c r="I100" s="908"/>
      <c r="J100" s="908"/>
      <c r="K100" s="908"/>
      <c r="L100" s="908"/>
      <c r="M100" s="908"/>
      <c r="N100" s="908"/>
      <c r="O100" s="908"/>
      <c r="P100" s="908"/>
      <c r="Q100" s="908"/>
      <c r="R100" s="908"/>
      <c r="S100" s="908"/>
      <c r="T100" s="908"/>
      <c r="U100" s="908"/>
      <c r="V100" s="908"/>
      <c r="W100" s="908"/>
      <c r="X100" s="908"/>
    </row>
    <row r="101" spans="3:24" s="907" customFormat="1">
      <c r="C101" s="908"/>
      <c r="D101" s="908"/>
      <c r="E101" s="910"/>
      <c r="H101" s="908"/>
      <c r="I101" s="908"/>
      <c r="J101" s="908"/>
      <c r="K101" s="908"/>
      <c r="L101" s="908"/>
      <c r="M101" s="908"/>
      <c r="N101" s="908"/>
      <c r="O101" s="908"/>
      <c r="P101" s="908"/>
      <c r="Q101" s="908"/>
      <c r="R101" s="908"/>
      <c r="S101" s="908"/>
      <c r="T101" s="908"/>
      <c r="U101" s="908"/>
      <c r="V101" s="908"/>
      <c r="W101" s="908"/>
      <c r="X101" s="908"/>
    </row>
    <row r="102" spans="3:24" s="907" customFormat="1">
      <c r="C102" s="908"/>
      <c r="D102" s="908"/>
      <c r="E102" s="910"/>
      <c r="H102" s="908"/>
      <c r="I102" s="908"/>
      <c r="J102" s="908"/>
      <c r="K102" s="908"/>
      <c r="L102" s="908"/>
      <c r="M102" s="908"/>
      <c r="N102" s="908"/>
      <c r="O102" s="908"/>
      <c r="P102" s="908"/>
      <c r="Q102" s="908"/>
      <c r="R102" s="908"/>
      <c r="S102" s="908"/>
      <c r="T102" s="908"/>
      <c r="U102" s="908"/>
      <c r="V102" s="908"/>
      <c r="W102" s="908"/>
      <c r="X102" s="908"/>
    </row>
    <row r="103" spans="3:24" s="907" customFormat="1">
      <c r="C103" s="908"/>
      <c r="D103" s="908"/>
      <c r="E103" s="910"/>
      <c r="H103" s="908"/>
      <c r="I103" s="908"/>
      <c r="J103" s="908"/>
      <c r="K103" s="908"/>
      <c r="L103" s="908"/>
      <c r="M103" s="908"/>
      <c r="N103" s="908"/>
      <c r="O103" s="908"/>
      <c r="P103" s="908"/>
      <c r="Q103" s="908"/>
      <c r="R103" s="908"/>
      <c r="S103" s="908"/>
      <c r="T103" s="908"/>
      <c r="U103" s="908"/>
      <c r="V103" s="908"/>
      <c r="W103" s="908"/>
      <c r="X103" s="908"/>
    </row>
    <row r="104" spans="3:24" s="907" customFormat="1">
      <c r="C104" s="908"/>
      <c r="D104" s="908"/>
      <c r="E104" s="910"/>
      <c r="H104" s="908"/>
      <c r="I104" s="908"/>
      <c r="J104" s="908"/>
      <c r="K104" s="908"/>
      <c r="L104" s="908"/>
      <c r="M104" s="908"/>
      <c r="N104" s="908"/>
      <c r="O104" s="908"/>
      <c r="P104" s="908"/>
      <c r="Q104" s="908"/>
      <c r="R104" s="908"/>
      <c r="S104" s="908"/>
      <c r="T104" s="908"/>
      <c r="U104" s="908"/>
      <c r="V104" s="908"/>
      <c r="W104" s="908"/>
      <c r="X104" s="908"/>
    </row>
    <row r="105" spans="3:24" s="907" customFormat="1">
      <c r="C105" s="908"/>
      <c r="D105" s="908"/>
      <c r="E105" s="910"/>
      <c r="H105" s="908"/>
      <c r="I105" s="908"/>
      <c r="J105" s="908"/>
      <c r="K105" s="908"/>
      <c r="L105" s="908"/>
      <c r="M105" s="908"/>
      <c r="N105" s="908"/>
      <c r="O105" s="908"/>
      <c r="P105" s="908"/>
      <c r="Q105" s="908"/>
      <c r="R105" s="908"/>
      <c r="S105" s="908"/>
      <c r="T105" s="908"/>
      <c r="U105" s="908"/>
      <c r="V105" s="908"/>
      <c r="W105" s="908"/>
      <c r="X105" s="908"/>
    </row>
  </sheetData>
  <mergeCells count="13">
    <mergeCell ref="Q2:U2"/>
    <mergeCell ref="V2:W2"/>
    <mergeCell ref="J47:K47"/>
    <mergeCell ref="B48:B56"/>
    <mergeCell ref="J48:K48"/>
    <mergeCell ref="J49:K49"/>
    <mergeCell ref="J50:K50"/>
    <mergeCell ref="J51:K51"/>
    <mergeCell ref="J52:K52"/>
    <mergeCell ref="J53:K53"/>
    <mergeCell ref="J54:K54"/>
    <mergeCell ref="J55:K55"/>
    <mergeCell ref="J56:K56"/>
  </mergeCells>
  <phoneticPr fontId="2" type="noConversion"/>
  <pageMargins left="0.7" right="0.7" top="0.75" bottom="0.75" header="0.3" footer="0.3"/>
  <pageSetup paperSize="9" scale="4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40F2-6DD4-4547-8AD6-A35220D6A4D1}">
  <sheetPr codeName="Sheet4"/>
  <dimension ref="A1"/>
  <sheetViews>
    <sheetView workbookViewId="0">
      <selection activeCell="G22" sqref="G22"/>
    </sheetView>
  </sheetViews>
  <sheetFormatPr defaultRowHeight="17.399999999999999"/>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B9B2-7829-4F69-8275-4FC677E282DD}">
  <sheetPr codeName="Sheet5">
    <tabColor theme="5" tint="0.59999389629810485"/>
    <pageSetUpPr fitToPage="1"/>
  </sheetPr>
  <dimension ref="B1:Y183"/>
  <sheetViews>
    <sheetView showGridLines="0" zoomScale="70" zoomScaleNormal="70" zoomScaleSheetLayoutView="115" workbookViewId="0">
      <pane xSplit="2" ySplit="6" topLeftCell="C16" activePane="bottomRight" state="frozen"/>
      <selection pane="topRight" activeCell="N118" sqref="N118"/>
      <selection pane="bottomLeft" activeCell="N118" sqref="N118"/>
      <selection pane="bottomRight" activeCell="N25" sqref="N25"/>
    </sheetView>
  </sheetViews>
  <sheetFormatPr defaultRowHeight="17.399999999999999"/>
  <cols>
    <col min="1" max="1" width="2" customWidth="1"/>
    <col min="4" max="4" width="12.09765625" bestFit="1" customWidth="1"/>
    <col min="5" max="5" width="11.09765625" customWidth="1"/>
    <col min="6" max="6" width="15.59765625" bestFit="1" customWidth="1"/>
    <col min="7" max="7" width="17.59765625" bestFit="1" customWidth="1"/>
    <col min="8" max="8" width="16.09765625" style="1" customWidth="1"/>
    <col min="9" max="9" width="16.59765625" customWidth="1"/>
    <col min="10" max="10" width="9.59765625" customWidth="1"/>
    <col min="11" max="11" width="18.59765625" customWidth="1"/>
    <col min="12" max="12" width="17.09765625" customWidth="1"/>
    <col min="13" max="13" width="14.09765625" customWidth="1"/>
    <col min="14" max="14" width="16.59765625" bestFit="1" customWidth="1"/>
    <col min="15" max="15" width="16.09765625" bestFit="1" customWidth="1"/>
    <col min="16" max="16" width="10.09765625" customWidth="1"/>
    <col min="17" max="17" width="16.09765625" bestFit="1" customWidth="1"/>
    <col min="18" max="18" width="11.59765625" bestFit="1" customWidth="1"/>
    <col min="19" max="22" width="13" bestFit="1" customWidth="1"/>
    <col min="23" max="23" width="8.59765625" bestFit="1" customWidth="1"/>
    <col min="24" max="25" width="13" bestFit="1" customWidth="1"/>
  </cols>
  <sheetData>
    <row r="1" spans="2:18" ht="30">
      <c r="B1" s="34" t="s">
        <v>393</v>
      </c>
      <c r="I1" s="1"/>
    </row>
    <row r="2" spans="2:18" ht="19.2" hidden="1">
      <c r="B2" s="154" t="s">
        <v>113</v>
      </c>
      <c r="D2" t="s">
        <v>114</v>
      </c>
      <c r="E2" t="s">
        <v>115</v>
      </c>
    </row>
    <row r="3" spans="2:18" ht="19.2" hidden="1">
      <c r="B3" s="154"/>
      <c r="D3" t="s">
        <v>116</v>
      </c>
      <c r="E3" t="s">
        <v>117</v>
      </c>
    </row>
    <row r="4" spans="2:18" ht="19.2" hidden="1">
      <c r="B4" s="154"/>
      <c r="D4" t="s">
        <v>118</v>
      </c>
      <c r="E4" t="s">
        <v>117</v>
      </c>
    </row>
    <row r="5" spans="2:18" ht="18" thickBot="1">
      <c r="K5" s="1575" t="s">
        <v>394</v>
      </c>
      <c r="L5" s="1575"/>
    </row>
    <row r="6" spans="2:18" ht="18" thickBot="1">
      <c r="B6" s="27" t="s">
        <v>122</v>
      </c>
      <c r="C6" s="28" t="s">
        <v>123</v>
      </c>
      <c r="D6" s="28" t="s">
        <v>124</v>
      </c>
      <c r="E6" s="28" t="s">
        <v>125</v>
      </c>
      <c r="F6" s="28" t="s">
        <v>126</v>
      </c>
      <c r="G6" s="28" t="s">
        <v>127</v>
      </c>
      <c r="H6" s="29" t="s">
        <v>128</v>
      </c>
      <c r="I6" s="28" t="s">
        <v>129</v>
      </c>
      <c r="J6" s="30" t="s">
        <v>130</v>
      </c>
      <c r="K6" s="31" t="s">
        <v>131</v>
      </c>
      <c r="L6" s="30" t="s">
        <v>60</v>
      </c>
    </row>
    <row r="7" spans="2:18">
      <c r="B7" s="1564" t="s">
        <v>3</v>
      </c>
      <c r="C7" s="196" t="s">
        <v>133</v>
      </c>
      <c r="D7" s="8" t="s">
        <v>134</v>
      </c>
      <c r="E7" s="8" t="s">
        <v>135</v>
      </c>
      <c r="F7" s="8" t="s">
        <v>136</v>
      </c>
      <c r="G7" s="33">
        <v>302597280</v>
      </c>
      <c r="H7" s="33">
        <f>'[1]2024년 계획_변경적용'!F45</f>
        <v>736312500</v>
      </c>
      <c r="I7" s="33">
        <v>302597280</v>
      </c>
      <c r="J7" s="20">
        <f>+I7/H7</f>
        <v>0.41096311688311687</v>
      </c>
      <c r="K7" s="33">
        <v>302597280</v>
      </c>
      <c r="L7" s="177">
        <f>I7-K7</f>
        <v>0</v>
      </c>
      <c r="N7" s="10"/>
    </row>
    <row r="8" spans="2:18">
      <c r="B8" s="1563"/>
      <c r="C8" s="197" t="s">
        <v>133</v>
      </c>
      <c r="D8" s="3" t="s">
        <v>134</v>
      </c>
      <c r="E8" s="3" t="s">
        <v>135</v>
      </c>
      <c r="F8" s="3" t="s">
        <v>137</v>
      </c>
      <c r="G8" s="4">
        <v>0</v>
      </c>
      <c r="H8" s="4">
        <f>'[1]2024년 계획_변경적용'!F44</f>
        <v>0</v>
      </c>
      <c r="I8" s="4">
        <v>0</v>
      </c>
      <c r="J8" s="21"/>
      <c r="K8" s="4">
        <v>0</v>
      </c>
      <c r="L8" s="35">
        <f t="shared" ref="L8:L16" si="0">I8-K8</f>
        <v>0</v>
      </c>
    </row>
    <row r="9" spans="2:18">
      <c r="B9" s="1563"/>
      <c r="C9" s="197" t="s">
        <v>133</v>
      </c>
      <c r="D9" s="3" t="s">
        <v>134</v>
      </c>
      <c r="E9" s="3" t="s">
        <v>135</v>
      </c>
      <c r="F9" s="3" t="s">
        <v>138</v>
      </c>
      <c r="G9" s="4">
        <v>0</v>
      </c>
      <c r="H9" s="4">
        <f>'[1]2024년 계획_변경적용'!F48</f>
        <v>0</v>
      </c>
      <c r="I9" s="4">
        <v>0</v>
      </c>
      <c r="J9" s="21"/>
      <c r="K9" s="4">
        <v>0</v>
      </c>
      <c r="L9" s="35">
        <f t="shared" si="0"/>
        <v>0</v>
      </c>
    </row>
    <row r="10" spans="2:18">
      <c r="B10" s="1563"/>
      <c r="C10" s="197" t="s">
        <v>133</v>
      </c>
      <c r="D10" s="3" t="s">
        <v>134</v>
      </c>
      <c r="E10" s="3" t="s">
        <v>135</v>
      </c>
      <c r="F10" s="3" t="s">
        <v>139</v>
      </c>
      <c r="G10" s="4">
        <v>1013747020</v>
      </c>
      <c r="H10" s="4">
        <f>'[1]2024년 계획_변경적용'!F46</f>
        <v>959310827.99423397</v>
      </c>
      <c r="I10" s="4">
        <v>1013747020</v>
      </c>
      <c r="J10" s="21">
        <f t="shared" ref="J10:J13" si="1">+I10/H10</f>
        <v>1.0567451032733399</v>
      </c>
      <c r="K10" s="4">
        <v>1013747020</v>
      </c>
      <c r="L10" s="155">
        <f t="shared" si="0"/>
        <v>0</v>
      </c>
    </row>
    <row r="11" spans="2:18">
      <c r="B11" s="1563"/>
      <c r="C11" s="197" t="s">
        <v>133</v>
      </c>
      <c r="D11" s="3" t="s">
        <v>134</v>
      </c>
      <c r="E11" s="3" t="s">
        <v>135</v>
      </c>
      <c r="F11" s="3" t="s">
        <v>140</v>
      </c>
      <c r="G11" s="4">
        <v>4869898150</v>
      </c>
      <c r="H11" s="4">
        <f>'[1]2024년 계획_변경적용'!F47</f>
        <v>4405740000</v>
      </c>
      <c r="I11" s="4">
        <v>4869898150</v>
      </c>
      <c r="J11" s="21">
        <f t="shared" si="1"/>
        <v>1.1053530507928293</v>
      </c>
      <c r="K11" s="4">
        <f>5437734400-580000000</f>
        <v>4857734400</v>
      </c>
      <c r="L11" s="155">
        <f t="shared" si="0"/>
        <v>12163750</v>
      </c>
    </row>
    <row r="12" spans="2:18">
      <c r="B12" s="1563"/>
      <c r="C12" s="197" t="s">
        <v>133</v>
      </c>
      <c r="D12" s="3" t="s">
        <v>134</v>
      </c>
      <c r="E12" s="3" t="s">
        <v>135</v>
      </c>
      <c r="F12" s="3" t="s">
        <v>141</v>
      </c>
      <c r="G12" s="4">
        <v>0</v>
      </c>
      <c r="H12" s="4">
        <f>'[1]2024년 계획_변경적용'!F50</f>
        <v>0</v>
      </c>
      <c r="I12" s="4">
        <v>0</v>
      </c>
      <c r="J12" s="21"/>
      <c r="K12" s="4">
        <v>0</v>
      </c>
      <c r="L12" s="155">
        <f t="shared" si="0"/>
        <v>0</v>
      </c>
    </row>
    <row r="13" spans="2:18">
      <c r="B13" s="1563"/>
      <c r="C13" s="197" t="s">
        <v>133</v>
      </c>
      <c r="D13" s="3" t="s">
        <v>134</v>
      </c>
      <c r="E13" s="3" t="s">
        <v>135</v>
      </c>
      <c r="F13" s="3" t="s">
        <v>142</v>
      </c>
      <c r="G13" s="4">
        <v>0</v>
      </c>
      <c r="H13" s="4">
        <f>'[1]2024년 계획_변경적용'!F53</f>
        <v>490500000</v>
      </c>
      <c r="I13" s="4">
        <v>0</v>
      </c>
      <c r="J13" s="21">
        <f t="shared" si="1"/>
        <v>0</v>
      </c>
      <c r="K13" s="4">
        <v>0</v>
      </c>
      <c r="L13" s="719">
        <f t="shared" si="0"/>
        <v>0</v>
      </c>
      <c r="R13" s="10"/>
    </row>
    <row r="14" spans="2:18">
      <c r="B14" s="1563"/>
      <c r="C14" s="197" t="s">
        <v>133</v>
      </c>
      <c r="D14" s="3" t="s">
        <v>134</v>
      </c>
      <c r="E14" s="3" t="s">
        <v>135</v>
      </c>
      <c r="F14" s="3" t="s">
        <v>146</v>
      </c>
      <c r="G14" s="4">
        <v>439139429</v>
      </c>
      <c r="H14" s="4">
        <f>'[1]2024년 계획_변경적용'!F51</f>
        <v>0</v>
      </c>
      <c r="I14" s="4">
        <v>439139429</v>
      </c>
      <c r="J14" s="21"/>
      <c r="K14" s="4">
        <v>404210000</v>
      </c>
      <c r="L14" s="35">
        <f t="shared" si="0"/>
        <v>34929429</v>
      </c>
      <c r="R14" s="10"/>
    </row>
    <row r="15" spans="2:18">
      <c r="B15" s="1563"/>
      <c r="C15" s="550" t="s">
        <v>133</v>
      </c>
      <c r="D15" s="697" t="s">
        <v>134</v>
      </c>
      <c r="E15" s="697" t="s">
        <v>135</v>
      </c>
      <c r="F15" s="697" t="s">
        <v>147</v>
      </c>
      <c r="G15" s="698">
        <v>67266666</v>
      </c>
      <c r="H15" s="698">
        <f>'[1]2024년 계획_변경적용'!F52</f>
        <v>0</v>
      </c>
      <c r="I15" s="698">
        <v>67266666</v>
      </c>
      <c r="J15" s="699"/>
      <c r="K15" s="698">
        <v>42700000</v>
      </c>
      <c r="L15" s="823">
        <f t="shared" si="0"/>
        <v>24566666</v>
      </c>
      <c r="M15" s="15"/>
      <c r="R15" s="10"/>
    </row>
    <row r="16" spans="2:18" ht="18" thickBot="1">
      <c r="B16" s="1563"/>
      <c r="C16" s="17" t="s">
        <v>133</v>
      </c>
      <c r="D16" s="17" t="s">
        <v>134</v>
      </c>
      <c r="E16" s="17" t="s">
        <v>135</v>
      </c>
      <c r="F16" s="17" t="s">
        <v>148</v>
      </c>
      <c r="G16" s="6">
        <v>39867000</v>
      </c>
      <c r="H16" s="6">
        <v>0</v>
      </c>
      <c r="I16" s="6">
        <v>39867000</v>
      </c>
      <c r="J16" s="22"/>
      <c r="K16" s="6">
        <v>39867000</v>
      </c>
      <c r="L16" s="36">
        <f t="shared" si="0"/>
        <v>0</v>
      </c>
      <c r="M16" s="15"/>
      <c r="R16" s="10"/>
    </row>
    <row r="17" spans="2:18" ht="18.75" customHeight="1" thickBot="1">
      <c r="B17" s="1559"/>
      <c r="C17" s="1570" t="s">
        <v>149</v>
      </c>
      <c r="D17" s="1570"/>
      <c r="E17" s="1570"/>
      <c r="F17" s="1571"/>
      <c r="G17" s="144">
        <f>SUM(G7:G16)</f>
        <v>6732515545</v>
      </c>
      <c r="H17" s="144">
        <f>SUM(H7:H16)</f>
        <v>6591863327.9942341</v>
      </c>
      <c r="I17" s="144">
        <f>SUM(I7:I16)</f>
        <v>6732515545</v>
      </c>
      <c r="J17" s="145">
        <f>G17/H17</f>
        <v>1.0213372471495952</v>
      </c>
      <c r="K17" s="146">
        <f>SUM(K7:K16)</f>
        <v>6660855700</v>
      </c>
      <c r="L17" s="39">
        <f>SUM(L7:L16)</f>
        <v>71659845</v>
      </c>
      <c r="R17" s="10"/>
    </row>
    <row r="18" spans="2:18">
      <c r="B18" s="1564" t="s">
        <v>4</v>
      </c>
      <c r="C18" s="197" t="s">
        <v>133</v>
      </c>
      <c r="D18" s="3" t="s">
        <v>134</v>
      </c>
      <c r="E18" s="3" t="s">
        <v>135</v>
      </c>
      <c r="F18" s="3" t="s">
        <v>136</v>
      </c>
      <c r="G18" s="4">
        <v>5372064744</v>
      </c>
      <c r="H18" s="4">
        <f>'[1]2024년 계획_변경적용'!G45</f>
        <v>3253527000</v>
      </c>
      <c r="I18" s="4">
        <v>5372064744</v>
      </c>
      <c r="J18" s="21">
        <f t="shared" ref="J18:J26" si="2">+G18/H18</f>
        <v>1.6511511181557736</v>
      </c>
      <c r="K18" s="4">
        <v>5372064744</v>
      </c>
      <c r="L18" s="177">
        <f>I18-K18</f>
        <v>0</v>
      </c>
    </row>
    <row r="19" spans="2:18">
      <c r="B19" s="1563"/>
      <c r="C19" s="197" t="s">
        <v>133</v>
      </c>
      <c r="D19" s="3" t="s">
        <v>134</v>
      </c>
      <c r="E19" s="3" t="s">
        <v>135</v>
      </c>
      <c r="F19" s="3" t="s">
        <v>137</v>
      </c>
      <c r="G19" s="4">
        <v>0</v>
      </c>
      <c r="H19" s="4">
        <f>'[1]2024년 계획_변경적용'!G44</f>
        <v>0</v>
      </c>
      <c r="I19" s="4">
        <v>0</v>
      </c>
      <c r="J19" s="21"/>
      <c r="K19" s="4">
        <v>0</v>
      </c>
      <c r="L19" s="155">
        <f t="shared" ref="L19:L27" si="3">I19-K19</f>
        <v>0</v>
      </c>
    </row>
    <row r="20" spans="2:18">
      <c r="B20" s="1563"/>
      <c r="C20" s="197" t="s">
        <v>133</v>
      </c>
      <c r="D20" s="3" t="s">
        <v>134</v>
      </c>
      <c r="E20" s="3" t="s">
        <v>135</v>
      </c>
      <c r="F20" s="3" t="s">
        <v>138</v>
      </c>
      <c r="G20" s="4">
        <v>0</v>
      </c>
      <c r="H20" s="4">
        <f>'[1]2024년 계획_변경적용'!G48</f>
        <v>0</v>
      </c>
      <c r="I20" s="4">
        <v>0</v>
      </c>
      <c r="J20" s="21"/>
      <c r="K20" s="4">
        <v>0</v>
      </c>
      <c r="L20" s="155">
        <f t="shared" si="3"/>
        <v>0</v>
      </c>
    </row>
    <row r="21" spans="2:18">
      <c r="B21" s="1563"/>
      <c r="C21" s="197" t="s">
        <v>133</v>
      </c>
      <c r="D21" s="3" t="s">
        <v>134</v>
      </c>
      <c r="E21" s="3" t="s">
        <v>135</v>
      </c>
      <c r="F21" s="3" t="s">
        <v>139</v>
      </c>
      <c r="G21" s="4">
        <v>684982200</v>
      </c>
      <c r="H21" s="4">
        <f>'[1]2024년 계획_변경적용'!G46</f>
        <v>959310827.9942342</v>
      </c>
      <c r="I21" s="4">
        <v>684982200</v>
      </c>
      <c r="J21" s="21">
        <f t="shared" si="2"/>
        <v>0.71403572232389834</v>
      </c>
      <c r="K21" s="4">
        <v>684982200</v>
      </c>
      <c r="L21" s="720">
        <f t="shared" si="3"/>
        <v>0</v>
      </c>
      <c r="N21" s="10"/>
    </row>
    <row r="22" spans="2:18">
      <c r="B22" s="1563"/>
      <c r="C22" s="197" t="s">
        <v>133</v>
      </c>
      <c r="D22" s="3" t="s">
        <v>134</v>
      </c>
      <c r="E22" s="3" t="s">
        <v>135</v>
      </c>
      <c r="F22" s="3" t="s">
        <v>140</v>
      </c>
      <c r="G22" s="4">
        <v>4437683550</v>
      </c>
      <c r="H22" s="4">
        <f>'[1]2024년 계획_변경적용'!G47</f>
        <v>478662462.07895321</v>
      </c>
      <c r="I22" s="4">
        <v>4437683550</v>
      </c>
      <c r="J22" s="21"/>
      <c r="K22" s="4">
        <v>4437583550</v>
      </c>
      <c r="L22" s="155">
        <f t="shared" si="3"/>
        <v>100000</v>
      </c>
      <c r="N22" s="10"/>
    </row>
    <row r="23" spans="2:18">
      <c r="B23" s="1563"/>
      <c r="C23" s="197" t="s">
        <v>133</v>
      </c>
      <c r="D23" s="3" t="s">
        <v>134</v>
      </c>
      <c r="E23" s="3" t="s">
        <v>135</v>
      </c>
      <c r="F23" s="3" t="s">
        <v>141</v>
      </c>
      <c r="G23" s="4">
        <v>40000000</v>
      </c>
      <c r="H23" s="4">
        <f>'[1]2024년 계획_변경적용'!G50</f>
        <v>40000000</v>
      </c>
      <c r="I23" s="4">
        <v>40000000</v>
      </c>
      <c r="J23" s="21">
        <f t="shared" si="2"/>
        <v>1</v>
      </c>
      <c r="K23" s="4">
        <v>40000000</v>
      </c>
      <c r="L23" s="155">
        <f t="shared" si="3"/>
        <v>0</v>
      </c>
      <c r="N23" s="10"/>
    </row>
    <row r="24" spans="2:18">
      <c r="B24" s="1563"/>
      <c r="C24" s="197" t="s">
        <v>133</v>
      </c>
      <c r="D24" s="3" t="s">
        <v>134</v>
      </c>
      <c r="E24" s="3" t="s">
        <v>135</v>
      </c>
      <c r="F24" s="3" t="s">
        <v>142</v>
      </c>
      <c r="G24" s="4">
        <v>0</v>
      </c>
      <c r="H24" s="4">
        <f>'[1]2024년 계획_변경적용'!G53</f>
        <v>766500000</v>
      </c>
      <c r="I24" s="4">
        <v>0</v>
      </c>
      <c r="J24" s="21">
        <f t="shared" si="2"/>
        <v>0</v>
      </c>
      <c r="K24" s="4">
        <v>0</v>
      </c>
      <c r="L24" s="155">
        <f t="shared" si="3"/>
        <v>0</v>
      </c>
      <c r="N24" s="10"/>
      <c r="Q24" s="10"/>
      <c r="R24" s="10"/>
    </row>
    <row r="25" spans="2:18">
      <c r="B25" s="1563"/>
      <c r="C25" s="197" t="s">
        <v>133</v>
      </c>
      <c r="D25" s="3" t="s">
        <v>134</v>
      </c>
      <c r="E25" s="3" t="s">
        <v>135</v>
      </c>
      <c r="F25" s="3" t="s">
        <v>146</v>
      </c>
      <c r="G25" s="4">
        <v>14069429</v>
      </c>
      <c r="H25" s="4">
        <f>'[1]2024년 계획_변경적용'!G51</f>
        <v>162000000</v>
      </c>
      <c r="I25" s="4">
        <v>14069429</v>
      </c>
      <c r="J25" s="21">
        <f t="shared" si="2"/>
        <v>8.684832716049383E-2</v>
      </c>
      <c r="K25" s="4">
        <v>0</v>
      </c>
      <c r="L25" s="720">
        <f t="shared" si="3"/>
        <v>14069429</v>
      </c>
      <c r="N25" s="10"/>
      <c r="Q25" s="10"/>
      <c r="R25" s="10"/>
    </row>
    <row r="26" spans="2:18">
      <c r="B26" s="1563"/>
      <c r="C26" s="197" t="s">
        <v>133</v>
      </c>
      <c r="D26" s="3" t="s">
        <v>134</v>
      </c>
      <c r="E26" s="3" t="s">
        <v>135</v>
      </c>
      <c r="F26" s="3" t="s">
        <v>147</v>
      </c>
      <c r="G26" s="4">
        <v>119041667</v>
      </c>
      <c r="H26" s="698">
        <f>'[1]2024년 계획_변경적용'!G52</f>
        <v>93750000</v>
      </c>
      <c r="I26" s="4">
        <v>119041667</v>
      </c>
      <c r="J26" s="699">
        <f t="shared" si="2"/>
        <v>1.2697777813333333</v>
      </c>
      <c r="K26" s="698">
        <v>93750000</v>
      </c>
      <c r="L26" s="155">
        <f t="shared" si="3"/>
        <v>25291667</v>
      </c>
      <c r="N26" s="10"/>
      <c r="Q26" s="10"/>
      <c r="R26" s="10"/>
    </row>
    <row r="27" spans="2:18" ht="18" thickBot="1">
      <c r="B27" s="1563"/>
      <c r="C27" s="17" t="s">
        <v>133</v>
      </c>
      <c r="D27" s="17" t="s">
        <v>134</v>
      </c>
      <c r="E27" s="17" t="s">
        <v>135</v>
      </c>
      <c r="F27" s="17" t="s">
        <v>148</v>
      </c>
      <c r="G27" s="223">
        <v>31089600</v>
      </c>
      <c r="H27" s="6">
        <v>0</v>
      </c>
      <c r="I27" s="223">
        <v>31089600</v>
      </c>
      <c r="J27" s="22"/>
      <c r="K27" s="6">
        <v>0</v>
      </c>
      <c r="L27" s="36">
        <f t="shared" si="3"/>
        <v>31089600</v>
      </c>
      <c r="M27" s="15"/>
      <c r="N27" s="10"/>
      <c r="Q27" s="10"/>
      <c r="R27" s="10"/>
    </row>
    <row r="28" spans="2:18" ht="18" thickBot="1">
      <c r="B28" s="1559"/>
      <c r="C28" s="1570" t="s">
        <v>150</v>
      </c>
      <c r="D28" s="1570"/>
      <c r="E28" s="1570"/>
      <c r="F28" s="1571"/>
      <c r="G28" s="144">
        <f>SUM(G18:G27)</f>
        <v>10698931190</v>
      </c>
      <c r="H28" s="144">
        <f>SUM(H18:H27)</f>
        <v>5753750290.0731869</v>
      </c>
      <c r="I28" s="144">
        <f>SUM(I18:I27)</f>
        <v>10698931190</v>
      </c>
      <c r="J28" s="145">
        <f>G28/H28</f>
        <v>1.8594708930032331</v>
      </c>
      <c r="K28" s="146">
        <f>SUM(K18:K27)</f>
        <v>10628380494</v>
      </c>
      <c r="L28" s="39">
        <f>SUM(L18:L27)</f>
        <v>70550696</v>
      </c>
      <c r="N28" s="10"/>
      <c r="Q28" s="10"/>
      <c r="R28" s="10"/>
    </row>
    <row r="29" spans="2:18">
      <c r="B29" s="1563" t="s">
        <v>5</v>
      </c>
      <c r="C29" s="3" t="s">
        <v>151</v>
      </c>
      <c r="D29" s="3" t="s">
        <v>134</v>
      </c>
      <c r="E29" s="3" t="s">
        <v>135</v>
      </c>
      <c r="F29" s="3" t="s">
        <v>136</v>
      </c>
      <c r="G29" s="198">
        <v>2967439150</v>
      </c>
      <c r="H29" s="4">
        <v>2762644500</v>
      </c>
      <c r="I29" s="4">
        <v>2967439150</v>
      </c>
      <c r="J29" s="21">
        <f t="shared" ref="J29:J37" si="4">+G29/H29</f>
        <v>1.074129932389057</v>
      </c>
      <c r="K29" s="731">
        <v>2953104000</v>
      </c>
      <c r="L29" s="177">
        <f>I29-K29</f>
        <v>14335150</v>
      </c>
      <c r="M29" s="15"/>
      <c r="N29" s="10"/>
    </row>
    <row r="30" spans="2:18">
      <c r="B30" s="1563"/>
      <c r="C30" s="3" t="s">
        <v>151</v>
      </c>
      <c r="D30" s="3" t="s">
        <v>134</v>
      </c>
      <c r="E30" s="3" t="s">
        <v>135</v>
      </c>
      <c r="F30" s="3" t="s">
        <v>137</v>
      </c>
      <c r="G30" s="198">
        <v>0</v>
      </c>
      <c r="H30" s="4">
        <v>0</v>
      </c>
      <c r="I30" s="4">
        <v>0</v>
      </c>
      <c r="J30" s="21" t="e">
        <f t="shared" si="4"/>
        <v>#DIV/0!</v>
      </c>
      <c r="K30" s="731">
        <v>0</v>
      </c>
      <c r="L30" s="155">
        <f t="shared" ref="L30:L38" si="5">I30-K30</f>
        <v>0</v>
      </c>
      <c r="M30" s="15"/>
      <c r="N30" s="10"/>
      <c r="Q30" s="10"/>
      <c r="R30" s="10"/>
    </row>
    <row r="31" spans="2:18">
      <c r="B31" s="1563"/>
      <c r="C31" s="197" t="s">
        <v>133</v>
      </c>
      <c r="D31" s="3" t="s">
        <v>134</v>
      </c>
      <c r="E31" s="3" t="s">
        <v>135</v>
      </c>
      <c r="F31" s="3" t="s">
        <v>138</v>
      </c>
      <c r="G31" s="198">
        <v>0</v>
      </c>
      <c r="H31" s="4">
        <v>0</v>
      </c>
      <c r="I31" s="4">
        <v>0</v>
      </c>
      <c r="J31" s="21"/>
      <c r="K31" s="731">
        <v>0</v>
      </c>
      <c r="L31" s="155">
        <f t="shared" si="5"/>
        <v>0</v>
      </c>
      <c r="M31" s="15"/>
      <c r="N31" s="10"/>
      <c r="Q31" s="10"/>
      <c r="R31" s="10"/>
    </row>
    <row r="32" spans="2:18">
      <c r="B32" s="1563"/>
      <c r="C32" s="3" t="s">
        <v>152</v>
      </c>
      <c r="D32" s="3" t="s">
        <v>134</v>
      </c>
      <c r="E32" s="3" t="s">
        <v>135</v>
      </c>
      <c r="F32" s="3" t="s">
        <v>139</v>
      </c>
      <c r="G32" s="4">
        <v>1047403520</v>
      </c>
      <c r="H32" s="4">
        <v>959310827.9942342</v>
      </c>
      <c r="I32" s="4">
        <v>1047403520</v>
      </c>
      <c r="J32" s="21">
        <f t="shared" si="4"/>
        <v>1.0918291438343852</v>
      </c>
      <c r="K32" s="731">
        <v>959310827.9942342</v>
      </c>
      <c r="L32" s="155">
        <f t="shared" si="5"/>
        <v>88092692.005765796</v>
      </c>
      <c r="M32" s="15"/>
      <c r="N32" s="10"/>
      <c r="Q32" s="10"/>
      <c r="R32" s="10"/>
    </row>
    <row r="33" spans="2:18">
      <c r="B33" s="1563"/>
      <c r="C33" s="3" t="s">
        <v>152</v>
      </c>
      <c r="D33" s="3" t="s">
        <v>134</v>
      </c>
      <c r="E33" s="3" t="s">
        <v>135</v>
      </c>
      <c r="F33" s="3" t="s">
        <v>140</v>
      </c>
      <c r="G33" s="198">
        <v>4508694300</v>
      </c>
      <c r="H33" s="4">
        <v>4734489924.1579056</v>
      </c>
      <c r="I33" s="4">
        <v>4508694300</v>
      </c>
      <c r="J33" s="21">
        <f t="shared" si="4"/>
        <v>0.95230835258392355</v>
      </c>
      <c r="K33" s="731">
        <v>4275201700</v>
      </c>
      <c r="L33" s="722">
        <f t="shared" si="5"/>
        <v>233492600</v>
      </c>
      <c r="M33" s="730"/>
      <c r="N33" s="10"/>
      <c r="Q33" s="10"/>
      <c r="R33" s="10"/>
    </row>
    <row r="34" spans="2:18">
      <c r="B34" s="1563"/>
      <c r="C34" s="3" t="s">
        <v>152</v>
      </c>
      <c r="D34" s="3" t="s">
        <v>134</v>
      </c>
      <c r="E34" s="3" t="s">
        <v>135</v>
      </c>
      <c r="F34" s="3" t="s">
        <v>141</v>
      </c>
      <c r="G34" s="4">
        <v>0</v>
      </c>
      <c r="H34" s="4">
        <v>0</v>
      </c>
      <c r="I34" s="4">
        <v>0</v>
      </c>
      <c r="J34" s="21"/>
      <c r="K34" s="731">
        <v>0</v>
      </c>
      <c r="L34" s="155">
        <f t="shared" si="5"/>
        <v>0</v>
      </c>
      <c r="M34" s="15"/>
      <c r="N34" s="10"/>
      <c r="Q34" s="10"/>
      <c r="R34" s="10"/>
    </row>
    <row r="35" spans="2:18">
      <c r="B35" s="1563"/>
      <c r="C35" s="3" t="s">
        <v>152</v>
      </c>
      <c r="D35" s="3" t="s">
        <v>134</v>
      </c>
      <c r="E35" s="3" t="s">
        <v>135</v>
      </c>
      <c r="F35" s="3" t="s">
        <v>142</v>
      </c>
      <c r="G35" s="4">
        <v>520375000</v>
      </c>
      <c r="H35" s="4">
        <v>1666750000</v>
      </c>
      <c r="I35" s="4">
        <v>520375000</v>
      </c>
      <c r="J35" s="21">
        <f t="shared" si="4"/>
        <v>0.31220938953052346</v>
      </c>
      <c r="K35" s="731">
        <v>520375000</v>
      </c>
      <c r="L35" s="155">
        <f t="shared" si="5"/>
        <v>0</v>
      </c>
      <c r="M35" s="15"/>
      <c r="N35" s="10"/>
      <c r="Q35" s="10"/>
      <c r="R35" s="10"/>
    </row>
    <row r="36" spans="2:18">
      <c r="B36" s="1563"/>
      <c r="C36" s="3" t="s">
        <v>152</v>
      </c>
      <c r="D36" s="3" t="s">
        <v>134</v>
      </c>
      <c r="E36" s="3" t="s">
        <v>135</v>
      </c>
      <c r="F36" s="3" t="s">
        <v>146</v>
      </c>
      <c r="G36" s="198">
        <v>421269829</v>
      </c>
      <c r="H36" s="4">
        <v>505999999.99999994</v>
      </c>
      <c r="I36" s="4">
        <v>421269829</v>
      </c>
      <c r="J36" s="21">
        <f t="shared" si="4"/>
        <v>0.83254906916996052</v>
      </c>
      <c r="K36" s="731">
        <v>422269429</v>
      </c>
      <c r="L36" s="155">
        <f t="shared" si="5"/>
        <v>-999600</v>
      </c>
      <c r="M36" s="15"/>
      <c r="N36" s="10"/>
      <c r="Q36" s="10"/>
      <c r="R36" s="10"/>
    </row>
    <row r="37" spans="2:18" ht="17.850000000000001" customHeight="1">
      <c r="B37" s="1563"/>
      <c r="C37" s="3" t="s">
        <v>152</v>
      </c>
      <c r="D37" s="3" t="s">
        <v>134</v>
      </c>
      <c r="E37" s="3" t="s">
        <v>135</v>
      </c>
      <c r="F37" s="3" t="s">
        <v>147</v>
      </c>
      <c r="G37" s="4">
        <v>25291667</v>
      </c>
      <c r="H37" s="4">
        <v>361875000</v>
      </c>
      <c r="I37" s="4">
        <v>25291667</v>
      </c>
      <c r="J37" s="21">
        <f t="shared" si="4"/>
        <v>6.989061692573402E-2</v>
      </c>
      <c r="K37" s="731">
        <v>212791667</v>
      </c>
      <c r="L37" s="155">
        <f t="shared" si="5"/>
        <v>-187500000</v>
      </c>
      <c r="M37" s="15"/>
      <c r="N37" s="10"/>
      <c r="Q37" s="10"/>
      <c r="R37" s="10"/>
    </row>
    <row r="38" spans="2:18" ht="17.850000000000001" customHeight="1" thickBot="1">
      <c r="B38" s="1569"/>
      <c r="C38" s="17" t="s">
        <v>133</v>
      </c>
      <c r="D38" s="17" t="s">
        <v>134</v>
      </c>
      <c r="E38" s="17" t="s">
        <v>135</v>
      </c>
      <c r="F38" s="17" t="s">
        <v>148</v>
      </c>
      <c r="G38" s="6">
        <v>41874000</v>
      </c>
      <c r="H38" s="6">
        <v>0</v>
      </c>
      <c r="I38" s="6">
        <v>41874000</v>
      </c>
      <c r="J38" s="22" t="e">
        <f t="shared" ref="J38" si="6">+I38/H38</f>
        <v>#DIV/0!</v>
      </c>
      <c r="K38" s="732">
        <v>0</v>
      </c>
      <c r="L38" s="36">
        <f t="shared" si="5"/>
        <v>41874000</v>
      </c>
      <c r="M38" s="15"/>
      <c r="N38" s="10"/>
      <c r="Q38" s="10"/>
      <c r="R38" s="10"/>
    </row>
    <row r="39" spans="2:18" ht="18" thickBot="1">
      <c r="B39" s="1559"/>
      <c r="C39" s="1570" t="s">
        <v>153</v>
      </c>
      <c r="D39" s="1570"/>
      <c r="E39" s="1570"/>
      <c r="F39" s="1571"/>
      <c r="G39" s="144">
        <f>SUM(G29:G38)</f>
        <v>9532347466</v>
      </c>
      <c r="H39" s="144">
        <f>SUM(H29:H38)</f>
        <v>10991070252.15214</v>
      </c>
      <c r="I39" s="144">
        <f>SUM(I29:I38)</f>
        <v>9532347466</v>
      </c>
      <c r="J39" s="145">
        <f>G39/H39</f>
        <v>0.86728109704634904</v>
      </c>
      <c r="K39" s="146">
        <f>SUM(K29:K38)</f>
        <v>9343052623.9942341</v>
      </c>
      <c r="L39" s="723">
        <f>SUM(L29:L38)</f>
        <v>189294842.0057658</v>
      </c>
      <c r="N39" s="10"/>
      <c r="Q39" s="10"/>
      <c r="R39" s="10"/>
    </row>
    <row r="40" spans="2:18" ht="17.850000000000001" customHeight="1" thickBot="1">
      <c r="B40" s="1566" t="s">
        <v>154</v>
      </c>
      <c r="C40" s="1567"/>
      <c r="D40" s="1567"/>
      <c r="E40" s="1567"/>
      <c r="F40" s="1568"/>
      <c r="G40" s="192">
        <f>G28+G17+G39</f>
        <v>26963794201</v>
      </c>
      <c r="H40" s="192">
        <f>H39+H28+H17</f>
        <v>23336683870.219559</v>
      </c>
      <c r="I40" s="192">
        <f>I39+I28+I17</f>
        <v>26963794201</v>
      </c>
      <c r="J40" s="193">
        <f>I40/H40</f>
        <v>1.1554252674009555</v>
      </c>
      <c r="K40" s="194">
        <f>K39+K28+K17</f>
        <v>26632288817.994232</v>
      </c>
      <c r="L40" s="195">
        <f>L39+L28+L17</f>
        <v>331505383.0057658</v>
      </c>
      <c r="M40" s="202"/>
      <c r="N40" s="10"/>
      <c r="Q40" s="10"/>
      <c r="R40" s="10"/>
    </row>
    <row r="41" spans="2:18">
      <c r="B41" s="1562" t="s">
        <v>156</v>
      </c>
      <c r="C41" s="3" t="s">
        <v>133</v>
      </c>
      <c r="D41" s="3" t="s">
        <v>134</v>
      </c>
      <c r="E41" s="3" t="s">
        <v>135</v>
      </c>
      <c r="F41" s="3" t="s">
        <v>136</v>
      </c>
      <c r="G41" s="4">
        <v>1151454672</v>
      </c>
      <c r="H41" s="4">
        <v>1339107000</v>
      </c>
      <c r="I41" s="4">
        <v>1151454672</v>
      </c>
      <c r="J41" s="21">
        <f t="shared" ref="J41:J48" si="7">+G41/H41</f>
        <v>0.85986756248753837</v>
      </c>
      <c r="K41" s="4">
        <v>1151454672</v>
      </c>
      <c r="L41" s="177">
        <f>I41-K41</f>
        <v>0</v>
      </c>
      <c r="M41" s="203"/>
      <c r="N41" s="10"/>
      <c r="Q41" s="10"/>
      <c r="R41" s="10"/>
    </row>
    <row r="42" spans="2:18">
      <c r="B42" s="1563"/>
      <c r="C42" s="3" t="s">
        <v>133</v>
      </c>
      <c r="D42" s="3" t="s">
        <v>134</v>
      </c>
      <c r="E42" s="3" t="s">
        <v>135</v>
      </c>
      <c r="F42" s="3" t="s">
        <v>137</v>
      </c>
      <c r="G42" s="4">
        <v>0</v>
      </c>
      <c r="H42" s="4">
        <v>0</v>
      </c>
      <c r="I42" s="4">
        <v>0</v>
      </c>
      <c r="J42" s="21"/>
      <c r="K42" s="4">
        <v>0</v>
      </c>
      <c r="L42" s="155">
        <f t="shared" ref="L42:L50" si="8">I42-K42</f>
        <v>0</v>
      </c>
      <c r="M42" s="203"/>
      <c r="N42" s="10"/>
      <c r="Q42" s="10"/>
      <c r="R42" s="10"/>
    </row>
    <row r="43" spans="2:18">
      <c r="B43" s="1563"/>
      <c r="C43" s="197" t="s">
        <v>133</v>
      </c>
      <c r="D43" s="3" t="s">
        <v>134</v>
      </c>
      <c r="E43" s="3" t="s">
        <v>135</v>
      </c>
      <c r="F43" s="3" t="s">
        <v>138</v>
      </c>
      <c r="G43" s="4">
        <v>0</v>
      </c>
      <c r="H43" s="4">
        <v>0</v>
      </c>
      <c r="I43" s="4">
        <v>0</v>
      </c>
      <c r="J43" s="21"/>
      <c r="K43" s="4">
        <v>0</v>
      </c>
      <c r="L43" s="155">
        <f t="shared" si="8"/>
        <v>0</v>
      </c>
      <c r="M43" s="203"/>
      <c r="N43" s="10"/>
      <c r="Q43" s="10"/>
      <c r="R43" s="10"/>
    </row>
    <row r="44" spans="2:18">
      <c r="B44" s="1563"/>
      <c r="C44" s="3" t="s">
        <v>133</v>
      </c>
      <c r="D44" s="3" t="s">
        <v>134</v>
      </c>
      <c r="E44" s="3" t="s">
        <v>135</v>
      </c>
      <c r="F44" s="3" t="s">
        <v>139</v>
      </c>
      <c r="G44" s="4">
        <v>1304419840</v>
      </c>
      <c r="H44" s="4">
        <v>762190827.99423397</v>
      </c>
      <c r="I44" s="4">
        <v>1304419840</v>
      </c>
      <c r="J44" s="21">
        <f t="shared" si="7"/>
        <v>1.7114084715932425</v>
      </c>
      <c r="K44" s="4">
        <v>1304419840</v>
      </c>
      <c r="L44" s="155">
        <f t="shared" si="8"/>
        <v>0</v>
      </c>
      <c r="M44" s="203"/>
      <c r="N44" s="10"/>
      <c r="Q44" s="10"/>
      <c r="R44" s="10"/>
    </row>
    <row r="45" spans="2:18">
      <c r="B45" s="1563"/>
      <c r="C45" s="3" t="s">
        <v>133</v>
      </c>
      <c r="D45" s="3" t="s">
        <v>134</v>
      </c>
      <c r="E45" s="3" t="s">
        <v>135</v>
      </c>
      <c r="F45" s="3" t="s">
        <v>140</v>
      </c>
      <c r="G45" s="4">
        <v>6333791850</v>
      </c>
      <c r="H45" s="4">
        <v>4302583000</v>
      </c>
      <c r="I45" s="4">
        <v>6333791850</v>
      </c>
      <c r="J45" s="21">
        <f t="shared" si="7"/>
        <v>1.4720905674568043</v>
      </c>
      <c r="K45" s="4">
        <v>6333791850</v>
      </c>
      <c r="L45" s="155">
        <f t="shared" si="8"/>
        <v>0</v>
      </c>
      <c r="M45" s="203"/>
      <c r="N45" s="10"/>
      <c r="Q45" s="10"/>
      <c r="R45" s="10"/>
    </row>
    <row r="46" spans="2:18">
      <c r="B46" s="1563"/>
      <c r="C46" s="3" t="s">
        <v>133</v>
      </c>
      <c r="D46" s="3" t="s">
        <v>134</v>
      </c>
      <c r="E46" s="3" t="s">
        <v>135</v>
      </c>
      <c r="F46" s="3" t="s">
        <v>141</v>
      </c>
      <c r="G46" s="4">
        <v>60000000</v>
      </c>
      <c r="H46" s="4">
        <v>60000000</v>
      </c>
      <c r="I46" s="4">
        <v>60000000</v>
      </c>
      <c r="J46" s="21">
        <f t="shared" si="7"/>
        <v>1</v>
      </c>
      <c r="K46" s="4">
        <v>60000000</v>
      </c>
      <c r="L46" s="155">
        <f t="shared" si="8"/>
        <v>0</v>
      </c>
      <c r="M46" s="203"/>
      <c r="N46" s="10"/>
      <c r="Q46" s="10"/>
      <c r="R46" s="10"/>
    </row>
    <row r="47" spans="2:18">
      <c r="B47" s="1563"/>
      <c r="C47" s="3" t="s">
        <v>133</v>
      </c>
      <c r="D47" s="3" t="s">
        <v>134</v>
      </c>
      <c r="E47" s="3" t="s">
        <v>135</v>
      </c>
      <c r="F47" s="3" t="s">
        <v>142</v>
      </c>
      <c r="G47" s="4">
        <v>0</v>
      </c>
      <c r="H47" s="4">
        <v>379000000</v>
      </c>
      <c r="I47" s="4">
        <v>0</v>
      </c>
      <c r="J47" s="21">
        <f t="shared" si="7"/>
        <v>0</v>
      </c>
      <c r="K47" s="4">
        <v>0</v>
      </c>
      <c r="L47" s="155">
        <f t="shared" si="8"/>
        <v>0</v>
      </c>
      <c r="M47" s="203"/>
      <c r="N47" s="10"/>
      <c r="Q47" s="10"/>
      <c r="R47" s="10"/>
    </row>
    <row r="48" spans="2:18">
      <c r="B48" s="1563"/>
      <c r="C48" s="3" t="s">
        <v>133</v>
      </c>
      <c r="D48" s="3" t="s">
        <v>134</v>
      </c>
      <c r="E48" s="3" t="s">
        <v>135</v>
      </c>
      <c r="F48" s="3" t="s">
        <v>146</v>
      </c>
      <c r="G48" s="4">
        <v>211649429</v>
      </c>
      <c r="H48" s="4">
        <v>142000000</v>
      </c>
      <c r="I48" s="4">
        <v>211649429</v>
      </c>
      <c r="J48" s="21">
        <f t="shared" si="7"/>
        <v>1.4904889366197183</v>
      </c>
      <c r="K48" s="4">
        <v>211649429</v>
      </c>
      <c r="L48" s="155">
        <f t="shared" si="8"/>
        <v>0</v>
      </c>
      <c r="M48" s="203"/>
      <c r="N48" s="10"/>
      <c r="Q48" s="10"/>
      <c r="R48" s="10"/>
    </row>
    <row r="49" spans="2:18">
      <c r="B49" s="1563"/>
      <c r="C49" s="3" t="s">
        <v>133</v>
      </c>
      <c r="D49" s="3" t="s">
        <v>134</v>
      </c>
      <c r="E49" s="3" t="s">
        <v>135</v>
      </c>
      <c r="F49" s="3" t="s">
        <v>147</v>
      </c>
      <c r="G49" s="4">
        <v>1000904167</v>
      </c>
      <c r="H49" s="4">
        <v>0</v>
      </c>
      <c r="I49" s="4">
        <v>1000904167</v>
      </c>
      <c r="J49" s="21"/>
      <c r="K49" s="4">
        <v>994591667</v>
      </c>
      <c r="L49" s="155">
        <f t="shared" si="8"/>
        <v>6312500</v>
      </c>
      <c r="M49" s="203"/>
      <c r="N49" s="10"/>
      <c r="Q49" s="10"/>
      <c r="R49" s="10"/>
    </row>
    <row r="50" spans="2:18" ht="18" thickBot="1">
      <c r="B50" s="1569"/>
      <c r="C50" s="17" t="s">
        <v>133</v>
      </c>
      <c r="D50" s="17" t="s">
        <v>134</v>
      </c>
      <c r="E50" s="17" t="s">
        <v>135</v>
      </c>
      <c r="F50" s="17" t="s">
        <v>148</v>
      </c>
      <c r="G50" s="6">
        <v>48705000</v>
      </c>
      <c r="H50" s="6">
        <v>0</v>
      </c>
      <c r="I50" s="6">
        <v>48705000</v>
      </c>
      <c r="J50" s="22" t="e">
        <f t="shared" ref="J50" si="9">+I50/H50</f>
        <v>#DIV/0!</v>
      </c>
      <c r="K50" s="6">
        <v>34035000</v>
      </c>
      <c r="L50" s="36">
        <f t="shared" si="8"/>
        <v>14670000</v>
      </c>
      <c r="M50" s="203"/>
      <c r="N50" s="10"/>
      <c r="Q50" s="10"/>
      <c r="R50" s="10"/>
    </row>
    <row r="51" spans="2:18" ht="18.75" customHeight="1" thickBot="1">
      <c r="B51" s="1559"/>
      <c r="C51" s="1570" t="s">
        <v>157</v>
      </c>
      <c r="D51" s="1570"/>
      <c r="E51" s="1570"/>
      <c r="F51" s="1571"/>
      <c r="G51" s="144">
        <f>SUM(G41:G50)</f>
        <v>10110924958</v>
      </c>
      <c r="H51" s="144">
        <f>SUM(H41:H50)</f>
        <v>6984880827.9942341</v>
      </c>
      <c r="I51" s="144">
        <f>SUM(I41:I50)</f>
        <v>10110924958</v>
      </c>
      <c r="J51" s="145">
        <f>G51/H51</f>
        <v>1.4475443757718964</v>
      </c>
      <c r="K51" s="146">
        <f>SUM(K41:K50)</f>
        <v>10089942458</v>
      </c>
      <c r="L51" s="39">
        <f>SUM(L41:L50)</f>
        <v>20982500</v>
      </c>
      <c r="M51" s="203"/>
      <c r="N51" s="10"/>
      <c r="Q51" s="10"/>
      <c r="R51" s="10"/>
    </row>
    <row r="52" spans="2:18">
      <c r="B52" s="1562" t="s">
        <v>158</v>
      </c>
      <c r="C52" s="3" t="s">
        <v>133</v>
      </c>
      <c r="D52" s="3" t="s">
        <v>134</v>
      </c>
      <c r="E52" s="3" t="s">
        <v>135</v>
      </c>
      <c r="F52" s="3" t="s">
        <v>136</v>
      </c>
      <c r="G52" s="4">
        <v>0</v>
      </c>
      <c r="H52" s="4">
        <v>984368000</v>
      </c>
      <c r="I52" s="4">
        <v>0</v>
      </c>
      <c r="J52" s="21">
        <f t="shared" ref="J52:J60" si="10">+G52/H52</f>
        <v>0</v>
      </c>
      <c r="K52" s="4"/>
      <c r="L52" s="177">
        <f>I52-K52</f>
        <v>0</v>
      </c>
      <c r="M52" s="203"/>
    </row>
    <row r="53" spans="2:18">
      <c r="B53" s="1563"/>
      <c r="C53" s="3" t="s">
        <v>133</v>
      </c>
      <c r="D53" s="3" t="s">
        <v>134</v>
      </c>
      <c r="E53" s="3" t="s">
        <v>135</v>
      </c>
      <c r="F53" s="3" t="s">
        <v>137</v>
      </c>
      <c r="G53" s="4">
        <v>0</v>
      </c>
      <c r="H53" s="4">
        <v>0</v>
      </c>
      <c r="I53" s="4">
        <v>0</v>
      </c>
      <c r="J53" s="21" t="e">
        <f t="shared" si="10"/>
        <v>#DIV/0!</v>
      </c>
      <c r="K53" s="4">
        <v>0</v>
      </c>
      <c r="L53" s="155">
        <f t="shared" ref="L53:L61" si="11">I53-K53</f>
        <v>0</v>
      </c>
      <c r="M53" s="203"/>
    </row>
    <row r="54" spans="2:18">
      <c r="B54" s="1563"/>
      <c r="C54" s="197" t="s">
        <v>133</v>
      </c>
      <c r="D54" s="3" t="s">
        <v>134</v>
      </c>
      <c r="E54" s="3" t="s">
        <v>135</v>
      </c>
      <c r="F54" s="3" t="s">
        <v>138</v>
      </c>
      <c r="G54" s="4">
        <v>0</v>
      </c>
      <c r="H54" s="4">
        <v>0</v>
      </c>
      <c r="I54" s="4">
        <v>0</v>
      </c>
      <c r="J54" s="21"/>
      <c r="K54" s="4">
        <v>577847383</v>
      </c>
      <c r="L54" s="476">
        <f t="shared" si="11"/>
        <v>-577847383</v>
      </c>
      <c r="M54" s="203"/>
    </row>
    <row r="55" spans="2:18">
      <c r="B55" s="1563"/>
      <c r="C55" s="3" t="s">
        <v>133</v>
      </c>
      <c r="D55" s="3" t="s">
        <v>134</v>
      </c>
      <c r="E55" s="3" t="s">
        <v>135</v>
      </c>
      <c r="F55" s="3" t="s">
        <v>139</v>
      </c>
      <c r="G55" s="4">
        <v>1013424600</v>
      </c>
      <c r="H55" s="4">
        <v>1156430827.9942338</v>
      </c>
      <c r="I55" s="4">
        <v>1013424600</v>
      </c>
      <c r="J55" s="21">
        <f t="shared" si="10"/>
        <v>0.87633827762766381</v>
      </c>
      <c r="K55" s="4">
        <v>1156430827.9942338</v>
      </c>
      <c r="L55" s="155">
        <f t="shared" si="11"/>
        <v>-143006227.99423385</v>
      </c>
      <c r="M55" s="203"/>
    </row>
    <row r="56" spans="2:18">
      <c r="B56" s="1563"/>
      <c r="C56" s="3" t="s">
        <v>133</v>
      </c>
      <c r="D56" s="3" t="s">
        <v>134</v>
      </c>
      <c r="E56" s="3" t="s">
        <v>135</v>
      </c>
      <c r="F56" s="3" t="s">
        <v>140</v>
      </c>
      <c r="G56" s="4">
        <v>4945229200</v>
      </c>
      <c r="H56" s="4">
        <v>3604746200</v>
      </c>
      <c r="I56" s="4">
        <v>4945229200</v>
      </c>
      <c r="J56" s="21">
        <f t="shared" si="10"/>
        <v>1.3718661247219013</v>
      </c>
      <c r="K56" s="4">
        <v>4388190400</v>
      </c>
      <c r="L56" s="155">
        <f t="shared" si="11"/>
        <v>557038800</v>
      </c>
      <c r="M56" s="203"/>
    </row>
    <row r="57" spans="2:18">
      <c r="B57" s="1563"/>
      <c r="C57" s="3" t="s">
        <v>133</v>
      </c>
      <c r="D57" s="3" t="s">
        <v>134</v>
      </c>
      <c r="E57" s="3" t="s">
        <v>135</v>
      </c>
      <c r="F57" s="3" t="s">
        <v>141</v>
      </c>
      <c r="G57" s="4">
        <v>67000000.000000007</v>
      </c>
      <c r="H57" s="4">
        <v>67000000</v>
      </c>
      <c r="I57" s="4">
        <v>67000000.000000007</v>
      </c>
      <c r="J57" s="21">
        <f t="shared" si="10"/>
        <v>1.0000000000000002</v>
      </c>
      <c r="K57" s="4">
        <v>67000000.000000007</v>
      </c>
      <c r="L57" s="155">
        <f t="shared" si="11"/>
        <v>0</v>
      </c>
      <c r="M57" s="203"/>
    </row>
    <row r="58" spans="2:18">
      <c r="B58" s="1563"/>
      <c r="C58" s="3" t="s">
        <v>133</v>
      </c>
      <c r="D58" s="3" t="s">
        <v>134</v>
      </c>
      <c r="E58" s="3" t="s">
        <v>135</v>
      </c>
      <c r="F58" s="3" t="s">
        <v>142</v>
      </c>
      <c r="G58" s="4">
        <v>1821375000</v>
      </c>
      <c r="H58" s="4">
        <v>183500000</v>
      </c>
      <c r="I58" s="4">
        <v>1821375000</v>
      </c>
      <c r="J58" s="21">
        <f t="shared" si="10"/>
        <v>9.9257493188010901</v>
      </c>
      <c r="K58" s="4">
        <v>1287000000</v>
      </c>
      <c r="L58" s="155">
        <f t="shared" si="11"/>
        <v>534375000</v>
      </c>
      <c r="M58" s="203"/>
    </row>
    <row r="59" spans="2:18">
      <c r="B59" s="1563"/>
      <c r="C59" s="3" t="s">
        <v>133</v>
      </c>
      <c r="D59" s="3" t="s">
        <v>134</v>
      </c>
      <c r="E59" s="3" t="s">
        <v>135</v>
      </c>
      <c r="F59" s="3" t="s">
        <v>146</v>
      </c>
      <c r="G59" s="4">
        <v>152579274</v>
      </c>
      <c r="H59" s="4">
        <v>79000000</v>
      </c>
      <c r="I59" s="4">
        <v>152579274</v>
      </c>
      <c r="J59" s="21">
        <f t="shared" si="10"/>
        <v>1.9313832151898733</v>
      </c>
      <c r="K59" s="4">
        <v>93069429</v>
      </c>
      <c r="L59" s="155">
        <f t="shared" si="11"/>
        <v>59509845</v>
      </c>
      <c r="M59" s="203"/>
    </row>
    <row r="60" spans="2:18">
      <c r="B60" s="1563"/>
      <c r="C60" s="3" t="s">
        <v>133</v>
      </c>
      <c r="D60" s="3" t="s">
        <v>134</v>
      </c>
      <c r="E60" s="3" t="s">
        <v>135</v>
      </c>
      <c r="F60" s="3" t="s">
        <v>147</v>
      </c>
      <c r="G60" s="4">
        <v>31604167</v>
      </c>
      <c r="H60" s="4">
        <v>93750000</v>
      </c>
      <c r="I60" s="4">
        <v>31604167</v>
      </c>
      <c r="J60" s="21">
        <f t="shared" si="10"/>
        <v>0.33711111466666666</v>
      </c>
      <c r="K60" s="4">
        <v>293416667</v>
      </c>
      <c r="L60" s="702">
        <f t="shared" si="11"/>
        <v>-261812500</v>
      </c>
      <c r="M60" s="203"/>
    </row>
    <row r="61" spans="2:18" ht="18" thickBot="1">
      <c r="B61" s="1569"/>
      <c r="C61" s="17" t="s">
        <v>133</v>
      </c>
      <c r="D61" s="17" t="s">
        <v>134</v>
      </c>
      <c r="E61" s="17" t="s">
        <v>135</v>
      </c>
      <c r="F61" s="17" t="s">
        <v>148</v>
      </c>
      <c r="G61" s="6">
        <v>51613869</v>
      </c>
      <c r="H61" s="6">
        <v>0</v>
      </c>
      <c r="I61" s="6">
        <v>51613869</v>
      </c>
      <c r="J61" s="22" t="e">
        <f t="shared" ref="J61" si="12">+I61/H61</f>
        <v>#DIV/0!</v>
      </c>
      <c r="K61" s="6">
        <v>0</v>
      </c>
      <c r="L61" s="703">
        <f t="shared" si="11"/>
        <v>51613869</v>
      </c>
      <c r="M61" s="203"/>
    </row>
    <row r="62" spans="2:18" ht="18" thickBot="1">
      <c r="B62" s="1559"/>
      <c r="C62" s="1570" t="s">
        <v>159</v>
      </c>
      <c r="D62" s="1570"/>
      <c r="E62" s="1570"/>
      <c r="F62" s="1571"/>
      <c r="G62" s="144">
        <f>SUM(G52:G61)</f>
        <v>8082826110</v>
      </c>
      <c r="H62" s="144">
        <f>SUM(H52:H61)</f>
        <v>6168795027.9942341</v>
      </c>
      <c r="I62" s="144">
        <f>SUM(I52:I61)</f>
        <v>8082826110</v>
      </c>
      <c r="J62" s="145">
        <f>G62/H62</f>
        <v>1.3102763300320108</v>
      </c>
      <c r="K62" s="146">
        <f>SUM(K52:K61)</f>
        <v>7862954706.9942341</v>
      </c>
      <c r="L62" s="39">
        <f>SUM(L52:L61)</f>
        <v>219871403.00576615</v>
      </c>
      <c r="M62" s="203"/>
    </row>
    <row r="63" spans="2:18">
      <c r="B63" s="1562" t="s">
        <v>160</v>
      </c>
      <c r="C63" s="3" t="s">
        <v>133</v>
      </c>
      <c r="D63" s="3" t="s">
        <v>134</v>
      </c>
      <c r="E63" s="3" t="s">
        <v>135</v>
      </c>
      <c r="F63" s="3" t="s">
        <v>136</v>
      </c>
      <c r="G63" s="4">
        <v>0</v>
      </c>
      <c r="H63" s="4">
        <v>2588543740.4000001</v>
      </c>
      <c r="I63" s="4">
        <v>0</v>
      </c>
      <c r="J63" s="21">
        <f t="shared" ref="J63:J70" si="13">+G63/H63</f>
        <v>0</v>
      </c>
      <c r="K63" s="4">
        <v>2130332400</v>
      </c>
      <c r="L63" s="177">
        <f>I63-K63</f>
        <v>-2130332400</v>
      </c>
      <c r="M63" s="203"/>
      <c r="N63" s="5"/>
    </row>
    <row r="64" spans="2:18">
      <c r="B64" s="1563"/>
      <c r="C64" s="3" t="s">
        <v>133</v>
      </c>
      <c r="D64" s="3" t="s">
        <v>134</v>
      </c>
      <c r="E64" s="3" t="s">
        <v>135</v>
      </c>
      <c r="F64" s="3" t="s">
        <v>137</v>
      </c>
      <c r="G64" s="4">
        <v>0</v>
      </c>
      <c r="H64" s="4">
        <v>0</v>
      </c>
      <c r="I64" s="4">
        <v>0</v>
      </c>
      <c r="J64" s="21"/>
      <c r="K64" s="4">
        <v>0</v>
      </c>
      <c r="L64" s="155">
        <f t="shared" ref="L64:L72" si="14">I64-K64</f>
        <v>0</v>
      </c>
      <c r="M64" s="203"/>
    </row>
    <row r="65" spans="2:15">
      <c r="B65" s="1563"/>
      <c r="C65" s="197" t="s">
        <v>133</v>
      </c>
      <c r="D65" s="3" t="s">
        <v>134</v>
      </c>
      <c r="E65" s="3" t="s">
        <v>135</v>
      </c>
      <c r="F65" s="3" t="s">
        <v>138</v>
      </c>
      <c r="G65" s="4">
        <v>490916584</v>
      </c>
      <c r="H65" s="4">
        <v>137760000</v>
      </c>
      <c r="I65" s="4">
        <v>490916584</v>
      </c>
      <c r="J65" s="21"/>
      <c r="K65" s="4">
        <v>17260111.712543614</v>
      </c>
      <c r="L65" s="476">
        <f t="shared" si="14"/>
        <v>473656472.28745639</v>
      </c>
      <c r="M65" s="203"/>
    </row>
    <row r="66" spans="2:15">
      <c r="B66" s="1563"/>
      <c r="C66" s="3" t="s">
        <v>133</v>
      </c>
      <c r="D66" s="3" t="s">
        <v>134</v>
      </c>
      <c r="E66" s="3" t="s">
        <v>135</v>
      </c>
      <c r="F66" s="3" t="s">
        <v>139</v>
      </c>
      <c r="G66" s="4">
        <v>569738700</v>
      </c>
      <c r="H66" s="4">
        <v>959310827.9942342</v>
      </c>
      <c r="I66" s="4">
        <v>569738700</v>
      </c>
      <c r="J66" s="21">
        <f t="shared" si="13"/>
        <v>0.59390416888260578</v>
      </c>
      <c r="K66" s="4">
        <v>429310828</v>
      </c>
      <c r="L66" s="155">
        <f t="shared" si="14"/>
        <v>140427872</v>
      </c>
      <c r="M66" s="203"/>
    </row>
    <row r="67" spans="2:15">
      <c r="B67" s="1563"/>
      <c r="C67" s="3" t="s">
        <v>133</v>
      </c>
      <c r="D67" s="3" t="s">
        <v>134</v>
      </c>
      <c r="E67" s="3" t="s">
        <v>135</v>
      </c>
      <c r="F67" s="3" t="s">
        <v>140</v>
      </c>
      <c r="G67" s="4">
        <v>7345815300</v>
      </c>
      <c r="H67" s="4">
        <v>3590929395</v>
      </c>
      <c r="I67" s="4">
        <v>7345815300</v>
      </c>
      <c r="J67" s="21">
        <f t="shared" si="13"/>
        <v>2.045658516769584</v>
      </c>
      <c r="K67" s="4">
        <v>6509592800</v>
      </c>
      <c r="L67" s="155">
        <f t="shared" si="14"/>
        <v>836222500</v>
      </c>
      <c r="M67" s="203"/>
    </row>
    <row r="68" spans="2:15">
      <c r="B68" s="1563"/>
      <c r="C68" s="3" t="s">
        <v>133</v>
      </c>
      <c r="D68" s="3" t="s">
        <v>134</v>
      </c>
      <c r="E68" s="3" t="s">
        <v>135</v>
      </c>
      <c r="F68" s="3" t="s">
        <v>141</v>
      </c>
      <c r="G68" s="4">
        <v>67000000</v>
      </c>
      <c r="H68" s="4">
        <v>67000000</v>
      </c>
      <c r="I68" s="4">
        <v>67000000</v>
      </c>
      <c r="J68" s="21">
        <f t="shared" si="13"/>
        <v>1</v>
      </c>
      <c r="K68" s="4">
        <v>67000000.000000007</v>
      </c>
      <c r="L68" s="155">
        <f t="shared" si="14"/>
        <v>0</v>
      </c>
      <c r="M68" s="202"/>
    </row>
    <row r="69" spans="2:15">
      <c r="B69" s="1563"/>
      <c r="C69" s="3" t="s">
        <v>133</v>
      </c>
      <c r="D69" s="3" t="s">
        <v>134</v>
      </c>
      <c r="E69" s="3" t="s">
        <v>135</v>
      </c>
      <c r="F69" s="3" t="s">
        <v>142</v>
      </c>
      <c r="G69" s="4">
        <v>350250000</v>
      </c>
      <c r="H69" s="4">
        <v>48000000</v>
      </c>
      <c r="I69" s="4">
        <v>350250000</v>
      </c>
      <c r="J69" s="21">
        <f t="shared" si="13"/>
        <v>7.296875</v>
      </c>
      <c r="K69" s="4">
        <v>964625000</v>
      </c>
      <c r="L69" s="155">
        <f t="shared" si="14"/>
        <v>-614375000</v>
      </c>
      <c r="M69" s="203"/>
    </row>
    <row r="70" spans="2:15">
      <c r="B70" s="1563"/>
      <c r="C70" s="3" t="s">
        <v>133</v>
      </c>
      <c r="D70" s="3" t="s">
        <v>134</v>
      </c>
      <c r="E70" s="3" t="s">
        <v>135</v>
      </c>
      <c r="F70" s="3" t="s">
        <v>146</v>
      </c>
      <c r="G70" s="4">
        <v>154620726</v>
      </c>
      <c r="H70" s="4">
        <v>0</v>
      </c>
      <c r="I70" s="4">
        <v>154620726</v>
      </c>
      <c r="J70" s="21" t="e">
        <f t="shared" si="13"/>
        <v>#DIV/0!</v>
      </c>
      <c r="K70" s="4">
        <v>80069429</v>
      </c>
      <c r="L70" s="155">
        <f t="shared" si="14"/>
        <v>74551297</v>
      </c>
      <c r="M70" s="203"/>
    </row>
    <row r="71" spans="2:15">
      <c r="B71" s="1563"/>
      <c r="C71" s="3" t="s">
        <v>133</v>
      </c>
      <c r="D71" s="3" t="s">
        <v>134</v>
      </c>
      <c r="E71" s="3" t="s">
        <v>135</v>
      </c>
      <c r="F71" s="3" t="s">
        <v>147</v>
      </c>
      <c r="G71" s="4">
        <v>440354167</v>
      </c>
      <c r="H71" s="4">
        <v>395625000</v>
      </c>
      <c r="I71" s="4">
        <v>440354167</v>
      </c>
      <c r="J71" s="21"/>
      <c r="K71" s="4">
        <v>595291667</v>
      </c>
      <c r="L71" s="702">
        <f t="shared" si="14"/>
        <v>-154937500</v>
      </c>
      <c r="M71" s="203"/>
    </row>
    <row r="72" spans="2:15" ht="18" thickBot="1">
      <c r="B72" s="1569"/>
      <c r="C72" s="17" t="s">
        <v>133</v>
      </c>
      <c r="D72" s="17" t="s">
        <v>134</v>
      </c>
      <c r="E72" s="17" t="s">
        <v>135</v>
      </c>
      <c r="F72" s="17" t="s">
        <v>148</v>
      </c>
      <c r="G72" s="6">
        <v>15204000</v>
      </c>
      <c r="H72" s="6">
        <v>0</v>
      </c>
      <c r="I72" s="6">
        <v>15204000</v>
      </c>
      <c r="J72" s="22" t="e">
        <f t="shared" ref="J72" si="15">+I72/H72</f>
        <v>#DIV/0!</v>
      </c>
      <c r="K72" s="6">
        <v>0</v>
      </c>
      <c r="L72" s="703">
        <f t="shared" si="14"/>
        <v>15204000</v>
      </c>
      <c r="M72" s="203"/>
    </row>
    <row r="73" spans="2:15" ht="18" thickBot="1">
      <c r="B73" s="1559"/>
      <c r="C73" s="1570" t="s">
        <v>161</v>
      </c>
      <c r="D73" s="1570"/>
      <c r="E73" s="1570"/>
      <c r="F73" s="1571"/>
      <c r="G73" s="144">
        <f>SUM(G63:G72)</f>
        <v>9433899477</v>
      </c>
      <c r="H73" s="144">
        <f>SUM(H63:H72)</f>
        <v>7787168963.3942337</v>
      </c>
      <c r="I73" s="144">
        <f>SUM(I63:I72)</f>
        <v>9433899477</v>
      </c>
      <c r="J73" s="145">
        <f>G73/H73</f>
        <v>1.2114671610885399</v>
      </c>
      <c r="K73" s="146">
        <f>SUM(K63:K72)</f>
        <v>10793482235.712543</v>
      </c>
      <c r="L73" s="39">
        <f>SUM(L63:L72)</f>
        <v>-1359582758.7125435</v>
      </c>
      <c r="M73" s="203"/>
    </row>
    <row r="74" spans="2:15" ht="18" thickBot="1">
      <c r="B74" s="1566" t="s">
        <v>162</v>
      </c>
      <c r="C74" s="1567"/>
      <c r="D74" s="1567"/>
      <c r="E74" s="1567"/>
      <c r="F74" s="1568"/>
      <c r="G74" s="192">
        <f>G73+G62+G51</f>
        <v>27627650545</v>
      </c>
      <c r="H74" s="192">
        <f>H73+H62+H51</f>
        <v>20940844819.382702</v>
      </c>
      <c r="I74" s="192">
        <f>I73+I62+I51</f>
        <v>27627650545</v>
      </c>
      <c r="J74" s="193">
        <f>I74/H74</f>
        <v>1.3193188137007748</v>
      </c>
      <c r="K74" s="194">
        <f>K73+K62+K51</f>
        <v>28746379400.706779</v>
      </c>
      <c r="L74" s="195">
        <f>L73+L62+L51</f>
        <v>-1118728855.7067773</v>
      </c>
      <c r="M74" s="202"/>
    </row>
    <row r="75" spans="2:15" ht="18" thickBot="1">
      <c r="B75" s="1566" t="s">
        <v>163</v>
      </c>
      <c r="C75" s="1567"/>
      <c r="D75" s="1567"/>
      <c r="E75" s="1567"/>
      <c r="F75" s="1568"/>
      <c r="G75" s="192">
        <f>G74+G40</f>
        <v>54591444746</v>
      </c>
      <c r="H75" s="192">
        <f>H74+H40</f>
        <v>44277528689.602264</v>
      </c>
      <c r="I75" s="192">
        <f>I74+I40</f>
        <v>54591444746</v>
      </c>
      <c r="J75" s="193">
        <f>I75/H75</f>
        <v>1.2329379340184305</v>
      </c>
      <c r="K75" s="194">
        <f>K74+K40</f>
        <v>55378668218.701012</v>
      </c>
      <c r="L75" s="195">
        <f>L40+L51+L62+L73</f>
        <v>-787223472.70101154</v>
      </c>
      <c r="M75" s="203"/>
    </row>
    <row r="76" spans="2:15">
      <c r="B76" s="1562" t="s">
        <v>78</v>
      </c>
      <c r="C76" s="3" t="s">
        <v>133</v>
      </c>
      <c r="D76" s="3" t="s">
        <v>134</v>
      </c>
      <c r="E76" s="3" t="s">
        <v>135</v>
      </c>
      <c r="F76" s="3" t="s">
        <v>136</v>
      </c>
      <c r="G76" s="4">
        <v>0</v>
      </c>
      <c r="H76" s="4">
        <v>0</v>
      </c>
      <c r="I76" s="4">
        <v>0</v>
      </c>
      <c r="J76" s="21" t="e">
        <f t="shared" ref="J76:J83" si="16">+G76/H76</f>
        <v>#DIV/0!</v>
      </c>
      <c r="K76" s="4">
        <v>0</v>
      </c>
      <c r="L76" s="476">
        <f>I76-K76</f>
        <v>0</v>
      </c>
    </row>
    <row r="77" spans="2:15">
      <c r="B77" s="1563"/>
      <c r="C77" s="3" t="s">
        <v>133</v>
      </c>
      <c r="D77" s="3" t="s">
        <v>134</v>
      </c>
      <c r="E77" s="3" t="s">
        <v>135</v>
      </c>
      <c r="F77" s="3" t="s">
        <v>137</v>
      </c>
      <c r="G77" s="4">
        <v>0</v>
      </c>
      <c r="H77" s="4">
        <v>0</v>
      </c>
      <c r="I77" s="4">
        <v>0</v>
      </c>
      <c r="J77" s="21"/>
      <c r="K77" s="4">
        <v>0</v>
      </c>
      <c r="L77" s="476">
        <f t="shared" ref="L77:L85" si="17">I77-K77</f>
        <v>0</v>
      </c>
    </row>
    <row r="78" spans="2:15">
      <c r="B78" s="1563"/>
      <c r="C78" s="197" t="s">
        <v>133</v>
      </c>
      <c r="D78" s="3" t="s">
        <v>134</v>
      </c>
      <c r="E78" s="3" t="s">
        <v>135</v>
      </c>
      <c r="F78" s="3" t="s">
        <v>138</v>
      </c>
      <c r="G78" s="4"/>
      <c r="H78" s="4">
        <v>46760000</v>
      </c>
      <c r="I78" s="4"/>
      <c r="J78" s="21"/>
      <c r="K78" s="4">
        <v>46760000</v>
      </c>
      <c r="L78" s="476">
        <f t="shared" si="17"/>
        <v>-46760000</v>
      </c>
      <c r="N78" s="1"/>
    </row>
    <row r="79" spans="2:15">
      <c r="B79" s="1563"/>
      <c r="C79" s="3" t="s">
        <v>133</v>
      </c>
      <c r="D79" s="3" t="s">
        <v>134</v>
      </c>
      <c r="E79" s="3" t="s">
        <v>135</v>
      </c>
      <c r="F79" s="3" t="s">
        <v>139</v>
      </c>
      <c r="G79" s="4">
        <v>353775280</v>
      </c>
      <c r="H79" s="4">
        <v>959310827.9942342</v>
      </c>
      <c r="I79" s="4">
        <v>353775280</v>
      </c>
      <c r="J79" s="21">
        <f t="shared" si="16"/>
        <v>0.36878065969471818</v>
      </c>
      <c r="K79" s="4">
        <v>1192346400</v>
      </c>
      <c r="L79" s="476">
        <f t="shared" si="17"/>
        <v>-838571120</v>
      </c>
      <c r="N79" s="1"/>
      <c r="O79" s="15"/>
    </row>
    <row r="80" spans="2:15">
      <c r="B80" s="1563"/>
      <c r="C80" s="3" t="s">
        <v>133</v>
      </c>
      <c r="D80" s="3" t="s">
        <v>134</v>
      </c>
      <c r="E80" s="3" t="s">
        <v>135</v>
      </c>
      <c r="F80" s="3" t="s">
        <v>140</v>
      </c>
      <c r="G80" s="216">
        <v>9941539250</v>
      </c>
      <c r="H80" s="4">
        <v>6395629100</v>
      </c>
      <c r="I80" s="216">
        <v>9941539250</v>
      </c>
      <c r="J80" s="21">
        <f t="shared" si="16"/>
        <v>1.5544271086639467</v>
      </c>
      <c r="K80" s="216">
        <v>11211366835.543268</v>
      </c>
      <c r="L80" s="476">
        <f t="shared" si="17"/>
        <v>-1269827585.5432682</v>
      </c>
      <c r="N80" s="1"/>
      <c r="O80" s="15"/>
    </row>
    <row r="81" spans="2:15" ht="17.850000000000001" customHeight="1">
      <c r="B81" s="1563"/>
      <c r="C81" s="3" t="s">
        <v>133</v>
      </c>
      <c r="D81" s="3" t="s">
        <v>134</v>
      </c>
      <c r="E81" s="3" t="s">
        <v>135</v>
      </c>
      <c r="F81" s="3" t="s">
        <v>141</v>
      </c>
      <c r="G81" s="4">
        <v>0</v>
      </c>
      <c r="H81" s="4">
        <v>0</v>
      </c>
      <c r="I81" s="4">
        <v>0</v>
      </c>
      <c r="J81" s="21"/>
      <c r="K81" s="4">
        <v>0</v>
      </c>
      <c r="L81" s="476">
        <f t="shared" si="17"/>
        <v>0</v>
      </c>
      <c r="N81" s="1"/>
      <c r="O81" s="15"/>
    </row>
    <row r="82" spans="2:15">
      <c r="B82" s="1563"/>
      <c r="C82" s="3" t="s">
        <v>133</v>
      </c>
      <c r="D82" s="3" t="s">
        <v>134</v>
      </c>
      <c r="E82" s="3" t="s">
        <v>135</v>
      </c>
      <c r="F82" s="3" t="s">
        <v>142</v>
      </c>
      <c r="G82" s="4">
        <v>0</v>
      </c>
      <c r="H82" s="4">
        <v>306250000</v>
      </c>
      <c r="I82" s="4">
        <v>0</v>
      </c>
      <c r="J82" s="21">
        <f t="shared" si="16"/>
        <v>0</v>
      </c>
      <c r="K82" s="4">
        <v>339375000</v>
      </c>
      <c r="L82" s="476">
        <f t="shared" si="17"/>
        <v>-339375000</v>
      </c>
    </row>
    <row r="83" spans="2:15">
      <c r="B83" s="1563"/>
      <c r="C83" s="3" t="s">
        <v>133</v>
      </c>
      <c r="D83" s="3" t="s">
        <v>134</v>
      </c>
      <c r="E83" s="3" t="s">
        <v>135</v>
      </c>
      <c r="F83" s="3" t="s">
        <v>146</v>
      </c>
      <c r="G83" s="4">
        <v>39754430</v>
      </c>
      <c r="H83" s="4">
        <v>0</v>
      </c>
      <c r="I83" s="4">
        <v>39754430</v>
      </c>
      <c r="J83" s="21" t="e">
        <f t="shared" si="16"/>
        <v>#DIV/0!</v>
      </c>
      <c r="K83" s="4">
        <v>0</v>
      </c>
      <c r="L83" s="476">
        <f t="shared" si="17"/>
        <v>39754430</v>
      </c>
      <c r="M83" s="201"/>
    </row>
    <row r="84" spans="2:15">
      <c r="B84" s="1563"/>
      <c r="C84" s="3" t="s">
        <v>133</v>
      </c>
      <c r="D84" s="3" t="s">
        <v>134</v>
      </c>
      <c r="E84" s="3" t="s">
        <v>135</v>
      </c>
      <c r="F84" s="3" t="s">
        <v>147</v>
      </c>
      <c r="G84" s="4">
        <v>514454167</v>
      </c>
      <c r="H84" s="4">
        <v>0</v>
      </c>
      <c r="I84" s="4">
        <v>514454167</v>
      </c>
      <c r="J84" s="21"/>
      <c r="K84" s="4">
        <v>46875000</v>
      </c>
      <c r="L84" s="476">
        <f t="shared" si="17"/>
        <v>467579167</v>
      </c>
    </row>
    <row r="85" spans="2:15" ht="18" thickBot="1">
      <c r="B85" s="1569"/>
      <c r="C85" s="17" t="s">
        <v>133</v>
      </c>
      <c r="D85" s="17" t="s">
        <v>134</v>
      </c>
      <c r="E85" s="17" t="s">
        <v>135</v>
      </c>
      <c r="F85" s="17" t="s">
        <v>148</v>
      </c>
      <c r="G85" s="6">
        <v>61027000</v>
      </c>
      <c r="H85" s="6">
        <v>0</v>
      </c>
      <c r="I85" s="6">
        <v>61027000</v>
      </c>
      <c r="J85" s="22" t="e">
        <f t="shared" ref="J85" si="18">+I85/H85</f>
        <v>#DIV/0!</v>
      </c>
      <c r="K85" s="6">
        <v>0</v>
      </c>
      <c r="L85" s="703">
        <f t="shared" si="17"/>
        <v>61027000</v>
      </c>
    </row>
    <row r="86" spans="2:15" ht="18" thickBot="1">
      <c r="B86" s="1559"/>
      <c r="C86" s="1570" t="s">
        <v>164</v>
      </c>
      <c r="D86" s="1570"/>
      <c r="E86" s="1570"/>
      <c r="F86" s="1571"/>
      <c r="G86" s="144">
        <f>SUM(G76:G85)</f>
        <v>10910550127</v>
      </c>
      <c r="H86" s="144">
        <f>SUM(H76:H85)</f>
        <v>7707949927.9942341</v>
      </c>
      <c r="I86" s="144">
        <f>SUM(I76:I85)</f>
        <v>10910550127</v>
      </c>
      <c r="J86" s="145">
        <f>G86/H86</f>
        <v>1.4154931244914233</v>
      </c>
      <c r="K86" s="146">
        <f>SUM(K76:K85)</f>
        <v>12836723235.543268</v>
      </c>
      <c r="L86" s="39">
        <f>SUM(L76:L85)</f>
        <v>-1926173108.5432682</v>
      </c>
    </row>
    <row r="87" spans="2:15" ht="18" thickBot="1">
      <c r="B87" s="1566" t="s">
        <v>165</v>
      </c>
      <c r="C87" s="1567"/>
      <c r="D87" s="1567"/>
      <c r="E87" s="1567"/>
      <c r="F87" s="1568"/>
      <c r="G87" s="192">
        <f>G75+G86</f>
        <v>65501994873</v>
      </c>
      <c r="H87" s="192">
        <f>H86+H75</f>
        <v>51985478617.596497</v>
      </c>
      <c r="I87" s="192">
        <f>I86+I75</f>
        <v>65501994873</v>
      </c>
      <c r="J87" s="193">
        <f>G87/H87</f>
        <v>1.2600056133912041</v>
      </c>
      <c r="K87" s="200">
        <f>K75+K86</f>
        <v>68215391454.244278</v>
      </c>
      <c r="L87" s="199"/>
      <c r="M87" s="203"/>
    </row>
    <row r="88" spans="2:15">
      <c r="B88" s="1562" t="s">
        <v>166</v>
      </c>
      <c r="C88" s="3" t="s">
        <v>133</v>
      </c>
      <c r="D88" s="3" t="s">
        <v>134</v>
      </c>
      <c r="E88" s="3" t="s">
        <v>135</v>
      </c>
      <c r="F88" s="3" t="s">
        <v>136</v>
      </c>
      <c r="G88" s="4"/>
      <c r="H88" s="4">
        <v>0</v>
      </c>
      <c r="I88" s="4">
        <v>0</v>
      </c>
      <c r="J88" s="21" t="e">
        <f t="shared" ref="J88:J95" si="19">+G88/H88</f>
        <v>#DIV/0!</v>
      </c>
      <c r="K88" s="4">
        <v>0</v>
      </c>
      <c r="L88" s="476">
        <f>I88-K88</f>
        <v>0</v>
      </c>
    </row>
    <row r="89" spans="2:15">
      <c r="B89" s="1563"/>
      <c r="C89" s="3" t="s">
        <v>133</v>
      </c>
      <c r="D89" s="3" t="s">
        <v>134</v>
      </c>
      <c r="E89" s="3" t="s">
        <v>135</v>
      </c>
      <c r="F89" s="3" t="s">
        <v>137</v>
      </c>
      <c r="G89" s="4"/>
      <c r="H89" s="4">
        <v>0</v>
      </c>
      <c r="I89" s="4">
        <v>0</v>
      </c>
      <c r="J89" s="21"/>
      <c r="K89" s="4">
        <v>0</v>
      </c>
      <c r="L89" s="476">
        <f t="shared" ref="L89:L97" si="20">I89-K89</f>
        <v>0</v>
      </c>
    </row>
    <row r="90" spans="2:15">
      <c r="B90" s="1563"/>
      <c r="C90" s="197" t="s">
        <v>133</v>
      </c>
      <c r="D90" s="3" t="s">
        <v>134</v>
      </c>
      <c r="E90" s="3" t="s">
        <v>135</v>
      </c>
      <c r="F90" s="3" t="s">
        <v>138</v>
      </c>
      <c r="G90" s="4"/>
      <c r="H90" s="4">
        <v>322280000</v>
      </c>
      <c r="I90" s="4">
        <v>1058000169</v>
      </c>
      <c r="J90" s="21"/>
      <c r="K90" s="4">
        <v>322280000</v>
      </c>
      <c r="L90" s="476">
        <f t="shared" si="20"/>
        <v>735720169</v>
      </c>
      <c r="M90">
        <v>998914989.72462666</v>
      </c>
    </row>
    <row r="91" spans="2:15">
      <c r="B91" s="1563"/>
      <c r="C91" s="3" t="s">
        <v>133</v>
      </c>
      <c r="D91" s="3" t="s">
        <v>134</v>
      </c>
      <c r="E91" s="3" t="s">
        <v>135</v>
      </c>
      <c r="F91" s="3" t="s">
        <v>139</v>
      </c>
      <c r="G91" s="4"/>
      <c r="H91" s="4">
        <v>960406827.9942342</v>
      </c>
      <c r="I91" s="4">
        <v>0</v>
      </c>
      <c r="J91" s="21">
        <f t="shared" si="19"/>
        <v>0</v>
      </c>
      <c r="K91" s="4">
        <v>1572321000</v>
      </c>
      <c r="L91" s="476">
        <f t="shared" si="20"/>
        <v>-1572321000</v>
      </c>
      <c r="M91">
        <v>286643200</v>
      </c>
    </row>
    <row r="92" spans="2:15">
      <c r="B92" s="1563"/>
      <c r="C92" s="3" t="s">
        <v>133</v>
      </c>
      <c r="D92" s="3" t="s">
        <v>134</v>
      </c>
      <c r="E92" s="3" t="s">
        <v>135</v>
      </c>
      <c r="F92" s="3" t="s">
        <v>140</v>
      </c>
      <c r="G92" s="4"/>
      <c r="H92" s="4">
        <v>8000557900</v>
      </c>
      <c r="I92" s="4">
        <v>13647383900</v>
      </c>
      <c r="J92" s="21">
        <f t="shared" si="19"/>
        <v>0</v>
      </c>
      <c r="K92" s="4">
        <v>13758591132.459711</v>
      </c>
      <c r="L92" s="476">
        <f t="shared" si="20"/>
        <v>-111207232.45971107</v>
      </c>
      <c r="M92">
        <v>15032886900</v>
      </c>
      <c r="N92" s="15">
        <v>829467900</v>
      </c>
    </row>
    <row r="93" spans="2:15">
      <c r="B93" s="1563"/>
      <c r="C93" s="3" t="s">
        <v>133</v>
      </c>
      <c r="D93" s="3" t="s">
        <v>134</v>
      </c>
      <c r="E93" s="3" t="s">
        <v>135</v>
      </c>
      <c r="F93" s="3" t="s">
        <v>141</v>
      </c>
      <c r="G93" s="4"/>
      <c r="H93" s="4">
        <v>0</v>
      </c>
      <c r="I93" s="4">
        <v>0</v>
      </c>
      <c r="J93" s="21" t="e">
        <f t="shared" si="19"/>
        <v>#DIV/0!</v>
      </c>
      <c r="K93" s="4">
        <v>40000000</v>
      </c>
      <c r="L93" s="476">
        <f t="shared" si="20"/>
        <v>-40000000</v>
      </c>
    </row>
    <row r="94" spans="2:15">
      <c r="B94" s="1563"/>
      <c r="C94" s="3" t="s">
        <v>133</v>
      </c>
      <c r="D94" s="3" t="s">
        <v>134</v>
      </c>
      <c r="E94" s="3" t="s">
        <v>135</v>
      </c>
      <c r="F94" s="3" t="s">
        <v>142</v>
      </c>
      <c r="G94" s="4"/>
      <c r="H94" s="4">
        <v>0</v>
      </c>
      <c r="I94" s="4">
        <v>143875000</v>
      </c>
      <c r="J94" s="21" t="e">
        <f t="shared" si="19"/>
        <v>#DIV/0!</v>
      </c>
      <c r="K94" s="4">
        <v>292500000</v>
      </c>
      <c r="L94" s="476">
        <f t="shared" si="20"/>
        <v>-148625000</v>
      </c>
    </row>
    <row r="95" spans="2:15">
      <c r="B95" s="1563"/>
      <c r="C95" s="3" t="s">
        <v>133</v>
      </c>
      <c r="D95" s="3" t="s">
        <v>134</v>
      </c>
      <c r="E95" s="3" t="s">
        <v>135</v>
      </c>
      <c r="F95" s="3" t="s">
        <v>146</v>
      </c>
      <c r="G95" s="4"/>
      <c r="H95" s="4">
        <v>0</v>
      </c>
      <c r="I95" s="4">
        <v>186269430</v>
      </c>
      <c r="J95" s="21" t="e">
        <f t="shared" si="19"/>
        <v>#DIV/0!</v>
      </c>
      <c r="K95" s="4">
        <v>155000000</v>
      </c>
      <c r="L95" s="476">
        <f t="shared" si="20"/>
        <v>31269430</v>
      </c>
      <c r="M95" s="206">
        <v>171269430</v>
      </c>
    </row>
    <row r="96" spans="2:15">
      <c r="B96" s="1563"/>
      <c r="C96" s="697" t="s">
        <v>133</v>
      </c>
      <c r="D96" s="697" t="s">
        <v>134</v>
      </c>
      <c r="E96" s="697" t="s">
        <v>135</v>
      </c>
      <c r="F96" s="697" t="s">
        <v>147</v>
      </c>
      <c r="G96" s="698"/>
      <c r="H96" s="698">
        <v>0</v>
      </c>
      <c r="I96" s="698">
        <v>333479167</v>
      </c>
      <c r="J96" s="699"/>
      <c r="K96" s="698">
        <v>46875000</v>
      </c>
      <c r="L96" s="704">
        <f t="shared" si="20"/>
        <v>286604167</v>
      </c>
    </row>
    <row r="97" spans="2:25" ht="18" thickBot="1">
      <c r="B97" s="662"/>
      <c r="C97" s="17" t="s">
        <v>133</v>
      </c>
      <c r="D97" s="17" t="s">
        <v>134</v>
      </c>
      <c r="E97" s="17" t="s">
        <v>135</v>
      </c>
      <c r="F97" s="17" t="s">
        <v>148</v>
      </c>
      <c r="G97" s="6"/>
      <c r="H97" s="6">
        <v>0</v>
      </c>
      <c r="I97" s="6">
        <v>31683200</v>
      </c>
      <c r="J97" s="22" t="e">
        <f t="shared" ref="J97" si="21">+I97/H97</f>
        <v>#DIV/0!</v>
      </c>
      <c r="K97" s="6">
        <v>0</v>
      </c>
      <c r="L97" s="703">
        <f t="shared" si="20"/>
        <v>31683200</v>
      </c>
    </row>
    <row r="98" spans="2:25" ht="18" thickBot="1">
      <c r="B98" s="1559" t="s">
        <v>169</v>
      </c>
      <c r="C98" s="1560"/>
      <c r="D98" s="1560"/>
      <c r="E98" s="1560"/>
      <c r="F98" s="1561"/>
      <c r="G98" s="144">
        <f>SUM(G88:G97)</f>
        <v>0</v>
      </c>
      <c r="H98" s="144">
        <f>SUM(H88:H97)</f>
        <v>9283244727.9942341</v>
      </c>
      <c r="I98" s="144">
        <f>SUM(I88:I97)</f>
        <v>15400690866</v>
      </c>
      <c r="J98" s="145">
        <f>G98/H98</f>
        <v>0</v>
      </c>
      <c r="K98" s="146">
        <f>SUM(K88:K97)</f>
        <v>16187567132.459711</v>
      </c>
      <c r="L98" s="39">
        <f>SUM(L88:L97)</f>
        <v>-786876266.45971107</v>
      </c>
    </row>
    <row r="99" spans="2:25" ht="18" thickBot="1">
      <c r="B99" s="1572" t="s">
        <v>170</v>
      </c>
      <c r="C99" s="1573"/>
      <c r="D99" s="1573"/>
      <c r="E99" s="1573"/>
      <c r="F99" s="1574"/>
      <c r="G99" s="204">
        <f>G87+G98</f>
        <v>65501994873</v>
      </c>
      <c r="H99" s="204">
        <f>H98+H87</f>
        <v>61268723345.590729</v>
      </c>
      <c r="I99" s="204">
        <f>I98+I87</f>
        <v>80902685739</v>
      </c>
      <c r="J99" s="193">
        <f>G99/H99</f>
        <v>1.0690935161735164</v>
      </c>
      <c r="K99" s="200">
        <f>K98+K87</f>
        <v>84402958586.703995</v>
      </c>
      <c r="L99" s="226">
        <f>I99-K99</f>
        <v>-3500272847.7039948</v>
      </c>
      <c r="M99" s="468"/>
    </row>
    <row r="100" spans="2:25">
      <c r="B100" s="1562" t="s">
        <v>101</v>
      </c>
      <c r="C100" s="3" t="s">
        <v>133</v>
      </c>
      <c r="D100" s="3" t="s">
        <v>134</v>
      </c>
      <c r="E100" s="3" t="s">
        <v>135</v>
      </c>
      <c r="F100" s="3" t="s">
        <v>136</v>
      </c>
      <c r="G100" s="4"/>
      <c r="H100" s="224">
        <v>0</v>
      </c>
      <c r="I100" s="4">
        <v>603655560</v>
      </c>
      <c r="J100" s="225" t="e">
        <f t="shared" ref="J100:J107" si="22">+G100/H100</f>
        <v>#DIV/0!</v>
      </c>
      <c r="K100" s="4">
        <v>603655560</v>
      </c>
      <c r="L100" s="705">
        <f>I100-K100</f>
        <v>0</v>
      </c>
      <c r="M100" s="464"/>
      <c r="N100">
        <v>100000000</v>
      </c>
    </row>
    <row r="101" spans="2:25">
      <c r="B101" s="1563"/>
      <c r="C101" s="3" t="s">
        <v>133</v>
      </c>
      <c r="D101" s="3" t="s">
        <v>134</v>
      </c>
      <c r="E101" s="3" t="s">
        <v>135</v>
      </c>
      <c r="F101" s="3" t="s">
        <v>137</v>
      </c>
      <c r="G101" s="4"/>
      <c r="H101" s="224">
        <v>0</v>
      </c>
      <c r="I101" s="4">
        <v>0</v>
      </c>
      <c r="J101" s="225"/>
      <c r="K101" s="4">
        <v>0</v>
      </c>
      <c r="L101" s="705">
        <f t="shared" ref="L101:L109" si="23">I101-K101</f>
        <v>0</v>
      </c>
      <c r="M101" s="464"/>
      <c r="N101" s="1"/>
      <c r="O101" s="1"/>
      <c r="P101" s="1"/>
      <c r="Q101" s="1"/>
      <c r="R101" s="1"/>
      <c r="S101" s="1"/>
      <c r="T101" s="1"/>
      <c r="U101" s="1"/>
      <c r="V101" s="1"/>
      <c r="W101" s="1"/>
      <c r="X101" s="1"/>
      <c r="Y101" s="1"/>
    </row>
    <row r="102" spans="2:25">
      <c r="B102" s="1563"/>
      <c r="C102" s="197" t="s">
        <v>133</v>
      </c>
      <c r="D102" s="3" t="s">
        <v>134</v>
      </c>
      <c r="E102" s="3" t="s">
        <v>135</v>
      </c>
      <c r="F102" s="3" t="s">
        <v>138</v>
      </c>
      <c r="G102" s="4"/>
      <c r="H102" s="4">
        <v>1579200000</v>
      </c>
      <c r="I102" s="4">
        <v>1265402524</v>
      </c>
      <c r="J102" s="21"/>
      <c r="K102" s="4">
        <v>1265402524</v>
      </c>
      <c r="L102" s="705">
        <f t="shared" si="23"/>
        <v>0</v>
      </c>
      <c r="M102" s="464"/>
      <c r="N102" s="1">
        <f>$N$100*N103</f>
        <v>67266666</v>
      </c>
      <c r="O102" s="1">
        <f t="shared" ref="O102:Y102" si="24">$N$100*O103</f>
        <v>119041667</v>
      </c>
      <c r="P102" s="1">
        <f t="shared" si="24"/>
        <v>25291667</v>
      </c>
      <c r="Q102" s="1">
        <f t="shared" si="24"/>
        <v>1000904167</v>
      </c>
      <c r="R102" s="1">
        <f t="shared" si="24"/>
        <v>31604167</v>
      </c>
      <c r="S102" s="1">
        <f t="shared" si="24"/>
        <v>440354167</v>
      </c>
      <c r="T102" s="1">
        <f t="shared" si="24"/>
        <v>514454167</v>
      </c>
      <c r="U102" s="1">
        <f t="shared" si="24"/>
        <v>333479167</v>
      </c>
      <c r="V102" s="1">
        <f t="shared" si="24"/>
        <v>294129167</v>
      </c>
      <c r="W102" s="1">
        <f t="shared" si="24"/>
        <v>0</v>
      </c>
      <c r="X102" s="1">
        <f t="shared" si="24"/>
        <v>125354167</v>
      </c>
      <c r="Y102" s="1">
        <f t="shared" si="24"/>
        <v>219104167.00000003</v>
      </c>
    </row>
    <row r="103" spans="2:25">
      <c r="B103" s="1563"/>
      <c r="C103" s="3" t="s">
        <v>133</v>
      </c>
      <c r="D103" s="3" t="s">
        <v>134</v>
      </c>
      <c r="E103" s="3" t="s">
        <v>135</v>
      </c>
      <c r="F103" s="3" t="s">
        <v>139</v>
      </c>
      <c r="G103" s="4"/>
      <c r="H103" s="224">
        <v>958214827.99423397</v>
      </c>
      <c r="I103" s="4">
        <v>363059300</v>
      </c>
      <c r="J103" s="225">
        <f t="shared" si="22"/>
        <v>0</v>
      </c>
      <c r="K103" s="4">
        <v>363059300</v>
      </c>
      <c r="L103" s="705">
        <f t="shared" si="23"/>
        <v>0</v>
      </c>
      <c r="M103" s="466"/>
      <c r="N103" s="1">
        <v>0.67266665999999997</v>
      </c>
      <c r="O103" s="1">
        <v>1.1904166700000001</v>
      </c>
      <c r="P103" s="1">
        <v>0.25291667000000001</v>
      </c>
      <c r="Q103" s="1">
        <v>10.00904167</v>
      </c>
      <c r="R103" s="1">
        <v>0.31604167</v>
      </c>
      <c r="S103" s="1">
        <v>4.4035416700000001</v>
      </c>
      <c r="T103" s="1">
        <v>5.1445416699999997</v>
      </c>
      <c r="U103" s="1">
        <v>3.33479167</v>
      </c>
      <c r="V103" s="1">
        <v>2.94129167</v>
      </c>
      <c r="W103" s="1">
        <v>0</v>
      </c>
      <c r="X103" s="1">
        <v>1.2535416699999999</v>
      </c>
      <c r="Y103" s="1">
        <v>2.1910416700000002</v>
      </c>
    </row>
    <row r="104" spans="2:25">
      <c r="B104" s="1563"/>
      <c r="C104" s="3" t="s">
        <v>133</v>
      </c>
      <c r="D104" s="3" t="s">
        <v>134</v>
      </c>
      <c r="E104" s="3" t="s">
        <v>135</v>
      </c>
      <c r="F104" s="3" t="s">
        <v>140</v>
      </c>
      <c r="G104" s="469"/>
      <c r="H104" s="224">
        <v>9421993233</v>
      </c>
      <c r="I104" s="469">
        <v>11205080550</v>
      </c>
      <c r="J104" s="225">
        <f t="shared" si="22"/>
        <v>0</v>
      </c>
      <c r="K104" s="469">
        <v>11317460550</v>
      </c>
      <c r="L104" s="705">
        <f t="shared" si="23"/>
        <v>-112380000</v>
      </c>
      <c r="M104" s="466"/>
      <c r="N104" s="1"/>
      <c r="O104" s="1"/>
      <c r="P104" s="1"/>
      <c r="Q104" s="1"/>
      <c r="R104" s="1"/>
      <c r="S104" s="1"/>
      <c r="T104" s="1"/>
      <c r="U104" s="1"/>
      <c r="V104" s="1"/>
      <c r="W104" s="1"/>
      <c r="X104" s="1"/>
      <c r="Y104" s="1"/>
    </row>
    <row r="105" spans="2:25">
      <c r="B105" s="1563"/>
      <c r="C105" s="3" t="s">
        <v>133</v>
      </c>
      <c r="D105" s="3" t="s">
        <v>134</v>
      </c>
      <c r="E105" s="3" t="s">
        <v>135</v>
      </c>
      <c r="F105" s="3" t="s">
        <v>141</v>
      </c>
      <c r="G105" s="4"/>
      <c r="H105" s="224">
        <v>0</v>
      </c>
      <c r="I105" s="4">
        <v>30000000</v>
      </c>
      <c r="J105" s="225" t="e">
        <f t="shared" si="22"/>
        <v>#DIV/0!</v>
      </c>
      <c r="K105" s="4">
        <v>30000000</v>
      </c>
      <c r="L105" s="705">
        <f t="shared" si="23"/>
        <v>0</v>
      </c>
      <c r="M105" s="464"/>
    </row>
    <row r="106" spans="2:25">
      <c r="B106" s="1563"/>
      <c r="C106" s="3" t="s">
        <v>133</v>
      </c>
      <c r="D106" s="3" t="s">
        <v>134</v>
      </c>
      <c r="E106" s="3" t="s">
        <v>135</v>
      </c>
      <c r="F106" s="3" t="s">
        <v>142</v>
      </c>
      <c r="G106" s="4"/>
      <c r="H106" s="224">
        <v>0</v>
      </c>
      <c r="I106" s="4">
        <v>230000000</v>
      </c>
      <c r="J106" s="225" t="e">
        <f t="shared" si="22"/>
        <v>#DIV/0!</v>
      </c>
      <c r="K106" s="4">
        <v>230000000</v>
      </c>
      <c r="L106" s="705">
        <f t="shared" si="23"/>
        <v>0</v>
      </c>
      <c r="M106" s="464"/>
    </row>
    <row r="107" spans="2:25">
      <c r="B107" s="1563"/>
      <c r="C107" s="3" t="s">
        <v>133</v>
      </c>
      <c r="D107" s="3" t="s">
        <v>134</v>
      </c>
      <c r="E107" s="3" t="s">
        <v>135</v>
      </c>
      <c r="F107" s="3" t="s">
        <v>146</v>
      </c>
      <c r="G107" s="4"/>
      <c r="H107" s="224">
        <v>0</v>
      </c>
      <c r="I107" s="4">
        <v>670649430</v>
      </c>
      <c r="J107" s="225" t="e">
        <f t="shared" si="22"/>
        <v>#DIV/0!</v>
      </c>
      <c r="K107" s="4">
        <v>543269430</v>
      </c>
      <c r="L107" s="705">
        <f t="shared" si="23"/>
        <v>127380000</v>
      </c>
      <c r="M107" s="464"/>
      <c r="N107" s="15"/>
    </row>
    <row r="108" spans="2:25">
      <c r="B108" s="1563"/>
      <c r="C108" s="697" t="s">
        <v>133</v>
      </c>
      <c r="D108" s="697" t="s">
        <v>134</v>
      </c>
      <c r="E108" s="697" t="s">
        <v>135</v>
      </c>
      <c r="F108" s="697" t="s">
        <v>147</v>
      </c>
      <c r="G108" s="698"/>
      <c r="H108" s="700">
        <v>0</v>
      </c>
      <c r="I108" s="698">
        <v>294129167</v>
      </c>
      <c r="J108" s="701"/>
      <c r="K108" s="698">
        <v>256329167</v>
      </c>
      <c r="L108" s="706">
        <f t="shared" si="23"/>
        <v>37800000</v>
      </c>
      <c r="M108" s="464"/>
    </row>
    <row r="109" spans="2:25" ht="18" thickBot="1">
      <c r="B109" s="662"/>
      <c r="C109" s="17" t="s">
        <v>133</v>
      </c>
      <c r="D109" s="17" t="s">
        <v>134</v>
      </c>
      <c r="E109" s="17" t="s">
        <v>135</v>
      </c>
      <c r="F109" s="17" t="s">
        <v>148</v>
      </c>
      <c r="G109" s="6"/>
      <c r="H109" s="6">
        <v>0</v>
      </c>
      <c r="I109" s="6">
        <v>58253000</v>
      </c>
      <c r="J109" s="22" t="e">
        <f t="shared" ref="J109" si="25">+I109/H109</f>
        <v>#DIV/0!</v>
      </c>
      <c r="K109" s="6">
        <v>58939000</v>
      </c>
      <c r="L109" s="707">
        <f t="shared" si="23"/>
        <v>-686000</v>
      </c>
      <c r="M109" s="464"/>
    </row>
    <row r="110" spans="2:25" ht="18" thickBot="1">
      <c r="B110" s="1559" t="s">
        <v>172</v>
      </c>
      <c r="C110" s="1560"/>
      <c r="D110" s="1560"/>
      <c r="E110" s="1560"/>
      <c r="F110" s="1561"/>
      <c r="G110" s="144">
        <f>SUM(G100:G109)</f>
        <v>0</v>
      </c>
      <c r="H110" s="144">
        <f>SUM(H100:H109)</f>
        <v>11959408060.994234</v>
      </c>
      <c r="I110" s="144">
        <f>SUM(I100:I109)</f>
        <v>14720229531</v>
      </c>
      <c r="J110" s="145">
        <f>G110/H110</f>
        <v>0</v>
      </c>
      <c r="K110" s="146">
        <f>SUM(K100:K109)</f>
        <v>14668115531</v>
      </c>
      <c r="L110" s="39">
        <f>SUM(L100:L109)</f>
        <v>52114000</v>
      </c>
      <c r="M110" s="465"/>
    </row>
    <row r="111" spans="2:25" ht="18" thickBot="1">
      <c r="B111" s="1566" t="s">
        <v>173</v>
      </c>
      <c r="C111" s="1567"/>
      <c r="D111" s="1567"/>
      <c r="E111" s="1567"/>
      <c r="F111" s="1568"/>
      <c r="G111" s="192"/>
      <c r="H111" s="192">
        <f>H110+H98+H86</f>
        <v>28950602716.982704</v>
      </c>
      <c r="I111" s="192">
        <f>I110+I98+I86</f>
        <v>41031470524</v>
      </c>
      <c r="J111" s="193"/>
      <c r="K111" s="205">
        <f>K110+K98+K86</f>
        <v>43692405899.002975</v>
      </c>
      <c r="L111" s="227">
        <f>I111-K111</f>
        <v>-2660935375.0029755</v>
      </c>
      <c r="M111" s="467"/>
    </row>
    <row r="112" spans="2:25">
      <c r="B112" s="1562" t="s">
        <v>175</v>
      </c>
      <c r="C112" s="3" t="s">
        <v>133</v>
      </c>
      <c r="D112" s="3" t="s">
        <v>134</v>
      </c>
      <c r="E112" s="3" t="s">
        <v>135</v>
      </c>
      <c r="F112" s="3" t="s">
        <v>136</v>
      </c>
      <c r="G112" s="4"/>
      <c r="H112" s="4">
        <v>0</v>
      </c>
      <c r="I112" s="4">
        <v>888570360</v>
      </c>
      <c r="J112" s="21" t="e">
        <f t="shared" ref="J112:J120" si="26">+G112/H112</f>
        <v>#DIV/0!</v>
      </c>
      <c r="K112" s="4">
        <v>888570360</v>
      </c>
      <c r="L112" s="476">
        <f>I112-K112</f>
        <v>0</v>
      </c>
    </row>
    <row r="113" spans="2:15">
      <c r="B113" s="1563"/>
      <c r="C113" s="3" t="s">
        <v>133</v>
      </c>
      <c r="D113" s="3" t="s">
        <v>134</v>
      </c>
      <c r="E113" s="3" t="s">
        <v>135</v>
      </c>
      <c r="F113" s="3" t="s">
        <v>137</v>
      </c>
      <c r="G113" s="4"/>
      <c r="H113" s="4">
        <v>0</v>
      </c>
      <c r="I113" s="4">
        <v>0</v>
      </c>
      <c r="J113" s="21" t="e">
        <f t="shared" si="26"/>
        <v>#DIV/0!</v>
      </c>
      <c r="K113" s="4">
        <v>0</v>
      </c>
      <c r="L113" s="476">
        <f t="shared" ref="L113:L121" si="27">I113-K113</f>
        <v>0</v>
      </c>
    </row>
    <row r="114" spans="2:15">
      <c r="B114" s="1563"/>
      <c r="C114" s="197" t="s">
        <v>133</v>
      </c>
      <c r="D114" s="3" t="s">
        <v>134</v>
      </c>
      <c r="E114" s="3" t="s">
        <v>135</v>
      </c>
      <c r="F114" s="3" t="s">
        <v>138</v>
      </c>
      <c r="G114" s="4"/>
      <c r="H114" s="4">
        <v>2868404000</v>
      </c>
      <c r="I114" s="4">
        <v>2299194991.7464771</v>
      </c>
      <c r="J114" s="21"/>
      <c r="K114" s="4">
        <v>2299194991.7464771</v>
      </c>
      <c r="L114" s="476">
        <f t="shared" si="27"/>
        <v>0</v>
      </c>
    </row>
    <row r="115" spans="2:15">
      <c r="B115" s="1563"/>
      <c r="C115" s="3" t="s">
        <v>133</v>
      </c>
      <c r="D115" s="3" t="s">
        <v>134</v>
      </c>
      <c r="E115" s="3" t="s">
        <v>135</v>
      </c>
      <c r="F115" s="3" t="s">
        <v>139</v>
      </c>
      <c r="G115" s="4"/>
      <c r="H115" s="4">
        <v>959310827.9942342</v>
      </c>
      <c r="I115" s="4">
        <v>163855560</v>
      </c>
      <c r="J115" s="21">
        <f t="shared" si="26"/>
        <v>0</v>
      </c>
      <c r="K115" s="4">
        <v>163855560</v>
      </c>
      <c r="L115" s="476">
        <f t="shared" si="27"/>
        <v>0</v>
      </c>
    </row>
    <row r="116" spans="2:15">
      <c r="B116" s="1563"/>
      <c r="C116" s="3" t="s">
        <v>133</v>
      </c>
      <c r="D116" s="3" t="s">
        <v>134</v>
      </c>
      <c r="E116" s="3" t="s">
        <v>135</v>
      </c>
      <c r="F116" s="3" t="s">
        <v>140</v>
      </c>
      <c r="G116" s="4"/>
      <c r="H116" s="4">
        <v>6504544700</v>
      </c>
      <c r="I116" s="4">
        <v>10116460100</v>
      </c>
      <c r="J116" s="21">
        <f t="shared" si="26"/>
        <v>0</v>
      </c>
      <c r="K116" s="4">
        <v>10116460100</v>
      </c>
      <c r="L116" s="476">
        <f t="shared" si="27"/>
        <v>0</v>
      </c>
    </row>
    <row r="117" spans="2:15">
      <c r="B117" s="1563"/>
      <c r="C117" s="3" t="s">
        <v>133</v>
      </c>
      <c r="D117" s="3" t="s">
        <v>134</v>
      </c>
      <c r="E117" s="3" t="s">
        <v>135</v>
      </c>
      <c r="F117" s="3" t="s">
        <v>141</v>
      </c>
      <c r="G117" s="4"/>
      <c r="H117" s="4">
        <v>0</v>
      </c>
      <c r="I117" s="4"/>
      <c r="J117" s="21" t="e">
        <f t="shared" si="26"/>
        <v>#DIV/0!</v>
      </c>
      <c r="K117" s="4"/>
      <c r="L117" s="476">
        <f t="shared" si="27"/>
        <v>0</v>
      </c>
    </row>
    <row r="118" spans="2:15">
      <c r="B118" s="1563"/>
      <c r="C118" s="3" t="s">
        <v>133</v>
      </c>
      <c r="D118" s="3" t="s">
        <v>134</v>
      </c>
      <c r="E118" s="3" t="s">
        <v>135</v>
      </c>
      <c r="F118" s="3" t="s">
        <v>142</v>
      </c>
      <c r="G118" s="4"/>
      <c r="H118" s="4">
        <v>0</v>
      </c>
      <c r="I118" s="4"/>
      <c r="J118" s="21" t="e">
        <f t="shared" si="26"/>
        <v>#DIV/0!</v>
      </c>
      <c r="K118" s="4"/>
      <c r="L118" s="476">
        <f t="shared" si="27"/>
        <v>0</v>
      </c>
      <c r="M118" s="480"/>
      <c r="O118">
        <v>2.94129167</v>
      </c>
    </row>
    <row r="119" spans="2:15">
      <c r="B119" s="1563"/>
      <c r="C119" s="3" t="s">
        <v>133</v>
      </c>
      <c r="D119" s="3" t="s">
        <v>134</v>
      </c>
      <c r="E119" s="3" t="s">
        <v>135</v>
      </c>
      <c r="F119" s="3" t="s">
        <v>146</v>
      </c>
      <c r="G119" s="4"/>
      <c r="H119" s="4">
        <v>363000000</v>
      </c>
      <c r="I119" s="4">
        <v>658989430</v>
      </c>
      <c r="J119" s="21">
        <f t="shared" si="26"/>
        <v>0</v>
      </c>
      <c r="K119" s="4">
        <v>658989430</v>
      </c>
      <c r="L119" s="476">
        <f t="shared" si="27"/>
        <v>0</v>
      </c>
    </row>
    <row r="120" spans="2:15">
      <c r="B120" s="1563"/>
      <c r="C120" s="697" t="s">
        <v>133</v>
      </c>
      <c r="D120" s="697" t="s">
        <v>134</v>
      </c>
      <c r="E120" s="697" t="s">
        <v>135</v>
      </c>
      <c r="F120" s="697" t="s">
        <v>147</v>
      </c>
      <c r="G120" s="698"/>
      <c r="H120" s="698">
        <v>0</v>
      </c>
      <c r="I120" s="698">
        <v>0</v>
      </c>
      <c r="J120" s="699" t="e">
        <f t="shared" si="26"/>
        <v>#DIV/0!</v>
      </c>
      <c r="K120" s="698">
        <v>31604167</v>
      </c>
      <c r="L120" s="476">
        <f t="shared" si="27"/>
        <v>-31604167</v>
      </c>
      <c r="O120" s="1">
        <f>O118*10000000</f>
        <v>29412916.699999999</v>
      </c>
    </row>
    <row r="121" spans="2:15" ht="18" thickBot="1">
      <c r="B121" s="662"/>
      <c r="C121" s="17" t="s">
        <v>133</v>
      </c>
      <c r="D121" s="17" t="s">
        <v>134</v>
      </c>
      <c r="E121" s="17" t="s">
        <v>135</v>
      </c>
      <c r="F121" s="17" t="s">
        <v>148</v>
      </c>
      <c r="G121" s="6"/>
      <c r="H121" s="6">
        <v>0</v>
      </c>
      <c r="I121" s="6">
        <v>0</v>
      </c>
      <c r="J121" s="22" t="e">
        <f t="shared" ref="J121" si="28">+I121/H121</f>
        <v>#DIV/0!</v>
      </c>
      <c r="K121" s="6">
        <v>0</v>
      </c>
      <c r="L121" s="476">
        <f t="shared" si="27"/>
        <v>0</v>
      </c>
    </row>
    <row r="122" spans="2:15" ht="18" thickBot="1">
      <c r="B122" s="1559" t="s">
        <v>178</v>
      </c>
      <c r="C122" s="1560"/>
      <c r="D122" s="1560"/>
      <c r="E122" s="1560"/>
      <c r="F122" s="1561"/>
      <c r="G122" s="144">
        <f>SUM(G112:G121)</f>
        <v>0</v>
      </c>
      <c r="H122" s="144">
        <f>SUM(H112:H121)</f>
        <v>10695259527.994234</v>
      </c>
      <c r="I122" s="144">
        <f>SUM(I112:I121)</f>
        <v>14127070441.746477</v>
      </c>
      <c r="J122" s="145">
        <f>G122/H122</f>
        <v>0</v>
      </c>
      <c r="K122" s="146">
        <f>SUM(K112:K121)</f>
        <v>14158674608.746477</v>
      </c>
      <c r="L122" s="39">
        <f>SUM(L112:L121)</f>
        <v>-31604167</v>
      </c>
      <c r="M122" s="15"/>
    </row>
    <row r="123" spans="2:15">
      <c r="B123" s="1562" t="s">
        <v>143</v>
      </c>
      <c r="C123" s="3" t="s">
        <v>133</v>
      </c>
      <c r="D123" s="3" t="s">
        <v>134</v>
      </c>
      <c r="E123" s="3" t="s">
        <v>135</v>
      </c>
      <c r="F123" s="3" t="s">
        <v>136</v>
      </c>
      <c r="G123" s="4"/>
      <c r="H123" s="4">
        <v>0</v>
      </c>
      <c r="I123" s="4">
        <v>0</v>
      </c>
      <c r="J123" s="21" t="e">
        <f t="shared" ref="J123:J130" si="29">+G123/H123</f>
        <v>#DIV/0!</v>
      </c>
      <c r="K123" s="4">
        <v>0</v>
      </c>
      <c r="L123" s="476">
        <f>I123-K123</f>
        <v>0</v>
      </c>
    </row>
    <row r="124" spans="2:15">
      <c r="B124" s="1563"/>
      <c r="C124" s="3" t="s">
        <v>133</v>
      </c>
      <c r="D124" s="3" t="s">
        <v>134</v>
      </c>
      <c r="E124" s="3" t="s">
        <v>135</v>
      </c>
      <c r="F124" s="3" t="s">
        <v>137</v>
      </c>
      <c r="G124" s="4"/>
      <c r="H124" s="4">
        <v>0</v>
      </c>
      <c r="I124" s="4">
        <v>0</v>
      </c>
      <c r="J124" s="21"/>
      <c r="K124" s="4">
        <v>0</v>
      </c>
      <c r="L124" s="476">
        <f t="shared" ref="L124:L132" si="30">I124-K124</f>
        <v>0</v>
      </c>
    </row>
    <row r="125" spans="2:15">
      <c r="B125" s="1563"/>
      <c r="C125" s="197" t="s">
        <v>133</v>
      </c>
      <c r="D125" s="3" t="s">
        <v>134</v>
      </c>
      <c r="E125" s="3" t="s">
        <v>135</v>
      </c>
      <c r="F125" s="3" t="s">
        <v>138</v>
      </c>
      <c r="G125" s="4"/>
      <c r="H125" s="4">
        <v>2142252000</v>
      </c>
      <c r="I125" s="4">
        <v>2656324738.927938</v>
      </c>
      <c r="J125" s="21"/>
      <c r="K125" s="4">
        <v>2656324738.927938</v>
      </c>
      <c r="L125" s="476">
        <f t="shared" si="30"/>
        <v>0</v>
      </c>
    </row>
    <row r="126" spans="2:15">
      <c r="B126" s="1563"/>
      <c r="C126" s="3" t="s">
        <v>133</v>
      </c>
      <c r="D126" s="3" t="s">
        <v>134</v>
      </c>
      <c r="E126" s="3" t="s">
        <v>135</v>
      </c>
      <c r="F126" s="3" t="s">
        <v>139</v>
      </c>
      <c r="G126" s="4"/>
      <c r="H126" s="4">
        <v>959310827.9942342</v>
      </c>
      <c r="I126" s="4">
        <v>57368359.999999993</v>
      </c>
      <c r="J126" s="21">
        <f t="shared" si="29"/>
        <v>0</v>
      </c>
      <c r="K126" s="4">
        <v>57368359.999999993</v>
      </c>
      <c r="L126" s="476">
        <f t="shared" si="30"/>
        <v>0</v>
      </c>
      <c r="M126" s="480"/>
    </row>
    <row r="127" spans="2:15">
      <c r="B127" s="1563"/>
      <c r="C127" s="3" t="s">
        <v>133</v>
      </c>
      <c r="D127" s="3" t="s">
        <v>134</v>
      </c>
      <c r="E127" s="3" t="s">
        <v>135</v>
      </c>
      <c r="F127" s="3" t="s">
        <v>140</v>
      </c>
      <c r="G127" s="4"/>
      <c r="H127" s="4">
        <v>4201715500</v>
      </c>
      <c r="I127" s="4">
        <v>6239997275</v>
      </c>
      <c r="J127" s="21">
        <f t="shared" si="29"/>
        <v>0</v>
      </c>
      <c r="K127" s="4">
        <v>6239997275</v>
      </c>
      <c r="L127" s="476">
        <f t="shared" si="30"/>
        <v>0</v>
      </c>
      <c r="M127" s="481"/>
    </row>
    <row r="128" spans="2:15">
      <c r="B128" s="1563"/>
      <c r="C128" s="3" t="s">
        <v>133</v>
      </c>
      <c r="D128" s="3" t="s">
        <v>134</v>
      </c>
      <c r="E128" s="3" t="s">
        <v>135</v>
      </c>
      <c r="F128" s="3" t="s">
        <v>141</v>
      </c>
      <c r="G128" s="4"/>
      <c r="H128" s="4">
        <v>107000000</v>
      </c>
      <c r="I128" s="4">
        <v>67000000</v>
      </c>
      <c r="J128" s="21">
        <f t="shared" si="29"/>
        <v>0</v>
      </c>
      <c r="K128" s="4">
        <v>67000000</v>
      </c>
      <c r="L128" s="476">
        <f t="shared" si="30"/>
        <v>0</v>
      </c>
      <c r="M128" s="15"/>
    </row>
    <row r="129" spans="2:13">
      <c r="B129" s="1563"/>
      <c r="C129" s="3" t="s">
        <v>133</v>
      </c>
      <c r="D129" s="3" t="s">
        <v>134</v>
      </c>
      <c r="E129" s="3" t="s">
        <v>135</v>
      </c>
      <c r="F129" s="3" t="s">
        <v>142</v>
      </c>
      <c r="G129" s="4"/>
      <c r="H129" s="4">
        <v>720875000</v>
      </c>
      <c r="I129" s="4">
        <v>38500000</v>
      </c>
      <c r="J129" s="21">
        <f t="shared" si="29"/>
        <v>0</v>
      </c>
      <c r="K129" s="4">
        <v>38500000</v>
      </c>
      <c r="L129" s="476">
        <f t="shared" si="30"/>
        <v>0</v>
      </c>
      <c r="M129" s="15"/>
    </row>
    <row r="130" spans="2:13">
      <c r="B130" s="1563"/>
      <c r="C130" s="3" t="s">
        <v>133</v>
      </c>
      <c r="D130" s="3" t="s">
        <v>134</v>
      </c>
      <c r="E130" s="3" t="s">
        <v>135</v>
      </c>
      <c r="F130" s="3" t="s">
        <v>146</v>
      </c>
      <c r="G130" s="4"/>
      <c r="H130" s="4">
        <v>724900000</v>
      </c>
      <c r="I130" s="4">
        <v>74269430</v>
      </c>
      <c r="J130" s="21">
        <f t="shared" si="29"/>
        <v>0</v>
      </c>
      <c r="K130" s="4">
        <v>74269430</v>
      </c>
      <c r="L130" s="476">
        <f t="shared" si="30"/>
        <v>0</v>
      </c>
    </row>
    <row r="131" spans="2:13">
      <c r="B131" s="1563"/>
      <c r="C131" s="697" t="s">
        <v>133</v>
      </c>
      <c r="D131" s="697" t="s">
        <v>134</v>
      </c>
      <c r="E131" s="697" t="s">
        <v>135</v>
      </c>
      <c r="F131" s="697" t="s">
        <v>147</v>
      </c>
      <c r="G131" s="698"/>
      <c r="H131" s="698">
        <v>234375000</v>
      </c>
      <c r="I131" s="698">
        <v>125354167</v>
      </c>
      <c r="J131" s="699"/>
      <c r="K131" s="698">
        <v>125354167</v>
      </c>
      <c r="L131" s="476">
        <f t="shared" si="30"/>
        <v>0</v>
      </c>
    </row>
    <row r="132" spans="2:13" ht="18" thickBot="1">
      <c r="B132" s="662"/>
      <c r="C132" s="17" t="s">
        <v>133</v>
      </c>
      <c r="D132" s="17" t="s">
        <v>134</v>
      </c>
      <c r="E132" s="17" t="s">
        <v>135</v>
      </c>
      <c r="F132" s="17" t="s">
        <v>148</v>
      </c>
      <c r="G132" s="6"/>
      <c r="H132" s="6">
        <v>0</v>
      </c>
      <c r="I132" s="6">
        <v>0</v>
      </c>
      <c r="J132" s="22" t="e">
        <f t="shared" ref="J132" si="31">+I132/H132</f>
        <v>#DIV/0!</v>
      </c>
      <c r="K132" s="6">
        <v>0</v>
      </c>
      <c r="L132" s="476">
        <f t="shared" si="30"/>
        <v>0</v>
      </c>
    </row>
    <row r="133" spans="2:13" ht="18" thickBot="1">
      <c r="B133" s="1559" t="s">
        <v>181</v>
      </c>
      <c r="C133" s="1560"/>
      <c r="D133" s="1560"/>
      <c r="E133" s="1560"/>
      <c r="F133" s="1561"/>
      <c r="G133" s="144">
        <f>SUM(G123:G132)</f>
        <v>0</v>
      </c>
      <c r="H133" s="144">
        <f>SUM(H123:H132)</f>
        <v>9090428327.9942341</v>
      </c>
      <c r="I133" s="144">
        <f>SUM(I123:I132)</f>
        <v>9258813970.9279385</v>
      </c>
      <c r="J133" s="145">
        <f>G133/H133</f>
        <v>0</v>
      </c>
      <c r="K133" s="146">
        <f>SUM(K123:K132)</f>
        <v>9258813970.9279385</v>
      </c>
      <c r="L133" s="39">
        <f>SUM(L123:L132)</f>
        <v>0</v>
      </c>
    </row>
    <row r="134" spans="2:13">
      <c r="B134" s="1564" t="s">
        <v>144</v>
      </c>
      <c r="C134" s="16" t="s">
        <v>133</v>
      </c>
      <c r="D134" s="16" t="s">
        <v>134</v>
      </c>
      <c r="E134" s="16" t="s">
        <v>135</v>
      </c>
      <c r="F134" s="16" t="s">
        <v>136</v>
      </c>
      <c r="G134" s="191"/>
      <c r="H134" s="191">
        <v>0</v>
      </c>
      <c r="I134" s="191"/>
      <c r="J134" s="23" t="e">
        <f t="shared" ref="J134:J141" si="32">+G134/H134</f>
        <v>#DIV/0!</v>
      </c>
      <c r="K134" s="191"/>
      <c r="L134" s="476">
        <f>I134-K134</f>
        <v>0</v>
      </c>
      <c r="M134" s="15"/>
    </row>
    <row r="135" spans="2:13">
      <c r="B135" s="1563"/>
      <c r="C135" s="3" t="s">
        <v>133</v>
      </c>
      <c r="D135" s="3" t="s">
        <v>134</v>
      </c>
      <c r="E135" s="3" t="s">
        <v>135</v>
      </c>
      <c r="F135" s="3" t="s">
        <v>137</v>
      </c>
      <c r="G135" s="4"/>
      <c r="H135" s="4">
        <v>0</v>
      </c>
      <c r="I135" s="4">
        <v>0</v>
      </c>
      <c r="J135" s="21"/>
      <c r="K135" s="4">
        <v>0</v>
      </c>
      <c r="L135" s="476">
        <f t="shared" ref="L135:L143" si="33">I135-K135</f>
        <v>0</v>
      </c>
      <c r="M135" s="15"/>
    </row>
    <row r="136" spans="2:13">
      <c r="B136" s="1563"/>
      <c r="C136" s="197" t="s">
        <v>133</v>
      </c>
      <c r="D136" s="3" t="s">
        <v>134</v>
      </c>
      <c r="E136" s="3" t="s">
        <v>135</v>
      </c>
      <c r="F136" s="3" t="s">
        <v>138</v>
      </c>
      <c r="G136" s="4"/>
      <c r="H136" s="4">
        <v>495684000</v>
      </c>
      <c r="I136" s="4">
        <v>866664865.86582315</v>
      </c>
      <c r="J136" s="21"/>
      <c r="K136" s="4">
        <v>866664865.86582315</v>
      </c>
      <c r="L136" s="476">
        <f t="shared" si="33"/>
        <v>0</v>
      </c>
      <c r="M136" s="15"/>
    </row>
    <row r="137" spans="2:13">
      <c r="B137" s="1563"/>
      <c r="C137" s="3" t="s">
        <v>133</v>
      </c>
      <c r="D137" s="3" t="s">
        <v>134</v>
      </c>
      <c r="E137" s="3" t="s">
        <v>135</v>
      </c>
      <c r="F137" s="3" t="s">
        <v>139</v>
      </c>
      <c r="G137" s="4"/>
      <c r="H137" s="4">
        <v>959310827.9942342</v>
      </c>
      <c r="I137" s="4">
        <v>545800400</v>
      </c>
      <c r="J137" s="21">
        <f t="shared" si="32"/>
        <v>0</v>
      </c>
      <c r="K137" s="4">
        <v>545800400</v>
      </c>
      <c r="L137" s="476">
        <f t="shared" si="33"/>
        <v>0</v>
      </c>
      <c r="M137" s="547"/>
    </row>
    <row r="138" spans="2:13">
      <c r="B138" s="1563"/>
      <c r="C138" s="3" t="s">
        <v>133</v>
      </c>
      <c r="D138" s="3" t="s">
        <v>134</v>
      </c>
      <c r="E138" s="3" t="s">
        <v>135</v>
      </c>
      <c r="F138" s="3" t="s">
        <v>140</v>
      </c>
      <c r="G138" s="4"/>
      <c r="H138" s="4">
        <v>14634343765</v>
      </c>
      <c r="I138" s="488">
        <v>8291092275</v>
      </c>
      <c r="J138" s="21">
        <f t="shared" si="32"/>
        <v>0</v>
      </c>
      <c r="K138" s="488">
        <v>8291092275</v>
      </c>
      <c r="L138" s="476">
        <f t="shared" si="33"/>
        <v>0</v>
      </c>
      <c r="M138" s="15"/>
    </row>
    <row r="139" spans="2:13">
      <c r="B139" s="1563"/>
      <c r="C139" s="3" t="s">
        <v>133</v>
      </c>
      <c r="D139" s="3" t="s">
        <v>134</v>
      </c>
      <c r="E139" s="3" t="s">
        <v>135</v>
      </c>
      <c r="F139" s="3" t="s">
        <v>141</v>
      </c>
      <c r="G139" s="4"/>
      <c r="H139" s="4">
        <v>67000000</v>
      </c>
      <c r="I139" s="4">
        <v>67000000</v>
      </c>
      <c r="J139" s="21">
        <f t="shared" si="32"/>
        <v>0</v>
      </c>
      <c r="K139" s="4">
        <v>67000000</v>
      </c>
      <c r="L139" s="476">
        <f t="shared" si="33"/>
        <v>0</v>
      </c>
      <c r="M139" s="15"/>
    </row>
    <row r="140" spans="2:13">
      <c r="B140" s="1563"/>
      <c r="C140" s="3" t="s">
        <v>133</v>
      </c>
      <c r="D140" s="3" t="s">
        <v>134</v>
      </c>
      <c r="E140" s="3" t="s">
        <v>135</v>
      </c>
      <c r="F140" s="3" t="s">
        <v>142</v>
      </c>
      <c r="G140" s="4"/>
      <c r="H140" s="4">
        <v>257375000</v>
      </c>
      <c r="I140" s="4">
        <v>140625000</v>
      </c>
      <c r="J140" s="21">
        <f t="shared" si="32"/>
        <v>0</v>
      </c>
      <c r="K140" s="4">
        <v>140625000</v>
      </c>
      <c r="L140" s="476">
        <f t="shared" si="33"/>
        <v>0</v>
      </c>
      <c r="M140" s="15"/>
    </row>
    <row r="141" spans="2:13">
      <c r="B141" s="1563"/>
      <c r="C141" s="3" t="s">
        <v>133</v>
      </c>
      <c r="D141" s="3" t="s">
        <v>134</v>
      </c>
      <c r="E141" s="3" t="s">
        <v>135</v>
      </c>
      <c r="F141" s="3" t="s">
        <v>146</v>
      </c>
      <c r="G141" s="4"/>
      <c r="H141" s="4">
        <v>437000000</v>
      </c>
      <c r="I141" s="4">
        <v>305269430</v>
      </c>
      <c r="J141" s="21">
        <f t="shared" si="32"/>
        <v>0</v>
      </c>
      <c r="K141" s="4">
        <v>305269430</v>
      </c>
      <c r="L141" s="476">
        <f t="shared" si="33"/>
        <v>0</v>
      </c>
      <c r="M141" s="15"/>
    </row>
    <row r="142" spans="2:13">
      <c r="B142" s="1563"/>
      <c r="C142" s="697" t="s">
        <v>133</v>
      </c>
      <c r="D142" s="697" t="s">
        <v>134</v>
      </c>
      <c r="E142" s="697" t="s">
        <v>135</v>
      </c>
      <c r="F142" s="697" t="s">
        <v>147</v>
      </c>
      <c r="G142" s="698"/>
      <c r="H142" s="698">
        <v>234375000</v>
      </c>
      <c r="I142" s="698">
        <v>219104167.00000003</v>
      </c>
      <c r="J142" s="699"/>
      <c r="K142" s="698">
        <v>219104167</v>
      </c>
      <c r="L142" s="476">
        <f t="shared" si="33"/>
        <v>0</v>
      </c>
      <c r="M142" s="15"/>
    </row>
    <row r="143" spans="2:13" ht="18" thickBot="1">
      <c r="B143" s="1565"/>
      <c r="C143" s="17" t="s">
        <v>133</v>
      </c>
      <c r="D143" s="17" t="s">
        <v>134</v>
      </c>
      <c r="E143" s="17" t="s">
        <v>135</v>
      </c>
      <c r="F143" s="17" t="s">
        <v>148</v>
      </c>
      <c r="G143" s="6"/>
      <c r="H143" s="6">
        <v>0</v>
      </c>
      <c r="I143" s="6">
        <v>0</v>
      </c>
      <c r="J143" s="22" t="e">
        <f t="shared" ref="J143" si="34">+I143/H143</f>
        <v>#DIV/0!</v>
      </c>
      <c r="K143" s="6">
        <v>0</v>
      </c>
      <c r="L143" s="476">
        <f t="shared" si="33"/>
        <v>0</v>
      </c>
    </row>
    <row r="144" spans="2:13" ht="18" thickBot="1">
      <c r="B144" s="1559" t="s">
        <v>184</v>
      </c>
      <c r="C144" s="1560"/>
      <c r="D144" s="1560"/>
      <c r="E144" s="1560"/>
      <c r="F144" s="1561"/>
      <c r="G144" s="144">
        <f>SUM(G134:G143)</f>
        <v>0</v>
      </c>
      <c r="H144" s="144">
        <f>SUM(H134:H143)</f>
        <v>17085088592.994234</v>
      </c>
      <c r="I144" s="144">
        <f>SUM(I134:I143)</f>
        <v>10435556137.865824</v>
      </c>
      <c r="J144" s="145">
        <f>G144/H144</f>
        <v>0</v>
      </c>
      <c r="K144" s="146">
        <f>SUM(K134:K143)</f>
        <v>10435556137.865824</v>
      </c>
      <c r="L144" s="39">
        <f>SUM(L134:L143)</f>
        <v>0</v>
      </c>
      <c r="M144" s="470"/>
    </row>
    <row r="149" spans="13:13">
      <c r="M149" s="471"/>
    </row>
    <row r="150" spans="13:13">
      <c r="M150" s="471"/>
    </row>
    <row r="151" spans="13:13">
      <c r="M151" s="471"/>
    </row>
    <row r="161" spans="13:13">
      <c r="M161" s="185"/>
    </row>
    <row r="162" spans="13:13">
      <c r="M162" s="185"/>
    </row>
    <row r="163" spans="13:13">
      <c r="M163" s="185"/>
    </row>
    <row r="183" ht="35.85" customHeight="1"/>
  </sheetData>
  <mergeCells count="31">
    <mergeCell ref="B63:B73"/>
    <mergeCell ref="C73:F73"/>
    <mergeCell ref="K5:L5"/>
    <mergeCell ref="B7:B17"/>
    <mergeCell ref="C17:F17"/>
    <mergeCell ref="B18:B28"/>
    <mergeCell ref="C28:F28"/>
    <mergeCell ref="B29:B39"/>
    <mergeCell ref="C39:F39"/>
    <mergeCell ref="B40:F40"/>
    <mergeCell ref="B41:B51"/>
    <mergeCell ref="C51:F51"/>
    <mergeCell ref="B52:B62"/>
    <mergeCell ref="C62:F62"/>
    <mergeCell ref="B112:B120"/>
    <mergeCell ref="B74:F74"/>
    <mergeCell ref="B75:F75"/>
    <mergeCell ref="B76:B86"/>
    <mergeCell ref="C86:F86"/>
    <mergeCell ref="B87:F87"/>
    <mergeCell ref="B88:B96"/>
    <mergeCell ref="B98:F98"/>
    <mergeCell ref="B99:F99"/>
    <mergeCell ref="B100:B108"/>
    <mergeCell ref="B110:F110"/>
    <mergeCell ref="B111:F111"/>
    <mergeCell ref="B122:F122"/>
    <mergeCell ref="B123:B131"/>
    <mergeCell ref="B133:F133"/>
    <mergeCell ref="B134:B143"/>
    <mergeCell ref="B144:F144"/>
  </mergeCells>
  <phoneticPr fontId="2" type="noConversion"/>
  <pageMargins left="0.37" right="0.23" top="0.3" bottom="0.17" header="0.3" footer="0.18"/>
  <pageSetup paperSize="9" scale="55" fitToHeight="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A214-0E88-4512-85CA-B7537E35DD99}">
  <sheetPr codeName="Sheet6"/>
  <dimension ref="B2:AH77"/>
  <sheetViews>
    <sheetView showGridLines="0" zoomScale="55" zoomScaleNormal="55" workbookViewId="0">
      <pane xSplit="5" ySplit="4" topLeftCell="F11" activePane="bottomRight" state="frozen"/>
      <selection pane="topRight" activeCell="K67" sqref="K67"/>
      <selection pane="bottomLeft" activeCell="K67" sqref="K67"/>
      <selection pane="bottomRight" activeCell="U32" sqref="A32:U37"/>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395</v>
      </c>
    </row>
    <row r="3" spans="2:34" ht="20.100000000000001" customHeight="1"/>
    <row r="4" spans="2:34" ht="25.35" customHeight="1">
      <c r="B4" s="217" t="s">
        <v>396</v>
      </c>
      <c r="C4" s="217" t="s">
        <v>397</v>
      </c>
      <c r="D4" s="692" t="s">
        <v>398</v>
      </c>
      <c r="E4" s="217" t="s">
        <v>399</v>
      </c>
      <c r="F4" s="693" t="s">
        <v>3</v>
      </c>
      <c r="G4" s="221" t="s">
        <v>4</v>
      </c>
      <c r="H4" s="221" t="s">
        <v>400</v>
      </c>
      <c r="I4" s="221" t="s">
        <v>401</v>
      </c>
      <c r="J4" s="221" t="s">
        <v>402</v>
      </c>
      <c r="K4" s="221" t="s">
        <v>403</v>
      </c>
      <c r="L4" s="221" t="s">
        <v>404</v>
      </c>
      <c r="M4" s="221" t="s">
        <v>405</v>
      </c>
      <c r="N4" s="221" t="s">
        <v>406</v>
      </c>
      <c r="O4" s="221" t="s">
        <v>407</v>
      </c>
      <c r="P4" s="221" t="s">
        <v>408</v>
      </c>
      <c r="Q4" s="694" t="s">
        <v>144</v>
      </c>
      <c r="R4" s="217" t="s">
        <v>409</v>
      </c>
      <c r="T4" s="692" t="s">
        <v>107</v>
      </c>
      <c r="U4" s="221" t="s">
        <v>110</v>
      </c>
      <c r="V4" s="221" t="s">
        <v>410</v>
      </c>
      <c r="W4" s="221" t="s">
        <v>411</v>
      </c>
      <c r="X4" s="221" t="s">
        <v>412</v>
      </c>
      <c r="Y4" s="221" t="s">
        <v>413</v>
      </c>
      <c r="Z4" s="221" t="s">
        <v>414</v>
      </c>
      <c r="AA4" s="221" t="s">
        <v>415</v>
      </c>
      <c r="AB4" s="221" t="s">
        <v>416</v>
      </c>
      <c r="AC4" s="695" t="s">
        <v>417</v>
      </c>
      <c r="AE4" s="220" t="s">
        <v>418</v>
      </c>
      <c r="AF4" s="221" t="s">
        <v>419</v>
      </c>
      <c r="AG4" s="221" t="s">
        <v>420</v>
      </c>
      <c r="AH4" s="695" t="s">
        <v>421</v>
      </c>
    </row>
    <row r="5" spans="2:34" ht="20.100000000000001" customHeight="1">
      <c r="B5" s="670" t="s">
        <v>422</v>
      </c>
      <c r="C5" s="671" t="s">
        <v>423</v>
      </c>
      <c r="D5" s="672" t="s">
        <v>423</v>
      </c>
      <c r="E5" s="671" t="s">
        <v>424</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6"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si="0"/>
        <v>0</v>
      </c>
      <c r="T6" s="674">
        <f t="shared" ref="T6:T56"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6" si="4">SUM(F6:H6)</f>
        <v>0</v>
      </c>
      <c r="AF6" s="222">
        <f t="shared" ref="AF6:AF56" si="5">SUM(I6:K6)</f>
        <v>0</v>
      </c>
      <c r="AG6" s="216">
        <f t="shared" ref="AG6:AG56" si="6">SUM(L6:N6)</f>
        <v>0</v>
      </c>
      <c r="AH6" s="675">
        <f t="shared" ref="AH6:AH56" si="7">SUM(O6:Q6)</f>
        <v>0</v>
      </c>
    </row>
    <row r="7" spans="2:34" ht="20.100000000000001" customHeight="1">
      <c r="B7" s="670" t="s">
        <v>34</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customHeight="1">
      <c r="B8" s="670" t="s">
        <v>422</v>
      </c>
      <c r="C8" s="671" t="s">
        <v>428</v>
      </c>
      <c r="D8" s="672" t="s">
        <v>428</v>
      </c>
      <c r="E8" s="671" t="s">
        <v>428</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customHeight="1">
      <c r="B9" s="670" t="s">
        <v>422</v>
      </c>
      <c r="C9" s="678" t="s">
        <v>429</v>
      </c>
      <c r="D9" s="671" t="s">
        <v>430</v>
      </c>
      <c r="E9" s="671" t="s">
        <v>431</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customHeight="1">
      <c r="B10" s="670" t="s">
        <v>422</v>
      </c>
      <c r="C10" s="671" t="s">
        <v>432</v>
      </c>
      <c r="D10" s="672" t="s">
        <v>432</v>
      </c>
      <c r="E10" s="671" t="s">
        <v>433</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customHeight="1">
      <c r="B11" s="670" t="s">
        <v>422</v>
      </c>
      <c r="C11" s="671" t="s">
        <v>432</v>
      </c>
      <c r="D11" s="672" t="s">
        <v>432</v>
      </c>
      <c r="E11" s="671" t="s">
        <v>434</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customHeight="1">
      <c r="B12" s="670" t="s">
        <v>34</v>
      </c>
      <c r="C12" s="671" t="s">
        <v>432</v>
      </c>
      <c r="D12" s="672" t="s">
        <v>435</v>
      </c>
      <c r="E12" s="671" t="s">
        <v>435</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customHeight="1">
      <c r="B13" s="670" t="s">
        <v>422</v>
      </c>
      <c r="C13" s="671" t="s">
        <v>436</v>
      </c>
      <c r="D13" s="672" t="s">
        <v>437</v>
      </c>
      <c r="E13" s="671" t="s">
        <v>437</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customHeight="1">
      <c r="B14" s="670" t="s">
        <v>422</v>
      </c>
      <c r="C14" s="671" t="s">
        <v>426</v>
      </c>
      <c r="D14" s="672" t="s">
        <v>426</v>
      </c>
      <c r="E14" s="671" t="s">
        <v>438</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customHeight="1">
      <c r="B15" s="670" t="s">
        <v>422</v>
      </c>
      <c r="C15" s="671" t="s">
        <v>426</v>
      </c>
      <c r="D15" s="672" t="s">
        <v>426</v>
      </c>
      <c r="E15" s="671" t="s">
        <v>439</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customHeight="1">
      <c r="B16" s="670" t="s">
        <v>422</v>
      </c>
      <c r="C16" s="671" t="s">
        <v>426</v>
      </c>
      <c r="D16" s="672" t="s">
        <v>440</v>
      </c>
      <c r="E16" s="671" t="s">
        <v>441</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customHeight="1">
      <c r="B18" s="670" t="s">
        <v>422</v>
      </c>
      <c r="C18" s="671" t="s">
        <v>426</v>
      </c>
      <c r="D18" s="672" t="s">
        <v>443</v>
      </c>
      <c r="E18" s="671" t="s">
        <v>444</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customHeight="1">
      <c r="B19" s="670" t="s">
        <v>422</v>
      </c>
      <c r="C19" s="671" t="s">
        <v>426</v>
      </c>
      <c r="D19" s="672" t="s">
        <v>443</v>
      </c>
      <c r="E19" s="671" t="s">
        <v>445</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customHeight="1">
      <c r="B23" s="670" t="s">
        <v>450</v>
      </c>
      <c r="C23" s="671" t="s">
        <v>451</v>
      </c>
      <c r="D23" s="672" t="s">
        <v>452</v>
      </c>
      <c r="E23" s="671" t="s">
        <v>452</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customHeight="1">
      <c r="B24" s="670" t="s">
        <v>450</v>
      </c>
      <c r="C24" s="671" t="s">
        <v>451</v>
      </c>
      <c r="D24" s="672" t="s">
        <v>453</v>
      </c>
      <c r="E24" s="671" t="s">
        <v>453</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customHeight="1">
      <c r="B25" s="670" t="s">
        <v>450</v>
      </c>
      <c r="C25" s="671" t="s">
        <v>454</v>
      </c>
      <c r="D25" s="672" t="s">
        <v>454</v>
      </c>
      <c r="E25" s="671" t="s">
        <v>455</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customHeight="1">
      <c r="B27" s="670" t="s">
        <v>450</v>
      </c>
      <c r="C27" s="671" t="s">
        <v>454</v>
      </c>
      <c r="D27" s="672" t="s">
        <v>454</v>
      </c>
      <c r="E27" s="671" t="s">
        <v>457</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customHeight="1">
      <c r="B28" s="670" t="s">
        <v>450</v>
      </c>
      <c r="C28" s="671" t="s">
        <v>458</v>
      </c>
      <c r="D28" s="672" t="s">
        <v>458</v>
      </c>
      <c r="E28" s="671" t="s">
        <v>459</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customHeight="1">
      <c r="B29" s="670" t="s">
        <v>450</v>
      </c>
      <c r="C29" s="671" t="s">
        <v>458</v>
      </c>
      <c r="D29" s="672" t="s">
        <v>458</v>
      </c>
      <c r="E29" s="671" t="s">
        <v>460</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customHeight="1">
      <c r="B30" s="670" t="s">
        <v>450</v>
      </c>
      <c r="C30" s="671" t="s">
        <v>461</v>
      </c>
      <c r="D30" s="672" t="s">
        <v>461</v>
      </c>
      <c r="E30" s="671" t="s">
        <v>461</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customHeight="1">
      <c r="B31" s="670" t="s">
        <v>450</v>
      </c>
      <c r="C31" s="671" t="s">
        <v>462</v>
      </c>
      <c r="D31" s="672" t="s">
        <v>462</v>
      </c>
      <c r="E31" s="671" t="s">
        <v>462</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customHeight="1">
      <c r="B32" s="670" t="s">
        <v>450</v>
      </c>
      <c r="C32" s="678" t="s">
        <v>463</v>
      </c>
      <c r="D32" s="672" t="s">
        <v>463</v>
      </c>
      <c r="E32" s="671" t="s">
        <v>463</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customHeight="1">
      <c r="B33" s="670" t="s">
        <v>450</v>
      </c>
      <c r="C33" s="678" t="s">
        <v>464</v>
      </c>
      <c r="D33" s="672" t="s">
        <v>464</v>
      </c>
      <c r="E33" s="671" t="s">
        <v>464</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customHeight="1">
      <c r="B34" s="670" t="s">
        <v>450</v>
      </c>
      <c r="C34" s="678" t="s">
        <v>465</v>
      </c>
      <c r="D34" s="672" t="s">
        <v>465</v>
      </c>
      <c r="E34" s="671" t="s">
        <v>465</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customHeight="1">
      <c r="B35" s="670" t="s">
        <v>450</v>
      </c>
      <c r="C35" s="678" t="s">
        <v>466</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customHeight="1">
      <c r="B36" s="670" t="s">
        <v>450</v>
      </c>
      <c r="C36" s="678" t="s">
        <v>467</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customHeight="1">
      <c r="B38" s="670" t="s">
        <v>36</v>
      </c>
      <c r="C38" s="671" t="s">
        <v>470</v>
      </c>
      <c r="D38" s="672" t="s">
        <v>470</v>
      </c>
      <c r="E38" s="671" t="s">
        <v>471</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customHeight="1">
      <c r="B39" s="670" t="s">
        <v>36</v>
      </c>
      <c r="C39" s="671" t="s">
        <v>470</v>
      </c>
      <c r="D39" s="672" t="s">
        <v>470</v>
      </c>
      <c r="E39" s="671" t="s">
        <v>472</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customHeight="1">
      <c r="B40" s="670" t="s">
        <v>36</v>
      </c>
      <c r="C40" s="671" t="s">
        <v>470</v>
      </c>
      <c r="D40" s="672" t="s">
        <v>470</v>
      </c>
      <c r="E40" s="671" t="s">
        <v>473</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customHeight="1">
      <c r="B41" s="670" t="s">
        <v>36</v>
      </c>
      <c r="C41" s="671" t="s">
        <v>474</v>
      </c>
      <c r="D41" s="672" t="s">
        <v>474</v>
      </c>
      <c r="E41" s="671" t="s">
        <v>475</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customHeight="1">
      <c r="B42" s="670" t="s">
        <v>36</v>
      </c>
      <c r="C42" s="671" t="s">
        <v>474</v>
      </c>
      <c r="D42" s="672" t="s">
        <v>474</v>
      </c>
      <c r="E42" s="671" t="s">
        <v>476</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customHeight="1">
      <c r="B43" s="670" t="s">
        <v>36</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0</v>
      </c>
      <c r="G44" s="216">
        <v>0</v>
      </c>
      <c r="H44" s="222">
        <v>0</v>
      </c>
      <c r="I44" s="216">
        <v>0</v>
      </c>
      <c r="J44" s="222">
        <v>0</v>
      </c>
      <c r="K44" s="216">
        <v>0</v>
      </c>
      <c r="L44" s="216">
        <v>0</v>
      </c>
      <c r="M44" s="222">
        <v>0</v>
      </c>
      <c r="N44" s="216">
        <v>0</v>
      </c>
      <c r="O44" s="222">
        <v>0</v>
      </c>
      <c r="P44" s="216">
        <v>0</v>
      </c>
      <c r="Q44" s="222">
        <v>0</v>
      </c>
      <c r="R44" s="677">
        <f t="shared" si="0"/>
        <v>0</v>
      </c>
      <c r="S44" s="223"/>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478</v>
      </c>
      <c r="C45" s="671" t="s">
        <v>479</v>
      </c>
      <c r="D45" s="672" t="s">
        <v>481</v>
      </c>
      <c r="E45" s="671" t="s">
        <v>481</v>
      </c>
      <c r="F45" s="222">
        <v>736312500</v>
      </c>
      <c r="G45" s="216">
        <v>3253527000</v>
      </c>
      <c r="H45" s="222">
        <v>2762644500</v>
      </c>
      <c r="I45" s="216">
        <v>1339107000</v>
      </c>
      <c r="J45" s="222">
        <v>984368000</v>
      </c>
      <c r="K45" s="216">
        <v>2588543740.4000001</v>
      </c>
      <c r="L45" s="216">
        <v>0</v>
      </c>
      <c r="M45" s="222">
        <v>0</v>
      </c>
      <c r="N45" s="216">
        <v>0</v>
      </c>
      <c r="O45" s="222">
        <v>0</v>
      </c>
      <c r="P45" s="216">
        <v>0</v>
      </c>
      <c r="Q45" s="222">
        <v>0</v>
      </c>
      <c r="R45" s="677">
        <f t="shared" si="0"/>
        <v>11664502740.4</v>
      </c>
      <c r="S45" s="223"/>
      <c r="T45" s="674">
        <f t="shared" si="2"/>
        <v>3989839500</v>
      </c>
      <c r="U45" s="216">
        <f t="shared" si="9"/>
        <v>6752484000</v>
      </c>
      <c r="V45" s="222">
        <f t="shared" si="9"/>
        <v>8091591000</v>
      </c>
      <c r="W45" s="216">
        <f t="shared" si="9"/>
        <v>9075959000</v>
      </c>
      <c r="X45" s="222">
        <f t="shared" si="9"/>
        <v>11664502740.4</v>
      </c>
      <c r="Y45" s="216">
        <f t="shared" si="9"/>
        <v>11664502740.4</v>
      </c>
      <c r="Z45" s="216">
        <f t="shared" si="9"/>
        <v>11664502740.4</v>
      </c>
      <c r="AA45" s="222">
        <f t="shared" si="9"/>
        <v>11664502740.4</v>
      </c>
      <c r="AB45" s="216">
        <f t="shared" si="9"/>
        <v>11664502740.4</v>
      </c>
      <c r="AC45" s="675">
        <f t="shared" si="9"/>
        <v>11664502740.4</v>
      </c>
      <c r="AE45" s="676">
        <f t="shared" si="4"/>
        <v>6752484000</v>
      </c>
      <c r="AF45" s="222">
        <f t="shared" si="5"/>
        <v>4912018740.3999996</v>
      </c>
      <c r="AG45" s="216">
        <f t="shared" si="6"/>
        <v>0</v>
      </c>
      <c r="AH45" s="675">
        <f t="shared" si="7"/>
        <v>0</v>
      </c>
    </row>
    <row r="46" spans="2:34" ht="20.100000000000001" customHeight="1">
      <c r="B46" s="670" t="s">
        <v>478</v>
      </c>
      <c r="C46" s="671" t="s">
        <v>482</v>
      </c>
      <c r="D46" s="672" t="s">
        <v>482</v>
      </c>
      <c r="E46" s="671" t="s">
        <v>482</v>
      </c>
      <c r="F46" s="222">
        <v>959310827.99423397</v>
      </c>
      <c r="G46" s="216">
        <v>959310827.9942342</v>
      </c>
      <c r="H46" s="222">
        <v>959310827.9942342</v>
      </c>
      <c r="I46" s="216">
        <v>762190827.99423397</v>
      </c>
      <c r="J46" s="222">
        <v>1156430827.9942338</v>
      </c>
      <c r="K46" s="216">
        <v>959310827.9942342</v>
      </c>
      <c r="L46" s="216">
        <v>959310827.9942342</v>
      </c>
      <c r="M46" s="222">
        <v>960406827.9942342</v>
      </c>
      <c r="N46" s="216">
        <v>958214827.99423397</v>
      </c>
      <c r="O46" s="222">
        <v>959310827.9942342</v>
      </c>
      <c r="P46" s="216">
        <v>959310827.9942342</v>
      </c>
      <c r="Q46" s="222">
        <v>959310827.9942342</v>
      </c>
      <c r="R46" s="677">
        <f t="shared" si="0"/>
        <v>11511729935.930809</v>
      </c>
      <c r="S46" s="223"/>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7675582623.9538727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2877932483.9827023</v>
      </c>
      <c r="AH46" s="675">
        <f t="shared" si="7"/>
        <v>2877932483.9827027</v>
      </c>
    </row>
    <row r="47" spans="2:34" ht="20.100000000000001" customHeight="1">
      <c r="B47" s="670" t="s">
        <v>478</v>
      </c>
      <c r="C47" s="671" t="s">
        <v>483</v>
      </c>
      <c r="D47" s="672" t="s">
        <v>483</v>
      </c>
      <c r="E47" s="671" t="s">
        <v>483</v>
      </c>
      <c r="F47" s="222">
        <v>4405740000</v>
      </c>
      <c r="G47" s="216">
        <v>478662462.07895321</v>
      </c>
      <c r="H47" s="222">
        <v>4734489924.1579056</v>
      </c>
      <c r="I47" s="216">
        <v>4302583000</v>
      </c>
      <c r="J47" s="222">
        <v>3604746200</v>
      </c>
      <c r="K47" s="216">
        <v>3590929395</v>
      </c>
      <c r="L47" s="216">
        <v>6395629100</v>
      </c>
      <c r="M47" s="222">
        <v>8000557900</v>
      </c>
      <c r="N47" s="216">
        <v>9421993233</v>
      </c>
      <c r="O47" s="222">
        <v>6504544700</v>
      </c>
      <c r="P47" s="216">
        <v>4201715500</v>
      </c>
      <c r="Q47" s="222">
        <v>14634343765</v>
      </c>
      <c r="R47" s="677">
        <f t="shared" si="0"/>
        <v>70275935179.236862</v>
      </c>
      <c r="S47" s="223"/>
      <c r="T47" s="674">
        <f t="shared" si="2"/>
        <v>4884402462.0789528</v>
      </c>
      <c r="U47" s="216">
        <f t="shared" si="9"/>
        <v>9618892386.2368584</v>
      </c>
      <c r="V47" s="222">
        <f t="shared" si="9"/>
        <v>13921475386.236858</v>
      </c>
      <c r="W47" s="216">
        <f t="shared" si="9"/>
        <v>17526221586.236858</v>
      </c>
      <c r="X47" s="222">
        <f t="shared" si="9"/>
        <v>21117150981.236858</v>
      </c>
      <c r="Y47" s="216">
        <f t="shared" si="9"/>
        <v>27512780081.236858</v>
      </c>
      <c r="Z47" s="216">
        <f t="shared" si="9"/>
        <v>35513337981.236862</v>
      </c>
      <c r="AA47" s="222">
        <f t="shared" si="9"/>
        <v>44935331214.236862</v>
      </c>
      <c r="AB47" s="216">
        <f t="shared" si="9"/>
        <v>51439875914.236862</v>
      </c>
      <c r="AC47" s="675">
        <f t="shared" si="9"/>
        <v>55641591414.236862</v>
      </c>
      <c r="AE47" s="676">
        <f t="shared" si="4"/>
        <v>9618892386.2368584</v>
      </c>
      <c r="AF47" s="222">
        <f t="shared" si="5"/>
        <v>11498258595</v>
      </c>
      <c r="AG47" s="216">
        <f t="shared" si="6"/>
        <v>23818180233</v>
      </c>
      <c r="AH47" s="675">
        <f t="shared" si="7"/>
        <v>25340603965</v>
      </c>
    </row>
    <row r="48" spans="2:34" ht="20.100000000000001" customHeight="1">
      <c r="B48" s="670" t="s">
        <v>478</v>
      </c>
      <c r="C48" s="671" t="s">
        <v>484</v>
      </c>
      <c r="D48" s="672" t="s">
        <v>484</v>
      </c>
      <c r="E48" s="671" t="s">
        <v>484</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S48" s="223"/>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0"/>
        <v>0</v>
      </c>
      <c r="S49" s="223"/>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S50" s="223"/>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478</v>
      </c>
      <c r="C51" s="678" t="s">
        <v>487</v>
      </c>
      <c r="D51" s="672" t="s">
        <v>488</v>
      </c>
      <c r="E51" s="671" t="s">
        <v>488</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S51" s="223"/>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478</v>
      </c>
      <c r="C52" s="678" t="s">
        <v>487</v>
      </c>
      <c r="D52" s="672" t="s">
        <v>489</v>
      </c>
      <c r="E52" s="671" t="s">
        <v>489</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S52" s="223"/>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478</v>
      </c>
      <c r="C53" s="678" t="s">
        <v>487</v>
      </c>
      <c r="D53" s="672" t="s">
        <v>490</v>
      </c>
      <c r="E53" s="671" t="s">
        <v>490</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S53" s="223"/>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customHeight="1">
      <c r="B54" s="670" t="s">
        <v>478</v>
      </c>
      <c r="C54" s="678" t="s">
        <v>487</v>
      </c>
      <c r="D54" s="672" t="s">
        <v>491</v>
      </c>
      <c r="E54" s="672" t="s">
        <v>491</v>
      </c>
      <c r="F54" s="222"/>
      <c r="G54" s="216"/>
      <c r="H54" s="222"/>
      <c r="I54" s="216">
        <v>0</v>
      </c>
      <c r="J54" s="222">
        <v>0</v>
      </c>
      <c r="K54" s="216">
        <v>0</v>
      </c>
      <c r="L54" s="216">
        <v>0</v>
      </c>
      <c r="M54" s="222">
        <v>0</v>
      </c>
      <c r="N54" s="216">
        <v>0</v>
      </c>
      <c r="O54" s="222">
        <v>0</v>
      </c>
      <c r="P54" s="216">
        <v>0</v>
      </c>
      <c r="Q54" s="222">
        <v>0</v>
      </c>
      <c r="R54" s="677"/>
      <c r="S54" s="223"/>
      <c r="T54" s="674"/>
      <c r="U54" s="216"/>
      <c r="V54" s="222"/>
      <c r="W54" s="216"/>
      <c r="X54" s="222"/>
      <c r="Y54" s="216"/>
      <c r="Z54" s="216"/>
      <c r="AA54" s="222"/>
      <c r="AB54" s="216"/>
      <c r="AC54" s="675"/>
      <c r="AE54" s="676"/>
      <c r="AF54" s="222"/>
      <c r="AG54" s="216"/>
      <c r="AH54" s="675"/>
    </row>
    <row r="55" spans="2:34" ht="20.100000000000001" customHeight="1">
      <c r="B55" s="670" t="s">
        <v>52</v>
      </c>
      <c r="C55" s="671" t="s">
        <v>426</v>
      </c>
      <c r="D55" s="672" t="s">
        <v>492</v>
      </c>
      <c r="E55" s="671" t="s">
        <v>492</v>
      </c>
      <c r="F55" s="222">
        <v>0</v>
      </c>
      <c r="G55" s="216">
        <v>0</v>
      </c>
      <c r="H55" s="222">
        <v>-100000000</v>
      </c>
      <c r="I55" s="216">
        <v>0</v>
      </c>
      <c r="J55" s="222">
        <v>0</v>
      </c>
      <c r="K55" s="216">
        <v>-100000000</v>
      </c>
      <c r="L55" s="216">
        <v>0</v>
      </c>
      <c r="M55" s="222">
        <v>0</v>
      </c>
      <c r="N55" s="216">
        <v>-100000000</v>
      </c>
      <c r="O55" s="222">
        <v>0</v>
      </c>
      <c r="P55" s="216">
        <v>0</v>
      </c>
      <c r="Q55" s="222">
        <v>-100000000</v>
      </c>
      <c r="R55" s="677">
        <f t="shared" si="0"/>
        <v>-400000000</v>
      </c>
      <c r="T55" s="674">
        <f t="shared" si="2"/>
        <v>0</v>
      </c>
      <c r="U55" s="216">
        <f t="shared" ref="U55:AC56" si="10">T55+H55</f>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0.100000000000001" customHeight="1">
      <c r="B56" s="679" t="s">
        <v>52</v>
      </c>
      <c r="C56" s="680" t="s">
        <v>426</v>
      </c>
      <c r="D56" s="681" t="s">
        <v>493</v>
      </c>
      <c r="E56" s="680" t="s">
        <v>493</v>
      </c>
      <c r="F56" s="222">
        <v>0</v>
      </c>
      <c r="G56" s="216">
        <v>0</v>
      </c>
      <c r="H56" s="222">
        <v>-100000000</v>
      </c>
      <c r="I56" s="216">
        <v>0</v>
      </c>
      <c r="J56" s="222">
        <v>0</v>
      </c>
      <c r="K56" s="216">
        <v>-100000000</v>
      </c>
      <c r="L56" s="216">
        <v>0</v>
      </c>
      <c r="M56" s="222">
        <v>0</v>
      </c>
      <c r="N56" s="216">
        <v>-100000000</v>
      </c>
      <c r="O56" s="222">
        <v>0</v>
      </c>
      <c r="P56" s="216">
        <v>0</v>
      </c>
      <c r="Q56" s="222">
        <v>-100000000</v>
      </c>
      <c r="R56" s="682">
        <f t="shared" si="0"/>
        <v>-400000000</v>
      </c>
      <c r="T56" s="674">
        <f t="shared" si="2"/>
        <v>0</v>
      </c>
      <c r="U56" s="216">
        <f t="shared" si="10"/>
        <v>-100000000</v>
      </c>
      <c r="V56" s="222">
        <f t="shared" si="10"/>
        <v>-100000000</v>
      </c>
      <c r="W56" s="216">
        <f t="shared" si="10"/>
        <v>-100000000</v>
      </c>
      <c r="X56" s="222">
        <f t="shared" si="10"/>
        <v>-200000000</v>
      </c>
      <c r="Y56" s="216">
        <f t="shared" si="10"/>
        <v>-200000000</v>
      </c>
      <c r="Z56" s="216">
        <f t="shared" si="10"/>
        <v>-200000000</v>
      </c>
      <c r="AA56" s="222">
        <f t="shared" si="10"/>
        <v>-300000000</v>
      </c>
      <c r="AB56" s="216">
        <f t="shared" si="10"/>
        <v>-300000000</v>
      </c>
      <c r="AC56" s="675">
        <f t="shared" si="10"/>
        <v>-300000000</v>
      </c>
      <c r="AE56" s="676">
        <f t="shared" si="4"/>
        <v>-100000000</v>
      </c>
      <c r="AF56" s="222">
        <f t="shared" si="5"/>
        <v>-100000000</v>
      </c>
      <c r="AG56" s="216">
        <f t="shared" si="6"/>
        <v>-100000000</v>
      </c>
      <c r="AH56" s="675">
        <f t="shared" si="7"/>
        <v>-100000000</v>
      </c>
    </row>
    <row r="57" spans="2:34" ht="25.35" customHeight="1">
      <c r="B57" s="683" t="s">
        <v>145</v>
      </c>
      <c r="C57" s="684"/>
      <c r="D57" s="684"/>
      <c r="E57" s="685"/>
      <c r="F57" s="686">
        <f t="shared" ref="F57:R57" si="11">SUM(F5:F56)</f>
        <v>19867920159.615776</v>
      </c>
      <c r="G57" s="687">
        <f t="shared" si="11"/>
        <v>26258908599.496876</v>
      </c>
      <c r="H57" s="688">
        <f t="shared" si="11"/>
        <v>44234092057.593971</v>
      </c>
      <c r="I57" s="687">
        <f t="shared" si="11"/>
        <v>25482364684.338448</v>
      </c>
      <c r="J57" s="688">
        <f t="shared" si="11"/>
        <v>33307998359.718777</v>
      </c>
      <c r="K57" s="687">
        <f t="shared" si="11"/>
        <v>50157330955.441116</v>
      </c>
      <c r="L57" s="687">
        <f t="shared" si="11"/>
        <v>25334259006.623043</v>
      </c>
      <c r="M57" s="688">
        <f t="shared" si="11"/>
        <v>35741599532.312851</v>
      </c>
      <c r="N57" s="687">
        <f t="shared" si="11"/>
        <v>55151635507.985611</v>
      </c>
      <c r="O57" s="688">
        <f t="shared" si="11"/>
        <v>31263268807.779453</v>
      </c>
      <c r="P57" s="687">
        <f t="shared" si="11"/>
        <v>38441754486.84626</v>
      </c>
      <c r="Q57" s="689">
        <f t="shared" si="11"/>
        <v>63282948314.304893</v>
      </c>
      <c r="R57" s="690">
        <f t="shared" si="11"/>
        <v>448524080472.05719</v>
      </c>
      <c r="T57" s="686">
        <f t="shared" ref="T57:AC57" si="12">SUM(T5:T56)</f>
        <v>46126828759.11264</v>
      </c>
      <c r="U57" s="687">
        <f t="shared" si="12"/>
        <v>90360920816.706635</v>
      </c>
      <c r="V57" s="688">
        <f t="shared" si="12"/>
        <v>115843285501.04506</v>
      </c>
      <c r="W57" s="687">
        <f t="shared" si="12"/>
        <v>149151283860.76385</v>
      </c>
      <c r="X57" s="688">
        <f t="shared" si="12"/>
        <v>199308614816.20493</v>
      </c>
      <c r="Y57" s="687">
        <f t="shared" si="12"/>
        <v>224642873822.82803</v>
      </c>
      <c r="Z57" s="687">
        <f t="shared" si="12"/>
        <v>260384473355.14093</v>
      </c>
      <c r="AA57" s="688">
        <f t="shared" si="12"/>
        <v>315536108863.12653</v>
      </c>
      <c r="AB57" s="687">
        <f t="shared" si="12"/>
        <v>346799377670.90601</v>
      </c>
      <c r="AC57" s="689">
        <f t="shared" si="12"/>
        <v>385241132157.75232</v>
      </c>
      <c r="AE57" s="691">
        <f t="shared" ref="AE57:AH57" si="13">SUM(AE5:AE56)</f>
        <v>90360920816.706635</v>
      </c>
      <c r="AF57" s="688">
        <f t="shared" si="13"/>
        <v>108947693999.49834</v>
      </c>
      <c r="AG57" s="687">
        <f t="shared" si="13"/>
        <v>116227494046.92149</v>
      </c>
      <c r="AH57" s="689">
        <f t="shared" si="13"/>
        <v>132987971608.9306</v>
      </c>
    </row>
    <row r="58" spans="2:34" ht="20.100000000000001" customHeight="1">
      <c r="T58" s="222" t="b">
        <f>ROUND(T57,0)=ROUND(SUM($F$57:G$57),0)</f>
        <v>1</v>
      </c>
      <c r="U58" t="b">
        <f>ROUND(U57,0)=ROUND(SUM($F$57:H$57),0)</f>
        <v>1</v>
      </c>
      <c r="V58" t="b">
        <f>ROUND(V57,0)=ROUND(SUM($F$57:I$57),0)</f>
        <v>1</v>
      </c>
      <c r="W58" t="b">
        <f>ROUND(W57,0)=ROUND(SUM($F$57:J$57),0)</f>
        <v>1</v>
      </c>
      <c r="X58" t="b">
        <f>ROUND(X57,0)=ROUND(SUM($F$57:K$57),0)</f>
        <v>1</v>
      </c>
      <c r="Y58" t="b">
        <f>ROUND(Y57,0)=ROUND(SUM($F$57:L$57),0)</f>
        <v>1</v>
      </c>
      <c r="Z58" t="b">
        <f>ROUND(Z57,0)=ROUND(SUM($F$57:M$57),0)</f>
        <v>1</v>
      </c>
      <c r="AA58" t="b">
        <f>ROUND(AA57,0)=ROUND(SUM($F$57:N$57),0)</f>
        <v>1</v>
      </c>
      <c r="AB58" t="b">
        <f>ROUND(AB57,0)=ROUND(SUM($F$57:O$57),0)</f>
        <v>1</v>
      </c>
      <c r="AC58" t="b">
        <f>ROUND(AC57,0)=ROUND(SUM($F$57:P$57),0)</f>
        <v>1</v>
      </c>
      <c r="AE58" s="696" t="b">
        <f>ROUND(AE57,0)=ROUND(SUM(F57:H57),0)</f>
        <v>1</v>
      </c>
      <c r="AF58" s="696" t="b">
        <f>ROUND(AF57,0)=ROUND(SUM(I57:K57),0)</f>
        <v>1</v>
      </c>
      <c r="AG58" s="696" t="b">
        <f>ROUND(AG57,0)=ROUND(SUM(L57:N57),0)</f>
        <v>1</v>
      </c>
      <c r="AH58" s="696" t="b">
        <f>ROUND(AH57,0)=ROUND(SUM(O57:Q57),0)</f>
        <v>1</v>
      </c>
    </row>
    <row r="62" spans="2:34">
      <c r="S62" s="223"/>
    </row>
    <row r="63" spans="2:34">
      <c r="S63" s="223"/>
    </row>
    <row r="64" spans="2:34" ht="20.399999999999999">
      <c r="D64" s="1580" t="s">
        <v>18</v>
      </c>
      <c r="E64" s="1581"/>
      <c r="S64" s="223"/>
    </row>
    <row r="65" spans="4:19" ht="20.399999999999999">
      <c r="D65" s="1576" t="s">
        <v>20</v>
      </c>
      <c r="E65" s="1577"/>
      <c r="O65" s="866"/>
      <c r="P65" s="866"/>
      <c r="Q65" s="866"/>
      <c r="S65" s="223"/>
    </row>
    <row r="66" spans="4:19" ht="20.399999999999999">
      <c r="D66" s="1582"/>
      <c r="E66" s="440" t="s">
        <v>132</v>
      </c>
      <c r="F66" s="223">
        <f>F45</f>
        <v>736312500</v>
      </c>
      <c r="G66" s="223">
        <f t="shared" ref="G66:Q66" si="14">G45</f>
        <v>3253527000</v>
      </c>
      <c r="H66" s="223">
        <f t="shared" si="14"/>
        <v>2762644500</v>
      </c>
      <c r="I66" s="223">
        <f t="shared" si="14"/>
        <v>1339107000</v>
      </c>
      <c r="J66" s="223">
        <f t="shared" si="14"/>
        <v>984368000</v>
      </c>
      <c r="K66" s="223">
        <f t="shared" si="14"/>
        <v>2588543740.4000001</v>
      </c>
      <c r="L66" s="223">
        <f t="shared" si="14"/>
        <v>0</v>
      </c>
      <c r="M66" s="223">
        <f t="shared" si="14"/>
        <v>0</v>
      </c>
      <c r="N66" s="223">
        <f t="shared" si="14"/>
        <v>0</v>
      </c>
      <c r="O66" s="867">
        <f t="shared" si="14"/>
        <v>0</v>
      </c>
      <c r="P66" s="867">
        <f t="shared" si="14"/>
        <v>0</v>
      </c>
      <c r="Q66" s="867">
        <f t="shared" si="14"/>
        <v>0</v>
      </c>
      <c r="S66" s="223"/>
    </row>
    <row r="67" spans="4:19" ht="20.399999999999999">
      <c r="D67" s="1582"/>
      <c r="E67" s="441" t="s">
        <v>52</v>
      </c>
      <c r="F67" s="223">
        <f>F44</f>
        <v>0</v>
      </c>
      <c r="G67" s="223">
        <f t="shared" ref="G67:Q67" si="15">G44</f>
        <v>0</v>
      </c>
      <c r="H67" s="223">
        <f t="shared" si="15"/>
        <v>0</v>
      </c>
      <c r="I67" s="223">
        <f t="shared" si="15"/>
        <v>0</v>
      </c>
      <c r="J67" s="223">
        <f t="shared" si="15"/>
        <v>0</v>
      </c>
      <c r="K67" s="223">
        <f t="shared" si="15"/>
        <v>0</v>
      </c>
      <c r="L67" s="223">
        <f t="shared" si="15"/>
        <v>0</v>
      </c>
      <c r="M67" s="223">
        <f t="shared" si="15"/>
        <v>0</v>
      </c>
      <c r="N67" s="223">
        <f t="shared" si="15"/>
        <v>0</v>
      </c>
      <c r="O67" s="867">
        <f t="shared" si="15"/>
        <v>0</v>
      </c>
      <c r="P67" s="867">
        <f t="shared" si="15"/>
        <v>0</v>
      </c>
      <c r="Q67" s="867">
        <f t="shared" si="15"/>
        <v>0</v>
      </c>
      <c r="S67" s="223"/>
    </row>
    <row r="68" spans="4:19" ht="20.399999999999999">
      <c r="D68" s="549"/>
      <c r="E68" s="630" t="s">
        <v>22</v>
      </c>
      <c r="F68" s="223">
        <f>F48</f>
        <v>0</v>
      </c>
      <c r="G68" s="223">
        <f t="shared" ref="G68:Q68" si="16">G48</f>
        <v>0</v>
      </c>
      <c r="H68" s="223">
        <f t="shared" si="16"/>
        <v>0</v>
      </c>
      <c r="I68" s="223">
        <f t="shared" si="16"/>
        <v>0</v>
      </c>
      <c r="J68" s="223">
        <f t="shared" si="16"/>
        <v>0</v>
      </c>
      <c r="K68" s="223">
        <f t="shared" si="16"/>
        <v>137760000</v>
      </c>
      <c r="L68" s="223">
        <f t="shared" si="16"/>
        <v>46760000</v>
      </c>
      <c r="M68" s="223">
        <f t="shared" si="16"/>
        <v>322280000</v>
      </c>
      <c r="N68" s="223">
        <f t="shared" si="16"/>
        <v>1579200000</v>
      </c>
      <c r="O68" s="867">
        <f t="shared" si="16"/>
        <v>2868404000</v>
      </c>
      <c r="P68" s="867">
        <f t="shared" si="16"/>
        <v>2142252000</v>
      </c>
      <c r="Q68" s="867">
        <f t="shared" si="16"/>
        <v>495684000</v>
      </c>
      <c r="S68" s="223"/>
    </row>
    <row r="69" spans="4:19" ht="20.399999999999999">
      <c r="D69" s="1576" t="s">
        <v>25</v>
      </c>
      <c r="E69" s="1577"/>
      <c r="O69" s="866"/>
      <c r="P69" s="866"/>
      <c r="Q69" s="866"/>
      <c r="S69" s="223"/>
    </row>
    <row r="70" spans="4:19" ht="20.399999999999999">
      <c r="D70" s="1582"/>
      <c r="E70" s="442" t="s">
        <v>27</v>
      </c>
      <c r="F70" s="223">
        <f>F46</f>
        <v>959310827.99423397</v>
      </c>
      <c r="G70" s="223">
        <f t="shared" ref="G70:Q70" si="17">G46</f>
        <v>959310827.9942342</v>
      </c>
      <c r="H70" s="223">
        <f t="shared" si="17"/>
        <v>959310827.9942342</v>
      </c>
      <c r="I70" s="223">
        <f t="shared" si="17"/>
        <v>762190827.99423397</v>
      </c>
      <c r="J70" s="223">
        <f t="shared" si="17"/>
        <v>1156430827.9942338</v>
      </c>
      <c r="K70" s="223">
        <f t="shared" si="17"/>
        <v>959310827.9942342</v>
      </c>
      <c r="L70" s="223">
        <f t="shared" si="17"/>
        <v>959310827.9942342</v>
      </c>
      <c r="M70" s="223">
        <f t="shared" si="17"/>
        <v>960406827.9942342</v>
      </c>
      <c r="N70" s="223">
        <f t="shared" si="17"/>
        <v>958214827.99423397</v>
      </c>
      <c r="O70" s="867">
        <f t="shared" si="17"/>
        <v>959310827.9942342</v>
      </c>
      <c r="P70" s="867">
        <f t="shared" si="17"/>
        <v>959310827.9942342</v>
      </c>
      <c r="Q70" s="867">
        <f t="shared" si="17"/>
        <v>959310827.9942342</v>
      </c>
      <c r="S70" s="223"/>
    </row>
    <row r="71" spans="4:19" ht="20.399999999999999">
      <c r="D71" s="1582"/>
      <c r="E71" s="443" t="s">
        <v>26</v>
      </c>
      <c r="F71" s="223">
        <f>F47</f>
        <v>4405740000</v>
      </c>
      <c r="G71" s="223">
        <f t="shared" ref="G71:Q71" si="18">G47</f>
        <v>478662462.07895321</v>
      </c>
      <c r="H71" s="223">
        <f t="shared" si="18"/>
        <v>4734489924.1579056</v>
      </c>
      <c r="I71" s="223">
        <f t="shared" si="18"/>
        <v>4302583000</v>
      </c>
      <c r="J71" s="223">
        <f t="shared" si="18"/>
        <v>3604746200</v>
      </c>
      <c r="K71" s="223">
        <f t="shared" si="18"/>
        <v>3590929395</v>
      </c>
      <c r="L71" s="223">
        <f t="shared" si="18"/>
        <v>6395629100</v>
      </c>
      <c r="M71" s="223">
        <f t="shared" si="18"/>
        <v>8000557900</v>
      </c>
      <c r="N71" s="223">
        <f t="shared" si="18"/>
        <v>9421993233</v>
      </c>
      <c r="O71" s="867">
        <f t="shared" si="18"/>
        <v>6504544700</v>
      </c>
      <c r="P71" s="867">
        <f t="shared" si="18"/>
        <v>4201715500</v>
      </c>
      <c r="Q71" s="867">
        <f t="shared" si="18"/>
        <v>14634343765</v>
      </c>
      <c r="S71" s="223"/>
    </row>
    <row r="72" spans="4:19" ht="20.399999999999999">
      <c r="D72" s="1576" t="s">
        <v>28</v>
      </c>
      <c r="E72" s="1577"/>
      <c r="O72" s="866"/>
      <c r="P72" s="866"/>
      <c r="Q72" s="866"/>
      <c r="S72" s="223"/>
    </row>
    <row r="73" spans="4:19" ht="20.399999999999999">
      <c r="D73" s="1578"/>
      <c r="E73" s="442" t="s">
        <v>51</v>
      </c>
      <c r="F73" s="223">
        <f>F50</f>
        <v>0</v>
      </c>
      <c r="G73" s="223">
        <f t="shared" ref="G73:Q73" si="19">G50</f>
        <v>40000000</v>
      </c>
      <c r="H73" s="223">
        <f t="shared" si="19"/>
        <v>0</v>
      </c>
      <c r="I73" s="223">
        <f t="shared" si="19"/>
        <v>60000000</v>
      </c>
      <c r="J73" s="223">
        <f t="shared" si="19"/>
        <v>67000000</v>
      </c>
      <c r="K73" s="223">
        <f t="shared" si="19"/>
        <v>67000000</v>
      </c>
      <c r="L73" s="223">
        <f t="shared" si="19"/>
        <v>0</v>
      </c>
      <c r="M73" s="223">
        <f t="shared" si="19"/>
        <v>0</v>
      </c>
      <c r="N73" s="223">
        <f t="shared" si="19"/>
        <v>0</v>
      </c>
      <c r="O73" s="867">
        <f t="shared" si="19"/>
        <v>0</v>
      </c>
      <c r="P73" s="867">
        <f t="shared" si="19"/>
        <v>107000000</v>
      </c>
      <c r="Q73" s="867">
        <f t="shared" si="19"/>
        <v>67000000</v>
      </c>
      <c r="S73" s="223"/>
    </row>
    <row r="74" spans="4:19" ht="20.399999999999999">
      <c r="D74" s="1578"/>
      <c r="E74" s="444" t="s">
        <v>30</v>
      </c>
      <c r="F74" s="223">
        <f>F53</f>
        <v>490500000</v>
      </c>
      <c r="G74" s="223">
        <f t="shared" ref="G74:Q74" si="20">G53</f>
        <v>766500000</v>
      </c>
      <c r="H74" s="223">
        <f t="shared" si="20"/>
        <v>1666750000</v>
      </c>
      <c r="I74" s="223">
        <f t="shared" si="20"/>
        <v>379000000</v>
      </c>
      <c r="J74" s="223">
        <f t="shared" si="20"/>
        <v>183500000</v>
      </c>
      <c r="K74" s="223">
        <f t="shared" si="20"/>
        <v>48000000</v>
      </c>
      <c r="L74" s="223">
        <f t="shared" si="20"/>
        <v>306250000</v>
      </c>
      <c r="M74" s="223">
        <f t="shared" si="20"/>
        <v>0</v>
      </c>
      <c r="N74" s="223">
        <f t="shared" si="20"/>
        <v>0</v>
      </c>
      <c r="O74" s="867">
        <f t="shared" si="20"/>
        <v>0</v>
      </c>
      <c r="P74" s="867">
        <f t="shared" si="20"/>
        <v>720875000</v>
      </c>
      <c r="Q74" s="867">
        <f t="shared" si="20"/>
        <v>257375000</v>
      </c>
      <c r="S74" s="223"/>
    </row>
    <row r="75" spans="4:19" ht="20.399999999999999">
      <c r="D75" s="1578"/>
      <c r="E75" s="444" t="s">
        <v>29</v>
      </c>
      <c r="F75" s="223">
        <f>F51</f>
        <v>0</v>
      </c>
      <c r="G75" s="223">
        <f t="shared" ref="G75:Q75" si="21">G51</f>
        <v>162000000</v>
      </c>
      <c r="H75" s="223">
        <f t="shared" si="21"/>
        <v>506000000</v>
      </c>
      <c r="I75" s="223">
        <f t="shared" si="21"/>
        <v>142000000</v>
      </c>
      <c r="J75" s="223">
        <f t="shared" si="21"/>
        <v>79000000</v>
      </c>
      <c r="K75" s="223">
        <f t="shared" si="21"/>
        <v>0</v>
      </c>
      <c r="L75" s="223">
        <f t="shared" si="21"/>
        <v>0</v>
      </c>
      <c r="M75" s="223">
        <f t="shared" si="21"/>
        <v>0</v>
      </c>
      <c r="N75" s="223">
        <f t="shared" si="21"/>
        <v>0</v>
      </c>
      <c r="O75" s="867">
        <f t="shared" si="21"/>
        <v>363000000</v>
      </c>
      <c r="P75" s="867">
        <f t="shared" si="21"/>
        <v>724900000</v>
      </c>
      <c r="Q75" s="867">
        <f t="shared" si="21"/>
        <v>437000000</v>
      </c>
      <c r="S75" s="223"/>
    </row>
    <row r="76" spans="4:19" ht="20.399999999999999">
      <c r="D76" s="1578"/>
      <c r="E76" s="445" t="s">
        <v>22</v>
      </c>
      <c r="F76" s="223">
        <f>F52</f>
        <v>0</v>
      </c>
      <c r="G76" s="223">
        <f t="shared" ref="G76:Q76" si="22">G52</f>
        <v>93750000</v>
      </c>
      <c r="H76" s="223">
        <f t="shared" si="22"/>
        <v>361875000</v>
      </c>
      <c r="I76" s="223">
        <f t="shared" si="22"/>
        <v>0</v>
      </c>
      <c r="J76" s="223">
        <f t="shared" si="22"/>
        <v>93750000</v>
      </c>
      <c r="K76" s="223">
        <f t="shared" si="22"/>
        <v>395625000</v>
      </c>
      <c r="L76" s="223">
        <f t="shared" si="22"/>
        <v>0</v>
      </c>
      <c r="M76" s="223">
        <f t="shared" si="22"/>
        <v>0</v>
      </c>
      <c r="N76" s="223">
        <f t="shared" si="22"/>
        <v>0</v>
      </c>
      <c r="O76" s="867">
        <f t="shared" si="22"/>
        <v>0</v>
      </c>
      <c r="P76" s="867">
        <f t="shared" si="22"/>
        <v>234375000</v>
      </c>
      <c r="Q76" s="867">
        <f t="shared" si="22"/>
        <v>234375000</v>
      </c>
    </row>
    <row r="77" spans="4:19" ht="18" thickBot="1">
      <c r="D77" s="1579"/>
      <c r="E77" s="848" t="s">
        <v>32</v>
      </c>
      <c r="F77" s="223">
        <f>F54</f>
        <v>0</v>
      </c>
      <c r="G77" s="223">
        <f t="shared" ref="G77:Q77" si="23">G54</f>
        <v>0</v>
      </c>
      <c r="H77" s="223">
        <f t="shared" si="23"/>
        <v>0</v>
      </c>
      <c r="I77" s="223">
        <f t="shared" si="23"/>
        <v>0</v>
      </c>
      <c r="J77" s="223">
        <f t="shared" si="23"/>
        <v>0</v>
      </c>
      <c r="K77" s="223">
        <f t="shared" si="23"/>
        <v>0</v>
      </c>
      <c r="L77" s="223">
        <f t="shared" si="23"/>
        <v>0</v>
      </c>
      <c r="M77" s="223">
        <f t="shared" si="23"/>
        <v>0</v>
      </c>
      <c r="N77" s="223">
        <f t="shared" si="23"/>
        <v>0</v>
      </c>
      <c r="O77" s="867">
        <f t="shared" si="23"/>
        <v>0</v>
      </c>
      <c r="P77" s="867">
        <f t="shared" si="23"/>
        <v>0</v>
      </c>
      <c r="Q77" s="867">
        <f t="shared" si="23"/>
        <v>0</v>
      </c>
    </row>
  </sheetData>
  <autoFilter ref="B4:AH57" xr:uid="{78A85B1D-8F5C-4FD2-AC4A-168AE19CD164}"/>
  <mergeCells count="7">
    <mergeCell ref="D72:E72"/>
    <mergeCell ref="D73:D77"/>
    <mergeCell ref="D64:E64"/>
    <mergeCell ref="D65:E65"/>
    <mergeCell ref="D66:D67"/>
    <mergeCell ref="D69:E69"/>
    <mergeCell ref="D70:D7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395</v>
      </c>
    </row>
    <row r="3" spans="2:34" ht="20.100000000000001" customHeight="1"/>
    <row r="4" spans="2:34" ht="25.35" customHeight="1">
      <c r="B4" s="217" t="s">
        <v>396</v>
      </c>
      <c r="C4" s="217" t="s">
        <v>397</v>
      </c>
      <c r="D4" s="692" t="s">
        <v>398</v>
      </c>
      <c r="E4" s="217" t="s">
        <v>399</v>
      </c>
      <c r="F4" s="693" t="s">
        <v>3</v>
      </c>
      <c r="G4" s="221" t="s">
        <v>4</v>
      </c>
      <c r="H4" s="221" t="s">
        <v>400</v>
      </c>
      <c r="I4" s="221" t="s">
        <v>401</v>
      </c>
      <c r="J4" s="221" t="s">
        <v>402</v>
      </c>
      <c r="K4" s="221" t="s">
        <v>403</v>
      </c>
      <c r="L4" s="221" t="s">
        <v>404</v>
      </c>
      <c r="M4" s="221" t="s">
        <v>405</v>
      </c>
      <c r="N4" s="221" t="s">
        <v>406</v>
      </c>
      <c r="O4" s="221" t="s">
        <v>407</v>
      </c>
      <c r="P4" s="221" t="s">
        <v>408</v>
      </c>
      <c r="Q4" s="694" t="s">
        <v>144</v>
      </c>
      <c r="R4" s="217" t="s">
        <v>409</v>
      </c>
      <c r="T4" s="692" t="s">
        <v>107</v>
      </c>
      <c r="U4" s="221" t="s">
        <v>110</v>
      </c>
      <c r="V4" s="221" t="s">
        <v>410</v>
      </c>
      <c r="W4" s="221" t="s">
        <v>411</v>
      </c>
      <c r="X4" s="221" t="s">
        <v>412</v>
      </c>
      <c r="Y4" s="221" t="s">
        <v>413</v>
      </c>
      <c r="Z4" s="221" t="s">
        <v>414</v>
      </c>
      <c r="AA4" s="221" t="s">
        <v>415</v>
      </c>
      <c r="AB4" s="221" t="s">
        <v>416</v>
      </c>
      <c r="AC4" s="695" t="s">
        <v>417</v>
      </c>
      <c r="AE4" s="220" t="s">
        <v>418</v>
      </c>
      <c r="AF4" s="221" t="s">
        <v>419</v>
      </c>
      <c r="AG4" s="221" t="s">
        <v>420</v>
      </c>
      <c r="AH4" s="695" t="s">
        <v>421</v>
      </c>
    </row>
    <row r="5" spans="2:34" ht="20.100000000000001" hidden="1" customHeight="1">
      <c r="B5" s="670" t="s">
        <v>422</v>
      </c>
      <c r="C5" s="671" t="s">
        <v>423</v>
      </c>
      <c r="D5" s="672" t="s">
        <v>423</v>
      </c>
      <c r="E5" s="671" t="s">
        <v>424</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5"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hidden="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si="0"/>
        <v>0</v>
      </c>
      <c r="T6" s="674">
        <f t="shared" ref="T6:T55"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5" si="4">SUM(F6:H6)</f>
        <v>0</v>
      </c>
      <c r="AF6" s="222">
        <f t="shared" ref="AF6:AF55" si="5">SUM(I6:K6)</f>
        <v>0</v>
      </c>
      <c r="AG6" s="216">
        <f t="shared" ref="AG6:AG55" si="6">SUM(L6:N6)</f>
        <v>0</v>
      </c>
      <c r="AH6" s="675">
        <f t="shared" ref="AH6:AH55" si="7">SUM(O6:Q6)</f>
        <v>0</v>
      </c>
    </row>
    <row r="7" spans="2:34" ht="20.100000000000001" hidden="1" customHeight="1">
      <c r="B7" s="670" t="s">
        <v>34</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hidden="1" customHeight="1">
      <c r="B8" s="670" t="s">
        <v>422</v>
      </c>
      <c r="C8" s="671" t="s">
        <v>428</v>
      </c>
      <c r="D8" s="672" t="s">
        <v>428</v>
      </c>
      <c r="E8" s="671" t="s">
        <v>428</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hidden="1" customHeight="1">
      <c r="B9" s="670" t="s">
        <v>422</v>
      </c>
      <c r="C9" s="678" t="s">
        <v>429</v>
      </c>
      <c r="D9" s="671" t="s">
        <v>430</v>
      </c>
      <c r="E9" s="671" t="s">
        <v>431</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hidden="1" customHeight="1">
      <c r="B10" s="670" t="s">
        <v>422</v>
      </c>
      <c r="C10" s="671" t="s">
        <v>432</v>
      </c>
      <c r="D10" s="672" t="s">
        <v>432</v>
      </c>
      <c r="E10" s="671" t="s">
        <v>433</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hidden="1" customHeight="1">
      <c r="B11" s="670" t="s">
        <v>422</v>
      </c>
      <c r="C11" s="671" t="s">
        <v>432</v>
      </c>
      <c r="D11" s="672" t="s">
        <v>432</v>
      </c>
      <c r="E11" s="671" t="s">
        <v>434</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hidden="1" customHeight="1">
      <c r="B12" s="670" t="s">
        <v>34</v>
      </c>
      <c r="C12" s="671" t="s">
        <v>432</v>
      </c>
      <c r="D12" s="672" t="s">
        <v>435</v>
      </c>
      <c r="E12" s="671" t="s">
        <v>435</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hidden="1" customHeight="1">
      <c r="B13" s="670" t="s">
        <v>422</v>
      </c>
      <c r="C13" s="671" t="s">
        <v>436</v>
      </c>
      <c r="D13" s="672" t="s">
        <v>437</v>
      </c>
      <c r="E13" s="671" t="s">
        <v>437</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hidden="1" customHeight="1">
      <c r="B14" s="670" t="s">
        <v>422</v>
      </c>
      <c r="C14" s="671" t="s">
        <v>426</v>
      </c>
      <c r="D14" s="672" t="s">
        <v>426</v>
      </c>
      <c r="E14" s="671" t="s">
        <v>438</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hidden="1" customHeight="1">
      <c r="B15" s="670" t="s">
        <v>422</v>
      </c>
      <c r="C15" s="671" t="s">
        <v>426</v>
      </c>
      <c r="D15" s="672" t="s">
        <v>426</v>
      </c>
      <c r="E15" s="671" t="s">
        <v>439</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hidden="1" customHeight="1">
      <c r="B16" s="670" t="s">
        <v>422</v>
      </c>
      <c r="C16" s="671" t="s">
        <v>426</v>
      </c>
      <c r="D16" s="672" t="s">
        <v>440</v>
      </c>
      <c r="E16" s="671" t="s">
        <v>441</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hidden="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hidden="1" customHeight="1">
      <c r="B18" s="670" t="s">
        <v>422</v>
      </c>
      <c r="C18" s="671" t="s">
        <v>426</v>
      </c>
      <c r="D18" s="672" t="s">
        <v>443</v>
      </c>
      <c r="E18" s="671" t="s">
        <v>444</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hidden="1" customHeight="1">
      <c r="B19" s="670" t="s">
        <v>422</v>
      </c>
      <c r="C19" s="671" t="s">
        <v>426</v>
      </c>
      <c r="D19" s="672" t="s">
        <v>443</v>
      </c>
      <c r="E19" s="671" t="s">
        <v>445</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hidden="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hidden="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hidden="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hidden="1" customHeight="1">
      <c r="B23" s="670" t="s">
        <v>450</v>
      </c>
      <c r="C23" s="671" t="s">
        <v>451</v>
      </c>
      <c r="D23" s="672" t="s">
        <v>452</v>
      </c>
      <c r="E23" s="671" t="s">
        <v>452</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hidden="1" customHeight="1">
      <c r="B24" s="670" t="s">
        <v>450</v>
      </c>
      <c r="C24" s="671" t="s">
        <v>451</v>
      </c>
      <c r="D24" s="672" t="s">
        <v>453</v>
      </c>
      <c r="E24" s="671" t="s">
        <v>453</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hidden="1" customHeight="1">
      <c r="B25" s="670" t="s">
        <v>450</v>
      </c>
      <c r="C25" s="671" t="s">
        <v>454</v>
      </c>
      <c r="D25" s="672" t="s">
        <v>454</v>
      </c>
      <c r="E25" s="671" t="s">
        <v>455</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hidden="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hidden="1" customHeight="1">
      <c r="B27" s="670" t="s">
        <v>450</v>
      </c>
      <c r="C27" s="671" t="s">
        <v>454</v>
      </c>
      <c r="D27" s="672" t="s">
        <v>454</v>
      </c>
      <c r="E27" s="671" t="s">
        <v>457</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hidden="1" customHeight="1">
      <c r="B28" s="670" t="s">
        <v>450</v>
      </c>
      <c r="C28" s="671" t="s">
        <v>458</v>
      </c>
      <c r="D28" s="672" t="s">
        <v>458</v>
      </c>
      <c r="E28" s="671" t="s">
        <v>459</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hidden="1" customHeight="1">
      <c r="B29" s="670" t="s">
        <v>450</v>
      </c>
      <c r="C29" s="671" t="s">
        <v>458</v>
      </c>
      <c r="D29" s="672" t="s">
        <v>458</v>
      </c>
      <c r="E29" s="671" t="s">
        <v>460</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hidden="1" customHeight="1">
      <c r="B30" s="670" t="s">
        <v>450</v>
      </c>
      <c r="C30" s="671" t="s">
        <v>461</v>
      </c>
      <c r="D30" s="672" t="s">
        <v>461</v>
      </c>
      <c r="E30" s="671" t="s">
        <v>461</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hidden="1" customHeight="1">
      <c r="B31" s="670" t="s">
        <v>450</v>
      </c>
      <c r="C31" s="671" t="s">
        <v>462</v>
      </c>
      <c r="D31" s="672" t="s">
        <v>462</v>
      </c>
      <c r="E31" s="671" t="s">
        <v>462</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hidden="1" customHeight="1">
      <c r="B32" s="670" t="s">
        <v>450</v>
      </c>
      <c r="C32" s="678" t="s">
        <v>463</v>
      </c>
      <c r="D32" s="672" t="s">
        <v>463</v>
      </c>
      <c r="E32" s="671" t="s">
        <v>463</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hidden="1" customHeight="1">
      <c r="B33" s="670" t="s">
        <v>450</v>
      </c>
      <c r="C33" s="678" t="s">
        <v>464</v>
      </c>
      <c r="D33" s="672" t="s">
        <v>464</v>
      </c>
      <c r="E33" s="671" t="s">
        <v>464</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hidden="1" customHeight="1">
      <c r="B34" s="670" t="s">
        <v>450</v>
      </c>
      <c r="C34" s="678" t="s">
        <v>465</v>
      </c>
      <c r="D34" s="672" t="s">
        <v>465</v>
      </c>
      <c r="E34" s="671" t="s">
        <v>465</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hidden="1" customHeight="1">
      <c r="B35" s="670" t="s">
        <v>450</v>
      </c>
      <c r="C35" s="678" t="s">
        <v>466</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hidden="1" customHeight="1">
      <c r="B36" s="670" t="s">
        <v>450</v>
      </c>
      <c r="C36" s="678" t="s">
        <v>467</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hidden="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hidden="1" customHeight="1">
      <c r="B38" s="670" t="s">
        <v>36</v>
      </c>
      <c r="C38" s="671" t="s">
        <v>470</v>
      </c>
      <c r="D38" s="672" t="s">
        <v>470</v>
      </c>
      <c r="E38" s="671" t="s">
        <v>471</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hidden="1" customHeight="1">
      <c r="B39" s="670" t="s">
        <v>36</v>
      </c>
      <c r="C39" s="671" t="s">
        <v>470</v>
      </c>
      <c r="D39" s="672" t="s">
        <v>470</v>
      </c>
      <c r="E39" s="671" t="s">
        <v>472</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hidden="1" customHeight="1">
      <c r="B40" s="670" t="s">
        <v>36</v>
      </c>
      <c r="C40" s="671" t="s">
        <v>470</v>
      </c>
      <c r="D40" s="672" t="s">
        <v>470</v>
      </c>
      <c r="E40" s="671" t="s">
        <v>473</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hidden="1" customHeight="1">
      <c r="B41" s="670" t="s">
        <v>36</v>
      </c>
      <c r="C41" s="671" t="s">
        <v>474</v>
      </c>
      <c r="D41" s="672" t="s">
        <v>474</v>
      </c>
      <c r="E41" s="671" t="s">
        <v>475</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hidden="1" customHeight="1">
      <c r="B42" s="670" t="s">
        <v>36</v>
      </c>
      <c r="C42" s="671" t="s">
        <v>474</v>
      </c>
      <c r="D42" s="672" t="s">
        <v>474</v>
      </c>
      <c r="E42" s="671" t="s">
        <v>476</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hidden="1" customHeight="1">
      <c r="B43" s="670" t="s">
        <v>36</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0</v>
      </c>
      <c r="G44" s="216">
        <v>0</v>
      </c>
      <c r="H44" s="222">
        <v>0</v>
      </c>
      <c r="I44" s="216">
        <v>0</v>
      </c>
      <c r="J44" s="222">
        <v>0</v>
      </c>
      <c r="K44" s="216">
        <v>0</v>
      </c>
      <c r="L44" s="216">
        <v>0</v>
      </c>
      <c r="M44" s="222">
        <v>0</v>
      </c>
      <c r="N44" s="216">
        <v>0</v>
      </c>
      <c r="O44" s="222">
        <v>0</v>
      </c>
      <c r="P44" s="216">
        <v>0</v>
      </c>
      <c r="Q44" s="222">
        <v>0</v>
      </c>
      <c r="R44" s="677">
        <f t="shared" si="0"/>
        <v>0</v>
      </c>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478</v>
      </c>
      <c r="C45" s="671" t="s">
        <v>479</v>
      </c>
      <c r="D45" s="672" t="s">
        <v>481</v>
      </c>
      <c r="E45" s="671" t="s">
        <v>481</v>
      </c>
      <c r="F45" s="222">
        <v>736312500</v>
      </c>
      <c r="G45" s="216">
        <v>3253527000</v>
      </c>
      <c r="H45" s="222">
        <v>2762644500</v>
      </c>
      <c r="I45" s="216">
        <v>736966980</v>
      </c>
      <c r="J45" s="222">
        <v>859354740</v>
      </c>
      <c r="K45" s="216">
        <v>3315697020</v>
      </c>
      <c r="L45" s="216">
        <v>0</v>
      </c>
      <c r="M45" s="222">
        <v>0</v>
      </c>
      <c r="N45" s="216">
        <v>0</v>
      </c>
      <c r="O45" s="222">
        <v>0</v>
      </c>
      <c r="P45" s="216">
        <v>0</v>
      </c>
      <c r="Q45" s="222">
        <v>0</v>
      </c>
      <c r="R45" s="677">
        <f t="shared" si="0"/>
        <v>11664502740</v>
      </c>
      <c r="T45" s="674">
        <f t="shared" si="2"/>
        <v>3989839500</v>
      </c>
      <c r="U45" s="216">
        <f t="shared" si="9"/>
        <v>6752484000</v>
      </c>
      <c r="V45" s="222">
        <f t="shared" si="9"/>
        <v>7489450980</v>
      </c>
      <c r="W45" s="216">
        <f t="shared" si="9"/>
        <v>8348805720</v>
      </c>
      <c r="X45" s="222">
        <f t="shared" si="9"/>
        <v>11664502740</v>
      </c>
      <c r="Y45" s="216">
        <f t="shared" si="9"/>
        <v>11664502740</v>
      </c>
      <c r="Z45" s="216">
        <f t="shared" si="9"/>
        <v>11664502740</v>
      </c>
      <c r="AA45" s="222">
        <f t="shared" si="9"/>
        <v>11664502740</v>
      </c>
      <c r="AB45" s="216">
        <f t="shared" si="9"/>
        <v>11664502740</v>
      </c>
      <c r="AC45" s="675">
        <f t="shared" si="9"/>
        <v>11664502740</v>
      </c>
      <c r="AE45" s="676">
        <f t="shared" si="4"/>
        <v>6752484000</v>
      </c>
      <c r="AF45" s="222">
        <f t="shared" si="5"/>
        <v>4912018740</v>
      </c>
      <c r="AG45" s="216">
        <f t="shared" si="6"/>
        <v>0</v>
      </c>
      <c r="AH45" s="675">
        <f t="shared" si="7"/>
        <v>0</v>
      </c>
    </row>
    <row r="46" spans="2:34" ht="20.100000000000001" customHeight="1">
      <c r="B46" s="670" t="s">
        <v>478</v>
      </c>
      <c r="C46" s="671" t="s">
        <v>482</v>
      </c>
      <c r="D46" s="672" t="s">
        <v>482</v>
      </c>
      <c r="E46" s="671" t="s">
        <v>482</v>
      </c>
      <c r="F46" s="222">
        <v>959310827.99423397</v>
      </c>
      <c r="G46" s="216">
        <v>959310827.9942342</v>
      </c>
      <c r="H46" s="222">
        <v>959310827.9942342</v>
      </c>
      <c r="I46" s="216">
        <v>762190827.99423397</v>
      </c>
      <c r="J46" s="222">
        <v>1156430827.9942338</v>
      </c>
      <c r="K46" s="216">
        <v>959310827.9942342</v>
      </c>
      <c r="L46" s="216">
        <v>959310827.9942342</v>
      </c>
      <c r="M46" s="222">
        <v>959310827.9942342</v>
      </c>
      <c r="N46" s="216">
        <v>959310827.9942342</v>
      </c>
      <c r="O46" s="222">
        <v>959310827.9942342</v>
      </c>
      <c r="P46" s="216">
        <v>959310827.9942342</v>
      </c>
      <c r="Q46" s="222">
        <v>959310827.9942342</v>
      </c>
      <c r="R46" s="677">
        <f t="shared" si="0"/>
        <v>11511729935.930809</v>
      </c>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7674486623.9538727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2877932483.9827027</v>
      </c>
      <c r="AH46" s="675">
        <f t="shared" si="7"/>
        <v>2877932483.9827027</v>
      </c>
    </row>
    <row r="47" spans="2:34" ht="20.100000000000001" customHeight="1">
      <c r="B47" s="670" t="s">
        <v>478</v>
      </c>
      <c r="C47" s="671" t="s">
        <v>483</v>
      </c>
      <c r="D47" s="672" t="s">
        <v>483</v>
      </c>
      <c r="E47" s="671" t="s">
        <v>483</v>
      </c>
      <c r="F47" s="222">
        <v>4405740000</v>
      </c>
      <c r="G47" s="216">
        <v>478662462.07895321</v>
      </c>
      <c r="H47" s="222">
        <v>4734489924.1579056</v>
      </c>
      <c r="I47" s="216">
        <v>3085914924.1579065</v>
      </c>
      <c r="J47" s="222">
        <v>2937036835.5432677</v>
      </c>
      <c r="K47" s="216">
        <v>5475306835.5432682</v>
      </c>
      <c r="L47" s="216">
        <v>3366606835.5432677</v>
      </c>
      <c r="M47" s="222">
        <v>10725861132.459711</v>
      </c>
      <c r="N47" s="216">
        <v>9725712264.9194241</v>
      </c>
      <c r="O47" s="222">
        <v>5305812264.919425</v>
      </c>
      <c r="P47" s="216">
        <v>5525090850.0595312</v>
      </c>
      <c r="Q47" s="222">
        <v>14509700850.059532</v>
      </c>
      <c r="R47" s="677">
        <f t="shared" si="0"/>
        <v>70275935179.4422</v>
      </c>
      <c r="T47" s="674">
        <f t="shared" si="2"/>
        <v>4884402462.0789528</v>
      </c>
      <c r="U47" s="216">
        <f t="shared" si="9"/>
        <v>9618892386.2368584</v>
      </c>
      <c r="V47" s="222">
        <f t="shared" si="9"/>
        <v>12704807310.394764</v>
      </c>
      <c r="W47" s="216">
        <f t="shared" si="9"/>
        <v>15641844145.938032</v>
      </c>
      <c r="X47" s="222">
        <f t="shared" si="9"/>
        <v>21117150981.4813</v>
      </c>
      <c r="Y47" s="216">
        <f t="shared" si="9"/>
        <v>24483757817.024567</v>
      </c>
      <c r="Z47" s="216">
        <f t="shared" si="9"/>
        <v>35209618949.484276</v>
      </c>
      <c r="AA47" s="222">
        <f t="shared" si="9"/>
        <v>44935331214.403702</v>
      </c>
      <c r="AB47" s="216">
        <f t="shared" si="9"/>
        <v>50241143479.323128</v>
      </c>
      <c r="AC47" s="675">
        <f t="shared" si="9"/>
        <v>55766234329.38266</v>
      </c>
      <c r="AE47" s="676">
        <f t="shared" si="4"/>
        <v>9618892386.2368584</v>
      </c>
      <c r="AF47" s="222">
        <f t="shared" si="5"/>
        <v>11498258595.244442</v>
      </c>
      <c r="AG47" s="216">
        <f t="shared" si="6"/>
        <v>23818180232.922401</v>
      </c>
      <c r="AH47" s="675">
        <f t="shared" si="7"/>
        <v>25340603965.03849</v>
      </c>
    </row>
    <row r="48" spans="2:34" ht="20.100000000000001" customHeight="1">
      <c r="B48" s="670" t="s">
        <v>478</v>
      </c>
      <c r="C48" s="671" t="s">
        <v>484</v>
      </c>
      <c r="D48" s="672" t="s">
        <v>484</v>
      </c>
      <c r="E48" s="671" t="s">
        <v>484</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0"/>
        <v>0</v>
      </c>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478</v>
      </c>
      <c r="C51" s="678" t="s">
        <v>487</v>
      </c>
      <c r="D51" s="672" t="s">
        <v>488</v>
      </c>
      <c r="E51" s="671" t="s">
        <v>488</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478</v>
      </c>
      <c r="C52" s="678" t="s">
        <v>487</v>
      </c>
      <c r="D52" s="672" t="s">
        <v>489</v>
      </c>
      <c r="E52" s="671" t="s">
        <v>489</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478</v>
      </c>
      <c r="C53" s="678" t="s">
        <v>487</v>
      </c>
      <c r="D53" s="672" t="s">
        <v>490</v>
      </c>
      <c r="E53" s="671" t="s">
        <v>490</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hidden="1" customHeight="1">
      <c r="B54" s="670" t="s">
        <v>52</v>
      </c>
      <c r="C54" s="671" t="s">
        <v>426</v>
      </c>
      <c r="D54" s="672" t="s">
        <v>492</v>
      </c>
      <c r="E54" s="671" t="s">
        <v>492</v>
      </c>
      <c r="F54" s="222">
        <v>0</v>
      </c>
      <c r="G54" s="216">
        <v>0</v>
      </c>
      <c r="H54" s="222">
        <v>-100000000</v>
      </c>
      <c r="I54" s="216">
        <v>0</v>
      </c>
      <c r="J54" s="222">
        <v>0</v>
      </c>
      <c r="K54" s="216">
        <v>-100000000</v>
      </c>
      <c r="L54" s="216">
        <v>0</v>
      </c>
      <c r="M54" s="222">
        <v>0</v>
      </c>
      <c r="N54" s="216">
        <v>-100000000</v>
      </c>
      <c r="O54" s="222">
        <v>0</v>
      </c>
      <c r="P54" s="216">
        <v>0</v>
      </c>
      <c r="Q54" s="222">
        <v>-100000000</v>
      </c>
      <c r="R54" s="677">
        <f t="shared" si="0"/>
        <v>-400000000</v>
      </c>
      <c r="T54" s="674">
        <f t="shared" si="2"/>
        <v>0</v>
      </c>
      <c r="U54" s="216">
        <f t="shared" ref="U54:AC55" si="10">T54+H54</f>
        <v>-100000000</v>
      </c>
      <c r="V54" s="222">
        <f t="shared" si="10"/>
        <v>-100000000</v>
      </c>
      <c r="W54" s="216">
        <f t="shared" si="10"/>
        <v>-100000000</v>
      </c>
      <c r="X54" s="222">
        <f t="shared" si="10"/>
        <v>-200000000</v>
      </c>
      <c r="Y54" s="216">
        <f t="shared" si="10"/>
        <v>-200000000</v>
      </c>
      <c r="Z54" s="216">
        <f t="shared" si="10"/>
        <v>-200000000</v>
      </c>
      <c r="AA54" s="222">
        <f t="shared" si="10"/>
        <v>-300000000</v>
      </c>
      <c r="AB54" s="216">
        <f t="shared" si="10"/>
        <v>-300000000</v>
      </c>
      <c r="AC54" s="675">
        <f t="shared" si="10"/>
        <v>-300000000</v>
      </c>
      <c r="AE54" s="676">
        <f t="shared" si="4"/>
        <v>-100000000</v>
      </c>
      <c r="AF54" s="222">
        <f t="shared" si="5"/>
        <v>-100000000</v>
      </c>
      <c r="AG54" s="216">
        <f t="shared" si="6"/>
        <v>-100000000</v>
      </c>
      <c r="AH54" s="675">
        <f t="shared" si="7"/>
        <v>-100000000</v>
      </c>
    </row>
    <row r="55" spans="2:34" ht="20.100000000000001" hidden="1" customHeight="1">
      <c r="B55" s="679" t="s">
        <v>52</v>
      </c>
      <c r="C55" s="680" t="s">
        <v>426</v>
      </c>
      <c r="D55" s="681" t="s">
        <v>493</v>
      </c>
      <c r="E55" s="680" t="s">
        <v>493</v>
      </c>
      <c r="F55" s="222">
        <v>0</v>
      </c>
      <c r="G55" s="216">
        <v>0</v>
      </c>
      <c r="H55" s="222">
        <v>-100000000</v>
      </c>
      <c r="I55" s="216">
        <v>0</v>
      </c>
      <c r="J55" s="222">
        <v>0</v>
      </c>
      <c r="K55" s="216">
        <v>-100000000</v>
      </c>
      <c r="L55" s="216">
        <v>0</v>
      </c>
      <c r="M55" s="222">
        <v>0</v>
      </c>
      <c r="N55" s="216">
        <v>-100000000</v>
      </c>
      <c r="O55" s="222">
        <v>0</v>
      </c>
      <c r="P55" s="216">
        <v>0</v>
      </c>
      <c r="Q55" s="222">
        <v>-100000000</v>
      </c>
      <c r="R55" s="682">
        <f t="shared" si="0"/>
        <v>-400000000</v>
      </c>
      <c r="T55" s="674">
        <f t="shared" si="2"/>
        <v>0</v>
      </c>
      <c r="U55" s="216">
        <f t="shared" si="10"/>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5.35" hidden="1" customHeight="1">
      <c r="B56" s="683" t="s">
        <v>145</v>
      </c>
      <c r="C56" s="684"/>
      <c r="D56" s="684"/>
      <c r="E56" s="685"/>
      <c r="F56" s="686">
        <f t="shared" ref="F56:R56" si="11">SUM(F5:F55)</f>
        <v>19867920159.615776</v>
      </c>
      <c r="G56" s="687">
        <f t="shared" si="11"/>
        <v>26258908599.496876</v>
      </c>
      <c r="H56" s="688">
        <f t="shared" si="11"/>
        <v>44234092057.593971</v>
      </c>
      <c r="I56" s="687">
        <f t="shared" si="11"/>
        <v>23663556588.496353</v>
      </c>
      <c r="J56" s="688">
        <f t="shared" si="11"/>
        <v>32515275735.262043</v>
      </c>
      <c r="K56" s="687">
        <f t="shared" si="11"/>
        <v>52768861675.584381</v>
      </c>
      <c r="L56" s="687">
        <f t="shared" si="11"/>
        <v>22305236742.166309</v>
      </c>
      <c r="M56" s="688">
        <f t="shared" si="11"/>
        <v>38465806764.77256</v>
      </c>
      <c r="N56" s="687">
        <f t="shared" si="11"/>
        <v>55456450539.905037</v>
      </c>
      <c r="O56" s="688">
        <f t="shared" si="11"/>
        <v>30064536372.698879</v>
      </c>
      <c r="P56" s="687">
        <f t="shared" si="11"/>
        <v>39765129836.905792</v>
      </c>
      <c r="Q56" s="689">
        <f t="shared" si="11"/>
        <v>63158305399.364426</v>
      </c>
      <c r="R56" s="690">
        <f t="shared" si="11"/>
        <v>448524080471.86249</v>
      </c>
      <c r="T56" s="686">
        <f t="shared" ref="T56:AC56" si="12">SUM(T5:T55)</f>
        <v>46126828759.11264</v>
      </c>
      <c r="U56" s="687">
        <f t="shared" si="12"/>
        <v>90360920816.706635</v>
      </c>
      <c r="V56" s="688">
        <f t="shared" si="12"/>
        <v>114024477405.20296</v>
      </c>
      <c r="W56" s="687">
        <f t="shared" si="12"/>
        <v>146539753140.46503</v>
      </c>
      <c r="X56" s="688">
        <f t="shared" si="12"/>
        <v>199308614816.04938</v>
      </c>
      <c r="Y56" s="687">
        <f t="shared" si="12"/>
        <v>221613851558.21576</v>
      </c>
      <c r="Z56" s="687">
        <f t="shared" si="12"/>
        <v>260079658322.98831</v>
      </c>
      <c r="AA56" s="688">
        <f t="shared" si="12"/>
        <v>315536108862.89337</v>
      </c>
      <c r="AB56" s="687">
        <f t="shared" si="12"/>
        <v>345600645235.59222</v>
      </c>
      <c r="AC56" s="689">
        <f t="shared" si="12"/>
        <v>385365775072.49805</v>
      </c>
      <c r="AE56" s="691">
        <f t="shared" ref="AE56:AH56" si="13">SUM(AE5:AE55)</f>
        <v>90360920816.706635</v>
      </c>
      <c r="AF56" s="688">
        <f t="shared" si="13"/>
        <v>108947693999.34279</v>
      </c>
      <c r="AG56" s="687">
        <f t="shared" si="13"/>
        <v>116227494046.8439</v>
      </c>
      <c r="AH56" s="689">
        <f t="shared" si="13"/>
        <v>132987971608.96909</v>
      </c>
    </row>
    <row r="57" spans="2:34" ht="20.100000000000001" customHeight="1">
      <c r="T57" s="222"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696" t="b">
        <f>ROUND(AE56,0)=ROUND(SUM(F56:H56),0)</f>
        <v>1</v>
      </c>
      <c r="AF57" s="696" t="b">
        <f>ROUND(AF56,0)=ROUND(SUM(I56:K56),0)</f>
        <v>1</v>
      </c>
      <c r="AG57" s="696" t="b">
        <f>ROUND(AG56,0)=ROUND(SUM(L56:N56),0)</f>
        <v>1</v>
      </c>
      <c r="AH57" s="696" t="b">
        <f>ROUND(AH56,0)=ROUND(SUM(O56:Q56),0)</f>
        <v>1</v>
      </c>
    </row>
    <row r="60" spans="2:34">
      <c r="Q60" s="223"/>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212F-949F-470E-B9BA-C207F9E7E7AE}">
  <sheetPr codeName="Sheet8"/>
  <dimension ref="B2:AH82"/>
  <sheetViews>
    <sheetView showGridLines="0" zoomScale="70" zoomScaleNormal="70" workbookViewId="0">
      <pane xSplit="5" ySplit="4" topLeftCell="F36" activePane="bottomRight" state="frozen"/>
      <selection pane="topRight" activeCell="F1" sqref="F1"/>
      <selection pane="bottomLeft" activeCell="A5" sqref="A5"/>
      <selection pane="bottomRight" activeCell="Q40" sqref="Q40"/>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6.59765625" customWidth="1"/>
    <col min="18" max="18" width="18.59765625" customWidth="1"/>
    <col min="20" max="29" width="18.59765625" customWidth="1"/>
    <col min="31" max="34" width="18.59765625" customWidth="1"/>
  </cols>
  <sheetData>
    <row r="2" spans="2:34" ht="22.35" customHeight="1">
      <c r="B2" s="34" t="s">
        <v>494</v>
      </c>
    </row>
    <row r="3" spans="2:34" ht="20.100000000000001" customHeight="1"/>
    <row r="4" spans="2:34" ht="25.35" customHeight="1">
      <c r="B4" s="663" t="s">
        <v>495</v>
      </c>
      <c r="C4" s="663" t="s">
        <v>496</v>
      </c>
      <c r="D4" s="664" t="s">
        <v>398</v>
      </c>
      <c r="E4" s="663" t="s">
        <v>399</v>
      </c>
      <c r="F4" s="665" t="s">
        <v>3</v>
      </c>
      <c r="G4" s="666" t="s">
        <v>4</v>
      </c>
      <c r="H4" s="666" t="s">
        <v>400</v>
      </c>
      <c r="I4" s="666" t="s">
        <v>401</v>
      </c>
      <c r="J4" s="666" t="s">
        <v>402</v>
      </c>
      <c r="K4" s="666" t="s">
        <v>403</v>
      </c>
      <c r="L4" s="666" t="s">
        <v>404</v>
      </c>
      <c r="M4" s="666" t="s">
        <v>405</v>
      </c>
      <c r="N4" s="666" t="s">
        <v>406</v>
      </c>
      <c r="O4" s="666" t="s">
        <v>407</v>
      </c>
      <c r="P4" s="666" t="s">
        <v>143</v>
      </c>
      <c r="Q4" s="667" t="s">
        <v>144</v>
      </c>
      <c r="R4" s="663" t="s">
        <v>497</v>
      </c>
      <c r="T4" s="664" t="s">
        <v>107</v>
      </c>
      <c r="U4" s="666" t="s">
        <v>110</v>
      </c>
      <c r="V4" s="666" t="s">
        <v>410</v>
      </c>
      <c r="W4" s="666" t="s">
        <v>411</v>
      </c>
      <c r="X4" s="666" t="s">
        <v>412</v>
      </c>
      <c r="Y4" s="666" t="s">
        <v>413</v>
      </c>
      <c r="Z4" s="666" t="s">
        <v>414</v>
      </c>
      <c r="AA4" s="666" t="s">
        <v>415</v>
      </c>
      <c r="AB4" s="666" t="s">
        <v>416</v>
      </c>
      <c r="AC4" s="668" t="s">
        <v>417</v>
      </c>
      <c r="AE4" s="669" t="s">
        <v>418</v>
      </c>
      <c r="AF4" s="666" t="s">
        <v>419</v>
      </c>
      <c r="AG4" s="666" t="s">
        <v>420</v>
      </c>
      <c r="AH4" s="668" t="s">
        <v>421</v>
      </c>
    </row>
    <row r="5" spans="2:34" ht="20.100000000000001" customHeight="1">
      <c r="B5" s="670" t="s">
        <v>422</v>
      </c>
      <c r="C5" s="671" t="s">
        <v>423</v>
      </c>
      <c r="D5" s="672" t="s">
        <v>423</v>
      </c>
      <c r="E5" s="671" t="s">
        <v>424</v>
      </c>
      <c r="F5" s="222">
        <v>3687570806</v>
      </c>
      <c r="G5" s="216">
        <v>5128395870</v>
      </c>
      <c r="H5" s="222">
        <v>6281751224</v>
      </c>
      <c r="I5" s="216">
        <v>5798431443</v>
      </c>
      <c r="J5" s="222">
        <v>5901964958</v>
      </c>
      <c r="K5" s="216">
        <v>7051975865</v>
      </c>
      <c r="L5" s="216">
        <v>5400074996</v>
      </c>
      <c r="M5" s="222">
        <v>5200429656</v>
      </c>
      <c r="N5" s="216">
        <v>7001025491</v>
      </c>
      <c r="O5" s="222">
        <v>4656527400</v>
      </c>
      <c r="P5" s="216">
        <v>6000933183</v>
      </c>
      <c r="Q5" s="222">
        <v>7006565759</v>
      </c>
      <c r="R5" s="673">
        <f>SUM(F5:Q5)</f>
        <v>69115646651</v>
      </c>
      <c r="T5" s="674">
        <f>SUM(F5:G5)</f>
        <v>8815966676</v>
      </c>
      <c r="U5" s="216">
        <f>SUM(T5, H5)</f>
        <v>15097717900</v>
      </c>
      <c r="V5" s="222">
        <f t="shared" ref="V5:AC20" si="0">SUM(U5, I5)</f>
        <v>20896149343</v>
      </c>
      <c r="W5" s="216">
        <f t="shared" si="0"/>
        <v>26798114301</v>
      </c>
      <c r="X5" s="222">
        <f t="shared" si="0"/>
        <v>33850090166</v>
      </c>
      <c r="Y5" s="216">
        <f t="shared" si="0"/>
        <v>39250165162</v>
      </c>
      <c r="Z5" s="216">
        <f t="shared" si="0"/>
        <v>44450594818</v>
      </c>
      <c r="AA5" s="222">
        <f t="shared" si="0"/>
        <v>51451620309</v>
      </c>
      <c r="AB5" s="216">
        <f t="shared" si="0"/>
        <v>56108147709</v>
      </c>
      <c r="AC5" s="675">
        <f t="shared" si="0"/>
        <v>62109080892</v>
      </c>
      <c r="AE5" s="676">
        <f>SUM(F5:H5)</f>
        <v>15097717900</v>
      </c>
      <c r="AF5" s="222">
        <f>SUM(I5:K5)</f>
        <v>18752372266</v>
      </c>
      <c r="AG5" s="216">
        <f>SUM(L5:N5)</f>
        <v>17601530143</v>
      </c>
      <c r="AH5" s="675">
        <f>SUM(O5:Q5)</f>
        <v>17664026342</v>
      </c>
    </row>
    <row r="6" spans="2:34" ht="20.10000000000000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ref="R6:R61" si="1">SUM(F6:Q6)</f>
        <v>0</v>
      </c>
      <c r="T6" s="674">
        <f t="shared" ref="T6:T61" si="2">SUM(F6:G6)</f>
        <v>0</v>
      </c>
      <c r="U6" s="216">
        <f t="shared" ref="U6:AC47" si="3">SUM(T6, H6)</f>
        <v>0</v>
      </c>
      <c r="V6" s="222">
        <f t="shared" si="0"/>
        <v>0</v>
      </c>
      <c r="W6" s="216">
        <f t="shared" si="0"/>
        <v>0</v>
      </c>
      <c r="X6" s="222">
        <f t="shared" si="0"/>
        <v>0</v>
      </c>
      <c r="Y6" s="216">
        <f t="shared" si="0"/>
        <v>0</v>
      </c>
      <c r="Z6" s="216">
        <f t="shared" si="0"/>
        <v>0</v>
      </c>
      <c r="AA6" s="222">
        <f t="shared" si="0"/>
        <v>0</v>
      </c>
      <c r="AB6" s="216">
        <f t="shared" si="0"/>
        <v>0</v>
      </c>
      <c r="AC6" s="675">
        <f t="shared" si="0"/>
        <v>0</v>
      </c>
      <c r="AE6" s="676">
        <f t="shared" ref="AE6:AE61" si="4">SUM(F6:H6)</f>
        <v>0</v>
      </c>
      <c r="AF6" s="222">
        <f t="shared" ref="AF6:AF61" si="5">SUM(I6:K6)</f>
        <v>0</v>
      </c>
      <c r="AG6" s="216">
        <f t="shared" ref="AG6:AG61" si="6">SUM(L6:N6)</f>
        <v>0</v>
      </c>
      <c r="AH6" s="675">
        <f t="shared" ref="AH6:AH61" si="7">SUM(O6:Q6)</f>
        <v>0</v>
      </c>
    </row>
    <row r="7" spans="2:34" ht="20.100000000000001" customHeight="1">
      <c r="B7" s="670" t="s">
        <v>422</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1"/>
        <v>0</v>
      </c>
      <c r="T7" s="674">
        <f t="shared" si="2"/>
        <v>0</v>
      </c>
      <c r="U7" s="216">
        <f t="shared" si="3"/>
        <v>0</v>
      </c>
      <c r="V7" s="222">
        <f t="shared" si="0"/>
        <v>0</v>
      </c>
      <c r="W7" s="216">
        <f t="shared" si="0"/>
        <v>0</v>
      </c>
      <c r="X7" s="222">
        <f t="shared" si="0"/>
        <v>0</v>
      </c>
      <c r="Y7" s="216">
        <f t="shared" si="0"/>
        <v>0</v>
      </c>
      <c r="Z7" s="216">
        <f t="shared" si="0"/>
        <v>0</v>
      </c>
      <c r="AA7" s="222">
        <f t="shared" si="0"/>
        <v>0</v>
      </c>
      <c r="AB7" s="216">
        <f t="shared" si="0"/>
        <v>0</v>
      </c>
      <c r="AC7" s="675">
        <f t="shared" si="0"/>
        <v>0</v>
      </c>
      <c r="AE7" s="676">
        <f t="shared" si="4"/>
        <v>0</v>
      </c>
      <c r="AF7" s="222">
        <f t="shared" si="5"/>
        <v>0</v>
      </c>
      <c r="AG7" s="216">
        <f t="shared" si="6"/>
        <v>0</v>
      </c>
      <c r="AH7" s="675">
        <f t="shared" si="7"/>
        <v>0</v>
      </c>
    </row>
    <row r="8" spans="2:34" ht="20.100000000000001" customHeight="1">
      <c r="B8" s="670" t="s">
        <v>422</v>
      </c>
      <c r="C8" s="671" t="s">
        <v>428</v>
      </c>
      <c r="D8" s="672" t="s">
        <v>428</v>
      </c>
      <c r="E8" s="671" t="s">
        <v>428</v>
      </c>
      <c r="F8" s="222">
        <v>78413972</v>
      </c>
      <c r="G8" s="216">
        <v>174469864</v>
      </c>
      <c r="H8" s="222">
        <v>97871605</v>
      </c>
      <c r="I8" s="216">
        <v>0</v>
      </c>
      <c r="J8" s="222">
        <v>152109262</v>
      </c>
      <c r="K8" s="216">
        <v>235302271</v>
      </c>
      <c r="L8" s="216">
        <v>65189684</v>
      </c>
      <c r="M8" s="222">
        <v>1629519</v>
      </c>
      <c r="N8" s="216">
        <v>-146768102</v>
      </c>
      <c r="O8" s="222">
        <v>0</v>
      </c>
      <c r="P8" s="216">
        <v>87360761</v>
      </c>
      <c r="Q8" s="222">
        <v>198189177</v>
      </c>
      <c r="R8" s="677">
        <f t="shared" si="1"/>
        <v>943768013</v>
      </c>
      <c r="T8" s="674">
        <f t="shared" si="2"/>
        <v>252883836</v>
      </c>
      <c r="U8" s="216">
        <f t="shared" si="3"/>
        <v>350755441</v>
      </c>
      <c r="V8" s="222">
        <f t="shared" si="0"/>
        <v>350755441</v>
      </c>
      <c r="W8" s="216">
        <f t="shared" si="0"/>
        <v>502864703</v>
      </c>
      <c r="X8" s="222">
        <f t="shared" si="0"/>
        <v>738166974</v>
      </c>
      <c r="Y8" s="216">
        <f t="shared" si="0"/>
        <v>803356658</v>
      </c>
      <c r="Z8" s="216">
        <f t="shared" si="0"/>
        <v>804986177</v>
      </c>
      <c r="AA8" s="222">
        <f t="shared" si="0"/>
        <v>658218075</v>
      </c>
      <c r="AB8" s="216">
        <f t="shared" si="0"/>
        <v>658218075</v>
      </c>
      <c r="AC8" s="675">
        <f t="shared" si="0"/>
        <v>745578836</v>
      </c>
      <c r="AE8" s="676">
        <f t="shared" si="4"/>
        <v>350755441</v>
      </c>
      <c r="AF8" s="222">
        <f t="shared" si="5"/>
        <v>387411533</v>
      </c>
      <c r="AG8" s="216">
        <f t="shared" si="6"/>
        <v>-79948899</v>
      </c>
      <c r="AH8" s="675">
        <f t="shared" si="7"/>
        <v>285549938</v>
      </c>
    </row>
    <row r="9" spans="2:34" ht="20.100000000000001" customHeight="1">
      <c r="B9" s="670" t="s">
        <v>422</v>
      </c>
      <c r="C9" s="678" t="s">
        <v>429</v>
      </c>
      <c r="D9" s="671" t="s">
        <v>430</v>
      </c>
      <c r="E9" s="671" t="s">
        <v>430</v>
      </c>
      <c r="F9" s="222">
        <v>0</v>
      </c>
      <c r="G9" s="216">
        <v>0</v>
      </c>
      <c r="H9" s="222">
        <v>0</v>
      </c>
      <c r="I9" s="216">
        <v>0</v>
      </c>
      <c r="J9" s="222">
        <v>0</v>
      </c>
      <c r="K9" s="216">
        <v>0</v>
      </c>
      <c r="L9" s="216">
        <v>0</v>
      </c>
      <c r="M9" s="222">
        <v>0</v>
      </c>
      <c r="N9" s="216">
        <v>0</v>
      </c>
      <c r="O9" s="222">
        <v>0</v>
      </c>
      <c r="P9" s="216">
        <v>0</v>
      </c>
      <c r="Q9" s="222">
        <v>0</v>
      </c>
      <c r="R9" s="677">
        <f t="shared" si="1"/>
        <v>0</v>
      </c>
      <c r="T9" s="674">
        <f t="shared" si="2"/>
        <v>0</v>
      </c>
      <c r="U9" s="216">
        <f t="shared" si="3"/>
        <v>0</v>
      </c>
      <c r="V9" s="222">
        <f t="shared" si="0"/>
        <v>0</v>
      </c>
      <c r="W9" s="216">
        <f t="shared" si="0"/>
        <v>0</v>
      </c>
      <c r="X9" s="222">
        <f t="shared" si="0"/>
        <v>0</v>
      </c>
      <c r="Y9" s="216">
        <f t="shared" si="0"/>
        <v>0</v>
      </c>
      <c r="Z9" s="216">
        <f t="shared" si="0"/>
        <v>0</v>
      </c>
      <c r="AA9" s="222">
        <f t="shared" si="0"/>
        <v>0</v>
      </c>
      <c r="AB9" s="216">
        <f t="shared" si="0"/>
        <v>0</v>
      </c>
      <c r="AC9" s="675">
        <f t="shared" si="0"/>
        <v>0</v>
      </c>
      <c r="AE9" s="676">
        <f t="shared" si="4"/>
        <v>0</v>
      </c>
      <c r="AF9" s="222">
        <f t="shared" si="5"/>
        <v>0</v>
      </c>
      <c r="AG9" s="216">
        <f t="shared" si="6"/>
        <v>0</v>
      </c>
      <c r="AH9" s="675">
        <f t="shared" si="7"/>
        <v>0</v>
      </c>
    </row>
    <row r="10" spans="2:34" ht="20.100000000000001" customHeight="1">
      <c r="B10" s="670" t="s">
        <v>422</v>
      </c>
      <c r="C10" s="671" t="s">
        <v>432</v>
      </c>
      <c r="D10" s="672" t="s">
        <v>432</v>
      </c>
      <c r="E10" s="671" t="s">
        <v>433</v>
      </c>
      <c r="F10" s="222">
        <v>2082552804</v>
      </c>
      <c r="G10" s="216">
        <v>3078554523</v>
      </c>
      <c r="H10" s="222">
        <v>3374653549</v>
      </c>
      <c r="I10" s="216">
        <v>3421659154</v>
      </c>
      <c r="J10" s="222">
        <v>3818044303</v>
      </c>
      <c r="K10" s="216">
        <v>5453887816</v>
      </c>
      <c r="L10" s="216">
        <v>2440478062</v>
      </c>
      <c r="M10" s="222">
        <v>1763116059</v>
      </c>
      <c r="N10" s="216">
        <v>4365284485</v>
      </c>
      <c r="O10" s="222">
        <v>372233390</v>
      </c>
      <c r="P10" s="216">
        <v>1085193190</v>
      </c>
      <c r="Q10" s="222">
        <v>3727708513</v>
      </c>
      <c r="R10" s="677">
        <f t="shared" si="1"/>
        <v>34983365848</v>
      </c>
      <c r="T10" s="674">
        <f t="shared" si="2"/>
        <v>5161107327</v>
      </c>
      <c r="U10" s="216">
        <f t="shared" si="3"/>
        <v>8535760876</v>
      </c>
      <c r="V10" s="222">
        <f t="shared" si="0"/>
        <v>11957420030</v>
      </c>
      <c r="W10" s="216">
        <f t="shared" si="0"/>
        <v>15775464333</v>
      </c>
      <c r="X10" s="222">
        <f t="shared" si="0"/>
        <v>21229352149</v>
      </c>
      <c r="Y10" s="216">
        <f t="shared" si="0"/>
        <v>23669830211</v>
      </c>
      <c r="Z10" s="216">
        <f t="shared" si="0"/>
        <v>25432946270</v>
      </c>
      <c r="AA10" s="222">
        <f t="shared" si="0"/>
        <v>29798230755</v>
      </c>
      <c r="AB10" s="216">
        <f t="shared" si="0"/>
        <v>30170464145</v>
      </c>
      <c r="AC10" s="675">
        <f t="shared" si="0"/>
        <v>31255657335</v>
      </c>
      <c r="AE10" s="676">
        <f t="shared" si="4"/>
        <v>8535760876</v>
      </c>
      <c r="AF10" s="222">
        <f t="shared" si="5"/>
        <v>12693591273</v>
      </c>
      <c r="AG10" s="216">
        <f t="shared" si="6"/>
        <v>8568878606</v>
      </c>
      <c r="AH10" s="675">
        <f t="shared" si="7"/>
        <v>5185135093</v>
      </c>
    </row>
    <row r="11" spans="2:34" ht="20.100000000000001" customHeight="1">
      <c r="B11" s="670" t="s">
        <v>422</v>
      </c>
      <c r="C11" s="671" t="s">
        <v>432</v>
      </c>
      <c r="D11" s="672" t="s">
        <v>432</v>
      </c>
      <c r="E11" s="671" t="s">
        <v>434</v>
      </c>
      <c r="F11" s="222">
        <v>3550311181</v>
      </c>
      <c r="G11" s="216">
        <v>4314388140</v>
      </c>
      <c r="H11" s="222">
        <v>4706859695</v>
      </c>
      <c r="I11" s="216">
        <v>3622453855</v>
      </c>
      <c r="J11" s="222">
        <v>3353317521</v>
      </c>
      <c r="K11" s="216">
        <v>7767470382</v>
      </c>
      <c r="L11" s="216">
        <v>3577063318</v>
      </c>
      <c r="M11" s="222">
        <v>1210863033</v>
      </c>
      <c r="N11" s="216">
        <v>5161208709</v>
      </c>
      <c r="O11" s="222">
        <v>5561380944</v>
      </c>
      <c r="P11" s="216">
        <v>6283475731</v>
      </c>
      <c r="Q11" s="222">
        <v>2637064333</v>
      </c>
      <c r="R11" s="677">
        <f t="shared" si="1"/>
        <v>51745856842</v>
      </c>
      <c r="T11" s="674">
        <f t="shared" si="2"/>
        <v>7864699321</v>
      </c>
      <c r="U11" s="216">
        <f t="shared" si="3"/>
        <v>12571559016</v>
      </c>
      <c r="V11" s="222">
        <f t="shared" si="0"/>
        <v>16194012871</v>
      </c>
      <c r="W11" s="216">
        <f t="shared" si="0"/>
        <v>19547330392</v>
      </c>
      <c r="X11" s="222">
        <f t="shared" si="0"/>
        <v>27314800774</v>
      </c>
      <c r="Y11" s="216">
        <f t="shared" si="0"/>
        <v>30891864092</v>
      </c>
      <c r="Z11" s="216">
        <f t="shared" si="0"/>
        <v>32102727125</v>
      </c>
      <c r="AA11" s="222">
        <f t="shared" si="0"/>
        <v>37263935834</v>
      </c>
      <c r="AB11" s="216">
        <f t="shared" si="0"/>
        <v>42825316778</v>
      </c>
      <c r="AC11" s="675">
        <f t="shared" si="0"/>
        <v>49108792509</v>
      </c>
      <c r="AE11" s="676">
        <f t="shared" si="4"/>
        <v>12571559016</v>
      </c>
      <c r="AF11" s="222">
        <f t="shared" si="5"/>
        <v>14743241758</v>
      </c>
      <c r="AG11" s="216">
        <f t="shared" si="6"/>
        <v>9949135060</v>
      </c>
      <c r="AH11" s="675">
        <f t="shared" si="7"/>
        <v>14481921008</v>
      </c>
    </row>
    <row r="12" spans="2:34" ht="20.100000000000001" customHeight="1">
      <c r="B12" s="670" t="s">
        <v>422</v>
      </c>
      <c r="C12" s="671" t="s">
        <v>432</v>
      </c>
      <c r="D12" s="672" t="s">
        <v>435</v>
      </c>
      <c r="E12" s="671" t="s">
        <v>435</v>
      </c>
      <c r="F12" s="222">
        <v>0</v>
      </c>
      <c r="G12" s="216">
        <v>0</v>
      </c>
      <c r="H12" s="222">
        <v>0</v>
      </c>
      <c r="I12" s="216">
        <v>0</v>
      </c>
      <c r="J12" s="222">
        <v>0</v>
      </c>
      <c r="K12" s="216">
        <v>0</v>
      </c>
      <c r="L12" s="216">
        <v>0</v>
      </c>
      <c r="M12" s="222">
        <v>0</v>
      </c>
      <c r="N12" s="216">
        <v>0</v>
      </c>
      <c r="O12" s="222">
        <v>0</v>
      </c>
      <c r="P12" s="216">
        <v>0</v>
      </c>
      <c r="Q12" s="222">
        <v>0</v>
      </c>
      <c r="R12" s="677">
        <f t="shared" si="1"/>
        <v>0</v>
      </c>
      <c r="T12" s="674">
        <f t="shared" si="2"/>
        <v>0</v>
      </c>
      <c r="U12" s="216">
        <f t="shared" si="3"/>
        <v>0</v>
      </c>
      <c r="V12" s="222">
        <f t="shared" si="0"/>
        <v>0</v>
      </c>
      <c r="W12" s="216">
        <f t="shared" si="0"/>
        <v>0</v>
      </c>
      <c r="X12" s="222">
        <f t="shared" si="0"/>
        <v>0</v>
      </c>
      <c r="Y12" s="216">
        <f t="shared" si="0"/>
        <v>0</v>
      </c>
      <c r="Z12" s="216">
        <f t="shared" si="0"/>
        <v>0</v>
      </c>
      <c r="AA12" s="222">
        <f t="shared" si="0"/>
        <v>0</v>
      </c>
      <c r="AB12" s="216">
        <f t="shared" si="0"/>
        <v>0</v>
      </c>
      <c r="AC12" s="675">
        <f t="shared" si="0"/>
        <v>0</v>
      </c>
      <c r="AE12" s="676">
        <f t="shared" si="4"/>
        <v>0</v>
      </c>
      <c r="AF12" s="222">
        <f t="shared" si="5"/>
        <v>0</v>
      </c>
      <c r="AG12" s="216">
        <f t="shared" si="6"/>
        <v>0</v>
      </c>
      <c r="AH12" s="675">
        <f t="shared" si="7"/>
        <v>0</v>
      </c>
    </row>
    <row r="13" spans="2:34" ht="20.100000000000001" customHeight="1">
      <c r="B13" s="670" t="s">
        <v>422</v>
      </c>
      <c r="C13" s="671" t="s">
        <v>426</v>
      </c>
      <c r="D13" s="672" t="s">
        <v>437</v>
      </c>
      <c r="E13" s="671" t="s">
        <v>437</v>
      </c>
      <c r="F13" s="222">
        <v>122256299</v>
      </c>
      <c r="G13" s="216">
        <v>115002196</v>
      </c>
      <c r="H13" s="222">
        <v>160733439</v>
      </c>
      <c r="I13" s="216">
        <v>151488284</v>
      </c>
      <c r="J13" s="222">
        <v>132601048</v>
      </c>
      <c r="K13" s="216">
        <v>155419708</v>
      </c>
      <c r="L13" s="216">
        <v>123640163</v>
      </c>
      <c r="M13" s="222">
        <v>154064407</v>
      </c>
      <c r="N13" s="216">
        <v>132619393</v>
      </c>
      <c r="O13" s="222">
        <v>577824845</v>
      </c>
      <c r="P13" s="216">
        <v>48540053</v>
      </c>
      <c r="Q13" s="222">
        <v>-3296712</v>
      </c>
      <c r="R13" s="677">
        <f t="shared" si="1"/>
        <v>1870893123</v>
      </c>
      <c r="T13" s="674">
        <f t="shared" si="2"/>
        <v>237258495</v>
      </c>
      <c r="U13" s="216">
        <f t="shared" si="3"/>
        <v>397991934</v>
      </c>
      <c r="V13" s="222">
        <f t="shared" si="0"/>
        <v>549480218</v>
      </c>
      <c r="W13" s="216">
        <f t="shared" si="0"/>
        <v>682081266</v>
      </c>
      <c r="X13" s="222">
        <f t="shared" si="0"/>
        <v>837500974</v>
      </c>
      <c r="Y13" s="216">
        <f t="shared" si="0"/>
        <v>961141137</v>
      </c>
      <c r="Z13" s="216">
        <f t="shared" si="0"/>
        <v>1115205544</v>
      </c>
      <c r="AA13" s="222">
        <f t="shared" si="0"/>
        <v>1247824937</v>
      </c>
      <c r="AB13" s="216">
        <f t="shared" si="0"/>
        <v>1825649782</v>
      </c>
      <c r="AC13" s="675">
        <f t="shared" si="0"/>
        <v>1874189835</v>
      </c>
      <c r="AE13" s="676">
        <f t="shared" si="4"/>
        <v>397991934</v>
      </c>
      <c r="AF13" s="222">
        <f t="shared" si="5"/>
        <v>439509040</v>
      </c>
      <c r="AG13" s="216">
        <f t="shared" si="6"/>
        <v>410323963</v>
      </c>
      <c r="AH13" s="675">
        <f t="shared" si="7"/>
        <v>623068186</v>
      </c>
    </row>
    <row r="14" spans="2:34" ht="20.100000000000001" customHeight="1">
      <c r="B14" s="670" t="s">
        <v>422</v>
      </c>
      <c r="C14" s="671" t="s">
        <v>426</v>
      </c>
      <c r="D14" s="672" t="s">
        <v>426</v>
      </c>
      <c r="E14" s="671" t="s">
        <v>438</v>
      </c>
      <c r="F14" s="222">
        <v>993095217</v>
      </c>
      <c r="G14" s="216">
        <v>111229065</v>
      </c>
      <c r="H14" s="222">
        <v>152159254</v>
      </c>
      <c r="I14" s="216">
        <v>132642303</v>
      </c>
      <c r="J14" s="222">
        <v>106199151</v>
      </c>
      <c r="K14" s="216">
        <v>159502544</v>
      </c>
      <c r="L14" s="216">
        <v>150908911</v>
      </c>
      <c r="M14" s="222">
        <v>161877803</v>
      </c>
      <c r="N14" s="216">
        <v>158616763</v>
      </c>
      <c r="O14" s="222">
        <v>123596675</v>
      </c>
      <c r="P14" s="216">
        <v>159663857</v>
      </c>
      <c r="Q14" s="222">
        <v>193618626</v>
      </c>
      <c r="R14" s="677">
        <f t="shared" si="1"/>
        <v>2603110169</v>
      </c>
      <c r="T14" s="674">
        <f t="shared" si="2"/>
        <v>1104324282</v>
      </c>
      <c r="U14" s="216">
        <f t="shared" si="3"/>
        <v>1256483536</v>
      </c>
      <c r="V14" s="222">
        <f t="shared" si="0"/>
        <v>1389125839</v>
      </c>
      <c r="W14" s="216">
        <f t="shared" si="0"/>
        <v>1495324990</v>
      </c>
      <c r="X14" s="222">
        <f t="shared" si="0"/>
        <v>1654827534</v>
      </c>
      <c r="Y14" s="216">
        <f t="shared" si="0"/>
        <v>1805736445</v>
      </c>
      <c r="Z14" s="216">
        <f t="shared" si="0"/>
        <v>1967614248</v>
      </c>
      <c r="AA14" s="222">
        <f t="shared" si="0"/>
        <v>2126231011</v>
      </c>
      <c r="AB14" s="216">
        <f t="shared" si="0"/>
        <v>2249827686</v>
      </c>
      <c r="AC14" s="675">
        <f t="shared" si="0"/>
        <v>2409491543</v>
      </c>
      <c r="AE14" s="676">
        <f t="shared" si="4"/>
        <v>1256483536</v>
      </c>
      <c r="AF14" s="222">
        <f t="shared" si="5"/>
        <v>398343998</v>
      </c>
      <c r="AG14" s="216">
        <f t="shared" si="6"/>
        <v>471403477</v>
      </c>
      <c r="AH14" s="675">
        <f t="shared" si="7"/>
        <v>476879158</v>
      </c>
    </row>
    <row r="15" spans="2:34" ht="20.100000000000001" customHeight="1">
      <c r="B15" s="670" t="s">
        <v>422</v>
      </c>
      <c r="C15" s="671" t="s">
        <v>426</v>
      </c>
      <c r="D15" s="672" t="s">
        <v>426</v>
      </c>
      <c r="E15" s="671" t="s">
        <v>439</v>
      </c>
      <c r="F15" s="222">
        <v>377237676</v>
      </c>
      <c r="G15" s="216">
        <v>305394957</v>
      </c>
      <c r="H15" s="222">
        <v>265246016</v>
      </c>
      <c r="I15" s="216">
        <v>351047272</v>
      </c>
      <c r="J15" s="222">
        <v>358518885</v>
      </c>
      <c r="K15" s="216">
        <v>364448917</v>
      </c>
      <c r="L15" s="216">
        <v>392769844</v>
      </c>
      <c r="M15" s="222">
        <v>356446483</v>
      </c>
      <c r="N15" s="216">
        <v>373624129</v>
      </c>
      <c r="O15" s="222">
        <v>294627291</v>
      </c>
      <c r="P15" s="216">
        <v>205841671</v>
      </c>
      <c r="Q15" s="222">
        <v>502333703</v>
      </c>
      <c r="R15" s="677">
        <f t="shared" si="1"/>
        <v>4147536844</v>
      </c>
      <c r="T15" s="674">
        <f t="shared" si="2"/>
        <v>682632633</v>
      </c>
      <c r="U15" s="216">
        <f t="shared" si="3"/>
        <v>947878649</v>
      </c>
      <c r="V15" s="222">
        <f t="shared" si="0"/>
        <v>1298925921</v>
      </c>
      <c r="W15" s="216">
        <f t="shared" si="0"/>
        <v>1657444806</v>
      </c>
      <c r="X15" s="222">
        <f t="shared" si="0"/>
        <v>2021893723</v>
      </c>
      <c r="Y15" s="216">
        <f t="shared" si="0"/>
        <v>2414663567</v>
      </c>
      <c r="Z15" s="216">
        <f t="shared" si="0"/>
        <v>2771110050</v>
      </c>
      <c r="AA15" s="222">
        <f t="shared" si="0"/>
        <v>3144734179</v>
      </c>
      <c r="AB15" s="216">
        <f t="shared" si="0"/>
        <v>3439361470</v>
      </c>
      <c r="AC15" s="675">
        <f t="shared" si="0"/>
        <v>3645203141</v>
      </c>
      <c r="AE15" s="676">
        <f t="shared" si="4"/>
        <v>947878649</v>
      </c>
      <c r="AF15" s="222">
        <f t="shared" si="5"/>
        <v>1074015074</v>
      </c>
      <c r="AG15" s="216">
        <f t="shared" si="6"/>
        <v>1122840456</v>
      </c>
      <c r="AH15" s="675">
        <f t="shared" si="7"/>
        <v>1002802665</v>
      </c>
    </row>
    <row r="16" spans="2:34" ht="20.100000000000001" customHeight="1">
      <c r="B16" s="670" t="s">
        <v>422</v>
      </c>
      <c r="C16" s="671" t="s">
        <v>426</v>
      </c>
      <c r="D16" s="672" t="s">
        <v>440</v>
      </c>
      <c r="E16" s="671" t="s">
        <v>441</v>
      </c>
      <c r="F16" s="222">
        <v>57082000</v>
      </c>
      <c r="G16" s="216">
        <v>33409500</v>
      </c>
      <c r="H16" s="222">
        <v>12080069.099999998</v>
      </c>
      <c r="I16" s="216">
        <v>34809000</v>
      </c>
      <c r="J16" s="222">
        <v>3734212</v>
      </c>
      <c r="K16" s="216">
        <v>31048200</v>
      </c>
      <c r="L16" s="216">
        <v>54500000</v>
      </c>
      <c r="M16" s="222">
        <v>67901300</v>
      </c>
      <c r="N16" s="216">
        <v>74340600</v>
      </c>
      <c r="O16" s="222">
        <v>93291560</v>
      </c>
      <c r="P16" s="216">
        <v>43877810</v>
      </c>
      <c r="Q16" s="222">
        <v>44546000</v>
      </c>
      <c r="R16" s="677">
        <f t="shared" si="1"/>
        <v>550620251.10000002</v>
      </c>
      <c r="T16" s="674">
        <f t="shared" si="2"/>
        <v>90491500</v>
      </c>
      <c r="U16" s="216">
        <f t="shared" si="3"/>
        <v>102571569.09999999</v>
      </c>
      <c r="V16" s="222">
        <f t="shared" si="0"/>
        <v>137380569.09999999</v>
      </c>
      <c r="W16" s="216">
        <f t="shared" si="0"/>
        <v>141114781.09999999</v>
      </c>
      <c r="X16" s="222">
        <f t="shared" si="0"/>
        <v>172162981.09999999</v>
      </c>
      <c r="Y16" s="216">
        <f t="shared" si="0"/>
        <v>226662981.09999999</v>
      </c>
      <c r="Z16" s="216">
        <f t="shared" si="0"/>
        <v>294564281.10000002</v>
      </c>
      <c r="AA16" s="222">
        <f t="shared" si="0"/>
        <v>368904881.10000002</v>
      </c>
      <c r="AB16" s="216">
        <f t="shared" si="0"/>
        <v>462196441.10000002</v>
      </c>
      <c r="AC16" s="675">
        <f t="shared" si="0"/>
        <v>506074251.10000002</v>
      </c>
      <c r="AE16" s="676">
        <f t="shared" si="4"/>
        <v>102571569.09999999</v>
      </c>
      <c r="AF16" s="222">
        <f t="shared" si="5"/>
        <v>69591412</v>
      </c>
      <c r="AG16" s="216">
        <f t="shared" si="6"/>
        <v>196741900</v>
      </c>
      <c r="AH16" s="675">
        <f t="shared" si="7"/>
        <v>181715370</v>
      </c>
    </row>
    <row r="17" spans="2:34" ht="20.10000000000000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1"/>
        <v>0</v>
      </c>
      <c r="T17" s="674">
        <f t="shared" si="2"/>
        <v>0</v>
      </c>
      <c r="U17" s="216">
        <f t="shared" si="3"/>
        <v>0</v>
      </c>
      <c r="V17" s="222">
        <f t="shared" si="0"/>
        <v>0</v>
      </c>
      <c r="W17" s="216">
        <f t="shared" si="0"/>
        <v>0</v>
      </c>
      <c r="X17" s="222">
        <f t="shared" si="0"/>
        <v>0</v>
      </c>
      <c r="Y17" s="216">
        <f t="shared" si="0"/>
        <v>0</v>
      </c>
      <c r="Z17" s="216">
        <f t="shared" si="0"/>
        <v>0</v>
      </c>
      <c r="AA17" s="222">
        <f t="shared" si="0"/>
        <v>0</v>
      </c>
      <c r="AB17" s="216">
        <f t="shared" si="0"/>
        <v>0</v>
      </c>
      <c r="AC17" s="675">
        <f t="shared" si="0"/>
        <v>0</v>
      </c>
      <c r="AE17" s="676">
        <f t="shared" si="4"/>
        <v>0</v>
      </c>
      <c r="AF17" s="222">
        <f t="shared" si="5"/>
        <v>0</v>
      </c>
      <c r="AG17" s="216">
        <f t="shared" si="6"/>
        <v>0</v>
      </c>
      <c r="AH17" s="675">
        <f t="shared" si="7"/>
        <v>0</v>
      </c>
    </row>
    <row r="18" spans="2:34" ht="20.100000000000001" customHeight="1">
      <c r="B18" s="670" t="s">
        <v>422</v>
      </c>
      <c r="C18" s="671" t="s">
        <v>426</v>
      </c>
      <c r="D18" s="672" t="s">
        <v>443</v>
      </c>
      <c r="E18" s="671" t="s">
        <v>444</v>
      </c>
      <c r="F18" s="222">
        <v>461640654</v>
      </c>
      <c r="G18" s="216">
        <v>16353720</v>
      </c>
      <c r="H18" s="222">
        <v>7622775</v>
      </c>
      <c r="I18" s="216">
        <v>28826600</v>
      </c>
      <c r="J18" s="222">
        <v>90431335</v>
      </c>
      <c r="K18" s="216">
        <v>33813000</v>
      </c>
      <c r="L18" s="216">
        <v>0</v>
      </c>
      <c r="M18" s="222">
        <v>291942333</v>
      </c>
      <c r="N18" s="216">
        <v>37947117</v>
      </c>
      <c r="O18" s="222">
        <v>0</v>
      </c>
      <c r="P18" s="216">
        <v>487901125</v>
      </c>
      <c r="Q18" s="222">
        <v>37261660</v>
      </c>
      <c r="R18" s="677">
        <f t="shared" si="1"/>
        <v>1493740319</v>
      </c>
      <c r="T18" s="674">
        <f t="shared" si="2"/>
        <v>477994374</v>
      </c>
      <c r="U18" s="216">
        <f t="shared" si="3"/>
        <v>485617149</v>
      </c>
      <c r="V18" s="222">
        <f t="shared" si="0"/>
        <v>514443749</v>
      </c>
      <c r="W18" s="216">
        <f t="shared" si="0"/>
        <v>604875084</v>
      </c>
      <c r="X18" s="222">
        <f t="shared" si="0"/>
        <v>638688084</v>
      </c>
      <c r="Y18" s="216">
        <f t="shared" si="0"/>
        <v>638688084</v>
      </c>
      <c r="Z18" s="216">
        <f t="shared" si="0"/>
        <v>930630417</v>
      </c>
      <c r="AA18" s="222">
        <f t="shared" si="0"/>
        <v>968577534</v>
      </c>
      <c r="AB18" s="216">
        <f t="shared" si="0"/>
        <v>968577534</v>
      </c>
      <c r="AC18" s="675">
        <f t="shared" si="0"/>
        <v>1456478659</v>
      </c>
      <c r="AE18" s="676">
        <f t="shared" si="4"/>
        <v>485617149</v>
      </c>
      <c r="AF18" s="222">
        <f t="shared" si="5"/>
        <v>153070935</v>
      </c>
      <c r="AG18" s="216">
        <f t="shared" si="6"/>
        <v>329889450</v>
      </c>
      <c r="AH18" s="675">
        <f t="shared" si="7"/>
        <v>525162785</v>
      </c>
    </row>
    <row r="19" spans="2:34" ht="20.100000000000001" customHeight="1">
      <c r="B19" s="670" t="s">
        <v>422</v>
      </c>
      <c r="C19" s="671" t="s">
        <v>426</v>
      </c>
      <c r="D19" s="672" t="s">
        <v>443</v>
      </c>
      <c r="E19" s="671" t="s">
        <v>445</v>
      </c>
      <c r="F19" s="222">
        <v>0</v>
      </c>
      <c r="G19" s="216">
        <v>0</v>
      </c>
      <c r="H19" s="222">
        <v>0</v>
      </c>
      <c r="I19" s="216">
        <v>29477115</v>
      </c>
      <c r="J19" s="222">
        <v>0</v>
      </c>
      <c r="K19" s="216">
        <v>0</v>
      </c>
      <c r="L19" s="216">
        <v>0</v>
      </c>
      <c r="M19" s="222">
        <v>0</v>
      </c>
      <c r="N19" s="216">
        <v>29563846</v>
      </c>
      <c r="O19" s="222">
        <v>0</v>
      </c>
      <c r="P19" s="216">
        <v>0</v>
      </c>
      <c r="Q19" s="222">
        <v>0</v>
      </c>
      <c r="R19" s="677">
        <f t="shared" si="1"/>
        <v>59040961</v>
      </c>
      <c r="T19" s="674">
        <f t="shared" si="2"/>
        <v>0</v>
      </c>
      <c r="U19" s="216">
        <f t="shared" si="3"/>
        <v>0</v>
      </c>
      <c r="V19" s="222">
        <f t="shared" si="0"/>
        <v>29477115</v>
      </c>
      <c r="W19" s="216">
        <f t="shared" si="0"/>
        <v>29477115</v>
      </c>
      <c r="X19" s="222">
        <f t="shared" si="0"/>
        <v>29477115</v>
      </c>
      <c r="Y19" s="216">
        <f t="shared" si="0"/>
        <v>29477115</v>
      </c>
      <c r="Z19" s="216">
        <f t="shared" si="0"/>
        <v>29477115</v>
      </c>
      <c r="AA19" s="222">
        <f t="shared" si="0"/>
        <v>59040961</v>
      </c>
      <c r="AB19" s="216">
        <f t="shared" si="0"/>
        <v>59040961</v>
      </c>
      <c r="AC19" s="675">
        <f t="shared" si="0"/>
        <v>59040961</v>
      </c>
      <c r="AE19" s="676">
        <f t="shared" si="4"/>
        <v>0</v>
      </c>
      <c r="AF19" s="222">
        <f t="shared" si="5"/>
        <v>29477115</v>
      </c>
      <c r="AG19" s="216">
        <f t="shared" si="6"/>
        <v>29563846</v>
      </c>
      <c r="AH19" s="675">
        <f t="shared" si="7"/>
        <v>0</v>
      </c>
    </row>
    <row r="20" spans="2:34" ht="20.10000000000000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0</v>
      </c>
      <c r="Q20" s="222">
        <v>0</v>
      </c>
      <c r="R20" s="677">
        <f t="shared" si="1"/>
        <v>0</v>
      </c>
      <c r="T20" s="674">
        <f t="shared" si="2"/>
        <v>0</v>
      </c>
      <c r="U20" s="216">
        <f t="shared" si="3"/>
        <v>0</v>
      </c>
      <c r="V20" s="222">
        <f t="shared" si="0"/>
        <v>0</v>
      </c>
      <c r="W20" s="216">
        <f t="shared" si="0"/>
        <v>0</v>
      </c>
      <c r="X20" s="222">
        <f t="shared" si="0"/>
        <v>0</v>
      </c>
      <c r="Y20" s="216">
        <f t="shared" si="0"/>
        <v>0</v>
      </c>
      <c r="Z20" s="216">
        <f t="shared" si="0"/>
        <v>0</v>
      </c>
      <c r="AA20" s="222">
        <f t="shared" si="0"/>
        <v>0</v>
      </c>
      <c r="AB20" s="216">
        <f t="shared" si="0"/>
        <v>0</v>
      </c>
      <c r="AC20" s="675">
        <f t="shared" si="0"/>
        <v>0</v>
      </c>
      <c r="AE20" s="676">
        <f t="shared" si="4"/>
        <v>0</v>
      </c>
      <c r="AF20" s="222">
        <f t="shared" si="5"/>
        <v>0</v>
      </c>
      <c r="AG20" s="216">
        <f t="shared" si="6"/>
        <v>0</v>
      </c>
      <c r="AH20" s="675">
        <f t="shared" si="7"/>
        <v>0</v>
      </c>
    </row>
    <row r="21" spans="2:34" ht="20.10000000000000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1"/>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1"/>
        <v>0</v>
      </c>
      <c r="T22" s="674">
        <f t="shared" si="2"/>
        <v>0</v>
      </c>
      <c r="U22" s="216">
        <f t="shared" si="3"/>
        <v>0</v>
      </c>
      <c r="V22" s="222">
        <f t="shared" si="3"/>
        <v>0</v>
      </c>
      <c r="W22" s="216">
        <f t="shared" si="3"/>
        <v>0</v>
      </c>
      <c r="X22" s="222">
        <f t="shared" si="3"/>
        <v>0</v>
      </c>
      <c r="Y22" s="216">
        <f t="shared" si="3"/>
        <v>0</v>
      </c>
      <c r="Z22" s="216">
        <f t="shared" si="3"/>
        <v>0</v>
      </c>
      <c r="AA22" s="222">
        <f t="shared" si="3"/>
        <v>0</v>
      </c>
      <c r="AB22" s="216">
        <f t="shared" si="3"/>
        <v>0</v>
      </c>
      <c r="AC22" s="675">
        <f t="shared" si="3"/>
        <v>0</v>
      </c>
      <c r="AE22" s="676">
        <f t="shared" si="4"/>
        <v>0</v>
      </c>
      <c r="AF22" s="222">
        <f t="shared" si="5"/>
        <v>0</v>
      </c>
      <c r="AG22" s="216">
        <f t="shared" si="6"/>
        <v>0</v>
      </c>
      <c r="AH22" s="675">
        <f t="shared" si="7"/>
        <v>0</v>
      </c>
    </row>
    <row r="23" spans="2:34" ht="20.100000000000001" customHeight="1">
      <c r="B23" s="670" t="s">
        <v>450</v>
      </c>
      <c r="C23" s="671" t="s">
        <v>451</v>
      </c>
      <c r="D23" s="672" t="s">
        <v>452</v>
      </c>
      <c r="E23" s="671" t="s">
        <v>452</v>
      </c>
      <c r="F23" s="222">
        <v>1470485488</v>
      </c>
      <c r="G23" s="216">
        <v>1036432061</v>
      </c>
      <c r="H23" s="222">
        <v>3044545719</v>
      </c>
      <c r="I23" s="216">
        <v>1408834840</v>
      </c>
      <c r="J23" s="222">
        <v>2771406643</v>
      </c>
      <c r="K23" s="216">
        <v>4047041438</v>
      </c>
      <c r="L23" s="216">
        <v>2685406301</v>
      </c>
      <c r="M23" s="222">
        <v>2090313474</v>
      </c>
      <c r="N23" s="216">
        <v>2081683359</v>
      </c>
      <c r="O23" s="222">
        <v>1569922462</v>
      </c>
      <c r="P23" s="216">
        <v>2297052927</v>
      </c>
      <c r="Q23" s="222">
        <v>2246689673</v>
      </c>
      <c r="R23" s="677">
        <f t="shared" si="1"/>
        <v>26749814385</v>
      </c>
      <c r="T23" s="674">
        <f t="shared" si="2"/>
        <v>2506917549</v>
      </c>
      <c r="U23" s="216">
        <f t="shared" si="3"/>
        <v>5551463268</v>
      </c>
      <c r="V23" s="222">
        <f t="shared" si="3"/>
        <v>6960298108</v>
      </c>
      <c r="W23" s="216">
        <f t="shared" si="3"/>
        <v>9731704751</v>
      </c>
      <c r="X23" s="222">
        <f t="shared" si="3"/>
        <v>13778746189</v>
      </c>
      <c r="Y23" s="216">
        <f t="shared" si="3"/>
        <v>16464152490</v>
      </c>
      <c r="Z23" s="216">
        <f t="shared" si="3"/>
        <v>18554465964</v>
      </c>
      <c r="AA23" s="222">
        <f t="shared" si="3"/>
        <v>20636149323</v>
      </c>
      <c r="AB23" s="216">
        <f t="shared" si="3"/>
        <v>22206071785</v>
      </c>
      <c r="AC23" s="675">
        <f t="shared" si="3"/>
        <v>24503124712</v>
      </c>
      <c r="AE23" s="676">
        <f t="shared" si="4"/>
        <v>5551463268</v>
      </c>
      <c r="AF23" s="222">
        <f t="shared" si="5"/>
        <v>8227282921</v>
      </c>
      <c r="AG23" s="216">
        <f t="shared" si="6"/>
        <v>6857403134</v>
      </c>
      <c r="AH23" s="675">
        <f t="shared" si="7"/>
        <v>6113665062</v>
      </c>
    </row>
    <row r="24" spans="2:34" ht="20.100000000000001" customHeight="1">
      <c r="B24" s="670" t="s">
        <v>450</v>
      </c>
      <c r="C24" s="671" t="s">
        <v>451</v>
      </c>
      <c r="D24" s="672" t="s">
        <v>453</v>
      </c>
      <c r="E24" s="671" t="s">
        <v>453</v>
      </c>
      <c r="F24" s="222">
        <v>426946397</v>
      </c>
      <c r="G24" s="216">
        <v>1103856684</v>
      </c>
      <c r="H24" s="222">
        <v>1105731956</v>
      </c>
      <c r="I24" s="216">
        <v>796589201</v>
      </c>
      <c r="J24" s="222">
        <v>1309969668</v>
      </c>
      <c r="K24" s="216">
        <v>3041280133</v>
      </c>
      <c r="L24" s="216">
        <v>674706491</v>
      </c>
      <c r="M24" s="222">
        <v>314580885</v>
      </c>
      <c r="N24" s="216">
        <v>2058489916</v>
      </c>
      <c r="O24" s="222">
        <v>866561795</v>
      </c>
      <c r="P24" s="216">
        <v>692341960</v>
      </c>
      <c r="Q24" s="222">
        <v>1304124496</v>
      </c>
      <c r="R24" s="677">
        <f t="shared" si="1"/>
        <v>13695179582</v>
      </c>
      <c r="T24" s="674">
        <f t="shared" si="2"/>
        <v>1530803081</v>
      </c>
      <c r="U24" s="216">
        <f t="shared" si="3"/>
        <v>2636535037</v>
      </c>
      <c r="V24" s="222">
        <f t="shared" si="3"/>
        <v>3433124238</v>
      </c>
      <c r="W24" s="216">
        <f t="shared" si="3"/>
        <v>4743093906</v>
      </c>
      <c r="X24" s="222">
        <f t="shared" si="3"/>
        <v>7784374039</v>
      </c>
      <c r="Y24" s="216">
        <f t="shared" si="3"/>
        <v>8459080530</v>
      </c>
      <c r="Z24" s="216">
        <f t="shared" si="3"/>
        <v>8773661415</v>
      </c>
      <c r="AA24" s="222">
        <f t="shared" si="3"/>
        <v>10832151331</v>
      </c>
      <c r="AB24" s="216">
        <f t="shared" si="3"/>
        <v>11698713126</v>
      </c>
      <c r="AC24" s="675">
        <f t="shared" si="3"/>
        <v>12391055086</v>
      </c>
      <c r="AE24" s="676">
        <f t="shared" si="4"/>
        <v>2636535037</v>
      </c>
      <c r="AF24" s="222">
        <f t="shared" si="5"/>
        <v>5147839002</v>
      </c>
      <c r="AG24" s="216">
        <f t="shared" si="6"/>
        <v>3047777292</v>
      </c>
      <c r="AH24" s="675">
        <f t="shared" si="7"/>
        <v>2863028251</v>
      </c>
    </row>
    <row r="25" spans="2:34" ht="20.100000000000001" customHeight="1">
      <c r="B25" s="670" t="s">
        <v>450</v>
      </c>
      <c r="C25" s="671" t="s">
        <v>454</v>
      </c>
      <c r="D25" s="672" t="s">
        <v>454</v>
      </c>
      <c r="E25" s="671" t="s">
        <v>455</v>
      </c>
      <c r="F25" s="222">
        <v>132838731</v>
      </c>
      <c r="G25" s="216">
        <v>415072524</v>
      </c>
      <c r="H25" s="222">
        <v>618859011</v>
      </c>
      <c r="I25" s="216">
        <v>224168381</v>
      </c>
      <c r="J25" s="222">
        <v>355636477</v>
      </c>
      <c r="K25" s="216">
        <v>235874583</v>
      </c>
      <c r="L25" s="216">
        <v>322494451</v>
      </c>
      <c r="M25" s="222">
        <v>331261652</v>
      </c>
      <c r="N25" s="216">
        <v>384642114</v>
      </c>
      <c r="O25" s="222">
        <v>306791701</v>
      </c>
      <c r="P25" s="216">
        <v>325537649</v>
      </c>
      <c r="Q25" s="222">
        <v>424423735</v>
      </c>
      <c r="R25" s="677">
        <f t="shared" si="1"/>
        <v>4077601009</v>
      </c>
      <c r="T25" s="674">
        <f t="shared" si="2"/>
        <v>547911255</v>
      </c>
      <c r="U25" s="216">
        <f t="shared" si="3"/>
        <v>1166770266</v>
      </c>
      <c r="V25" s="222">
        <f t="shared" si="3"/>
        <v>1390938647</v>
      </c>
      <c r="W25" s="216">
        <f t="shared" si="3"/>
        <v>1746575124</v>
      </c>
      <c r="X25" s="222">
        <f t="shared" si="3"/>
        <v>1982449707</v>
      </c>
      <c r="Y25" s="216">
        <f t="shared" si="3"/>
        <v>2304944158</v>
      </c>
      <c r="Z25" s="216">
        <f t="shared" si="3"/>
        <v>2636205810</v>
      </c>
      <c r="AA25" s="222">
        <f t="shared" si="3"/>
        <v>3020847924</v>
      </c>
      <c r="AB25" s="216">
        <f t="shared" si="3"/>
        <v>3327639625</v>
      </c>
      <c r="AC25" s="675">
        <f t="shared" si="3"/>
        <v>3653177274</v>
      </c>
      <c r="AE25" s="676">
        <f t="shared" si="4"/>
        <v>1166770266</v>
      </c>
      <c r="AF25" s="222">
        <f t="shared" si="5"/>
        <v>815679441</v>
      </c>
      <c r="AG25" s="216">
        <f t="shared" si="6"/>
        <v>1038398217</v>
      </c>
      <c r="AH25" s="675">
        <f t="shared" si="7"/>
        <v>1056753085</v>
      </c>
    </row>
    <row r="26" spans="2:34" ht="20.10000000000000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1"/>
        <v>0</v>
      </c>
      <c r="T26" s="674">
        <f t="shared" si="2"/>
        <v>0</v>
      </c>
      <c r="U26" s="216">
        <f t="shared" si="3"/>
        <v>0</v>
      </c>
      <c r="V26" s="222">
        <f t="shared" si="3"/>
        <v>0</v>
      </c>
      <c r="W26" s="216">
        <f t="shared" si="3"/>
        <v>0</v>
      </c>
      <c r="X26" s="222">
        <f t="shared" si="3"/>
        <v>0</v>
      </c>
      <c r="Y26" s="216">
        <f t="shared" si="3"/>
        <v>0</v>
      </c>
      <c r="Z26" s="216">
        <f t="shared" si="3"/>
        <v>0</v>
      </c>
      <c r="AA26" s="222">
        <f t="shared" si="3"/>
        <v>0</v>
      </c>
      <c r="AB26" s="216">
        <f t="shared" si="3"/>
        <v>0</v>
      </c>
      <c r="AC26" s="675">
        <f t="shared" si="3"/>
        <v>0</v>
      </c>
      <c r="AE26" s="676">
        <f t="shared" si="4"/>
        <v>0</v>
      </c>
      <c r="AF26" s="222">
        <f t="shared" si="5"/>
        <v>0</v>
      </c>
      <c r="AG26" s="216">
        <f t="shared" si="6"/>
        <v>0</v>
      </c>
      <c r="AH26" s="675">
        <f t="shared" si="7"/>
        <v>0</v>
      </c>
    </row>
    <row r="27" spans="2:34" ht="20.100000000000001" customHeight="1">
      <c r="B27" s="670" t="s">
        <v>450</v>
      </c>
      <c r="C27" s="671" t="s">
        <v>454</v>
      </c>
      <c r="D27" s="672" t="s">
        <v>454</v>
      </c>
      <c r="E27" s="671" t="s">
        <v>457</v>
      </c>
      <c r="F27" s="222">
        <v>733741548</v>
      </c>
      <c r="G27" s="216">
        <v>657137675</v>
      </c>
      <c r="H27" s="222">
        <v>888964877</v>
      </c>
      <c r="I27" s="216">
        <v>354555421</v>
      </c>
      <c r="J27" s="222">
        <v>758353123</v>
      </c>
      <c r="K27" s="216">
        <v>1003157691</v>
      </c>
      <c r="L27" s="216">
        <v>1176586965</v>
      </c>
      <c r="M27" s="222">
        <v>981650384</v>
      </c>
      <c r="N27" s="216">
        <v>1326038174</v>
      </c>
      <c r="O27" s="222">
        <v>816956771</v>
      </c>
      <c r="P27" s="216">
        <v>1215118369</v>
      </c>
      <c r="Q27" s="222">
        <v>932372083</v>
      </c>
      <c r="R27" s="677">
        <f t="shared" si="1"/>
        <v>10844633081</v>
      </c>
      <c r="T27" s="674">
        <f t="shared" si="2"/>
        <v>1390879223</v>
      </c>
      <c r="U27" s="216">
        <f t="shared" si="3"/>
        <v>2279844100</v>
      </c>
      <c r="V27" s="222">
        <f t="shared" si="3"/>
        <v>2634399521</v>
      </c>
      <c r="W27" s="216">
        <f t="shared" si="3"/>
        <v>3392752644</v>
      </c>
      <c r="X27" s="222">
        <f t="shared" si="3"/>
        <v>4395910335</v>
      </c>
      <c r="Y27" s="216">
        <f t="shared" si="3"/>
        <v>5572497300</v>
      </c>
      <c r="Z27" s="216">
        <f t="shared" si="3"/>
        <v>6554147684</v>
      </c>
      <c r="AA27" s="222">
        <f t="shared" si="3"/>
        <v>7880185858</v>
      </c>
      <c r="AB27" s="216">
        <f t="shared" si="3"/>
        <v>8697142629</v>
      </c>
      <c r="AC27" s="675">
        <f t="shared" si="3"/>
        <v>9912260998</v>
      </c>
      <c r="AE27" s="676">
        <f t="shared" si="4"/>
        <v>2279844100</v>
      </c>
      <c r="AF27" s="222">
        <f t="shared" si="5"/>
        <v>2116066235</v>
      </c>
      <c r="AG27" s="216">
        <f t="shared" si="6"/>
        <v>3484275523</v>
      </c>
      <c r="AH27" s="675">
        <f t="shared" si="7"/>
        <v>2964447223</v>
      </c>
    </row>
    <row r="28" spans="2:34" ht="20.100000000000001" customHeight="1">
      <c r="B28" s="670" t="s">
        <v>450</v>
      </c>
      <c r="C28" s="671" t="s">
        <v>458</v>
      </c>
      <c r="D28" s="672" t="s">
        <v>458</v>
      </c>
      <c r="E28" s="671" t="s">
        <v>459</v>
      </c>
      <c r="F28" s="222">
        <v>92776800</v>
      </c>
      <c r="G28" s="216">
        <v>171022133</v>
      </c>
      <c r="H28" s="222">
        <v>613476445</v>
      </c>
      <c r="I28" s="216">
        <v>284710375</v>
      </c>
      <c r="J28" s="222">
        <v>373527614</v>
      </c>
      <c r="K28" s="216">
        <v>63891449</v>
      </c>
      <c r="L28" s="216">
        <v>94421626</v>
      </c>
      <c r="M28" s="222">
        <v>201243704</v>
      </c>
      <c r="N28" s="216">
        <v>250050111</v>
      </c>
      <c r="O28" s="222">
        <v>300176663</v>
      </c>
      <c r="P28" s="216">
        <v>246690381</v>
      </c>
      <c r="Q28" s="222">
        <v>358186489</v>
      </c>
      <c r="R28" s="677">
        <f t="shared" si="1"/>
        <v>3050173790</v>
      </c>
      <c r="T28" s="674">
        <f t="shared" si="2"/>
        <v>263798933</v>
      </c>
      <c r="U28" s="216">
        <f t="shared" si="3"/>
        <v>877275378</v>
      </c>
      <c r="V28" s="222">
        <f t="shared" si="3"/>
        <v>1161985753</v>
      </c>
      <c r="W28" s="216">
        <f t="shared" si="3"/>
        <v>1535513367</v>
      </c>
      <c r="X28" s="222">
        <f t="shared" si="3"/>
        <v>1599404816</v>
      </c>
      <c r="Y28" s="216">
        <f t="shared" si="3"/>
        <v>1693826442</v>
      </c>
      <c r="Z28" s="216">
        <f t="shared" si="3"/>
        <v>1895070146</v>
      </c>
      <c r="AA28" s="222">
        <f t="shared" si="3"/>
        <v>2145120257</v>
      </c>
      <c r="AB28" s="216">
        <f t="shared" si="3"/>
        <v>2445296920</v>
      </c>
      <c r="AC28" s="675">
        <f t="shared" si="3"/>
        <v>2691987301</v>
      </c>
      <c r="AE28" s="676">
        <f t="shared" si="4"/>
        <v>877275378</v>
      </c>
      <c r="AF28" s="222">
        <f t="shared" si="5"/>
        <v>722129438</v>
      </c>
      <c r="AG28" s="216">
        <f t="shared" si="6"/>
        <v>545715441</v>
      </c>
      <c r="AH28" s="675">
        <f t="shared" si="7"/>
        <v>905053533</v>
      </c>
    </row>
    <row r="29" spans="2:34" ht="20.100000000000001" customHeight="1">
      <c r="B29" s="670" t="s">
        <v>450</v>
      </c>
      <c r="C29" s="671" t="s">
        <v>458</v>
      </c>
      <c r="D29" s="672" t="s">
        <v>458</v>
      </c>
      <c r="E29" s="671" t="s">
        <v>460</v>
      </c>
      <c r="F29" s="222">
        <v>525689652</v>
      </c>
      <c r="G29" s="216">
        <v>718032444</v>
      </c>
      <c r="H29" s="222">
        <v>1629665091</v>
      </c>
      <c r="I29" s="216">
        <v>1022347021</v>
      </c>
      <c r="J29" s="222">
        <v>1398736766</v>
      </c>
      <c r="K29" s="216">
        <v>1368407802</v>
      </c>
      <c r="L29" s="216">
        <v>506118851</v>
      </c>
      <c r="M29" s="222">
        <v>804834321</v>
      </c>
      <c r="N29" s="216">
        <v>885319883</v>
      </c>
      <c r="O29" s="222">
        <v>888829881</v>
      </c>
      <c r="P29" s="216">
        <v>843823036</v>
      </c>
      <c r="Q29" s="222">
        <v>1264258088</v>
      </c>
      <c r="R29" s="677">
        <f t="shared" si="1"/>
        <v>11856062836</v>
      </c>
      <c r="T29" s="674">
        <f t="shared" si="2"/>
        <v>1243722096</v>
      </c>
      <c r="U29" s="216">
        <f t="shared" si="3"/>
        <v>2873387187</v>
      </c>
      <c r="V29" s="222">
        <f t="shared" si="3"/>
        <v>3895734208</v>
      </c>
      <c r="W29" s="216">
        <f t="shared" si="3"/>
        <v>5294470974</v>
      </c>
      <c r="X29" s="222">
        <f t="shared" si="3"/>
        <v>6662878776</v>
      </c>
      <c r="Y29" s="216">
        <f t="shared" si="3"/>
        <v>7168997627</v>
      </c>
      <c r="Z29" s="216">
        <f t="shared" si="3"/>
        <v>7973831948</v>
      </c>
      <c r="AA29" s="222">
        <f t="shared" si="3"/>
        <v>8859151831</v>
      </c>
      <c r="AB29" s="216">
        <f t="shared" si="3"/>
        <v>9747981712</v>
      </c>
      <c r="AC29" s="675">
        <f t="shared" si="3"/>
        <v>10591804748</v>
      </c>
      <c r="AE29" s="676">
        <f t="shared" si="4"/>
        <v>2873387187</v>
      </c>
      <c r="AF29" s="222">
        <f t="shared" si="5"/>
        <v>3789491589</v>
      </c>
      <c r="AG29" s="216">
        <f t="shared" si="6"/>
        <v>2196273055</v>
      </c>
      <c r="AH29" s="675">
        <f t="shared" si="7"/>
        <v>2996911005</v>
      </c>
    </row>
    <row r="30" spans="2:34" ht="20.100000000000001" customHeight="1">
      <c r="B30" s="670" t="s">
        <v>450</v>
      </c>
      <c r="C30" s="671" t="s">
        <v>461</v>
      </c>
      <c r="D30" s="672" t="s">
        <v>461</v>
      </c>
      <c r="E30" s="671" t="s">
        <v>461</v>
      </c>
      <c r="F30" s="222">
        <v>101417037</v>
      </c>
      <c r="G30" s="216">
        <v>74104295</v>
      </c>
      <c r="H30" s="222">
        <v>83463069</v>
      </c>
      <c r="I30" s="216">
        <v>88547613</v>
      </c>
      <c r="J30" s="222">
        <v>181146817</v>
      </c>
      <c r="K30" s="216">
        <v>133584923</v>
      </c>
      <c r="L30" s="216">
        <v>132743412</v>
      </c>
      <c r="M30" s="222">
        <v>172173083</v>
      </c>
      <c r="N30" s="216">
        <v>168655765</v>
      </c>
      <c r="O30" s="222">
        <v>166743498</v>
      </c>
      <c r="P30" s="216">
        <v>336802060</v>
      </c>
      <c r="Q30" s="222">
        <v>386311612</v>
      </c>
      <c r="R30" s="677">
        <f t="shared" si="1"/>
        <v>2025693184</v>
      </c>
      <c r="T30" s="674">
        <f t="shared" si="2"/>
        <v>175521332</v>
      </c>
      <c r="U30" s="216">
        <f t="shared" si="3"/>
        <v>258984401</v>
      </c>
      <c r="V30" s="222">
        <f t="shared" si="3"/>
        <v>347532014</v>
      </c>
      <c r="W30" s="216">
        <f t="shared" si="3"/>
        <v>528678831</v>
      </c>
      <c r="X30" s="222">
        <f t="shared" si="3"/>
        <v>662263754</v>
      </c>
      <c r="Y30" s="216">
        <f t="shared" si="3"/>
        <v>795007166</v>
      </c>
      <c r="Z30" s="216">
        <f t="shared" si="3"/>
        <v>967180249</v>
      </c>
      <c r="AA30" s="222">
        <f t="shared" si="3"/>
        <v>1135836014</v>
      </c>
      <c r="AB30" s="216">
        <f t="shared" si="3"/>
        <v>1302579512</v>
      </c>
      <c r="AC30" s="675">
        <f t="shared" si="3"/>
        <v>1639381572</v>
      </c>
      <c r="AE30" s="676">
        <f t="shared" si="4"/>
        <v>258984401</v>
      </c>
      <c r="AF30" s="222">
        <f t="shared" si="5"/>
        <v>403279353</v>
      </c>
      <c r="AG30" s="216">
        <f t="shared" si="6"/>
        <v>473572260</v>
      </c>
      <c r="AH30" s="675">
        <f t="shared" si="7"/>
        <v>889857170</v>
      </c>
    </row>
    <row r="31" spans="2:34" ht="20.100000000000001" customHeight="1">
      <c r="B31" s="670" t="s">
        <v>450</v>
      </c>
      <c r="C31" s="671" t="s">
        <v>462</v>
      </c>
      <c r="D31" s="672" t="s">
        <v>462</v>
      </c>
      <c r="E31" s="671" t="s">
        <v>462</v>
      </c>
      <c r="F31" s="222">
        <v>33324320</v>
      </c>
      <c r="G31" s="216">
        <v>45583802</v>
      </c>
      <c r="H31" s="222">
        <v>66153366</v>
      </c>
      <c r="I31" s="216">
        <v>102683525</v>
      </c>
      <c r="J31" s="222">
        <v>56144525</v>
      </c>
      <c r="K31" s="216">
        <v>77431230</v>
      </c>
      <c r="L31" s="216">
        <v>107007191</v>
      </c>
      <c r="M31" s="222">
        <v>107713468</v>
      </c>
      <c r="N31" s="216">
        <v>92690913</v>
      </c>
      <c r="O31" s="222">
        <v>94361102</v>
      </c>
      <c r="P31" s="216">
        <v>114455585</v>
      </c>
      <c r="Q31" s="222">
        <v>80929531</v>
      </c>
      <c r="R31" s="677">
        <f t="shared" si="1"/>
        <v>978478558</v>
      </c>
      <c r="T31" s="674">
        <f t="shared" si="2"/>
        <v>78908122</v>
      </c>
      <c r="U31" s="216">
        <f t="shared" si="3"/>
        <v>145061488</v>
      </c>
      <c r="V31" s="222">
        <f t="shared" si="3"/>
        <v>247745013</v>
      </c>
      <c r="W31" s="216">
        <f t="shared" si="3"/>
        <v>303889538</v>
      </c>
      <c r="X31" s="222">
        <f t="shared" si="3"/>
        <v>381320768</v>
      </c>
      <c r="Y31" s="216">
        <f t="shared" si="3"/>
        <v>488327959</v>
      </c>
      <c r="Z31" s="216">
        <f t="shared" si="3"/>
        <v>596041427</v>
      </c>
      <c r="AA31" s="222">
        <f t="shared" si="3"/>
        <v>688732340</v>
      </c>
      <c r="AB31" s="216">
        <f t="shared" si="3"/>
        <v>783093442</v>
      </c>
      <c r="AC31" s="675">
        <f t="shared" si="3"/>
        <v>897549027</v>
      </c>
      <c r="AE31" s="676">
        <f t="shared" si="4"/>
        <v>145061488</v>
      </c>
      <c r="AF31" s="222">
        <f t="shared" si="5"/>
        <v>236259280</v>
      </c>
      <c r="AG31" s="216">
        <f t="shared" si="6"/>
        <v>307411572</v>
      </c>
      <c r="AH31" s="675">
        <f t="shared" si="7"/>
        <v>289746218</v>
      </c>
    </row>
    <row r="32" spans="2:34" ht="20.100000000000001" customHeight="1">
      <c r="B32" s="670" t="s">
        <v>450</v>
      </c>
      <c r="C32" s="671" t="s">
        <v>498</v>
      </c>
      <c r="D32" s="672" t="s">
        <v>463</v>
      </c>
      <c r="E32" s="671" t="s">
        <v>463</v>
      </c>
      <c r="F32" s="222">
        <v>0</v>
      </c>
      <c r="G32" s="216">
        <v>0</v>
      </c>
      <c r="H32" s="222">
        <v>0</v>
      </c>
      <c r="I32" s="216">
        <v>0</v>
      </c>
      <c r="J32" s="222">
        <v>0</v>
      </c>
      <c r="K32" s="216">
        <v>0</v>
      </c>
      <c r="L32" s="216">
        <v>0</v>
      </c>
      <c r="M32" s="222">
        <v>0</v>
      </c>
      <c r="N32" s="216">
        <v>0</v>
      </c>
      <c r="O32" s="222">
        <v>0</v>
      </c>
      <c r="P32" s="216">
        <v>0</v>
      </c>
      <c r="Q32" s="222">
        <v>0</v>
      </c>
      <c r="R32" s="677">
        <f t="shared" si="1"/>
        <v>0</v>
      </c>
      <c r="T32" s="674">
        <f t="shared" si="2"/>
        <v>0</v>
      </c>
      <c r="U32" s="216">
        <f t="shared" si="3"/>
        <v>0</v>
      </c>
      <c r="V32" s="222">
        <f t="shared" si="3"/>
        <v>0</v>
      </c>
      <c r="W32" s="216">
        <f t="shared" si="3"/>
        <v>0</v>
      </c>
      <c r="X32" s="222">
        <f t="shared" si="3"/>
        <v>0</v>
      </c>
      <c r="Y32" s="216">
        <f t="shared" si="3"/>
        <v>0</v>
      </c>
      <c r="Z32" s="216">
        <f t="shared" si="3"/>
        <v>0</v>
      </c>
      <c r="AA32" s="222">
        <f t="shared" si="3"/>
        <v>0</v>
      </c>
      <c r="AB32" s="216">
        <f t="shared" si="3"/>
        <v>0</v>
      </c>
      <c r="AC32" s="675">
        <f t="shared" si="3"/>
        <v>0</v>
      </c>
      <c r="AE32" s="676">
        <f t="shared" si="4"/>
        <v>0</v>
      </c>
      <c r="AF32" s="222">
        <f t="shared" si="5"/>
        <v>0</v>
      </c>
      <c r="AG32" s="216">
        <f t="shared" si="6"/>
        <v>0</v>
      </c>
      <c r="AH32" s="675">
        <f t="shared" si="7"/>
        <v>0</v>
      </c>
    </row>
    <row r="33" spans="2:34" ht="20.100000000000001" customHeight="1">
      <c r="B33" s="670" t="s">
        <v>450</v>
      </c>
      <c r="C33" s="671" t="s">
        <v>498</v>
      </c>
      <c r="D33" s="672" t="s">
        <v>464</v>
      </c>
      <c r="E33" s="671" t="s">
        <v>464</v>
      </c>
      <c r="F33" s="222">
        <v>0</v>
      </c>
      <c r="G33" s="216">
        <v>0</v>
      </c>
      <c r="H33" s="222">
        <v>0</v>
      </c>
      <c r="I33" s="216">
        <v>0</v>
      </c>
      <c r="J33" s="222">
        <v>0</v>
      </c>
      <c r="K33" s="216">
        <v>0</v>
      </c>
      <c r="L33" s="216">
        <v>0</v>
      </c>
      <c r="M33" s="222">
        <v>0</v>
      </c>
      <c r="N33" s="216">
        <v>0</v>
      </c>
      <c r="O33" s="222">
        <v>0</v>
      </c>
      <c r="P33" s="216">
        <v>0</v>
      </c>
      <c r="Q33" s="222">
        <v>0</v>
      </c>
      <c r="R33" s="677">
        <f t="shared" si="1"/>
        <v>0</v>
      </c>
      <c r="T33" s="674">
        <f t="shared" si="2"/>
        <v>0</v>
      </c>
      <c r="U33" s="216">
        <f t="shared" si="3"/>
        <v>0</v>
      </c>
      <c r="V33" s="222">
        <f t="shared" si="3"/>
        <v>0</v>
      </c>
      <c r="W33" s="216">
        <f t="shared" si="3"/>
        <v>0</v>
      </c>
      <c r="X33" s="222">
        <f t="shared" si="3"/>
        <v>0</v>
      </c>
      <c r="Y33" s="216">
        <f t="shared" si="3"/>
        <v>0</v>
      </c>
      <c r="Z33" s="216">
        <f t="shared" si="3"/>
        <v>0</v>
      </c>
      <c r="AA33" s="222">
        <f t="shared" si="3"/>
        <v>0</v>
      </c>
      <c r="AB33" s="216">
        <f t="shared" si="3"/>
        <v>0</v>
      </c>
      <c r="AC33" s="675">
        <f t="shared" si="3"/>
        <v>0</v>
      </c>
      <c r="AE33" s="676">
        <f t="shared" si="4"/>
        <v>0</v>
      </c>
      <c r="AF33" s="222">
        <f t="shared" si="5"/>
        <v>0</v>
      </c>
      <c r="AG33" s="216">
        <f t="shared" si="6"/>
        <v>0</v>
      </c>
      <c r="AH33" s="675">
        <f t="shared" si="7"/>
        <v>0</v>
      </c>
    </row>
    <row r="34" spans="2:34" ht="20.100000000000001" customHeight="1">
      <c r="B34" s="670" t="s">
        <v>450</v>
      </c>
      <c r="C34" s="671" t="s">
        <v>498</v>
      </c>
      <c r="D34" s="672" t="s">
        <v>465</v>
      </c>
      <c r="E34" s="671" t="s">
        <v>465</v>
      </c>
      <c r="F34" s="222">
        <v>0</v>
      </c>
      <c r="G34" s="216">
        <v>0</v>
      </c>
      <c r="H34" s="222">
        <v>0</v>
      </c>
      <c r="I34" s="216">
        <v>0</v>
      </c>
      <c r="J34" s="222">
        <v>0</v>
      </c>
      <c r="K34" s="216">
        <v>0</v>
      </c>
      <c r="L34" s="216">
        <v>0</v>
      </c>
      <c r="M34" s="222">
        <v>0</v>
      </c>
      <c r="N34" s="216">
        <v>0</v>
      </c>
      <c r="O34" s="222">
        <v>0</v>
      </c>
      <c r="P34" s="216">
        <v>0</v>
      </c>
      <c r="Q34" s="222">
        <v>0</v>
      </c>
      <c r="R34" s="677">
        <f t="shared" si="1"/>
        <v>0</v>
      </c>
      <c r="T34" s="674">
        <f t="shared" si="2"/>
        <v>0</v>
      </c>
      <c r="U34" s="216">
        <f t="shared" si="3"/>
        <v>0</v>
      </c>
      <c r="V34" s="222">
        <f t="shared" si="3"/>
        <v>0</v>
      </c>
      <c r="W34" s="216">
        <f t="shared" si="3"/>
        <v>0</v>
      </c>
      <c r="X34" s="222">
        <f t="shared" si="3"/>
        <v>0</v>
      </c>
      <c r="Y34" s="216">
        <f t="shared" si="3"/>
        <v>0</v>
      </c>
      <c r="Z34" s="216">
        <f t="shared" si="3"/>
        <v>0</v>
      </c>
      <c r="AA34" s="222">
        <f t="shared" si="3"/>
        <v>0</v>
      </c>
      <c r="AB34" s="216">
        <f t="shared" si="3"/>
        <v>0</v>
      </c>
      <c r="AC34" s="675">
        <f t="shared" si="3"/>
        <v>0</v>
      </c>
      <c r="AE34" s="676">
        <f t="shared" si="4"/>
        <v>0</v>
      </c>
      <c r="AF34" s="222">
        <f t="shared" si="5"/>
        <v>0</v>
      </c>
      <c r="AG34" s="216">
        <f t="shared" si="6"/>
        <v>0</v>
      </c>
      <c r="AH34" s="675">
        <f t="shared" si="7"/>
        <v>0</v>
      </c>
    </row>
    <row r="35" spans="2:34" ht="20.100000000000001" customHeight="1">
      <c r="B35" s="670" t="s">
        <v>450</v>
      </c>
      <c r="C35" s="671" t="s">
        <v>498</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1"/>
        <v>0</v>
      </c>
      <c r="T35" s="674">
        <f t="shared" si="2"/>
        <v>0</v>
      </c>
      <c r="U35" s="216">
        <f t="shared" si="3"/>
        <v>0</v>
      </c>
      <c r="V35" s="222">
        <f t="shared" si="3"/>
        <v>0</v>
      </c>
      <c r="W35" s="216">
        <f t="shared" si="3"/>
        <v>0</v>
      </c>
      <c r="X35" s="222">
        <f t="shared" si="3"/>
        <v>0</v>
      </c>
      <c r="Y35" s="216">
        <f t="shared" si="3"/>
        <v>0</v>
      </c>
      <c r="Z35" s="216">
        <f t="shared" si="3"/>
        <v>0</v>
      </c>
      <c r="AA35" s="222">
        <f t="shared" si="3"/>
        <v>0</v>
      </c>
      <c r="AB35" s="216">
        <f t="shared" si="3"/>
        <v>0</v>
      </c>
      <c r="AC35" s="675">
        <f t="shared" si="3"/>
        <v>0</v>
      </c>
      <c r="AE35" s="676">
        <f t="shared" si="4"/>
        <v>0</v>
      </c>
      <c r="AF35" s="222">
        <f t="shared" si="5"/>
        <v>0</v>
      </c>
      <c r="AG35" s="216">
        <f t="shared" si="6"/>
        <v>0</v>
      </c>
      <c r="AH35" s="675">
        <f t="shared" si="7"/>
        <v>0</v>
      </c>
    </row>
    <row r="36" spans="2:34" ht="20.100000000000001" customHeight="1">
      <c r="B36" s="670" t="s">
        <v>450</v>
      </c>
      <c r="C36" s="671" t="s">
        <v>498</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1"/>
        <v>0</v>
      </c>
      <c r="T36" s="674">
        <f t="shared" si="2"/>
        <v>0</v>
      </c>
      <c r="U36" s="216">
        <f t="shared" si="3"/>
        <v>0</v>
      </c>
      <c r="V36" s="222">
        <f t="shared" si="3"/>
        <v>0</v>
      </c>
      <c r="W36" s="216">
        <f t="shared" si="3"/>
        <v>0</v>
      </c>
      <c r="X36" s="222">
        <f t="shared" si="3"/>
        <v>0</v>
      </c>
      <c r="Y36" s="216">
        <f t="shared" si="3"/>
        <v>0</v>
      </c>
      <c r="Z36" s="216">
        <f t="shared" si="3"/>
        <v>0</v>
      </c>
      <c r="AA36" s="222">
        <f t="shared" si="3"/>
        <v>0</v>
      </c>
      <c r="AB36" s="216">
        <f t="shared" si="3"/>
        <v>0</v>
      </c>
      <c r="AC36" s="675">
        <f t="shared" si="3"/>
        <v>0</v>
      </c>
      <c r="AE36" s="676">
        <f t="shared" si="4"/>
        <v>0</v>
      </c>
      <c r="AF36" s="222">
        <f t="shared" si="5"/>
        <v>0</v>
      </c>
      <c r="AG36" s="216">
        <f t="shared" si="6"/>
        <v>0</v>
      </c>
      <c r="AH36" s="675">
        <f t="shared" si="7"/>
        <v>0</v>
      </c>
    </row>
    <row r="37" spans="2:34" ht="20.10000000000000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1"/>
        <v>0</v>
      </c>
      <c r="T37" s="674">
        <f t="shared" si="2"/>
        <v>0</v>
      </c>
      <c r="U37" s="216">
        <f t="shared" si="3"/>
        <v>0</v>
      </c>
      <c r="V37" s="222">
        <f t="shared" si="3"/>
        <v>0</v>
      </c>
      <c r="W37" s="216">
        <f t="shared" si="3"/>
        <v>0</v>
      </c>
      <c r="X37" s="222">
        <f t="shared" si="3"/>
        <v>0</v>
      </c>
      <c r="Y37" s="216">
        <f t="shared" si="3"/>
        <v>0</v>
      </c>
      <c r="Z37" s="216">
        <f t="shared" si="3"/>
        <v>0</v>
      </c>
      <c r="AA37" s="222">
        <f t="shared" si="3"/>
        <v>0</v>
      </c>
      <c r="AB37" s="216">
        <f t="shared" si="3"/>
        <v>0</v>
      </c>
      <c r="AC37" s="675">
        <f t="shared" si="3"/>
        <v>0</v>
      </c>
      <c r="AE37" s="676">
        <f t="shared" si="4"/>
        <v>0</v>
      </c>
      <c r="AF37" s="222">
        <f t="shared" si="5"/>
        <v>0</v>
      </c>
      <c r="AG37" s="216">
        <f t="shared" si="6"/>
        <v>0</v>
      </c>
      <c r="AH37" s="675">
        <f t="shared" si="7"/>
        <v>0</v>
      </c>
    </row>
    <row r="38" spans="2:34" ht="20.100000000000001" customHeight="1">
      <c r="B38" s="670" t="s">
        <v>499</v>
      </c>
      <c r="C38" s="671" t="s">
        <v>470</v>
      </c>
      <c r="D38" s="672" t="s">
        <v>470</v>
      </c>
      <c r="E38" s="671" t="s">
        <v>471</v>
      </c>
      <c r="F38" s="222">
        <v>78008832</v>
      </c>
      <c r="G38" s="216">
        <v>1287536530</v>
      </c>
      <c r="H38" s="222">
        <v>3674100140</v>
      </c>
      <c r="I38" s="216">
        <v>2392479113</v>
      </c>
      <c r="J38" s="222">
        <v>4581985161</v>
      </c>
      <c r="K38" s="216">
        <v>4690274301</v>
      </c>
      <c r="L38" s="216">
        <v>502471532</v>
      </c>
      <c r="M38" s="222">
        <v>4336168051</v>
      </c>
      <c r="N38" s="216">
        <v>6764326808</v>
      </c>
      <c r="O38" s="222">
        <v>983825811</v>
      </c>
      <c r="P38" s="216">
        <v>1583997556</v>
      </c>
      <c r="Q38" s="222">
        <v>3796863138</v>
      </c>
      <c r="R38" s="677">
        <f t="shared" si="1"/>
        <v>34672036973</v>
      </c>
      <c r="T38" s="674">
        <f t="shared" si="2"/>
        <v>1365545362</v>
      </c>
      <c r="U38" s="216">
        <f t="shared" si="3"/>
        <v>5039645502</v>
      </c>
      <c r="V38" s="222">
        <f t="shared" si="3"/>
        <v>7432124615</v>
      </c>
      <c r="W38" s="216">
        <f t="shared" si="3"/>
        <v>12014109776</v>
      </c>
      <c r="X38" s="222">
        <f t="shared" si="3"/>
        <v>16704384077</v>
      </c>
      <c r="Y38" s="216">
        <f t="shared" si="3"/>
        <v>17206855609</v>
      </c>
      <c r="Z38" s="216">
        <f t="shared" si="3"/>
        <v>21543023660</v>
      </c>
      <c r="AA38" s="222">
        <f t="shared" si="3"/>
        <v>28307350468</v>
      </c>
      <c r="AB38" s="216">
        <f t="shared" si="3"/>
        <v>29291176279</v>
      </c>
      <c r="AC38" s="675">
        <f t="shared" si="3"/>
        <v>30875173835</v>
      </c>
      <c r="AE38" s="676">
        <f t="shared" si="4"/>
        <v>5039645502</v>
      </c>
      <c r="AF38" s="222">
        <f t="shared" si="5"/>
        <v>11664738575</v>
      </c>
      <c r="AG38" s="216">
        <f t="shared" si="6"/>
        <v>11602966391</v>
      </c>
      <c r="AH38" s="675">
        <f t="shared" si="7"/>
        <v>6364686505</v>
      </c>
    </row>
    <row r="39" spans="2:34" ht="20.100000000000001" customHeight="1">
      <c r="B39" s="670" t="s">
        <v>499</v>
      </c>
      <c r="C39" s="671" t="s">
        <v>470</v>
      </c>
      <c r="D39" s="672" t="s">
        <v>470</v>
      </c>
      <c r="E39" s="671" t="s">
        <v>472</v>
      </c>
      <c r="F39" s="222">
        <v>676686055</v>
      </c>
      <c r="G39" s="216">
        <v>960050339</v>
      </c>
      <c r="H39" s="222">
        <v>761457380</v>
      </c>
      <c r="I39" s="216">
        <v>1047234671</v>
      </c>
      <c r="J39" s="222">
        <v>874672373</v>
      </c>
      <c r="K39" s="216">
        <v>1641025659</v>
      </c>
      <c r="L39" s="216">
        <v>81400650</v>
      </c>
      <c r="M39" s="222">
        <v>830656896</v>
      </c>
      <c r="N39" s="216">
        <v>772569687</v>
      </c>
      <c r="O39" s="222">
        <v>811014379</v>
      </c>
      <c r="P39" s="216">
        <v>822283646</v>
      </c>
      <c r="Q39" s="222">
        <v>945887885</v>
      </c>
      <c r="R39" s="677">
        <f t="shared" si="1"/>
        <v>10224939620</v>
      </c>
      <c r="T39" s="674">
        <f t="shared" si="2"/>
        <v>1636736394</v>
      </c>
      <c r="U39" s="216">
        <f t="shared" si="3"/>
        <v>2398193774</v>
      </c>
      <c r="V39" s="222">
        <f t="shared" si="3"/>
        <v>3445428445</v>
      </c>
      <c r="W39" s="216">
        <f t="shared" si="3"/>
        <v>4320100818</v>
      </c>
      <c r="X39" s="222">
        <f t="shared" si="3"/>
        <v>5961126477</v>
      </c>
      <c r="Y39" s="216">
        <f t="shared" si="3"/>
        <v>6042527127</v>
      </c>
      <c r="Z39" s="216">
        <f t="shared" si="3"/>
        <v>6873184023</v>
      </c>
      <c r="AA39" s="222">
        <f t="shared" si="3"/>
        <v>7645753710</v>
      </c>
      <c r="AB39" s="216">
        <f t="shared" si="3"/>
        <v>8456768089</v>
      </c>
      <c r="AC39" s="675">
        <f t="shared" si="3"/>
        <v>9279051735</v>
      </c>
      <c r="AE39" s="676">
        <f t="shared" si="4"/>
        <v>2398193774</v>
      </c>
      <c r="AF39" s="222">
        <f t="shared" si="5"/>
        <v>3562932703</v>
      </c>
      <c r="AG39" s="216">
        <f t="shared" si="6"/>
        <v>1684627233</v>
      </c>
      <c r="AH39" s="675">
        <f t="shared" si="7"/>
        <v>2579185910</v>
      </c>
    </row>
    <row r="40" spans="2:34" ht="20.100000000000001" customHeight="1">
      <c r="B40" s="670" t="s">
        <v>499</v>
      </c>
      <c r="C40" s="671" t="s">
        <v>470</v>
      </c>
      <c r="D40" s="672" t="s">
        <v>470</v>
      </c>
      <c r="E40" s="671" t="s">
        <v>473</v>
      </c>
      <c r="F40" s="222">
        <v>569485207</v>
      </c>
      <c r="G40" s="216">
        <v>881660727</v>
      </c>
      <c r="H40" s="222">
        <v>1088624213</v>
      </c>
      <c r="I40" s="216">
        <v>333116022</v>
      </c>
      <c r="J40" s="222">
        <v>967104069</v>
      </c>
      <c r="K40" s="216">
        <v>1186217406</v>
      </c>
      <c r="L40" s="216">
        <v>322805557</v>
      </c>
      <c r="M40" s="222">
        <v>288991422</v>
      </c>
      <c r="N40" s="216">
        <v>919752489</v>
      </c>
      <c r="O40" s="222">
        <v>565887638</v>
      </c>
      <c r="P40" s="216">
        <v>493002858</v>
      </c>
      <c r="Q40" s="222">
        <v>560412697</v>
      </c>
      <c r="R40" s="677">
        <f t="shared" si="1"/>
        <v>8177060305</v>
      </c>
      <c r="T40" s="674">
        <f t="shared" si="2"/>
        <v>1451145934</v>
      </c>
      <c r="U40" s="216">
        <f t="shared" si="3"/>
        <v>2539770147</v>
      </c>
      <c r="V40" s="222">
        <f t="shared" si="3"/>
        <v>2872886169</v>
      </c>
      <c r="W40" s="216">
        <f t="shared" si="3"/>
        <v>3839990238</v>
      </c>
      <c r="X40" s="222">
        <f t="shared" si="3"/>
        <v>5026207644</v>
      </c>
      <c r="Y40" s="216">
        <f t="shared" si="3"/>
        <v>5349013201</v>
      </c>
      <c r="Z40" s="216">
        <f t="shared" si="3"/>
        <v>5638004623</v>
      </c>
      <c r="AA40" s="222">
        <f t="shared" si="3"/>
        <v>6557757112</v>
      </c>
      <c r="AB40" s="216">
        <f t="shared" si="3"/>
        <v>7123644750</v>
      </c>
      <c r="AC40" s="675">
        <f t="shared" si="3"/>
        <v>7616647608</v>
      </c>
      <c r="AE40" s="676">
        <f t="shared" si="4"/>
        <v>2539770147</v>
      </c>
      <c r="AF40" s="222">
        <f t="shared" si="5"/>
        <v>2486437497</v>
      </c>
      <c r="AG40" s="216">
        <f t="shared" si="6"/>
        <v>1531549468</v>
      </c>
      <c r="AH40" s="675">
        <f t="shared" si="7"/>
        <v>1619303193</v>
      </c>
    </row>
    <row r="41" spans="2:34" ht="20.100000000000001" customHeight="1">
      <c r="B41" s="670" t="s">
        <v>499</v>
      </c>
      <c r="C41" s="671" t="s">
        <v>474</v>
      </c>
      <c r="D41" s="672" t="s">
        <v>474</v>
      </c>
      <c r="E41" s="671" t="s">
        <v>475</v>
      </c>
      <c r="F41" s="222">
        <v>217450560</v>
      </c>
      <c r="G41" s="216">
        <v>416699920</v>
      </c>
      <c r="H41" s="222">
        <v>186387148.27333331</v>
      </c>
      <c r="I41" s="216">
        <v>658562920</v>
      </c>
      <c r="J41" s="222">
        <v>41683920</v>
      </c>
      <c r="K41" s="216">
        <v>285854480</v>
      </c>
      <c r="L41" s="216">
        <v>267630800</v>
      </c>
      <c r="M41" s="222">
        <v>252010000</v>
      </c>
      <c r="N41" s="216">
        <v>397105000</v>
      </c>
      <c r="O41" s="222">
        <v>399840000</v>
      </c>
      <c r="P41" s="216">
        <v>435729365</v>
      </c>
      <c r="Q41" s="222">
        <v>532910355</v>
      </c>
      <c r="R41" s="677">
        <f t="shared" si="1"/>
        <v>4091864468.2733335</v>
      </c>
      <c r="T41" s="674">
        <f t="shared" si="2"/>
        <v>634150480</v>
      </c>
      <c r="U41" s="216">
        <f t="shared" si="3"/>
        <v>820537628.27333331</v>
      </c>
      <c r="V41" s="222">
        <f t="shared" si="3"/>
        <v>1479100548.2733333</v>
      </c>
      <c r="W41" s="216">
        <f t="shared" si="3"/>
        <v>1520784468.2733333</v>
      </c>
      <c r="X41" s="222">
        <f t="shared" si="3"/>
        <v>1806638948.2733333</v>
      </c>
      <c r="Y41" s="216">
        <f t="shared" si="3"/>
        <v>2074269748.2733333</v>
      </c>
      <c r="Z41" s="216">
        <f t="shared" si="3"/>
        <v>2326279748.2733335</v>
      </c>
      <c r="AA41" s="222">
        <f t="shared" si="3"/>
        <v>2723384748.2733335</v>
      </c>
      <c r="AB41" s="216">
        <f t="shared" si="3"/>
        <v>3123224748.2733335</v>
      </c>
      <c r="AC41" s="675">
        <f t="shared" si="3"/>
        <v>3558954113.2733335</v>
      </c>
      <c r="AE41" s="676">
        <f t="shared" si="4"/>
        <v>820537628.27333331</v>
      </c>
      <c r="AF41" s="222">
        <f t="shared" si="5"/>
        <v>986101320</v>
      </c>
      <c r="AG41" s="216">
        <f t="shared" si="6"/>
        <v>916745800</v>
      </c>
      <c r="AH41" s="675">
        <f t="shared" si="7"/>
        <v>1368479720</v>
      </c>
    </row>
    <row r="42" spans="2:34" ht="20.100000000000001" customHeight="1">
      <c r="B42" s="670" t="s">
        <v>499</v>
      </c>
      <c r="C42" s="671" t="s">
        <v>474</v>
      </c>
      <c r="D42" s="672" t="s">
        <v>474</v>
      </c>
      <c r="E42" s="671" t="s">
        <v>476</v>
      </c>
      <c r="F42" s="222">
        <v>556891200</v>
      </c>
      <c r="G42" s="216">
        <v>0</v>
      </c>
      <c r="H42" s="222">
        <v>163915000</v>
      </c>
      <c r="I42" s="216">
        <v>0</v>
      </c>
      <c r="J42" s="222">
        <v>330578967</v>
      </c>
      <c r="K42" s="216">
        <v>467259000</v>
      </c>
      <c r="L42" s="216">
        <v>342429000</v>
      </c>
      <c r="M42" s="222">
        <v>325376000</v>
      </c>
      <c r="N42" s="216">
        <v>325376000</v>
      </c>
      <c r="O42" s="222">
        <v>359482000</v>
      </c>
      <c r="P42" s="216">
        <v>291270000</v>
      </c>
      <c r="Q42" s="222">
        <v>325376000</v>
      </c>
      <c r="R42" s="677">
        <f t="shared" si="1"/>
        <v>3487953167</v>
      </c>
      <c r="T42" s="674">
        <f t="shared" si="2"/>
        <v>556891200</v>
      </c>
      <c r="U42" s="216">
        <f t="shared" si="3"/>
        <v>720806200</v>
      </c>
      <c r="V42" s="222">
        <f t="shared" si="3"/>
        <v>720806200</v>
      </c>
      <c r="W42" s="216">
        <f t="shared" si="3"/>
        <v>1051385167</v>
      </c>
      <c r="X42" s="222">
        <f t="shared" si="3"/>
        <v>1518644167</v>
      </c>
      <c r="Y42" s="216">
        <f t="shared" si="3"/>
        <v>1861073167</v>
      </c>
      <c r="Z42" s="216">
        <f t="shared" si="3"/>
        <v>2186449167</v>
      </c>
      <c r="AA42" s="222">
        <f t="shared" si="3"/>
        <v>2511825167</v>
      </c>
      <c r="AB42" s="216">
        <f t="shared" si="3"/>
        <v>2871307167</v>
      </c>
      <c r="AC42" s="675">
        <f t="shared" si="3"/>
        <v>3162577167</v>
      </c>
      <c r="AE42" s="676">
        <f t="shared" si="4"/>
        <v>720806200</v>
      </c>
      <c r="AF42" s="222">
        <f t="shared" si="5"/>
        <v>797837967</v>
      </c>
      <c r="AG42" s="216">
        <f t="shared" si="6"/>
        <v>993181000</v>
      </c>
      <c r="AH42" s="675">
        <f t="shared" si="7"/>
        <v>976128000</v>
      </c>
    </row>
    <row r="43" spans="2:34" ht="20.100000000000001" customHeight="1">
      <c r="B43" s="670" t="s">
        <v>499</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1"/>
        <v>0</v>
      </c>
      <c r="T43" s="674">
        <f t="shared" si="2"/>
        <v>0</v>
      </c>
      <c r="U43" s="216">
        <f t="shared" si="3"/>
        <v>0</v>
      </c>
      <c r="V43" s="222">
        <f t="shared" si="3"/>
        <v>0</v>
      </c>
      <c r="W43" s="216">
        <f t="shared" si="3"/>
        <v>0</v>
      </c>
      <c r="X43" s="222">
        <f t="shared" si="3"/>
        <v>0</v>
      </c>
      <c r="Y43" s="216">
        <f t="shared" si="3"/>
        <v>0</v>
      </c>
      <c r="Z43" s="216">
        <f t="shared" si="3"/>
        <v>0</v>
      </c>
      <c r="AA43" s="222">
        <f t="shared" si="3"/>
        <v>0</v>
      </c>
      <c r="AB43" s="216">
        <f t="shared" si="3"/>
        <v>0</v>
      </c>
      <c r="AC43" s="675">
        <f t="shared" si="3"/>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156595400</v>
      </c>
      <c r="G44" s="216">
        <v>0</v>
      </c>
      <c r="H44" s="222">
        <v>0</v>
      </c>
      <c r="I44" s="216">
        <v>0</v>
      </c>
      <c r="J44" s="222">
        <v>0</v>
      </c>
      <c r="K44" s="216">
        <v>0</v>
      </c>
      <c r="L44" s="216">
        <v>0</v>
      </c>
      <c r="M44" s="222">
        <v>0</v>
      </c>
      <c r="N44" s="216">
        <v>0</v>
      </c>
      <c r="O44" s="222">
        <v>0</v>
      </c>
      <c r="P44" s="216">
        <v>0</v>
      </c>
      <c r="Q44" s="222">
        <v>0</v>
      </c>
      <c r="R44" s="677">
        <f t="shared" si="1"/>
        <v>156595400</v>
      </c>
      <c r="T44" s="674">
        <f t="shared" si="2"/>
        <v>156595400</v>
      </c>
      <c r="U44" s="216">
        <f t="shared" si="3"/>
        <v>156595400</v>
      </c>
      <c r="V44" s="222">
        <f t="shared" si="3"/>
        <v>156595400</v>
      </c>
      <c r="W44" s="216">
        <f t="shared" si="3"/>
        <v>156595400</v>
      </c>
      <c r="X44" s="222">
        <f t="shared" si="3"/>
        <v>156595400</v>
      </c>
      <c r="Y44" s="216">
        <f t="shared" si="3"/>
        <v>156595400</v>
      </c>
      <c r="Z44" s="216">
        <f t="shared" si="3"/>
        <v>156595400</v>
      </c>
      <c r="AA44" s="222">
        <f t="shared" si="3"/>
        <v>156595400</v>
      </c>
      <c r="AB44" s="216">
        <f t="shared" si="3"/>
        <v>156595400</v>
      </c>
      <c r="AC44" s="675">
        <f t="shared" si="3"/>
        <v>156595400</v>
      </c>
      <c r="AE44" s="676">
        <f t="shared" si="4"/>
        <v>156595400</v>
      </c>
      <c r="AF44" s="222">
        <f t="shared" si="5"/>
        <v>0</v>
      </c>
      <c r="AG44" s="216">
        <f t="shared" si="6"/>
        <v>0</v>
      </c>
      <c r="AH44" s="675">
        <f t="shared" si="7"/>
        <v>0</v>
      </c>
    </row>
    <row r="45" spans="2:34" ht="20.100000000000001" customHeight="1">
      <c r="B45" s="670" t="s">
        <v>478</v>
      </c>
      <c r="C45" s="671" t="s">
        <v>479</v>
      </c>
      <c r="D45" s="672" t="s">
        <v>481</v>
      </c>
      <c r="E45" s="671" t="s">
        <v>481</v>
      </c>
      <c r="F45" s="222">
        <v>5126482260</v>
      </c>
      <c r="G45" s="216">
        <v>6178659360</v>
      </c>
      <c r="H45" s="222">
        <v>5064525780</v>
      </c>
      <c r="I45" s="216">
        <v>4514293080</v>
      </c>
      <c r="J45" s="222">
        <v>4964650080</v>
      </c>
      <c r="K45" s="216">
        <v>2439488340</v>
      </c>
      <c r="L45" s="216">
        <v>2625820020</v>
      </c>
      <c r="M45" s="222">
        <v>1800537660</v>
      </c>
      <c r="N45" s="216">
        <v>3896420760</v>
      </c>
      <c r="O45" s="222">
        <v>1133002260</v>
      </c>
      <c r="P45" s="216">
        <v>2175223500</v>
      </c>
      <c r="Q45" s="222">
        <v>183933540</v>
      </c>
      <c r="R45" s="677">
        <f t="shared" si="1"/>
        <v>40103036640</v>
      </c>
      <c r="T45" s="674">
        <f t="shared" si="2"/>
        <v>11305141620</v>
      </c>
      <c r="U45" s="216">
        <f t="shared" si="3"/>
        <v>16369667400</v>
      </c>
      <c r="V45" s="222">
        <f t="shared" si="3"/>
        <v>20883960480</v>
      </c>
      <c r="W45" s="216">
        <f t="shared" si="3"/>
        <v>25848610560</v>
      </c>
      <c r="X45" s="222">
        <f t="shared" si="3"/>
        <v>28288098900</v>
      </c>
      <c r="Y45" s="216">
        <f t="shared" si="3"/>
        <v>30913918920</v>
      </c>
      <c r="Z45" s="216">
        <f t="shared" si="3"/>
        <v>32714456580</v>
      </c>
      <c r="AA45" s="222">
        <f t="shared" si="3"/>
        <v>36610877340</v>
      </c>
      <c r="AB45" s="216">
        <f t="shared" si="3"/>
        <v>37743879600</v>
      </c>
      <c r="AC45" s="675">
        <f t="shared" si="3"/>
        <v>39919103100</v>
      </c>
      <c r="AE45" s="676">
        <f t="shared" si="4"/>
        <v>16369667400</v>
      </c>
      <c r="AF45" s="222">
        <f t="shared" si="5"/>
        <v>11918431500</v>
      </c>
      <c r="AG45" s="216">
        <f t="shared" si="6"/>
        <v>8322778440</v>
      </c>
      <c r="AH45" s="675">
        <f t="shared" si="7"/>
        <v>3492159300</v>
      </c>
    </row>
    <row r="46" spans="2:34" ht="20.100000000000001" customHeight="1">
      <c r="B46" s="670" t="s">
        <v>478</v>
      </c>
      <c r="C46" s="671" t="s">
        <v>482</v>
      </c>
      <c r="D46" s="672" t="s">
        <v>482</v>
      </c>
      <c r="E46" s="671" t="s">
        <v>482</v>
      </c>
      <c r="F46" s="222">
        <v>670443570</v>
      </c>
      <c r="G46" s="216">
        <v>678710580</v>
      </c>
      <c r="H46" s="222">
        <v>672176480</v>
      </c>
      <c r="I46" s="216">
        <v>799032650</v>
      </c>
      <c r="J46" s="222">
        <v>454620400</v>
      </c>
      <c r="K46" s="216">
        <v>806854580</v>
      </c>
      <c r="L46" s="216">
        <v>1017805510</v>
      </c>
      <c r="M46" s="222">
        <v>671369780</v>
      </c>
      <c r="N46" s="216">
        <v>1203003500</v>
      </c>
      <c r="O46" s="222">
        <v>762501260</v>
      </c>
      <c r="P46" s="216">
        <v>615935260</v>
      </c>
      <c r="Q46" s="222">
        <v>1261232640</v>
      </c>
      <c r="R46" s="677">
        <f t="shared" si="1"/>
        <v>9613686210</v>
      </c>
      <c r="T46" s="674">
        <f t="shared" si="2"/>
        <v>1349154150</v>
      </c>
      <c r="U46" s="216">
        <f t="shared" si="3"/>
        <v>2021330630</v>
      </c>
      <c r="V46" s="222">
        <f t="shared" si="3"/>
        <v>2820363280</v>
      </c>
      <c r="W46" s="216">
        <f t="shared" si="3"/>
        <v>3274983680</v>
      </c>
      <c r="X46" s="222">
        <f t="shared" si="3"/>
        <v>4081838260</v>
      </c>
      <c r="Y46" s="216">
        <f t="shared" si="3"/>
        <v>5099643770</v>
      </c>
      <c r="Z46" s="216">
        <f t="shared" si="3"/>
        <v>5771013550</v>
      </c>
      <c r="AA46" s="222">
        <f t="shared" si="3"/>
        <v>6974017050</v>
      </c>
      <c r="AB46" s="216">
        <f t="shared" si="3"/>
        <v>7736518310</v>
      </c>
      <c r="AC46" s="675">
        <f t="shared" si="3"/>
        <v>8352453570</v>
      </c>
      <c r="AE46" s="676">
        <f t="shared" si="4"/>
        <v>2021330630</v>
      </c>
      <c r="AF46" s="222">
        <f t="shared" si="5"/>
        <v>2060507630</v>
      </c>
      <c r="AG46" s="216">
        <f t="shared" si="6"/>
        <v>2892178790</v>
      </c>
      <c r="AH46" s="675">
        <f t="shared" si="7"/>
        <v>2639669160</v>
      </c>
    </row>
    <row r="47" spans="2:34" ht="20.100000000000001" customHeight="1">
      <c r="B47" s="670" t="s">
        <v>478</v>
      </c>
      <c r="C47" s="671" t="s">
        <v>483</v>
      </c>
      <c r="D47" s="672" t="s">
        <v>483</v>
      </c>
      <c r="E47" s="671" t="s">
        <v>483</v>
      </c>
      <c r="F47" s="222">
        <v>536928300</v>
      </c>
      <c r="G47" s="216">
        <v>1024337300</v>
      </c>
      <c r="H47" s="222">
        <v>400558600</v>
      </c>
      <c r="I47" s="216">
        <v>1198782200</v>
      </c>
      <c r="J47" s="222">
        <v>1003124400</v>
      </c>
      <c r="K47" s="216">
        <v>1566648800</v>
      </c>
      <c r="L47" s="216">
        <v>1302986780</v>
      </c>
      <c r="M47" s="222">
        <v>1010159600</v>
      </c>
      <c r="N47" s="216">
        <v>2825075520</v>
      </c>
      <c r="O47" s="222">
        <v>2508241300</v>
      </c>
      <c r="P47" s="216">
        <v>5840332600</v>
      </c>
      <c r="Q47" s="222">
        <v>6134273000</v>
      </c>
      <c r="R47" s="677">
        <f t="shared" si="1"/>
        <v>25351448400</v>
      </c>
      <c r="T47" s="674">
        <f t="shared" si="2"/>
        <v>1561265600</v>
      </c>
      <c r="U47" s="216">
        <f t="shared" si="3"/>
        <v>1961824200</v>
      </c>
      <c r="V47" s="222">
        <f t="shared" si="3"/>
        <v>3160606400</v>
      </c>
      <c r="W47" s="216">
        <f t="shared" si="3"/>
        <v>4163730800</v>
      </c>
      <c r="X47" s="222">
        <f t="shared" si="3"/>
        <v>5730379600</v>
      </c>
      <c r="Y47" s="216">
        <f t="shared" si="3"/>
        <v>7033366380</v>
      </c>
      <c r="Z47" s="216">
        <f t="shared" si="3"/>
        <v>8043525980</v>
      </c>
      <c r="AA47" s="222">
        <f t="shared" ref="AA47:AC61" si="8">SUM(Z47, N47)</f>
        <v>10868601500</v>
      </c>
      <c r="AB47" s="216">
        <f t="shared" si="8"/>
        <v>13376842800</v>
      </c>
      <c r="AC47" s="675">
        <f t="shared" si="8"/>
        <v>19217175400</v>
      </c>
      <c r="AE47" s="676">
        <f t="shared" si="4"/>
        <v>1961824200</v>
      </c>
      <c r="AF47" s="222">
        <f t="shared" si="5"/>
        <v>3768555400</v>
      </c>
      <c r="AG47" s="216">
        <f t="shared" si="6"/>
        <v>5138221900</v>
      </c>
      <c r="AH47" s="675">
        <f t="shared" si="7"/>
        <v>14482846900</v>
      </c>
    </row>
    <row r="48" spans="2:34" ht="20.100000000000001" customHeight="1">
      <c r="B48" s="670" t="s">
        <v>478</v>
      </c>
      <c r="C48" s="671" t="s">
        <v>484</v>
      </c>
      <c r="D48" s="672" t="s">
        <v>484</v>
      </c>
      <c r="E48" s="671" t="s">
        <v>484</v>
      </c>
      <c r="F48" s="222">
        <v>0</v>
      </c>
      <c r="G48" s="216">
        <v>0</v>
      </c>
      <c r="H48" s="222">
        <v>0</v>
      </c>
      <c r="I48" s="216">
        <v>0</v>
      </c>
      <c r="J48" s="222">
        <v>0</v>
      </c>
      <c r="K48" s="216">
        <v>0</v>
      </c>
      <c r="L48" s="216">
        <v>0</v>
      </c>
      <c r="M48" s="222">
        <v>0</v>
      </c>
      <c r="N48" s="216">
        <v>0</v>
      </c>
      <c r="O48" s="222">
        <v>0</v>
      </c>
      <c r="P48" s="216">
        <v>0</v>
      </c>
      <c r="Q48" s="222">
        <v>0</v>
      </c>
      <c r="R48" s="677">
        <f t="shared" si="1"/>
        <v>0</v>
      </c>
      <c r="T48" s="674">
        <f t="shared" si="2"/>
        <v>0</v>
      </c>
      <c r="U48" s="216">
        <f t="shared" ref="U48:Z61" si="9">SUM(T48, H48)</f>
        <v>0</v>
      </c>
      <c r="V48" s="222">
        <f t="shared" si="9"/>
        <v>0</v>
      </c>
      <c r="W48" s="216">
        <f t="shared" si="9"/>
        <v>0</v>
      </c>
      <c r="X48" s="222">
        <f t="shared" si="9"/>
        <v>0</v>
      </c>
      <c r="Y48" s="216">
        <f t="shared" si="9"/>
        <v>0</v>
      </c>
      <c r="Z48" s="216">
        <f t="shared" si="9"/>
        <v>0</v>
      </c>
      <c r="AA48" s="222">
        <f t="shared" si="8"/>
        <v>0</v>
      </c>
      <c r="AB48" s="216">
        <f t="shared" si="8"/>
        <v>0</v>
      </c>
      <c r="AC48" s="675">
        <f t="shared" si="8"/>
        <v>0</v>
      </c>
      <c r="AE48" s="676">
        <f t="shared" si="4"/>
        <v>0</v>
      </c>
      <c r="AF48" s="222">
        <f t="shared" si="5"/>
        <v>0</v>
      </c>
      <c r="AG48" s="216">
        <f t="shared" si="6"/>
        <v>0</v>
      </c>
      <c r="AH48" s="675">
        <f t="shared" si="7"/>
        <v>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1"/>
        <v>0</v>
      </c>
      <c r="T49" s="674">
        <f t="shared" si="2"/>
        <v>0</v>
      </c>
      <c r="U49" s="216">
        <f t="shared" si="9"/>
        <v>0</v>
      </c>
      <c r="V49" s="222">
        <f t="shared" si="9"/>
        <v>0</v>
      </c>
      <c r="W49" s="216">
        <f t="shared" si="9"/>
        <v>0</v>
      </c>
      <c r="X49" s="222">
        <f t="shared" si="9"/>
        <v>0</v>
      </c>
      <c r="Y49" s="216">
        <f t="shared" si="9"/>
        <v>0</v>
      </c>
      <c r="Z49" s="216">
        <f t="shared" si="9"/>
        <v>0</v>
      </c>
      <c r="AA49" s="222">
        <f t="shared" si="8"/>
        <v>0</v>
      </c>
      <c r="AB49" s="216">
        <f t="shared" si="8"/>
        <v>0</v>
      </c>
      <c r="AC49" s="675">
        <f t="shared" si="8"/>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147000000</v>
      </c>
      <c r="H50" s="222">
        <v>0</v>
      </c>
      <c r="I50" s="216">
        <v>62800000</v>
      </c>
      <c r="J50" s="222">
        <v>119500000</v>
      </c>
      <c r="K50" s="216">
        <v>184000000</v>
      </c>
      <c r="L50" s="216">
        <v>0</v>
      </c>
      <c r="M50" s="222">
        <v>107000000</v>
      </c>
      <c r="N50" s="216">
        <v>415300000</v>
      </c>
      <c r="O50" s="222">
        <v>0</v>
      </c>
      <c r="P50" s="216">
        <v>67000000</v>
      </c>
      <c r="Q50" s="222">
        <v>67000000</v>
      </c>
      <c r="R50" s="677">
        <f t="shared" si="1"/>
        <v>1169600000</v>
      </c>
      <c r="T50" s="674">
        <f t="shared" si="2"/>
        <v>147000000</v>
      </c>
      <c r="U50" s="216">
        <f t="shared" si="9"/>
        <v>147000000</v>
      </c>
      <c r="V50" s="222">
        <f t="shared" si="9"/>
        <v>209800000</v>
      </c>
      <c r="W50" s="216">
        <f t="shared" si="9"/>
        <v>329300000</v>
      </c>
      <c r="X50" s="222">
        <f t="shared" si="9"/>
        <v>513300000</v>
      </c>
      <c r="Y50" s="216">
        <f t="shared" si="9"/>
        <v>513300000</v>
      </c>
      <c r="Z50" s="216">
        <f t="shared" si="9"/>
        <v>620300000</v>
      </c>
      <c r="AA50" s="222">
        <f t="shared" si="8"/>
        <v>1035600000</v>
      </c>
      <c r="AB50" s="216">
        <f t="shared" si="8"/>
        <v>1035600000</v>
      </c>
      <c r="AC50" s="675">
        <f t="shared" si="8"/>
        <v>1102600000</v>
      </c>
      <c r="AE50" s="676">
        <f t="shared" si="4"/>
        <v>147000000</v>
      </c>
      <c r="AF50" s="222">
        <f t="shared" si="5"/>
        <v>366300000</v>
      </c>
      <c r="AG50" s="216">
        <f t="shared" si="6"/>
        <v>522300000</v>
      </c>
      <c r="AH50" s="675">
        <f t="shared" si="7"/>
        <v>134000000</v>
      </c>
    </row>
    <row r="51" spans="2:34" ht="20.100000000000001" customHeight="1">
      <c r="B51" s="670" t="s">
        <v>478</v>
      </c>
      <c r="C51" s="678" t="s">
        <v>487</v>
      </c>
      <c r="D51" s="672" t="s">
        <v>488</v>
      </c>
      <c r="E51" s="671" t="s">
        <v>488</v>
      </c>
      <c r="F51" s="222">
        <v>162069429</v>
      </c>
      <c r="G51" s="216">
        <v>30069429</v>
      </c>
      <c r="H51" s="222">
        <v>137569429</v>
      </c>
      <c r="I51" s="216">
        <v>718469429</v>
      </c>
      <c r="J51" s="222">
        <v>14069429</v>
      </c>
      <c r="K51" s="216">
        <v>160319429</v>
      </c>
      <c r="L51" s="216">
        <v>1322769429</v>
      </c>
      <c r="M51" s="222">
        <v>353609429</v>
      </c>
      <c r="N51" s="216">
        <v>853069429</v>
      </c>
      <c r="O51" s="222">
        <v>371069429</v>
      </c>
      <c r="P51" s="216">
        <v>1136027429</v>
      </c>
      <c r="Q51" s="222">
        <v>769328089</v>
      </c>
      <c r="R51" s="677">
        <f t="shared" si="1"/>
        <v>6028439808</v>
      </c>
      <c r="T51" s="674">
        <f t="shared" si="2"/>
        <v>192138858</v>
      </c>
      <c r="U51" s="216">
        <f t="shared" si="9"/>
        <v>329708287</v>
      </c>
      <c r="V51" s="222">
        <f t="shared" si="9"/>
        <v>1048177716</v>
      </c>
      <c r="W51" s="216">
        <f t="shared" si="9"/>
        <v>1062247145</v>
      </c>
      <c r="X51" s="222">
        <f t="shared" si="9"/>
        <v>1222566574</v>
      </c>
      <c r="Y51" s="216">
        <f t="shared" si="9"/>
        <v>2545336003</v>
      </c>
      <c r="Z51" s="216">
        <f t="shared" si="9"/>
        <v>2898945432</v>
      </c>
      <c r="AA51" s="222">
        <f t="shared" si="8"/>
        <v>3752014861</v>
      </c>
      <c r="AB51" s="216">
        <f t="shared" si="8"/>
        <v>4123084290</v>
      </c>
      <c r="AC51" s="675">
        <f t="shared" si="8"/>
        <v>5259111719</v>
      </c>
      <c r="AE51" s="676">
        <f t="shared" si="4"/>
        <v>329708287</v>
      </c>
      <c r="AF51" s="222">
        <f t="shared" si="5"/>
        <v>892858287</v>
      </c>
      <c r="AG51" s="216">
        <f t="shared" si="6"/>
        <v>2529448287</v>
      </c>
      <c r="AH51" s="675">
        <f t="shared" si="7"/>
        <v>2276424947</v>
      </c>
    </row>
    <row r="52" spans="2:34" ht="20.100000000000001" customHeight="1">
      <c r="B52" s="670" t="s">
        <v>478</v>
      </c>
      <c r="C52" s="678" t="s">
        <v>487</v>
      </c>
      <c r="D52" s="672" t="s">
        <v>489</v>
      </c>
      <c r="E52" s="671" t="s">
        <v>489</v>
      </c>
      <c r="F52" s="222">
        <v>1140000000</v>
      </c>
      <c r="G52" s="216">
        <v>344375000</v>
      </c>
      <c r="H52" s="222">
        <v>386875000</v>
      </c>
      <c r="I52" s="216">
        <v>595000000</v>
      </c>
      <c r="J52" s="222">
        <v>93750000</v>
      </c>
      <c r="K52" s="216">
        <v>93750000</v>
      </c>
      <c r="L52" s="216">
        <v>46875000</v>
      </c>
      <c r="M52" s="222">
        <v>187500000</v>
      </c>
      <c r="N52" s="216">
        <v>282075000</v>
      </c>
      <c r="O52" s="222">
        <v>28632175</v>
      </c>
      <c r="P52" s="216">
        <v>240929167</v>
      </c>
      <c r="Q52" s="222">
        <v>339929167</v>
      </c>
      <c r="R52" s="677">
        <f t="shared" si="1"/>
        <v>3779690509</v>
      </c>
      <c r="T52" s="674">
        <f t="shared" si="2"/>
        <v>1484375000</v>
      </c>
      <c r="U52" s="216">
        <f t="shared" si="9"/>
        <v>1871250000</v>
      </c>
      <c r="V52" s="222">
        <f t="shared" si="9"/>
        <v>2466250000</v>
      </c>
      <c r="W52" s="216">
        <f t="shared" si="9"/>
        <v>2560000000</v>
      </c>
      <c r="X52" s="222">
        <f t="shared" si="9"/>
        <v>2653750000</v>
      </c>
      <c r="Y52" s="216">
        <f t="shared" si="9"/>
        <v>2700625000</v>
      </c>
      <c r="Z52" s="216">
        <f t="shared" si="9"/>
        <v>2888125000</v>
      </c>
      <c r="AA52" s="222">
        <f t="shared" si="8"/>
        <v>3170200000</v>
      </c>
      <c r="AB52" s="216">
        <f t="shared" si="8"/>
        <v>3198832175</v>
      </c>
      <c r="AC52" s="675">
        <f t="shared" si="8"/>
        <v>3439761342</v>
      </c>
      <c r="AE52" s="676">
        <f t="shared" si="4"/>
        <v>1871250000</v>
      </c>
      <c r="AF52" s="222">
        <f t="shared" si="5"/>
        <v>782500000</v>
      </c>
      <c r="AG52" s="216">
        <f t="shared" si="6"/>
        <v>516450000</v>
      </c>
      <c r="AH52" s="675">
        <f t="shared" si="7"/>
        <v>609490509</v>
      </c>
    </row>
    <row r="53" spans="2:34" ht="20.100000000000001" customHeight="1">
      <c r="B53" s="670" t="s">
        <v>478</v>
      </c>
      <c r="C53" s="678" t="s">
        <v>487</v>
      </c>
      <c r="D53" s="672" t="s">
        <v>490</v>
      </c>
      <c r="E53" s="671" t="s">
        <v>490</v>
      </c>
      <c r="F53" s="222">
        <v>0</v>
      </c>
      <c r="G53" s="216">
        <v>38500000</v>
      </c>
      <c r="H53" s="222">
        <v>0</v>
      </c>
      <c r="I53" s="216">
        <v>54875000</v>
      </c>
      <c r="J53" s="222">
        <v>38500000</v>
      </c>
      <c r="K53" s="216">
        <v>614875000</v>
      </c>
      <c r="L53" s="216">
        <v>0</v>
      </c>
      <c r="M53" s="222">
        <v>38500000</v>
      </c>
      <c r="N53" s="216">
        <v>161000000</v>
      </c>
      <c r="O53" s="222">
        <v>0</v>
      </c>
      <c r="P53" s="216">
        <v>140500000</v>
      </c>
      <c r="Q53" s="222">
        <v>0</v>
      </c>
      <c r="R53" s="677">
        <f t="shared" si="1"/>
        <v>1086750000</v>
      </c>
      <c r="T53" s="674">
        <f t="shared" si="2"/>
        <v>38500000</v>
      </c>
      <c r="U53" s="216">
        <f t="shared" si="9"/>
        <v>38500000</v>
      </c>
      <c r="V53" s="222">
        <f t="shared" si="9"/>
        <v>93375000</v>
      </c>
      <c r="W53" s="216">
        <f t="shared" si="9"/>
        <v>131875000</v>
      </c>
      <c r="X53" s="222">
        <f t="shared" si="9"/>
        <v>746750000</v>
      </c>
      <c r="Y53" s="216">
        <f t="shared" si="9"/>
        <v>746750000</v>
      </c>
      <c r="Z53" s="216">
        <f t="shared" si="9"/>
        <v>785250000</v>
      </c>
      <c r="AA53" s="222">
        <f t="shared" si="8"/>
        <v>946250000</v>
      </c>
      <c r="AB53" s="216">
        <f t="shared" si="8"/>
        <v>946250000</v>
      </c>
      <c r="AC53" s="675">
        <f t="shared" si="8"/>
        <v>1086750000</v>
      </c>
      <c r="AE53" s="676">
        <f t="shared" si="4"/>
        <v>38500000</v>
      </c>
      <c r="AF53" s="222">
        <f t="shared" si="5"/>
        <v>708250000</v>
      </c>
      <c r="AG53" s="216">
        <f t="shared" si="6"/>
        <v>199500000</v>
      </c>
      <c r="AH53" s="675">
        <f t="shared" si="7"/>
        <v>140500000</v>
      </c>
    </row>
    <row r="54" spans="2:34" ht="20.100000000000001" customHeight="1">
      <c r="B54" s="670" t="s">
        <v>478</v>
      </c>
      <c r="C54" s="678" t="s">
        <v>487</v>
      </c>
      <c r="D54" s="672" t="s">
        <v>500</v>
      </c>
      <c r="E54" s="671" t="s">
        <v>501</v>
      </c>
      <c r="F54" s="222">
        <v>14848000</v>
      </c>
      <c r="G54" s="216">
        <v>14136000</v>
      </c>
      <c r="H54" s="222">
        <v>14136000</v>
      </c>
      <c r="I54" s="216">
        <v>15026000</v>
      </c>
      <c r="J54" s="222">
        <v>13602000</v>
      </c>
      <c r="K54" s="216">
        <v>14314000</v>
      </c>
      <c r="L54" s="216">
        <v>13246000</v>
      </c>
      <c r="M54" s="222">
        <v>14848000</v>
      </c>
      <c r="N54" s="216">
        <v>14314000</v>
      </c>
      <c r="O54" s="222">
        <v>14314000</v>
      </c>
      <c r="P54" s="216">
        <v>17162000</v>
      </c>
      <c r="Q54" s="222">
        <v>23592000</v>
      </c>
      <c r="R54" s="677">
        <f t="shared" si="1"/>
        <v>183538000</v>
      </c>
      <c r="T54" s="674">
        <f t="shared" si="2"/>
        <v>28984000</v>
      </c>
      <c r="U54" s="216">
        <f t="shared" si="9"/>
        <v>43120000</v>
      </c>
      <c r="V54" s="222">
        <f t="shared" si="9"/>
        <v>58146000</v>
      </c>
      <c r="W54" s="216">
        <f t="shared" si="9"/>
        <v>71748000</v>
      </c>
      <c r="X54" s="222">
        <f t="shared" si="9"/>
        <v>86062000</v>
      </c>
      <c r="Y54" s="216">
        <f t="shared" si="9"/>
        <v>99308000</v>
      </c>
      <c r="Z54" s="216">
        <f t="shared" si="9"/>
        <v>114156000</v>
      </c>
      <c r="AA54" s="222">
        <f t="shared" si="8"/>
        <v>128470000</v>
      </c>
      <c r="AB54" s="216">
        <f t="shared" si="8"/>
        <v>142784000</v>
      </c>
      <c r="AC54" s="675">
        <f t="shared" si="8"/>
        <v>159946000</v>
      </c>
      <c r="AE54" s="676">
        <f t="shared" si="4"/>
        <v>43120000</v>
      </c>
      <c r="AF54" s="222">
        <f t="shared" si="5"/>
        <v>42942000</v>
      </c>
      <c r="AG54" s="216">
        <f t="shared" si="6"/>
        <v>42408000</v>
      </c>
      <c r="AH54" s="675">
        <f t="shared" si="7"/>
        <v>55068000</v>
      </c>
    </row>
    <row r="55" spans="2:34" ht="20.100000000000001" customHeight="1">
      <c r="B55" s="670" t="s">
        <v>478</v>
      </c>
      <c r="C55" s="678" t="s">
        <v>487</v>
      </c>
      <c r="D55" s="672" t="s">
        <v>502</v>
      </c>
      <c r="E55" s="671" t="s">
        <v>502</v>
      </c>
      <c r="F55" s="222">
        <v>1281252</v>
      </c>
      <c r="G55" s="216">
        <v>13953989</v>
      </c>
      <c r="H55" s="222">
        <v>0</v>
      </c>
      <c r="I55" s="216">
        <v>0</v>
      </c>
      <c r="J55" s="222">
        <v>38756000</v>
      </c>
      <c r="K55" s="216">
        <v>0</v>
      </c>
      <c r="L55" s="216">
        <v>0</v>
      </c>
      <c r="M55" s="222">
        <v>27252000</v>
      </c>
      <c r="N55" s="216">
        <v>0</v>
      </c>
      <c r="O55" s="222">
        <v>45308000</v>
      </c>
      <c r="P55" s="216">
        <v>0</v>
      </c>
      <c r="Q55" s="222">
        <v>2240000</v>
      </c>
      <c r="R55" s="677">
        <f t="shared" si="1"/>
        <v>128791241</v>
      </c>
      <c r="T55" s="674">
        <f t="shared" si="2"/>
        <v>15235241</v>
      </c>
      <c r="U55" s="216">
        <f t="shared" si="9"/>
        <v>15235241</v>
      </c>
      <c r="V55" s="222">
        <f t="shared" si="9"/>
        <v>15235241</v>
      </c>
      <c r="W55" s="216">
        <f t="shared" si="9"/>
        <v>53991241</v>
      </c>
      <c r="X55" s="222">
        <f t="shared" si="9"/>
        <v>53991241</v>
      </c>
      <c r="Y55" s="216">
        <f t="shared" si="9"/>
        <v>53991241</v>
      </c>
      <c r="Z55" s="216">
        <f t="shared" si="9"/>
        <v>81243241</v>
      </c>
      <c r="AA55" s="222">
        <f t="shared" si="8"/>
        <v>81243241</v>
      </c>
      <c r="AB55" s="216">
        <f t="shared" si="8"/>
        <v>126551241</v>
      </c>
      <c r="AC55" s="675">
        <f t="shared" si="8"/>
        <v>126551241</v>
      </c>
      <c r="AE55" s="676">
        <f t="shared" si="4"/>
        <v>15235241</v>
      </c>
      <c r="AF55" s="222">
        <f t="shared" si="5"/>
        <v>38756000</v>
      </c>
      <c r="AG55" s="216">
        <f t="shared" si="6"/>
        <v>27252000</v>
      </c>
      <c r="AH55" s="675">
        <f t="shared" si="7"/>
        <v>47548000</v>
      </c>
    </row>
    <row r="56" spans="2:34" ht="20.100000000000001" customHeight="1">
      <c r="B56" s="670" t="s">
        <v>478</v>
      </c>
      <c r="C56" s="678" t="s">
        <v>487</v>
      </c>
      <c r="D56" s="672" t="s">
        <v>503</v>
      </c>
      <c r="E56" s="671" t="s">
        <v>503</v>
      </c>
      <c r="F56" s="222">
        <v>0</v>
      </c>
      <c r="G56" s="216">
        <v>84660880</v>
      </c>
      <c r="H56" s="222">
        <v>0</v>
      </c>
      <c r="I56" s="216">
        <v>46400065</v>
      </c>
      <c r="J56" s="222">
        <v>0</v>
      </c>
      <c r="K56" s="216">
        <v>0</v>
      </c>
      <c r="L56" s="216">
        <v>31702967</v>
      </c>
      <c r="M56" s="222">
        <v>0</v>
      </c>
      <c r="N56" s="216">
        <v>0</v>
      </c>
      <c r="O56" s="222">
        <v>40679689</v>
      </c>
      <c r="P56" s="216">
        <v>0</v>
      </c>
      <c r="Q56" s="222">
        <v>0</v>
      </c>
      <c r="R56" s="677">
        <f t="shared" si="1"/>
        <v>203443601</v>
      </c>
      <c r="T56" s="674">
        <f t="shared" si="2"/>
        <v>84660880</v>
      </c>
      <c r="U56" s="216">
        <f t="shared" si="9"/>
        <v>84660880</v>
      </c>
      <c r="V56" s="222">
        <f t="shared" si="9"/>
        <v>131060945</v>
      </c>
      <c r="W56" s="216">
        <f t="shared" si="9"/>
        <v>131060945</v>
      </c>
      <c r="X56" s="222">
        <f t="shared" si="9"/>
        <v>131060945</v>
      </c>
      <c r="Y56" s="216">
        <f t="shared" si="9"/>
        <v>162763912</v>
      </c>
      <c r="Z56" s="216">
        <f t="shared" si="9"/>
        <v>162763912</v>
      </c>
      <c r="AA56" s="222">
        <f t="shared" si="8"/>
        <v>162763912</v>
      </c>
      <c r="AB56" s="216">
        <f t="shared" si="8"/>
        <v>203443601</v>
      </c>
      <c r="AC56" s="675">
        <f t="shared" si="8"/>
        <v>203443601</v>
      </c>
      <c r="AE56" s="676">
        <f t="shared" si="4"/>
        <v>84660880</v>
      </c>
      <c r="AF56" s="222">
        <f t="shared" si="5"/>
        <v>46400065</v>
      </c>
      <c r="AG56" s="216">
        <f t="shared" si="6"/>
        <v>31702967</v>
      </c>
      <c r="AH56" s="675">
        <f t="shared" si="7"/>
        <v>40679689</v>
      </c>
    </row>
    <row r="57" spans="2:34" ht="20.100000000000001" customHeight="1">
      <c r="B57" s="670" t="s">
        <v>89</v>
      </c>
      <c r="C57" s="671" t="s">
        <v>426</v>
      </c>
      <c r="D57" s="672" t="s">
        <v>504</v>
      </c>
      <c r="E57" s="671" t="s">
        <v>505</v>
      </c>
      <c r="F57" s="222">
        <v>0</v>
      </c>
      <c r="G57" s="216">
        <v>0</v>
      </c>
      <c r="H57" s="222">
        <v>0</v>
      </c>
      <c r="I57" s="216">
        <v>104680</v>
      </c>
      <c r="J57" s="222">
        <v>0</v>
      </c>
      <c r="K57" s="216">
        <v>0</v>
      </c>
      <c r="L57" s="216">
        <v>0</v>
      </c>
      <c r="M57" s="222">
        <v>0</v>
      </c>
      <c r="N57" s="216">
        <v>0</v>
      </c>
      <c r="O57" s="222">
        <v>0</v>
      </c>
      <c r="P57" s="216">
        <v>0</v>
      </c>
      <c r="Q57" s="222">
        <v>0</v>
      </c>
      <c r="R57" s="677">
        <f t="shared" si="1"/>
        <v>104680</v>
      </c>
      <c r="T57" s="674">
        <f t="shared" si="2"/>
        <v>0</v>
      </c>
      <c r="U57" s="216">
        <f t="shared" si="9"/>
        <v>0</v>
      </c>
      <c r="V57" s="222">
        <f t="shared" si="9"/>
        <v>104680</v>
      </c>
      <c r="W57" s="216">
        <f t="shared" si="9"/>
        <v>104680</v>
      </c>
      <c r="X57" s="222">
        <f t="shared" si="9"/>
        <v>104680</v>
      </c>
      <c r="Y57" s="216">
        <f t="shared" si="9"/>
        <v>104680</v>
      </c>
      <c r="Z57" s="216">
        <f t="shared" si="9"/>
        <v>104680</v>
      </c>
      <c r="AA57" s="222">
        <f t="shared" si="8"/>
        <v>104680</v>
      </c>
      <c r="AB57" s="216">
        <f t="shared" si="8"/>
        <v>104680</v>
      </c>
      <c r="AC57" s="675">
        <f t="shared" si="8"/>
        <v>104680</v>
      </c>
      <c r="AE57" s="676">
        <f t="shared" si="4"/>
        <v>0</v>
      </c>
      <c r="AF57" s="222">
        <f t="shared" si="5"/>
        <v>104680</v>
      </c>
      <c r="AG57" s="216">
        <f t="shared" si="6"/>
        <v>0</v>
      </c>
      <c r="AH57" s="675">
        <f t="shared" si="7"/>
        <v>0</v>
      </c>
    </row>
    <row r="58" spans="2:34" ht="20.100000000000001" customHeight="1">
      <c r="B58" s="670" t="s">
        <v>89</v>
      </c>
      <c r="C58" s="671" t="s">
        <v>426</v>
      </c>
      <c r="D58" s="672" t="s">
        <v>492</v>
      </c>
      <c r="E58" s="671" t="s">
        <v>506</v>
      </c>
      <c r="F58" s="222">
        <v>-843000</v>
      </c>
      <c r="G58" s="216">
        <v>-2170000</v>
      </c>
      <c r="H58" s="222">
        <v>0</v>
      </c>
      <c r="I58" s="216">
        <v>-1046000</v>
      </c>
      <c r="J58" s="222">
        <v>-1126000</v>
      </c>
      <c r="K58" s="216">
        <v>-1513000</v>
      </c>
      <c r="L58" s="216">
        <v>-1841000</v>
      </c>
      <c r="M58" s="222">
        <v>-1118000</v>
      </c>
      <c r="N58" s="216">
        <v>-456000</v>
      </c>
      <c r="O58" s="222">
        <v>-1690000</v>
      </c>
      <c r="P58" s="216">
        <v>-1977000</v>
      </c>
      <c r="Q58" s="222">
        <v>-1045000</v>
      </c>
      <c r="R58" s="677">
        <f t="shared" si="1"/>
        <v>-14825000</v>
      </c>
      <c r="T58" s="674">
        <f t="shared" si="2"/>
        <v>-3013000</v>
      </c>
      <c r="U58" s="216">
        <f t="shared" si="9"/>
        <v>-3013000</v>
      </c>
      <c r="V58" s="222">
        <f t="shared" si="9"/>
        <v>-4059000</v>
      </c>
      <c r="W58" s="216">
        <f t="shared" si="9"/>
        <v>-5185000</v>
      </c>
      <c r="X58" s="222">
        <f t="shared" si="9"/>
        <v>-6698000</v>
      </c>
      <c r="Y58" s="216">
        <f t="shared" si="9"/>
        <v>-8539000</v>
      </c>
      <c r="Z58" s="216">
        <f t="shared" si="9"/>
        <v>-9657000</v>
      </c>
      <c r="AA58" s="222">
        <f t="shared" si="8"/>
        <v>-10113000</v>
      </c>
      <c r="AB58" s="216">
        <f t="shared" si="8"/>
        <v>-11803000</v>
      </c>
      <c r="AC58" s="675">
        <f t="shared" si="8"/>
        <v>-13780000</v>
      </c>
      <c r="AE58" s="676">
        <f t="shared" si="4"/>
        <v>-3013000</v>
      </c>
      <c r="AF58" s="222">
        <f t="shared" si="5"/>
        <v>-3685000</v>
      </c>
      <c r="AG58" s="216">
        <f t="shared" si="6"/>
        <v>-3415000</v>
      </c>
      <c r="AH58" s="675">
        <f t="shared" si="7"/>
        <v>-4712000</v>
      </c>
    </row>
    <row r="59" spans="2:34" ht="20.100000000000001" customHeight="1">
      <c r="B59" s="670" t="s">
        <v>89</v>
      </c>
      <c r="C59" s="671" t="s">
        <v>426</v>
      </c>
      <c r="D59" s="672" t="s">
        <v>492</v>
      </c>
      <c r="E59" s="671" t="s">
        <v>507</v>
      </c>
      <c r="F59" s="222">
        <v>-5670171</v>
      </c>
      <c r="G59" s="216">
        <v>-8983495</v>
      </c>
      <c r="H59" s="222">
        <v>-12279308</v>
      </c>
      <c r="I59" s="216">
        <v>-3156645</v>
      </c>
      <c r="J59" s="222">
        <v>-2493390</v>
      </c>
      <c r="K59" s="216">
        <v>-8193620</v>
      </c>
      <c r="L59" s="216">
        <v>-10157209</v>
      </c>
      <c r="M59" s="222">
        <v>-2872463</v>
      </c>
      <c r="N59" s="216">
        <v>-3279640</v>
      </c>
      <c r="O59" s="222">
        <v>-1781254</v>
      </c>
      <c r="P59" s="216">
        <v>-6397558</v>
      </c>
      <c r="Q59" s="222">
        <v>-2431315</v>
      </c>
      <c r="R59" s="677">
        <f t="shared" si="1"/>
        <v>-67696068</v>
      </c>
      <c r="T59" s="674">
        <f t="shared" si="2"/>
        <v>-14653666</v>
      </c>
      <c r="U59" s="216">
        <f t="shared" si="9"/>
        <v>-26932974</v>
      </c>
      <c r="V59" s="222">
        <f t="shared" si="9"/>
        <v>-30089619</v>
      </c>
      <c r="W59" s="216">
        <f t="shared" si="9"/>
        <v>-32583009</v>
      </c>
      <c r="X59" s="222">
        <f t="shared" si="9"/>
        <v>-40776629</v>
      </c>
      <c r="Y59" s="216">
        <f t="shared" si="9"/>
        <v>-50933838</v>
      </c>
      <c r="Z59" s="216">
        <f t="shared" si="9"/>
        <v>-53806301</v>
      </c>
      <c r="AA59" s="222">
        <f t="shared" si="8"/>
        <v>-57085941</v>
      </c>
      <c r="AB59" s="216">
        <f t="shared" si="8"/>
        <v>-58867195</v>
      </c>
      <c r="AC59" s="675">
        <f t="shared" si="8"/>
        <v>-65264753</v>
      </c>
      <c r="AE59" s="676">
        <f t="shared" si="4"/>
        <v>-26932974</v>
      </c>
      <c r="AF59" s="222">
        <f t="shared" si="5"/>
        <v>-13843655</v>
      </c>
      <c r="AG59" s="216">
        <f t="shared" si="6"/>
        <v>-16309312</v>
      </c>
      <c r="AH59" s="675">
        <f t="shared" si="7"/>
        <v>-10610127</v>
      </c>
    </row>
    <row r="60" spans="2:34" ht="20.100000000000001" customHeight="1">
      <c r="B60" s="670" t="s">
        <v>89</v>
      </c>
      <c r="C60" s="671" t="s">
        <v>426</v>
      </c>
      <c r="D60" s="672" t="s">
        <v>492</v>
      </c>
      <c r="E60" s="671" t="s">
        <v>492</v>
      </c>
      <c r="F60" s="222">
        <v>0</v>
      </c>
      <c r="G60" s="216">
        <v>0</v>
      </c>
      <c r="H60" s="222">
        <v>-1565509</v>
      </c>
      <c r="I60" s="216">
        <v>0</v>
      </c>
      <c r="J60" s="222">
        <v>0</v>
      </c>
      <c r="K60" s="216">
        <v>-30031683</v>
      </c>
      <c r="L60" s="216">
        <v>0</v>
      </c>
      <c r="M60" s="222">
        <v>0</v>
      </c>
      <c r="N60" s="216">
        <v>-41453982</v>
      </c>
      <c r="O60" s="222">
        <v>0</v>
      </c>
      <c r="P60" s="216">
        <v>0</v>
      </c>
      <c r="Q60" s="222">
        <v>-152611036</v>
      </c>
      <c r="R60" s="677">
        <f t="shared" si="1"/>
        <v>-225662210</v>
      </c>
      <c r="T60" s="674">
        <f t="shared" si="2"/>
        <v>0</v>
      </c>
      <c r="U60" s="216">
        <f t="shared" si="9"/>
        <v>-1565509</v>
      </c>
      <c r="V60" s="222">
        <f t="shared" si="9"/>
        <v>-1565509</v>
      </c>
      <c r="W60" s="216">
        <f t="shared" si="9"/>
        <v>-1565509</v>
      </c>
      <c r="X60" s="222">
        <f t="shared" si="9"/>
        <v>-31597192</v>
      </c>
      <c r="Y60" s="216">
        <f t="shared" si="9"/>
        <v>-31597192</v>
      </c>
      <c r="Z60" s="216">
        <f t="shared" si="9"/>
        <v>-31597192</v>
      </c>
      <c r="AA60" s="222">
        <f t="shared" si="8"/>
        <v>-73051174</v>
      </c>
      <c r="AB60" s="216">
        <f t="shared" si="8"/>
        <v>-73051174</v>
      </c>
      <c r="AC60" s="675">
        <f t="shared" si="8"/>
        <v>-73051174</v>
      </c>
      <c r="AE60" s="676">
        <f t="shared" si="4"/>
        <v>-1565509</v>
      </c>
      <c r="AF60" s="222">
        <f t="shared" si="5"/>
        <v>-30031683</v>
      </c>
      <c r="AG60" s="216">
        <f t="shared" si="6"/>
        <v>-41453982</v>
      </c>
      <c r="AH60" s="675">
        <f t="shared" si="7"/>
        <v>-152611036</v>
      </c>
    </row>
    <row r="61" spans="2:34" ht="20.100000000000001" customHeight="1">
      <c r="B61" s="679" t="s">
        <v>89</v>
      </c>
      <c r="C61" s="680" t="s">
        <v>426</v>
      </c>
      <c r="D61" s="681" t="s">
        <v>493</v>
      </c>
      <c r="E61" s="680" t="s">
        <v>493</v>
      </c>
      <c r="F61" s="222">
        <v>0</v>
      </c>
      <c r="G61" s="216">
        <v>0</v>
      </c>
      <c r="H61" s="222">
        <v>-51496272</v>
      </c>
      <c r="I61" s="216">
        <v>0</v>
      </c>
      <c r="J61" s="222">
        <v>0</v>
      </c>
      <c r="K61" s="216">
        <v>-30026898</v>
      </c>
      <c r="L61" s="216">
        <v>0</v>
      </c>
      <c r="M61" s="222">
        <v>0</v>
      </c>
      <c r="N61" s="216">
        <v>-56641149</v>
      </c>
      <c r="O61" s="222">
        <v>0</v>
      </c>
      <c r="P61" s="216">
        <v>0</v>
      </c>
      <c r="Q61" s="222">
        <v>-9511381</v>
      </c>
      <c r="R61" s="682">
        <f t="shared" si="1"/>
        <v>-147675700</v>
      </c>
      <c r="T61" s="674">
        <f t="shared" si="2"/>
        <v>0</v>
      </c>
      <c r="U61" s="216">
        <f t="shared" si="9"/>
        <v>-51496272</v>
      </c>
      <c r="V61" s="222">
        <f t="shared" si="9"/>
        <v>-51496272</v>
      </c>
      <c r="W61" s="216">
        <f t="shared" si="9"/>
        <v>-51496272</v>
      </c>
      <c r="X61" s="222">
        <f t="shared" si="9"/>
        <v>-81523170</v>
      </c>
      <c r="Y61" s="216">
        <f t="shared" si="9"/>
        <v>-81523170</v>
      </c>
      <c r="Z61" s="216">
        <f t="shared" si="9"/>
        <v>-81523170</v>
      </c>
      <c r="AA61" s="222">
        <f t="shared" si="8"/>
        <v>-138164319</v>
      </c>
      <c r="AB61" s="216">
        <f t="shared" si="8"/>
        <v>-138164319</v>
      </c>
      <c r="AC61" s="675">
        <f t="shared" si="8"/>
        <v>-138164319</v>
      </c>
      <c r="AE61" s="676">
        <f t="shared" si="4"/>
        <v>-51496272</v>
      </c>
      <c r="AF61" s="222">
        <f t="shared" si="5"/>
        <v>-30026898</v>
      </c>
      <c r="AG61" s="216">
        <f t="shared" si="6"/>
        <v>-56641149</v>
      </c>
      <c r="AH61" s="675">
        <f t="shared" si="7"/>
        <v>-9511381</v>
      </c>
    </row>
    <row r="62" spans="2:34" ht="25.35" customHeight="1">
      <c r="B62" s="683" t="s">
        <v>86</v>
      </c>
      <c r="C62" s="684"/>
      <c r="D62" s="684"/>
      <c r="E62" s="685"/>
      <c r="F62" s="686">
        <f>SUM(F5:F61)</f>
        <v>24828037476</v>
      </c>
      <c r="G62" s="687">
        <f t="shared" ref="G62:R62" si="10">SUM(G5:G61)</f>
        <v>29587636012</v>
      </c>
      <c r="H62" s="688">
        <f t="shared" si="10"/>
        <v>35594821241.373337</v>
      </c>
      <c r="I62" s="687">
        <f t="shared" si="10"/>
        <v>30285244588</v>
      </c>
      <c r="J62" s="688">
        <f t="shared" si="10"/>
        <v>34654819717</v>
      </c>
      <c r="K62" s="687">
        <f t="shared" si="10"/>
        <v>45304653746</v>
      </c>
      <c r="L62" s="687">
        <f t="shared" si="10"/>
        <v>25770055302</v>
      </c>
      <c r="M62" s="688">
        <f t="shared" si="10"/>
        <v>24452029939</v>
      </c>
      <c r="N62" s="687">
        <f t="shared" si="10"/>
        <v>43162590088</v>
      </c>
      <c r="O62" s="688">
        <f t="shared" si="10"/>
        <v>24710152665</v>
      </c>
      <c r="P62" s="687">
        <f t="shared" si="10"/>
        <v>34325628171</v>
      </c>
      <c r="Q62" s="689">
        <f t="shared" si="10"/>
        <v>36118666545</v>
      </c>
      <c r="R62" s="690">
        <f t="shared" si="10"/>
        <v>388794335490.37329</v>
      </c>
      <c r="T62" s="686">
        <f>SUM(T5:T61)</f>
        <v>54415673488</v>
      </c>
      <c r="U62" s="687">
        <f t="shared" ref="U62:AC62" si="11">SUM(U5:U61)</f>
        <v>90010494729.373322</v>
      </c>
      <c r="V62" s="688">
        <f t="shared" si="11"/>
        <v>120295739317.37334</v>
      </c>
      <c r="W62" s="687">
        <f t="shared" si="11"/>
        <v>154950559034.37335</v>
      </c>
      <c r="X62" s="688">
        <f t="shared" si="11"/>
        <v>200255212780.37335</v>
      </c>
      <c r="Y62" s="687">
        <f t="shared" si="11"/>
        <v>226025268082.37335</v>
      </c>
      <c r="Z62" s="687">
        <f t="shared" si="11"/>
        <v>250477298021.37335</v>
      </c>
      <c r="AA62" s="688">
        <f t="shared" si="11"/>
        <v>293639888109.37335</v>
      </c>
      <c r="AB62" s="687">
        <f t="shared" si="11"/>
        <v>318350040774.37335</v>
      </c>
      <c r="AC62" s="689">
        <f t="shared" si="11"/>
        <v>352675668945.37335</v>
      </c>
      <c r="AE62" s="691">
        <f t="shared" ref="AE62:AH62" si="12">SUM(AE5:AE61)</f>
        <v>90010494729.373322</v>
      </c>
      <c r="AF62" s="688">
        <f t="shared" si="12"/>
        <v>110244718051</v>
      </c>
      <c r="AG62" s="687">
        <f t="shared" si="12"/>
        <v>93384675329</v>
      </c>
      <c r="AH62" s="689">
        <f t="shared" si="12"/>
        <v>95154447381</v>
      </c>
    </row>
    <row r="63" spans="2:34" ht="20.100000000000001" customHeight="1">
      <c r="F63" t="b">
        <v>1</v>
      </c>
      <c r="G63" t="b">
        <v>1</v>
      </c>
      <c r="H63" t="b">
        <v>1</v>
      </c>
      <c r="I63" t="b">
        <v>1</v>
      </c>
      <c r="J63" t="b">
        <v>1</v>
      </c>
      <c r="K63" t="b">
        <v>1</v>
      </c>
      <c r="L63" t="b">
        <v>1</v>
      </c>
      <c r="M63" t="b">
        <v>1</v>
      </c>
      <c r="N63" t="b">
        <v>1</v>
      </c>
      <c r="O63" t="b">
        <v>1</v>
      </c>
      <c r="P63" t="b">
        <v>1</v>
      </c>
      <c r="Q63" t="b">
        <v>1</v>
      </c>
      <c r="R63" t="b">
        <v>1</v>
      </c>
      <c r="T63" t="b">
        <f>ROUND(T62,0)=ROUND(SUM($F$62:G$62),0)</f>
        <v>1</v>
      </c>
      <c r="U63" t="b">
        <f>ROUND(U62,0)=ROUND(SUM($F$62:H$62),0)</f>
        <v>1</v>
      </c>
      <c r="V63" t="b">
        <f>ROUND(V62,0)=ROUND(SUM($F$62:I$62),0)</f>
        <v>1</v>
      </c>
      <c r="W63" t="b">
        <f>ROUND(W62,0)=ROUND(SUM($F$62:J$62),0)</f>
        <v>1</v>
      </c>
      <c r="X63" t="b">
        <f>ROUND(X62,0)=ROUND(SUM($F$62:K$62),0)</f>
        <v>1</v>
      </c>
      <c r="Y63" t="b">
        <f>ROUND(Y62,0)=ROUND(SUM($F$62:L$62),0)</f>
        <v>1</v>
      </c>
      <c r="Z63" t="b">
        <f>ROUND(Z62,0)=ROUND(SUM($F$62:M$62),0)</f>
        <v>1</v>
      </c>
      <c r="AA63" t="b">
        <f>ROUND(AA62,0)=ROUND(SUM($F$62:N$62),0)</f>
        <v>1</v>
      </c>
      <c r="AB63" t="b">
        <f>ROUND(AB62,0)=ROUND(SUM($F$62:O$62),0)</f>
        <v>1</v>
      </c>
      <c r="AC63" t="b">
        <f>ROUND(AC62,0)=ROUND(SUM($F$62:P$62),0)</f>
        <v>1</v>
      </c>
      <c r="AE63" t="b">
        <f>ROUND(AE62,0)=ROUND(SUM(F62:H62),0)</f>
        <v>1</v>
      </c>
      <c r="AF63" t="b">
        <f>ROUND(AF62,0)=ROUND(SUM(I62:K62),0)</f>
        <v>1</v>
      </c>
      <c r="AG63" t="b">
        <f>ROUND(AG62,0)=ROUND(SUM(L62:N62),0)</f>
        <v>1</v>
      </c>
      <c r="AH63" t="b">
        <f>ROUND(AH62,0)=ROUND(SUM(O62:Q62),0)</f>
        <v>1</v>
      </c>
    </row>
    <row r="64" spans="2:34">
      <c r="E64" s="672"/>
    </row>
    <row r="65" spans="4:22">
      <c r="H65" s="223"/>
      <c r="V65" s="223"/>
    </row>
    <row r="67" spans="4:22">
      <c r="F67" t="b">
        <f>F69=SUM(F44:F56)</f>
        <v>1</v>
      </c>
      <c r="G67" t="b">
        <f t="shared" ref="G67:R67" si="13">G69=SUM(G44:G56)</f>
        <v>1</v>
      </c>
      <c r="H67" t="b">
        <f t="shared" si="13"/>
        <v>1</v>
      </c>
      <c r="I67" t="b">
        <f t="shared" si="13"/>
        <v>1</v>
      </c>
      <c r="J67" t="b">
        <f t="shared" si="13"/>
        <v>1</v>
      </c>
      <c r="K67" t="b">
        <f t="shared" si="13"/>
        <v>1</v>
      </c>
      <c r="L67" t="b">
        <f t="shared" si="13"/>
        <v>1</v>
      </c>
      <c r="M67" t="b">
        <f t="shared" si="13"/>
        <v>1</v>
      </c>
      <c r="N67" t="b">
        <f t="shared" si="13"/>
        <v>1</v>
      </c>
      <c r="O67" t="b">
        <f t="shared" si="13"/>
        <v>1</v>
      </c>
      <c r="P67" t="b">
        <f t="shared" si="13"/>
        <v>1</v>
      </c>
      <c r="Q67" t="b">
        <f t="shared" si="13"/>
        <v>1</v>
      </c>
      <c r="R67" t="b">
        <f t="shared" si="13"/>
        <v>1</v>
      </c>
    </row>
    <row r="68" spans="4:22">
      <c r="F68" s="665" t="s">
        <v>3</v>
      </c>
      <c r="G68" s="666" t="s">
        <v>4</v>
      </c>
      <c r="H68" s="666" t="s">
        <v>400</v>
      </c>
      <c r="I68" s="666" t="s">
        <v>401</v>
      </c>
      <c r="J68" s="666" t="s">
        <v>402</v>
      </c>
      <c r="K68" s="666" t="s">
        <v>403</v>
      </c>
      <c r="L68" s="666" t="s">
        <v>404</v>
      </c>
      <c r="M68" s="666" t="s">
        <v>405</v>
      </c>
      <c r="N68" s="666" t="s">
        <v>406</v>
      </c>
      <c r="O68" s="666" t="s">
        <v>407</v>
      </c>
      <c r="P68" s="666" t="s">
        <v>143</v>
      </c>
      <c r="Q68" s="667" t="s">
        <v>144</v>
      </c>
      <c r="R68" s="663" t="s">
        <v>497</v>
      </c>
    </row>
    <row r="69" spans="4:22" s="185" customFormat="1">
      <c r="D69" s="185" t="s">
        <v>508</v>
      </c>
      <c r="F69" s="850">
        <f>SUM(F70,F74,F77)</f>
        <v>7808648211</v>
      </c>
      <c r="G69" s="850">
        <f t="shared" ref="G69:Q69" si="14">SUM(G70,G74,G77)</f>
        <v>8554402538</v>
      </c>
      <c r="H69" s="850">
        <f t="shared" si="14"/>
        <v>6675841289</v>
      </c>
      <c r="I69" s="850">
        <f t="shared" si="14"/>
        <v>8004678424</v>
      </c>
      <c r="J69" s="850">
        <f t="shared" si="14"/>
        <v>6740572309</v>
      </c>
      <c r="K69" s="850">
        <f t="shared" si="14"/>
        <v>5880250149</v>
      </c>
      <c r="L69" s="850">
        <f t="shared" si="14"/>
        <v>6361205706</v>
      </c>
      <c r="M69" s="850">
        <f t="shared" si="14"/>
        <v>4210776469</v>
      </c>
      <c r="N69" s="850">
        <f t="shared" si="14"/>
        <v>9650258209</v>
      </c>
      <c r="O69" s="850">
        <f t="shared" si="14"/>
        <v>4903748113</v>
      </c>
      <c r="P69" s="850">
        <f t="shared" si="14"/>
        <v>10233109956</v>
      </c>
      <c r="Q69" s="850">
        <f t="shared" si="14"/>
        <v>8781528436</v>
      </c>
      <c r="R69" s="850">
        <f>SUM(F69:Q69)</f>
        <v>87805019809</v>
      </c>
    </row>
    <row r="70" spans="4:22" s="185" customFormat="1">
      <c r="D70" s="185" t="s">
        <v>509</v>
      </c>
      <c r="F70" s="850">
        <f>SUM(F71:F73)</f>
        <v>5283077660</v>
      </c>
      <c r="G70" s="850">
        <f t="shared" ref="G70:Q70" si="15">SUM(G71:G73)</f>
        <v>6178659360</v>
      </c>
      <c r="H70" s="850">
        <f t="shared" si="15"/>
        <v>5064525780</v>
      </c>
      <c r="I70" s="850">
        <f t="shared" si="15"/>
        <v>4514293080</v>
      </c>
      <c r="J70" s="850">
        <f t="shared" si="15"/>
        <v>4964650080</v>
      </c>
      <c r="K70" s="850">
        <f t="shared" si="15"/>
        <v>2439488340</v>
      </c>
      <c r="L70" s="850">
        <f t="shared" si="15"/>
        <v>2625820020</v>
      </c>
      <c r="M70" s="850">
        <f t="shared" si="15"/>
        <v>1800537660</v>
      </c>
      <c r="N70" s="850">
        <f t="shared" si="15"/>
        <v>3896420760</v>
      </c>
      <c r="O70" s="850">
        <f t="shared" si="15"/>
        <v>1133002260</v>
      </c>
      <c r="P70" s="850">
        <f t="shared" si="15"/>
        <v>2175223500</v>
      </c>
      <c r="Q70" s="850">
        <f t="shared" si="15"/>
        <v>183933540</v>
      </c>
      <c r="R70" s="850">
        <f t="shared" ref="R70:R82" si="16">SUM(F70:Q70)</f>
        <v>40259632040</v>
      </c>
    </row>
    <row r="71" spans="4:22">
      <c r="E71" t="s">
        <v>510</v>
      </c>
      <c r="F71" s="1">
        <f>F45</f>
        <v>5126482260</v>
      </c>
      <c r="G71" s="1">
        <f t="shared" ref="G71:Q71" si="17">G45</f>
        <v>6178659360</v>
      </c>
      <c r="H71" s="1">
        <f t="shared" si="17"/>
        <v>5064525780</v>
      </c>
      <c r="I71" s="1">
        <f t="shared" si="17"/>
        <v>4514293080</v>
      </c>
      <c r="J71" s="1">
        <f t="shared" si="17"/>
        <v>4964650080</v>
      </c>
      <c r="K71" s="1">
        <f t="shared" si="17"/>
        <v>2439488340</v>
      </c>
      <c r="L71" s="1">
        <f t="shared" si="17"/>
        <v>2625820020</v>
      </c>
      <c r="M71" s="1">
        <f t="shared" si="17"/>
        <v>1800537660</v>
      </c>
      <c r="N71" s="1">
        <f t="shared" si="17"/>
        <v>3896420760</v>
      </c>
      <c r="O71" s="1">
        <f t="shared" si="17"/>
        <v>1133002260</v>
      </c>
      <c r="P71" s="1">
        <f t="shared" si="17"/>
        <v>2175223500</v>
      </c>
      <c r="Q71" s="1">
        <f t="shared" si="17"/>
        <v>183933540</v>
      </c>
      <c r="R71" s="1">
        <f t="shared" si="16"/>
        <v>40103036640</v>
      </c>
    </row>
    <row r="72" spans="4:22">
      <c r="E72" t="s">
        <v>89</v>
      </c>
      <c r="F72" s="1">
        <f>F44</f>
        <v>156595400</v>
      </c>
      <c r="G72" s="1">
        <f t="shared" ref="G72:Q72" si="18">G44</f>
        <v>0</v>
      </c>
      <c r="H72" s="1">
        <f t="shared" si="18"/>
        <v>0</v>
      </c>
      <c r="I72" s="1">
        <f t="shared" si="18"/>
        <v>0</v>
      </c>
      <c r="J72" s="1">
        <f t="shared" si="18"/>
        <v>0</v>
      </c>
      <c r="K72" s="1">
        <f t="shared" si="18"/>
        <v>0</v>
      </c>
      <c r="L72" s="1">
        <f t="shared" si="18"/>
        <v>0</v>
      </c>
      <c r="M72" s="1">
        <f t="shared" si="18"/>
        <v>0</v>
      </c>
      <c r="N72" s="1">
        <f t="shared" si="18"/>
        <v>0</v>
      </c>
      <c r="O72" s="1">
        <f t="shared" si="18"/>
        <v>0</v>
      </c>
      <c r="P72" s="1">
        <f t="shared" si="18"/>
        <v>0</v>
      </c>
      <c r="Q72" s="1">
        <f t="shared" si="18"/>
        <v>0</v>
      </c>
      <c r="R72" s="1">
        <f t="shared" si="16"/>
        <v>156595400</v>
      </c>
    </row>
    <row r="73" spans="4:22">
      <c r="E73" t="s">
        <v>511</v>
      </c>
      <c r="F73" s="1">
        <f>F48</f>
        <v>0</v>
      </c>
      <c r="G73" s="1">
        <f t="shared" ref="G73:Q73" si="19">G48</f>
        <v>0</v>
      </c>
      <c r="H73" s="1">
        <f t="shared" si="19"/>
        <v>0</v>
      </c>
      <c r="I73" s="1">
        <f t="shared" si="19"/>
        <v>0</v>
      </c>
      <c r="J73" s="1">
        <f t="shared" si="19"/>
        <v>0</v>
      </c>
      <c r="K73" s="1">
        <f t="shared" si="19"/>
        <v>0</v>
      </c>
      <c r="L73" s="1">
        <f t="shared" si="19"/>
        <v>0</v>
      </c>
      <c r="M73" s="1">
        <f t="shared" si="19"/>
        <v>0</v>
      </c>
      <c r="N73" s="1">
        <f t="shared" si="19"/>
        <v>0</v>
      </c>
      <c r="O73" s="1">
        <f t="shared" si="19"/>
        <v>0</v>
      </c>
      <c r="P73" s="1">
        <f t="shared" si="19"/>
        <v>0</v>
      </c>
      <c r="Q73" s="1">
        <f t="shared" si="19"/>
        <v>0</v>
      </c>
      <c r="R73" s="1">
        <f t="shared" si="16"/>
        <v>0</v>
      </c>
    </row>
    <row r="74" spans="4:22" s="185" customFormat="1">
      <c r="D74" s="185" t="s">
        <v>512</v>
      </c>
      <c r="F74" s="850">
        <f>SUM(F75:F76)</f>
        <v>1207371870</v>
      </c>
      <c r="G74" s="850">
        <f t="shared" ref="G74:Q74" si="20">SUM(G75:G76)</f>
        <v>1703047880</v>
      </c>
      <c r="H74" s="850">
        <f t="shared" si="20"/>
        <v>1072735080</v>
      </c>
      <c r="I74" s="850">
        <f t="shared" si="20"/>
        <v>1997814850</v>
      </c>
      <c r="J74" s="850">
        <f t="shared" si="20"/>
        <v>1457744800</v>
      </c>
      <c r="K74" s="850">
        <f t="shared" si="20"/>
        <v>2373503380</v>
      </c>
      <c r="L74" s="850">
        <f t="shared" si="20"/>
        <v>2320792290</v>
      </c>
      <c r="M74" s="850">
        <f t="shared" si="20"/>
        <v>1681529380</v>
      </c>
      <c r="N74" s="850">
        <f t="shared" si="20"/>
        <v>4028079020</v>
      </c>
      <c r="O74" s="850">
        <f t="shared" si="20"/>
        <v>3270742560</v>
      </c>
      <c r="P74" s="850">
        <f t="shared" si="20"/>
        <v>6456267860</v>
      </c>
      <c r="Q74" s="850">
        <f t="shared" si="20"/>
        <v>7395505640</v>
      </c>
      <c r="R74" s="850">
        <f t="shared" si="16"/>
        <v>34965134610</v>
      </c>
    </row>
    <row r="75" spans="4:22">
      <c r="E75" t="s">
        <v>513</v>
      </c>
      <c r="F75" s="1">
        <f>F46</f>
        <v>670443570</v>
      </c>
      <c r="G75" s="1">
        <f t="shared" ref="G75:Q75" si="21">G46</f>
        <v>678710580</v>
      </c>
      <c r="H75" s="1">
        <f t="shared" si="21"/>
        <v>672176480</v>
      </c>
      <c r="I75" s="1">
        <f t="shared" si="21"/>
        <v>799032650</v>
      </c>
      <c r="J75" s="1">
        <f t="shared" si="21"/>
        <v>454620400</v>
      </c>
      <c r="K75" s="1">
        <f t="shared" si="21"/>
        <v>806854580</v>
      </c>
      <c r="L75" s="1">
        <f t="shared" si="21"/>
        <v>1017805510</v>
      </c>
      <c r="M75" s="1">
        <f t="shared" si="21"/>
        <v>671369780</v>
      </c>
      <c r="N75" s="1">
        <f t="shared" si="21"/>
        <v>1203003500</v>
      </c>
      <c r="O75" s="1">
        <f t="shared" si="21"/>
        <v>762501260</v>
      </c>
      <c r="P75" s="1">
        <f t="shared" si="21"/>
        <v>615935260</v>
      </c>
      <c r="Q75" s="1">
        <f t="shared" si="21"/>
        <v>1261232640</v>
      </c>
      <c r="R75" s="1">
        <f t="shared" si="16"/>
        <v>9613686210</v>
      </c>
    </row>
    <row r="76" spans="4:22">
      <c r="E76" t="s">
        <v>514</v>
      </c>
      <c r="F76" s="1">
        <f>F47</f>
        <v>536928300</v>
      </c>
      <c r="G76" s="1">
        <f t="shared" ref="G76:Q76" si="22">G47</f>
        <v>1024337300</v>
      </c>
      <c r="H76" s="1">
        <f t="shared" si="22"/>
        <v>400558600</v>
      </c>
      <c r="I76" s="1">
        <f t="shared" si="22"/>
        <v>1198782200</v>
      </c>
      <c r="J76" s="1">
        <f t="shared" si="22"/>
        <v>1003124400</v>
      </c>
      <c r="K76" s="1">
        <f t="shared" si="22"/>
        <v>1566648800</v>
      </c>
      <c r="L76" s="1">
        <f t="shared" si="22"/>
        <v>1302986780</v>
      </c>
      <c r="M76" s="1">
        <f t="shared" si="22"/>
        <v>1010159600</v>
      </c>
      <c r="N76" s="1">
        <f t="shared" si="22"/>
        <v>2825075520</v>
      </c>
      <c r="O76" s="1">
        <f t="shared" si="22"/>
        <v>2508241300</v>
      </c>
      <c r="P76" s="1">
        <f t="shared" si="22"/>
        <v>5840332600</v>
      </c>
      <c r="Q76" s="1">
        <f t="shared" si="22"/>
        <v>6134273000</v>
      </c>
      <c r="R76" s="1">
        <f t="shared" si="16"/>
        <v>25351448400</v>
      </c>
    </row>
    <row r="77" spans="4:22" s="185" customFormat="1">
      <c r="D77" s="185" t="s">
        <v>515</v>
      </c>
      <c r="F77" s="850">
        <f>SUM(F78:F82)</f>
        <v>1318198681</v>
      </c>
      <c r="G77" s="850">
        <f t="shared" ref="G77:Q77" si="23">SUM(G78:G82)</f>
        <v>672695298</v>
      </c>
      <c r="H77" s="850">
        <f t="shared" si="23"/>
        <v>538580429</v>
      </c>
      <c r="I77" s="850">
        <f t="shared" si="23"/>
        <v>1492570494</v>
      </c>
      <c r="J77" s="850">
        <f t="shared" si="23"/>
        <v>318177429</v>
      </c>
      <c r="K77" s="850">
        <f t="shared" si="23"/>
        <v>1067258429</v>
      </c>
      <c r="L77" s="850">
        <f t="shared" si="23"/>
        <v>1414593396</v>
      </c>
      <c r="M77" s="850">
        <f t="shared" si="23"/>
        <v>728709429</v>
      </c>
      <c r="N77" s="850">
        <f t="shared" si="23"/>
        <v>1725758429</v>
      </c>
      <c r="O77" s="850">
        <f t="shared" si="23"/>
        <v>500003293</v>
      </c>
      <c r="P77" s="850">
        <f t="shared" si="23"/>
        <v>1601618596</v>
      </c>
      <c r="Q77" s="850">
        <f t="shared" si="23"/>
        <v>1202089256</v>
      </c>
      <c r="R77" s="850">
        <f t="shared" si="16"/>
        <v>12580253159</v>
      </c>
    </row>
    <row r="78" spans="4:22">
      <c r="E78" t="s">
        <v>516</v>
      </c>
      <c r="F78" s="1">
        <f>F50</f>
        <v>0</v>
      </c>
      <c r="G78" s="1">
        <f t="shared" ref="G78:Q78" si="24">G50</f>
        <v>147000000</v>
      </c>
      <c r="H78" s="1">
        <f t="shared" si="24"/>
        <v>0</v>
      </c>
      <c r="I78" s="1">
        <f t="shared" si="24"/>
        <v>62800000</v>
      </c>
      <c r="J78" s="1">
        <f t="shared" si="24"/>
        <v>119500000</v>
      </c>
      <c r="K78" s="1">
        <f t="shared" si="24"/>
        <v>184000000</v>
      </c>
      <c r="L78" s="1">
        <f t="shared" si="24"/>
        <v>0</v>
      </c>
      <c r="M78" s="1">
        <f t="shared" si="24"/>
        <v>107000000</v>
      </c>
      <c r="N78" s="1">
        <f t="shared" si="24"/>
        <v>415300000</v>
      </c>
      <c r="O78" s="1">
        <f t="shared" si="24"/>
        <v>0</v>
      </c>
      <c r="P78" s="1">
        <f t="shared" si="24"/>
        <v>67000000</v>
      </c>
      <c r="Q78" s="1">
        <f t="shared" si="24"/>
        <v>67000000</v>
      </c>
      <c r="R78" s="1">
        <f t="shared" si="16"/>
        <v>1169600000</v>
      </c>
    </row>
    <row r="79" spans="4:22">
      <c r="E79" t="s">
        <v>517</v>
      </c>
      <c r="F79" s="1">
        <f>F53</f>
        <v>0</v>
      </c>
      <c r="G79" s="1">
        <f t="shared" ref="G79:Q79" si="25">G53</f>
        <v>38500000</v>
      </c>
      <c r="H79" s="1">
        <f t="shared" si="25"/>
        <v>0</v>
      </c>
      <c r="I79" s="1">
        <f t="shared" si="25"/>
        <v>54875000</v>
      </c>
      <c r="J79" s="1">
        <f t="shared" si="25"/>
        <v>38500000</v>
      </c>
      <c r="K79" s="1">
        <f t="shared" si="25"/>
        <v>614875000</v>
      </c>
      <c r="L79" s="1">
        <f t="shared" si="25"/>
        <v>0</v>
      </c>
      <c r="M79" s="1">
        <f t="shared" si="25"/>
        <v>38500000</v>
      </c>
      <c r="N79" s="1">
        <f t="shared" si="25"/>
        <v>161000000</v>
      </c>
      <c r="O79" s="1">
        <f t="shared" si="25"/>
        <v>0</v>
      </c>
      <c r="P79" s="1">
        <f t="shared" si="25"/>
        <v>140500000</v>
      </c>
      <c r="Q79" s="1">
        <f t="shared" si="25"/>
        <v>0</v>
      </c>
      <c r="R79" s="1">
        <f t="shared" si="16"/>
        <v>1086750000</v>
      </c>
    </row>
    <row r="80" spans="4:22">
      <c r="E80" t="s">
        <v>96</v>
      </c>
      <c r="F80" s="1">
        <f>F51</f>
        <v>162069429</v>
      </c>
      <c r="G80" s="1">
        <f t="shared" ref="G80:Q80" si="26">G51</f>
        <v>30069429</v>
      </c>
      <c r="H80" s="1">
        <f t="shared" si="26"/>
        <v>137569429</v>
      </c>
      <c r="I80" s="1">
        <f t="shared" si="26"/>
        <v>718469429</v>
      </c>
      <c r="J80" s="1">
        <f t="shared" si="26"/>
        <v>14069429</v>
      </c>
      <c r="K80" s="1">
        <f t="shared" si="26"/>
        <v>160319429</v>
      </c>
      <c r="L80" s="1">
        <f t="shared" si="26"/>
        <v>1322769429</v>
      </c>
      <c r="M80" s="1">
        <f t="shared" si="26"/>
        <v>353609429</v>
      </c>
      <c r="N80" s="1">
        <f t="shared" si="26"/>
        <v>853069429</v>
      </c>
      <c r="O80" s="1">
        <f t="shared" si="26"/>
        <v>371069429</v>
      </c>
      <c r="P80" s="1">
        <f t="shared" si="26"/>
        <v>1136027429</v>
      </c>
      <c r="Q80" s="1">
        <f t="shared" si="26"/>
        <v>769328089</v>
      </c>
      <c r="R80" s="1">
        <f t="shared" si="16"/>
        <v>6028439808</v>
      </c>
    </row>
    <row r="81" spans="5:18">
      <c r="E81" t="s">
        <v>511</v>
      </c>
      <c r="F81" s="1">
        <f>F52</f>
        <v>1140000000</v>
      </c>
      <c r="G81" s="1">
        <f t="shared" ref="G81:Q81" si="27">G52</f>
        <v>344375000</v>
      </c>
      <c r="H81" s="1">
        <f t="shared" si="27"/>
        <v>386875000</v>
      </c>
      <c r="I81" s="1">
        <f t="shared" si="27"/>
        <v>595000000</v>
      </c>
      <c r="J81" s="1">
        <f t="shared" si="27"/>
        <v>93750000</v>
      </c>
      <c r="K81" s="1">
        <f t="shared" si="27"/>
        <v>93750000</v>
      </c>
      <c r="L81" s="1">
        <f t="shared" si="27"/>
        <v>46875000</v>
      </c>
      <c r="M81" s="1">
        <f t="shared" si="27"/>
        <v>187500000</v>
      </c>
      <c r="N81" s="1">
        <f t="shared" si="27"/>
        <v>282075000</v>
      </c>
      <c r="O81" s="1">
        <f t="shared" si="27"/>
        <v>28632175</v>
      </c>
      <c r="P81" s="1">
        <f t="shared" si="27"/>
        <v>240929167</v>
      </c>
      <c r="Q81" s="1">
        <f t="shared" si="27"/>
        <v>339929167</v>
      </c>
      <c r="R81" s="1">
        <f t="shared" si="16"/>
        <v>3779690509</v>
      </c>
    </row>
    <row r="82" spans="5:18">
      <c r="E82" t="s">
        <v>518</v>
      </c>
      <c r="F82" s="1">
        <f>SUM(F54:F56)</f>
        <v>16129252</v>
      </c>
      <c r="G82" s="1">
        <f t="shared" ref="G82:Q82" si="28">SUM(G54:G56)</f>
        <v>112750869</v>
      </c>
      <c r="H82" s="1">
        <f t="shared" si="28"/>
        <v>14136000</v>
      </c>
      <c r="I82" s="1">
        <f t="shared" si="28"/>
        <v>61426065</v>
      </c>
      <c r="J82" s="1">
        <f t="shared" si="28"/>
        <v>52358000</v>
      </c>
      <c r="K82" s="1">
        <f t="shared" si="28"/>
        <v>14314000</v>
      </c>
      <c r="L82" s="1">
        <f t="shared" si="28"/>
        <v>44948967</v>
      </c>
      <c r="M82" s="1">
        <f t="shared" si="28"/>
        <v>42100000</v>
      </c>
      <c r="N82" s="1">
        <f t="shared" si="28"/>
        <v>14314000</v>
      </c>
      <c r="O82" s="1">
        <f t="shared" si="28"/>
        <v>100301689</v>
      </c>
      <c r="P82" s="1">
        <f t="shared" si="28"/>
        <v>17162000</v>
      </c>
      <c r="Q82" s="1">
        <f t="shared" si="28"/>
        <v>25832000</v>
      </c>
      <c r="R82" s="1">
        <f t="shared" si="16"/>
        <v>515772842</v>
      </c>
    </row>
  </sheetData>
  <autoFilter ref="B4:AH63" xr:uid="{03E5B634-BE03-4B61-AEE4-DFC63D1F1CE3}"/>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9B71-366F-4D80-9227-83BEC97E843A}">
  <sheetPr codeName="Sheet9">
    <pageSetUpPr fitToPage="1"/>
  </sheetPr>
  <dimension ref="A1:AP69"/>
  <sheetViews>
    <sheetView showGridLines="0" view="pageBreakPreview" topLeftCell="A3" zoomScale="70" zoomScaleNormal="70" zoomScaleSheetLayoutView="70" workbookViewId="0">
      <selection activeCell="L10" sqref="L10"/>
    </sheetView>
  </sheetViews>
  <sheetFormatPr defaultRowHeight="17.399999999999999"/>
  <cols>
    <col min="1" max="1" width="1.09765625" customWidth="1"/>
    <col min="2" max="2" width="3.09765625" customWidth="1"/>
    <col min="3" max="3" width="12.59765625" customWidth="1"/>
    <col min="4" max="21" width="9.59765625" customWidth="1"/>
    <col min="22" max="22" width="1.5" customWidth="1"/>
    <col min="23" max="23" width="10" bestFit="1" customWidth="1"/>
    <col min="24" max="24" width="9.09765625" bestFit="1" customWidth="1"/>
    <col min="25" max="25" width="9.09765625" customWidth="1"/>
    <col min="26" max="26" width="10" customWidth="1"/>
    <col min="27" max="27" width="1.59765625" customWidth="1"/>
    <col min="28" max="28" width="15.09765625" customWidth="1"/>
    <col min="29" max="29" width="1.59765625" customWidth="1"/>
    <col min="30" max="30" width="3.59765625" customWidth="1"/>
    <col min="31" max="31" width="11.59765625" customWidth="1"/>
    <col min="32" max="32" width="24.5" customWidth="1"/>
    <col min="33" max="33" width="11.5" customWidth="1"/>
    <col min="37" max="37" width="12.09765625" customWidth="1"/>
    <col min="41" max="41" width="13.09765625" customWidth="1"/>
    <col min="46" max="46" width="48.59765625" customWidth="1"/>
  </cols>
  <sheetData>
    <row r="1" spans="1:42" ht="54.75" customHeight="1">
      <c r="A1" s="1633" t="s">
        <v>519</v>
      </c>
      <c r="B1" s="1633"/>
      <c r="C1" s="1633"/>
      <c r="D1" s="1633"/>
      <c r="E1" s="1633"/>
      <c r="F1" s="1633"/>
      <c r="G1" s="1633"/>
      <c r="H1" s="1633"/>
      <c r="I1" s="1633"/>
      <c r="J1" s="1633"/>
      <c r="K1" s="1633"/>
      <c r="L1" s="1633"/>
      <c r="M1" s="1633"/>
      <c r="N1" s="1633"/>
      <c r="O1" s="1633"/>
      <c r="P1" s="1633"/>
      <c r="Q1" s="1633"/>
      <c r="R1" s="1633"/>
      <c r="S1" s="1633"/>
      <c r="T1" s="1633"/>
      <c r="U1" s="1633"/>
      <c r="V1" s="1633"/>
      <c r="W1" s="1633"/>
      <c r="X1" s="1633"/>
      <c r="Y1" s="1633"/>
      <c r="Z1" s="1633"/>
    </row>
    <row r="2" spans="1:4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215" t="s">
        <v>520</v>
      </c>
    </row>
    <row r="3" spans="1:42" ht="27" customHeight="1">
      <c r="A3" s="40" t="s">
        <v>521</v>
      </c>
      <c r="Z3" s="215"/>
    </row>
    <row r="4" spans="1:42" ht="18" thickBot="1">
      <c r="T4" s="487"/>
      <c r="Z4" s="207" t="s">
        <v>6</v>
      </c>
    </row>
    <row r="5" spans="1:42" ht="25.35" customHeight="1">
      <c r="A5" s="1634" t="s">
        <v>7</v>
      </c>
      <c r="B5" s="1635"/>
      <c r="C5" s="1636"/>
      <c r="D5" s="1643" t="s">
        <v>522</v>
      </c>
      <c r="E5" s="1646" t="s">
        <v>523</v>
      </c>
      <c r="F5" s="1629" t="s">
        <v>2</v>
      </c>
      <c r="G5" s="1630"/>
      <c r="H5" s="1630"/>
      <c r="I5" s="1630"/>
      <c r="J5" s="1630"/>
      <c r="K5" s="1630"/>
      <c r="L5" s="1630"/>
      <c r="M5" s="1630"/>
      <c r="N5" s="1630"/>
      <c r="O5" s="1630"/>
      <c r="P5" s="1630"/>
      <c r="Q5" s="1630"/>
      <c r="R5" s="1630"/>
      <c r="S5" s="1630"/>
      <c r="T5" s="1630"/>
      <c r="U5" s="1631"/>
      <c r="V5" s="432"/>
      <c r="W5" s="1649" t="s">
        <v>524</v>
      </c>
      <c r="X5" s="1650"/>
      <c r="Y5" s="1650"/>
      <c r="Z5" s="1651"/>
      <c r="AE5">
        <f>860-835</f>
        <v>25</v>
      </c>
    </row>
    <row r="6" spans="1:42" ht="25.35" customHeight="1">
      <c r="A6" s="1637"/>
      <c r="B6" s="1638"/>
      <c r="C6" s="1639"/>
      <c r="D6" s="1644"/>
      <c r="E6" s="1647"/>
      <c r="F6" s="1658" t="s">
        <v>3</v>
      </c>
      <c r="G6" s="1659"/>
      <c r="H6" s="1660"/>
      <c r="I6" s="1660"/>
      <c r="J6" s="1661" t="s">
        <v>4</v>
      </c>
      <c r="K6" s="1659"/>
      <c r="L6" s="1660"/>
      <c r="M6" s="1662"/>
      <c r="N6" s="1661" t="s">
        <v>5</v>
      </c>
      <c r="O6" s="1659"/>
      <c r="P6" s="1660"/>
      <c r="Q6" s="1662"/>
      <c r="R6" s="1661" t="s">
        <v>11</v>
      </c>
      <c r="S6" s="1659"/>
      <c r="T6" s="1660"/>
      <c r="U6" s="1665"/>
      <c r="V6" s="432"/>
      <c r="W6" s="1652" t="s">
        <v>522</v>
      </c>
      <c r="X6" s="1654" t="s">
        <v>14</v>
      </c>
      <c r="Y6" s="1663" t="s">
        <v>525</v>
      </c>
      <c r="Z6" s="1656" t="s">
        <v>16</v>
      </c>
    </row>
    <row r="7" spans="1:42" ht="46.5" customHeight="1" thickBot="1">
      <c r="A7" s="1640"/>
      <c r="B7" s="1641"/>
      <c r="C7" s="1642"/>
      <c r="D7" s="1645"/>
      <c r="E7" s="1648"/>
      <c r="F7" s="564" t="s">
        <v>522</v>
      </c>
      <c r="G7" s="552" t="s">
        <v>14</v>
      </c>
      <c r="H7" s="434" t="s">
        <v>15</v>
      </c>
      <c r="I7" s="435" t="s">
        <v>16</v>
      </c>
      <c r="J7" s="436" t="s">
        <v>526</v>
      </c>
      <c r="K7" s="552" t="s">
        <v>14</v>
      </c>
      <c r="L7" s="434" t="s">
        <v>15</v>
      </c>
      <c r="M7" s="435" t="s">
        <v>16</v>
      </c>
      <c r="N7" s="436" t="s">
        <v>526</v>
      </c>
      <c r="O7" s="552" t="s">
        <v>14</v>
      </c>
      <c r="P7" s="434" t="s">
        <v>525</v>
      </c>
      <c r="Q7" s="435" t="s">
        <v>16</v>
      </c>
      <c r="R7" s="604" t="s">
        <v>526</v>
      </c>
      <c r="S7" s="434" t="s">
        <v>14</v>
      </c>
      <c r="T7" s="434" t="s">
        <v>525</v>
      </c>
      <c r="U7" s="579" t="s">
        <v>17</v>
      </c>
      <c r="V7" s="432"/>
      <c r="W7" s="1653"/>
      <c r="X7" s="1655"/>
      <c r="Y7" s="1664"/>
      <c r="Z7" s="1657"/>
    </row>
    <row r="8" spans="1:42" ht="30" customHeight="1">
      <c r="A8" s="607"/>
      <c r="B8" s="1580" t="s">
        <v>18</v>
      </c>
      <c r="C8" s="1581"/>
      <c r="D8" s="489">
        <f>D9+D13+D16</f>
        <v>877.55713199000002</v>
      </c>
      <c r="E8" s="490">
        <f>E9+E13+E16</f>
        <v>1100.98907855373</v>
      </c>
      <c r="F8" s="565">
        <f>F9+F13+F16</f>
        <v>78.086482110000006</v>
      </c>
      <c r="G8" s="553">
        <f>G9+G13+G16</f>
        <v>65.918633279942341</v>
      </c>
      <c r="H8" s="491">
        <f t="shared" ref="H8" si="0">H9+H13+H16</f>
        <v>67.325155449999997</v>
      </c>
      <c r="I8" s="492">
        <f>H8-G8</f>
        <v>1.4065221700576558</v>
      </c>
      <c r="J8" s="493">
        <f>J9+J13+J16</f>
        <v>85.544025379999994</v>
      </c>
      <c r="K8" s="553">
        <f>K9+K13+K16</f>
        <v>57.537502900731866</v>
      </c>
      <c r="L8" s="491">
        <f t="shared" ref="L8" si="1">L9+L13+L16</f>
        <v>106.9893119</v>
      </c>
      <c r="M8" s="492">
        <f>L8-K8</f>
        <v>49.451808999268138</v>
      </c>
      <c r="N8" s="493">
        <f>N9+N13+N16</f>
        <v>66.758412890000002</v>
      </c>
      <c r="O8" s="553">
        <f>O9+O13+O16</f>
        <v>109.9107025215214</v>
      </c>
      <c r="P8" s="491">
        <f t="shared" ref="P8" si="2">P9+P13+P16</f>
        <v>95.323474659999988</v>
      </c>
      <c r="Q8" s="492">
        <f>P8-O8</f>
        <v>-14.587227861521413</v>
      </c>
      <c r="R8" s="494">
        <f>R9+R13+R16</f>
        <v>230.38892038</v>
      </c>
      <c r="S8" s="491">
        <f>S9+S13+S16</f>
        <v>233.36683870219562</v>
      </c>
      <c r="T8" s="491">
        <f t="shared" ref="T8" si="3">T9+T13+T16</f>
        <v>269.63794200999996</v>
      </c>
      <c r="U8" s="613">
        <f>T8-S8</f>
        <v>36.271103307804339</v>
      </c>
      <c r="V8" s="235"/>
      <c r="W8" s="612">
        <f>W9+W13+W16</f>
        <v>877.55713199000002</v>
      </c>
      <c r="X8" s="587">
        <f t="shared" ref="X8" si="4">X9+X13+X16</f>
        <v>1100.98907855373</v>
      </c>
      <c r="Y8" s="588">
        <f>X8</f>
        <v>1100.98907855373</v>
      </c>
      <c r="Z8" s="641">
        <f>Y8-X8</f>
        <v>0</v>
      </c>
      <c r="AB8" s="1">
        <v>835.55861132999996</v>
      </c>
      <c r="AE8" s="477">
        <f>X8-AB8</f>
        <v>265.43046722373003</v>
      </c>
      <c r="AF8" s="475">
        <f>H8-F8</f>
        <v>-10.761326660000009</v>
      </c>
      <c r="AG8" s="475" t="e">
        <f>#REF!+R8</f>
        <v>#REF!</v>
      </c>
      <c r="AH8" s="475" t="e">
        <f>#REF!+T8</f>
        <v>#REF!</v>
      </c>
      <c r="AI8" s="475" t="e">
        <f>#REF!+U8</f>
        <v>#REF!</v>
      </c>
      <c r="AK8" s="1">
        <v>196.12004737999999</v>
      </c>
      <c r="AN8">
        <v>64.038898879999991</v>
      </c>
      <c r="AO8" s="475"/>
    </row>
    <row r="9" spans="1:42" ht="30" customHeight="1">
      <c r="A9" s="607"/>
      <c r="B9" s="1576" t="s">
        <v>20</v>
      </c>
      <c r="C9" s="1577"/>
      <c r="D9" s="495">
        <f>SUM(D10:D12)</f>
        <v>402.55310239999994</v>
      </c>
      <c r="E9" s="496">
        <f>SUM(E10:E12)</f>
        <v>192.56842740000002</v>
      </c>
      <c r="F9" s="566">
        <f>SUM(F10:F12)</f>
        <v>52.8307766</v>
      </c>
      <c r="G9" s="554">
        <f>SUM(G10:G12)</f>
        <v>7.3631250000000001</v>
      </c>
      <c r="H9" s="497">
        <f>SUM(H10:H12)</f>
        <v>3.0259727999999999</v>
      </c>
      <c r="I9" s="498">
        <f t="shared" ref="I9:I21" si="5">H9-G9</f>
        <v>-4.3371522000000002</v>
      </c>
      <c r="J9" s="499">
        <f>SUM(J10:J12)</f>
        <v>61.786593600000003</v>
      </c>
      <c r="K9" s="554">
        <f>SUM(K10:K12)</f>
        <v>32.535269999999997</v>
      </c>
      <c r="L9" s="497">
        <f t="shared" ref="L9:P9" si="6">SUM(L10:L11)</f>
        <v>53.72064744</v>
      </c>
      <c r="M9" s="498">
        <f t="shared" ref="M9:M21" si="7">L9-K9</f>
        <v>21.185377440000003</v>
      </c>
      <c r="N9" s="499">
        <f>SUM(N10:N12)</f>
        <v>50.645257800000003</v>
      </c>
      <c r="O9" s="554">
        <f>SUM(O10:O12)</f>
        <v>27.626445</v>
      </c>
      <c r="P9" s="497">
        <f t="shared" si="6"/>
        <v>29.674391499999999</v>
      </c>
      <c r="Q9" s="498">
        <f t="shared" ref="Q9:Q21" si="8">P9-O9</f>
        <v>2.0479464999999983</v>
      </c>
      <c r="R9" s="551">
        <f>SUM(R10:R12)</f>
        <v>165.26262800000001</v>
      </c>
      <c r="S9" s="497">
        <f>SUM(S10:S12)</f>
        <v>67.524839999999998</v>
      </c>
      <c r="T9" s="497">
        <f t="shared" ref="T9" si="9">SUM(T10:T11)</f>
        <v>86.421011739999997</v>
      </c>
      <c r="U9" s="580">
        <f t="shared" ref="U9:U21" si="10">T9-S9</f>
        <v>18.89617174</v>
      </c>
      <c r="V9" s="266"/>
      <c r="W9" s="614">
        <f>SUM(W10:W12)</f>
        <v>402.55310239999994</v>
      </c>
      <c r="X9" s="589">
        <f>SUM(X10:X12)</f>
        <v>192.56842740000002</v>
      </c>
      <c r="Y9" s="590">
        <f>SUM(Y10:Y12)</f>
        <v>192.56842740000002</v>
      </c>
      <c r="Z9" s="642">
        <f t="shared" ref="Z9:Z21" si="11">Y9-X9</f>
        <v>0</v>
      </c>
      <c r="AB9" s="1">
        <v>402.1681213999999</v>
      </c>
      <c r="AE9" s="477">
        <f t="shared" ref="AE9:AE21" si="12">X9-AB9</f>
        <v>-209.59969399999989</v>
      </c>
      <c r="AF9" s="475">
        <f t="shared" ref="AF9:AF21" si="13">H9-F9</f>
        <v>-49.804803800000002</v>
      </c>
      <c r="AG9" s="475" t="e">
        <f>#REF!+R9</f>
        <v>#REF!</v>
      </c>
      <c r="AH9" s="475" t="e">
        <f>#REF!+T9</f>
        <v>#REF!</v>
      </c>
      <c r="AI9" s="475" t="e">
        <f>#REF!+U9</f>
        <v>#REF!</v>
      </c>
      <c r="AK9" s="1">
        <v>34.548569999999998</v>
      </c>
      <c r="AO9" s="1">
        <v>21.695039999999999</v>
      </c>
      <c r="AP9" s="15" t="e">
        <f>AO9-#REF!</f>
        <v>#REF!</v>
      </c>
    </row>
    <row r="10" spans="1:42" ht="30" customHeight="1">
      <c r="A10" s="607"/>
      <c r="B10" s="1582"/>
      <c r="C10" s="440" t="s">
        <v>132</v>
      </c>
      <c r="D10" s="500">
        <v>400.98714839999997</v>
      </c>
      <c r="E10" s="501">
        <v>116.6450274</v>
      </c>
      <c r="F10" s="567">
        <f>'2023년 실적'!F45/10^8</f>
        <v>51.264822600000002</v>
      </c>
      <c r="G10" s="555">
        <f>'상세 자료 작성'!J7/10^8</f>
        <v>7.3631250000000001</v>
      </c>
      <c r="H10" s="502">
        <f>'상세 자료 작성'!K7/10^8</f>
        <v>3.0259727999999999</v>
      </c>
      <c r="I10" s="503">
        <f t="shared" si="5"/>
        <v>-4.3371522000000002</v>
      </c>
      <c r="J10" s="504">
        <f>'2023년 실적'!G45/10^8</f>
        <v>61.786593600000003</v>
      </c>
      <c r="K10" s="555">
        <f>'상세 자료 작성'!J18/10^8</f>
        <v>32.535269999999997</v>
      </c>
      <c r="L10" s="505">
        <f>'상세 자료 작성'!I18/10^8</f>
        <v>53.72064744</v>
      </c>
      <c r="M10" s="503">
        <f t="shared" si="7"/>
        <v>21.185377440000003</v>
      </c>
      <c r="N10" s="504">
        <f>'2023년 실적'!H45/10^8</f>
        <v>50.645257800000003</v>
      </c>
      <c r="O10" s="555">
        <f>'상세 자료 작성'!J29/10^8</f>
        <v>27.626445</v>
      </c>
      <c r="P10" s="502">
        <f>'상세 자료 작성'!K29/10^8</f>
        <v>29.674391499999999</v>
      </c>
      <c r="Q10" s="503">
        <f t="shared" si="8"/>
        <v>2.0479464999999983</v>
      </c>
      <c r="R10" s="506">
        <f>F10+J10+N10</f>
        <v>163.696674</v>
      </c>
      <c r="S10" s="507">
        <f>G10+K10+O10</f>
        <v>67.524839999999998</v>
      </c>
      <c r="T10" s="507">
        <f>H10+L10+P10</f>
        <v>86.421011739999997</v>
      </c>
      <c r="U10" s="581">
        <f t="shared" si="10"/>
        <v>18.89617174</v>
      </c>
      <c r="V10" s="235"/>
      <c r="W10" s="615">
        <v>400.98714839999997</v>
      </c>
      <c r="X10" s="591">
        <f>E10</f>
        <v>116.6450274</v>
      </c>
      <c r="Y10" s="592">
        <f>X10</f>
        <v>116.6450274</v>
      </c>
      <c r="Z10" s="643">
        <f t="shared" si="11"/>
        <v>0</v>
      </c>
      <c r="AB10" s="1">
        <v>400.60216739999993</v>
      </c>
      <c r="AE10" s="477">
        <f t="shared" si="12"/>
        <v>-283.95713999999992</v>
      </c>
      <c r="AF10" s="475">
        <f t="shared" si="13"/>
        <v>-48.238849800000004</v>
      </c>
      <c r="AG10" s="475" t="e">
        <f>#REF!+R10</f>
        <v>#REF!</v>
      </c>
      <c r="AH10" s="475" t="e">
        <f>#REF!+T10</f>
        <v>#REF!</v>
      </c>
      <c r="AI10" s="475" t="e">
        <f>#REF!+U10</f>
        <v>#REF!</v>
      </c>
      <c r="AK10" s="1">
        <v>34.548569999999998</v>
      </c>
      <c r="AO10" s="1">
        <v>21.695039999999999</v>
      </c>
      <c r="AP10" s="15" t="e">
        <f>AO10-#REF!</f>
        <v>#REF!</v>
      </c>
    </row>
    <row r="11" spans="1:42" ht="30" customHeight="1">
      <c r="A11" s="607"/>
      <c r="B11" s="1582"/>
      <c r="C11" s="441" t="s">
        <v>52</v>
      </c>
      <c r="D11" s="508">
        <v>1.5659540000000001</v>
      </c>
      <c r="E11" s="509">
        <v>0</v>
      </c>
      <c r="F11" s="568">
        <f>'2023년 실적'!F44/10^8</f>
        <v>1.5659540000000001</v>
      </c>
      <c r="G11" s="556">
        <f>'상세 자료 작성'!J8/10^8</f>
        <v>0</v>
      </c>
      <c r="H11" s="510">
        <f>'상세 자료 작성'!K8/10^8</f>
        <v>0</v>
      </c>
      <c r="I11" s="511">
        <f t="shared" si="5"/>
        <v>0</v>
      </c>
      <c r="J11" s="512">
        <f>'2023년 실적'!G44/10^8</f>
        <v>0</v>
      </c>
      <c r="K11" s="556">
        <f>'상세 자료 작성'!J19/10^8</f>
        <v>0</v>
      </c>
      <c r="L11" s="510">
        <f>'상세 자료 작성'!K19/10^8</f>
        <v>0</v>
      </c>
      <c r="M11" s="511">
        <f t="shared" si="7"/>
        <v>0</v>
      </c>
      <c r="N11" s="512">
        <f>'2023년 실적'!H44/10^8</f>
        <v>0</v>
      </c>
      <c r="O11" s="556">
        <f>'상세 자료 작성'!J30/10^8</f>
        <v>0</v>
      </c>
      <c r="P11" s="510">
        <f>'상세 자료 작성'!K30/10^8</f>
        <v>0</v>
      </c>
      <c r="Q11" s="511">
        <f t="shared" si="8"/>
        <v>0</v>
      </c>
      <c r="R11" s="513">
        <f>F11+J11+N11</f>
        <v>1.5659540000000001</v>
      </c>
      <c r="S11" s="514">
        <f t="shared" ref="S11:S12" si="14">G11+K11+O11</f>
        <v>0</v>
      </c>
      <c r="T11" s="514">
        <f>H11+L11+P11</f>
        <v>0</v>
      </c>
      <c r="U11" s="582">
        <f t="shared" si="10"/>
        <v>0</v>
      </c>
      <c r="V11" s="235"/>
      <c r="W11" s="616">
        <v>1.5659540000000001</v>
      </c>
      <c r="X11" s="593">
        <f t="shared" ref="X11:X12" si="15">E11</f>
        <v>0</v>
      </c>
      <c r="Y11" s="594">
        <f t="shared" ref="Y11:Y12" si="16">X11</f>
        <v>0</v>
      </c>
      <c r="Z11" s="644">
        <f t="shared" si="11"/>
        <v>0</v>
      </c>
      <c r="AB11" s="1">
        <v>1.5659540000000001</v>
      </c>
      <c r="AE11" s="477">
        <f t="shared" si="12"/>
        <v>-1.5659540000000001</v>
      </c>
      <c r="AF11" s="475">
        <f t="shared" si="13"/>
        <v>-1.5659540000000001</v>
      </c>
      <c r="AG11" s="475" t="e">
        <f>#REF!+R11</f>
        <v>#REF!</v>
      </c>
      <c r="AH11" s="475" t="e">
        <f>#REF!+T11</f>
        <v>#REF!</v>
      </c>
      <c r="AI11" s="475" t="e">
        <f>#REF!+U11</f>
        <v>#REF!</v>
      </c>
      <c r="AK11" s="1">
        <v>0</v>
      </c>
      <c r="AO11" s="1">
        <v>0</v>
      </c>
      <c r="AP11" s="15" t="e">
        <f>AO11-#REF!</f>
        <v>#REF!</v>
      </c>
    </row>
    <row r="12" spans="1:42" ht="30" customHeight="1">
      <c r="A12" s="607"/>
      <c r="B12" s="549"/>
      <c r="C12" s="630" t="s">
        <v>22</v>
      </c>
      <c r="D12" s="621">
        <v>0</v>
      </c>
      <c r="E12" s="523">
        <v>75.923400000000001</v>
      </c>
      <c r="F12" s="622">
        <v>0</v>
      </c>
      <c r="G12" s="623">
        <f>'상세 자료 작성'!J9/10^8</f>
        <v>0</v>
      </c>
      <c r="H12" s="624">
        <f>'상세 자료 작성'!K9/10^8</f>
        <v>0</v>
      </c>
      <c r="I12" s="625">
        <f t="shared" si="5"/>
        <v>0</v>
      </c>
      <c r="J12" s="626">
        <v>0</v>
      </c>
      <c r="K12" s="623">
        <v>0</v>
      </c>
      <c r="L12" s="624">
        <f>'상세 자료 작성'!K20/10^8</f>
        <v>0</v>
      </c>
      <c r="M12" s="625">
        <f t="shared" si="7"/>
        <v>0</v>
      </c>
      <c r="N12" s="626">
        <v>0</v>
      </c>
      <c r="O12" s="623">
        <f>'상세 자료 작성'!J31/10^8</f>
        <v>0</v>
      </c>
      <c r="P12" s="624">
        <f>'상세 자료 작성'!K31/10^8</f>
        <v>0</v>
      </c>
      <c r="Q12" s="625">
        <f t="shared" si="8"/>
        <v>0</v>
      </c>
      <c r="R12" s="563">
        <v>0</v>
      </c>
      <c r="S12" s="605">
        <f t="shared" si="14"/>
        <v>0</v>
      </c>
      <c r="T12" s="605">
        <f>H12+L12+P12</f>
        <v>0</v>
      </c>
      <c r="U12" s="627">
        <f t="shared" si="10"/>
        <v>0</v>
      </c>
      <c r="V12" s="235"/>
      <c r="W12" s="628">
        <v>0</v>
      </c>
      <c r="X12" s="629">
        <f t="shared" si="15"/>
        <v>75.923400000000001</v>
      </c>
      <c r="Y12" s="597">
        <f t="shared" si="16"/>
        <v>75.923400000000001</v>
      </c>
      <c r="Z12" s="645">
        <f t="shared" si="11"/>
        <v>0</v>
      </c>
      <c r="AB12" s="1"/>
      <c r="AE12" s="477"/>
      <c r="AF12" s="475">
        <f t="shared" si="13"/>
        <v>0</v>
      </c>
      <c r="AG12" s="475"/>
      <c r="AH12" s="475"/>
      <c r="AI12" s="475"/>
      <c r="AK12" s="1"/>
      <c r="AO12" s="1"/>
      <c r="AP12" s="15"/>
    </row>
    <row r="13" spans="1:42" ht="30" customHeight="1">
      <c r="A13" s="607"/>
      <c r="B13" s="1576" t="s">
        <v>25</v>
      </c>
      <c r="C13" s="1577"/>
      <c r="D13" s="515">
        <f>SUM(D14:D15)</f>
        <v>356.93434390000004</v>
      </c>
      <c r="E13" s="516">
        <f>SUM(E14:E15)</f>
        <v>817.87665115372999</v>
      </c>
      <c r="F13" s="631">
        <f t="shared" ref="F13:P13" si="17">SUM(F14:F15)</f>
        <v>12.073718700000001</v>
      </c>
      <c r="G13" s="632">
        <f>SUM(G14:G15)</f>
        <v>53.650508279942343</v>
      </c>
      <c r="H13" s="633">
        <f t="shared" si="17"/>
        <v>58.836451699999998</v>
      </c>
      <c r="I13" s="634">
        <f t="shared" si="5"/>
        <v>5.1859434200576544</v>
      </c>
      <c r="J13" s="635">
        <f t="shared" si="17"/>
        <v>17.030478800000001</v>
      </c>
      <c r="K13" s="632">
        <f>SUM(K14:K15)</f>
        <v>14.379732900731874</v>
      </c>
      <c r="L13" s="633">
        <f t="shared" si="17"/>
        <v>51.226657500000002</v>
      </c>
      <c r="M13" s="634">
        <f t="shared" si="7"/>
        <v>36.846924599268128</v>
      </c>
      <c r="N13" s="635">
        <f t="shared" si="17"/>
        <v>10.7273508</v>
      </c>
      <c r="O13" s="632">
        <f>SUM(O14:O15)</f>
        <v>56.938007521521399</v>
      </c>
      <c r="P13" s="633">
        <f t="shared" si="17"/>
        <v>55.560978199999994</v>
      </c>
      <c r="Q13" s="634">
        <f t="shared" si="8"/>
        <v>-1.3770293215214053</v>
      </c>
      <c r="R13" s="636">
        <f t="shared" ref="R13:T13" si="18">SUM(R14:R15)</f>
        <v>39.831548300000001</v>
      </c>
      <c r="S13" s="633">
        <f>SUM(S14:S15)</f>
        <v>124.96824870219562</v>
      </c>
      <c r="T13" s="518">
        <f t="shared" si="18"/>
        <v>165.62408739999998</v>
      </c>
      <c r="U13" s="583">
        <f t="shared" si="10"/>
        <v>40.655838697804356</v>
      </c>
      <c r="V13" s="266"/>
      <c r="W13" s="617">
        <f>SUM(W14:W15)</f>
        <v>356.93434390000004</v>
      </c>
      <c r="X13" s="595">
        <f t="shared" ref="X13" si="19">SUM(X14:X15)</f>
        <v>817.87665115372999</v>
      </c>
      <c r="Y13" s="596">
        <f>SUM(Y14:Y15)</f>
        <v>817.87665115372999</v>
      </c>
      <c r="Z13" s="646">
        <f t="shared" si="11"/>
        <v>0</v>
      </c>
      <c r="AB13" s="1">
        <v>316.86267121000003</v>
      </c>
      <c r="AE13" s="477">
        <f t="shared" si="12"/>
        <v>501.01397994372996</v>
      </c>
      <c r="AF13" s="475">
        <f t="shared" si="13"/>
        <v>46.762732999999997</v>
      </c>
      <c r="AG13" s="475" t="e">
        <f>#REF!+R13</f>
        <v>#REF!</v>
      </c>
      <c r="AH13" s="475" t="e">
        <f>#REF!+T13</f>
        <v>#REF!</v>
      </c>
      <c r="AI13" s="475" t="e">
        <f>#REF!+U13</f>
        <v>#REF!</v>
      </c>
      <c r="AK13" s="1">
        <v>138.41251450999999</v>
      </c>
      <c r="AO13" s="1">
        <v>28.231414589999986</v>
      </c>
      <c r="AP13" s="479" t="e">
        <f>AO13-#REF!</f>
        <v>#REF!</v>
      </c>
    </row>
    <row r="14" spans="1:42" ht="30" customHeight="1">
      <c r="A14" s="607"/>
      <c r="B14" s="1582"/>
      <c r="C14" s="442" t="s">
        <v>27</v>
      </c>
      <c r="D14" s="519">
        <v>96.150573299999991</v>
      </c>
      <c r="E14" s="501">
        <v>115.11729935930809</v>
      </c>
      <c r="F14" s="569">
        <f>'2023년 실적'!F46/10^8</f>
        <v>6.7044357000000003</v>
      </c>
      <c r="G14" s="557">
        <f>'상세 자료 작성'!J10/10^8</f>
        <v>9.5931082799423404</v>
      </c>
      <c r="H14" s="557">
        <f>'상세 자료 작성'!K10/10^8</f>
        <v>10.137470199999999</v>
      </c>
      <c r="I14" s="520">
        <f t="shared" si="5"/>
        <v>0.54436192005765882</v>
      </c>
      <c r="J14" s="521">
        <f>'2023년 실적'!G46/10^8</f>
        <v>6.7871058</v>
      </c>
      <c r="K14" s="557">
        <f>'상세 자료 작성'!J21/10^8</f>
        <v>9.5931082799423422</v>
      </c>
      <c r="L14" s="557">
        <f>'상세 자료 작성'!I21/10^8</f>
        <v>6.8498219999999996</v>
      </c>
      <c r="M14" s="520">
        <f t="shared" si="7"/>
        <v>-2.7432862799423425</v>
      </c>
      <c r="N14" s="521">
        <f>'2023년 실적'!H46/10^8</f>
        <v>6.7217647999999999</v>
      </c>
      <c r="O14" s="637">
        <f>'상세 자료 작성'!J32/10^8</f>
        <v>9.5931082799423422</v>
      </c>
      <c r="P14" s="637">
        <f>SUM('상세 자료 작성'!K32/10^8)</f>
        <v>10.474035199999999</v>
      </c>
      <c r="Q14" s="520">
        <f t="shared" si="8"/>
        <v>0.88092692005765727</v>
      </c>
      <c r="R14" s="506">
        <f t="shared" ref="R14:T15" si="20">F14+J14+N14</f>
        <v>20.213306299999999</v>
      </c>
      <c r="S14" s="507">
        <f t="shared" si="20"/>
        <v>28.779324839827026</v>
      </c>
      <c r="T14" s="507">
        <f t="shared" si="20"/>
        <v>27.461327399999998</v>
      </c>
      <c r="U14" s="584">
        <f t="shared" si="10"/>
        <v>-1.3179974398270282</v>
      </c>
      <c r="V14" s="235"/>
      <c r="W14" s="615">
        <v>96.150573299999991</v>
      </c>
      <c r="X14" s="591">
        <f>E14</f>
        <v>115.11729935930809</v>
      </c>
      <c r="Y14" s="592">
        <f>X14</f>
        <v>115.11729935930809</v>
      </c>
      <c r="Z14" s="643">
        <f t="shared" si="11"/>
        <v>0</v>
      </c>
      <c r="AB14" s="1">
        <v>95.971229609999995</v>
      </c>
      <c r="AE14" s="477">
        <f t="shared" si="12"/>
        <v>19.146069749308097</v>
      </c>
      <c r="AF14" s="475">
        <f t="shared" si="13"/>
        <v>3.4330344999999989</v>
      </c>
      <c r="AG14" s="475" t="e">
        <f>#REF!+R14</f>
        <v>#REF!</v>
      </c>
      <c r="AH14" s="475" t="e">
        <f>#REF!+T14</f>
        <v>#REF!</v>
      </c>
      <c r="AI14" s="475" t="e">
        <f>#REF!+U14</f>
        <v>#REF!</v>
      </c>
      <c r="AK14" s="1">
        <v>26.217347910000001</v>
      </c>
      <c r="AO14" s="1">
        <v>4.8016566000000003</v>
      </c>
      <c r="AP14" s="15" t="e">
        <f>AO14-#REF!</f>
        <v>#REF!</v>
      </c>
    </row>
    <row r="15" spans="1:42" ht="30" customHeight="1">
      <c r="A15" s="607"/>
      <c r="B15" s="1582"/>
      <c r="C15" s="443" t="s">
        <v>26</v>
      </c>
      <c r="D15" s="522">
        <v>260.78377060000003</v>
      </c>
      <c r="E15" s="523">
        <v>702.75935179442195</v>
      </c>
      <c r="F15" s="570">
        <f>'2023년 실적'!F47/10^8</f>
        <v>5.3692830000000002</v>
      </c>
      <c r="G15" s="558">
        <f>'상세 자료 작성'!J11/10^8</f>
        <v>44.057400000000001</v>
      </c>
      <c r="H15" s="524">
        <f>'상세 자료 작성'!K11/10^8</f>
        <v>48.698981500000002</v>
      </c>
      <c r="I15" s="525">
        <f t="shared" si="5"/>
        <v>4.6415815000000009</v>
      </c>
      <c r="J15" s="526">
        <f>'2023년 실적'!G47/10^8</f>
        <v>10.243373</v>
      </c>
      <c r="K15" s="558">
        <f>'상세 자료 작성'!J22/10^8</f>
        <v>4.7866246207895324</v>
      </c>
      <c r="L15" s="524">
        <f>'상세 자료 작성'!I22/10^8</f>
        <v>44.376835499999999</v>
      </c>
      <c r="M15" s="525">
        <f t="shared" si="7"/>
        <v>39.590210879210467</v>
      </c>
      <c r="N15" s="526">
        <f>'2023년 실적'!H47/10^8</f>
        <v>4.0055860000000001</v>
      </c>
      <c r="O15" s="638">
        <f>'상세 자료 작성'!J33/10^8</f>
        <v>47.344899241579057</v>
      </c>
      <c r="P15" s="524">
        <f>'상세 자료 작성'!K33/10^8</f>
        <v>45.086942999999998</v>
      </c>
      <c r="Q15" s="525">
        <f t="shared" si="8"/>
        <v>-2.2579562415790591</v>
      </c>
      <c r="R15" s="513">
        <f t="shared" si="20"/>
        <v>19.618242000000002</v>
      </c>
      <c r="S15" s="605">
        <f t="shared" si="20"/>
        <v>96.188923862368597</v>
      </c>
      <c r="T15" s="527">
        <f t="shared" si="20"/>
        <v>138.16275999999999</v>
      </c>
      <c r="U15" s="585">
        <f t="shared" si="10"/>
        <v>41.973836137631395</v>
      </c>
      <c r="V15" s="235"/>
      <c r="W15" s="616">
        <v>260.78377060000003</v>
      </c>
      <c r="X15" s="593">
        <f>E15</f>
        <v>702.75935179442195</v>
      </c>
      <c r="Y15" s="597">
        <f>X15</f>
        <v>702.75935179442195</v>
      </c>
      <c r="Z15" s="645">
        <f t="shared" si="11"/>
        <v>0</v>
      </c>
      <c r="AB15" s="1">
        <v>220.89144160000001</v>
      </c>
      <c r="AE15" s="477">
        <f t="shared" si="12"/>
        <v>481.86791019442194</v>
      </c>
      <c r="AF15" s="475">
        <f t="shared" si="13"/>
        <v>43.329698499999999</v>
      </c>
      <c r="AG15" s="475" t="e">
        <f>#REF!+R15</f>
        <v>#REF!</v>
      </c>
      <c r="AH15" s="475" t="e">
        <f>#REF!+T15</f>
        <v>#REF!</v>
      </c>
      <c r="AI15" s="475" t="e">
        <f>#REF!+U15</f>
        <v>#REF!</v>
      </c>
      <c r="AK15" s="1">
        <v>112.19516659999999</v>
      </c>
      <c r="AO15" s="1">
        <v>23.429757989999985</v>
      </c>
      <c r="AP15" s="479" t="e">
        <f>AO15-#REF!</f>
        <v>#REF!</v>
      </c>
    </row>
    <row r="16" spans="1:42" ht="30" customHeight="1">
      <c r="A16" s="607"/>
      <c r="B16" s="1576" t="s">
        <v>28</v>
      </c>
      <c r="C16" s="1577"/>
      <c r="D16" s="515">
        <f>SUM(D17:D21)</f>
        <v>118.06968569</v>
      </c>
      <c r="E16" s="516">
        <f>SUM(E17:E21)</f>
        <v>90.543999999999997</v>
      </c>
      <c r="F16" s="571">
        <f>SUM(F17:F21)</f>
        <v>13.18198681</v>
      </c>
      <c r="G16" s="559">
        <f>SUM(G17:G21)</f>
        <v>4.9050000000000002</v>
      </c>
      <c r="H16" s="518">
        <f t="shared" ref="H16" si="21">SUM(H17:H21)</f>
        <v>5.4627309500000001</v>
      </c>
      <c r="I16" s="528">
        <f t="shared" si="5"/>
        <v>0.55773094999999984</v>
      </c>
      <c r="J16" s="529">
        <f>SUM(J17:J21)</f>
        <v>6.7269529800000001</v>
      </c>
      <c r="K16" s="559">
        <f>SUM(K17:K21)</f>
        <v>10.622499999999999</v>
      </c>
      <c r="L16" s="724">
        <f>SUM(L17:L21)</f>
        <v>2.0420069600000001</v>
      </c>
      <c r="M16" s="528">
        <f t="shared" si="7"/>
        <v>-8.5804930399999986</v>
      </c>
      <c r="N16" s="529">
        <f>SUM(N17:N21)</f>
        <v>5.3858042899999994</v>
      </c>
      <c r="O16" s="559">
        <f>SUM(O17:O21)</f>
        <v>25.346249999999998</v>
      </c>
      <c r="P16" s="724">
        <f t="shared" ref="P16" si="22">SUM(P17:P21)</f>
        <v>10.088104959999999</v>
      </c>
      <c r="Q16" s="528">
        <f t="shared" si="8"/>
        <v>-15.258145039999999</v>
      </c>
      <c r="R16" s="517">
        <f>SUM(R17:R21)</f>
        <v>25.294744080000001</v>
      </c>
      <c r="S16" s="518">
        <f>SUM(S17:S21)</f>
        <v>40.873749999999994</v>
      </c>
      <c r="T16" s="518">
        <f t="shared" ref="T16" si="23">SUM(T17:T21)</f>
        <v>17.592842869999998</v>
      </c>
      <c r="U16" s="583">
        <f t="shared" si="10"/>
        <v>-23.280907129999996</v>
      </c>
      <c r="V16" s="266"/>
      <c r="W16" s="617">
        <f>SUM(W17:W21)</f>
        <v>118.06968569</v>
      </c>
      <c r="X16" s="595">
        <f t="shared" ref="X16" si="24">SUM(X17:X21)</f>
        <v>90.543999999999997</v>
      </c>
      <c r="Y16" s="596">
        <f>SUM(Y17:Y21)</f>
        <v>90.543999999999997</v>
      </c>
      <c r="Z16" s="646">
        <f t="shared" si="11"/>
        <v>0</v>
      </c>
      <c r="AB16" s="1">
        <v>116.52781872000001</v>
      </c>
      <c r="AE16" s="477">
        <f t="shared" si="12"/>
        <v>-25.983818720000016</v>
      </c>
      <c r="AF16" s="475">
        <f t="shared" si="13"/>
        <v>-7.7192558599999996</v>
      </c>
      <c r="AG16" s="475" t="e">
        <f>#REF!+R16</f>
        <v>#REF!</v>
      </c>
      <c r="AH16" s="475" t="e">
        <f>#REF!+T16</f>
        <v>#REF!</v>
      </c>
      <c r="AI16" s="475" t="e">
        <f>#REF!+U16</f>
        <v>#REF!</v>
      </c>
      <c r="AK16" s="1">
        <v>23.15896287</v>
      </c>
      <c r="AO16" s="1">
        <v>14.112444289999999</v>
      </c>
      <c r="AP16" s="15" t="e">
        <f>AO16-#REF!</f>
        <v>#REF!</v>
      </c>
    </row>
    <row r="17" spans="1:42" ht="30" customHeight="1">
      <c r="A17" s="607"/>
      <c r="B17" s="1578"/>
      <c r="C17" s="442" t="s">
        <v>51</v>
      </c>
      <c r="D17" s="519">
        <v>8.5129999999999999</v>
      </c>
      <c r="E17" s="501">
        <v>4.08</v>
      </c>
      <c r="F17" s="569">
        <f>'2023년 실적'!F50/10^8</f>
        <v>0</v>
      </c>
      <c r="G17" s="639">
        <f>'상세 자료 작성'!J12/10^8</f>
        <v>0</v>
      </c>
      <c r="H17" s="502">
        <f>'상세 자료 작성'!K12/10^8</f>
        <v>0</v>
      </c>
      <c r="I17" s="520">
        <f t="shared" si="5"/>
        <v>0</v>
      </c>
      <c r="J17" s="521">
        <f>'2023년 실적'!G50/10^8</f>
        <v>1.47</v>
      </c>
      <c r="K17" s="639">
        <f>'상세 자료 작성'!J23/10^8</f>
        <v>0.4</v>
      </c>
      <c r="L17" s="728">
        <f>'상세 자료 작성'!I23/10^8</f>
        <v>0.4</v>
      </c>
      <c r="M17" s="661">
        <f t="shared" si="7"/>
        <v>0</v>
      </c>
      <c r="N17" s="659">
        <f>'2023년 실적'!H50/10^8</f>
        <v>0</v>
      </c>
      <c r="O17" s="639">
        <f>'상세 자료 작성'!J34/10^8</f>
        <v>0</v>
      </c>
      <c r="P17" s="502">
        <f>'상세 자료 작성'!K34/10^8</f>
        <v>0</v>
      </c>
      <c r="Q17" s="520">
        <f t="shared" si="8"/>
        <v>0</v>
      </c>
      <c r="R17" s="506">
        <f>F17+J17+N17</f>
        <v>1.47</v>
      </c>
      <c r="S17" s="530">
        <f>G17+K17+O17</f>
        <v>0.4</v>
      </c>
      <c r="T17" s="740">
        <f>H17+L17+P17</f>
        <v>0.4</v>
      </c>
      <c r="U17" s="708">
        <f t="shared" si="10"/>
        <v>0</v>
      </c>
      <c r="V17" s="235"/>
      <c r="W17" s="615">
        <v>8.5129999999999999</v>
      </c>
      <c r="X17" s="591">
        <f>E17</f>
        <v>4.08</v>
      </c>
      <c r="Y17" s="592">
        <f>X17</f>
        <v>4.08</v>
      </c>
      <c r="Z17" s="643">
        <f t="shared" si="11"/>
        <v>0</v>
      </c>
      <c r="AB17" s="1">
        <v>7.79</v>
      </c>
      <c r="AE17" s="477">
        <f t="shared" si="12"/>
        <v>-3.71</v>
      </c>
      <c r="AF17" s="475">
        <f t="shared" si="13"/>
        <v>0</v>
      </c>
      <c r="AG17" s="475" t="e">
        <f>#REF!+R17</f>
        <v>#REF!</v>
      </c>
      <c r="AH17" s="475" t="e">
        <f>#REF!+T17</f>
        <v>#REF!</v>
      </c>
      <c r="AI17" s="475" t="e">
        <f>#REF!+U17</f>
        <v>#REF!</v>
      </c>
      <c r="AK17" s="1">
        <v>0.67</v>
      </c>
      <c r="AO17" s="1">
        <v>0</v>
      </c>
      <c r="AP17" s="15" t="e">
        <f>AO17-#REF!</f>
        <v>#REF!</v>
      </c>
    </row>
    <row r="18" spans="1:42" ht="30" customHeight="1">
      <c r="A18" s="607"/>
      <c r="B18" s="1578"/>
      <c r="C18" s="444" t="s">
        <v>30</v>
      </c>
      <c r="D18" s="531">
        <v>12.795</v>
      </c>
      <c r="E18" s="532">
        <v>48.1875</v>
      </c>
      <c r="F18" s="572">
        <f>'2023년 실적'!F53/10^8</f>
        <v>0</v>
      </c>
      <c r="G18" s="560">
        <f>'상세 자료 작성'!J13/10^8</f>
        <v>4.9050000000000002</v>
      </c>
      <c r="H18" s="725">
        <f>'상세 자료 작성'!K13/10^8</f>
        <v>0</v>
      </c>
      <c r="I18" s="533">
        <f t="shared" si="5"/>
        <v>-4.9050000000000002</v>
      </c>
      <c r="J18" s="534">
        <f>'2023년 실적'!G53/10^8</f>
        <v>0.38500000000000001</v>
      </c>
      <c r="K18" s="560">
        <f>'상세 자료 작성'!J24/10^8</f>
        <v>7.665</v>
      </c>
      <c r="L18" s="725">
        <f>'상세 자료 작성'!I24/10^8</f>
        <v>0</v>
      </c>
      <c r="M18" s="533">
        <f t="shared" si="7"/>
        <v>-7.665</v>
      </c>
      <c r="N18" s="660">
        <f>'2023년 실적'!H53/10^8</f>
        <v>0</v>
      </c>
      <c r="O18" s="560">
        <f>'상세 자료 작성'!J35/10^8</f>
        <v>16.6675</v>
      </c>
      <c r="P18" s="725">
        <f>'상세 자료 작성'!K35/10^8</f>
        <v>5.2037500000000003</v>
      </c>
      <c r="Q18" s="533">
        <f t="shared" si="8"/>
        <v>-11.463750000000001</v>
      </c>
      <c r="R18" s="535">
        <f>F18+J18+N18</f>
        <v>0.38500000000000001</v>
      </c>
      <c r="S18" s="536">
        <f t="shared" ref="S18:S21" si="25">G18+K18+O18</f>
        <v>29.237500000000001</v>
      </c>
      <c r="T18" s="741">
        <f t="shared" ref="T18:T21" si="26">H18+L18+P18</f>
        <v>5.2037500000000003</v>
      </c>
      <c r="U18" s="709">
        <f t="shared" si="10"/>
        <v>-24.033750000000001</v>
      </c>
      <c r="V18" s="235"/>
      <c r="W18" s="618">
        <v>12.795</v>
      </c>
      <c r="X18" s="598">
        <f t="shared" ref="X18:X21" si="27">E18</f>
        <v>48.1875</v>
      </c>
      <c r="Y18" s="599">
        <f t="shared" ref="Y18:Y21" si="28">X18</f>
        <v>48.1875</v>
      </c>
      <c r="Z18" s="647">
        <f t="shared" si="11"/>
        <v>0</v>
      </c>
      <c r="AB18" s="1">
        <v>12.99</v>
      </c>
      <c r="AE18" s="477">
        <f t="shared" si="12"/>
        <v>35.197499999999998</v>
      </c>
      <c r="AF18" s="475">
        <f t="shared" si="13"/>
        <v>0</v>
      </c>
      <c r="AG18" s="475" t="e">
        <f>#REF!+R18</f>
        <v>#REF!</v>
      </c>
      <c r="AH18" s="475" t="e">
        <f>#REF!+T18</f>
        <v>#REF!</v>
      </c>
      <c r="AI18" s="475" t="e">
        <f>#REF!+U18</f>
        <v>#REF!</v>
      </c>
      <c r="AK18" s="1">
        <v>3.5274999999999999</v>
      </c>
      <c r="AO18" s="1">
        <v>1.405</v>
      </c>
      <c r="AP18" s="15" t="e">
        <f>AO18-#REF!</f>
        <v>#REF!</v>
      </c>
    </row>
    <row r="19" spans="1:42" ht="30" customHeight="1">
      <c r="A19" s="607"/>
      <c r="B19" s="1578"/>
      <c r="C19" s="444" t="s">
        <v>29</v>
      </c>
      <c r="D19" s="531">
        <v>56.216117189999999</v>
      </c>
      <c r="E19" s="532">
        <v>24.138999999999999</v>
      </c>
      <c r="F19" s="573">
        <f>'2023년 실적'!F51/10^8</f>
        <v>1.6206942900000001</v>
      </c>
      <c r="G19" s="640">
        <f>'상세 자료 작성'!J14/10^8</f>
        <v>0</v>
      </c>
      <c r="H19" s="729">
        <f>'상세 자료 작성'!K14/10^8</f>
        <v>4.39139429</v>
      </c>
      <c r="I19" s="657">
        <f t="shared" si="5"/>
        <v>4.39139429</v>
      </c>
      <c r="J19" s="538">
        <f>'2023년 실적'!G51/10^8</f>
        <v>0.30069428999999998</v>
      </c>
      <c r="K19" s="561">
        <f>'상세 자료 작성'!J25/10^8</f>
        <v>1.62</v>
      </c>
      <c r="L19" s="725">
        <f>'상세 자료 작성'!I25/10^8</f>
        <v>0.14069429</v>
      </c>
      <c r="M19" s="537">
        <f t="shared" si="7"/>
        <v>-1.4793057100000002</v>
      </c>
      <c r="N19" s="538">
        <f>'2023년 실적'!H51/10^8</f>
        <v>1.37569429</v>
      </c>
      <c r="O19" s="561">
        <f>'상세 자료 작성'!J36/10^8</f>
        <v>5.0599999999999996</v>
      </c>
      <c r="P19" s="725">
        <f>'상세 자료 작성'!K36/10^8</f>
        <v>4.2126982899999996</v>
      </c>
      <c r="Q19" s="539">
        <f t="shared" si="8"/>
        <v>-0.84730170999999999</v>
      </c>
      <c r="R19" s="535">
        <f>F19+J19+N19</f>
        <v>3.2970828700000001</v>
      </c>
      <c r="S19" s="536">
        <f t="shared" si="25"/>
        <v>6.68</v>
      </c>
      <c r="T19" s="741">
        <f t="shared" si="26"/>
        <v>8.7447868699999987</v>
      </c>
      <c r="U19" s="709">
        <f t="shared" si="10"/>
        <v>2.0647868699999989</v>
      </c>
      <c r="V19" s="235"/>
      <c r="W19" s="618">
        <v>56.216117189999999</v>
      </c>
      <c r="X19" s="598">
        <f t="shared" si="27"/>
        <v>24.138999999999999</v>
      </c>
      <c r="Y19" s="599">
        <f t="shared" si="28"/>
        <v>24.138999999999999</v>
      </c>
      <c r="Z19" s="647">
        <f t="shared" si="11"/>
        <v>0</v>
      </c>
      <c r="AB19" s="1">
        <v>54.847037190000002</v>
      </c>
      <c r="AE19" s="477">
        <f t="shared" si="12"/>
        <v>-30.708037190000002</v>
      </c>
      <c r="AF19" s="475">
        <f t="shared" si="13"/>
        <v>2.7706999999999997</v>
      </c>
      <c r="AG19" s="475" t="e">
        <f>#REF!+R19</f>
        <v>#REF!</v>
      </c>
      <c r="AH19" s="475" t="e">
        <f>#REF!+T19</f>
        <v>#REF!</v>
      </c>
      <c r="AI19" s="475" t="e">
        <f>#REF!+U19</f>
        <v>#REF!</v>
      </c>
      <c r="AK19" s="1">
        <v>14.284582870000001</v>
      </c>
      <c r="AO19" s="1">
        <v>10.21869429</v>
      </c>
      <c r="AP19" s="15" t="e">
        <f>AO19-#REF!</f>
        <v>#REF!</v>
      </c>
    </row>
    <row r="20" spans="1:42" ht="30" customHeight="1">
      <c r="A20" s="607"/>
      <c r="B20" s="1578"/>
      <c r="C20" s="445" t="s">
        <v>22</v>
      </c>
      <c r="D20" s="540">
        <v>35.672780080000003</v>
      </c>
      <c r="E20" s="541">
        <v>14.137499999999999</v>
      </c>
      <c r="F20" s="574">
        <f>'2023년 실적'!F52/10^8</f>
        <v>11.4</v>
      </c>
      <c r="G20" s="562">
        <f>'상세 자료 작성'!J15/10^8</f>
        <v>0</v>
      </c>
      <c r="H20" s="726">
        <f>'상세 자료 작성'!K15/10^8</f>
        <v>0.67266665999999997</v>
      </c>
      <c r="I20" s="542">
        <f t="shared" si="5"/>
        <v>0.67266665999999997</v>
      </c>
      <c r="J20" s="543">
        <f>'2023년 실적'!G52/10^8</f>
        <v>3.4437500000000001</v>
      </c>
      <c r="K20" s="562">
        <f>'상세 자료 작성'!J26/10^8</f>
        <v>0.9375</v>
      </c>
      <c r="L20" s="729">
        <f>'상세 자료 작성'!I26/10^8</f>
        <v>1.1904166700000001</v>
      </c>
      <c r="M20" s="542">
        <f t="shared" si="7"/>
        <v>0.25291667000000007</v>
      </c>
      <c r="N20" s="543">
        <f>'2023년 실적'!H52/10^8</f>
        <v>3.8687499999999999</v>
      </c>
      <c r="O20" s="562">
        <f>'상세 자료 작성'!J37/10^8</f>
        <v>3.6187499999999999</v>
      </c>
      <c r="P20" s="726">
        <f>'상세 자료 작성'!K37/10^8</f>
        <v>0.25291667000000001</v>
      </c>
      <c r="Q20" s="542">
        <f t="shared" si="8"/>
        <v>-3.3658333300000001</v>
      </c>
      <c r="R20" s="544">
        <f>F20+J20+N20</f>
        <v>18.712499999999999</v>
      </c>
      <c r="S20" s="545">
        <f t="shared" si="25"/>
        <v>4.5562500000000004</v>
      </c>
      <c r="T20" s="742">
        <f t="shared" si="26"/>
        <v>2.1160000000000001</v>
      </c>
      <c r="U20" s="710">
        <f t="shared" si="10"/>
        <v>-2.4402500000000003</v>
      </c>
      <c r="V20" s="235"/>
      <c r="W20" s="619">
        <v>35.672780080000003</v>
      </c>
      <c r="X20" s="600">
        <f t="shared" si="27"/>
        <v>14.137499999999999</v>
      </c>
      <c r="Y20" s="601">
        <f t="shared" si="28"/>
        <v>14.137499999999999</v>
      </c>
      <c r="Z20" s="648">
        <f t="shared" si="11"/>
        <v>0</v>
      </c>
      <c r="AB20" s="1">
        <v>36.09263</v>
      </c>
      <c r="AE20" s="477">
        <f t="shared" si="12"/>
        <v>-21.95513</v>
      </c>
      <c r="AF20" s="475">
        <f t="shared" si="13"/>
        <v>-10.727333340000001</v>
      </c>
      <c r="AG20" s="475" t="e">
        <f>#REF!+R20</f>
        <v>#REF!</v>
      </c>
      <c r="AH20" s="475" t="e">
        <f>#REF!+T20</f>
        <v>#REF!</v>
      </c>
      <c r="AI20" s="475" t="e">
        <f>#REF!+U20</f>
        <v>#REF!</v>
      </c>
      <c r="AK20" s="1">
        <v>3.9218799999999998</v>
      </c>
      <c r="AO20" s="1">
        <v>2.34375</v>
      </c>
      <c r="AP20" s="15" t="e">
        <f>AO20-#REF!</f>
        <v>#REF!</v>
      </c>
    </row>
    <row r="21" spans="1:42" ht="30" customHeight="1" thickBot="1">
      <c r="A21" s="608"/>
      <c r="B21" s="1579"/>
      <c r="C21" s="609" t="s">
        <v>527</v>
      </c>
      <c r="D21" s="610">
        <v>4.87278842</v>
      </c>
      <c r="E21" s="611">
        <v>0</v>
      </c>
      <c r="F21" s="575">
        <f>SUM('2023년 실적'!F54:F56)/10^8</f>
        <v>0.16129251999999999</v>
      </c>
      <c r="G21" s="576">
        <f>'상세 자료 작성'!J16/10^8</f>
        <v>0</v>
      </c>
      <c r="H21" s="727">
        <f>'상세 자료 작성'!K16/10^8</f>
        <v>0.39867000000000002</v>
      </c>
      <c r="I21" s="577">
        <f t="shared" si="5"/>
        <v>0.39867000000000002</v>
      </c>
      <c r="J21" s="578">
        <f>SUM('2023년 실적'!G54:G56)/10^8</f>
        <v>1.12750869</v>
      </c>
      <c r="K21" s="576">
        <f>'상세 자료 작성'!J27/10^8</f>
        <v>0</v>
      </c>
      <c r="L21" s="727">
        <f>'상세 자료 작성'!I27/10^8</f>
        <v>0.31089600000000001</v>
      </c>
      <c r="M21" s="577">
        <f t="shared" si="7"/>
        <v>0.31089600000000001</v>
      </c>
      <c r="N21" s="578">
        <f>SUM('2023년 실적'!H54:H56)/10^8</f>
        <v>0.14136000000000001</v>
      </c>
      <c r="O21" s="576">
        <f>'상세 자료 작성'!J38/10^8</f>
        <v>0</v>
      </c>
      <c r="P21" s="727">
        <f>'상세 자료 작성'!K38/10^8</f>
        <v>0.41874</v>
      </c>
      <c r="Q21" s="577">
        <f t="shared" si="8"/>
        <v>0.41874</v>
      </c>
      <c r="R21" s="586">
        <f>F21+J21+N21</f>
        <v>1.4301612099999998</v>
      </c>
      <c r="S21" s="606">
        <f t="shared" si="25"/>
        <v>0</v>
      </c>
      <c r="T21" s="743">
        <f t="shared" si="26"/>
        <v>1.128306</v>
      </c>
      <c r="U21" s="711">
        <f t="shared" si="10"/>
        <v>1.128306</v>
      </c>
      <c r="V21" s="235"/>
      <c r="W21" s="620">
        <v>4.87278842</v>
      </c>
      <c r="X21" s="602">
        <f t="shared" si="27"/>
        <v>0</v>
      </c>
      <c r="Y21" s="603">
        <f t="shared" si="28"/>
        <v>0</v>
      </c>
      <c r="Z21" s="649">
        <f t="shared" si="11"/>
        <v>0</v>
      </c>
      <c r="AB21" s="1">
        <v>4.80815153</v>
      </c>
      <c r="AE21" s="477">
        <f t="shared" si="12"/>
        <v>-4.80815153</v>
      </c>
      <c r="AF21" s="475">
        <f t="shared" si="13"/>
        <v>0.23737748000000003</v>
      </c>
      <c r="AG21" s="475" t="e">
        <f>#REF!+R21</f>
        <v>#REF!</v>
      </c>
      <c r="AH21" s="475" t="e">
        <f>#REF!+T21</f>
        <v>#REF!</v>
      </c>
      <c r="AI21" s="475" t="e">
        <f>#REF!+U21</f>
        <v>#REF!</v>
      </c>
      <c r="AK21" s="1">
        <v>0.755</v>
      </c>
      <c r="AO21" s="1">
        <v>0.14499999999999999</v>
      </c>
      <c r="AP21" s="15" t="e">
        <f>AO21-#REF!</f>
        <v>#REF!</v>
      </c>
    </row>
    <row r="22" spans="1:42" ht="22.5" customHeight="1">
      <c r="P22" s="474">
        <f>SUM(P17:P20)</f>
        <v>9.6693649599999993</v>
      </c>
      <c r="R22" s="486"/>
      <c r="S22" s="486"/>
      <c r="T22" s="486"/>
      <c r="U22" s="486"/>
      <c r="V22" s="472"/>
      <c r="W22" s="472"/>
      <c r="X22" s="473" t="e">
        <f>X15+#REF!</f>
        <v>#REF!</v>
      </c>
      <c r="Y22" s="548"/>
    </row>
    <row r="23" spans="1:42" ht="24" customHeight="1">
      <c r="B23" s="212" t="s">
        <v>528</v>
      </c>
    </row>
    <row r="24" spans="1:42" ht="30" customHeight="1">
      <c r="B24" s="1600" t="s">
        <v>7</v>
      </c>
      <c r="C24" s="1601"/>
      <c r="D24" s="1602"/>
      <c r="E24" s="1600" t="s">
        <v>40</v>
      </c>
      <c r="F24" s="1602"/>
      <c r="G24" s="1600" t="s">
        <v>529</v>
      </c>
      <c r="H24" s="1602"/>
      <c r="I24" s="1600" t="s">
        <v>71</v>
      </c>
      <c r="J24" s="1602"/>
      <c r="K24" s="1600" t="s">
        <v>530</v>
      </c>
      <c r="L24" s="1602"/>
      <c r="M24" s="1600" t="s">
        <v>44</v>
      </c>
      <c r="N24" s="1601"/>
      <c r="O24" s="1601"/>
      <c r="P24" s="1601"/>
      <c r="Q24" s="1601"/>
      <c r="R24" s="1601"/>
      <c r="S24" s="1601"/>
      <c r="T24" s="1601"/>
      <c r="U24" s="1601"/>
      <c r="V24" s="1601"/>
      <c r="W24" s="1601"/>
      <c r="X24" s="1601"/>
      <c r="Y24" s="1601"/>
      <c r="Z24" s="1602"/>
      <c r="AA24" s="211"/>
      <c r="AB24" s="483"/>
      <c r="AC24" s="484"/>
    </row>
    <row r="25" spans="1:42" ht="25.35" customHeight="1">
      <c r="B25" s="1616" t="s">
        <v>45</v>
      </c>
      <c r="C25" s="1617"/>
      <c r="D25" s="1618"/>
      <c r="E25" s="1592">
        <f>K9</f>
        <v>32.535269999999997</v>
      </c>
      <c r="F25" s="1593"/>
      <c r="G25" s="1592">
        <f>'상세 자료 작성'!M29/10^8</f>
        <v>29.531040000000001</v>
      </c>
      <c r="H25" s="1593"/>
      <c r="I25" s="1666">
        <f>P10</f>
        <v>29.674391499999999</v>
      </c>
      <c r="J25" s="1667"/>
      <c r="K25" s="1592">
        <f>I25-G25</f>
        <v>0.14335149999999786</v>
      </c>
      <c r="L25" s="1593"/>
      <c r="M25" s="721" t="s">
        <v>531</v>
      </c>
      <c r="N25" s="652"/>
      <c r="O25" s="652"/>
      <c r="P25" s="652"/>
      <c r="Q25" s="652"/>
      <c r="R25" s="652"/>
      <c r="S25" s="652"/>
      <c r="T25" s="652"/>
      <c r="U25" s="652"/>
      <c r="V25" s="652"/>
      <c r="W25" s="652"/>
      <c r="X25" s="652"/>
      <c r="Y25" s="652"/>
      <c r="Z25" s="650"/>
      <c r="AA25" s="211"/>
      <c r="AB25" s="483"/>
      <c r="AC25" s="484"/>
    </row>
    <row r="26" spans="1:42" ht="25.35" customHeight="1">
      <c r="B26" s="1625" t="s">
        <v>46</v>
      </c>
      <c r="C26" s="1626"/>
      <c r="D26" s="1626"/>
      <c r="E26" s="1632">
        <f>SUM(E27:F28)</f>
        <v>14.379732900731874</v>
      </c>
      <c r="F26" s="1628"/>
      <c r="G26" s="1627">
        <f>SUM(G27:H28)</f>
        <v>52.345125279942344</v>
      </c>
      <c r="H26" s="1628"/>
      <c r="I26" s="1627">
        <f>SUM(I27:J28)</f>
        <v>55.560978199999994</v>
      </c>
      <c r="J26" s="1628"/>
      <c r="K26" s="1627">
        <f>SUM(K27:L28)</f>
        <v>3.2158529200576531</v>
      </c>
      <c r="L26" s="1628"/>
      <c r="M26" s="653"/>
      <c r="N26" s="653"/>
      <c r="O26" s="653"/>
      <c r="P26" s="653"/>
      <c r="Q26" s="653"/>
      <c r="R26" s="653"/>
      <c r="S26" s="653"/>
      <c r="T26" s="653"/>
      <c r="U26" s="653"/>
      <c r="V26" s="653"/>
      <c r="W26" s="653"/>
      <c r="X26" s="653"/>
      <c r="Y26" s="653"/>
      <c r="Z26" s="651"/>
      <c r="AA26" s="654"/>
      <c r="AB26" s="228"/>
      <c r="AC26" s="229"/>
    </row>
    <row r="27" spans="1:42" ht="25.35" customHeight="1">
      <c r="B27" s="546"/>
      <c r="C27" s="1590" t="s">
        <v>26</v>
      </c>
      <c r="D27" s="1591"/>
      <c r="E27" s="1592">
        <f>K15</f>
        <v>4.7866246207895324</v>
      </c>
      <c r="F27" s="1593"/>
      <c r="G27" s="1592">
        <f>'상세 자료 작성'!M33/10^8</f>
        <v>42.752017000000002</v>
      </c>
      <c r="H27" s="1593"/>
      <c r="I27" s="1592">
        <f>P15</f>
        <v>45.086942999999998</v>
      </c>
      <c r="J27" s="1593"/>
      <c r="K27" s="1592">
        <f>I27-G27</f>
        <v>2.3349259999999958</v>
      </c>
      <c r="L27" s="1593"/>
      <c r="M27" s="721" t="s">
        <v>532</v>
      </c>
      <c r="N27" s="652"/>
      <c r="O27" s="652"/>
      <c r="P27" s="652"/>
      <c r="Q27" s="652"/>
      <c r="R27" s="652"/>
      <c r="S27" s="652"/>
      <c r="T27" s="652"/>
      <c r="U27" s="652"/>
      <c r="V27" s="652"/>
      <c r="W27" s="652"/>
      <c r="X27" s="652"/>
      <c r="Y27" s="652"/>
      <c r="Z27" s="650"/>
      <c r="AA27" s="485"/>
      <c r="AB27" s="478"/>
      <c r="AC27" s="482"/>
    </row>
    <row r="28" spans="1:42" ht="25.35" customHeight="1">
      <c r="B28" s="546"/>
      <c r="C28" s="1590" t="s">
        <v>27</v>
      </c>
      <c r="D28" s="1591"/>
      <c r="E28" s="1592">
        <f>K14</f>
        <v>9.5931082799423422</v>
      </c>
      <c r="F28" s="1593"/>
      <c r="G28" s="1592">
        <f>'상세 자료 작성'!M32/10^8</f>
        <v>9.5931082799423422</v>
      </c>
      <c r="H28" s="1593"/>
      <c r="I28" s="1592">
        <f>P14</f>
        <v>10.474035199999999</v>
      </c>
      <c r="J28" s="1593"/>
      <c r="K28" s="1596">
        <f>I28-G28</f>
        <v>0.88092692005765727</v>
      </c>
      <c r="L28" s="1597"/>
      <c r="M28" s="721" t="s">
        <v>533</v>
      </c>
      <c r="N28" s="652"/>
      <c r="O28" s="652"/>
      <c r="P28" s="652"/>
      <c r="Q28" s="652"/>
      <c r="R28" s="652"/>
      <c r="S28" s="652"/>
      <c r="T28" s="652"/>
      <c r="U28" s="652"/>
      <c r="V28" s="652"/>
      <c r="W28" s="652"/>
      <c r="X28" s="652"/>
      <c r="Y28" s="652"/>
      <c r="Z28" s="650"/>
      <c r="AA28" s="485"/>
      <c r="AB28" s="478"/>
      <c r="AC28" s="482"/>
    </row>
    <row r="29" spans="1:42" ht="25.35" customHeight="1">
      <c r="B29" s="1625" t="s">
        <v>47</v>
      </c>
      <c r="C29" s="1626"/>
      <c r="D29" s="1626"/>
      <c r="E29" s="1627">
        <f>SUM(E30:F34)</f>
        <v>10.622499999999999</v>
      </c>
      <c r="F29" s="1628"/>
      <c r="G29" s="1627">
        <f>SUM(G30:H34)</f>
        <v>11.554360959999999</v>
      </c>
      <c r="H29" s="1628"/>
      <c r="I29" s="1627">
        <f>SUM(I30:J34)</f>
        <v>10.088104959999999</v>
      </c>
      <c r="J29" s="1628"/>
      <c r="K29" s="1603">
        <f>SUM(K30:L34)</f>
        <v>-1.466256</v>
      </c>
      <c r="L29" s="1604"/>
      <c r="M29" s="653"/>
      <c r="N29" s="653"/>
      <c r="O29" s="653"/>
      <c r="P29" s="653"/>
      <c r="Q29" s="653"/>
      <c r="R29" s="653"/>
      <c r="S29" s="653"/>
      <c r="T29" s="653"/>
      <c r="U29" s="653"/>
      <c r="V29" s="653"/>
      <c r="W29" s="653"/>
      <c r="X29" s="653"/>
      <c r="Y29" s="653"/>
      <c r="Z29" s="651"/>
      <c r="AA29" s="485"/>
      <c r="AB29" s="478"/>
      <c r="AC29" s="482"/>
    </row>
    <row r="30" spans="1:42" ht="25.35" customHeight="1">
      <c r="B30" s="546"/>
      <c r="C30" s="1590" t="s">
        <v>51</v>
      </c>
      <c r="D30" s="1591"/>
      <c r="E30" s="1592">
        <f>K17</f>
        <v>0.4</v>
      </c>
      <c r="F30" s="1593"/>
      <c r="G30" s="1592">
        <f>'상세 자료 작성'!N34/10^8</f>
        <v>0</v>
      </c>
      <c r="H30" s="1593"/>
      <c r="I30" s="1592">
        <f>P17</f>
        <v>0</v>
      </c>
      <c r="J30" s="1593"/>
      <c r="K30" s="1592">
        <f>I30-G30</f>
        <v>0</v>
      </c>
      <c r="L30" s="1593"/>
      <c r="M30" s="652"/>
      <c r="N30" s="652"/>
      <c r="O30" s="652"/>
      <c r="P30" s="652"/>
      <c r="Q30" s="652"/>
      <c r="R30" s="652"/>
      <c r="S30" s="652"/>
      <c r="T30" s="652"/>
      <c r="U30" s="652"/>
      <c r="V30" s="652"/>
      <c r="W30" s="652"/>
      <c r="X30" s="652"/>
      <c r="Y30" s="652"/>
      <c r="Z30" s="650"/>
      <c r="AA30" s="485"/>
      <c r="AB30" s="478"/>
      <c r="AC30" s="482"/>
    </row>
    <row r="31" spans="1:42" ht="25.35" customHeight="1">
      <c r="B31" s="546"/>
      <c r="C31" s="1590" t="s">
        <v>30</v>
      </c>
      <c r="D31" s="1591"/>
      <c r="E31" s="1592">
        <f t="shared" ref="E31:E34" si="29">K18</f>
        <v>7.665</v>
      </c>
      <c r="F31" s="1593"/>
      <c r="G31" s="1592">
        <f>'상세 자료 작성'!M35/10^8</f>
        <v>5.2037500000000003</v>
      </c>
      <c r="H31" s="1593"/>
      <c r="I31" s="1598">
        <f t="shared" ref="I31:I34" si="30">P18</f>
        <v>5.2037500000000003</v>
      </c>
      <c r="J31" s="1599"/>
      <c r="K31" s="1596">
        <f t="shared" ref="K31:K35" si="31">I31-G31</f>
        <v>0</v>
      </c>
      <c r="L31" s="1597"/>
      <c r="M31" s="1673"/>
      <c r="N31" s="1674"/>
      <c r="O31" s="1674"/>
      <c r="P31" s="1674"/>
      <c r="Q31" s="1674"/>
      <c r="R31" s="1674"/>
      <c r="S31" s="1674"/>
      <c r="T31" s="1674"/>
      <c r="U31" s="1674"/>
      <c r="V31" s="1674"/>
      <c r="W31" s="1674"/>
      <c r="X31" s="1674"/>
      <c r="Y31" s="1674"/>
      <c r="Z31" s="1675"/>
      <c r="AA31" s="485"/>
      <c r="AB31" s="478"/>
      <c r="AC31" s="482"/>
    </row>
    <row r="32" spans="1:42" ht="25.35" customHeight="1">
      <c r="B32" s="546"/>
      <c r="C32" s="1590" t="s">
        <v>29</v>
      </c>
      <c r="D32" s="1591"/>
      <c r="E32" s="1592">
        <f t="shared" si="29"/>
        <v>1.62</v>
      </c>
      <c r="F32" s="1593"/>
      <c r="G32" s="1592">
        <f>'상세 자료 작성'!M36/10^8</f>
        <v>4.2226942899999997</v>
      </c>
      <c r="H32" s="1593"/>
      <c r="I32" s="1605">
        <f t="shared" si="30"/>
        <v>4.2126982899999996</v>
      </c>
      <c r="J32" s="1606"/>
      <c r="K32" s="1605">
        <f t="shared" si="31"/>
        <v>-9.9960000000001159E-3</v>
      </c>
      <c r="L32" s="1606"/>
      <c r="M32" s="721"/>
      <c r="N32" s="652"/>
      <c r="O32" s="652"/>
      <c r="P32" s="652"/>
      <c r="Q32" s="652"/>
      <c r="R32" s="652"/>
      <c r="S32" s="652"/>
      <c r="T32" s="652"/>
      <c r="U32" s="652"/>
      <c r="V32" s="652"/>
      <c r="W32" s="652"/>
      <c r="X32" s="652"/>
      <c r="Y32" s="652"/>
      <c r="Z32" s="650"/>
      <c r="AA32" s="485"/>
      <c r="AB32" s="478"/>
      <c r="AC32" s="482"/>
    </row>
    <row r="33" spans="2:29" ht="25.35" customHeight="1">
      <c r="B33" s="546"/>
      <c r="C33" s="1590" t="s">
        <v>22</v>
      </c>
      <c r="D33" s="1591"/>
      <c r="E33" s="1592">
        <f t="shared" si="29"/>
        <v>0.9375</v>
      </c>
      <c r="F33" s="1593"/>
      <c r="G33" s="1592">
        <f>'상세 자료 작성'!M37/10^8</f>
        <v>2.1279166699999998</v>
      </c>
      <c r="H33" s="1593"/>
      <c r="I33" s="1598">
        <f>P20</f>
        <v>0.25291667000000001</v>
      </c>
      <c r="J33" s="1599"/>
      <c r="K33" s="1598">
        <f t="shared" si="31"/>
        <v>-1.8749999999999998</v>
      </c>
      <c r="L33" s="1599"/>
      <c r="M33" s="721" t="s">
        <v>534</v>
      </c>
      <c r="N33" s="652"/>
      <c r="O33" s="652"/>
      <c r="P33" s="652"/>
      <c r="Q33" s="652"/>
      <c r="R33" s="652"/>
      <c r="S33" s="652"/>
      <c r="T33" s="652"/>
      <c r="U33" s="652"/>
      <c r="V33" s="652"/>
      <c r="W33" s="652"/>
      <c r="X33" s="652"/>
      <c r="Y33" s="652"/>
      <c r="Z33" s="650"/>
      <c r="AA33" s="485"/>
      <c r="AB33" s="478"/>
      <c r="AC33" s="482"/>
    </row>
    <row r="34" spans="2:29" ht="25.35" customHeight="1">
      <c r="B34" s="546"/>
      <c r="C34" s="1590" t="s">
        <v>52</v>
      </c>
      <c r="D34" s="1591"/>
      <c r="E34" s="1592">
        <f t="shared" si="29"/>
        <v>0</v>
      </c>
      <c r="F34" s="1593"/>
      <c r="G34" s="1592">
        <f>'상세 자료 작성'!M27/10^8</f>
        <v>0</v>
      </c>
      <c r="H34" s="1593"/>
      <c r="I34" s="1592">
        <f t="shared" si="30"/>
        <v>0.41874</v>
      </c>
      <c r="J34" s="1593"/>
      <c r="K34" s="1592">
        <f t="shared" si="31"/>
        <v>0.41874</v>
      </c>
      <c r="L34" s="1593"/>
      <c r="M34" s="658"/>
      <c r="N34" s="652"/>
      <c r="O34" s="652"/>
      <c r="P34" s="652"/>
      <c r="Q34" s="652"/>
      <c r="R34" s="652"/>
      <c r="S34" s="652"/>
      <c r="T34" s="652"/>
      <c r="U34" s="652"/>
      <c r="V34" s="652"/>
      <c r="W34" s="652"/>
      <c r="X34" s="652"/>
      <c r="Y34" s="652"/>
      <c r="Z34" s="650"/>
      <c r="AA34" s="485"/>
      <c r="AB34" s="478"/>
      <c r="AC34" s="482"/>
    </row>
    <row r="35" spans="2:29" ht="25.35" customHeight="1">
      <c r="B35" s="1583" t="s">
        <v>48</v>
      </c>
      <c r="C35" s="1584"/>
      <c r="D35" s="1585"/>
      <c r="E35" s="1586">
        <f>E29+E26+E25</f>
        <v>57.537502900731866</v>
      </c>
      <c r="F35" s="1587"/>
      <c r="G35" s="1586">
        <f>G29+G26+G25</f>
        <v>93.430526239942338</v>
      </c>
      <c r="H35" s="1587"/>
      <c r="I35" s="1586">
        <f>I29+I26+I25</f>
        <v>95.323474659999988</v>
      </c>
      <c r="J35" s="1587"/>
      <c r="K35" s="1671">
        <f t="shared" si="31"/>
        <v>1.8929484200576496</v>
      </c>
      <c r="L35" s="1672"/>
      <c r="M35" s="655"/>
      <c r="N35" s="655"/>
      <c r="O35" s="655"/>
      <c r="P35" s="655"/>
      <c r="Q35" s="655"/>
      <c r="R35" s="655"/>
      <c r="S35" s="655"/>
      <c r="T35" s="655"/>
      <c r="U35" s="655"/>
      <c r="V35" s="655"/>
      <c r="W35" s="655"/>
      <c r="X35" s="655"/>
      <c r="Y35" s="655"/>
      <c r="Z35" s="656"/>
      <c r="AA35" s="235"/>
      <c r="AB35" s="233"/>
      <c r="AC35" s="234"/>
    </row>
    <row r="37" spans="2:29" ht="25.2">
      <c r="B37" s="212" t="s">
        <v>535</v>
      </c>
    </row>
    <row r="38" spans="2:29" ht="24">
      <c r="B38" s="1600" t="s">
        <v>7</v>
      </c>
      <c r="C38" s="1601"/>
      <c r="D38" s="1602"/>
      <c r="E38" s="1600" t="s">
        <v>40</v>
      </c>
      <c r="F38" s="1602"/>
      <c r="G38" s="1600" t="s">
        <v>529</v>
      </c>
      <c r="H38" s="1602"/>
      <c r="I38" s="1600" t="s">
        <v>536</v>
      </c>
      <c r="J38" s="1602"/>
      <c r="K38" s="1600" t="s">
        <v>530</v>
      </c>
      <c r="L38" s="1602"/>
      <c r="M38" s="1600" t="s">
        <v>537</v>
      </c>
      <c r="N38" s="1601"/>
      <c r="O38" s="1601"/>
      <c r="P38" s="1601"/>
      <c r="Q38" s="1601"/>
      <c r="R38" s="1601"/>
      <c r="S38" s="1601"/>
      <c r="T38" s="1601"/>
      <c r="U38" s="1601"/>
      <c r="V38" s="1601"/>
      <c r="W38" s="1601"/>
      <c r="X38" s="1601"/>
      <c r="Y38" s="1601"/>
      <c r="Z38" s="1602"/>
    </row>
    <row r="39" spans="2:29" ht="24">
      <c r="B39" s="1616" t="s">
        <v>45</v>
      </c>
      <c r="C39" s="1617"/>
      <c r="D39" s="1618"/>
      <c r="E39" s="1619">
        <f>S9</f>
        <v>67.524839999999998</v>
      </c>
      <c r="F39" s="1620"/>
      <c r="G39" s="1619">
        <f>H10+L10+G25</f>
        <v>86.277660240000003</v>
      </c>
      <c r="H39" s="1620"/>
      <c r="I39" s="1621">
        <f>T10</f>
        <v>86.421011739999997</v>
      </c>
      <c r="J39" s="1622"/>
      <c r="K39" s="1623">
        <f>I39-G39</f>
        <v>0.1433514999999943</v>
      </c>
      <c r="L39" s="1624"/>
      <c r="M39" s="721" t="s">
        <v>531</v>
      </c>
      <c r="N39" s="652"/>
      <c r="O39" s="652"/>
      <c r="P39" s="652"/>
      <c r="Q39" s="652"/>
      <c r="R39" s="652"/>
      <c r="S39" s="652"/>
      <c r="T39" s="652"/>
      <c r="U39" s="652"/>
      <c r="V39" s="652"/>
      <c r="W39" s="652"/>
      <c r="X39" s="652"/>
      <c r="Y39" s="652"/>
      <c r="Z39" s="650"/>
    </row>
    <row r="40" spans="2:29" ht="24">
      <c r="B40" s="1625" t="s">
        <v>46</v>
      </c>
      <c r="C40" s="1626"/>
      <c r="D40" s="1626"/>
      <c r="E40" s="1627">
        <f>SUM(E41:F42)</f>
        <v>124.96824870219562</v>
      </c>
      <c r="F40" s="1628"/>
      <c r="G40" s="1627">
        <f>SUM(G41:H42)</f>
        <v>162.40823447994234</v>
      </c>
      <c r="H40" s="1628"/>
      <c r="I40" s="1627">
        <f>SUM(I41:J42)</f>
        <v>165.62408739999998</v>
      </c>
      <c r="J40" s="1628"/>
      <c r="K40" s="1627">
        <f t="shared" ref="K40:K49" si="32">I40-G40</f>
        <v>3.2158529200576425</v>
      </c>
      <c r="L40" s="1628"/>
      <c r="M40" s="653"/>
      <c r="N40" s="653"/>
      <c r="O40" s="653"/>
      <c r="P40" s="653"/>
      <c r="Q40" s="653"/>
      <c r="R40" s="653"/>
      <c r="S40" s="653"/>
      <c r="T40" s="653"/>
      <c r="U40" s="653"/>
      <c r="V40" s="653"/>
      <c r="W40" s="653"/>
      <c r="X40" s="653"/>
      <c r="Y40" s="653"/>
      <c r="Z40" s="651"/>
    </row>
    <row r="41" spans="2:29" ht="24">
      <c r="B41" s="546"/>
      <c r="C41" s="1590" t="s">
        <v>26</v>
      </c>
      <c r="D41" s="1591"/>
      <c r="E41" s="1592">
        <f>S15</f>
        <v>96.188923862368597</v>
      </c>
      <c r="F41" s="1593"/>
      <c r="G41" s="1592">
        <f>H15+L15+G27</f>
        <v>135.827834</v>
      </c>
      <c r="H41" s="1593"/>
      <c r="I41" s="1592">
        <f>T15</f>
        <v>138.16275999999999</v>
      </c>
      <c r="J41" s="1593"/>
      <c r="K41" s="1596">
        <f t="shared" si="32"/>
        <v>2.3349259999999958</v>
      </c>
      <c r="L41" s="1597"/>
      <c r="M41" s="721" t="s">
        <v>532</v>
      </c>
      <c r="N41" s="652"/>
      <c r="O41" s="652"/>
      <c r="P41" s="652"/>
      <c r="Q41" s="652"/>
      <c r="R41" s="652"/>
      <c r="S41" s="652"/>
      <c r="T41" s="652"/>
      <c r="U41" s="652"/>
      <c r="V41" s="652"/>
      <c r="W41" s="652"/>
      <c r="X41" s="652"/>
      <c r="Y41" s="652"/>
      <c r="Z41" s="650"/>
    </row>
    <row r="42" spans="2:29" ht="24">
      <c r="B42" s="546"/>
      <c r="C42" s="1590" t="s">
        <v>27</v>
      </c>
      <c r="D42" s="1591"/>
      <c r="E42" s="1592">
        <f>S14</f>
        <v>28.779324839827026</v>
      </c>
      <c r="F42" s="1593"/>
      <c r="G42" s="1592">
        <f>H14+L14+'상세 자료 작성'!M32/10^8</f>
        <v>26.580400479942341</v>
      </c>
      <c r="H42" s="1593"/>
      <c r="I42" s="1592">
        <f>T14</f>
        <v>27.461327399999998</v>
      </c>
      <c r="J42" s="1593"/>
      <c r="K42" s="1596">
        <f t="shared" si="32"/>
        <v>0.88092692005765727</v>
      </c>
      <c r="L42" s="1597"/>
      <c r="M42" s="721" t="s">
        <v>533</v>
      </c>
      <c r="N42" s="652"/>
      <c r="O42" s="652"/>
      <c r="P42" s="652"/>
      <c r="Q42" s="652"/>
      <c r="R42" s="652"/>
      <c r="S42" s="652"/>
      <c r="T42" s="652"/>
      <c r="U42" s="652"/>
      <c r="V42" s="652"/>
      <c r="W42" s="652"/>
      <c r="X42" s="652"/>
      <c r="Y42" s="652"/>
      <c r="Z42" s="650"/>
    </row>
    <row r="43" spans="2:29" ht="24">
      <c r="B43" s="1625" t="s">
        <v>47</v>
      </c>
      <c r="C43" s="1626"/>
      <c r="D43" s="1626"/>
      <c r="E43" s="1627">
        <f>SUM(E44:F48)</f>
        <v>40.873749999999994</v>
      </c>
      <c r="F43" s="1628"/>
      <c r="G43" s="1627">
        <f>SUM(G44:H48)</f>
        <v>17.60475954</v>
      </c>
      <c r="H43" s="1628"/>
      <c r="I43" s="1627">
        <f>SUM(I44:J48)</f>
        <v>15.72975954</v>
      </c>
      <c r="J43" s="1628"/>
      <c r="K43" s="1627">
        <f t="shared" si="32"/>
        <v>-1.875</v>
      </c>
      <c r="L43" s="1628"/>
      <c r="M43" s="653"/>
      <c r="N43" s="653"/>
      <c r="O43" s="653"/>
      <c r="P43" s="653"/>
      <c r="Q43" s="653"/>
      <c r="R43" s="653"/>
      <c r="S43" s="653"/>
      <c r="T43" s="653"/>
      <c r="U43" s="653"/>
      <c r="V43" s="653"/>
      <c r="W43" s="653"/>
      <c r="X43" s="653"/>
      <c r="Y43" s="653"/>
      <c r="Z43" s="651"/>
    </row>
    <row r="44" spans="2:29" ht="24">
      <c r="B44" s="546"/>
      <c r="C44" s="1590" t="s">
        <v>51</v>
      </c>
      <c r="D44" s="1591"/>
      <c r="E44" s="1592">
        <f>S17</f>
        <v>0.4</v>
      </c>
      <c r="F44" s="1593"/>
      <c r="G44" s="1592">
        <f>T17</f>
        <v>0.4</v>
      </c>
      <c r="H44" s="1593"/>
      <c r="I44" s="1594">
        <f>T17</f>
        <v>0.4</v>
      </c>
      <c r="J44" s="1595"/>
      <c r="K44" s="1592">
        <f t="shared" si="32"/>
        <v>0</v>
      </c>
      <c r="L44" s="1593"/>
      <c r="M44" s="652"/>
      <c r="N44" s="652"/>
      <c r="O44" s="652"/>
      <c r="P44" s="652"/>
      <c r="Q44" s="652"/>
      <c r="R44" s="652"/>
      <c r="S44" s="652"/>
      <c r="T44" s="652"/>
      <c r="U44" s="652"/>
      <c r="V44" s="652"/>
      <c r="W44" s="652"/>
      <c r="X44" s="652"/>
      <c r="Y44" s="652"/>
      <c r="Z44" s="650"/>
    </row>
    <row r="45" spans="2:29" ht="24">
      <c r="B45" s="546"/>
      <c r="C45" s="1590" t="s">
        <v>30</v>
      </c>
      <c r="D45" s="1591"/>
      <c r="E45" s="1592">
        <f>S18</f>
        <v>29.237500000000001</v>
      </c>
      <c r="F45" s="1593"/>
      <c r="G45" s="1592">
        <f t="shared" ref="G45:G48" si="33">T18</f>
        <v>5.2037500000000003</v>
      </c>
      <c r="H45" s="1593"/>
      <c r="I45" s="1596">
        <f t="shared" ref="I45:I48" si="34">T18</f>
        <v>5.2037500000000003</v>
      </c>
      <c r="J45" s="1597"/>
      <c r="K45" s="1592">
        <f t="shared" si="32"/>
        <v>0</v>
      </c>
      <c r="L45" s="1593"/>
      <c r="M45" s="652"/>
      <c r="N45" s="652"/>
      <c r="O45" s="652"/>
      <c r="P45" s="652"/>
      <c r="Q45" s="652"/>
      <c r="R45" s="652"/>
      <c r="S45" s="652"/>
      <c r="T45" s="652"/>
      <c r="U45" s="652"/>
      <c r="V45" s="652"/>
      <c r="W45" s="652"/>
      <c r="X45" s="652"/>
      <c r="Y45" s="652"/>
      <c r="Z45" s="650"/>
    </row>
    <row r="46" spans="2:29" ht="24">
      <c r="B46" s="546"/>
      <c r="C46" s="1590" t="s">
        <v>29</v>
      </c>
      <c r="D46" s="1591"/>
      <c r="E46" s="1592">
        <f>S19</f>
        <v>6.68</v>
      </c>
      <c r="F46" s="1593"/>
      <c r="G46" s="1592">
        <f t="shared" si="33"/>
        <v>8.7447868699999987</v>
      </c>
      <c r="H46" s="1593"/>
      <c r="I46" s="1596">
        <f t="shared" si="34"/>
        <v>8.7447868699999987</v>
      </c>
      <c r="J46" s="1597"/>
      <c r="K46" s="1592">
        <f t="shared" si="32"/>
        <v>0</v>
      </c>
      <c r="L46" s="1593"/>
      <c r="M46" s="652"/>
      <c r="N46" s="652"/>
      <c r="O46" s="652"/>
      <c r="P46" s="652"/>
      <c r="Q46" s="652"/>
      <c r="R46" s="652"/>
      <c r="S46" s="652"/>
      <c r="T46" s="652"/>
      <c r="U46" s="652"/>
      <c r="V46" s="652"/>
      <c r="W46" s="652"/>
      <c r="X46" s="652"/>
      <c r="Y46" s="652"/>
      <c r="Z46" s="650"/>
    </row>
    <row r="47" spans="2:29" ht="24">
      <c r="B47" s="546"/>
      <c r="C47" s="1590" t="s">
        <v>22</v>
      </c>
      <c r="D47" s="1591"/>
      <c r="E47" s="1592">
        <f>S20</f>
        <v>4.5562500000000004</v>
      </c>
      <c r="F47" s="1593"/>
      <c r="G47" s="1592">
        <f>G33</f>
        <v>2.1279166699999998</v>
      </c>
      <c r="H47" s="1593"/>
      <c r="I47" s="1596">
        <f>I33</f>
        <v>0.25291667000000001</v>
      </c>
      <c r="J47" s="1597"/>
      <c r="K47" s="1598">
        <f t="shared" si="32"/>
        <v>-1.8749999999999998</v>
      </c>
      <c r="L47" s="1599"/>
      <c r="M47" s="721" t="s">
        <v>534</v>
      </c>
      <c r="N47" s="652"/>
      <c r="O47" s="652"/>
      <c r="P47" s="652"/>
      <c r="Q47" s="652"/>
      <c r="R47" s="652"/>
      <c r="S47" s="652"/>
      <c r="T47" s="652"/>
      <c r="U47" s="652"/>
      <c r="V47" s="652"/>
      <c r="W47" s="652"/>
      <c r="X47" s="652"/>
      <c r="Y47" s="652"/>
      <c r="Z47" s="650"/>
    </row>
    <row r="48" spans="2:29" ht="24">
      <c r="B48" s="546"/>
      <c r="C48" s="1590" t="s">
        <v>52</v>
      </c>
      <c r="D48" s="1591"/>
      <c r="E48" s="1592">
        <f>S21</f>
        <v>0</v>
      </c>
      <c r="F48" s="1593"/>
      <c r="G48" s="1592">
        <f t="shared" si="33"/>
        <v>1.128306</v>
      </c>
      <c r="H48" s="1593"/>
      <c r="I48" s="1594">
        <f t="shared" si="34"/>
        <v>1.128306</v>
      </c>
      <c r="J48" s="1595"/>
      <c r="K48" s="1592">
        <f t="shared" si="32"/>
        <v>0</v>
      </c>
      <c r="L48" s="1593"/>
      <c r="M48" s="658"/>
      <c r="N48" s="652"/>
      <c r="O48" s="652"/>
      <c r="P48" s="652"/>
      <c r="Q48" s="652"/>
      <c r="R48" s="652"/>
      <c r="S48" s="652"/>
      <c r="T48" s="652"/>
      <c r="U48" s="652"/>
      <c r="V48" s="652"/>
      <c r="W48" s="652"/>
      <c r="X48" s="652"/>
      <c r="Y48" s="652"/>
      <c r="Z48" s="650"/>
    </row>
    <row r="49" spans="1:26" ht="24">
      <c r="B49" s="1583" t="s">
        <v>48</v>
      </c>
      <c r="C49" s="1584"/>
      <c r="D49" s="1585"/>
      <c r="E49" s="1586">
        <f>E43+E40+E39</f>
        <v>233.36683870219559</v>
      </c>
      <c r="F49" s="1587"/>
      <c r="G49" s="1588">
        <f>G43+G40+G39</f>
        <v>266.29065425994236</v>
      </c>
      <c r="H49" s="1589"/>
      <c r="I49" s="1588">
        <f>I43+I40+I39</f>
        <v>267.77485867999997</v>
      </c>
      <c r="J49" s="1589"/>
      <c r="K49" s="1586">
        <f t="shared" si="32"/>
        <v>1.4842044200576083</v>
      </c>
      <c r="L49" s="1587"/>
      <c r="M49" s="655"/>
      <c r="N49" s="655"/>
      <c r="O49" s="655"/>
      <c r="P49" s="655"/>
      <c r="Q49" s="655"/>
      <c r="R49" s="655"/>
      <c r="S49" s="655"/>
      <c r="T49" s="655"/>
      <c r="U49" s="655"/>
      <c r="V49" s="655"/>
      <c r="W49" s="655"/>
      <c r="X49" s="655"/>
      <c r="Y49" s="655"/>
      <c r="Z49" s="656"/>
    </row>
    <row r="52" spans="1:26" ht="27.6">
      <c r="A52" s="40" t="s">
        <v>75</v>
      </c>
    </row>
    <row r="53" spans="1:26" ht="18" thickBot="1"/>
    <row r="54" spans="1:26" ht="25.35" customHeight="1" thickBot="1">
      <c r="B54" s="1607" t="s">
        <v>76</v>
      </c>
      <c r="C54" s="1608"/>
      <c r="D54" s="1611" t="s">
        <v>3</v>
      </c>
      <c r="E54" s="1612"/>
      <c r="F54" s="1612"/>
      <c r="G54" s="1612"/>
      <c r="H54" s="1613"/>
      <c r="I54" s="1611" t="s">
        <v>4</v>
      </c>
      <c r="J54" s="1612"/>
      <c r="K54" s="1612"/>
      <c r="L54" s="1612"/>
      <c r="M54" s="1613"/>
      <c r="N54" s="1611" t="s">
        <v>5</v>
      </c>
      <c r="O54" s="1612"/>
      <c r="P54" s="1612"/>
      <c r="Q54" s="1612"/>
      <c r="R54" s="1613"/>
      <c r="S54" s="1668" t="s">
        <v>418</v>
      </c>
      <c r="T54" s="1609"/>
      <c r="U54" s="1609"/>
      <c r="V54" s="1609"/>
      <c r="W54" s="1609"/>
      <c r="X54" s="1609"/>
    </row>
    <row r="55" spans="1:26" ht="25.35" customHeight="1" thickBot="1">
      <c r="B55" s="1609"/>
      <c r="C55" s="1610"/>
      <c r="D55" s="713" t="s">
        <v>80</v>
      </c>
      <c r="E55" s="713" t="s">
        <v>81</v>
      </c>
      <c r="F55" s="713" t="s">
        <v>538</v>
      </c>
      <c r="G55" s="713" t="s">
        <v>83</v>
      </c>
      <c r="H55" s="713" t="s">
        <v>84</v>
      </c>
      <c r="I55" s="713" t="s">
        <v>80</v>
      </c>
      <c r="J55" s="713" t="s">
        <v>81</v>
      </c>
      <c r="K55" s="713" t="s">
        <v>538</v>
      </c>
      <c r="L55" s="713" t="s">
        <v>83</v>
      </c>
      <c r="M55" s="713" t="s">
        <v>84</v>
      </c>
      <c r="N55" s="713" t="s">
        <v>80</v>
      </c>
      <c r="O55" s="713" t="s">
        <v>81</v>
      </c>
      <c r="P55" s="713" t="s">
        <v>538</v>
      </c>
      <c r="Q55" s="713" t="s">
        <v>83</v>
      </c>
      <c r="R55" s="713" t="s">
        <v>84</v>
      </c>
      <c r="S55" s="713" t="s">
        <v>80</v>
      </c>
      <c r="T55" s="713" t="s">
        <v>81</v>
      </c>
      <c r="U55" s="713" t="s">
        <v>538</v>
      </c>
      <c r="V55" s="1611" t="s">
        <v>83</v>
      </c>
      <c r="W55" s="1613"/>
      <c r="X55" s="712" t="s">
        <v>84</v>
      </c>
    </row>
    <row r="56" spans="1:26" ht="25.35" customHeight="1" thickBot="1">
      <c r="B56" s="1614" t="s">
        <v>86</v>
      </c>
      <c r="C56" s="1615"/>
      <c r="D56" s="716">
        <f>D57+D61+D64</f>
        <v>78.086482110000006</v>
      </c>
      <c r="E56" s="716">
        <f>E57+E61+E64</f>
        <v>65.918633279942341</v>
      </c>
      <c r="F56" s="716">
        <f>F57+F61+F64</f>
        <v>67.325155449999997</v>
      </c>
      <c r="G56" s="717">
        <f>F56-D56</f>
        <v>-10.761326660000009</v>
      </c>
      <c r="H56" s="717">
        <f>F56-E56</f>
        <v>1.4065221700576558</v>
      </c>
      <c r="I56" s="716">
        <f>I57+I61+I64</f>
        <v>85.544025379999994</v>
      </c>
      <c r="J56" s="716">
        <f>J57+J61+J64</f>
        <v>57.537502900731866</v>
      </c>
      <c r="K56" s="716">
        <f>K57+K61+K64</f>
        <v>106.9893119</v>
      </c>
      <c r="L56" s="717">
        <f>K56-I56</f>
        <v>21.44528652000001</v>
      </c>
      <c r="M56" s="717">
        <f>K56-J56</f>
        <v>49.451808999268138</v>
      </c>
      <c r="N56" s="716">
        <f>N57+N61+N64</f>
        <v>66.758412890000002</v>
      </c>
      <c r="O56" s="716">
        <f>O57+O61+O64</f>
        <v>109.9107025215214</v>
      </c>
      <c r="P56" s="716">
        <f>P57+P61+P64</f>
        <v>95.323474659999988</v>
      </c>
      <c r="Q56" s="717">
        <f>P56-N56</f>
        <v>28.565061769999986</v>
      </c>
      <c r="R56" s="717">
        <f>P56-O56</f>
        <v>-14.587227861521413</v>
      </c>
      <c r="S56" s="716">
        <f>S57+S61+S64</f>
        <v>230.38892038</v>
      </c>
      <c r="T56" s="716">
        <f>T57+T61+T64</f>
        <v>233.36683870219562</v>
      </c>
      <c r="U56" s="716">
        <f>U57+U61+U64</f>
        <v>269.63794200999996</v>
      </c>
      <c r="V56" s="1669">
        <f>U56-S56</f>
        <v>39.249021629999959</v>
      </c>
      <c r="W56" s="1670"/>
      <c r="X56" s="717">
        <f>U56-T56</f>
        <v>36.271103307804339</v>
      </c>
    </row>
    <row r="57" spans="1:26" ht="25.35" customHeight="1" thickBot="1">
      <c r="B57" s="1614" t="s">
        <v>87</v>
      </c>
      <c r="C57" s="1615"/>
      <c r="D57" s="716">
        <f>SUM(D58:D59)</f>
        <v>52.8307766</v>
      </c>
      <c r="E57" s="716">
        <f>SUM(E58:E59)</f>
        <v>7.3631250000000001</v>
      </c>
      <c r="F57" s="716">
        <f>SUM(F58:F59)</f>
        <v>3.0259727999999999</v>
      </c>
      <c r="G57" s="717">
        <f t="shared" ref="G57:G69" si="35">F57-D57</f>
        <v>-49.804803800000002</v>
      </c>
      <c r="H57" s="717">
        <f t="shared" ref="H57:H69" si="36">F57-E57</f>
        <v>-4.3371522000000002</v>
      </c>
      <c r="I57" s="716">
        <f>SUM(I58:I59)</f>
        <v>61.786593600000003</v>
      </c>
      <c r="J57" s="716">
        <f>SUM(J58:J59)</f>
        <v>32.535269999999997</v>
      </c>
      <c r="K57" s="716">
        <f>SUM(K58:K59)</f>
        <v>53.72064744</v>
      </c>
      <c r="L57" s="717">
        <f t="shared" ref="L57:L60" si="37">K57-I57</f>
        <v>-8.0659461600000029</v>
      </c>
      <c r="M57" s="717">
        <f t="shared" ref="M57:M60" si="38">K57-J57</f>
        <v>21.185377440000003</v>
      </c>
      <c r="N57" s="716">
        <f>SUM(N58:N59)</f>
        <v>50.645257800000003</v>
      </c>
      <c r="O57" s="716">
        <f>SUM(O58:O59)</f>
        <v>27.626445</v>
      </c>
      <c r="P57" s="716">
        <f>SUM(P58:P59)</f>
        <v>29.674391499999999</v>
      </c>
      <c r="Q57" s="717">
        <f t="shared" ref="Q57:Q60" si="39">P57-N57</f>
        <v>-20.970866300000004</v>
      </c>
      <c r="R57" s="717">
        <f t="shared" ref="R57:R60" si="40">P57-O57</f>
        <v>2.0479464999999983</v>
      </c>
      <c r="S57" s="716">
        <f>SUM(S58:S59)</f>
        <v>165.26262800000001</v>
      </c>
      <c r="T57" s="716">
        <f>SUM(T58:T59)</f>
        <v>67.524839999999998</v>
      </c>
      <c r="U57" s="716">
        <f>SUM(U58:U59)</f>
        <v>86.421011739999997</v>
      </c>
      <c r="V57" s="1669">
        <f t="shared" ref="V57:V59" si="41">U57-S57</f>
        <v>-78.841616260000009</v>
      </c>
      <c r="W57" s="1670"/>
      <c r="X57" s="717">
        <f>U57-T57</f>
        <v>18.89617174</v>
      </c>
    </row>
    <row r="58" spans="1:26" ht="25.35" customHeight="1" thickBot="1">
      <c r="B58" s="1678"/>
      <c r="C58" s="714" t="s">
        <v>88</v>
      </c>
      <c r="D58" s="715">
        <f t="shared" ref="D58:F60" si="42">F10</f>
        <v>51.264822600000002</v>
      </c>
      <c r="E58" s="715">
        <f t="shared" si="42"/>
        <v>7.3631250000000001</v>
      </c>
      <c r="F58" s="715">
        <f t="shared" si="42"/>
        <v>3.0259727999999999</v>
      </c>
      <c r="G58" s="718">
        <f t="shared" si="35"/>
        <v>-48.238849800000004</v>
      </c>
      <c r="H58" s="718">
        <f t="shared" si="36"/>
        <v>-4.3371522000000002</v>
      </c>
      <c r="I58" s="715">
        <f>J10</f>
        <v>61.786593600000003</v>
      </c>
      <c r="J58" s="715">
        <f t="shared" ref="J58:K58" si="43">K10</f>
        <v>32.535269999999997</v>
      </c>
      <c r="K58" s="715">
        <f t="shared" si="43"/>
        <v>53.72064744</v>
      </c>
      <c r="L58" s="718">
        <f t="shared" si="37"/>
        <v>-8.0659461600000029</v>
      </c>
      <c r="M58" s="718">
        <f t="shared" si="38"/>
        <v>21.185377440000003</v>
      </c>
      <c r="N58" s="715">
        <f>N10</f>
        <v>50.645257800000003</v>
      </c>
      <c r="O58" s="715">
        <f>O10</f>
        <v>27.626445</v>
      </c>
      <c r="P58" s="715">
        <f>P10</f>
        <v>29.674391499999999</v>
      </c>
      <c r="Q58" s="718">
        <f t="shared" si="39"/>
        <v>-20.970866300000004</v>
      </c>
      <c r="R58" s="718">
        <f t="shared" si="40"/>
        <v>2.0479464999999983</v>
      </c>
      <c r="S58" s="715">
        <f t="shared" ref="S58:U60" si="44">R10</f>
        <v>163.696674</v>
      </c>
      <c r="T58" s="715">
        <f t="shared" si="44"/>
        <v>67.524839999999998</v>
      </c>
      <c r="U58" s="715">
        <f t="shared" si="44"/>
        <v>86.421011739999997</v>
      </c>
      <c r="V58" s="1676">
        <f t="shared" si="41"/>
        <v>-77.275662260000004</v>
      </c>
      <c r="W58" s="1677"/>
      <c r="X58" s="718">
        <f>U58-T58</f>
        <v>18.89617174</v>
      </c>
    </row>
    <row r="59" spans="1:26" ht="25.35" customHeight="1" thickBot="1">
      <c r="B59" s="1679"/>
      <c r="C59" s="714" t="s">
        <v>89</v>
      </c>
      <c r="D59" s="715">
        <f t="shared" si="42"/>
        <v>1.5659540000000001</v>
      </c>
      <c r="E59" s="715">
        <f t="shared" si="42"/>
        <v>0</v>
      </c>
      <c r="F59" s="715">
        <f t="shared" si="42"/>
        <v>0</v>
      </c>
      <c r="G59" s="718">
        <f t="shared" si="35"/>
        <v>-1.5659540000000001</v>
      </c>
      <c r="H59" s="718">
        <f t="shared" si="36"/>
        <v>0</v>
      </c>
      <c r="I59" s="715">
        <f t="shared" ref="I59:K59" si="45">J11</f>
        <v>0</v>
      </c>
      <c r="J59" s="715">
        <f t="shared" si="45"/>
        <v>0</v>
      </c>
      <c r="K59" s="715">
        <f t="shared" si="45"/>
        <v>0</v>
      </c>
      <c r="L59" s="718">
        <f t="shared" si="37"/>
        <v>0</v>
      </c>
      <c r="M59" s="718">
        <f t="shared" si="38"/>
        <v>0</v>
      </c>
      <c r="N59" s="715">
        <f t="shared" ref="N59:O60" si="46">N11</f>
        <v>0</v>
      </c>
      <c r="O59" s="715">
        <f t="shared" si="46"/>
        <v>0</v>
      </c>
      <c r="P59" s="715">
        <f t="shared" ref="P59" si="47">P11</f>
        <v>0</v>
      </c>
      <c r="Q59" s="718">
        <f t="shared" si="39"/>
        <v>0</v>
      </c>
      <c r="R59" s="718">
        <f t="shared" si="40"/>
        <v>0</v>
      </c>
      <c r="S59" s="715">
        <f t="shared" si="44"/>
        <v>1.5659540000000001</v>
      </c>
      <c r="T59" s="715">
        <f t="shared" si="44"/>
        <v>0</v>
      </c>
      <c r="U59" s="715">
        <f t="shared" si="44"/>
        <v>0</v>
      </c>
      <c r="V59" s="1676">
        <f t="shared" si="41"/>
        <v>-1.5659540000000001</v>
      </c>
      <c r="W59" s="1677"/>
      <c r="X59" s="718">
        <f>U59-T59</f>
        <v>0</v>
      </c>
    </row>
    <row r="60" spans="1:26" ht="25.35" customHeight="1" thickBot="1">
      <c r="B60" s="1680"/>
      <c r="C60" s="714" t="s">
        <v>22</v>
      </c>
      <c r="D60" s="715">
        <f t="shared" si="42"/>
        <v>0</v>
      </c>
      <c r="E60" s="715">
        <f t="shared" si="42"/>
        <v>0</v>
      </c>
      <c r="F60" s="715">
        <f t="shared" si="42"/>
        <v>0</v>
      </c>
      <c r="G60" s="718">
        <f t="shared" si="35"/>
        <v>0</v>
      </c>
      <c r="H60" s="718">
        <f t="shared" si="36"/>
        <v>0</v>
      </c>
      <c r="I60" s="715">
        <f t="shared" ref="I60:K60" si="48">J12</f>
        <v>0</v>
      </c>
      <c r="J60" s="715">
        <f t="shared" si="48"/>
        <v>0</v>
      </c>
      <c r="K60" s="715">
        <f t="shared" si="48"/>
        <v>0</v>
      </c>
      <c r="L60" s="718">
        <f t="shared" si="37"/>
        <v>0</v>
      </c>
      <c r="M60" s="718">
        <f t="shared" si="38"/>
        <v>0</v>
      </c>
      <c r="N60" s="715">
        <f t="shared" si="46"/>
        <v>0</v>
      </c>
      <c r="O60" s="715">
        <f t="shared" si="46"/>
        <v>0</v>
      </c>
      <c r="P60" s="715">
        <f t="shared" ref="P60" si="49">P12</f>
        <v>0</v>
      </c>
      <c r="Q60" s="718">
        <f t="shared" si="39"/>
        <v>0</v>
      </c>
      <c r="R60" s="718">
        <f t="shared" si="40"/>
        <v>0</v>
      </c>
      <c r="S60" s="715">
        <f t="shared" si="44"/>
        <v>0</v>
      </c>
      <c r="T60" s="715">
        <f t="shared" si="44"/>
        <v>0</v>
      </c>
      <c r="U60" s="715">
        <f t="shared" si="44"/>
        <v>0</v>
      </c>
      <c r="V60" s="1676">
        <f t="shared" ref="V60" si="50">U60-S60</f>
        <v>0</v>
      </c>
      <c r="W60" s="1677"/>
      <c r="X60" s="718">
        <f>U60-T60</f>
        <v>0</v>
      </c>
    </row>
    <row r="61" spans="1:26" ht="25.35" customHeight="1" thickBot="1">
      <c r="B61" s="1614" t="s">
        <v>90</v>
      </c>
      <c r="C61" s="1615"/>
      <c r="D61" s="716">
        <f>SUM(D62:D63)</f>
        <v>12.073718700000001</v>
      </c>
      <c r="E61" s="716">
        <f>SUM(E62:E63)</f>
        <v>53.650508279942343</v>
      </c>
      <c r="F61" s="716">
        <f>SUM(F62:F63)</f>
        <v>58.836451699999998</v>
      </c>
      <c r="G61" s="717">
        <f t="shared" si="35"/>
        <v>46.762732999999997</v>
      </c>
      <c r="H61" s="717">
        <f t="shared" si="36"/>
        <v>5.1859434200576544</v>
      </c>
      <c r="I61" s="716">
        <f>SUM(I62:I63)</f>
        <v>17.030478800000001</v>
      </c>
      <c r="J61" s="716">
        <f>SUM(J62:J63)</f>
        <v>14.379732900731874</v>
      </c>
      <c r="K61" s="716">
        <f>SUM(K62:K63)</f>
        <v>51.226657500000002</v>
      </c>
      <c r="L61" s="717">
        <f t="shared" ref="L61:L63" si="51">K61-I61</f>
        <v>34.196178700000004</v>
      </c>
      <c r="M61" s="717">
        <f t="shared" ref="M61:M63" si="52">K61-J61</f>
        <v>36.846924599268128</v>
      </c>
      <c r="N61" s="716">
        <f>SUM(N62:N63)</f>
        <v>10.7273508</v>
      </c>
      <c r="O61" s="716">
        <f>SUM(O62:O63)</f>
        <v>56.938007521521399</v>
      </c>
      <c r="P61" s="716">
        <f>SUM(P62:P63)</f>
        <v>55.560978199999994</v>
      </c>
      <c r="Q61" s="717">
        <f t="shared" ref="Q61:Q63" si="53">P61-N61</f>
        <v>44.833627399999997</v>
      </c>
      <c r="R61" s="717">
        <f t="shared" ref="R61:R63" si="54">P61-O61</f>
        <v>-1.3770293215214053</v>
      </c>
      <c r="S61" s="716">
        <f>SUM(S62:S63)</f>
        <v>39.831548300000001</v>
      </c>
      <c r="T61" s="716">
        <f>SUM(T62:T63)</f>
        <v>124.96824870219562</v>
      </c>
      <c r="U61" s="716">
        <f>SUM(U62:U63)</f>
        <v>165.62408739999998</v>
      </c>
      <c r="V61" s="1669">
        <f t="shared" ref="V61:V63" si="55">U61-S61</f>
        <v>125.79253909999997</v>
      </c>
      <c r="W61" s="1670"/>
      <c r="X61" s="717">
        <f t="shared" ref="X61:X69" si="56">U61-T61</f>
        <v>40.655838697804356</v>
      </c>
    </row>
    <row r="62" spans="1:26" ht="25.35" customHeight="1" thickBot="1">
      <c r="B62" s="1681"/>
      <c r="C62" s="714" t="s">
        <v>91</v>
      </c>
      <c r="D62" s="715">
        <f t="shared" ref="D62:F63" si="57">F14</f>
        <v>6.7044357000000003</v>
      </c>
      <c r="E62" s="715">
        <f t="shared" si="57"/>
        <v>9.5931082799423404</v>
      </c>
      <c r="F62" s="715">
        <f t="shared" si="57"/>
        <v>10.137470199999999</v>
      </c>
      <c r="G62" s="718">
        <f t="shared" si="35"/>
        <v>3.4330344999999989</v>
      </c>
      <c r="H62" s="718">
        <f t="shared" si="36"/>
        <v>0.54436192005765882</v>
      </c>
      <c r="I62" s="715">
        <f>J14</f>
        <v>6.7871058</v>
      </c>
      <c r="J62" s="715">
        <f t="shared" ref="J62:K62" si="58">K14</f>
        <v>9.5931082799423422</v>
      </c>
      <c r="K62" s="715">
        <f t="shared" si="58"/>
        <v>6.8498219999999996</v>
      </c>
      <c r="L62" s="718">
        <f t="shared" si="51"/>
        <v>6.2716199999999667E-2</v>
      </c>
      <c r="M62" s="718">
        <f t="shared" si="52"/>
        <v>-2.7432862799423425</v>
      </c>
      <c r="N62" s="715">
        <f t="shared" ref="N62:P63" si="59">N14</f>
        <v>6.7217647999999999</v>
      </c>
      <c r="O62" s="715">
        <f t="shared" si="59"/>
        <v>9.5931082799423422</v>
      </c>
      <c r="P62" s="715">
        <f t="shared" si="59"/>
        <v>10.474035199999999</v>
      </c>
      <c r="Q62" s="718">
        <f t="shared" si="53"/>
        <v>3.7522703999999996</v>
      </c>
      <c r="R62" s="718">
        <f t="shared" si="54"/>
        <v>0.88092692005765727</v>
      </c>
      <c r="S62" s="715">
        <f t="shared" ref="S62:U63" si="60">R14</f>
        <v>20.213306299999999</v>
      </c>
      <c r="T62" s="715">
        <f t="shared" si="60"/>
        <v>28.779324839827026</v>
      </c>
      <c r="U62" s="715">
        <f t="shared" si="60"/>
        <v>27.461327399999998</v>
      </c>
      <c r="V62" s="1676">
        <f t="shared" si="55"/>
        <v>7.248021099999999</v>
      </c>
      <c r="W62" s="1677"/>
      <c r="X62" s="718">
        <f t="shared" si="56"/>
        <v>-1.3179974398270282</v>
      </c>
    </row>
    <row r="63" spans="1:26" ht="25.35" customHeight="1" thickBot="1">
      <c r="B63" s="1682"/>
      <c r="C63" s="714" t="s">
        <v>92</v>
      </c>
      <c r="D63" s="715">
        <f t="shared" si="57"/>
        <v>5.3692830000000002</v>
      </c>
      <c r="E63" s="715">
        <f t="shared" si="57"/>
        <v>44.057400000000001</v>
      </c>
      <c r="F63" s="715">
        <f t="shared" si="57"/>
        <v>48.698981500000002</v>
      </c>
      <c r="G63" s="718">
        <f t="shared" si="35"/>
        <v>43.329698499999999</v>
      </c>
      <c r="H63" s="718">
        <f t="shared" si="36"/>
        <v>4.6415815000000009</v>
      </c>
      <c r="I63" s="715">
        <f>J15</f>
        <v>10.243373</v>
      </c>
      <c r="J63" s="715">
        <f t="shared" ref="J63:K63" si="61">K15</f>
        <v>4.7866246207895324</v>
      </c>
      <c r="K63" s="715">
        <f t="shared" si="61"/>
        <v>44.376835499999999</v>
      </c>
      <c r="L63" s="718">
        <f t="shared" si="51"/>
        <v>34.1334625</v>
      </c>
      <c r="M63" s="718">
        <f t="shared" si="52"/>
        <v>39.590210879210467</v>
      </c>
      <c r="N63" s="715">
        <f t="shared" si="59"/>
        <v>4.0055860000000001</v>
      </c>
      <c r="O63" s="715">
        <f t="shared" si="59"/>
        <v>47.344899241579057</v>
      </c>
      <c r="P63" s="715">
        <f t="shared" si="59"/>
        <v>45.086942999999998</v>
      </c>
      <c r="Q63" s="718">
        <f t="shared" si="53"/>
        <v>41.081356999999997</v>
      </c>
      <c r="R63" s="718">
        <f t="shared" si="54"/>
        <v>-2.2579562415790591</v>
      </c>
      <c r="S63" s="715">
        <f t="shared" si="60"/>
        <v>19.618242000000002</v>
      </c>
      <c r="T63" s="715">
        <f t="shared" si="60"/>
        <v>96.188923862368597</v>
      </c>
      <c r="U63" s="715">
        <f t="shared" si="60"/>
        <v>138.16275999999999</v>
      </c>
      <c r="V63" s="1676">
        <f t="shared" si="55"/>
        <v>118.54451799999998</v>
      </c>
      <c r="W63" s="1677"/>
      <c r="X63" s="718">
        <f t="shared" si="56"/>
        <v>41.973836137631395</v>
      </c>
    </row>
    <row r="64" spans="1:26" ht="25.35" customHeight="1" thickBot="1">
      <c r="B64" s="1614" t="s">
        <v>93</v>
      </c>
      <c r="C64" s="1615"/>
      <c r="D64" s="716">
        <f>SUM(D65:D69)</f>
        <v>13.18198681</v>
      </c>
      <c r="E64" s="716">
        <f>SUM(E65:E69)</f>
        <v>4.9050000000000002</v>
      </c>
      <c r="F64" s="716">
        <f>SUM(F65:F69)</f>
        <v>5.4627309500000001</v>
      </c>
      <c r="G64" s="717">
        <f t="shared" si="35"/>
        <v>-7.7192558599999996</v>
      </c>
      <c r="H64" s="717">
        <f t="shared" si="36"/>
        <v>0.55773094999999984</v>
      </c>
      <c r="I64" s="716">
        <f>SUM(I65:I69)</f>
        <v>6.7269529800000001</v>
      </c>
      <c r="J64" s="716">
        <f>SUM(J65:J69)</f>
        <v>10.622499999999999</v>
      </c>
      <c r="K64" s="716">
        <f>SUM(K65:K69)</f>
        <v>2.0420069600000001</v>
      </c>
      <c r="L64" s="717">
        <f t="shared" ref="L64:L69" si="62">K64-I64</f>
        <v>-4.6849460199999999</v>
      </c>
      <c r="M64" s="717">
        <f t="shared" ref="M64:M69" si="63">K64-J64</f>
        <v>-8.5804930399999986</v>
      </c>
      <c r="N64" s="716">
        <f>SUM(N65:N69)</f>
        <v>5.3858042899999994</v>
      </c>
      <c r="O64" s="716">
        <f>SUM(O65:O69)</f>
        <v>25.346249999999998</v>
      </c>
      <c r="P64" s="716">
        <f>SUM(P65:P69)</f>
        <v>10.088104959999999</v>
      </c>
      <c r="Q64" s="717">
        <f t="shared" ref="Q64:Q65" si="64">P64-N64</f>
        <v>4.7023006699999996</v>
      </c>
      <c r="R64" s="717">
        <f t="shared" ref="R64:R65" si="65">P64-O64</f>
        <v>-15.258145039999999</v>
      </c>
      <c r="S64" s="716">
        <f>SUM(S65:S69)</f>
        <v>25.294744080000001</v>
      </c>
      <c r="T64" s="716">
        <f>SUM(T65:T69)</f>
        <v>40.873749999999994</v>
      </c>
      <c r="U64" s="716">
        <f>SUM(U65:U69)</f>
        <v>17.592842869999998</v>
      </c>
      <c r="V64" s="1669">
        <f t="shared" ref="V64:V65" si="66">U64-S64</f>
        <v>-7.7019012100000026</v>
      </c>
      <c r="W64" s="1670"/>
      <c r="X64" s="717">
        <f t="shared" si="56"/>
        <v>-23.280907129999996</v>
      </c>
    </row>
    <row r="65" spans="2:24" ht="25.35" customHeight="1" thickBot="1">
      <c r="B65" s="1681"/>
      <c r="C65" s="714" t="s">
        <v>94</v>
      </c>
      <c r="D65" s="715">
        <f t="shared" ref="D65:F69" si="67">F17</f>
        <v>0</v>
      </c>
      <c r="E65" s="715">
        <f t="shared" si="67"/>
        <v>0</v>
      </c>
      <c r="F65" s="715">
        <f t="shared" si="67"/>
        <v>0</v>
      </c>
      <c r="G65" s="718">
        <f t="shared" si="35"/>
        <v>0</v>
      </c>
      <c r="H65" s="718">
        <f t="shared" si="36"/>
        <v>0</v>
      </c>
      <c r="I65" s="715">
        <f>J17</f>
        <v>1.47</v>
      </c>
      <c r="J65" s="715">
        <f t="shared" ref="J65:K65" si="68">K17</f>
        <v>0.4</v>
      </c>
      <c r="K65" s="715">
        <f t="shared" si="68"/>
        <v>0.4</v>
      </c>
      <c r="L65" s="718">
        <f t="shared" si="62"/>
        <v>-1.0699999999999998</v>
      </c>
      <c r="M65" s="718">
        <f t="shared" si="63"/>
        <v>0</v>
      </c>
      <c r="N65" s="715">
        <f>N17</f>
        <v>0</v>
      </c>
      <c r="O65" s="715">
        <f t="shared" ref="O65:P65" si="69">O17</f>
        <v>0</v>
      </c>
      <c r="P65" s="715">
        <f t="shared" si="69"/>
        <v>0</v>
      </c>
      <c r="Q65" s="718">
        <f t="shared" si="64"/>
        <v>0</v>
      </c>
      <c r="R65" s="718">
        <f t="shared" si="65"/>
        <v>0</v>
      </c>
      <c r="S65" s="715">
        <f t="shared" ref="S65:U69" si="70">R17</f>
        <v>1.47</v>
      </c>
      <c r="T65" s="715">
        <f t="shared" si="70"/>
        <v>0.4</v>
      </c>
      <c r="U65" s="715">
        <f t="shared" si="70"/>
        <v>0.4</v>
      </c>
      <c r="V65" s="1676">
        <f t="shared" si="66"/>
        <v>-1.0699999999999998</v>
      </c>
      <c r="W65" s="1677"/>
      <c r="X65" s="718">
        <f t="shared" si="56"/>
        <v>0</v>
      </c>
    </row>
    <row r="66" spans="2:24" ht="25.35" customHeight="1" thickBot="1">
      <c r="B66" s="1683"/>
      <c r="C66" s="714" t="s">
        <v>95</v>
      </c>
      <c r="D66" s="715">
        <f t="shared" si="67"/>
        <v>0</v>
      </c>
      <c r="E66" s="715">
        <f t="shared" si="67"/>
        <v>4.9050000000000002</v>
      </c>
      <c r="F66" s="715">
        <f t="shared" si="67"/>
        <v>0</v>
      </c>
      <c r="G66" s="718">
        <f t="shared" si="35"/>
        <v>0</v>
      </c>
      <c r="H66" s="718">
        <f t="shared" si="36"/>
        <v>-4.9050000000000002</v>
      </c>
      <c r="I66" s="715">
        <f t="shared" ref="I66:K66" si="71">J18</f>
        <v>0.38500000000000001</v>
      </c>
      <c r="J66" s="715">
        <f t="shared" si="71"/>
        <v>7.665</v>
      </c>
      <c r="K66" s="715">
        <f t="shared" si="71"/>
        <v>0</v>
      </c>
      <c r="L66" s="718">
        <f t="shared" si="62"/>
        <v>-0.38500000000000001</v>
      </c>
      <c r="M66" s="718">
        <f t="shared" si="63"/>
        <v>-7.665</v>
      </c>
      <c r="N66" s="715">
        <f t="shared" ref="N66:P69" si="72">N18</f>
        <v>0</v>
      </c>
      <c r="O66" s="715">
        <f t="shared" si="72"/>
        <v>16.6675</v>
      </c>
      <c r="P66" s="715">
        <f t="shared" si="72"/>
        <v>5.2037500000000003</v>
      </c>
      <c r="Q66" s="718">
        <f t="shared" ref="Q66:Q69" si="73">P66-N66</f>
        <v>5.2037500000000003</v>
      </c>
      <c r="R66" s="718">
        <f t="shared" ref="R66:R69" si="74">P66-O66</f>
        <v>-11.463750000000001</v>
      </c>
      <c r="S66" s="715">
        <f t="shared" si="70"/>
        <v>0.38500000000000001</v>
      </c>
      <c r="T66" s="715">
        <f t="shared" si="70"/>
        <v>29.237500000000001</v>
      </c>
      <c r="U66" s="715">
        <f t="shared" si="70"/>
        <v>5.2037500000000003</v>
      </c>
      <c r="V66" s="1676">
        <f t="shared" ref="V66:V69" si="75">U66-S66</f>
        <v>4.8187500000000005</v>
      </c>
      <c r="W66" s="1677"/>
      <c r="X66" s="718">
        <f t="shared" si="56"/>
        <v>-24.033750000000001</v>
      </c>
    </row>
    <row r="67" spans="2:24" ht="25.35" customHeight="1" thickBot="1">
      <c r="B67" s="1683"/>
      <c r="C67" s="714" t="s">
        <v>96</v>
      </c>
      <c r="D67" s="715">
        <f t="shared" si="67"/>
        <v>1.6206942900000001</v>
      </c>
      <c r="E67" s="715">
        <f t="shared" si="67"/>
        <v>0</v>
      </c>
      <c r="F67" s="715">
        <f t="shared" si="67"/>
        <v>4.39139429</v>
      </c>
      <c r="G67" s="718">
        <f t="shared" si="35"/>
        <v>2.7706999999999997</v>
      </c>
      <c r="H67" s="718">
        <f t="shared" si="36"/>
        <v>4.39139429</v>
      </c>
      <c r="I67" s="715">
        <f t="shared" ref="I67:K67" si="76">J19</f>
        <v>0.30069428999999998</v>
      </c>
      <c r="J67" s="715">
        <f t="shared" si="76"/>
        <v>1.62</v>
      </c>
      <c r="K67" s="715">
        <f t="shared" si="76"/>
        <v>0.14069429</v>
      </c>
      <c r="L67" s="718">
        <f t="shared" si="62"/>
        <v>-0.15999999999999998</v>
      </c>
      <c r="M67" s="718">
        <f t="shared" si="63"/>
        <v>-1.4793057100000002</v>
      </c>
      <c r="N67" s="715">
        <f t="shared" si="72"/>
        <v>1.37569429</v>
      </c>
      <c r="O67" s="715">
        <f t="shared" si="72"/>
        <v>5.0599999999999996</v>
      </c>
      <c r="P67" s="715">
        <f t="shared" si="72"/>
        <v>4.2126982899999996</v>
      </c>
      <c r="Q67" s="718">
        <f t="shared" si="73"/>
        <v>2.8370039999999994</v>
      </c>
      <c r="R67" s="718">
        <f t="shared" si="74"/>
        <v>-0.84730170999999999</v>
      </c>
      <c r="S67" s="715">
        <f t="shared" si="70"/>
        <v>3.2970828700000001</v>
      </c>
      <c r="T67" s="715">
        <f t="shared" si="70"/>
        <v>6.68</v>
      </c>
      <c r="U67" s="715">
        <f t="shared" si="70"/>
        <v>8.7447868699999987</v>
      </c>
      <c r="V67" s="1676">
        <f t="shared" si="75"/>
        <v>5.4477039999999981</v>
      </c>
      <c r="W67" s="1677"/>
      <c r="X67" s="718">
        <f t="shared" si="56"/>
        <v>2.0647868699999989</v>
      </c>
    </row>
    <row r="68" spans="2:24" ht="25.35" customHeight="1" thickBot="1">
      <c r="B68" s="1683"/>
      <c r="C68" s="714" t="s">
        <v>97</v>
      </c>
      <c r="D68" s="715">
        <f t="shared" si="67"/>
        <v>11.4</v>
      </c>
      <c r="E68" s="715">
        <f t="shared" si="67"/>
        <v>0</v>
      </c>
      <c r="F68" s="715">
        <f t="shared" si="67"/>
        <v>0.67266665999999997</v>
      </c>
      <c r="G68" s="718">
        <f t="shared" si="35"/>
        <v>-10.727333340000001</v>
      </c>
      <c r="H68" s="718">
        <f t="shared" si="36"/>
        <v>0.67266665999999997</v>
      </c>
      <c r="I68" s="715">
        <f t="shared" ref="I68:K68" si="77">J20</f>
        <v>3.4437500000000001</v>
      </c>
      <c r="J68" s="715">
        <f t="shared" si="77"/>
        <v>0.9375</v>
      </c>
      <c r="K68" s="715">
        <f t="shared" si="77"/>
        <v>1.1904166700000001</v>
      </c>
      <c r="L68" s="718">
        <f t="shared" si="62"/>
        <v>-2.2533333300000002</v>
      </c>
      <c r="M68" s="718">
        <f t="shared" si="63"/>
        <v>0.25291667000000007</v>
      </c>
      <c r="N68" s="715">
        <f t="shared" si="72"/>
        <v>3.8687499999999999</v>
      </c>
      <c r="O68" s="715">
        <f t="shared" si="72"/>
        <v>3.6187499999999999</v>
      </c>
      <c r="P68" s="715">
        <f t="shared" si="72"/>
        <v>0.25291667000000001</v>
      </c>
      <c r="Q68" s="718">
        <f t="shared" si="73"/>
        <v>-3.6158333300000001</v>
      </c>
      <c r="R68" s="718">
        <f t="shared" si="74"/>
        <v>-3.3658333300000001</v>
      </c>
      <c r="S68" s="715">
        <f t="shared" si="70"/>
        <v>18.712499999999999</v>
      </c>
      <c r="T68" s="715">
        <f t="shared" si="70"/>
        <v>4.5562500000000004</v>
      </c>
      <c r="U68" s="715">
        <f t="shared" si="70"/>
        <v>2.1160000000000001</v>
      </c>
      <c r="V68" s="1676">
        <f t="shared" si="75"/>
        <v>-16.596499999999999</v>
      </c>
      <c r="W68" s="1677"/>
      <c r="X68" s="718">
        <f t="shared" si="56"/>
        <v>-2.4402500000000003</v>
      </c>
    </row>
    <row r="69" spans="2:24" ht="25.35" customHeight="1" thickBot="1">
      <c r="B69" s="1682"/>
      <c r="C69" s="714" t="s">
        <v>98</v>
      </c>
      <c r="D69" s="715">
        <f t="shared" si="67"/>
        <v>0.16129251999999999</v>
      </c>
      <c r="E69" s="715">
        <f t="shared" si="67"/>
        <v>0</v>
      </c>
      <c r="F69" s="715">
        <f t="shared" si="67"/>
        <v>0.39867000000000002</v>
      </c>
      <c r="G69" s="718">
        <f t="shared" si="35"/>
        <v>0.23737748000000003</v>
      </c>
      <c r="H69" s="718">
        <f t="shared" si="36"/>
        <v>0.39867000000000002</v>
      </c>
      <c r="I69" s="715">
        <f t="shared" ref="I69:K69" si="78">J21</f>
        <v>1.12750869</v>
      </c>
      <c r="J69" s="715">
        <f t="shared" si="78"/>
        <v>0</v>
      </c>
      <c r="K69" s="715">
        <f t="shared" si="78"/>
        <v>0.31089600000000001</v>
      </c>
      <c r="L69" s="718">
        <f t="shared" si="62"/>
        <v>-0.81661268999999992</v>
      </c>
      <c r="M69" s="718">
        <f t="shared" si="63"/>
        <v>0.31089600000000001</v>
      </c>
      <c r="N69" s="715">
        <f t="shared" si="72"/>
        <v>0.14136000000000001</v>
      </c>
      <c r="O69" s="715">
        <f t="shared" si="72"/>
        <v>0</v>
      </c>
      <c r="P69" s="715">
        <f t="shared" si="72"/>
        <v>0.41874</v>
      </c>
      <c r="Q69" s="718">
        <f t="shared" si="73"/>
        <v>0.27737999999999996</v>
      </c>
      <c r="R69" s="718">
        <f t="shared" si="74"/>
        <v>0.41874</v>
      </c>
      <c r="S69" s="715">
        <f t="shared" si="70"/>
        <v>1.4301612099999998</v>
      </c>
      <c r="T69" s="715">
        <f t="shared" si="70"/>
        <v>0</v>
      </c>
      <c r="U69" s="715">
        <f t="shared" si="70"/>
        <v>1.128306</v>
      </c>
      <c r="V69" s="1676">
        <f t="shared" si="75"/>
        <v>-0.30185520999999982</v>
      </c>
      <c r="W69" s="1677"/>
      <c r="X69" s="718">
        <f t="shared" si="56"/>
        <v>1.128306</v>
      </c>
    </row>
  </sheetData>
  <mergeCells count="171">
    <mergeCell ref="V66:W66"/>
    <mergeCell ref="V67:W67"/>
    <mergeCell ref="V68:W68"/>
    <mergeCell ref="V69:W69"/>
    <mergeCell ref="B58:B60"/>
    <mergeCell ref="B61:C61"/>
    <mergeCell ref="B62:B63"/>
    <mergeCell ref="B64:C64"/>
    <mergeCell ref="B65:B69"/>
    <mergeCell ref="V57:W57"/>
    <mergeCell ref="V58:W58"/>
    <mergeCell ref="V59:W59"/>
    <mergeCell ref="V61:W61"/>
    <mergeCell ref="V60:W60"/>
    <mergeCell ref="V62:W62"/>
    <mergeCell ref="V63:W63"/>
    <mergeCell ref="V64:W64"/>
    <mergeCell ref="V65:W65"/>
    <mergeCell ref="G24:H24"/>
    <mergeCell ref="G25:H25"/>
    <mergeCell ref="I25:J25"/>
    <mergeCell ref="I54:M54"/>
    <mergeCell ref="N54:R54"/>
    <mergeCell ref="S54:X54"/>
    <mergeCell ref="V55:W55"/>
    <mergeCell ref="V56:W56"/>
    <mergeCell ref="I29:J29"/>
    <mergeCell ref="I30:J30"/>
    <mergeCell ref="I31:J31"/>
    <mergeCell ref="G34:H34"/>
    <mergeCell ref="I33:J33"/>
    <mergeCell ref="K34:L34"/>
    <mergeCell ref="K35:L35"/>
    <mergeCell ref="M31:Z31"/>
    <mergeCell ref="B10:B11"/>
    <mergeCell ref="I34:J34"/>
    <mergeCell ref="I35:J35"/>
    <mergeCell ref="G35:H35"/>
    <mergeCell ref="I32:J32"/>
    <mergeCell ref="B16:C16"/>
    <mergeCell ref="B35:D35"/>
    <mergeCell ref="C30:D30"/>
    <mergeCell ref="C31:D31"/>
    <mergeCell ref="C32:D32"/>
    <mergeCell ref="C33:D33"/>
    <mergeCell ref="C34:D34"/>
    <mergeCell ref="B25:D25"/>
    <mergeCell ref="B17:B21"/>
    <mergeCell ref="B24:D24"/>
    <mergeCell ref="B29:D29"/>
    <mergeCell ref="C28:D28"/>
    <mergeCell ref="B26:D26"/>
    <mergeCell ref="C27:D27"/>
    <mergeCell ref="E24:F24"/>
    <mergeCell ref="G31:H31"/>
    <mergeCell ref="G32:H32"/>
    <mergeCell ref="G33:H33"/>
    <mergeCell ref="E32:F32"/>
    <mergeCell ref="A1:Z1"/>
    <mergeCell ref="A5:C7"/>
    <mergeCell ref="D5:D7"/>
    <mergeCell ref="E5:E7"/>
    <mergeCell ref="W5:Z5"/>
    <mergeCell ref="W6:W7"/>
    <mergeCell ref="X6:X7"/>
    <mergeCell ref="Z6:Z7"/>
    <mergeCell ref="F6:I6"/>
    <mergeCell ref="J6:M6"/>
    <mergeCell ref="Y6:Y7"/>
    <mergeCell ref="R6:U6"/>
    <mergeCell ref="N6:Q6"/>
    <mergeCell ref="B8:C8"/>
    <mergeCell ref="F5:U5"/>
    <mergeCell ref="G29:H29"/>
    <mergeCell ref="E29:F29"/>
    <mergeCell ref="I28:J28"/>
    <mergeCell ref="B14:B15"/>
    <mergeCell ref="B13:C13"/>
    <mergeCell ref="G26:H26"/>
    <mergeCell ref="I24:J24"/>
    <mergeCell ref="I26:J26"/>
    <mergeCell ref="I27:J27"/>
    <mergeCell ref="E26:F26"/>
    <mergeCell ref="E27:F27"/>
    <mergeCell ref="E28:F28"/>
    <mergeCell ref="G27:H27"/>
    <mergeCell ref="G28:H28"/>
    <mergeCell ref="E25:F25"/>
    <mergeCell ref="M24:Z24"/>
    <mergeCell ref="K24:L24"/>
    <mergeCell ref="K25:L25"/>
    <mergeCell ref="K26:L26"/>
    <mergeCell ref="K27:L27"/>
    <mergeCell ref="K28:L28"/>
    <mergeCell ref="B9:C9"/>
    <mergeCell ref="B54:C55"/>
    <mergeCell ref="D54:H54"/>
    <mergeCell ref="B56:C56"/>
    <mergeCell ref="B57:C57"/>
    <mergeCell ref="B39:D39"/>
    <mergeCell ref="E39:F39"/>
    <mergeCell ref="G39:H39"/>
    <mergeCell ref="I39:J39"/>
    <mergeCell ref="K39:L39"/>
    <mergeCell ref="C41:D41"/>
    <mergeCell ref="E41:F41"/>
    <mergeCell ref="G41:H41"/>
    <mergeCell ref="I41:J41"/>
    <mergeCell ref="K41:L41"/>
    <mergeCell ref="B40:D40"/>
    <mergeCell ref="E40:F40"/>
    <mergeCell ref="G40:H40"/>
    <mergeCell ref="I40:J40"/>
    <mergeCell ref="K40:L40"/>
    <mergeCell ref="B43:D43"/>
    <mergeCell ref="E43:F43"/>
    <mergeCell ref="G43:H43"/>
    <mergeCell ref="I43:J43"/>
    <mergeCell ref="K43:L43"/>
    <mergeCell ref="B38:D38"/>
    <mergeCell ref="E38:F38"/>
    <mergeCell ref="G38:H38"/>
    <mergeCell ref="I38:J38"/>
    <mergeCell ref="K38:L38"/>
    <mergeCell ref="M38:Z38"/>
    <mergeCell ref="K29:L29"/>
    <mergeCell ref="K30:L30"/>
    <mergeCell ref="K31:L31"/>
    <mergeCell ref="K32:L32"/>
    <mergeCell ref="K33:L33"/>
    <mergeCell ref="E34:F34"/>
    <mergeCell ref="E35:F35"/>
    <mergeCell ref="G30:H30"/>
    <mergeCell ref="E30:F30"/>
    <mergeCell ref="E31:F31"/>
    <mergeCell ref="E33:F33"/>
    <mergeCell ref="C42:D42"/>
    <mergeCell ref="E42:F42"/>
    <mergeCell ref="G42:H42"/>
    <mergeCell ref="I42:J42"/>
    <mergeCell ref="K42:L42"/>
    <mergeCell ref="C45:D45"/>
    <mergeCell ref="E45:F45"/>
    <mergeCell ref="G45:H45"/>
    <mergeCell ref="I45:J45"/>
    <mergeCell ref="K45:L45"/>
    <mergeCell ref="C44:D44"/>
    <mergeCell ref="E44:F44"/>
    <mergeCell ref="G44:H44"/>
    <mergeCell ref="I44:J44"/>
    <mergeCell ref="K44:L44"/>
    <mergeCell ref="C47:D47"/>
    <mergeCell ref="E47:F47"/>
    <mergeCell ref="G47:H47"/>
    <mergeCell ref="I47:J47"/>
    <mergeCell ref="K47:L47"/>
    <mergeCell ref="C46:D46"/>
    <mergeCell ref="E46:F46"/>
    <mergeCell ref="G46:H46"/>
    <mergeCell ref="I46:J46"/>
    <mergeCell ref="K46:L46"/>
    <mergeCell ref="B49:D49"/>
    <mergeCell ref="E49:F49"/>
    <mergeCell ref="G49:H49"/>
    <mergeCell ref="I49:J49"/>
    <mergeCell ref="K49:L49"/>
    <mergeCell ref="C48:D48"/>
    <mergeCell ref="E48:F48"/>
    <mergeCell ref="G48:H48"/>
    <mergeCell ref="I48:J48"/>
    <mergeCell ref="K48:L48"/>
  </mergeCells>
  <phoneticPr fontId="2" type="noConversion"/>
  <pageMargins left="0.38" right="0.32" top="0.38" bottom="0.19" header="0.45" footer="0.17"/>
  <pageSetup paperSize="9" scale="31" fitToWidth="0" orientation="landscape" r:id="rId1"/>
  <rowBreaks count="1" manualBreakCount="1">
    <brk id="36"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496C-69AC-4634-B272-9F8B175E5BC1}">
  <sheetPr codeName="Sheet10">
    <tabColor rgb="FF002060"/>
    <pageSetUpPr fitToPage="1"/>
  </sheetPr>
  <dimension ref="A1:BU87"/>
  <sheetViews>
    <sheetView showGridLines="0" view="pageBreakPreview" zoomScale="55" zoomScaleNormal="70" zoomScaleSheetLayoutView="55" workbookViewId="0">
      <pane xSplit="10" ySplit="7" topLeftCell="K8" activePane="bottomRight" state="frozen"/>
      <selection pane="topRight" activeCell="N118" sqref="N118"/>
      <selection pane="bottomLeft" activeCell="N118" sqref="N118"/>
      <selection pane="bottomRight" activeCell="L28" sqref="L28"/>
    </sheetView>
  </sheetViews>
  <sheetFormatPr defaultRowHeight="17.399999999999999"/>
  <cols>
    <col min="1" max="1" width="1.09765625" customWidth="1"/>
    <col min="2" max="2" width="3.09765625" customWidth="1"/>
    <col min="3" max="4" width="12.59765625" customWidth="1"/>
    <col min="5" max="8" width="11.09765625" customWidth="1"/>
    <col min="9" max="10" width="11.09765625" hidden="1" customWidth="1"/>
    <col min="11" max="11" width="11.09765625" customWidth="1"/>
    <col min="12" max="22" width="9.59765625" customWidth="1"/>
    <col min="23" max="23" width="9.59765625" hidden="1" customWidth="1"/>
    <col min="24" max="25" width="9.59765625" customWidth="1"/>
    <col min="26" max="26" width="9.09765625" bestFit="1" customWidth="1"/>
    <col min="27" max="27" width="9.09765625" customWidth="1"/>
    <col min="28" max="59" width="9.59765625" customWidth="1"/>
    <col min="60" max="62" width="3.59765625" customWidth="1"/>
    <col min="63" max="67" width="9.59765625" customWidth="1"/>
    <col min="68" max="68" width="24.09765625" customWidth="1"/>
    <col min="69" max="69" width="18.09765625" customWidth="1"/>
    <col min="70" max="70" width="26.59765625" customWidth="1"/>
    <col min="71" max="71" width="14.59765625" bestFit="1" customWidth="1"/>
  </cols>
  <sheetData>
    <row r="1" spans="1:71" ht="54.75" customHeight="1">
      <c r="A1" s="1633" t="s">
        <v>519</v>
      </c>
      <c r="B1" s="1633"/>
      <c r="C1" s="1633"/>
      <c r="D1" s="1633"/>
      <c r="E1" s="1633"/>
      <c r="F1" s="1633"/>
      <c r="G1" s="1633"/>
      <c r="H1" s="1633"/>
      <c r="I1" s="1633"/>
      <c r="J1" s="1633"/>
      <c r="K1" s="1633"/>
      <c r="L1" s="1633"/>
      <c r="M1" s="1633"/>
      <c r="N1" s="1633"/>
      <c r="O1" s="1633"/>
      <c r="P1" s="1633"/>
      <c r="Q1" s="1633"/>
      <c r="R1" s="1633"/>
      <c r="S1" s="1633"/>
      <c r="T1" s="1633"/>
      <c r="U1" s="1633"/>
      <c r="V1" s="1633"/>
      <c r="W1" s="1633"/>
      <c r="X1" s="1633"/>
      <c r="Y1" s="1633"/>
      <c r="Z1" s="1633"/>
      <c r="AA1" s="1633"/>
      <c r="AB1" s="1633"/>
      <c r="AC1" s="1633"/>
      <c r="AD1" s="1633"/>
      <c r="AE1" s="1633"/>
      <c r="AF1" s="1633"/>
      <c r="AG1" s="1633"/>
      <c r="AH1" s="1633"/>
      <c r="AI1" s="1633"/>
      <c r="AJ1" s="1633"/>
      <c r="AK1" s="1633"/>
      <c r="AL1" s="1633"/>
      <c r="AM1" s="1633"/>
      <c r="AN1" s="1633"/>
      <c r="AO1" s="1633"/>
      <c r="AP1" s="1633"/>
      <c r="AQ1" s="1633"/>
      <c r="AR1" s="1633"/>
      <c r="AS1" s="1633"/>
      <c r="AT1" s="1633"/>
      <c r="AU1" s="1633"/>
      <c r="AV1" s="1633"/>
      <c r="AW1" s="1633"/>
      <c r="AX1" s="1633"/>
      <c r="AY1" s="1633"/>
      <c r="AZ1" s="1633"/>
      <c r="BA1" s="1633"/>
      <c r="BB1" s="1633"/>
      <c r="BC1" s="1633"/>
      <c r="BD1" s="1633"/>
      <c r="BE1" s="1633"/>
      <c r="BF1" s="1633"/>
      <c r="BG1" s="1633"/>
      <c r="BH1" s="1633"/>
      <c r="BI1" s="1633"/>
      <c r="BJ1" s="1633"/>
      <c r="BK1" s="1633"/>
      <c r="BL1" s="1633"/>
      <c r="BM1" s="1633"/>
      <c r="BN1" s="1633"/>
    </row>
    <row r="2" spans="1:71" ht="23.1"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215"/>
      <c r="AG2" s="215"/>
      <c r="AH2" s="215"/>
      <c r="AI2" s="215"/>
      <c r="AJ2" s="215"/>
      <c r="AK2" s="215"/>
      <c r="AL2" s="215"/>
      <c r="AM2" s="215"/>
      <c r="AN2" s="215"/>
      <c r="AO2" s="215"/>
      <c r="AP2" s="215"/>
      <c r="AQ2" s="215"/>
      <c r="AR2" s="446"/>
      <c r="AS2" s="446"/>
      <c r="AT2" s="446"/>
      <c r="AU2" s="446"/>
      <c r="AV2" s="215"/>
      <c r="AW2" s="215"/>
      <c r="AX2" s="215"/>
      <c r="AY2" s="215"/>
      <c r="AZ2" s="215"/>
      <c r="BA2" s="215"/>
      <c r="BB2" s="215"/>
      <c r="BC2" s="215"/>
      <c r="BD2" s="215"/>
      <c r="BE2" s="215"/>
      <c r="BF2" s="215"/>
      <c r="BG2" s="215"/>
      <c r="BH2" s="215"/>
      <c r="BI2" s="215"/>
      <c r="BJ2" s="215"/>
      <c r="BN2" s="215" t="s">
        <v>539</v>
      </c>
    </row>
    <row r="3" spans="1:71" ht="27" customHeight="1">
      <c r="A3" s="40" t="s">
        <v>540</v>
      </c>
      <c r="AF3" s="215"/>
      <c r="AG3" s="215"/>
      <c r="AH3" s="215"/>
      <c r="AI3" s="215"/>
      <c r="AJ3" s="215"/>
      <c r="AK3" s="215"/>
      <c r="AL3" s="215"/>
      <c r="AM3" s="215"/>
      <c r="AN3" s="215"/>
      <c r="AO3" s="215"/>
      <c r="AP3" s="215"/>
      <c r="AQ3" s="215"/>
      <c r="AV3" s="215"/>
      <c r="AW3" s="215"/>
      <c r="AX3" s="215"/>
      <c r="AY3" s="215"/>
      <c r="AZ3" s="215"/>
      <c r="BA3" s="215"/>
      <c r="BB3" s="215"/>
      <c r="BC3" s="215"/>
      <c r="BD3" s="215"/>
      <c r="BE3" s="215"/>
      <c r="BF3" s="215"/>
      <c r="BG3" s="215"/>
      <c r="BH3" s="215"/>
      <c r="BI3" s="215"/>
      <c r="BJ3" s="215"/>
    </row>
    <row r="4" spans="1:71" ht="18" thickBot="1">
      <c r="U4" s="487"/>
      <c r="AF4" s="207"/>
      <c r="AG4" s="207"/>
      <c r="AH4" s="207"/>
      <c r="AI4" s="207"/>
      <c r="AJ4" s="207"/>
      <c r="AK4" s="207"/>
      <c r="AL4" s="207"/>
      <c r="AM4" s="207"/>
      <c r="AN4" s="207"/>
      <c r="AO4" s="207"/>
      <c r="AP4" s="207"/>
      <c r="AQ4" s="207"/>
      <c r="AV4" s="207"/>
      <c r="AW4" s="207"/>
      <c r="AX4" s="207"/>
      <c r="AY4" s="207"/>
      <c r="AZ4" s="207"/>
      <c r="BA4" s="207"/>
      <c r="BB4" s="207"/>
      <c r="BC4" s="207"/>
      <c r="BD4" s="207"/>
      <c r="BE4" s="207"/>
      <c r="BF4" s="207"/>
      <c r="BG4" s="207"/>
      <c r="BH4" s="207"/>
      <c r="BI4" s="207"/>
      <c r="BJ4" s="207"/>
      <c r="BN4" s="207" t="s">
        <v>6</v>
      </c>
    </row>
    <row r="5" spans="1:71" ht="25.35" customHeight="1">
      <c r="A5" s="1634" t="s">
        <v>7</v>
      </c>
      <c r="B5" s="1635"/>
      <c r="C5" s="1636"/>
      <c r="D5" s="1643" t="s">
        <v>522</v>
      </c>
      <c r="E5" s="1724" t="s">
        <v>541</v>
      </c>
      <c r="F5" s="1726" t="s">
        <v>11</v>
      </c>
      <c r="G5" s="1727"/>
      <c r="H5" s="1727"/>
      <c r="I5" s="1728"/>
      <c r="J5" s="1630" t="s">
        <v>155</v>
      </c>
      <c r="K5" s="1630"/>
      <c r="L5" s="1630"/>
      <c r="M5" s="1630"/>
      <c r="N5" s="1630"/>
      <c r="O5" s="1630"/>
      <c r="P5" s="1630"/>
      <c r="Q5" s="1630"/>
      <c r="R5" s="1630"/>
      <c r="S5" s="1630"/>
      <c r="T5" s="1630"/>
      <c r="U5" s="1630"/>
      <c r="V5" s="1630"/>
      <c r="W5" s="1630"/>
      <c r="X5" s="1630"/>
      <c r="Y5" s="1630"/>
      <c r="Z5" s="1630"/>
      <c r="AA5" s="1631"/>
      <c r="AB5" s="1732" t="s">
        <v>99</v>
      </c>
      <c r="AC5" s="1733"/>
      <c r="AD5" s="1733"/>
      <c r="AE5" s="1733"/>
      <c r="AF5" s="1733"/>
      <c r="AG5" s="1733"/>
      <c r="AH5" s="1733"/>
      <c r="AI5" s="1733"/>
      <c r="AJ5" s="1733"/>
      <c r="AK5" s="1733"/>
      <c r="AL5" s="1733"/>
      <c r="AM5" s="1733"/>
      <c r="AN5" s="1733"/>
      <c r="AO5" s="1733"/>
      <c r="AP5" s="1733"/>
      <c r="AQ5" s="1734"/>
      <c r="AR5" s="1732" t="s">
        <v>174</v>
      </c>
      <c r="AS5" s="1733"/>
      <c r="AT5" s="1733"/>
      <c r="AU5" s="1733"/>
      <c r="AV5" s="1733"/>
      <c r="AW5" s="1733"/>
      <c r="AX5" s="1733"/>
      <c r="AY5" s="1733"/>
      <c r="AZ5" s="1733"/>
      <c r="BA5" s="1733"/>
      <c r="BB5" s="1733"/>
      <c r="BC5" s="1733"/>
      <c r="BD5" s="1733"/>
      <c r="BE5" s="1733"/>
      <c r="BF5" s="1733"/>
      <c r="BG5" s="1734"/>
      <c r="BH5" s="432"/>
      <c r="BI5" s="432"/>
      <c r="BJ5" s="432"/>
      <c r="BK5" s="1649" t="s">
        <v>524</v>
      </c>
      <c r="BL5" s="1650"/>
      <c r="BM5" s="1650"/>
      <c r="BN5" s="1651"/>
    </row>
    <row r="6" spans="1:71" ht="25.35" customHeight="1">
      <c r="A6" s="1637"/>
      <c r="B6" s="1638"/>
      <c r="C6" s="1639"/>
      <c r="D6" s="1644"/>
      <c r="E6" s="1717"/>
      <c r="F6" s="1729"/>
      <c r="G6" s="1730"/>
      <c r="H6" s="1730"/>
      <c r="I6" s="1731"/>
      <c r="J6" s="1735" t="s">
        <v>156</v>
      </c>
      <c r="K6" s="1735"/>
      <c r="L6" s="1735"/>
      <c r="M6" s="1735"/>
      <c r="N6" s="1736"/>
      <c r="O6" s="1659" t="s">
        <v>158</v>
      </c>
      <c r="P6" s="1722"/>
      <c r="Q6" s="1723"/>
      <c r="R6" s="1662"/>
      <c r="S6" s="1659" t="s">
        <v>160</v>
      </c>
      <c r="T6" s="1722"/>
      <c r="U6" s="1723"/>
      <c r="V6" s="1662"/>
      <c r="W6" s="1661" t="s">
        <v>542</v>
      </c>
      <c r="X6" s="1659"/>
      <c r="Y6" s="1659"/>
      <c r="Z6" s="1660"/>
      <c r="AA6" s="1665"/>
      <c r="AB6" s="1717" t="s">
        <v>78</v>
      </c>
      <c r="AC6" s="1718"/>
      <c r="AD6" s="1718"/>
      <c r="AE6" s="1718"/>
      <c r="AF6" s="1717" t="s">
        <v>166</v>
      </c>
      <c r="AG6" s="1718"/>
      <c r="AH6" s="1718"/>
      <c r="AI6" s="1718"/>
      <c r="AJ6" s="1717" t="s">
        <v>101</v>
      </c>
      <c r="AK6" s="1718"/>
      <c r="AL6" s="1718"/>
      <c r="AM6" s="1718"/>
      <c r="AN6" s="1717" t="s">
        <v>543</v>
      </c>
      <c r="AO6" s="1718"/>
      <c r="AP6" s="1718"/>
      <c r="AQ6" s="1718"/>
      <c r="AR6" s="1719" t="s">
        <v>175</v>
      </c>
      <c r="AS6" s="1720"/>
      <c r="AT6" s="1720"/>
      <c r="AU6" s="1720"/>
      <c r="AV6" s="1719" t="s">
        <v>143</v>
      </c>
      <c r="AW6" s="1720"/>
      <c r="AX6" s="1720"/>
      <c r="AY6" s="1720"/>
      <c r="AZ6" s="1719" t="s">
        <v>144</v>
      </c>
      <c r="BA6" s="1720"/>
      <c r="BB6" s="1720"/>
      <c r="BC6" s="1720"/>
      <c r="BD6" s="1719" t="s">
        <v>544</v>
      </c>
      <c r="BE6" s="1720"/>
      <c r="BF6" s="1720"/>
      <c r="BG6" s="1721"/>
      <c r="BH6" s="432"/>
      <c r="BI6" s="432"/>
      <c r="BJ6" s="432"/>
      <c r="BK6" s="1652" t="s">
        <v>14</v>
      </c>
      <c r="BL6" s="1654" t="s">
        <v>545</v>
      </c>
      <c r="BM6" s="1663" t="s">
        <v>525</v>
      </c>
      <c r="BN6" s="1656" t="s">
        <v>16</v>
      </c>
    </row>
    <row r="7" spans="1:71" ht="46.5" customHeight="1" thickBot="1">
      <c r="A7" s="1640"/>
      <c r="B7" s="1641"/>
      <c r="C7" s="1642"/>
      <c r="D7" s="1645"/>
      <c r="E7" s="1725"/>
      <c r="F7" s="436" t="s">
        <v>526</v>
      </c>
      <c r="G7" s="552" t="s">
        <v>14</v>
      </c>
      <c r="H7" s="434" t="s">
        <v>15</v>
      </c>
      <c r="I7" s="435" t="s">
        <v>16</v>
      </c>
      <c r="J7" s="552" t="s">
        <v>522</v>
      </c>
      <c r="K7" s="436" t="s">
        <v>14</v>
      </c>
      <c r="L7" s="552" t="s">
        <v>545</v>
      </c>
      <c r="M7" s="434" t="s">
        <v>15</v>
      </c>
      <c r="N7" s="435" t="s">
        <v>16</v>
      </c>
      <c r="O7" s="436" t="s">
        <v>14</v>
      </c>
      <c r="P7" s="552" t="s">
        <v>545</v>
      </c>
      <c r="Q7" s="434" t="s">
        <v>15</v>
      </c>
      <c r="R7" s="435" t="s">
        <v>16</v>
      </c>
      <c r="S7" s="436" t="s">
        <v>14</v>
      </c>
      <c r="T7" s="552" t="s">
        <v>545</v>
      </c>
      <c r="U7" s="434" t="s">
        <v>525</v>
      </c>
      <c r="V7" s="435" t="s">
        <v>16</v>
      </c>
      <c r="W7" s="604" t="s">
        <v>526</v>
      </c>
      <c r="X7" s="436" t="s">
        <v>14</v>
      </c>
      <c r="Y7" s="552" t="s">
        <v>545</v>
      </c>
      <c r="Z7" s="434" t="s">
        <v>525</v>
      </c>
      <c r="AA7" s="435" t="s">
        <v>16</v>
      </c>
      <c r="AB7" s="436" t="s">
        <v>14</v>
      </c>
      <c r="AC7" s="552" t="s">
        <v>545</v>
      </c>
      <c r="AD7" s="434" t="s">
        <v>525</v>
      </c>
      <c r="AE7" s="435" t="s">
        <v>16</v>
      </c>
      <c r="AF7" s="436" t="s">
        <v>14</v>
      </c>
      <c r="AG7" s="552" t="s">
        <v>545</v>
      </c>
      <c r="AH7" s="434" t="s">
        <v>525</v>
      </c>
      <c r="AI7" s="435" t="s">
        <v>16</v>
      </c>
      <c r="AJ7" s="436" t="s">
        <v>14</v>
      </c>
      <c r="AK7" s="552" t="s">
        <v>545</v>
      </c>
      <c r="AL7" s="434" t="s">
        <v>525</v>
      </c>
      <c r="AM7" s="435" t="s">
        <v>16</v>
      </c>
      <c r="AN7" s="436" t="s">
        <v>14</v>
      </c>
      <c r="AO7" s="552" t="s">
        <v>545</v>
      </c>
      <c r="AP7" s="434" t="s">
        <v>525</v>
      </c>
      <c r="AQ7" s="435" t="s">
        <v>16</v>
      </c>
      <c r="AR7" s="436" t="s">
        <v>14</v>
      </c>
      <c r="AS7" s="552" t="s">
        <v>545</v>
      </c>
      <c r="AT7" s="434" t="s">
        <v>525</v>
      </c>
      <c r="AU7" s="435" t="s">
        <v>16</v>
      </c>
      <c r="AV7" s="436" t="s">
        <v>14</v>
      </c>
      <c r="AW7" s="552" t="s">
        <v>545</v>
      </c>
      <c r="AX7" s="434" t="s">
        <v>525</v>
      </c>
      <c r="AY7" s="435" t="s">
        <v>16</v>
      </c>
      <c r="AZ7" s="436" t="s">
        <v>14</v>
      </c>
      <c r="BA7" s="552" t="s">
        <v>545</v>
      </c>
      <c r="BB7" s="434" t="s">
        <v>525</v>
      </c>
      <c r="BC7" s="435" t="s">
        <v>16</v>
      </c>
      <c r="BD7" s="436" t="s">
        <v>14</v>
      </c>
      <c r="BE7" s="552" t="s">
        <v>545</v>
      </c>
      <c r="BF7" s="434" t="s">
        <v>525</v>
      </c>
      <c r="BG7" s="435" t="s">
        <v>16</v>
      </c>
      <c r="BH7" s="432"/>
      <c r="BI7" s="772"/>
      <c r="BJ7" s="772"/>
      <c r="BK7" s="1653"/>
      <c r="BL7" s="1655"/>
      <c r="BM7" s="1664"/>
      <c r="BN7" s="1657"/>
    </row>
    <row r="8" spans="1:71" ht="30.6" customHeight="1">
      <c r="A8" s="607"/>
      <c r="B8" s="1580" t="s">
        <v>18</v>
      </c>
      <c r="C8" s="1581"/>
      <c r="D8" s="489">
        <f>D9+D13+D16</f>
        <v>877.55713199000002</v>
      </c>
      <c r="E8" s="490">
        <f>E9+E13+E16</f>
        <v>1100.98907855373</v>
      </c>
      <c r="F8" s="493">
        <f>F9+F13+F16</f>
        <v>230.38892038</v>
      </c>
      <c r="G8" s="553">
        <f>G9+G13+G16</f>
        <v>233.36683870219562</v>
      </c>
      <c r="H8" s="491">
        <f>H9+H13+H16</f>
        <v>269.63794200999996</v>
      </c>
      <c r="I8" s="492">
        <f t="shared" ref="I8:I21" si="0">H8-G8</f>
        <v>36.271103307804339</v>
      </c>
      <c r="J8" s="553">
        <f>J9+J13+J16</f>
        <v>80.046784240000008</v>
      </c>
      <c r="K8" s="773">
        <f>K9+K13+K16</f>
        <v>69.848808279942347</v>
      </c>
      <c r="L8" s="774">
        <f t="shared" ref="L8:M8" si="1">L9+L13+L16</f>
        <v>101.04612458</v>
      </c>
      <c r="M8" s="775">
        <f t="shared" si="1"/>
        <v>101.10924958</v>
      </c>
      <c r="N8" s="776">
        <f t="shared" ref="N8:N21" si="2">M8-L8</f>
        <v>6.3124999999999432E-2</v>
      </c>
      <c r="O8" s="773">
        <f>O9+O13+O16</f>
        <v>61.687950279942342</v>
      </c>
      <c r="P8" s="774">
        <f t="shared" ref="P8:Q8" si="3">P9+P13+P16</f>
        <v>80.738037649999995</v>
      </c>
      <c r="Q8" s="775">
        <f t="shared" si="3"/>
        <v>80.828261099999992</v>
      </c>
      <c r="R8" s="776">
        <f t="shared" ref="R8:R21" si="4">Q8-P8</f>
        <v>9.0223449999996319E-2</v>
      </c>
      <c r="S8" s="773">
        <f>S9+S13+S16</f>
        <v>77.871689633942353</v>
      </c>
      <c r="T8" s="774">
        <f t="shared" ref="T8:U8" si="5">T9+T13+T16</f>
        <v>93.626350270000003</v>
      </c>
      <c r="U8" s="775">
        <f t="shared" si="5"/>
        <v>94.338994769999999</v>
      </c>
      <c r="V8" s="777">
        <f t="shared" ref="V8:V21" si="6">U8-T8</f>
        <v>0.71264449999999613</v>
      </c>
      <c r="W8" s="778" t="e">
        <f>W9+W13+W16</f>
        <v>#REF!</v>
      </c>
      <c r="X8" s="773">
        <f>X9+X13+X16</f>
        <v>209.40844819382704</v>
      </c>
      <c r="Y8" s="775">
        <f t="shared" ref="Y8:Z8" si="7">Y9+Y13+Y16</f>
        <v>275.41051250000004</v>
      </c>
      <c r="Z8" s="775">
        <f t="shared" si="7"/>
        <v>276.27650545</v>
      </c>
      <c r="AA8" s="777">
        <f t="shared" ref="AA8:AA21" si="8">Z8-Y8</f>
        <v>0.86599294999996346</v>
      </c>
      <c r="AB8" s="773">
        <f>AB9+AB13+AB16</f>
        <v>77.123208279942347</v>
      </c>
      <c r="AC8" s="774">
        <f t="shared" ref="AC8:AD8" si="9">AC9+AC13+AC16</f>
        <v>108.94465126999999</v>
      </c>
      <c r="AD8" s="775">
        <f t="shared" si="9"/>
        <v>109.10550126999999</v>
      </c>
      <c r="AE8" s="777">
        <f t="shared" ref="AE8:AE21" si="10">AD8-AC8</f>
        <v>0.16084999999999638</v>
      </c>
      <c r="AF8" s="773">
        <f>AF9+AF13+AF16</f>
        <v>92.815908279942349</v>
      </c>
      <c r="AG8" s="774">
        <f t="shared" ref="AG8:AH8" si="11">AG9+AG13+AG16</f>
        <v>170.35068686724628</v>
      </c>
      <c r="AH8" s="775">
        <f t="shared" si="11"/>
        <v>154.00690865999999</v>
      </c>
      <c r="AI8" s="777">
        <f t="shared" ref="AI8:AI21" si="12">AH8-AG8</f>
        <v>-16.343778207246288</v>
      </c>
      <c r="AJ8" s="773">
        <f>AJ9+AJ13+AJ16</f>
        <v>119.56691060916636</v>
      </c>
      <c r="AK8" s="774">
        <f t="shared" ref="AK8:AL8" si="13">AK9+AK13+AK16</f>
        <v>130.69165333572556</v>
      </c>
      <c r="AL8" s="775">
        <f t="shared" si="13"/>
        <v>147.20229531000001</v>
      </c>
      <c r="AM8" s="777">
        <f t="shared" ref="AM8:AM21" si="14">AL8-AK8</f>
        <v>16.510641974274449</v>
      </c>
      <c r="AN8" s="773">
        <f>AN9+AN13+AN16</f>
        <v>289.50602716905104</v>
      </c>
      <c r="AO8" s="775">
        <f t="shared" ref="AO8:AP8" si="15">AO9+AO13+AO16</f>
        <v>409.98699147297179</v>
      </c>
      <c r="AP8" s="775">
        <f t="shared" si="15"/>
        <v>410.31470523999997</v>
      </c>
      <c r="AQ8" s="779">
        <f t="shared" ref="AQ8:AQ21" si="16">AP8-AO8</f>
        <v>0.32771376702817179</v>
      </c>
      <c r="AR8" s="773">
        <f>AR9+AR13+AR16</f>
        <v>106.90714827994233</v>
      </c>
      <c r="AS8" s="774">
        <f t="shared" ref="AS8:AT8" si="17">AS9+AS13+AS16</f>
        <v>144.64315124404277</v>
      </c>
      <c r="AT8" s="775">
        <f t="shared" si="17"/>
        <v>141.27070441746477</v>
      </c>
      <c r="AU8" s="777">
        <f t="shared" ref="AU8:AU21" si="18">AT8-AS8</f>
        <v>-3.372446826577999</v>
      </c>
      <c r="AV8" s="773">
        <f>AV9+AV13+AV16</f>
        <v>90.887128279942345</v>
      </c>
      <c r="AW8" s="774">
        <f t="shared" ref="AW8:AX8" si="19">AW9+AW13+AW16</f>
        <v>103.56900711510593</v>
      </c>
      <c r="AX8" s="775">
        <f t="shared" si="19"/>
        <v>92.588139709279375</v>
      </c>
      <c r="AY8" s="777">
        <f t="shared" ref="AY8:AY21" si="20">AX8-AW8</f>
        <v>-10.980867405826558</v>
      </c>
      <c r="AZ8" s="773">
        <f>AZ9+AZ13+AZ16</f>
        <v>170.91348793032725</v>
      </c>
      <c r="BA8" s="774">
        <f t="shared" ref="BA8:BB8" si="21">BA9+BA13+BA16</f>
        <v>109.08276101246288</v>
      </c>
      <c r="BB8" s="775">
        <f t="shared" si="21"/>
        <v>104.35556137865824</v>
      </c>
      <c r="BC8" s="777">
        <f t="shared" ref="BC8:BC21" si="22">BB8-BA8</f>
        <v>-4.7271996338046449</v>
      </c>
      <c r="BD8" s="773">
        <f>BD9+BD13+BD16</f>
        <v>374.79442849021189</v>
      </c>
      <c r="BE8" s="775">
        <f t="shared" ref="BE8:BF8" si="23">BE9+BE13+BE16</f>
        <v>357.29491937161163</v>
      </c>
      <c r="BF8" s="775">
        <f t="shared" si="23"/>
        <v>338.2144055054024</v>
      </c>
      <c r="BG8" s="777">
        <f t="shared" ref="BG8:BG21" si="24">BF8-BE8</f>
        <v>-19.08051386620923</v>
      </c>
      <c r="BH8" s="235"/>
      <c r="BI8" s="780"/>
      <c r="BJ8" s="780"/>
      <c r="BK8" s="612">
        <f>BK9+BK13+BK16</f>
        <v>1100.98907855373</v>
      </c>
      <c r="BL8" s="587">
        <v>1312.8963583045834</v>
      </c>
      <c r="BM8" s="588">
        <f>BM9+BM13+BM16</f>
        <v>1294.4435582054025</v>
      </c>
      <c r="BN8" s="824">
        <f t="shared" ref="BN8:BN21" si="25">BM8-BL8</f>
        <v>-18.452800099180877</v>
      </c>
      <c r="BP8" s="1"/>
    </row>
    <row r="9" spans="1:71" ht="30.6" customHeight="1">
      <c r="A9" s="607"/>
      <c r="B9" s="1576" t="s">
        <v>20</v>
      </c>
      <c r="C9" s="1577"/>
      <c r="D9" s="495">
        <f>SUM(D10:D12)</f>
        <v>402.55310239999994</v>
      </c>
      <c r="E9" s="496">
        <f>SUM(E10:E12)</f>
        <v>192.56842740000002</v>
      </c>
      <c r="F9" s="499">
        <f>SUM(F10:F12)</f>
        <v>165.26262800000001</v>
      </c>
      <c r="G9" s="554">
        <f>SUM(G10:G12)</f>
        <v>67.524839999999998</v>
      </c>
      <c r="H9" s="497">
        <f>SUM(H10:H12)</f>
        <v>86.421011739999997</v>
      </c>
      <c r="I9" s="498">
        <f t="shared" si="0"/>
        <v>18.89617174</v>
      </c>
      <c r="J9" s="554">
        <f>SUM(J10:J12)</f>
        <v>45.142930800000002</v>
      </c>
      <c r="K9" s="781">
        <f>SUM(K10:K12)</f>
        <v>13.391069999999999</v>
      </c>
      <c r="L9" s="782">
        <f>SUM(L10:L12)</f>
        <v>11.51454672</v>
      </c>
      <c r="M9" s="783">
        <f>SUM(M10:M12)</f>
        <v>11.51454672</v>
      </c>
      <c r="N9" s="847">
        <f t="shared" si="2"/>
        <v>0</v>
      </c>
      <c r="O9" s="781">
        <f>SUM(O10:O12)</f>
        <v>9.8436800000000009</v>
      </c>
      <c r="P9" s="782">
        <f>SUM(P10:P12)</f>
        <v>0</v>
      </c>
      <c r="Q9" s="783">
        <f>SUM(Q10:Q12)</f>
        <v>0</v>
      </c>
      <c r="R9" s="847">
        <f t="shared" si="4"/>
        <v>0</v>
      </c>
      <c r="S9" s="781">
        <f>SUM(S10:S12)</f>
        <v>27.263037404000002</v>
      </c>
      <c r="T9" s="782">
        <f>SUM(T10:T12)</f>
        <v>4.90916584</v>
      </c>
      <c r="U9" s="783">
        <f>SUM(U10:U12)</f>
        <v>4.90916584</v>
      </c>
      <c r="V9" s="784">
        <f t="shared" si="6"/>
        <v>0</v>
      </c>
      <c r="W9" s="785" t="e">
        <f>SUM(W10:W12)</f>
        <v>#REF!</v>
      </c>
      <c r="X9" s="781">
        <f>SUM(X10:X12)</f>
        <v>50.497787404</v>
      </c>
      <c r="Y9" s="782">
        <f>SUM(Y10:Y12)</f>
        <v>16.423712559999998</v>
      </c>
      <c r="Z9" s="783">
        <f>SUM(Z10:Z12)</f>
        <v>16.423712559999998</v>
      </c>
      <c r="AA9" s="784">
        <f t="shared" si="8"/>
        <v>0</v>
      </c>
      <c r="AB9" s="781">
        <f>SUM(AB10:AB12)</f>
        <v>0.46760000000000002</v>
      </c>
      <c r="AC9" s="782">
        <f>SUM(AC10:AC12)</f>
        <v>0</v>
      </c>
      <c r="AD9" s="783">
        <f>SUM(AD10:AD12)</f>
        <v>0</v>
      </c>
      <c r="AE9" s="847">
        <f t="shared" si="10"/>
        <v>0</v>
      </c>
      <c r="AF9" s="781">
        <f>SUM(AF10:AF12)</f>
        <v>3.2227999999999999</v>
      </c>
      <c r="AG9" s="782">
        <f>SUM(AG10:AG12)</f>
        <v>9.989149897246266</v>
      </c>
      <c r="AH9" s="783">
        <f>SUM(AH10:AH12)</f>
        <v>10.58000169</v>
      </c>
      <c r="AI9" s="784">
        <f t="shared" si="12"/>
        <v>0.59085179275373356</v>
      </c>
      <c r="AJ9" s="781">
        <f>SUM(AJ10:AJ12)</f>
        <v>15.792</v>
      </c>
      <c r="AK9" s="782">
        <f>SUM(AK10:AK12)</f>
        <v>14.965843365725572</v>
      </c>
      <c r="AL9" s="783">
        <f>SUM(AL10:AL12)</f>
        <v>18.690580839999999</v>
      </c>
      <c r="AM9" s="784">
        <f t="shared" si="14"/>
        <v>3.724737474274427</v>
      </c>
      <c r="AN9" s="781">
        <f>SUM(AN10:AN12)</f>
        <v>19.482399999999998</v>
      </c>
      <c r="AO9" s="782">
        <f>SUM(AO10:AO12)</f>
        <v>24.95499326297184</v>
      </c>
      <c r="AP9" s="783">
        <f>SUM(AP10:AP12)</f>
        <v>29.270582529999999</v>
      </c>
      <c r="AQ9" s="786">
        <f t="shared" si="16"/>
        <v>4.3155892670281588</v>
      </c>
      <c r="AR9" s="781">
        <f>SUM(AR10:AR12)</f>
        <v>28.68404</v>
      </c>
      <c r="AS9" s="782">
        <f>SUM(AS10:AS12)</f>
        <v>38.943388274042789</v>
      </c>
      <c r="AT9" s="783">
        <f>SUM(AT10:AT12)</f>
        <v>31.877653517464772</v>
      </c>
      <c r="AU9" s="784">
        <f t="shared" si="18"/>
        <v>-7.0657347565780171</v>
      </c>
      <c r="AV9" s="781">
        <f>SUM(AV10:AV12)</f>
        <v>21.422519999999999</v>
      </c>
      <c r="AW9" s="782">
        <f>SUM(AW10:AW12)</f>
        <v>27.691727145105933</v>
      </c>
      <c r="AX9" s="783">
        <f>SUM(AX10:AX12)</f>
        <v>26.563247389279379</v>
      </c>
      <c r="AY9" s="784">
        <f t="shared" si="20"/>
        <v>-1.1284797558265538</v>
      </c>
      <c r="AZ9" s="781">
        <f>SUM(AZ10:AZ12)</f>
        <v>4.9568399999999997</v>
      </c>
      <c r="BA9" s="782">
        <f>SUM(BA10:BA12)</f>
        <v>13.481149042462867</v>
      </c>
      <c r="BB9" s="783">
        <f>SUM(BB10:BB12)</f>
        <v>8.6666486586582323</v>
      </c>
      <c r="BC9" s="784">
        <f t="shared" si="22"/>
        <v>-4.814500383804635</v>
      </c>
      <c r="BD9" s="781">
        <f>SUM(BD10:BD12)</f>
        <v>61.150064</v>
      </c>
      <c r="BE9" s="782">
        <f>SUM(BE10:BE12)</f>
        <v>80.116264461611593</v>
      </c>
      <c r="BF9" s="783">
        <f>SUM(BF10:BF12)</f>
        <v>67.10754956540238</v>
      </c>
      <c r="BG9" s="784">
        <f t="shared" si="24"/>
        <v>-13.008714896209213</v>
      </c>
      <c r="BH9" s="235"/>
      <c r="BI9" s="780"/>
      <c r="BJ9" s="780"/>
      <c r="BK9" s="614">
        <f>SUM(BK10:BK12)</f>
        <v>192.56842740000002</v>
      </c>
      <c r="BL9" s="589">
        <v>207.9159820245834</v>
      </c>
      <c r="BM9" s="590">
        <f>SUM(BM10:BM12)</f>
        <v>199.22285639540237</v>
      </c>
      <c r="BN9" s="861">
        <f t="shared" si="25"/>
        <v>-8.6931256291810257</v>
      </c>
      <c r="BP9" s="1"/>
      <c r="BQ9" s="15"/>
    </row>
    <row r="10" spans="1:71" ht="30.6" customHeight="1">
      <c r="A10" s="607"/>
      <c r="B10" s="1582"/>
      <c r="C10" s="440" t="s">
        <v>132</v>
      </c>
      <c r="D10" s="500">
        <v>400.98714839999997</v>
      </c>
      <c r="E10" s="501">
        <v>116.6450274</v>
      </c>
      <c r="F10" s="504">
        <f>'[1]1분기 실적'!R10</f>
        <v>163.696674</v>
      </c>
      <c r="G10" s="555">
        <f>'[1]1분기 실적'!S10</f>
        <v>67.524839999999998</v>
      </c>
      <c r="H10" s="502">
        <f>SUM('상세 자료 작성 241025현실화'!G7,'상세 자료 작성 241025현실화'!G18,'상세 자료 작성 241025현실화'!G29)/10^8</f>
        <v>86.421011739999997</v>
      </c>
      <c r="I10" s="503">
        <f t="shared" si="0"/>
        <v>18.89617174</v>
      </c>
      <c r="J10" s="555">
        <f>'[1]2023년 실적'!I45/10^8</f>
        <v>45.142930800000002</v>
      </c>
      <c r="K10" s="787">
        <f>'상세 자료 작성 241025현실화'!H41/10^8</f>
        <v>13.391069999999999</v>
      </c>
      <c r="L10" s="639">
        <v>11.51454672</v>
      </c>
      <c r="M10" s="505">
        <f>'상세 자료 작성 241025현실화'!I41/10^8</f>
        <v>11.51454672</v>
      </c>
      <c r="N10" s="661">
        <f t="shared" si="2"/>
        <v>0</v>
      </c>
      <c r="O10" s="787">
        <f>'상세 자료 작성 241025현실화'!H52/10^8</f>
        <v>9.8436800000000009</v>
      </c>
      <c r="P10" s="639">
        <v>0</v>
      </c>
      <c r="Q10" s="505">
        <f>'상세 자료 작성 241025현실화'!I52/10^8</f>
        <v>0</v>
      </c>
      <c r="R10" s="661">
        <f t="shared" si="4"/>
        <v>0</v>
      </c>
      <c r="S10" s="787">
        <f>'상세 자료 작성 241025현실화'!H63/10^8</f>
        <v>25.885437404000001</v>
      </c>
      <c r="T10" s="639">
        <v>0</v>
      </c>
      <c r="U10" s="505">
        <f>'상세 자료 작성 241025현실화'!I63/10^8</f>
        <v>0</v>
      </c>
      <c r="V10" s="788">
        <f t="shared" si="6"/>
        <v>0</v>
      </c>
      <c r="W10" s="789" t="e">
        <f>J10+#REF!+#REF!</f>
        <v>#REF!</v>
      </c>
      <c r="X10" s="787">
        <f t="shared" ref="X10:Z12" si="26">K10+O10+S10</f>
        <v>49.120187403999999</v>
      </c>
      <c r="Y10" s="639">
        <f t="shared" si="26"/>
        <v>11.51454672</v>
      </c>
      <c r="Z10" s="505">
        <f t="shared" si="26"/>
        <v>11.51454672</v>
      </c>
      <c r="AA10" s="661">
        <f t="shared" si="8"/>
        <v>0</v>
      </c>
      <c r="AB10" s="787">
        <v>0</v>
      </c>
      <c r="AC10" s="639">
        <v>0</v>
      </c>
      <c r="AD10" s="505">
        <f>'상세 자료 작성 241025현실화'!I76/10^8</f>
        <v>0</v>
      </c>
      <c r="AE10" s="661">
        <f t="shared" si="10"/>
        <v>0</v>
      </c>
      <c r="AF10" s="787">
        <v>0</v>
      </c>
      <c r="AG10" s="639">
        <v>0</v>
      </c>
      <c r="AH10" s="505">
        <f>'상세 자료 작성 241025현실화'!I88/10^8</f>
        <v>0</v>
      </c>
      <c r="AI10" s="661">
        <f t="shared" si="12"/>
        <v>0</v>
      </c>
      <c r="AJ10" s="787">
        <v>0</v>
      </c>
      <c r="AK10" s="639">
        <v>0</v>
      </c>
      <c r="AL10" s="505">
        <f>'상세 자료 작성 241025현실화'!I100/10^8</f>
        <v>6.0365555999999998</v>
      </c>
      <c r="AM10" s="661">
        <f t="shared" si="14"/>
        <v>6.0365555999999998</v>
      </c>
      <c r="AN10" s="787">
        <f>AB10+AF10+AK10</f>
        <v>0</v>
      </c>
      <c r="AO10" s="639">
        <f>AC10+AG10+AK10</f>
        <v>0</v>
      </c>
      <c r="AP10" s="505">
        <f t="shared" ref="AP10:AP12" si="27">AD10+AH10+AL10</f>
        <v>6.0365555999999998</v>
      </c>
      <c r="AQ10" s="661">
        <f t="shared" si="16"/>
        <v>6.0365555999999998</v>
      </c>
      <c r="AR10" s="787">
        <v>0</v>
      </c>
      <c r="AS10" s="639">
        <v>15.010199999999999</v>
      </c>
      <c r="AT10" s="505">
        <f>'상세 자료 작성 241025현실화'!I112/10^8</f>
        <v>8.8857035999999994</v>
      </c>
      <c r="AU10" s="661">
        <f t="shared" si="18"/>
        <v>-6.1244964</v>
      </c>
      <c r="AV10" s="787">
        <v>0</v>
      </c>
      <c r="AW10" s="639">
        <v>0</v>
      </c>
      <c r="AX10" s="505">
        <f>'상세 자료 작성 241025현실화'!I123/10^8</f>
        <v>0</v>
      </c>
      <c r="AY10" s="661">
        <f t="shared" si="20"/>
        <v>0</v>
      </c>
      <c r="AZ10" s="787">
        <v>0</v>
      </c>
      <c r="BA10" s="639">
        <v>6.0866639999999999</v>
      </c>
      <c r="BB10" s="505">
        <f>'상세 자료 작성 241025현실화'!I134/10^8</f>
        <v>0</v>
      </c>
      <c r="BC10" s="788">
        <f t="shared" si="22"/>
        <v>-6.0866639999999999</v>
      </c>
      <c r="BD10" s="787">
        <f>AR10+AV10+BA10</f>
        <v>6.0866639999999999</v>
      </c>
      <c r="BE10" s="639">
        <f t="shared" ref="BE10:BF12" si="28">AS10+AW10+BA10</f>
        <v>21.096864</v>
      </c>
      <c r="BF10" s="505">
        <f t="shared" si="28"/>
        <v>8.8857035999999994</v>
      </c>
      <c r="BG10" s="788">
        <f t="shared" si="24"/>
        <v>-12.211160400000001</v>
      </c>
      <c r="BH10" s="235"/>
      <c r="BI10" s="780"/>
      <c r="BJ10" s="780"/>
      <c r="BK10" s="615">
        <f>E10</f>
        <v>116.6450274</v>
      </c>
      <c r="BL10" s="591">
        <v>119.03242245999999</v>
      </c>
      <c r="BM10" s="591">
        <f>BF10+AP10+Z10+H10</f>
        <v>112.85781765999999</v>
      </c>
      <c r="BN10" s="790">
        <f t="shared" si="25"/>
        <v>-6.1746047999999973</v>
      </c>
      <c r="BP10" s="862">
        <v>112.85781765999999</v>
      </c>
      <c r="BQ10" s="15">
        <f>BP10-BM10</f>
        <v>0</v>
      </c>
      <c r="BR10" s="15"/>
    </row>
    <row r="11" spans="1:71" ht="30.6" customHeight="1">
      <c r="A11" s="607"/>
      <c r="B11" s="1582"/>
      <c r="C11" s="441" t="s">
        <v>52</v>
      </c>
      <c r="D11" s="508">
        <v>1.5659540000000001</v>
      </c>
      <c r="E11" s="509">
        <v>0</v>
      </c>
      <c r="F11" s="512">
        <f>'[1]1분기 실적'!R11</f>
        <v>1.5659540000000001</v>
      </c>
      <c r="G11" s="556">
        <f>'[1]1분기 실적'!S11</f>
        <v>0</v>
      </c>
      <c r="H11" s="510">
        <f>SUM('상세 자료 작성 241025현실화'!G8,'상세 자료 작성 241025현실화'!G19,'상세 자료 작성 241025현실화'!G30)/10^8</f>
        <v>0</v>
      </c>
      <c r="I11" s="511">
        <f t="shared" si="0"/>
        <v>0</v>
      </c>
      <c r="J11" s="556">
        <f>'[1]2023년 실적'!I44/10^8</f>
        <v>0</v>
      </c>
      <c r="K11" s="568">
        <f>'상세 자료 작성 241025현실화'!H42/10^8</f>
        <v>0</v>
      </c>
      <c r="L11" s="556">
        <v>0</v>
      </c>
      <c r="M11" s="510">
        <f>'상세 자료 작성 241025현실화'!I42/10^8</f>
        <v>0</v>
      </c>
      <c r="N11" s="511">
        <f t="shared" si="2"/>
        <v>0</v>
      </c>
      <c r="O11" s="568">
        <f>'상세 자료 작성 241025현실화'!H53/10^8</f>
        <v>0</v>
      </c>
      <c r="P11" s="556">
        <v>0</v>
      </c>
      <c r="Q11" s="510">
        <f>'상세 자료 작성 241025현실화'!I53/10^8</f>
        <v>0</v>
      </c>
      <c r="R11" s="511">
        <f t="shared" si="4"/>
        <v>0</v>
      </c>
      <c r="S11" s="568">
        <f>'상세 자료 작성 241025현실화'!H64/10^8</f>
        <v>0</v>
      </c>
      <c r="T11" s="556">
        <v>0</v>
      </c>
      <c r="U11" s="510">
        <f>'상세 자료 작성 241025현실화'!I64/10^8</f>
        <v>0</v>
      </c>
      <c r="V11" s="511">
        <f t="shared" si="6"/>
        <v>0</v>
      </c>
      <c r="W11" s="791" t="e">
        <f>J11+#REF!+#REF!</f>
        <v>#REF!</v>
      </c>
      <c r="X11" s="568">
        <f t="shared" si="26"/>
        <v>0</v>
      </c>
      <c r="Y11" s="556">
        <f t="shared" si="26"/>
        <v>0</v>
      </c>
      <c r="Z11" s="510">
        <f t="shared" si="26"/>
        <v>0</v>
      </c>
      <c r="AA11" s="511">
        <f t="shared" si="8"/>
        <v>0</v>
      </c>
      <c r="AB11" s="568">
        <v>0</v>
      </c>
      <c r="AC11" s="556">
        <v>0</v>
      </c>
      <c r="AD11" s="510">
        <f>'상세 자료 작성 241025현실화'!I77/10^8</f>
        <v>0</v>
      </c>
      <c r="AE11" s="511">
        <f t="shared" si="10"/>
        <v>0</v>
      </c>
      <c r="AF11" s="568">
        <v>0</v>
      </c>
      <c r="AG11" s="556">
        <v>0</v>
      </c>
      <c r="AH11" s="510">
        <f>'상세 자료 작성 241025현실화'!I89/10^8</f>
        <v>0</v>
      </c>
      <c r="AI11" s="511">
        <f t="shared" si="12"/>
        <v>0</v>
      </c>
      <c r="AJ11" s="568">
        <v>0</v>
      </c>
      <c r="AK11" s="556">
        <v>0</v>
      </c>
      <c r="AL11" s="510">
        <f>'상세 자료 작성 241025현실화'!I101/10^8</f>
        <v>0</v>
      </c>
      <c r="AM11" s="511">
        <f t="shared" si="14"/>
        <v>0</v>
      </c>
      <c r="AN11" s="568">
        <f>AB11+AF11+AJ11</f>
        <v>0</v>
      </c>
      <c r="AO11" s="556">
        <f>AC11+AG11+AK11</f>
        <v>0</v>
      </c>
      <c r="AP11" s="510">
        <f t="shared" si="27"/>
        <v>0</v>
      </c>
      <c r="AQ11" s="511">
        <f t="shared" si="16"/>
        <v>0</v>
      </c>
      <c r="AR11" s="568">
        <v>0</v>
      </c>
      <c r="AS11" s="556">
        <v>0</v>
      </c>
      <c r="AT11" s="510">
        <f>'상세 자료 작성 241025현실화'!I113/10^8</f>
        <v>0</v>
      </c>
      <c r="AU11" s="511">
        <f t="shared" si="18"/>
        <v>0</v>
      </c>
      <c r="AV11" s="568">
        <v>0</v>
      </c>
      <c r="AW11" s="556">
        <v>0</v>
      </c>
      <c r="AX11" s="510">
        <f>'상세 자료 작성 241025현실화'!I124/10^8</f>
        <v>0</v>
      </c>
      <c r="AY11" s="511">
        <f t="shared" si="20"/>
        <v>0</v>
      </c>
      <c r="AZ11" s="568">
        <v>0</v>
      </c>
      <c r="BA11" s="556">
        <v>0</v>
      </c>
      <c r="BB11" s="510">
        <f>'상세 자료 작성 241025현실화'!I135/10^8</f>
        <v>0</v>
      </c>
      <c r="BC11" s="511">
        <f t="shared" si="22"/>
        <v>0</v>
      </c>
      <c r="BD11" s="568">
        <f>AR11+AV11+AZ11</f>
        <v>0</v>
      </c>
      <c r="BE11" s="556">
        <f t="shared" si="28"/>
        <v>0</v>
      </c>
      <c r="BF11" s="510">
        <f t="shared" si="28"/>
        <v>0</v>
      </c>
      <c r="BG11" s="511">
        <f t="shared" si="24"/>
        <v>0</v>
      </c>
      <c r="BH11" s="235"/>
      <c r="BI11" s="780"/>
      <c r="BJ11" s="780"/>
      <c r="BK11" s="846">
        <f>E11</f>
        <v>0</v>
      </c>
      <c r="BL11" s="593">
        <v>0</v>
      </c>
      <c r="BM11" s="593">
        <f>BF11+AP11+Z11+H11</f>
        <v>0</v>
      </c>
      <c r="BN11" s="644">
        <f t="shared" si="25"/>
        <v>0</v>
      </c>
      <c r="BP11" s="863"/>
      <c r="BQ11" s="15"/>
      <c r="BR11" s="15"/>
    </row>
    <row r="12" spans="1:71" ht="30.6" customHeight="1">
      <c r="A12" s="607"/>
      <c r="B12" s="549"/>
      <c r="C12" s="630" t="s">
        <v>22</v>
      </c>
      <c r="D12" s="621">
        <v>0</v>
      </c>
      <c r="E12" s="523">
        <v>75.923400000000001</v>
      </c>
      <c r="F12" s="626">
        <f>'[1]1분기 실적'!R12</f>
        <v>0</v>
      </c>
      <c r="G12" s="623">
        <f>'[1]1분기 실적'!S12</f>
        <v>0</v>
      </c>
      <c r="H12" s="624">
        <f>SUM('상세 자료 작성 241025현실화'!G9,'상세 자료 작성 241025현실화'!G20,'상세 자료 작성 241025현실화'!G31)/10^8</f>
        <v>0</v>
      </c>
      <c r="I12" s="625">
        <f t="shared" si="0"/>
        <v>0</v>
      </c>
      <c r="J12" s="623">
        <v>0</v>
      </c>
      <c r="K12" s="622">
        <f>'상세 자료 작성 241025현실화'!H43/10^8</f>
        <v>0</v>
      </c>
      <c r="L12" s="623">
        <v>0</v>
      </c>
      <c r="M12" s="624">
        <f>'상세 자료 작성 241025현실화'!I43/10^8</f>
        <v>0</v>
      </c>
      <c r="N12" s="625">
        <f t="shared" si="2"/>
        <v>0</v>
      </c>
      <c r="O12" s="622">
        <f>'상세 자료 작성 241025현실화'!H54/10^8</f>
        <v>0</v>
      </c>
      <c r="P12" s="623">
        <v>0</v>
      </c>
      <c r="Q12" s="624">
        <f>'상세 자료 작성 241025현실화'!I54/10^8</f>
        <v>0</v>
      </c>
      <c r="R12" s="625">
        <f t="shared" si="4"/>
        <v>0</v>
      </c>
      <c r="S12" s="622">
        <f>'상세 자료 작성 241025현실화'!H65/10^8</f>
        <v>1.3775999999999999</v>
      </c>
      <c r="T12" s="623">
        <v>4.90916584</v>
      </c>
      <c r="U12" s="624">
        <f>'상세 자료 작성 241025현실화'!I65/10^8</f>
        <v>4.90916584</v>
      </c>
      <c r="V12" s="792">
        <f t="shared" si="6"/>
        <v>0</v>
      </c>
      <c r="W12" s="793">
        <v>0</v>
      </c>
      <c r="X12" s="622">
        <f t="shared" si="26"/>
        <v>1.3775999999999999</v>
      </c>
      <c r="Y12" s="623">
        <f t="shared" si="26"/>
        <v>4.90916584</v>
      </c>
      <c r="Z12" s="624">
        <f t="shared" si="26"/>
        <v>4.90916584</v>
      </c>
      <c r="AA12" s="792">
        <f t="shared" si="8"/>
        <v>0</v>
      </c>
      <c r="AB12" s="622">
        <v>0.46760000000000002</v>
      </c>
      <c r="AC12" s="623">
        <v>0</v>
      </c>
      <c r="AD12" s="505">
        <f>'상세 자료 작성 241025현실화'!I78/10^8</f>
        <v>0</v>
      </c>
      <c r="AE12" s="625">
        <f t="shared" si="10"/>
        <v>0</v>
      </c>
      <c r="AF12" s="622">
        <v>3.2227999999999999</v>
      </c>
      <c r="AG12" s="623">
        <v>9.989149897246266</v>
      </c>
      <c r="AH12" s="505">
        <f>'상세 자료 작성 241025현실화'!I90/10^8</f>
        <v>10.58000169</v>
      </c>
      <c r="AI12" s="792">
        <f t="shared" si="12"/>
        <v>0.59085179275373356</v>
      </c>
      <c r="AJ12" s="622">
        <v>15.792</v>
      </c>
      <c r="AK12" s="623">
        <v>14.965843365725572</v>
      </c>
      <c r="AL12" s="505">
        <f>'상세 자료 작성 241025현실화'!I102/10^8</f>
        <v>12.654025239999999</v>
      </c>
      <c r="AM12" s="792">
        <f t="shared" si="14"/>
        <v>-2.3118181257255728</v>
      </c>
      <c r="AN12" s="622">
        <f>AB12+AF12+AJ12</f>
        <v>19.482399999999998</v>
      </c>
      <c r="AO12" s="623">
        <f>AC12+AG12+AK12</f>
        <v>24.95499326297184</v>
      </c>
      <c r="AP12" s="624">
        <f t="shared" si="27"/>
        <v>23.234026929999999</v>
      </c>
      <c r="AQ12" s="794">
        <f t="shared" si="16"/>
        <v>-1.720966332971841</v>
      </c>
      <c r="AR12" s="622">
        <v>28.68404</v>
      </c>
      <c r="AS12" s="623">
        <v>23.933188274042791</v>
      </c>
      <c r="AT12" s="505">
        <f>'상세 자료 작성 241025현실화'!I114/10^8</f>
        <v>22.991949917464773</v>
      </c>
      <c r="AU12" s="792">
        <f t="shared" si="18"/>
        <v>-0.94123835657801891</v>
      </c>
      <c r="AV12" s="622">
        <v>21.422519999999999</v>
      </c>
      <c r="AW12" s="623">
        <v>27.691727145105933</v>
      </c>
      <c r="AX12" s="505">
        <f>'상세 자료 작성 241025현실화'!I125/10^8</f>
        <v>26.563247389279379</v>
      </c>
      <c r="AY12" s="792">
        <f t="shared" si="20"/>
        <v>-1.1284797558265538</v>
      </c>
      <c r="AZ12" s="622">
        <v>4.9568399999999997</v>
      </c>
      <c r="BA12" s="623">
        <v>7.3944850424628683</v>
      </c>
      <c r="BB12" s="505">
        <f>'상세 자료 작성 241025현실화'!I136/10^8</f>
        <v>8.6666486586582323</v>
      </c>
      <c r="BC12" s="792">
        <f t="shared" si="22"/>
        <v>1.272163616195364</v>
      </c>
      <c r="BD12" s="622">
        <f>AR12+AV12+AZ12</f>
        <v>55.063400000000001</v>
      </c>
      <c r="BE12" s="623">
        <f t="shared" si="28"/>
        <v>59.019400461611589</v>
      </c>
      <c r="BF12" s="624">
        <f t="shared" si="28"/>
        <v>58.22184596540238</v>
      </c>
      <c r="BG12" s="794">
        <f t="shared" si="24"/>
        <v>-0.79755449620920871</v>
      </c>
      <c r="BH12" s="235"/>
      <c r="BI12" s="780"/>
      <c r="BJ12" s="780"/>
      <c r="BK12" s="628">
        <f>E12</f>
        <v>75.923400000000001</v>
      </c>
      <c r="BL12" s="629">
        <v>88.883559564583422</v>
      </c>
      <c r="BM12" s="592">
        <f>BF12+AP12+Z12+H12</f>
        <v>86.365038735402379</v>
      </c>
      <c r="BN12" s="795">
        <f t="shared" si="25"/>
        <v>-2.5185208291810426</v>
      </c>
      <c r="BP12" s="863">
        <v>86.365038735402379</v>
      </c>
      <c r="BQ12" s="15">
        <f>BP12-BM12</f>
        <v>0</v>
      </c>
      <c r="BR12" s="15"/>
    </row>
    <row r="13" spans="1:71" ht="30.6" customHeight="1">
      <c r="A13" s="607"/>
      <c r="B13" s="1576" t="s">
        <v>25</v>
      </c>
      <c r="C13" s="1577"/>
      <c r="D13" s="515">
        <f>SUM(D14:D15)</f>
        <v>356.93434390000004</v>
      </c>
      <c r="E13" s="516">
        <f>SUM(E14:E15)</f>
        <v>817.87665115372999</v>
      </c>
      <c r="F13" s="635">
        <f>SUM(F14:F15)</f>
        <v>39.831548300000001</v>
      </c>
      <c r="G13" s="632">
        <f>SUM(G14:G15)</f>
        <v>124.96824870219562</v>
      </c>
      <c r="H13" s="859">
        <f>SUM(H14:H15)</f>
        <v>165.62408739999998</v>
      </c>
      <c r="I13" s="634">
        <f t="shared" si="0"/>
        <v>40.655838697804356</v>
      </c>
      <c r="J13" s="632">
        <f t="shared" ref="J13:U13" si="29">SUM(J14:J15)</f>
        <v>19.9781485</v>
      </c>
      <c r="K13" s="796">
        <f>SUM(K14:K15)</f>
        <v>50.647738279942338</v>
      </c>
      <c r="L13" s="797">
        <f t="shared" si="29"/>
        <v>76.3821169</v>
      </c>
      <c r="M13" s="798">
        <f t="shared" si="29"/>
        <v>76.3821169</v>
      </c>
      <c r="N13" s="799">
        <f t="shared" si="2"/>
        <v>0</v>
      </c>
      <c r="O13" s="796">
        <f>SUM(O14:O15)</f>
        <v>47.611770279942341</v>
      </c>
      <c r="P13" s="797">
        <f t="shared" si="29"/>
        <v>59.586537999999997</v>
      </c>
      <c r="Q13" s="798">
        <f t="shared" si="29"/>
        <v>59.586537999999997</v>
      </c>
      <c r="R13" s="799">
        <f t="shared" si="4"/>
        <v>0</v>
      </c>
      <c r="S13" s="796">
        <f>SUM(S14:S15)</f>
        <v>45.502402229942341</v>
      </c>
      <c r="T13" s="797">
        <f t="shared" si="29"/>
        <v>78.594935500000005</v>
      </c>
      <c r="U13" s="798">
        <f t="shared" si="29"/>
        <v>79.155540000000002</v>
      </c>
      <c r="V13" s="800">
        <f t="shared" si="6"/>
        <v>0.56060449999999662</v>
      </c>
      <c r="W13" s="801" t="e">
        <f t="shared" ref="W13:Z13" si="30">SUM(W14:W15)</f>
        <v>#REF!</v>
      </c>
      <c r="X13" s="796">
        <f>SUM(X14:X15)</f>
        <v>143.76191078982703</v>
      </c>
      <c r="Y13" s="798">
        <f t="shared" si="30"/>
        <v>214.56359040000001</v>
      </c>
      <c r="Z13" s="798">
        <f t="shared" si="30"/>
        <v>215.12419489999999</v>
      </c>
      <c r="AA13" s="799">
        <f t="shared" si="8"/>
        <v>0.56060449999998241</v>
      </c>
      <c r="AB13" s="796">
        <f>SUM(AB14:AB15)</f>
        <v>73.593108279942342</v>
      </c>
      <c r="AC13" s="797">
        <f t="shared" ref="AC13:AD13" si="31">SUM(AC14:AC15)</f>
        <v>102.95314529999999</v>
      </c>
      <c r="AD13" s="798">
        <f t="shared" si="31"/>
        <v>102.95314529999999</v>
      </c>
      <c r="AE13" s="800">
        <f t="shared" si="10"/>
        <v>0</v>
      </c>
      <c r="AF13" s="796">
        <f>SUM(AF14:AF15)</f>
        <v>89.593108279942342</v>
      </c>
      <c r="AG13" s="797">
        <f t="shared" ref="AG13:AH13" si="32">SUM(AG14:AG15)</f>
        <v>153.195301</v>
      </c>
      <c r="AH13" s="798">
        <f t="shared" si="32"/>
        <v>136.473839</v>
      </c>
      <c r="AI13" s="800">
        <f t="shared" si="12"/>
        <v>-16.721462000000002</v>
      </c>
      <c r="AJ13" s="796">
        <f>SUM(AJ14:AJ15)</f>
        <v>103.77491060916635</v>
      </c>
      <c r="AK13" s="797">
        <f t="shared" ref="AK13:AL13" si="33">SUM(AK14:AK15)</f>
        <v>110.389574</v>
      </c>
      <c r="AL13" s="798">
        <f t="shared" si="33"/>
        <v>115.6813985</v>
      </c>
      <c r="AM13" s="800">
        <f t="shared" si="14"/>
        <v>5.2918245000000042</v>
      </c>
      <c r="AN13" s="796">
        <f>SUM(AN14:AN15)</f>
        <v>266.96112716905105</v>
      </c>
      <c r="AO13" s="798">
        <f t="shared" ref="AO13:AP13" si="34">SUM(AO14:AO15)</f>
        <v>366.53802029999997</v>
      </c>
      <c r="AP13" s="798">
        <f t="shared" si="34"/>
        <v>355.10838279999996</v>
      </c>
      <c r="AQ13" s="802">
        <f t="shared" si="16"/>
        <v>-11.429637500000013</v>
      </c>
      <c r="AR13" s="796">
        <f>SUM(AR14:AR15)</f>
        <v>74.593108279942342</v>
      </c>
      <c r="AS13" s="797">
        <f t="shared" ref="AS13:AT13" si="35">SUM(AS14:AS15)</f>
        <v>96.535076999999987</v>
      </c>
      <c r="AT13" s="798">
        <f t="shared" si="35"/>
        <v>102.80315660000001</v>
      </c>
      <c r="AU13" s="800">
        <f t="shared" si="18"/>
        <v>6.2680796000000214</v>
      </c>
      <c r="AV13" s="796">
        <f>SUM(AV14:AV15)</f>
        <v>51.593108279942342</v>
      </c>
      <c r="AW13" s="797">
        <f t="shared" ref="AW13:AX13" si="36">SUM(AW14:AW15)</f>
        <v>72.826043999999996</v>
      </c>
      <c r="AX13" s="798">
        <f t="shared" si="36"/>
        <v>62.973656350000006</v>
      </c>
      <c r="AY13" s="800">
        <f t="shared" si="20"/>
        <v>-9.8523876499999901</v>
      </c>
      <c r="AZ13" s="796">
        <f>SUM(AZ14:AZ15)</f>
        <v>155.99914793032724</v>
      </c>
      <c r="BA13" s="797">
        <f t="shared" ref="BA13:BB13" si="37">SUM(BA14:BA15)</f>
        <v>91.879126000000014</v>
      </c>
      <c r="BB13" s="798">
        <f t="shared" si="37"/>
        <v>88.36892675</v>
      </c>
      <c r="BC13" s="800">
        <f t="shared" si="22"/>
        <v>-3.5101992500000136</v>
      </c>
      <c r="BD13" s="796">
        <f>SUM(BD14:BD15)</f>
        <v>282.1853644902119</v>
      </c>
      <c r="BE13" s="798">
        <f t="shared" ref="BE13:BF13" si="38">SUM(BE14:BE15)</f>
        <v>261.24024700000001</v>
      </c>
      <c r="BF13" s="798">
        <f t="shared" si="38"/>
        <v>254.14573970000001</v>
      </c>
      <c r="BG13" s="800">
        <f t="shared" si="24"/>
        <v>-7.0945073000000036</v>
      </c>
      <c r="BH13" s="235"/>
      <c r="BI13" s="780"/>
      <c r="BJ13" s="780"/>
      <c r="BK13" s="617">
        <f>SUM(BK14:BK15)</f>
        <v>817.87665115372999</v>
      </c>
      <c r="BL13" s="595">
        <v>1008.5265496</v>
      </c>
      <c r="BM13" s="596">
        <f>SUM(BM14:BM15)</f>
        <v>990.00240480000002</v>
      </c>
      <c r="BN13" s="825">
        <f t="shared" si="25"/>
        <v>-18.524144799999931</v>
      </c>
      <c r="BP13" s="863"/>
      <c r="BQ13" s="479"/>
    </row>
    <row r="14" spans="1:71" ht="30.6" customHeight="1">
      <c r="A14" s="607"/>
      <c r="B14" s="1582"/>
      <c r="C14" s="442" t="s">
        <v>27</v>
      </c>
      <c r="D14" s="519">
        <v>96.150573299999991</v>
      </c>
      <c r="E14" s="501">
        <v>115.11729935930809</v>
      </c>
      <c r="F14" s="521">
        <f>'[1]1분기 실적'!R14</f>
        <v>20.213306299999999</v>
      </c>
      <c r="G14" s="557">
        <f>'[1]1분기 실적'!S14</f>
        <v>28.779324839827026</v>
      </c>
      <c r="H14" s="557">
        <f>SUM('상세 자료 작성 241025현실화'!G10,'상세 자료 작성 241025현실화'!G21,'상세 자료 작성 241025현실화'!G32)/10^8</f>
        <v>27.461327399999998</v>
      </c>
      <c r="I14" s="734">
        <f t="shared" si="0"/>
        <v>-1.3179974398270282</v>
      </c>
      <c r="J14" s="557">
        <f>'[1]2023년 실적'!I46/10^8</f>
        <v>7.9903265000000001</v>
      </c>
      <c r="K14" s="787">
        <f>'상세 자료 작성 241025현실화'!H44/10^8</f>
        <v>7.6219082799423399</v>
      </c>
      <c r="L14" s="639">
        <v>13.044198400000001</v>
      </c>
      <c r="M14" s="639">
        <f>'상세 자료 작성 241025현실화'!I44/10^8</f>
        <v>13.044198400000001</v>
      </c>
      <c r="N14" s="661">
        <f t="shared" si="2"/>
        <v>0</v>
      </c>
      <c r="O14" s="787">
        <f>'상세 자료 작성 241025현실화'!H55/10^8</f>
        <v>11.564308279942338</v>
      </c>
      <c r="P14" s="639">
        <v>10.134245999999999</v>
      </c>
      <c r="Q14" s="639">
        <f>'상세 자료 작성 241025현실화'!I55/10^8</f>
        <v>10.134245999999999</v>
      </c>
      <c r="R14" s="661">
        <f t="shared" si="4"/>
        <v>0</v>
      </c>
      <c r="S14" s="787">
        <f>'상세 자료 작성 241025현실화'!H66/10^8</f>
        <v>9.5931082799423422</v>
      </c>
      <c r="T14" s="639">
        <v>5.697387</v>
      </c>
      <c r="U14" s="639">
        <f>'상세 자료 작성 241025현실화'!I66/10^8</f>
        <v>5.697387</v>
      </c>
      <c r="V14" s="788">
        <f t="shared" si="6"/>
        <v>0</v>
      </c>
      <c r="W14" s="789" t="e">
        <f>J14+#REF!+#REF!</f>
        <v>#REF!</v>
      </c>
      <c r="X14" s="787">
        <f t="shared" ref="X14:Z15" si="39">K14+O14+S14</f>
        <v>28.779324839827019</v>
      </c>
      <c r="Y14" s="639">
        <f t="shared" si="39"/>
        <v>28.875831399999999</v>
      </c>
      <c r="Z14" s="639">
        <f t="shared" si="39"/>
        <v>28.875831399999999</v>
      </c>
      <c r="AA14" s="788">
        <f t="shared" si="8"/>
        <v>0</v>
      </c>
      <c r="AB14" s="787">
        <v>9.5931082799423422</v>
      </c>
      <c r="AC14" s="639">
        <v>3.5377527999999998</v>
      </c>
      <c r="AD14" s="639">
        <f>'상세 자료 작성 241025현실화'!I79/10^8</f>
        <v>3.5377527999999998</v>
      </c>
      <c r="AE14" s="788">
        <f t="shared" si="10"/>
        <v>0</v>
      </c>
      <c r="AF14" s="787">
        <v>9.5931082799423422</v>
      </c>
      <c r="AG14" s="639">
        <v>2.8664320000000001</v>
      </c>
      <c r="AH14" s="639">
        <f>'상세 자료 작성 241025현실화'!I91/10^8</f>
        <v>0</v>
      </c>
      <c r="AI14" s="788">
        <f t="shared" si="12"/>
        <v>-2.8664320000000001</v>
      </c>
      <c r="AJ14" s="787">
        <v>9.5931082799423422</v>
      </c>
      <c r="AK14" s="639">
        <v>4.4701680000000001</v>
      </c>
      <c r="AL14" s="639">
        <f>'상세 자료 작성 241025현실화'!I103/10^8</f>
        <v>3.6305930000000002</v>
      </c>
      <c r="AM14" s="788">
        <f t="shared" si="14"/>
        <v>-0.83957499999999996</v>
      </c>
      <c r="AN14" s="787">
        <f t="shared" ref="AN14:AP15" si="40">AB14+AF14+AJ14</f>
        <v>28.779324839827026</v>
      </c>
      <c r="AO14" s="639">
        <f>AC14+AG14+AK14</f>
        <v>10.8743528</v>
      </c>
      <c r="AP14" s="639">
        <f t="shared" si="40"/>
        <v>7.1683458</v>
      </c>
      <c r="AQ14" s="788">
        <f t="shared" si="16"/>
        <v>-3.7060070000000005</v>
      </c>
      <c r="AR14" s="787">
        <v>9.5931082799423422</v>
      </c>
      <c r="AS14" s="639">
        <v>6.64072</v>
      </c>
      <c r="AT14" s="639">
        <f>'상세 자료 작성 241025현실화'!I115/10^8</f>
        <v>1.6385555999999999</v>
      </c>
      <c r="AU14" s="661">
        <f t="shared" si="18"/>
        <v>-5.0021643999999998</v>
      </c>
      <c r="AV14" s="787">
        <v>9.5931082799423422</v>
      </c>
      <c r="AW14" s="639">
        <v>4.5953999999999997</v>
      </c>
      <c r="AX14" s="639">
        <f>'상세 자료 작성 241025현실화'!I126/10^8</f>
        <v>0.57368359999999996</v>
      </c>
      <c r="AY14" s="788">
        <f t="shared" si="20"/>
        <v>-4.0217163999999999</v>
      </c>
      <c r="AZ14" s="787">
        <v>9.5931082799423422</v>
      </c>
      <c r="BA14" s="639">
        <v>6.1404040000000002</v>
      </c>
      <c r="BB14" s="639">
        <f>'상세 자료 작성 241025현실화'!I137/10^8</f>
        <v>5.4580039999999999</v>
      </c>
      <c r="BC14" s="661">
        <f t="shared" si="22"/>
        <v>-0.68240000000000034</v>
      </c>
      <c r="BD14" s="787">
        <f t="shared" ref="BD14:BF15" si="41">AR14+AV14+AZ14</f>
        <v>28.779324839827026</v>
      </c>
      <c r="BE14" s="639">
        <f t="shared" si="41"/>
        <v>17.376524</v>
      </c>
      <c r="BF14" s="639">
        <f t="shared" si="41"/>
        <v>7.6702431999999998</v>
      </c>
      <c r="BG14" s="788">
        <f t="shared" si="24"/>
        <v>-9.7062808</v>
      </c>
      <c r="BH14" s="235"/>
      <c r="BI14" s="780"/>
      <c r="BJ14" s="780"/>
      <c r="BK14" s="615">
        <f>E14</f>
        <v>115.11729935930809</v>
      </c>
      <c r="BL14" s="591">
        <v>84.588035599999998</v>
      </c>
      <c r="BM14" s="591">
        <f>BF14+AP14+Z14+H14</f>
        <v>71.175747799999996</v>
      </c>
      <c r="BN14" s="790">
        <f t="shared" si="25"/>
        <v>-13.412287800000001</v>
      </c>
      <c r="BP14" s="863">
        <v>71.175747799999996</v>
      </c>
      <c r="BQ14" s="15">
        <f>BP14-BM14</f>
        <v>0</v>
      </c>
      <c r="BR14" s="15"/>
    </row>
    <row r="15" spans="1:71" ht="30.6" customHeight="1">
      <c r="A15" s="607"/>
      <c r="B15" s="1582"/>
      <c r="C15" s="443" t="s">
        <v>26</v>
      </c>
      <c r="D15" s="522">
        <v>260.78377060000003</v>
      </c>
      <c r="E15" s="523">
        <v>702.75935179442195</v>
      </c>
      <c r="F15" s="526">
        <f>'[1]1분기 실적'!R15</f>
        <v>19.618242000000002</v>
      </c>
      <c r="G15" s="558">
        <f>'[1]1분기 실적'!S15</f>
        <v>96.188923862368597</v>
      </c>
      <c r="H15" s="524">
        <f>SUM('상세 자료 작성 241025현실화'!G11,'상세 자료 작성 241025현실화'!G22,'상세 자료 작성 241025현실화'!G33)/10^8</f>
        <v>138.16275999999999</v>
      </c>
      <c r="I15" s="525">
        <f t="shared" si="0"/>
        <v>41.973836137631395</v>
      </c>
      <c r="J15" s="558">
        <f>'[1]2023년 실적'!I47/10^8</f>
        <v>11.987822</v>
      </c>
      <c r="K15" s="622">
        <f>'상세 자료 작성 241025현실화'!H45/10^8</f>
        <v>43.025829999999999</v>
      </c>
      <c r="L15" s="623">
        <v>63.337918500000001</v>
      </c>
      <c r="M15" s="624">
        <f>'상세 자료 작성 241025현실화'!I45/10^8</f>
        <v>63.337918500000001</v>
      </c>
      <c r="N15" s="625">
        <f t="shared" si="2"/>
        <v>0</v>
      </c>
      <c r="O15" s="622">
        <f>'상세 자료 작성 241025현실화'!H56/10^8</f>
        <v>36.047462000000003</v>
      </c>
      <c r="P15" s="623">
        <v>49.452292</v>
      </c>
      <c r="Q15" s="624">
        <f>'상세 자료 작성 241025현실화'!I56/10^8</f>
        <v>49.452292</v>
      </c>
      <c r="R15" s="625">
        <f t="shared" si="4"/>
        <v>0</v>
      </c>
      <c r="S15" s="622">
        <f>'상세 자료 작성 241025현실화'!H67/10^8</f>
        <v>35.909293949999999</v>
      </c>
      <c r="T15" s="623">
        <v>72.897548499999999</v>
      </c>
      <c r="U15" s="624">
        <f>'상세 자료 작성 241025현실화'!I67/10^8</f>
        <v>73.458152999999996</v>
      </c>
      <c r="V15" s="792">
        <f t="shared" si="6"/>
        <v>0.56060449999999662</v>
      </c>
      <c r="W15" s="791" t="e">
        <f>J15+#REF!+#REF!</f>
        <v>#REF!</v>
      </c>
      <c r="X15" s="622">
        <f t="shared" si="39"/>
        <v>114.98258595000001</v>
      </c>
      <c r="Y15" s="623">
        <f t="shared" si="39"/>
        <v>185.687759</v>
      </c>
      <c r="Z15" s="624">
        <f t="shared" si="39"/>
        <v>186.24836349999998</v>
      </c>
      <c r="AA15" s="792">
        <f t="shared" si="8"/>
        <v>0.56060449999998241</v>
      </c>
      <c r="AB15" s="622">
        <v>64</v>
      </c>
      <c r="AC15" s="623">
        <v>99.415392499999996</v>
      </c>
      <c r="AD15" s="624">
        <f>'상세 자료 작성 241025현실화'!I80/10^8</f>
        <v>99.415392499999996</v>
      </c>
      <c r="AE15" s="625">
        <f t="shared" si="10"/>
        <v>0</v>
      </c>
      <c r="AF15" s="622">
        <v>80</v>
      </c>
      <c r="AG15" s="623">
        <v>150.328869</v>
      </c>
      <c r="AH15" s="624">
        <f>'상세 자료 작성 241025현실화'!I92/10^8</f>
        <v>136.473839</v>
      </c>
      <c r="AI15" s="792">
        <f t="shared" si="12"/>
        <v>-13.855029999999999</v>
      </c>
      <c r="AJ15" s="622">
        <v>94.181802329224013</v>
      </c>
      <c r="AK15" s="623">
        <v>105.919406</v>
      </c>
      <c r="AL15" s="624">
        <f>'상세 자료 작성 241025현실화'!I104/10^8</f>
        <v>112.0508055</v>
      </c>
      <c r="AM15" s="792">
        <f t="shared" si="14"/>
        <v>6.1313995000000006</v>
      </c>
      <c r="AN15" s="622">
        <f t="shared" si="40"/>
        <v>238.18180232922401</v>
      </c>
      <c r="AO15" s="623">
        <f>AC15+AG15+AK15</f>
        <v>355.66366749999997</v>
      </c>
      <c r="AP15" s="624">
        <f t="shared" si="40"/>
        <v>347.94003699999996</v>
      </c>
      <c r="AQ15" s="794">
        <f t="shared" si="16"/>
        <v>-7.7236305000000129</v>
      </c>
      <c r="AR15" s="622">
        <v>65</v>
      </c>
      <c r="AS15" s="623">
        <v>89.894356999999985</v>
      </c>
      <c r="AT15" s="624">
        <f>'상세 자료 작성 241025현실화'!I116/10^8</f>
        <v>101.164601</v>
      </c>
      <c r="AU15" s="792">
        <f t="shared" si="18"/>
        <v>11.270244000000019</v>
      </c>
      <c r="AV15" s="622">
        <v>42</v>
      </c>
      <c r="AW15" s="623">
        <v>68.230643999999998</v>
      </c>
      <c r="AX15" s="624">
        <f>'상세 자료 작성 241025현실화'!I127/10^8</f>
        <v>62.399972750000003</v>
      </c>
      <c r="AY15" s="792">
        <f t="shared" si="20"/>
        <v>-5.8306712499999946</v>
      </c>
      <c r="AZ15" s="622">
        <v>146.40603965038488</v>
      </c>
      <c r="BA15" s="623">
        <v>85.73872200000001</v>
      </c>
      <c r="BB15" s="624">
        <f>'상세 자료 작성 241025현실화'!I138/10^8</f>
        <v>82.910922749999997</v>
      </c>
      <c r="BC15" s="792">
        <f t="shared" si="22"/>
        <v>-2.8277992500000124</v>
      </c>
      <c r="BD15" s="622">
        <f t="shared" si="41"/>
        <v>253.40603965038488</v>
      </c>
      <c r="BE15" s="623">
        <f t="shared" si="41"/>
        <v>243.86372299999999</v>
      </c>
      <c r="BF15" s="624">
        <f t="shared" si="41"/>
        <v>246.47549650000002</v>
      </c>
      <c r="BG15" s="794">
        <f t="shared" si="24"/>
        <v>2.6117735000000266</v>
      </c>
      <c r="BH15" s="235"/>
      <c r="BI15" s="780"/>
      <c r="BJ15" s="780"/>
      <c r="BK15" s="616">
        <f>E15</f>
        <v>702.75935179442195</v>
      </c>
      <c r="BL15" s="593">
        <v>923.93851399999994</v>
      </c>
      <c r="BM15" s="593">
        <f>BF15+AP15+Z15+H15</f>
        <v>918.82665700000007</v>
      </c>
      <c r="BN15" s="826">
        <f t="shared" si="25"/>
        <v>-5.1118569999998726</v>
      </c>
      <c r="BP15" s="863">
        <v>918.82665700000007</v>
      </c>
      <c r="BQ15" s="15">
        <f>BP15-BM15</f>
        <v>0</v>
      </c>
      <c r="BR15" s="898"/>
      <c r="BS15" s="15"/>
    </row>
    <row r="16" spans="1:71" ht="30.6" customHeight="1">
      <c r="A16" s="607"/>
      <c r="B16" s="1576" t="s">
        <v>28</v>
      </c>
      <c r="C16" s="1577"/>
      <c r="D16" s="515">
        <f>SUM(D17:D21)</f>
        <v>118.06968569</v>
      </c>
      <c r="E16" s="516">
        <f>SUM(E17:E21)</f>
        <v>90.543999999999997</v>
      </c>
      <c r="F16" s="529">
        <v>25.294744080000001</v>
      </c>
      <c r="G16" s="559">
        <v>40.873749999999994</v>
      </c>
      <c r="H16" s="860">
        <f>SUM(H17:H21)</f>
        <v>17.592842869999998</v>
      </c>
      <c r="I16" s="733">
        <f t="shared" si="0"/>
        <v>-23.280907129999996</v>
      </c>
      <c r="J16" s="559">
        <f>SUM(J17:J21)</f>
        <v>14.925704940000001</v>
      </c>
      <c r="K16" s="803">
        <f>SUM(K17:K21)</f>
        <v>5.81</v>
      </c>
      <c r="L16" s="804">
        <f t="shared" ref="L16:M16" si="42">SUM(L17:L21)</f>
        <v>13.149460960000001</v>
      </c>
      <c r="M16" s="805">
        <f t="shared" si="42"/>
        <v>13.21258596</v>
      </c>
      <c r="N16" s="806">
        <f t="shared" si="2"/>
        <v>6.3124999999999432E-2</v>
      </c>
      <c r="O16" s="803">
        <f>SUM(O17:O21)</f>
        <v>4.2324999999999999</v>
      </c>
      <c r="P16" s="804">
        <f>SUM(P17:P21)</f>
        <v>21.151499650000005</v>
      </c>
      <c r="Q16" s="805">
        <f>SUM(Q17:Q21)</f>
        <v>21.241723100000002</v>
      </c>
      <c r="R16" s="806">
        <f t="shared" si="4"/>
        <v>9.0223449999996319E-2</v>
      </c>
      <c r="S16" s="803">
        <f>SUM(S17:S21)</f>
        <v>5.1062499999999993</v>
      </c>
      <c r="T16" s="804">
        <f t="shared" ref="T16:U16" si="43">SUM(T17:T21)</f>
        <v>10.122248930000001</v>
      </c>
      <c r="U16" s="805">
        <f t="shared" si="43"/>
        <v>10.274288930000001</v>
      </c>
      <c r="V16" s="807">
        <f t="shared" si="6"/>
        <v>0.15203999999999951</v>
      </c>
      <c r="W16" s="808" t="e">
        <f>SUM(W17:W21)</f>
        <v>#REF!</v>
      </c>
      <c r="X16" s="803">
        <f>SUM(X17:X21)</f>
        <v>15.14875</v>
      </c>
      <c r="Y16" s="805">
        <f t="shared" ref="Y16:Z16" si="44">SUM(Y17:Y21)</f>
        <v>44.423209540000002</v>
      </c>
      <c r="Z16" s="805">
        <f t="shared" si="44"/>
        <v>44.728597990000004</v>
      </c>
      <c r="AA16" s="807">
        <f t="shared" si="8"/>
        <v>0.30538845000000236</v>
      </c>
      <c r="AB16" s="803">
        <f>SUM(AB17:AB21)</f>
        <v>3.0625</v>
      </c>
      <c r="AC16" s="804">
        <f>SUM(AC17:AC21)</f>
        <v>5.9915059699999995</v>
      </c>
      <c r="AD16" s="805">
        <f>SUM(AD17:AD21)</f>
        <v>6.1523559699999995</v>
      </c>
      <c r="AE16" s="806">
        <f t="shared" si="10"/>
        <v>0.16084999999999994</v>
      </c>
      <c r="AF16" s="803">
        <f>SUM(AF17:AF21)</f>
        <v>0</v>
      </c>
      <c r="AG16" s="804">
        <f>SUM(AG17:AG21)</f>
        <v>7.1662359699999998</v>
      </c>
      <c r="AH16" s="805">
        <f>SUM(AH17:AH21)</f>
        <v>6.9530679699999993</v>
      </c>
      <c r="AI16" s="807">
        <f t="shared" si="12"/>
        <v>-0.21316800000000047</v>
      </c>
      <c r="AJ16" s="803">
        <f>SUM(AJ17:AJ21)</f>
        <v>0</v>
      </c>
      <c r="AK16" s="804">
        <f>SUM(AK17:AK21)</f>
        <v>5.3362359699999997</v>
      </c>
      <c r="AL16" s="805">
        <f>SUM(AL17:AL21)</f>
        <v>12.830315970000001</v>
      </c>
      <c r="AM16" s="806">
        <f t="shared" si="14"/>
        <v>7.4940800000000012</v>
      </c>
      <c r="AN16" s="803">
        <f>SUM(AN17:AN21)</f>
        <v>3.0625</v>
      </c>
      <c r="AO16" s="805">
        <f t="shared" ref="AO16:AP16" si="45">SUM(AO17:AO21)</f>
        <v>18.493977909999998</v>
      </c>
      <c r="AP16" s="805">
        <f t="shared" si="45"/>
        <v>25.935739909999999</v>
      </c>
      <c r="AQ16" s="806">
        <f t="shared" si="16"/>
        <v>7.4417620000000007</v>
      </c>
      <c r="AR16" s="803">
        <f>SUM(AR17:AR21)</f>
        <v>3.63</v>
      </c>
      <c r="AS16" s="804">
        <f>SUM(AS17:AS21)</f>
        <v>9.1646859700000007</v>
      </c>
      <c r="AT16" s="805">
        <f>SUM(AT17:AT21)</f>
        <v>6.5898943000000001</v>
      </c>
      <c r="AU16" s="807">
        <f t="shared" si="18"/>
        <v>-2.5747916700000006</v>
      </c>
      <c r="AV16" s="803">
        <f>SUM(AV17:AV21)</f>
        <v>17.871500000000001</v>
      </c>
      <c r="AW16" s="804">
        <f>SUM(AW17:AW21)</f>
        <v>3.0512359700000005</v>
      </c>
      <c r="AX16" s="805">
        <f>SUM(AX17:AX21)</f>
        <v>3.0512359700000005</v>
      </c>
      <c r="AY16" s="806">
        <f t="shared" si="20"/>
        <v>0</v>
      </c>
      <c r="AZ16" s="803">
        <f>SUM(AZ17:AZ21)</f>
        <v>9.9574999999999996</v>
      </c>
      <c r="BA16" s="804">
        <f>SUM(BA17:BA21)</f>
        <v>3.7224859700000001</v>
      </c>
      <c r="BB16" s="805">
        <f>SUM(BB17:BB21)</f>
        <v>7.3199859700000012</v>
      </c>
      <c r="BC16" s="806">
        <f t="shared" si="22"/>
        <v>3.597500000000001</v>
      </c>
      <c r="BD16" s="803">
        <f>SUM(BD17:BD21)</f>
        <v>31.459</v>
      </c>
      <c r="BE16" s="805">
        <f t="shared" ref="BE16:BF16" si="46">SUM(BE17:BE21)</f>
        <v>15.93840791</v>
      </c>
      <c r="BF16" s="805">
        <f t="shared" si="46"/>
        <v>16.961116239999999</v>
      </c>
      <c r="BG16" s="807">
        <f t="shared" si="24"/>
        <v>1.0227083299999986</v>
      </c>
      <c r="BH16" s="235"/>
      <c r="BI16" s="780"/>
      <c r="BJ16" s="780"/>
      <c r="BK16" s="617">
        <f>SUM(BK17:BK21)</f>
        <v>90.543999999999997</v>
      </c>
      <c r="BL16" s="595">
        <v>96.453826679999992</v>
      </c>
      <c r="BM16" s="596">
        <f>SUM(BM17:BM21)</f>
        <v>105.21829700999999</v>
      </c>
      <c r="BN16" s="864">
        <f t="shared" si="25"/>
        <v>8.7644703299999946</v>
      </c>
      <c r="BP16" s="863"/>
      <c r="BQ16" s="15"/>
      <c r="BR16" s="15"/>
    </row>
    <row r="17" spans="1:71" ht="30.6" customHeight="1">
      <c r="A17" s="607"/>
      <c r="B17" s="1578"/>
      <c r="C17" s="442" t="s">
        <v>51</v>
      </c>
      <c r="D17" s="519">
        <v>8.5129999999999999</v>
      </c>
      <c r="E17" s="501">
        <v>4.08</v>
      </c>
      <c r="F17" s="521">
        <f>'[1]1분기 실적'!R17</f>
        <v>1.47</v>
      </c>
      <c r="G17" s="851">
        <f>'[1]1분기 실적'!S17</f>
        <v>0.4</v>
      </c>
      <c r="H17" s="502">
        <f>SUM('상세 자료 작성 241025현실화'!G12,'상세 자료 작성 241025현실화'!G23,'상세 자료 작성 241025현실화'!G34)/10^8</f>
        <v>0.4</v>
      </c>
      <c r="I17" s="520">
        <f t="shared" si="0"/>
        <v>0</v>
      </c>
      <c r="J17" s="555">
        <f>'[1]2023년 실적'!I50/10^8</f>
        <v>0.628</v>
      </c>
      <c r="K17" s="787">
        <f>'상세 자료 작성 241025현실화'!H46/10^8</f>
        <v>0.6</v>
      </c>
      <c r="L17" s="639">
        <v>0.6</v>
      </c>
      <c r="M17" s="505">
        <f>'상세 자료 작성 241025현실화'!I46/10^8</f>
        <v>0.6</v>
      </c>
      <c r="N17" s="661">
        <f t="shared" si="2"/>
        <v>0</v>
      </c>
      <c r="O17" s="787">
        <f>'상세 자료 작성 241025현실화'!H57/10^8</f>
        <v>0.67</v>
      </c>
      <c r="P17" s="639">
        <v>0.67</v>
      </c>
      <c r="Q17" s="505">
        <f>'상세 자료 작성 241025현실화'!I57/10^8</f>
        <v>0.67</v>
      </c>
      <c r="R17" s="661">
        <f t="shared" si="4"/>
        <v>0</v>
      </c>
      <c r="S17" s="787">
        <f>'상세 자료 작성 241025현실화'!H68/10^8</f>
        <v>0.67</v>
      </c>
      <c r="T17" s="639">
        <v>0.67</v>
      </c>
      <c r="U17" s="505">
        <f>'상세 자료 작성 241025현실화'!I68/10^8</f>
        <v>0.67</v>
      </c>
      <c r="V17" s="661">
        <f t="shared" si="6"/>
        <v>0</v>
      </c>
      <c r="W17" s="789" t="e">
        <f>J17+#REF!+#REF!</f>
        <v>#REF!</v>
      </c>
      <c r="X17" s="787">
        <f t="shared" ref="X17:Z21" si="47">K17+O17+S17</f>
        <v>1.94</v>
      </c>
      <c r="Y17" s="639">
        <f t="shared" si="47"/>
        <v>1.94</v>
      </c>
      <c r="Z17" s="505">
        <f t="shared" si="47"/>
        <v>1.94</v>
      </c>
      <c r="AA17" s="661">
        <f t="shared" si="8"/>
        <v>0</v>
      </c>
      <c r="AB17" s="787">
        <v>0</v>
      </c>
      <c r="AC17" s="639">
        <v>0</v>
      </c>
      <c r="AD17" s="505">
        <f>'상세 자료 작성 241025현실화'!I81/10^8</f>
        <v>0</v>
      </c>
      <c r="AE17" s="661">
        <f t="shared" si="10"/>
        <v>0</v>
      </c>
      <c r="AF17" s="787">
        <v>0</v>
      </c>
      <c r="AG17" s="639">
        <v>0</v>
      </c>
      <c r="AH17" s="505">
        <f>'상세 자료 작성 241025현실화'!I93/10^8</f>
        <v>0</v>
      </c>
      <c r="AI17" s="788">
        <f t="shared" si="12"/>
        <v>0</v>
      </c>
      <c r="AJ17" s="787">
        <v>0</v>
      </c>
      <c r="AK17" s="639">
        <v>0</v>
      </c>
      <c r="AL17" s="505">
        <f>'상세 자료 작성 241025현실화'!I105/10^8</f>
        <v>0.3</v>
      </c>
      <c r="AM17" s="661">
        <f t="shared" si="14"/>
        <v>0.3</v>
      </c>
      <c r="AN17" s="787">
        <f t="shared" ref="AN17:AN21" si="48">AB17+AF17+AJ17</f>
        <v>0</v>
      </c>
      <c r="AO17" s="639">
        <f>AC17+AG17+AK17</f>
        <v>0</v>
      </c>
      <c r="AP17" s="505">
        <f>AB17+AG17+AL17</f>
        <v>0.3</v>
      </c>
      <c r="AQ17" s="788">
        <f t="shared" si="16"/>
        <v>0.3</v>
      </c>
      <c r="AR17" s="787">
        <v>0</v>
      </c>
      <c r="AS17" s="639">
        <v>0.3</v>
      </c>
      <c r="AT17" s="505">
        <f>'상세 자료 작성 241025현실화'!I117/10^8</f>
        <v>0</v>
      </c>
      <c r="AU17" s="661">
        <f t="shared" si="18"/>
        <v>-0.3</v>
      </c>
      <c r="AV17" s="787">
        <v>1.07</v>
      </c>
      <c r="AW17" s="639">
        <v>0.67</v>
      </c>
      <c r="AX17" s="505">
        <f>'상세 자료 작성 241025현실화'!I128/10^8</f>
        <v>0.67</v>
      </c>
      <c r="AY17" s="661">
        <f t="shared" si="20"/>
        <v>0</v>
      </c>
      <c r="AZ17" s="787">
        <v>0.67</v>
      </c>
      <c r="BA17" s="639">
        <v>0.67</v>
      </c>
      <c r="BB17" s="505">
        <f>'상세 자료 작성 241025현실화'!I139/10^8</f>
        <v>0.67</v>
      </c>
      <c r="BC17" s="661">
        <f t="shared" si="22"/>
        <v>0</v>
      </c>
      <c r="BD17" s="787">
        <f t="shared" ref="BD17:BE21" si="49">AR17+AV17+AZ17</f>
        <v>1.7400000000000002</v>
      </c>
      <c r="BE17" s="639">
        <f t="shared" si="49"/>
        <v>1.6400000000000001</v>
      </c>
      <c r="BF17" s="505">
        <f>AR17+AW17+BB17</f>
        <v>1.34</v>
      </c>
      <c r="BG17" s="788">
        <f t="shared" si="24"/>
        <v>-0.30000000000000004</v>
      </c>
      <c r="BH17" s="235"/>
      <c r="BI17" s="780"/>
      <c r="BJ17" s="780"/>
      <c r="BK17" s="615">
        <f>E17</f>
        <v>4.08</v>
      </c>
      <c r="BL17" s="591">
        <v>3.68</v>
      </c>
      <c r="BM17" s="591">
        <f>BF17+AP17+Z17+H17</f>
        <v>3.98</v>
      </c>
      <c r="BN17" s="643">
        <f t="shared" si="25"/>
        <v>0.29999999999999982</v>
      </c>
      <c r="BP17" s="863">
        <v>3.9799999999999995</v>
      </c>
      <c r="BQ17" s="15">
        <f>BP17-BM17</f>
        <v>0</v>
      </c>
    </row>
    <row r="18" spans="1:71" ht="30.6" customHeight="1">
      <c r="A18" s="607"/>
      <c r="B18" s="1578"/>
      <c r="C18" s="444" t="s">
        <v>30</v>
      </c>
      <c r="D18" s="531">
        <v>12.795</v>
      </c>
      <c r="E18" s="532">
        <v>48.1875</v>
      </c>
      <c r="F18" s="534">
        <f>'[1]1분기 실적'!R18</f>
        <v>0.38500000000000001</v>
      </c>
      <c r="G18" s="561">
        <f>'[1]1분기 실적'!S18</f>
        <v>29.237500000000001</v>
      </c>
      <c r="H18" s="725">
        <f>SUM('상세 자료 작성 241025현실화'!G13,'상세 자료 작성 241025현실화'!G24,'상세 자료 작성 241025현실화'!G35)/10^8</f>
        <v>5.2037500000000003</v>
      </c>
      <c r="I18" s="735">
        <f t="shared" si="0"/>
        <v>-24.033750000000001</v>
      </c>
      <c r="J18" s="561">
        <f>'[1]2023년 실적'!I53/10^8</f>
        <v>0.54874999999999996</v>
      </c>
      <c r="K18" s="809">
        <f>'상세 자료 작성 241025현실화'!H47/10^8</f>
        <v>3.79</v>
      </c>
      <c r="L18" s="640">
        <v>0</v>
      </c>
      <c r="M18" s="810">
        <f>'상세 자료 작성 241025현실화'!I47/10^8</f>
        <v>0</v>
      </c>
      <c r="N18" s="657">
        <f t="shared" si="2"/>
        <v>0</v>
      </c>
      <c r="O18" s="809">
        <f>'상세 자료 작성 241025현실화'!H58/10^8</f>
        <v>1.835</v>
      </c>
      <c r="P18" s="640">
        <v>18.213750000000001</v>
      </c>
      <c r="Q18" s="810">
        <f>'상세 자료 작성 241025현실화'!I58/10^8</f>
        <v>18.213750000000001</v>
      </c>
      <c r="R18" s="657">
        <f t="shared" si="4"/>
        <v>0</v>
      </c>
      <c r="S18" s="809">
        <f>'상세 자료 작성 241025현실화'!H69/10^8</f>
        <v>0.48</v>
      </c>
      <c r="T18" s="640">
        <v>3.5024999999999999</v>
      </c>
      <c r="U18" s="810">
        <f>'상세 자료 작성 241025현실화'!I69/10^8</f>
        <v>3.5024999999999999</v>
      </c>
      <c r="V18" s="737">
        <f t="shared" si="6"/>
        <v>0</v>
      </c>
      <c r="W18" s="811" t="e">
        <f>J18+#REF!+#REF!</f>
        <v>#REF!</v>
      </c>
      <c r="X18" s="809">
        <f t="shared" si="47"/>
        <v>6.1050000000000004</v>
      </c>
      <c r="Y18" s="640">
        <f t="shared" si="47"/>
        <v>21.716250000000002</v>
      </c>
      <c r="Z18" s="810">
        <f t="shared" si="47"/>
        <v>21.716250000000002</v>
      </c>
      <c r="AA18" s="737">
        <f t="shared" si="8"/>
        <v>0</v>
      </c>
      <c r="AB18" s="809">
        <v>3.0625</v>
      </c>
      <c r="AC18" s="640">
        <v>0</v>
      </c>
      <c r="AD18" s="810">
        <f>'상세 자료 작성 241025현실화'!I82/10^8</f>
        <v>0</v>
      </c>
      <c r="AE18" s="657">
        <f t="shared" si="10"/>
        <v>0</v>
      </c>
      <c r="AF18" s="809">
        <v>0</v>
      </c>
      <c r="AG18" s="640">
        <v>2.1187499999999999</v>
      </c>
      <c r="AH18" s="810">
        <f>'상세 자료 작성 241025현실화'!I94/10^8</f>
        <v>1.43875</v>
      </c>
      <c r="AI18" s="657">
        <f t="shared" si="12"/>
        <v>-0.67999999999999994</v>
      </c>
      <c r="AJ18" s="809">
        <v>0</v>
      </c>
      <c r="AK18" s="640">
        <v>0</v>
      </c>
      <c r="AL18" s="810">
        <f>'상세 자료 작성 241025현실화'!I106/10^8</f>
        <v>2.2999999999999998</v>
      </c>
      <c r="AM18" s="657">
        <f t="shared" si="14"/>
        <v>2.2999999999999998</v>
      </c>
      <c r="AN18" s="809">
        <f t="shared" si="48"/>
        <v>3.0625</v>
      </c>
      <c r="AO18" s="640">
        <f>AC18+AG18+AK18</f>
        <v>2.1187499999999999</v>
      </c>
      <c r="AP18" s="810">
        <f>AD18+AH18+AL18</f>
        <v>3.7387499999999996</v>
      </c>
      <c r="AQ18" s="657">
        <f t="shared" si="16"/>
        <v>1.6199999999999997</v>
      </c>
      <c r="AR18" s="809">
        <v>0</v>
      </c>
      <c r="AS18" s="640">
        <v>1.49</v>
      </c>
      <c r="AT18" s="810">
        <f>'상세 자료 작성 241025현실화'!I118/10^8</f>
        <v>0</v>
      </c>
      <c r="AU18" s="657">
        <f t="shared" si="18"/>
        <v>-1.49</v>
      </c>
      <c r="AV18" s="809">
        <v>7.2087500000000002</v>
      </c>
      <c r="AW18" s="640">
        <v>0.38500000000000001</v>
      </c>
      <c r="AX18" s="810">
        <f>'상세 자료 작성 241025현실화'!I129/10^8</f>
        <v>0.38500000000000001</v>
      </c>
      <c r="AY18" s="657">
        <f t="shared" si="20"/>
        <v>0</v>
      </c>
      <c r="AZ18" s="809">
        <v>2.57375</v>
      </c>
      <c r="BA18" s="640">
        <v>0.46875</v>
      </c>
      <c r="BB18" s="810">
        <f>'상세 자료 작성 241025현실화'!I140/10^8</f>
        <v>1.40625</v>
      </c>
      <c r="BC18" s="657">
        <f t="shared" si="22"/>
        <v>0.9375</v>
      </c>
      <c r="BD18" s="809">
        <f t="shared" si="49"/>
        <v>9.7825000000000006</v>
      </c>
      <c r="BE18" s="640">
        <f t="shared" si="49"/>
        <v>2.34375</v>
      </c>
      <c r="BF18" s="810">
        <f>AT18+AX18+BB18</f>
        <v>1.79125</v>
      </c>
      <c r="BG18" s="657">
        <f t="shared" si="24"/>
        <v>-0.55249999999999999</v>
      </c>
      <c r="BH18" s="235"/>
      <c r="BI18" s="780"/>
      <c r="BJ18" s="780"/>
      <c r="BK18" s="618">
        <f>E18</f>
        <v>48.1875</v>
      </c>
      <c r="BL18" s="598">
        <v>31.3825</v>
      </c>
      <c r="BM18" s="598">
        <f>BF18+AP18+Z18+H18</f>
        <v>32.450000000000003</v>
      </c>
      <c r="BN18" s="647">
        <f t="shared" si="25"/>
        <v>1.0675000000000026</v>
      </c>
      <c r="BP18" s="863">
        <v>32.450000000000003</v>
      </c>
      <c r="BQ18" s="15">
        <f>BP18-BM18</f>
        <v>0</v>
      </c>
    </row>
    <row r="19" spans="1:71" ht="30.6" customHeight="1">
      <c r="A19" s="607"/>
      <c r="B19" s="1578"/>
      <c r="C19" s="444" t="s">
        <v>29</v>
      </c>
      <c r="D19" s="531">
        <v>56.216117189999999</v>
      </c>
      <c r="E19" s="532">
        <v>24.138999999999999</v>
      </c>
      <c r="F19" s="538">
        <f>'[1]1분기 실적'!R19</f>
        <v>3.2970828700000001</v>
      </c>
      <c r="G19" s="852">
        <f>'[1]1분기 실적'!S19</f>
        <v>6.68</v>
      </c>
      <c r="H19" s="729">
        <f>SUM('상세 자료 작성 241025현실화'!G14,'상세 자료 작성 241025현실화'!G25,'상세 자료 작성 241025현실화'!G36)/10^8</f>
        <v>8.7447868700000004</v>
      </c>
      <c r="I19" s="657">
        <f t="shared" si="0"/>
        <v>2.0647868700000007</v>
      </c>
      <c r="J19" s="561">
        <f>'[1]2023년 실적'!I51/10^8</f>
        <v>7.1846942900000004</v>
      </c>
      <c r="K19" s="809">
        <f>'상세 자료 작성 241025현실화'!H48/10^8</f>
        <v>1.42</v>
      </c>
      <c r="L19" s="640">
        <v>2.1164942899999999</v>
      </c>
      <c r="M19" s="810">
        <f>'상세 자료 작성 241025현실화'!I48/10^8</f>
        <v>2.1164942899999999</v>
      </c>
      <c r="N19" s="657">
        <f t="shared" si="2"/>
        <v>0</v>
      </c>
      <c r="O19" s="809">
        <f>'상세 자료 작성 241025현실화'!H59/10^8</f>
        <v>0.79</v>
      </c>
      <c r="P19" s="640">
        <v>1.49869429</v>
      </c>
      <c r="Q19" s="810">
        <f>'상세 자료 작성 241025현실화'!I59/10^8</f>
        <v>1.52579274</v>
      </c>
      <c r="R19" s="657">
        <f t="shared" si="4"/>
        <v>2.7098449999999996E-2</v>
      </c>
      <c r="S19" s="809">
        <f>'상세 자료 작성 241025현실화'!H70/10^8</f>
        <v>0</v>
      </c>
      <c r="T19" s="640">
        <v>1.5462072600000001</v>
      </c>
      <c r="U19" s="810">
        <f>'상세 자료 작성 241025현실화'!I70/10^8</f>
        <v>1.5462072600000001</v>
      </c>
      <c r="V19" s="657">
        <f t="shared" si="6"/>
        <v>0</v>
      </c>
      <c r="W19" s="811" t="e">
        <f>J19+#REF!+#REF!</f>
        <v>#REF!</v>
      </c>
      <c r="X19" s="809">
        <f t="shared" si="47"/>
        <v>2.21</v>
      </c>
      <c r="Y19" s="640">
        <f t="shared" si="47"/>
        <v>5.16139584</v>
      </c>
      <c r="Z19" s="810">
        <f t="shared" si="47"/>
        <v>5.1884942899999995</v>
      </c>
      <c r="AA19" s="657">
        <f t="shared" si="8"/>
        <v>2.7098449999999552E-2</v>
      </c>
      <c r="AB19" s="809">
        <v>0</v>
      </c>
      <c r="AC19" s="640">
        <v>0.2366943</v>
      </c>
      <c r="AD19" s="810">
        <f>'상세 자료 작성 241025현실화'!I83/10^8</f>
        <v>0.39754430000000002</v>
      </c>
      <c r="AE19" s="657">
        <f t="shared" si="10"/>
        <v>0.16085000000000002</v>
      </c>
      <c r="AF19" s="809">
        <v>0</v>
      </c>
      <c r="AG19" s="640">
        <v>1.7126942999999999</v>
      </c>
      <c r="AH19" s="810">
        <f>'상세 자료 작성 241025현실화'!I95/10^8</f>
        <v>1.8626943</v>
      </c>
      <c r="AI19" s="737">
        <f t="shared" si="12"/>
        <v>0.15000000000000013</v>
      </c>
      <c r="AJ19" s="809">
        <v>0</v>
      </c>
      <c r="AK19" s="640">
        <v>4.0826943</v>
      </c>
      <c r="AL19" s="810">
        <f>'상세 자료 작성 241025현실화'!I107/10^8</f>
        <v>6.7064943000000001</v>
      </c>
      <c r="AM19" s="657">
        <f t="shared" si="14"/>
        <v>2.6238000000000001</v>
      </c>
      <c r="AN19" s="809">
        <f t="shared" si="48"/>
        <v>0</v>
      </c>
      <c r="AO19" s="640">
        <f>AC19+AG19+AK19</f>
        <v>6.0320828999999998</v>
      </c>
      <c r="AP19" s="810">
        <f>AD19+AH19+AL19</f>
        <v>8.9667329000000002</v>
      </c>
      <c r="AQ19" s="657">
        <f t="shared" si="16"/>
        <v>2.9346500000000004</v>
      </c>
      <c r="AR19" s="809">
        <v>3.63</v>
      </c>
      <c r="AS19" s="640">
        <v>6.5898943000000001</v>
      </c>
      <c r="AT19" s="810">
        <f>'상세 자료 작성 241025현실화'!I119/10^8</f>
        <v>6.5898943000000001</v>
      </c>
      <c r="AU19" s="657">
        <f t="shared" si="18"/>
        <v>0</v>
      </c>
      <c r="AV19" s="809">
        <v>7.2489999999999997</v>
      </c>
      <c r="AW19" s="640">
        <v>0.74269430000000003</v>
      </c>
      <c r="AX19" s="810">
        <f>'상세 자료 작성 241025현실화'!I130/10^8</f>
        <v>0.74269430000000003</v>
      </c>
      <c r="AY19" s="737">
        <f t="shared" si="20"/>
        <v>0</v>
      </c>
      <c r="AZ19" s="809">
        <v>4.37</v>
      </c>
      <c r="BA19" s="640">
        <v>0.3926943</v>
      </c>
      <c r="BB19" s="810">
        <f>'상세 자료 작성 241025현실화'!I141/10^8</f>
        <v>3.0526943000000002</v>
      </c>
      <c r="BC19" s="657">
        <f t="shared" si="22"/>
        <v>2.66</v>
      </c>
      <c r="BD19" s="809">
        <f t="shared" si="49"/>
        <v>15.248999999999999</v>
      </c>
      <c r="BE19" s="640">
        <f t="shared" si="49"/>
        <v>7.7252828999999998</v>
      </c>
      <c r="BF19" s="810">
        <f>AT19+AX19+BB19</f>
        <v>10.3852829</v>
      </c>
      <c r="BG19" s="657">
        <f t="shared" si="24"/>
        <v>2.66</v>
      </c>
      <c r="BH19" s="235"/>
      <c r="BI19" s="780"/>
      <c r="BJ19" s="780"/>
      <c r="BK19" s="618">
        <f>E19</f>
        <v>24.138999999999999</v>
      </c>
      <c r="BL19" s="598">
        <v>27.690646959999995</v>
      </c>
      <c r="BM19" s="598">
        <f>BF19+AP19+Z19+H19</f>
        <v>33.285296959999997</v>
      </c>
      <c r="BN19" s="647">
        <f t="shared" si="25"/>
        <v>5.5946500000000015</v>
      </c>
      <c r="BP19" s="863">
        <v>33.285296960000004</v>
      </c>
      <c r="BQ19" s="15">
        <f>BP19-BM19</f>
        <v>0</v>
      </c>
      <c r="BR19" s="897"/>
      <c r="BS19" s="223"/>
    </row>
    <row r="20" spans="1:71" ht="30.6" customHeight="1">
      <c r="A20" s="607"/>
      <c r="B20" s="1578"/>
      <c r="C20" s="445" t="s">
        <v>22</v>
      </c>
      <c r="D20" s="540">
        <v>35.672780080000003</v>
      </c>
      <c r="E20" s="541">
        <v>14.137499999999999</v>
      </c>
      <c r="F20" s="543">
        <f>'[1]1분기 실적'!R20</f>
        <v>18.712499999999999</v>
      </c>
      <c r="G20" s="812">
        <f>'[1]1분기 실적'!S20</f>
        <v>4.5562500000000004</v>
      </c>
      <c r="H20" s="726">
        <f>SUM('상세 자료 작성 241025현실화'!G15,'상세 자료 작성 241025현실화'!G26,'상세 자료 작성 241025현실화'!G37)/10^8</f>
        <v>2.1160000000000001</v>
      </c>
      <c r="I20" s="736">
        <f t="shared" si="0"/>
        <v>-2.4402500000000003</v>
      </c>
      <c r="J20" s="812">
        <f>'[1]2023년 실적'!I52/10^8</f>
        <v>5.95</v>
      </c>
      <c r="K20" s="574">
        <f>'상세 자료 작성 241025현실화'!H49/10^8</f>
        <v>0</v>
      </c>
      <c r="L20" s="562">
        <v>9.9459166700000008</v>
      </c>
      <c r="M20" s="813">
        <f>'상세 자료 작성 241025현실화'!I49/10^8</f>
        <v>10.00904167</v>
      </c>
      <c r="N20" s="542">
        <f t="shared" si="2"/>
        <v>6.3124999999999432E-2</v>
      </c>
      <c r="O20" s="574">
        <f>'상세 자료 작성 241025현실화'!H60/10^8</f>
        <v>0.9375</v>
      </c>
      <c r="P20" s="562">
        <v>0.25291667000000001</v>
      </c>
      <c r="Q20" s="813">
        <f>'상세 자료 작성 241025현실화'!I60/10^8</f>
        <v>0.31604167</v>
      </c>
      <c r="R20" s="542">
        <f t="shared" si="4"/>
        <v>6.3124999999999987E-2</v>
      </c>
      <c r="S20" s="574">
        <f>'상세 자료 작성 241025현실화'!H71/10^8</f>
        <v>3.9562499999999998</v>
      </c>
      <c r="T20" s="562">
        <v>4.4035416700000001</v>
      </c>
      <c r="U20" s="813">
        <f>'상세 자료 작성 241025현실화'!I71/10^8</f>
        <v>4.4035416700000001</v>
      </c>
      <c r="V20" s="738">
        <f t="shared" si="6"/>
        <v>0</v>
      </c>
      <c r="W20" s="814" t="e">
        <f>J20+#REF!+#REF!</f>
        <v>#REF!</v>
      </c>
      <c r="X20" s="574">
        <f t="shared" si="47"/>
        <v>4.8937499999999998</v>
      </c>
      <c r="Y20" s="562">
        <f t="shared" si="47"/>
        <v>14.602375009999999</v>
      </c>
      <c r="Z20" s="813">
        <f t="shared" si="47"/>
        <v>14.728625010000002</v>
      </c>
      <c r="AA20" s="738">
        <f t="shared" si="8"/>
        <v>0.12625000000000242</v>
      </c>
      <c r="AB20" s="574">
        <v>0</v>
      </c>
      <c r="AC20" s="562">
        <v>5.1445416699999997</v>
      </c>
      <c r="AD20" s="813">
        <f>'상세 자료 작성 241025현실화'!I84/10^8</f>
        <v>5.1445416699999997</v>
      </c>
      <c r="AE20" s="738">
        <f t="shared" si="10"/>
        <v>0</v>
      </c>
      <c r="AF20" s="574">
        <v>0</v>
      </c>
      <c r="AG20" s="562">
        <v>3.33479167</v>
      </c>
      <c r="AH20" s="813">
        <f>'상세 자료 작성 241025현실화'!I96/10^8</f>
        <v>3.33479167</v>
      </c>
      <c r="AI20" s="542">
        <f t="shared" si="12"/>
        <v>0</v>
      </c>
      <c r="AJ20" s="574">
        <v>0</v>
      </c>
      <c r="AK20" s="562">
        <v>1.2535416699999999</v>
      </c>
      <c r="AL20" s="813">
        <f>'상세 자료 작성 241025현실화'!I108/10^8</f>
        <v>2.94129167</v>
      </c>
      <c r="AM20" s="542">
        <f t="shared" si="14"/>
        <v>1.6877500000000001</v>
      </c>
      <c r="AN20" s="809">
        <f t="shared" si="48"/>
        <v>0</v>
      </c>
      <c r="AO20" s="640">
        <f>AC20+AG20+AK20</f>
        <v>9.7328750100000008</v>
      </c>
      <c r="AP20" s="810">
        <f>AD20+AH20+AL20</f>
        <v>11.42062501</v>
      </c>
      <c r="AQ20" s="542">
        <f t="shared" si="16"/>
        <v>1.6877499999999994</v>
      </c>
      <c r="AR20" s="574">
        <v>0</v>
      </c>
      <c r="AS20" s="562">
        <v>0.78479167000000005</v>
      </c>
      <c r="AT20" s="813">
        <f>'상세 자료 작성 241025현실화'!I120/10^8</f>
        <v>0</v>
      </c>
      <c r="AU20" s="542">
        <f t="shared" si="18"/>
        <v>-0.78479167000000005</v>
      </c>
      <c r="AV20" s="574">
        <v>2.34375</v>
      </c>
      <c r="AW20" s="562">
        <v>1.2535416699999999</v>
      </c>
      <c r="AX20" s="813">
        <f>'상세 자료 작성 241025현실화'!I131/10^8</f>
        <v>1.2535416699999999</v>
      </c>
      <c r="AY20" s="542">
        <f t="shared" si="20"/>
        <v>0</v>
      </c>
      <c r="AZ20" s="574">
        <v>2.34375</v>
      </c>
      <c r="BA20" s="562">
        <v>2.1910416700000002</v>
      </c>
      <c r="BB20" s="813">
        <f>'상세 자료 작성 241025현실화'!I142/10^8</f>
        <v>2.1910416700000002</v>
      </c>
      <c r="BC20" s="542">
        <f t="shared" si="22"/>
        <v>0</v>
      </c>
      <c r="BD20" s="809">
        <f t="shared" si="49"/>
        <v>4.6875</v>
      </c>
      <c r="BE20" s="640">
        <f t="shared" si="49"/>
        <v>4.22937501</v>
      </c>
      <c r="BF20" s="810">
        <f>AT20+AX20+BB20</f>
        <v>3.4445833400000003</v>
      </c>
      <c r="BG20" s="542">
        <f t="shared" si="24"/>
        <v>-0.78479166999999972</v>
      </c>
      <c r="BH20" s="235"/>
      <c r="BI20" s="780"/>
      <c r="BJ20" s="780"/>
      <c r="BK20" s="619">
        <f>E20</f>
        <v>14.137499999999999</v>
      </c>
      <c r="BL20" s="600">
        <v>30.80687503</v>
      </c>
      <c r="BM20" s="600">
        <f>BF20+AP20+Z20+H20</f>
        <v>31.709833360000001</v>
      </c>
      <c r="BN20" s="648">
        <f t="shared" si="25"/>
        <v>0.90295833000000059</v>
      </c>
      <c r="BP20" s="863">
        <v>31.709833360000005</v>
      </c>
      <c r="BQ20" s="15">
        <f>BP20-BM20</f>
        <v>0</v>
      </c>
    </row>
    <row r="21" spans="1:71" ht="30.6" customHeight="1" thickBot="1">
      <c r="A21" s="607"/>
      <c r="B21" s="1579"/>
      <c r="C21" s="848" t="s">
        <v>32</v>
      </c>
      <c r="D21" s="610">
        <v>4.87278842</v>
      </c>
      <c r="E21" s="611">
        <v>0</v>
      </c>
      <c r="F21" s="815">
        <f>'[1]1분기 실적'!R21</f>
        <v>1.4301612099999998</v>
      </c>
      <c r="G21" s="853">
        <f>'[1]1분기 실적'!S21</f>
        <v>0</v>
      </c>
      <c r="H21" s="865">
        <f>SUM('상세 자료 작성 241025현실화'!G16,'상세 자료 작성 241025현실화'!G27,'상세 자료 작성 241025현실화'!G38)/10^8</f>
        <v>1.128306</v>
      </c>
      <c r="I21" s="816">
        <f t="shared" si="0"/>
        <v>1.128306</v>
      </c>
      <c r="J21" s="739">
        <f>SUM('[1]2023년 실적'!I54:I56)/10^8</f>
        <v>0.61426064999999996</v>
      </c>
      <c r="K21" s="575">
        <f>'상세 자료 작성 241025현실화'!H50/10^8</f>
        <v>0</v>
      </c>
      <c r="L21" s="576">
        <v>0.48704999999999998</v>
      </c>
      <c r="M21" s="817">
        <f>'상세 자료 작성 241025현실화'!I50/10^8</f>
        <v>0.48704999999999998</v>
      </c>
      <c r="N21" s="577">
        <f t="shared" si="2"/>
        <v>0</v>
      </c>
      <c r="O21" s="575">
        <f>'상세 자료 작성 241025현실화'!H61/10^8</f>
        <v>0</v>
      </c>
      <c r="P21" s="576">
        <v>0.51613869000000001</v>
      </c>
      <c r="Q21" s="817">
        <f>'상세 자료 작성 241025현실화'!I61/10^8</f>
        <v>0.51613869000000001</v>
      </c>
      <c r="R21" s="577">
        <f t="shared" si="4"/>
        <v>0</v>
      </c>
      <c r="S21" s="575">
        <f>'상세 자료 작성 241025현실화'!H72/10^8</f>
        <v>0</v>
      </c>
      <c r="T21" s="576">
        <v>0</v>
      </c>
      <c r="U21" s="817">
        <f>'상세 자료 작성 241025현실화'!I72/10^8</f>
        <v>0.15204000000000001</v>
      </c>
      <c r="V21" s="577">
        <f t="shared" si="6"/>
        <v>0.15204000000000001</v>
      </c>
      <c r="W21" s="818" t="e">
        <f>J21+#REF!+#REF!</f>
        <v>#REF!</v>
      </c>
      <c r="X21" s="575">
        <f t="shared" si="47"/>
        <v>0</v>
      </c>
      <c r="Y21" s="576">
        <f t="shared" si="47"/>
        <v>1.00318869</v>
      </c>
      <c r="Z21" s="817">
        <f t="shared" si="47"/>
        <v>1.1552286899999999</v>
      </c>
      <c r="AA21" s="577">
        <f t="shared" si="8"/>
        <v>0.15203999999999995</v>
      </c>
      <c r="AB21" s="575">
        <v>0</v>
      </c>
      <c r="AC21" s="576">
        <v>0.61026999999999998</v>
      </c>
      <c r="AD21" s="817">
        <f>'상세 자료 작성 241025현실화'!I85/10^8</f>
        <v>0.61026999999999998</v>
      </c>
      <c r="AE21" s="577">
        <f t="shared" si="10"/>
        <v>0</v>
      </c>
      <c r="AF21" s="575">
        <v>0</v>
      </c>
      <c r="AG21" s="576">
        <v>0</v>
      </c>
      <c r="AH21" s="817">
        <f>'상세 자료 작성 241025현실화'!I97/10^8</f>
        <v>0.316832</v>
      </c>
      <c r="AI21" s="577">
        <f t="shared" si="12"/>
        <v>0.316832</v>
      </c>
      <c r="AJ21" s="575">
        <v>0</v>
      </c>
      <c r="AK21" s="576">
        <v>0</v>
      </c>
      <c r="AL21" s="817">
        <f>'상세 자료 작성 241025현실화'!I109/10^8</f>
        <v>0.58252999999999999</v>
      </c>
      <c r="AM21" s="577">
        <f t="shared" si="14"/>
        <v>0.58252999999999999</v>
      </c>
      <c r="AN21" s="575">
        <f t="shared" si="48"/>
        <v>0</v>
      </c>
      <c r="AO21" s="576">
        <f>AC21+AG21+AK21</f>
        <v>0.61026999999999998</v>
      </c>
      <c r="AP21" s="817">
        <f>AD21+AH21+AL21</f>
        <v>1.5096319999999999</v>
      </c>
      <c r="AQ21" s="577">
        <f t="shared" si="16"/>
        <v>0.89936199999999988</v>
      </c>
      <c r="AR21" s="575">
        <v>0</v>
      </c>
      <c r="AS21" s="576">
        <v>0</v>
      </c>
      <c r="AT21" s="817">
        <f>'상세 자료 작성 241025현실화'!I121/10^8</f>
        <v>0</v>
      </c>
      <c r="AU21" s="577">
        <f t="shared" si="18"/>
        <v>0</v>
      </c>
      <c r="AV21" s="575">
        <v>0</v>
      </c>
      <c r="AW21" s="576">
        <v>0</v>
      </c>
      <c r="AX21" s="817">
        <f>'상세 자료 작성 241025현실화'!I132/10^8</f>
        <v>0</v>
      </c>
      <c r="AY21" s="577">
        <f t="shared" si="20"/>
        <v>0</v>
      </c>
      <c r="AZ21" s="575">
        <v>0</v>
      </c>
      <c r="BA21" s="576">
        <v>0</v>
      </c>
      <c r="BB21" s="817">
        <f>'상세 자료 작성 241025현실화'!I143/10^8</f>
        <v>0</v>
      </c>
      <c r="BC21" s="577">
        <f t="shared" si="22"/>
        <v>0</v>
      </c>
      <c r="BD21" s="575">
        <f t="shared" si="49"/>
        <v>0</v>
      </c>
      <c r="BE21" s="576">
        <f t="shared" si="49"/>
        <v>0</v>
      </c>
      <c r="BF21" s="817">
        <f>AT21+AX21+BB21</f>
        <v>0</v>
      </c>
      <c r="BG21" s="577">
        <f t="shared" si="24"/>
        <v>0</v>
      </c>
      <c r="BH21" s="235"/>
      <c r="BI21" s="780"/>
      <c r="BJ21" s="780"/>
      <c r="BK21" s="620">
        <f>E21</f>
        <v>0</v>
      </c>
      <c r="BL21" s="602">
        <v>2.8938046899999996</v>
      </c>
      <c r="BM21" s="602">
        <f>BF21+AP21+Z21+H21</f>
        <v>3.7931666899999996</v>
      </c>
      <c r="BN21" s="649">
        <f t="shared" si="25"/>
        <v>0.89936199999999999</v>
      </c>
      <c r="BP21" s="863">
        <v>1.6330800000000001</v>
      </c>
      <c r="BQ21" s="15">
        <f>BP21-BM21</f>
        <v>-2.1600866899999995</v>
      </c>
    </row>
    <row r="22" spans="1:71" ht="30.6" hidden="1" customHeight="1" thickBot="1">
      <c r="A22" s="607"/>
      <c r="B22" s="1713" t="s">
        <v>33</v>
      </c>
      <c r="C22" s="1714"/>
      <c r="D22" s="744">
        <f t="shared" ref="D22:AA22" si="50">SUM(D23:D25)</f>
        <v>0</v>
      </c>
      <c r="E22" s="745">
        <f t="shared" si="50"/>
        <v>3392.2517261648945</v>
      </c>
      <c r="F22" s="819">
        <f t="shared" si="50"/>
        <v>0</v>
      </c>
      <c r="G22" s="771">
        <f t="shared" si="50"/>
        <v>672.24236946487065</v>
      </c>
      <c r="H22" s="771">
        <f t="shared" si="50"/>
        <v>672.24236946487065</v>
      </c>
      <c r="I22" s="820">
        <f t="shared" si="50"/>
        <v>0</v>
      </c>
      <c r="J22" s="748">
        <f t="shared" si="50"/>
        <v>0</v>
      </c>
      <c r="K22" s="749">
        <f t="shared" si="50"/>
        <v>236.81199082718717</v>
      </c>
      <c r="L22" s="749"/>
      <c r="M22" s="749">
        <f t="shared" si="50"/>
        <v>236.81199082718717</v>
      </c>
      <c r="N22" s="750">
        <f t="shared" si="50"/>
        <v>0</v>
      </c>
      <c r="O22" s="749">
        <f t="shared" si="50"/>
        <v>280.61593471850972</v>
      </c>
      <c r="P22" s="771"/>
      <c r="Q22" s="771">
        <f t="shared" si="50"/>
        <v>280.61593471850972</v>
      </c>
      <c r="R22" s="750">
        <f t="shared" si="50"/>
        <v>0</v>
      </c>
      <c r="S22" s="749">
        <f t="shared" si="50"/>
        <v>364.64056625545982</v>
      </c>
      <c r="T22" s="771"/>
      <c r="U22" s="771">
        <f t="shared" si="50"/>
        <v>364.64056625545982</v>
      </c>
      <c r="V22" s="750">
        <f t="shared" si="50"/>
        <v>0</v>
      </c>
      <c r="W22" s="748">
        <f t="shared" si="50"/>
        <v>0</v>
      </c>
      <c r="X22" s="749">
        <f t="shared" si="50"/>
        <v>882.0684918011566</v>
      </c>
      <c r="Y22" s="749"/>
      <c r="Z22" s="749">
        <f t="shared" si="50"/>
        <v>882.0684918011566</v>
      </c>
      <c r="AA22" s="750">
        <f t="shared" si="50"/>
        <v>0</v>
      </c>
      <c r="AB22" s="749">
        <f t="shared" ref="AB22" si="51">SUM(AB23:AB25)</f>
        <v>280.61593471850972</v>
      </c>
      <c r="AC22" s="771"/>
      <c r="AD22" s="771">
        <f t="shared" ref="AD22:AE22" si="52">SUM(AD23:AD25)</f>
        <v>280.61593471850972</v>
      </c>
      <c r="AE22" s="750">
        <f t="shared" si="52"/>
        <v>0</v>
      </c>
      <c r="AR22" s="749"/>
      <c r="AS22" s="771"/>
      <c r="AT22" s="771"/>
      <c r="AU22" s="750">
        <f t="shared" ref="AU22" si="53">SUM(AU23:AU25)</f>
        <v>0</v>
      </c>
      <c r="BI22" s="821"/>
      <c r="BJ22" s="821"/>
      <c r="BK22" s="748">
        <f>SUM(BK23:BK25)</f>
        <v>0</v>
      </c>
      <c r="BL22" s="749">
        <f>SUM(BL23:BL25)</f>
        <v>3392.2517261648945</v>
      </c>
      <c r="BM22" s="749">
        <f>SUM(BM23:BM25)</f>
        <v>3392.2517261648945</v>
      </c>
      <c r="BN22" s="750">
        <f>SUM(BN23:BN25)</f>
        <v>0</v>
      </c>
      <c r="BP22" s="481"/>
    </row>
    <row r="23" spans="1:71" ht="30.6" hidden="1" customHeight="1">
      <c r="A23" s="607"/>
      <c r="B23" s="1715"/>
      <c r="C23" s="425" t="s">
        <v>34</v>
      </c>
      <c r="D23" s="746">
        <v>0</v>
      </c>
      <c r="E23" s="747">
        <v>1869.8804545454552</v>
      </c>
      <c r="F23" s="659">
        <v>0</v>
      </c>
      <c r="G23" s="557">
        <v>404.56184402770964</v>
      </c>
      <c r="H23" s="557">
        <v>404.56184402770964</v>
      </c>
      <c r="I23" s="661">
        <f>H23-G23</f>
        <v>0</v>
      </c>
      <c r="J23" s="659">
        <v>0</v>
      </c>
      <c r="K23" s="557">
        <v>157.15481434621429</v>
      </c>
      <c r="L23" s="557"/>
      <c r="M23" s="557">
        <v>157.15481434621429</v>
      </c>
      <c r="N23" s="661">
        <f>M23-K23</f>
        <v>0</v>
      </c>
      <c r="O23" s="557">
        <v>170.53756206571185</v>
      </c>
      <c r="P23" s="557"/>
      <c r="Q23" s="557">
        <v>170.53756206571185</v>
      </c>
      <c r="R23" s="661">
        <f>Q23-O23</f>
        <v>0</v>
      </c>
      <c r="S23" s="557">
        <v>194.32656691555093</v>
      </c>
      <c r="T23" s="557"/>
      <c r="U23" s="557">
        <v>194.32656691555093</v>
      </c>
      <c r="V23" s="661">
        <f>U23-S23</f>
        <v>0</v>
      </c>
      <c r="W23" s="659">
        <v>0</v>
      </c>
      <c r="X23" s="557">
        <f>K23+O23+S23</f>
        <v>522.01894332747702</v>
      </c>
      <c r="Y23" s="557"/>
      <c r="Z23" s="557">
        <f>M23+Q23+U23</f>
        <v>522.01894332747702</v>
      </c>
      <c r="AA23" s="661">
        <f>Z23-X23</f>
        <v>0</v>
      </c>
      <c r="AB23" s="557">
        <v>170.53756206571185</v>
      </c>
      <c r="AC23" s="557"/>
      <c r="AD23" s="557">
        <v>170.53756206571185</v>
      </c>
      <c r="AE23" s="661">
        <f>AD23-AB23</f>
        <v>0</v>
      </c>
      <c r="AR23" s="557"/>
      <c r="AS23" s="557"/>
      <c r="AT23" s="557"/>
      <c r="AU23" s="661">
        <f>AT23-AR23</f>
        <v>0</v>
      </c>
      <c r="BI23" s="821"/>
      <c r="BJ23" s="821"/>
      <c r="BK23" s="760">
        <v>0</v>
      </c>
      <c r="BL23" s="761">
        <f>E23</f>
        <v>1869.8804545454552</v>
      </c>
      <c r="BM23" s="761">
        <f>BL23</f>
        <v>1869.8804545454552</v>
      </c>
      <c r="BN23" s="762">
        <f>BM23-BL23</f>
        <v>0</v>
      </c>
      <c r="BP23" s="481"/>
    </row>
    <row r="24" spans="1:71" ht="30.6" hidden="1" customHeight="1">
      <c r="A24" s="607"/>
      <c r="B24" s="1715"/>
      <c r="C24" s="426" t="s">
        <v>35</v>
      </c>
      <c r="D24" s="751">
        <v>0</v>
      </c>
      <c r="E24" s="752">
        <v>1000</v>
      </c>
      <c r="F24" s="660">
        <v>0</v>
      </c>
      <c r="G24" s="561">
        <v>214.70497488195741</v>
      </c>
      <c r="H24" s="725">
        <v>214.70497488195741</v>
      </c>
      <c r="I24" s="657">
        <f t="shared" ref="I24:I25" si="54">H24-G24</f>
        <v>0</v>
      </c>
      <c r="J24" s="660">
        <v>0</v>
      </c>
      <c r="K24" s="561">
        <v>57.938841686318121</v>
      </c>
      <c r="L24" s="561"/>
      <c r="M24" s="725">
        <v>57.938841686318121</v>
      </c>
      <c r="N24" s="657">
        <f>M24-K24</f>
        <v>0</v>
      </c>
      <c r="O24" s="561">
        <v>86.90826252947717</v>
      </c>
      <c r="P24" s="561"/>
      <c r="Q24" s="725">
        <v>86.90826252947717</v>
      </c>
      <c r="R24" s="657">
        <f>Q24-O24</f>
        <v>0</v>
      </c>
      <c r="S24" s="561">
        <v>144.97405608963564</v>
      </c>
      <c r="T24" s="561"/>
      <c r="U24" s="725">
        <v>144.97405608963564</v>
      </c>
      <c r="V24" s="657">
        <f t="shared" ref="V24:V25" si="55">U24-S24</f>
        <v>0</v>
      </c>
      <c r="W24" s="660">
        <v>0</v>
      </c>
      <c r="X24" s="557">
        <f>K24+O24+S24</f>
        <v>289.82116030543091</v>
      </c>
      <c r="Y24" s="557"/>
      <c r="Z24" s="557">
        <f>M24+Q24+U24</f>
        <v>289.82116030543091</v>
      </c>
      <c r="AA24" s="657">
        <f t="shared" ref="AA24:AA25" si="56">Z24-X24</f>
        <v>0</v>
      </c>
      <c r="AB24" s="561">
        <v>86.90826252947717</v>
      </c>
      <c r="AC24" s="561"/>
      <c r="AD24" s="725">
        <v>86.90826252947717</v>
      </c>
      <c r="AE24" s="657">
        <f t="shared" ref="AE24:AE25" si="57">AD24-AB24</f>
        <v>0</v>
      </c>
      <c r="AR24" s="561"/>
      <c r="AS24" s="561"/>
      <c r="AT24" s="725"/>
      <c r="AU24" s="657">
        <f t="shared" ref="AU24:AU25" si="58">AT24-AR24</f>
        <v>0</v>
      </c>
      <c r="BI24" s="821"/>
      <c r="BJ24" s="821"/>
      <c r="BK24" s="763">
        <v>0</v>
      </c>
      <c r="BL24" s="761">
        <f>E24</f>
        <v>1000</v>
      </c>
      <c r="BM24" s="761">
        <f>BL24</f>
        <v>1000</v>
      </c>
      <c r="BN24" s="764">
        <f>BM24-BL24</f>
        <v>0</v>
      </c>
      <c r="BP24" s="481"/>
    </row>
    <row r="25" spans="1:71" ht="30.6" hidden="1" customHeight="1">
      <c r="A25" s="608"/>
      <c r="B25" s="1716"/>
      <c r="C25" s="753" t="s">
        <v>36</v>
      </c>
      <c r="D25" s="754">
        <v>0</v>
      </c>
      <c r="E25" s="755">
        <v>522.37127161943931</v>
      </c>
      <c r="F25" s="756">
        <v>0</v>
      </c>
      <c r="G25" s="757">
        <v>52.975550555203561</v>
      </c>
      <c r="H25" s="758">
        <v>52.975550555203561</v>
      </c>
      <c r="I25" s="759">
        <f t="shared" si="54"/>
        <v>0</v>
      </c>
      <c r="J25" s="756">
        <v>0</v>
      </c>
      <c r="K25" s="757">
        <v>21.718334794654751</v>
      </c>
      <c r="L25" s="757"/>
      <c r="M25" s="758">
        <v>21.718334794654751</v>
      </c>
      <c r="N25" s="759">
        <f>M25-K25</f>
        <v>0</v>
      </c>
      <c r="O25" s="757">
        <v>23.170110123320697</v>
      </c>
      <c r="P25" s="757"/>
      <c r="Q25" s="758">
        <v>23.170110123320697</v>
      </c>
      <c r="R25" s="759">
        <f>Q25-O25</f>
        <v>0</v>
      </c>
      <c r="S25" s="757">
        <v>25.339943250273222</v>
      </c>
      <c r="T25" s="757"/>
      <c r="U25" s="758">
        <v>25.339943250273222</v>
      </c>
      <c r="V25" s="759">
        <f t="shared" si="55"/>
        <v>0</v>
      </c>
      <c r="W25" s="756">
        <v>0</v>
      </c>
      <c r="X25" s="757">
        <f>K25+O25+S25</f>
        <v>70.228388168248671</v>
      </c>
      <c r="Y25" s="757"/>
      <c r="Z25" s="758">
        <f>M25+Q25+U25</f>
        <v>70.228388168248671</v>
      </c>
      <c r="AA25" s="759">
        <f t="shared" si="56"/>
        <v>0</v>
      </c>
      <c r="AB25" s="757">
        <v>23.170110123320697</v>
      </c>
      <c r="AC25" s="757"/>
      <c r="AD25" s="758">
        <v>23.170110123320697</v>
      </c>
      <c r="AE25" s="759">
        <f t="shared" si="57"/>
        <v>0</v>
      </c>
      <c r="AR25" s="757"/>
      <c r="AS25" s="757"/>
      <c r="AT25" s="758"/>
      <c r="AU25" s="759">
        <f t="shared" si="58"/>
        <v>0</v>
      </c>
      <c r="BI25" s="821"/>
      <c r="BJ25" s="821"/>
      <c r="BK25" s="765">
        <v>0</v>
      </c>
      <c r="BL25" s="766">
        <f>E25</f>
        <v>522.37127161943931</v>
      </c>
      <c r="BM25" s="766">
        <f>BL25</f>
        <v>522.37127161943931</v>
      </c>
      <c r="BN25" s="767">
        <f>BM25-BL25</f>
        <v>0</v>
      </c>
      <c r="BP25" s="481"/>
    </row>
    <row r="26" spans="1:71" s="768" customFormat="1" ht="30.6" customHeight="1">
      <c r="B26" s="849" t="s">
        <v>37</v>
      </c>
      <c r="G26" s="769"/>
      <c r="H26" s="769"/>
      <c r="I26" s="769"/>
      <c r="K26" s="769"/>
      <c r="L26" s="769"/>
      <c r="M26" s="769"/>
      <c r="N26" s="769"/>
      <c r="O26" s="769"/>
      <c r="P26" s="769"/>
      <c r="Q26" s="769"/>
      <c r="R26" s="769"/>
      <c r="S26" s="769"/>
      <c r="T26" s="769"/>
      <c r="U26" s="769"/>
      <c r="V26" s="769"/>
      <c r="W26" s="770"/>
      <c r="X26" s="769"/>
      <c r="Y26" s="769"/>
      <c r="Z26" s="769"/>
      <c r="AA26" s="769"/>
      <c r="AB26" s="769"/>
      <c r="AC26" s="769"/>
      <c r="AD26" s="769"/>
      <c r="AE26" s="769"/>
      <c r="AR26" s="769"/>
      <c r="AS26" s="769"/>
      <c r="AT26" s="769"/>
      <c r="AU26" s="769"/>
      <c r="BI26" s="822"/>
      <c r="BJ26" s="822"/>
      <c r="BL26" s="769"/>
      <c r="BM26" s="769"/>
      <c r="BN26" s="769"/>
      <c r="BP26" s="868"/>
    </row>
    <row r="27" spans="1:71" s="827" customFormat="1" ht="51.6" customHeight="1">
      <c r="B27" s="828" t="s">
        <v>546</v>
      </c>
      <c r="G27" s="829"/>
      <c r="H27" s="829"/>
      <c r="I27" s="829"/>
      <c r="K27" s="829"/>
      <c r="L27" s="829"/>
      <c r="M27" s="829"/>
      <c r="N27" s="829"/>
      <c r="O27" s="829"/>
      <c r="P27" s="829"/>
      <c r="Q27" s="829"/>
      <c r="R27" s="829"/>
      <c r="S27" s="829"/>
      <c r="T27" s="829"/>
      <c r="U27" s="829"/>
      <c r="V27" s="829"/>
      <c r="W27" s="830"/>
      <c r="X27" s="829"/>
      <c r="Y27" s="829"/>
      <c r="Z27" s="829"/>
      <c r="AA27" s="829"/>
      <c r="AB27" s="829"/>
      <c r="AD27" s="829"/>
      <c r="AF27" s="831"/>
      <c r="AR27" s="829"/>
      <c r="AS27" s="829"/>
      <c r="AT27" s="829"/>
      <c r="AU27" s="829"/>
      <c r="BL27" s="829"/>
      <c r="BM27" s="829"/>
      <c r="BN27" s="829"/>
    </row>
    <row r="28" spans="1:71" s="827" customFormat="1" ht="44.1" customHeight="1">
      <c r="C28" s="832"/>
      <c r="G28" s="829"/>
      <c r="H28" s="829"/>
      <c r="I28" s="829"/>
      <c r="K28" s="829"/>
      <c r="L28" s="829"/>
      <c r="M28" s="829"/>
      <c r="N28" s="829"/>
      <c r="O28" s="829"/>
      <c r="P28" s="829"/>
      <c r="Q28" s="829"/>
      <c r="R28" s="829"/>
      <c r="S28" s="829"/>
      <c r="T28" s="829"/>
      <c r="U28" s="829"/>
      <c r="V28" s="829"/>
      <c r="W28" s="830"/>
      <c r="X28" s="829"/>
      <c r="Y28" s="829"/>
      <c r="Z28" s="829"/>
      <c r="AA28" s="829"/>
      <c r="AB28" s="829"/>
      <c r="AC28" s="829"/>
      <c r="AD28" s="829"/>
      <c r="AE28" s="829"/>
      <c r="AF28" s="833"/>
      <c r="AR28" s="829"/>
      <c r="AS28" s="829"/>
      <c r="AT28" s="829"/>
      <c r="AU28" s="829"/>
      <c r="BA28" s="1684"/>
      <c r="BB28" s="1684"/>
      <c r="BC28" s="1684"/>
      <c r="BD28" s="1684"/>
      <c r="BE28" s="1684"/>
      <c r="BF28" s="1684"/>
      <c r="BG28" s="1684"/>
      <c r="BH28" s="1684"/>
      <c r="BI28" s="1684"/>
      <c r="BJ28" s="1684"/>
      <c r="BK28" s="1684"/>
      <c r="BL28" s="1684"/>
      <c r="BM28" s="829"/>
      <c r="BN28" s="829"/>
    </row>
    <row r="29" spans="1:71" s="834" customFormat="1" ht="44.1" customHeight="1">
      <c r="B29" s="828" t="s">
        <v>547</v>
      </c>
      <c r="L29" s="835"/>
      <c r="M29" s="835"/>
      <c r="N29" s="835"/>
      <c r="O29" s="836"/>
      <c r="P29" s="829"/>
      <c r="R29" s="836"/>
      <c r="S29" s="836"/>
      <c r="T29" s="836"/>
      <c r="U29" s="836"/>
      <c r="V29" s="836"/>
      <c r="W29" s="837"/>
      <c r="X29" s="836"/>
      <c r="Y29" s="836"/>
      <c r="Z29" s="836"/>
      <c r="AA29" s="836"/>
      <c r="AB29" s="836"/>
      <c r="AC29" s="836"/>
      <c r="AD29" s="836"/>
      <c r="AE29" s="836"/>
      <c r="AR29" s="836"/>
      <c r="AS29" s="836"/>
      <c r="AT29" s="836"/>
      <c r="AU29" s="836"/>
      <c r="BL29" s="836"/>
      <c r="BM29" s="836"/>
      <c r="BN29" s="836"/>
      <c r="BQ29" s="838"/>
    </row>
    <row r="30" spans="1:71" s="834" customFormat="1" ht="27" customHeight="1">
      <c r="L30" s="854"/>
      <c r="M30" s="835"/>
      <c r="N30" s="835"/>
      <c r="O30" s="836"/>
      <c r="P30" s="836"/>
      <c r="R30" s="836"/>
      <c r="S30" s="836"/>
      <c r="T30" s="836"/>
      <c r="U30" s="836"/>
      <c r="V30" s="854" t="s">
        <v>548</v>
      </c>
      <c r="W30" s="837"/>
      <c r="X30" s="836"/>
      <c r="Y30" s="869" t="s">
        <v>549</v>
      </c>
      <c r="Z30" s="836"/>
      <c r="AA30" s="836"/>
      <c r="AB30" s="836"/>
      <c r="AC30" s="836"/>
      <c r="AD30" s="836"/>
      <c r="AE30" s="836"/>
      <c r="AG30" s="854" t="s">
        <v>550</v>
      </c>
      <c r="AR30" s="836"/>
      <c r="AS30" s="836"/>
      <c r="AT30" s="836"/>
      <c r="AU30" s="836"/>
      <c r="BL30" s="836"/>
      <c r="BM30" s="836"/>
      <c r="BN30" s="836"/>
      <c r="BQ30" s="838"/>
    </row>
    <row r="31" spans="1:71" s="834" customFormat="1" ht="35.85" customHeight="1">
      <c r="C31" s="1708" t="s">
        <v>7</v>
      </c>
      <c r="D31" s="1709"/>
      <c r="E31" s="1709" t="s">
        <v>551</v>
      </c>
      <c r="F31" s="1709"/>
      <c r="G31" s="1709" t="s">
        <v>552</v>
      </c>
      <c r="H31" s="1709"/>
      <c r="I31" s="855"/>
      <c r="J31" s="855"/>
      <c r="K31" s="1709" t="s">
        <v>553</v>
      </c>
      <c r="L31" s="1709"/>
      <c r="M31" s="1709"/>
      <c r="N31" s="1709"/>
      <c r="O31" s="1709"/>
      <c r="P31" s="1709"/>
      <c r="Q31" s="1709"/>
      <c r="R31" s="1709"/>
      <c r="S31" s="1709"/>
      <c r="T31" s="1709"/>
      <c r="U31" s="1709"/>
      <c r="V31" s="1710"/>
      <c r="W31" s="837"/>
      <c r="X31" s="836"/>
      <c r="Y31" s="836"/>
      <c r="Z31" s="836"/>
      <c r="AA31" s="836"/>
      <c r="AB31" s="836"/>
      <c r="AC31" s="836"/>
      <c r="AD31" s="836"/>
      <c r="AE31" s="836"/>
      <c r="AR31" s="836"/>
      <c r="AS31" s="836"/>
      <c r="AT31" s="836"/>
      <c r="AU31" s="836"/>
      <c r="BL31" s="836"/>
      <c r="BM31" s="836"/>
      <c r="BN31" s="836"/>
      <c r="BQ31" s="838"/>
    </row>
    <row r="32" spans="1:71" s="834" customFormat="1" ht="35.85" customHeight="1">
      <c r="C32" s="1700" t="s">
        <v>128</v>
      </c>
      <c r="D32" s="1701"/>
      <c r="E32" s="1702">
        <v>1101</v>
      </c>
      <c r="F32" s="1702"/>
      <c r="G32" s="1703"/>
      <c r="H32" s="1703"/>
      <c r="I32" s="857"/>
      <c r="J32" s="857"/>
      <c r="K32" s="1711"/>
      <c r="L32" s="1711"/>
      <c r="M32" s="1711"/>
      <c r="N32" s="1711"/>
      <c r="O32" s="1711"/>
      <c r="P32" s="1711"/>
      <c r="Q32" s="1711"/>
      <c r="R32" s="1711"/>
      <c r="S32" s="1711"/>
      <c r="T32" s="1711"/>
      <c r="U32" s="1711"/>
      <c r="V32" s="1712"/>
      <c r="W32" s="837"/>
      <c r="X32" s="837"/>
      <c r="Y32" s="837"/>
      <c r="Z32" s="840"/>
      <c r="AA32" s="841"/>
      <c r="AD32" s="839"/>
      <c r="AT32" s="839"/>
      <c r="BQ32" s="870" t="s">
        <v>554</v>
      </c>
      <c r="BR32" s="834" t="s">
        <v>555</v>
      </c>
    </row>
    <row r="33" spans="3:73" s="834" customFormat="1" ht="60" customHeight="1">
      <c r="C33" s="1700" t="s">
        <v>556</v>
      </c>
      <c r="D33" s="1701"/>
      <c r="E33" s="1702">
        <v>1337</v>
      </c>
      <c r="F33" s="1702"/>
      <c r="G33" s="1703">
        <f t="shared" ref="G33:G39" si="59">E33-E32</f>
        <v>236</v>
      </c>
      <c r="H33" s="1703"/>
      <c r="I33" s="857"/>
      <c r="J33" s="857"/>
      <c r="K33" s="1706" t="s">
        <v>557</v>
      </c>
      <c r="L33" s="1706"/>
      <c r="M33" s="1706"/>
      <c r="N33" s="1706"/>
      <c r="O33" s="1706"/>
      <c r="P33" s="1706"/>
      <c r="Q33" s="1706"/>
      <c r="R33" s="1706"/>
      <c r="S33" s="1706"/>
      <c r="T33" s="1706"/>
      <c r="U33" s="1706"/>
      <c r="V33" s="1707"/>
      <c r="W33" s="837"/>
      <c r="X33" s="837"/>
      <c r="Y33" s="837"/>
      <c r="Z33" s="840"/>
      <c r="AA33" s="841"/>
      <c r="AD33" s="839"/>
      <c r="AT33" s="839"/>
      <c r="BP33" s="871" t="s">
        <v>558</v>
      </c>
      <c r="BQ33" s="872">
        <v>39535369300</v>
      </c>
      <c r="BR33" s="872">
        <v>40700737600</v>
      </c>
      <c r="BS33" s="873">
        <f>BR33-BQ33</f>
        <v>1165368300</v>
      </c>
      <c r="BT33" s="874">
        <f>BS33/10^8</f>
        <v>11.653682999999999</v>
      </c>
      <c r="BU33" s="875"/>
    </row>
    <row r="34" spans="3:73" s="834" customFormat="1" ht="93.6" customHeight="1">
      <c r="C34" s="1700" t="s">
        <v>559</v>
      </c>
      <c r="D34" s="1701"/>
      <c r="E34" s="1702">
        <v>1341</v>
      </c>
      <c r="F34" s="1702"/>
      <c r="G34" s="1703">
        <f t="shared" si="59"/>
        <v>4</v>
      </c>
      <c r="H34" s="1703"/>
      <c r="I34" s="857"/>
      <c r="J34" s="857"/>
      <c r="K34" s="1704" t="s">
        <v>560</v>
      </c>
      <c r="L34" s="1706"/>
      <c r="M34" s="1706"/>
      <c r="N34" s="1706"/>
      <c r="O34" s="1706"/>
      <c r="P34" s="1706"/>
      <c r="Q34" s="1706"/>
      <c r="R34" s="1706"/>
      <c r="S34" s="1706"/>
      <c r="T34" s="1706"/>
      <c r="U34" s="1706"/>
      <c r="V34" s="1707"/>
      <c r="W34" s="837"/>
      <c r="X34" s="837"/>
      <c r="Y34" s="837"/>
      <c r="Z34" s="840"/>
      <c r="AA34" s="841"/>
      <c r="AD34" s="839"/>
      <c r="AT34" s="839"/>
      <c r="BP34" s="871" t="s">
        <v>561</v>
      </c>
      <c r="BQ34" s="872">
        <v>40906658600</v>
      </c>
      <c r="BR34" s="872">
        <v>42993797800</v>
      </c>
      <c r="BS34" s="873">
        <f>BR34-BQ34</f>
        <v>2087139200</v>
      </c>
      <c r="BT34" s="874">
        <f>BS34/10^8</f>
        <v>20.871392</v>
      </c>
      <c r="BU34" s="875"/>
    </row>
    <row r="35" spans="3:73" s="834" customFormat="1" ht="107.1" customHeight="1">
      <c r="C35" s="1700" t="s">
        <v>562</v>
      </c>
      <c r="D35" s="1701"/>
      <c r="E35" s="1702">
        <v>1280</v>
      </c>
      <c r="F35" s="1702"/>
      <c r="G35" s="1703">
        <f t="shared" si="59"/>
        <v>-61</v>
      </c>
      <c r="H35" s="1703"/>
      <c r="I35" s="856"/>
      <c r="J35" s="856"/>
      <c r="K35" s="1704" t="s">
        <v>563</v>
      </c>
      <c r="L35" s="1706"/>
      <c r="M35" s="1706"/>
      <c r="N35" s="1706"/>
      <c r="O35" s="1706"/>
      <c r="P35" s="1706"/>
      <c r="Q35" s="1706"/>
      <c r="R35" s="1706"/>
      <c r="S35" s="1706"/>
      <c r="T35" s="1706"/>
      <c r="U35" s="1706"/>
      <c r="V35" s="1707"/>
      <c r="W35" s="837"/>
      <c r="X35" s="837"/>
      <c r="Y35" s="837"/>
      <c r="Z35" s="840"/>
      <c r="AA35" s="841"/>
      <c r="AD35" s="839"/>
      <c r="AT35" s="839"/>
      <c r="BP35" s="876" t="s">
        <v>564</v>
      </c>
      <c r="BQ35" s="872">
        <v>11220431200</v>
      </c>
      <c r="BR35" s="872">
        <v>7917373450</v>
      </c>
      <c r="BS35" s="873">
        <f>BR35-BQ35</f>
        <v>-3303057750</v>
      </c>
      <c r="BT35" s="874">
        <f>BS35/10^8</f>
        <v>-33.0305775</v>
      </c>
      <c r="BU35" s="875"/>
    </row>
    <row r="36" spans="3:73" s="834" customFormat="1" ht="60" customHeight="1">
      <c r="C36" s="1700" t="s">
        <v>565</v>
      </c>
      <c r="D36" s="1701"/>
      <c r="E36" s="1702">
        <v>1321.0488180191605</v>
      </c>
      <c r="F36" s="1702"/>
      <c r="G36" s="1703">
        <f t="shared" si="59"/>
        <v>41.048818019160535</v>
      </c>
      <c r="H36" s="1703"/>
      <c r="I36" s="857"/>
      <c r="J36" s="857"/>
      <c r="K36" s="1704" t="s">
        <v>566</v>
      </c>
      <c r="L36" s="1704"/>
      <c r="M36" s="1704"/>
      <c r="N36" s="1704"/>
      <c r="O36" s="1704"/>
      <c r="P36" s="1704"/>
      <c r="Q36" s="1704"/>
      <c r="R36" s="1704"/>
      <c r="S36" s="1704"/>
      <c r="T36" s="1704"/>
      <c r="U36" s="1704"/>
      <c r="V36" s="1705"/>
      <c r="W36" s="837"/>
      <c r="X36" s="837"/>
      <c r="Y36" s="837"/>
      <c r="Z36" s="840"/>
      <c r="AA36" s="841"/>
      <c r="AD36" s="839"/>
      <c r="AT36" s="839"/>
      <c r="BP36" s="871" t="s">
        <v>567</v>
      </c>
      <c r="BQ36" s="872"/>
      <c r="BR36" s="875"/>
      <c r="BS36" s="875"/>
      <c r="BT36" s="875"/>
      <c r="BU36" s="875"/>
    </row>
    <row r="37" spans="3:73" s="834" customFormat="1" ht="83.1" customHeight="1">
      <c r="C37" s="1700" t="s">
        <v>568</v>
      </c>
      <c r="D37" s="1701"/>
      <c r="E37" s="1702">
        <v>1317.3104659652647</v>
      </c>
      <c r="F37" s="1702"/>
      <c r="G37" s="1703">
        <f t="shared" si="59"/>
        <v>-3.7383520538958237</v>
      </c>
      <c r="H37" s="1703"/>
      <c r="I37" s="857"/>
      <c r="J37" s="857"/>
      <c r="K37" s="1704" t="s">
        <v>569</v>
      </c>
      <c r="L37" s="1704"/>
      <c r="M37" s="1704"/>
      <c r="N37" s="1704"/>
      <c r="O37" s="1704"/>
      <c r="P37" s="1704"/>
      <c r="Q37" s="1704"/>
      <c r="R37" s="1704"/>
      <c r="S37" s="1704"/>
      <c r="T37" s="1704"/>
      <c r="U37" s="1704"/>
      <c r="V37" s="1705"/>
      <c r="AE37" s="842"/>
      <c r="BQ37" s="872"/>
      <c r="BR37" s="875"/>
      <c r="BS37" s="875"/>
      <c r="BT37" s="875"/>
      <c r="BU37" s="875"/>
    </row>
    <row r="38" spans="3:73" s="834" customFormat="1" ht="83.85" customHeight="1">
      <c r="C38" s="1700" t="s">
        <v>539</v>
      </c>
      <c r="D38" s="1701"/>
      <c r="E38" s="1702">
        <f>BL8</f>
        <v>1312.8963583045834</v>
      </c>
      <c r="F38" s="1702"/>
      <c r="G38" s="1703">
        <f t="shared" si="59"/>
        <v>-4.4141076606813385</v>
      </c>
      <c r="H38" s="1703"/>
      <c r="I38" s="857"/>
      <c r="J38" s="857"/>
      <c r="K38" s="1704" t="s">
        <v>570</v>
      </c>
      <c r="L38" s="1704"/>
      <c r="M38" s="1704"/>
      <c r="N38" s="1704"/>
      <c r="O38" s="1704"/>
      <c r="P38" s="1704"/>
      <c r="Q38" s="1704"/>
      <c r="R38" s="1704"/>
      <c r="S38" s="1704"/>
      <c r="T38" s="1704"/>
      <c r="U38" s="1704"/>
      <c r="V38" s="1705"/>
      <c r="AD38" s="843"/>
      <c r="BQ38" s="877"/>
    </row>
    <row r="39" spans="3:73" s="834" customFormat="1" ht="211.35" customHeight="1">
      <c r="C39" s="1693" t="s">
        <v>571</v>
      </c>
      <c r="D39" s="1694"/>
      <c r="E39" s="1695">
        <f>BM8</f>
        <v>1294.4435582054025</v>
      </c>
      <c r="F39" s="1695"/>
      <c r="G39" s="1696">
        <f t="shared" si="59"/>
        <v>-18.452800099180877</v>
      </c>
      <c r="H39" s="1696"/>
      <c r="I39" s="858"/>
      <c r="J39" s="858"/>
      <c r="K39" s="1697" t="s">
        <v>572</v>
      </c>
      <c r="L39" s="1697"/>
      <c r="M39" s="1697"/>
      <c r="N39" s="1697"/>
      <c r="O39" s="1697"/>
      <c r="P39" s="1697"/>
      <c r="Q39" s="1697"/>
      <c r="R39" s="1697"/>
      <c r="S39" s="1697"/>
      <c r="T39" s="1697"/>
      <c r="U39" s="1697"/>
      <c r="V39" s="1698"/>
      <c r="Y39" s="1699" t="s">
        <v>573</v>
      </c>
      <c r="Z39" s="1699"/>
      <c r="AA39" s="1699"/>
      <c r="AB39" s="1699"/>
      <c r="AC39" s="1699"/>
      <c r="AD39" s="1699"/>
      <c r="AE39" s="1699"/>
      <c r="AF39" s="1699"/>
      <c r="BQ39" s="838"/>
    </row>
    <row r="40" spans="3:73" ht="30.6" customHeight="1">
      <c r="BQ40" s="838"/>
    </row>
    <row r="41" spans="3:73" ht="30.6" customHeight="1">
      <c r="BQ41" s="838"/>
    </row>
    <row r="42" spans="3:73" ht="30.6" customHeight="1">
      <c r="H42" s="1691" t="s">
        <v>7</v>
      </c>
      <c r="I42" s="1692"/>
      <c r="J42" s="1692"/>
      <c r="K42" s="1692"/>
      <c r="L42" s="878" t="s">
        <v>78</v>
      </c>
      <c r="M42" s="878" t="s">
        <v>166</v>
      </c>
      <c r="N42" s="878" t="s">
        <v>101</v>
      </c>
      <c r="O42" s="878" t="s">
        <v>175</v>
      </c>
      <c r="P42" s="878" t="s">
        <v>143</v>
      </c>
      <c r="Q42" s="879" t="s">
        <v>144</v>
      </c>
      <c r="BQ42" s="838"/>
    </row>
    <row r="43" spans="3:73" s="884" customFormat="1" ht="21">
      <c r="C43" s="880"/>
      <c r="D43" s="880"/>
      <c r="E43" s="880"/>
      <c r="F43" s="880"/>
      <c r="G43" s="880"/>
      <c r="H43" s="1685" t="s">
        <v>26</v>
      </c>
      <c r="I43" s="881"/>
      <c r="J43" s="881"/>
      <c r="K43" s="881" t="s">
        <v>574</v>
      </c>
      <c r="L43" s="881">
        <v>18</v>
      </c>
      <c r="M43" s="881">
        <v>15</v>
      </c>
      <c r="N43" s="881">
        <v>28</v>
      </c>
      <c r="O43" s="882">
        <v>33</v>
      </c>
      <c r="P43" s="882">
        <v>42</v>
      </c>
      <c r="Q43" s="883">
        <v>36</v>
      </c>
      <c r="R43" s="880"/>
      <c r="S43" s="880"/>
      <c r="T43" s="880"/>
      <c r="U43" s="880"/>
      <c r="V43" s="880"/>
      <c r="W43" s="880"/>
      <c r="X43" s="880"/>
      <c r="Y43" s="880"/>
      <c r="Z43" s="880"/>
      <c r="AA43" s="880"/>
      <c r="AB43" s="880"/>
      <c r="AC43" s="880"/>
    </row>
    <row r="44" spans="3:73" s="884" customFormat="1" ht="21">
      <c r="H44" s="1686"/>
      <c r="I44" s="885"/>
      <c r="J44" s="885"/>
      <c r="K44" s="886" t="s">
        <v>575</v>
      </c>
      <c r="L44" s="885">
        <v>18</v>
      </c>
      <c r="M44" s="885">
        <v>19</v>
      </c>
      <c r="N44" s="885">
        <v>14</v>
      </c>
      <c r="O44" s="885">
        <v>19</v>
      </c>
      <c r="P44" s="887">
        <v>17</v>
      </c>
      <c r="Q44" s="888">
        <v>35</v>
      </c>
    </row>
    <row r="45" spans="3:73" s="884" customFormat="1" ht="21">
      <c r="H45" s="1687" t="s">
        <v>306</v>
      </c>
      <c r="I45" s="1688"/>
      <c r="J45" s="1688"/>
      <c r="K45" s="1688"/>
      <c r="L45" s="889">
        <f t="shared" ref="L45:Q45" si="60">L44-L43</f>
        <v>0</v>
      </c>
      <c r="M45" s="889">
        <f t="shared" si="60"/>
        <v>4</v>
      </c>
      <c r="N45" s="889">
        <f t="shared" si="60"/>
        <v>-14</v>
      </c>
      <c r="O45" s="889">
        <f t="shared" si="60"/>
        <v>-14</v>
      </c>
      <c r="P45" s="889">
        <f t="shared" si="60"/>
        <v>-25</v>
      </c>
      <c r="Q45" s="890">
        <f t="shared" si="60"/>
        <v>-1</v>
      </c>
    </row>
    <row r="46" spans="3:73" s="884" customFormat="1" ht="21">
      <c r="H46" s="1689" t="s">
        <v>27</v>
      </c>
      <c r="I46" s="891"/>
      <c r="J46" s="891"/>
      <c r="K46" s="892" t="s">
        <v>574</v>
      </c>
      <c r="L46" s="892">
        <v>14</v>
      </c>
      <c r="M46" s="892">
        <v>20</v>
      </c>
      <c r="N46" s="892">
        <v>25</v>
      </c>
      <c r="O46" s="893">
        <v>18</v>
      </c>
      <c r="P46" s="893">
        <v>24</v>
      </c>
      <c r="Q46" s="894">
        <v>11</v>
      </c>
    </row>
    <row r="47" spans="3:73" s="884" customFormat="1" ht="21">
      <c r="H47" s="1690"/>
      <c r="I47" s="885"/>
      <c r="J47" s="885"/>
      <c r="K47" s="886" t="s">
        <v>575</v>
      </c>
      <c r="L47" s="885">
        <v>14</v>
      </c>
      <c r="M47" s="885">
        <v>3</v>
      </c>
      <c r="N47" s="885">
        <v>16</v>
      </c>
      <c r="O47" s="885">
        <v>15</v>
      </c>
      <c r="P47" s="887">
        <v>15</v>
      </c>
      <c r="Q47" s="888">
        <v>25</v>
      </c>
    </row>
    <row r="48" spans="3:73" s="884" customFormat="1" ht="21">
      <c r="H48" s="1687" t="s">
        <v>306</v>
      </c>
      <c r="I48" s="1688"/>
      <c r="J48" s="1688"/>
      <c r="K48" s="1688"/>
      <c r="L48" s="889">
        <f t="shared" ref="L48:Q48" si="61">L47-L46</f>
        <v>0</v>
      </c>
      <c r="M48" s="889">
        <f t="shared" si="61"/>
        <v>-17</v>
      </c>
      <c r="N48" s="889">
        <f t="shared" si="61"/>
        <v>-9</v>
      </c>
      <c r="O48" s="889">
        <f t="shared" si="61"/>
        <v>-3</v>
      </c>
      <c r="P48" s="889">
        <f t="shared" si="61"/>
        <v>-9</v>
      </c>
      <c r="Q48" s="890">
        <f t="shared" si="61"/>
        <v>14</v>
      </c>
    </row>
    <row r="49" spans="8:51" s="884" customFormat="1">
      <c r="H49" s="895" t="s">
        <v>576</v>
      </c>
    </row>
    <row r="50" spans="8:51" s="884" customFormat="1">
      <c r="H50" s="895" t="s">
        <v>577</v>
      </c>
    </row>
    <row r="51" spans="8:51" s="884" customFormat="1" ht="10.8">
      <c r="AF51" s="896"/>
    </row>
    <row r="52" spans="8:51" s="884" customFormat="1" ht="10.8"/>
    <row r="53" spans="8:51" s="884" customFormat="1" ht="10.8"/>
    <row r="54" spans="8:51" s="884" customFormat="1" ht="10.8"/>
    <row r="55" spans="8:51" s="884" customFormat="1" ht="10.8"/>
    <row r="56" spans="8:51" s="884" customFormat="1" ht="10.8"/>
    <row r="57" spans="8:51" s="884" customFormat="1" ht="10.8"/>
    <row r="64" spans="8:51" ht="37.799999999999997">
      <c r="AE64" s="843"/>
      <c r="AF64" s="834"/>
      <c r="AG64" s="834"/>
      <c r="AH64" s="834"/>
      <c r="AI64" s="834"/>
      <c r="AJ64" s="834"/>
      <c r="AK64" s="834"/>
      <c r="AL64" s="834"/>
      <c r="AM64" s="834"/>
      <c r="AN64" s="834"/>
      <c r="AO64" s="834"/>
      <c r="AP64" s="834"/>
      <c r="AQ64" s="834"/>
      <c r="AR64" s="834"/>
      <c r="AS64" s="834"/>
      <c r="AT64" s="834"/>
      <c r="AU64" s="834"/>
      <c r="AV64" s="834"/>
      <c r="AW64" s="834"/>
      <c r="AX64" s="834"/>
      <c r="AY64" s="834"/>
    </row>
    <row r="65" spans="31:51" ht="37.799999999999997">
      <c r="AE65" s="842"/>
      <c r="AG65" s="834"/>
      <c r="AH65" s="834"/>
      <c r="AI65" s="834"/>
      <c r="AJ65" s="834"/>
      <c r="AK65" s="834"/>
      <c r="AL65" s="834"/>
      <c r="AM65" s="834"/>
      <c r="AN65" s="834"/>
      <c r="AO65" s="834"/>
      <c r="AP65" s="834"/>
      <c r="AQ65" s="834"/>
      <c r="AR65" s="834"/>
      <c r="AS65" s="834"/>
      <c r="AT65" s="834"/>
      <c r="AU65" s="834"/>
      <c r="AV65" s="834"/>
      <c r="AW65" s="834"/>
      <c r="AX65" s="834"/>
      <c r="AY65" s="834"/>
    </row>
    <row r="81" spans="32:33" ht="33">
      <c r="AG81" s="844"/>
    </row>
    <row r="87" spans="32:33" ht="21">
      <c r="AF87" s="845"/>
    </row>
  </sheetData>
  <mergeCells count="77">
    <mergeCell ref="AB6:AE6"/>
    <mergeCell ref="AF6:AI6"/>
    <mergeCell ref="AJ6:AM6"/>
    <mergeCell ref="A1:BN1"/>
    <mergeCell ref="A5:C7"/>
    <mergeCell ref="D5:D7"/>
    <mergeCell ref="E5:E7"/>
    <mergeCell ref="F5:I6"/>
    <mergeCell ref="J5:AA5"/>
    <mergeCell ref="AB5:AQ5"/>
    <mergeCell ref="AR5:BG5"/>
    <mergeCell ref="BK5:BN5"/>
    <mergeCell ref="J6:N6"/>
    <mergeCell ref="B23:B25"/>
    <mergeCell ref="BL6:BL7"/>
    <mergeCell ref="BM6:BM7"/>
    <mergeCell ref="BN6:BN7"/>
    <mergeCell ref="B8:C8"/>
    <mergeCell ref="B9:C9"/>
    <mergeCell ref="B10:B11"/>
    <mergeCell ref="AN6:AQ6"/>
    <mergeCell ref="AR6:AU6"/>
    <mergeCell ref="AV6:AY6"/>
    <mergeCell ref="AZ6:BC6"/>
    <mergeCell ref="BD6:BG6"/>
    <mergeCell ref="BK6:BK7"/>
    <mergeCell ref="O6:R6"/>
    <mergeCell ref="S6:V6"/>
    <mergeCell ref="W6:AA6"/>
    <mergeCell ref="B13:C13"/>
    <mergeCell ref="B14:B15"/>
    <mergeCell ref="B16:C16"/>
    <mergeCell ref="B17:B21"/>
    <mergeCell ref="B22:C22"/>
    <mergeCell ref="C31:D31"/>
    <mergeCell ref="E31:F31"/>
    <mergeCell ref="G31:H31"/>
    <mergeCell ref="K31:V31"/>
    <mergeCell ref="C32:D32"/>
    <mergeCell ref="E32:F32"/>
    <mergeCell ref="G32:H32"/>
    <mergeCell ref="K32:V32"/>
    <mergeCell ref="C33:D33"/>
    <mergeCell ref="E33:F33"/>
    <mergeCell ref="G33:H33"/>
    <mergeCell ref="K33:V33"/>
    <mergeCell ref="C34:D34"/>
    <mergeCell ref="E34:F34"/>
    <mergeCell ref="G34:H34"/>
    <mergeCell ref="K34:V34"/>
    <mergeCell ref="C35:D35"/>
    <mergeCell ref="E35:F35"/>
    <mergeCell ref="G35:H35"/>
    <mergeCell ref="K35:V35"/>
    <mergeCell ref="C36:D36"/>
    <mergeCell ref="E36:F36"/>
    <mergeCell ref="G36:H36"/>
    <mergeCell ref="K36:V36"/>
    <mergeCell ref="C37:D37"/>
    <mergeCell ref="E37:F37"/>
    <mergeCell ref="G37:H37"/>
    <mergeCell ref="K37:V37"/>
    <mergeCell ref="C38:D38"/>
    <mergeCell ref="E38:F38"/>
    <mergeCell ref="G38:H38"/>
    <mergeCell ref="K38:V38"/>
    <mergeCell ref="C39:D39"/>
    <mergeCell ref="E39:F39"/>
    <mergeCell ref="G39:H39"/>
    <mergeCell ref="K39:V39"/>
    <mergeCell ref="Y39:AF39"/>
    <mergeCell ref="BA28:BL28"/>
    <mergeCell ref="H43:H44"/>
    <mergeCell ref="H45:K45"/>
    <mergeCell ref="H46:H47"/>
    <mergeCell ref="H48:K48"/>
    <mergeCell ref="H42:K42"/>
  </mergeCells>
  <phoneticPr fontId="2" type="noConversion"/>
  <pageMargins left="0.38" right="0.32" top="0.38" bottom="0.19" header="0.45" footer="0.17"/>
  <pageSetup paperSize="8" scale="3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c r="A1" s="1633" t="s">
        <v>578</v>
      </c>
      <c r="B1" s="1633"/>
      <c r="C1" s="1633"/>
      <c r="D1" s="1633"/>
      <c r="E1" s="1633"/>
      <c r="F1" s="1633"/>
      <c r="G1" s="1633"/>
      <c r="H1" s="1633"/>
      <c r="I1" s="1633"/>
      <c r="J1" s="1633"/>
      <c r="K1" s="1633"/>
      <c r="L1" s="1633"/>
      <c r="M1" s="1633"/>
      <c r="N1" s="1633"/>
      <c r="O1" s="1633"/>
      <c r="P1" s="1633"/>
      <c r="Q1" s="1633"/>
      <c r="R1" s="1633"/>
      <c r="S1" s="1633"/>
      <c r="T1" s="1633"/>
      <c r="U1" s="1633"/>
      <c r="V1" s="1633"/>
      <c r="W1" s="1633"/>
      <c r="X1" s="1633"/>
      <c r="Y1" s="1633"/>
      <c r="Z1" s="1633"/>
      <c r="AA1" s="1633"/>
      <c r="AB1" s="1633"/>
      <c r="AC1" s="1633"/>
      <c r="AD1" s="1633"/>
    </row>
    <row r="2" spans="1:3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215" t="s">
        <v>579</v>
      </c>
    </row>
    <row r="3" spans="1:32" ht="27" customHeight="1">
      <c r="A3" s="212" t="s">
        <v>580</v>
      </c>
      <c r="AD3" s="215"/>
    </row>
    <row r="4" spans="1:32" ht="18" thickBot="1">
      <c r="AD4" s="207" t="s">
        <v>6</v>
      </c>
    </row>
    <row r="5" spans="1:32" ht="25.35" customHeight="1" thickTop="1">
      <c r="A5" s="1726" t="s">
        <v>7</v>
      </c>
      <c r="B5" s="1727"/>
      <c r="C5" s="1728"/>
      <c r="D5" s="1800" t="s">
        <v>581</v>
      </c>
      <c r="E5" s="1801" t="s">
        <v>582</v>
      </c>
      <c r="F5" s="1732" t="s">
        <v>583</v>
      </c>
      <c r="G5" s="1802"/>
      <c r="H5" s="1733"/>
      <c r="I5" s="1803" t="s">
        <v>99</v>
      </c>
      <c r="J5" s="1804"/>
      <c r="K5" s="1804"/>
      <c r="L5" s="1804"/>
      <c r="M5" s="1804"/>
      <c r="N5" s="1804"/>
      <c r="O5" s="1804"/>
      <c r="P5" s="1804"/>
      <c r="Q5" s="1804"/>
      <c r="R5" s="1804"/>
      <c r="S5" s="1804"/>
      <c r="T5" s="1805"/>
      <c r="U5" s="1816" t="s">
        <v>584</v>
      </c>
      <c r="V5" s="1817"/>
      <c r="W5" s="1818"/>
      <c r="X5" s="1806" t="s">
        <v>174</v>
      </c>
      <c r="Y5" s="1806"/>
      <c r="Z5" s="1807"/>
      <c r="AA5" s="432"/>
      <c r="AB5" s="1808" t="s">
        <v>524</v>
      </c>
      <c r="AC5" s="1809"/>
      <c r="AD5" s="1810"/>
    </row>
    <row r="6" spans="1:32" ht="25.35" customHeight="1">
      <c r="A6" s="1798"/>
      <c r="B6" s="1638"/>
      <c r="C6" s="1639"/>
      <c r="D6" s="1644"/>
      <c r="E6" s="1647"/>
      <c r="F6" s="1717" t="s">
        <v>585</v>
      </c>
      <c r="G6" s="1723" t="s">
        <v>15</v>
      </c>
      <c r="H6" s="1718" t="s">
        <v>16</v>
      </c>
      <c r="I6" s="1852" t="s">
        <v>78</v>
      </c>
      <c r="J6" s="1827"/>
      <c r="K6" s="1827"/>
      <c r="L6" s="1826" t="s">
        <v>166</v>
      </c>
      <c r="M6" s="1827"/>
      <c r="N6" s="1827"/>
      <c r="O6" s="1826" t="s">
        <v>101</v>
      </c>
      <c r="P6" s="1827"/>
      <c r="Q6" s="1828"/>
      <c r="R6" s="1826" t="s">
        <v>543</v>
      </c>
      <c r="S6" s="1827"/>
      <c r="T6" s="1828"/>
      <c r="U6" s="1717" t="s">
        <v>585</v>
      </c>
      <c r="V6" s="1723" t="s">
        <v>586</v>
      </c>
      <c r="W6" s="1824" t="s">
        <v>16</v>
      </c>
      <c r="X6" s="1850" t="s">
        <v>585</v>
      </c>
      <c r="Y6" s="1819" t="s">
        <v>586</v>
      </c>
      <c r="Z6" s="1821" t="s">
        <v>16</v>
      </c>
      <c r="AA6" s="432"/>
      <c r="AB6" s="1717" t="s">
        <v>585</v>
      </c>
      <c r="AC6" s="1812" t="s">
        <v>586</v>
      </c>
      <c r="AD6" s="1814" t="s">
        <v>16</v>
      </c>
    </row>
    <row r="7" spans="1:32" ht="25.35" customHeight="1" thickBot="1">
      <c r="A7" s="1799"/>
      <c r="B7" s="1641"/>
      <c r="C7" s="1642"/>
      <c r="D7" s="1645"/>
      <c r="E7" s="1648"/>
      <c r="F7" s="1811"/>
      <c r="G7" s="1823"/>
      <c r="H7" s="1853"/>
      <c r="I7" s="433" t="s">
        <v>585</v>
      </c>
      <c r="J7" s="434" t="s">
        <v>15</v>
      </c>
      <c r="K7" s="435" t="s">
        <v>16</v>
      </c>
      <c r="L7" s="436" t="s">
        <v>585</v>
      </c>
      <c r="M7" s="434" t="s">
        <v>15</v>
      </c>
      <c r="N7" s="435" t="s">
        <v>16</v>
      </c>
      <c r="O7" s="436" t="s">
        <v>585</v>
      </c>
      <c r="P7" s="434" t="s">
        <v>586</v>
      </c>
      <c r="Q7" s="435" t="s">
        <v>16</v>
      </c>
      <c r="R7" s="437" t="s">
        <v>587</v>
      </c>
      <c r="S7" s="438" t="s">
        <v>586</v>
      </c>
      <c r="T7" s="439" t="s">
        <v>17</v>
      </c>
      <c r="U7" s="1811"/>
      <c r="V7" s="1823"/>
      <c r="W7" s="1825"/>
      <c r="X7" s="1851"/>
      <c r="Y7" s="1820"/>
      <c r="Z7" s="1822"/>
      <c r="AA7" s="432"/>
      <c r="AB7" s="1811"/>
      <c r="AC7" s="1813"/>
      <c r="AD7" s="1815"/>
    </row>
    <row r="8" spans="1:32" ht="29.25" customHeight="1">
      <c r="A8" s="208"/>
      <c r="B8" s="1580" t="s">
        <v>18</v>
      </c>
      <c r="C8" s="1581"/>
      <c r="D8" s="241" t="e">
        <f>D9+D12+D15</f>
        <v>#REF!</v>
      </c>
      <c r="E8" s="242" t="e">
        <f>E9+E12+E15</f>
        <v>#REF!</v>
      </c>
      <c r="F8" s="243" t="e">
        <f>F9+F12+F15</f>
        <v>#REF!</v>
      </c>
      <c r="G8" s="244" t="e">
        <f t="shared" ref="G8:H8" si="0">G9+G12+G15</f>
        <v>#REF!</v>
      </c>
      <c r="H8" s="245" t="e">
        <f t="shared" si="0"/>
        <v>#REF!</v>
      </c>
      <c r="I8" s="246" t="e">
        <f>I9+I12+I15</f>
        <v>#REF!</v>
      </c>
      <c r="J8" s="247" t="e">
        <f t="shared" ref="J8" si="1">J9+J12+J15</f>
        <v>#REF!</v>
      </c>
      <c r="K8" s="248" t="e">
        <f>J8-I8</f>
        <v>#REF!</v>
      </c>
      <c r="L8" s="249" t="e">
        <f>L9+L12+L15</f>
        <v>#REF!</v>
      </c>
      <c r="M8" s="247" t="e">
        <f t="shared" ref="M8" si="2">M9+M12+M15</f>
        <v>#REF!</v>
      </c>
      <c r="N8" s="248" t="e">
        <f>M8-L8</f>
        <v>#REF!</v>
      </c>
      <c r="O8" s="249" t="e">
        <f>O9+O12+O15</f>
        <v>#REF!</v>
      </c>
      <c r="P8" s="247" t="e">
        <f t="shared" ref="P8" si="3">P9+P12+P15</f>
        <v>#REF!</v>
      </c>
      <c r="Q8" s="248" t="e">
        <f>P8-O8</f>
        <v>#REF!</v>
      </c>
      <c r="R8" s="250" t="e">
        <f>R9+R12+R15</f>
        <v>#REF!</v>
      </c>
      <c r="S8" s="247" t="e">
        <f t="shared" ref="S8" si="4">S9+S12+S15</f>
        <v>#REF!</v>
      </c>
      <c r="T8" s="251" t="e">
        <f>S8-R8</f>
        <v>#REF!</v>
      </c>
      <c r="U8" s="250" t="e">
        <f>U9+U12+U15</f>
        <v>#REF!</v>
      </c>
      <c r="V8" s="244" t="e">
        <f t="shared" ref="V8" si="5">V9+V12+V15</f>
        <v>#REF!</v>
      </c>
      <c r="W8" s="252" t="e">
        <f>V8-U8</f>
        <v>#REF!</v>
      </c>
      <c r="X8" s="250" t="e">
        <f>X9+X12+X15</f>
        <v>#REF!</v>
      </c>
      <c r="Y8" s="247" t="e">
        <f t="shared" ref="Y8" si="6">Y9+Y12+Y15</f>
        <v>#REF!</v>
      </c>
      <c r="Z8" s="253" t="e">
        <f>Y8-X8</f>
        <v>#REF!</v>
      </c>
      <c r="AA8" s="235"/>
      <c r="AB8" s="243" t="e">
        <f>AB9+AB12+AB15</f>
        <v>#REF!</v>
      </c>
      <c r="AC8" s="254" t="e">
        <f t="shared" ref="AC8" si="7">AC9+AC12+AC15</f>
        <v>#REF!</v>
      </c>
      <c r="AD8" s="253" t="e">
        <f>AC8-AB8</f>
        <v>#REF!</v>
      </c>
    </row>
    <row r="9" spans="1:32" ht="25.35" customHeight="1">
      <c r="A9" s="208"/>
      <c r="B9" s="1576" t="s">
        <v>20</v>
      </c>
      <c r="C9" s="1577"/>
      <c r="D9" s="255">
        <f>SUM(D10:D11)</f>
        <v>549.53105600000004</v>
      </c>
      <c r="E9" s="256">
        <f>SUM(E10:E11)</f>
        <v>595.19047599999999</v>
      </c>
      <c r="F9" s="257" t="e">
        <f>SUM(F10:F11)</f>
        <v>#REF!</v>
      </c>
      <c r="G9" s="258" t="e">
        <f t="shared" ref="G9:H9" si="8">SUM(G10:G11)</f>
        <v>#REF!</v>
      </c>
      <c r="H9" s="259" t="e">
        <f t="shared" si="8"/>
        <v>#REF!</v>
      </c>
      <c r="I9" s="260" t="e">
        <f t="shared" ref="I9:P9" si="9">SUM(I10:I11)</f>
        <v>#REF!</v>
      </c>
      <c r="J9" s="261" t="e">
        <f t="shared" si="9"/>
        <v>#REF!</v>
      </c>
      <c r="K9" s="262" t="e">
        <f t="shared" ref="K9:K20" si="10">J9-I9</f>
        <v>#REF!</v>
      </c>
      <c r="L9" s="263" t="e">
        <f t="shared" si="9"/>
        <v>#REF!</v>
      </c>
      <c r="M9" s="261" t="e">
        <f t="shared" si="9"/>
        <v>#REF!</v>
      </c>
      <c r="N9" s="262" t="e">
        <f t="shared" ref="N9:N20" si="11">M9-L9</f>
        <v>#REF!</v>
      </c>
      <c r="O9" s="263" t="e">
        <f t="shared" si="9"/>
        <v>#REF!</v>
      </c>
      <c r="P9" s="261" t="e">
        <f t="shared" si="9"/>
        <v>#REF!</v>
      </c>
      <c r="Q9" s="262" t="e">
        <f t="shared" ref="Q9:Q20" si="12">P9-O9</f>
        <v>#REF!</v>
      </c>
      <c r="R9" s="259" t="e">
        <f t="shared" ref="R9:V9" si="13">SUM(R10:R11)</f>
        <v>#REF!</v>
      </c>
      <c r="S9" s="261" t="e">
        <f t="shared" si="13"/>
        <v>#REF!</v>
      </c>
      <c r="T9" s="264" t="e">
        <f t="shared" ref="T9:T20" si="14">S9-R9</f>
        <v>#REF!</v>
      </c>
      <c r="U9" s="259" t="e">
        <f t="shared" si="13"/>
        <v>#REF!</v>
      </c>
      <c r="V9" s="258" t="e">
        <f t="shared" si="13"/>
        <v>#REF!</v>
      </c>
      <c r="W9" s="265" t="e">
        <f t="shared" ref="W9:W20" si="15">V9-U9</f>
        <v>#REF!</v>
      </c>
      <c r="X9" s="259" t="e">
        <f t="shared" ref="X9:Y9" si="16">SUM(X10:X11)</f>
        <v>#REF!</v>
      </c>
      <c r="Y9" s="261" t="e">
        <f t="shared" si="16"/>
        <v>#REF!</v>
      </c>
      <c r="Z9" s="264" t="e">
        <f t="shared" ref="Z9:Z20" si="17">Y9-X9</f>
        <v>#REF!</v>
      </c>
      <c r="AA9" s="266"/>
      <c r="AB9" s="257" t="e">
        <f>SUM(AB10:AB11)</f>
        <v>#REF!</v>
      </c>
      <c r="AC9" s="267" t="e">
        <f t="shared" ref="AC9" si="18">SUM(AC10:AC11)</f>
        <v>#REF!</v>
      </c>
      <c r="AD9" s="268" t="e">
        <f t="shared" ref="AD9:AD20" si="19">AC9-AB9</f>
        <v>#REF!</v>
      </c>
    </row>
    <row r="10" spans="1:32" ht="25.35" customHeight="1">
      <c r="A10" s="208"/>
      <c r="B10" s="1582"/>
      <c r="C10" s="440" t="s">
        <v>132</v>
      </c>
      <c r="D10" s="269">
        <v>529.03660160000004</v>
      </c>
      <c r="E10" s="270">
        <v>586.22558800000002</v>
      </c>
      <c r="F10" s="271" t="e">
        <f>#REF!+#REF!</f>
        <v>#REF!</v>
      </c>
      <c r="G10" s="272" t="e">
        <f>#REF!+#REF!</f>
        <v>#REF!</v>
      </c>
      <c r="H10" s="273" t="e">
        <f>G10-F10</f>
        <v>#REF!</v>
      </c>
      <c r="I10" s="274" t="e">
        <f>#REF!</f>
        <v>#REF!</v>
      </c>
      <c r="J10" s="275" t="e">
        <f>#REF!</f>
        <v>#REF!</v>
      </c>
      <c r="K10" s="276" t="e">
        <f t="shared" si="10"/>
        <v>#REF!</v>
      </c>
      <c r="L10" s="277" t="e">
        <f>#REF!</f>
        <v>#REF!</v>
      </c>
      <c r="M10" s="278" t="e">
        <f>#REF!</f>
        <v>#REF!</v>
      </c>
      <c r="N10" s="276" t="e">
        <f t="shared" si="11"/>
        <v>#REF!</v>
      </c>
      <c r="O10" s="277" t="e">
        <f>#REF!</f>
        <v>#REF!</v>
      </c>
      <c r="P10" s="275" t="e">
        <f>#REF!</f>
        <v>#REF!</v>
      </c>
      <c r="Q10" s="276" t="e">
        <f t="shared" si="12"/>
        <v>#REF!</v>
      </c>
      <c r="R10" s="279" t="e">
        <f>I10+L10+O10</f>
        <v>#REF!</v>
      </c>
      <c r="S10" s="280" t="e">
        <f>J10+M10+P10</f>
        <v>#REF!</v>
      </c>
      <c r="T10" s="281" t="e">
        <f t="shared" si="14"/>
        <v>#REF!</v>
      </c>
      <c r="U10" s="271" t="e">
        <f>R10+F10</f>
        <v>#REF!</v>
      </c>
      <c r="V10" s="272" t="e">
        <f>S10+G10</f>
        <v>#REF!</v>
      </c>
      <c r="W10" s="282" t="e">
        <f t="shared" si="15"/>
        <v>#REF!</v>
      </c>
      <c r="X10" s="279" t="e">
        <f>#REF!</f>
        <v>#REF!</v>
      </c>
      <c r="Y10" s="280" t="e">
        <f>#REF!</f>
        <v>#REF!</v>
      </c>
      <c r="Z10" s="281" t="e">
        <f t="shared" si="17"/>
        <v>#REF!</v>
      </c>
      <c r="AA10" s="235"/>
      <c r="AB10" s="271" t="e">
        <f>F10+R10+X10</f>
        <v>#REF!</v>
      </c>
      <c r="AC10" s="283" t="e">
        <f>G10+S10+Y10</f>
        <v>#REF!</v>
      </c>
      <c r="AD10" s="284" t="e">
        <f t="shared" si="19"/>
        <v>#REF!</v>
      </c>
    </row>
    <row r="11" spans="1:32" ht="25.35" customHeight="1">
      <c r="A11" s="208"/>
      <c r="B11" s="1582"/>
      <c r="C11" s="441" t="s">
        <v>52</v>
      </c>
      <c r="D11" s="285">
        <v>20.494454400000002</v>
      </c>
      <c r="E11" s="286">
        <v>8.9648879999999984</v>
      </c>
      <c r="F11" s="287" t="e">
        <f>#REF!+#REF!</f>
        <v>#REF!</v>
      </c>
      <c r="G11" s="288" t="e">
        <f>#REF!+#REF!</f>
        <v>#REF!</v>
      </c>
      <c r="H11" s="289" t="e">
        <f>G11-F11</f>
        <v>#REF!</v>
      </c>
      <c r="I11" s="290" t="e">
        <f>#REF!</f>
        <v>#REF!</v>
      </c>
      <c r="J11" s="291" t="e">
        <f>#REF!</f>
        <v>#REF!</v>
      </c>
      <c r="K11" s="292" t="e">
        <f t="shared" si="10"/>
        <v>#REF!</v>
      </c>
      <c r="L11" s="293" t="e">
        <f>#REF!</f>
        <v>#REF!</v>
      </c>
      <c r="M11" s="291" t="e">
        <f>#REF!</f>
        <v>#REF!</v>
      </c>
      <c r="N11" s="292" t="e">
        <f t="shared" si="11"/>
        <v>#REF!</v>
      </c>
      <c r="O11" s="293" t="e">
        <f>#REF!</f>
        <v>#REF!</v>
      </c>
      <c r="P11" s="291" t="e">
        <f>#REF!</f>
        <v>#REF!</v>
      </c>
      <c r="Q11" s="292" t="e">
        <f t="shared" si="12"/>
        <v>#REF!</v>
      </c>
      <c r="R11" s="294" t="e">
        <f>I11+L11+O11</f>
        <v>#REF!</v>
      </c>
      <c r="S11" s="295" t="e">
        <f>J11+M11+P11</f>
        <v>#REF!</v>
      </c>
      <c r="T11" s="296" t="e">
        <f t="shared" si="14"/>
        <v>#REF!</v>
      </c>
      <c r="U11" s="287" t="e">
        <f>R11+F11</f>
        <v>#REF!</v>
      </c>
      <c r="V11" s="288" t="e">
        <f>S11+G11</f>
        <v>#REF!</v>
      </c>
      <c r="W11" s="297" t="e">
        <f t="shared" si="15"/>
        <v>#REF!</v>
      </c>
      <c r="X11" s="294" t="e">
        <f>#REF!</f>
        <v>#REF!</v>
      </c>
      <c r="Y11" s="295" t="e">
        <f>#REF!</f>
        <v>#REF!</v>
      </c>
      <c r="Z11" s="296" t="e">
        <f t="shared" si="17"/>
        <v>#REF!</v>
      </c>
      <c r="AA11" s="235"/>
      <c r="AB11" s="287" t="e">
        <f>F11+R11+X11</f>
        <v>#REF!</v>
      </c>
      <c r="AC11" s="298" t="e">
        <f>G11+S11+Y11</f>
        <v>#REF!</v>
      </c>
      <c r="AD11" s="299" t="e">
        <f t="shared" si="19"/>
        <v>#REF!</v>
      </c>
      <c r="AF11" s="5"/>
    </row>
    <row r="12" spans="1:32" ht="25.35" customHeight="1">
      <c r="A12" s="208"/>
      <c r="B12" s="1576" t="s">
        <v>25</v>
      </c>
      <c r="C12" s="1577"/>
      <c r="D12" s="300">
        <f>SUM(D13:D14)</f>
        <v>75.481552700000009</v>
      </c>
      <c r="E12" s="301">
        <f>SUM(E13:E14)</f>
        <v>118.82992159999999</v>
      </c>
      <c r="F12" s="302" t="e">
        <f>SUM(F13:F14)</f>
        <v>#REF!</v>
      </c>
      <c r="G12" s="303" t="e">
        <f t="shared" ref="G12:H12" si="20">SUM(G13:G14)</f>
        <v>#REF!</v>
      </c>
      <c r="H12" s="304" t="e">
        <f t="shared" si="20"/>
        <v>#REF!</v>
      </c>
      <c r="I12" s="260" t="e">
        <f t="shared" ref="I12:P12" si="21">SUM(I13:I14)</f>
        <v>#REF!</v>
      </c>
      <c r="J12" s="261" t="e">
        <f t="shared" si="21"/>
        <v>#REF!</v>
      </c>
      <c r="K12" s="262" t="e">
        <f t="shared" si="10"/>
        <v>#REF!</v>
      </c>
      <c r="L12" s="263" t="e">
        <f t="shared" si="21"/>
        <v>#REF!</v>
      </c>
      <c r="M12" s="261" t="e">
        <f t="shared" si="21"/>
        <v>#REF!</v>
      </c>
      <c r="N12" s="262" t="e">
        <f t="shared" si="11"/>
        <v>#REF!</v>
      </c>
      <c r="O12" s="263" t="e">
        <f t="shared" si="21"/>
        <v>#REF!</v>
      </c>
      <c r="P12" s="261" t="e">
        <f t="shared" si="21"/>
        <v>#REF!</v>
      </c>
      <c r="Q12" s="262" t="e">
        <f t="shared" si="12"/>
        <v>#REF!</v>
      </c>
      <c r="R12" s="259" t="e">
        <f t="shared" ref="R12:V12" si="22">SUM(R13:R14)</f>
        <v>#REF!</v>
      </c>
      <c r="S12" s="305" t="e">
        <f t="shared" si="22"/>
        <v>#REF!</v>
      </c>
      <c r="T12" s="306" t="e">
        <f t="shared" si="14"/>
        <v>#REF!</v>
      </c>
      <c r="U12" s="259" t="e">
        <f t="shared" si="22"/>
        <v>#REF!</v>
      </c>
      <c r="V12" s="303" t="e">
        <f t="shared" si="22"/>
        <v>#REF!</v>
      </c>
      <c r="W12" s="307" t="e">
        <f t="shared" si="15"/>
        <v>#REF!</v>
      </c>
      <c r="X12" s="259" t="e">
        <f t="shared" ref="X12:Y12" si="23">SUM(X13:X14)</f>
        <v>#REF!</v>
      </c>
      <c r="Y12" s="305" t="e">
        <f t="shared" si="23"/>
        <v>#REF!</v>
      </c>
      <c r="Z12" s="306" t="e">
        <f t="shared" si="17"/>
        <v>#REF!</v>
      </c>
      <c r="AA12" s="266"/>
      <c r="AB12" s="302" t="e">
        <f>SUM(AB13:AB14)</f>
        <v>#REF!</v>
      </c>
      <c r="AC12" s="308" t="e">
        <f t="shared" ref="AC12" si="24">SUM(AC13:AC14)</f>
        <v>#REF!</v>
      </c>
      <c r="AD12" s="309" t="e">
        <f t="shared" si="19"/>
        <v>#REF!</v>
      </c>
      <c r="AF12" s="214" t="s">
        <v>588</v>
      </c>
    </row>
    <row r="13" spans="1:32" ht="25.35" customHeight="1">
      <c r="A13" s="208"/>
      <c r="B13" s="1582"/>
      <c r="C13" s="442" t="s">
        <v>27</v>
      </c>
      <c r="D13" s="310">
        <v>65.199321700000013</v>
      </c>
      <c r="E13" s="270">
        <v>85.205764599999995</v>
      </c>
      <c r="F13" s="271" t="e">
        <f>#REF!+#REF!</f>
        <v>#REF!</v>
      </c>
      <c r="G13" s="272" t="e">
        <f>#REF!+#REF!</f>
        <v>#REF!</v>
      </c>
      <c r="H13" s="311" t="e">
        <f t="shared" ref="H13:H14" si="25">G13-F13</f>
        <v>#REF!</v>
      </c>
      <c r="I13" s="312" t="e">
        <f>#REF!</f>
        <v>#REF!</v>
      </c>
      <c r="J13" s="313" t="e">
        <f>#REF!</f>
        <v>#REF!</v>
      </c>
      <c r="K13" s="314" t="e">
        <f t="shared" si="10"/>
        <v>#REF!</v>
      </c>
      <c r="L13" s="315" t="e">
        <f>#REF!</f>
        <v>#REF!</v>
      </c>
      <c r="M13" s="313" t="e">
        <f>#REF!</f>
        <v>#REF!</v>
      </c>
      <c r="N13" s="314" t="e">
        <f t="shared" si="11"/>
        <v>#REF!</v>
      </c>
      <c r="O13" s="315" t="e">
        <f>#REF!</f>
        <v>#REF!</v>
      </c>
      <c r="P13" s="313" t="e">
        <f>#REF!</f>
        <v>#REF!</v>
      </c>
      <c r="Q13" s="314" t="e">
        <f t="shared" si="12"/>
        <v>#REF!</v>
      </c>
      <c r="R13" s="279" t="e">
        <f>I13+L13+O13</f>
        <v>#REF!</v>
      </c>
      <c r="S13" s="280" t="e">
        <f>J13+M13+P13</f>
        <v>#REF!</v>
      </c>
      <c r="T13" s="316" t="e">
        <f t="shared" si="14"/>
        <v>#REF!</v>
      </c>
      <c r="U13" s="271" t="e">
        <f>R13+F13</f>
        <v>#REF!</v>
      </c>
      <c r="V13" s="272" t="e">
        <f>S13+G13</f>
        <v>#REF!</v>
      </c>
      <c r="W13" s="317" t="e">
        <f t="shared" si="15"/>
        <v>#REF!</v>
      </c>
      <c r="X13" s="279" t="e">
        <f>#REF!</f>
        <v>#REF!</v>
      </c>
      <c r="Y13" s="280" t="e">
        <f>#REF!</f>
        <v>#REF!</v>
      </c>
      <c r="Z13" s="316" t="e">
        <f t="shared" si="17"/>
        <v>#REF!</v>
      </c>
      <c r="AA13" s="235"/>
      <c r="AB13" s="271" t="e">
        <f>F13+R13+X13</f>
        <v>#REF!</v>
      </c>
      <c r="AC13" s="283" t="e">
        <f>G13+S13+Y13</f>
        <v>#REF!</v>
      </c>
      <c r="AD13" s="318" t="e">
        <f t="shared" si="19"/>
        <v>#REF!</v>
      </c>
      <c r="AF13" t="s">
        <v>589</v>
      </c>
    </row>
    <row r="14" spans="1:32" ht="25.35" customHeight="1">
      <c r="A14" s="208"/>
      <c r="B14" s="1582"/>
      <c r="C14" s="443" t="s">
        <v>26</v>
      </c>
      <c r="D14" s="319">
        <v>10.282230999999999</v>
      </c>
      <c r="E14" s="320">
        <v>33.624156999999997</v>
      </c>
      <c r="F14" s="321" t="e">
        <f>#REF!+#REF!</f>
        <v>#REF!</v>
      </c>
      <c r="G14" s="288" t="e">
        <f>#REF!+#REF!</f>
        <v>#REF!</v>
      </c>
      <c r="H14" s="322" t="e">
        <f t="shared" si="25"/>
        <v>#REF!</v>
      </c>
      <c r="I14" s="323" t="e">
        <f>#REF!</f>
        <v>#REF!</v>
      </c>
      <c r="J14" s="324" t="e">
        <f>#REF!</f>
        <v>#REF!</v>
      </c>
      <c r="K14" s="325" t="e">
        <f t="shared" si="10"/>
        <v>#REF!</v>
      </c>
      <c r="L14" s="326" t="e">
        <f>#REF!</f>
        <v>#REF!</v>
      </c>
      <c r="M14" s="324" t="e">
        <f>#REF!</f>
        <v>#REF!</v>
      </c>
      <c r="N14" s="325" t="e">
        <f t="shared" si="11"/>
        <v>#REF!</v>
      </c>
      <c r="O14" s="326" t="e">
        <f>#REF!</f>
        <v>#REF!</v>
      </c>
      <c r="P14" s="324" t="e">
        <f>#REF!</f>
        <v>#REF!</v>
      </c>
      <c r="Q14" s="325" t="e">
        <f t="shared" si="12"/>
        <v>#REF!</v>
      </c>
      <c r="R14" s="294" t="e">
        <f>I14+L14+O14</f>
        <v>#REF!</v>
      </c>
      <c r="S14" s="327" t="e">
        <f>J14+M14+P14</f>
        <v>#REF!</v>
      </c>
      <c r="T14" s="328" t="e">
        <f t="shared" si="14"/>
        <v>#REF!</v>
      </c>
      <c r="U14" s="287" t="e">
        <f>R14+F14</f>
        <v>#REF!</v>
      </c>
      <c r="V14" s="288" t="e">
        <f>S14+G14</f>
        <v>#REF!</v>
      </c>
      <c r="W14" s="329" t="e">
        <f t="shared" si="15"/>
        <v>#REF!</v>
      </c>
      <c r="X14" s="294" t="e">
        <f>#REF!</f>
        <v>#REF!</v>
      </c>
      <c r="Y14" s="327" t="e">
        <f>#REF!</f>
        <v>#REF!</v>
      </c>
      <c r="Z14" s="328" t="e">
        <f t="shared" si="17"/>
        <v>#REF!</v>
      </c>
      <c r="AA14" s="235"/>
      <c r="AB14" s="287" t="e">
        <f>F14+R14+X14</f>
        <v>#REF!</v>
      </c>
      <c r="AC14" s="298" t="e">
        <f>G14+S14+Y14</f>
        <v>#REF!</v>
      </c>
      <c r="AD14" s="330" t="e">
        <f t="shared" si="19"/>
        <v>#REF!</v>
      </c>
      <c r="AF14" t="s">
        <v>590</v>
      </c>
    </row>
    <row r="15" spans="1:32" ht="25.35" customHeight="1">
      <c r="A15" s="208"/>
      <c r="B15" s="1576" t="s">
        <v>28</v>
      </c>
      <c r="C15" s="1577"/>
      <c r="D15" s="300" t="e">
        <f>SUM(D16:D20)</f>
        <v>#REF!</v>
      </c>
      <c r="E15" s="301" t="e">
        <f>SUM(E16:E20)</f>
        <v>#REF!</v>
      </c>
      <c r="F15" s="302" t="e">
        <f>SUM(F16:F20)</f>
        <v>#REF!</v>
      </c>
      <c r="G15" s="303" t="e">
        <f t="shared" ref="G15:H15" si="26">SUM(G16:G20)</f>
        <v>#REF!</v>
      </c>
      <c r="H15" s="304" t="e">
        <f t="shared" si="26"/>
        <v>#REF!</v>
      </c>
      <c r="I15" s="331" t="e">
        <f>SUM(I16:I20)</f>
        <v>#REF!</v>
      </c>
      <c r="J15" s="305" t="e">
        <f t="shared" ref="J15" si="27">SUM(J16:J20)</f>
        <v>#REF!</v>
      </c>
      <c r="K15" s="332" t="e">
        <f t="shared" si="10"/>
        <v>#REF!</v>
      </c>
      <c r="L15" s="333" t="e">
        <f>SUM(L16:L20)</f>
        <v>#REF!</v>
      </c>
      <c r="M15" s="305" t="e">
        <f t="shared" ref="M15" si="28">SUM(M16:M20)</f>
        <v>#REF!</v>
      </c>
      <c r="N15" s="332" t="e">
        <f t="shared" si="11"/>
        <v>#REF!</v>
      </c>
      <c r="O15" s="333" t="e">
        <f>SUM(O16:O20)</f>
        <v>#REF!</v>
      </c>
      <c r="P15" s="305" t="e">
        <f t="shared" ref="P15" si="29">SUM(P16:P20)</f>
        <v>#REF!</v>
      </c>
      <c r="Q15" s="332" t="e">
        <f t="shared" si="12"/>
        <v>#REF!</v>
      </c>
      <c r="R15" s="304" t="e">
        <f>SUM(R16:R20)</f>
        <v>#REF!</v>
      </c>
      <c r="S15" s="305" t="e">
        <f t="shared" ref="S15" si="30">SUM(S16:S20)</f>
        <v>#REF!</v>
      </c>
      <c r="T15" s="306" t="e">
        <f t="shared" si="14"/>
        <v>#REF!</v>
      </c>
      <c r="U15" s="304" t="e">
        <f>SUM(U16:U20)</f>
        <v>#REF!</v>
      </c>
      <c r="V15" s="303" t="e">
        <f t="shared" ref="V15" si="31">SUM(V16:V20)</f>
        <v>#REF!</v>
      </c>
      <c r="W15" s="307" t="e">
        <f t="shared" si="15"/>
        <v>#REF!</v>
      </c>
      <c r="X15" s="304" t="e">
        <f>SUM(X16:X20)</f>
        <v>#REF!</v>
      </c>
      <c r="Y15" s="305" t="e">
        <f t="shared" ref="Y15" si="32">SUM(Y16:Y20)</f>
        <v>#REF!</v>
      </c>
      <c r="Z15" s="306" t="e">
        <f t="shared" si="17"/>
        <v>#REF!</v>
      </c>
      <c r="AA15" s="266"/>
      <c r="AB15" s="302" t="e">
        <f>SUM(AB16:AB20)</f>
        <v>#REF!</v>
      </c>
      <c r="AC15" s="308" t="e">
        <f t="shared" ref="AC15" si="33">SUM(AC16:AC20)</f>
        <v>#REF!</v>
      </c>
      <c r="AD15" s="309" t="e">
        <f t="shared" si="19"/>
        <v>#REF!</v>
      </c>
      <c r="AF15" s="214" t="s">
        <v>591</v>
      </c>
    </row>
    <row r="16" spans="1:32" ht="25.35" customHeight="1">
      <c r="A16" s="208"/>
      <c r="B16" s="1578"/>
      <c r="C16" s="442" t="s">
        <v>51</v>
      </c>
      <c r="D16" s="310">
        <v>29.709</v>
      </c>
      <c r="E16" s="270">
        <v>11.77</v>
      </c>
      <c r="F16" s="271" t="e">
        <f>#REF!+#REF!</f>
        <v>#REF!</v>
      </c>
      <c r="G16" s="272">
        <v>5.08</v>
      </c>
      <c r="H16" s="311" t="e">
        <f t="shared" ref="H16:H19" si="34">G16-F16</f>
        <v>#REF!</v>
      </c>
      <c r="I16" s="312" t="e">
        <f>#REF!</f>
        <v>#REF!</v>
      </c>
      <c r="J16" s="313" t="e">
        <f>#REF!</f>
        <v>#REF!</v>
      </c>
      <c r="K16" s="314" t="e">
        <f t="shared" si="10"/>
        <v>#REF!</v>
      </c>
      <c r="L16" s="315" t="e">
        <f>#REF!</f>
        <v>#REF!</v>
      </c>
      <c r="M16" s="313" t="e">
        <f>#REF!</f>
        <v>#REF!</v>
      </c>
      <c r="N16" s="314" t="e">
        <f t="shared" si="11"/>
        <v>#REF!</v>
      </c>
      <c r="O16" s="315" t="e">
        <f>#REF!</f>
        <v>#REF!</v>
      </c>
      <c r="P16" s="275" t="e">
        <f>#REF!</f>
        <v>#REF!</v>
      </c>
      <c r="Q16" s="314" t="e">
        <f t="shared" si="12"/>
        <v>#REF!</v>
      </c>
      <c r="R16" s="279" t="e">
        <f>I16+L16+O16</f>
        <v>#REF!</v>
      </c>
      <c r="S16" s="447" t="e">
        <f>J16+M16+P16</f>
        <v>#REF!</v>
      </c>
      <c r="T16" s="316" t="e">
        <f t="shared" si="14"/>
        <v>#REF!</v>
      </c>
      <c r="U16" s="271" t="e">
        <f>R16+F16</f>
        <v>#REF!</v>
      </c>
      <c r="V16" s="272" t="e">
        <f>S16+G16</f>
        <v>#REF!</v>
      </c>
      <c r="W16" s="317" t="e">
        <f t="shared" si="15"/>
        <v>#REF!</v>
      </c>
      <c r="X16" s="279" t="e">
        <f>#REF!</f>
        <v>#REF!</v>
      </c>
      <c r="Y16" s="280" t="e">
        <f>#REF!</f>
        <v>#REF!</v>
      </c>
      <c r="Z16" s="316" t="e">
        <f t="shared" si="17"/>
        <v>#REF!</v>
      </c>
      <c r="AA16" s="235"/>
      <c r="AB16" s="271" t="e">
        <f>F16+R16+X16</f>
        <v>#REF!</v>
      </c>
      <c r="AC16" s="283" t="e">
        <f>G16+S16+Y16</f>
        <v>#REF!</v>
      </c>
      <c r="AD16" s="284" t="e">
        <f t="shared" si="19"/>
        <v>#REF!</v>
      </c>
      <c r="AF16" t="s">
        <v>592</v>
      </c>
    </row>
    <row r="17" spans="1:32" ht="25.35" customHeight="1">
      <c r="A17" s="208"/>
      <c r="B17" s="1578"/>
      <c r="C17" s="444" t="s">
        <v>30</v>
      </c>
      <c r="D17" s="334">
        <v>27.535000000000004</v>
      </c>
      <c r="E17" s="335">
        <v>19.098750000000003</v>
      </c>
      <c r="F17" s="336" t="e">
        <f>#REF!+#REF!</f>
        <v>#REF!</v>
      </c>
      <c r="G17" s="337">
        <v>7.4675000000000002</v>
      </c>
      <c r="H17" s="338" t="e">
        <f t="shared" si="34"/>
        <v>#REF!</v>
      </c>
      <c r="I17" s="339" t="e">
        <f>#REF!</f>
        <v>#REF!</v>
      </c>
      <c r="J17" s="340" t="e">
        <f>#REF!</f>
        <v>#REF!</v>
      </c>
      <c r="K17" s="341" t="e">
        <f t="shared" si="10"/>
        <v>#REF!</v>
      </c>
      <c r="L17" s="342" t="e">
        <f>#REF!</f>
        <v>#REF!</v>
      </c>
      <c r="M17" s="340" t="e">
        <f>#REF!</f>
        <v>#REF!</v>
      </c>
      <c r="N17" s="341" t="e">
        <f t="shared" si="11"/>
        <v>#REF!</v>
      </c>
      <c r="O17" s="342" t="e">
        <f>#REF!</f>
        <v>#REF!</v>
      </c>
      <c r="P17" s="351" t="e">
        <f>#REF!</f>
        <v>#REF!</v>
      </c>
      <c r="Q17" s="341" t="e">
        <f t="shared" si="12"/>
        <v>#REF!</v>
      </c>
      <c r="R17" s="343" t="e">
        <f t="shared" ref="R17:S20" si="35">I17+L17+O17</f>
        <v>#REF!</v>
      </c>
      <c r="S17" s="448" t="e">
        <f t="shared" si="35"/>
        <v>#REF!</v>
      </c>
      <c r="T17" s="345" t="e">
        <f t="shared" si="14"/>
        <v>#REF!</v>
      </c>
      <c r="U17" s="336" t="e">
        <f t="shared" ref="U17:U20" si="36">R17+F17</f>
        <v>#REF!</v>
      </c>
      <c r="V17" s="337" t="e">
        <f t="shared" ref="V17:V20" si="37">S17+G17</f>
        <v>#REF!</v>
      </c>
      <c r="W17" s="346" t="e">
        <f t="shared" si="15"/>
        <v>#REF!</v>
      </c>
      <c r="X17" s="343" t="e">
        <f>#REF!</f>
        <v>#REF!</v>
      </c>
      <c r="Y17" s="344" t="e">
        <f>#REF!</f>
        <v>#REF!</v>
      </c>
      <c r="Z17" s="345" t="e">
        <f t="shared" si="17"/>
        <v>#REF!</v>
      </c>
      <c r="AA17" s="235"/>
      <c r="AB17" s="336" t="e">
        <f t="shared" ref="AB17:AB20" si="38">F17+R17+X17</f>
        <v>#REF!</v>
      </c>
      <c r="AC17" s="347" t="e">
        <f t="shared" ref="AC17:AC20" si="39">G17+S17+Y17</f>
        <v>#REF!</v>
      </c>
      <c r="AD17" s="348" t="e">
        <f t="shared" si="19"/>
        <v>#REF!</v>
      </c>
      <c r="AF17" t="s">
        <v>593</v>
      </c>
    </row>
    <row r="18" spans="1:32" ht="25.35" customHeight="1">
      <c r="A18" s="208"/>
      <c r="B18" s="1578"/>
      <c r="C18" s="444" t="s">
        <v>29</v>
      </c>
      <c r="D18" s="334">
        <v>75.070822480000004</v>
      </c>
      <c r="E18" s="335">
        <v>30.988331480000006</v>
      </c>
      <c r="F18" s="336" t="e">
        <f>#REF!+#REF!</f>
        <v>#REF!</v>
      </c>
      <c r="G18" s="337">
        <v>12.22566574</v>
      </c>
      <c r="H18" s="349" t="e">
        <f t="shared" si="34"/>
        <v>#REF!</v>
      </c>
      <c r="I18" s="350" t="e">
        <f>#REF!</f>
        <v>#REF!</v>
      </c>
      <c r="J18" s="351" t="e">
        <f>#REF!</f>
        <v>#REF!</v>
      </c>
      <c r="K18" s="352" t="e">
        <f t="shared" si="10"/>
        <v>#REF!</v>
      </c>
      <c r="L18" s="353" t="e">
        <f>#REF!</f>
        <v>#REF!</v>
      </c>
      <c r="M18" s="351" t="e">
        <f>#REF!</f>
        <v>#REF!</v>
      </c>
      <c r="N18" s="352" t="e">
        <f t="shared" si="11"/>
        <v>#REF!</v>
      </c>
      <c r="O18" s="353" t="e">
        <f>#REF!</f>
        <v>#REF!</v>
      </c>
      <c r="P18" s="351" t="e">
        <f>#REF!</f>
        <v>#REF!</v>
      </c>
      <c r="Q18" s="354" t="e">
        <f t="shared" si="12"/>
        <v>#REF!</v>
      </c>
      <c r="R18" s="343" t="e">
        <f t="shared" si="35"/>
        <v>#REF!</v>
      </c>
      <c r="S18" s="448" t="e">
        <f t="shared" si="35"/>
        <v>#REF!</v>
      </c>
      <c r="T18" s="345" t="e">
        <f t="shared" si="14"/>
        <v>#REF!</v>
      </c>
      <c r="U18" s="336" t="e">
        <f t="shared" si="36"/>
        <v>#REF!</v>
      </c>
      <c r="V18" s="337" t="e">
        <f t="shared" si="37"/>
        <v>#REF!</v>
      </c>
      <c r="W18" s="355" t="e">
        <f t="shared" si="15"/>
        <v>#REF!</v>
      </c>
      <c r="X18" s="343" t="e">
        <f>#REF!</f>
        <v>#REF!</v>
      </c>
      <c r="Y18" s="344" t="e">
        <f>#REF!</f>
        <v>#REF!</v>
      </c>
      <c r="Z18" s="345" t="e">
        <f t="shared" si="17"/>
        <v>#REF!</v>
      </c>
      <c r="AA18" s="235"/>
      <c r="AB18" s="336" t="e">
        <f t="shared" si="38"/>
        <v>#REF!</v>
      </c>
      <c r="AC18" s="347" t="e">
        <f t="shared" si="39"/>
        <v>#REF!</v>
      </c>
      <c r="AD18" s="356" t="e">
        <f t="shared" si="19"/>
        <v>#REF!</v>
      </c>
      <c r="AF18" t="s">
        <v>594</v>
      </c>
    </row>
    <row r="19" spans="1:32" ht="25.35" customHeight="1">
      <c r="A19" s="208"/>
      <c r="B19" s="1578"/>
      <c r="C19" s="445" t="s">
        <v>22</v>
      </c>
      <c r="D19" s="357">
        <v>11.9</v>
      </c>
      <c r="E19" s="358">
        <v>5.9499999999999993</v>
      </c>
      <c r="F19" s="359" t="e">
        <f>#REF!+#REF!</f>
        <v>#REF!</v>
      </c>
      <c r="G19" s="360">
        <v>27.006250000000001</v>
      </c>
      <c r="H19" s="361" t="e">
        <f t="shared" si="34"/>
        <v>#REF!</v>
      </c>
      <c r="I19" s="362" t="e">
        <f>#REF!</f>
        <v>#REF!</v>
      </c>
      <c r="J19" s="363" t="e">
        <f>#REF!</f>
        <v>#REF!</v>
      </c>
      <c r="K19" s="364" t="e">
        <f t="shared" si="10"/>
        <v>#REF!</v>
      </c>
      <c r="L19" s="365" t="e">
        <f>#REF!</f>
        <v>#REF!</v>
      </c>
      <c r="M19" s="366" t="e">
        <f>#REF!-0.27252</f>
        <v>#REF!</v>
      </c>
      <c r="N19" s="364" t="e">
        <f t="shared" si="11"/>
        <v>#REF!</v>
      </c>
      <c r="O19" s="365" t="e">
        <f>#REF!</f>
        <v>#REF!</v>
      </c>
      <c r="P19" s="451" t="e">
        <f>#REF!</f>
        <v>#REF!</v>
      </c>
      <c r="Q19" s="364" t="e">
        <f t="shared" si="12"/>
        <v>#REF!</v>
      </c>
      <c r="R19" s="367" t="e">
        <f t="shared" si="35"/>
        <v>#REF!</v>
      </c>
      <c r="S19" s="449" t="e">
        <f t="shared" si="35"/>
        <v>#REF!</v>
      </c>
      <c r="T19" s="369" t="e">
        <f t="shared" si="14"/>
        <v>#REF!</v>
      </c>
      <c r="U19" s="359" t="e">
        <f t="shared" si="36"/>
        <v>#REF!</v>
      </c>
      <c r="V19" s="360" t="e">
        <f t="shared" si="37"/>
        <v>#REF!</v>
      </c>
      <c r="W19" s="370" t="e">
        <f t="shared" si="15"/>
        <v>#REF!</v>
      </c>
      <c r="X19" s="367" t="e">
        <f>#REF!</f>
        <v>#REF!</v>
      </c>
      <c r="Y19" s="368" t="e">
        <f>#REF!</f>
        <v>#REF!</v>
      </c>
      <c r="Z19" s="369" t="e">
        <f t="shared" si="17"/>
        <v>#REF!</v>
      </c>
      <c r="AA19" s="235"/>
      <c r="AB19" s="359" t="e">
        <f t="shared" si="38"/>
        <v>#REF!</v>
      </c>
      <c r="AC19" s="371" t="e">
        <f t="shared" si="39"/>
        <v>#REF!</v>
      </c>
      <c r="AD19" s="372" t="e">
        <f t="shared" si="19"/>
        <v>#REF!</v>
      </c>
      <c r="AF19" t="s">
        <v>595</v>
      </c>
    </row>
    <row r="20" spans="1:32" ht="25.35" customHeight="1" thickBot="1">
      <c r="A20" s="209"/>
      <c r="B20" s="1854"/>
      <c r="C20" s="210" t="s">
        <v>527</v>
      </c>
      <c r="D20" s="373" t="e">
        <f>W39</f>
        <v>#REF!</v>
      </c>
      <c r="E20" s="374" t="e">
        <f>AB20</f>
        <v>#REF!</v>
      </c>
      <c r="F20" s="375" t="e">
        <f>SUM(#REF!)/10^8</f>
        <v>#REF!</v>
      </c>
      <c r="G20" s="376" t="e">
        <f>L39</f>
        <v>#REF!</v>
      </c>
      <c r="H20" s="377" t="e">
        <f>G20-F20</f>
        <v>#REF!</v>
      </c>
      <c r="I20" s="378" t="e">
        <f>#REF!/10^8</f>
        <v>#REF!</v>
      </c>
      <c r="J20" s="379" t="e">
        <f>#REF!/10^8</f>
        <v>#REF!</v>
      </c>
      <c r="K20" s="380" t="e">
        <f t="shared" si="10"/>
        <v>#REF!</v>
      </c>
      <c r="L20" s="381" t="e">
        <f>#REF!/10^8</f>
        <v>#REF!</v>
      </c>
      <c r="M20" s="379" t="e">
        <f>#REF!</f>
        <v>#REF!</v>
      </c>
      <c r="N20" s="380" t="e">
        <f t="shared" si="11"/>
        <v>#REF!</v>
      </c>
      <c r="O20" s="381" t="e">
        <f>#REF!/10^8</f>
        <v>#REF!</v>
      </c>
      <c r="P20" s="452" t="e">
        <f>#REF!</f>
        <v>#REF!</v>
      </c>
      <c r="Q20" s="380" t="e">
        <f t="shared" si="12"/>
        <v>#REF!</v>
      </c>
      <c r="R20" s="382" t="e">
        <f t="shared" si="35"/>
        <v>#REF!</v>
      </c>
      <c r="S20" s="450" t="e">
        <f t="shared" si="35"/>
        <v>#REF!</v>
      </c>
      <c r="T20" s="383" t="e">
        <f t="shared" si="14"/>
        <v>#REF!</v>
      </c>
      <c r="U20" s="384" t="e">
        <f t="shared" si="36"/>
        <v>#REF!</v>
      </c>
      <c r="V20" s="385" t="e">
        <f t="shared" si="37"/>
        <v>#REF!</v>
      </c>
      <c r="W20" s="386" t="e">
        <f t="shared" si="15"/>
        <v>#REF!</v>
      </c>
      <c r="X20" s="387" t="e">
        <f>SUM(#REF!)/10^8</f>
        <v>#REF!</v>
      </c>
      <c r="Y20" s="388" t="e">
        <f>X20</f>
        <v>#REF!</v>
      </c>
      <c r="Z20" s="389" t="e">
        <f t="shared" si="17"/>
        <v>#REF!</v>
      </c>
      <c r="AA20" s="235"/>
      <c r="AB20" s="375" t="e">
        <f t="shared" si="38"/>
        <v>#REF!</v>
      </c>
      <c r="AC20" s="390" t="e">
        <f t="shared" si="39"/>
        <v>#REF!</v>
      </c>
      <c r="AD20" s="391" t="e">
        <f t="shared" si="19"/>
        <v>#REF!</v>
      </c>
    </row>
    <row r="21" spans="1:32" ht="22.5" customHeight="1">
      <c r="B21" t="s">
        <v>596</v>
      </c>
    </row>
    <row r="22" spans="1:32" ht="31.5" customHeight="1" thickBot="1">
      <c r="A22" s="212" t="s">
        <v>597</v>
      </c>
      <c r="Z22" s="213" t="s">
        <v>6</v>
      </c>
      <c r="AD22" s="213"/>
      <c r="AF22" s="214" t="s">
        <v>598</v>
      </c>
    </row>
    <row r="23" spans="1:32" ht="30.75" customHeight="1" thickBot="1">
      <c r="B23" s="1831" t="s">
        <v>7</v>
      </c>
      <c r="C23" s="1832"/>
      <c r="D23" s="1833"/>
      <c r="E23" s="1855" t="s">
        <v>583</v>
      </c>
      <c r="F23" s="1856"/>
      <c r="G23" s="1856"/>
      <c r="H23" s="1856"/>
      <c r="I23" s="1856"/>
      <c r="J23" s="1856"/>
      <c r="K23" s="1857"/>
      <c r="L23" s="1857"/>
      <c r="M23" s="1858"/>
      <c r="N23" s="1855" t="s">
        <v>599</v>
      </c>
      <c r="O23" s="1856"/>
      <c r="P23" s="1856"/>
      <c r="Q23" s="1856"/>
      <c r="R23" s="1856"/>
      <c r="S23" s="1856"/>
      <c r="T23" s="1857"/>
      <c r="U23" s="1857"/>
      <c r="V23" s="1858"/>
      <c r="W23" s="1859" t="s">
        <v>600</v>
      </c>
      <c r="X23" s="1857"/>
      <c r="Y23" s="1857"/>
      <c r="Z23" s="1858"/>
    </row>
    <row r="24" spans="1:32" ht="30.75" customHeight="1">
      <c r="B24" s="1834"/>
      <c r="C24" s="1835"/>
      <c r="D24" s="1836"/>
      <c r="E24" s="1860" t="s">
        <v>2</v>
      </c>
      <c r="F24" s="1860"/>
      <c r="G24" s="1860"/>
      <c r="H24" s="1860" t="s">
        <v>155</v>
      </c>
      <c r="I24" s="1860"/>
      <c r="J24" s="1860"/>
      <c r="K24" s="1861" t="s">
        <v>583</v>
      </c>
      <c r="L24" s="1861"/>
      <c r="M24" s="1861"/>
      <c r="N24" s="1860" t="s">
        <v>99</v>
      </c>
      <c r="O24" s="1860"/>
      <c r="P24" s="1860"/>
      <c r="Q24" s="1764" t="s">
        <v>174</v>
      </c>
      <c r="R24" s="1765"/>
      <c r="S24" s="1766"/>
      <c r="T24" s="1767" t="s">
        <v>599</v>
      </c>
      <c r="U24" s="1768"/>
      <c r="V24" s="1769"/>
      <c r="W24" s="1767"/>
      <c r="X24" s="1768"/>
      <c r="Y24" s="1768"/>
      <c r="Z24" s="1769"/>
    </row>
    <row r="25" spans="1:32" ht="21" customHeight="1">
      <c r="B25" s="1834"/>
      <c r="C25" s="1835"/>
      <c r="D25" s="1836"/>
      <c r="E25" s="1748" t="s">
        <v>581</v>
      </c>
      <c r="F25" s="1744" t="s">
        <v>522</v>
      </c>
      <c r="G25" s="1741" t="s">
        <v>16</v>
      </c>
      <c r="H25" s="1748" t="s">
        <v>581</v>
      </c>
      <c r="I25" s="1744" t="s">
        <v>522</v>
      </c>
      <c r="J25" s="1741" t="s">
        <v>16</v>
      </c>
      <c r="K25" s="1748" t="s">
        <v>581</v>
      </c>
      <c r="L25" s="1744" t="s">
        <v>522</v>
      </c>
      <c r="M25" s="1741" t="s">
        <v>16</v>
      </c>
      <c r="N25" s="1748" t="s">
        <v>581</v>
      </c>
      <c r="O25" s="1744" t="s">
        <v>601</v>
      </c>
      <c r="P25" s="1741" t="s">
        <v>16</v>
      </c>
      <c r="Q25" s="1748" t="s">
        <v>581</v>
      </c>
      <c r="R25" s="1744" t="s">
        <v>601</v>
      </c>
      <c r="S25" s="1741" t="s">
        <v>16</v>
      </c>
      <c r="T25" s="1748" t="s">
        <v>581</v>
      </c>
      <c r="U25" s="1744" t="s">
        <v>601</v>
      </c>
      <c r="V25" s="1741" t="s">
        <v>16</v>
      </c>
      <c r="W25" s="1748" t="s">
        <v>581</v>
      </c>
      <c r="X25" s="1744" t="s">
        <v>601</v>
      </c>
      <c r="Y25" s="1737" t="s">
        <v>16</v>
      </c>
      <c r="Z25" s="1829" t="s">
        <v>552</v>
      </c>
    </row>
    <row r="26" spans="1:32" ht="21" customHeight="1" thickBot="1">
      <c r="B26" s="1837"/>
      <c r="C26" s="1838"/>
      <c r="D26" s="1839"/>
      <c r="E26" s="1749"/>
      <c r="F26" s="1745"/>
      <c r="G26" s="1742"/>
      <c r="H26" s="1749"/>
      <c r="I26" s="1745"/>
      <c r="J26" s="1742"/>
      <c r="K26" s="1749"/>
      <c r="L26" s="1745"/>
      <c r="M26" s="1742"/>
      <c r="N26" s="1749"/>
      <c r="O26" s="1745"/>
      <c r="P26" s="1742"/>
      <c r="Q26" s="1749"/>
      <c r="R26" s="1745"/>
      <c r="S26" s="1742"/>
      <c r="T26" s="1749"/>
      <c r="U26" s="1745"/>
      <c r="V26" s="1742"/>
      <c r="W26" s="1749"/>
      <c r="X26" s="1745"/>
      <c r="Y26" s="1738"/>
      <c r="Z26" s="1830"/>
    </row>
    <row r="27" spans="1:32" ht="25.35" customHeight="1">
      <c r="B27" s="218"/>
      <c r="C27" s="1580" t="s">
        <v>18</v>
      </c>
      <c r="D27" s="1581"/>
      <c r="E27" s="392" t="e">
        <f>E28+E31+E34</f>
        <v>#REF!</v>
      </c>
      <c r="F27" s="247" t="e">
        <f t="shared" ref="F27" si="40">F28+F31+F34</f>
        <v>#REF!</v>
      </c>
      <c r="G27" s="393" t="e">
        <f>F27-E27</f>
        <v>#REF!</v>
      </c>
      <c r="H27" s="392" t="e">
        <f>H28+H31+H34</f>
        <v>#REF!</v>
      </c>
      <c r="I27" s="247" t="e">
        <f t="shared" ref="I27" si="41">I28+I31+I34</f>
        <v>#REF!</v>
      </c>
      <c r="J27" s="428" t="e">
        <f>I27-H27</f>
        <v>#REF!</v>
      </c>
      <c r="K27" s="392" t="e">
        <f>K28+K31+K34</f>
        <v>#REF!</v>
      </c>
      <c r="L27" s="247" t="e">
        <f t="shared" ref="L27" si="42">L28+L31+L34</f>
        <v>#REF!</v>
      </c>
      <c r="M27" s="393" t="e">
        <f>L27-K27</f>
        <v>#REF!</v>
      </c>
      <c r="N27" s="392" t="e">
        <f>N28+N31+N34</f>
        <v>#REF!</v>
      </c>
      <c r="O27" s="247" t="e">
        <f t="shared" ref="O27" si="43">O28+O31+O34</f>
        <v>#REF!</v>
      </c>
      <c r="P27" s="251" t="e">
        <f>O27-N27</f>
        <v>#REF!</v>
      </c>
      <c r="Q27" s="392" t="e">
        <f>Q28+Q31+Q34</f>
        <v>#REF!</v>
      </c>
      <c r="R27" s="247" t="e">
        <f t="shared" ref="R27" si="44">R28+R31+R34</f>
        <v>#REF!</v>
      </c>
      <c r="S27" s="393" t="e">
        <f>R27-Q27</f>
        <v>#REF!</v>
      </c>
      <c r="T27" s="392" t="e">
        <f>T28+T31+T34</f>
        <v>#REF!</v>
      </c>
      <c r="U27" s="247" t="e">
        <f t="shared" ref="U27" si="45">U28+U31+U34</f>
        <v>#REF!</v>
      </c>
      <c r="V27" s="428" t="e">
        <f>U27-T27</f>
        <v>#REF!</v>
      </c>
      <c r="W27" s="392" t="e">
        <f>W28+W31+W34</f>
        <v>#REF!</v>
      </c>
      <c r="X27" s="247" t="e">
        <f t="shared" ref="X27" si="46">X28+X31+X34</f>
        <v>#REF!</v>
      </c>
      <c r="Y27" s="394" t="e">
        <f>X27-W27</f>
        <v>#REF!</v>
      </c>
      <c r="Z27" s="395" t="e">
        <f>X27/W27-1</f>
        <v>#REF!</v>
      </c>
    </row>
    <row r="28" spans="1:32" ht="25.35" customHeight="1">
      <c r="B28" s="218"/>
      <c r="C28" s="1739" t="s">
        <v>20</v>
      </c>
      <c r="D28" s="1740"/>
      <c r="E28" s="396" t="e">
        <f t="shared" ref="E28:F28" si="47">SUM(E29:E30)</f>
        <v>#REF!</v>
      </c>
      <c r="F28" s="261" t="e">
        <f t="shared" si="47"/>
        <v>#REF!</v>
      </c>
      <c r="G28" s="264" t="e">
        <f t="shared" ref="G28:G39" si="48">F28-E28</f>
        <v>#REF!</v>
      </c>
      <c r="H28" s="396" t="e">
        <f t="shared" ref="H28:I28" si="49">SUM(H29:H30)</f>
        <v>#REF!</v>
      </c>
      <c r="I28" s="261" t="e">
        <f t="shared" si="49"/>
        <v>#REF!</v>
      </c>
      <c r="J28" s="397" t="e">
        <f t="shared" ref="J28:J39" si="50">I28-H28</f>
        <v>#REF!</v>
      </c>
      <c r="K28" s="396" t="e">
        <f t="shared" ref="K28:L28" si="51">SUM(K29:K30)</f>
        <v>#REF!</v>
      </c>
      <c r="L28" s="261" t="e">
        <f t="shared" si="51"/>
        <v>#REF!</v>
      </c>
      <c r="M28" s="264" t="e">
        <f t="shared" ref="M28:M39" si="52">L28-K28</f>
        <v>#REF!</v>
      </c>
      <c r="N28" s="396" t="e">
        <f t="shared" ref="N28:O28" si="53">SUM(N29:N30)</f>
        <v>#REF!</v>
      </c>
      <c r="O28" s="261" t="e">
        <f t="shared" si="53"/>
        <v>#REF!</v>
      </c>
      <c r="P28" s="397" t="e">
        <f t="shared" ref="P28:P39" si="54">O28-N28</f>
        <v>#REF!</v>
      </c>
      <c r="Q28" s="396" t="e">
        <f t="shared" ref="Q28:R28" si="55">SUM(Q29:Q30)</f>
        <v>#REF!</v>
      </c>
      <c r="R28" s="261" t="e">
        <f t="shared" si="55"/>
        <v>#REF!</v>
      </c>
      <c r="S28" s="264" t="e">
        <f t="shared" ref="S28:S39" si="56">R28-Q28</f>
        <v>#REF!</v>
      </c>
      <c r="T28" s="396" t="e">
        <f t="shared" ref="T28:U28" si="57">SUM(T29:T30)</f>
        <v>#REF!</v>
      </c>
      <c r="U28" s="261" t="e">
        <f t="shared" si="57"/>
        <v>#REF!</v>
      </c>
      <c r="V28" s="264" t="e">
        <f t="shared" ref="V28:V39" si="58">U28-T28</f>
        <v>#REF!</v>
      </c>
      <c r="W28" s="396" t="e">
        <f t="shared" ref="W28:X28" si="59">SUM(W29:W30)</f>
        <v>#REF!</v>
      </c>
      <c r="X28" s="261" t="e">
        <f t="shared" si="59"/>
        <v>#REF!</v>
      </c>
      <c r="Y28" s="398" t="e">
        <f t="shared" ref="Y28:Y39" si="60">X28-W28</f>
        <v>#REF!</v>
      </c>
      <c r="Z28" s="399" t="e">
        <f t="shared" ref="Z28:Z39" si="61">X28/W28-1</f>
        <v>#REF!</v>
      </c>
    </row>
    <row r="29" spans="1:32" ht="25.35" customHeight="1">
      <c r="B29" s="218"/>
      <c r="C29" s="1743"/>
      <c r="D29" s="429" t="s">
        <v>132</v>
      </c>
      <c r="E29" s="279" t="e">
        <f>#REF!</f>
        <v>#REF!</v>
      </c>
      <c r="F29" s="280" t="e">
        <f>#REF!</f>
        <v>#REF!</v>
      </c>
      <c r="G29" s="316" t="e">
        <f t="shared" si="48"/>
        <v>#REF!</v>
      </c>
      <c r="H29" s="279" t="e">
        <f>#REF!</f>
        <v>#REF!</v>
      </c>
      <c r="I29" s="280" t="e">
        <f>#REF!</f>
        <v>#REF!</v>
      </c>
      <c r="J29" s="316" t="e">
        <f t="shared" si="50"/>
        <v>#REF!</v>
      </c>
      <c r="K29" s="279" t="e">
        <f>E29+H29</f>
        <v>#REF!</v>
      </c>
      <c r="L29" s="280" t="e">
        <f>F29+I29</f>
        <v>#REF!</v>
      </c>
      <c r="M29" s="316" t="e">
        <f t="shared" si="52"/>
        <v>#REF!</v>
      </c>
      <c r="N29" s="279" t="e">
        <f>#REF!</f>
        <v>#REF!</v>
      </c>
      <c r="O29" s="280" t="e">
        <f>S10</f>
        <v>#REF!</v>
      </c>
      <c r="P29" s="316" t="e">
        <f t="shared" si="54"/>
        <v>#REF!</v>
      </c>
      <c r="Q29" s="279" t="e">
        <f>#REF!</f>
        <v>#REF!</v>
      </c>
      <c r="R29" s="280" t="e">
        <f>Y10</f>
        <v>#REF!</v>
      </c>
      <c r="S29" s="316" t="e">
        <f t="shared" si="56"/>
        <v>#REF!</v>
      </c>
      <c r="T29" s="279" t="e">
        <f>N29+Q29</f>
        <v>#REF!</v>
      </c>
      <c r="U29" s="280" t="e">
        <f>O29+R29</f>
        <v>#REF!</v>
      </c>
      <c r="V29" s="316" t="e">
        <f t="shared" si="58"/>
        <v>#REF!</v>
      </c>
      <c r="W29" s="279" t="e">
        <f>E29+H29+N29+Q29</f>
        <v>#REF!</v>
      </c>
      <c r="X29" s="280" t="e">
        <f>F29+I29+O29+R29</f>
        <v>#REF!</v>
      </c>
      <c r="Y29" s="311" t="e">
        <f t="shared" si="60"/>
        <v>#REF!</v>
      </c>
      <c r="Z29" s="400" t="e">
        <f t="shared" si="61"/>
        <v>#REF!</v>
      </c>
    </row>
    <row r="30" spans="1:32" ht="25.35" customHeight="1">
      <c r="B30" s="218"/>
      <c r="C30" s="1743"/>
      <c r="D30" s="424" t="s">
        <v>52</v>
      </c>
      <c r="E30" s="294" t="e">
        <f>#REF!</f>
        <v>#REF!</v>
      </c>
      <c r="F30" s="295" t="e">
        <f>#REF!</f>
        <v>#REF!</v>
      </c>
      <c r="G30" s="401" t="e">
        <f t="shared" si="48"/>
        <v>#REF!</v>
      </c>
      <c r="H30" s="294" t="e">
        <f>#REF!</f>
        <v>#REF!</v>
      </c>
      <c r="I30" s="295" t="e">
        <f>#REF!</f>
        <v>#REF!</v>
      </c>
      <c r="J30" s="401" t="e">
        <f t="shared" si="50"/>
        <v>#REF!</v>
      </c>
      <c r="K30" s="294" t="e">
        <f>E30+H30</f>
        <v>#REF!</v>
      </c>
      <c r="L30" s="295" t="e">
        <f>F30+I30</f>
        <v>#REF!</v>
      </c>
      <c r="M30" s="401" t="e">
        <f t="shared" si="52"/>
        <v>#REF!</v>
      </c>
      <c r="N30" s="294" t="e">
        <f>#REF!</f>
        <v>#REF!</v>
      </c>
      <c r="O30" s="295" t="e">
        <f>S11</f>
        <v>#REF!</v>
      </c>
      <c r="P30" s="401" t="e">
        <f t="shared" si="54"/>
        <v>#REF!</v>
      </c>
      <c r="Q30" s="294" t="e">
        <f>#REF!</f>
        <v>#REF!</v>
      </c>
      <c r="R30" s="295" t="e">
        <f>Y11</f>
        <v>#REF!</v>
      </c>
      <c r="S30" s="401" t="e">
        <f t="shared" si="56"/>
        <v>#REF!</v>
      </c>
      <c r="T30" s="294" t="e">
        <f>N30+Q30</f>
        <v>#REF!</v>
      </c>
      <c r="U30" s="295" t="e">
        <f>O30+R30</f>
        <v>#REF!</v>
      </c>
      <c r="V30" s="401" t="e">
        <f t="shared" si="58"/>
        <v>#REF!</v>
      </c>
      <c r="W30" s="294" t="e">
        <f>E30+H30+N30+Q30</f>
        <v>#REF!</v>
      </c>
      <c r="X30" s="295" t="e">
        <f>F30+I30+O30+R30</f>
        <v>#REF!</v>
      </c>
      <c r="Y30" s="402" t="e">
        <f t="shared" si="60"/>
        <v>#REF!</v>
      </c>
      <c r="Z30" s="403" t="e">
        <f t="shared" si="61"/>
        <v>#REF!</v>
      </c>
    </row>
    <row r="31" spans="1:32" ht="25.35" customHeight="1">
      <c r="B31" s="218"/>
      <c r="C31" s="1739" t="s">
        <v>25</v>
      </c>
      <c r="D31" s="1740"/>
      <c r="E31" s="396" t="e">
        <f t="shared" ref="E31:F31" si="62">SUM(E32:E33)</f>
        <v>#REF!</v>
      </c>
      <c r="F31" s="305" t="e">
        <f t="shared" si="62"/>
        <v>#REF!</v>
      </c>
      <c r="G31" s="306" t="e">
        <f t="shared" si="48"/>
        <v>#REF!</v>
      </c>
      <c r="H31" s="396" t="e">
        <f t="shared" ref="H31:I31" si="63">SUM(H32:H33)</f>
        <v>#REF!</v>
      </c>
      <c r="I31" s="305" t="e">
        <f t="shared" si="63"/>
        <v>#REF!</v>
      </c>
      <c r="J31" s="306" t="e">
        <f t="shared" si="50"/>
        <v>#REF!</v>
      </c>
      <c r="K31" s="396" t="e">
        <f t="shared" ref="K31:L31" si="64">SUM(K32:K33)</f>
        <v>#REF!</v>
      </c>
      <c r="L31" s="305" t="e">
        <f t="shared" si="64"/>
        <v>#REF!</v>
      </c>
      <c r="M31" s="306" t="e">
        <f t="shared" si="52"/>
        <v>#REF!</v>
      </c>
      <c r="N31" s="396" t="e">
        <f t="shared" ref="N31:O31" si="65">SUM(N32:N33)</f>
        <v>#REF!</v>
      </c>
      <c r="O31" s="305" t="e">
        <f t="shared" si="65"/>
        <v>#REF!</v>
      </c>
      <c r="P31" s="306" t="e">
        <f t="shared" si="54"/>
        <v>#REF!</v>
      </c>
      <c r="Q31" s="396" t="e">
        <f t="shared" ref="Q31:R31" si="66">SUM(Q32:Q33)</f>
        <v>#REF!</v>
      </c>
      <c r="R31" s="305" t="e">
        <f t="shared" si="66"/>
        <v>#REF!</v>
      </c>
      <c r="S31" s="306" t="e">
        <f t="shared" si="56"/>
        <v>#REF!</v>
      </c>
      <c r="T31" s="396" t="e">
        <f t="shared" ref="T31:U31" si="67">SUM(T32:T33)</f>
        <v>#REF!</v>
      </c>
      <c r="U31" s="305" t="e">
        <f t="shared" si="67"/>
        <v>#REF!</v>
      </c>
      <c r="V31" s="306" t="e">
        <f t="shared" si="58"/>
        <v>#REF!</v>
      </c>
      <c r="W31" s="396" t="e">
        <f t="shared" ref="W31:X31" si="68">SUM(W32:W33)</f>
        <v>#REF!</v>
      </c>
      <c r="X31" s="305" t="e">
        <f t="shared" si="68"/>
        <v>#REF!</v>
      </c>
      <c r="Y31" s="404" t="e">
        <f t="shared" si="60"/>
        <v>#REF!</v>
      </c>
      <c r="Z31" s="405" t="e">
        <f t="shared" si="61"/>
        <v>#REF!</v>
      </c>
    </row>
    <row r="32" spans="1:32" ht="25.35" customHeight="1">
      <c r="B32" s="218"/>
      <c r="C32" s="1743"/>
      <c r="D32" s="425" t="s">
        <v>27</v>
      </c>
      <c r="E32" s="279" t="e">
        <f>#REF!</f>
        <v>#REF!</v>
      </c>
      <c r="F32" s="280" t="e">
        <f>#REF!</f>
        <v>#REF!</v>
      </c>
      <c r="G32" s="316" t="e">
        <f t="shared" si="48"/>
        <v>#REF!</v>
      </c>
      <c r="H32" s="279" t="e">
        <f>#REF!</f>
        <v>#REF!</v>
      </c>
      <c r="I32" s="280" t="e">
        <f>#REF!</f>
        <v>#REF!</v>
      </c>
      <c r="J32" s="316" t="e">
        <f t="shared" si="50"/>
        <v>#REF!</v>
      </c>
      <c r="K32" s="279" t="e">
        <f>E32+H32</f>
        <v>#REF!</v>
      </c>
      <c r="L32" s="280" t="e">
        <f>F32+I32</f>
        <v>#REF!</v>
      </c>
      <c r="M32" s="316" t="e">
        <f t="shared" si="52"/>
        <v>#REF!</v>
      </c>
      <c r="N32" s="279" t="e">
        <f>#REF!</f>
        <v>#REF!</v>
      </c>
      <c r="O32" s="280" t="e">
        <f>S13</f>
        <v>#REF!</v>
      </c>
      <c r="P32" s="316" t="e">
        <f t="shared" si="54"/>
        <v>#REF!</v>
      </c>
      <c r="Q32" s="279" t="e">
        <f>#REF!</f>
        <v>#REF!</v>
      </c>
      <c r="R32" s="280" t="e">
        <f>Y13</f>
        <v>#REF!</v>
      </c>
      <c r="S32" s="316" t="e">
        <f t="shared" si="56"/>
        <v>#REF!</v>
      </c>
      <c r="T32" s="279" t="e">
        <f>N32+Q32</f>
        <v>#REF!</v>
      </c>
      <c r="U32" s="280" t="e">
        <f>O32+R32</f>
        <v>#REF!</v>
      </c>
      <c r="V32" s="316" t="e">
        <f t="shared" si="58"/>
        <v>#REF!</v>
      </c>
      <c r="W32" s="279" t="e">
        <f>E32+H32+N32+Q32</f>
        <v>#REF!</v>
      </c>
      <c r="X32" s="280" t="e">
        <f>F32+I32+O32+R32</f>
        <v>#REF!</v>
      </c>
      <c r="Y32" s="311" t="e">
        <f t="shared" si="60"/>
        <v>#REF!</v>
      </c>
      <c r="Z32" s="406" t="e">
        <f t="shared" si="61"/>
        <v>#REF!</v>
      </c>
    </row>
    <row r="33" spans="1:26" ht="25.35" customHeight="1">
      <c r="B33" s="218"/>
      <c r="C33" s="1743"/>
      <c r="D33" s="430" t="s">
        <v>26</v>
      </c>
      <c r="E33" s="407" t="e">
        <f>#REF!</f>
        <v>#REF!</v>
      </c>
      <c r="F33" s="327" t="e">
        <f>#REF!</f>
        <v>#REF!</v>
      </c>
      <c r="G33" s="408" t="e">
        <f t="shared" si="48"/>
        <v>#REF!</v>
      </c>
      <c r="H33" s="407" t="e">
        <f>#REF!</f>
        <v>#REF!</v>
      </c>
      <c r="I33" s="327" t="e">
        <f>#REF!</f>
        <v>#REF!</v>
      </c>
      <c r="J33" s="408" t="e">
        <f t="shared" si="50"/>
        <v>#REF!</v>
      </c>
      <c r="K33" s="294" t="e">
        <f>E33+H33</f>
        <v>#REF!</v>
      </c>
      <c r="L33" s="295" t="e">
        <f>F33+I33</f>
        <v>#REF!</v>
      </c>
      <c r="M33" s="401" t="e">
        <f t="shared" si="52"/>
        <v>#REF!</v>
      </c>
      <c r="N33" s="407" t="e">
        <f>#REF!</f>
        <v>#REF!</v>
      </c>
      <c r="O33" s="327" t="e">
        <f>S14</f>
        <v>#REF!</v>
      </c>
      <c r="P33" s="408" t="e">
        <f t="shared" si="54"/>
        <v>#REF!</v>
      </c>
      <c r="Q33" s="407" t="e">
        <f>#REF!</f>
        <v>#REF!</v>
      </c>
      <c r="R33" s="327" t="e">
        <f>Y14</f>
        <v>#REF!</v>
      </c>
      <c r="S33" s="408" t="e">
        <f t="shared" si="56"/>
        <v>#REF!</v>
      </c>
      <c r="T33" s="294" t="e">
        <f>N33+Q33</f>
        <v>#REF!</v>
      </c>
      <c r="U33" s="295" t="e">
        <f>O33+R33</f>
        <v>#REF!</v>
      </c>
      <c r="V33" s="401" t="e">
        <f t="shared" si="58"/>
        <v>#REF!</v>
      </c>
      <c r="W33" s="294" t="e">
        <f>E33+H33+N33+Q33</f>
        <v>#REF!</v>
      </c>
      <c r="X33" s="295" t="e">
        <f>F33+I33+O33+R33</f>
        <v>#REF!</v>
      </c>
      <c r="Y33" s="409" t="e">
        <f t="shared" si="60"/>
        <v>#REF!</v>
      </c>
      <c r="Z33" s="410" t="e">
        <f t="shared" si="61"/>
        <v>#REF!</v>
      </c>
    </row>
    <row r="34" spans="1:26" ht="25.35" customHeight="1">
      <c r="B34" s="218"/>
      <c r="C34" s="1739" t="s">
        <v>28</v>
      </c>
      <c r="D34" s="1740"/>
      <c r="E34" s="411" t="e">
        <f>SUM(E35:E39)</f>
        <v>#REF!</v>
      </c>
      <c r="F34" s="305" t="e">
        <f t="shared" ref="F34" si="69">SUM(F35:F39)</f>
        <v>#REF!</v>
      </c>
      <c r="G34" s="306" t="e">
        <f t="shared" si="48"/>
        <v>#REF!</v>
      </c>
      <c r="H34" s="411" t="e">
        <f>SUM(H35:H39)</f>
        <v>#REF!</v>
      </c>
      <c r="I34" s="305" t="e">
        <f t="shared" ref="I34" si="70">SUM(I35:I39)</f>
        <v>#REF!</v>
      </c>
      <c r="J34" s="306" t="e">
        <f t="shared" si="50"/>
        <v>#REF!</v>
      </c>
      <c r="K34" s="411" t="e">
        <f>SUM(K35:K39)</f>
        <v>#REF!</v>
      </c>
      <c r="L34" s="305" t="e">
        <f t="shared" ref="L34" si="71">SUM(L35:L39)</f>
        <v>#REF!</v>
      </c>
      <c r="M34" s="306" t="e">
        <f t="shared" si="52"/>
        <v>#REF!</v>
      </c>
      <c r="N34" s="411" t="e">
        <f>SUM(N35:N39)</f>
        <v>#REF!</v>
      </c>
      <c r="O34" s="305" t="e">
        <f t="shared" ref="O34" si="72">SUM(O35:O39)</f>
        <v>#REF!</v>
      </c>
      <c r="P34" s="412" t="e">
        <f t="shared" si="54"/>
        <v>#REF!</v>
      </c>
      <c r="Q34" s="411" t="e">
        <f>SUM(Q35:Q39)</f>
        <v>#REF!</v>
      </c>
      <c r="R34" s="305" t="e">
        <f t="shared" ref="R34" si="73">SUM(R35:R39)</f>
        <v>#REF!</v>
      </c>
      <c r="S34" s="412" t="e">
        <f t="shared" si="56"/>
        <v>#REF!</v>
      </c>
      <c r="T34" s="411" t="e">
        <f>SUM(T35:T39)</f>
        <v>#REF!</v>
      </c>
      <c r="U34" s="305" t="e">
        <f t="shared" ref="U34" si="74">SUM(U35:U39)</f>
        <v>#REF!</v>
      </c>
      <c r="V34" s="412" t="e">
        <f t="shared" si="58"/>
        <v>#REF!</v>
      </c>
      <c r="W34" s="411" t="e">
        <f>SUM(W35:W39)</f>
        <v>#REF!</v>
      </c>
      <c r="X34" s="305" t="e">
        <f t="shared" ref="X34" si="75">SUM(X35:X39)</f>
        <v>#REF!</v>
      </c>
      <c r="Y34" s="404" t="e">
        <f t="shared" si="60"/>
        <v>#REF!</v>
      </c>
      <c r="Z34" s="413" t="e">
        <f t="shared" si="61"/>
        <v>#REF!</v>
      </c>
    </row>
    <row r="35" spans="1:26" ht="25.35" customHeight="1">
      <c r="B35" s="218"/>
      <c r="C35" s="1746"/>
      <c r="D35" s="425" t="s">
        <v>51</v>
      </c>
      <c r="E35" s="279" t="e">
        <f>#REF!</f>
        <v>#REF!</v>
      </c>
      <c r="F35" s="280" t="e">
        <f>#REF!</f>
        <v>#REF!</v>
      </c>
      <c r="G35" s="316" t="e">
        <f t="shared" si="48"/>
        <v>#REF!</v>
      </c>
      <c r="H35" s="279" t="e">
        <f>#REF!</f>
        <v>#REF!</v>
      </c>
      <c r="I35" s="280" t="e">
        <f>#REF!</f>
        <v>#REF!</v>
      </c>
      <c r="J35" s="316" t="e">
        <f t="shared" si="50"/>
        <v>#REF!</v>
      </c>
      <c r="K35" s="279" t="e">
        <f>E35+H35</f>
        <v>#REF!</v>
      </c>
      <c r="L35" s="280" t="e">
        <f>F35+I35</f>
        <v>#REF!</v>
      </c>
      <c r="M35" s="316" t="e">
        <f t="shared" si="52"/>
        <v>#REF!</v>
      </c>
      <c r="N35" s="279" t="e">
        <f>#REF!</f>
        <v>#REF!</v>
      </c>
      <c r="O35" s="280" t="e">
        <f>S16</f>
        <v>#REF!</v>
      </c>
      <c r="P35" s="316" t="e">
        <f t="shared" si="54"/>
        <v>#REF!</v>
      </c>
      <c r="Q35" s="279" t="e">
        <f>#REF!</f>
        <v>#REF!</v>
      </c>
      <c r="R35" s="280" t="e">
        <f>Y16</f>
        <v>#REF!</v>
      </c>
      <c r="S35" s="316" t="e">
        <f t="shared" si="56"/>
        <v>#REF!</v>
      </c>
      <c r="T35" s="279" t="e">
        <f>N35+Q35</f>
        <v>#REF!</v>
      </c>
      <c r="U35" s="280" t="e">
        <f>O35+R35</f>
        <v>#REF!</v>
      </c>
      <c r="V35" s="316" t="e">
        <f t="shared" si="58"/>
        <v>#REF!</v>
      </c>
      <c r="W35" s="279" t="e">
        <f t="shared" ref="W35:X39" si="76">E35+H35+N35+Q35</f>
        <v>#REF!</v>
      </c>
      <c r="X35" s="280" t="e">
        <f t="shared" si="76"/>
        <v>#REF!</v>
      </c>
      <c r="Y35" s="311" t="e">
        <f t="shared" si="60"/>
        <v>#REF!</v>
      </c>
      <c r="Z35" s="400" t="e">
        <f t="shared" si="61"/>
        <v>#REF!</v>
      </c>
    </row>
    <row r="36" spans="1:26" ht="25.35" customHeight="1">
      <c r="B36" s="218"/>
      <c r="C36" s="1746"/>
      <c r="D36" s="426" t="s">
        <v>30</v>
      </c>
      <c r="E36" s="343" t="e">
        <f>#REF!</f>
        <v>#REF!</v>
      </c>
      <c r="F36" s="344" t="e">
        <f>#REF!</f>
        <v>#REF!</v>
      </c>
      <c r="G36" s="345" t="e">
        <f t="shared" si="48"/>
        <v>#REF!</v>
      </c>
      <c r="H36" s="343" t="e">
        <f>#REF!</f>
        <v>#REF!</v>
      </c>
      <c r="I36" s="344" t="e">
        <f>#REF!</f>
        <v>#REF!</v>
      </c>
      <c r="J36" s="345" t="e">
        <f t="shared" si="50"/>
        <v>#REF!</v>
      </c>
      <c r="K36" s="343" t="e">
        <f>E36+H36</f>
        <v>#REF!</v>
      </c>
      <c r="L36" s="344" t="e">
        <f>F36+I36</f>
        <v>#REF!</v>
      </c>
      <c r="M36" s="345" t="e">
        <f t="shared" si="52"/>
        <v>#REF!</v>
      </c>
      <c r="N36" s="343" t="e">
        <f>#REF!</f>
        <v>#REF!</v>
      </c>
      <c r="O36" s="344" t="e">
        <f>S17</f>
        <v>#REF!</v>
      </c>
      <c r="P36" s="345" t="e">
        <f t="shared" si="54"/>
        <v>#REF!</v>
      </c>
      <c r="Q36" s="343" t="e">
        <f>#REF!</f>
        <v>#REF!</v>
      </c>
      <c r="R36" s="344" t="e">
        <f>Y17</f>
        <v>#REF!</v>
      </c>
      <c r="S36" s="345" t="e">
        <f t="shared" si="56"/>
        <v>#REF!</v>
      </c>
      <c r="T36" s="343" t="e">
        <f>N36+Q36</f>
        <v>#REF!</v>
      </c>
      <c r="U36" s="344" t="e">
        <f>O36+R36</f>
        <v>#REF!</v>
      </c>
      <c r="V36" s="345" t="e">
        <f t="shared" si="58"/>
        <v>#REF!</v>
      </c>
      <c r="W36" s="343" t="e">
        <f t="shared" si="76"/>
        <v>#REF!</v>
      </c>
      <c r="X36" s="344" t="e">
        <f t="shared" si="76"/>
        <v>#REF!</v>
      </c>
      <c r="Y36" s="338" t="e">
        <f t="shared" si="60"/>
        <v>#REF!</v>
      </c>
      <c r="Z36" s="414" t="e">
        <f t="shared" si="61"/>
        <v>#REF!</v>
      </c>
    </row>
    <row r="37" spans="1:26" ht="25.35" customHeight="1">
      <c r="B37" s="218"/>
      <c r="C37" s="1746"/>
      <c r="D37" s="426" t="s">
        <v>29</v>
      </c>
      <c r="E37" s="343" t="e">
        <f>#REF!</f>
        <v>#REF!</v>
      </c>
      <c r="F37" s="344" t="e">
        <f>#REF!</f>
        <v>#REF!</v>
      </c>
      <c r="G37" s="415" t="e">
        <f t="shared" si="48"/>
        <v>#REF!</v>
      </c>
      <c r="H37" s="343" t="e">
        <f>#REF!</f>
        <v>#REF!</v>
      </c>
      <c r="I37" s="344" t="e">
        <f>#REF!</f>
        <v>#REF!</v>
      </c>
      <c r="J37" s="345" t="e">
        <f t="shared" si="50"/>
        <v>#REF!</v>
      </c>
      <c r="K37" s="343" t="e">
        <f t="shared" ref="K37:L39" si="77">E37+H37</f>
        <v>#REF!</v>
      </c>
      <c r="L37" s="344" t="e">
        <f t="shared" si="77"/>
        <v>#REF!</v>
      </c>
      <c r="M37" s="345" t="e">
        <f t="shared" si="52"/>
        <v>#REF!</v>
      </c>
      <c r="N37" s="343" t="e">
        <f>#REF!</f>
        <v>#REF!</v>
      </c>
      <c r="O37" s="344" t="e">
        <f>S18</f>
        <v>#REF!</v>
      </c>
      <c r="P37" s="345" t="e">
        <f t="shared" si="54"/>
        <v>#REF!</v>
      </c>
      <c r="Q37" s="343" t="e">
        <f>#REF!</f>
        <v>#REF!</v>
      </c>
      <c r="R37" s="344" t="e">
        <f>Y18</f>
        <v>#REF!</v>
      </c>
      <c r="S37" s="345" t="e">
        <f t="shared" si="56"/>
        <v>#REF!</v>
      </c>
      <c r="T37" s="343" t="e">
        <f t="shared" ref="T37:U39" si="78">N37+Q37</f>
        <v>#REF!</v>
      </c>
      <c r="U37" s="344" t="e">
        <f t="shared" si="78"/>
        <v>#REF!</v>
      </c>
      <c r="V37" s="345" t="e">
        <f t="shared" si="58"/>
        <v>#REF!</v>
      </c>
      <c r="W37" s="343" t="e">
        <f t="shared" si="76"/>
        <v>#REF!</v>
      </c>
      <c r="X37" s="344" t="e">
        <f t="shared" si="76"/>
        <v>#REF!</v>
      </c>
      <c r="Y37" s="338" t="e">
        <f t="shared" si="60"/>
        <v>#REF!</v>
      </c>
      <c r="Z37" s="414" t="e">
        <f t="shared" si="61"/>
        <v>#REF!</v>
      </c>
    </row>
    <row r="38" spans="1:26" ht="25.35" customHeight="1">
      <c r="B38" s="218"/>
      <c r="C38" s="1746"/>
      <c r="D38" s="431" t="s">
        <v>22</v>
      </c>
      <c r="E38" s="367" t="e">
        <f>#REF!</f>
        <v>#REF!</v>
      </c>
      <c r="F38" s="368" t="e">
        <f>#REF!</f>
        <v>#REF!</v>
      </c>
      <c r="G38" s="369" t="e">
        <f t="shared" si="48"/>
        <v>#REF!</v>
      </c>
      <c r="H38" s="367" t="e">
        <f>#REF!</f>
        <v>#REF!</v>
      </c>
      <c r="I38" s="368" t="e">
        <f>#REF!</f>
        <v>#REF!</v>
      </c>
      <c r="J38" s="369" t="e">
        <f t="shared" si="50"/>
        <v>#REF!</v>
      </c>
      <c r="K38" s="367" t="e">
        <f t="shared" si="77"/>
        <v>#REF!</v>
      </c>
      <c r="L38" s="368" t="e">
        <f t="shared" si="77"/>
        <v>#REF!</v>
      </c>
      <c r="M38" s="369" t="e">
        <f t="shared" si="52"/>
        <v>#REF!</v>
      </c>
      <c r="N38" s="367" t="e">
        <f>#REF!</f>
        <v>#REF!</v>
      </c>
      <c r="O38" s="368" t="e">
        <f>S19</f>
        <v>#REF!</v>
      </c>
      <c r="P38" s="369" t="e">
        <f t="shared" si="54"/>
        <v>#REF!</v>
      </c>
      <c r="Q38" s="367" t="e">
        <f>#REF!</f>
        <v>#REF!</v>
      </c>
      <c r="R38" s="368" t="e">
        <f>Y19</f>
        <v>#REF!</v>
      </c>
      <c r="S38" s="416" t="e">
        <f t="shared" si="56"/>
        <v>#REF!</v>
      </c>
      <c r="T38" s="367" t="e">
        <f t="shared" si="78"/>
        <v>#REF!</v>
      </c>
      <c r="U38" s="368" t="e">
        <f t="shared" si="78"/>
        <v>#REF!</v>
      </c>
      <c r="V38" s="417" t="e">
        <f t="shared" si="58"/>
        <v>#REF!</v>
      </c>
      <c r="W38" s="367" t="e">
        <f t="shared" si="76"/>
        <v>#REF!</v>
      </c>
      <c r="X38" s="368" t="e">
        <f t="shared" si="76"/>
        <v>#REF!</v>
      </c>
      <c r="Y38" s="418" t="e">
        <f t="shared" si="60"/>
        <v>#REF!</v>
      </c>
      <c r="Z38" s="419" t="e">
        <f t="shared" si="61"/>
        <v>#REF!</v>
      </c>
    </row>
    <row r="39" spans="1:26" ht="25.35" customHeight="1" thickBot="1">
      <c r="B39" s="219"/>
      <c r="C39" s="1747"/>
      <c r="D39" s="427" t="s">
        <v>52</v>
      </c>
      <c r="E39" s="387" t="e">
        <f>#REF!</f>
        <v>#REF!</v>
      </c>
      <c r="F39" s="388" t="e">
        <f>#REF!</f>
        <v>#REF!</v>
      </c>
      <c r="G39" s="420" t="e">
        <f t="shared" si="48"/>
        <v>#REF!</v>
      </c>
      <c r="H39" s="387" t="e">
        <f>#REF!</f>
        <v>#REF!</v>
      </c>
      <c r="I39" s="388" t="e">
        <f>#REF!</f>
        <v>#REF!</v>
      </c>
      <c r="J39" s="420" t="e">
        <f t="shared" si="50"/>
        <v>#REF!</v>
      </c>
      <c r="K39" s="387" t="e">
        <f t="shared" si="77"/>
        <v>#REF!</v>
      </c>
      <c r="L39" s="388" t="e">
        <f t="shared" si="77"/>
        <v>#REF!</v>
      </c>
      <c r="M39" s="420" t="e">
        <f t="shared" si="52"/>
        <v>#REF!</v>
      </c>
      <c r="N39" s="387" t="e">
        <f>#REF!</f>
        <v>#REF!</v>
      </c>
      <c r="O39" s="388" t="e">
        <f>S20</f>
        <v>#REF!</v>
      </c>
      <c r="P39" s="420" t="e">
        <f t="shared" si="54"/>
        <v>#REF!</v>
      </c>
      <c r="Q39" s="387" t="e">
        <f>#REF!</f>
        <v>#REF!</v>
      </c>
      <c r="R39" s="388" t="e">
        <f>Y20</f>
        <v>#REF!</v>
      </c>
      <c r="S39" s="420" t="e">
        <f t="shared" si="56"/>
        <v>#REF!</v>
      </c>
      <c r="T39" s="387" t="e">
        <f t="shared" si="78"/>
        <v>#REF!</v>
      </c>
      <c r="U39" s="388" t="e">
        <f t="shared" si="78"/>
        <v>#REF!</v>
      </c>
      <c r="V39" s="421" t="e">
        <f t="shared" si="58"/>
        <v>#REF!</v>
      </c>
      <c r="W39" s="387" t="e">
        <f t="shared" si="76"/>
        <v>#REF!</v>
      </c>
      <c r="X39" s="388" t="e">
        <f t="shared" si="76"/>
        <v>#REF!</v>
      </c>
      <c r="Y39" s="422" t="e">
        <f t="shared" si="60"/>
        <v>#REF!</v>
      </c>
      <c r="Z39" s="423" t="e">
        <f t="shared" si="61"/>
        <v>#REF!</v>
      </c>
    </row>
    <row r="41" spans="1:26" ht="5.25" customHeight="1"/>
    <row r="42" spans="1:26" ht="25.2">
      <c r="A42" s="212" t="s">
        <v>602</v>
      </c>
    </row>
    <row r="43" spans="1:26" ht="24.75" customHeight="1">
      <c r="B43" s="212" t="s">
        <v>603</v>
      </c>
    </row>
    <row r="44" spans="1:26" ht="25.35" customHeight="1">
      <c r="B44" s="1778" t="s">
        <v>125</v>
      </c>
      <c r="C44" s="1778"/>
      <c r="D44" s="1778"/>
      <c r="E44" s="1779" t="s">
        <v>604</v>
      </c>
      <c r="F44" s="1780"/>
      <c r="G44" s="1781" t="s">
        <v>605</v>
      </c>
      <c r="H44" s="1782"/>
      <c r="I44" s="1782"/>
      <c r="J44" s="1782"/>
      <c r="K44" s="1782"/>
      <c r="L44" s="1782"/>
      <c r="M44" s="1782"/>
      <c r="N44" s="1782"/>
      <c r="O44" s="1782"/>
      <c r="P44" s="1782"/>
      <c r="Q44" s="1782"/>
      <c r="R44" s="1782"/>
      <c r="S44" s="1782"/>
      <c r="T44" s="1782"/>
      <c r="U44" s="1782"/>
      <c r="V44" s="1782"/>
      <c r="W44" s="1783"/>
    </row>
    <row r="45" spans="1:26" ht="25.35" customHeight="1">
      <c r="B45" s="1752" t="s">
        <v>606</v>
      </c>
      <c r="C45" s="1753"/>
      <c r="D45" s="1753"/>
      <c r="E45" s="1760" t="s">
        <v>607</v>
      </c>
      <c r="F45" s="1761"/>
      <c r="G45" s="1762"/>
      <c r="H45" s="1763"/>
      <c r="I45" s="1763"/>
      <c r="J45" s="1763"/>
      <c r="K45" s="1763"/>
      <c r="L45" s="1763"/>
      <c r="M45" s="1763"/>
      <c r="N45" s="228"/>
      <c r="O45" s="228"/>
      <c r="P45" s="228"/>
      <c r="Q45" s="228"/>
      <c r="R45" s="228"/>
      <c r="S45" s="228"/>
      <c r="T45" s="228"/>
      <c r="U45" s="228"/>
      <c r="V45" s="228"/>
      <c r="W45" s="229"/>
    </row>
    <row r="46" spans="1:26" ht="62.25" customHeight="1">
      <c r="B46" s="1789"/>
      <c r="C46" s="1759" t="s">
        <v>513</v>
      </c>
      <c r="D46" s="1759"/>
      <c r="E46" s="1754" t="s">
        <v>608</v>
      </c>
      <c r="F46" s="1755"/>
      <c r="G46" s="1756" t="s">
        <v>609</v>
      </c>
      <c r="H46" s="1757"/>
      <c r="I46" s="1757"/>
      <c r="J46" s="1757"/>
      <c r="K46" s="1757"/>
      <c r="L46" s="1757"/>
      <c r="M46" s="1757"/>
      <c r="N46" s="1757"/>
      <c r="O46" s="1757"/>
      <c r="P46" s="1757"/>
      <c r="Q46" s="1757"/>
      <c r="R46" s="1757"/>
      <c r="S46" s="1757"/>
      <c r="T46" s="1757"/>
      <c r="U46" s="1757"/>
      <c r="V46" s="1757"/>
      <c r="W46" s="1758"/>
    </row>
    <row r="47" spans="1:26" ht="72.75" customHeight="1">
      <c r="B47" s="1790"/>
      <c r="C47" s="1759" t="s">
        <v>514</v>
      </c>
      <c r="D47" s="1759"/>
      <c r="E47" s="1754" t="s">
        <v>610</v>
      </c>
      <c r="F47" s="1755"/>
      <c r="G47" s="1756" t="s">
        <v>611</v>
      </c>
      <c r="H47" s="1757"/>
      <c r="I47" s="1757"/>
      <c r="J47" s="1757"/>
      <c r="K47" s="1757"/>
      <c r="L47" s="1757"/>
      <c r="M47" s="1757"/>
      <c r="N47" s="1757"/>
      <c r="O47" s="1757"/>
      <c r="P47" s="1757"/>
      <c r="Q47" s="1757"/>
      <c r="R47" s="1757"/>
      <c r="S47" s="1757"/>
      <c r="T47" s="1757"/>
      <c r="U47" s="1757"/>
      <c r="V47" s="1757"/>
      <c r="W47" s="1758"/>
    </row>
    <row r="48" spans="1:26" ht="25.35" customHeight="1">
      <c r="B48" s="1752" t="s">
        <v>87</v>
      </c>
      <c r="C48" s="1753"/>
      <c r="D48" s="1753"/>
      <c r="E48" s="1760" t="s">
        <v>612</v>
      </c>
      <c r="F48" s="1761"/>
      <c r="G48" s="1762"/>
      <c r="H48" s="1763"/>
      <c r="I48" s="1763"/>
      <c r="J48" s="1763"/>
      <c r="K48" s="1763"/>
      <c r="L48" s="1763"/>
      <c r="M48" s="1763"/>
      <c r="N48" s="228"/>
      <c r="O48" s="228"/>
      <c r="P48" s="228"/>
      <c r="Q48" s="228"/>
      <c r="R48" s="228"/>
      <c r="S48" s="228"/>
      <c r="T48" s="228"/>
      <c r="U48" s="228"/>
      <c r="V48" s="228"/>
      <c r="W48" s="229"/>
    </row>
    <row r="49" spans="1:30" ht="25.35" customHeight="1">
      <c r="B49" s="230"/>
      <c r="C49" s="1759" t="s">
        <v>613</v>
      </c>
      <c r="D49" s="1759"/>
      <c r="E49" s="1754" t="s">
        <v>612</v>
      </c>
      <c r="F49" s="1755"/>
      <c r="G49" s="1792" t="s">
        <v>614</v>
      </c>
      <c r="H49" s="1793"/>
      <c r="I49" s="1793"/>
      <c r="J49" s="1793"/>
      <c r="K49" s="1793"/>
      <c r="L49" s="1793"/>
      <c r="M49" s="1793"/>
      <c r="N49" s="455"/>
      <c r="O49" s="455"/>
      <c r="P49" s="455"/>
      <c r="Q49" s="455"/>
      <c r="R49" s="455"/>
      <c r="S49" s="455"/>
      <c r="T49" s="455"/>
      <c r="U49" s="455"/>
      <c r="V49" s="455"/>
      <c r="W49" s="456"/>
    </row>
    <row r="50" spans="1:30" ht="25.35" customHeight="1">
      <c r="B50" s="1752" t="s">
        <v>93</v>
      </c>
      <c r="C50" s="1753"/>
      <c r="D50" s="1753"/>
      <c r="E50" s="1848" t="s">
        <v>615</v>
      </c>
      <c r="F50" s="1849"/>
      <c r="G50" s="457"/>
      <c r="H50" s="458"/>
      <c r="I50" s="458"/>
      <c r="J50" s="458"/>
      <c r="K50" s="458"/>
      <c r="L50" s="458"/>
      <c r="M50" s="458"/>
      <c r="N50" s="459"/>
      <c r="O50" s="459"/>
      <c r="P50" s="459"/>
      <c r="Q50" s="459"/>
      <c r="R50" s="459"/>
      <c r="S50" s="459"/>
      <c r="T50" s="459"/>
      <c r="U50" s="459"/>
      <c r="V50" s="459"/>
      <c r="W50" s="460"/>
    </row>
    <row r="51" spans="1:30" ht="25.35" customHeight="1">
      <c r="B51" s="232"/>
      <c r="C51" s="1840" t="s">
        <v>96</v>
      </c>
      <c r="D51" s="1755"/>
      <c r="E51" s="1754" t="s">
        <v>616</v>
      </c>
      <c r="F51" s="1841"/>
      <c r="G51" s="453" t="s">
        <v>617</v>
      </c>
      <c r="H51" s="454"/>
      <c r="I51" s="454"/>
      <c r="J51" s="454"/>
      <c r="K51" s="454"/>
      <c r="L51" s="454"/>
      <c r="M51" s="454"/>
      <c r="N51" s="455"/>
      <c r="O51" s="455"/>
      <c r="P51" s="455"/>
      <c r="Q51" s="455"/>
      <c r="R51" s="455"/>
      <c r="S51" s="455"/>
      <c r="T51" s="455"/>
      <c r="U51" s="455"/>
      <c r="V51" s="455"/>
      <c r="W51" s="456"/>
    </row>
    <row r="52" spans="1:30" ht="25.35" customHeight="1">
      <c r="B52" s="232"/>
      <c r="C52" s="1840" t="s">
        <v>511</v>
      </c>
      <c r="D52" s="1755"/>
      <c r="E52" s="1754" t="s">
        <v>618</v>
      </c>
      <c r="F52" s="1841"/>
      <c r="G52" s="453" t="s">
        <v>619</v>
      </c>
      <c r="H52" s="454"/>
      <c r="I52" s="454"/>
      <c r="J52" s="454"/>
      <c r="K52" s="454"/>
      <c r="L52" s="454"/>
      <c r="M52" s="454"/>
      <c r="N52" s="455"/>
      <c r="O52" s="455"/>
      <c r="P52" s="455"/>
      <c r="Q52" s="455"/>
      <c r="R52" s="455"/>
      <c r="S52" s="455"/>
      <c r="T52" s="455"/>
      <c r="U52" s="455"/>
      <c r="V52" s="455"/>
      <c r="W52" s="456"/>
    </row>
    <row r="53" spans="1:30" ht="25.35" customHeight="1">
      <c r="B53" s="1794" t="s">
        <v>620</v>
      </c>
      <c r="C53" s="1795"/>
      <c r="D53" s="1796"/>
      <c r="E53" s="1797" t="s">
        <v>621</v>
      </c>
      <c r="F53" s="1796"/>
      <c r="G53" s="1750"/>
      <c r="H53" s="1751"/>
      <c r="I53" s="1751"/>
      <c r="J53" s="1751"/>
      <c r="K53" s="1751"/>
      <c r="L53" s="1751"/>
      <c r="M53" s="1751"/>
      <c r="N53" s="233"/>
      <c r="O53" s="233"/>
      <c r="P53" s="233"/>
      <c r="Q53" s="233"/>
      <c r="R53" s="233"/>
      <c r="S53" s="233"/>
      <c r="T53" s="233"/>
      <c r="U53" s="233"/>
      <c r="V53" s="233"/>
      <c r="W53" s="234"/>
    </row>
    <row r="54" spans="1:30" ht="13.5" customHeight="1"/>
    <row r="55" spans="1:30" ht="24.75" customHeight="1">
      <c r="B55" s="212" t="s">
        <v>622</v>
      </c>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461"/>
    </row>
    <row r="56" spans="1:30" ht="24.75" customHeight="1">
      <c r="B56" s="1771" t="s">
        <v>125</v>
      </c>
      <c r="C56" s="1771"/>
      <c r="D56" s="1771"/>
      <c r="E56" s="1771" t="s">
        <v>623</v>
      </c>
      <c r="F56" s="1771"/>
      <c r="G56" s="1772" t="s">
        <v>605</v>
      </c>
      <c r="H56" s="1773"/>
      <c r="I56" s="1773"/>
      <c r="J56" s="1773"/>
      <c r="K56" s="1773"/>
      <c r="L56" s="1773"/>
      <c r="M56" s="1773"/>
      <c r="N56" s="1773"/>
      <c r="O56" s="1773"/>
      <c r="P56" s="1773"/>
      <c r="Q56" s="1773"/>
      <c r="R56" s="1773"/>
      <c r="S56" s="1773"/>
      <c r="T56" s="1773"/>
      <c r="U56" s="1773"/>
      <c r="V56" s="1773"/>
      <c r="W56" s="1774"/>
      <c r="X56" s="462"/>
      <c r="Y56" s="211"/>
      <c r="Z56" s="211"/>
      <c r="AA56" s="211"/>
      <c r="AB56" s="211"/>
      <c r="AC56" s="211"/>
      <c r="AD56" s="211"/>
    </row>
    <row r="57" spans="1:30" ht="62.25" customHeight="1">
      <c r="B57" s="1787" t="s">
        <v>624</v>
      </c>
      <c r="C57" s="1787"/>
      <c r="D57" s="1787"/>
      <c r="E57" s="1788" t="s">
        <v>625</v>
      </c>
      <c r="F57" s="1788"/>
      <c r="G57" s="1784" t="s">
        <v>626</v>
      </c>
      <c r="H57" s="1785"/>
      <c r="I57" s="1785"/>
      <c r="J57" s="1785"/>
      <c r="K57" s="1785"/>
      <c r="L57" s="1785"/>
      <c r="M57" s="1785"/>
      <c r="N57" s="1785"/>
      <c r="O57" s="1785"/>
      <c r="P57" s="1785"/>
      <c r="Q57" s="1785"/>
      <c r="R57" s="1785"/>
      <c r="S57" s="1785"/>
      <c r="T57" s="1785"/>
      <c r="U57" s="1785"/>
      <c r="V57" s="1785"/>
      <c r="W57" s="1786"/>
      <c r="X57" s="463"/>
      <c r="Y57" s="235"/>
      <c r="Z57" s="235"/>
      <c r="AA57" s="235"/>
      <c r="AB57" s="235"/>
      <c r="AC57" s="235"/>
      <c r="AD57" s="235"/>
    </row>
    <row r="58" spans="1:30" ht="26.25" customHeight="1">
      <c r="B58" s="1791" t="s">
        <v>86</v>
      </c>
      <c r="C58" s="1791"/>
      <c r="D58" s="1791"/>
      <c r="E58" s="1770" t="s">
        <v>625</v>
      </c>
      <c r="F58" s="1770"/>
      <c r="G58" s="1775"/>
      <c r="H58" s="1776"/>
      <c r="I58" s="1776"/>
      <c r="J58" s="1776"/>
      <c r="K58" s="1776"/>
      <c r="L58" s="1776"/>
      <c r="M58" s="1776"/>
      <c r="N58" s="1776"/>
      <c r="O58" s="1776"/>
      <c r="P58" s="1776"/>
      <c r="Q58" s="1776"/>
      <c r="R58" s="1776"/>
      <c r="S58" s="1776"/>
      <c r="T58" s="1776"/>
      <c r="U58" s="1776"/>
      <c r="V58" s="1776"/>
      <c r="W58" s="1777"/>
      <c r="X58" s="462"/>
      <c r="Y58" s="211"/>
      <c r="Z58" s="211"/>
      <c r="AA58" s="211"/>
      <c r="AB58" s="211"/>
      <c r="AC58" s="211"/>
      <c r="AD58" s="211"/>
    </row>
    <row r="59" spans="1:30" ht="18.75" customHeight="1"/>
    <row r="60" spans="1:30" ht="25.2">
      <c r="A60" s="212" t="s">
        <v>627</v>
      </c>
      <c r="B60" s="212"/>
    </row>
    <row r="61" spans="1:30" ht="24" customHeight="1">
      <c r="B61" s="212" t="s">
        <v>628</v>
      </c>
    </row>
    <row r="62" spans="1:30" ht="25.35" customHeight="1">
      <c r="B62" s="1778" t="s">
        <v>7</v>
      </c>
      <c r="C62" s="1778"/>
      <c r="D62" s="1778"/>
      <c r="E62" s="1779" t="s">
        <v>629</v>
      </c>
      <c r="F62" s="1780"/>
      <c r="G62" s="1781" t="s">
        <v>630</v>
      </c>
      <c r="H62" s="1782"/>
      <c r="I62" s="1782"/>
      <c r="J62" s="1782"/>
      <c r="K62" s="1782"/>
      <c r="L62" s="1782"/>
      <c r="M62" s="1782"/>
      <c r="N62" s="1782"/>
      <c r="O62" s="1782"/>
      <c r="P62" s="1782"/>
      <c r="Q62" s="1782"/>
      <c r="R62" s="1782"/>
      <c r="S62" s="1782"/>
      <c r="T62" s="1782"/>
      <c r="U62" s="1782"/>
      <c r="V62" s="1782"/>
      <c r="W62" s="1783"/>
    </row>
    <row r="63" spans="1:30" ht="25.35" customHeight="1">
      <c r="B63" s="1752" t="s">
        <v>45</v>
      </c>
      <c r="C63" s="1753"/>
      <c r="D63" s="1753"/>
      <c r="E63" s="1760" t="s">
        <v>631</v>
      </c>
      <c r="F63" s="1761"/>
      <c r="G63" s="1762"/>
      <c r="H63" s="1763"/>
      <c r="I63" s="1763"/>
      <c r="J63" s="1763"/>
      <c r="K63" s="1763"/>
      <c r="L63" s="1763"/>
      <c r="M63" s="1763"/>
      <c r="N63" s="228"/>
      <c r="O63" s="228"/>
      <c r="P63" s="228"/>
      <c r="Q63" s="228"/>
      <c r="R63" s="228"/>
      <c r="S63" s="228"/>
      <c r="T63" s="228"/>
      <c r="U63" s="228"/>
      <c r="V63" s="228"/>
      <c r="W63" s="229"/>
    </row>
    <row r="64" spans="1:30" ht="80.25" customHeight="1">
      <c r="B64" s="230"/>
      <c r="C64" s="1759" t="s">
        <v>632</v>
      </c>
      <c r="D64" s="1759"/>
      <c r="E64" s="1754" t="s">
        <v>631</v>
      </c>
      <c r="F64" s="1755"/>
      <c r="G64" s="1756" t="s">
        <v>633</v>
      </c>
      <c r="H64" s="1757"/>
      <c r="I64" s="1757"/>
      <c r="J64" s="1757"/>
      <c r="K64" s="1757"/>
      <c r="L64" s="1757"/>
      <c r="M64" s="1757"/>
      <c r="N64" s="1757"/>
      <c r="O64" s="1757"/>
      <c r="P64" s="1757"/>
      <c r="Q64" s="1757"/>
      <c r="R64" s="1757"/>
      <c r="S64" s="1757"/>
      <c r="T64" s="1757"/>
      <c r="U64" s="1757"/>
      <c r="V64" s="1757"/>
      <c r="W64" s="1758"/>
    </row>
    <row r="65" spans="2:23" ht="25.35" customHeight="1">
      <c r="B65" s="1752" t="s">
        <v>634</v>
      </c>
      <c r="C65" s="1753"/>
      <c r="D65" s="1753"/>
      <c r="E65" s="1760" t="s">
        <v>635</v>
      </c>
      <c r="F65" s="1761"/>
      <c r="G65" s="1762"/>
      <c r="H65" s="1763"/>
      <c r="I65" s="1763"/>
      <c r="J65" s="1763"/>
      <c r="K65" s="1763"/>
      <c r="L65" s="1763"/>
      <c r="M65" s="1763"/>
      <c r="N65" s="228"/>
      <c r="O65" s="228"/>
      <c r="P65" s="228"/>
      <c r="Q65" s="228"/>
      <c r="R65" s="228"/>
      <c r="S65" s="228"/>
      <c r="T65" s="228"/>
      <c r="U65" s="228"/>
      <c r="V65" s="228"/>
      <c r="W65" s="229"/>
    </row>
    <row r="66" spans="2:23" ht="177" customHeight="1">
      <c r="B66" s="231"/>
      <c r="C66" s="1759" t="s">
        <v>26</v>
      </c>
      <c r="D66" s="1759"/>
      <c r="E66" s="1754" t="s">
        <v>635</v>
      </c>
      <c r="F66" s="1755"/>
      <c r="G66" s="1844" t="s">
        <v>636</v>
      </c>
      <c r="H66" s="1845"/>
      <c r="I66" s="1845"/>
      <c r="J66" s="1845"/>
      <c r="K66" s="1845"/>
      <c r="L66" s="1845"/>
      <c r="M66" s="1845"/>
      <c r="N66" s="1845"/>
      <c r="O66" s="1845"/>
      <c r="P66" s="1845"/>
      <c r="Q66" s="1845"/>
      <c r="R66" s="1845"/>
      <c r="S66" s="1845"/>
      <c r="T66" s="1845"/>
      <c r="U66" s="1845"/>
      <c r="V66" s="1845"/>
      <c r="W66" s="1846"/>
    </row>
    <row r="67" spans="2:23" ht="25.35" customHeight="1">
      <c r="B67" s="1842" t="s">
        <v>637</v>
      </c>
      <c r="C67" s="1835"/>
      <c r="D67" s="1843"/>
      <c r="E67" s="1760" t="s">
        <v>638</v>
      </c>
      <c r="F67" s="1847"/>
      <c r="G67" s="236"/>
      <c r="H67" s="237"/>
      <c r="I67" s="237"/>
      <c r="J67" s="237"/>
      <c r="K67" s="237"/>
      <c r="L67" s="237"/>
      <c r="M67" s="237"/>
      <c r="N67" s="237"/>
      <c r="O67" s="237"/>
      <c r="P67" s="237"/>
      <c r="Q67" s="237"/>
      <c r="R67" s="237"/>
      <c r="S67" s="237"/>
      <c r="T67" s="237"/>
      <c r="U67" s="237"/>
      <c r="V67" s="237"/>
      <c r="W67" s="238"/>
    </row>
    <row r="68" spans="2:23" ht="30.75" customHeight="1">
      <c r="B68" s="232"/>
      <c r="C68" s="1840" t="s">
        <v>29</v>
      </c>
      <c r="D68" s="1755"/>
      <c r="E68" s="1754" t="s">
        <v>639</v>
      </c>
      <c r="F68" s="1841"/>
      <c r="G68" s="1756" t="s">
        <v>640</v>
      </c>
      <c r="H68" s="1757"/>
      <c r="I68" s="1757"/>
      <c r="J68" s="1757"/>
      <c r="K68" s="1757"/>
      <c r="L68" s="1757"/>
      <c r="M68" s="1757"/>
      <c r="N68" s="1757"/>
      <c r="O68" s="1757"/>
      <c r="P68" s="1757"/>
      <c r="Q68" s="1757"/>
      <c r="R68" s="1757"/>
      <c r="S68" s="1757"/>
      <c r="T68" s="1757"/>
      <c r="U68" s="1757"/>
      <c r="V68" s="1757"/>
      <c r="W68" s="1758"/>
    </row>
    <row r="69" spans="2:23" ht="25.35" customHeight="1">
      <c r="B69" s="232"/>
      <c r="C69" s="1840" t="s">
        <v>22</v>
      </c>
      <c r="D69" s="1755"/>
      <c r="E69" s="1754" t="s">
        <v>641</v>
      </c>
      <c r="F69" s="1841"/>
      <c r="G69" s="1756" t="s">
        <v>642</v>
      </c>
      <c r="H69" s="1757"/>
      <c r="I69" s="1757"/>
      <c r="J69" s="1757"/>
      <c r="K69" s="1757"/>
      <c r="L69" s="1757"/>
      <c r="M69" s="1757"/>
      <c r="N69" s="1757"/>
      <c r="O69" s="1757"/>
      <c r="P69" s="1757"/>
      <c r="Q69" s="1757"/>
      <c r="R69" s="1757"/>
      <c r="S69" s="1757"/>
      <c r="T69" s="1757"/>
      <c r="U69" s="1757"/>
      <c r="V69" s="1757"/>
      <c r="W69" s="1758"/>
    </row>
    <row r="70" spans="2:23" ht="25.35" customHeight="1">
      <c r="B70" s="232"/>
      <c r="C70" s="1840" t="s">
        <v>643</v>
      </c>
      <c r="D70" s="1755"/>
      <c r="E70" s="1754" t="s">
        <v>644</v>
      </c>
      <c r="F70" s="1841"/>
      <c r="G70" s="1756" t="s">
        <v>645</v>
      </c>
      <c r="H70" s="1757"/>
      <c r="I70" s="1757"/>
      <c r="J70" s="1757"/>
      <c r="K70" s="1757"/>
      <c r="L70" s="1757"/>
      <c r="M70" s="1757"/>
      <c r="N70" s="1757"/>
      <c r="O70" s="1757"/>
      <c r="P70" s="1757"/>
      <c r="Q70" s="1757"/>
      <c r="R70" s="1757"/>
      <c r="S70" s="1757"/>
      <c r="T70" s="1757"/>
      <c r="U70" s="1757"/>
      <c r="V70" s="1757"/>
      <c r="W70" s="1758"/>
    </row>
    <row r="71" spans="2:23" ht="25.35" customHeight="1">
      <c r="B71" s="1794" t="s">
        <v>48</v>
      </c>
      <c r="C71" s="1795"/>
      <c r="D71" s="1796"/>
      <c r="E71" s="1797" t="s">
        <v>646</v>
      </c>
      <c r="F71" s="1796"/>
      <c r="G71" s="239" t="s">
        <v>647</v>
      </c>
      <c r="H71" s="240"/>
      <c r="I71" s="240"/>
      <c r="J71" s="240"/>
      <c r="K71" s="240"/>
      <c r="L71" s="240"/>
      <c r="M71" s="240"/>
      <c r="N71" s="233"/>
      <c r="O71" s="233"/>
      <c r="P71" s="233"/>
      <c r="Q71" s="233"/>
      <c r="R71" s="233"/>
      <c r="S71" s="233"/>
      <c r="T71" s="233"/>
      <c r="U71" s="233"/>
      <c r="V71" s="233"/>
      <c r="W71" s="234"/>
    </row>
    <row r="72" spans="2:23">
      <c r="B72" s="214"/>
    </row>
    <row r="73" spans="2:23" ht="25.35" customHeight="1">
      <c r="B73" s="211" t="s">
        <v>648</v>
      </c>
    </row>
    <row r="74" spans="2:23" ht="25.35" customHeight="1">
      <c r="B74" s="1778" t="s">
        <v>7</v>
      </c>
      <c r="C74" s="1778"/>
      <c r="D74" s="1778"/>
      <c r="E74" s="1779" t="s">
        <v>649</v>
      </c>
      <c r="F74" s="1867"/>
      <c r="G74" s="1867"/>
      <c r="H74" s="1867"/>
      <c r="I74" s="1867"/>
      <c r="J74" s="1867"/>
      <c r="K74" s="1867"/>
      <c r="L74" s="1867"/>
      <c r="M74" s="1867"/>
      <c r="N74" s="1867"/>
      <c r="O74" s="1867"/>
      <c r="P74" s="1867"/>
      <c r="Q74" s="1867"/>
      <c r="R74" s="1867"/>
      <c r="S74" s="1867"/>
      <c r="T74" s="1867"/>
      <c r="U74" s="1867"/>
      <c r="V74" s="1867"/>
      <c r="W74" s="1780"/>
    </row>
    <row r="75" spans="2:23" ht="29.25" customHeight="1">
      <c r="B75" s="1759" t="s">
        <v>114</v>
      </c>
      <c r="C75" s="1759"/>
      <c r="D75" s="1759"/>
      <c r="E75" s="1862" t="s">
        <v>650</v>
      </c>
      <c r="F75" s="1863"/>
      <c r="G75" s="1863"/>
      <c r="H75" s="1863"/>
      <c r="I75" s="1863"/>
      <c r="J75" s="1863"/>
      <c r="K75" s="1863"/>
      <c r="L75" s="1863"/>
      <c r="M75" s="1863"/>
      <c r="N75" s="1863"/>
      <c r="O75" s="1863"/>
      <c r="P75" s="1863"/>
      <c r="Q75" s="1863"/>
      <c r="R75" s="1863"/>
      <c r="S75" s="1863"/>
      <c r="T75" s="1863"/>
      <c r="U75" s="1863"/>
      <c r="V75" s="1863"/>
      <c r="W75" s="1864"/>
    </row>
    <row r="76" spans="2:23" ht="146.25" customHeight="1">
      <c r="B76" s="1759" t="s">
        <v>116</v>
      </c>
      <c r="C76" s="1759"/>
      <c r="D76" s="1759"/>
      <c r="E76" s="1865" t="s">
        <v>651</v>
      </c>
      <c r="F76" s="1863"/>
      <c r="G76" s="1863"/>
      <c r="H76" s="1863"/>
      <c r="I76" s="1863"/>
      <c r="J76" s="1863"/>
      <c r="K76" s="1863"/>
      <c r="L76" s="1863"/>
      <c r="M76" s="1863"/>
      <c r="N76" s="1863"/>
      <c r="O76" s="1863"/>
      <c r="P76" s="1863"/>
      <c r="Q76" s="1863"/>
      <c r="R76" s="1863"/>
      <c r="S76" s="1863"/>
      <c r="T76" s="1863"/>
      <c r="U76" s="1863"/>
      <c r="V76" s="1863"/>
      <c r="W76" s="1864"/>
    </row>
    <row r="77" spans="2:23" ht="69.75" customHeight="1">
      <c r="B77" s="1840" t="s">
        <v>27</v>
      </c>
      <c r="C77" s="1866"/>
      <c r="D77" s="1755"/>
      <c r="E77" s="1865" t="s">
        <v>652</v>
      </c>
      <c r="F77" s="1863"/>
      <c r="G77" s="1863"/>
      <c r="H77" s="1863"/>
      <c r="I77" s="1863"/>
      <c r="J77" s="1863"/>
      <c r="K77" s="1863"/>
      <c r="L77" s="1863"/>
      <c r="M77" s="1863"/>
      <c r="N77" s="1863"/>
      <c r="O77" s="1863"/>
      <c r="P77" s="1863"/>
      <c r="Q77" s="1863"/>
      <c r="R77" s="1863"/>
      <c r="S77" s="1863"/>
      <c r="T77" s="1863"/>
      <c r="U77" s="1863"/>
      <c r="V77" s="1863"/>
      <c r="W77" s="1864"/>
    </row>
    <row r="82" spans="2:2">
      <c r="B82" s="214"/>
    </row>
  </sheetData>
  <mergeCells count="14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G53:M53"/>
    <mergeCell ref="B50:D50"/>
    <mergeCell ref="E46:F46"/>
    <mergeCell ref="G46:W46"/>
    <mergeCell ref="C47:D47"/>
    <mergeCell ref="E47:F47"/>
    <mergeCell ref="G47:W47"/>
    <mergeCell ref="B48:D48"/>
    <mergeCell ref="E48:F48"/>
    <mergeCell ref="G48:M48"/>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s>
  <phoneticPr fontId="2" type="noConversion"/>
  <pageMargins left="0.38" right="0.32" top="0.35" bottom="0.19" header="0.3" footer="0.17"/>
  <pageSetup paperSize="8" scale="48"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cols>
    <col min="1" max="1" width="1" customWidth="1"/>
    <col min="2" max="2" width="4.59765625" customWidth="1"/>
    <col min="9" max="27" width="9" style="41"/>
  </cols>
  <sheetData>
    <row r="2" spans="2:30" ht="27.6">
      <c r="B2" s="40" t="s">
        <v>653</v>
      </c>
      <c r="Q2" s="40" t="s">
        <v>654</v>
      </c>
    </row>
    <row r="3" spans="2:30" ht="18" thickBot="1">
      <c r="O3" s="42" t="s">
        <v>6</v>
      </c>
      <c r="AD3" s="42" t="s">
        <v>6</v>
      </c>
    </row>
    <row r="4" spans="2:30" ht="18" thickBot="1">
      <c r="B4" s="1876" t="s">
        <v>7</v>
      </c>
      <c r="C4" s="1877"/>
      <c r="D4" s="1892" t="s">
        <v>2</v>
      </c>
      <c r="E4" s="1893"/>
      <c r="F4" s="1893"/>
      <c r="G4" s="1893"/>
      <c r="H4" s="1893"/>
      <c r="I4" s="1893"/>
      <c r="J4" s="1893"/>
      <c r="K4" s="1893"/>
      <c r="L4" s="1893"/>
      <c r="M4" s="1893"/>
      <c r="N4" s="1893"/>
      <c r="O4" s="1894"/>
      <c r="Q4" s="1876" t="s">
        <v>7</v>
      </c>
      <c r="R4" s="1877"/>
      <c r="S4" s="1892" t="s">
        <v>2</v>
      </c>
      <c r="T4" s="1893"/>
      <c r="U4" s="1893"/>
      <c r="V4" s="1893"/>
      <c r="W4" s="1893"/>
      <c r="X4" s="1893"/>
      <c r="Y4" s="1893"/>
      <c r="Z4" s="1893"/>
      <c r="AA4" s="1893"/>
      <c r="AB4" s="1893"/>
      <c r="AC4" s="1893"/>
      <c r="AD4" s="1894"/>
    </row>
    <row r="5" spans="2:30" ht="18" thickTop="1">
      <c r="B5" s="1878"/>
      <c r="C5" s="1879"/>
      <c r="D5" s="1895" t="s">
        <v>655</v>
      </c>
      <c r="E5" s="1896"/>
      <c r="F5" s="1897"/>
      <c r="G5" s="1898" t="s">
        <v>3</v>
      </c>
      <c r="H5" s="1898"/>
      <c r="I5" s="1899"/>
      <c r="J5" s="1900" t="s">
        <v>4</v>
      </c>
      <c r="K5" s="1898"/>
      <c r="L5" s="1899"/>
      <c r="M5" s="1900" t="s">
        <v>5</v>
      </c>
      <c r="N5" s="1898"/>
      <c r="O5" s="1901"/>
      <c r="Q5" s="1878"/>
      <c r="R5" s="1879"/>
      <c r="S5" s="1895" t="s">
        <v>655</v>
      </c>
      <c r="T5" s="1896"/>
      <c r="U5" s="1897"/>
      <c r="V5" s="1898" t="s">
        <v>3</v>
      </c>
      <c r="W5" s="1898"/>
      <c r="X5" s="1899"/>
      <c r="Y5" s="1900" t="s">
        <v>4</v>
      </c>
      <c r="Z5" s="1898"/>
      <c r="AA5" s="1899"/>
      <c r="AB5" s="1900" t="s">
        <v>5</v>
      </c>
      <c r="AC5" s="1898"/>
      <c r="AD5" s="1901"/>
    </row>
    <row r="6" spans="2:30" ht="18" thickBot="1">
      <c r="B6" s="1890"/>
      <c r="C6" s="1891"/>
      <c r="D6" s="99" t="s">
        <v>40</v>
      </c>
      <c r="E6" s="100" t="s">
        <v>656</v>
      </c>
      <c r="F6" s="101" t="s">
        <v>60</v>
      </c>
      <c r="G6" s="102" t="s">
        <v>40</v>
      </c>
      <c r="H6" s="100" t="s">
        <v>656</v>
      </c>
      <c r="I6" s="100" t="s">
        <v>60</v>
      </c>
      <c r="J6" s="103" t="s">
        <v>40</v>
      </c>
      <c r="K6" s="100" t="s">
        <v>656</v>
      </c>
      <c r="L6" s="100" t="s">
        <v>60</v>
      </c>
      <c r="M6" s="103" t="s">
        <v>40</v>
      </c>
      <c r="N6" s="100" t="s">
        <v>656</v>
      </c>
      <c r="O6" s="104" t="s">
        <v>60</v>
      </c>
      <c r="Q6" s="1890"/>
      <c r="R6" s="1891"/>
      <c r="S6" s="99" t="s">
        <v>40</v>
      </c>
      <c r="T6" s="100" t="s">
        <v>656</v>
      </c>
      <c r="U6" s="101" t="s">
        <v>60</v>
      </c>
      <c r="V6" s="102" t="s">
        <v>40</v>
      </c>
      <c r="W6" s="100" t="s">
        <v>656</v>
      </c>
      <c r="X6" s="100" t="s">
        <v>60</v>
      </c>
      <c r="Y6" s="103" t="s">
        <v>40</v>
      </c>
      <c r="Z6" s="100" t="s">
        <v>656</v>
      </c>
      <c r="AA6" s="100" t="s">
        <v>60</v>
      </c>
      <c r="AB6" s="103" t="s">
        <v>40</v>
      </c>
      <c r="AC6" s="100" t="s">
        <v>656</v>
      </c>
      <c r="AD6" s="104" t="s">
        <v>60</v>
      </c>
    </row>
    <row r="7" spans="2:30">
      <c r="B7" s="1872" t="s">
        <v>657</v>
      </c>
      <c r="C7" s="1873"/>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872" t="s">
        <v>657</v>
      </c>
      <c r="R7" s="1873"/>
      <c r="S7" s="105" t="e">
        <f>S8+S11+S14</f>
        <v>#REF!</v>
      </c>
      <c r="T7" s="106">
        <f t="shared" ref="T7" si="4">T8+T11+T14</f>
        <v>269.57963601</v>
      </c>
      <c r="U7" s="156"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c r="B8" s="1870" t="s">
        <v>45</v>
      </c>
      <c r="C8" s="1871"/>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870" t="s">
        <v>45</v>
      </c>
      <c r="R8" s="1871"/>
      <c r="S8" s="110" t="e">
        <f>SUM(S9:S10)</f>
        <v>#REF!</v>
      </c>
      <c r="T8" s="111">
        <f t="shared" ref="T8" si="13">SUM(T9:T10)</f>
        <v>86.421011739999997</v>
      </c>
      <c r="U8" s="157"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c r="B9" s="1874"/>
      <c r="C9" s="59" t="s">
        <v>632</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874"/>
      <c r="R9" s="59" t="s">
        <v>632</v>
      </c>
      <c r="S9" s="114" t="e">
        <f>D9</f>
        <v>#REF!</v>
      </c>
      <c r="T9" s="115">
        <f>W9+Z9+AC9</f>
        <v>86.421011739999997</v>
      </c>
      <c r="U9" s="158"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c r="B10" s="1875"/>
      <c r="C10" s="67" t="s">
        <v>658</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875"/>
      <c r="R10" s="67" t="s">
        <v>658</v>
      </c>
      <c r="S10" s="118" t="e">
        <f>D10</f>
        <v>#REF!</v>
      </c>
      <c r="T10" s="119">
        <f>W10+Z10+AC10</f>
        <v>0</v>
      </c>
      <c r="U10" s="159"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c r="B11" s="1870" t="s">
        <v>634</v>
      </c>
      <c r="C11" s="1871"/>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870" t="s">
        <v>634</v>
      </c>
      <c r="R11" s="1871"/>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c r="B12" s="1874"/>
      <c r="C12" s="59" t="s">
        <v>27</v>
      </c>
      <c r="D12" s="114" t="e">
        <f>L32</f>
        <v>#REF!</v>
      </c>
      <c r="E12" s="115">
        <f>H12+K12+N12</f>
        <v>20.9431437</v>
      </c>
      <c r="F12" s="141" t="e">
        <f t="shared" si="9"/>
        <v>#REF!</v>
      </c>
      <c r="G12" s="116" t="e">
        <f>I32</f>
        <v>#REF!</v>
      </c>
      <c r="H12" s="115">
        <f>셀트리온제약!I17/10^8</f>
        <v>6.7044357000000003</v>
      </c>
      <c r="I12" s="160"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874"/>
      <c r="R12" s="59" t="s">
        <v>27</v>
      </c>
      <c r="S12" s="114" t="e">
        <f>D12</f>
        <v>#REF!</v>
      </c>
      <c r="T12" s="115">
        <f>W12+Z12+AC12</f>
        <v>27.461327399999998</v>
      </c>
      <c r="U12" s="158" t="e">
        <f t="shared" si="14"/>
        <v>#REF!</v>
      </c>
      <c r="V12" s="116" t="e">
        <f>G12</f>
        <v>#REF!</v>
      </c>
      <c r="W12" s="115">
        <f>'상세 자료 작성'!K10/10^8</f>
        <v>10.137470199999999</v>
      </c>
      <c r="X12" s="160"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c r="B13" s="1875"/>
      <c r="C13" s="67" t="s">
        <v>26</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875"/>
      <c r="R13" s="67" t="s">
        <v>26</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c r="B14" s="1870" t="s">
        <v>659</v>
      </c>
      <c r="C14" s="1871"/>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870" t="s">
        <v>659</v>
      </c>
      <c r="R14" s="1871"/>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c r="B15" s="1868"/>
      <c r="C15" s="82" t="s">
        <v>51</v>
      </c>
      <c r="D15" s="114">
        <f>L35</f>
        <v>2.14</v>
      </c>
      <c r="E15" s="115">
        <f>H15+K15+N15</f>
        <v>1.4783999999999999</v>
      </c>
      <c r="F15" s="141">
        <f t="shared" si="9"/>
        <v>-0.66160000000000019</v>
      </c>
      <c r="G15" s="116">
        <f>I35</f>
        <v>0.4</v>
      </c>
      <c r="H15" s="115">
        <f>셀트리온제약!I19/10^8</f>
        <v>8.3999999999999995E-3</v>
      </c>
      <c r="I15" s="160">
        <f t="shared" si="26"/>
        <v>-0.3916</v>
      </c>
      <c r="J15" s="115">
        <f>J35</f>
        <v>1.7400000000000002</v>
      </c>
      <c r="K15" s="115">
        <f>셀트리온제약!I28/10^8</f>
        <v>1.47</v>
      </c>
      <c r="L15" s="115">
        <f t="shared" si="27"/>
        <v>-0.27000000000000024</v>
      </c>
      <c r="M15" s="115">
        <f>K35</f>
        <v>0</v>
      </c>
      <c r="N15" s="117">
        <f>셀트리온제약!I37/10^8</f>
        <v>0</v>
      </c>
      <c r="O15" s="137">
        <f t="shared" si="28"/>
        <v>0</v>
      </c>
      <c r="Q15" s="1868"/>
      <c r="R15" s="82" t="s">
        <v>51</v>
      </c>
      <c r="S15" s="114">
        <f>D15</f>
        <v>2.14</v>
      </c>
      <c r="T15" s="115">
        <f>W15+Z15+AC15</f>
        <v>1.47</v>
      </c>
      <c r="U15" s="141">
        <f t="shared" si="14"/>
        <v>-0.67000000000000015</v>
      </c>
      <c r="V15" s="116">
        <f>G15</f>
        <v>0.4</v>
      </c>
      <c r="W15" s="115">
        <f>'상세 자료 작성'!K12/10^8</f>
        <v>0</v>
      </c>
      <c r="X15" s="160">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c r="B16" s="1868"/>
      <c r="C16" s="83" t="s">
        <v>30</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868"/>
      <c r="R16" s="83" t="s">
        <v>30</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c r="B17" s="1868"/>
      <c r="C17" s="163" t="s">
        <v>26</v>
      </c>
      <c r="D17" s="164">
        <f>L37</f>
        <v>3.1020828700000003</v>
      </c>
      <c r="E17" s="165">
        <f t="shared" si="32"/>
        <v>3.1020828700000003</v>
      </c>
      <c r="F17" s="166">
        <f t="shared" si="9"/>
        <v>0</v>
      </c>
      <c r="G17" s="167">
        <f>I37</f>
        <v>1.6206942900000001</v>
      </c>
      <c r="H17" s="165">
        <f>셀트리온제약!I21/10^8</f>
        <v>1.6206942900000001</v>
      </c>
      <c r="I17" s="165">
        <f t="shared" si="26"/>
        <v>0</v>
      </c>
      <c r="J17" s="165">
        <f>J37</f>
        <v>0.14069429</v>
      </c>
      <c r="K17" s="165">
        <f>셀트리온제약!I30/10^8</f>
        <v>0.14069429</v>
      </c>
      <c r="L17" s="165">
        <f t="shared" si="27"/>
        <v>0</v>
      </c>
      <c r="M17" s="165">
        <f>K37</f>
        <v>1.3406942900000001</v>
      </c>
      <c r="N17" s="168">
        <f>셀트리온제약!I39/10^8</f>
        <v>1.3406942900000001</v>
      </c>
      <c r="O17" s="169">
        <f t="shared" si="28"/>
        <v>0</v>
      </c>
      <c r="Q17" s="1868"/>
      <c r="R17" s="163" t="s">
        <v>26</v>
      </c>
      <c r="S17" s="164">
        <f>D17</f>
        <v>3.1020828700000003</v>
      </c>
      <c r="T17" s="165">
        <f t="shared" si="33"/>
        <v>8.7447868699999987</v>
      </c>
      <c r="U17" s="166">
        <f t="shared" si="14"/>
        <v>5.6427039999999984</v>
      </c>
      <c r="V17" s="167">
        <f t="shared" si="34"/>
        <v>1.6206942900000001</v>
      </c>
      <c r="W17" s="165">
        <f>'상세 자료 작성'!K14/10^8</f>
        <v>4.39139429</v>
      </c>
      <c r="X17" s="165">
        <f t="shared" si="29"/>
        <v>2.7706999999999997</v>
      </c>
      <c r="Y17" s="165">
        <f>J17</f>
        <v>0.14069429</v>
      </c>
      <c r="Z17" s="165">
        <f>'상세 자료 작성'!K25/10^8</f>
        <v>0.14069429</v>
      </c>
      <c r="AA17" s="165">
        <f t="shared" si="30"/>
        <v>0</v>
      </c>
      <c r="AB17" s="165">
        <f>M17</f>
        <v>1.3406942900000001</v>
      </c>
      <c r="AC17" s="168">
        <f>'상세 자료 작성'!K36/10^8</f>
        <v>4.2126982899999996</v>
      </c>
      <c r="AD17" s="169">
        <f t="shared" si="31"/>
        <v>2.8720039999999996</v>
      </c>
    </row>
    <row r="18" spans="2:30" ht="18" thickBot="1">
      <c r="B18" s="1869"/>
      <c r="C18" s="91" t="s">
        <v>22</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869"/>
      <c r="R18" s="91" t="s">
        <v>22</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c r="Q19" s="161" t="s">
        <v>660</v>
      </c>
    </row>
    <row r="20" spans="2:30" ht="8.25" customHeight="1"/>
    <row r="21" spans="2:30" ht="27.6">
      <c r="B21" s="40" t="s">
        <v>661</v>
      </c>
    </row>
    <row r="22" spans="2:30" ht="18" thickBot="1">
      <c r="AA22" s="42" t="s">
        <v>6</v>
      </c>
    </row>
    <row r="23" spans="2:30" ht="19.8" thickBot="1">
      <c r="B23" s="1876" t="s">
        <v>7</v>
      </c>
      <c r="C23" s="1877"/>
      <c r="D23" s="1880" t="s">
        <v>662</v>
      </c>
      <c r="E23" s="1881"/>
      <c r="F23" s="1881"/>
      <c r="G23" s="1881"/>
      <c r="H23" s="1882"/>
      <c r="I23" s="1883" t="s">
        <v>663</v>
      </c>
      <c r="J23" s="1884"/>
      <c r="K23" s="1884"/>
      <c r="L23" s="1884"/>
      <c r="M23" s="1884"/>
      <c r="N23" s="1884"/>
      <c r="O23" s="1884"/>
      <c r="P23" s="1884"/>
      <c r="Q23" s="1884"/>
      <c r="R23" s="1884"/>
      <c r="S23" s="1884"/>
      <c r="T23" s="1884"/>
      <c r="U23" s="1884"/>
      <c r="V23" s="1884"/>
      <c r="W23" s="1884"/>
      <c r="X23" s="1884"/>
      <c r="Y23" s="1884"/>
      <c r="Z23" s="1884"/>
      <c r="AA23" s="1885"/>
    </row>
    <row r="24" spans="2:30" ht="18" thickBot="1">
      <c r="B24" s="1878"/>
      <c r="C24" s="1879"/>
      <c r="D24" s="1886" t="s">
        <v>2</v>
      </c>
      <c r="E24" s="1888" t="s">
        <v>155</v>
      </c>
      <c r="F24" s="1888" t="s">
        <v>99</v>
      </c>
      <c r="G24" s="1888" t="s">
        <v>174</v>
      </c>
      <c r="H24" s="1916" t="s">
        <v>664</v>
      </c>
      <c r="I24" s="1564" t="s">
        <v>583</v>
      </c>
      <c r="J24" s="1902"/>
      <c r="K24" s="1902"/>
      <c r="L24" s="1902"/>
      <c r="M24" s="1902"/>
      <c r="N24" s="1902"/>
      <c r="O24" s="1902"/>
      <c r="P24" s="1902"/>
      <c r="Q24" s="1903"/>
      <c r="R24" s="1564" t="s">
        <v>599</v>
      </c>
      <c r="S24" s="1902"/>
      <c r="T24" s="1902"/>
      <c r="U24" s="1902"/>
      <c r="V24" s="1902"/>
      <c r="W24" s="1902"/>
      <c r="X24" s="1902"/>
      <c r="Y24" s="1902"/>
      <c r="Z24" s="1903"/>
      <c r="AA24" s="1904" t="s">
        <v>664</v>
      </c>
    </row>
    <row r="25" spans="2:30">
      <c r="B25" s="1878"/>
      <c r="C25" s="1879"/>
      <c r="D25" s="1886"/>
      <c r="E25" s="1888"/>
      <c r="F25" s="1888"/>
      <c r="G25" s="1888"/>
      <c r="H25" s="1916"/>
      <c r="I25" s="1907" t="s">
        <v>2</v>
      </c>
      <c r="J25" s="1908"/>
      <c r="K25" s="1908"/>
      <c r="L25" s="1909"/>
      <c r="M25" s="1907" t="s">
        <v>155</v>
      </c>
      <c r="N25" s="1908"/>
      <c r="O25" s="1908"/>
      <c r="P25" s="1909"/>
      <c r="Q25" s="1910" t="s">
        <v>583</v>
      </c>
      <c r="R25" s="1907" t="s">
        <v>99</v>
      </c>
      <c r="S25" s="1908"/>
      <c r="T25" s="1908"/>
      <c r="U25" s="1909"/>
      <c r="V25" s="1907" t="s">
        <v>174</v>
      </c>
      <c r="W25" s="1908"/>
      <c r="X25" s="1908"/>
      <c r="Y25" s="1909"/>
      <c r="Z25" s="1910" t="s">
        <v>599</v>
      </c>
      <c r="AA25" s="1905"/>
    </row>
    <row r="26" spans="2:30" ht="18" thickBot="1">
      <c r="B26" s="1878"/>
      <c r="C26" s="1879"/>
      <c r="D26" s="1887"/>
      <c r="E26" s="1889"/>
      <c r="F26" s="1889"/>
      <c r="G26" s="1889"/>
      <c r="H26" s="1917"/>
      <c r="I26" s="43" t="s">
        <v>3</v>
      </c>
      <c r="J26" s="899" t="s">
        <v>4</v>
      </c>
      <c r="K26" s="899" t="s">
        <v>5</v>
      </c>
      <c r="L26" s="44" t="s">
        <v>266</v>
      </c>
      <c r="M26" s="43" t="s">
        <v>156</v>
      </c>
      <c r="N26" s="899" t="s">
        <v>158</v>
      </c>
      <c r="O26" s="899" t="s">
        <v>160</v>
      </c>
      <c r="P26" s="44" t="s">
        <v>266</v>
      </c>
      <c r="Q26" s="1911"/>
      <c r="R26" s="43" t="s">
        <v>78</v>
      </c>
      <c r="S26" s="899" t="s">
        <v>166</v>
      </c>
      <c r="T26" s="899" t="s">
        <v>101</v>
      </c>
      <c r="U26" s="44" t="s">
        <v>266</v>
      </c>
      <c r="V26" s="43" t="s">
        <v>175</v>
      </c>
      <c r="W26" s="899" t="s">
        <v>143</v>
      </c>
      <c r="X26" s="899" t="s">
        <v>144</v>
      </c>
      <c r="Y26" s="44" t="s">
        <v>266</v>
      </c>
      <c r="Z26" s="1911"/>
      <c r="AA26" s="1906"/>
    </row>
    <row r="27" spans="2:30" ht="19.8" thickBot="1">
      <c r="B27" s="1914" t="s">
        <v>657</v>
      </c>
      <c r="C27" s="1915"/>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c r="B28" s="1912" t="s">
        <v>45</v>
      </c>
      <c r="C28" s="1913"/>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c r="B29" s="1874"/>
      <c r="C29" s="59" t="s">
        <v>632</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c r="B30" s="1875"/>
      <c r="C30" s="67" t="s">
        <v>658</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c r="B31" s="1870" t="s">
        <v>634</v>
      </c>
      <c r="C31" s="1871"/>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c r="B32" s="1874"/>
      <c r="C32" s="59" t="s">
        <v>27</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c r="B33" s="1875"/>
      <c r="C33" s="67" t="s">
        <v>26</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c r="B34" s="1870" t="s">
        <v>659</v>
      </c>
      <c r="C34" s="1871"/>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c r="B35" s="1868"/>
      <c r="C35" s="82" t="s">
        <v>51</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c r="B36" s="1868"/>
      <c r="C36" s="83" t="s">
        <v>30</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c r="B37" s="1868"/>
      <c r="C37" s="163" t="s">
        <v>26</v>
      </c>
      <c r="D37" s="170">
        <v>3.1320828700000001</v>
      </c>
      <c r="E37" s="171">
        <v>14.562393869999999</v>
      </c>
      <c r="F37" s="171">
        <v>32.21816287</v>
      </c>
      <c r="G37" s="171">
        <v>25.158182870000001</v>
      </c>
      <c r="H37" s="172">
        <f t="shared" si="71"/>
        <v>75.070822480000004</v>
      </c>
      <c r="I37" s="173">
        <v>1.6206942900000001</v>
      </c>
      <c r="J37" s="174">
        <v>0.14069429</v>
      </c>
      <c r="K37" s="174">
        <v>1.3406942900000001</v>
      </c>
      <c r="L37" s="175">
        <f t="shared" si="47"/>
        <v>3.1020828700000003</v>
      </c>
      <c r="M37" s="173">
        <v>8.5846942899999998</v>
      </c>
      <c r="N37" s="174">
        <v>0.14069429</v>
      </c>
      <c r="O37" s="174">
        <v>0.14069429</v>
      </c>
      <c r="P37" s="175">
        <f t="shared" si="49"/>
        <v>8.8660828700000014</v>
      </c>
      <c r="Q37" s="176">
        <f t="shared" si="50"/>
        <v>11.968165740000002</v>
      </c>
      <c r="R37" s="173">
        <v>11.42669429</v>
      </c>
      <c r="S37" s="174">
        <v>0.14069429</v>
      </c>
      <c r="T37" s="174">
        <v>6.3706942900000003</v>
      </c>
      <c r="U37" s="175">
        <f t="shared" si="52"/>
        <v>17.938082870000002</v>
      </c>
      <c r="V37" s="173">
        <v>0.80069429000000003</v>
      </c>
      <c r="W37" s="174">
        <v>0.14069429</v>
      </c>
      <c r="X37" s="174">
        <v>0.14069429</v>
      </c>
      <c r="Y37" s="175">
        <f t="shared" si="54"/>
        <v>1.08208287</v>
      </c>
      <c r="Z37" s="176">
        <f t="shared" si="55"/>
        <v>19.020165740000003</v>
      </c>
      <c r="AA37" s="176">
        <f t="shared" si="56"/>
        <v>30.988331480000006</v>
      </c>
    </row>
    <row r="38" spans="2:27" ht="19.8" thickBot="1">
      <c r="B38" s="1869"/>
      <c r="C38" s="91" t="s">
        <v>22</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 ref="B28:C28"/>
    <mergeCell ref="B29:B30"/>
    <mergeCell ref="B31:C31"/>
    <mergeCell ref="B32:B33"/>
    <mergeCell ref="B34:C34"/>
    <mergeCell ref="R24:Z24"/>
    <mergeCell ref="AA24:AA26"/>
    <mergeCell ref="I25:L25"/>
    <mergeCell ref="M25:P25"/>
    <mergeCell ref="Q25:Q26"/>
    <mergeCell ref="R25:U25"/>
    <mergeCell ref="V25:Y25"/>
    <mergeCell ref="Q4:R6"/>
    <mergeCell ref="S4:AD4"/>
    <mergeCell ref="S5:U5"/>
    <mergeCell ref="V5:X5"/>
    <mergeCell ref="Y5:AA5"/>
    <mergeCell ref="AB5:AD5"/>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cols>
    <col min="1" max="1" width="1" customWidth="1"/>
    <col min="2" max="2" width="9.59765625" customWidth="1"/>
    <col min="3" max="38" width="6.59765625" customWidth="1"/>
  </cols>
  <sheetData>
    <row r="2" spans="2:38">
      <c r="B2" s="185" t="s">
        <v>665</v>
      </c>
    </row>
    <row r="3" spans="2:38">
      <c r="B3" t="s">
        <v>666</v>
      </c>
    </row>
    <row r="4" spans="2:38">
      <c r="B4" t="s">
        <v>667</v>
      </c>
    </row>
    <row r="5" spans="2:38">
      <c r="B5" t="s">
        <v>668</v>
      </c>
    </row>
    <row r="6" spans="2:38">
      <c r="C6" t="s">
        <v>669</v>
      </c>
    </row>
    <row r="8" spans="2:38">
      <c r="B8" s="185" t="s">
        <v>670</v>
      </c>
    </row>
    <row r="9" spans="2:38" s="188" customFormat="1" ht="30" customHeight="1">
      <c r="B9" s="1920" t="s">
        <v>7</v>
      </c>
      <c r="C9" s="187" t="s">
        <v>671</v>
      </c>
      <c r="D9" s="1921" t="s">
        <v>672</v>
      </c>
      <c r="E9" s="1921"/>
      <c r="F9" s="1921"/>
      <c r="G9" s="1921"/>
      <c r="H9" s="1921"/>
      <c r="I9" s="1921"/>
      <c r="J9" s="1921"/>
      <c r="K9" s="1921"/>
      <c r="L9" s="1921"/>
      <c r="M9" s="1921"/>
      <c r="N9" s="1921"/>
      <c r="O9" s="1921"/>
      <c r="P9" s="1921"/>
      <c r="Q9" s="1921"/>
      <c r="R9" s="1921"/>
      <c r="S9" s="1921"/>
      <c r="T9" s="1921"/>
      <c r="U9" s="1921"/>
      <c r="V9" s="1921"/>
      <c r="W9" s="1921"/>
      <c r="X9" s="1921"/>
      <c r="Y9" s="1921"/>
      <c r="Z9" s="1921"/>
      <c r="AA9" s="1921"/>
      <c r="AB9" s="1921"/>
      <c r="AC9" s="1921"/>
      <c r="AD9" s="1921"/>
      <c r="AE9" s="1921"/>
      <c r="AF9" s="1921"/>
      <c r="AG9" s="1921"/>
      <c r="AH9" s="1921"/>
      <c r="AI9" s="1921"/>
      <c r="AJ9" s="1921"/>
      <c r="AK9" s="1921"/>
      <c r="AL9" s="1921"/>
    </row>
    <row r="10" spans="2:38" s="188" customFormat="1" ht="30" customHeight="1">
      <c r="B10" s="1920"/>
      <c r="C10" s="1918" t="s">
        <v>673</v>
      </c>
      <c r="D10" s="1919" t="s">
        <v>2</v>
      </c>
      <c r="E10" s="1919"/>
      <c r="F10" s="1919"/>
      <c r="G10" s="1919"/>
      <c r="H10" s="1919"/>
      <c r="I10" s="1919"/>
      <c r="J10" s="1923"/>
      <c r="K10" s="1923"/>
      <c r="L10" s="1919" t="s">
        <v>155</v>
      </c>
      <c r="M10" s="1919"/>
      <c r="N10" s="1919"/>
      <c r="O10" s="1919"/>
      <c r="P10" s="1919"/>
      <c r="Q10" s="1919"/>
      <c r="R10" s="1923"/>
      <c r="S10" s="1923"/>
      <c r="T10" s="1919" t="s">
        <v>99</v>
      </c>
      <c r="U10" s="1919"/>
      <c r="V10" s="1919"/>
      <c r="W10" s="1919"/>
      <c r="X10" s="1919"/>
      <c r="Y10" s="1919"/>
      <c r="Z10" s="1923"/>
      <c r="AA10" s="1923"/>
      <c r="AB10" s="1919" t="s">
        <v>174</v>
      </c>
      <c r="AC10" s="1919"/>
      <c r="AD10" s="1919"/>
      <c r="AE10" s="1919"/>
      <c r="AF10" s="1919"/>
      <c r="AG10" s="1919"/>
      <c r="AH10" s="1923"/>
      <c r="AI10" s="1923"/>
      <c r="AJ10" s="1921" t="s">
        <v>40</v>
      </c>
      <c r="AK10" s="1921" t="s">
        <v>674</v>
      </c>
      <c r="AL10" s="1921" t="s">
        <v>60</v>
      </c>
    </row>
    <row r="11" spans="2:38" s="188" customFormat="1" ht="30" customHeight="1">
      <c r="B11" s="1920"/>
      <c r="C11" s="1919"/>
      <c r="D11" s="1920" t="s">
        <v>3</v>
      </c>
      <c r="E11" s="1920"/>
      <c r="F11" s="1920" t="s">
        <v>4</v>
      </c>
      <c r="G11" s="1920"/>
      <c r="H11" s="1920" t="s">
        <v>5</v>
      </c>
      <c r="I11" s="1920"/>
      <c r="J11" s="1922" t="s">
        <v>40</v>
      </c>
      <c r="K11" s="1922" t="s">
        <v>674</v>
      </c>
      <c r="L11" s="1920" t="s">
        <v>156</v>
      </c>
      <c r="M11" s="1920"/>
      <c r="N11" s="1920" t="s">
        <v>158</v>
      </c>
      <c r="O11" s="1920"/>
      <c r="P11" s="1920" t="s">
        <v>160</v>
      </c>
      <c r="Q11" s="1920"/>
      <c r="R11" s="1922" t="s">
        <v>40</v>
      </c>
      <c r="S11" s="1922" t="s">
        <v>674</v>
      </c>
      <c r="T11" s="1920" t="s">
        <v>78</v>
      </c>
      <c r="U11" s="1920"/>
      <c r="V11" s="1920" t="s">
        <v>166</v>
      </c>
      <c r="W11" s="1920"/>
      <c r="X11" s="1920" t="s">
        <v>101</v>
      </c>
      <c r="Y11" s="1920"/>
      <c r="Z11" s="1922" t="s">
        <v>40</v>
      </c>
      <c r="AA11" s="1922" t="s">
        <v>674</v>
      </c>
      <c r="AB11" s="1920" t="s">
        <v>175</v>
      </c>
      <c r="AC11" s="1920"/>
      <c r="AD11" s="1920" t="s">
        <v>143</v>
      </c>
      <c r="AE11" s="1920"/>
      <c r="AF11" s="1920" t="s">
        <v>144</v>
      </c>
      <c r="AG11" s="1920"/>
      <c r="AH11" s="1922" t="s">
        <v>40</v>
      </c>
      <c r="AI11" s="1922" t="s">
        <v>674</v>
      </c>
      <c r="AJ11" s="1921"/>
      <c r="AK11" s="1921"/>
      <c r="AL11" s="1921"/>
    </row>
    <row r="12" spans="2:38" s="188" customFormat="1" ht="30" customHeight="1">
      <c r="B12" s="1920"/>
      <c r="C12" s="1919"/>
      <c r="D12" s="186" t="s">
        <v>40</v>
      </c>
      <c r="E12" s="186" t="s">
        <v>674</v>
      </c>
      <c r="F12" s="186" t="s">
        <v>40</v>
      </c>
      <c r="G12" s="186" t="s">
        <v>674</v>
      </c>
      <c r="H12" s="186" t="s">
        <v>40</v>
      </c>
      <c r="I12" s="186" t="s">
        <v>674</v>
      </c>
      <c r="J12" s="1919"/>
      <c r="K12" s="1919"/>
      <c r="L12" s="186" t="s">
        <v>40</v>
      </c>
      <c r="M12" s="186" t="s">
        <v>674</v>
      </c>
      <c r="N12" s="186" t="s">
        <v>40</v>
      </c>
      <c r="O12" s="186" t="s">
        <v>674</v>
      </c>
      <c r="P12" s="186" t="s">
        <v>40</v>
      </c>
      <c r="Q12" s="186" t="s">
        <v>674</v>
      </c>
      <c r="R12" s="1919"/>
      <c r="S12" s="1919"/>
      <c r="T12" s="186" t="s">
        <v>40</v>
      </c>
      <c r="U12" s="186" t="s">
        <v>674</v>
      </c>
      <c r="V12" s="186" t="s">
        <v>40</v>
      </c>
      <c r="W12" s="186" t="s">
        <v>674</v>
      </c>
      <c r="X12" s="186" t="s">
        <v>40</v>
      </c>
      <c r="Y12" s="186" t="s">
        <v>674</v>
      </c>
      <c r="Z12" s="1919"/>
      <c r="AA12" s="1919"/>
      <c r="AB12" s="186" t="s">
        <v>40</v>
      </c>
      <c r="AC12" s="186" t="s">
        <v>674</v>
      </c>
      <c r="AD12" s="186" t="s">
        <v>40</v>
      </c>
      <c r="AE12" s="186" t="s">
        <v>674</v>
      </c>
      <c r="AF12" s="186" t="s">
        <v>40</v>
      </c>
      <c r="AG12" s="186" t="s">
        <v>674</v>
      </c>
      <c r="AH12" s="1919"/>
      <c r="AI12" s="1919"/>
      <c r="AJ12" s="1921"/>
      <c r="AK12" s="1921"/>
      <c r="AL12" s="1921"/>
    </row>
    <row r="13" spans="2:38" ht="30" customHeight="1">
      <c r="B13" s="181" t="s">
        <v>266</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c r="B14" s="178" t="s">
        <v>675</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2">
        <f t="shared" ref="AJ14:AJ18" si="1">AH14+Z14+R14+J14</f>
        <v>0</v>
      </c>
      <c r="AK14" s="182">
        <f t="shared" ref="AK14:AK18" si="2">AI14+AA14+S14+K14</f>
        <v>2.8125</v>
      </c>
      <c r="AL14" s="182">
        <f t="shared" ref="AL14:AL18" si="3">AK14-AJ14</f>
        <v>2.8125</v>
      </c>
    </row>
    <row r="15" spans="2:38" ht="30" customHeight="1">
      <c r="B15" s="179" t="s">
        <v>676</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3">
        <f t="shared" si="1"/>
        <v>0</v>
      </c>
      <c r="AK15" s="183">
        <f t="shared" si="2"/>
        <v>6.59375</v>
      </c>
      <c r="AL15" s="183">
        <f t="shared" si="3"/>
        <v>6.59375</v>
      </c>
    </row>
    <row r="16" spans="2:38" ht="30" customHeight="1">
      <c r="B16" s="179" t="s">
        <v>677</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3">
        <f t="shared" si="1"/>
        <v>1.7</v>
      </c>
      <c r="AK16" s="183">
        <f t="shared" si="2"/>
        <v>6.59375</v>
      </c>
      <c r="AL16" s="183">
        <f t="shared" si="3"/>
        <v>4.8937499999999998</v>
      </c>
    </row>
    <row r="17" spans="2:38" ht="30" customHeight="1">
      <c r="B17" s="179" t="s">
        <v>678</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3">
        <f t="shared" si="1"/>
        <v>1.7</v>
      </c>
      <c r="AK17" s="183">
        <f t="shared" si="2"/>
        <v>7.9125000000000005</v>
      </c>
      <c r="AL17" s="183">
        <f t="shared" si="3"/>
        <v>6.2125000000000004</v>
      </c>
    </row>
    <row r="18" spans="2:38" ht="30" customHeight="1">
      <c r="B18" s="180" t="s">
        <v>679</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4">
        <f t="shared" si="1"/>
        <v>2.5499999999999998</v>
      </c>
      <c r="AK18" s="184">
        <f t="shared" si="2"/>
        <v>8.2501250000000006</v>
      </c>
      <c r="AL18" s="184">
        <f t="shared" si="3"/>
        <v>5.7001250000000008</v>
      </c>
    </row>
    <row r="19" spans="2:3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s>
  <phoneticPr fontId="2" type="noConversion"/>
  <pageMargins left="0.37" right="0.36" top="0.75" bottom="0.75" header="0.3" footer="0.3"/>
  <pageSetup paperSize="9" scale="5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c r="B1" s="34" t="s">
        <v>680</v>
      </c>
    </row>
    <row r="2" spans="2:19" ht="18" thickBot="1">
      <c r="K2" s="1575" t="s">
        <v>681</v>
      </c>
      <c r="L2" s="1575"/>
    </row>
    <row r="3" spans="2:19" ht="18" thickBot="1">
      <c r="B3" s="27" t="s">
        <v>122</v>
      </c>
      <c r="C3" s="28" t="s">
        <v>123</v>
      </c>
      <c r="D3" s="28" t="s">
        <v>124</v>
      </c>
      <c r="E3" s="28" t="s">
        <v>125</v>
      </c>
      <c r="F3" s="28" t="s">
        <v>126</v>
      </c>
      <c r="G3" s="28" t="s">
        <v>127</v>
      </c>
      <c r="H3" s="29" t="s">
        <v>128</v>
      </c>
      <c r="I3" s="28" t="s">
        <v>129</v>
      </c>
      <c r="J3" s="30" t="s">
        <v>130</v>
      </c>
      <c r="K3" s="31" t="s">
        <v>682</v>
      </c>
      <c r="L3" s="30" t="s">
        <v>60</v>
      </c>
    </row>
    <row r="4" spans="2:19" hidden="1">
      <c r="B4" s="7" t="s">
        <v>3</v>
      </c>
      <c r="C4" s="8" t="s">
        <v>133</v>
      </c>
      <c r="D4" s="8" t="s">
        <v>134</v>
      </c>
      <c r="E4" s="8" t="s">
        <v>422</v>
      </c>
      <c r="F4" s="8" t="s">
        <v>423</v>
      </c>
      <c r="G4" s="24"/>
      <c r="H4" s="9" t="e">
        <f>INDEX(#REF!,MATCH(셀트리온제약!$F4,#REF!,0),MATCH(셀트리온제약!$B4,#REF!,0))</f>
        <v>#REF!</v>
      </c>
      <c r="I4" s="24" t="e">
        <f>H4</f>
        <v>#REF!</v>
      </c>
      <c r="J4" s="20" t="e">
        <f>+G4/H4</f>
        <v>#REF!</v>
      </c>
      <c r="L4" s="32"/>
      <c r="O4" s="10"/>
      <c r="R4" s="10"/>
      <c r="S4" s="10"/>
    </row>
    <row r="5" spans="2:19" hidden="1">
      <c r="B5" s="2" t="s">
        <v>3</v>
      </c>
      <c r="C5" s="3" t="s">
        <v>133</v>
      </c>
      <c r="D5" s="3" t="s">
        <v>134</v>
      </c>
      <c r="E5" s="3" t="s">
        <v>422</v>
      </c>
      <c r="F5" s="3" t="s">
        <v>683</v>
      </c>
      <c r="G5" s="25"/>
      <c r="H5" s="11" t="e">
        <f>INDEX(#REF!,MATCH(셀트리온제약!$F5,#REF!,0),MATCH(셀트리온제약!$B5,#REF!,0))</f>
        <v>#REF!</v>
      </c>
      <c r="I5" s="25" t="e">
        <f t="shared" ref="I5:I43" si="0">H5</f>
        <v>#REF!</v>
      </c>
      <c r="J5" s="21" t="e">
        <f t="shared" ref="J5:J14" si="1">+G5/H5</f>
        <v>#REF!</v>
      </c>
      <c r="L5" s="32"/>
      <c r="O5" s="10"/>
      <c r="R5" s="10"/>
      <c r="S5" s="10"/>
    </row>
    <row r="6" spans="2:19" hidden="1">
      <c r="B6" s="2" t="s">
        <v>3</v>
      </c>
      <c r="C6" s="3" t="s">
        <v>133</v>
      </c>
      <c r="D6" s="3" t="s">
        <v>134</v>
      </c>
      <c r="E6" s="3" t="s">
        <v>422</v>
      </c>
      <c r="F6" s="3" t="s">
        <v>89</v>
      </c>
      <c r="G6" s="25"/>
      <c r="H6" s="11" t="e">
        <f>INDEX(#REF!,MATCH(셀트리온제약!$F6,#REF!,0),MATCH(셀트리온제약!$B6,#REF!,0))</f>
        <v>#REF!</v>
      </c>
      <c r="I6" s="25" t="e">
        <f t="shared" si="0"/>
        <v>#REF!</v>
      </c>
      <c r="J6" s="21" t="e">
        <f t="shared" si="1"/>
        <v>#REF!</v>
      </c>
      <c r="L6" s="32"/>
      <c r="O6" s="10"/>
      <c r="R6" s="10"/>
      <c r="S6" s="10"/>
    </row>
    <row r="7" spans="2:19" hidden="1">
      <c r="B7" s="2" t="s">
        <v>3</v>
      </c>
      <c r="C7" s="3" t="s">
        <v>133</v>
      </c>
      <c r="D7" s="3" t="s">
        <v>134</v>
      </c>
      <c r="E7" s="3" t="s">
        <v>450</v>
      </c>
      <c r="F7" s="3" t="s">
        <v>452</v>
      </c>
      <c r="G7" s="25"/>
      <c r="H7" s="11" t="e">
        <f>INDEX(#REF!,MATCH(셀트리온제약!$F7,#REF!,0),MATCH(셀트리온제약!$B7,#REF!,0))</f>
        <v>#REF!</v>
      </c>
      <c r="I7" s="25" t="e">
        <f t="shared" si="0"/>
        <v>#REF!</v>
      </c>
      <c r="J7" s="21" t="e">
        <f t="shared" si="1"/>
        <v>#REF!</v>
      </c>
      <c r="L7" s="32"/>
      <c r="O7" s="10"/>
      <c r="R7" s="10"/>
      <c r="S7" s="10"/>
    </row>
    <row r="8" spans="2:19" hidden="1">
      <c r="B8" s="2" t="s">
        <v>3</v>
      </c>
      <c r="C8" s="3" t="s">
        <v>133</v>
      </c>
      <c r="D8" s="3" t="s">
        <v>134</v>
      </c>
      <c r="E8" s="3" t="s">
        <v>450</v>
      </c>
      <c r="F8" s="3" t="s">
        <v>453</v>
      </c>
      <c r="G8" s="25"/>
      <c r="H8" s="11" t="e">
        <f>INDEX(#REF!,MATCH(셀트리온제약!$F8,#REF!,0),MATCH(셀트리온제약!$B8,#REF!,0))</f>
        <v>#REF!</v>
      </c>
      <c r="I8" s="25" t="e">
        <f t="shared" si="0"/>
        <v>#REF!</v>
      </c>
      <c r="J8" s="21" t="e">
        <f t="shared" si="1"/>
        <v>#REF!</v>
      </c>
      <c r="L8" s="32"/>
      <c r="O8" s="10"/>
      <c r="R8" s="10"/>
      <c r="S8" s="10"/>
    </row>
    <row r="9" spans="2:19" hidden="1">
      <c r="B9" s="2" t="s">
        <v>3</v>
      </c>
      <c r="C9" s="3" t="s">
        <v>133</v>
      </c>
      <c r="D9" s="3" t="s">
        <v>134</v>
      </c>
      <c r="E9" s="3" t="s">
        <v>450</v>
      </c>
      <c r="F9" s="3" t="s">
        <v>458</v>
      </c>
      <c r="G9" s="25"/>
      <c r="H9" s="11" t="e">
        <f>INDEX(#REF!,MATCH(셀트리온제약!$F9,#REF!,0),MATCH(셀트리온제약!$B9,#REF!,0))</f>
        <v>#REF!</v>
      </c>
      <c r="I9" s="25" t="e">
        <f t="shared" si="0"/>
        <v>#REF!</v>
      </c>
      <c r="J9" s="21" t="e">
        <f t="shared" si="1"/>
        <v>#REF!</v>
      </c>
      <c r="L9" s="32"/>
      <c r="O9" s="10"/>
      <c r="R9" s="10"/>
      <c r="S9" s="10"/>
    </row>
    <row r="10" spans="2:19" hidden="1">
      <c r="B10" s="2" t="s">
        <v>3</v>
      </c>
      <c r="C10" s="3" t="s">
        <v>133</v>
      </c>
      <c r="D10" s="3" t="s">
        <v>134</v>
      </c>
      <c r="E10" s="3" t="s">
        <v>450</v>
      </c>
      <c r="F10" s="3" t="s">
        <v>454</v>
      </c>
      <c r="G10" s="26"/>
      <c r="H10" s="4" t="e">
        <f>INDEX(#REF!,MATCH(셀트리온제약!$F10,#REF!,0),MATCH(셀트리온제약!$B10,#REF!,0))</f>
        <v>#REF!</v>
      </c>
      <c r="I10" s="26" t="e">
        <f t="shared" si="0"/>
        <v>#REF!</v>
      </c>
      <c r="J10" s="21" t="e">
        <f t="shared" si="1"/>
        <v>#REF!</v>
      </c>
      <c r="L10" s="32"/>
      <c r="O10" s="10"/>
      <c r="R10" s="10"/>
      <c r="S10" s="10"/>
    </row>
    <row r="11" spans="2:19" hidden="1">
      <c r="B11" s="2" t="s">
        <v>3</v>
      </c>
      <c r="C11" s="3" t="s">
        <v>133</v>
      </c>
      <c r="D11" s="3" t="s">
        <v>134</v>
      </c>
      <c r="E11" s="3" t="s">
        <v>450</v>
      </c>
      <c r="F11" s="3" t="s">
        <v>461</v>
      </c>
      <c r="G11" s="25"/>
      <c r="H11" s="11" t="e">
        <f>INDEX(#REF!,MATCH(셀트리온제약!$F11,#REF!,0),MATCH(셀트리온제약!$B11,#REF!,0))</f>
        <v>#REF!</v>
      </c>
      <c r="I11" s="25" t="e">
        <f t="shared" si="0"/>
        <v>#REF!</v>
      </c>
      <c r="J11" s="21" t="e">
        <f t="shared" si="1"/>
        <v>#REF!</v>
      </c>
      <c r="L11" s="32"/>
      <c r="O11" s="10"/>
      <c r="R11" s="10"/>
      <c r="S11" s="10"/>
    </row>
    <row r="12" spans="2:19" hidden="1">
      <c r="B12" s="2" t="s">
        <v>3</v>
      </c>
      <c r="C12" s="3" t="s">
        <v>133</v>
      </c>
      <c r="D12" s="3" t="s">
        <v>134</v>
      </c>
      <c r="E12" s="3" t="s">
        <v>450</v>
      </c>
      <c r="F12" s="3" t="s">
        <v>684</v>
      </c>
      <c r="G12" s="26"/>
      <c r="H12" s="4" t="e">
        <f>INDEX(#REF!,MATCH(셀트리온제약!$F12,#REF!,0),MATCH(셀트리온제약!$B12,#REF!,0))</f>
        <v>#REF!</v>
      </c>
      <c r="I12" s="26" t="e">
        <f t="shared" si="0"/>
        <v>#REF!</v>
      </c>
      <c r="J12" s="21" t="e">
        <f t="shared" si="1"/>
        <v>#REF!</v>
      </c>
      <c r="L12" s="32"/>
      <c r="O12" s="10"/>
      <c r="R12" s="10"/>
      <c r="S12" s="10"/>
    </row>
    <row r="13" spans="2:19" hidden="1">
      <c r="B13" s="2" t="s">
        <v>3</v>
      </c>
      <c r="C13" s="3" t="s">
        <v>133</v>
      </c>
      <c r="D13" s="3" t="s">
        <v>134</v>
      </c>
      <c r="E13" s="3" t="s">
        <v>432</v>
      </c>
      <c r="F13" s="3" t="s">
        <v>432</v>
      </c>
      <c r="G13" s="26"/>
      <c r="H13" s="4" t="e">
        <f>INDEX(#REF!,MATCH(셀트리온제약!$F13,#REF!,0),MATCH(셀트리온제약!$B13,#REF!,0))</f>
        <v>#REF!</v>
      </c>
      <c r="I13" s="26" t="e">
        <f t="shared" si="0"/>
        <v>#REF!</v>
      </c>
      <c r="J13" s="21" t="e">
        <f t="shared" si="1"/>
        <v>#REF!</v>
      </c>
      <c r="L13" s="32"/>
      <c r="O13" s="10"/>
    </row>
    <row r="14" spans="2:19" hidden="1">
      <c r="B14" s="12" t="s">
        <v>3</v>
      </c>
      <c r="C14" s="697" t="s">
        <v>133</v>
      </c>
      <c r="D14" s="697" t="s">
        <v>134</v>
      </c>
      <c r="E14" s="697" t="s">
        <v>443</v>
      </c>
      <c r="F14" s="697" t="s">
        <v>443</v>
      </c>
      <c r="G14" s="900"/>
      <c r="H14" s="698" t="e">
        <f>INDEX(#REF!,MATCH(셀트리온제약!$F14,#REF!,0),MATCH(셀트리온제약!$B14,#REF!,0))</f>
        <v>#REF!</v>
      </c>
      <c r="I14" s="900" t="e">
        <f t="shared" si="0"/>
        <v>#REF!</v>
      </c>
      <c r="J14" s="699" t="e">
        <f t="shared" si="1"/>
        <v>#REF!</v>
      </c>
      <c r="L14" s="32"/>
      <c r="O14" s="10"/>
    </row>
    <row r="15" spans="2:19">
      <c r="B15" s="1564" t="s">
        <v>3</v>
      </c>
      <c r="C15" s="8" t="s">
        <v>133</v>
      </c>
      <c r="D15" s="8" t="s">
        <v>134</v>
      </c>
      <c r="E15" s="8" t="s">
        <v>135</v>
      </c>
      <c r="F15" s="8" t="s">
        <v>136</v>
      </c>
      <c r="G15" s="33">
        <v>5126482260</v>
      </c>
      <c r="H15" s="33">
        <v>3844520000.0000005</v>
      </c>
      <c r="I15" s="33">
        <v>5126482260</v>
      </c>
      <c r="J15" s="20">
        <f>+I15/H15</f>
        <v>1.3334518379407572</v>
      </c>
      <c r="K15" s="4">
        <v>5129494020</v>
      </c>
      <c r="L15" s="148">
        <f>I15-K15</f>
        <v>-3011760</v>
      </c>
      <c r="O15" s="10"/>
    </row>
    <row r="16" spans="2:19">
      <c r="B16" s="1563"/>
      <c r="C16" s="3" t="s">
        <v>133</v>
      </c>
      <c r="D16" s="3" t="s">
        <v>134</v>
      </c>
      <c r="E16" s="3" t="s">
        <v>135</v>
      </c>
      <c r="F16" s="3" t="s">
        <v>137</v>
      </c>
      <c r="G16" s="4">
        <v>156595400</v>
      </c>
      <c r="H16" s="4">
        <v>155480000</v>
      </c>
      <c r="I16" s="4">
        <v>156595400</v>
      </c>
      <c r="J16" s="21">
        <f t="shared" ref="J16:J21" si="2">+I16/H16</f>
        <v>1.0071739130434783</v>
      </c>
      <c r="K16" s="4">
        <v>156595400</v>
      </c>
      <c r="L16" s="35">
        <f t="shared" ref="L16:L22" si="3">I16-K16</f>
        <v>0</v>
      </c>
      <c r="M16" s="15"/>
      <c r="O16" s="10"/>
    </row>
    <row r="17" spans="2:19">
      <c r="B17" s="1563"/>
      <c r="C17" s="3" t="s">
        <v>133</v>
      </c>
      <c r="D17" s="3" t="s">
        <v>134</v>
      </c>
      <c r="E17" s="3" t="s">
        <v>135</v>
      </c>
      <c r="F17" s="3" t="s">
        <v>139</v>
      </c>
      <c r="G17" s="4">
        <v>670443570</v>
      </c>
      <c r="H17" s="4">
        <v>709659920</v>
      </c>
      <c r="I17" s="4">
        <v>670443570</v>
      </c>
      <c r="J17" s="21">
        <f t="shared" si="2"/>
        <v>0.9447392350972843</v>
      </c>
      <c r="K17" s="4">
        <v>670443570</v>
      </c>
      <c r="L17" s="35">
        <f t="shared" si="3"/>
        <v>0</v>
      </c>
      <c r="M17" s="15"/>
      <c r="O17" s="10"/>
    </row>
    <row r="18" spans="2:19">
      <c r="B18" s="1563"/>
      <c r="C18" s="3" t="s">
        <v>133</v>
      </c>
      <c r="D18" s="3" t="s">
        <v>134</v>
      </c>
      <c r="E18" s="3" t="s">
        <v>135</v>
      </c>
      <c r="F18" s="3" t="s">
        <v>140</v>
      </c>
      <c r="G18" s="4">
        <v>536928300</v>
      </c>
      <c r="H18" s="4">
        <v>0</v>
      </c>
      <c r="I18" s="4">
        <v>536928300</v>
      </c>
      <c r="J18" s="21"/>
      <c r="K18" s="4">
        <v>536928300</v>
      </c>
      <c r="L18" s="35">
        <f t="shared" si="3"/>
        <v>0</v>
      </c>
      <c r="O18" s="10"/>
    </row>
    <row r="19" spans="2:19">
      <c r="B19" s="1563"/>
      <c r="C19" s="3" t="s">
        <v>133</v>
      </c>
      <c r="D19" s="3" t="s">
        <v>134</v>
      </c>
      <c r="E19" s="3" t="s">
        <v>135</v>
      </c>
      <c r="F19" s="3" t="s">
        <v>141</v>
      </c>
      <c r="G19" s="4">
        <v>1271730</v>
      </c>
      <c r="H19" s="4">
        <v>40000000</v>
      </c>
      <c r="I19" s="4">
        <v>840000</v>
      </c>
      <c r="J19" s="21">
        <f t="shared" si="2"/>
        <v>2.1000000000000001E-2</v>
      </c>
      <c r="K19" s="38">
        <v>840000</v>
      </c>
      <c r="L19" s="155">
        <f t="shared" si="3"/>
        <v>0</v>
      </c>
      <c r="O19" s="10"/>
    </row>
    <row r="20" spans="2:19">
      <c r="B20" s="1563"/>
      <c r="C20" s="3" t="s">
        <v>133</v>
      </c>
      <c r="D20" s="3" t="s">
        <v>134</v>
      </c>
      <c r="E20" s="3" t="s">
        <v>135</v>
      </c>
      <c r="F20" s="3" t="s">
        <v>142</v>
      </c>
      <c r="G20" s="4">
        <v>0</v>
      </c>
      <c r="H20" s="4">
        <v>0</v>
      </c>
      <c r="I20" s="4">
        <v>0</v>
      </c>
      <c r="J20" s="21"/>
      <c r="K20" s="38">
        <v>0</v>
      </c>
      <c r="L20" s="35">
        <f t="shared" si="3"/>
        <v>0</v>
      </c>
      <c r="O20" s="10"/>
      <c r="R20" s="10"/>
      <c r="S20" s="10"/>
    </row>
    <row r="21" spans="2:19">
      <c r="B21" s="1563"/>
      <c r="C21" s="3" t="s">
        <v>133</v>
      </c>
      <c r="D21" s="3" t="s">
        <v>134</v>
      </c>
      <c r="E21" s="3" t="s">
        <v>135</v>
      </c>
      <c r="F21" s="3" t="s">
        <v>146</v>
      </c>
      <c r="G21" s="4">
        <v>162069429</v>
      </c>
      <c r="H21" s="4">
        <v>162069429</v>
      </c>
      <c r="I21" s="4">
        <v>162069429</v>
      </c>
      <c r="J21" s="21">
        <f t="shared" si="2"/>
        <v>1</v>
      </c>
      <c r="K21" s="38">
        <v>162069429</v>
      </c>
      <c r="L21" s="35">
        <f t="shared" si="3"/>
        <v>0</v>
      </c>
      <c r="O21" s="10"/>
      <c r="R21" s="10"/>
      <c r="S21" s="10"/>
    </row>
    <row r="22" spans="2:19" ht="18" thickBot="1">
      <c r="B22" s="1563"/>
      <c r="C22" s="17" t="s">
        <v>133</v>
      </c>
      <c r="D22" s="17" t="s">
        <v>134</v>
      </c>
      <c r="E22" s="17" t="s">
        <v>135</v>
      </c>
      <c r="F22" s="17" t="s">
        <v>147</v>
      </c>
      <c r="G22" s="6">
        <v>858750000</v>
      </c>
      <c r="H22" s="6">
        <v>0</v>
      </c>
      <c r="I22" s="6">
        <v>858750000</v>
      </c>
      <c r="J22" s="22"/>
      <c r="K22" s="6">
        <v>858750000</v>
      </c>
      <c r="L22" s="36">
        <f t="shared" si="3"/>
        <v>0</v>
      </c>
      <c r="O22" s="10"/>
      <c r="R22" s="10"/>
      <c r="S22" s="10"/>
    </row>
    <row r="23" spans="2:19" ht="21" customHeight="1" thickBot="1">
      <c r="B23" s="1559"/>
      <c r="C23" s="1570" t="s">
        <v>149</v>
      </c>
      <c r="D23" s="1570"/>
      <c r="E23" s="1570"/>
      <c r="F23" s="1571"/>
      <c r="G23" s="144">
        <f>SUM(G15:G22)</f>
        <v>7512540689</v>
      </c>
      <c r="H23" s="144">
        <f>SUM(H15:H22)</f>
        <v>4911729349</v>
      </c>
      <c r="I23" s="144">
        <f>SUM(I15:I22)</f>
        <v>7512108959</v>
      </c>
      <c r="J23" s="145">
        <f>I23/H23</f>
        <v>1.5294224142316437</v>
      </c>
      <c r="K23" s="146">
        <f>SUM(K15:K22)</f>
        <v>7515120719</v>
      </c>
      <c r="L23" s="190">
        <f>SUM(L15:L22)</f>
        <v>-3011760</v>
      </c>
      <c r="O23" s="10"/>
      <c r="R23" s="10"/>
      <c r="S23" s="10"/>
    </row>
    <row r="24" spans="2:19">
      <c r="B24" s="1564" t="s">
        <v>4</v>
      </c>
      <c r="C24" s="3" t="s">
        <v>133</v>
      </c>
      <c r="D24" s="3" t="s">
        <v>134</v>
      </c>
      <c r="E24" s="3" t="s">
        <v>135</v>
      </c>
      <c r="F24" s="3" t="s">
        <v>136</v>
      </c>
      <c r="G24" s="4"/>
      <c r="H24" s="4">
        <v>3922041600.0000005</v>
      </c>
      <c r="I24" s="4">
        <v>6267053200</v>
      </c>
      <c r="J24" s="21">
        <f t="shared" ref="J24:J31" si="4">+G24/H24</f>
        <v>0</v>
      </c>
      <c r="K24" s="4">
        <v>6267053200</v>
      </c>
      <c r="L24" s="177">
        <f>I24-K24</f>
        <v>0</v>
      </c>
      <c r="O24" s="10"/>
    </row>
    <row r="25" spans="2:19">
      <c r="B25" s="1563"/>
      <c r="C25" s="3" t="s">
        <v>133</v>
      </c>
      <c r="D25" s="3" t="s">
        <v>134</v>
      </c>
      <c r="E25" s="3" t="s">
        <v>135</v>
      </c>
      <c r="F25" s="3" t="s">
        <v>137</v>
      </c>
      <c r="G25" s="4"/>
      <c r="H25" s="4">
        <v>77958400</v>
      </c>
      <c r="I25" s="4">
        <v>0</v>
      </c>
      <c r="J25" s="21">
        <f t="shared" si="4"/>
        <v>0</v>
      </c>
      <c r="K25" s="4">
        <v>0</v>
      </c>
      <c r="L25" s="35">
        <f t="shared" ref="L25:L31" si="5">I25-K25</f>
        <v>0</v>
      </c>
      <c r="O25" s="10"/>
    </row>
    <row r="26" spans="2:19">
      <c r="B26" s="1563"/>
      <c r="C26" s="3" t="s">
        <v>133</v>
      </c>
      <c r="D26" s="3" t="s">
        <v>134</v>
      </c>
      <c r="E26" s="3" t="s">
        <v>135</v>
      </c>
      <c r="F26" s="3" t="s">
        <v>139</v>
      </c>
      <c r="G26" s="4"/>
      <c r="H26" s="4">
        <v>706930160</v>
      </c>
      <c r="I26" s="4">
        <v>637351360</v>
      </c>
      <c r="J26" s="21">
        <f t="shared" si="4"/>
        <v>0</v>
      </c>
      <c r="K26" s="4">
        <v>720000000</v>
      </c>
      <c r="L26" s="147">
        <f t="shared" si="5"/>
        <v>-82648640</v>
      </c>
      <c r="O26" s="10"/>
    </row>
    <row r="27" spans="2:19">
      <c r="B27" s="1563"/>
      <c r="C27" s="3" t="s">
        <v>133</v>
      </c>
      <c r="D27" s="3" t="s">
        <v>134</v>
      </c>
      <c r="E27" s="3" t="s">
        <v>135</v>
      </c>
      <c r="F27" s="3" t="s">
        <v>140</v>
      </c>
      <c r="G27" s="4"/>
      <c r="H27" s="4">
        <v>0</v>
      </c>
      <c r="I27" s="4">
        <v>750626800</v>
      </c>
      <c r="J27" s="21"/>
      <c r="K27" s="4">
        <v>750626800</v>
      </c>
      <c r="L27" s="35">
        <f t="shared" si="5"/>
        <v>0</v>
      </c>
      <c r="O27" s="10"/>
    </row>
    <row r="28" spans="2:19">
      <c r="B28" s="1563"/>
      <c r="C28" s="3" t="s">
        <v>133</v>
      </c>
      <c r="D28" s="3" t="s">
        <v>134</v>
      </c>
      <c r="E28" s="3" t="s">
        <v>135</v>
      </c>
      <c r="F28" s="3" t="s">
        <v>141</v>
      </c>
      <c r="G28" s="4"/>
      <c r="H28" s="4">
        <v>174000000</v>
      </c>
      <c r="I28" s="4">
        <v>147000000</v>
      </c>
      <c r="J28" s="21">
        <f t="shared" si="4"/>
        <v>0</v>
      </c>
      <c r="K28" s="4">
        <v>214000000</v>
      </c>
      <c r="L28" s="189">
        <f t="shared" si="5"/>
        <v>-67000000</v>
      </c>
      <c r="O28" s="10"/>
    </row>
    <row r="29" spans="2:19">
      <c r="B29" s="1563"/>
      <c r="C29" s="3" t="s">
        <v>133</v>
      </c>
      <c r="D29" s="3" t="s">
        <v>134</v>
      </c>
      <c r="E29" s="3" t="s">
        <v>135</v>
      </c>
      <c r="F29" s="3" t="s">
        <v>142</v>
      </c>
      <c r="G29" s="4"/>
      <c r="H29" s="4">
        <v>67500000</v>
      </c>
      <c r="I29" s="4">
        <v>38500000</v>
      </c>
      <c r="J29" s="21">
        <f t="shared" si="4"/>
        <v>0</v>
      </c>
      <c r="K29" s="4">
        <v>67500000</v>
      </c>
      <c r="L29" s="147">
        <f t="shared" si="5"/>
        <v>-29000000</v>
      </c>
      <c r="O29" s="10"/>
      <c r="R29" s="10"/>
      <c r="S29" s="10"/>
    </row>
    <row r="30" spans="2:19">
      <c r="B30" s="1563"/>
      <c r="C30" s="3" t="s">
        <v>133</v>
      </c>
      <c r="D30" s="3" t="s">
        <v>134</v>
      </c>
      <c r="E30" s="3" t="s">
        <v>135</v>
      </c>
      <c r="F30" s="3" t="s">
        <v>146</v>
      </c>
      <c r="G30" s="4"/>
      <c r="H30" s="4">
        <v>14069429</v>
      </c>
      <c r="I30" s="4">
        <f t="shared" ref="I30" si="6">H30</f>
        <v>14069429</v>
      </c>
      <c r="J30" s="21">
        <f t="shared" si="4"/>
        <v>0</v>
      </c>
      <c r="K30" s="4">
        <v>14069429</v>
      </c>
      <c r="L30" s="35">
        <f t="shared" si="5"/>
        <v>0</v>
      </c>
      <c r="O30" s="10"/>
      <c r="R30" s="10"/>
      <c r="S30" s="10"/>
    </row>
    <row r="31" spans="2:19" ht="18" thickBot="1">
      <c r="B31" s="1563"/>
      <c r="C31" s="3" t="s">
        <v>133</v>
      </c>
      <c r="D31" s="3" t="s">
        <v>134</v>
      </c>
      <c r="E31" s="3" t="s">
        <v>135</v>
      </c>
      <c r="F31" s="3" t="s">
        <v>147</v>
      </c>
      <c r="G31" s="698"/>
      <c r="H31" s="698">
        <v>170000000</v>
      </c>
      <c r="I31" s="698">
        <v>344375000</v>
      </c>
      <c r="J31" s="699">
        <f t="shared" si="4"/>
        <v>0</v>
      </c>
      <c r="K31" s="698">
        <v>344375000</v>
      </c>
      <c r="L31" s="162">
        <f t="shared" si="5"/>
        <v>0</v>
      </c>
      <c r="O31" s="10"/>
      <c r="R31" s="10"/>
      <c r="S31" s="10"/>
    </row>
    <row r="32" spans="2:19" ht="18" thickBot="1">
      <c r="B32" s="1559"/>
      <c r="C32" s="1570" t="s">
        <v>685</v>
      </c>
      <c r="D32" s="1570"/>
      <c r="E32" s="1570"/>
      <c r="F32" s="1571"/>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c r="B33" s="1563" t="s">
        <v>5</v>
      </c>
      <c r="C33" s="3" t="s">
        <v>133</v>
      </c>
      <c r="D33" s="3" t="s">
        <v>134</v>
      </c>
      <c r="E33" s="3" t="s">
        <v>135</v>
      </c>
      <c r="F33" s="3" t="s">
        <v>136</v>
      </c>
      <c r="G33" s="4"/>
      <c r="H33" s="4">
        <v>5612097600</v>
      </c>
      <c r="I33" s="4">
        <v>1983837820</v>
      </c>
      <c r="J33" s="21">
        <f t="shared" ref="J33:J44" si="7">+G33/H33</f>
        <v>0</v>
      </c>
      <c r="K33" s="37">
        <v>1983837820</v>
      </c>
      <c r="L33" s="177">
        <f>I33-K33</f>
        <v>0</v>
      </c>
      <c r="O33" s="10"/>
    </row>
    <row r="34" spans="2:19">
      <c r="B34" s="1563"/>
      <c r="C34" s="3" t="s">
        <v>133</v>
      </c>
      <c r="D34" s="3" t="s">
        <v>134</v>
      </c>
      <c r="E34" s="3" t="s">
        <v>135</v>
      </c>
      <c r="F34" s="3" t="s">
        <v>137</v>
      </c>
      <c r="G34" s="4"/>
      <c r="H34" s="4">
        <v>387902400</v>
      </c>
      <c r="I34" s="4">
        <v>464745400</v>
      </c>
      <c r="J34" s="21">
        <f t="shared" si="7"/>
        <v>0</v>
      </c>
      <c r="K34" s="38">
        <v>464745400</v>
      </c>
      <c r="L34" s="35">
        <f t="shared" ref="L34:L40" si="8">I34-K34</f>
        <v>0</v>
      </c>
      <c r="O34" s="10"/>
      <c r="R34" s="10"/>
      <c r="S34" s="10"/>
    </row>
    <row r="35" spans="2:19">
      <c r="B35" s="1563"/>
      <c r="C35" s="3" t="s">
        <v>133</v>
      </c>
      <c r="D35" s="3" t="s">
        <v>134</v>
      </c>
      <c r="E35" s="3" t="s">
        <v>135</v>
      </c>
      <c r="F35" s="3" t="s">
        <v>139</v>
      </c>
      <c r="G35" s="4"/>
      <c r="H35" s="4">
        <v>759929360</v>
      </c>
      <c r="I35" s="4">
        <v>786519440</v>
      </c>
      <c r="J35" s="21">
        <f t="shared" si="7"/>
        <v>0</v>
      </c>
      <c r="K35" s="38">
        <v>786519440</v>
      </c>
      <c r="L35" s="35">
        <f t="shared" si="8"/>
        <v>0</v>
      </c>
      <c r="O35" s="10"/>
      <c r="R35" s="10"/>
      <c r="S35" s="10"/>
    </row>
    <row r="36" spans="2:19">
      <c r="B36" s="1563"/>
      <c r="C36" s="3" t="s">
        <v>133</v>
      </c>
      <c r="D36" s="3" t="s">
        <v>134</v>
      </c>
      <c r="E36" s="3" t="s">
        <v>135</v>
      </c>
      <c r="F36" s="3" t="s">
        <v>140</v>
      </c>
      <c r="G36" s="4"/>
      <c r="H36" s="4">
        <v>61667600</v>
      </c>
      <c r="I36" s="4">
        <v>549400800</v>
      </c>
      <c r="J36" s="21">
        <f t="shared" si="7"/>
        <v>0</v>
      </c>
      <c r="K36" s="38">
        <v>0</v>
      </c>
      <c r="L36" s="35">
        <f t="shared" si="8"/>
        <v>549400800</v>
      </c>
      <c r="O36" s="10"/>
      <c r="R36" s="10"/>
      <c r="S36" s="10"/>
    </row>
    <row r="37" spans="2:19">
      <c r="B37" s="1563"/>
      <c r="C37" s="3" t="s">
        <v>133</v>
      </c>
      <c r="D37" s="3" t="s">
        <v>134</v>
      </c>
      <c r="E37" s="3" t="s">
        <v>135</v>
      </c>
      <c r="F37" s="3" t="s">
        <v>141</v>
      </c>
      <c r="G37" s="4"/>
      <c r="H37" s="4">
        <v>0</v>
      </c>
      <c r="I37" s="4">
        <v>0</v>
      </c>
      <c r="J37" s="21"/>
      <c r="K37" s="38">
        <v>0</v>
      </c>
      <c r="L37" s="155">
        <f t="shared" si="8"/>
        <v>0</v>
      </c>
      <c r="O37" s="10"/>
      <c r="R37" s="10"/>
      <c r="S37" s="10"/>
    </row>
    <row r="38" spans="2:19">
      <c r="B38" s="1563"/>
      <c r="C38" s="3" t="s">
        <v>133</v>
      </c>
      <c r="D38" s="3" t="s">
        <v>134</v>
      </c>
      <c r="E38" s="3" t="s">
        <v>135</v>
      </c>
      <c r="F38" s="3" t="s">
        <v>142</v>
      </c>
      <c r="G38" s="4"/>
      <c r="H38" s="4">
        <v>245375000</v>
      </c>
      <c r="I38" s="4">
        <v>245375000</v>
      </c>
      <c r="J38" s="21">
        <f t="shared" si="7"/>
        <v>0</v>
      </c>
      <c r="K38" s="38">
        <v>245375000</v>
      </c>
      <c r="L38" s="35">
        <f t="shared" si="8"/>
        <v>0</v>
      </c>
      <c r="O38" s="10"/>
      <c r="R38" s="10"/>
      <c r="S38" s="10"/>
    </row>
    <row r="39" spans="2:19">
      <c r="B39" s="1563"/>
      <c r="C39" s="3" t="s">
        <v>133</v>
      </c>
      <c r="D39" s="3" t="s">
        <v>134</v>
      </c>
      <c r="E39" s="3" t="s">
        <v>135</v>
      </c>
      <c r="F39" s="3" t="s">
        <v>146</v>
      </c>
      <c r="G39" s="4"/>
      <c r="H39" s="4">
        <v>134069429</v>
      </c>
      <c r="I39" s="4">
        <v>134069429</v>
      </c>
      <c r="J39" s="21">
        <f t="shared" si="7"/>
        <v>0</v>
      </c>
      <c r="K39" s="38">
        <v>134069429</v>
      </c>
      <c r="L39" s="35">
        <f t="shared" si="8"/>
        <v>0</v>
      </c>
      <c r="O39" s="10"/>
      <c r="R39" s="10"/>
      <c r="S39" s="10"/>
    </row>
    <row r="40" spans="2:19" ht="17.25" customHeight="1" thickBot="1">
      <c r="B40" s="1563"/>
      <c r="C40" s="3" t="s">
        <v>133</v>
      </c>
      <c r="D40" s="3" t="s">
        <v>134</v>
      </c>
      <c r="E40" s="3" t="s">
        <v>135</v>
      </c>
      <c r="F40" s="3" t="s">
        <v>147</v>
      </c>
      <c r="G40" s="4"/>
      <c r="H40" s="4">
        <v>85000000</v>
      </c>
      <c r="I40" s="4">
        <v>386875000</v>
      </c>
      <c r="J40" s="21">
        <f t="shared" si="7"/>
        <v>0</v>
      </c>
      <c r="K40" s="13">
        <v>85000000</v>
      </c>
      <c r="L40" s="162">
        <f t="shared" si="8"/>
        <v>301875000</v>
      </c>
      <c r="O40" s="10"/>
      <c r="R40" s="10"/>
      <c r="S40" s="10"/>
    </row>
    <row r="41" spans="2:19" ht="18" thickBot="1">
      <c r="B41" s="1924"/>
      <c r="C41" s="1570" t="s">
        <v>686</v>
      </c>
      <c r="D41" s="1570"/>
      <c r="E41" s="1570"/>
      <c r="F41" s="1571"/>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c r="B42" s="14" t="s">
        <v>5</v>
      </c>
      <c r="C42" s="3" t="s">
        <v>133</v>
      </c>
      <c r="D42" s="3" t="s">
        <v>134</v>
      </c>
      <c r="E42" s="3" t="s">
        <v>135</v>
      </c>
      <c r="F42" s="3" t="s">
        <v>687</v>
      </c>
      <c r="G42" s="4"/>
      <c r="H42" s="4" t="e">
        <f>INDEX(#REF!,MATCH(셀트리온제약!$F42,#REF!,0),MATCH(셀트리온제약!$B42,#REF!,0))</f>
        <v>#REF!</v>
      </c>
      <c r="I42" s="4" t="e">
        <f t="shared" si="0"/>
        <v>#REF!</v>
      </c>
      <c r="J42" s="21" t="e">
        <f t="shared" si="7"/>
        <v>#REF!</v>
      </c>
      <c r="L42" s="15"/>
      <c r="O42" s="10"/>
      <c r="R42" s="10"/>
      <c r="S42" s="10"/>
    </row>
    <row r="43" spans="2:19" hidden="1">
      <c r="B43" s="2" t="s">
        <v>5</v>
      </c>
      <c r="C43" s="3" t="s">
        <v>133</v>
      </c>
      <c r="D43" s="3" t="s">
        <v>134</v>
      </c>
      <c r="E43" s="3" t="s">
        <v>688</v>
      </c>
      <c r="F43" s="3" t="s">
        <v>470</v>
      </c>
      <c r="G43" s="4"/>
      <c r="H43" s="4" t="e">
        <f>INDEX(#REF!,MATCH(셀트리온제약!$F43,#REF!,0),MATCH(셀트리온제약!$B43,#REF!,0))</f>
        <v>#REF!</v>
      </c>
      <c r="I43" s="4" t="e">
        <f t="shared" si="0"/>
        <v>#REF!</v>
      </c>
      <c r="J43" s="21" t="e">
        <f t="shared" si="7"/>
        <v>#REF!</v>
      </c>
      <c r="L43" s="15"/>
      <c r="O43" s="10"/>
      <c r="R43" s="10"/>
      <c r="S43" s="10"/>
    </row>
    <row r="44" spans="2:19" ht="18" hidden="1" thickBot="1">
      <c r="B44" s="12" t="s">
        <v>5</v>
      </c>
      <c r="C44" s="697" t="s">
        <v>133</v>
      </c>
      <c r="D44" s="697" t="s">
        <v>134</v>
      </c>
      <c r="E44" s="697" t="s">
        <v>688</v>
      </c>
      <c r="F44" s="697" t="s">
        <v>474</v>
      </c>
      <c r="G44" s="698"/>
      <c r="H44" s="698" t="e">
        <f>INDEX(#REF!,MATCH(셀트리온제약!$F44,#REF!,0),MATCH(셀트리온제약!$B44,#REF!,0))</f>
        <v>#REF!</v>
      </c>
      <c r="I44" s="698" t="e">
        <f t="shared" ref="I44:I107" si="9">H44</f>
        <v>#REF!</v>
      </c>
      <c r="J44" s="699" t="e">
        <f t="shared" si="7"/>
        <v>#REF!</v>
      </c>
      <c r="L44" s="15"/>
      <c r="O44" s="10"/>
      <c r="R44" s="10"/>
      <c r="S44" s="10"/>
    </row>
    <row r="45" spans="2:19" hidden="1">
      <c r="B45" s="7" t="s">
        <v>156</v>
      </c>
      <c r="C45" s="8" t="s">
        <v>133</v>
      </c>
      <c r="D45" s="8" t="s">
        <v>134</v>
      </c>
      <c r="E45" s="8" t="s">
        <v>422</v>
      </c>
      <c r="F45" s="8" t="s">
        <v>423</v>
      </c>
      <c r="G45" s="9"/>
      <c r="H45" s="9" t="e">
        <f>INDEX(#REF!,MATCH(셀트리온제약!$F45,#REF!,0),MATCH(셀트리온제약!$B45,#REF!,0))</f>
        <v>#REF!</v>
      </c>
      <c r="I45" s="9" t="e">
        <f t="shared" si="9"/>
        <v>#REF!</v>
      </c>
      <c r="J45" s="20" t="e">
        <f>+G45/H45</f>
        <v>#REF!</v>
      </c>
      <c r="L45" s="15"/>
      <c r="O45" s="10"/>
      <c r="R45" s="10"/>
      <c r="S45" s="10"/>
    </row>
    <row r="46" spans="2:19" hidden="1">
      <c r="B46" s="2" t="s">
        <v>156</v>
      </c>
      <c r="C46" s="3" t="s">
        <v>133</v>
      </c>
      <c r="D46" s="3" t="s">
        <v>134</v>
      </c>
      <c r="E46" s="3" t="s">
        <v>422</v>
      </c>
      <c r="F46" s="3" t="s">
        <v>683</v>
      </c>
      <c r="G46" s="11"/>
      <c r="H46" s="11" t="e">
        <f>INDEX(#REF!,MATCH(셀트리온제약!$F46,#REF!,0),MATCH(셀트리온제약!$B46,#REF!,0))</f>
        <v>#REF!</v>
      </c>
      <c r="I46" s="11" t="e">
        <f t="shared" si="9"/>
        <v>#REF!</v>
      </c>
      <c r="J46" s="21" t="e">
        <f t="shared" ref="J46:J66" si="10">+G46/H46</f>
        <v>#REF!</v>
      </c>
      <c r="L46" s="15"/>
    </row>
    <row r="47" spans="2:19" hidden="1">
      <c r="B47" s="2" t="s">
        <v>156</v>
      </c>
      <c r="C47" s="3" t="s">
        <v>133</v>
      </c>
      <c r="D47" s="3" t="s">
        <v>134</v>
      </c>
      <c r="E47" s="3" t="s">
        <v>422</v>
      </c>
      <c r="F47" s="3" t="s">
        <v>89</v>
      </c>
      <c r="G47" s="11"/>
      <c r="H47" s="11" t="e">
        <f>INDEX(#REF!,MATCH(셀트리온제약!$F47,#REF!,0),MATCH(셀트리온제약!$B47,#REF!,0))</f>
        <v>#REF!</v>
      </c>
      <c r="I47" s="11" t="e">
        <f t="shared" si="9"/>
        <v>#REF!</v>
      </c>
      <c r="J47" s="21" t="e">
        <f t="shared" si="10"/>
        <v>#REF!</v>
      </c>
      <c r="L47" s="15"/>
    </row>
    <row r="48" spans="2:19" hidden="1">
      <c r="B48" s="2" t="s">
        <v>156</v>
      </c>
      <c r="C48" s="3" t="s">
        <v>133</v>
      </c>
      <c r="D48" s="3" t="s">
        <v>134</v>
      </c>
      <c r="E48" s="3" t="s">
        <v>450</v>
      </c>
      <c r="F48" s="3" t="s">
        <v>452</v>
      </c>
      <c r="G48" s="11"/>
      <c r="H48" s="11" t="e">
        <f>INDEX(#REF!,MATCH(셀트리온제약!$F48,#REF!,0),MATCH(셀트리온제약!$B48,#REF!,0))</f>
        <v>#REF!</v>
      </c>
      <c r="I48" s="11" t="e">
        <f t="shared" si="9"/>
        <v>#REF!</v>
      </c>
      <c r="J48" s="21" t="e">
        <f t="shared" si="10"/>
        <v>#REF!</v>
      </c>
      <c r="L48" s="15"/>
      <c r="O48" s="10"/>
    </row>
    <row r="49" spans="2:19" hidden="1">
      <c r="B49" s="2" t="s">
        <v>156</v>
      </c>
      <c r="C49" s="3" t="s">
        <v>133</v>
      </c>
      <c r="D49" s="3" t="s">
        <v>134</v>
      </c>
      <c r="E49" s="3" t="s">
        <v>450</v>
      </c>
      <c r="F49" s="3" t="s">
        <v>453</v>
      </c>
      <c r="G49" s="11"/>
      <c r="H49" s="11" t="e">
        <f>INDEX(#REF!,MATCH(셀트리온제약!$F49,#REF!,0),MATCH(셀트리온제약!$B49,#REF!,0))</f>
        <v>#REF!</v>
      </c>
      <c r="I49" s="11" t="e">
        <f t="shared" si="9"/>
        <v>#REF!</v>
      </c>
      <c r="J49" s="21" t="e">
        <f t="shared" si="10"/>
        <v>#REF!</v>
      </c>
      <c r="L49" s="15"/>
      <c r="O49" s="10"/>
    </row>
    <row r="50" spans="2:19" hidden="1">
      <c r="B50" s="2" t="s">
        <v>156</v>
      </c>
      <c r="C50" s="3" t="s">
        <v>133</v>
      </c>
      <c r="D50" s="3" t="s">
        <v>134</v>
      </c>
      <c r="E50" s="3" t="s">
        <v>450</v>
      </c>
      <c r="F50" s="3" t="s">
        <v>458</v>
      </c>
      <c r="G50" s="11"/>
      <c r="H50" s="11" t="e">
        <f>INDEX(#REF!,MATCH(셀트리온제약!$F50,#REF!,0),MATCH(셀트리온제약!$B50,#REF!,0))</f>
        <v>#REF!</v>
      </c>
      <c r="I50" s="11" t="e">
        <f t="shared" si="9"/>
        <v>#REF!</v>
      </c>
      <c r="J50" s="21" t="e">
        <f t="shared" si="10"/>
        <v>#REF!</v>
      </c>
      <c r="L50" s="15"/>
      <c r="O50" s="10"/>
    </row>
    <row r="51" spans="2:19" hidden="1">
      <c r="B51" s="2" t="s">
        <v>156</v>
      </c>
      <c r="C51" s="3" t="s">
        <v>133</v>
      </c>
      <c r="D51" s="3" t="s">
        <v>134</v>
      </c>
      <c r="E51" s="3" t="s">
        <v>450</v>
      </c>
      <c r="F51" s="3" t="s">
        <v>454</v>
      </c>
      <c r="G51" s="4"/>
      <c r="H51" s="4" t="e">
        <f>INDEX(#REF!,MATCH(셀트리온제약!$F51,#REF!,0),MATCH(셀트리온제약!$B51,#REF!,0))</f>
        <v>#REF!</v>
      </c>
      <c r="I51" s="4" t="e">
        <f t="shared" si="9"/>
        <v>#REF!</v>
      </c>
      <c r="J51" s="21" t="e">
        <f t="shared" si="10"/>
        <v>#REF!</v>
      </c>
      <c r="L51" s="15"/>
      <c r="O51" s="10"/>
    </row>
    <row r="52" spans="2:19" hidden="1">
      <c r="B52" s="2" t="s">
        <v>156</v>
      </c>
      <c r="C52" s="3" t="s">
        <v>133</v>
      </c>
      <c r="D52" s="3" t="s">
        <v>134</v>
      </c>
      <c r="E52" s="3" t="s">
        <v>450</v>
      </c>
      <c r="F52" s="3" t="s">
        <v>461</v>
      </c>
      <c r="G52" s="11"/>
      <c r="H52" s="11" t="e">
        <f>INDEX(#REF!,MATCH(셀트리온제약!$F52,#REF!,0),MATCH(셀트리온제약!$B52,#REF!,0))</f>
        <v>#REF!</v>
      </c>
      <c r="I52" s="11" t="e">
        <f t="shared" si="9"/>
        <v>#REF!</v>
      </c>
      <c r="J52" s="21" t="e">
        <f t="shared" si="10"/>
        <v>#REF!</v>
      </c>
      <c r="L52" s="15"/>
      <c r="O52" s="10"/>
    </row>
    <row r="53" spans="2:19" hidden="1">
      <c r="B53" s="2" t="s">
        <v>156</v>
      </c>
      <c r="C53" s="3" t="s">
        <v>133</v>
      </c>
      <c r="D53" s="3" t="s">
        <v>134</v>
      </c>
      <c r="E53" s="3" t="s">
        <v>450</v>
      </c>
      <c r="F53" s="3" t="s">
        <v>684</v>
      </c>
      <c r="G53" s="4"/>
      <c r="H53" s="4" t="e">
        <f>INDEX(#REF!,MATCH(셀트리온제약!$F53,#REF!,0),MATCH(셀트리온제약!$B53,#REF!,0))</f>
        <v>#REF!</v>
      </c>
      <c r="I53" s="4" t="e">
        <f t="shared" si="9"/>
        <v>#REF!</v>
      </c>
      <c r="J53" s="21" t="e">
        <f t="shared" si="10"/>
        <v>#REF!</v>
      </c>
      <c r="L53" s="15"/>
      <c r="N53" s="1"/>
      <c r="O53" s="10"/>
      <c r="R53" s="10"/>
      <c r="S53" s="10"/>
    </row>
    <row r="54" spans="2:19" hidden="1">
      <c r="B54" s="2" t="s">
        <v>156</v>
      </c>
      <c r="C54" s="3" t="s">
        <v>133</v>
      </c>
      <c r="D54" s="3" t="s">
        <v>134</v>
      </c>
      <c r="E54" s="3" t="s">
        <v>432</v>
      </c>
      <c r="F54" s="3" t="s">
        <v>432</v>
      </c>
      <c r="G54" s="4"/>
      <c r="H54" s="4" t="e">
        <f>INDEX(#REF!,MATCH(셀트리온제약!$F54,#REF!,0),MATCH(셀트리온제약!$B54,#REF!,0))</f>
        <v>#REF!</v>
      </c>
      <c r="I54" s="4" t="e">
        <f t="shared" si="9"/>
        <v>#REF!</v>
      </c>
      <c r="J54" s="21" t="e">
        <f t="shared" si="10"/>
        <v>#REF!</v>
      </c>
      <c r="L54" s="15"/>
      <c r="N54" s="1"/>
      <c r="O54" s="10"/>
      <c r="R54" s="10"/>
      <c r="S54" s="10"/>
    </row>
    <row r="55" spans="2:19" hidden="1">
      <c r="B55" s="2" t="s">
        <v>156</v>
      </c>
      <c r="C55" s="3" t="s">
        <v>133</v>
      </c>
      <c r="D55" s="3" t="s">
        <v>134</v>
      </c>
      <c r="E55" s="3" t="s">
        <v>443</v>
      </c>
      <c r="F55" s="3" t="s">
        <v>443</v>
      </c>
      <c r="G55" s="4"/>
      <c r="H55" s="4" t="e">
        <f>INDEX(#REF!,MATCH(셀트리온제약!$F55,#REF!,0),MATCH(셀트리온제약!$B55,#REF!,0))</f>
        <v>#REF!</v>
      </c>
      <c r="I55" s="4" t="e">
        <f t="shared" si="9"/>
        <v>#REF!</v>
      </c>
      <c r="J55" s="21" t="e">
        <f t="shared" si="10"/>
        <v>#REF!</v>
      </c>
      <c r="L55" s="15"/>
      <c r="N55" s="1"/>
      <c r="O55" s="10"/>
      <c r="R55" s="10"/>
      <c r="S55" s="10"/>
    </row>
    <row r="56" spans="2:19" hidden="1">
      <c r="B56" s="2" t="s">
        <v>156</v>
      </c>
      <c r="C56" s="3" t="s">
        <v>133</v>
      </c>
      <c r="D56" s="3" t="s">
        <v>134</v>
      </c>
      <c r="E56" s="3" t="s">
        <v>135</v>
      </c>
      <c r="F56" s="3" t="s">
        <v>136</v>
      </c>
      <c r="G56" s="4"/>
      <c r="H56" s="4" t="e">
        <f>INDEX(#REF!,MATCH(셀트리온제약!$F56,#REF!,0),MATCH(셀트리온제약!$B56,#REF!,0))</f>
        <v>#REF!</v>
      </c>
      <c r="I56" s="4" t="e">
        <f t="shared" si="9"/>
        <v>#REF!</v>
      </c>
      <c r="J56" s="21" t="e">
        <f t="shared" si="10"/>
        <v>#REF!</v>
      </c>
      <c r="L56" s="15"/>
      <c r="N56" s="1"/>
      <c r="O56" s="10"/>
      <c r="R56" s="10"/>
      <c r="S56" s="10"/>
    </row>
    <row r="57" spans="2:19" hidden="1">
      <c r="B57" s="2" t="s">
        <v>156</v>
      </c>
      <c r="C57" s="3" t="s">
        <v>133</v>
      </c>
      <c r="D57" s="3" t="s">
        <v>134</v>
      </c>
      <c r="E57" s="3" t="s">
        <v>135</v>
      </c>
      <c r="F57" s="3" t="s">
        <v>137</v>
      </c>
      <c r="G57" s="4"/>
      <c r="H57" s="4" t="e">
        <f>INDEX(#REF!,MATCH(셀트리온제약!$F57,#REF!,0),MATCH(셀트리온제약!$B57,#REF!,0))</f>
        <v>#REF!</v>
      </c>
      <c r="I57" s="4" t="e">
        <f t="shared" si="9"/>
        <v>#REF!</v>
      </c>
      <c r="J57" s="21" t="e">
        <f t="shared" si="10"/>
        <v>#REF!</v>
      </c>
      <c r="L57" s="15"/>
      <c r="N57" s="1"/>
      <c r="O57" s="10"/>
      <c r="R57" s="10"/>
      <c r="S57" s="10"/>
    </row>
    <row r="58" spans="2:19" hidden="1">
      <c r="B58" s="2" t="s">
        <v>156</v>
      </c>
      <c r="C58" s="3" t="s">
        <v>133</v>
      </c>
      <c r="D58" s="3" t="s">
        <v>134</v>
      </c>
      <c r="E58" s="3" t="s">
        <v>135</v>
      </c>
      <c r="F58" s="3" t="s">
        <v>139</v>
      </c>
      <c r="G58" s="4"/>
      <c r="H58" s="4" t="e">
        <f>INDEX(#REF!,MATCH(셀트리온제약!$F58,#REF!,0),MATCH(셀트리온제약!$B58,#REF!,0))</f>
        <v>#REF!</v>
      </c>
      <c r="I58" s="4" t="e">
        <f t="shared" si="9"/>
        <v>#REF!</v>
      </c>
      <c r="J58" s="21" t="e">
        <f t="shared" si="10"/>
        <v>#REF!</v>
      </c>
      <c r="L58" s="15"/>
      <c r="N58" s="1"/>
      <c r="O58" s="10"/>
      <c r="R58" s="10"/>
      <c r="S58" s="10"/>
    </row>
    <row r="59" spans="2:19" hidden="1">
      <c r="B59" s="2" t="s">
        <v>156</v>
      </c>
      <c r="C59" s="3" t="s">
        <v>133</v>
      </c>
      <c r="D59" s="3" t="s">
        <v>134</v>
      </c>
      <c r="E59" s="3" t="s">
        <v>135</v>
      </c>
      <c r="F59" s="3" t="s">
        <v>140</v>
      </c>
      <c r="G59" s="4"/>
      <c r="H59" s="4" t="e">
        <f>INDEX(#REF!,MATCH(셀트리온제약!$F59,#REF!,0),MATCH(셀트리온제약!$B59,#REF!,0))</f>
        <v>#REF!</v>
      </c>
      <c r="I59" s="4" t="e">
        <f t="shared" si="9"/>
        <v>#REF!</v>
      </c>
      <c r="J59" s="21" t="e">
        <f t="shared" si="10"/>
        <v>#REF!</v>
      </c>
      <c r="L59" s="15"/>
      <c r="N59" s="1"/>
      <c r="O59" s="10"/>
      <c r="R59" s="10"/>
      <c r="S59" s="10"/>
    </row>
    <row r="60" spans="2:19" hidden="1">
      <c r="B60" s="2" t="s">
        <v>156</v>
      </c>
      <c r="C60" s="3" t="s">
        <v>133</v>
      </c>
      <c r="D60" s="3" t="s">
        <v>134</v>
      </c>
      <c r="E60" s="3" t="s">
        <v>135</v>
      </c>
      <c r="F60" s="3" t="s">
        <v>141</v>
      </c>
      <c r="G60" s="4"/>
      <c r="H60" s="4" t="e">
        <f>INDEX(#REF!,MATCH(셀트리온제약!$F60,#REF!,0),MATCH(셀트리온제약!$B60,#REF!,0))</f>
        <v>#REF!</v>
      </c>
      <c r="I60" s="4" t="e">
        <f t="shared" si="9"/>
        <v>#REF!</v>
      </c>
      <c r="J60" s="21" t="e">
        <f t="shared" si="10"/>
        <v>#REF!</v>
      </c>
      <c r="L60" s="15"/>
      <c r="N60" s="1"/>
      <c r="O60" s="10"/>
      <c r="R60" s="10"/>
      <c r="S60" s="10"/>
    </row>
    <row r="61" spans="2:19" hidden="1">
      <c r="B61" s="2" t="s">
        <v>156</v>
      </c>
      <c r="C61" s="3" t="s">
        <v>133</v>
      </c>
      <c r="D61" s="3" t="s">
        <v>134</v>
      </c>
      <c r="E61" s="3" t="s">
        <v>135</v>
      </c>
      <c r="F61" s="3" t="s">
        <v>142</v>
      </c>
      <c r="G61" s="4"/>
      <c r="H61" s="4" t="e">
        <f>INDEX(#REF!,MATCH(셀트리온제약!$F61,#REF!,0),MATCH(셀트리온제약!$B61,#REF!,0))</f>
        <v>#REF!</v>
      </c>
      <c r="I61" s="4" t="e">
        <f t="shared" si="9"/>
        <v>#REF!</v>
      </c>
      <c r="J61" s="21" t="e">
        <f t="shared" si="10"/>
        <v>#REF!</v>
      </c>
      <c r="L61" s="15"/>
      <c r="N61" s="1"/>
      <c r="O61" s="10"/>
      <c r="R61" s="10"/>
      <c r="S61" s="10"/>
    </row>
    <row r="62" spans="2:19" hidden="1">
      <c r="B62" s="2" t="s">
        <v>156</v>
      </c>
      <c r="C62" s="3" t="s">
        <v>133</v>
      </c>
      <c r="D62" s="3" t="s">
        <v>134</v>
      </c>
      <c r="E62" s="3" t="s">
        <v>135</v>
      </c>
      <c r="F62" s="3" t="s">
        <v>146</v>
      </c>
      <c r="G62" s="4"/>
      <c r="H62" s="4" t="e">
        <f>INDEX(#REF!,MATCH(셀트리온제약!$F62,#REF!,0),MATCH(셀트리온제약!$B62,#REF!,0))</f>
        <v>#REF!</v>
      </c>
      <c r="I62" s="4" t="e">
        <f t="shared" si="9"/>
        <v>#REF!</v>
      </c>
      <c r="J62" s="21" t="e">
        <f t="shared" si="10"/>
        <v>#REF!</v>
      </c>
      <c r="L62" s="15"/>
      <c r="N62" s="1"/>
      <c r="O62" s="10"/>
      <c r="R62" s="10"/>
      <c r="S62" s="10"/>
    </row>
    <row r="63" spans="2:19" hidden="1">
      <c r="B63" s="2" t="s">
        <v>156</v>
      </c>
      <c r="C63" s="3" t="s">
        <v>133</v>
      </c>
      <c r="D63" s="3" t="s">
        <v>134</v>
      </c>
      <c r="E63" s="3" t="s">
        <v>135</v>
      </c>
      <c r="F63" s="3" t="s">
        <v>147</v>
      </c>
      <c r="G63" s="4"/>
      <c r="H63" s="4" t="e">
        <f>INDEX(#REF!,MATCH(셀트리온제약!$F63,#REF!,0),MATCH(셀트리온제약!$B63,#REF!,0))</f>
        <v>#REF!</v>
      </c>
      <c r="I63" s="4" t="e">
        <f t="shared" si="9"/>
        <v>#REF!</v>
      </c>
      <c r="J63" s="21" t="e">
        <f t="shared" si="10"/>
        <v>#REF!</v>
      </c>
      <c r="L63" s="15"/>
      <c r="N63" s="1"/>
      <c r="O63" s="10"/>
      <c r="R63" s="10"/>
      <c r="S63" s="10"/>
    </row>
    <row r="64" spans="2:19" hidden="1">
      <c r="B64" s="2" t="s">
        <v>156</v>
      </c>
      <c r="C64" s="3" t="s">
        <v>133</v>
      </c>
      <c r="D64" s="3" t="s">
        <v>134</v>
      </c>
      <c r="E64" s="3" t="s">
        <v>135</v>
      </c>
      <c r="F64" s="3" t="s">
        <v>687</v>
      </c>
      <c r="G64" s="4"/>
      <c r="H64" s="4" t="e">
        <f>INDEX(#REF!,MATCH(셀트리온제약!$F64,#REF!,0),MATCH(셀트리온제약!$B64,#REF!,0))</f>
        <v>#REF!</v>
      </c>
      <c r="I64" s="4" t="e">
        <f t="shared" si="9"/>
        <v>#REF!</v>
      </c>
      <c r="J64" s="21" t="e">
        <f t="shared" si="10"/>
        <v>#REF!</v>
      </c>
      <c r="L64" s="15"/>
      <c r="O64" s="10"/>
    </row>
    <row r="65" spans="2:19" hidden="1">
      <c r="B65" s="2" t="s">
        <v>156</v>
      </c>
      <c r="C65" s="3" t="s">
        <v>133</v>
      </c>
      <c r="D65" s="3" t="s">
        <v>134</v>
      </c>
      <c r="E65" s="3" t="s">
        <v>688</v>
      </c>
      <c r="F65" s="3" t="s">
        <v>470</v>
      </c>
      <c r="G65" s="4"/>
      <c r="H65" s="4" t="e">
        <f>INDEX(#REF!,MATCH(셀트리온제약!$F65,#REF!,0),MATCH(셀트리온제약!$B65,#REF!,0))</f>
        <v>#REF!</v>
      </c>
      <c r="I65" s="4" t="e">
        <f t="shared" si="9"/>
        <v>#REF!</v>
      </c>
      <c r="J65" s="21" t="e">
        <f t="shared" si="10"/>
        <v>#REF!</v>
      </c>
      <c r="L65" s="15"/>
      <c r="O65" s="10"/>
    </row>
    <row r="66" spans="2:19" ht="18" hidden="1" thickBot="1">
      <c r="B66" s="13" t="s">
        <v>156</v>
      </c>
      <c r="C66" s="17" t="s">
        <v>133</v>
      </c>
      <c r="D66" s="17" t="s">
        <v>134</v>
      </c>
      <c r="E66" s="17" t="s">
        <v>688</v>
      </c>
      <c r="F66" s="17" t="s">
        <v>474</v>
      </c>
      <c r="G66" s="6"/>
      <c r="H66" s="6" t="e">
        <f>INDEX(#REF!,MATCH(셀트리온제약!$F66,#REF!,0),MATCH(셀트리온제약!$B66,#REF!,0))</f>
        <v>#REF!</v>
      </c>
      <c r="I66" s="6" t="e">
        <f t="shared" si="9"/>
        <v>#REF!</v>
      </c>
      <c r="J66" s="22" t="e">
        <f t="shared" si="10"/>
        <v>#REF!</v>
      </c>
      <c r="L66" s="15"/>
      <c r="O66" s="10"/>
    </row>
    <row r="67" spans="2:19" hidden="1">
      <c r="B67" s="14" t="s">
        <v>158</v>
      </c>
      <c r="C67" s="16" t="s">
        <v>133</v>
      </c>
      <c r="D67" s="16" t="s">
        <v>134</v>
      </c>
      <c r="E67" s="16" t="s">
        <v>422</v>
      </c>
      <c r="F67" s="16" t="s">
        <v>423</v>
      </c>
      <c r="G67" s="19"/>
      <c r="H67" s="19" t="e">
        <f>INDEX(#REF!,MATCH(셀트리온제약!$F67,#REF!,0),MATCH(셀트리온제약!$B67,#REF!,0))</f>
        <v>#REF!</v>
      </c>
      <c r="I67" s="19" t="e">
        <f t="shared" si="9"/>
        <v>#REF!</v>
      </c>
      <c r="J67" s="23" t="e">
        <f>+G67/H67</f>
        <v>#REF!</v>
      </c>
      <c r="L67" s="15"/>
      <c r="O67" s="10"/>
    </row>
    <row r="68" spans="2:19" hidden="1">
      <c r="B68" s="2" t="s">
        <v>158</v>
      </c>
      <c r="C68" s="3" t="s">
        <v>133</v>
      </c>
      <c r="D68" s="3" t="s">
        <v>134</v>
      </c>
      <c r="E68" s="3" t="s">
        <v>422</v>
      </c>
      <c r="F68" s="3" t="s">
        <v>683</v>
      </c>
      <c r="G68" s="11"/>
      <c r="H68" s="11" t="e">
        <f>INDEX(#REF!,MATCH(셀트리온제약!$F68,#REF!,0),MATCH(셀트리온제약!$B68,#REF!,0))</f>
        <v>#REF!</v>
      </c>
      <c r="I68" s="11" t="e">
        <f t="shared" si="9"/>
        <v>#REF!</v>
      </c>
      <c r="J68" s="21" t="e">
        <f t="shared" ref="J68:J88" si="11">+G68/H68</f>
        <v>#REF!</v>
      </c>
      <c r="L68" s="15"/>
      <c r="O68" s="10"/>
    </row>
    <row r="69" spans="2:19" hidden="1">
      <c r="B69" s="2" t="s">
        <v>158</v>
      </c>
      <c r="C69" s="3" t="s">
        <v>133</v>
      </c>
      <c r="D69" s="3" t="s">
        <v>134</v>
      </c>
      <c r="E69" s="3" t="s">
        <v>422</v>
      </c>
      <c r="F69" s="3" t="s">
        <v>89</v>
      </c>
      <c r="G69" s="11"/>
      <c r="H69" s="11" t="e">
        <f>INDEX(#REF!,MATCH(셀트리온제약!$F69,#REF!,0),MATCH(셀트리온제약!$B69,#REF!,0))</f>
        <v>#REF!</v>
      </c>
      <c r="I69" s="11" t="e">
        <f t="shared" si="9"/>
        <v>#REF!</v>
      </c>
      <c r="J69" s="21" t="e">
        <f t="shared" si="11"/>
        <v>#REF!</v>
      </c>
      <c r="L69" s="15"/>
      <c r="O69" s="10"/>
    </row>
    <row r="70" spans="2:19" hidden="1">
      <c r="B70" s="2" t="s">
        <v>158</v>
      </c>
      <c r="C70" s="3" t="s">
        <v>133</v>
      </c>
      <c r="D70" s="3" t="s">
        <v>134</v>
      </c>
      <c r="E70" s="3" t="s">
        <v>450</v>
      </c>
      <c r="F70" s="3" t="s">
        <v>452</v>
      </c>
      <c r="G70" s="11"/>
      <c r="H70" s="11" t="e">
        <f>INDEX(#REF!,MATCH(셀트리온제약!$F70,#REF!,0),MATCH(셀트리온제약!$B70,#REF!,0))</f>
        <v>#REF!</v>
      </c>
      <c r="I70" s="11" t="e">
        <f t="shared" si="9"/>
        <v>#REF!</v>
      </c>
      <c r="J70" s="21" t="e">
        <f t="shared" si="11"/>
        <v>#REF!</v>
      </c>
      <c r="L70" s="15"/>
      <c r="O70" s="10"/>
    </row>
    <row r="71" spans="2:19" hidden="1">
      <c r="B71" s="2" t="s">
        <v>158</v>
      </c>
      <c r="C71" s="3" t="s">
        <v>133</v>
      </c>
      <c r="D71" s="3" t="s">
        <v>134</v>
      </c>
      <c r="E71" s="3" t="s">
        <v>450</v>
      </c>
      <c r="F71" s="3" t="s">
        <v>453</v>
      </c>
      <c r="G71" s="11"/>
      <c r="H71" s="11" t="e">
        <f>INDEX(#REF!,MATCH(셀트리온제약!$F71,#REF!,0),MATCH(셀트리온제약!$B71,#REF!,0))</f>
        <v>#REF!</v>
      </c>
      <c r="I71" s="11" t="e">
        <f t="shared" si="9"/>
        <v>#REF!</v>
      </c>
      <c r="J71" s="21" t="e">
        <f t="shared" si="11"/>
        <v>#REF!</v>
      </c>
      <c r="L71" s="15"/>
      <c r="O71" s="10"/>
      <c r="R71" s="10"/>
      <c r="S71" s="10"/>
    </row>
    <row r="72" spans="2:19" hidden="1">
      <c r="B72" s="2" t="s">
        <v>158</v>
      </c>
      <c r="C72" s="3" t="s">
        <v>133</v>
      </c>
      <c r="D72" s="3" t="s">
        <v>134</v>
      </c>
      <c r="E72" s="3" t="s">
        <v>450</v>
      </c>
      <c r="F72" s="3" t="s">
        <v>458</v>
      </c>
      <c r="G72" s="11"/>
      <c r="H72" s="11" t="e">
        <f>INDEX(#REF!,MATCH(셀트리온제약!$F72,#REF!,0),MATCH(셀트리온제약!$B72,#REF!,0))</f>
        <v>#REF!</v>
      </c>
      <c r="I72" s="11" t="e">
        <f t="shared" si="9"/>
        <v>#REF!</v>
      </c>
      <c r="J72" s="21" t="e">
        <f t="shared" si="11"/>
        <v>#REF!</v>
      </c>
      <c r="L72" s="15"/>
      <c r="O72" s="10"/>
      <c r="R72" s="10"/>
      <c r="S72" s="10"/>
    </row>
    <row r="73" spans="2:19" hidden="1">
      <c r="B73" s="2" t="s">
        <v>158</v>
      </c>
      <c r="C73" s="3" t="s">
        <v>133</v>
      </c>
      <c r="D73" s="3" t="s">
        <v>134</v>
      </c>
      <c r="E73" s="3" t="s">
        <v>450</v>
      </c>
      <c r="F73" s="3" t="s">
        <v>454</v>
      </c>
      <c r="G73" s="4"/>
      <c r="H73" s="4" t="e">
        <f>INDEX(#REF!,MATCH(셀트리온제약!$F73,#REF!,0),MATCH(셀트리온제약!$B73,#REF!,0))</f>
        <v>#REF!</v>
      </c>
      <c r="I73" s="4" t="e">
        <f t="shared" si="9"/>
        <v>#REF!</v>
      </c>
      <c r="J73" s="21" t="e">
        <f t="shared" si="11"/>
        <v>#REF!</v>
      </c>
      <c r="K73" s="10"/>
      <c r="L73" s="15"/>
    </row>
    <row r="74" spans="2:19" hidden="1">
      <c r="B74" s="2" t="s">
        <v>158</v>
      </c>
      <c r="C74" s="3" t="s">
        <v>133</v>
      </c>
      <c r="D74" s="3" t="s">
        <v>134</v>
      </c>
      <c r="E74" s="3" t="s">
        <v>450</v>
      </c>
      <c r="F74" s="3" t="s">
        <v>461</v>
      </c>
      <c r="G74" s="11"/>
      <c r="H74" s="11" t="e">
        <f>INDEX(#REF!,MATCH(셀트리온제약!$F74,#REF!,0),MATCH(셀트리온제약!$B74,#REF!,0))</f>
        <v>#REF!</v>
      </c>
      <c r="I74" s="11" t="e">
        <f t="shared" si="9"/>
        <v>#REF!</v>
      </c>
      <c r="J74" s="21" t="e">
        <f t="shared" si="11"/>
        <v>#REF!</v>
      </c>
      <c r="L74" s="15"/>
    </row>
    <row r="75" spans="2:19" hidden="1">
      <c r="B75" s="2" t="s">
        <v>158</v>
      </c>
      <c r="C75" s="3" t="s">
        <v>133</v>
      </c>
      <c r="D75" s="3" t="s">
        <v>134</v>
      </c>
      <c r="E75" s="3" t="s">
        <v>450</v>
      </c>
      <c r="F75" s="3" t="s">
        <v>684</v>
      </c>
      <c r="G75" s="4"/>
      <c r="H75" s="4" t="e">
        <f>INDEX(#REF!,MATCH(셀트리온제약!$F75,#REF!,0),MATCH(셀트리온제약!$B75,#REF!,0))</f>
        <v>#REF!</v>
      </c>
      <c r="I75" s="4" t="e">
        <f t="shared" si="9"/>
        <v>#REF!</v>
      </c>
      <c r="J75" s="21" t="e">
        <f t="shared" si="11"/>
        <v>#REF!</v>
      </c>
      <c r="L75" s="15"/>
    </row>
    <row r="76" spans="2:19" hidden="1">
      <c r="B76" s="2" t="s">
        <v>158</v>
      </c>
      <c r="C76" s="3" t="s">
        <v>133</v>
      </c>
      <c r="D76" s="3" t="s">
        <v>134</v>
      </c>
      <c r="E76" s="3" t="s">
        <v>432</v>
      </c>
      <c r="F76" s="3" t="s">
        <v>432</v>
      </c>
      <c r="G76" s="4"/>
      <c r="H76" s="4" t="e">
        <f>INDEX(#REF!,MATCH(셀트리온제약!$F76,#REF!,0),MATCH(셀트리온제약!$B76,#REF!,0))</f>
        <v>#REF!</v>
      </c>
      <c r="I76" s="4" t="e">
        <f t="shared" si="9"/>
        <v>#REF!</v>
      </c>
      <c r="J76" s="21" t="e">
        <f t="shared" si="11"/>
        <v>#REF!</v>
      </c>
      <c r="L76" s="15"/>
    </row>
    <row r="77" spans="2:19" hidden="1">
      <c r="B77" s="2" t="s">
        <v>158</v>
      </c>
      <c r="C77" s="3" t="s">
        <v>133</v>
      </c>
      <c r="D77" s="3" t="s">
        <v>134</v>
      </c>
      <c r="E77" s="3" t="s">
        <v>443</v>
      </c>
      <c r="F77" s="3" t="s">
        <v>443</v>
      </c>
      <c r="G77" s="4"/>
      <c r="H77" s="4" t="e">
        <f>INDEX(#REF!,MATCH(셀트리온제약!$F77,#REF!,0),MATCH(셀트리온제약!$B77,#REF!,0))</f>
        <v>#REF!</v>
      </c>
      <c r="I77" s="4" t="e">
        <f t="shared" si="9"/>
        <v>#REF!</v>
      </c>
      <c r="J77" s="21" t="e">
        <f t="shared" si="11"/>
        <v>#REF!</v>
      </c>
      <c r="L77" s="15"/>
    </row>
    <row r="78" spans="2:19" hidden="1">
      <c r="B78" s="2" t="s">
        <v>158</v>
      </c>
      <c r="C78" s="3" t="s">
        <v>133</v>
      </c>
      <c r="D78" s="3" t="s">
        <v>134</v>
      </c>
      <c r="E78" s="3" t="s">
        <v>135</v>
      </c>
      <c r="F78" s="3" t="s">
        <v>136</v>
      </c>
      <c r="G78" s="4"/>
      <c r="H78" s="4" t="e">
        <f>INDEX(#REF!,MATCH(셀트리온제약!$F78,#REF!,0),MATCH(셀트리온제약!$B78,#REF!,0))</f>
        <v>#REF!</v>
      </c>
      <c r="I78" s="4" t="e">
        <f t="shared" si="9"/>
        <v>#REF!</v>
      </c>
      <c r="J78" s="21" t="e">
        <f t="shared" si="11"/>
        <v>#REF!</v>
      </c>
      <c r="L78" s="15"/>
    </row>
    <row r="79" spans="2:19" hidden="1">
      <c r="B79" s="2" t="s">
        <v>158</v>
      </c>
      <c r="C79" s="3" t="s">
        <v>133</v>
      </c>
      <c r="D79" s="3" t="s">
        <v>134</v>
      </c>
      <c r="E79" s="3" t="s">
        <v>135</v>
      </c>
      <c r="F79" s="3" t="s">
        <v>137</v>
      </c>
      <c r="G79" s="4"/>
      <c r="H79" s="4" t="e">
        <f>INDEX(#REF!,MATCH(셀트리온제약!$F79,#REF!,0),MATCH(셀트리온제약!$B79,#REF!,0))</f>
        <v>#REF!</v>
      </c>
      <c r="I79" s="4" t="e">
        <f t="shared" si="9"/>
        <v>#REF!</v>
      </c>
      <c r="J79" s="21" t="e">
        <f t="shared" si="11"/>
        <v>#REF!</v>
      </c>
      <c r="L79" s="15"/>
    </row>
    <row r="80" spans="2:19" hidden="1">
      <c r="B80" s="2" t="s">
        <v>158</v>
      </c>
      <c r="C80" s="3" t="s">
        <v>133</v>
      </c>
      <c r="D80" s="3" t="s">
        <v>134</v>
      </c>
      <c r="E80" s="3" t="s">
        <v>135</v>
      </c>
      <c r="F80" s="3" t="s">
        <v>139</v>
      </c>
      <c r="G80" s="4"/>
      <c r="H80" s="4" t="e">
        <f>INDEX(#REF!,MATCH(셀트리온제약!$F80,#REF!,0),MATCH(셀트리온제약!$B80,#REF!,0))</f>
        <v>#REF!</v>
      </c>
      <c r="I80" s="4" t="e">
        <f t="shared" si="9"/>
        <v>#REF!</v>
      </c>
      <c r="J80" s="21" t="e">
        <f t="shared" si="11"/>
        <v>#REF!</v>
      </c>
      <c r="L80" s="15"/>
    </row>
    <row r="81" spans="2:12" hidden="1">
      <c r="B81" s="2" t="s">
        <v>158</v>
      </c>
      <c r="C81" s="3" t="s">
        <v>133</v>
      </c>
      <c r="D81" s="3" t="s">
        <v>134</v>
      </c>
      <c r="E81" s="3" t="s">
        <v>135</v>
      </c>
      <c r="F81" s="3" t="s">
        <v>140</v>
      </c>
      <c r="G81" s="4"/>
      <c r="H81" s="4" t="e">
        <f>INDEX(#REF!,MATCH(셀트리온제약!$F81,#REF!,0),MATCH(셀트리온제약!$B81,#REF!,0))</f>
        <v>#REF!</v>
      </c>
      <c r="I81" s="4" t="e">
        <f t="shared" si="9"/>
        <v>#REF!</v>
      </c>
      <c r="J81" s="21" t="e">
        <f t="shared" si="11"/>
        <v>#REF!</v>
      </c>
      <c r="L81" s="15"/>
    </row>
    <row r="82" spans="2:12" hidden="1">
      <c r="B82" s="2" t="s">
        <v>158</v>
      </c>
      <c r="C82" s="3" t="s">
        <v>133</v>
      </c>
      <c r="D82" s="3" t="s">
        <v>134</v>
      </c>
      <c r="E82" s="3" t="s">
        <v>135</v>
      </c>
      <c r="F82" s="3" t="s">
        <v>141</v>
      </c>
      <c r="G82" s="4"/>
      <c r="H82" s="4" t="e">
        <f>INDEX(#REF!,MATCH(셀트리온제약!$F82,#REF!,0),MATCH(셀트리온제약!$B82,#REF!,0))</f>
        <v>#REF!</v>
      </c>
      <c r="I82" s="4" t="e">
        <f t="shared" si="9"/>
        <v>#REF!</v>
      </c>
      <c r="J82" s="21" t="e">
        <f t="shared" si="11"/>
        <v>#REF!</v>
      </c>
      <c r="L82" s="15"/>
    </row>
    <row r="83" spans="2:12" hidden="1">
      <c r="B83" s="2" t="s">
        <v>158</v>
      </c>
      <c r="C83" s="3" t="s">
        <v>133</v>
      </c>
      <c r="D83" s="3" t="s">
        <v>134</v>
      </c>
      <c r="E83" s="3" t="s">
        <v>135</v>
      </c>
      <c r="F83" s="3" t="s">
        <v>142</v>
      </c>
      <c r="G83" s="4"/>
      <c r="H83" s="4" t="e">
        <f>INDEX(#REF!,MATCH(셀트리온제약!$F83,#REF!,0),MATCH(셀트리온제약!$B83,#REF!,0))</f>
        <v>#REF!</v>
      </c>
      <c r="I83" s="4" t="e">
        <f t="shared" si="9"/>
        <v>#REF!</v>
      </c>
      <c r="J83" s="21" t="e">
        <f t="shared" si="11"/>
        <v>#REF!</v>
      </c>
      <c r="L83" s="15"/>
    </row>
    <row r="84" spans="2:12" hidden="1">
      <c r="B84" s="2" t="s">
        <v>158</v>
      </c>
      <c r="C84" s="3" t="s">
        <v>133</v>
      </c>
      <c r="D84" s="3" t="s">
        <v>134</v>
      </c>
      <c r="E84" s="3" t="s">
        <v>135</v>
      </c>
      <c r="F84" s="3" t="s">
        <v>146</v>
      </c>
      <c r="G84" s="4"/>
      <c r="H84" s="4" t="e">
        <f>INDEX(#REF!,MATCH(셀트리온제약!$F84,#REF!,0),MATCH(셀트리온제약!$B84,#REF!,0))</f>
        <v>#REF!</v>
      </c>
      <c r="I84" s="4" t="e">
        <f t="shared" si="9"/>
        <v>#REF!</v>
      </c>
      <c r="J84" s="21" t="e">
        <f t="shared" si="11"/>
        <v>#REF!</v>
      </c>
      <c r="L84" s="15"/>
    </row>
    <row r="85" spans="2:12" hidden="1">
      <c r="B85" s="2" t="s">
        <v>158</v>
      </c>
      <c r="C85" s="3" t="s">
        <v>133</v>
      </c>
      <c r="D85" s="3" t="s">
        <v>134</v>
      </c>
      <c r="E85" s="3" t="s">
        <v>135</v>
      </c>
      <c r="F85" s="3" t="s">
        <v>147</v>
      </c>
      <c r="G85" s="4"/>
      <c r="H85" s="4" t="e">
        <f>INDEX(#REF!,MATCH(셀트리온제약!$F85,#REF!,0),MATCH(셀트리온제약!$B85,#REF!,0))</f>
        <v>#REF!</v>
      </c>
      <c r="I85" s="4" t="e">
        <f t="shared" si="9"/>
        <v>#REF!</v>
      </c>
      <c r="J85" s="21" t="e">
        <f t="shared" si="11"/>
        <v>#REF!</v>
      </c>
      <c r="L85" s="15"/>
    </row>
    <row r="86" spans="2:12" hidden="1">
      <c r="B86" s="2" t="s">
        <v>158</v>
      </c>
      <c r="C86" s="3" t="s">
        <v>133</v>
      </c>
      <c r="D86" s="3" t="s">
        <v>134</v>
      </c>
      <c r="E86" s="3" t="s">
        <v>135</v>
      </c>
      <c r="F86" s="3" t="s">
        <v>687</v>
      </c>
      <c r="G86" s="4"/>
      <c r="H86" s="4" t="e">
        <f>INDEX(#REF!,MATCH(셀트리온제약!$F86,#REF!,0),MATCH(셀트리온제약!$B86,#REF!,0))</f>
        <v>#REF!</v>
      </c>
      <c r="I86" s="4" t="e">
        <f t="shared" si="9"/>
        <v>#REF!</v>
      </c>
      <c r="J86" s="21" t="e">
        <f t="shared" si="11"/>
        <v>#REF!</v>
      </c>
      <c r="L86" s="15"/>
    </row>
    <row r="87" spans="2:12" hidden="1">
      <c r="B87" s="2" t="s">
        <v>158</v>
      </c>
      <c r="C87" s="3" t="s">
        <v>133</v>
      </c>
      <c r="D87" s="3" t="s">
        <v>134</v>
      </c>
      <c r="E87" s="3" t="s">
        <v>688</v>
      </c>
      <c r="F87" s="3" t="s">
        <v>470</v>
      </c>
      <c r="G87" s="4"/>
      <c r="H87" s="4" t="e">
        <f>INDEX(#REF!,MATCH(셀트리온제약!$F87,#REF!,0),MATCH(셀트리온제약!$B87,#REF!,0))</f>
        <v>#REF!</v>
      </c>
      <c r="I87" s="4" t="e">
        <f t="shared" si="9"/>
        <v>#REF!</v>
      </c>
      <c r="J87" s="21" t="e">
        <f t="shared" si="11"/>
        <v>#REF!</v>
      </c>
      <c r="L87" s="15"/>
    </row>
    <row r="88" spans="2:12" ht="18" hidden="1" thickBot="1">
      <c r="B88" s="12" t="s">
        <v>158</v>
      </c>
      <c r="C88" s="697" t="s">
        <v>133</v>
      </c>
      <c r="D88" s="697" t="s">
        <v>134</v>
      </c>
      <c r="E88" s="697" t="s">
        <v>688</v>
      </c>
      <c r="F88" s="697" t="s">
        <v>474</v>
      </c>
      <c r="G88" s="698"/>
      <c r="H88" s="698" t="e">
        <f>INDEX(#REF!,MATCH(셀트리온제약!$F88,#REF!,0),MATCH(셀트리온제약!$B88,#REF!,0))</f>
        <v>#REF!</v>
      </c>
      <c r="I88" s="698" t="e">
        <f t="shared" si="9"/>
        <v>#REF!</v>
      </c>
      <c r="J88" s="699" t="e">
        <f t="shared" si="11"/>
        <v>#REF!</v>
      </c>
      <c r="L88" s="15"/>
    </row>
    <row r="89" spans="2:12" hidden="1">
      <c r="B89" s="7" t="s">
        <v>160</v>
      </c>
      <c r="C89" s="8" t="s">
        <v>133</v>
      </c>
      <c r="D89" s="8" t="s">
        <v>134</v>
      </c>
      <c r="E89" s="8" t="s">
        <v>422</v>
      </c>
      <c r="F89" s="8" t="s">
        <v>423</v>
      </c>
      <c r="G89" s="9"/>
      <c r="H89" s="9" t="e">
        <f>INDEX(#REF!,MATCH(셀트리온제약!$F89,#REF!,0),MATCH(셀트리온제약!$B89,#REF!,0))</f>
        <v>#REF!</v>
      </c>
      <c r="I89" s="9" t="e">
        <f t="shared" si="9"/>
        <v>#REF!</v>
      </c>
      <c r="J89" s="20" t="e">
        <f>+G89/H89</f>
        <v>#REF!</v>
      </c>
      <c r="L89" s="15"/>
    </row>
    <row r="90" spans="2:12" hidden="1">
      <c r="B90" s="2" t="s">
        <v>160</v>
      </c>
      <c r="C90" s="3" t="s">
        <v>133</v>
      </c>
      <c r="D90" s="3" t="s">
        <v>134</v>
      </c>
      <c r="E90" s="3" t="s">
        <v>422</v>
      </c>
      <c r="F90" s="3" t="s">
        <v>683</v>
      </c>
      <c r="G90" s="11"/>
      <c r="H90" s="11" t="e">
        <f>INDEX(#REF!,MATCH(셀트리온제약!$F90,#REF!,0),MATCH(셀트리온제약!$B90,#REF!,0))</f>
        <v>#REF!</v>
      </c>
      <c r="I90" s="11" t="e">
        <f t="shared" si="9"/>
        <v>#REF!</v>
      </c>
      <c r="J90" s="21" t="e">
        <f t="shared" ref="J90:J110" si="12">+G90/H90</f>
        <v>#REF!</v>
      </c>
      <c r="L90" s="15"/>
    </row>
    <row r="91" spans="2:12" hidden="1">
      <c r="B91" s="2" t="s">
        <v>160</v>
      </c>
      <c r="C91" s="3" t="s">
        <v>133</v>
      </c>
      <c r="D91" s="3" t="s">
        <v>134</v>
      </c>
      <c r="E91" s="3" t="s">
        <v>422</v>
      </c>
      <c r="F91" s="3" t="s">
        <v>89</v>
      </c>
      <c r="G91" s="11"/>
      <c r="H91" s="11" t="e">
        <f>INDEX(#REF!,MATCH(셀트리온제약!$F91,#REF!,0),MATCH(셀트리온제약!$B91,#REF!,0))</f>
        <v>#REF!</v>
      </c>
      <c r="I91" s="11" t="e">
        <f t="shared" si="9"/>
        <v>#REF!</v>
      </c>
      <c r="J91" s="21" t="e">
        <f t="shared" si="12"/>
        <v>#REF!</v>
      </c>
      <c r="L91" s="10"/>
    </row>
    <row r="92" spans="2:12" hidden="1">
      <c r="B92" s="2" t="s">
        <v>160</v>
      </c>
      <c r="C92" s="3" t="s">
        <v>133</v>
      </c>
      <c r="D92" s="3" t="s">
        <v>134</v>
      </c>
      <c r="E92" s="3" t="s">
        <v>450</v>
      </c>
      <c r="F92" s="3" t="s">
        <v>452</v>
      </c>
      <c r="G92" s="11"/>
      <c r="H92" s="11" t="e">
        <f>INDEX(#REF!,MATCH(셀트리온제약!$F92,#REF!,0),MATCH(셀트리온제약!$B92,#REF!,0))</f>
        <v>#REF!</v>
      </c>
      <c r="I92" s="11" t="e">
        <f t="shared" si="9"/>
        <v>#REF!</v>
      </c>
      <c r="J92" s="21" t="e">
        <f t="shared" si="12"/>
        <v>#REF!</v>
      </c>
      <c r="L92" s="10"/>
    </row>
    <row r="93" spans="2:12" hidden="1">
      <c r="B93" s="2" t="s">
        <v>160</v>
      </c>
      <c r="C93" s="3" t="s">
        <v>133</v>
      </c>
      <c r="D93" s="3" t="s">
        <v>134</v>
      </c>
      <c r="E93" s="3" t="s">
        <v>450</v>
      </c>
      <c r="F93" s="3" t="s">
        <v>453</v>
      </c>
      <c r="G93" s="11"/>
      <c r="H93" s="11" t="e">
        <f>INDEX(#REF!,MATCH(셀트리온제약!$F93,#REF!,0),MATCH(셀트리온제약!$B93,#REF!,0))</f>
        <v>#REF!</v>
      </c>
      <c r="I93" s="11" t="e">
        <f t="shared" si="9"/>
        <v>#REF!</v>
      </c>
      <c r="J93" s="21" t="e">
        <f t="shared" si="12"/>
        <v>#REF!</v>
      </c>
      <c r="L93" s="10"/>
    </row>
    <row r="94" spans="2:12" hidden="1">
      <c r="B94" s="2" t="s">
        <v>160</v>
      </c>
      <c r="C94" s="3" t="s">
        <v>133</v>
      </c>
      <c r="D94" s="3" t="s">
        <v>134</v>
      </c>
      <c r="E94" s="3" t="s">
        <v>450</v>
      </c>
      <c r="F94" s="3" t="s">
        <v>458</v>
      </c>
      <c r="G94" s="11"/>
      <c r="H94" s="11" t="e">
        <f>INDEX(#REF!,MATCH(셀트리온제약!$F94,#REF!,0),MATCH(셀트리온제약!$B94,#REF!,0))</f>
        <v>#REF!</v>
      </c>
      <c r="I94" s="11" t="e">
        <f t="shared" si="9"/>
        <v>#REF!</v>
      </c>
      <c r="J94" s="21" t="e">
        <f t="shared" si="12"/>
        <v>#REF!</v>
      </c>
      <c r="L94" s="10"/>
    </row>
    <row r="95" spans="2:12" hidden="1">
      <c r="B95" s="2" t="s">
        <v>160</v>
      </c>
      <c r="C95" s="3" t="s">
        <v>133</v>
      </c>
      <c r="D95" s="3" t="s">
        <v>134</v>
      </c>
      <c r="E95" s="3" t="s">
        <v>450</v>
      </c>
      <c r="F95" s="3" t="s">
        <v>454</v>
      </c>
      <c r="G95" s="4"/>
      <c r="H95" s="4" t="e">
        <f>INDEX(#REF!,MATCH(셀트리온제약!$F95,#REF!,0),MATCH(셀트리온제약!$B95,#REF!,0))</f>
        <v>#REF!</v>
      </c>
      <c r="I95" s="4" t="e">
        <f t="shared" si="9"/>
        <v>#REF!</v>
      </c>
      <c r="J95" s="21" t="e">
        <f t="shared" si="12"/>
        <v>#REF!</v>
      </c>
      <c r="L95" s="10"/>
    </row>
    <row r="96" spans="2:12" hidden="1">
      <c r="B96" s="2" t="s">
        <v>160</v>
      </c>
      <c r="C96" s="3" t="s">
        <v>133</v>
      </c>
      <c r="D96" s="3" t="s">
        <v>134</v>
      </c>
      <c r="E96" s="3" t="s">
        <v>450</v>
      </c>
      <c r="F96" s="3" t="s">
        <v>461</v>
      </c>
      <c r="G96" s="11"/>
      <c r="H96" s="11" t="e">
        <f>INDEX(#REF!,MATCH(셀트리온제약!$F96,#REF!,0),MATCH(셀트리온제약!$B96,#REF!,0))</f>
        <v>#REF!</v>
      </c>
      <c r="I96" s="11" t="e">
        <f t="shared" si="9"/>
        <v>#REF!</v>
      </c>
      <c r="J96" s="21" t="e">
        <f t="shared" si="12"/>
        <v>#REF!</v>
      </c>
      <c r="L96" s="10"/>
    </row>
    <row r="97" spans="2:12" hidden="1">
      <c r="B97" s="2" t="s">
        <v>160</v>
      </c>
      <c r="C97" s="3" t="s">
        <v>133</v>
      </c>
      <c r="D97" s="3" t="s">
        <v>134</v>
      </c>
      <c r="E97" s="3" t="s">
        <v>450</v>
      </c>
      <c r="F97" s="3" t="s">
        <v>684</v>
      </c>
      <c r="G97" s="4"/>
      <c r="H97" s="4" t="e">
        <f>INDEX(#REF!,MATCH(셀트리온제약!$F97,#REF!,0),MATCH(셀트리온제약!$B97,#REF!,0))</f>
        <v>#REF!</v>
      </c>
      <c r="I97" s="4" t="e">
        <f t="shared" si="9"/>
        <v>#REF!</v>
      </c>
      <c r="J97" s="21" t="e">
        <f t="shared" si="12"/>
        <v>#REF!</v>
      </c>
      <c r="L97" s="10"/>
    </row>
    <row r="98" spans="2:12" hidden="1">
      <c r="B98" s="2" t="s">
        <v>160</v>
      </c>
      <c r="C98" s="3" t="s">
        <v>133</v>
      </c>
      <c r="D98" s="3" t="s">
        <v>134</v>
      </c>
      <c r="E98" s="3" t="s">
        <v>432</v>
      </c>
      <c r="F98" s="3" t="s">
        <v>432</v>
      </c>
      <c r="G98" s="4"/>
      <c r="H98" s="4" t="e">
        <f>INDEX(#REF!,MATCH(셀트리온제약!$F98,#REF!,0),MATCH(셀트리온제약!$B98,#REF!,0))</f>
        <v>#REF!</v>
      </c>
      <c r="I98" s="4" t="e">
        <f t="shared" si="9"/>
        <v>#REF!</v>
      </c>
      <c r="J98" s="21" t="e">
        <f t="shared" si="12"/>
        <v>#REF!</v>
      </c>
      <c r="L98" s="10"/>
    </row>
    <row r="99" spans="2:12" hidden="1">
      <c r="B99" s="2" t="s">
        <v>160</v>
      </c>
      <c r="C99" s="3" t="s">
        <v>133</v>
      </c>
      <c r="D99" s="3" t="s">
        <v>134</v>
      </c>
      <c r="E99" s="3" t="s">
        <v>443</v>
      </c>
      <c r="F99" s="3" t="s">
        <v>443</v>
      </c>
      <c r="G99" s="4"/>
      <c r="H99" s="4" t="e">
        <f>INDEX(#REF!,MATCH(셀트리온제약!$F99,#REF!,0),MATCH(셀트리온제약!$B99,#REF!,0))</f>
        <v>#REF!</v>
      </c>
      <c r="I99" s="4" t="e">
        <f t="shared" si="9"/>
        <v>#REF!</v>
      </c>
      <c r="J99" s="21" t="e">
        <f t="shared" si="12"/>
        <v>#REF!</v>
      </c>
      <c r="L99" s="10"/>
    </row>
    <row r="100" spans="2:12" hidden="1">
      <c r="B100" s="2" t="s">
        <v>160</v>
      </c>
      <c r="C100" s="3" t="s">
        <v>133</v>
      </c>
      <c r="D100" s="3" t="s">
        <v>134</v>
      </c>
      <c r="E100" s="3" t="s">
        <v>135</v>
      </c>
      <c r="F100" s="3" t="s">
        <v>136</v>
      </c>
      <c r="G100" s="4"/>
      <c r="H100" s="4" t="e">
        <f>INDEX(#REF!,MATCH(셀트리온제약!$F100,#REF!,0),MATCH(셀트리온제약!$B100,#REF!,0))</f>
        <v>#REF!</v>
      </c>
      <c r="I100" s="4" t="e">
        <f t="shared" si="9"/>
        <v>#REF!</v>
      </c>
      <c r="J100" s="21" t="e">
        <f t="shared" si="12"/>
        <v>#REF!</v>
      </c>
      <c r="L100" s="10"/>
    </row>
    <row r="101" spans="2:12" hidden="1">
      <c r="B101" s="2" t="s">
        <v>160</v>
      </c>
      <c r="C101" s="3" t="s">
        <v>133</v>
      </c>
      <c r="D101" s="3" t="s">
        <v>134</v>
      </c>
      <c r="E101" s="3" t="s">
        <v>135</v>
      </c>
      <c r="F101" s="3" t="s">
        <v>137</v>
      </c>
      <c r="G101" s="4"/>
      <c r="H101" s="4" t="e">
        <f>INDEX(#REF!,MATCH(셀트리온제약!$F101,#REF!,0),MATCH(셀트리온제약!$B101,#REF!,0))</f>
        <v>#REF!</v>
      </c>
      <c r="I101" s="4" t="e">
        <f t="shared" si="9"/>
        <v>#REF!</v>
      </c>
      <c r="J101" s="21" t="e">
        <f t="shared" si="12"/>
        <v>#REF!</v>
      </c>
      <c r="L101" s="10"/>
    </row>
    <row r="102" spans="2:12" hidden="1">
      <c r="B102" s="2" t="s">
        <v>160</v>
      </c>
      <c r="C102" s="3" t="s">
        <v>133</v>
      </c>
      <c r="D102" s="3" t="s">
        <v>134</v>
      </c>
      <c r="E102" s="3" t="s">
        <v>135</v>
      </c>
      <c r="F102" s="3" t="s">
        <v>139</v>
      </c>
      <c r="G102" s="4"/>
      <c r="H102" s="4" t="e">
        <f>INDEX(#REF!,MATCH(셀트리온제약!$F102,#REF!,0),MATCH(셀트리온제약!$B102,#REF!,0))</f>
        <v>#REF!</v>
      </c>
      <c r="I102" s="4" t="e">
        <f t="shared" si="9"/>
        <v>#REF!</v>
      </c>
      <c r="J102" s="21" t="e">
        <f t="shared" si="12"/>
        <v>#REF!</v>
      </c>
      <c r="L102" s="10"/>
    </row>
    <row r="103" spans="2:12" hidden="1">
      <c r="B103" s="2" t="s">
        <v>160</v>
      </c>
      <c r="C103" s="3" t="s">
        <v>133</v>
      </c>
      <c r="D103" s="3" t="s">
        <v>134</v>
      </c>
      <c r="E103" s="3" t="s">
        <v>135</v>
      </c>
      <c r="F103" s="3" t="s">
        <v>140</v>
      </c>
      <c r="G103" s="4"/>
      <c r="H103" s="4" t="e">
        <f>INDEX(#REF!,MATCH(셀트리온제약!$F103,#REF!,0),MATCH(셀트리온제약!$B103,#REF!,0))</f>
        <v>#REF!</v>
      </c>
      <c r="I103" s="4" t="e">
        <f t="shared" si="9"/>
        <v>#REF!</v>
      </c>
      <c r="J103" s="21" t="e">
        <f t="shared" si="12"/>
        <v>#REF!</v>
      </c>
      <c r="L103" s="10"/>
    </row>
    <row r="104" spans="2:12" hidden="1">
      <c r="B104" s="2" t="s">
        <v>160</v>
      </c>
      <c r="C104" s="3" t="s">
        <v>133</v>
      </c>
      <c r="D104" s="3" t="s">
        <v>134</v>
      </c>
      <c r="E104" s="3" t="s">
        <v>135</v>
      </c>
      <c r="F104" s="3" t="s">
        <v>141</v>
      </c>
      <c r="G104" s="4"/>
      <c r="H104" s="4" t="e">
        <f>INDEX(#REF!,MATCH(셀트리온제약!$F104,#REF!,0),MATCH(셀트리온제약!$B104,#REF!,0))</f>
        <v>#REF!</v>
      </c>
      <c r="I104" s="4" t="e">
        <f t="shared" si="9"/>
        <v>#REF!</v>
      </c>
      <c r="J104" s="21" t="e">
        <f t="shared" si="12"/>
        <v>#REF!</v>
      </c>
      <c r="L104" s="10"/>
    </row>
    <row r="105" spans="2:12" hidden="1">
      <c r="B105" s="2" t="s">
        <v>160</v>
      </c>
      <c r="C105" s="3" t="s">
        <v>133</v>
      </c>
      <c r="D105" s="3" t="s">
        <v>134</v>
      </c>
      <c r="E105" s="3" t="s">
        <v>135</v>
      </c>
      <c r="F105" s="3" t="s">
        <v>142</v>
      </c>
      <c r="G105" s="4"/>
      <c r="H105" s="4" t="e">
        <f>INDEX(#REF!,MATCH(셀트리온제약!$F105,#REF!,0),MATCH(셀트리온제약!$B105,#REF!,0))</f>
        <v>#REF!</v>
      </c>
      <c r="I105" s="4" t="e">
        <f t="shared" si="9"/>
        <v>#REF!</v>
      </c>
      <c r="J105" s="21" t="e">
        <f t="shared" si="12"/>
        <v>#REF!</v>
      </c>
      <c r="L105" s="10"/>
    </row>
    <row r="106" spans="2:12" hidden="1">
      <c r="B106" s="2" t="s">
        <v>160</v>
      </c>
      <c r="C106" s="3" t="s">
        <v>133</v>
      </c>
      <c r="D106" s="3" t="s">
        <v>134</v>
      </c>
      <c r="E106" s="3" t="s">
        <v>135</v>
      </c>
      <c r="F106" s="3" t="s">
        <v>146</v>
      </c>
      <c r="G106" s="4"/>
      <c r="H106" s="4" t="e">
        <f>INDEX(#REF!,MATCH(셀트리온제약!$F106,#REF!,0),MATCH(셀트리온제약!$B106,#REF!,0))</f>
        <v>#REF!</v>
      </c>
      <c r="I106" s="4" t="e">
        <f t="shared" si="9"/>
        <v>#REF!</v>
      </c>
      <c r="J106" s="21" t="e">
        <f t="shared" si="12"/>
        <v>#REF!</v>
      </c>
      <c r="L106" s="10"/>
    </row>
    <row r="107" spans="2:12" hidden="1">
      <c r="B107" s="2" t="s">
        <v>160</v>
      </c>
      <c r="C107" s="3" t="s">
        <v>133</v>
      </c>
      <c r="D107" s="3" t="s">
        <v>134</v>
      </c>
      <c r="E107" s="3" t="s">
        <v>135</v>
      </c>
      <c r="F107" s="3" t="s">
        <v>147</v>
      </c>
      <c r="G107" s="4"/>
      <c r="H107" s="4" t="e">
        <f>INDEX(#REF!,MATCH(셀트리온제약!$F107,#REF!,0),MATCH(셀트리온제약!$B107,#REF!,0))</f>
        <v>#REF!</v>
      </c>
      <c r="I107" s="4" t="e">
        <f t="shared" si="9"/>
        <v>#REF!</v>
      </c>
      <c r="J107" s="21" t="e">
        <f t="shared" si="12"/>
        <v>#REF!</v>
      </c>
      <c r="L107" s="10"/>
    </row>
    <row r="108" spans="2:12" hidden="1">
      <c r="B108" s="2" t="s">
        <v>160</v>
      </c>
      <c r="C108" s="3" t="s">
        <v>133</v>
      </c>
      <c r="D108" s="3" t="s">
        <v>134</v>
      </c>
      <c r="E108" s="3" t="s">
        <v>135</v>
      </c>
      <c r="F108" s="3" t="s">
        <v>687</v>
      </c>
      <c r="G108" s="4"/>
      <c r="H108" s="4" t="e">
        <f>INDEX(#REF!,MATCH(셀트리온제약!$F108,#REF!,0),MATCH(셀트리온제약!$B108,#REF!,0))</f>
        <v>#REF!</v>
      </c>
      <c r="I108" s="4" t="e">
        <f t="shared" ref="I108:I171" si="13">H108</f>
        <v>#REF!</v>
      </c>
      <c r="J108" s="21" t="e">
        <f t="shared" si="12"/>
        <v>#REF!</v>
      </c>
      <c r="L108" s="10"/>
    </row>
    <row r="109" spans="2:12" hidden="1">
      <c r="B109" s="2" t="s">
        <v>160</v>
      </c>
      <c r="C109" s="3" t="s">
        <v>133</v>
      </c>
      <c r="D109" s="3" t="s">
        <v>134</v>
      </c>
      <c r="E109" s="3" t="s">
        <v>688</v>
      </c>
      <c r="F109" s="3" t="s">
        <v>470</v>
      </c>
      <c r="G109" s="4"/>
      <c r="H109" s="4" t="e">
        <f>INDEX(#REF!,MATCH(셀트리온제약!$F109,#REF!,0),MATCH(셀트리온제약!$B109,#REF!,0))</f>
        <v>#REF!</v>
      </c>
      <c r="I109" s="4" t="e">
        <f t="shared" si="13"/>
        <v>#REF!</v>
      </c>
      <c r="J109" s="21" t="e">
        <f t="shared" si="12"/>
        <v>#REF!</v>
      </c>
      <c r="L109" s="10"/>
    </row>
    <row r="110" spans="2:12" ht="18" hidden="1" thickBot="1">
      <c r="B110" s="13" t="s">
        <v>160</v>
      </c>
      <c r="C110" s="17" t="s">
        <v>133</v>
      </c>
      <c r="D110" s="17" t="s">
        <v>134</v>
      </c>
      <c r="E110" s="17" t="s">
        <v>688</v>
      </c>
      <c r="F110" s="17" t="s">
        <v>474</v>
      </c>
      <c r="G110" s="6"/>
      <c r="H110" s="6" t="e">
        <f>INDEX(#REF!,MATCH(셀트리온제약!$F110,#REF!,0),MATCH(셀트리온제약!$B110,#REF!,0))</f>
        <v>#REF!</v>
      </c>
      <c r="I110" s="6" t="e">
        <f t="shared" si="13"/>
        <v>#REF!</v>
      </c>
      <c r="J110" s="22" t="e">
        <f t="shared" si="12"/>
        <v>#REF!</v>
      </c>
      <c r="L110" s="10"/>
    </row>
    <row r="111" spans="2:12" hidden="1">
      <c r="B111" s="14" t="s">
        <v>78</v>
      </c>
      <c r="C111" s="16" t="s">
        <v>133</v>
      </c>
      <c r="D111" s="16" t="s">
        <v>134</v>
      </c>
      <c r="E111" s="16" t="s">
        <v>422</v>
      </c>
      <c r="F111" s="16" t="s">
        <v>423</v>
      </c>
      <c r="G111" s="19"/>
      <c r="H111" s="19" t="e">
        <f>INDEX(#REF!,MATCH(셀트리온제약!$F111,#REF!,0),MATCH(셀트리온제약!$B111,#REF!,0))</f>
        <v>#REF!</v>
      </c>
      <c r="I111" s="19" t="e">
        <f t="shared" si="13"/>
        <v>#REF!</v>
      </c>
      <c r="J111" s="23" t="e">
        <f>+G111/H111</f>
        <v>#REF!</v>
      </c>
      <c r="L111" s="10"/>
    </row>
    <row r="112" spans="2:12" hidden="1">
      <c r="B112" s="2" t="s">
        <v>78</v>
      </c>
      <c r="C112" s="3" t="s">
        <v>133</v>
      </c>
      <c r="D112" s="3" t="s">
        <v>134</v>
      </c>
      <c r="E112" s="3" t="s">
        <v>422</v>
      </c>
      <c r="F112" s="3" t="s">
        <v>683</v>
      </c>
      <c r="G112" s="11"/>
      <c r="H112" s="11" t="e">
        <f>INDEX(#REF!,MATCH(셀트리온제약!$F112,#REF!,0),MATCH(셀트리온제약!$B112,#REF!,0))</f>
        <v>#REF!</v>
      </c>
      <c r="I112" s="11" t="e">
        <f t="shared" si="13"/>
        <v>#REF!</v>
      </c>
      <c r="J112" s="21" t="e">
        <f t="shared" ref="J112:J132" si="14">+G112/H112</f>
        <v>#REF!</v>
      </c>
      <c r="L112" s="10"/>
    </row>
    <row r="113" spans="2:12" hidden="1">
      <c r="B113" s="2" t="s">
        <v>78</v>
      </c>
      <c r="C113" s="3" t="s">
        <v>133</v>
      </c>
      <c r="D113" s="3" t="s">
        <v>134</v>
      </c>
      <c r="E113" s="3" t="s">
        <v>422</v>
      </c>
      <c r="F113" s="3" t="s">
        <v>89</v>
      </c>
      <c r="G113" s="11"/>
      <c r="H113" s="11" t="e">
        <f>INDEX(#REF!,MATCH(셀트리온제약!$F113,#REF!,0),MATCH(셀트리온제약!$B113,#REF!,0))</f>
        <v>#REF!</v>
      </c>
      <c r="I113" s="11" t="e">
        <f t="shared" si="13"/>
        <v>#REF!</v>
      </c>
      <c r="J113" s="21" t="e">
        <f t="shared" si="14"/>
        <v>#REF!</v>
      </c>
      <c r="L113" s="10"/>
    </row>
    <row r="114" spans="2:12" hidden="1">
      <c r="B114" s="2" t="s">
        <v>78</v>
      </c>
      <c r="C114" s="3" t="s">
        <v>133</v>
      </c>
      <c r="D114" s="3" t="s">
        <v>134</v>
      </c>
      <c r="E114" s="3" t="s">
        <v>450</v>
      </c>
      <c r="F114" s="3" t="s">
        <v>452</v>
      </c>
      <c r="G114" s="11"/>
      <c r="H114" s="11" t="e">
        <f>INDEX(#REF!,MATCH(셀트리온제약!$F114,#REF!,0),MATCH(셀트리온제약!$B114,#REF!,0))</f>
        <v>#REF!</v>
      </c>
      <c r="I114" s="11" t="e">
        <f t="shared" si="13"/>
        <v>#REF!</v>
      </c>
      <c r="J114" s="21" t="e">
        <f t="shared" si="14"/>
        <v>#REF!</v>
      </c>
      <c r="L114" s="10"/>
    </row>
    <row r="115" spans="2:12" hidden="1">
      <c r="B115" s="2" t="s">
        <v>78</v>
      </c>
      <c r="C115" s="3" t="s">
        <v>133</v>
      </c>
      <c r="D115" s="3" t="s">
        <v>134</v>
      </c>
      <c r="E115" s="3" t="s">
        <v>450</v>
      </c>
      <c r="F115" s="3" t="s">
        <v>453</v>
      </c>
      <c r="G115" s="11"/>
      <c r="H115" s="11" t="e">
        <f>INDEX(#REF!,MATCH(셀트리온제약!$F115,#REF!,0),MATCH(셀트리온제약!$B115,#REF!,0))</f>
        <v>#REF!</v>
      </c>
      <c r="I115" s="11" t="e">
        <f t="shared" si="13"/>
        <v>#REF!</v>
      </c>
      <c r="J115" s="21" t="e">
        <f t="shared" si="14"/>
        <v>#REF!</v>
      </c>
      <c r="L115" s="10"/>
    </row>
    <row r="116" spans="2:12" hidden="1">
      <c r="B116" s="2" t="s">
        <v>78</v>
      </c>
      <c r="C116" s="3" t="s">
        <v>133</v>
      </c>
      <c r="D116" s="3" t="s">
        <v>134</v>
      </c>
      <c r="E116" s="3" t="s">
        <v>450</v>
      </c>
      <c r="F116" s="3" t="s">
        <v>458</v>
      </c>
      <c r="G116" s="11"/>
      <c r="H116" s="11" t="e">
        <f>INDEX(#REF!,MATCH(셀트리온제약!$F116,#REF!,0),MATCH(셀트리온제약!$B116,#REF!,0))</f>
        <v>#REF!</v>
      </c>
      <c r="I116" s="11" t="e">
        <f t="shared" si="13"/>
        <v>#REF!</v>
      </c>
      <c r="J116" s="21" t="e">
        <f t="shared" si="14"/>
        <v>#REF!</v>
      </c>
      <c r="L116" s="10"/>
    </row>
    <row r="117" spans="2:12" hidden="1">
      <c r="B117" s="2" t="s">
        <v>78</v>
      </c>
      <c r="C117" s="3" t="s">
        <v>133</v>
      </c>
      <c r="D117" s="3" t="s">
        <v>134</v>
      </c>
      <c r="E117" s="3" t="s">
        <v>450</v>
      </c>
      <c r="F117" s="3" t="s">
        <v>454</v>
      </c>
      <c r="G117" s="4"/>
      <c r="H117" s="4" t="e">
        <f>INDEX(#REF!,MATCH(셀트리온제약!$F117,#REF!,0),MATCH(셀트리온제약!$B117,#REF!,0))</f>
        <v>#REF!</v>
      </c>
      <c r="I117" s="4" t="e">
        <f t="shared" si="13"/>
        <v>#REF!</v>
      </c>
      <c r="J117" s="21" t="e">
        <f t="shared" si="14"/>
        <v>#REF!</v>
      </c>
      <c r="L117" s="10"/>
    </row>
    <row r="118" spans="2:12" hidden="1">
      <c r="B118" s="2" t="s">
        <v>78</v>
      </c>
      <c r="C118" s="3" t="s">
        <v>133</v>
      </c>
      <c r="D118" s="3" t="s">
        <v>134</v>
      </c>
      <c r="E118" s="3" t="s">
        <v>450</v>
      </c>
      <c r="F118" s="3" t="s">
        <v>461</v>
      </c>
      <c r="G118" s="11"/>
      <c r="H118" s="11" t="e">
        <f>INDEX(#REF!,MATCH(셀트리온제약!$F118,#REF!,0),MATCH(셀트리온제약!$B118,#REF!,0))</f>
        <v>#REF!</v>
      </c>
      <c r="I118" s="11" t="e">
        <f t="shared" si="13"/>
        <v>#REF!</v>
      </c>
      <c r="J118" s="21" t="e">
        <f t="shared" si="14"/>
        <v>#REF!</v>
      </c>
      <c r="L118" s="10"/>
    </row>
    <row r="119" spans="2:12" hidden="1">
      <c r="B119" s="2" t="s">
        <v>78</v>
      </c>
      <c r="C119" s="3" t="s">
        <v>133</v>
      </c>
      <c r="D119" s="3" t="s">
        <v>134</v>
      </c>
      <c r="E119" s="3" t="s">
        <v>450</v>
      </c>
      <c r="F119" s="3" t="s">
        <v>684</v>
      </c>
      <c r="G119" s="4"/>
      <c r="H119" s="4" t="e">
        <f>INDEX(#REF!,MATCH(셀트리온제약!$F119,#REF!,0),MATCH(셀트리온제약!$B119,#REF!,0))</f>
        <v>#REF!</v>
      </c>
      <c r="I119" s="4" t="e">
        <f t="shared" si="13"/>
        <v>#REF!</v>
      </c>
      <c r="J119" s="21" t="e">
        <f t="shared" si="14"/>
        <v>#REF!</v>
      </c>
      <c r="L119" s="10"/>
    </row>
    <row r="120" spans="2:12" hidden="1">
      <c r="B120" s="2" t="s">
        <v>78</v>
      </c>
      <c r="C120" s="3" t="s">
        <v>133</v>
      </c>
      <c r="D120" s="3" t="s">
        <v>134</v>
      </c>
      <c r="E120" s="3" t="s">
        <v>432</v>
      </c>
      <c r="F120" s="3" t="s">
        <v>432</v>
      </c>
      <c r="G120" s="4"/>
      <c r="H120" s="4" t="e">
        <f>INDEX(#REF!,MATCH(셀트리온제약!$F120,#REF!,0),MATCH(셀트리온제약!$B120,#REF!,0))</f>
        <v>#REF!</v>
      </c>
      <c r="I120" s="4" t="e">
        <f t="shared" si="13"/>
        <v>#REF!</v>
      </c>
      <c r="J120" s="21" t="e">
        <f t="shared" si="14"/>
        <v>#REF!</v>
      </c>
      <c r="L120" s="10"/>
    </row>
    <row r="121" spans="2:12" hidden="1">
      <c r="B121" s="2" t="s">
        <v>78</v>
      </c>
      <c r="C121" s="3" t="s">
        <v>133</v>
      </c>
      <c r="D121" s="3" t="s">
        <v>134</v>
      </c>
      <c r="E121" s="3" t="s">
        <v>443</v>
      </c>
      <c r="F121" s="3" t="s">
        <v>443</v>
      </c>
      <c r="G121" s="4"/>
      <c r="H121" s="4" t="e">
        <f>INDEX(#REF!,MATCH(셀트리온제약!$F121,#REF!,0),MATCH(셀트리온제약!$B121,#REF!,0))</f>
        <v>#REF!</v>
      </c>
      <c r="I121" s="4" t="e">
        <f t="shared" si="13"/>
        <v>#REF!</v>
      </c>
      <c r="J121" s="21" t="e">
        <f t="shared" si="14"/>
        <v>#REF!</v>
      </c>
      <c r="L121" s="10"/>
    </row>
    <row r="122" spans="2:12" hidden="1">
      <c r="B122" s="2" t="s">
        <v>78</v>
      </c>
      <c r="C122" s="3" t="s">
        <v>133</v>
      </c>
      <c r="D122" s="3" t="s">
        <v>134</v>
      </c>
      <c r="E122" s="3" t="s">
        <v>135</v>
      </c>
      <c r="F122" s="3" t="s">
        <v>136</v>
      </c>
      <c r="G122" s="4"/>
      <c r="H122" s="4" t="e">
        <f>INDEX(#REF!,MATCH(셀트리온제약!$F122,#REF!,0),MATCH(셀트리온제약!$B122,#REF!,0))</f>
        <v>#REF!</v>
      </c>
      <c r="I122" s="4" t="e">
        <f t="shared" si="13"/>
        <v>#REF!</v>
      </c>
      <c r="J122" s="21" t="e">
        <f t="shared" si="14"/>
        <v>#REF!</v>
      </c>
      <c r="L122" s="10"/>
    </row>
    <row r="123" spans="2:12" hidden="1">
      <c r="B123" s="2" t="s">
        <v>78</v>
      </c>
      <c r="C123" s="3" t="s">
        <v>133</v>
      </c>
      <c r="D123" s="3" t="s">
        <v>134</v>
      </c>
      <c r="E123" s="3" t="s">
        <v>135</v>
      </c>
      <c r="F123" s="3" t="s">
        <v>137</v>
      </c>
      <c r="G123" s="4"/>
      <c r="H123" s="4" t="e">
        <f>INDEX(#REF!,MATCH(셀트리온제약!$F123,#REF!,0),MATCH(셀트리온제약!$B123,#REF!,0))</f>
        <v>#REF!</v>
      </c>
      <c r="I123" s="4" t="e">
        <f t="shared" si="13"/>
        <v>#REF!</v>
      </c>
      <c r="J123" s="21" t="e">
        <f t="shared" si="14"/>
        <v>#REF!</v>
      </c>
      <c r="L123" s="10"/>
    </row>
    <row r="124" spans="2:12" hidden="1">
      <c r="B124" s="2" t="s">
        <v>78</v>
      </c>
      <c r="C124" s="3" t="s">
        <v>133</v>
      </c>
      <c r="D124" s="3" t="s">
        <v>134</v>
      </c>
      <c r="E124" s="3" t="s">
        <v>135</v>
      </c>
      <c r="F124" s="3" t="s">
        <v>139</v>
      </c>
      <c r="G124" s="4"/>
      <c r="H124" s="4" t="e">
        <f>INDEX(#REF!,MATCH(셀트리온제약!$F124,#REF!,0),MATCH(셀트리온제약!$B124,#REF!,0))</f>
        <v>#REF!</v>
      </c>
      <c r="I124" s="4" t="e">
        <f t="shared" si="13"/>
        <v>#REF!</v>
      </c>
      <c r="J124" s="21" t="e">
        <f t="shared" si="14"/>
        <v>#REF!</v>
      </c>
      <c r="L124" s="10"/>
    </row>
    <row r="125" spans="2:12" hidden="1">
      <c r="B125" s="2" t="s">
        <v>78</v>
      </c>
      <c r="C125" s="3" t="s">
        <v>133</v>
      </c>
      <c r="D125" s="3" t="s">
        <v>134</v>
      </c>
      <c r="E125" s="3" t="s">
        <v>135</v>
      </c>
      <c r="F125" s="3" t="s">
        <v>140</v>
      </c>
      <c r="G125" s="4"/>
      <c r="H125" s="4" t="e">
        <f>INDEX(#REF!,MATCH(셀트리온제약!$F125,#REF!,0),MATCH(셀트리온제약!$B125,#REF!,0))</f>
        <v>#REF!</v>
      </c>
      <c r="I125" s="4" t="e">
        <f t="shared" si="13"/>
        <v>#REF!</v>
      </c>
      <c r="J125" s="21" t="e">
        <f t="shared" si="14"/>
        <v>#REF!</v>
      </c>
      <c r="L125" s="10"/>
    </row>
    <row r="126" spans="2:12" hidden="1">
      <c r="B126" s="2" t="s">
        <v>78</v>
      </c>
      <c r="C126" s="3" t="s">
        <v>133</v>
      </c>
      <c r="D126" s="3" t="s">
        <v>134</v>
      </c>
      <c r="E126" s="3" t="s">
        <v>135</v>
      </c>
      <c r="F126" s="3" t="s">
        <v>141</v>
      </c>
      <c r="G126" s="4"/>
      <c r="H126" s="4" t="e">
        <f>INDEX(#REF!,MATCH(셀트리온제약!$F126,#REF!,0),MATCH(셀트리온제약!$B126,#REF!,0))</f>
        <v>#REF!</v>
      </c>
      <c r="I126" s="4" t="e">
        <f t="shared" si="13"/>
        <v>#REF!</v>
      </c>
      <c r="J126" s="21" t="e">
        <f t="shared" si="14"/>
        <v>#REF!</v>
      </c>
      <c r="L126" s="10"/>
    </row>
    <row r="127" spans="2:12" hidden="1">
      <c r="B127" s="2" t="s">
        <v>78</v>
      </c>
      <c r="C127" s="3" t="s">
        <v>133</v>
      </c>
      <c r="D127" s="3" t="s">
        <v>134</v>
      </c>
      <c r="E127" s="3" t="s">
        <v>135</v>
      </c>
      <c r="F127" s="3" t="s">
        <v>142</v>
      </c>
      <c r="G127" s="4"/>
      <c r="H127" s="4" t="e">
        <f>INDEX(#REF!,MATCH(셀트리온제약!$F127,#REF!,0),MATCH(셀트리온제약!$B127,#REF!,0))</f>
        <v>#REF!</v>
      </c>
      <c r="I127" s="4" t="e">
        <f t="shared" si="13"/>
        <v>#REF!</v>
      </c>
      <c r="J127" s="21" t="e">
        <f t="shared" si="14"/>
        <v>#REF!</v>
      </c>
      <c r="L127" s="10"/>
    </row>
    <row r="128" spans="2:12" hidden="1">
      <c r="B128" s="2" t="s">
        <v>78</v>
      </c>
      <c r="C128" s="3" t="s">
        <v>133</v>
      </c>
      <c r="D128" s="3" t="s">
        <v>134</v>
      </c>
      <c r="E128" s="3" t="s">
        <v>135</v>
      </c>
      <c r="F128" s="3" t="s">
        <v>146</v>
      </c>
      <c r="G128" s="4"/>
      <c r="H128" s="4" t="e">
        <f>INDEX(#REF!,MATCH(셀트리온제약!$F128,#REF!,0),MATCH(셀트리온제약!$B128,#REF!,0))</f>
        <v>#REF!</v>
      </c>
      <c r="I128" s="4" t="e">
        <f t="shared" si="13"/>
        <v>#REF!</v>
      </c>
      <c r="J128" s="21" t="e">
        <f t="shared" si="14"/>
        <v>#REF!</v>
      </c>
      <c r="L128" s="10"/>
    </row>
    <row r="129" spans="2:12" hidden="1">
      <c r="B129" s="2" t="s">
        <v>78</v>
      </c>
      <c r="C129" s="3" t="s">
        <v>133</v>
      </c>
      <c r="D129" s="3" t="s">
        <v>134</v>
      </c>
      <c r="E129" s="3" t="s">
        <v>135</v>
      </c>
      <c r="F129" s="3" t="s">
        <v>147</v>
      </c>
      <c r="G129" s="4"/>
      <c r="H129" s="4" t="e">
        <f>INDEX(#REF!,MATCH(셀트리온제약!$F129,#REF!,0),MATCH(셀트리온제약!$B129,#REF!,0))</f>
        <v>#REF!</v>
      </c>
      <c r="I129" s="4" t="e">
        <f t="shared" si="13"/>
        <v>#REF!</v>
      </c>
      <c r="J129" s="21" t="e">
        <f t="shared" si="14"/>
        <v>#REF!</v>
      </c>
      <c r="L129" s="10"/>
    </row>
    <row r="130" spans="2:12" hidden="1">
      <c r="B130" s="2" t="s">
        <v>78</v>
      </c>
      <c r="C130" s="3" t="s">
        <v>133</v>
      </c>
      <c r="D130" s="3" t="s">
        <v>134</v>
      </c>
      <c r="E130" s="3" t="s">
        <v>135</v>
      </c>
      <c r="F130" s="3" t="s">
        <v>687</v>
      </c>
      <c r="G130" s="4"/>
      <c r="H130" s="4" t="e">
        <f>INDEX(#REF!,MATCH(셀트리온제약!$F130,#REF!,0),MATCH(셀트리온제약!$B130,#REF!,0))</f>
        <v>#REF!</v>
      </c>
      <c r="I130" s="4" t="e">
        <f t="shared" si="13"/>
        <v>#REF!</v>
      </c>
      <c r="J130" s="21" t="e">
        <f t="shared" si="14"/>
        <v>#REF!</v>
      </c>
      <c r="L130" s="10"/>
    </row>
    <row r="131" spans="2:12" hidden="1">
      <c r="B131" s="2" t="s">
        <v>78</v>
      </c>
      <c r="C131" s="3" t="s">
        <v>133</v>
      </c>
      <c r="D131" s="3" t="s">
        <v>134</v>
      </c>
      <c r="E131" s="3" t="s">
        <v>688</v>
      </c>
      <c r="F131" s="3" t="s">
        <v>470</v>
      </c>
      <c r="G131" s="4"/>
      <c r="H131" s="4" t="e">
        <f>INDEX(#REF!,MATCH(셀트리온제약!$F131,#REF!,0),MATCH(셀트리온제약!$B131,#REF!,0))</f>
        <v>#REF!</v>
      </c>
      <c r="I131" s="4" t="e">
        <f t="shared" si="13"/>
        <v>#REF!</v>
      </c>
      <c r="J131" s="21" t="e">
        <f t="shared" si="14"/>
        <v>#REF!</v>
      </c>
      <c r="L131" s="10"/>
    </row>
    <row r="132" spans="2:12" ht="18" hidden="1" thickBot="1">
      <c r="B132" s="12" t="s">
        <v>78</v>
      </c>
      <c r="C132" s="697" t="s">
        <v>133</v>
      </c>
      <c r="D132" s="697" t="s">
        <v>134</v>
      </c>
      <c r="E132" s="697" t="s">
        <v>688</v>
      </c>
      <c r="F132" s="697" t="s">
        <v>474</v>
      </c>
      <c r="G132" s="698"/>
      <c r="H132" s="698" t="e">
        <f>INDEX(#REF!,MATCH(셀트리온제약!$F132,#REF!,0),MATCH(셀트리온제약!$B132,#REF!,0))</f>
        <v>#REF!</v>
      </c>
      <c r="I132" s="698" t="e">
        <f t="shared" si="13"/>
        <v>#REF!</v>
      </c>
      <c r="J132" s="699" t="e">
        <f t="shared" si="14"/>
        <v>#REF!</v>
      </c>
      <c r="L132" s="10"/>
    </row>
    <row r="133" spans="2:12" hidden="1">
      <c r="B133" s="7" t="s">
        <v>166</v>
      </c>
      <c r="C133" s="8" t="s">
        <v>133</v>
      </c>
      <c r="D133" s="8" t="s">
        <v>134</v>
      </c>
      <c r="E133" s="8" t="s">
        <v>422</v>
      </c>
      <c r="F133" s="8" t="s">
        <v>423</v>
      </c>
      <c r="G133" s="9"/>
      <c r="H133" s="9" t="e">
        <f>INDEX(#REF!,MATCH(셀트리온제약!$F133,#REF!,0),MATCH(셀트리온제약!$B133,#REF!,0))</f>
        <v>#REF!</v>
      </c>
      <c r="I133" s="9" t="e">
        <f t="shared" si="13"/>
        <v>#REF!</v>
      </c>
      <c r="J133" s="20" t="e">
        <f>+G133/H133</f>
        <v>#REF!</v>
      </c>
      <c r="L133" s="10"/>
    </row>
    <row r="134" spans="2:12" hidden="1">
      <c r="B134" s="2" t="s">
        <v>166</v>
      </c>
      <c r="C134" s="3" t="s">
        <v>133</v>
      </c>
      <c r="D134" s="3" t="s">
        <v>134</v>
      </c>
      <c r="E134" s="3" t="s">
        <v>422</v>
      </c>
      <c r="F134" s="3" t="s">
        <v>683</v>
      </c>
      <c r="G134" s="11"/>
      <c r="H134" s="11" t="e">
        <f>INDEX(#REF!,MATCH(셀트리온제약!$F134,#REF!,0),MATCH(셀트리온제약!$B134,#REF!,0))</f>
        <v>#REF!</v>
      </c>
      <c r="I134" s="11" t="e">
        <f t="shared" si="13"/>
        <v>#REF!</v>
      </c>
      <c r="J134" s="21" t="e">
        <f t="shared" ref="J134:J154" si="15">+G134/H134</f>
        <v>#REF!</v>
      </c>
      <c r="L134" s="10"/>
    </row>
    <row r="135" spans="2:12" hidden="1">
      <c r="B135" s="2" t="s">
        <v>166</v>
      </c>
      <c r="C135" s="3" t="s">
        <v>133</v>
      </c>
      <c r="D135" s="3" t="s">
        <v>134</v>
      </c>
      <c r="E135" s="3" t="s">
        <v>422</v>
      </c>
      <c r="F135" s="3" t="s">
        <v>89</v>
      </c>
      <c r="G135" s="11"/>
      <c r="H135" s="11" t="e">
        <f>INDEX(#REF!,MATCH(셀트리온제약!$F135,#REF!,0),MATCH(셀트리온제약!$B135,#REF!,0))</f>
        <v>#REF!</v>
      </c>
      <c r="I135" s="11" t="e">
        <f t="shared" si="13"/>
        <v>#REF!</v>
      </c>
      <c r="J135" s="21" t="e">
        <f t="shared" si="15"/>
        <v>#REF!</v>
      </c>
      <c r="L135" s="10"/>
    </row>
    <row r="136" spans="2:12" hidden="1">
      <c r="B136" s="2" t="s">
        <v>166</v>
      </c>
      <c r="C136" s="3" t="s">
        <v>133</v>
      </c>
      <c r="D136" s="3" t="s">
        <v>134</v>
      </c>
      <c r="E136" s="3" t="s">
        <v>450</v>
      </c>
      <c r="F136" s="3" t="s">
        <v>452</v>
      </c>
      <c r="G136" s="11"/>
      <c r="H136" s="11" t="e">
        <f>INDEX(#REF!,MATCH(셀트리온제약!$F136,#REF!,0),MATCH(셀트리온제약!$B136,#REF!,0))</f>
        <v>#REF!</v>
      </c>
      <c r="I136" s="11" t="e">
        <f t="shared" si="13"/>
        <v>#REF!</v>
      </c>
      <c r="J136" s="21" t="e">
        <f t="shared" si="15"/>
        <v>#REF!</v>
      </c>
      <c r="L136" s="10"/>
    </row>
    <row r="137" spans="2:12" hidden="1">
      <c r="B137" s="2" t="s">
        <v>166</v>
      </c>
      <c r="C137" s="3" t="s">
        <v>133</v>
      </c>
      <c r="D137" s="3" t="s">
        <v>134</v>
      </c>
      <c r="E137" s="3" t="s">
        <v>450</v>
      </c>
      <c r="F137" s="3" t="s">
        <v>453</v>
      </c>
      <c r="G137" s="11"/>
      <c r="H137" s="11" t="e">
        <f>INDEX(#REF!,MATCH(셀트리온제약!$F137,#REF!,0),MATCH(셀트리온제약!$B137,#REF!,0))</f>
        <v>#REF!</v>
      </c>
      <c r="I137" s="11" t="e">
        <f t="shared" si="13"/>
        <v>#REF!</v>
      </c>
      <c r="J137" s="21" t="e">
        <f t="shared" si="15"/>
        <v>#REF!</v>
      </c>
      <c r="L137" s="10"/>
    </row>
    <row r="138" spans="2:12" hidden="1">
      <c r="B138" s="2" t="s">
        <v>166</v>
      </c>
      <c r="C138" s="3" t="s">
        <v>133</v>
      </c>
      <c r="D138" s="3" t="s">
        <v>134</v>
      </c>
      <c r="E138" s="3" t="s">
        <v>450</v>
      </c>
      <c r="F138" s="3" t="s">
        <v>458</v>
      </c>
      <c r="G138" s="11"/>
      <c r="H138" s="11" t="e">
        <f>INDEX(#REF!,MATCH(셀트리온제약!$F138,#REF!,0),MATCH(셀트리온제약!$B138,#REF!,0))</f>
        <v>#REF!</v>
      </c>
      <c r="I138" s="11" t="e">
        <f t="shared" si="13"/>
        <v>#REF!</v>
      </c>
      <c r="J138" s="21" t="e">
        <f t="shared" si="15"/>
        <v>#REF!</v>
      </c>
      <c r="L138" s="10"/>
    </row>
    <row r="139" spans="2:12" hidden="1">
      <c r="B139" s="2" t="s">
        <v>166</v>
      </c>
      <c r="C139" s="3" t="s">
        <v>133</v>
      </c>
      <c r="D139" s="3" t="s">
        <v>134</v>
      </c>
      <c r="E139" s="3" t="s">
        <v>450</v>
      </c>
      <c r="F139" s="3" t="s">
        <v>454</v>
      </c>
      <c r="G139" s="4"/>
      <c r="H139" s="4" t="e">
        <f>INDEX(#REF!,MATCH(셀트리온제약!$F139,#REF!,0),MATCH(셀트리온제약!$B139,#REF!,0))</f>
        <v>#REF!</v>
      </c>
      <c r="I139" s="4" t="e">
        <f t="shared" si="13"/>
        <v>#REF!</v>
      </c>
      <c r="J139" s="21" t="e">
        <f t="shared" si="15"/>
        <v>#REF!</v>
      </c>
      <c r="L139" s="10"/>
    </row>
    <row r="140" spans="2:12" hidden="1">
      <c r="B140" s="2" t="s">
        <v>166</v>
      </c>
      <c r="C140" s="3" t="s">
        <v>133</v>
      </c>
      <c r="D140" s="3" t="s">
        <v>134</v>
      </c>
      <c r="E140" s="3" t="s">
        <v>450</v>
      </c>
      <c r="F140" s="3" t="s">
        <v>461</v>
      </c>
      <c r="G140" s="11"/>
      <c r="H140" s="11" t="e">
        <f>INDEX(#REF!,MATCH(셀트리온제약!$F140,#REF!,0),MATCH(셀트리온제약!$B140,#REF!,0))</f>
        <v>#REF!</v>
      </c>
      <c r="I140" s="11" t="e">
        <f t="shared" si="13"/>
        <v>#REF!</v>
      </c>
      <c r="J140" s="21" t="e">
        <f t="shared" si="15"/>
        <v>#REF!</v>
      </c>
      <c r="L140" s="10"/>
    </row>
    <row r="141" spans="2:12" hidden="1">
      <c r="B141" s="2" t="s">
        <v>166</v>
      </c>
      <c r="C141" s="3" t="s">
        <v>133</v>
      </c>
      <c r="D141" s="3" t="s">
        <v>134</v>
      </c>
      <c r="E141" s="3" t="s">
        <v>450</v>
      </c>
      <c r="F141" s="3" t="s">
        <v>684</v>
      </c>
      <c r="G141" s="4"/>
      <c r="H141" s="4" t="e">
        <f>INDEX(#REF!,MATCH(셀트리온제약!$F141,#REF!,0),MATCH(셀트리온제약!$B141,#REF!,0))</f>
        <v>#REF!</v>
      </c>
      <c r="I141" s="4" t="e">
        <f t="shared" si="13"/>
        <v>#REF!</v>
      </c>
      <c r="J141" s="21" t="e">
        <f t="shared" si="15"/>
        <v>#REF!</v>
      </c>
      <c r="L141" s="10"/>
    </row>
    <row r="142" spans="2:12" hidden="1">
      <c r="B142" s="2" t="s">
        <v>166</v>
      </c>
      <c r="C142" s="3" t="s">
        <v>133</v>
      </c>
      <c r="D142" s="3" t="s">
        <v>134</v>
      </c>
      <c r="E142" s="3" t="s">
        <v>432</v>
      </c>
      <c r="F142" s="3" t="s">
        <v>432</v>
      </c>
      <c r="G142" s="4"/>
      <c r="H142" s="4" t="e">
        <f>INDEX(#REF!,MATCH(셀트리온제약!$F142,#REF!,0),MATCH(셀트리온제약!$B142,#REF!,0))</f>
        <v>#REF!</v>
      </c>
      <c r="I142" s="4" t="e">
        <f t="shared" si="13"/>
        <v>#REF!</v>
      </c>
      <c r="J142" s="21" t="e">
        <f t="shared" si="15"/>
        <v>#REF!</v>
      </c>
      <c r="L142" s="10"/>
    </row>
    <row r="143" spans="2:12" hidden="1">
      <c r="B143" s="2" t="s">
        <v>166</v>
      </c>
      <c r="C143" s="3" t="s">
        <v>133</v>
      </c>
      <c r="D143" s="3" t="s">
        <v>134</v>
      </c>
      <c r="E143" s="3" t="s">
        <v>443</v>
      </c>
      <c r="F143" s="3" t="s">
        <v>443</v>
      </c>
      <c r="G143" s="4"/>
      <c r="H143" s="4" t="e">
        <f>INDEX(#REF!,MATCH(셀트리온제약!$F143,#REF!,0),MATCH(셀트리온제약!$B143,#REF!,0))</f>
        <v>#REF!</v>
      </c>
      <c r="I143" s="4" t="e">
        <f t="shared" si="13"/>
        <v>#REF!</v>
      </c>
      <c r="J143" s="21" t="e">
        <f t="shared" si="15"/>
        <v>#REF!</v>
      </c>
      <c r="L143" s="10"/>
    </row>
    <row r="144" spans="2:12" hidden="1">
      <c r="B144" s="2" t="s">
        <v>166</v>
      </c>
      <c r="C144" s="3" t="s">
        <v>133</v>
      </c>
      <c r="D144" s="3" t="s">
        <v>134</v>
      </c>
      <c r="E144" s="3" t="s">
        <v>135</v>
      </c>
      <c r="F144" s="3" t="s">
        <v>136</v>
      </c>
      <c r="G144" s="4"/>
      <c r="H144" s="4" t="e">
        <f>INDEX(#REF!,MATCH(셀트리온제약!$F144,#REF!,0),MATCH(셀트리온제약!$B144,#REF!,0))</f>
        <v>#REF!</v>
      </c>
      <c r="I144" s="4" t="e">
        <f t="shared" si="13"/>
        <v>#REF!</v>
      </c>
      <c r="J144" s="21" t="e">
        <f t="shared" si="15"/>
        <v>#REF!</v>
      </c>
      <c r="L144" s="10"/>
    </row>
    <row r="145" spans="2:10" hidden="1">
      <c r="B145" s="2" t="s">
        <v>166</v>
      </c>
      <c r="C145" s="3" t="s">
        <v>133</v>
      </c>
      <c r="D145" s="3" t="s">
        <v>134</v>
      </c>
      <c r="E145" s="3" t="s">
        <v>135</v>
      </c>
      <c r="F145" s="3" t="s">
        <v>137</v>
      </c>
      <c r="G145" s="4"/>
      <c r="H145" s="4" t="e">
        <f>INDEX(#REF!,MATCH(셀트리온제약!$F145,#REF!,0),MATCH(셀트리온제약!$B145,#REF!,0))</f>
        <v>#REF!</v>
      </c>
      <c r="I145" s="4" t="e">
        <f t="shared" si="13"/>
        <v>#REF!</v>
      </c>
      <c r="J145" s="21" t="e">
        <f t="shared" si="15"/>
        <v>#REF!</v>
      </c>
    </row>
    <row r="146" spans="2:10" hidden="1">
      <c r="B146" s="2" t="s">
        <v>166</v>
      </c>
      <c r="C146" s="3" t="s">
        <v>133</v>
      </c>
      <c r="D146" s="3" t="s">
        <v>134</v>
      </c>
      <c r="E146" s="3" t="s">
        <v>135</v>
      </c>
      <c r="F146" s="3" t="s">
        <v>139</v>
      </c>
      <c r="G146" s="4"/>
      <c r="H146" s="4" t="e">
        <f>INDEX(#REF!,MATCH(셀트리온제약!$F146,#REF!,0),MATCH(셀트리온제약!$B146,#REF!,0))</f>
        <v>#REF!</v>
      </c>
      <c r="I146" s="4" t="e">
        <f t="shared" si="13"/>
        <v>#REF!</v>
      </c>
      <c r="J146" s="21" t="e">
        <f t="shared" si="15"/>
        <v>#REF!</v>
      </c>
    </row>
    <row r="147" spans="2:10" hidden="1">
      <c r="B147" s="2" t="s">
        <v>166</v>
      </c>
      <c r="C147" s="3" t="s">
        <v>133</v>
      </c>
      <c r="D147" s="3" t="s">
        <v>134</v>
      </c>
      <c r="E147" s="3" t="s">
        <v>135</v>
      </c>
      <c r="F147" s="3" t="s">
        <v>140</v>
      </c>
      <c r="G147" s="4"/>
      <c r="H147" s="4" t="e">
        <f>INDEX(#REF!,MATCH(셀트리온제약!$F147,#REF!,0),MATCH(셀트리온제약!$B147,#REF!,0))</f>
        <v>#REF!</v>
      </c>
      <c r="I147" s="4" t="e">
        <f t="shared" si="13"/>
        <v>#REF!</v>
      </c>
      <c r="J147" s="21" t="e">
        <f t="shared" si="15"/>
        <v>#REF!</v>
      </c>
    </row>
    <row r="148" spans="2:10" hidden="1">
      <c r="B148" s="2" t="s">
        <v>166</v>
      </c>
      <c r="C148" s="3" t="s">
        <v>133</v>
      </c>
      <c r="D148" s="3" t="s">
        <v>134</v>
      </c>
      <c r="E148" s="3" t="s">
        <v>135</v>
      </c>
      <c r="F148" s="3" t="s">
        <v>141</v>
      </c>
      <c r="G148" s="4"/>
      <c r="H148" s="4" t="e">
        <f>INDEX(#REF!,MATCH(셀트리온제약!$F148,#REF!,0),MATCH(셀트리온제약!$B148,#REF!,0))</f>
        <v>#REF!</v>
      </c>
      <c r="I148" s="4" t="e">
        <f t="shared" si="13"/>
        <v>#REF!</v>
      </c>
      <c r="J148" s="21" t="e">
        <f t="shared" si="15"/>
        <v>#REF!</v>
      </c>
    </row>
    <row r="149" spans="2:10" hidden="1">
      <c r="B149" s="2" t="s">
        <v>166</v>
      </c>
      <c r="C149" s="3" t="s">
        <v>133</v>
      </c>
      <c r="D149" s="3" t="s">
        <v>134</v>
      </c>
      <c r="E149" s="3" t="s">
        <v>135</v>
      </c>
      <c r="F149" s="3" t="s">
        <v>142</v>
      </c>
      <c r="G149" s="4"/>
      <c r="H149" s="4" t="e">
        <f>INDEX(#REF!,MATCH(셀트리온제약!$F149,#REF!,0),MATCH(셀트리온제약!$B149,#REF!,0))</f>
        <v>#REF!</v>
      </c>
      <c r="I149" s="4" t="e">
        <f t="shared" si="13"/>
        <v>#REF!</v>
      </c>
      <c r="J149" s="21" t="e">
        <f t="shared" si="15"/>
        <v>#REF!</v>
      </c>
    </row>
    <row r="150" spans="2:10" hidden="1">
      <c r="B150" s="2" t="s">
        <v>166</v>
      </c>
      <c r="C150" s="3" t="s">
        <v>133</v>
      </c>
      <c r="D150" s="3" t="s">
        <v>134</v>
      </c>
      <c r="E150" s="3" t="s">
        <v>135</v>
      </c>
      <c r="F150" s="3" t="s">
        <v>146</v>
      </c>
      <c r="G150" s="4"/>
      <c r="H150" s="4" t="e">
        <f>INDEX(#REF!,MATCH(셀트리온제약!$F150,#REF!,0),MATCH(셀트리온제약!$B150,#REF!,0))</f>
        <v>#REF!</v>
      </c>
      <c r="I150" s="4" t="e">
        <f t="shared" si="13"/>
        <v>#REF!</v>
      </c>
      <c r="J150" s="21" t="e">
        <f t="shared" si="15"/>
        <v>#REF!</v>
      </c>
    </row>
    <row r="151" spans="2:10" hidden="1">
      <c r="B151" s="2" t="s">
        <v>166</v>
      </c>
      <c r="C151" s="3" t="s">
        <v>133</v>
      </c>
      <c r="D151" s="3" t="s">
        <v>134</v>
      </c>
      <c r="E151" s="3" t="s">
        <v>135</v>
      </c>
      <c r="F151" s="3" t="s">
        <v>147</v>
      </c>
      <c r="G151" s="4"/>
      <c r="H151" s="4" t="e">
        <f>INDEX(#REF!,MATCH(셀트리온제약!$F151,#REF!,0),MATCH(셀트리온제약!$B151,#REF!,0))</f>
        <v>#REF!</v>
      </c>
      <c r="I151" s="4" t="e">
        <f t="shared" si="13"/>
        <v>#REF!</v>
      </c>
      <c r="J151" s="21" t="e">
        <f t="shared" si="15"/>
        <v>#REF!</v>
      </c>
    </row>
    <row r="152" spans="2:10" hidden="1">
      <c r="B152" s="2" t="s">
        <v>166</v>
      </c>
      <c r="C152" s="3" t="s">
        <v>133</v>
      </c>
      <c r="D152" s="3" t="s">
        <v>134</v>
      </c>
      <c r="E152" s="3" t="s">
        <v>135</v>
      </c>
      <c r="F152" s="3" t="s">
        <v>687</v>
      </c>
      <c r="G152" s="4"/>
      <c r="H152" s="4" t="e">
        <f>INDEX(#REF!,MATCH(셀트리온제약!$F152,#REF!,0),MATCH(셀트리온제약!$B152,#REF!,0))</f>
        <v>#REF!</v>
      </c>
      <c r="I152" s="4" t="e">
        <f t="shared" si="13"/>
        <v>#REF!</v>
      </c>
      <c r="J152" s="21" t="e">
        <f t="shared" si="15"/>
        <v>#REF!</v>
      </c>
    </row>
    <row r="153" spans="2:10" hidden="1">
      <c r="B153" s="2" t="s">
        <v>166</v>
      </c>
      <c r="C153" s="3" t="s">
        <v>133</v>
      </c>
      <c r="D153" s="3" t="s">
        <v>134</v>
      </c>
      <c r="E153" s="3" t="s">
        <v>688</v>
      </c>
      <c r="F153" s="3" t="s">
        <v>470</v>
      </c>
      <c r="G153" s="4"/>
      <c r="H153" s="4" t="e">
        <f>INDEX(#REF!,MATCH(셀트리온제약!$F153,#REF!,0),MATCH(셀트리온제약!$B153,#REF!,0))</f>
        <v>#REF!</v>
      </c>
      <c r="I153" s="4" t="e">
        <f t="shared" si="13"/>
        <v>#REF!</v>
      </c>
      <c r="J153" s="21" t="e">
        <f t="shared" si="15"/>
        <v>#REF!</v>
      </c>
    </row>
    <row r="154" spans="2:10" ht="18" hidden="1" thickBot="1">
      <c r="B154" s="13" t="s">
        <v>166</v>
      </c>
      <c r="C154" s="17" t="s">
        <v>133</v>
      </c>
      <c r="D154" s="17" t="s">
        <v>134</v>
      </c>
      <c r="E154" s="17" t="s">
        <v>688</v>
      </c>
      <c r="F154" s="17" t="s">
        <v>474</v>
      </c>
      <c r="G154" s="6"/>
      <c r="H154" s="6" t="e">
        <f>INDEX(#REF!,MATCH(셀트리온제약!$F154,#REF!,0),MATCH(셀트리온제약!$B154,#REF!,0))</f>
        <v>#REF!</v>
      </c>
      <c r="I154" s="6" t="e">
        <f t="shared" si="13"/>
        <v>#REF!</v>
      </c>
      <c r="J154" s="22" t="e">
        <f t="shared" si="15"/>
        <v>#REF!</v>
      </c>
    </row>
    <row r="155" spans="2:10" hidden="1">
      <c r="B155" s="14" t="s">
        <v>101</v>
      </c>
      <c r="C155" s="16" t="s">
        <v>133</v>
      </c>
      <c r="D155" s="16" t="s">
        <v>134</v>
      </c>
      <c r="E155" s="16" t="s">
        <v>422</v>
      </c>
      <c r="F155" s="16" t="s">
        <v>423</v>
      </c>
      <c r="G155" s="19"/>
      <c r="H155" s="19" t="e">
        <f>INDEX(#REF!,MATCH(셀트리온제약!$F155,#REF!,0),MATCH(셀트리온제약!$B155,#REF!,0))</f>
        <v>#REF!</v>
      </c>
      <c r="I155" s="19" t="e">
        <f t="shared" si="13"/>
        <v>#REF!</v>
      </c>
      <c r="J155" s="23" t="e">
        <f>+G155/H155</f>
        <v>#REF!</v>
      </c>
    </row>
    <row r="156" spans="2:10" hidden="1">
      <c r="B156" s="2" t="s">
        <v>101</v>
      </c>
      <c r="C156" s="3" t="s">
        <v>133</v>
      </c>
      <c r="D156" s="3" t="s">
        <v>134</v>
      </c>
      <c r="E156" s="3" t="s">
        <v>422</v>
      </c>
      <c r="F156" s="3" t="s">
        <v>683</v>
      </c>
      <c r="G156" s="11"/>
      <c r="H156" s="11" t="e">
        <f>INDEX(#REF!,MATCH(셀트리온제약!$F156,#REF!,0),MATCH(셀트리온제약!$B156,#REF!,0))</f>
        <v>#REF!</v>
      </c>
      <c r="I156" s="11" t="e">
        <f t="shared" si="13"/>
        <v>#REF!</v>
      </c>
      <c r="J156" s="21" t="e">
        <f t="shared" ref="J156:J176" si="16">+G156/H156</f>
        <v>#REF!</v>
      </c>
    </row>
    <row r="157" spans="2:10" hidden="1">
      <c r="B157" s="2" t="s">
        <v>101</v>
      </c>
      <c r="C157" s="3" t="s">
        <v>133</v>
      </c>
      <c r="D157" s="3" t="s">
        <v>134</v>
      </c>
      <c r="E157" s="3" t="s">
        <v>422</v>
      </c>
      <c r="F157" s="3" t="s">
        <v>89</v>
      </c>
      <c r="G157" s="11"/>
      <c r="H157" s="11" t="e">
        <f>INDEX(#REF!,MATCH(셀트리온제약!$F157,#REF!,0),MATCH(셀트리온제약!$B157,#REF!,0))</f>
        <v>#REF!</v>
      </c>
      <c r="I157" s="11" t="e">
        <f t="shared" si="13"/>
        <v>#REF!</v>
      </c>
      <c r="J157" s="21" t="e">
        <f t="shared" si="16"/>
        <v>#REF!</v>
      </c>
    </row>
    <row r="158" spans="2:10" hidden="1">
      <c r="B158" s="2" t="s">
        <v>101</v>
      </c>
      <c r="C158" s="3" t="s">
        <v>133</v>
      </c>
      <c r="D158" s="3" t="s">
        <v>134</v>
      </c>
      <c r="E158" s="3" t="s">
        <v>450</v>
      </c>
      <c r="F158" s="3" t="s">
        <v>452</v>
      </c>
      <c r="G158" s="11"/>
      <c r="H158" s="11" t="e">
        <f>INDEX(#REF!,MATCH(셀트리온제약!$F158,#REF!,0),MATCH(셀트리온제약!$B158,#REF!,0))</f>
        <v>#REF!</v>
      </c>
      <c r="I158" s="11" t="e">
        <f t="shared" si="13"/>
        <v>#REF!</v>
      </c>
      <c r="J158" s="21" t="e">
        <f t="shared" si="16"/>
        <v>#REF!</v>
      </c>
    </row>
    <row r="159" spans="2:10" hidden="1">
      <c r="B159" s="2" t="s">
        <v>101</v>
      </c>
      <c r="C159" s="3" t="s">
        <v>133</v>
      </c>
      <c r="D159" s="3" t="s">
        <v>134</v>
      </c>
      <c r="E159" s="3" t="s">
        <v>450</v>
      </c>
      <c r="F159" s="3" t="s">
        <v>453</v>
      </c>
      <c r="G159" s="11"/>
      <c r="H159" s="11" t="e">
        <f>INDEX(#REF!,MATCH(셀트리온제약!$F159,#REF!,0),MATCH(셀트리온제약!$B159,#REF!,0))</f>
        <v>#REF!</v>
      </c>
      <c r="I159" s="11" t="e">
        <f t="shared" si="13"/>
        <v>#REF!</v>
      </c>
      <c r="J159" s="21" t="e">
        <f t="shared" si="16"/>
        <v>#REF!</v>
      </c>
    </row>
    <row r="160" spans="2:10" hidden="1">
      <c r="B160" s="2" t="s">
        <v>101</v>
      </c>
      <c r="C160" s="3" t="s">
        <v>133</v>
      </c>
      <c r="D160" s="3" t="s">
        <v>134</v>
      </c>
      <c r="E160" s="3" t="s">
        <v>450</v>
      </c>
      <c r="F160" s="3" t="s">
        <v>458</v>
      </c>
      <c r="G160" s="11"/>
      <c r="H160" s="11" t="e">
        <f>INDEX(#REF!,MATCH(셀트리온제약!$F160,#REF!,0),MATCH(셀트리온제약!$B160,#REF!,0))</f>
        <v>#REF!</v>
      </c>
      <c r="I160" s="11" t="e">
        <f t="shared" si="13"/>
        <v>#REF!</v>
      </c>
      <c r="J160" s="21" t="e">
        <f t="shared" si="16"/>
        <v>#REF!</v>
      </c>
    </row>
    <row r="161" spans="2:10" hidden="1">
      <c r="B161" s="2" t="s">
        <v>101</v>
      </c>
      <c r="C161" s="3" t="s">
        <v>133</v>
      </c>
      <c r="D161" s="3" t="s">
        <v>134</v>
      </c>
      <c r="E161" s="3" t="s">
        <v>450</v>
      </c>
      <c r="F161" s="3" t="s">
        <v>454</v>
      </c>
      <c r="G161" s="4"/>
      <c r="H161" s="4" t="e">
        <f>INDEX(#REF!,MATCH(셀트리온제약!$F161,#REF!,0),MATCH(셀트리온제약!$B161,#REF!,0))</f>
        <v>#REF!</v>
      </c>
      <c r="I161" s="4" t="e">
        <f t="shared" si="13"/>
        <v>#REF!</v>
      </c>
      <c r="J161" s="21" t="e">
        <f t="shared" si="16"/>
        <v>#REF!</v>
      </c>
    </row>
    <row r="162" spans="2:10" hidden="1">
      <c r="B162" s="2" t="s">
        <v>101</v>
      </c>
      <c r="C162" s="3" t="s">
        <v>133</v>
      </c>
      <c r="D162" s="3" t="s">
        <v>134</v>
      </c>
      <c r="E162" s="3" t="s">
        <v>450</v>
      </c>
      <c r="F162" s="3" t="s">
        <v>461</v>
      </c>
      <c r="G162" s="11"/>
      <c r="H162" s="11" t="e">
        <f>INDEX(#REF!,MATCH(셀트리온제약!$F162,#REF!,0),MATCH(셀트리온제약!$B162,#REF!,0))</f>
        <v>#REF!</v>
      </c>
      <c r="I162" s="11" t="e">
        <f t="shared" si="13"/>
        <v>#REF!</v>
      </c>
      <c r="J162" s="21" t="e">
        <f t="shared" si="16"/>
        <v>#REF!</v>
      </c>
    </row>
    <row r="163" spans="2:10" hidden="1">
      <c r="B163" s="2" t="s">
        <v>101</v>
      </c>
      <c r="C163" s="3" t="s">
        <v>133</v>
      </c>
      <c r="D163" s="3" t="s">
        <v>134</v>
      </c>
      <c r="E163" s="3" t="s">
        <v>450</v>
      </c>
      <c r="F163" s="3" t="s">
        <v>684</v>
      </c>
      <c r="G163" s="4"/>
      <c r="H163" s="4" t="e">
        <f>INDEX(#REF!,MATCH(셀트리온제약!$F163,#REF!,0),MATCH(셀트리온제약!$B163,#REF!,0))</f>
        <v>#REF!</v>
      </c>
      <c r="I163" s="4" t="e">
        <f t="shared" si="13"/>
        <v>#REF!</v>
      </c>
      <c r="J163" s="21" t="e">
        <f t="shared" si="16"/>
        <v>#REF!</v>
      </c>
    </row>
    <row r="164" spans="2:10" hidden="1">
      <c r="B164" s="2" t="s">
        <v>101</v>
      </c>
      <c r="C164" s="3" t="s">
        <v>133</v>
      </c>
      <c r="D164" s="3" t="s">
        <v>134</v>
      </c>
      <c r="E164" s="3" t="s">
        <v>432</v>
      </c>
      <c r="F164" s="3" t="s">
        <v>432</v>
      </c>
      <c r="G164" s="4"/>
      <c r="H164" s="4" t="e">
        <f>INDEX(#REF!,MATCH(셀트리온제약!$F164,#REF!,0),MATCH(셀트리온제약!$B164,#REF!,0))</f>
        <v>#REF!</v>
      </c>
      <c r="I164" s="4" t="e">
        <f t="shared" si="13"/>
        <v>#REF!</v>
      </c>
      <c r="J164" s="21" t="e">
        <f t="shared" si="16"/>
        <v>#REF!</v>
      </c>
    </row>
    <row r="165" spans="2:10" hidden="1">
      <c r="B165" s="2" t="s">
        <v>101</v>
      </c>
      <c r="C165" s="3" t="s">
        <v>133</v>
      </c>
      <c r="D165" s="3" t="s">
        <v>134</v>
      </c>
      <c r="E165" s="3" t="s">
        <v>443</v>
      </c>
      <c r="F165" s="3" t="s">
        <v>443</v>
      </c>
      <c r="G165" s="4"/>
      <c r="H165" s="4" t="e">
        <f>INDEX(#REF!,MATCH(셀트리온제약!$F165,#REF!,0),MATCH(셀트리온제약!$B165,#REF!,0))</f>
        <v>#REF!</v>
      </c>
      <c r="I165" s="4" t="e">
        <f t="shared" si="13"/>
        <v>#REF!</v>
      </c>
      <c r="J165" s="21" t="e">
        <f t="shared" si="16"/>
        <v>#REF!</v>
      </c>
    </row>
    <row r="166" spans="2:10" hidden="1">
      <c r="B166" s="2" t="s">
        <v>101</v>
      </c>
      <c r="C166" s="3" t="s">
        <v>133</v>
      </c>
      <c r="D166" s="3" t="s">
        <v>134</v>
      </c>
      <c r="E166" s="3" t="s">
        <v>135</v>
      </c>
      <c r="F166" s="3" t="s">
        <v>136</v>
      </c>
      <c r="G166" s="4"/>
      <c r="H166" s="4" t="e">
        <f>INDEX(#REF!,MATCH(셀트리온제약!$F166,#REF!,0),MATCH(셀트리온제약!$B166,#REF!,0))</f>
        <v>#REF!</v>
      </c>
      <c r="I166" s="4" t="e">
        <f t="shared" si="13"/>
        <v>#REF!</v>
      </c>
      <c r="J166" s="21" t="e">
        <f t="shared" si="16"/>
        <v>#REF!</v>
      </c>
    </row>
    <row r="167" spans="2:10" hidden="1">
      <c r="B167" s="2" t="s">
        <v>101</v>
      </c>
      <c r="C167" s="3" t="s">
        <v>133</v>
      </c>
      <c r="D167" s="3" t="s">
        <v>134</v>
      </c>
      <c r="E167" s="3" t="s">
        <v>135</v>
      </c>
      <c r="F167" s="3" t="s">
        <v>137</v>
      </c>
      <c r="G167" s="4"/>
      <c r="H167" s="4" t="e">
        <f>INDEX(#REF!,MATCH(셀트리온제약!$F167,#REF!,0),MATCH(셀트리온제약!$B167,#REF!,0))</f>
        <v>#REF!</v>
      </c>
      <c r="I167" s="4" t="e">
        <f t="shared" si="13"/>
        <v>#REF!</v>
      </c>
      <c r="J167" s="21" t="e">
        <f t="shared" si="16"/>
        <v>#REF!</v>
      </c>
    </row>
    <row r="168" spans="2:10" hidden="1">
      <c r="B168" s="2" t="s">
        <v>101</v>
      </c>
      <c r="C168" s="3" t="s">
        <v>133</v>
      </c>
      <c r="D168" s="3" t="s">
        <v>134</v>
      </c>
      <c r="E168" s="3" t="s">
        <v>135</v>
      </c>
      <c r="F168" s="3" t="s">
        <v>139</v>
      </c>
      <c r="G168" s="4"/>
      <c r="H168" s="4" t="e">
        <f>INDEX(#REF!,MATCH(셀트리온제약!$F168,#REF!,0),MATCH(셀트리온제약!$B168,#REF!,0))</f>
        <v>#REF!</v>
      </c>
      <c r="I168" s="4" t="e">
        <f t="shared" si="13"/>
        <v>#REF!</v>
      </c>
      <c r="J168" s="21" t="e">
        <f t="shared" si="16"/>
        <v>#REF!</v>
      </c>
    </row>
    <row r="169" spans="2:10" hidden="1">
      <c r="B169" s="2" t="s">
        <v>101</v>
      </c>
      <c r="C169" s="3" t="s">
        <v>133</v>
      </c>
      <c r="D169" s="3" t="s">
        <v>134</v>
      </c>
      <c r="E169" s="3" t="s">
        <v>135</v>
      </c>
      <c r="F169" s="3" t="s">
        <v>140</v>
      </c>
      <c r="G169" s="4"/>
      <c r="H169" s="4" t="e">
        <f>INDEX(#REF!,MATCH(셀트리온제약!$F169,#REF!,0),MATCH(셀트리온제약!$B169,#REF!,0))</f>
        <v>#REF!</v>
      </c>
      <c r="I169" s="4" t="e">
        <f t="shared" si="13"/>
        <v>#REF!</v>
      </c>
      <c r="J169" s="21" t="e">
        <f t="shared" si="16"/>
        <v>#REF!</v>
      </c>
    </row>
    <row r="170" spans="2:10" hidden="1">
      <c r="B170" s="2" t="s">
        <v>101</v>
      </c>
      <c r="C170" s="3" t="s">
        <v>133</v>
      </c>
      <c r="D170" s="3" t="s">
        <v>134</v>
      </c>
      <c r="E170" s="3" t="s">
        <v>135</v>
      </c>
      <c r="F170" s="3" t="s">
        <v>141</v>
      </c>
      <c r="G170" s="4"/>
      <c r="H170" s="4" t="e">
        <f>INDEX(#REF!,MATCH(셀트리온제약!$F170,#REF!,0),MATCH(셀트리온제약!$B170,#REF!,0))</f>
        <v>#REF!</v>
      </c>
      <c r="I170" s="4" t="e">
        <f t="shared" si="13"/>
        <v>#REF!</v>
      </c>
      <c r="J170" s="21" t="e">
        <f t="shared" si="16"/>
        <v>#REF!</v>
      </c>
    </row>
    <row r="171" spans="2:10" hidden="1">
      <c r="B171" s="2" t="s">
        <v>101</v>
      </c>
      <c r="C171" s="3" t="s">
        <v>133</v>
      </c>
      <c r="D171" s="3" t="s">
        <v>134</v>
      </c>
      <c r="E171" s="3" t="s">
        <v>135</v>
      </c>
      <c r="F171" s="3" t="s">
        <v>142</v>
      </c>
      <c r="G171" s="4"/>
      <c r="H171" s="4" t="e">
        <f>INDEX(#REF!,MATCH(셀트리온제약!$F171,#REF!,0),MATCH(셀트리온제약!$B171,#REF!,0))</f>
        <v>#REF!</v>
      </c>
      <c r="I171" s="4" t="e">
        <f t="shared" si="13"/>
        <v>#REF!</v>
      </c>
      <c r="J171" s="21" t="e">
        <f t="shared" si="16"/>
        <v>#REF!</v>
      </c>
    </row>
    <row r="172" spans="2:10" hidden="1">
      <c r="B172" s="2" t="s">
        <v>101</v>
      </c>
      <c r="C172" s="3" t="s">
        <v>133</v>
      </c>
      <c r="D172" s="3" t="s">
        <v>134</v>
      </c>
      <c r="E172" s="3" t="s">
        <v>135</v>
      </c>
      <c r="F172" s="3" t="s">
        <v>146</v>
      </c>
      <c r="G172" s="4"/>
      <c r="H172" s="4" t="e">
        <f>INDEX(#REF!,MATCH(셀트리온제약!$F172,#REF!,0),MATCH(셀트리온제약!$B172,#REF!,0))</f>
        <v>#REF!</v>
      </c>
      <c r="I172" s="4" t="e">
        <f t="shared" ref="I172:I235" si="17">H172</f>
        <v>#REF!</v>
      </c>
      <c r="J172" s="21" t="e">
        <f t="shared" si="16"/>
        <v>#REF!</v>
      </c>
    </row>
    <row r="173" spans="2:10" hidden="1">
      <c r="B173" s="2" t="s">
        <v>101</v>
      </c>
      <c r="C173" s="3" t="s">
        <v>133</v>
      </c>
      <c r="D173" s="3" t="s">
        <v>134</v>
      </c>
      <c r="E173" s="3" t="s">
        <v>135</v>
      </c>
      <c r="F173" s="3" t="s">
        <v>147</v>
      </c>
      <c r="G173" s="4"/>
      <c r="H173" s="4" t="e">
        <f>INDEX(#REF!,MATCH(셀트리온제약!$F173,#REF!,0),MATCH(셀트리온제약!$B173,#REF!,0))</f>
        <v>#REF!</v>
      </c>
      <c r="I173" s="4" t="e">
        <f t="shared" si="17"/>
        <v>#REF!</v>
      </c>
      <c r="J173" s="21" t="e">
        <f t="shared" si="16"/>
        <v>#REF!</v>
      </c>
    </row>
    <row r="174" spans="2:10" hidden="1">
      <c r="B174" s="2" t="s">
        <v>101</v>
      </c>
      <c r="C174" s="3" t="s">
        <v>133</v>
      </c>
      <c r="D174" s="3" t="s">
        <v>134</v>
      </c>
      <c r="E174" s="3" t="s">
        <v>135</v>
      </c>
      <c r="F174" s="3" t="s">
        <v>687</v>
      </c>
      <c r="G174" s="4"/>
      <c r="H174" s="4" t="e">
        <f>INDEX(#REF!,MATCH(셀트리온제약!$F174,#REF!,0),MATCH(셀트리온제약!$B174,#REF!,0))</f>
        <v>#REF!</v>
      </c>
      <c r="I174" s="4" t="e">
        <f t="shared" si="17"/>
        <v>#REF!</v>
      </c>
      <c r="J174" s="21" t="e">
        <f t="shared" si="16"/>
        <v>#REF!</v>
      </c>
    </row>
    <row r="175" spans="2:10" hidden="1">
      <c r="B175" s="2" t="s">
        <v>101</v>
      </c>
      <c r="C175" s="3" t="s">
        <v>133</v>
      </c>
      <c r="D175" s="3" t="s">
        <v>134</v>
      </c>
      <c r="E175" s="3" t="s">
        <v>688</v>
      </c>
      <c r="F175" s="3" t="s">
        <v>470</v>
      </c>
      <c r="G175" s="4"/>
      <c r="H175" s="4" t="e">
        <f>INDEX(#REF!,MATCH(셀트리온제약!$F175,#REF!,0),MATCH(셀트리온제약!$B175,#REF!,0))</f>
        <v>#REF!</v>
      </c>
      <c r="I175" s="4" t="e">
        <f t="shared" si="17"/>
        <v>#REF!</v>
      </c>
      <c r="J175" s="21" t="e">
        <f t="shared" si="16"/>
        <v>#REF!</v>
      </c>
    </row>
    <row r="176" spans="2:10" ht="18" hidden="1" thickBot="1">
      <c r="B176" s="12" t="s">
        <v>101</v>
      </c>
      <c r="C176" s="697" t="s">
        <v>133</v>
      </c>
      <c r="D176" s="697" t="s">
        <v>134</v>
      </c>
      <c r="E176" s="697" t="s">
        <v>688</v>
      </c>
      <c r="F176" s="697" t="s">
        <v>474</v>
      </c>
      <c r="G176" s="698"/>
      <c r="H176" s="698" t="e">
        <f>INDEX(#REF!,MATCH(셀트리온제약!$F176,#REF!,0),MATCH(셀트리온제약!$B176,#REF!,0))</f>
        <v>#REF!</v>
      </c>
      <c r="I176" s="698" t="e">
        <f t="shared" si="17"/>
        <v>#REF!</v>
      </c>
      <c r="J176" s="699" t="e">
        <f t="shared" si="16"/>
        <v>#REF!</v>
      </c>
    </row>
    <row r="177" spans="2:12" hidden="1">
      <c r="B177" s="7" t="s">
        <v>175</v>
      </c>
      <c r="C177" s="8" t="s">
        <v>133</v>
      </c>
      <c r="D177" s="8" t="s">
        <v>134</v>
      </c>
      <c r="E177" s="8" t="s">
        <v>422</v>
      </c>
      <c r="F177" s="8" t="s">
        <v>423</v>
      </c>
      <c r="G177" s="9"/>
      <c r="H177" s="9" t="e">
        <f>INDEX(#REF!,MATCH(셀트리온제약!$F177,#REF!,0),MATCH(셀트리온제약!$B177,#REF!,0))</f>
        <v>#REF!</v>
      </c>
      <c r="I177" s="9" t="e">
        <f t="shared" si="17"/>
        <v>#REF!</v>
      </c>
      <c r="J177" s="20" t="e">
        <f>+G177/H177</f>
        <v>#REF!</v>
      </c>
    </row>
    <row r="178" spans="2:12" hidden="1">
      <c r="B178" s="2" t="s">
        <v>175</v>
      </c>
      <c r="C178" s="3" t="s">
        <v>133</v>
      </c>
      <c r="D178" s="3" t="s">
        <v>134</v>
      </c>
      <c r="E178" s="3" t="s">
        <v>422</v>
      </c>
      <c r="F178" s="3" t="s">
        <v>683</v>
      </c>
      <c r="G178" s="11"/>
      <c r="H178" s="11" t="e">
        <f>INDEX(#REF!,MATCH(셀트리온제약!$F178,#REF!,0),MATCH(셀트리온제약!$B178,#REF!,0))</f>
        <v>#REF!</v>
      </c>
      <c r="I178" s="11" t="e">
        <f t="shared" si="17"/>
        <v>#REF!</v>
      </c>
      <c r="J178" s="21" t="e">
        <f t="shared" ref="J178:J198" si="18">+G178/H178</f>
        <v>#REF!</v>
      </c>
    </row>
    <row r="179" spans="2:12" hidden="1">
      <c r="B179" s="2" t="s">
        <v>175</v>
      </c>
      <c r="C179" s="3" t="s">
        <v>133</v>
      </c>
      <c r="D179" s="3" t="s">
        <v>134</v>
      </c>
      <c r="E179" s="3" t="s">
        <v>422</v>
      </c>
      <c r="F179" s="3" t="s">
        <v>89</v>
      </c>
      <c r="G179" s="11"/>
      <c r="H179" s="11" t="e">
        <f>INDEX(#REF!,MATCH(셀트리온제약!$F179,#REF!,0),MATCH(셀트리온제약!$B179,#REF!,0))</f>
        <v>#REF!</v>
      </c>
      <c r="I179" s="11" t="e">
        <f t="shared" si="17"/>
        <v>#REF!</v>
      </c>
      <c r="J179" s="21" t="e">
        <f t="shared" si="18"/>
        <v>#REF!</v>
      </c>
    </row>
    <row r="180" spans="2:12" hidden="1">
      <c r="B180" s="2" t="s">
        <v>175</v>
      </c>
      <c r="C180" s="3" t="s">
        <v>133</v>
      </c>
      <c r="D180" s="3" t="s">
        <v>134</v>
      </c>
      <c r="E180" s="3" t="s">
        <v>450</v>
      </c>
      <c r="F180" s="3" t="s">
        <v>452</v>
      </c>
      <c r="G180" s="11"/>
      <c r="H180" s="11" t="e">
        <f>INDEX(#REF!,MATCH(셀트리온제약!$F180,#REF!,0),MATCH(셀트리온제약!$B180,#REF!,0))</f>
        <v>#REF!</v>
      </c>
      <c r="I180" s="11" t="e">
        <f t="shared" si="17"/>
        <v>#REF!</v>
      </c>
      <c r="J180" s="21" t="e">
        <f t="shared" si="18"/>
        <v>#REF!</v>
      </c>
    </row>
    <row r="181" spans="2:12" hidden="1">
      <c r="B181" s="2" t="s">
        <v>175</v>
      </c>
      <c r="C181" s="3" t="s">
        <v>133</v>
      </c>
      <c r="D181" s="3" t="s">
        <v>134</v>
      </c>
      <c r="E181" s="3" t="s">
        <v>450</v>
      </c>
      <c r="F181" s="3" t="s">
        <v>453</v>
      </c>
      <c r="G181" s="11"/>
      <c r="H181" s="11" t="e">
        <f>INDEX(#REF!,MATCH(셀트리온제약!$F181,#REF!,0),MATCH(셀트리온제약!$B181,#REF!,0))</f>
        <v>#REF!</v>
      </c>
      <c r="I181" s="11" t="e">
        <f t="shared" si="17"/>
        <v>#REF!</v>
      </c>
      <c r="J181" s="21" t="e">
        <f t="shared" si="18"/>
        <v>#REF!</v>
      </c>
    </row>
    <row r="182" spans="2:12" hidden="1">
      <c r="B182" s="2" t="s">
        <v>175</v>
      </c>
      <c r="C182" s="3" t="s">
        <v>133</v>
      </c>
      <c r="D182" s="3" t="s">
        <v>134</v>
      </c>
      <c r="E182" s="3" t="s">
        <v>450</v>
      </c>
      <c r="F182" s="3" t="s">
        <v>458</v>
      </c>
      <c r="G182" s="11"/>
      <c r="H182" s="11" t="e">
        <f>INDEX(#REF!,MATCH(셀트리온제약!$F182,#REF!,0),MATCH(셀트리온제약!$B182,#REF!,0))</f>
        <v>#REF!</v>
      </c>
      <c r="I182" s="11" t="e">
        <f t="shared" si="17"/>
        <v>#REF!</v>
      </c>
      <c r="J182" s="21" t="e">
        <f t="shared" si="18"/>
        <v>#REF!</v>
      </c>
    </row>
    <row r="183" spans="2:12" hidden="1">
      <c r="B183" s="2" t="s">
        <v>175</v>
      </c>
      <c r="C183" s="3" t="s">
        <v>133</v>
      </c>
      <c r="D183" s="3" t="s">
        <v>134</v>
      </c>
      <c r="E183" s="3" t="s">
        <v>450</v>
      </c>
      <c r="F183" s="3" t="s">
        <v>454</v>
      </c>
      <c r="G183" s="4"/>
      <c r="H183" s="4" t="e">
        <f>INDEX(#REF!,MATCH(셀트리온제약!$F183,#REF!,0),MATCH(셀트리온제약!$B183,#REF!,0))</f>
        <v>#REF!</v>
      </c>
      <c r="I183" s="4" t="e">
        <f t="shared" si="17"/>
        <v>#REF!</v>
      </c>
      <c r="J183" s="21" t="e">
        <f t="shared" si="18"/>
        <v>#REF!</v>
      </c>
    </row>
    <row r="184" spans="2:12" hidden="1">
      <c r="B184" s="2" t="s">
        <v>175</v>
      </c>
      <c r="C184" s="3" t="s">
        <v>133</v>
      </c>
      <c r="D184" s="3" t="s">
        <v>134</v>
      </c>
      <c r="E184" s="3" t="s">
        <v>450</v>
      </c>
      <c r="F184" s="3" t="s">
        <v>461</v>
      </c>
      <c r="G184" s="11"/>
      <c r="H184" s="11" t="e">
        <f>INDEX(#REF!,MATCH(셀트리온제약!$F184,#REF!,0),MATCH(셀트리온제약!$B184,#REF!,0))</f>
        <v>#REF!</v>
      </c>
      <c r="I184" s="11" t="e">
        <f t="shared" si="17"/>
        <v>#REF!</v>
      </c>
      <c r="J184" s="21" t="e">
        <f t="shared" si="18"/>
        <v>#REF!</v>
      </c>
    </row>
    <row r="185" spans="2:12" hidden="1">
      <c r="B185" s="2" t="s">
        <v>175</v>
      </c>
      <c r="C185" s="3" t="s">
        <v>133</v>
      </c>
      <c r="D185" s="3" t="s">
        <v>134</v>
      </c>
      <c r="E185" s="3" t="s">
        <v>450</v>
      </c>
      <c r="F185" s="3" t="s">
        <v>684</v>
      </c>
      <c r="G185" s="4"/>
      <c r="H185" s="4" t="e">
        <f>INDEX(#REF!,MATCH(셀트리온제약!$F185,#REF!,0),MATCH(셀트리온제약!$B185,#REF!,0))</f>
        <v>#REF!</v>
      </c>
      <c r="I185" s="4" t="e">
        <f t="shared" si="17"/>
        <v>#REF!</v>
      </c>
      <c r="J185" s="21" t="e">
        <f t="shared" si="18"/>
        <v>#REF!</v>
      </c>
      <c r="L185" s="18"/>
    </row>
    <row r="186" spans="2:12" hidden="1">
      <c r="B186" s="2" t="s">
        <v>175</v>
      </c>
      <c r="C186" s="3" t="s">
        <v>133</v>
      </c>
      <c r="D186" s="3" t="s">
        <v>134</v>
      </c>
      <c r="E186" s="3" t="s">
        <v>432</v>
      </c>
      <c r="F186" s="3" t="s">
        <v>432</v>
      </c>
      <c r="G186" s="4"/>
      <c r="H186" s="4" t="e">
        <f>INDEX(#REF!,MATCH(셀트리온제약!$F186,#REF!,0),MATCH(셀트리온제약!$B186,#REF!,0))</f>
        <v>#REF!</v>
      </c>
      <c r="I186" s="4" t="e">
        <f t="shared" si="17"/>
        <v>#REF!</v>
      </c>
      <c r="J186" s="21" t="e">
        <f t="shared" si="18"/>
        <v>#REF!</v>
      </c>
    </row>
    <row r="187" spans="2:12" hidden="1">
      <c r="B187" s="2" t="s">
        <v>175</v>
      </c>
      <c r="C187" s="3" t="s">
        <v>133</v>
      </c>
      <c r="D187" s="3" t="s">
        <v>134</v>
      </c>
      <c r="E187" s="3" t="s">
        <v>443</v>
      </c>
      <c r="F187" s="3" t="s">
        <v>443</v>
      </c>
      <c r="G187" s="4"/>
      <c r="H187" s="4" t="e">
        <f>INDEX(#REF!,MATCH(셀트리온제약!$F187,#REF!,0),MATCH(셀트리온제약!$B187,#REF!,0))</f>
        <v>#REF!</v>
      </c>
      <c r="I187" s="4" t="e">
        <f t="shared" si="17"/>
        <v>#REF!</v>
      </c>
      <c r="J187" s="21" t="e">
        <f t="shared" si="18"/>
        <v>#REF!</v>
      </c>
    </row>
    <row r="188" spans="2:12" hidden="1">
      <c r="B188" s="2" t="s">
        <v>175</v>
      </c>
      <c r="C188" s="3" t="s">
        <v>133</v>
      </c>
      <c r="D188" s="3" t="s">
        <v>134</v>
      </c>
      <c r="E188" s="3" t="s">
        <v>135</v>
      </c>
      <c r="F188" s="3" t="s">
        <v>136</v>
      </c>
      <c r="G188" s="4"/>
      <c r="H188" s="4" t="e">
        <f>INDEX(#REF!,MATCH(셀트리온제약!$F188,#REF!,0),MATCH(셀트리온제약!$B188,#REF!,0))</f>
        <v>#REF!</v>
      </c>
      <c r="I188" s="4" t="e">
        <f t="shared" si="17"/>
        <v>#REF!</v>
      </c>
      <c r="J188" s="21" t="e">
        <f t="shared" si="18"/>
        <v>#REF!</v>
      </c>
    </row>
    <row r="189" spans="2:12" hidden="1">
      <c r="B189" s="2" t="s">
        <v>175</v>
      </c>
      <c r="C189" s="3" t="s">
        <v>133</v>
      </c>
      <c r="D189" s="3" t="s">
        <v>134</v>
      </c>
      <c r="E189" s="3" t="s">
        <v>135</v>
      </c>
      <c r="F189" s="3" t="s">
        <v>137</v>
      </c>
      <c r="G189" s="4"/>
      <c r="H189" s="4" t="e">
        <f>INDEX(#REF!,MATCH(셀트리온제약!$F189,#REF!,0),MATCH(셀트리온제약!$B189,#REF!,0))</f>
        <v>#REF!</v>
      </c>
      <c r="I189" s="4" t="e">
        <f t="shared" si="17"/>
        <v>#REF!</v>
      </c>
      <c r="J189" s="21" t="e">
        <f t="shared" si="18"/>
        <v>#REF!</v>
      </c>
    </row>
    <row r="190" spans="2:12" hidden="1">
      <c r="B190" s="2" t="s">
        <v>175</v>
      </c>
      <c r="C190" s="3" t="s">
        <v>133</v>
      </c>
      <c r="D190" s="3" t="s">
        <v>134</v>
      </c>
      <c r="E190" s="3" t="s">
        <v>135</v>
      </c>
      <c r="F190" s="3" t="s">
        <v>139</v>
      </c>
      <c r="G190" s="4"/>
      <c r="H190" s="4" t="e">
        <f>INDEX(#REF!,MATCH(셀트리온제약!$F190,#REF!,0),MATCH(셀트리온제약!$B190,#REF!,0))</f>
        <v>#REF!</v>
      </c>
      <c r="I190" s="4" t="e">
        <f t="shared" si="17"/>
        <v>#REF!</v>
      </c>
      <c r="J190" s="21" t="e">
        <f t="shared" si="18"/>
        <v>#REF!</v>
      </c>
    </row>
    <row r="191" spans="2:12" hidden="1">
      <c r="B191" s="2" t="s">
        <v>175</v>
      </c>
      <c r="C191" s="3" t="s">
        <v>133</v>
      </c>
      <c r="D191" s="3" t="s">
        <v>134</v>
      </c>
      <c r="E191" s="3" t="s">
        <v>135</v>
      </c>
      <c r="F191" s="3" t="s">
        <v>140</v>
      </c>
      <c r="G191" s="4"/>
      <c r="H191" s="4" t="e">
        <f>INDEX(#REF!,MATCH(셀트리온제약!$F191,#REF!,0),MATCH(셀트리온제약!$B191,#REF!,0))</f>
        <v>#REF!</v>
      </c>
      <c r="I191" s="4" t="e">
        <f t="shared" si="17"/>
        <v>#REF!</v>
      </c>
      <c r="J191" s="21" t="e">
        <f t="shared" si="18"/>
        <v>#REF!</v>
      </c>
    </row>
    <row r="192" spans="2:12" hidden="1">
      <c r="B192" s="2" t="s">
        <v>175</v>
      </c>
      <c r="C192" s="3" t="s">
        <v>133</v>
      </c>
      <c r="D192" s="3" t="s">
        <v>134</v>
      </c>
      <c r="E192" s="3" t="s">
        <v>135</v>
      </c>
      <c r="F192" s="3" t="s">
        <v>141</v>
      </c>
      <c r="G192" s="4"/>
      <c r="H192" s="4" t="e">
        <f>INDEX(#REF!,MATCH(셀트리온제약!$F192,#REF!,0),MATCH(셀트리온제약!$B192,#REF!,0))</f>
        <v>#REF!</v>
      </c>
      <c r="I192" s="4" t="e">
        <f t="shared" si="17"/>
        <v>#REF!</v>
      </c>
      <c r="J192" s="21" t="e">
        <f t="shared" si="18"/>
        <v>#REF!</v>
      </c>
    </row>
    <row r="193" spans="2:10" hidden="1">
      <c r="B193" s="2" t="s">
        <v>175</v>
      </c>
      <c r="C193" s="3" t="s">
        <v>133</v>
      </c>
      <c r="D193" s="3" t="s">
        <v>134</v>
      </c>
      <c r="E193" s="3" t="s">
        <v>135</v>
      </c>
      <c r="F193" s="3" t="s">
        <v>142</v>
      </c>
      <c r="G193" s="4"/>
      <c r="H193" s="4" t="e">
        <f>INDEX(#REF!,MATCH(셀트리온제약!$F193,#REF!,0),MATCH(셀트리온제약!$B193,#REF!,0))</f>
        <v>#REF!</v>
      </c>
      <c r="I193" s="4" t="e">
        <f t="shared" si="17"/>
        <v>#REF!</v>
      </c>
      <c r="J193" s="21" t="e">
        <f t="shared" si="18"/>
        <v>#REF!</v>
      </c>
    </row>
    <row r="194" spans="2:10" hidden="1">
      <c r="B194" s="2" t="s">
        <v>175</v>
      </c>
      <c r="C194" s="3" t="s">
        <v>133</v>
      </c>
      <c r="D194" s="3" t="s">
        <v>134</v>
      </c>
      <c r="E194" s="3" t="s">
        <v>135</v>
      </c>
      <c r="F194" s="3" t="s">
        <v>146</v>
      </c>
      <c r="G194" s="4"/>
      <c r="H194" s="4" t="e">
        <f>INDEX(#REF!,MATCH(셀트리온제약!$F194,#REF!,0),MATCH(셀트리온제약!$B194,#REF!,0))</f>
        <v>#REF!</v>
      </c>
      <c r="I194" s="4" t="e">
        <f t="shared" si="17"/>
        <v>#REF!</v>
      </c>
      <c r="J194" s="21" t="e">
        <f t="shared" si="18"/>
        <v>#REF!</v>
      </c>
    </row>
    <row r="195" spans="2:10" hidden="1">
      <c r="B195" s="2" t="s">
        <v>175</v>
      </c>
      <c r="C195" s="3" t="s">
        <v>133</v>
      </c>
      <c r="D195" s="3" t="s">
        <v>134</v>
      </c>
      <c r="E195" s="3" t="s">
        <v>135</v>
      </c>
      <c r="F195" s="3" t="s">
        <v>147</v>
      </c>
      <c r="G195" s="4"/>
      <c r="H195" s="4" t="e">
        <f>INDEX(#REF!,MATCH(셀트리온제약!$F195,#REF!,0),MATCH(셀트리온제약!$B195,#REF!,0))</f>
        <v>#REF!</v>
      </c>
      <c r="I195" s="4" t="e">
        <f t="shared" si="17"/>
        <v>#REF!</v>
      </c>
      <c r="J195" s="21" t="e">
        <f t="shared" si="18"/>
        <v>#REF!</v>
      </c>
    </row>
    <row r="196" spans="2:10" hidden="1">
      <c r="B196" s="2" t="s">
        <v>175</v>
      </c>
      <c r="C196" s="3" t="s">
        <v>133</v>
      </c>
      <c r="D196" s="3" t="s">
        <v>134</v>
      </c>
      <c r="E196" s="3" t="s">
        <v>135</v>
      </c>
      <c r="F196" s="3" t="s">
        <v>687</v>
      </c>
      <c r="G196" s="4"/>
      <c r="H196" s="4" t="e">
        <f>INDEX(#REF!,MATCH(셀트리온제약!$F196,#REF!,0),MATCH(셀트리온제약!$B196,#REF!,0))</f>
        <v>#REF!</v>
      </c>
      <c r="I196" s="4" t="e">
        <f t="shared" si="17"/>
        <v>#REF!</v>
      </c>
      <c r="J196" s="21" t="e">
        <f t="shared" si="18"/>
        <v>#REF!</v>
      </c>
    </row>
    <row r="197" spans="2:10" hidden="1">
      <c r="B197" s="2" t="s">
        <v>175</v>
      </c>
      <c r="C197" s="3" t="s">
        <v>133</v>
      </c>
      <c r="D197" s="3" t="s">
        <v>134</v>
      </c>
      <c r="E197" s="3" t="s">
        <v>688</v>
      </c>
      <c r="F197" s="3" t="s">
        <v>470</v>
      </c>
      <c r="G197" s="4"/>
      <c r="H197" s="4" t="e">
        <f>INDEX(#REF!,MATCH(셀트리온제약!$F197,#REF!,0),MATCH(셀트리온제약!$B197,#REF!,0))</f>
        <v>#REF!</v>
      </c>
      <c r="I197" s="4" t="e">
        <f t="shared" si="17"/>
        <v>#REF!</v>
      </c>
      <c r="J197" s="21" t="e">
        <f t="shared" si="18"/>
        <v>#REF!</v>
      </c>
    </row>
    <row r="198" spans="2:10" ht="18" hidden="1" thickBot="1">
      <c r="B198" s="13" t="s">
        <v>175</v>
      </c>
      <c r="C198" s="17" t="s">
        <v>133</v>
      </c>
      <c r="D198" s="17" t="s">
        <v>134</v>
      </c>
      <c r="E198" s="17" t="s">
        <v>688</v>
      </c>
      <c r="F198" s="17" t="s">
        <v>474</v>
      </c>
      <c r="G198" s="6"/>
      <c r="H198" s="6" t="e">
        <f>INDEX(#REF!,MATCH(셀트리온제약!$F198,#REF!,0),MATCH(셀트리온제약!$B198,#REF!,0))</f>
        <v>#REF!</v>
      </c>
      <c r="I198" s="6" t="e">
        <f t="shared" si="17"/>
        <v>#REF!</v>
      </c>
      <c r="J198" s="22" t="e">
        <f t="shared" si="18"/>
        <v>#REF!</v>
      </c>
    </row>
    <row r="199" spans="2:10" hidden="1">
      <c r="B199" s="14" t="s">
        <v>143</v>
      </c>
      <c r="C199" s="16" t="s">
        <v>133</v>
      </c>
      <c r="D199" s="16" t="s">
        <v>134</v>
      </c>
      <c r="E199" s="16" t="s">
        <v>422</v>
      </c>
      <c r="F199" s="16" t="s">
        <v>423</v>
      </c>
      <c r="G199" s="19"/>
      <c r="H199" s="19" t="e">
        <f>INDEX(#REF!,MATCH(셀트리온제약!$F199,#REF!,0),MATCH(셀트리온제약!$B199,#REF!,0))</f>
        <v>#REF!</v>
      </c>
      <c r="I199" s="19" t="e">
        <f t="shared" si="17"/>
        <v>#REF!</v>
      </c>
      <c r="J199" s="23" t="e">
        <f>+G199/H199</f>
        <v>#REF!</v>
      </c>
    </row>
    <row r="200" spans="2:10" hidden="1">
      <c r="B200" s="2" t="s">
        <v>143</v>
      </c>
      <c r="C200" s="3" t="s">
        <v>133</v>
      </c>
      <c r="D200" s="3" t="s">
        <v>134</v>
      </c>
      <c r="E200" s="3" t="s">
        <v>422</v>
      </c>
      <c r="F200" s="3" t="s">
        <v>683</v>
      </c>
      <c r="G200" s="11"/>
      <c r="H200" s="11" t="e">
        <f>INDEX(#REF!,MATCH(셀트리온제약!$F200,#REF!,0),MATCH(셀트리온제약!$B200,#REF!,0))</f>
        <v>#REF!</v>
      </c>
      <c r="I200" s="11" t="e">
        <f t="shared" si="17"/>
        <v>#REF!</v>
      </c>
      <c r="J200" s="21" t="e">
        <f t="shared" ref="J200:J220" si="19">+G200/H200</f>
        <v>#REF!</v>
      </c>
    </row>
    <row r="201" spans="2:10" hidden="1">
      <c r="B201" s="2" t="s">
        <v>143</v>
      </c>
      <c r="C201" s="3" t="s">
        <v>133</v>
      </c>
      <c r="D201" s="3" t="s">
        <v>134</v>
      </c>
      <c r="E201" s="3" t="s">
        <v>422</v>
      </c>
      <c r="F201" s="3" t="s">
        <v>89</v>
      </c>
      <c r="G201" s="11"/>
      <c r="H201" s="11" t="e">
        <f>INDEX(#REF!,MATCH(셀트리온제약!$F201,#REF!,0),MATCH(셀트리온제약!$B201,#REF!,0))</f>
        <v>#REF!</v>
      </c>
      <c r="I201" s="11" t="e">
        <f t="shared" si="17"/>
        <v>#REF!</v>
      </c>
      <c r="J201" s="21" t="e">
        <f t="shared" si="19"/>
        <v>#REF!</v>
      </c>
    </row>
    <row r="202" spans="2:10" hidden="1">
      <c r="B202" s="2" t="s">
        <v>143</v>
      </c>
      <c r="C202" s="3" t="s">
        <v>133</v>
      </c>
      <c r="D202" s="3" t="s">
        <v>134</v>
      </c>
      <c r="E202" s="3" t="s">
        <v>450</v>
      </c>
      <c r="F202" s="3" t="s">
        <v>452</v>
      </c>
      <c r="G202" s="11"/>
      <c r="H202" s="11" t="e">
        <f>INDEX(#REF!,MATCH(셀트리온제약!$F202,#REF!,0),MATCH(셀트리온제약!$B202,#REF!,0))</f>
        <v>#REF!</v>
      </c>
      <c r="I202" s="11" t="e">
        <f t="shared" si="17"/>
        <v>#REF!</v>
      </c>
      <c r="J202" s="21" t="e">
        <f t="shared" si="19"/>
        <v>#REF!</v>
      </c>
    </row>
    <row r="203" spans="2:10" hidden="1">
      <c r="B203" s="2" t="s">
        <v>143</v>
      </c>
      <c r="C203" s="3" t="s">
        <v>133</v>
      </c>
      <c r="D203" s="3" t="s">
        <v>134</v>
      </c>
      <c r="E203" s="3" t="s">
        <v>450</v>
      </c>
      <c r="F203" s="3" t="s">
        <v>453</v>
      </c>
      <c r="G203" s="11"/>
      <c r="H203" s="11" t="e">
        <f>INDEX(#REF!,MATCH(셀트리온제약!$F203,#REF!,0),MATCH(셀트리온제약!$B203,#REF!,0))</f>
        <v>#REF!</v>
      </c>
      <c r="I203" s="11" t="e">
        <f t="shared" si="17"/>
        <v>#REF!</v>
      </c>
      <c r="J203" s="21" t="e">
        <f t="shared" si="19"/>
        <v>#REF!</v>
      </c>
    </row>
    <row r="204" spans="2:10" hidden="1">
      <c r="B204" s="2" t="s">
        <v>143</v>
      </c>
      <c r="C204" s="3" t="s">
        <v>133</v>
      </c>
      <c r="D204" s="3" t="s">
        <v>134</v>
      </c>
      <c r="E204" s="3" t="s">
        <v>450</v>
      </c>
      <c r="F204" s="3" t="s">
        <v>458</v>
      </c>
      <c r="G204" s="11"/>
      <c r="H204" s="11" t="e">
        <f>INDEX(#REF!,MATCH(셀트리온제약!$F204,#REF!,0),MATCH(셀트리온제약!$B204,#REF!,0))</f>
        <v>#REF!</v>
      </c>
      <c r="I204" s="11" t="e">
        <f t="shared" si="17"/>
        <v>#REF!</v>
      </c>
      <c r="J204" s="21" t="e">
        <f t="shared" si="19"/>
        <v>#REF!</v>
      </c>
    </row>
    <row r="205" spans="2:10" hidden="1">
      <c r="B205" s="2" t="s">
        <v>143</v>
      </c>
      <c r="C205" s="3" t="s">
        <v>133</v>
      </c>
      <c r="D205" s="3" t="s">
        <v>134</v>
      </c>
      <c r="E205" s="3" t="s">
        <v>450</v>
      </c>
      <c r="F205" s="3" t="s">
        <v>454</v>
      </c>
      <c r="G205" s="4"/>
      <c r="H205" s="4" t="e">
        <f>INDEX(#REF!,MATCH(셀트리온제약!$F205,#REF!,0),MATCH(셀트리온제약!$B205,#REF!,0))</f>
        <v>#REF!</v>
      </c>
      <c r="I205" s="4" t="e">
        <f t="shared" si="17"/>
        <v>#REF!</v>
      </c>
      <c r="J205" s="21" t="e">
        <f t="shared" si="19"/>
        <v>#REF!</v>
      </c>
    </row>
    <row r="206" spans="2:10" hidden="1">
      <c r="B206" s="2" t="s">
        <v>143</v>
      </c>
      <c r="C206" s="3" t="s">
        <v>133</v>
      </c>
      <c r="D206" s="3" t="s">
        <v>134</v>
      </c>
      <c r="E206" s="3" t="s">
        <v>450</v>
      </c>
      <c r="F206" s="3" t="s">
        <v>461</v>
      </c>
      <c r="G206" s="11"/>
      <c r="H206" s="11" t="e">
        <f>INDEX(#REF!,MATCH(셀트리온제약!$F206,#REF!,0),MATCH(셀트리온제약!$B206,#REF!,0))</f>
        <v>#REF!</v>
      </c>
      <c r="I206" s="11" t="e">
        <f t="shared" si="17"/>
        <v>#REF!</v>
      </c>
      <c r="J206" s="21" t="e">
        <f t="shared" si="19"/>
        <v>#REF!</v>
      </c>
    </row>
    <row r="207" spans="2:10" hidden="1">
      <c r="B207" s="2" t="s">
        <v>143</v>
      </c>
      <c r="C207" s="3" t="s">
        <v>133</v>
      </c>
      <c r="D207" s="3" t="s">
        <v>134</v>
      </c>
      <c r="E207" s="3" t="s">
        <v>450</v>
      </c>
      <c r="F207" s="3" t="s">
        <v>684</v>
      </c>
      <c r="G207" s="4"/>
      <c r="H207" s="4" t="e">
        <f>INDEX(#REF!,MATCH(셀트리온제약!$F207,#REF!,0),MATCH(셀트리온제약!$B207,#REF!,0))</f>
        <v>#REF!</v>
      </c>
      <c r="I207" s="4" t="e">
        <f t="shared" si="17"/>
        <v>#REF!</v>
      </c>
      <c r="J207" s="21" t="e">
        <f t="shared" si="19"/>
        <v>#REF!</v>
      </c>
    </row>
    <row r="208" spans="2:10" hidden="1">
      <c r="B208" s="2" t="s">
        <v>143</v>
      </c>
      <c r="C208" s="3" t="s">
        <v>133</v>
      </c>
      <c r="D208" s="3" t="s">
        <v>134</v>
      </c>
      <c r="E208" s="3" t="s">
        <v>432</v>
      </c>
      <c r="F208" s="3" t="s">
        <v>432</v>
      </c>
      <c r="G208" s="4"/>
      <c r="H208" s="4" t="e">
        <f>INDEX(#REF!,MATCH(셀트리온제약!$F208,#REF!,0),MATCH(셀트리온제약!$B208,#REF!,0))</f>
        <v>#REF!</v>
      </c>
      <c r="I208" s="4" t="e">
        <f t="shared" si="17"/>
        <v>#REF!</v>
      </c>
      <c r="J208" s="21" t="e">
        <f t="shared" si="19"/>
        <v>#REF!</v>
      </c>
    </row>
    <row r="209" spans="2:10" hidden="1">
      <c r="B209" s="2" t="s">
        <v>143</v>
      </c>
      <c r="C209" s="3" t="s">
        <v>133</v>
      </c>
      <c r="D209" s="3" t="s">
        <v>134</v>
      </c>
      <c r="E209" s="3" t="s">
        <v>443</v>
      </c>
      <c r="F209" s="3" t="s">
        <v>443</v>
      </c>
      <c r="G209" s="4"/>
      <c r="H209" s="4" t="e">
        <f>INDEX(#REF!,MATCH(셀트리온제약!$F209,#REF!,0),MATCH(셀트리온제약!$B209,#REF!,0))</f>
        <v>#REF!</v>
      </c>
      <c r="I209" s="4" t="e">
        <f t="shared" si="17"/>
        <v>#REF!</v>
      </c>
      <c r="J209" s="21" t="e">
        <f t="shared" si="19"/>
        <v>#REF!</v>
      </c>
    </row>
    <row r="210" spans="2:10" hidden="1">
      <c r="B210" s="2" t="s">
        <v>143</v>
      </c>
      <c r="C210" s="3" t="s">
        <v>133</v>
      </c>
      <c r="D210" s="3" t="s">
        <v>134</v>
      </c>
      <c r="E210" s="3" t="s">
        <v>135</v>
      </c>
      <c r="F210" s="3" t="s">
        <v>136</v>
      </c>
      <c r="G210" s="4"/>
      <c r="H210" s="4" t="e">
        <f>INDEX(#REF!,MATCH(셀트리온제약!$F210,#REF!,0),MATCH(셀트리온제약!$B210,#REF!,0))</f>
        <v>#REF!</v>
      </c>
      <c r="I210" s="4" t="e">
        <f t="shared" si="17"/>
        <v>#REF!</v>
      </c>
      <c r="J210" s="21" t="e">
        <f t="shared" si="19"/>
        <v>#REF!</v>
      </c>
    </row>
    <row r="211" spans="2:10" hidden="1">
      <c r="B211" s="2" t="s">
        <v>143</v>
      </c>
      <c r="C211" s="3" t="s">
        <v>133</v>
      </c>
      <c r="D211" s="3" t="s">
        <v>134</v>
      </c>
      <c r="E211" s="3" t="s">
        <v>135</v>
      </c>
      <c r="F211" s="3" t="s">
        <v>137</v>
      </c>
      <c r="G211" s="4"/>
      <c r="H211" s="4" t="e">
        <f>INDEX(#REF!,MATCH(셀트리온제약!$F211,#REF!,0),MATCH(셀트리온제약!$B211,#REF!,0))</f>
        <v>#REF!</v>
      </c>
      <c r="I211" s="4" t="e">
        <f t="shared" si="17"/>
        <v>#REF!</v>
      </c>
      <c r="J211" s="21" t="e">
        <f t="shared" si="19"/>
        <v>#REF!</v>
      </c>
    </row>
    <row r="212" spans="2:10" hidden="1">
      <c r="B212" s="2" t="s">
        <v>143</v>
      </c>
      <c r="C212" s="3" t="s">
        <v>133</v>
      </c>
      <c r="D212" s="3" t="s">
        <v>134</v>
      </c>
      <c r="E212" s="3" t="s">
        <v>135</v>
      </c>
      <c r="F212" s="3" t="s">
        <v>139</v>
      </c>
      <c r="G212" s="4"/>
      <c r="H212" s="4" t="e">
        <f>INDEX(#REF!,MATCH(셀트리온제약!$F212,#REF!,0),MATCH(셀트리온제약!$B212,#REF!,0))</f>
        <v>#REF!</v>
      </c>
      <c r="I212" s="4" t="e">
        <f t="shared" si="17"/>
        <v>#REF!</v>
      </c>
      <c r="J212" s="21" t="e">
        <f t="shared" si="19"/>
        <v>#REF!</v>
      </c>
    </row>
    <row r="213" spans="2:10" hidden="1">
      <c r="B213" s="2" t="s">
        <v>143</v>
      </c>
      <c r="C213" s="3" t="s">
        <v>133</v>
      </c>
      <c r="D213" s="3" t="s">
        <v>134</v>
      </c>
      <c r="E213" s="3" t="s">
        <v>135</v>
      </c>
      <c r="F213" s="3" t="s">
        <v>140</v>
      </c>
      <c r="G213" s="4"/>
      <c r="H213" s="4" t="e">
        <f>INDEX(#REF!,MATCH(셀트리온제약!$F213,#REF!,0),MATCH(셀트리온제약!$B213,#REF!,0))</f>
        <v>#REF!</v>
      </c>
      <c r="I213" s="4" t="e">
        <f t="shared" si="17"/>
        <v>#REF!</v>
      </c>
      <c r="J213" s="21" t="e">
        <f t="shared" si="19"/>
        <v>#REF!</v>
      </c>
    </row>
    <row r="214" spans="2:10" hidden="1">
      <c r="B214" s="2" t="s">
        <v>143</v>
      </c>
      <c r="C214" s="3" t="s">
        <v>133</v>
      </c>
      <c r="D214" s="3" t="s">
        <v>134</v>
      </c>
      <c r="E214" s="3" t="s">
        <v>135</v>
      </c>
      <c r="F214" s="3" t="s">
        <v>141</v>
      </c>
      <c r="G214" s="4"/>
      <c r="H214" s="4" t="e">
        <f>INDEX(#REF!,MATCH(셀트리온제약!$F214,#REF!,0),MATCH(셀트리온제약!$B214,#REF!,0))</f>
        <v>#REF!</v>
      </c>
      <c r="I214" s="4" t="e">
        <f t="shared" si="17"/>
        <v>#REF!</v>
      </c>
      <c r="J214" s="21" t="e">
        <f t="shared" si="19"/>
        <v>#REF!</v>
      </c>
    </row>
    <row r="215" spans="2:10" hidden="1">
      <c r="B215" s="2" t="s">
        <v>143</v>
      </c>
      <c r="C215" s="3" t="s">
        <v>133</v>
      </c>
      <c r="D215" s="3" t="s">
        <v>134</v>
      </c>
      <c r="E215" s="3" t="s">
        <v>135</v>
      </c>
      <c r="F215" s="3" t="s">
        <v>142</v>
      </c>
      <c r="G215" s="4"/>
      <c r="H215" s="4" t="e">
        <f>INDEX(#REF!,MATCH(셀트리온제약!$F215,#REF!,0),MATCH(셀트리온제약!$B215,#REF!,0))</f>
        <v>#REF!</v>
      </c>
      <c r="I215" s="4" t="e">
        <f t="shared" si="17"/>
        <v>#REF!</v>
      </c>
      <c r="J215" s="21" t="e">
        <f t="shared" si="19"/>
        <v>#REF!</v>
      </c>
    </row>
    <row r="216" spans="2:10" hidden="1">
      <c r="B216" s="2" t="s">
        <v>143</v>
      </c>
      <c r="C216" s="3" t="s">
        <v>133</v>
      </c>
      <c r="D216" s="3" t="s">
        <v>134</v>
      </c>
      <c r="E216" s="3" t="s">
        <v>135</v>
      </c>
      <c r="F216" s="3" t="s">
        <v>146</v>
      </c>
      <c r="G216" s="4"/>
      <c r="H216" s="4" t="e">
        <f>INDEX(#REF!,MATCH(셀트리온제약!$F216,#REF!,0),MATCH(셀트리온제약!$B216,#REF!,0))</f>
        <v>#REF!</v>
      </c>
      <c r="I216" s="4" t="e">
        <f t="shared" si="17"/>
        <v>#REF!</v>
      </c>
      <c r="J216" s="21" t="e">
        <f t="shared" si="19"/>
        <v>#REF!</v>
      </c>
    </row>
    <row r="217" spans="2:10" hidden="1">
      <c r="B217" s="2" t="s">
        <v>143</v>
      </c>
      <c r="C217" s="3" t="s">
        <v>133</v>
      </c>
      <c r="D217" s="3" t="s">
        <v>134</v>
      </c>
      <c r="E217" s="3" t="s">
        <v>135</v>
      </c>
      <c r="F217" s="3" t="s">
        <v>147</v>
      </c>
      <c r="G217" s="4"/>
      <c r="H217" s="4" t="e">
        <f>INDEX(#REF!,MATCH(셀트리온제약!$F217,#REF!,0),MATCH(셀트리온제약!$B217,#REF!,0))</f>
        <v>#REF!</v>
      </c>
      <c r="I217" s="4" t="e">
        <f t="shared" si="17"/>
        <v>#REF!</v>
      </c>
      <c r="J217" s="21" t="e">
        <f t="shared" si="19"/>
        <v>#REF!</v>
      </c>
    </row>
    <row r="218" spans="2:10" hidden="1">
      <c r="B218" s="2" t="s">
        <v>143</v>
      </c>
      <c r="C218" s="3" t="s">
        <v>133</v>
      </c>
      <c r="D218" s="3" t="s">
        <v>134</v>
      </c>
      <c r="E218" s="3" t="s">
        <v>135</v>
      </c>
      <c r="F218" s="3" t="s">
        <v>687</v>
      </c>
      <c r="G218" s="4"/>
      <c r="H218" s="4" t="e">
        <f>INDEX(#REF!,MATCH(셀트리온제약!$F218,#REF!,0),MATCH(셀트리온제약!$B218,#REF!,0))</f>
        <v>#REF!</v>
      </c>
      <c r="I218" s="4" t="e">
        <f t="shared" si="17"/>
        <v>#REF!</v>
      </c>
      <c r="J218" s="21" t="e">
        <f t="shared" si="19"/>
        <v>#REF!</v>
      </c>
    </row>
    <row r="219" spans="2:10" hidden="1">
      <c r="B219" s="2" t="s">
        <v>143</v>
      </c>
      <c r="C219" s="3" t="s">
        <v>133</v>
      </c>
      <c r="D219" s="3" t="s">
        <v>134</v>
      </c>
      <c r="E219" s="3" t="s">
        <v>688</v>
      </c>
      <c r="F219" s="3" t="s">
        <v>470</v>
      </c>
      <c r="G219" s="4"/>
      <c r="H219" s="4" t="e">
        <f>INDEX(#REF!,MATCH(셀트리온제약!$F219,#REF!,0),MATCH(셀트리온제약!$B219,#REF!,0))</f>
        <v>#REF!</v>
      </c>
      <c r="I219" s="4" t="e">
        <f t="shared" si="17"/>
        <v>#REF!</v>
      </c>
      <c r="J219" s="21" t="e">
        <f t="shared" si="19"/>
        <v>#REF!</v>
      </c>
    </row>
    <row r="220" spans="2:10" ht="18" hidden="1" thickBot="1">
      <c r="B220" s="12" t="s">
        <v>143</v>
      </c>
      <c r="C220" s="697" t="s">
        <v>133</v>
      </c>
      <c r="D220" s="697" t="s">
        <v>134</v>
      </c>
      <c r="E220" s="697" t="s">
        <v>688</v>
      </c>
      <c r="F220" s="697" t="s">
        <v>474</v>
      </c>
      <c r="G220" s="698"/>
      <c r="H220" s="698" t="e">
        <f>INDEX(#REF!,MATCH(셀트리온제약!$F220,#REF!,0),MATCH(셀트리온제약!$B220,#REF!,0))</f>
        <v>#REF!</v>
      </c>
      <c r="I220" s="698" t="e">
        <f t="shared" si="17"/>
        <v>#REF!</v>
      </c>
      <c r="J220" s="699" t="e">
        <f t="shared" si="19"/>
        <v>#REF!</v>
      </c>
    </row>
    <row r="221" spans="2:10" hidden="1">
      <c r="B221" s="7" t="s">
        <v>144</v>
      </c>
      <c r="C221" s="8" t="s">
        <v>133</v>
      </c>
      <c r="D221" s="8" t="s">
        <v>134</v>
      </c>
      <c r="E221" s="8" t="s">
        <v>422</v>
      </c>
      <c r="F221" s="8" t="s">
        <v>423</v>
      </c>
      <c r="G221" s="9"/>
      <c r="H221" s="9" t="e">
        <f>INDEX(#REF!,MATCH(셀트리온제약!$F221,#REF!,0),MATCH(셀트리온제약!$B221,#REF!,0))</f>
        <v>#REF!</v>
      </c>
      <c r="I221" s="9" t="e">
        <f t="shared" si="17"/>
        <v>#REF!</v>
      </c>
      <c r="J221" s="20" t="e">
        <f>+G221/H221</f>
        <v>#REF!</v>
      </c>
    </row>
    <row r="222" spans="2:10" hidden="1">
      <c r="B222" s="2" t="s">
        <v>144</v>
      </c>
      <c r="C222" s="3" t="s">
        <v>133</v>
      </c>
      <c r="D222" s="3" t="s">
        <v>134</v>
      </c>
      <c r="E222" s="3" t="s">
        <v>422</v>
      </c>
      <c r="F222" s="3" t="s">
        <v>683</v>
      </c>
      <c r="G222" s="11"/>
      <c r="H222" s="11" t="e">
        <f>INDEX(#REF!,MATCH(셀트리온제약!$F222,#REF!,0),MATCH(셀트리온제약!$B222,#REF!,0))</f>
        <v>#REF!</v>
      </c>
      <c r="I222" s="11" t="e">
        <f t="shared" si="17"/>
        <v>#REF!</v>
      </c>
      <c r="J222" s="21" t="e">
        <f t="shared" ref="J222:J242" si="20">+G222/H222</f>
        <v>#REF!</v>
      </c>
    </row>
    <row r="223" spans="2:10" hidden="1">
      <c r="B223" s="2" t="s">
        <v>144</v>
      </c>
      <c r="C223" s="3" t="s">
        <v>133</v>
      </c>
      <c r="D223" s="3" t="s">
        <v>134</v>
      </c>
      <c r="E223" s="3" t="s">
        <v>422</v>
      </c>
      <c r="F223" s="3" t="s">
        <v>89</v>
      </c>
      <c r="G223" s="11"/>
      <c r="H223" s="11" t="e">
        <f>INDEX(#REF!,MATCH(셀트리온제약!$F223,#REF!,0),MATCH(셀트리온제약!$B223,#REF!,0))</f>
        <v>#REF!</v>
      </c>
      <c r="I223" s="11" t="e">
        <f t="shared" si="17"/>
        <v>#REF!</v>
      </c>
      <c r="J223" s="21" t="e">
        <f t="shared" si="20"/>
        <v>#REF!</v>
      </c>
    </row>
    <row r="224" spans="2:10" hidden="1">
      <c r="B224" s="2" t="s">
        <v>144</v>
      </c>
      <c r="C224" s="3" t="s">
        <v>133</v>
      </c>
      <c r="D224" s="3" t="s">
        <v>134</v>
      </c>
      <c r="E224" s="3" t="s">
        <v>450</v>
      </c>
      <c r="F224" s="3" t="s">
        <v>452</v>
      </c>
      <c r="G224" s="11"/>
      <c r="H224" s="11" t="e">
        <f>INDEX(#REF!,MATCH(셀트리온제약!$F224,#REF!,0),MATCH(셀트리온제약!$B224,#REF!,0))</f>
        <v>#REF!</v>
      </c>
      <c r="I224" s="11" t="e">
        <f t="shared" si="17"/>
        <v>#REF!</v>
      </c>
      <c r="J224" s="21" t="e">
        <f t="shared" si="20"/>
        <v>#REF!</v>
      </c>
    </row>
    <row r="225" spans="2:10" hidden="1">
      <c r="B225" s="2" t="s">
        <v>144</v>
      </c>
      <c r="C225" s="3" t="s">
        <v>133</v>
      </c>
      <c r="D225" s="3" t="s">
        <v>134</v>
      </c>
      <c r="E225" s="3" t="s">
        <v>450</v>
      </c>
      <c r="F225" s="3" t="s">
        <v>453</v>
      </c>
      <c r="G225" s="11"/>
      <c r="H225" s="11" t="e">
        <f>INDEX(#REF!,MATCH(셀트리온제약!$F225,#REF!,0),MATCH(셀트리온제약!$B225,#REF!,0))</f>
        <v>#REF!</v>
      </c>
      <c r="I225" s="11" t="e">
        <f t="shared" si="17"/>
        <v>#REF!</v>
      </c>
      <c r="J225" s="21" t="e">
        <f t="shared" si="20"/>
        <v>#REF!</v>
      </c>
    </row>
    <row r="226" spans="2:10" hidden="1">
      <c r="B226" s="2" t="s">
        <v>144</v>
      </c>
      <c r="C226" s="3" t="s">
        <v>133</v>
      </c>
      <c r="D226" s="3" t="s">
        <v>134</v>
      </c>
      <c r="E226" s="3" t="s">
        <v>450</v>
      </c>
      <c r="F226" s="3" t="s">
        <v>458</v>
      </c>
      <c r="G226" s="11"/>
      <c r="H226" s="11" t="e">
        <f>INDEX(#REF!,MATCH(셀트리온제약!$F226,#REF!,0),MATCH(셀트리온제약!$B226,#REF!,0))</f>
        <v>#REF!</v>
      </c>
      <c r="I226" s="11" t="e">
        <f t="shared" si="17"/>
        <v>#REF!</v>
      </c>
      <c r="J226" s="21" t="e">
        <f t="shared" si="20"/>
        <v>#REF!</v>
      </c>
    </row>
    <row r="227" spans="2:10" hidden="1">
      <c r="B227" s="2" t="s">
        <v>144</v>
      </c>
      <c r="C227" s="3" t="s">
        <v>133</v>
      </c>
      <c r="D227" s="3" t="s">
        <v>134</v>
      </c>
      <c r="E227" s="3" t="s">
        <v>450</v>
      </c>
      <c r="F227" s="3" t="s">
        <v>454</v>
      </c>
      <c r="G227" s="4"/>
      <c r="H227" s="4" t="e">
        <f>INDEX(#REF!,MATCH(셀트리온제약!$F227,#REF!,0),MATCH(셀트리온제약!$B227,#REF!,0))</f>
        <v>#REF!</v>
      </c>
      <c r="I227" s="4" t="e">
        <f t="shared" si="17"/>
        <v>#REF!</v>
      </c>
      <c r="J227" s="21" t="e">
        <f t="shared" si="20"/>
        <v>#REF!</v>
      </c>
    </row>
    <row r="228" spans="2:10" hidden="1">
      <c r="B228" s="2" t="s">
        <v>144</v>
      </c>
      <c r="C228" s="3" t="s">
        <v>133</v>
      </c>
      <c r="D228" s="3" t="s">
        <v>134</v>
      </c>
      <c r="E228" s="3" t="s">
        <v>450</v>
      </c>
      <c r="F228" s="3" t="s">
        <v>461</v>
      </c>
      <c r="G228" s="11"/>
      <c r="H228" s="11" t="e">
        <f>INDEX(#REF!,MATCH(셀트리온제약!$F228,#REF!,0),MATCH(셀트리온제약!$B228,#REF!,0))</f>
        <v>#REF!</v>
      </c>
      <c r="I228" s="11" t="e">
        <f t="shared" si="17"/>
        <v>#REF!</v>
      </c>
      <c r="J228" s="21" t="e">
        <f t="shared" si="20"/>
        <v>#REF!</v>
      </c>
    </row>
    <row r="229" spans="2:10" hidden="1">
      <c r="B229" s="2" t="s">
        <v>144</v>
      </c>
      <c r="C229" s="3" t="s">
        <v>133</v>
      </c>
      <c r="D229" s="3" t="s">
        <v>134</v>
      </c>
      <c r="E229" s="3" t="s">
        <v>450</v>
      </c>
      <c r="F229" s="3" t="s">
        <v>684</v>
      </c>
      <c r="G229" s="4"/>
      <c r="H229" s="4" t="e">
        <f>INDEX(#REF!,MATCH(셀트리온제약!$F229,#REF!,0),MATCH(셀트리온제약!$B229,#REF!,0))</f>
        <v>#REF!</v>
      </c>
      <c r="I229" s="4" t="e">
        <f t="shared" si="17"/>
        <v>#REF!</v>
      </c>
      <c r="J229" s="21" t="e">
        <f t="shared" si="20"/>
        <v>#REF!</v>
      </c>
    </row>
    <row r="230" spans="2:10" hidden="1">
      <c r="B230" s="2" t="s">
        <v>144</v>
      </c>
      <c r="C230" s="3" t="s">
        <v>133</v>
      </c>
      <c r="D230" s="3" t="s">
        <v>134</v>
      </c>
      <c r="E230" s="3" t="s">
        <v>432</v>
      </c>
      <c r="F230" s="3" t="s">
        <v>432</v>
      </c>
      <c r="G230" s="4"/>
      <c r="H230" s="4" t="e">
        <f>INDEX(#REF!,MATCH(셀트리온제약!$F230,#REF!,0),MATCH(셀트리온제약!$B230,#REF!,0))</f>
        <v>#REF!</v>
      </c>
      <c r="I230" s="4" t="e">
        <f t="shared" si="17"/>
        <v>#REF!</v>
      </c>
      <c r="J230" s="21" t="e">
        <f t="shared" si="20"/>
        <v>#REF!</v>
      </c>
    </row>
    <row r="231" spans="2:10" hidden="1">
      <c r="B231" s="2" t="s">
        <v>144</v>
      </c>
      <c r="C231" s="3" t="s">
        <v>133</v>
      </c>
      <c r="D231" s="3" t="s">
        <v>134</v>
      </c>
      <c r="E231" s="3" t="s">
        <v>443</v>
      </c>
      <c r="F231" s="3" t="s">
        <v>443</v>
      </c>
      <c r="G231" s="4"/>
      <c r="H231" s="4" t="e">
        <f>INDEX(#REF!,MATCH(셀트리온제약!$F231,#REF!,0),MATCH(셀트리온제약!$B231,#REF!,0))</f>
        <v>#REF!</v>
      </c>
      <c r="I231" s="4" t="e">
        <f t="shared" si="17"/>
        <v>#REF!</v>
      </c>
      <c r="J231" s="21" t="e">
        <f t="shared" si="20"/>
        <v>#REF!</v>
      </c>
    </row>
    <row r="232" spans="2:10" hidden="1">
      <c r="B232" s="2" t="s">
        <v>144</v>
      </c>
      <c r="C232" s="3" t="s">
        <v>133</v>
      </c>
      <c r="D232" s="3" t="s">
        <v>134</v>
      </c>
      <c r="E232" s="3" t="s">
        <v>135</v>
      </c>
      <c r="F232" s="3" t="s">
        <v>136</v>
      </c>
      <c r="G232" s="4"/>
      <c r="H232" s="4" t="e">
        <f>INDEX(#REF!,MATCH(셀트리온제약!$F232,#REF!,0),MATCH(셀트리온제약!$B232,#REF!,0))</f>
        <v>#REF!</v>
      </c>
      <c r="I232" s="4" t="e">
        <f t="shared" si="17"/>
        <v>#REF!</v>
      </c>
      <c r="J232" s="21" t="e">
        <f t="shared" si="20"/>
        <v>#REF!</v>
      </c>
    </row>
    <row r="233" spans="2:10" hidden="1">
      <c r="B233" s="2" t="s">
        <v>144</v>
      </c>
      <c r="C233" s="3" t="s">
        <v>133</v>
      </c>
      <c r="D233" s="3" t="s">
        <v>134</v>
      </c>
      <c r="E233" s="3" t="s">
        <v>135</v>
      </c>
      <c r="F233" s="3" t="s">
        <v>137</v>
      </c>
      <c r="G233" s="4"/>
      <c r="H233" s="4" t="e">
        <f>INDEX(#REF!,MATCH(셀트리온제약!$F233,#REF!,0),MATCH(셀트리온제약!$B233,#REF!,0))</f>
        <v>#REF!</v>
      </c>
      <c r="I233" s="4" t="e">
        <f t="shared" si="17"/>
        <v>#REF!</v>
      </c>
      <c r="J233" s="21" t="e">
        <f t="shared" si="20"/>
        <v>#REF!</v>
      </c>
    </row>
    <row r="234" spans="2:10" hidden="1">
      <c r="B234" s="2" t="s">
        <v>144</v>
      </c>
      <c r="C234" s="3" t="s">
        <v>133</v>
      </c>
      <c r="D234" s="3" t="s">
        <v>134</v>
      </c>
      <c r="E234" s="3" t="s">
        <v>135</v>
      </c>
      <c r="F234" s="3" t="s">
        <v>139</v>
      </c>
      <c r="G234" s="4"/>
      <c r="H234" s="4" t="e">
        <f>INDEX(#REF!,MATCH(셀트리온제약!$F234,#REF!,0),MATCH(셀트리온제약!$B234,#REF!,0))</f>
        <v>#REF!</v>
      </c>
      <c r="I234" s="4" t="e">
        <f t="shared" si="17"/>
        <v>#REF!</v>
      </c>
      <c r="J234" s="21" t="e">
        <f t="shared" si="20"/>
        <v>#REF!</v>
      </c>
    </row>
    <row r="235" spans="2:10" hidden="1">
      <c r="B235" s="2" t="s">
        <v>144</v>
      </c>
      <c r="C235" s="3" t="s">
        <v>133</v>
      </c>
      <c r="D235" s="3" t="s">
        <v>134</v>
      </c>
      <c r="E235" s="3" t="s">
        <v>135</v>
      </c>
      <c r="F235" s="3" t="s">
        <v>140</v>
      </c>
      <c r="G235" s="4"/>
      <c r="H235" s="4" t="e">
        <f>INDEX(#REF!,MATCH(셀트리온제약!$F235,#REF!,0),MATCH(셀트리온제약!$B235,#REF!,0))</f>
        <v>#REF!</v>
      </c>
      <c r="I235" s="4" t="e">
        <f t="shared" si="17"/>
        <v>#REF!</v>
      </c>
      <c r="J235" s="21" t="e">
        <f t="shared" si="20"/>
        <v>#REF!</v>
      </c>
    </row>
    <row r="236" spans="2:10" hidden="1">
      <c r="B236" s="2" t="s">
        <v>144</v>
      </c>
      <c r="C236" s="3" t="s">
        <v>133</v>
      </c>
      <c r="D236" s="3" t="s">
        <v>134</v>
      </c>
      <c r="E236" s="3" t="s">
        <v>135</v>
      </c>
      <c r="F236" s="3" t="s">
        <v>141</v>
      </c>
      <c r="G236" s="4"/>
      <c r="H236" s="4" t="e">
        <f>INDEX(#REF!,MATCH(셀트리온제약!$F236,#REF!,0),MATCH(셀트리온제약!$B236,#REF!,0))</f>
        <v>#REF!</v>
      </c>
      <c r="I236" s="4" t="e">
        <f t="shared" ref="I236:I242" si="21">H236</f>
        <v>#REF!</v>
      </c>
      <c r="J236" s="21" t="e">
        <f t="shared" si="20"/>
        <v>#REF!</v>
      </c>
    </row>
    <row r="237" spans="2:10" hidden="1">
      <c r="B237" s="2" t="s">
        <v>144</v>
      </c>
      <c r="C237" s="3" t="s">
        <v>133</v>
      </c>
      <c r="D237" s="3" t="s">
        <v>134</v>
      </c>
      <c r="E237" s="3" t="s">
        <v>135</v>
      </c>
      <c r="F237" s="3" t="s">
        <v>142</v>
      </c>
      <c r="G237" s="4"/>
      <c r="H237" s="4" t="e">
        <f>INDEX(#REF!,MATCH(셀트리온제약!$F237,#REF!,0),MATCH(셀트리온제약!$B237,#REF!,0))</f>
        <v>#REF!</v>
      </c>
      <c r="I237" s="4" t="e">
        <f t="shared" si="21"/>
        <v>#REF!</v>
      </c>
      <c r="J237" s="21" t="e">
        <f t="shared" si="20"/>
        <v>#REF!</v>
      </c>
    </row>
    <row r="238" spans="2:10" hidden="1">
      <c r="B238" s="2" t="s">
        <v>144</v>
      </c>
      <c r="C238" s="3" t="s">
        <v>133</v>
      </c>
      <c r="D238" s="3" t="s">
        <v>134</v>
      </c>
      <c r="E238" s="3" t="s">
        <v>135</v>
      </c>
      <c r="F238" s="3" t="s">
        <v>146</v>
      </c>
      <c r="G238" s="4"/>
      <c r="H238" s="4" t="e">
        <f>INDEX(#REF!,MATCH(셀트리온제약!$F238,#REF!,0),MATCH(셀트리온제약!$B238,#REF!,0))</f>
        <v>#REF!</v>
      </c>
      <c r="I238" s="4" t="e">
        <f t="shared" si="21"/>
        <v>#REF!</v>
      </c>
      <c r="J238" s="21" t="e">
        <f t="shared" si="20"/>
        <v>#REF!</v>
      </c>
    </row>
    <row r="239" spans="2:10" hidden="1">
      <c r="B239" s="2" t="s">
        <v>144</v>
      </c>
      <c r="C239" s="3" t="s">
        <v>133</v>
      </c>
      <c r="D239" s="3" t="s">
        <v>134</v>
      </c>
      <c r="E239" s="3" t="s">
        <v>135</v>
      </c>
      <c r="F239" s="3" t="s">
        <v>147</v>
      </c>
      <c r="G239" s="4"/>
      <c r="H239" s="4" t="e">
        <f>INDEX(#REF!,MATCH(셀트리온제약!$F239,#REF!,0),MATCH(셀트리온제약!$B239,#REF!,0))</f>
        <v>#REF!</v>
      </c>
      <c r="I239" s="4" t="e">
        <f t="shared" si="21"/>
        <v>#REF!</v>
      </c>
      <c r="J239" s="21" t="e">
        <f t="shared" si="20"/>
        <v>#REF!</v>
      </c>
    </row>
    <row r="240" spans="2:10" hidden="1">
      <c r="B240" s="2" t="s">
        <v>144</v>
      </c>
      <c r="C240" s="3" t="s">
        <v>133</v>
      </c>
      <c r="D240" s="3" t="s">
        <v>134</v>
      </c>
      <c r="E240" s="3" t="s">
        <v>135</v>
      </c>
      <c r="F240" s="3" t="s">
        <v>687</v>
      </c>
      <c r="G240" s="4"/>
      <c r="H240" s="4" t="e">
        <f>INDEX(#REF!,MATCH(셀트리온제약!$F240,#REF!,0),MATCH(셀트리온제약!$B240,#REF!,0))</f>
        <v>#REF!</v>
      </c>
      <c r="I240" s="4" t="e">
        <f t="shared" si="21"/>
        <v>#REF!</v>
      </c>
      <c r="J240" s="21" t="e">
        <f t="shared" si="20"/>
        <v>#REF!</v>
      </c>
    </row>
    <row r="241" spans="2:10" hidden="1">
      <c r="B241" s="2" t="s">
        <v>144</v>
      </c>
      <c r="C241" s="3" t="s">
        <v>133</v>
      </c>
      <c r="D241" s="3" t="s">
        <v>134</v>
      </c>
      <c r="E241" s="3" t="s">
        <v>688</v>
      </c>
      <c r="F241" s="3" t="s">
        <v>470</v>
      </c>
      <c r="G241" s="4"/>
      <c r="H241" s="4" t="e">
        <f>INDEX(#REF!,MATCH(셀트리온제약!$F241,#REF!,0),MATCH(셀트리온제약!$B241,#REF!,0))</f>
        <v>#REF!</v>
      </c>
      <c r="I241" s="4" t="e">
        <f t="shared" si="21"/>
        <v>#REF!</v>
      </c>
      <c r="J241" s="21" t="e">
        <f t="shared" si="20"/>
        <v>#REF!</v>
      </c>
    </row>
    <row r="242" spans="2:10" ht="18" hidden="1" thickBot="1">
      <c r="B242" s="13" t="s">
        <v>144</v>
      </c>
      <c r="C242" s="17" t="s">
        <v>133</v>
      </c>
      <c r="D242" s="17" t="s">
        <v>134</v>
      </c>
      <c r="E242" s="17" t="s">
        <v>688</v>
      </c>
      <c r="F242" s="17" t="s">
        <v>474</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cols>
    <col min="2" max="2" width="16.59765625" bestFit="1" customWidth="1"/>
    <col min="3" max="14" width="15.59765625" bestFit="1" customWidth="1"/>
  </cols>
  <sheetData>
    <row r="3" spans="1:14">
      <c r="A3" t="s">
        <v>495</v>
      </c>
      <c r="B3" t="s">
        <v>689</v>
      </c>
      <c r="C3" t="s">
        <v>690</v>
      </c>
      <c r="D3" t="s">
        <v>691</v>
      </c>
      <c r="E3" t="s">
        <v>692</v>
      </c>
      <c r="F3" t="s">
        <v>693</v>
      </c>
      <c r="G3" t="s">
        <v>694</v>
      </c>
      <c r="H3" t="s">
        <v>695</v>
      </c>
      <c r="I3" t="s">
        <v>696</v>
      </c>
      <c r="J3" t="s">
        <v>697</v>
      </c>
      <c r="K3" t="s">
        <v>698</v>
      </c>
      <c r="L3" t="s">
        <v>699</v>
      </c>
      <c r="M3" t="s">
        <v>700</v>
      </c>
      <c r="N3" t="s">
        <v>701</v>
      </c>
    </row>
    <row r="4" spans="1:14">
      <c r="A4" t="s">
        <v>499</v>
      </c>
      <c r="B4" t="s">
        <v>470</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c r="A5" t="s">
        <v>499</v>
      </c>
      <c r="B5" t="s">
        <v>474</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c r="A6" t="s">
        <v>450</v>
      </c>
      <c r="B6" t="s">
        <v>702</v>
      </c>
      <c r="C6" s="1">
        <v>0</v>
      </c>
      <c r="D6" s="1">
        <v>0</v>
      </c>
      <c r="E6" s="1">
        <v>0</v>
      </c>
      <c r="F6" s="1">
        <v>0</v>
      </c>
      <c r="G6" s="1">
        <v>0</v>
      </c>
      <c r="H6" s="1">
        <v>0</v>
      </c>
      <c r="I6" s="1">
        <v>0</v>
      </c>
      <c r="J6" s="1">
        <v>0</v>
      </c>
      <c r="K6" s="1">
        <v>0</v>
      </c>
      <c r="L6" s="1">
        <v>0</v>
      </c>
      <c r="M6" s="1">
        <v>0</v>
      </c>
      <c r="N6" s="1">
        <v>0</v>
      </c>
    </row>
    <row r="7" spans="1:14">
      <c r="A7" t="s">
        <v>450</v>
      </c>
      <c r="B7" t="s">
        <v>462</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c r="A8" t="s">
        <v>450</v>
      </c>
      <c r="B8" t="s">
        <v>463</v>
      </c>
      <c r="C8" s="1">
        <v>0</v>
      </c>
      <c r="D8" s="1">
        <v>0</v>
      </c>
      <c r="E8" s="1">
        <v>0</v>
      </c>
      <c r="F8" s="1">
        <v>0</v>
      </c>
      <c r="G8" s="1">
        <v>0</v>
      </c>
      <c r="H8" s="1">
        <v>0</v>
      </c>
      <c r="I8" s="1">
        <v>0</v>
      </c>
      <c r="J8" s="1">
        <v>0</v>
      </c>
      <c r="K8" s="1">
        <v>0</v>
      </c>
      <c r="L8" s="1">
        <v>0</v>
      </c>
      <c r="M8" s="1">
        <v>0</v>
      </c>
      <c r="N8" s="1">
        <v>0</v>
      </c>
    </row>
    <row r="9" spans="1:14">
      <c r="A9" t="s">
        <v>450</v>
      </c>
      <c r="B9" t="s">
        <v>464</v>
      </c>
      <c r="C9" s="1">
        <v>0</v>
      </c>
      <c r="D9" s="1">
        <v>0</v>
      </c>
      <c r="E9" s="1">
        <v>0</v>
      </c>
      <c r="F9" s="1">
        <v>0</v>
      </c>
      <c r="G9" s="1">
        <v>0</v>
      </c>
      <c r="H9" s="1">
        <v>0</v>
      </c>
      <c r="I9" s="1">
        <v>0</v>
      </c>
      <c r="J9" s="1">
        <v>0</v>
      </c>
      <c r="K9" s="1">
        <v>0</v>
      </c>
      <c r="L9" s="1">
        <v>0</v>
      </c>
      <c r="M9" s="1">
        <v>0</v>
      </c>
      <c r="N9" s="1">
        <v>0</v>
      </c>
    </row>
    <row r="10" spans="1:14">
      <c r="A10" t="s">
        <v>450</v>
      </c>
      <c r="B10" t="s">
        <v>466</v>
      </c>
      <c r="C10" s="1">
        <v>0</v>
      </c>
      <c r="D10" s="1">
        <v>0</v>
      </c>
      <c r="E10" s="1">
        <v>0</v>
      </c>
      <c r="F10" s="1">
        <v>0</v>
      </c>
      <c r="G10" s="1">
        <v>0</v>
      </c>
      <c r="H10" s="1">
        <v>0</v>
      </c>
      <c r="I10" s="1">
        <v>0</v>
      </c>
      <c r="J10" s="1">
        <v>0</v>
      </c>
      <c r="K10" s="1">
        <v>0</v>
      </c>
      <c r="L10" s="1">
        <v>0</v>
      </c>
      <c r="M10" s="1">
        <v>0</v>
      </c>
      <c r="N10" s="1">
        <v>0</v>
      </c>
    </row>
    <row r="11" spans="1:14">
      <c r="A11" t="s">
        <v>450</v>
      </c>
      <c r="B11" t="s">
        <v>703</v>
      </c>
      <c r="C11" s="1">
        <v>0</v>
      </c>
      <c r="D11" s="1">
        <v>0</v>
      </c>
      <c r="E11" s="1">
        <v>0</v>
      </c>
      <c r="F11" s="1">
        <v>0</v>
      </c>
      <c r="G11" s="1">
        <v>0</v>
      </c>
      <c r="H11" s="1">
        <v>0</v>
      </c>
      <c r="I11" s="1">
        <v>0</v>
      </c>
      <c r="J11" s="1">
        <v>0</v>
      </c>
      <c r="K11" s="1">
        <v>0</v>
      </c>
      <c r="L11" s="1">
        <v>0</v>
      </c>
      <c r="M11" s="1">
        <v>0</v>
      </c>
      <c r="N11" s="1">
        <v>0</v>
      </c>
    </row>
    <row r="12" spans="1:14">
      <c r="A12" t="s">
        <v>450</v>
      </c>
      <c r="B12" t="s">
        <v>461</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c r="A13" t="s">
        <v>450</v>
      </c>
      <c r="B13" t="s">
        <v>465</v>
      </c>
      <c r="C13" s="1">
        <v>0</v>
      </c>
      <c r="D13" s="1">
        <v>0</v>
      </c>
      <c r="E13" s="1">
        <v>0</v>
      </c>
      <c r="F13" s="1">
        <v>0</v>
      </c>
      <c r="G13" s="1">
        <v>0</v>
      </c>
      <c r="H13" s="1">
        <v>0</v>
      </c>
      <c r="I13" s="1">
        <v>0</v>
      </c>
      <c r="J13" s="1">
        <v>0</v>
      </c>
      <c r="K13" s="1">
        <v>0</v>
      </c>
      <c r="L13" s="1">
        <v>0</v>
      </c>
      <c r="M13" s="1">
        <v>0</v>
      </c>
      <c r="N13" s="1">
        <v>0</v>
      </c>
    </row>
    <row r="14" spans="1:14">
      <c r="A14" t="s">
        <v>450</v>
      </c>
      <c r="B14" t="s">
        <v>458</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c r="A15" t="s">
        <v>450</v>
      </c>
      <c r="B15" t="s">
        <v>467</v>
      </c>
      <c r="C15" s="1">
        <v>0</v>
      </c>
      <c r="D15" s="1">
        <v>0</v>
      </c>
      <c r="E15" s="1">
        <v>0</v>
      </c>
      <c r="F15" s="1">
        <v>0</v>
      </c>
      <c r="G15" s="1">
        <v>0</v>
      </c>
      <c r="H15" s="1">
        <v>0</v>
      </c>
      <c r="I15" s="1">
        <v>0</v>
      </c>
      <c r="J15" s="1">
        <v>0</v>
      </c>
      <c r="K15" s="1">
        <v>0</v>
      </c>
      <c r="L15" s="1">
        <v>0</v>
      </c>
      <c r="M15" s="1">
        <v>0</v>
      </c>
      <c r="N15" s="1">
        <v>0</v>
      </c>
    </row>
    <row r="16" spans="1:14">
      <c r="A16" t="s">
        <v>450</v>
      </c>
      <c r="B16" t="s">
        <v>454</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c r="A17" t="s">
        <v>450</v>
      </c>
      <c r="B17" t="s">
        <v>452</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c r="A18" t="s">
        <v>450</v>
      </c>
      <c r="B18" t="s">
        <v>453</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c r="A19" t="s">
        <v>478</v>
      </c>
      <c r="B19" t="s">
        <v>139</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c r="A20" t="s">
        <v>478</v>
      </c>
      <c r="B20" t="s">
        <v>704</v>
      </c>
      <c r="C20" s="1">
        <v>0</v>
      </c>
      <c r="D20" s="1">
        <v>0</v>
      </c>
      <c r="E20" s="1">
        <v>0</v>
      </c>
      <c r="F20" s="1">
        <v>0</v>
      </c>
      <c r="G20" s="1">
        <v>0</v>
      </c>
      <c r="H20" s="1">
        <v>0</v>
      </c>
      <c r="I20" s="1">
        <v>0</v>
      </c>
      <c r="J20" s="1">
        <v>0</v>
      </c>
      <c r="K20" s="1">
        <v>0</v>
      </c>
      <c r="L20" s="1">
        <v>0</v>
      </c>
      <c r="M20" s="1">
        <v>0</v>
      </c>
      <c r="N20" s="1">
        <v>0</v>
      </c>
    </row>
    <row r="21" spans="1:14">
      <c r="A21" t="s">
        <v>478</v>
      </c>
      <c r="B21" t="s">
        <v>140</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c r="A22" t="s">
        <v>478</v>
      </c>
      <c r="B22" t="s">
        <v>705</v>
      </c>
      <c r="C22" s="1">
        <v>0</v>
      </c>
      <c r="D22" s="1">
        <v>0</v>
      </c>
      <c r="E22" s="1">
        <v>0</v>
      </c>
      <c r="F22" s="1">
        <v>0</v>
      </c>
      <c r="G22" s="1">
        <v>0</v>
      </c>
      <c r="H22" s="1">
        <v>0</v>
      </c>
      <c r="I22" s="1">
        <v>0</v>
      </c>
      <c r="J22" s="1">
        <v>0</v>
      </c>
      <c r="K22" s="1">
        <v>0</v>
      </c>
      <c r="L22" s="1">
        <v>0</v>
      </c>
      <c r="M22" s="1">
        <v>0</v>
      </c>
      <c r="N22" s="1">
        <v>0</v>
      </c>
    </row>
    <row r="23" spans="1:14">
      <c r="A23" t="s">
        <v>478</v>
      </c>
      <c r="B23" t="s">
        <v>137</v>
      </c>
      <c r="C23" s="1">
        <v>155480000</v>
      </c>
      <c r="D23" s="1">
        <v>77958400</v>
      </c>
      <c r="E23" s="1">
        <v>387902400</v>
      </c>
      <c r="F23" s="1">
        <v>0</v>
      </c>
      <c r="G23" s="1">
        <v>275148000</v>
      </c>
      <c r="H23" s="1">
        <v>0</v>
      </c>
      <c r="I23" s="1">
        <v>0</v>
      </c>
      <c r="J23" s="1">
        <v>0</v>
      </c>
      <c r="K23" s="1">
        <v>0</v>
      </c>
      <c r="L23" s="1">
        <v>0</v>
      </c>
      <c r="M23" s="1">
        <v>0</v>
      </c>
      <c r="N23" s="1">
        <v>0</v>
      </c>
    </row>
    <row r="24" spans="1:14">
      <c r="A24" t="s">
        <v>478</v>
      </c>
      <c r="B24" t="s">
        <v>136</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c r="A25" t="s">
        <v>478</v>
      </c>
      <c r="B25" t="s">
        <v>141</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c r="A26" t="s">
        <v>478</v>
      </c>
      <c r="B26" t="s">
        <v>142</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c r="A27" t="s">
        <v>478</v>
      </c>
      <c r="B27" t="s">
        <v>146</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c r="A28" t="s">
        <v>478</v>
      </c>
      <c r="B28" t="s">
        <v>706</v>
      </c>
      <c r="C28" s="1">
        <v>0</v>
      </c>
      <c r="D28" s="1">
        <v>170000000</v>
      </c>
      <c r="E28" s="1">
        <v>85000000</v>
      </c>
      <c r="F28" s="1">
        <v>0</v>
      </c>
      <c r="G28" s="1">
        <v>340000000</v>
      </c>
      <c r="H28" s="1">
        <v>0</v>
      </c>
      <c r="I28" s="1">
        <v>0</v>
      </c>
      <c r="J28" s="1">
        <v>0</v>
      </c>
      <c r="K28" s="1">
        <v>0</v>
      </c>
      <c r="L28" s="1">
        <v>0</v>
      </c>
      <c r="M28" s="1">
        <v>0</v>
      </c>
      <c r="N28" s="1">
        <v>0</v>
      </c>
    </row>
    <row r="29" spans="1:14">
      <c r="A29" t="s">
        <v>478</v>
      </c>
      <c r="B29" t="s">
        <v>707</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c r="A30" t="s">
        <v>422</v>
      </c>
      <c r="B30" t="s">
        <v>432</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c r="A31" t="s">
        <v>422</v>
      </c>
      <c r="B31" t="s">
        <v>423</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c r="A32" t="s">
        <v>422</v>
      </c>
      <c r="B32" t="s">
        <v>89</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c r="A33" t="s">
        <v>422</v>
      </c>
      <c r="B33" t="s">
        <v>428</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c r="A34" t="s">
        <v>422</v>
      </c>
      <c r="B34" t="s">
        <v>708</v>
      </c>
      <c r="C34" s="1">
        <v>0</v>
      </c>
      <c r="D34" s="1">
        <v>0</v>
      </c>
      <c r="E34" s="1">
        <v>0</v>
      </c>
      <c r="F34" s="1">
        <v>0</v>
      </c>
      <c r="G34" s="1">
        <v>0</v>
      </c>
      <c r="H34" s="1">
        <v>0</v>
      </c>
      <c r="I34" s="1">
        <v>0</v>
      </c>
      <c r="J34" s="1">
        <v>0</v>
      </c>
      <c r="K34" s="1">
        <v>0</v>
      </c>
      <c r="L34" s="1">
        <v>0</v>
      </c>
      <c r="M34" s="1">
        <v>0</v>
      </c>
      <c r="N34" s="1">
        <v>0</v>
      </c>
    </row>
    <row r="35" spans="1:15">
      <c r="A35" t="s">
        <v>422</v>
      </c>
      <c r="B35" t="s">
        <v>709</v>
      </c>
      <c r="C35">
        <v>475000000</v>
      </c>
      <c r="D35">
        <v>26300000</v>
      </c>
      <c r="E35">
        <v>70750000</v>
      </c>
      <c r="F35">
        <v>35250000</v>
      </c>
      <c r="G35">
        <v>23750000</v>
      </c>
      <c r="H35">
        <v>217375000</v>
      </c>
      <c r="I35">
        <v>237500000</v>
      </c>
      <c r="J35">
        <v>35250000</v>
      </c>
      <c r="K35">
        <v>65000000</v>
      </c>
      <c r="L35">
        <v>475000000</v>
      </c>
      <c r="M35">
        <v>572400000</v>
      </c>
      <c r="N35">
        <v>272750000</v>
      </c>
    </row>
    <row r="36" spans="1:15">
      <c r="A36" t="s">
        <v>710</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c r="A42" t="s">
        <v>711</v>
      </c>
      <c r="B42" t="s">
        <v>712</v>
      </c>
      <c r="C42">
        <v>1</v>
      </c>
      <c r="D42">
        <v>2</v>
      </c>
      <c r="E42">
        <v>3</v>
      </c>
      <c r="F42">
        <v>4</v>
      </c>
      <c r="G42">
        <v>5</v>
      </c>
      <c r="H42">
        <v>6</v>
      </c>
      <c r="I42">
        <v>7</v>
      </c>
      <c r="J42">
        <v>8</v>
      </c>
      <c r="K42">
        <v>9</v>
      </c>
      <c r="L42">
        <v>10</v>
      </c>
      <c r="M42">
        <v>11</v>
      </c>
      <c r="N42">
        <v>12</v>
      </c>
    </row>
    <row r="43" spans="1:15">
      <c r="A43" t="s">
        <v>713</v>
      </c>
      <c r="B43" t="s">
        <v>714</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c r="A44" t="s">
        <v>715</v>
      </c>
      <c r="B44" t="s">
        <v>716</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c r="A45" t="s">
        <v>717</v>
      </c>
      <c r="B45" t="s">
        <v>718</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c r="A46" t="s">
        <v>719</v>
      </c>
      <c r="B46" t="s">
        <v>720</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c r="A47" t="s">
        <v>721</v>
      </c>
      <c r="B47" t="s">
        <v>722</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c r="A48" t="s">
        <v>723</v>
      </c>
      <c r="B48" t="s">
        <v>724</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c r="A49" t="s">
        <v>725</v>
      </c>
      <c r="B49" t="s">
        <v>726</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c r="A50" t="s">
        <v>727</v>
      </c>
      <c r="B50" t="s">
        <v>728</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c r="A51" t="s">
        <v>729</v>
      </c>
      <c r="B51" t="s">
        <v>730</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7</vt:i4>
      </vt:variant>
    </vt:vector>
  </HeadingPairs>
  <TitlesOfParts>
    <vt:vector size="22" baseType="lpstr">
      <vt:lpstr>요약(보고)</vt:lpstr>
      <vt:lpstr>상세 자료 작성</vt:lpstr>
      <vt:lpstr>Hasten 단가 정보</vt:lpstr>
      <vt:lpstr>Sheet2</vt:lpstr>
      <vt:lpstr>상세 자료 작성 241025현실화</vt:lpstr>
      <vt:lpstr>2024년 계획_변경적용</vt:lpstr>
      <vt:lpstr>2024년 계획</vt:lpstr>
      <vt:lpstr>2023년 실적</vt:lpstr>
      <vt:lpstr>1분기 실적</vt:lpstr>
      <vt:lpstr>요약(보고) 241025현실화</vt:lpstr>
      <vt:lpstr>연간 에상 (사장님보고)</vt:lpstr>
      <vt:lpstr>1분기 상세</vt:lpstr>
      <vt:lpstr>내재화</vt:lpstr>
      <vt:lpstr>셀트리온제약</vt:lpstr>
      <vt:lpstr>Sheet1</vt:lpstr>
      <vt:lpstr>'1분기 실적'!Print_Area</vt:lpstr>
      <vt:lpstr>'Hasten 단가 정보'!Print_Area</vt:lpstr>
      <vt:lpstr>'상세 자료 작성'!Print_Area</vt:lpstr>
      <vt:lpstr>'상세 자료 작성 241025현실화'!Print_Area</vt:lpstr>
      <vt:lpstr>'연간 에상 (사장님보고)'!Print_Area</vt:lpstr>
      <vt:lpstr>'요약(보고)'!Print_Area</vt:lpstr>
      <vt:lpstr>'요약(보고) 241025현실화'!Print_Area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cp:lastPrinted>2026-02-26T00:45:12Z</cp:lastPrinted>
  <dcterms:created xsi:type="dcterms:W3CDTF">2022-05-23T01:25:49Z</dcterms:created>
  <dcterms:modified xsi:type="dcterms:W3CDTF">2026-02-26T01:27:49Z</dcterms:modified>
  <cp:category/>
  <cp:contentStatus/>
</cp:coreProperties>
</file>